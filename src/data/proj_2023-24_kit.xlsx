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" sheetId="1" r:id="rId4"/>
    <sheet state="visible" name="Projections" sheetId="2" r:id="rId5"/>
    <sheet state="visible" name="Team" sheetId="3" r:id="rId6"/>
    <sheet state="visible" name="All Teams" sheetId="4" r:id="rId7"/>
    <sheet state="hidden" name="Trades" sheetId="5" r:id="rId8"/>
    <sheet state="hidden" name="Sheet9" sheetId="6" r:id="rId9"/>
    <sheet state="visible" name="NO USAR3" sheetId="7" r:id="rId10"/>
    <sheet state="visible" name="NO USAR1" sheetId="8" r:id="rId11"/>
    <sheet state="hidden" name="Paste #BBall" sheetId="9" r:id="rId12"/>
    <sheet state="hidden" name="Sheet17" sheetId="10" r:id="rId13"/>
    <sheet state="hidden" name="#Proj" sheetId="11" r:id="rId14"/>
    <sheet state="hidden" name="Update" sheetId="12" r:id="rId15"/>
    <sheet state="hidden" name="Schedule" sheetId="13" r:id="rId16"/>
  </sheets>
  <definedNames>
    <definedName hidden="1" localSheetId="1" name="_xlnm._FilterDatabase">Projections!$B$5:$E$421</definedName>
    <definedName hidden="1" localSheetId="7" name="_xlnm._FilterDatabase">'NO USAR1'!$O$20:$AN$420</definedName>
    <definedName hidden="1" localSheetId="10" name="_xlnm._FilterDatabase">'#Proj'!$A$1:$Q$201</definedName>
    <definedName hidden="1" localSheetId="11" name="_xlnm._FilterDatabase">Update!$A$1:$S$216</definedName>
    <definedName hidden="1" localSheetId="1" name="Z_D44DE4F5_8BFC_436A_9DEB_1F541CDC33BA_.wvu.FilterData">Projections!$Y$2:$Y$5</definedName>
  </definedNames>
  <calcPr/>
  <customWorkbookViews>
    <customWorkbookView activeSheetId="0" maximized="1" windowHeight="0" windowWidth="0" guid="{D44DE4F5-8BFC-436A-9DEB-1F541CDC33BA}" name="Filter 1"/>
  </customWorkbookViews>
</workbook>
</file>

<file path=xl/sharedStrings.xml><?xml version="1.0" encoding="utf-8"?>
<sst xmlns="http://schemas.openxmlformats.org/spreadsheetml/2006/main" count="10036" uniqueCount="1735">
  <si>
    <t>Pick</t>
  </si>
  <si>
    <t>Your Pick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</si>
  <si>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</si>
  <si>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</si>
  <si>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</si>
  <si>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</si>
  <si>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</si>
  <si>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</si>
  <si>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</si>
  <si>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</si>
  <si>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</si>
  <si>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</si>
  <si>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</si>
  <si>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</si>
  <si>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</si>
  <si>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</si>
  <si>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Domantas Sabonis</t>
  </si>
  <si>
    <t>Jordan Poole</t>
  </si>
  <si>
    <t>OG Anunoby</t>
  </si>
  <si>
    <t>Markelle Fultz</t>
  </si>
  <si>
    <t>Jayson Tatum</t>
  </si>
  <si>
    <t>Karl-Anthony Towns</t>
  </si>
  <si>
    <t>Josh Giddey</t>
  </si>
  <si>
    <t>Anfernee Simons</t>
  </si>
  <si>
    <t>Pick Fill Direction</t>
  </si>
  <si>
    <t>↓</t>
  </si>
  <si>
    <t>Pick #</t>
  </si>
  <si>
    <t>3RR</t>
  </si>
  <si>
    <t>MAKE A COPY</t>
  </si>
  <si>
    <t>File -&gt; Make a copy</t>
  </si>
  <si>
    <t>Sort by</t>
  </si>
  <si>
    <t>Remove Drafted</t>
  </si>
  <si>
    <t>-1 Cat</t>
  </si>
  <si>
    <t>-2 Cat</t>
  </si>
  <si>
    <t>PTS</t>
  </si>
  <si>
    <t>3P</t>
  </si>
  <si>
    <t>REB</t>
  </si>
  <si>
    <t>AST</t>
  </si>
  <si>
    <t>STL</t>
  </si>
  <si>
    <t xml:space="preserve">BLK </t>
  </si>
  <si>
    <t>FG%</t>
  </si>
  <si>
    <t>FT%</t>
  </si>
  <si>
    <t>TO</t>
  </si>
  <si>
    <t>PG</t>
  </si>
  <si>
    <t>SG</t>
  </si>
  <si>
    <t>SF</t>
  </si>
  <si>
    <t>PF</t>
  </si>
  <si>
    <t>C</t>
  </si>
  <si>
    <t>PuntV</t>
  </si>
  <si>
    <t>TM</t>
  </si>
  <si>
    <t>W19</t>
  </si>
  <si>
    <t>W20</t>
  </si>
  <si>
    <t>W21</t>
  </si>
  <si>
    <t>Total</t>
  </si>
  <si>
    <t>Rank</t>
  </si>
  <si>
    <t>LgRank</t>
  </si>
  <si>
    <t>Player</t>
  </si>
  <si>
    <t>GP</t>
  </si>
  <si>
    <t>Pos</t>
  </si>
  <si>
    <t>LeagV</t>
  </si>
  <si>
    <t>Punt+</t>
  </si>
  <si>
    <t>BLK</t>
  </si>
  <si>
    <t>z p/g</t>
  </si>
  <si>
    <t>z 3/g</t>
  </si>
  <si>
    <t>z r/g</t>
  </si>
  <si>
    <t>z a/g</t>
  </si>
  <si>
    <t>z s/g</t>
  </si>
  <si>
    <t>z b/g</t>
  </si>
  <si>
    <t>z fg%</t>
  </si>
  <si>
    <t>z ft%</t>
  </si>
  <si>
    <t>z to/g</t>
  </si>
  <si>
    <t>Team</t>
  </si>
  <si>
    <t>TOP</t>
  </si>
  <si>
    <t>Don't sort this table!</t>
  </si>
  <si>
    <t>Categories won</t>
  </si>
  <si>
    <t>Categories Won</t>
  </si>
  <si>
    <t>Winrate</t>
  </si>
  <si>
    <t>% Gms/Wk</t>
  </si>
  <si>
    <t>POS</t>
  </si>
  <si>
    <t>Count</t>
  </si>
  <si>
    <t>Average</t>
  </si>
  <si>
    <t>TEAM</t>
  </si>
  <si>
    <t>% Games/Week</t>
  </si>
  <si>
    <t>NAME</t>
  </si>
  <si>
    <t>ZScore</t>
  </si>
  <si>
    <t>Team 8</t>
  </si>
  <si>
    <t>Team 10</t>
  </si>
  <si>
    <t>PLAYERS</t>
  </si>
  <si>
    <t>STATUS</t>
  </si>
  <si>
    <t>RANK</t>
  </si>
  <si>
    <t>PLAYER</t>
  </si>
  <si>
    <t>TYPE</t>
  </si>
  <si>
    <t>ACTION</t>
  </si>
  <si>
    <t>Nikola Jokic
DenC</t>
  </si>
  <si>
    <t/>
  </si>
  <si>
    <t>Giannis AntetokounmpoDTD
MilPF</t>
  </si>
  <si>
    <t>Luka Doncic
DalPG</t>
  </si>
  <si>
    <t>James Harden
BknSG, PG</t>
  </si>
  <si>
    <t>Karl-Anthony Towns
MinC</t>
  </si>
  <si>
    <t>Bradley Beal
WshSG</t>
  </si>
  <si>
    <t>Damian Lillard
PorPG</t>
  </si>
  <si>
    <t>Paul George
LACSF, SG</t>
  </si>
  <si>
    <t>Stephen Curry
GSPG</t>
  </si>
  <si>
    <t>Jayson Tatum
BosPF, SF</t>
  </si>
  <si>
    <t>Kevin Durant
BknSF, PF</t>
  </si>
  <si>
    <t>Nikola Vucevic
ChiC</t>
  </si>
  <si>
    <t>Zion WilliamsonO
NOPF</t>
  </si>
  <si>
    <t>De'Aaron Fox
SacPG</t>
  </si>
  <si>
    <t>Joel Embiid
PhiC</t>
  </si>
  <si>
    <t>LeBron JamesO
LALSF, PG, PF</t>
  </si>
  <si>
    <t>Trae Young
AtlPG</t>
  </si>
  <si>
    <t>Fred VanVleet
TorSG, PG</t>
  </si>
  <si>
    <t>Donovan Mitchell
UtahSG, PG</t>
  </si>
  <si>
    <t>Domantas Sabonis
IndPF</t>
  </si>
  <si>
    <t>Anthony Davis
LALPF</t>
  </si>
  <si>
    <t>Julius Randle
NYPF</t>
  </si>
  <si>
    <t>Rudy Gobert
UtahC</t>
  </si>
  <si>
    <t>LaMelo Ball
ChaPG</t>
  </si>
  <si>
    <t>Jimmy Butler
MiaSF, SG</t>
  </si>
  <si>
    <t>Shai Gilgeous-Alexander
OKCSG, PG</t>
  </si>
  <si>
    <t>Dejounte Murray
SAPG, SG</t>
  </si>
  <si>
    <t>Bam Adebayo
MiaC, PF</t>
  </si>
  <si>
    <t>Jrue Holiday
MilPG, SG</t>
  </si>
  <si>
    <t>Ben Simmons
PhiPG</t>
  </si>
  <si>
    <t>Kyrie Irving
BknPG, SG</t>
  </si>
  <si>
    <t>Michael Porter Jr.
DenSF, PF</t>
  </si>
  <si>
    <t>Chris PaulDTD
PhxPG</t>
  </si>
  <si>
    <t>Russell WestbrookO
LALPG</t>
  </si>
  <si>
    <t>Clint CapelaDTD
AtlC</t>
  </si>
  <si>
    <t>Deandre Ayton
PhxC</t>
  </si>
  <si>
    <t>Tobias Harris
PhiSF, PF</t>
  </si>
  <si>
    <t>Devin Booker
PhxSG, PG</t>
  </si>
  <si>
    <t>Khris Middleton
MilSF, SG</t>
  </si>
  <si>
    <t>Christian Wood
HouC, PF</t>
  </si>
  <si>
    <t>Jaylen Brown
BosSG, SF</t>
  </si>
  <si>
    <t>Lonzo Ball
ChiPG</t>
  </si>
  <si>
    <t>Zach LaVine
ChiSG</t>
  </si>
  <si>
    <t>Ja Morant
MemPG</t>
  </si>
  <si>
    <t>Brandon Ingram
NOSF, PF</t>
  </si>
  <si>
    <t>Caris LeVertO
IndSG, SF</t>
  </si>
  <si>
    <t>CJ McCollum
PorSG</t>
  </si>
  <si>
    <t>DeMar DeRozan
ChiSG, SF</t>
  </si>
  <si>
    <t>Collin Sexton
CleSG, PG</t>
  </si>
  <si>
    <t>Montrezl Harrell
WshC, PF</t>
  </si>
  <si>
    <t>Terry Rozier
ChaPG, SG</t>
  </si>
  <si>
    <t>Jusuf Nurkic
PorC</t>
  </si>
  <si>
    <t>Pascal SiakamO
TorPF</t>
  </si>
  <si>
    <t>Draymond Green
GSPF</t>
  </si>
  <si>
    <t>Jakob Poeltl
SAC</t>
  </si>
  <si>
    <t>Anthony Edwards
MinSG, SF</t>
  </si>
  <si>
    <t>Robert Williams III
BosC, PF</t>
  </si>
  <si>
    <t>Tyrese Haliburton
SacPG, SG</t>
  </si>
  <si>
    <t>Kyle Lowry
MiaPG</t>
  </si>
  <si>
    <t>Jalen Suggs
OrlPG, SG</t>
  </si>
  <si>
    <t>Derrick White
SAPG, SG</t>
  </si>
  <si>
    <t>Cade CunninghamDTD
DetPG</t>
  </si>
  <si>
    <t>Buddy Hield
SacSG, SF</t>
  </si>
  <si>
    <t>Jarrett AllenDTD
CleC</t>
  </si>
  <si>
    <t>Malcolm Brogdon
IndPG, SG</t>
  </si>
  <si>
    <t>Spencer Dinwiddie
WshSG, PG</t>
  </si>
  <si>
    <t>Jonathan IsaacO
OrlPF, SF</t>
  </si>
  <si>
    <t>D'Angelo Russell
MinPG, SG</t>
  </si>
  <si>
    <t>Kemba Walker
NYPG</t>
  </si>
  <si>
    <t>Andrew Wiggins
GSSF, SG</t>
  </si>
  <si>
    <t>OG Anunoby
TorSF, PF</t>
  </si>
  <si>
    <t>John Collins
AtlPF</t>
  </si>
  <si>
    <t>Kristaps Porzingis
DalC, PF</t>
  </si>
  <si>
    <t>Chris Boucher
TorC, PF</t>
  </si>
  <si>
    <t>Jerami Grant
DetSF, PF</t>
  </si>
  <si>
    <t>Isaiah StewartDTD
DetC, PF</t>
  </si>
  <si>
    <t>Richaun Holmes
SacC, PF</t>
  </si>
  <si>
    <t>Darius Garland
ClePG, SG</t>
  </si>
  <si>
    <t>Myles Turner
IndC, PF</t>
  </si>
  <si>
    <t>Nickeil Alexander-Walker
NOSG</t>
  </si>
  <si>
    <t>Jaren Jackson Jr.
MemPF</t>
  </si>
  <si>
    <t>RJ Barrett
NYSF, SG</t>
  </si>
  <si>
    <t>Mike Conley
UtahPG</t>
  </si>
  <si>
    <t>P.J. Washington
ChaPF</t>
  </si>
  <si>
    <t>Jalen Green
HouSG</t>
  </si>
  <si>
    <t>Norman Powell
PorSG, SF</t>
  </si>
  <si>
    <t>Ivica ZubacDTD
LACC</t>
  </si>
  <si>
    <t>Devonte' Graham
NOPG, SG</t>
  </si>
  <si>
    <t>Eric Bledsoe
LACPG, SG</t>
  </si>
  <si>
    <t>Mikal Bridges
PhxSF</t>
  </si>
  <si>
    <t>Wendell Carter Jr.
OrlC</t>
  </si>
  <si>
    <t>Robert Covington
PorPF, SF</t>
  </si>
  <si>
    <t>Thaddeus Young
SAPF, SF, C</t>
  </si>
  <si>
    <t>Marcus Smart
BosSG, PG</t>
  </si>
  <si>
    <t>Dennis Schroder
BosPG</t>
  </si>
  <si>
    <t>Bogdan Bogdanovic
AtlSG, SF</t>
  </si>
  <si>
    <t>Harrison Barnes
SacSF, PF</t>
  </si>
  <si>
    <t>Reggie Jackson
LACPG</t>
  </si>
  <si>
    <t>Keldon Johnson
SASF, PF</t>
  </si>
  <si>
    <t>Tim Hardaway Jr.
DalSG, SF</t>
  </si>
  <si>
    <t>RESEARCH</t>
  </si>
  <si>
    <t>FTA</t>
  </si>
  <si>
    <t>%ROST</t>
  </si>
  <si>
    <t>Scottie Barnes
TorPF, SF</t>
  </si>
  <si>
    <t>Donte DiVincenzoO
MilSG, PG</t>
  </si>
  <si>
    <t>Saddiq Bey
DetSF</t>
  </si>
  <si>
    <t>Joe Ingles
UtahSF, SG, PF</t>
  </si>
  <si>
    <t>Miles Bridges
ChaSF, PF</t>
  </si>
  <si>
    <t>Brook Lopez
MilC</t>
  </si>
  <si>
    <t>Daniel Theis
HouC, PF</t>
  </si>
  <si>
    <t>Mitchell RobinsonO
NYC</t>
  </si>
  <si>
    <t>Jordan Clarkson
UtahSG</t>
  </si>
  <si>
    <t>Killian Hayes
DetPG</t>
  </si>
  <si>
    <t>Marvin Bagley III
SacPF</t>
  </si>
  <si>
    <t>Gordon Hayward
ChaSF</t>
  </si>
  <si>
    <t>Evan Fournier
NYSG, SF</t>
  </si>
  <si>
    <t>Brandon Clarke
MemPF, C</t>
  </si>
  <si>
    <t>Jonas Valanciunas
NOC</t>
  </si>
  <si>
    <t>Hassan Whiteside
UtahC</t>
  </si>
  <si>
    <t>Joe Harris
BknSG, SF</t>
  </si>
  <si>
    <t>Malik Beasley
MinSG, SF</t>
  </si>
  <si>
    <t>Kyle Kuzma
WshPF, SF</t>
  </si>
  <si>
    <t>T.J. McConnell
IndPG</t>
  </si>
  <si>
    <t>Lauri Markkanen
ClePF</t>
  </si>
  <si>
    <t>Thomas BryantO
WshC</t>
  </si>
  <si>
    <t>T.J. WarrenO
IndSF</t>
  </si>
  <si>
    <t>Bojan BogdanovicDTD
UtahPF, SF</t>
  </si>
  <si>
    <t>Steven Adams
MemC</t>
  </si>
  <si>
    <t>Bobby Portis
MilPF</t>
  </si>
  <si>
    <t>Mason Plumlee
ChaC</t>
  </si>
  <si>
    <t>Ricky Rubio
ClePG</t>
  </si>
  <si>
    <t>Klay ThompsonO
GSSG</t>
  </si>
  <si>
    <t>Kelly Olynyk
DetC, PF</t>
  </si>
  <si>
    <t>Monte Morris
DenPG</t>
  </si>
  <si>
    <t>John WallO
HouPG</t>
  </si>
  <si>
    <t>Kyle Anderson
MemSF, PF</t>
  </si>
  <si>
    <t>Kevin Porter Jr.
HouSG, PG</t>
  </si>
  <si>
    <t>Alperen Sengun
HouC</t>
  </si>
  <si>
    <t>Tyler Herro
MiaSG, PG</t>
  </si>
  <si>
    <t>Isaiah Roby
OKCPF</t>
  </si>
  <si>
    <t>Andre Drummond
PhiC</t>
  </si>
  <si>
    <t>Isaac OkoroDTD
CleSF</t>
  </si>
  <si>
    <t>Derrick Rose
NYPG</t>
  </si>
  <si>
    <t>Aaron Gordon
DenPF</t>
  </si>
  <si>
    <t>Patrick WilliamsO
ChiSF, PF</t>
  </si>
  <si>
    <t>Markelle FultzO
OrlPG</t>
  </si>
  <si>
    <t>Darius Bazley
OKCSF, PF</t>
  </si>
  <si>
    <t>Otto Porter Jr.
GSSF</t>
  </si>
  <si>
    <t>Serge IbakaDTD
LACC, PF</t>
  </si>
  <si>
    <t>Al Horford
BosC, PF</t>
  </si>
  <si>
    <t>Kelly Oubre Jr.
ChaPF, SF</t>
  </si>
  <si>
    <t>Dillon Brooks
MemSG, SF</t>
  </si>
  <si>
    <t>Rui HachimuraDTD
WshPF, SF</t>
  </si>
  <si>
    <t>Seth Curry
PhiSG, PG</t>
  </si>
  <si>
    <t>Marcus Morris Sr.
LACPF, SF</t>
  </si>
  <si>
    <t>Doug McDermott
SASF, PF</t>
  </si>
  <si>
    <t>Nerlens Noel
NYC</t>
  </si>
  <si>
    <t>LaMarcus Aldridge
BknPF</t>
  </si>
  <si>
    <t>Moses Brown
DalC</t>
  </si>
  <si>
    <t>Cole Anthony
OrlPG</t>
  </si>
  <si>
    <t>Duncan Robinson
MiaSG, SF</t>
  </si>
  <si>
    <t>Enes Kanter
BosC</t>
  </si>
  <si>
    <t>Talen Horton-Tucker
LALSG, SF</t>
  </si>
  <si>
    <t>Jalen Brunson
DalPG</t>
  </si>
  <si>
    <t>Jae Crowder
PhxPF, SF</t>
  </si>
  <si>
    <t>Danny Green
PhiSG, SF</t>
  </si>
  <si>
    <t>Terrence Ross
OrlSG, SF</t>
  </si>
  <si>
    <t>James WisemanO
GSC</t>
  </si>
  <si>
    <t>Daniel Gafford
WshC, PF</t>
  </si>
  <si>
    <t>Goran Dragic
TorPG</t>
  </si>
  <si>
    <t>Kevin Huerter
AtlSG, SF</t>
  </si>
  <si>
    <t>Alec Burks
NYSG</t>
  </si>
  <si>
    <t>Aleksej Pokusevski
OKCPF</t>
  </si>
  <si>
    <t>Evan Mobley
ClePF, C</t>
  </si>
  <si>
    <t>Dorian Finney-Smith
DalSF, PF</t>
  </si>
  <si>
    <t>Chuma OkekeDTD
OrlPF</t>
  </si>
  <si>
    <t>Khem Birch
TorC</t>
  </si>
  <si>
    <t>Terance Mann
LACSF</t>
  </si>
  <si>
    <t>Larry Nance Jr.
PorPF</t>
  </si>
  <si>
    <t>Franz Wagner
OrlSF</t>
  </si>
  <si>
    <t>Coby WhiteO
ChiPG</t>
  </si>
  <si>
    <t>Blake Griffin
BknPF</t>
  </si>
  <si>
    <t>Rudy GayO
UtahPF</t>
  </si>
  <si>
    <t>Josh Hart
NOSG, SF</t>
  </si>
  <si>
    <t>Kenrich Williams
OKCSF</t>
  </si>
  <si>
    <t>Terence Davis
SacSG</t>
  </si>
  <si>
    <t>Tomas Satoransky
NOPG, SG</t>
  </si>
  <si>
    <t>Kendrick Nunn
LALSG</t>
  </si>
  <si>
    <t>Luguentz Dort
OKCSG, SF</t>
  </si>
  <si>
    <t>Shake Milton
PhiPG, SG</t>
  </si>
  <si>
    <t>Nicolas Batum
LACSF, SG</t>
  </si>
  <si>
    <t>Jaxson Hayes
NOC</t>
  </si>
  <si>
    <t>Matisse Thybulle
PhiSF, SG</t>
  </si>
  <si>
    <t>Royce O'Neale
UtahSF, PF</t>
  </si>
  <si>
    <t>Devin Vassell
SASG, SF</t>
  </si>
  <si>
    <t>Victor OladipoO
MiaSG</t>
  </si>
  <si>
    <t>Davis Bertans
WshPF</t>
  </si>
  <si>
    <t>Kevin Love
ClePF</t>
  </si>
  <si>
    <t>Jeremy Lamb
IndSG, SF</t>
  </si>
  <si>
    <t>Bruce Brown
BknSG</t>
  </si>
  <si>
    <t>Derrick Favors
OKCC, PF</t>
  </si>
  <si>
    <t>Ish Smith
ChaPG</t>
  </si>
  <si>
    <t>Cedi Osman
CleSF</t>
  </si>
  <si>
    <t>Cameron Johnson
PhxSF</t>
  </si>
  <si>
    <t>Tyus Jones
MemPG</t>
  </si>
  <si>
    <t>Gary Trent Jr.
TorSG, SF</t>
  </si>
  <si>
    <t>Reggie BullockO
DalSF, SG</t>
  </si>
  <si>
    <t>Willie Cauley-Stein
DalC</t>
  </si>
  <si>
    <t>Hamidou Diallo
DetSG</t>
  </si>
  <si>
    <t>Carmelo AnthonyO
LALPF, SF</t>
  </si>
  <si>
    <t>Naz Reid
MinC</t>
  </si>
  <si>
    <t>De'Anthony Melton
MemPG</t>
  </si>
  <si>
    <t>Nicolas Claxton
BknC, PF</t>
  </si>
  <si>
    <t>De'Andre Hunter
AtlSF, PF</t>
  </si>
  <si>
    <t>Josh Jackson
DetSF, SG</t>
  </si>
  <si>
    <t>Marc Gasol
LALC</t>
  </si>
  <si>
    <t>Bryn Forbes
SASG, PG</t>
  </si>
  <si>
    <t>Lou Williams
AtlSG</t>
  </si>
  <si>
    <t>Josh Richardson
BosSG, SF</t>
  </si>
  <si>
    <t>Paul Millsap
BknPF</t>
  </si>
  <si>
    <t>Maxi Kleber
DalPF</t>
  </si>
  <si>
    <t>Danilo Gallinari
AtlPF, SF</t>
  </si>
  <si>
    <t>Dwight Howard
LALC</t>
  </si>
  <si>
    <t>Kentavious Caldwell-Pope
WshSG, SF</t>
  </si>
  <si>
    <t>Dwight Powell
DalC</t>
  </si>
  <si>
    <t>Onyeka OkongwuO
AtlC</t>
  </si>
  <si>
    <t>Justin Holiday
IndSG, SF</t>
  </si>
  <si>
    <t>Taurean PrinceO
MinSF, PF</t>
  </si>
  <si>
    <t>Patrick BeverleyO
MinPG</t>
  </si>
  <si>
    <t>Rajon Rondo
LALPG</t>
  </si>
  <si>
    <t>Tristan Thompson
SacC, PF</t>
  </si>
  <si>
    <t>Jeff Green
DenPF</t>
  </si>
  <si>
    <t>Cory Joseph
DetPG</t>
  </si>
  <si>
    <t>Patty Mills
BknPG</t>
  </si>
  <si>
    <t>Kira Lewis Jr.
NOPG</t>
  </si>
  <si>
    <t>James Bouknight
ChaSG</t>
  </si>
  <si>
    <t>Saben Lee
DetPG</t>
  </si>
  <si>
    <t>Delon Wright
AtlSG, PG</t>
  </si>
  <si>
    <t>Pat Connaughton
MilSG, SF</t>
  </si>
  <si>
    <t>Anfernee Simons
PorSG, PG</t>
  </si>
  <si>
    <t>George Hill
MilPG, SG</t>
  </si>
  <si>
    <t>Lonnie Walker IV
SASF, SG</t>
  </si>
  <si>
    <t>D.J. Augustin
HouPG</t>
  </si>
  <si>
    <t>Mo Bamba
OrlC</t>
  </si>
  <si>
    <t>JaMychal Green
DenPF</t>
  </si>
  <si>
    <t>Danuel House Jr.
HouSF, SG</t>
  </si>
  <si>
    <t>Cam Reddish
AtlSF, SG</t>
  </si>
  <si>
    <t>Landry Shamet
PhxSG</t>
  </si>
  <si>
    <t>Deni AvdijaDTD
WshSF</t>
  </si>
  <si>
    <t>Willy Hernangomez
NOC</t>
  </si>
  <si>
    <t>Gorgui Dieng
AtlC, PF</t>
  </si>
  <si>
    <t>Garrett Temple
NOSG, SF</t>
  </si>
  <si>
    <t>Eric Gordon
HouSG</t>
  </si>
  <si>
    <t>Kent Bazemore
LALSG, SF</t>
  </si>
  <si>
    <t>Alex Caruso
ChiPG, SG</t>
  </si>
  <si>
    <t>Grayson Allen
MilSG</t>
  </si>
  <si>
    <t>Elfrid Payton
PhxPG</t>
  </si>
  <si>
    <t>Frank Kaminsky
PhxC, PF</t>
  </si>
  <si>
    <t>Gary Harris
OrlSG</t>
  </si>
  <si>
    <t>Furkan Korkmaz
PhiSG</t>
  </si>
  <si>
    <t>Austin Rivers
DenSG</t>
  </si>
  <si>
    <t>Jamal MurrayO
DenPG, SG</t>
  </si>
  <si>
    <t>Trevor ArizaO
LALSF</t>
  </si>
  <si>
    <t>Luke Kennard
LACSG</t>
  </si>
  <si>
    <t>Wayne Ellington
LALSG</t>
  </si>
  <si>
    <t>Kenyon Martin Jr.
HouSF</t>
  </si>
  <si>
    <t>Justise Winslow
LACSF</t>
  </si>
  <si>
    <t>JaVale McGee
PhxC</t>
  </si>
  <si>
    <t>Jordan Poole
GSSG, PG</t>
  </si>
  <si>
    <t>Juancho HernangomezDTD
BosPF, SF</t>
  </si>
  <si>
    <t>PJ Dozier
DenPG</t>
  </si>
  <si>
    <t>Torrey Craig
IndSF</t>
  </si>
  <si>
    <t>DeAndre Jordan
LALC</t>
  </si>
  <si>
    <t>Eric Paschall
UtahPF</t>
  </si>
  <si>
    <t>Aaron Holiday
WshPG, SG</t>
  </si>
  <si>
    <t>Raul Neto
WshPG</t>
  </si>
  <si>
    <t>Sterling Brown
DalSG, SF</t>
  </si>
  <si>
    <t>Moritz Wagner
OrlC, PF</t>
  </si>
  <si>
    <t>Jalen McDaniels
ChaPF</t>
  </si>
  <si>
    <t>Dwayne Bacon
NYSG</t>
  </si>
  <si>
    <t>Damion Lee
GSSF, SG</t>
  </si>
  <si>
    <t>Aaron Nesmith
BosSF</t>
  </si>
  <si>
    <t>Juan Toscano-Anderson
GSPF, SF</t>
  </si>
  <si>
    <t>Josh Okogie
MinSG, SF</t>
  </si>
  <si>
    <t>Andre Iguodala
GSSF, SG</t>
  </si>
  <si>
    <t>Kevon Looney
GSPF</t>
  </si>
  <si>
    <t>Mike Muscala
OKCC, PF</t>
  </si>
  <si>
    <t>DeMarcus Cousins
LACC</t>
  </si>
  <si>
    <t>Jarrett CulverDTD
MemSG, SF</t>
  </si>
  <si>
    <t>Bismack Biyombo
ChaC</t>
  </si>
  <si>
    <t>Maurice Harkless
SacSF</t>
  </si>
  <si>
    <t>James Johnson
BknPF, SF</t>
  </si>
  <si>
    <t>Cody Martin
ChaSF</t>
  </si>
  <si>
    <t>Michael Carter-WilliamsO
OrlPG</t>
  </si>
  <si>
    <t>Al-Farouq Aminu
SAPF</t>
  </si>
  <si>
    <t>D.J. Wilson
OKCPF</t>
  </si>
  <si>
    <t>Trey Burke
DalPG, SG</t>
  </si>
  <si>
    <t>Zach CollinsO
SAC</t>
  </si>
  <si>
    <t>Edmond SumnerO
IndSG</t>
  </si>
  <si>
    <t>Georges Niang
PhiPF</t>
  </si>
  <si>
    <t>Aron Baynes
TorC</t>
  </si>
  <si>
    <t>Brad Wanamaker
ChaPG</t>
  </si>
  <si>
    <t>Robin Lopez
OrlC</t>
  </si>
  <si>
    <t>STATS</t>
  </si>
  <si>
    <t>MIN</t>
  </si>
  <si>
    <t>FGM</t>
  </si>
  <si>
    <t>FGA</t>
  </si>
  <si>
    <t>FTM</t>
  </si>
  <si>
    <t>FANTASY PTS</t>
  </si>
  <si>
    <t>TOT</t>
  </si>
  <si>
    <t>AVG</t>
  </si>
  <si>
    <t>avg</t>
  </si>
  <si>
    <t>std</t>
  </si>
  <si>
    <t>fga/g</t>
  </si>
  <si>
    <t>fta/g</t>
  </si>
  <si>
    <t>min 1</t>
  </si>
  <si>
    <t>min 2</t>
  </si>
  <si>
    <t>R#</t>
  </si>
  <si>
    <t>MPG</t>
  </si>
  <si>
    <t>TREB</t>
  </si>
  <si>
    <t>TOTAL</t>
  </si>
  <si>
    <t>Nikola Jokic</t>
  </si>
  <si>
    <t>DEN</t>
  </si>
  <si>
    <t>0.624(9.2/14.8)</t>
  </si>
  <si>
    <t>0.821(5.0/6.1)</t>
  </si>
  <si>
    <t>Joel Embiid</t>
  </si>
  <si>
    <t>PHI</t>
  </si>
  <si>
    <t>0.537(10.8/20.0)</t>
  </si>
  <si>
    <t>0.836(9.9/11.9)</t>
  </si>
  <si>
    <t>Shai Gilgeous-Alexander</t>
  </si>
  <si>
    <t>PG,SG</t>
  </si>
  <si>
    <t>OKC</t>
  </si>
  <si>
    <t>0.486(9.7/20.0)</t>
  </si>
  <si>
    <t>0.884(9.2/10.4)</t>
  </si>
  <si>
    <t>Tyrese Haliburton</t>
  </si>
  <si>
    <t>IND</t>
  </si>
  <si>
    <t>0.488(9.0/18.4)</t>
  </si>
  <si>
    <t>0.857(2.6/3.0)</t>
  </si>
  <si>
    <t>SF,PF</t>
  </si>
  <si>
    <t>BOS</t>
  </si>
  <si>
    <t>0.466(9.8/21.0)</t>
  </si>
  <si>
    <t>0.858(6.6/7.7)</t>
  </si>
  <si>
    <t>Luka Doncic</t>
  </si>
  <si>
    <t>DAL</t>
  </si>
  <si>
    <t>0.492(11.0/22.4)</t>
  </si>
  <si>
    <t>0.761(7.8/10.2)</t>
  </si>
  <si>
    <t>Stephen Curry</t>
  </si>
  <si>
    <t>GS</t>
  </si>
  <si>
    <t>0.476(9.4/19.8)</t>
  </si>
  <si>
    <t>0.914(4.5/4.9)</t>
  </si>
  <si>
    <t>Kevin Durant</t>
  </si>
  <si>
    <t>PHO</t>
  </si>
  <si>
    <t>0.522(8.8/16.8)</t>
  </si>
  <si>
    <t>0.900(5.9/6.6)</t>
  </si>
  <si>
    <t>Damian Lillard</t>
  </si>
  <si>
    <t>MIL</t>
  </si>
  <si>
    <t>0.461(8.2/17.8)</t>
  </si>
  <si>
    <t>0.903(7.1/7.8)</t>
  </si>
  <si>
    <t>Kyrie Irving</t>
  </si>
  <si>
    <t>0.486(9.8/20.1)</t>
  </si>
  <si>
    <t>0.908(4.0/4.4)</t>
  </si>
  <si>
    <t>Anthony Davis</t>
  </si>
  <si>
    <t>PF,C</t>
  </si>
  <si>
    <t>LAL</t>
  </si>
  <si>
    <t>0.550(9.3/17.0)</t>
  </si>
  <si>
    <t>0.759(5.3/7.0)</t>
  </si>
  <si>
    <t>LaMelo Ball</t>
  </si>
  <si>
    <t>CHA</t>
  </si>
  <si>
    <t>0.428(8.3/19.4)</t>
  </si>
  <si>
    <t>0.860(3.0/3.5)</t>
  </si>
  <si>
    <t>Donovan Mitchell</t>
  </si>
  <si>
    <t>CLE</t>
  </si>
  <si>
    <t>0.477(9.8/20.5)</t>
  </si>
  <si>
    <t>0.860(4.5/5.2)</t>
  </si>
  <si>
    <t>Devin Booker</t>
  </si>
  <si>
    <t>SG,SF</t>
  </si>
  <si>
    <t>0.487(9.8/20.1)</t>
  </si>
  <si>
    <t>0.861(5.3/6.1)</t>
  </si>
  <si>
    <t>Trae Young</t>
  </si>
  <si>
    <t>ATL</t>
  </si>
  <si>
    <t>0.434(8.9/20.4)</t>
  </si>
  <si>
    <t>0.895(7.2/8.1)</t>
  </si>
  <si>
    <t>SAC</t>
  </si>
  <si>
    <t>0.608(7.4/12.2)</t>
  </si>
  <si>
    <t>0.743(4.1/5.5)</t>
  </si>
  <si>
    <t>Jaren Jackson Jr.</t>
  </si>
  <si>
    <t>MEM</t>
  </si>
  <si>
    <t>0.479(7.0/14.6)</t>
  </si>
  <si>
    <t>0.795(4.0/5.0)</t>
  </si>
  <si>
    <t>James Harden</t>
  </si>
  <si>
    <t>0.424(5.9/13.8)</t>
  </si>
  <si>
    <t>0.862(5.9/6.8)</t>
  </si>
  <si>
    <t>Jimmy Butler</t>
  </si>
  <si>
    <t>MIA</t>
  </si>
  <si>
    <t>0.511(7.0/13.6)</t>
  </si>
  <si>
    <t>0.859(6.9/8.0)</t>
  </si>
  <si>
    <t>Kawhi Leonard</t>
  </si>
  <si>
    <t>LAC</t>
  </si>
  <si>
    <t>0.504(8.4/16.7)</t>
  </si>
  <si>
    <t>0.863(4.4/5.1)</t>
  </si>
  <si>
    <t>Giannis Antetokounmpo</t>
  </si>
  <si>
    <t>0.565(9.7/17.1)</t>
  </si>
  <si>
    <t>0.683(8.0/11.8)</t>
  </si>
  <si>
    <t>0.498(7.5/15.0)</t>
  </si>
  <si>
    <t>0.849(4.4/5.2)</t>
  </si>
  <si>
    <t>Anthony Edwards</t>
  </si>
  <si>
    <t>0.464(9.2/19.9)</t>
  </si>
  <si>
    <t>0.769(4.3/5.6)</t>
  </si>
  <si>
    <t>Mikal Bridges</t>
  </si>
  <si>
    <t>BKN</t>
  </si>
  <si>
    <t>0.475(9.1/19.2)</t>
  </si>
  <si>
    <t>0.880(4.7/5.4)</t>
  </si>
  <si>
    <t>Lauri Markkanen</t>
  </si>
  <si>
    <t>UTA</t>
  </si>
  <si>
    <t>0.489(8.0/16.4)</t>
  </si>
  <si>
    <t>0.870(5.0/5.7)</t>
  </si>
  <si>
    <t>Desmond Bane</t>
  </si>
  <si>
    <t>0.470(8.2/17.6)</t>
  </si>
  <si>
    <t>0.890(2.8/3.1)</t>
  </si>
  <si>
    <t>Paul George</t>
  </si>
  <si>
    <t>SG,SF,PF</t>
  </si>
  <si>
    <t>0.443(8.0/18.1)</t>
  </si>
  <si>
    <t>0.867(4.2/4.9)</t>
  </si>
  <si>
    <t>Bam Adebayo</t>
  </si>
  <si>
    <t>0.536(7.9/14.7)</t>
  </si>
  <si>
    <t>0.803(4.5/5.6)</t>
  </si>
  <si>
    <t>LeBron James</t>
  </si>
  <si>
    <t>0.501(10.1/20.1)</t>
  </si>
  <si>
    <t>0.761(4.2/5.5)</t>
  </si>
  <si>
    <t>Kristaps Porzingis</t>
  </si>
  <si>
    <t>0.478(6.5/13.5)</t>
  </si>
  <si>
    <t>0.852(4.0/4.7)</t>
  </si>
  <si>
    <t>Myles Turner</t>
  </si>
  <si>
    <t>0.534(5.9/11.0)</t>
  </si>
  <si>
    <t>0.774(2.9/3.7)</t>
  </si>
  <si>
    <t>Darius Garland</t>
  </si>
  <si>
    <t>0.462(7.8/17.0)</t>
  </si>
  <si>
    <t>0.877(3.6/4.1)</t>
  </si>
  <si>
    <t>DeMar DeRozan</t>
  </si>
  <si>
    <t>CHI</t>
  </si>
  <si>
    <t>0.504(9.1/18.0)</t>
  </si>
  <si>
    <t>0.870(6.0/6.9)</t>
  </si>
  <si>
    <t>Fred VanVleet</t>
  </si>
  <si>
    <t>HOU</t>
  </si>
  <si>
    <t>0.400(6.1/15.3)</t>
  </si>
  <si>
    <t>0.888(3.1/3.5)</t>
  </si>
  <si>
    <t>Dejounte Murray</t>
  </si>
  <si>
    <t>0.463(8.5/18.3)</t>
  </si>
  <si>
    <t>0.822(2.1/2.6)</t>
  </si>
  <si>
    <t>Jaylen Brown</t>
  </si>
  <si>
    <t>0.494(10.0/20.2)</t>
  </si>
  <si>
    <t>0.769(3.9/5.1)</t>
  </si>
  <si>
    <t>Jalen Brunson</t>
  </si>
  <si>
    <t>NY</t>
  </si>
  <si>
    <t>0.492(9.0/18.3)</t>
  </si>
  <si>
    <t>0.832(4.2/5.0)</t>
  </si>
  <si>
    <t>Zach LaVine</t>
  </si>
  <si>
    <t>0.481(8.7/18.2)</t>
  </si>
  <si>
    <t>0.850(4.8/5.7)</t>
  </si>
  <si>
    <t>Cade Cunningham</t>
  </si>
  <si>
    <t>DET</t>
  </si>
  <si>
    <t>0.422(7.9/18.8)</t>
  </si>
  <si>
    <t>0.838(3.2/3.8)</t>
  </si>
  <si>
    <t>De'Aaron Fox</t>
  </si>
  <si>
    <t>0.496(9.4/18.9)</t>
  </si>
  <si>
    <t>0.774(4.7/6.1)</t>
  </si>
  <si>
    <t>Jamal Murray</t>
  </si>
  <si>
    <t>0.466(7.8/16.6)</t>
  </si>
  <si>
    <t>0.833(2.8/3.4)</t>
  </si>
  <si>
    <t>Evan Mobley</t>
  </si>
  <si>
    <t>0.551(7.1/12.9)</t>
  </si>
  <si>
    <t>0.682(2.7/4.0)</t>
  </si>
  <si>
    <t>Victor Wembanyama</t>
  </si>
  <si>
    <t>SA</t>
  </si>
  <si>
    <t>0.454(6.4/14.0)</t>
  </si>
  <si>
    <t>0.779(3.6/4.6)</t>
  </si>
  <si>
    <t>Walker Kessler</t>
  </si>
  <si>
    <t>0.720(4.9/6.8)</t>
  </si>
  <si>
    <t>0.515(1.4/2.6)</t>
  </si>
  <si>
    <t>Tyrese Maxey</t>
  </si>
  <si>
    <t>0.485(7.8/16.0)</t>
  </si>
  <si>
    <t>0.857(3.1/3.6)</t>
  </si>
  <si>
    <t>Nikola Vucevic</t>
  </si>
  <si>
    <t>0.490(7.2/14.8)</t>
  </si>
  <si>
    <t>0.806(1.5/1.8)</t>
  </si>
  <si>
    <t>Nicolas Claxton</t>
  </si>
  <si>
    <t>0.657(5.1/7.8)</t>
  </si>
  <si>
    <t>0.573(1.7/3.0)</t>
  </si>
  <si>
    <t>Deandre Ayton</t>
  </si>
  <si>
    <t>POR</t>
  </si>
  <si>
    <t>0.582(8.3/14.2)</t>
  </si>
  <si>
    <t>0.756(2.2/3.0)</t>
  </si>
  <si>
    <t>Pascal Siakam</t>
  </si>
  <si>
    <t>TOR</t>
  </si>
  <si>
    <t>0.478(8.2/17.2)</t>
  </si>
  <si>
    <t>0.770(4.5/5.8)</t>
  </si>
  <si>
    <t>WAS</t>
  </si>
  <si>
    <t>0.439(7.3/16.7)</t>
  </si>
  <si>
    <t>0.891(4.3/4.9)</t>
  </si>
  <si>
    <t>Jrue Holiday</t>
  </si>
  <si>
    <t>0.479(6.0/12.6)</t>
  </si>
  <si>
    <t>0.808(2.2/2.7)</t>
  </si>
  <si>
    <t>Jarrett Allen</t>
  </si>
  <si>
    <t>0.659(5.8/8.8)</t>
  </si>
  <si>
    <t>0.719(2.5/3.4)</t>
  </si>
  <si>
    <t>Chet Holmgren</t>
  </si>
  <si>
    <t>0.480(5.0/10.4)</t>
  </si>
  <si>
    <t>0.752(3.0/4.0)</t>
  </si>
  <si>
    <t>Brandon Ingram</t>
  </si>
  <si>
    <t>NO</t>
  </si>
  <si>
    <t>0.472(8.3/17.7)</t>
  </si>
  <si>
    <t>0.851(4.9/5.8)</t>
  </si>
  <si>
    <t>Zion Williamson</t>
  </si>
  <si>
    <t>0.606(9.6/15.9)</t>
  </si>
  <si>
    <t>0.705(5.9/8.4)</t>
  </si>
  <si>
    <t>Ja Morant</t>
  </si>
  <si>
    <t>0.474(9.6/20.2)</t>
  </si>
  <si>
    <t>0.754(5.8/7.7)</t>
  </si>
  <si>
    <t>Bradley Beal</t>
  </si>
  <si>
    <t>0.478(7.6/16.0)</t>
  </si>
  <si>
    <t>0.838(3.9/4.7)</t>
  </si>
  <si>
    <t>Alperen Sengün</t>
  </si>
  <si>
    <t>0.545(6.0/11.0)</t>
  </si>
  <si>
    <t>0.720(3.1/4.3)</t>
  </si>
  <si>
    <t>Franz Wagner</t>
  </si>
  <si>
    <t>ORL</t>
  </si>
  <si>
    <t>0.486(6.8/13.9)</t>
  </si>
  <si>
    <t>0.860(3.6/4.2)</t>
  </si>
  <si>
    <t>Cameron Johnson</t>
  </si>
  <si>
    <t>0.464(5.5/11.9)</t>
  </si>
  <si>
    <t>0.849(2.2/2.6)</t>
  </si>
  <si>
    <t>0.445(7.5/16.9)</t>
  </si>
  <si>
    <t>0.891(2.9/3.2)</t>
  </si>
  <si>
    <t>Daniel Gafford</t>
  </si>
  <si>
    <t>0.712(5.3/7.4)</t>
  </si>
  <si>
    <t>0.688(2.2/3.1)</t>
  </si>
  <si>
    <t>Devin Vassell</t>
  </si>
  <si>
    <t>0.433(6.5/15.1)</t>
  </si>
  <si>
    <t>0.823(2.4/2.9)</t>
  </si>
  <si>
    <t>Brook Lopez</t>
  </si>
  <si>
    <t>0.517(5.2/10.0)</t>
  </si>
  <si>
    <t>0.792(1.6/2.0)</t>
  </si>
  <si>
    <t>Onyeka Okongwu</t>
  </si>
  <si>
    <t>0.655(4.4/6.7)</t>
  </si>
  <si>
    <t>0.763(2.2/2.8)</t>
  </si>
  <si>
    <t>Jalen Williams</t>
  </si>
  <si>
    <t>0.521(5.9/11.2)</t>
  </si>
  <si>
    <t>0.811(2.2/2.7)</t>
  </si>
  <si>
    <t>0.461(6.0/13.1)</t>
  </si>
  <si>
    <t>0.804(1.9/2.4)</t>
  </si>
  <si>
    <t>Mark Williams</t>
  </si>
  <si>
    <t>0.637(5.2/8.2)</t>
  </si>
  <si>
    <t>0.692(2.2/3.2)</t>
  </si>
  <si>
    <t>Khris Middleton</t>
  </si>
  <si>
    <t>0.447(6.3/14.0)</t>
  </si>
  <si>
    <t>0.897(3.1/3.4)</t>
  </si>
  <si>
    <t>Julius Randle</t>
  </si>
  <si>
    <t>0.452(7.9/17.5)</t>
  </si>
  <si>
    <t>0.756(4.8/6.3)</t>
  </si>
  <si>
    <t>Josh Hart</t>
  </si>
  <si>
    <t>0.516(4.3/8.3)</t>
  </si>
  <si>
    <t>0.753(2.2/3.0)</t>
  </si>
  <si>
    <t>Tyler Herro</t>
  </si>
  <si>
    <t>0.443(7.6/17.1)</t>
  </si>
  <si>
    <t>0.896(2.8/3.1)</t>
  </si>
  <si>
    <t>Jerami Grant</t>
  </si>
  <si>
    <t>0.466(6.7/14.3)</t>
  </si>
  <si>
    <t>0.817(4.2/5.2)</t>
  </si>
  <si>
    <t>0.506(6.0/11.9)</t>
  </si>
  <si>
    <t>0.790(1.9/2.4)</t>
  </si>
  <si>
    <t>Terry Rozier</t>
  </si>
  <si>
    <t>0.430(7.3/16.9)</t>
  </si>
  <si>
    <t>0.827(2.4/2.8)</t>
  </si>
  <si>
    <t>Rudy Gobert</t>
  </si>
  <si>
    <t>0.685(5.0/7.2)</t>
  </si>
  <si>
    <t>0.669(3.6/5.4)</t>
  </si>
  <si>
    <t>Miles Bridges</t>
  </si>
  <si>
    <t>0.483(6.4/13.1)</t>
  </si>
  <si>
    <t>0.801(2.9/3.6)</t>
  </si>
  <si>
    <t>Scottie Barnes</t>
  </si>
  <si>
    <t>0.473(6.0/12.6)</t>
  </si>
  <si>
    <t>0.776(2.3/2.9)</t>
  </si>
  <si>
    <t>0.478(7.5/15.7)</t>
  </si>
  <si>
    <t>0.723(1.3/1.8)</t>
  </si>
  <si>
    <t>Klay Thompson</t>
  </si>
  <si>
    <t>0.434(7.7/17.8)</t>
  </si>
  <si>
    <t>0.888(1.6/1.8)</t>
  </si>
  <si>
    <t>Tyus Jones</t>
  </si>
  <si>
    <t>0.443(5.2/11.7)</t>
  </si>
  <si>
    <t>0.805(1.2/1.5)</t>
  </si>
  <si>
    <t>Paul Reed</t>
  </si>
  <si>
    <t>0.566(4.5/8.0)</t>
  </si>
  <si>
    <t>0.710(1.1/1.6)</t>
  </si>
  <si>
    <t>Jakob Poeltl</t>
  </si>
  <si>
    <t>0.624(5.8/9.3)</t>
  </si>
  <si>
    <t>0.550(1.5/2.8)</t>
  </si>
  <si>
    <t>D'Angelo Russell</t>
  </si>
  <si>
    <t>0.440(5.9/13.3)</t>
  </si>
  <si>
    <t>0.826(2.6/3.2)</t>
  </si>
  <si>
    <t>Kyle Kuzma</t>
  </si>
  <si>
    <t>0.445(8.3/18.6)</t>
  </si>
  <si>
    <t>0.723(2.9/4.0)</t>
  </si>
  <si>
    <t>Clint Capela</t>
  </si>
  <si>
    <t>0.631(5.1/8.0)</t>
  </si>
  <si>
    <t>0.573(1.2/2.1)</t>
  </si>
  <si>
    <t>Austin Reaves</t>
  </si>
  <si>
    <t>0.501(5.0/10.0)</t>
  </si>
  <si>
    <t>0.856(3.9/4.5)</t>
  </si>
  <si>
    <t>CJ McCollum</t>
  </si>
  <si>
    <t>0.448(7.8/17.5)</t>
  </si>
  <si>
    <t>0.732(2.1/2.8)</t>
  </si>
  <si>
    <t>Zach Collins</t>
  </si>
  <si>
    <t>0.507(5.0/9.9)</t>
  </si>
  <si>
    <t>0.772(2.2/2.9)</t>
  </si>
  <si>
    <t>John Collins</t>
  </si>
  <si>
    <t>0.517(5.6/10.8)</t>
  </si>
  <si>
    <t>0.798(2.2/2.8)</t>
  </si>
  <si>
    <t>Chris Paul</t>
  </si>
  <si>
    <t>0.438(4.1/9.4)</t>
  </si>
  <si>
    <t>0.835(2.0/2.4)</t>
  </si>
  <si>
    <t>De'Anthony Melton</t>
  </si>
  <si>
    <t>0.427(4.0/9.4)</t>
  </si>
  <si>
    <t>0.781(1.1/1.5)</t>
  </si>
  <si>
    <t>Tobias Harris</t>
  </si>
  <si>
    <t>0.490(5.9/12.1)</t>
  </si>
  <si>
    <t>0.856(1.8/2.2)</t>
  </si>
  <si>
    <t>Derrick White</t>
  </si>
  <si>
    <t>0.451(4.5/9.9)</t>
  </si>
  <si>
    <t>0.870(2.4/2.8)</t>
  </si>
  <si>
    <t>Jonas Valanciunas</t>
  </si>
  <si>
    <t>0.546(5.7/10.5)</t>
  </si>
  <si>
    <t>0.820(2.1/2.5)</t>
  </si>
  <si>
    <t>Robert Williams III</t>
  </si>
  <si>
    <t>0.708(3.5/4.9)</t>
  </si>
  <si>
    <t>0.649(0.7/1.1)</t>
  </si>
  <si>
    <t>Trey Murphy III</t>
  </si>
  <si>
    <t>0.461(4.6/9.9)</t>
  </si>
  <si>
    <t>0.896(2.0/2.2)</t>
  </si>
  <si>
    <t>Draymond Green</t>
  </si>
  <si>
    <t>0.527(3.4/6.4)</t>
  </si>
  <si>
    <t>0.688(1.2/1.7)</t>
  </si>
  <si>
    <t>Michael Porter Jr.</t>
  </si>
  <si>
    <t>0.472(6.4/13.6)</t>
  </si>
  <si>
    <t>0.780(1.5/1.9)</t>
  </si>
  <si>
    <t>Mitchell Robinson</t>
  </si>
  <si>
    <t>0.711(3.6/5.0)</t>
  </si>
  <si>
    <t>0.485(1.2/2.4)</t>
  </si>
  <si>
    <t>Paolo Banchero</t>
  </si>
  <si>
    <t>0.443(7.3/16.5)</t>
  </si>
  <si>
    <t>0.752(5.6/7.5)</t>
  </si>
  <si>
    <t>Jusuf Nurkic</t>
  </si>
  <si>
    <t>0.541(5.1/9.4)</t>
  </si>
  <si>
    <t>0.690(2.5/3.6)</t>
  </si>
  <si>
    <t>Al Horford</t>
  </si>
  <si>
    <t>0.471(3.5/7.5)</t>
  </si>
  <si>
    <t>0.771(0.6/0.8)</t>
  </si>
  <si>
    <t>Bojan Bogdanovic</t>
  </si>
  <si>
    <t>0.471(6.7/14.3)</t>
  </si>
  <si>
    <t>0.872(3.9/4.4)</t>
  </si>
  <si>
    <t>Buddy Hield</t>
  </si>
  <si>
    <t>0.447(5.4/12.1)</t>
  </si>
  <si>
    <t>0.848(1.2/1.5)</t>
  </si>
  <si>
    <t>Keegan Murray</t>
  </si>
  <si>
    <t>0.465(5.1/11.0)</t>
  </si>
  <si>
    <t>0.780(1.1/1.4)</t>
  </si>
  <si>
    <t>Jalen Duren</t>
  </si>
  <si>
    <t>0.648(4.4/6.8)</t>
  </si>
  <si>
    <t>0.612(1.6/2.7)</t>
  </si>
  <si>
    <t>Ivica Zubac</t>
  </si>
  <si>
    <t>0.630(4.4/7.0)</t>
  </si>
  <si>
    <t>0.713(2.3/3.2)</t>
  </si>
  <si>
    <t>Bruce Brown</t>
  </si>
  <si>
    <t>PG,SG,SF</t>
  </si>
  <si>
    <t>0.488(4.6/9.4)</t>
  </si>
  <si>
    <t>0.756(1.6/2.1)</t>
  </si>
  <si>
    <t>Scoot Henderson</t>
  </si>
  <si>
    <t>0.442(6.5/14.6)</t>
  </si>
  <si>
    <t>0.797(2.1/2.6)</t>
  </si>
  <si>
    <t>Herbert Jones</t>
  </si>
  <si>
    <t>0.473(3.6/7.6)</t>
  </si>
  <si>
    <t>0.803(1.8/2.3)</t>
  </si>
  <si>
    <t>Immanuel Quickley</t>
  </si>
  <si>
    <t>0.448(5.2/11.6)</t>
  </si>
  <si>
    <t>0.847(2.7/3.1)</t>
  </si>
  <si>
    <t>Bobby Portis</t>
  </si>
  <si>
    <t>0.487(5.8/12.0)</t>
  </si>
  <si>
    <t>0.759(1.3/1.7)</t>
  </si>
  <si>
    <t>Jabari Smith Jr.</t>
  </si>
  <si>
    <t>0.433(5.4/12.5)</t>
  </si>
  <si>
    <t>0.779(2.3/3.0)</t>
  </si>
  <si>
    <t>Marcus Smart</t>
  </si>
  <si>
    <t>0.417(4.2/10.0)</t>
  </si>
  <si>
    <t>0.777(1.7/2.2)</t>
  </si>
  <si>
    <t>Wendell Carter Jr.</t>
  </si>
  <si>
    <t>0.525(5.8/11.1)</t>
  </si>
  <si>
    <t>0.714(2.5/3.4)</t>
  </si>
  <si>
    <t>Mike Conley</t>
  </si>
  <si>
    <t>0.432(4.2/9.7)</t>
  </si>
  <si>
    <t>0.813(1.9/2.3)</t>
  </si>
  <si>
    <t>Spencer Dinwiddie</t>
  </si>
  <si>
    <t>0.429(5.5/12.8)</t>
  </si>
  <si>
    <t>0.795(3.3/4.2)</t>
  </si>
  <si>
    <t>Tre Jones</t>
  </si>
  <si>
    <t>0.469(4.8/10.2)</t>
  </si>
  <si>
    <t>0.831(2.1/2.5)</t>
  </si>
  <si>
    <t>Kentavious Caldwell-Pope</t>
  </si>
  <si>
    <t>0.450(4.4/9.7)</t>
  </si>
  <si>
    <t>0.839(1.6/1.9)</t>
  </si>
  <si>
    <t>Andrew Wiggins</t>
  </si>
  <si>
    <t>0.468(6.8/14.4)</t>
  </si>
  <si>
    <t>0.629(1.8/2.9)</t>
  </si>
  <si>
    <t>Kyle Anderson</t>
  </si>
  <si>
    <t>0.497(3.7/7.3)</t>
  </si>
  <si>
    <t>0.694(1.3/1.8)</t>
  </si>
  <si>
    <t>Kevin Huerter</t>
  </si>
  <si>
    <t>0.470(5.3/11.2)</t>
  </si>
  <si>
    <t>0.754(1.0/1.3)</t>
  </si>
  <si>
    <t>Tari Eason</t>
  </si>
  <si>
    <t>0.454(4.5/9.8)</t>
  </si>
  <si>
    <t>0.753(1.6/2.2)</t>
  </si>
  <si>
    <t>Jaden McDaniels</t>
  </si>
  <si>
    <t>0.492(4.6/9.4)</t>
  </si>
  <si>
    <t>0.755(1.2/1.6)</t>
  </si>
  <si>
    <t>Jarred Vanderbilt</t>
  </si>
  <si>
    <t>0.564(3.3/5.8)</t>
  </si>
  <si>
    <t>0.675(1.3/1.9)</t>
  </si>
  <si>
    <t>Ben Simmons</t>
  </si>
  <si>
    <t>PG,SG,PF</t>
  </si>
  <si>
    <t>0.553(4.0/7.1)</t>
  </si>
  <si>
    <t>0.438(0.6/1.4)</t>
  </si>
  <si>
    <t>Matisse Thybulle</t>
  </si>
  <si>
    <t>0.463(2.6/5.6)</t>
  </si>
  <si>
    <t>0.735(0.5/0.7)</t>
  </si>
  <si>
    <t>Obi Toppin</t>
  </si>
  <si>
    <t>0.483(5.7/11.9)</t>
  </si>
  <si>
    <t>0.812(1.7/2.1)</t>
  </si>
  <si>
    <t>Delon Wright</t>
  </si>
  <si>
    <t>0.465(2.4/5.1)</t>
  </si>
  <si>
    <t>0.857(1.0/1.1)</t>
  </si>
  <si>
    <t>Jordan Clarkson</t>
  </si>
  <si>
    <t>0.431(7.0/16.3)</t>
  </si>
  <si>
    <t>0.821(2.6/3.2)</t>
  </si>
  <si>
    <t>Aaron Gordon</t>
  </si>
  <si>
    <t>0.541(6.2/11.4)</t>
  </si>
  <si>
    <t>0.665(2.6/3.9)</t>
  </si>
  <si>
    <t>Norman Powell</t>
  </si>
  <si>
    <t>0.471(5.6/11.9)</t>
  </si>
  <si>
    <t>0.812(3.8/4.6)</t>
  </si>
  <si>
    <t>Bogdan Bogdanovic</t>
  </si>
  <si>
    <t>0.438(5.0/11.3)</t>
  </si>
  <si>
    <t>0.839(1.3/1.6)</t>
  </si>
  <si>
    <t>Patrick Williams</t>
  </si>
  <si>
    <t>0.473(4.0/8.4)</t>
  </si>
  <si>
    <t>0.847(1.3/1.6)</t>
  </si>
  <si>
    <t>Josh Richardson</t>
  </si>
  <si>
    <t>0.435(4.2/9.7)</t>
  </si>
  <si>
    <t>0.869(1.5/1.7)</t>
  </si>
  <si>
    <t>Caleb Martin</t>
  </si>
  <si>
    <t>0.482(4.0/8.3)</t>
  </si>
  <si>
    <t>0.782(1.4/1.8)</t>
  </si>
  <si>
    <t>Donte DiVincenzo</t>
  </si>
  <si>
    <t>0.426(3.1/7.3)</t>
  </si>
  <si>
    <t>0.830(1.1/1.4)</t>
  </si>
  <si>
    <t>P.J. Washington</t>
  </si>
  <si>
    <t>0.453(4.5/10.0)</t>
  </si>
  <si>
    <t>0.728(1.2/1.7)</t>
  </si>
  <si>
    <t>Kyle Lowry</t>
  </si>
  <si>
    <t>0.425(3.3/7.7)</t>
  </si>
  <si>
    <t>0.858(1.8/2.1)</t>
  </si>
  <si>
    <t>Saddiq Bey</t>
  </si>
  <si>
    <t>0.422(5.3/12.6)</t>
  </si>
  <si>
    <t>0.843(2.5/3.0)</t>
  </si>
  <si>
    <t>Alex Caruso</t>
  </si>
  <si>
    <t>0.428(2.2/5.1)</t>
  </si>
  <si>
    <t>0.801(1.1/1.4)</t>
  </si>
  <si>
    <t>Jevon Carter</t>
  </si>
  <si>
    <t>0.424(3.7/8.6)</t>
  </si>
  <si>
    <t>0.831(0.5/0.6)</t>
  </si>
  <si>
    <t>Brandon Miller</t>
  </si>
  <si>
    <t>0.433(5.4/12.6)</t>
  </si>
  <si>
    <t>0.836(1.9/2.3)</t>
  </si>
  <si>
    <t>Cole Anthony</t>
  </si>
  <si>
    <t>0.439(4.4/10.1)</t>
  </si>
  <si>
    <t>0.872(2.6/3.0)</t>
  </si>
  <si>
    <t>Malcolm Brogdon</t>
  </si>
  <si>
    <t>0.468(4.7/10.0)</t>
  </si>
  <si>
    <t>0.863(2.4/2.8)</t>
  </si>
  <si>
    <t>Harrison Barnes</t>
  </si>
  <si>
    <t>0.471(4.6/9.7)</t>
  </si>
  <si>
    <t>0.836(4.1/4.9)</t>
  </si>
  <si>
    <t>Richaun Holmes</t>
  </si>
  <si>
    <t>0.651(4.1/6.4)</t>
  </si>
  <si>
    <t>0.781(1.4/1.8)</t>
  </si>
  <si>
    <t>Deni Avdija</t>
  </si>
  <si>
    <t>0.435(3.8/8.8)</t>
  </si>
  <si>
    <t>0.746(1.7/2.3)</t>
  </si>
  <si>
    <t>Jaden Ivey</t>
  </si>
  <si>
    <t>0.426(6.0/14.1)</t>
  </si>
  <si>
    <t>0.764(4.0/5.2)</t>
  </si>
  <si>
    <t>Jalen Green</t>
  </si>
  <si>
    <t>0.420(7.1/16.8)</t>
  </si>
  <si>
    <t>0.789(4.0/5.1)</t>
  </si>
  <si>
    <t>Malik Beasley</t>
  </si>
  <si>
    <t>0.419(5.1/12.1)</t>
  </si>
  <si>
    <t>0.800(0.7/0.9)</t>
  </si>
  <si>
    <t>Isaiah Hartenstein</t>
  </si>
  <si>
    <t>0.584(2.9/4.9)</t>
  </si>
  <si>
    <t>0.681(1.0/1.4)</t>
  </si>
  <si>
    <t>Keldon Johnson</t>
  </si>
  <si>
    <t>0.463(6.6/14.2)</t>
  </si>
  <si>
    <t>0.753(2.9/3.8)</t>
  </si>
  <si>
    <t>Kevon Looney</t>
  </si>
  <si>
    <t>0.603(3.0/4.9)</t>
  </si>
  <si>
    <t>0.603(1.1/1.8)</t>
  </si>
  <si>
    <t>Steven Adams</t>
  </si>
  <si>
    <t>0.567(3.2/5.7)</t>
  </si>
  <si>
    <t>0.471(1.4/2.9)</t>
  </si>
  <si>
    <t>Dennis Schröder</t>
  </si>
  <si>
    <t>0.423(4.6/10.9)</t>
  </si>
  <si>
    <t>0.855(3.0/3.5)</t>
  </si>
  <si>
    <t>Collin Sexton</t>
  </si>
  <si>
    <t>0.493(5.9/12.0)</t>
  </si>
  <si>
    <t>0.807(3.7/4.6)</t>
  </si>
  <si>
    <t>Jae Crowder</t>
  </si>
  <si>
    <t>0.443(2.9/6.6)</t>
  </si>
  <si>
    <t>0.794(0.9/1.1)</t>
  </si>
  <si>
    <t>Shaedon Sharpe</t>
  </si>
  <si>
    <t>0.471(6.0/12.8)</t>
  </si>
  <si>
    <t>0.735(1.9/2.6)</t>
  </si>
  <si>
    <t>Quentin Grimes</t>
  </si>
  <si>
    <t>0.450(3.8/8.5)</t>
  </si>
  <si>
    <t>0.780(0.9/1.2)</t>
  </si>
  <si>
    <t>Brandon Clarke</t>
  </si>
  <si>
    <t>0.649(4.1/6.2)</t>
  </si>
  <si>
    <t>0.689(1.4/2.1)</t>
  </si>
  <si>
    <t>Nicolas Batum</t>
  </si>
  <si>
    <t>0.441(2.6/5.9)</t>
  </si>
  <si>
    <t>0.682(0.5/0.7)</t>
  </si>
  <si>
    <t>Malik Monk</t>
  </si>
  <si>
    <t>0.461(4.3/9.3)</t>
  </si>
  <si>
    <t>0.856(1.6/1.9)</t>
  </si>
  <si>
    <t>Grant Williams</t>
  </si>
  <si>
    <t>0.464(3.0/6.6)</t>
  </si>
  <si>
    <t>0.828(1.3/1.6)</t>
  </si>
  <si>
    <t>Nick Richards</t>
  </si>
  <si>
    <t>0.638(3.3/5.1)</t>
  </si>
  <si>
    <t>0.740(2.1/2.9)</t>
  </si>
  <si>
    <t>Gary Trent Jr.</t>
  </si>
  <si>
    <t>0.423(4.5/10.7)</t>
  </si>
  <si>
    <t>0.848(1.8/2.2)</t>
  </si>
  <si>
    <t>Isaiah Stewart</t>
  </si>
  <si>
    <t>0.447(3.9/8.7)</t>
  </si>
  <si>
    <t>0.730(1.6/2.2)</t>
  </si>
  <si>
    <t>Russell Westbrook</t>
  </si>
  <si>
    <t>0.441(6.0/13.6)</t>
  </si>
  <si>
    <t>0.662(2.9/4.4)</t>
  </si>
  <si>
    <t>Bennedict Mathurin</t>
  </si>
  <si>
    <t>0.434(5.6/13.0)</t>
  </si>
  <si>
    <t>0.829(5.1/6.2)</t>
  </si>
  <si>
    <t>Corey Kispert</t>
  </si>
  <si>
    <t>0.493(4.0/8.1)</t>
  </si>
  <si>
    <t>0.864(1.0/1.1)</t>
  </si>
  <si>
    <t>Gary Payton II</t>
  </si>
  <si>
    <t>0.613(2.8/4.6)</t>
  </si>
  <si>
    <t>0.625(0.5/0.7)</t>
  </si>
  <si>
    <t>Pat Connaughton</t>
  </si>
  <si>
    <t>0.432(3.4/7.9)</t>
  </si>
  <si>
    <t>0.759(0.6/0.8)</t>
  </si>
  <si>
    <t>Max Strus</t>
  </si>
  <si>
    <t>0.848(1.0/1.1)</t>
  </si>
  <si>
    <t>Jeremy Sochan</t>
  </si>
  <si>
    <t>0.453(5.2/11.4)</t>
  </si>
  <si>
    <t>0.708(1.7/2.4)</t>
  </si>
  <si>
    <t>Luke Kennard</t>
  </si>
  <si>
    <t>0.465(3.7/7.9)</t>
  </si>
  <si>
    <t>0.911(0.8/0.9)</t>
  </si>
  <si>
    <t>Luguentz Dort</t>
  </si>
  <si>
    <t>0.395(4.9/12.3)</t>
  </si>
  <si>
    <t>0.803(2.8/3.5)</t>
  </si>
  <si>
    <t>Kelly Olynyk</t>
  </si>
  <si>
    <t>0.481(3.0/6.2)</t>
  </si>
  <si>
    <t>0.828(1.9/2.3)</t>
  </si>
  <si>
    <t>Kris Dunn</t>
  </si>
  <si>
    <t>0.503(3.2/6.4)</t>
  </si>
  <si>
    <t>0.818(1.2/1.4)</t>
  </si>
  <si>
    <t>Larry Nance Jr.</t>
  </si>
  <si>
    <t>0.571(2.8/4.9)</t>
  </si>
  <si>
    <t>0.694(0.8/1.2)</t>
  </si>
  <si>
    <t>Josh Green</t>
  </si>
  <si>
    <t>0.526(3.6/6.9)</t>
  </si>
  <si>
    <t>0.736(1.1/1.4)</t>
  </si>
  <si>
    <t>Caris LeVert</t>
  </si>
  <si>
    <t>0.438(4.9/11.1)</t>
  </si>
  <si>
    <t>0.741(1.9/2.6)</t>
  </si>
  <si>
    <t>Patrick Beverley</t>
  </si>
  <si>
    <t>0.403(2.3/5.8)</t>
  </si>
  <si>
    <t>0.720(1.0/1.4)</t>
  </si>
  <si>
    <t>Royce O'Neale</t>
  </si>
  <si>
    <t>0.416(2.4/5.7)</t>
  </si>
  <si>
    <t>0.768(0.5/0.7)</t>
  </si>
  <si>
    <t>Maxi Kleber</t>
  </si>
  <si>
    <t>0.456(2.6/5.8)</t>
  </si>
  <si>
    <t>0.705(0.8/1.1)</t>
  </si>
  <si>
    <t>Terance Mann</t>
  </si>
  <si>
    <t>0.499(3.8/7.6)</t>
  </si>
  <si>
    <t>0.780(1.4/1.8)</t>
  </si>
  <si>
    <t>Isaiah Jackson</t>
  </si>
  <si>
    <t>0.563(3.1/5.5)</t>
  </si>
  <si>
    <t>0.663(1.6/2.5)</t>
  </si>
  <si>
    <t>Gabe Vincent</t>
  </si>
  <si>
    <t>0.409(3.7/9.0)</t>
  </si>
  <si>
    <t>0.855(0.9/1.1)</t>
  </si>
  <si>
    <t>De'Andre Hunter</t>
  </si>
  <si>
    <t>0.453(5.4/12.0)</t>
  </si>
  <si>
    <t>0.797(2.6/3.2)</t>
  </si>
  <si>
    <t>Amen Thompson</t>
  </si>
  <si>
    <t>0.451(4.5/10.0)</t>
  </si>
  <si>
    <t>0.699(2.7/3.9)</t>
  </si>
  <si>
    <t>Naz Reid</t>
  </si>
  <si>
    <t>0.516(3.7/7.1)</t>
  </si>
  <si>
    <t>0.724(1.3/1.9)</t>
  </si>
  <si>
    <t>Marvin Bagley III</t>
  </si>
  <si>
    <t>0.515(4.6/8.9)</t>
  </si>
  <si>
    <t>0.751(1.6/2.1)</t>
  </si>
  <si>
    <t>Ayo Dosunmu</t>
  </si>
  <si>
    <t>0.495(3.6/7.2)</t>
  </si>
  <si>
    <t>0.800(0.9/1.1)</t>
  </si>
  <si>
    <t>Jose Alvarado</t>
  </si>
  <si>
    <t>0.424(3.2/7.5)</t>
  </si>
  <si>
    <t>0.758(1.0/1.3)</t>
  </si>
  <si>
    <t>Dillon Brooks</t>
  </si>
  <si>
    <t>0.408(5.7/14.0)</t>
  </si>
  <si>
    <t>0.805(1.9/2.4)</t>
  </si>
  <si>
    <t>RJ Barrett</t>
  </si>
  <si>
    <t>0.433(6.9/16.0)</t>
  </si>
  <si>
    <t>0.750(4.0/5.4)</t>
  </si>
  <si>
    <t>Kevin Porter Jr.</t>
  </si>
  <si>
    <t>0.432(3.8/8.8)</t>
  </si>
  <si>
    <t>Gordon Hayward</t>
  </si>
  <si>
    <t>0.471(4.5/9.5)</t>
  </si>
  <si>
    <t>0.805(2.0/2.5)</t>
  </si>
  <si>
    <t>Andrew Nembhard</t>
  </si>
  <si>
    <t>0.440(3.6/8.2)</t>
  </si>
  <si>
    <t>0.797(0.6/0.8)</t>
  </si>
  <si>
    <t>Grayson Allen</t>
  </si>
  <si>
    <t>0.430(3.0/7.0)</t>
  </si>
  <si>
    <t>0.884(1.1/1.3)</t>
  </si>
  <si>
    <t>Santi Aldama</t>
  </si>
  <si>
    <t>0.457(3.4/7.5)</t>
  </si>
  <si>
    <t>0.726(1.5/2.0)</t>
  </si>
  <si>
    <t>Mason Plumlee</t>
  </si>
  <si>
    <t>0.664(3.3/4.9)</t>
  </si>
  <si>
    <t>0.550(1.6/3.0)</t>
  </si>
  <si>
    <t>James Wiseman</t>
  </si>
  <si>
    <t>0.558(4.6/8.2)</t>
  </si>
  <si>
    <t>0.702(1.7/2.4)</t>
  </si>
  <si>
    <t>Jalen Suggs</t>
  </si>
  <si>
    <t>0.401(3.6/9.0)</t>
  </si>
  <si>
    <t>0.752(2.0/2.7)</t>
  </si>
  <si>
    <t>Gary Harris</t>
  </si>
  <si>
    <t>0.439(3.3/7.5)</t>
  </si>
  <si>
    <t>0.881(1.0/1.1)</t>
  </si>
  <si>
    <t>Eric Gordon</t>
  </si>
  <si>
    <t>0.460(4.1/9.0)</t>
  </si>
  <si>
    <t>0.802(1.8/2.3)</t>
  </si>
  <si>
    <t>Charles Bassey</t>
  </si>
  <si>
    <t>0.642(2.4/3.8)</t>
  </si>
  <si>
    <t>0.634(0.6/1.0)</t>
  </si>
  <si>
    <t>Jonathan Isaac</t>
  </si>
  <si>
    <t>0.415(3.0/7.3)</t>
  </si>
  <si>
    <t>0.556(0.7/1.2)</t>
  </si>
  <si>
    <t>Drew Eubanks</t>
  </si>
  <si>
    <t>0.619(2.7/4.4)</t>
  </si>
  <si>
    <t>0.711(1.1/1.6)</t>
  </si>
  <si>
    <t>Bones Hyland</t>
  </si>
  <si>
    <t>0.849(1.5/1.8)</t>
  </si>
  <si>
    <t>Chris Boucher</t>
  </si>
  <si>
    <t>0.478(3.0/6.3)</t>
  </si>
  <si>
    <t>0.770(1.6/2.0)</t>
  </si>
  <si>
    <t>Christian Braun</t>
  </si>
  <si>
    <t>0.495(3.2/6.4)</t>
  </si>
  <si>
    <t>0.704(1.0/1.4)</t>
  </si>
  <si>
    <t>Jalen Johnson</t>
  </si>
  <si>
    <t>0.638(1.0/1.5)</t>
  </si>
  <si>
    <t>Tim Hardaway Jr.</t>
  </si>
  <si>
    <t>0.398(4.5/11.2)</t>
  </si>
  <si>
    <t>0.766(1.7/2.2)</t>
  </si>
  <si>
    <t>Kelly Oubre Jr.</t>
  </si>
  <si>
    <t>0.450(4.2/9.3)</t>
  </si>
  <si>
    <t>0.764(1.7/2.2)</t>
  </si>
  <si>
    <t>Dorian Finney-Smith</t>
  </si>
  <si>
    <t>0.437(2.8/6.5)</t>
  </si>
  <si>
    <t>0.714(0.6/0.8)</t>
  </si>
  <si>
    <t>Ausar Thompson</t>
  </si>
  <si>
    <t>0.445(5.0/11.3)</t>
  </si>
  <si>
    <t>0.668(2.0/3.0)</t>
  </si>
  <si>
    <t>Jonathan Kuminga</t>
  </si>
  <si>
    <t>0.519(4.5/8.6)</t>
  </si>
  <si>
    <t>0.671(2.0/3.0)</t>
  </si>
  <si>
    <t>Julian Champagnie</t>
  </si>
  <si>
    <t>0.453(3.7/8.2)</t>
  </si>
  <si>
    <t>0.832(0.9/1.1)</t>
  </si>
  <si>
    <t>Isaiah Joe</t>
  </si>
  <si>
    <t>0.433(3.3/7.6)</t>
  </si>
  <si>
    <t>0.848(1.1/1.3)</t>
  </si>
  <si>
    <t>Josh Okogie</t>
  </si>
  <si>
    <t>0.395(2.7/6.8)</t>
  </si>
  <si>
    <t>0.717(2.3/3.2)</t>
  </si>
  <si>
    <t>222  1</t>
  </si>
  <si>
    <t>Max Christie</t>
  </si>
  <si>
    <t>0.441(2.6/6.0)</t>
  </si>
  <si>
    <t>0.871(0.7/0.9)</t>
  </si>
  <si>
    <t>223  1</t>
  </si>
  <si>
    <t>Jarace Walker</t>
  </si>
  <si>
    <t>0.457(3.9/8.5)</t>
  </si>
  <si>
    <t>0.695(1.7/2.5)</t>
  </si>
  <si>
    <t>Kevin Love</t>
  </si>
  <si>
    <t>0.848(1.5/1.8)</t>
  </si>
  <si>
    <t>Coby White</t>
  </si>
  <si>
    <t>0.438(3.6/8.2)</t>
  </si>
  <si>
    <t>0.868(0.9/1.1)</t>
  </si>
  <si>
    <t>Rui Hachimura</t>
  </si>
  <si>
    <t>0.488(4.9/10.0)</t>
  </si>
  <si>
    <t>0.723(1.4/1.9)</t>
  </si>
  <si>
    <t>Marcus Morris Sr.</t>
  </si>
  <si>
    <t>0.430(4.2/9.8)</t>
  </si>
  <si>
    <t>0.815(1.4/1.7)</t>
  </si>
  <si>
    <t>Moritz Wagner</t>
  </si>
  <si>
    <t>0.498(3.2/6.4)</t>
  </si>
  <si>
    <t>0.825(2.1/2.5)</t>
  </si>
  <si>
    <t>Kenrich Williams</t>
  </si>
  <si>
    <t>0.490(3.2/6.5)</t>
  </si>
  <si>
    <t>0.495(0.5/0.9)</t>
  </si>
  <si>
    <t>Cody Martin</t>
  </si>
  <si>
    <t>0.467(2.3/5.0)</t>
  </si>
  <si>
    <t>0.697(0.9/1.2)</t>
  </si>
  <si>
    <t>Keita Bates-Diop</t>
  </si>
  <si>
    <t>0.510(3.2/6.2)</t>
  </si>
  <si>
    <t>0.779(1.4/1.8)</t>
  </si>
  <si>
    <t>Dominick Barlow</t>
  </si>
  <si>
    <t>0.535(2.3/4.3)</t>
  </si>
  <si>
    <t>0.726(0.9/1.2)</t>
  </si>
  <si>
    <t>Anthony Black</t>
  </si>
  <si>
    <t>0.453(4.0/8.9)</t>
  </si>
  <si>
    <t>0.717(1.3/1.9)</t>
  </si>
  <si>
    <t>Dereck Lively II</t>
  </si>
  <si>
    <t>0.631(2.0/3.2)</t>
  </si>
  <si>
    <t>0.636(0.5/0.8)</t>
  </si>
  <si>
    <t>Jaden Hardy</t>
  </si>
  <si>
    <t>0.443(4.0/9.0)</t>
  </si>
  <si>
    <t>0.824(1.8/2.2)</t>
  </si>
  <si>
    <t>Christian Wood</t>
  </si>
  <si>
    <t>0.508(3.5/7.0)</t>
  </si>
  <si>
    <t>0.690(1.8/2.6)</t>
  </si>
  <si>
    <t>Taylor Hendricks</t>
  </si>
  <si>
    <t>0.456(3.2/7.0)</t>
  </si>
  <si>
    <t>0.772(1.6/2.0)</t>
  </si>
  <si>
    <t>Nassir Little</t>
  </si>
  <si>
    <t>0.450(3.0/6.7)</t>
  </si>
  <si>
    <t>0.728(1.1/1.5)</t>
  </si>
  <si>
    <t>Sam Hauser</t>
  </si>
  <si>
    <t>0.455(2.7/5.8)</t>
  </si>
  <si>
    <t>0.727(0.2/0.2)</t>
  </si>
  <si>
    <t>Aleksej Pokusevski</t>
  </si>
  <si>
    <t>0.416(2.8/6.6)</t>
  </si>
  <si>
    <t>0.675(0.5/0.8)</t>
  </si>
  <si>
    <t>Keyonte George</t>
  </si>
  <si>
    <t>0.418(4.9/11.6)</t>
  </si>
  <si>
    <t>0.809(1.8/2.2)</t>
  </si>
  <si>
    <t>AJ Griffin</t>
  </si>
  <si>
    <t>0.465(3.6/7.8)</t>
  </si>
  <si>
    <t>0.897(0.6/0.7)</t>
  </si>
  <si>
    <t>Jaden Springer</t>
  </si>
  <si>
    <t>0.500(2.4/4.7)</t>
  </si>
  <si>
    <t>0.752(0.8/1.1)</t>
  </si>
  <si>
    <t>Thomas Bryant</t>
  </si>
  <si>
    <t>0.594(3.1/5.2)</t>
  </si>
  <si>
    <t>0.768(1.3/1.7)</t>
  </si>
  <si>
    <t>Ricky Rubio</t>
  </si>
  <si>
    <t>0.357(2.5/7.1)</t>
  </si>
  <si>
    <t>0.838(1.4/1.7)</t>
  </si>
  <si>
    <t>Jalen McDaniels</t>
  </si>
  <si>
    <t>0.464(2.6/5.7)</t>
  </si>
  <si>
    <t>0.809(1.1/1.4)</t>
  </si>
  <si>
    <t>Dario Saric</t>
  </si>
  <si>
    <t>0.458(2.8/6.2)</t>
  </si>
  <si>
    <t>0.829(1.4/1.7)</t>
  </si>
  <si>
    <t>Jordan Goodwin</t>
  </si>
  <si>
    <t>0.444(2.3/5.1)</t>
  </si>
  <si>
    <t>0.768(0.8/1.0)</t>
  </si>
  <si>
    <t>Andre Drummond</t>
  </si>
  <si>
    <t>0.584(2.6/4.4)</t>
  </si>
  <si>
    <t>0.531(1.0/1.8)</t>
  </si>
  <si>
    <t>Xavier Tillman Sr.</t>
  </si>
  <si>
    <t>0.548(2.6/4.7)</t>
  </si>
  <si>
    <t>0.593(0.9/1.5)</t>
  </si>
  <si>
    <t>Kenyon Martin Jr.</t>
  </si>
  <si>
    <t>0.554(3.7/6.7)</t>
  </si>
  <si>
    <t>0.665(1.2/1.9)</t>
  </si>
  <si>
    <t>John Konchar</t>
  </si>
  <si>
    <t>0.468(1.8/3.8)</t>
  </si>
  <si>
    <t>0.643(0.4/0.6)</t>
  </si>
  <si>
    <t>Gradey Dick</t>
  </si>
  <si>
    <t>0.416(2.7/6.6)</t>
  </si>
  <si>
    <t>0.849(1.1/1.3)</t>
  </si>
  <si>
    <t>Cam Reddish</t>
  </si>
  <si>
    <t>0.422(2.8/6.7)</t>
  </si>
  <si>
    <t>0.879(1.5/1.7)</t>
  </si>
  <si>
    <t>Damion Lee</t>
  </si>
  <si>
    <t>0.441(2.8/6.2)</t>
  </si>
  <si>
    <t>0.888(1.2/1.3)</t>
  </si>
  <si>
    <t>P.J. Tucker</t>
  </si>
  <si>
    <t>0.466(2.0/4.2)</t>
  </si>
  <si>
    <t>0.759(0.4/0.5)</t>
  </si>
  <si>
    <t>Nickeil Alexander-Walker</t>
  </si>
  <si>
    <t>0.394(3.5/8.9)</t>
  </si>
  <si>
    <t>0.714(1.1/1.5)</t>
  </si>
  <si>
    <t>Malaki Branham</t>
  </si>
  <si>
    <t>0.440(4.2/9.6)</t>
  </si>
  <si>
    <t>0.835(0.9/1.1)</t>
  </si>
  <si>
    <t>Jaylin Williams</t>
  </si>
  <si>
    <t>0.437(2.1/4.8)</t>
  </si>
  <si>
    <t>0.696(0.8/1.1)</t>
  </si>
  <si>
    <t>Reggie Jackson</t>
  </si>
  <si>
    <t>0.399(4.0/10.0)</t>
  </si>
  <si>
    <t>0.868(1.1/1.3)</t>
  </si>
  <si>
    <t>Chuma Okeke</t>
  </si>
  <si>
    <t>0.372(1.9/5.0)</t>
  </si>
  <si>
    <t>0.823(0.5/0.6)</t>
  </si>
  <si>
    <t>MarJon Beauchamp</t>
  </si>
  <si>
    <t>0.419(3.0/7.3)</t>
  </si>
  <si>
    <t>0.741(0.9/1.2)</t>
  </si>
  <si>
    <t>Jett Howard</t>
  </si>
  <si>
    <t>0.418(2.6/6.1)</t>
  </si>
  <si>
    <t>0.846(1.0/1.2)</t>
  </si>
  <si>
    <t>Seth Curry</t>
  </si>
  <si>
    <t>0.478(3.0/6.2)</t>
  </si>
  <si>
    <t>0.896(0.7/0.8)</t>
  </si>
  <si>
    <t>Naji Marshall</t>
  </si>
  <si>
    <t>0.424(2.9/6.7)</t>
  </si>
  <si>
    <t>0.794(1.7/2.1)</t>
  </si>
  <si>
    <t>Cameron Payne</t>
  </si>
  <si>
    <t>0.411(3.2/7.7)</t>
  </si>
  <si>
    <t>0.807(0.9/1.1)</t>
  </si>
  <si>
    <t>Taurean Prince</t>
  </si>
  <si>
    <t>0.461(2.6/5.7)</t>
  </si>
  <si>
    <t>0.797(0.9/1.2)</t>
  </si>
  <si>
    <t>Troy Brown Jr.</t>
  </si>
  <si>
    <t>0.427(2.1/5.0)</t>
  </si>
  <si>
    <t>0.822(0.4/0.5)</t>
  </si>
  <si>
    <t>Monte Morris</t>
  </si>
  <si>
    <t>0.482(2.6/5.4)</t>
  </si>
  <si>
    <t>0.853(0.6/0.7)</t>
  </si>
  <si>
    <t>Leonard Miller</t>
  </si>
  <si>
    <t>0.474(2.8/6.0)</t>
  </si>
  <si>
    <t>0.719(1.2/1.7)</t>
  </si>
  <si>
    <t>Cam Thomas</t>
  </si>
  <si>
    <t>0.437(3.8/8.6)</t>
  </si>
  <si>
    <t>0.852(2.1/2.5)</t>
  </si>
  <si>
    <t>Robert Covington</t>
  </si>
  <si>
    <t>0.427(1.4/3.3)</t>
  </si>
  <si>
    <t>0.816(0.4/0.5)</t>
  </si>
  <si>
    <t>Shake Milton</t>
  </si>
  <si>
    <t>0.457(2.9/6.3)</t>
  </si>
  <si>
    <t>0.847(1.1/1.3)</t>
  </si>
  <si>
    <t>Isaac Okoro</t>
  </si>
  <si>
    <t>0.487(2.2/4.6)</t>
  </si>
  <si>
    <t>0.762(1.2/1.5)</t>
  </si>
  <si>
    <t>Isaiah Livers</t>
  </si>
  <si>
    <t>0.425(2.0/4.6)</t>
  </si>
  <si>
    <t>0.831(0.5/0.7)</t>
  </si>
  <si>
    <t>Orlando Robinson</t>
  </si>
  <si>
    <t>0.530(1.9/3.6)</t>
  </si>
  <si>
    <t>0.710(0.9/1.2)</t>
  </si>
  <si>
    <t>Ochai Agbaji</t>
  </si>
  <si>
    <t>0.427(3.2/7.4)</t>
  </si>
  <si>
    <t>0.812(1.1/1.3)</t>
  </si>
  <si>
    <t>Aaron Nesmith</t>
  </si>
  <si>
    <t>0.420(2.4/5.8)</t>
  </si>
  <si>
    <t>0.833(1.1/1.3)</t>
  </si>
  <si>
    <t>Cason Wallace</t>
  </si>
  <si>
    <t>0.436(2.9/6.6)</t>
  </si>
  <si>
    <t>0.766(0.9/1.1)</t>
  </si>
  <si>
    <t>Georges Niang</t>
  </si>
  <si>
    <t>0.440(2.7/6.1)</t>
  </si>
  <si>
    <t>0.867(0.5/0.6)</t>
  </si>
  <si>
    <t>T.J. McConnell</t>
  </si>
  <si>
    <t>0.526(2.2/4.1)</t>
  </si>
  <si>
    <t>0.843(0.4/0.5)</t>
  </si>
  <si>
    <t>Trey Lyles</t>
  </si>
  <si>
    <t>0.463(2.4/5.2)</t>
  </si>
  <si>
    <t>0.807(1.6/2.0)</t>
  </si>
  <si>
    <t>Alec Burks</t>
  </si>
  <si>
    <t>0.409(2.2/5.3)</t>
  </si>
  <si>
    <t>0.817(1.7/2.0)</t>
  </si>
  <si>
    <t>Torrey Craig</t>
  </si>
  <si>
    <t>0.454(2.0/4.4)</t>
  </si>
  <si>
    <t>0.733(0.3/0.5)</t>
  </si>
  <si>
    <t>Jordan Hawkins</t>
  </si>
  <si>
    <t>0.417(2.4/5.6)</t>
  </si>
  <si>
    <t>0.843(0.9/1.1)</t>
  </si>
  <si>
    <t>Jae'Sean Tate</t>
  </si>
  <si>
    <t>0.494(2.7/5.5)</t>
  </si>
  <si>
    <t>0.712(1.0/1.5)</t>
  </si>
  <si>
    <t>Chris Duarte</t>
  </si>
  <si>
    <t>0.409(3.0/7.3)</t>
  </si>
  <si>
    <t>0.821(1.2/1.4)</t>
  </si>
  <si>
    <t>Dyson Daniels</t>
  </si>
  <si>
    <t>0.419(1.6/3.8)</t>
  </si>
  <si>
    <t>0.644(0.5/0.7)</t>
  </si>
  <si>
    <t>Danilo Gallinari</t>
  </si>
  <si>
    <t>0.433(2.5/5.7)</t>
  </si>
  <si>
    <t>0.906(1.4/1.5)</t>
  </si>
  <si>
    <t>Nikola Jovic</t>
  </si>
  <si>
    <t>0.427(2.4/5.7)</t>
  </si>
  <si>
    <t>0.892(1.5/1.7)</t>
  </si>
  <si>
    <t>Jalen Smith</t>
  </si>
  <si>
    <t>0.488(2.4/4.9)</t>
  </si>
  <si>
    <t>0.757(1.0/1.4)</t>
  </si>
  <si>
    <t>Payton Pritchard</t>
  </si>
  <si>
    <t>0.421(2.6/6.2)</t>
  </si>
  <si>
    <t>0.769(0.3/0.4)</t>
  </si>
  <si>
    <t>Talen Horton-Tucker</t>
  </si>
  <si>
    <t>0.417(2.8/6.6)</t>
  </si>
  <si>
    <t>Jock Landale</t>
  </si>
  <si>
    <t>0.515(2.4/4.7)</t>
  </si>
  <si>
    <t>0.778(1.0/1.3)</t>
  </si>
  <si>
    <t>Dwight Powell</t>
  </si>
  <si>
    <t>0.696(2.0/2.9)</t>
  </si>
  <si>
    <t>0.735(1.2/1.7)</t>
  </si>
  <si>
    <t>Josh Minott</t>
  </si>
  <si>
    <t>0.480(1.9/4.0)</t>
  </si>
  <si>
    <t>0.800(0.8/1.0)</t>
  </si>
  <si>
    <t>Ziaire Williams</t>
  </si>
  <si>
    <t>0.444(2.9/6.6)</t>
  </si>
  <si>
    <t>0.780(0.6/0.8)</t>
  </si>
  <si>
    <t>Joe Ingles</t>
  </si>
  <si>
    <t>0.419(1.8/4.2)</t>
  </si>
  <si>
    <t>0.794(0.3/0.3)</t>
  </si>
  <si>
    <t>Danny Green</t>
  </si>
  <si>
    <t>0.400(1.4/3.6)</t>
  </si>
  <si>
    <t>0.800(0.1/0.2)</t>
  </si>
  <si>
    <t>Christian Koloko</t>
  </si>
  <si>
    <t>0.479(1.3/2.8)</t>
  </si>
  <si>
    <t>0.627(0.7/1.1)</t>
  </si>
  <si>
    <t>Jaime Jaquez Jr.</t>
  </si>
  <si>
    <t>0.458(2.7/6.0)</t>
  </si>
  <si>
    <t>0.763(1.5/1.9)</t>
  </si>
  <si>
    <t>Dean Wade</t>
  </si>
  <si>
    <t>0.436(1.7/3.9)</t>
  </si>
  <si>
    <t>0.654(0.3/0.5)</t>
  </si>
  <si>
    <t>Lonnie Walker IV</t>
  </si>
  <si>
    <t>0.423(3.2/7.5)</t>
  </si>
  <si>
    <t>0.816(1.2/1.5)</t>
  </si>
  <si>
    <t>Kris Murray</t>
  </si>
  <si>
    <t>0.454(2.1/4.7)</t>
  </si>
  <si>
    <t>0.756(1.8/2.4)</t>
  </si>
  <si>
    <t>Mo Bamba</t>
  </si>
  <si>
    <t>0.480(1.7/3.5)</t>
  </si>
  <si>
    <t>0.727(0.4/0.6)</t>
  </si>
  <si>
    <t>Duncan Robinson</t>
  </si>
  <si>
    <t>0.393(2.5/6.3)</t>
  </si>
  <si>
    <t>0.869(0.5/0.6)</t>
  </si>
  <si>
    <t>Day'Ron Sharpe</t>
  </si>
  <si>
    <t>0.558(2.2/3.9)</t>
  </si>
  <si>
    <t>0.619(0.7/1.2)</t>
  </si>
  <si>
    <t>Davion Mitchell</t>
  </si>
  <si>
    <t>0.428(2.9/6.7)</t>
  </si>
  <si>
    <t>0.698(0.4/0.6)</t>
  </si>
  <si>
    <t>Olivier-Maxence Prosper</t>
  </si>
  <si>
    <t>0.447(3.0/6.8)</t>
  </si>
  <si>
    <t>0.758(0.7/1.0)</t>
  </si>
  <si>
    <t>Yuta Watanabe</t>
  </si>
  <si>
    <t>0.460(1.9/4.2)</t>
  </si>
  <si>
    <t>0.667(0.7/1.0)</t>
  </si>
  <si>
    <t>Cory Joseph</t>
  </si>
  <si>
    <t>0.437(1.8/4.1)</t>
  </si>
  <si>
    <t>0.850(0.9/1.0)</t>
  </si>
  <si>
    <t>Zeke Nnaji</t>
  </si>
  <si>
    <t>0.539(2.4/4.4)</t>
  </si>
  <si>
    <t>0.641(0.9/1.5)</t>
  </si>
  <si>
    <t>Bilal Coulibaly</t>
  </si>
  <si>
    <t>0.429(3.0/7.0)</t>
  </si>
  <si>
    <t>0.717(1.8/2.5)</t>
  </si>
  <si>
    <t>Jaxson Hayes</t>
  </si>
  <si>
    <t>0.597(2.0/3.4)</t>
  </si>
  <si>
    <t>0.744(1.2/1.6)</t>
  </si>
  <si>
    <t>Killian Hayes</t>
  </si>
  <si>
    <t>0.380(1.8/4.8)</t>
  </si>
  <si>
    <t>0.803(0.6/0.7)</t>
  </si>
  <si>
    <t>Danuel House Jr.</t>
  </si>
  <si>
    <t>0.458(1.9/4.2)</t>
  </si>
  <si>
    <t>Ousmane Dieng</t>
  </si>
  <si>
    <t>0.432(2.5/5.9)</t>
  </si>
  <si>
    <t>0.658(0.5/0.7)</t>
  </si>
  <si>
    <t>Jordan McLaughlin</t>
  </si>
  <si>
    <t>0.432(1.2/2.8)</t>
  </si>
  <si>
    <t>0.766(0.4/0.5)</t>
  </si>
  <si>
    <t>Otto Porter Jr.</t>
  </si>
  <si>
    <t>0.467(1.4/3.0)</t>
  </si>
  <si>
    <t>0.830(0.4/0.5)</t>
  </si>
  <si>
    <t>Damian Jones</t>
  </si>
  <si>
    <t>0.652(1.6/2.5)</t>
  </si>
  <si>
    <t>0.745(0.8/1.1)</t>
  </si>
  <si>
    <t>Ish Wainright</t>
  </si>
  <si>
    <t>0.378(1.4/3.8)</t>
  </si>
  <si>
    <t>0.755(0.4/0.5)</t>
  </si>
  <si>
    <t>Jalen Hood-Schifino</t>
  </si>
  <si>
    <t>0.394(2.3/5.7)</t>
  </si>
  <si>
    <t>Bol Bol</t>
  </si>
  <si>
    <t>0.548(1.8/3.3)</t>
  </si>
  <si>
    <t>0.767(0.6/0.7)</t>
  </si>
  <si>
    <t>Peyton Watson</t>
  </si>
  <si>
    <t>0.492(2.5/5.1)</t>
  </si>
  <si>
    <t>0.576(1.0/1.7)</t>
  </si>
  <si>
    <t>Precious Achiuwa</t>
  </si>
  <si>
    <t>0.458(2.6/5.7)</t>
  </si>
  <si>
    <t>0.646(0.9/1.4)</t>
  </si>
  <si>
    <t>Jake LaRavia</t>
  </si>
  <si>
    <t>0.424(1.7/3.9)</t>
  </si>
  <si>
    <t>0.784(0.3/0.4)</t>
  </si>
  <si>
    <t>Mike Muscala</t>
  </si>
  <si>
    <t>0.453(1.7/3.7)</t>
  </si>
  <si>
    <t>0.811(0.6/0.7)</t>
  </si>
  <si>
    <t>Joe Harris</t>
  </si>
  <si>
    <t>0.456(2.0/4.5)</t>
  </si>
  <si>
    <t>0.667(0.2/0.3)</t>
  </si>
  <si>
    <t>Haywood Highsmith</t>
  </si>
  <si>
    <t>0.416(1.8/4.3)</t>
  </si>
  <si>
    <t>0.463(0.3/0.5)</t>
  </si>
  <si>
    <t>Derrick Jones Jr.</t>
  </si>
  <si>
    <t>0.517(1.5/2.9)</t>
  </si>
  <si>
    <t>0.762(0.8/1.1)</t>
  </si>
  <si>
    <t>Reggie Bullock</t>
  </si>
  <si>
    <t>0.405(1.7/4.3)</t>
  </si>
  <si>
    <t>Nerlens Noel</t>
  </si>
  <si>
    <t>0.466(0.6/1.3)</t>
  </si>
  <si>
    <t>0.690(0.4/0.6)</t>
  </si>
  <si>
    <t>David Roddy</t>
  </si>
  <si>
    <t>0.429(2.8/6.4)</t>
  </si>
  <si>
    <t>0.630(0.6/1.0)</t>
  </si>
  <si>
    <t>Johnny Davis</t>
  </si>
  <si>
    <t>0.412(3.2/7.8)</t>
  </si>
  <si>
    <t>0.618(0.8/1.2)</t>
  </si>
  <si>
    <t>Chimezie Metu</t>
  </si>
  <si>
    <t>0.496(1.8/3.6)</t>
  </si>
  <si>
    <t>0.761(0.7/0.9)</t>
  </si>
  <si>
    <t>Montrezl Harrell</t>
  </si>
  <si>
    <t>0.631(2.2/3.5)</t>
  </si>
  <si>
    <t>0.711(1.3/1.8)</t>
  </si>
  <si>
    <t>Luke Kornet</t>
  </si>
  <si>
    <t>0.639(1.3/2.1)</t>
  </si>
  <si>
    <t>0.792(0.4/0.5)</t>
  </si>
  <si>
    <t>Bruno Fernando</t>
  </si>
  <si>
    <t>0.571(1.6/2.8)</t>
  </si>
  <si>
    <t>0.672(0.8/1.2)</t>
  </si>
  <si>
    <t>Cam Whitmore</t>
  </si>
  <si>
    <t>0.468(2.4/5.0)</t>
  </si>
  <si>
    <t>0.680(0.5/0.8)</t>
  </si>
  <si>
    <t>DeAndre Jordan</t>
  </si>
  <si>
    <t>0.696(1.6/2.2)</t>
  </si>
  <si>
    <t>0.500(0.4/0.8)</t>
  </si>
  <si>
    <t>Usman Garuba</t>
  </si>
  <si>
    <t>0.474(0.9/1.9)</t>
  </si>
  <si>
    <t>0.638(0.3/0.5)</t>
  </si>
  <si>
    <t>Trendon Watford</t>
  </si>
  <si>
    <t>0.736(0.8/1.1)</t>
  </si>
  <si>
    <t>Justin Holiday</t>
  </si>
  <si>
    <t>0.389(1.9/4.9)</t>
  </si>
  <si>
    <t>0.727(0.3/0.4)</t>
  </si>
  <si>
    <t>Moses Moody</t>
  </si>
  <si>
    <t>0.458(2.1/4.7)</t>
  </si>
  <si>
    <t>0.733(0.7/1.0)</t>
  </si>
  <si>
    <t>Aaron Wiggins</t>
  </si>
  <si>
    <t>0.489(1.9/4.0)</t>
  </si>
  <si>
    <t>0.773(0.7/0.9)</t>
  </si>
  <si>
    <t>Aleksandar Vezenkov</t>
  </si>
  <si>
    <t>0.430(2.0/4.6)</t>
  </si>
  <si>
    <t>0.782(0.4/0.6)</t>
  </si>
  <si>
    <t>Dennis Smith Jr.</t>
  </si>
  <si>
    <t>0.414(1.5/3.7)</t>
  </si>
  <si>
    <t>0.711(0.7/1.0)</t>
  </si>
  <si>
    <t>JaVale McGee</t>
  </si>
  <si>
    <t>0.632(1.8/2.9)</t>
  </si>
  <si>
    <t>0.674(0.6/0.9)</t>
  </si>
  <si>
    <t>Kobe Brown</t>
  </si>
  <si>
    <t>0.455(2.2/4.9)</t>
  </si>
  <si>
    <t>0.779(0.5/0.7)</t>
  </si>
  <si>
    <t>Doug McDermott</t>
  </si>
  <si>
    <t>0.460(2.6/5.7)</t>
  </si>
  <si>
    <t>0.771(0.5/0.7)</t>
  </si>
  <si>
    <t>Isaiah Mobley</t>
  </si>
  <si>
    <t>0.428(1.5/3.4)</t>
  </si>
  <si>
    <t>0.738(0.5/0.7)</t>
  </si>
  <si>
    <t>Kai Jones</t>
  </si>
  <si>
    <t>0.569(1.3/2.3)</t>
  </si>
  <si>
    <t>0.644(0.4/0.6)</t>
  </si>
  <si>
    <t>Derrick Rose</t>
  </si>
  <si>
    <t>0.423(2.0/4.6)</t>
  </si>
  <si>
    <t>0.957(0.4/0.5)</t>
  </si>
  <si>
    <t>Dalen Terry</t>
  </si>
  <si>
    <t>0.445(1.6/3.6)</t>
  </si>
  <si>
    <t>0.663(0.7/1.0)</t>
  </si>
  <si>
    <t>Jericho Sims</t>
  </si>
  <si>
    <t>0.762(1.0/1.3)</t>
  </si>
  <si>
    <t>0.543(0.2/0.4)</t>
  </si>
  <si>
    <t>Saben Lee</t>
  </si>
  <si>
    <t>0.397(1.3/3.2)</t>
  </si>
  <si>
    <t>0.761(1.1/1.4)</t>
  </si>
  <si>
    <t>Hunter Tyson</t>
  </si>
  <si>
    <t>0.452(2.1/4.7)</t>
  </si>
  <si>
    <t>0.790(0.5/0.6)</t>
  </si>
  <si>
    <t>Goga Bitadze</t>
  </si>
  <si>
    <t>0.530(1.4/2.7)</t>
  </si>
  <si>
    <t>0.639(0.6/1.0)</t>
  </si>
  <si>
    <t>Micah Potter</t>
  </si>
  <si>
    <t>0.577(1.5/2.7)</t>
  </si>
  <si>
    <t>0.769(0.2/0.3)</t>
  </si>
  <si>
    <t>Jordan Walsh</t>
  </si>
  <si>
    <t>0.429(2.3/5.4)</t>
  </si>
  <si>
    <t>0.726(1.1/1.5)</t>
  </si>
  <si>
    <t>Garrison Mathews</t>
  </si>
  <si>
    <t>0.387(1.2/3.2)</t>
  </si>
  <si>
    <t>0.821(0.9/1.1)</t>
  </si>
  <si>
    <t>Kenneth Lofton Jr.</t>
  </si>
  <si>
    <t>0.527(2.8/5.4)</t>
  </si>
  <si>
    <t>0.592(0.9/1.6)</t>
  </si>
  <si>
    <t>Devonte' Graham</t>
  </si>
  <si>
    <t>0.365(1.5/4.1)</t>
  </si>
  <si>
    <t>0.798(0.7/0.9)</t>
  </si>
  <si>
    <t>Darius Bazley</t>
  </si>
  <si>
    <t>0.445(1.6/3.5)</t>
  </si>
  <si>
    <t>0.650(0.7/1.0)</t>
  </si>
  <si>
    <t>Thaddeus Young</t>
  </si>
  <si>
    <t>0.531(1.3/2.4)</t>
  </si>
  <si>
    <t>0.538(0.2/0.4)</t>
  </si>
  <si>
    <t>Ty Jerome</t>
  </si>
  <si>
    <t>0.425(1.6/3.7)</t>
  </si>
  <si>
    <t>0.862(0.5/0.6)</t>
  </si>
  <si>
    <t>Udoka Azubuike</t>
  </si>
  <si>
    <t>0.790(1.5/1.9)</t>
  </si>
  <si>
    <t>0.417(0.2/0.5)</t>
  </si>
  <si>
    <t>Kira Lewis Jr.</t>
  </si>
  <si>
    <t>0.424(1.8/4.3)</t>
  </si>
  <si>
    <t>0.857(0.5/0.6)</t>
  </si>
  <si>
    <t>Ömer Yurtseven</t>
  </si>
  <si>
    <t>0.534(1.6/2.9)</t>
  </si>
  <si>
    <t>0.639(0.5/0.7)</t>
  </si>
  <si>
    <t>Landry Shamet</t>
  </si>
  <si>
    <t>0.387(1.6/4.0)</t>
  </si>
  <si>
    <t>Trayce Jackson-Davis</t>
  </si>
  <si>
    <t>0.564(1.5/2.7)</t>
  </si>
  <si>
    <t>0.698(0.8/1.2)</t>
  </si>
  <si>
    <t>Frank Ntilikina</t>
  </si>
  <si>
    <t>0.386(1.3/3.5)</t>
  </si>
  <si>
    <t>0.789(0.5/0.6)</t>
  </si>
  <si>
    <t>Kessler Edwards</t>
  </si>
  <si>
    <t>0.404(1.2/2.9)</t>
  </si>
  <si>
    <t>0.786(0.2/0.3)</t>
  </si>
  <si>
    <t>Noah Clowney</t>
  </si>
  <si>
    <t>0.494(1.6/3.2)</t>
  </si>
  <si>
    <t>0.714(0.7/1.0)</t>
  </si>
  <si>
    <t>Brice Sensabaugh</t>
  </si>
  <si>
    <t>0.446(1.7/3.8)</t>
  </si>
  <si>
    <t>Neemias Queta</t>
  </si>
  <si>
    <t>0.500(1.6/3.3)</t>
  </si>
  <si>
    <t>0.609(0.8/1.3)</t>
  </si>
  <si>
    <t>Patrick Baldwin Jr.</t>
  </si>
  <si>
    <t>0.395(1.6/4.1)</t>
  </si>
  <si>
    <t>0.652(0.2/0.2)</t>
  </si>
  <si>
    <t>Malachi Flynn</t>
  </si>
  <si>
    <t>0.374(1.6/4.2)</t>
  </si>
  <si>
    <t>0.702(0.4/0.6)</t>
  </si>
  <si>
    <t>Emoni Bates</t>
  </si>
  <si>
    <t>0.400(1.8/4.5)</t>
  </si>
  <si>
    <t>0.762(0.5/0.6)</t>
  </si>
  <si>
    <t>Jabari Walker</t>
  </si>
  <si>
    <t>0.448(1.7/3.7)</t>
  </si>
  <si>
    <t>0.750(0.6/0.8)</t>
  </si>
  <si>
    <t>Bryce McGowens</t>
  </si>
  <si>
    <t>0.397(1.8/4.4)</t>
  </si>
  <si>
    <t>0.750(1.3/1.8)</t>
  </si>
  <si>
    <t>Robin Lopez</t>
  </si>
  <si>
    <t>0.577(2.0/3.4)</t>
  </si>
  <si>
    <t>0.640(0.6/0.9)</t>
  </si>
  <si>
    <t>Jeff Green</t>
  </si>
  <si>
    <t>0.511(1.6/3.1)</t>
  </si>
  <si>
    <t>0.798(0.9/1.1)</t>
  </si>
  <si>
    <t>Julian Strawther</t>
  </si>
  <si>
    <t>0.430(1.7/3.9)</t>
  </si>
  <si>
    <t>Cody Zeller</t>
  </si>
  <si>
    <t>0.590(1.3/2.2)</t>
  </si>
  <si>
    <t>0.736(0.9/1.3)</t>
  </si>
  <si>
    <t>Alex Len</t>
  </si>
  <si>
    <t>0.534(1.2/2.2)</t>
  </si>
  <si>
    <t>0.651(0.6/0.9)</t>
  </si>
  <si>
    <t>Tre Mann</t>
  </si>
  <si>
    <t>0.392(1.8/4.5)</t>
  </si>
  <si>
    <t>0.786(0.4/0.6)</t>
  </si>
  <si>
    <t>Oshae Brissett</t>
  </si>
  <si>
    <t>0.399(1.4/3.5)</t>
  </si>
  <si>
    <t>0.705(0.9/1.3)</t>
  </si>
  <si>
    <t>Aaron Holiday</t>
  </si>
  <si>
    <t>0.437(1.1/2.5)</t>
  </si>
  <si>
    <t>0.848(0.4/0.5)</t>
  </si>
  <si>
    <t>Patty Mills</t>
  </si>
  <si>
    <t>0.408(1.5/3.6)</t>
  </si>
  <si>
    <t>0.813(0.3/0.3)</t>
  </si>
  <si>
    <t>Keon Johnson</t>
  </si>
  <si>
    <t>0.362(1.5/4.3)</t>
  </si>
  <si>
    <t>0.739(0.7/0.9)</t>
  </si>
  <si>
    <t>Wesley Matthews</t>
  </si>
  <si>
    <t>0.383(1.0/2.6)</t>
  </si>
  <si>
    <t>0.842(0.3/0.4)</t>
  </si>
  <si>
    <t>Simone Fontecchio</t>
  </si>
  <si>
    <t>0.369(1.9/5.1)</t>
  </si>
  <si>
    <t>0.792(0.6/0.7)</t>
  </si>
  <si>
    <t>AJ Green</t>
  </si>
  <si>
    <t>0.423(1.3/3.1)</t>
  </si>
  <si>
    <t>1.000(0.1/0.1)</t>
  </si>
  <si>
    <t>Kobe Bufkin</t>
  </si>
  <si>
    <t>0.452(1.5/3.2)</t>
  </si>
  <si>
    <t>0.809(1.2/1.5)</t>
  </si>
  <si>
    <t>Daniel Theis</t>
  </si>
  <si>
    <t>0.512(1.3/2.5)</t>
  </si>
  <si>
    <t>0.651(0.4/0.6)</t>
  </si>
  <si>
    <t>Jeremiah Robinson-Earl</t>
  </si>
  <si>
    <t>0.427(1.1/2.6)</t>
  </si>
  <si>
    <t>0.791(0.3/0.4)</t>
  </si>
  <si>
    <t>Admiral Schofield</t>
  </si>
  <si>
    <t>0.434(1.2/2.8)</t>
  </si>
  <si>
    <t>0.881(0.4/0.4)</t>
  </si>
  <si>
    <t>Dalano Banton</t>
  </si>
  <si>
    <t>0.417(1.2/2.9)</t>
  </si>
  <si>
    <t>Jay Huff</t>
  </si>
  <si>
    <t>0.537(0.6/1.1)</t>
  </si>
  <si>
    <t>0.935(0.6/0.6)</t>
  </si>
  <si>
    <t>0.456(9.0/19.8)</t>
  </si>
  <si>
    <t>0.906(7.5/8.3)</t>
  </si>
  <si>
    <t>0.431(6.0/14.0)</t>
  </si>
  <si>
    <t>0.874(6.1/7.0)</t>
  </si>
  <si>
    <t>0.430(8.3/19.3)</t>
  </si>
  <si>
    <t>0.464(9.4/20.3)</t>
  </si>
  <si>
    <t>0.769(4.4/5.8)</t>
  </si>
  <si>
    <t>0.553(10.7/19.3)</t>
  </si>
  <si>
    <t>0.504(7.6/15.0)</t>
  </si>
  <si>
    <t>0.833(4.4/5.3)</t>
  </si>
  <si>
    <t>0.483(7.1/14.7)</t>
  </si>
  <si>
    <t>0.517(5.5/10.7)</t>
  </si>
  <si>
    <t>0.485(7.4/15.3)</t>
  </si>
  <si>
    <t>0.855(3.1/3.6)</t>
  </si>
  <si>
    <t>0.472(8.4/17.8)</t>
  </si>
  <si>
    <t>0.852(5.0/5.8)</t>
  </si>
  <si>
    <t>0.614(7.0/11.3)</t>
  </si>
  <si>
    <t>0.755(2.1/2.8)</t>
  </si>
  <si>
    <t>0.440(6.5/14.7)</t>
  </si>
  <si>
    <t>0.891(3.6/4.1)</t>
  </si>
  <si>
    <t>0.465(7.0/15.1)</t>
  </si>
  <si>
    <t>0.817(4.5/5.5)</t>
  </si>
  <si>
    <t>0.736(4.0/5.4)</t>
  </si>
  <si>
    <t>0.649(0.9/1.3)</t>
  </si>
  <si>
    <t>0.451(4.9/10.8)</t>
  </si>
  <si>
    <t>0.868(2.6/3.0)</t>
  </si>
  <si>
    <t>0.889(2.4/2.7)</t>
  </si>
  <si>
    <t>0.414(4.1/10.0)</t>
  </si>
  <si>
    <t>0.771(1.2/1.5)</t>
  </si>
  <si>
    <t>0.468(5.5/11.7)</t>
  </si>
  <si>
    <t>0.863(2.8/3.2)</t>
  </si>
  <si>
    <t>0.462(2.7/5.8)</t>
  </si>
  <si>
    <t>0.743(0.5/0.7)</t>
  </si>
  <si>
    <t>0.442(6.2/14.1)</t>
  </si>
  <si>
    <t>0.794(2.0/2.5)</t>
  </si>
  <si>
    <t>0.527(5.6/10.6)</t>
  </si>
  <si>
    <t>0.678(3.0/4.4)</t>
  </si>
  <si>
    <t>0.432(4.8/11.0)</t>
  </si>
  <si>
    <t>0.778(2.2/2.8)</t>
  </si>
  <si>
    <t>0.454(4.0/8.8)</t>
  </si>
  <si>
    <t>0.751(1.5/1.9)</t>
  </si>
  <si>
    <t>0.444(3.7/8.3)</t>
  </si>
  <si>
    <t>0.884(1.3/1.5)</t>
  </si>
  <si>
    <t>0.471(5.8/12.4)</t>
  </si>
  <si>
    <t>0.735(1.8/2.5)</t>
  </si>
  <si>
    <t>0.451(3.6/7.9)</t>
  </si>
  <si>
    <t>0.730(1.3/1.8)</t>
  </si>
  <si>
    <t>0.437(2.4/5.6)</t>
  </si>
  <si>
    <t>0.427(3.0/7.0)</t>
  </si>
  <si>
    <t>0.753(0.6/0.7)</t>
  </si>
  <si>
    <t>0.393(4.4/11.1)</t>
  </si>
  <si>
    <t>0.795(0.6/0.8)</t>
  </si>
  <si>
    <t>0.437(4.0/9.2)</t>
  </si>
  <si>
    <t>0.654(2.4/3.7)</t>
  </si>
  <si>
    <t>0.438(2.4/5.4)</t>
  </si>
  <si>
    <t>0.753(1.2/1.6)</t>
  </si>
  <si>
    <t>0.394(2.5/6.4)</t>
  </si>
  <si>
    <t>0.735(0.7/1.0)</t>
  </si>
  <si>
    <t>Brandin Podziemski</t>
  </si>
  <si>
    <t>0.448(1.5/3.3)</t>
  </si>
  <si>
    <t>0.741(1.0/1.4)</t>
  </si>
  <si>
    <t>0.473(7.1/15.0)</t>
  </si>
  <si>
    <t>0.888(4.0/4.5)</t>
  </si>
  <si>
    <t>Robert Williams</t>
  </si>
  <si>
    <t>0.716(4.4/6.1)</t>
  </si>
  <si>
    <t>0.711(1.1/1.5)</t>
  </si>
  <si>
    <t>0.435(5.3/12.2)</t>
  </si>
  <si>
    <t>0.834(1.5/1.8)</t>
  </si>
  <si>
    <t>3PM</t>
  </si>
  <si>
    <t>GSW</t>
  </si>
  <si>
    <t>NOP</t>
  </si>
  <si>
    <t>NYK</t>
  </si>
  <si>
    <t>PHX</t>
  </si>
  <si>
    <t>SAS</t>
  </si>
  <si>
    <t>Portland Trail Blazers</t>
  </si>
  <si>
    <t>Boston Celtics</t>
  </si>
  <si>
    <t>Brooklyn Nets</t>
  </si>
  <si>
    <t>Chicago Bulls</t>
  </si>
  <si>
    <t>Cleveland Cavaliers</t>
  </si>
  <si>
    <t>Detroit Pistons</t>
  </si>
  <si>
    <t>Los Angeles Clippers</t>
  </si>
  <si>
    <t>Miami Heat</t>
  </si>
  <si>
    <t>Philadelphia 76ers</t>
  </si>
  <si>
    <t>Sacramento Kings</t>
  </si>
  <si>
    <t>Washington Wizards</t>
  </si>
  <si>
    <t>Atlanta Hawks</t>
  </si>
  <si>
    <t>Denver Nuggets</t>
  </si>
  <si>
    <t>Golden State Warriors</t>
  </si>
  <si>
    <t>Houston Rockets</t>
  </si>
  <si>
    <t>Indiana Pacers</t>
  </si>
  <si>
    <t>Memphis Grizzlies</t>
  </si>
  <si>
    <t>Milwaukee Bucks</t>
  </si>
  <si>
    <t>Minnesota Timberwolves</t>
  </si>
  <si>
    <t>New Orleans Pelicans</t>
  </si>
  <si>
    <t>Oklahoma City Thunder</t>
  </si>
  <si>
    <t>Orlando Magic</t>
  </si>
  <si>
    <t>Phoenix Suns</t>
  </si>
  <si>
    <t>San Antonio Spurs</t>
  </si>
  <si>
    <t>Toronto Raptors</t>
  </si>
  <si>
    <t>Utah Jazz</t>
  </si>
  <si>
    <t>Charlotte Hornets</t>
  </si>
  <si>
    <t>Dallas Mavericks</t>
  </si>
  <si>
    <t>Los Angeles Lakers</t>
  </si>
  <si>
    <t>New York Knicks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</si>
</sst>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"/>
    <numFmt numFmtId="166" formatCode="h:mm am/pm"/>
  </numFmts>
  <fonts count="40">
    <font>
      <sz val="10.0"/>
      <color rgb="FF000000"/>
      <name val="Arial"/>
    </font>
    <font>
      <sz val="11.0"/>
      <name val="Roboto"/>
    </font>
    <font>
      <b/>
      <sz val="11.0"/>
      <name val="Roboto"/>
    </font>
    <font/>
    <font>
      <b/>
      <name val="Arial"/>
    </font>
    <font>
      <sz val="15.0"/>
      <color rgb="FF333333"/>
      <name val="Verdana"/>
    </font>
    <font>
      <sz val="15.0"/>
      <color rgb="FF000000"/>
      <name val="Verdana"/>
    </font>
    <font>
      <name val="Arial"/>
    </font>
    <font>
      <sz val="36.0"/>
      <name val="Arial"/>
    </font>
    <font>
      <b/>
      <sz val="25.0"/>
      <name val="Arial"/>
    </font>
    <font>
      <sz val="14.0"/>
      <name val="Arial"/>
    </font>
    <font>
      <sz val="14.0"/>
    </font>
    <font>
      <sz val="36.0"/>
    </font>
    <font>
      <sz val="11.0"/>
      <color rgb="FF000000"/>
      <name val="Roboto"/>
    </font>
    <font>
      <sz val="11.0"/>
      <color rgb="FF000000"/>
      <name val="Inconsolata"/>
    </font>
    <font>
      <sz val="11.0"/>
      <color rgb="FF22292F"/>
      <name val="Roboto"/>
    </font>
    <font>
      <color rgb="FF000000"/>
      <name val="Arial"/>
    </font>
    <font>
      <b/>
      <sz val="12.0"/>
    </font>
    <font>
      <b/>
      <sz val="8.0"/>
      <color rgb="FF48494A"/>
      <name val="-apple-system"/>
    </font>
    <font>
      <sz val="9.0"/>
      <color rgb="FF009444"/>
      <name val="-apple-system"/>
    </font>
    <font>
      <sz val="9.0"/>
      <color rgb="FF797B7D"/>
      <name val="-apple-system"/>
    </font>
    <font>
      <sz val="8.0"/>
      <color rgb="FF151617"/>
      <name val="-apple-system"/>
    </font>
    <font>
      <u/>
      <sz val="8.0"/>
      <color rgb="FF151617"/>
      <name val="-apple-system"/>
    </font>
    <font>
      <sz val="9.0"/>
      <color rgb="FF6C6D6F"/>
      <name val="-apple-system"/>
    </font>
    <font>
      <sz val="9.0"/>
      <color rgb="FFCC0000"/>
      <name val="-apple-system"/>
    </font>
    <font>
      <u/>
      <sz val="8.0"/>
      <color rgb="FF151617"/>
      <name val="-apple-system"/>
    </font>
    <font>
      <u/>
      <sz val="8.0"/>
      <color rgb="FF151617"/>
      <name val="-apple-system"/>
    </font>
    <font>
      <u/>
      <sz val="8.0"/>
      <color rgb="FF151617"/>
      <name val="-apple-system"/>
    </font>
    <font>
      <u/>
      <sz val="8.0"/>
      <color rgb="FF151617"/>
      <name val="-apple-system"/>
    </font>
    <font>
      <sz val="11.0"/>
      <color rgb="FF1155CC"/>
      <name val="Inconsolata"/>
    </font>
    <font>
      <b/>
    </font>
    <font>
      <u/>
      <color rgb="FF0000FF"/>
    </font>
    <font>
      <sz val="11.0"/>
      <color rgb="FF4285F4"/>
      <name val="Inconsolata"/>
    </font>
    <font>
      <sz val="11.0"/>
      <color rgb="FF7E3794"/>
      <name val="Inconsolata"/>
    </font>
    <font>
      <u/>
      <color rgb="FF0000FF"/>
      <name val="Arial"/>
    </font>
    <font>
      <sz val="11.0"/>
      <color rgb="FF22292F"/>
      <name val="Montserrat"/>
    </font>
    <font>
      <sz val="11.0"/>
      <name val="Montserrat"/>
    </font>
    <font>
      <u/>
      <sz val="11.0"/>
      <color rgb="FF22292F"/>
      <name val="Montserrat"/>
    </font>
    <font>
      <u/>
      <sz val="11.0"/>
      <color rgb="FF22292F"/>
      <name val="Montserrat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EFEFE"/>
        <bgColor rgb="FFFEFEFE"/>
      </patternFill>
    </fill>
    <fill>
      <patternFill patternType="solid">
        <fgColor rgb="FF000000"/>
        <bgColor rgb="FF000000"/>
      </patternFill>
    </fill>
    <fill>
      <patternFill patternType="solid">
        <fgColor rgb="FFF3F2F7"/>
        <bgColor rgb="FFF3F2F7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4" xfId="0" applyFont="1" applyNumberFormat="1"/>
    <xf borderId="0" fillId="0" fontId="1" numFmtId="0" xfId="0" applyFont="1"/>
    <xf borderId="1" fillId="0" fontId="2" numFmtId="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0" fillId="0" fontId="3" numFmtId="4" xfId="0" applyAlignment="1" applyFont="1" applyNumberFormat="1">
      <alignment readingOrder="0"/>
    </xf>
    <xf borderId="1" fillId="0" fontId="4" numFmtId="0" xfId="0" applyAlignment="1" applyBorder="1" applyFont="1">
      <alignment vertical="bottom"/>
    </xf>
    <xf borderId="2" fillId="2" fontId="5" numFmtId="0" xfId="0" applyAlignment="1" applyBorder="1" applyFill="1" applyFont="1">
      <alignment horizontal="center" vertical="bottom"/>
    </xf>
    <xf borderId="1" fillId="2" fontId="6" numFmtId="0" xfId="0" applyAlignment="1" applyBorder="1" applyFill="1" applyFont="1">
      <alignment horizontal="center" readingOrder="0"/>
    </xf>
    <xf borderId="2" fillId="2" fontId="5" numFmtId="4" xfId="0" applyAlignment="1" applyBorder="1" applyFill="1" applyFont="1" applyNumberFormat="1">
      <alignment horizontal="center" vertical="bottom"/>
    </xf>
    <xf borderId="3" fillId="0" fontId="4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4" fillId="0" fontId="1" numFmtId="4" xfId="0" applyAlignment="1" applyBorder="1" applyFont="1" applyNumberFormat="1">
      <alignment horizontal="center" vertical="bottom"/>
    </xf>
    <xf borderId="0" fillId="0" fontId="3" numFmtId="4" xfId="0" applyFont="1" applyNumberFormat="1"/>
    <xf borderId="3" fillId="0" fontId="4" numFmtId="0" xfId="0" applyAlignment="1" applyBorder="1" applyFont="1">
      <alignment vertical="bottom"/>
    </xf>
    <xf borderId="4" fillId="0" fontId="1" numFmtId="3" xfId="0" applyAlignment="1" applyBorder="1" applyFont="1" applyNumberFormat="1">
      <alignment horizontal="center" vertical="bottom"/>
    </xf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4" xfId="0" applyAlignment="1" applyBorder="1" applyFont="1" applyNumberFormat="1">
      <alignment vertical="bottom"/>
    </xf>
    <xf borderId="0" fillId="0" fontId="7" numFmtId="4" xfId="0" applyAlignment="1" applyFont="1" applyNumberFormat="1">
      <alignment vertical="bottom"/>
    </xf>
    <xf borderId="6" fillId="0" fontId="7" numFmtId="0" xfId="0" applyAlignment="1" applyBorder="1" applyFont="1">
      <alignment vertical="bottom"/>
    </xf>
    <xf borderId="5" fillId="3" fontId="8" numFmtId="0" xfId="0" applyAlignment="1" applyBorder="1" applyFill="1" applyFont="1">
      <alignment vertical="bottom"/>
    </xf>
    <xf borderId="5" fillId="0" fontId="3" numFmtId="0" xfId="0" applyBorder="1" applyFont="1"/>
    <xf borderId="4" fillId="0" fontId="3" numFmtId="0" xfId="0" applyBorder="1" applyFont="1"/>
    <xf borderId="0" fillId="0" fontId="7" numFmtId="0" xfId="0" applyAlignment="1" applyFont="1">
      <alignment vertical="bottom"/>
    </xf>
    <xf borderId="7" fillId="3" fontId="9" numFmtId="4" xfId="0" applyAlignment="1" applyBorder="1" applyFill="1" applyFont="1" applyNumberFormat="1">
      <alignment horizontal="center" vertical="center"/>
    </xf>
    <xf borderId="2" fillId="3" fontId="10" numFmtId="4" xfId="0" applyAlignment="1" applyBorder="1" applyFill="1" applyFont="1" applyNumberFormat="1">
      <alignment readingOrder="0"/>
    </xf>
    <xf borderId="7" fillId="3" fontId="11" numFmtId="0" xfId="0" applyAlignment="1" applyBorder="1" applyFill="1" applyFont="1">
      <alignment readingOrder="0"/>
    </xf>
    <xf borderId="2" fillId="0" fontId="3" numFmtId="0" xfId="0" applyBorder="1" applyFont="1"/>
    <xf borderId="0" fillId="0" fontId="1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1" numFmtId="0" xfId="0" applyAlignment="1" applyBorder="1" applyFont="1">
      <alignment horizontal="right" readingOrder="0" vertical="bottom"/>
    </xf>
    <xf borderId="0" fillId="2" fontId="13" numFmtId="0" xfId="0" applyAlignment="1" applyFill="1" applyFont="1">
      <alignment horizontal="right"/>
    </xf>
    <xf borderId="1" fillId="0" fontId="1" numFmtId="0" xfId="0" applyBorder="1" applyFont="1"/>
    <xf borderId="1" fillId="0" fontId="1" numFmtId="2" xfId="0" applyBorder="1" applyFont="1" applyNumberFormat="1"/>
    <xf borderId="1" fillId="0" fontId="1" numFmtId="164" xfId="0" applyBorder="1" applyFont="1" applyNumberFormat="1"/>
    <xf borderId="1" fillId="2" fontId="13" numFmtId="164" xfId="0" applyAlignment="1" applyBorder="1" applyFill="1" applyFont="1" applyNumberFormat="1">
      <alignment horizontal="right"/>
    </xf>
    <xf borderId="1" fillId="2" fontId="13" numFmtId="2" xfId="0" applyAlignment="1" applyBorder="1" applyFill="1" applyFont="1" applyNumberFormat="1">
      <alignment horizontal="right"/>
    </xf>
    <xf borderId="0" fillId="2" fontId="14" numFmtId="0" xfId="0" applyAlignment="1" applyFill="1" applyFont="1">
      <alignment horizontal="left" readingOrder="0"/>
    </xf>
    <xf borderId="1" fillId="4" fontId="15" numFmtId="0" xfId="0" applyAlignment="1" applyBorder="1" applyFill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3" numFmtId="2" xfId="0" applyFont="1" applyNumberFormat="1"/>
    <xf borderId="0" fillId="2" fontId="14" numFmtId="2" xfId="0" applyFill="1" applyFont="1" applyNumberFormat="1"/>
    <xf borderId="0" fillId="2" fontId="14" numFmtId="0" xfId="0" applyFill="1" applyFont="1"/>
    <xf borderId="0" fillId="2" fontId="16" numFmtId="0" xfId="0" applyAlignment="1" applyFill="1" applyFont="1">
      <alignment horizontal="left" readingOrder="0"/>
    </xf>
    <xf borderId="1" fillId="2" fontId="13" numFmtId="2" xfId="0" applyAlignment="1" applyBorder="1" applyFill="1" applyFont="1" applyNumberFormat="1">
      <alignment horizontal="right" readingOrder="0"/>
    </xf>
    <xf borderId="0" fillId="0" fontId="1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2" fontId="14" numFmtId="0" xfId="0" applyAlignment="1" applyFill="1" applyFont="1">
      <alignment horizontal="left"/>
    </xf>
    <xf borderId="8" fillId="0" fontId="11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3" fillId="0" fontId="3" numFmtId="0" xfId="0" applyBorder="1" applyFont="1"/>
    <xf borderId="0" fillId="0" fontId="17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2" fontId="13" numFmtId="0" xfId="0" applyAlignment="1" applyBorder="1" applyFill="1" applyFont="1">
      <alignment horizontal="center"/>
    </xf>
    <xf borderId="0" fillId="2" fontId="14" numFmtId="0" xfId="0" applyAlignment="1" applyFill="1" applyFont="1">
      <alignment horizontal="right"/>
    </xf>
    <xf borderId="1" fillId="2" fontId="14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1" fillId="0" fontId="2" numFmtId="0" xfId="0" applyBorder="1" applyFont="1"/>
    <xf borderId="1" fillId="0" fontId="1" numFmtId="165" xfId="0" applyBorder="1" applyFont="1" applyNumberFormat="1"/>
    <xf borderId="0" fillId="2" fontId="13" numFmtId="0" xfId="0" applyAlignment="1" applyFill="1" applyFont="1">
      <alignment horizontal="left"/>
    </xf>
    <xf borderId="0" fillId="2" fontId="13" numFmtId="4" xfId="0" applyAlignment="1" applyFill="1" applyFont="1" applyNumberFormat="1">
      <alignment horizontal="left"/>
    </xf>
    <xf borderId="1" fillId="2" fontId="13" numFmtId="0" xfId="0" applyBorder="1" applyFill="1" applyFont="1"/>
    <xf borderId="7" fillId="0" fontId="1" numFmtId="0" xfId="0" applyBorder="1" applyFont="1"/>
    <xf borderId="1" fillId="0" fontId="2" numFmtId="0" xfId="0" applyAlignment="1" applyBorder="1" applyFont="1">
      <alignment horizontal="center" readingOrder="0"/>
    </xf>
    <xf borderId="0" fillId="0" fontId="3" numFmtId="164" xfId="0" applyFont="1" applyNumberForma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2" xfId="0" applyAlignment="1" applyBorder="1" applyFont="1" applyNumberFormat="1">
      <alignment readingOrder="0"/>
    </xf>
    <xf borderId="0" fillId="2" fontId="18" numFmtId="0" xfId="0" applyAlignment="1" applyFill="1" applyFont="1">
      <alignment horizontal="center" readingOrder="0" shrinkToFit="0" wrapText="0"/>
    </xf>
    <xf borderId="0" fillId="5" fontId="19" numFmtId="0" xfId="0" applyAlignment="1" applyFill="1" applyFont="1">
      <alignment shrinkToFit="0" wrapText="0"/>
    </xf>
    <xf borderId="0" fillId="5" fontId="20" numFmtId="0" xfId="0" applyAlignment="1" applyFill="1" applyFont="1">
      <alignment readingOrder="0" shrinkToFit="0" wrapText="0"/>
    </xf>
    <xf borderId="0" fillId="2" fontId="21" numFmtId="0" xfId="0" applyAlignment="1" applyFill="1" applyFont="1">
      <alignment horizontal="left" readingOrder="0" shrinkToFit="0" wrapText="0"/>
    </xf>
    <xf borderId="0" fillId="2" fontId="22" numFmtId="0" xfId="0" applyAlignment="1" applyFill="1" applyFont="1">
      <alignment horizontal="left" readingOrder="0" shrinkToFit="0" wrapText="0"/>
    </xf>
    <xf borderId="0" fillId="2" fontId="21" numFmtId="0" xfId="0" applyAlignment="1" applyFill="1" applyFont="1">
      <alignment horizontal="center" readingOrder="0" shrinkToFit="0" wrapText="0"/>
    </xf>
    <xf borderId="0" fillId="2" fontId="20" numFmtId="0" xfId="0" applyAlignment="1" applyFill="1" applyFont="1">
      <alignment readingOrder="0" shrinkToFit="0" wrapText="0"/>
    </xf>
    <xf borderId="0" fillId="2" fontId="19" numFmtId="0" xfId="0" applyAlignment="1" applyFill="1" applyFont="1">
      <alignment shrinkToFit="0" wrapText="0"/>
    </xf>
    <xf borderId="0" fillId="5" fontId="20" numFmtId="0" xfId="0" applyAlignment="1" applyFill="1" applyFont="1">
      <alignment horizontal="left" readingOrder="0" shrinkToFit="0" wrapText="0"/>
    </xf>
    <xf borderId="0" fillId="5" fontId="23" numFmtId="0" xfId="0" applyAlignment="1" applyFill="1" applyFont="1">
      <alignment horizontal="left" readingOrder="0" shrinkToFit="0" wrapText="0"/>
    </xf>
    <xf borderId="0" fillId="5" fontId="23" numFmtId="0" xfId="0" applyAlignment="1" applyFill="1" applyFont="1">
      <alignment horizontal="left" shrinkToFit="0" wrapText="0"/>
    </xf>
    <xf borderId="0" fillId="2" fontId="20" numFmtId="0" xfId="0" applyAlignment="1" applyFill="1" applyFont="1">
      <alignment horizontal="left" readingOrder="0" shrinkToFit="0" wrapText="0"/>
    </xf>
    <xf borderId="0" fillId="2" fontId="23" numFmtId="0" xfId="0" applyAlignment="1" applyFill="1" applyFont="1">
      <alignment horizontal="left" readingOrder="0" shrinkToFit="0" wrapText="0"/>
    </xf>
    <xf borderId="0" fillId="2" fontId="23" numFmtId="0" xfId="0" applyAlignment="1" applyFill="1" applyFont="1">
      <alignment horizontal="left" shrinkToFit="0" wrapText="0"/>
    </xf>
    <xf borderId="0" fillId="2" fontId="23" numFmtId="0" xfId="0" applyAlignment="1" applyFill="1" applyFont="1">
      <alignment horizontal="left" shrinkToFit="0" wrapText="0"/>
    </xf>
    <xf borderId="0" fillId="5" fontId="23" numFmtId="0" xfId="0" applyAlignment="1" applyFill="1" applyFont="1">
      <alignment horizontal="left" shrinkToFit="0" wrapText="0"/>
    </xf>
    <xf borderId="0" fillId="2" fontId="24" numFmtId="0" xfId="0" applyAlignment="1" applyFill="1" applyFont="1">
      <alignment readingOrder="0" shrinkToFit="0" wrapText="0"/>
    </xf>
    <xf borderId="0" fillId="5" fontId="24" numFmtId="0" xfId="0" applyAlignment="1" applyFill="1" applyFont="1">
      <alignment readingOrder="0" shrinkToFit="0" wrapText="0"/>
    </xf>
    <xf borderId="0" fillId="2" fontId="18" numFmtId="0" xfId="0" applyAlignment="1" applyFill="1" applyFont="1">
      <alignment horizontal="right" readingOrder="0" shrinkToFit="0" wrapText="0"/>
    </xf>
    <xf borderId="0" fillId="0" fontId="25" numFmtId="0" xfId="0" applyAlignment="1" applyFont="1">
      <alignment horizontal="right" readingOrder="0" shrinkToFit="0" wrapText="0"/>
    </xf>
    <xf borderId="0" fillId="0" fontId="26" numFmtId="166" xfId="0" applyAlignment="1" applyFont="1" applyNumberFormat="1">
      <alignment horizontal="right" readingOrder="0" shrinkToFit="0" wrapText="0"/>
    </xf>
    <xf borderId="0" fillId="0" fontId="27" numFmtId="0" xfId="0" applyAlignment="1" applyFont="1">
      <alignment horizontal="right" shrinkToFit="0" wrapText="0"/>
    </xf>
    <xf borderId="0" fillId="5" fontId="20" numFmtId="0" xfId="0" applyAlignment="1" applyFill="1" applyFont="1">
      <alignment horizontal="right" readingOrder="0" shrinkToFit="0" wrapText="0"/>
    </xf>
    <xf borderId="0" fillId="0" fontId="20" numFmtId="0" xfId="0" applyAlignment="1" applyFont="1">
      <alignment horizontal="right" readingOrder="0" shrinkToFit="0" wrapText="0"/>
    </xf>
    <xf borderId="0" fillId="0" fontId="19" numFmtId="0" xfId="0" applyAlignment="1" applyFont="1">
      <alignment horizontal="right" shrinkToFit="0" wrapText="0"/>
    </xf>
    <xf borderId="0" fillId="5" fontId="19" numFmtId="0" xfId="0" applyAlignment="1" applyFill="1" applyFont="1">
      <alignment horizontal="right" shrinkToFit="0" wrapText="0"/>
    </xf>
    <xf borderId="0" fillId="5" fontId="24" numFmtId="0" xfId="0" applyAlignment="1" applyFill="1" applyFont="1">
      <alignment horizontal="right" readingOrder="0" shrinkToFit="0" wrapText="0"/>
    </xf>
    <xf borderId="0" fillId="0" fontId="24" numFmtId="0" xfId="0" applyAlignment="1" applyFont="1">
      <alignment horizontal="right" readingOrder="0" shrinkToFit="0" wrapText="0"/>
    </xf>
    <xf borderId="0" fillId="2" fontId="28" numFmtId="0" xfId="0" applyAlignment="1" applyFill="1" applyFont="1">
      <alignment horizontal="right" readingOrder="0" shrinkToFit="0" wrapText="0"/>
    </xf>
    <xf borderId="0" fillId="2" fontId="20" numFmtId="0" xfId="0" applyAlignment="1" applyFill="1" applyFont="1">
      <alignment horizontal="right" readingOrder="0" shrinkToFit="0" wrapText="0"/>
    </xf>
    <xf borderId="0" fillId="0" fontId="3" numFmtId="4" xfId="0" applyFont="1" applyNumberFormat="1"/>
    <xf borderId="0" fillId="2" fontId="29" numFmtId="0" xfId="0" applyAlignment="1" applyFill="1" applyFont="1">
      <alignment readingOrder="0"/>
    </xf>
    <xf borderId="0" fillId="0" fontId="30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31" numFmtId="0" xfId="0" applyFont="1"/>
    <xf borderId="0" fillId="0" fontId="7" numFmtId="2" xfId="0" applyAlignment="1" applyFont="1" applyNumberFormat="1">
      <alignment horizontal="right" vertical="bottom"/>
    </xf>
    <xf borderId="0" fillId="2" fontId="32" numFmtId="2" xfId="0" applyFill="1" applyFont="1" applyNumberFormat="1"/>
    <xf borderId="0" fillId="2" fontId="33" numFmtId="2" xfId="0" applyFill="1" applyFont="1" applyNumberFormat="1"/>
    <xf borderId="0" fillId="0" fontId="7" numFmtId="2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7" numFmtId="164" xfId="0" applyAlignment="1" applyFont="1" applyNumberFormat="1">
      <alignment horizontal="right" readingOrder="0" vertical="bottom"/>
    </xf>
    <xf borderId="0" fillId="0" fontId="7" numFmtId="2" xfId="0" applyAlignment="1" applyFont="1" applyNumberFormat="1">
      <alignment horizontal="right" vertical="bottom"/>
    </xf>
    <xf borderId="0" fillId="0" fontId="30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3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2" fontId="16" numFmtId="2" xfId="0" applyAlignment="1" applyFill="1" applyFont="1" applyNumberFormat="1">
      <alignment horizontal="right" vertical="bottom"/>
    </xf>
    <xf borderId="0" fillId="2" fontId="14" numFmtId="2" xfId="0" applyAlignment="1" applyFill="1" applyFont="1" applyNumberFormat="1">
      <alignment horizontal="left"/>
    </xf>
    <xf borderId="9" fillId="6" fontId="35" numFmtId="0" xfId="0" applyAlignment="1" applyBorder="1" applyFill="1" applyFont="1">
      <alignment horizontal="center" readingOrder="0"/>
    </xf>
    <xf borderId="9" fillId="6" fontId="36" numFmtId="0" xfId="0" applyAlignment="1" applyBorder="1" applyFill="1" applyFont="1">
      <alignment horizontal="center" readingOrder="0"/>
    </xf>
    <xf borderId="9" fillId="6" fontId="36" numFmtId="166" xfId="0" applyAlignment="1" applyBorder="1" applyFill="1" applyFont="1" applyNumberFormat="1">
      <alignment horizontal="center" readingOrder="0"/>
    </xf>
    <xf borderId="9" fillId="4" fontId="35" numFmtId="0" xfId="0" applyAlignment="1" applyBorder="1" applyFill="1" applyFont="1">
      <alignment horizontal="center" readingOrder="0" vertical="bottom"/>
    </xf>
    <xf borderId="9" fillId="4" fontId="37" numFmtId="0" xfId="0" applyAlignment="1" applyBorder="1" applyFill="1" applyFont="1">
      <alignment horizontal="center" readingOrder="0" vertical="bottom"/>
    </xf>
    <xf borderId="9" fillId="6" fontId="35" numFmtId="0" xfId="0" applyAlignment="1" applyBorder="1" applyFill="1" applyFont="1">
      <alignment horizontal="center" vertical="bottom"/>
    </xf>
    <xf borderId="6" fillId="6" fontId="36" numFmtId="0" xfId="0" applyAlignment="1" applyBorder="1" applyFill="1" applyFont="1">
      <alignment horizontal="center" vertical="bottom"/>
    </xf>
    <xf borderId="6" fillId="6" fontId="36" numFmtId="166" xfId="0" applyAlignment="1" applyBorder="1" applyFill="1" applyFont="1" applyNumberFormat="1">
      <alignment horizontal="center" vertical="bottom"/>
    </xf>
    <xf borderId="9" fillId="4" fontId="35" numFmtId="0" xfId="0" applyAlignment="1" applyBorder="1" applyFill="1" applyFont="1">
      <alignment horizontal="center" vertical="bottom"/>
    </xf>
    <xf borderId="6" fillId="4" fontId="38" numFmtId="0" xfId="0" applyAlignment="1" applyBorder="1" applyFill="1" applyFont="1">
      <alignment horizontal="center" vertical="bottom"/>
    </xf>
    <xf borderId="6" fillId="4" fontId="35" numFmtId="0" xfId="0" applyAlignment="1" applyBorder="1" applyFill="1" applyFont="1">
      <alignment horizontal="center" vertical="bottom"/>
    </xf>
    <xf borderId="0" fillId="0" fontId="3" numFmtId="166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39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4" xfId="0" applyAlignment="1" applyFont="1" applyNumberFormat="1">
      <alignment horizontal="right" vertical="bottom"/>
    </xf>
    <xf borderId="0" fillId="0" fontId="7" numFmtId="4" xfId="0" applyAlignment="1" applyFont="1" applyNumberFormat="1">
      <alignment vertical="bottom"/>
    </xf>
    <xf borderId="0" fillId="0" fontId="7" numFmtId="4" xfId="0" applyAlignment="1" applyFont="1" applyNumberFormat="1">
      <alignment vertical="bottom"/>
    </xf>
    <xf borderId="0" fillId="0" fontId="7" numFmtId="2" xfId="0" applyAlignment="1" applyFont="1" applyNumberFormat="1">
      <alignment vertical="bottom"/>
    </xf>
    <xf borderId="9" fillId="4" fontId="35" numFmtId="2" xfId="0" applyAlignment="1" applyBorder="1" applyFill="1" applyFont="1" applyNumberFormat="1">
      <alignment horizontal="center" vertical="bottom"/>
    </xf>
    <xf borderId="6" fillId="4" fontId="35" numFmtId="1" xfId="0" applyAlignment="1" applyBorder="1" applyFill="1" applyFont="1" applyNumberFormat="1">
      <alignment horizontal="center" vertical="bottom"/>
    </xf>
    <xf borderId="0" fillId="0" fontId="3" numFmtId="4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</cellXfs>
  <cellStyles count="1">
    <cellStyle xfId="0" name="Normal" builtinId="0"/>
  </cellStyles>
  <dxfs count="7"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hashtagbasketball.com/111204/player" TargetMode="External"/><Relationship Id="rId194" Type="http://schemas.openxmlformats.org/officeDocument/2006/relationships/hyperlink" Target="https://hashtagbasketball.com/35219/player" TargetMode="External"/><Relationship Id="rId193" Type="http://schemas.openxmlformats.org/officeDocument/2006/relationships/hyperlink" Target="https://hashtagbasketball.com/31067/player" TargetMode="External"/><Relationship Id="rId192" Type="http://schemas.openxmlformats.org/officeDocument/2006/relationships/hyperlink" Target="https://hashtagbasketball.com/15199/player" TargetMode="External"/><Relationship Id="rId191" Type="http://schemas.openxmlformats.org/officeDocument/2006/relationships/hyperlink" Target="https://hashtagbasketball.com/17285/player" TargetMode="External"/><Relationship Id="rId187" Type="http://schemas.openxmlformats.org/officeDocument/2006/relationships/hyperlink" Target="https://hashtagbasketball.com/31051/player" TargetMode="External"/><Relationship Id="rId186" Type="http://schemas.openxmlformats.org/officeDocument/2006/relationships/hyperlink" Target="https://hashtagbasketball.com/17224/player" TargetMode="External"/><Relationship Id="rId185" Type="http://schemas.openxmlformats.org/officeDocument/2006/relationships/hyperlink" Target="https://hashtagbasketball.com/13817/player" TargetMode="External"/><Relationship Id="rId184" Type="http://schemas.openxmlformats.org/officeDocument/2006/relationships/hyperlink" Target="https://hashtagbasketball.com/13792/player" TargetMode="External"/><Relationship Id="rId189" Type="http://schemas.openxmlformats.org/officeDocument/2006/relationships/hyperlink" Target="https://hashtagbasketball.com/17190/player" TargetMode="External"/><Relationship Id="rId188" Type="http://schemas.openxmlformats.org/officeDocument/2006/relationships/hyperlink" Target="https://hashtagbasketball.com/15324/player" TargetMode="External"/><Relationship Id="rId183" Type="http://schemas.openxmlformats.org/officeDocument/2006/relationships/hyperlink" Target="https://hashtagbasketball.com/9239/player" TargetMode="External"/><Relationship Id="rId182" Type="http://schemas.openxmlformats.org/officeDocument/2006/relationships/hyperlink" Target="https://hashtagbasketball.com/9659/player" TargetMode="External"/><Relationship Id="rId181" Type="http://schemas.openxmlformats.org/officeDocument/2006/relationships/hyperlink" Target="https://hashtagbasketball.com/27652/player" TargetMode="External"/><Relationship Id="rId180" Type="http://schemas.openxmlformats.org/officeDocument/2006/relationships/hyperlink" Target="https://hashtagbasketball.com/9286/player" TargetMode="External"/><Relationship Id="rId176" Type="http://schemas.openxmlformats.org/officeDocument/2006/relationships/hyperlink" Target="https://hashtagbasketball.com/13740/player" TargetMode="External"/><Relationship Id="rId297" Type="http://schemas.openxmlformats.org/officeDocument/2006/relationships/hyperlink" Target="https://hashtagbasketball.com/31039/player" TargetMode="External"/><Relationship Id="rId175" Type="http://schemas.openxmlformats.org/officeDocument/2006/relationships/hyperlink" Target="https://hashtagbasketball.com/38938/player" TargetMode="External"/><Relationship Id="rId296" Type="http://schemas.openxmlformats.org/officeDocument/2006/relationships/hyperlink" Target="https://hashtagbasketball.com/38847/player" TargetMode="External"/><Relationship Id="rId174" Type="http://schemas.openxmlformats.org/officeDocument/2006/relationships/hyperlink" Target="https://hashtagbasketball.com/17276/player" TargetMode="External"/><Relationship Id="rId295" Type="http://schemas.openxmlformats.org/officeDocument/2006/relationships/hyperlink" Target="https://hashtagbasketball.com/9177/player" TargetMode="External"/><Relationship Id="rId173" Type="http://schemas.openxmlformats.org/officeDocument/2006/relationships/hyperlink" Target="https://hashtagbasketball.com/9456/player" TargetMode="External"/><Relationship Id="rId294" Type="http://schemas.openxmlformats.org/officeDocument/2006/relationships/hyperlink" Target="https://hashtagbasketball.com/33899/player" TargetMode="External"/><Relationship Id="rId179" Type="http://schemas.openxmlformats.org/officeDocument/2006/relationships/hyperlink" Target="https://hashtagbasketball.com/10129/player" TargetMode="External"/><Relationship Id="rId178" Type="http://schemas.openxmlformats.org/officeDocument/2006/relationships/hyperlink" Target="https://hashtagbasketball.com/9100/player" TargetMode="External"/><Relationship Id="rId299" Type="http://schemas.openxmlformats.org/officeDocument/2006/relationships/hyperlink" Target="https://hashtagbasketball.com/9477/player" TargetMode="External"/><Relationship Id="rId177" Type="http://schemas.openxmlformats.org/officeDocument/2006/relationships/hyperlink" Target="https://hashtagbasketball.com/17255/player" TargetMode="External"/><Relationship Id="rId298" Type="http://schemas.openxmlformats.org/officeDocument/2006/relationships/hyperlink" Target="https://hashtagbasketball.com/9513/player" TargetMode="External"/><Relationship Id="rId198" Type="http://schemas.openxmlformats.org/officeDocument/2006/relationships/hyperlink" Target="https://hashtagbasketball.com/9506/player" TargetMode="External"/><Relationship Id="rId197" Type="http://schemas.openxmlformats.org/officeDocument/2006/relationships/hyperlink" Target="https://hashtagbasketball.com/17286/player" TargetMode="External"/><Relationship Id="rId196" Type="http://schemas.openxmlformats.org/officeDocument/2006/relationships/hyperlink" Target="https://hashtagbasketball.com/17181/player" TargetMode="External"/><Relationship Id="rId195" Type="http://schemas.openxmlformats.org/officeDocument/2006/relationships/hyperlink" Target="https://hashtagbasketball.com/13786/player" TargetMode="External"/><Relationship Id="rId199" Type="http://schemas.openxmlformats.org/officeDocument/2006/relationships/hyperlink" Target="https://hashtagbasketball.com/38614/player" TargetMode="External"/><Relationship Id="rId150" Type="http://schemas.openxmlformats.org/officeDocument/2006/relationships/hyperlink" Target="https://hashtagbasketball.com/38635/player" TargetMode="External"/><Relationship Id="rId271" Type="http://schemas.openxmlformats.org/officeDocument/2006/relationships/hyperlink" Target="https://hashtagbasketball.com/31056/player" TargetMode="External"/><Relationship Id="rId392" Type="http://schemas.openxmlformats.org/officeDocument/2006/relationships/hyperlink" Target="https://hashtagbasketball.com/9179/player" TargetMode="External"/><Relationship Id="rId270" Type="http://schemas.openxmlformats.org/officeDocument/2006/relationships/hyperlink" Target="https://hashtagbasketball.com/111229/player" TargetMode="External"/><Relationship Id="rId391" Type="http://schemas.openxmlformats.org/officeDocument/2006/relationships/hyperlink" Target="https://hashtagbasketball.com/31050/player" TargetMode="External"/><Relationship Id="rId390" Type="http://schemas.openxmlformats.org/officeDocument/2006/relationships/hyperlink" Target="https://hashtagbasketball.com/9474/player" TargetMode="External"/><Relationship Id="rId1" Type="http://schemas.openxmlformats.org/officeDocument/2006/relationships/hyperlink" Target="https://hashtagbasketball.com/9196/player" TargetMode="External"/><Relationship Id="rId2" Type="http://schemas.openxmlformats.org/officeDocument/2006/relationships/hyperlink" Target="https://hashtagbasketball.com/9418/player" TargetMode="External"/><Relationship Id="rId3" Type="http://schemas.openxmlformats.org/officeDocument/2006/relationships/hyperlink" Target="https://hashtagbasketball.com/15208/player" TargetMode="External"/><Relationship Id="rId149" Type="http://schemas.openxmlformats.org/officeDocument/2006/relationships/hyperlink" Target="https://hashtagbasketball.com/27454/player" TargetMode="External"/><Relationship Id="rId4" Type="http://schemas.openxmlformats.org/officeDocument/2006/relationships/hyperlink" Target="https://hashtagbasketball.com/27619/player" TargetMode="External"/><Relationship Id="rId148" Type="http://schemas.openxmlformats.org/officeDocument/2006/relationships/hyperlink" Target="https://hashtagbasketball.com/9422/player" TargetMode="External"/><Relationship Id="rId269" Type="http://schemas.openxmlformats.org/officeDocument/2006/relationships/hyperlink" Target="https://hashtagbasketball.com/13791/player" TargetMode="External"/><Relationship Id="rId9" Type="http://schemas.openxmlformats.org/officeDocument/2006/relationships/hyperlink" Target="https://hashtagbasketball.com/9445/player" TargetMode="External"/><Relationship Id="rId143" Type="http://schemas.openxmlformats.org/officeDocument/2006/relationships/hyperlink" Target="https://hashtagbasketball.com/15293/player" TargetMode="External"/><Relationship Id="rId264" Type="http://schemas.openxmlformats.org/officeDocument/2006/relationships/hyperlink" Target="https://hashtagbasketball.com/9467/player" TargetMode="External"/><Relationship Id="rId385" Type="http://schemas.openxmlformats.org/officeDocument/2006/relationships/hyperlink" Target="https://hashtagbasketball.com/9130/player" TargetMode="External"/><Relationship Id="rId142" Type="http://schemas.openxmlformats.org/officeDocument/2006/relationships/hyperlink" Target="https://hashtagbasketball.com/13860/player" TargetMode="External"/><Relationship Id="rId263" Type="http://schemas.openxmlformats.org/officeDocument/2006/relationships/hyperlink" Target="https://hashtagbasketball.com/111208/player" TargetMode="External"/><Relationship Id="rId384" Type="http://schemas.openxmlformats.org/officeDocument/2006/relationships/hyperlink" Target="https://hashtagbasketball.com/111225/player" TargetMode="External"/><Relationship Id="rId141" Type="http://schemas.openxmlformats.org/officeDocument/2006/relationships/hyperlink" Target="https://hashtagbasketball.com/27593/player" TargetMode="External"/><Relationship Id="rId262" Type="http://schemas.openxmlformats.org/officeDocument/2006/relationships/hyperlink" Target="https://hashtagbasketball.com/39835/player" TargetMode="External"/><Relationship Id="rId383" Type="http://schemas.openxmlformats.org/officeDocument/2006/relationships/hyperlink" Target="https://hashtagbasketball.com/9271/player" TargetMode="External"/><Relationship Id="rId140" Type="http://schemas.openxmlformats.org/officeDocument/2006/relationships/hyperlink" Target="https://hashtagbasketball.com/9490/player" TargetMode="External"/><Relationship Id="rId261" Type="http://schemas.openxmlformats.org/officeDocument/2006/relationships/hyperlink" Target="https://hashtagbasketball.com/17230/player" TargetMode="External"/><Relationship Id="rId382" Type="http://schemas.openxmlformats.org/officeDocument/2006/relationships/hyperlink" Target="https://hashtagbasketball.com/9378/player" TargetMode="External"/><Relationship Id="rId5" Type="http://schemas.openxmlformats.org/officeDocument/2006/relationships/hyperlink" Target="https://hashtagbasketball.com/13730/player" TargetMode="External"/><Relationship Id="rId147" Type="http://schemas.openxmlformats.org/officeDocument/2006/relationships/hyperlink" Target="https://hashtagbasketball.com/9220/player" TargetMode="External"/><Relationship Id="rId268" Type="http://schemas.openxmlformats.org/officeDocument/2006/relationships/hyperlink" Target="https://hashtagbasketball.com/15212/player" TargetMode="External"/><Relationship Id="rId389" Type="http://schemas.openxmlformats.org/officeDocument/2006/relationships/hyperlink" Target="https://hashtagbasketball.com/15220/player" TargetMode="External"/><Relationship Id="rId6" Type="http://schemas.openxmlformats.org/officeDocument/2006/relationships/hyperlink" Target="https://hashtagbasketball.com/15200/player" TargetMode="External"/><Relationship Id="rId146" Type="http://schemas.openxmlformats.org/officeDocument/2006/relationships/hyperlink" Target="https://hashtagbasketball.com/10127/player" TargetMode="External"/><Relationship Id="rId267" Type="http://schemas.openxmlformats.org/officeDocument/2006/relationships/hyperlink" Target="https://hashtagbasketball.com/10155/player" TargetMode="External"/><Relationship Id="rId388" Type="http://schemas.openxmlformats.org/officeDocument/2006/relationships/hyperlink" Target="https://hashtagbasketball.com/17211/player" TargetMode="External"/><Relationship Id="rId7" Type="http://schemas.openxmlformats.org/officeDocument/2006/relationships/hyperlink" Target="https://hashtagbasketball.com/9218/player" TargetMode="External"/><Relationship Id="rId145" Type="http://schemas.openxmlformats.org/officeDocument/2006/relationships/hyperlink" Target="https://hashtagbasketball.com/27590/player" TargetMode="External"/><Relationship Id="rId266" Type="http://schemas.openxmlformats.org/officeDocument/2006/relationships/hyperlink" Target="https://hashtagbasketball.com/9394/player" TargetMode="External"/><Relationship Id="rId387" Type="http://schemas.openxmlformats.org/officeDocument/2006/relationships/hyperlink" Target="https://hashtagbasketball.com/31047/player" TargetMode="External"/><Relationship Id="rId8" Type="http://schemas.openxmlformats.org/officeDocument/2006/relationships/hyperlink" Target="https://hashtagbasketball.com/9386/player" TargetMode="External"/><Relationship Id="rId144" Type="http://schemas.openxmlformats.org/officeDocument/2006/relationships/hyperlink" Target="https://hashtagbasketball.com/110400/player" TargetMode="External"/><Relationship Id="rId265" Type="http://schemas.openxmlformats.org/officeDocument/2006/relationships/hyperlink" Target="https://hashtagbasketball.com/27850/player" TargetMode="External"/><Relationship Id="rId386" Type="http://schemas.openxmlformats.org/officeDocument/2006/relationships/hyperlink" Target="https://hashtagbasketball.com/9431/player" TargetMode="External"/><Relationship Id="rId260" Type="http://schemas.openxmlformats.org/officeDocument/2006/relationships/hyperlink" Target="https://hashtagbasketball.com/9213/player" TargetMode="External"/><Relationship Id="rId381" Type="http://schemas.openxmlformats.org/officeDocument/2006/relationships/hyperlink" Target="https://hashtagbasketball.com/38956/player" TargetMode="External"/><Relationship Id="rId380" Type="http://schemas.openxmlformats.org/officeDocument/2006/relationships/hyperlink" Target="https://hashtagbasketball.com/38959/player" TargetMode="External"/><Relationship Id="rId139" Type="http://schemas.openxmlformats.org/officeDocument/2006/relationships/hyperlink" Target="https://hashtagbasketball.com/17273/player" TargetMode="External"/><Relationship Id="rId138" Type="http://schemas.openxmlformats.org/officeDocument/2006/relationships/hyperlink" Target="https://hashtagbasketball.com/15214/player" TargetMode="External"/><Relationship Id="rId259" Type="http://schemas.openxmlformats.org/officeDocument/2006/relationships/hyperlink" Target="https://hashtagbasketball.com/38695/player" TargetMode="External"/><Relationship Id="rId137" Type="http://schemas.openxmlformats.org/officeDocument/2006/relationships/hyperlink" Target="https://hashtagbasketball.com/17312/player" TargetMode="External"/><Relationship Id="rId258" Type="http://schemas.openxmlformats.org/officeDocument/2006/relationships/hyperlink" Target="https://hashtagbasketball.com/38740/player" TargetMode="External"/><Relationship Id="rId379" Type="http://schemas.openxmlformats.org/officeDocument/2006/relationships/hyperlink" Target="https://hashtagbasketball.com/111245/player" TargetMode="External"/><Relationship Id="rId132" Type="http://schemas.openxmlformats.org/officeDocument/2006/relationships/hyperlink" Target="https://hashtagbasketball.com/9406/player" TargetMode="External"/><Relationship Id="rId253" Type="http://schemas.openxmlformats.org/officeDocument/2006/relationships/hyperlink" Target="https://hashtagbasketball.com/111209/player" TargetMode="External"/><Relationship Id="rId374" Type="http://schemas.openxmlformats.org/officeDocument/2006/relationships/hyperlink" Target="https://hashtagbasketball.com/111217/player" TargetMode="External"/><Relationship Id="rId131" Type="http://schemas.openxmlformats.org/officeDocument/2006/relationships/hyperlink" Target="https://hashtagbasketball.com/9283/player" TargetMode="External"/><Relationship Id="rId252" Type="http://schemas.openxmlformats.org/officeDocument/2006/relationships/hyperlink" Target="https://hashtagbasketball.com/17308/player" TargetMode="External"/><Relationship Id="rId373" Type="http://schemas.openxmlformats.org/officeDocument/2006/relationships/hyperlink" Target="https://hashtagbasketball.com/31073/player" TargetMode="External"/><Relationship Id="rId130" Type="http://schemas.openxmlformats.org/officeDocument/2006/relationships/hyperlink" Target="https://hashtagbasketball.com/9495/player" TargetMode="External"/><Relationship Id="rId251" Type="http://schemas.openxmlformats.org/officeDocument/2006/relationships/hyperlink" Target="https://hashtagbasketball.com/27624/player" TargetMode="External"/><Relationship Id="rId372" Type="http://schemas.openxmlformats.org/officeDocument/2006/relationships/hyperlink" Target="https://hashtagbasketball.com/13735/player" TargetMode="External"/><Relationship Id="rId250" Type="http://schemas.openxmlformats.org/officeDocument/2006/relationships/hyperlink" Target="https://hashtagbasketball.com/27462/player" TargetMode="External"/><Relationship Id="rId371" Type="http://schemas.openxmlformats.org/officeDocument/2006/relationships/hyperlink" Target="https://hashtagbasketball.com/111253/player" TargetMode="External"/><Relationship Id="rId136" Type="http://schemas.openxmlformats.org/officeDocument/2006/relationships/hyperlink" Target="https://hashtagbasketball.com/9317/player" TargetMode="External"/><Relationship Id="rId257" Type="http://schemas.openxmlformats.org/officeDocument/2006/relationships/hyperlink" Target="https://hashtagbasketball.com/17208/player" TargetMode="External"/><Relationship Id="rId378" Type="http://schemas.openxmlformats.org/officeDocument/2006/relationships/hyperlink" Target="https://hashtagbasketball.com/27645/player" TargetMode="External"/><Relationship Id="rId135" Type="http://schemas.openxmlformats.org/officeDocument/2006/relationships/hyperlink" Target="https://hashtagbasketball.com/27627/player" TargetMode="External"/><Relationship Id="rId256" Type="http://schemas.openxmlformats.org/officeDocument/2006/relationships/hyperlink" Target="https://hashtagbasketball.com/9430/player" TargetMode="External"/><Relationship Id="rId377" Type="http://schemas.openxmlformats.org/officeDocument/2006/relationships/hyperlink" Target="https://hashtagbasketball.com/38943/player" TargetMode="External"/><Relationship Id="rId134" Type="http://schemas.openxmlformats.org/officeDocument/2006/relationships/hyperlink" Target="https://hashtagbasketball.com/13726/player" TargetMode="External"/><Relationship Id="rId255" Type="http://schemas.openxmlformats.org/officeDocument/2006/relationships/hyperlink" Target="https://hashtagbasketball.com/14134/player" TargetMode="External"/><Relationship Id="rId376" Type="http://schemas.openxmlformats.org/officeDocument/2006/relationships/hyperlink" Target="https://hashtagbasketball.com/31068/player" TargetMode="External"/><Relationship Id="rId133" Type="http://schemas.openxmlformats.org/officeDocument/2006/relationships/hyperlink" Target="https://hashtagbasketball.com/9500/player" TargetMode="External"/><Relationship Id="rId254" Type="http://schemas.openxmlformats.org/officeDocument/2006/relationships/hyperlink" Target="https://hashtagbasketball.com/17196/player" TargetMode="External"/><Relationship Id="rId375" Type="http://schemas.openxmlformats.org/officeDocument/2006/relationships/hyperlink" Target="https://hashtagbasketball.com/111224/player" TargetMode="External"/><Relationship Id="rId172" Type="http://schemas.openxmlformats.org/officeDocument/2006/relationships/hyperlink" Target="https://hashtagbasketball.com/11882/player" TargetMode="External"/><Relationship Id="rId293" Type="http://schemas.openxmlformats.org/officeDocument/2006/relationships/hyperlink" Target="https://hashtagbasketball.com/17217/player" TargetMode="External"/><Relationship Id="rId171" Type="http://schemas.openxmlformats.org/officeDocument/2006/relationships/hyperlink" Target="https://hashtagbasketball.com/31044/player" TargetMode="External"/><Relationship Id="rId292" Type="http://schemas.openxmlformats.org/officeDocument/2006/relationships/hyperlink" Target="https://hashtagbasketball.com/27718/player" TargetMode="External"/><Relationship Id="rId170" Type="http://schemas.openxmlformats.org/officeDocument/2006/relationships/hyperlink" Target="https://hashtagbasketball.com/38940/player" TargetMode="External"/><Relationship Id="rId291" Type="http://schemas.openxmlformats.org/officeDocument/2006/relationships/hyperlink" Target="https://hashtagbasketball.com/27683/player" TargetMode="External"/><Relationship Id="rId290" Type="http://schemas.openxmlformats.org/officeDocument/2006/relationships/hyperlink" Target="https://hashtagbasketball.com/39836/player" TargetMode="External"/><Relationship Id="rId165" Type="http://schemas.openxmlformats.org/officeDocument/2006/relationships/hyperlink" Target="https://hashtagbasketball.com/17270/player" TargetMode="External"/><Relationship Id="rId286" Type="http://schemas.openxmlformats.org/officeDocument/2006/relationships/hyperlink" Target="https://hashtagbasketball.com/27596/player" TargetMode="External"/><Relationship Id="rId164" Type="http://schemas.openxmlformats.org/officeDocument/2006/relationships/hyperlink" Target="https://hashtagbasketball.com/13739/player" TargetMode="External"/><Relationship Id="rId285" Type="http://schemas.openxmlformats.org/officeDocument/2006/relationships/hyperlink" Target="https://hashtagbasketball.com/111210/player" TargetMode="External"/><Relationship Id="rId163" Type="http://schemas.openxmlformats.org/officeDocument/2006/relationships/hyperlink" Target="https://hashtagbasketball.com/9133/player" TargetMode="External"/><Relationship Id="rId284" Type="http://schemas.openxmlformats.org/officeDocument/2006/relationships/hyperlink" Target="https://hashtagbasketball.com/13790/player" TargetMode="External"/><Relationship Id="rId162" Type="http://schemas.openxmlformats.org/officeDocument/2006/relationships/hyperlink" Target="https://hashtagbasketball.com/17251/player" TargetMode="External"/><Relationship Id="rId283" Type="http://schemas.openxmlformats.org/officeDocument/2006/relationships/hyperlink" Target="https://hashtagbasketball.com/9507/player" TargetMode="External"/><Relationship Id="rId169" Type="http://schemas.openxmlformats.org/officeDocument/2006/relationships/hyperlink" Target="https://hashtagbasketball.com/9387/player" TargetMode="External"/><Relationship Id="rId168" Type="http://schemas.openxmlformats.org/officeDocument/2006/relationships/hyperlink" Target="https://hashtagbasketball.com/27622/player" TargetMode="External"/><Relationship Id="rId289" Type="http://schemas.openxmlformats.org/officeDocument/2006/relationships/hyperlink" Target="https://hashtagbasketball.com/9187/player" TargetMode="External"/><Relationship Id="rId167" Type="http://schemas.openxmlformats.org/officeDocument/2006/relationships/hyperlink" Target="https://hashtagbasketball.com/15355/player" TargetMode="External"/><Relationship Id="rId288" Type="http://schemas.openxmlformats.org/officeDocument/2006/relationships/hyperlink" Target="https://hashtagbasketball.com/39833/player" TargetMode="External"/><Relationship Id="rId166" Type="http://schemas.openxmlformats.org/officeDocument/2006/relationships/hyperlink" Target="https://hashtagbasketball.com/27661/player" TargetMode="External"/><Relationship Id="rId287" Type="http://schemas.openxmlformats.org/officeDocument/2006/relationships/hyperlink" Target="https://hashtagbasketball.com/31042/player" TargetMode="External"/><Relationship Id="rId161" Type="http://schemas.openxmlformats.org/officeDocument/2006/relationships/hyperlink" Target="https://hashtagbasketball.com/31054/player" TargetMode="External"/><Relationship Id="rId282" Type="http://schemas.openxmlformats.org/officeDocument/2006/relationships/hyperlink" Target="https://hashtagbasketball.com/9512/player" TargetMode="External"/><Relationship Id="rId160" Type="http://schemas.openxmlformats.org/officeDocument/2006/relationships/hyperlink" Target="https://hashtagbasketball.com/38941/player" TargetMode="External"/><Relationship Id="rId281" Type="http://schemas.openxmlformats.org/officeDocument/2006/relationships/hyperlink" Target="https://hashtagbasketball.com/9423/player" TargetMode="External"/><Relationship Id="rId280" Type="http://schemas.openxmlformats.org/officeDocument/2006/relationships/hyperlink" Target="https://hashtagbasketball.com/10162/player" TargetMode="External"/><Relationship Id="rId159" Type="http://schemas.openxmlformats.org/officeDocument/2006/relationships/hyperlink" Target="https://hashtagbasketball.com/9107/player" TargetMode="External"/><Relationship Id="rId154" Type="http://schemas.openxmlformats.org/officeDocument/2006/relationships/hyperlink" Target="https://hashtagbasketball.com/17305/player" TargetMode="External"/><Relationship Id="rId275" Type="http://schemas.openxmlformats.org/officeDocument/2006/relationships/hyperlink" Target="https://hashtagbasketball.com/31071/player" TargetMode="External"/><Relationship Id="rId396" Type="http://schemas.openxmlformats.org/officeDocument/2006/relationships/hyperlink" Target="https://hashtagbasketball.com/13777/player" TargetMode="External"/><Relationship Id="rId153" Type="http://schemas.openxmlformats.org/officeDocument/2006/relationships/hyperlink" Target="https://hashtagbasketball.com/15281/player" TargetMode="External"/><Relationship Id="rId274" Type="http://schemas.openxmlformats.org/officeDocument/2006/relationships/hyperlink" Target="https://hashtagbasketball.com/27637/player" TargetMode="External"/><Relationship Id="rId395" Type="http://schemas.openxmlformats.org/officeDocument/2006/relationships/hyperlink" Target="https://hashtagbasketball.com/111211/player" TargetMode="External"/><Relationship Id="rId152" Type="http://schemas.openxmlformats.org/officeDocument/2006/relationships/hyperlink" Target="https://hashtagbasketball.com/10133/player" TargetMode="External"/><Relationship Id="rId273" Type="http://schemas.openxmlformats.org/officeDocument/2006/relationships/hyperlink" Target="https://hashtagbasketball.com/15261/player" TargetMode="External"/><Relationship Id="rId394" Type="http://schemas.openxmlformats.org/officeDocument/2006/relationships/hyperlink" Target="https://hashtagbasketball.com/39849/player" TargetMode="External"/><Relationship Id="rId151" Type="http://schemas.openxmlformats.org/officeDocument/2006/relationships/hyperlink" Target="https://hashtagbasketball.com/31031/player" TargetMode="External"/><Relationship Id="rId272" Type="http://schemas.openxmlformats.org/officeDocument/2006/relationships/hyperlink" Target="https://hashtagbasketball.com/9420/player" TargetMode="External"/><Relationship Id="rId393" Type="http://schemas.openxmlformats.org/officeDocument/2006/relationships/hyperlink" Target="https://hashtagbasketball.com/43375/player" TargetMode="External"/><Relationship Id="rId158" Type="http://schemas.openxmlformats.org/officeDocument/2006/relationships/hyperlink" Target="https://hashtagbasketball.com/15205/player" TargetMode="External"/><Relationship Id="rId279" Type="http://schemas.openxmlformats.org/officeDocument/2006/relationships/hyperlink" Target="https://hashtagbasketball.com/109469/player" TargetMode="External"/><Relationship Id="rId157" Type="http://schemas.openxmlformats.org/officeDocument/2006/relationships/hyperlink" Target="https://hashtagbasketball.com/9084/player" TargetMode="External"/><Relationship Id="rId278" Type="http://schemas.openxmlformats.org/officeDocument/2006/relationships/hyperlink" Target="https://hashtagbasketball.com/27883/player" TargetMode="External"/><Relationship Id="rId399" Type="http://schemas.openxmlformats.org/officeDocument/2006/relationships/hyperlink" Target="https://hashtagbasketball.com/31075/player" TargetMode="External"/><Relationship Id="rId156" Type="http://schemas.openxmlformats.org/officeDocument/2006/relationships/hyperlink" Target="https://hashtagbasketball.com/9390/player" TargetMode="External"/><Relationship Id="rId277" Type="http://schemas.openxmlformats.org/officeDocument/2006/relationships/hyperlink" Target="https://hashtagbasketball.com/38571/player" TargetMode="External"/><Relationship Id="rId398" Type="http://schemas.openxmlformats.org/officeDocument/2006/relationships/hyperlink" Target="https://hashtagbasketball.com/17282/player" TargetMode="External"/><Relationship Id="rId155" Type="http://schemas.openxmlformats.org/officeDocument/2006/relationships/hyperlink" Target="https://hashtagbasketball.com/9227/player" TargetMode="External"/><Relationship Id="rId276" Type="http://schemas.openxmlformats.org/officeDocument/2006/relationships/hyperlink" Target="https://hashtagbasketball.com/53607/player" TargetMode="External"/><Relationship Id="rId397" Type="http://schemas.openxmlformats.org/officeDocument/2006/relationships/hyperlink" Target="https://hashtagbasketball.com/31061/player" TargetMode="External"/><Relationship Id="rId40" Type="http://schemas.openxmlformats.org/officeDocument/2006/relationships/hyperlink" Target="https://hashtagbasketball.com/13732/player" TargetMode="External"/><Relationship Id="rId42" Type="http://schemas.openxmlformats.org/officeDocument/2006/relationships/hyperlink" Target="https://hashtagbasketball.com/31032/player" TargetMode="External"/><Relationship Id="rId41" Type="http://schemas.openxmlformats.org/officeDocument/2006/relationships/hyperlink" Target="https://hashtagbasketball.com/10134/player" TargetMode="External"/><Relationship Id="rId44" Type="http://schemas.openxmlformats.org/officeDocument/2006/relationships/hyperlink" Target="https://hashtagbasketball.com/38790/player" TargetMode="External"/><Relationship Id="rId43" Type="http://schemas.openxmlformats.org/officeDocument/2006/relationships/hyperlink" Target="https://hashtagbasketball.com/110399/player" TargetMode="External"/><Relationship Id="rId46" Type="http://schemas.openxmlformats.org/officeDocument/2006/relationships/hyperlink" Target="https://hashtagbasketball.com/9412/player" TargetMode="External"/><Relationship Id="rId45" Type="http://schemas.openxmlformats.org/officeDocument/2006/relationships/hyperlink" Target="https://hashtagbasketball.com/27450/player" TargetMode="External"/><Relationship Id="rId48" Type="http://schemas.openxmlformats.org/officeDocument/2006/relationships/hyperlink" Target="https://hashtagbasketball.com/15198/player" TargetMode="External"/><Relationship Id="rId47" Type="http://schemas.openxmlformats.org/officeDocument/2006/relationships/hyperlink" Target="https://hashtagbasketball.com/17252/player" TargetMode="External"/><Relationship Id="rId49" Type="http://schemas.openxmlformats.org/officeDocument/2006/relationships/hyperlink" Target="https://hashtagbasketball.com/10123/player" TargetMode="External"/><Relationship Id="rId31" Type="http://schemas.openxmlformats.org/officeDocument/2006/relationships/hyperlink" Target="https://hashtagbasketball.com/9252/player" TargetMode="External"/><Relationship Id="rId30" Type="http://schemas.openxmlformats.org/officeDocument/2006/relationships/hyperlink" Target="https://hashtagbasketball.com/9373/player" TargetMode="External"/><Relationship Id="rId33" Type="http://schemas.openxmlformats.org/officeDocument/2006/relationships/hyperlink" Target="https://hashtagbasketball.com/9489/player" TargetMode="External"/><Relationship Id="rId32" Type="http://schemas.openxmlformats.org/officeDocument/2006/relationships/hyperlink" Target="https://hashtagbasketball.com/17191/player" TargetMode="External"/><Relationship Id="rId35" Type="http://schemas.openxmlformats.org/officeDocument/2006/relationships/hyperlink" Target="https://hashtagbasketball.com/10165/player" TargetMode="External"/><Relationship Id="rId34" Type="http://schemas.openxmlformats.org/officeDocument/2006/relationships/hyperlink" Target="https://hashtagbasketball.com/10124/player" TargetMode="External"/><Relationship Id="rId37" Type="http://schemas.openxmlformats.org/officeDocument/2006/relationships/hyperlink" Target="https://hashtagbasketball.com/15280/player" TargetMode="External"/><Relationship Id="rId36" Type="http://schemas.openxmlformats.org/officeDocument/2006/relationships/hyperlink" Target="https://hashtagbasketball.com/10090/player" TargetMode="External"/><Relationship Id="rId39" Type="http://schemas.openxmlformats.org/officeDocument/2006/relationships/hyperlink" Target="https://hashtagbasketball.com/31030/player" TargetMode="External"/><Relationship Id="rId38" Type="http://schemas.openxmlformats.org/officeDocument/2006/relationships/hyperlink" Target="https://hashtagbasketball.com/9343/player" TargetMode="External"/><Relationship Id="rId20" Type="http://schemas.openxmlformats.org/officeDocument/2006/relationships/hyperlink" Target="https://hashtagbasketball.com/9476/player" TargetMode="External"/><Relationship Id="rId22" Type="http://schemas.openxmlformats.org/officeDocument/2006/relationships/hyperlink" Target="https://hashtagbasketball.com/9346/player" TargetMode="External"/><Relationship Id="rId21" Type="http://schemas.openxmlformats.org/officeDocument/2006/relationships/hyperlink" Target="https://hashtagbasketball.com/9325/player" TargetMode="External"/><Relationship Id="rId24" Type="http://schemas.openxmlformats.org/officeDocument/2006/relationships/hyperlink" Target="https://hashtagbasketball.com/15207/player" TargetMode="External"/><Relationship Id="rId23" Type="http://schemas.openxmlformats.org/officeDocument/2006/relationships/hyperlink" Target="https://hashtagbasketball.com/27638/player" TargetMode="External"/><Relationship Id="rId401" Type="http://schemas.openxmlformats.org/officeDocument/2006/relationships/drawing" Target="../drawings/drawing9.xml"/><Relationship Id="rId26" Type="http://schemas.openxmlformats.org/officeDocument/2006/relationships/hyperlink" Target="https://hashtagbasketball.com/27649/player" TargetMode="External"/><Relationship Id="rId25" Type="http://schemas.openxmlformats.org/officeDocument/2006/relationships/hyperlink" Target="https://hashtagbasketball.com/13734/player" TargetMode="External"/><Relationship Id="rId28" Type="http://schemas.openxmlformats.org/officeDocument/2006/relationships/hyperlink" Target="https://hashtagbasketball.com/13742/player" TargetMode="External"/><Relationship Id="rId27" Type="http://schemas.openxmlformats.org/officeDocument/2006/relationships/hyperlink" Target="https://hashtagbasketball.com/9250/player" TargetMode="External"/><Relationship Id="rId400" Type="http://schemas.openxmlformats.org/officeDocument/2006/relationships/hyperlink" Target="https://hashtagbasketball.com/35209/player" TargetMode="External"/><Relationship Id="rId29" Type="http://schemas.openxmlformats.org/officeDocument/2006/relationships/hyperlink" Target="https://hashtagbasketball.com/9158/player" TargetMode="External"/><Relationship Id="rId11" Type="http://schemas.openxmlformats.org/officeDocument/2006/relationships/hyperlink" Target="https://hashtagbasketball.com/9354/player" TargetMode="External"/><Relationship Id="rId10" Type="http://schemas.openxmlformats.org/officeDocument/2006/relationships/hyperlink" Target="https://hashtagbasketball.com/9157/player" TargetMode="External"/><Relationship Id="rId13" Type="http://schemas.openxmlformats.org/officeDocument/2006/relationships/hyperlink" Target="https://hashtagbasketball.com/13741/player" TargetMode="External"/><Relationship Id="rId12" Type="http://schemas.openxmlformats.org/officeDocument/2006/relationships/hyperlink" Target="https://hashtagbasketball.com/27469/player" TargetMode="External"/><Relationship Id="rId15" Type="http://schemas.openxmlformats.org/officeDocument/2006/relationships/hyperlink" Target="https://hashtagbasketball.com/15202/player" TargetMode="External"/><Relationship Id="rId14" Type="http://schemas.openxmlformats.org/officeDocument/2006/relationships/hyperlink" Target="https://hashtagbasketball.com/9434/player" TargetMode="External"/><Relationship Id="rId17" Type="http://schemas.openxmlformats.org/officeDocument/2006/relationships/hyperlink" Target="https://hashtagbasketball.com/15201/player" TargetMode="External"/><Relationship Id="rId16" Type="http://schemas.openxmlformats.org/officeDocument/2006/relationships/hyperlink" Target="https://hashtagbasketball.com/10113/player" TargetMode="External"/><Relationship Id="rId19" Type="http://schemas.openxmlformats.org/officeDocument/2006/relationships/hyperlink" Target="https://hashtagbasketball.com/9152/player" TargetMode="External"/><Relationship Id="rId18" Type="http://schemas.openxmlformats.org/officeDocument/2006/relationships/hyperlink" Target="https://hashtagbasketball.com/9232/player" TargetMode="External"/><Relationship Id="rId84" Type="http://schemas.openxmlformats.org/officeDocument/2006/relationships/hyperlink" Target="https://hashtagbasketball.com/9285/player" TargetMode="External"/><Relationship Id="rId83" Type="http://schemas.openxmlformats.org/officeDocument/2006/relationships/hyperlink" Target="https://hashtagbasketball.com/10122/player" TargetMode="External"/><Relationship Id="rId86" Type="http://schemas.openxmlformats.org/officeDocument/2006/relationships/hyperlink" Target="https://hashtagbasketball.com/9237/player" TargetMode="External"/><Relationship Id="rId85" Type="http://schemas.openxmlformats.org/officeDocument/2006/relationships/hyperlink" Target="https://hashtagbasketball.com/13753/player" TargetMode="External"/><Relationship Id="rId88" Type="http://schemas.openxmlformats.org/officeDocument/2006/relationships/hyperlink" Target="https://hashtagbasketball.com/9447/player" TargetMode="External"/><Relationship Id="rId87" Type="http://schemas.openxmlformats.org/officeDocument/2006/relationships/hyperlink" Target="https://hashtagbasketball.com/35041/player" TargetMode="External"/><Relationship Id="rId89" Type="http://schemas.openxmlformats.org/officeDocument/2006/relationships/hyperlink" Target="https://hashtagbasketball.com/13784/player" TargetMode="External"/><Relationship Id="rId80" Type="http://schemas.openxmlformats.org/officeDocument/2006/relationships/hyperlink" Target="https://hashtagbasketball.com/9221/player" TargetMode="External"/><Relationship Id="rId82" Type="http://schemas.openxmlformats.org/officeDocument/2006/relationships/hyperlink" Target="https://hashtagbasketball.com/27884/player" TargetMode="External"/><Relationship Id="rId81" Type="http://schemas.openxmlformats.org/officeDocument/2006/relationships/hyperlink" Target="https://hashtagbasketball.com/9347/player" TargetMode="External"/><Relationship Id="rId73" Type="http://schemas.openxmlformats.org/officeDocument/2006/relationships/hyperlink" Target="https://hashtagbasketball.com/9419/player" TargetMode="External"/><Relationship Id="rId72" Type="http://schemas.openxmlformats.org/officeDocument/2006/relationships/hyperlink" Target="https://hashtagbasketball.com/17295/player" TargetMode="External"/><Relationship Id="rId75" Type="http://schemas.openxmlformats.org/officeDocument/2006/relationships/hyperlink" Target="https://hashtagbasketball.com/9105/player" TargetMode="External"/><Relationship Id="rId74" Type="http://schemas.openxmlformats.org/officeDocument/2006/relationships/hyperlink" Target="https://hashtagbasketball.com/13729/player" TargetMode="External"/><Relationship Id="rId77" Type="http://schemas.openxmlformats.org/officeDocument/2006/relationships/hyperlink" Target="https://hashtagbasketball.com/15209/player" TargetMode="External"/><Relationship Id="rId76" Type="http://schemas.openxmlformats.org/officeDocument/2006/relationships/hyperlink" Target="https://hashtagbasketball.com/9503/player" TargetMode="External"/><Relationship Id="rId79" Type="http://schemas.openxmlformats.org/officeDocument/2006/relationships/hyperlink" Target="https://hashtagbasketball.com/31035/player" TargetMode="External"/><Relationship Id="rId78" Type="http://schemas.openxmlformats.org/officeDocument/2006/relationships/hyperlink" Target="https://hashtagbasketball.com/31033/player" TargetMode="External"/><Relationship Id="rId71" Type="http://schemas.openxmlformats.org/officeDocument/2006/relationships/hyperlink" Target="https://hashtagbasketball.com/13756/player" TargetMode="External"/><Relationship Id="rId70" Type="http://schemas.openxmlformats.org/officeDocument/2006/relationships/hyperlink" Target="https://hashtagbasketball.com/9282/player" TargetMode="External"/><Relationship Id="rId62" Type="http://schemas.openxmlformats.org/officeDocument/2006/relationships/hyperlink" Target="https://hashtagbasketball.com/17259/player" TargetMode="External"/><Relationship Id="rId61" Type="http://schemas.openxmlformats.org/officeDocument/2006/relationships/hyperlink" Target="https://hashtagbasketball.com/15221/player" TargetMode="External"/><Relationship Id="rId64" Type="http://schemas.openxmlformats.org/officeDocument/2006/relationships/hyperlink" Target="https://hashtagbasketball.com/9118/player" TargetMode="External"/><Relationship Id="rId63" Type="http://schemas.openxmlformats.org/officeDocument/2006/relationships/hyperlink" Target="https://hashtagbasketball.com/27644/player" TargetMode="External"/><Relationship Id="rId66" Type="http://schemas.openxmlformats.org/officeDocument/2006/relationships/hyperlink" Target="https://hashtagbasketball.com/38949/player" TargetMode="External"/><Relationship Id="rId65" Type="http://schemas.openxmlformats.org/officeDocument/2006/relationships/hyperlink" Target="https://hashtagbasketball.com/27342/player" TargetMode="External"/><Relationship Id="rId68" Type="http://schemas.openxmlformats.org/officeDocument/2006/relationships/hyperlink" Target="https://hashtagbasketball.com/38835/player" TargetMode="External"/><Relationship Id="rId67" Type="http://schemas.openxmlformats.org/officeDocument/2006/relationships/hyperlink" Target="https://hashtagbasketball.com/13750/player" TargetMode="External"/><Relationship Id="rId60" Type="http://schemas.openxmlformats.org/officeDocument/2006/relationships/hyperlink" Target="https://hashtagbasketball.com/17197/player" TargetMode="External"/><Relationship Id="rId69" Type="http://schemas.openxmlformats.org/officeDocument/2006/relationships/hyperlink" Target="https://hashtagbasketball.com/9334/player" TargetMode="External"/><Relationship Id="rId51" Type="http://schemas.openxmlformats.org/officeDocument/2006/relationships/hyperlink" Target="https://hashtagbasketball.com/9355/player" TargetMode="External"/><Relationship Id="rId50" Type="http://schemas.openxmlformats.org/officeDocument/2006/relationships/hyperlink" Target="https://hashtagbasketball.com/17329/player" TargetMode="External"/><Relationship Id="rId53" Type="http://schemas.openxmlformats.org/officeDocument/2006/relationships/hyperlink" Target="https://hashtagbasketball.com/38617/player" TargetMode="External"/><Relationship Id="rId52" Type="http://schemas.openxmlformats.org/officeDocument/2006/relationships/hyperlink" Target="https://hashtagbasketball.com/13749/player" TargetMode="External"/><Relationship Id="rId55" Type="http://schemas.openxmlformats.org/officeDocument/2006/relationships/hyperlink" Target="https://hashtagbasketball.com/16958/player" TargetMode="External"/><Relationship Id="rId54" Type="http://schemas.openxmlformats.org/officeDocument/2006/relationships/hyperlink" Target="https://hashtagbasketball.com/10149/player" TargetMode="External"/><Relationship Id="rId57" Type="http://schemas.openxmlformats.org/officeDocument/2006/relationships/hyperlink" Target="https://hashtagbasketball.com/9523/player" TargetMode="External"/><Relationship Id="rId56" Type="http://schemas.openxmlformats.org/officeDocument/2006/relationships/hyperlink" Target="https://hashtagbasketball.com/17189/player" TargetMode="External"/><Relationship Id="rId59" Type="http://schemas.openxmlformats.org/officeDocument/2006/relationships/hyperlink" Target="https://hashtagbasketball.com/31037/player" TargetMode="External"/><Relationship Id="rId58" Type="http://schemas.openxmlformats.org/officeDocument/2006/relationships/hyperlink" Target="https://hashtagbasketball.com/31045/player" TargetMode="External"/><Relationship Id="rId107" Type="http://schemas.openxmlformats.org/officeDocument/2006/relationships/hyperlink" Target="https://hashtagbasketball.com/38848/player" TargetMode="External"/><Relationship Id="rId228" Type="http://schemas.openxmlformats.org/officeDocument/2006/relationships/hyperlink" Target="https://hashtagbasketball.com/15222/player" TargetMode="External"/><Relationship Id="rId349" Type="http://schemas.openxmlformats.org/officeDocument/2006/relationships/hyperlink" Target="https://hashtagbasketball.com/111226/player" TargetMode="External"/><Relationship Id="rId106" Type="http://schemas.openxmlformats.org/officeDocument/2006/relationships/hyperlink" Target="https://hashtagbasketball.com/38942/player" TargetMode="External"/><Relationship Id="rId227" Type="http://schemas.openxmlformats.org/officeDocument/2006/relationships/hyperlink" Target="https://hashtagbasketball.com/9207/player" TargetMode="External"/><Relationship Id="rId348" Type="http://schemas.openxmlformats.org/officeDocument/2006/relationships/hyperlink" Target="https://hashtagbasketball.com/9173/player" TargetMode="External"/><Relationship Id="rId105" Type="http://schemas.openxmlformats.org/officeDocument/2006/relationships/hyperlink" Target="https://hashtagbasketball.com/10136/player" TargetMode="External"/><Relationship Id="rId226" Type="http://schemas.openxmlformats.org/officeDocument/2006/relationships/hyperlink" Target="https://hashtagbasketball.com/17195/player" TargetMode="External"/><Relationship Id="rId347" Type="http://schemas.openxmlformats.org/officeDocument/2006/relationships/hyperlink" Target="https://hashtagbasketball.com/13736/player" TargetMode="External"/><Relationship Id="rId104" Type="http://schemas.openxmlformats.org/officeDocument/2006/relationships/hyperlink" Target="https://hashtagbasketball.com/9114/player" TargetMode="External"/><Relationship Id="rId225" Type="http://schemas.openxmlformats.org/officeDocument/2006/relationships/hyperlink" Target="https://hashtagbasketball.com/17193/player" TargetMode="External"/><Relationship Id="rId346" Type="http://schemas.openxmlformats.org/officeDocument/2006/relationships/hyperlink" Target="https://hashtagbasketball.com/38423/player" TargetMode="External"/><Relationship Id="rId109" Type="http://schemas.openxmlformats.org/officeDocument/2006/relationships/hyperlink" Target="https://hashtagbasketball.com/15287/player" TargetMode="External"/><Relationship Id="rId108" Type="http://schemas.openxmlformats.org/officeDocument/2006/relationships/hyperlink" Target="https://hashtagbasketball.com/10169/player" TargetMode="External"/><Relationship Id="rId229" Type="http://schemas.openxmlformats.org/officeDocument/2006/relationships/hyperlink" Target="https://hashtagbasketball.com/15309/player" TargetMode="External"/><Relationship Id="rId220" Type="http://schemas.openxmlformats.org/officeDocument/2006/relationships/hyperlink" Target="https://hashtagbasketball.com/27881/player" TargetMode="External"/><Relationship Id="rId341" Type="http://schemas.openxmlformats.org/officeDocument/2006/relationships/hyperlink" Target="https://hashtagbasketball.com/31052/player" TargetMode="External"/><Relationship Id="rId340" Type="http://schemas.openxmlformats.org/officeDocument/2006/relationships/hyperlink" Target="https://hashtagbasketball.com/9268/player" TargetMode="External"/><Relationship Id="rId103" Type="http://schemas.openxmlformats.org/officeDocument/2006/relationships/hyperlink" Target="https://hashtagbasketball.com/9082/player" TargetMode="External"/><Relationship Id="rId224" Type="http://schemas.openxmlformats.org/officeDocument/2006/relationships/hyperlink" Target="https://hashtagbasketball.com/9161/player" TargetMode="External"/><Relationship Id="rId345" Type="http://schemas.openxmlformats.org/officeDocument/2006/relationships/hyperlink" Target="https://hashtagbasketball.com/31084/player" TargetMode="External"/><Relationship Id="rId102" Type="http://schemas.openxmlformats.org/officeDocument/2006/relationships/hyperlink" Target="https://hashtagbasketball.com/9192/player" TargetMode="External"/><Relationship Id="rId223" Type="http://schemas.openxmlformats.org/officeDocument/2006/relationships/hyperlink" Target="https://hashtagbasketball.com/109468/player" TargetMode="External"/><Relationship Id="rId344" Type="http://schemas.openxmlformats.org/officeDocument/2006/relationships/hyperlink" Target="https://hashtagbasketball.com/31043/player" TargetMode="External"/><Relationship Id="rId101" Type="http://schemas.openxmlformats.org/officeDocument/2006/relationships/hyperlink" Target="https://hashtagbasketball.com/38840/player" TargetMode="External"/><Relationship Id="rId222" Type="http://schemas.openxmlformats.org/officeDocument/2006/relationships/hyperlink" Target="https://hashtagbasketball.com/38582/player" TargetMode="External"/><Relationship Id="rId343" Type="http://schemas.openxmlformats.org/officeDocument/2006/relationships/hyperlink" Target="https://hashtagbasketball.com/9155/player" TargetMode="External"/><Relationship Id="rId100" Type="http://schemas.openxmlformats.org/officeDocument/2006/relationships/hyperlink" Target="https://hashtagbasketball.com/15282/player" TargetMode="External"/><Relationship Id="rId221" Type="http://schemas.openxmlformats.org/officeDocument/2006/relationships/hyperlink" Target="https://hashtagbasketball.com/15217/player" TargetMode="External"/><Relationship Id="rId342" Type="http://schemas.openxmlformats.org/officeDocument/2006/relationships/hyperlink" Target="https://hashtagbasketball.com/31122/player" TargetMode="External"/><Relationship Id="rId217" Type="http://schemas.openxmlformats.org/officeDocument/2006/relationships/hyperlink" Target="https://hashtagbasketball.com/111205/player" TargetMode="External"/><Relationship Id="rId338" Type="http://schemas.openxmlformats.org/officeDocument/2006/relationships/hyperlink" Target="https://hashtagbasketball.com/17327/player" TargetMode="External"/><Relationship Id="rId216" Type="http://schemas.openxmlformats.org/officeDocument/2006/relationships/hyperlink" Target="https://hashtagbasketball.com/10117/player" TargetMode="External"/><Relationship Id="rId337" Type="http://schemas.openxmlformats.org/officeDocument/2006/relationships/hyperlink" Target="https://hashtagbasketball.com/13862/player" TargetMode="External"/><Relationship Id="rId215" Type="http://schemas.openxmlformats.org/officeDocument/2006/relationships/hyperlink" Target="https://hashtagbasketball.com/9526/player" TargetMode="External"/><Relationship Id="rId336" Type="http://schemas.openxmlformats.org/officeDocument/2006/relationships/hyperlink" Target="https://hashtagbasketball.com/9244/player" TargetMode="External"/><Relationship Id="rId214" Type="http://schemas.openxmlformats.org/officeDocument/2006/relationships/hyperlink" Target="https://hashtagbasketball.com/9087/player" TargetMode="External"/><Relationship Id="rId335" Type="http://schemas.openxmlformats.org/officeDocument/2006/relationships/hyperlink" Target="https://hashtagbasketball.com/15322/player" TargetMode="External"/><Relationship Id="rId219" Type="http://schemas.openxmlformats.org/officeDocument/2006/relationships/hyperlink" Target="https://hashtagbasketball.com/53823/player" TargetMode="External"/><Relationship Id="rId218" Type="http://schemas.openxmlformats.org/officeDocument/2006/relationships/hyperlink" Target="https://hashtagbasketball.com/31036/player" TargetMode="External"/><Relationship Id="rId339" Type="http://schemas.openxmlformats.org/officeDocument/2006/relationships/hyperlink" Target="https://hashtagbasketball.com/111216/player" TargetMode="External"/><Relationship Id="rId330" Type="http://schemas.openxmlformats.org/officeDocument/2006/relationships/hyperlink" Target="https://hashtagbasketball.com/10146/player" TargetMode="External"/><Relationship Id="rId213" Type="http://schemas.openxmlformats.org/officeDocument/2006/relationships/hyperlink" Target="https://hashtagbasketball.com/31049/player" TargetMode="External"/><Relationship Id="rId334" Type="http://schemas.openxmlformats.org/officeDocument/2006/relationships/hyperlink" Target="https://hashtagbasketball.com/38939/player" TargetMode="External"/><Relationship Id="rId212" Type="http://schemas.openxmlformats.org/officeDocument/2006/relationships/hyperlink" Target="https://hashtagbasketball.com/38570/player" TargetMode="External"/><Relationship Id="rId333" Type="http://schemas.openxmlformats.org/officeDocument/2006/relationships/hyperlink" Target="https://hashtagbasketball.com/38945/player" TargetMode="External"/><Relationship Id="rId211" Type="http://schemas.openxmlformats.org/officeDocument/2006/relationships/hyperlink" Target="https://hashtagbasketball.com/13766/player" TargetMode="External"/><Relationship Id="rId332" Type="http://schemas.openxmlformats.org/officeDocument/2006/relationships/hyperlink" Target="https://hashtagbasketball.com/9413/player" TargetMode="External"/><Relationship Id="rId210" Type="http://schemas.openxmlformats.org/officeDocument/2006/relationships/hyperlink" Target="https://hashtagbasketball.com/31055/player" TargetMode="External"/><Relationship Id="rId331" Type="http://schemas.openxmlformats.org/officeDocument/2006/relationships/hyperlink" Target="https://hashtagbasketball.com/9204/player" TargetMode="External"/><Relationship Id="rId370" Type="http://schemas.openxmlformats.org/officeDocument/2006/relationships/hyperlink" Target="https://hashtagbasketball.com/15223/player" TargetMode="External"/><Relationship Id="rId129" Type="http://schemas.openxmlformats.org/officeDocument/2006/relationships/hyperlink" Target="https://hashtagbasketball.com/27591/player" TargetMode="External"/><Relationship Id="rId128" Type="http://schemas.openxmlformats.org/officeDocument/2006/relationships/hyperlink" Target="https://hashtagbasketball.com/17275/player" TargetMode="External"/><Relationship Id="rId249" Type="http://schemas.openxmlformats.org/officeDocument/2006/relationships/hyperlink" Target="https://hashtagbasketball.com/9202/player" TargetMode="External"/><Relationship Id="rId127" Type="http://schemas.openxmlformats.org/officeDocument/2006/relationships/hyperlink" Target="https://hashtagbasketball.com/10087/player" TargetMode="External"/><Relationship Id="rId248" Type="http://schemas.openxmlformats.org/officeDocument/2006/relationships/hyperlink" Target="https://hashtagbasketball.com/35208/player" TargetMode="External"/><Relationship Id="rId369" Type="http://schemas.openxmlformats.org/officeDocument/2006/relationships/hyperlink" Target="https://hashtagbasketball.com/27862/player" TargetMode="External"/><Relationship Id="rId126" Type="http://schemas.openxmlformats.org/officeDocument/2006/relationships/hyperlink" Target="https://hashtagbasketball.com/15288/player" TargetMode="External"/><Relationship Id="rId247" Type="http://schemas.openxmlformats.org/officeDocument/2006/relationships/hyperlink" Target="https://hashtagbasketball.com/10115/player" TargetMode="External"/><Relationship Id="rId368" Type="http://schemas.openxmlformats.org/officeDocument/2006/relationships/hyperlink" Target="https://hashtagbasketball.com/27849/player" TargetMode="External"/><Relationship Id="rId121" Type="http://schemas.openxmlformats.org/officeDocument/2006/relationships/hyperlink" Target="https://hashtagbasketball.com/9342/player" TargetMode="External"/><Relationship Id="rId242" Type="http://schemas.openxmlformats.org/officeDocument/2006/relationships/hyperlink" Target="https://hashtagbasketball.com/38836/player" TargetMode="External"/><Relationship Id="rId363" Type="http://schemas.openxmlformats.org/officeDocument/2006/relationships/hyperlink" Target="https://hashtagbasketball.com/15297/player" TargetMode="External"/><Relationship Id="rId120" Type="http://schemas.openxmlformats.org/officeDocument/2006/relationships/hyperlink" Target="https://hashtagbasketball.com/9203/player" TargetMode="External"/><Relationship Id="rId241" Type="http://schemas.openxmlformats.org/officeDocument/2006/relationships/hyperlink" Target="https://hashtagbasketball.com/111212/player" TargetMode="External"/><Relationship Id="rId362" Type="http://schemas.openxmlformats.org/officeDocument/2006/relationships/hyperlink" Target="https://hashtagbasketball.com/39848/player" TargetMode="External"/><Relationship Id="rId240" Type="http://schemas.openxmlformats.org/officeDocument/2006/relationships/hyperlink" Target="https://hashtagbasketball.com/27463/player" TargetMode="External"/><Relationship Id="rId361" Type="http://schemas.openxmlformats.org/officeDocument/2006/relationships/hyperlink" Target="https://hashtagbasketball.com/17315/player" TargetMode="External"/><Relationship Id="rId360" Type="http://schemas.openxmlformats.org/officeDocument/2006/relationships/hyperlink" Target="https://hashtagbasketball.com/111234/player" TargetMode="External"/><Relationship Id="rId125" Type="http://schemas.openxmlformats.org/officeDocument/2006/relationships/hyperlink" Target="https://hashtagbasketball.com/27700/player" TargetMode="External"/><Relationship Id="rId246" Type="http://schemas.openxmlformats.org/officeDocument/2006/relationships/hyperlink" Target="https://hashtagbasketball.com/17317/player" TargetMode="External"/><Relationship Id="rId367" Type="http://schemas.openxmlformats.org/officeDocument/2006/relationships/hyperlink" Target="https://hashtagbasketball.com/27709/player" TargetMode="External"/><Relationship Id="rId124" Type="http://schemas.openxmlformats.org/officeDocument/2006/relationships/hyperlink" Target="https://hashtagbasketball.com/38950/player" TargetMode="External"/><Relationship Id="rId245" Type="http://schemas.openxmlformats.org/officeDocument/2006/relationships/hyperlink" Target="https://hashtagbasketball.com/9338/player" TargetMode="External"/><Relationship Id="rId366" Type="http://schemas.openxmlformats.org/officeDocument/2006/relationships/hyperlink" Target="https://hashtagbasketball.com/17304/player" TargetMode="External"/><Relationship Id="rId123" Type="http://schemas.openxmlformats.org/officeDocument/2006/relationships/hyperlink" Target="https://hashtagbasketball.com/15216/player" TargetMode="External"/><Relationship Id="rId244" Type="http://schemas.openxmlformats.org/officeDocument/2006/relationships/hyperlink" Target="https://hashtagbasketball.com/13856/player" TargetMode="External"/><Relationship Id="rId365" Type="http://schemas.openxmlformats.org/officeDocument/2006/relationships/hyperlink" Target="https://hashtagbasketball.com/9119/player" TargetMode="External"/><Relationship Id="rId122" Type="http://schemas.openxmlformats.org/officeDocument/2006/relationships/hyperlink" Target="https://hashtagbasketball.com/9475/player" TargetMode="External"/><Relationship Id="rId243" Type="http://schemas.openxmlformats.org/officeDocument/2006/relationships/hyperlink" Target="https://hashtagbasketball.com/31057/player" TargetMode="External"/><Relationship Id="rId364" Type="http://schemas.openxmlformats.org/officeDocument/2006/relationships/hyperlink" Target="https://hashtagbasketball.com/17240/player" TargetMode="External"/><Relationship Id="rId95" Type="http://schemas.openxmlformats.org/officeDocument/2006/relationships/hyperlink" Target="https://hashtagbasketball.com/9491/player" TargetMode="External"/><Relationship Id="rId94" Type="http://schemas.openxmlformats.org/officeDocument/2006/relationships/hyperlink" Target="https://hashtagbasketball.com/13755/player" TargetMode="External"/><Relationship Id="rId97" Type="http://schemas.openxmlformats.org/officeDocument/2006/relationships/hyperlink" Target="https://hashtagbasketball.com/31046/player" TargetMode="External"/><Relationship Id="rId96" Type="http://schemas.openxmlformats.org/officeDocument/2006/relationships/hyperlink" Target="https://hashtagbasketball.com/15224/player" TargetMode="External"/><Relationship Id="rId99" Type="http://schemas.openxmlformats.org/officeDocument/2006/relationships/hyperlink" Target="https://hashtagbasketball.com/15211/player" TargetMode="External"/><Relationship Id="rId98" Type="http://schemas.openxmlformats.org/officeDocument/2006/relationships/hyperlink" Target="https://hashtagbasketball.com/9228/player" TargetMode="External"/><Relationship Id="rId91" Type="http://schemas.openxmlformats.org/officeDocument/2006/relationships/hyperlink" Target="https://hashtagbasketball.com/9265/player" TargetMode="External"/><Relationship Id="rId90" Type="http://schemas.openxmlformats.org/officeDocument/2006/relationships/hyperlink" Target="https://hashtagbasketball.com/13737/player" TargetMode="External"/><Relationship Id="rId93" Type="http://schemas.openxmlformats.org/officeDocument/2006/relationships/hyperlink" Target="https://hashtagbasketball.com/9212/player" TargetMode="External"/><Relationship Id="rId92" Type="http://schemas.openxmlformats.org/officeDocument/2006/relationships/hyperlink" Target="https://hashtagbasketball.com/15316/player" TargetMode="External"/><Relationship Id="rId118" Type="http://schemas.openxmlformats.org/officeDocument/2006/relationships/hyperlink" Target="https://hashtagbasketball.com/9209/player" TargetMode="External"/><Relationship Id="rId239" Type="http://schemas.openxmlformats.org/officeDocument/2006/relationships/hyperlink" Target="https://hashtagbasketball.com/36104/player" TargetMode="External"/><Relationship Id="rId117" Type="http://schemas.openxmlformats.org/officeDocument/2006/relationships/hyperlink" Target="https://hashtagbasketball.com/9296/player" TargetMode="External"/><Relationship Id="rId238" Type="http://schemas.openxmlformats.org/officeDocument/2006/relationships/hyperlink" Target="https://hashtagbasketball.com/17233/player" TargetMode="External"/><Relationship Id="rId359" Type="http://schemas.openxmlformats.org/officeDocument/2006/relationships/hyperlink" Target="https://hashtagbasketball.com/36073/player" TargetMode="External"/><Relationship Id="rId116" Type="http://schemas.openxmlformats.org/officeDocument/2006/relationships/hyperlink" Target="https://hashtagbasketball.com/15204/player" TargetMode="External"/><Relationship Id="rId237" Type="http://schemas.openxmlformats.org/officeDocument/2006/relationships/hyperlink" Target="https://hashtagbasketball.com/111207/player" TargetMode="External"/><Relationship Id="rId358" Type="http://schemas.openxmlformats.org/officeDocument/2006/relationships/hyperlink" Target="https://hashtagbasketball.com/17241/player" TargetMode="External"/><Relationship Id="rId115" Type="http://schemas.openxmlformats.org/officeDocument/2006/relationships/hyperlink" Target="https://hashtagbasketball.com/9102/player" TargetMode="External"/><Relationship Id="rId236" Type="http://schemas.openxmlformats.org/officeDocument/2006/relationships/hyperlink" Target="https://hashtagbasketball.com/9427/player" TargetMode="External"/><Relationship Id="rId357" Type="http://schemas.openxmlformats.org/officeDocument/2006/relationships/hyperlink" Target="https://hashtagbasketball.com/111233/player" TargetMode="External"/><Relationship Id="rId119" Type="http://schemas.openxmlformats.org/officeDocument/2006/relationships/hyperlink" Target="https://hashtagbasketball.com/27679/player" TargetMode="External"/><Relationship Id="rId110" Type="http://schemas.openxmlformats.org/officeDocument/2006/relationships/hyperlink" Target="https://hashtagbasketball.com/111203/player" TargetMode="External"/><Relationship Id="rId231" Type="http://schemas.openxmlformats.org/officeDocument/2006/relationships/hyperlink" Target="https://hashtagbasketball.com/15319/player" TargetMode="External"/><Relationship Id="rId352" Type="http://schemas.openxmlformats.org/officeDocument/2006/relationships/hyperlink" Target="https://hashtagbasketball.com/31048/player" TargetMode="External"/><Relationship Id="rId230" Type="http://schemas.openxmlformats.org/officeDocument/2006/relationships/hyperlink" Target="https://hashtagbasketball.com/17334/player" TargetMode="External"/><Relationship Id="rId351" Type="http://schemas.openxmlformats.org/officeDocument/2006/relationships/hyperlink" Target="https://hashtagbasketball.com/38951/player" TargetMode="External"/><Relationship Id="rId350" Type="http://schemas.openxmlformats.org/officeDocument/2006/relationships/hyperlink" Target="https://hashtagbasketball.com/9148/player" TargetMode="External"/><Relationship Id="rId114" Type="http://schemas.openxmlformats.org/officeDocument/2006/relationships/hyperlink" Target="https://hashtagbasketball.com/38797/player" TargetMode="External"/><Relationship Id="rId235" Type="http://schemas.openxmlformats.org/officeDocument/2006/relationships/hyperlink" Target="https://hashtagbasketball.com/39838/player" TargetMode="External"/><Relationship Id="rId356" Type="http://schemas.openxmlformats.org/officeDocument/2006/relationships/hyperlink" Target="https://hashtagbasketball.com/27621/player" TargetMode="External"/><Relationship Id="rId113" Type="http://schemas.openxmlformats.org/officeDocument/2006/relationships/hyperlink" Target="https://hashtagbasketball.com/9151/player" TargetMode="External"/><Relationship Id="rId234" Type="http://schemas.openxmlformats.org/officeDocument/2006/relationships/hyperlink" Target="https://hashtagbasketball.com/109470/player" TargetMode="External"/><Relationship Id="rId355" Type="http://schemas.openxmlformats.org/officeDocument/2006/relationships/hyperlink" Target="https://hashtagbasketball.com/31087/player" TargetMode="External"/><Relationship Id="rId112" Type="http://schemas.openxmlformats.org/officeDocument/2006/relationships/hyperlink" Target="https://hashtagbasketball.com/27724/player" TargetMode="External"/><Relationship Id="rId233" Type="http://schemas.openxmlformats.org/officeDocument/2006/relationships/hyperlink" Target="https://hashtagbasketball.com/111206/player" TargetMode="External"/><Relationship Id="rId354" Type="http://schemas.openxmlformats.org/officeDocument/2006/relationships/hyperlink" Target="https://hashtagbasketball.com/38947/player" TargetMode="External"/><Relationship Id="rId111" Type="http://schemas.openxmlformats.org/officeDocument/2006/relationships/hyperlink" Target="https://hashtagbasketball.com/31064/player" TargetMode="External"/><Relationship Id="rId232" Type="http://schemas.openxmlformats.org/officeDocument/2006/relationships/hyperlink" Target="https://hashtagbasketball.com/53821/player" TargetMode="External"/><Relationship Id="rId353" Type="http://schemas.openxmlformats.org/officeDocument/2006/relationships/hyperlink" Target="https://hashtagbasketball.com/9142/player" TargetMode="External"/><Relationship Id="rId305" Type="http://schemas.openxmlformats.org/officeDocument/2006/relationships/hyperlink" Target="https://hashtagbasketball.com/15278/player" TargetMode="External"/><Relationship Id="rId304" Type="http://schemas.openxmlformats.org/officeDocument/2006/relationships/hyperlink" Target="https://hashtagbasketball.com/111219/player" TargetMode="External"/><Relationship Id="rId303" Type="http://schemas.openxmlformats.org/officeDocument/2006/relationships/hyperlink" Target="https://hashtagbasketball.com/15215/player" TargetMode="External"/><Relationship Id="rId302" Type="http://schemas.openxmlformats.org/officeDocument/2006/relationships/hyperlink" Target="https://hashtagbasketball.com/17274/player" TargetMode="External"/><Relationship Id="rId309" Type="http://schemas.openxmlformats.org/officeDocument/2006/relationships/hyperlink" Target="https://hashtagbasketball.com/111220/player" TargetMode="External"/><Relationship Id="rId308" Type="http://schemas.openxmlformats.org/officeDocument/2006/relationships/hyperlink" Target="https://hashtagbasketball.com/31038/player" TargetMode="External"/><Relationship Id="rId307" Type="http://schemas.openxmlformats.org/officeDocument/2006/relationships/hyperlink" Target="https://hashtagbasketball.com/31058/player" TargetMode="External"/><Relationship Id="rId306" Type="http://schemas.openxmlformats.org/officeDocument/2006/relationships/hyperlink" Target="https://hashtagbasketball.com/15300/player" TargetMode="External"/><Relationship Id="rId301" Type="http://schemas.openxmlformats.org/officeDocument/2006/relationships/hyperlink" Target="https://hashtagbasketball.com/111214/player" TargetMode="External"/><Relationship Id="rId300" Type="http://schemas.openxmlformats.org/officeDocument/2006/relationships/hyperlink" Target="https://hashtagbasketball.com/38957/player" TargetMode="External"/><Relationship Id="rId206" Type="http://schemas.openxmlformats.org/officeDocument/2006/relationships/hyperlink" Target="https://hashtagbasketball.com/9352/player" TargetMode="External"/><Relationship Id="rId327" Type="http://schemas.openxmlformats.org/officeDocument/2006/relationships/hyperlink" Target="https://hashtagbasketball.com/9092/player" TargetMode="External"/><Relationship Id="rId205" Type="http://schemas.openxmlformats.org/officeDocument/2006/relationships/hyperlink" Target="https://hashtagbasketball.com/9191/player" TargetMode="External"/><Relationship Id="rId326" Type="http://schemas.openxmlformats.org/officeDocument/2006/relationships/hyperlink" Target="https://hashtagbasketball.com/38948/player" TargetMode="External"/><Relationship Id="rId204" Type="http://schemas.openxmlformats.org/officeDocument/2006/relationships/hyperlink" Target="https://hashtagbasketball.com/31034/player" TargetMode="External"/><Relationship Id="rId325" Type="http://schemas.openxmlformats.org/officeDocument/2006/relationships/hyperlink" Target="https://hashtagbasketball.com/27843/player" TargetMode="External"/><Relationship Id="rId203" Type="http://schemas.openxmlformats.org/officeDocument/2006/relationships/hyperlink" Target="https://hashtagbasketball.com/27636/player" TargetMode="External"/><Relationship Id="rId324" Type="http://schemas.openxmlformats.org/officeDocument/2006/relationships/hyperlink" Target="https://hashtagbasketball.com/38944/player" TargetMode="External"/><Relationship Id="rId209" Type="http://schemas.openxmlformats.org/officeDocument/2006/relationships/hyperlink" Target="https://hashtagbasketball.com/15323/player" TargetMode="External"/><Relationship Id="rId208" Type="http://schemas.openxmlformats.org/officeDocument/2006/relationships/hyperlink" Target="https://hashtagbasketball.com/13733/player" TargetMode="External"/><Relationship Id="rId329" Type="http://schemas.openxmlformats.org/officeDocument/2006/relationships/hyperlink" Target="https://hashtagbasketball.com/15462/player" TargetMode="External"/><Relationship Id="rId207" Type="http://schemas.openxmlformats.org/officeDocument/2006/relationships/hyperlink" Target="https://hashtagbasketball.com/31082/player" TargetMode="External"/><Relationship Id="rId328" Type="http://schemas.openxmlformats.org/officeDocument/2006/relationships/hyperlink" Target="https://hashtagbasketball.com/9540/player" TargetMode="External"/><Relationship Id="rId202" Type="http://schemas.openxmlformats.org/officeDocument/2006/relationships/hyperlink" Target="https://hashtagbasketball.com/9442/player" TargetMode="External"/><Relationship Id="rId323" Type="http://schemas.openxmlformats.org/officeDocument/2006/relationships/hyperlink" Target="https://hashtagbasketball.com/17229/player" TargetMode="External"/><Relationship Id="rId201" Type="http://schemas.openxmlformats.org/officeDocument/2006/relationships/hyperlink" Target="https://hashtagbasketball.com/31059/player" TargetMode="External"/><Relationship Id="rId322" Type="http://schemas.openxmlformats.org/officeDocument/2006/relationships/hyperlink" Target="https://hashtagbasketball.com/111213/player" TargetMode="External"/><Relationship Id="rId200" Type="http://schemas.openxmlformats.org/officeDocument/2006/relationships/hyperlink" Target="https://hashtagbasketball.com/15218/player" TargetMode="External"/><Relationship Id="rId321" Type="http://schemas.openxmlformats.org/officeDocument/2006/relationships/hyperlink" Target="https://hashtagbasketball.com/31158/player" TargetMode="External"/><Relationship Id="rId320" Type="http://schemas.openxmlformats.org/officeDocument/2006/relationships/hyperlink" Target="https://hashtagbasketball.com/10172/player" TargetMode="External"/><Relationship Id="rId316" Type="http://schemas.openxmlformats.org/officeDocument/2006/relationships/hyperlink" Target="https://hashtagbasketball.com/10173/player" TargetMode="External"/><Relationship Id="rId315" Type="http://schemas.openxmlformats.org/officeDocument/2006/relationships/hyperlink" Target="https://hashtagbasketball.com/27587/player" TargetMode="External"/><Relationship Id="rId314" Type="http://schemas.openxmlformats.org/officeDocument/2006/relationships/hyperlink" Target="https://hashtagbasketball.com/17194/player" TargetMode="External"/><Relationship Id="rId313" Type="http://schemas.openxmlformats.org/officeDocument/2006/relationships/hyperlink" Target="https://hashtagbasketball.com/109467/player" TargetMode="External"/><Relationship Id="rId319" Type="http://schemas.openxmlformats.org/officeDocument/2006/relationships/hyperlink" Target="https://hashtagbasketball.com/9524/player" TargetMode="External"/><Relationship Id="rId318" Type="http://schemas.openxmlformats.org/officeDocument/2006/relationships/hyperlink" Target="https://hashtagbasketball.com/15341/player" TargetMode="External"/><Relationship Id="rId317" Type="http://schemas.openxmlformats.org/officeDocument/2006/relationships/hyperlink" Target="https://hashtagbasketball.com/39834/player" TargetMode="External"/><Relationship Id="rId312" Type="http://schemas.openxmlformats.org/officeDocument/2006/relationships/hyperlink" Target="https://hashtagbasketball.com/27706/player" TargetMode="External"/><Relationship Id="rId311" Type="http://schemas.openxmlformats.org/officeDocument/2006/relationships/hyperlink" Target="https://hashtagbasketball.com/9498/player" TargetMode="External"/><Relationship Id="rId310" Type="http://schemas.openxmlformats.org/officeDocument/2006/relationships/hyperlink" Target="https://hashtagbasketball.com/15295/player" TargetMode="Externa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s://hashtagbasketball.com/15199/player" TargetMode="External"/><Relationship Id="rId194" Type="http://schemas.openxmlformats.org/officeDocument/2006/relationships/hyperlink" Target="https://hashtagbasketball.com/13786/player" TargetMode="External"/><Relationship Id="rId193" Type="http://schemas.openxmlformats.org/officeDocument/2006/relationships/hyperlink" Target="https://hashtagbasketball.com/31067/player" TargetMode="External"/><Relationship Id="rId192" Type="http://schemas.openxmlformats.org/officeDocument/2006/relationships/hyperlink" Target="https://hashtagbasketball.com/17233/player" TargetMode="External"/><Relationship Id="rId191" Type="http://schemas.openxmlformats.org/officeDocument/2006/relationships/hyperlink" Target="https://hashtagbasketball.com/35219/player" TargetMode="External"/><Relationship Id="rId187" Type="http://schemas.openxmlformats.org/officeDocument/2006/relationships/hyperlink" Target="https://hashtagbasketball.com/15324/player" TargetMode="External"/><Relationship Id="rId186" Type="http://schemas.openxmlformats.org/officeDocument/2006/relationships/hyperlink" Target="https://hashtagbasketball.com/31051/player" TargetMode="External"/><Relationship Id="rId185" Type="http://schemas.openxmlformats.org/officeDocument/2006/relationships/hyperlink" Target="https://hashtagbasketball.com/17224/player" TargetMode="External"/><Relationship Id="rId184" Type="http://schemas.openxmlformats.org/officeDocument/2006/relationships/hyperlink" Target="https://hashtagbasketball.com/13817/player" TargetMode="External"/><Relationship Id="rId189" Type="http://schemas.openxmlformats.org/officeDocument/2006/relationships/hyperlink" Target="https://hashtagbasketball.com/17285/player" TargetMode="External"/><Relationship Id="rId188" Type="http://schemas.openxmlformats.org/officeDocument/2006/relationships/hyperlink" Target="https://hashtagbasketball.com/17190/player" TargetMode="External"/><Relationship Id="rId183" Type="http://schemas.openxmlformats.org/officeDocument/2006/relationships/hyperlink" Target="https://hashtagbasketball.com/13792/player" TargetMode="External"/><Relationship Id="rId182" Type="http://schemas.openxmlformats.org/officeDocument/2006/relationships/hyperlink" Target="https://hashtagbasketball.com/9239/player" TargetMode="External"/><Relationship Id="rId181" Type="http://schemas.openxmlformats.org/officeDocument/2006/relationships/hyperlink" Target="https://hashtagbasketball.com/9659/player" TargetMode="External"/><Relationship Id="rId180" Type="http://schemas.openxmlformats.org/officeDocument/2006/relationships/hyperlink" Target="https://hashtagbasketball.com/27652/player" TargetMode="External"/><Relationship Id="rId176" Type="http://schemas.openxmlformats.org/officeDocument/2006/relationships/hyperlink" Target="https://hashtagbasketball.com/17255/player" TargetMode="External"/><Relationship Id="rId297" Type="http://schemas.openxmlformats.org/officeDocument/2006/relationships/hyperlink" Target="https://hashtagbasketball.com/9513/player" TargetMode="External"/><Relationship Id="rId175" Type="http://schemas.openxmlformats.org/officeDocument/2006/relationships/hyperlink" Target="https://hashtagbasketball.com/13740/player" TargetMode="External"/><Relationship Id="rId296" Type="http://schemas.openxmlformats.org/officeDocument/2006/relationships/hyperlink" Target="https://hashtagbasketball.com/31039/player" TargetMode="External"/><Relationship Id="rId174" Type="http://schemas.openxmlformats.org/officeDocument/2006/relationships/hyperlink" Target="https://hashtagbasketball.com/38938/player" TargetMode="External"/><Relationship Id="rId295" Type="http://schemas.openxmlformats.org/officeDocument/2006/relationships/hyperlink" Target="https://hashtagbasketball.com/38847/player" TargetMode="External"/><Relationship Id="rId173" Type="http://schemas.openxmlformats.org/officeDocument/2006/relationships/hyperlink" Target="https://hashtagbasketball.com/17276/player" TargetMode="External"/><Relationship Id="rId294" Type="http://schemas.openxmlformats.org/officeDocument/2006/relationships/hyperlink" Target="https://hashtagbasketball.com/9177/player" TargetMode="External"/><Relationship Id="rId179" Type="http://schemas.openxmlformats.org/officeDocument/2006/relationships/hyperlink" Target="https://hashtagbasketball.com/9286/player" TargetMode="External"/><Relationship Id="rId178" Type="http://schemas.openxmlformats.org/officeDocument/2006/relationships/hyperlink" Target="https://hashtagbasketball.com/10129/player" TargetMode="External"/><Relationship Id="rId299" Type="http://schemas.openxmlformats.org/officeDocument/2006/relationships/hyperlink" Target="https://hashtagbasketball.com/38957/player" TargetMode="External"/><Relationship Id="rId177" Type="http://schemas.openxmlformats.org/officeDocument/2006/relationships/hyperlink" Target="https://hashtagbasketball.com/9100/player" TargetMode="External"/><Relationship Id="rId298" Type="http://schemas.openxmlformats.org/officeDocument/2006/relationships/hyperlink" Target="https://hashtagbasketball.com/9477/player" TargetMode="External"/><Relationship Id="rId198" Type="http://schemas.openxmlformats.org/officeDocument/2006/relationships/hyperlink" Target="https://hashtagbasketball.com/31059/player" TargetMode="External"/><Relationship Id="rId197" Type="http://schemas.openxmlformats.org/officeDocument/2006/relationships/hyperlink" Target="https://hashtagbasketball.com/38614/player" TargetMode="External"/><Relationship Id="rId196" Type="http://schemas.openxmlformats.org/officeDocument/2006/relationships/hyperlink" Target="https://hashtagbasketball.com/9506/player" TargetMode="External"/><Relationship Id="rId195" Type="http://schemas.openxmlformats.org/officeDocument/2006/relationships/hyperlink" Target="https://hashtagbasketball.com/17181/player" TargetMode="External"/><Relationship Id="rId199" Type="http://schemas.openxmlformats.org/officeDocument/2006/relationships/hyperlink" Target="https://hashtagbasketball.com/9442/player" TargetMode="External"/><Relationship Id="rId150" Type="http://schemas.openxmlformats.org/officeDocument/2006/relationships/hyperlink" Target="https://hashtagbasketball.com/27454/player" TargetMode="External"/><Relationship Id="rId271" Type="http://schemas.openxmlformats.org/officeDocument/2006/relationships/hyperlink" Target="https://hashtagbasketball.com/15261/player" TargetMode="External"/><Relationship Id="rId392" Type="http://schemas.openxmlformats.org/officeDocument/2006/relationships/hyperlink" Target="https://hashtagbasketball.com/43375/player" TargetMode="External"/><Relationship Id="rId270" Type="http://schemas.openxmlformats.org/officeDocument/2006/relationships/hyperlink" Target="https://hashtagbasketball.com/9420/player" TargetMode="External"/><Relationship Id="rId391" Type="http://schemas.openxmlformats.org/officeDocument/2006/relationships/hyperlink" Target="https://hashtagbasketball.com/9179/player" TargetMode="External"/><Relationship Id="rId390" Type="http://schemas.openxmlformats.org/officeDocument/2006/relationships/hyperlink" Target="https://hashtagbasketball.com/31050/player" TargetMode="External"/><Relationship Id="rId1" Type="http://schemas.openxmlformats.org/officeDocument/2006/relationships/hyperlink" Target="https://hashtagbasketball.com/9196/player" TargetMode="External"/><Relationship Id="rId2" Type="http://schemas.openxmlformats.org/officeDocument/2006/relationships/hyperlink" Target="https://hashtagbasketball.com/9418/player" TargetMode="External"/><Relationship Id="rId3" Type="http://schemas.openxmlformats.org/officeDocument/2006/relationships/hyperlink" Target="https://hashtagbasketball.com/15208/player" TargetMode="External"/><Relationship Id="rId149" Type="http://schemas.openxmlformats.org/officeDocument/2006/relationships/hyperlink" Target="https://hashtagbasketball.com/9422/player" TargetMode="External"/><Relationship Id="rId4" Type="http://schemas.openxmlformats.org/officeDocument/2006/relationships/hyperlink" Target="https://hashtagbasketball.com/27619/player" TargetMode="External"/><Relationship Id="rId148" Type="http://schemas.openxmlformats.org/officeDocument/2006/relationships/hyperlink" Target="https://hashtagbasketball.com/9220/player" TargetMode="External"/><Relationship Id="rId269" Type="http://schemas.openxmlformats.org/officeDocument/2006/relationships/hyperlink" Target="https://hashtagbasketball.com/31056/player" TargetMode="External"/><Relationship Id="rId9" Type="http://schemas.openxmlformats.org/officeDocument/2006/relationships/hyperlink" Target="https://hashtagbasketball.com/9386/player" TargetMode="External"/><Relationship Id="rId143" Type="http://schemas.openxmlformats.org/officeDocument/2006/relationships/hyperlink" Target="https://hashtagbasketball.com/15293/player" TargetMode="External"/><Relationship Id="rId264" Type="http://schemas.openxmlformats.org/officeDocument/2006/relationships/hyperlink" Target="https://hashtagbasketball.com/9394/player" TargetMode="External"/><Relationship Id="rId385" Type="http://schemas.openxmlformats.org/officeDocument/2006/relationships/hyperlink" Target="https://hashtagbasketball.com/9431/player" TargetMode="External"/><Relationship Id="rId142" Type="http://schemas.openxmlformats.org/officeDocument/2006/relationships/hyperlink" Target="https://hashtagbasketball.com/13860/player" TargetMode="External"/><Relationship Id="rId263" Type="http://schemas.openxmlformats.org/officeDocument/2006/relationships/hyperlink" Target="https://hashtagbasketball.com/27850/player" TargetMode="External"/><Relationship Id="rId384" Type="http://schemas.openxmlformats.org/officeDocument/2006/relationships/hyperlink" Target="https://hashtagbasketball.com/9130/player" TargetMode="External"/><Relationship Id="rId141" Type="http://schemas.openxmlformats.org/officeDocument/2006/relationships/hyperlink" Target="https://hashtagbasketball.com/9490/player" TargetMode="External"/><Relationship Id="rId262" Type="http://schemas.openxmlformats.org/officeDocument/2006/relationships/hyperlink" Target="https://hashtagbasketball.com/9467/player" TargetMode="External"/><Relationship Id="rId383" Type="http://schemas.openxmlformats.org/officeDocument/2006/relationships/hyperlink" Target="https://hashtagbasketball.com/111225/player" TargetMode="External"/><Relationship Id="rId140" Type="http://schemas.openxmlformats.org/officeDocument/2006/relationships/hyperlink" Target="https://hashtagbasketball.com/27593/player" TargetMode="External"/><Relationship Id="rId261" Type="http://schemas.openxmlformats.org/officeDocument/2006/relationships/hyperlink" Target="https://hashtagbasketball.com/111208/player" TargetMode="External"/><Relationship Id="rId382" Type="http://schemas.openxmlformats.org/officeDocument/2006/relationships/hyperlink" Target="https://hashtagbasketball.com/9271/player" TargetMode="External"/><Relationship Id="rId5" Type="http://schemas.openxmlformats.org/officeDocument/2006/relationships/hyperlink" Target="https://hashtagbasketball.com/13730/player" TargetMode="External"/><Relationship Id="rId147" Type="http://schemas.openxmlformats.org/officeDocument/2006/relationships/hyperlink" Target="https://hashtagbasketball.com/38950/player" TargetMode="External"/><Relationship Id="rId268" Type="http://schemas.openxmlformats.org/officeDocument/2006/relationships/hyperlink" Target="https://hashtagbasketball.com/111229/player" TargetMode="External"/><Relationship Id="rId389" Type="http://schemas.openxmlformats.org/officeDocument/2006/relationships/hyperlink" Target="https://hashtagbasketball.com/9474/player" TargetMode="External"/><Relationship Id="rId6" Type="http://schemas.openxmlformats.org/officeDocument/2006/relationships/hyperlink" Target="https://hashtagbasketball.com/15200/player" TargetMode="External"/><Relationship Id="rId146" Type="http://schemas.openxmlformats.org/officeDocument/2006/relationships/hyperlink" Target="https://hashtagbasketball.com/27590/player" TargetMode="External"/><Relationship Id="rId267" Type="http://schemas.openxmlformats.org/officeDocument/2006/relationships/hyperlink" Target="https://hashtagbasketball.com/13791/player" TargetMode="External"/><Relationship Id="rId388" Type="http://schemas.openxmlformats.org/officeDocument/2006/relationships/hyperlink" Target="https://hashtagbasketball.com/15220/player" TargetMode="External"/><Relationship Id="rId7" Type="http://schemas.openxmlformats.org/officeDocument/2006/relationships/hyperlink" Target="https://hashtagbasketball.com/9218/player" TargetMode="External"/><Relationship Id="rId145" Type="http://schemas.openxmlformats.org/officeDocument/2006/relationships/hyperlink" Target="https://hashtagbasketball.com/110400/player" TargetMode="External"/><Relationship Id="rId266" Type="http://schemas.openxmlformats.org/officeDocument/2006/relationships/hyperlink" Target="https://hashtagbasketball.com/15212/player" TargetMode="External"/><Relationship Id="rId387" Type="http://schemas.openxmlformats.org/officeDocument/2006/relationships/hyperlink" Target="https://hashtagbasketball.com/17211/player" TargetMode="External"/><Relationship Id="rId8" Type="http://schemas.openxmlformats.org/officeDocument/2006/relationships/hyperlink" Target="https://hashtagbasketball.com/9445/player" TargetMode="External"/><Relationship Id="rId144" Type="http://schemas.openxmlformats.org/officeDocument/2006/relationships/hyperlink" Target="https://hashtagbasketball.com/17286/player" TargetMode="External"/><Relationship Id="rId265" Type="http://schemas.openxmlformats.org/officeDocument/2006/relationships/hyperlink" Target="https://hashtagbasketball.com/10155/player" TargetMode="External"/><Relationship Id="rId386" Type="http://schemas.openxmlformats.org/officeDocument/2006/relationships/hyperlink" Target="https://hashtagbasketball.com/31047/player" TargetMode="External"/><Relationship Id="rId260" Type="http://schemas.openxmlformats.org/officeDocument/2006/relationships/hyperlink" Target="https://hashtagbasketball.com/17230/player" TargetMode="External"/><Relationship Id="rId381" Type="http://schemas.openxmlformats.org/officeDocument/2006/relationships/hyperlink" Target="https://hashtagbasketball.com/9378/player" TargetMode="External"/><Relationship Id="rId380" Type="http://schemas.openxmlformats.org/officeDocument/2006/relationships/hyperlink" Target="https://hashtagbasketball.com/38956/player" TargetMode="External"/><Relationship Id="rId139" Type="http://schemas.openxmlformats.org/officeDocument/2006/relationships/hyperlink" Target="https://hashtagbasketball.com/17273/player" TargetMode="External"/><Relationship Id="rId138" Type="http://schemas.openxmlformats.org/officeDocument/2006/relationships/hyperlink" Target="https://hashtagbasketball.com/15214/player" TargetMode="External"/><Relationship Id="rId259" Type="http://schemas.openxmlformats.org/officeDocument/2006/relationships/hyperlink" Target="https://hashtagbasketball.com/9213/player" TargetMode="External"/><Relationship Id="rId137" Type="http://schemas.openxmlformats.org/officeDocument/2006/relationships/hyperlink" Target="https://hashtagbasketball.com/17312/player" TargetMode="External"/><Relationship Id="rId258" Type="http://schemas.openxmlformats.org/officeDocument/2006/relationships/hyperlink" Target="https://hashtagbasketball.com/38695/player" TargetMode="External"/><Relationship Id="rId379" Type="http://schemas.openxmlformats.org/officeDocument/2006/relationships/hyperlink" Target="https://hashtagbasketball.com/38959/player" TargetMode="External"/><Relationship Id="rId132" Type="http://schemas.openxmlformats.org/officeDocument/2006/relationships/hyperlink" Target="https://hashtagbasketball.com/9406/player" TargetMode="External"/><Relationship Id="rId253" Type="http://schemas.openxmlformats.org/officeDocument/2006/relationships/hyperlink" Target="https://hashtagbasketball.com/14134/player" TargetMode="External"/><Relationship Id="rId374" Type="http://schemas.openxmlformats.org/officeDocument/2006/relationships/hyperlink" Target="https://hashtagbasketball.com/111224/player" TargetMode="External"/><Relationship Id="rId131" Type="http://schemas.openxmlformats.org/officeDocument/2006/relationships/hyperlink" Target="https://hashtagbasketball.com/9283/player" TargetMode="External"/><Relationship Id="rId252" Type="http://schemas.openxmlformats.org/officeDocument/2006/relationships/hyperlink" Target="https://hashtagbasketball.com/17196/player" TargetMode="External"/><Relationship Id="rId373" Type="http://schemas.openxmlformats.org/officeDocument/2006/relationships/hyperlink" Target="https://hashtagbasketball.com/111217/player" TargetMode="External"/><Relationship Id="rId130" Type="http://schemas.openxmlformats.org/officeDocument/2006/relationships/hyperlink" Target="https://hashtagbasketball.com/9495/player" TargetMode="External"/><Relationship Id="rId251" Type="http://schemas.openxmlformats.org/officeDocument/2006/relationships/hyperlink" Target="https://hashtagbasketball.com/111209/player" TargetMode="External"/><Relationship Id="rId372" Type="http://schemas.openxmlformats.org/officeDocument/2006/relationships/hyperlink" Target="https://hashtagbasketball.com/31073/player" TargetMode="External"/><Relationship Id="rId250" Type="http://schemas.openxmlformats.org/officeDocument/2006/relationships/hyperlink" Target="https://hashtagbasketball.com/17308/player" TargetMode="External"/><Relationship Id="rId371" Type="http://schemas.openxmlformats.org/officeDocument/2006/relationships/hyperlink" Target="https://hashtagbasketball.com/111253/player" TargetMode="External"/><Relationship Id="rId136" Type="http://schemas.openxmlformats.org/officeDocument/2006/relationships/hyperlink" Target="https://hashtagbasketball.com/9317/player" TargetMode="External"/><Relationship Id="rId257" Type="http://schemas.openxmlformats.org/officeDocument/2006/relationships/hyperlink" Target="https://hashtagbasketball.com/38740/player" TargetMode="External"/><Relationship Id="rId378" Type="http://schemas.openxmlformats.org/officeDocument/2006/relationships/hyperlink" Target="https://hashtagbasketball.com/111245/player" TargetMode="External"/><Relationship Id="rId135" Type="http://schemas.openxmlformats.org/officeDocument/2006/relationships/hyperlink" Target="https://hashtagbasketball.com/27627/player" TargetMode="External"/><Relationship Id="rId256" Type="http://schemas.openxmlformats.org/officeDocument/2006/relationships/hyperlink" Target="https://hashtagbasketball.com/17208/player" TargetMode="External"/><Relationship Id="rId377" Type="http://schemas.openxmlformats.org/officeDocument/2006/relationships/hyperlink" Target="https://hashtagbasketball.com/27645/player" TargetMode="External"/><Relationship Id="rId134" Type="http://schemas.openxmlformats.org/officeDocument/2006/relationships/hyperlink" Target="https://hashtagbasketball.com/13726/player" TargetMode="External"/><Relationship Id="rId255" Type="http://schemas.openxmlformats.org/officeDocument/2006/relationships/hyperlink" Target="https://hashtagbasketball.com/111204/player" TargetMode="External"/><Relationship Id="rId376" Type="http://schemas.openxmlformats.org/officeDocument/2006/relationships/hyperlink" Target="https://hashtagbasketball.com/38943/player" TargetMode="External"/><Relationship Id="rId133" Type="http://schemas.openxmlformats.org/officeDocument/2006/relationships/hyperlink" Target="https://hashtagbasketball.com/9500/player" TargetMode="External"/><Relationship Id="rId254" Type="http://schemas.openxmlformats.org/officeDocument/2006/relationships/hyperlink" Target="https://hashtagbasketball.com/9430/player" TargetMode="External"/><Relationship Id="rId375" Type="http://schemas.openxmlformats.org/officeDocument/2006/relationships/hyperlink" Target="https://hashtagbasketball.com/31068/player" TargetMode="External"/><Relationship Id="rId172" Type="http://schemas.openxmlformats.org/officeDocument/2006/relationships/hyperlink" Target="https://hashtagbasketball.com/11882/player" TargetMode="External"/><Relationship Id="rId293" Type="http://schemas.openxmlformats.org/officeDocument/2006/relationships/hyperlink" Target="https://hashtagbasketball.com/33899/player" TargetMode="External"/><Relationship Id="rId171" Type="http://schemas.openxmlformats.org/officeDocument/2006/relationships/hyperlink" Target="https://hashtagbasketball.com/31044/player" TargetMode="External"/><Relationship Id="rId292" Type="http://schemas.openxmlformats.org/officeDocument/2006/relationships/hyperlink" Target="https://hashtagbasketball.com/17217/player" TargetMode="External"/><Relationship Id="rId170" Type="http://schemas.openxmlformats.org/officeDocument/2006/relationships/hyperlink" Target="https://hashtagbasketball.com/38940/player" TargetMode="External"/><Relationship Id="rId291" Type="http://schemas.openxmlformats.org/officeDocument/2006/relationships/hyperlink" Target="https://hashtagbasketball.com/27718/player" TargetMode="External"/><Relationship Id="rId290" Type="http://schemas.openxmlformats.org/officeDocument/2006/relationships/hyperlink" Target="https://hashtagbasketball.com/27683/player" TargetMode="External"/><Relationship Id="rId165" Type="http://schemas.openxmlformats.org/officeDocument/2006/relationships/hyperlink" Target="https://hashtagbasketball.com/38941/player" TargetMode="External"/><Relationship Id="rId286" Type="http://schemas.openxmlformats.org/officeDocument/2006/relationships/hyperlink" Target="https://hashtagbasketball.com/31042/player" TargetMode="External"/><Relationship Id="rId164" Type="http://schemas.openxmlformats.org/officeDocument/2006/relationships/hyperlink" Target="https://hashtagbasketball.com/17270/player" TargetMode="External"/><Relationship Id="rId285" Type="http://schemas.openxmlformats.org/officeDocument/2006/relationships/hyperlink" Target="https://hashtagbasketball.com/27596/player" TargetMode="External"/><Relationship Id="rId163" Type="http://schemas.openxmlformats.org/officeDocument/2006/relationships/hyperlink" Target="https://hashtagbasketball.com/13739/player" TargetMode="External"/><Relationship Id="rId284" Type="http://schemas.openxmlformats.org/officeDocument/2006/relationships/hyperlink" Target="https://hashtagbasketball.com/111210/player" TargetMode="External"/><Relationship Id="rId162" Type="http://schemas.openxmlformats.org/officeDocument/2006/relationships/hyperlink" Target="https://hashtagbasketball.com/9133/player" TargetMode="External"/><Relationship Id="rId283" Type="http://schemas.openxmlformats.org/officeDocument/2006/relationships/hyperlink" Target="https://hashtagbasketball.com/10173/player" TargetMode="External"/><Relationship Id="rId169" Type="http://schemas.openxmlformats.org/officeDocument/2006/relationships/hyperlink" Target="https://hashtagbasketball.com/9387/player" TargetMode="External"/><Relationship Id="rId168" Type="http://schemas.openxmlformats.org/officeDocument/2006/relationships/hyperlink" Target="https://hashtagbasketball.com/27622/player" TargetMode="External"/><Relationship Id="rId289" Type="http://schemas.openxmlformats.org/officeDocument/2006/relationships/hyperlink" Target="https://hashtagbasketball.com/39836/player" TargetMode="External"/><Relationship Id="rId167" Type="http://schemas.openxmlformats.org/officeDocument/2006/relationships/hyperlink" Target="https://hashtagbasketball.com/15355/player" TargetMode="External"/><Relationship Id="rId288" Type="http://schemas.openxmlformats.org/officeDocument/2006/relationships/hyperlink" Target="https://hashtagbasketball.com/9187/player" TargetMode="External"/><Relationship Id="rId166" Type="http://schemas.openxmlformats.org/officeDocument/2006/relationships/hyperlink" Target="https://hashtagbasketball.com/27661/player" TargetMode="External"/><Relationship Id="rId287" Type="http://schemas.openxmlformats.org/officeDocument/2006/relationships/hyperlink" Target="https://hashtagbasketball.com/39833/player" TargetMode="External"/><Relationship Id="rId161" Type="http://schemas.openxmlformats.org/officeDocument/2006/relationships/hyperlink" Target="https://hashtagbasketball.com/17251/player" TargetMode="External"/><Relationship Id="rId282" Type="http://schemas.openxmlformats.org/officeDocument/2006/relationships/hyperlink" Target="https://hashtagbasketball.com/9423/player" TargetMode="External"/><Relationship Id="rId160" Type="http://schemas.openxmlformats.org/officeDocument/2006/relationships/hyperlink" Target="https://hashtagbasketball.com/31054/player" TargetMode="External"/><Relationship Id="rId281" Type="http://schemas.openxmlformats.org/officeDocument/2006/relationships/hyperlink" Target="https://hashtagbasketball.com/9512/player" TargetMode="External"/><Relationship Id="rId280" Type="http://schemas.openxmlformats.org/officeDocument/2006/relationships/hyperlink" Target="https://hashtagbasketball.com/13790/player" TargetMode="External"/><Relationship Id="rId159" Type="http://schemas.openxmlformats.org/officeDocument/2006/relationships/hyperlink" Target="https://hashtagbasketball.com/15205/player" TargetMode="External"/><Relationship Id="rId154" Type="http://schemas.openxmlformats.org/officeDocument/2006/relationships/hyperlink" Target="https://hashtagbasketball.com/17305/player" TargetMode="External"/><Relationship Id="rId275" Type="http://schemas.openxmlformats.org/officeDocument/2006/relationships/hyperlink" Target="https://hashtagbasketball.com/38571/player" TargetMode="External"/><Relationship Id="rId396" Type="http://schemas.openxmlformats.org/officeDocument/2006/relationships/hyperlink" Target="https://hashtagbasketball.com/31061/player" TargetMode="External"/><Relationship Id="rId153" Type="http://schemas.openxmlformats.org/officeDocument/2006/relationships/hyperlink" Target="https://hashtagbasketball.com/15281/player" TargetMode="External"/><Relationship Id="rId274" Type="http://schemas.openxmlformats.org/officeDocument/2006/relationships/hyperlink" Target="https://hashtagbasketball.com/53607/player" TargetMode="External"/><Relationship Id="rId395" Type="http://schemas.openxmlformats.org/officeDocument/2006/relationships/hyperlink" Target="https://hashtagbasketball.com/13777/player" TargetMode="External"/><Relationship Id="rId152" Type="http://schemas.openxmlformats.org/officeDocument/2006/relationships/hyperlink" Target="https://hashtagbasketball.com/31031/player" TargetMode="External"/><Relationship Id="rId273" Type="http://schemas.openxmlformats.org/officeDocument/2006/relationships/hyperlink" Target="https://hashtagbasketball.com/31071/player" TargetMode="External"/><Relationship Id="rId394" Type="http://schemas.openxmlformats.org/officeDocument/2006/relationships/hyperlink" Target="https://hashtagbasketball.com/111211/player" TargetMode="External"/><Relationship Id="rId151" Type="http://schemas.openxmlformats.org/officeDocument/2006/relationships/hyperlink" Target="https://hashtagbasketball.com/38635/player" TargetMode="External"/><Relationship Id="rId272" Type="http://schemas.openxmlformats.org/officeDocument/2006/relationships/hyperlink" Target="https://hashtagbasketball.com/27637/player" TargetMode="External"/><Relationship Id="rId393" Type="http://schemas.openxmlformats.org/officeDocument/2006/relationships/hyperlink" Target="https://hashtagbasketball.com/39849/player" TargetMode="External"/><Relationship Id="rId158" Type="http://schemas.openxmlformats.org/officeDocument/2006/relationships/hyperlink" Target="https://hashtagbasketball.com/9390/player" TargetMode="External"/><Relationship Id="rId279" Type="http://schemas.openxmlformats.org/officeDocument/2006/relationships/hyperlink" Target="https://hashtagbasketball.com/9507/player" TargetMode="External"/><Relationship Id="rId157" Type="http://schemas.openxmlformats.org/officeDocument/2006/relationships/hyperlink" Target="https://hashtagbasketball.com/9084/player" TargetMode="External"/><Relationship Id="rId278" Type="http://schemas.openxmlformats.org/officeDocument/2006/relationships/hyperlink" Target="https://hashtagbasketball.com/10162/player" TargetMode="External"/><Relationship Id="rId399" Type="http://schemas.openxmlformats.org/officeDocument/2006/relationships/hyperlink" Target="https://hashtagbasketball.com/35209/player" TargetMode="External"/><Relationship Id="rId156" Type="http://schemas.openxmlformats.org/officeDocument/2006/relationships/hyperlink" Target="https://hashtagbasketball.com/15218/player" TargetMode="External"/><Relationship Id="rId277" Type="http://schemas.openxmlformats.org/officeDocument/2006/relationships/hyperlink" Target="https://hashtagbasketball.com/109469/player" TargetMode="External"/><Relationship Id="rId398" Type="http://schemas.openxmlformats.org/officeDocument/2006/relationships/hyperlink" Target="https://hashtagbasketball.com/31075/player" TargetMode="External"/><Relationship Id="rId155" Type="http://schemas.openxmlformats.org/officeDocument/2006/relationships/hyperlink" Target="https://hashtagbasketball.com/9227/player" TargetMode="External"/><Relationship Id="rId276" Type="http://schemas.openxmlformats.org/officeDocument/2006/relationships/hyperlink" Target="https://hashtagbasketball.com/27883/player" TargetMode="External"/><Relationship Id="rId397" Type="http://schemas.openxmlformats.org/officeDocument/2006/relationships/hyperlink" Target="https://hashtagbasketball.com/17282/player" TargetMode="External"/><Relationship Id="rId40" Type="http://schemas.openxmlformats.org/officeDocument/2006/relationships/hyperlink" Target="https://hashtagbasketball.com/31030/player" TargetMode="External"/><Relationship Id="rId42" Type="http://schemas.openxmlformats.org/officeDocument/2006/relationships/hyperlink" Target="https://hashtagbasketball.com/10134/player" TargetMode="External"/><Relationship Id="rId41" Type="http://schemas.openxmlformats.org/officeDocument/2006/relationships/hyperlink" Target="https://hashtagbasketball.com/13732/player" TargetMode="External"/><Relationship Id="rId44" Type="http://schemas.openxmlformats.org/officeDocument/2006/relationships/hyperlink" Target="https://hashtagbasketball.com/110399/player" TargetMode="External"/><Relationship Id="rId43" Type="http://schemas.openxmlformats.org/officeDocument/2006/relationships/hyperlink" Target="https://hashtagbasketball.com/31032/player" TargetMode="External"/><Relationship Id="rId46" Type="http://schemas.openxmlformats.org/officeDocument/2006/relationships/hyperlink" Target="https://hashtagbasketball.com/9412/player" TargetMode="External"/><Relationship Id="rId45" Type="http://schemas.openxmlformats.org/officeDocument/2006/relationships/hyperlink" Target="https://hashtagbasketball.com/38790/player" TargetMode="External"/><Relationship Id="rId48" Type="http://schemas.openxmlformats.org/officeDocument/2006/relationships/hyperlink" Target="https://hashtagbasketball.com/9118/player" TargetMode="External"/><Relationship Id="rId47" Type="http://schemas.openxmlformats.org/officeDocument/2006/relationships/hyperlink" Target="https://hashtagbasketball.com/17252/player" TargetMode="External"/><Relationship Id="rId49" Type="http://schemas.openxmlformats.org/officeDocument/2006/relationships/hyperlink" Target="https://hashtagbasketball.com/10123/player" TargetMode="External"/><Relationship Id="rId31" Type="http://schemas.openxmlformats.org/officeDocument/2006/relationships/hyperlink" Target="https://hashtagbasketball.com/9252/player" TargetMode="External"/><Relationship Id="rId30" Type="http://schemas.openxmlformats.org/officeDocument/2006/relationships/hyperlink" Target="https://hashtagbasketball.com/9373/player" TargetMode="External"/><Relationship Id="rId33" Type="http://schemas.openxmlformats.org/officeDocument/2006/relationships/hyperlink" Target="https://hashtagbasketball.com/9489/player" TargetMode="External"/><Relationship Id="rId32" Type="http://schemas.openxmlformats.org/officeDocument/2006/relationships/hyperlink" Target="https://hashtagbasketball.com/17191/player" TargetMode="External"/><Relationship Id="rId35" Type="http://schemas.openxmlformats.org/officeDocument/2006/relationships/hyperlink" Target="https://hashtagbasketball.com/10165/player" TargetMode="External"/><Relationship Id="rId34" Type="http://schemas.openxmlformats.org/officeDocument/2006/relationships/hyperlink" Target="https://hashtagbasketball.com/10124/player" TargetMode="External"/><Relationship Id="rId37" Type="http://schemas.openxmlformats.org/officeDocument/2006/relationships/hyperlink" Target="https://hashtagbasketball.com/10090/player" TargetMode="External"/><Relationship Id="rId36" Type="http://schemas.openxmlformats.org/officeDocument/2006/relationships/hyperlink" Target="https://hashtagbasketball.com/9355/player" TargetMode="External"/><Relationship Id="rId39" Type="http://schemas.openxmlformats.org/officeDocument/2006/relationships/hyperlink" Target="https://hashtagbasketball.com/9343/player" TargetMode="External"/><Relationship Id="rId38" Type="http://schemas.openxmlformats.org/officeDocument/2006/relationships/hyperlink" Target="https://hashtagbasketball.com/15280/player" TargetMode="External"/><Relationship Id="rId20" Type="http://schemas.openxmlformats.org/officeDocument/2006/relationships/hyperlink" Target="https://hashtagbasketball.com/9476/player" TargetMode="External"/><Relationship Id="rId22" Type="http://schemas.openxmlformats.org/officeDocument/2006/relationships/hyperlink" Target="https://hashtagbasketball.com/9325/player" TargetMode="External"/><Relationship Id="rId21" Type="http://schemas.openxmlformats.org/officeDocument/2006/relationships/hyperlink" Target="https://hashtagbasketball.com/27638/player" TargetMode="External"/><Relationship Id="rId24" Type="http://schemas.openxmlformats.org/officeDocument/2006/relationships/hyperlink" Target="https://hashtagbasketball.com/9346/player" TargetMode="External"/><Relationship Id="rId23" Type="http://schemas.openxmlformats.org/officeDocument/2006/relationships/hyperlink" Target="https://hashtagbasketball.com/15207/player" TargetMode="External"/><Relationship Id="rId401" Type="http://schemas.openxmlformats.org/officeDocument/2006/relationships/drawing" Target="../drawings/drawing10.xml"/><Relationship Id="rId26" Type="http://schemas.openxmlformats.org/officeDocument/2006/relationships/hyperlink" Target="https://hashtagbasketball.com/27649/player" TargetMode="External"/><Relationship Id="rId25" Type="http://schemas.openxmlformats.org/officeDocument/2006/relationships/hyperlink" Target="https://hashtagbasketball.com/13734/player" TargetMode="External"/><Relationship Id="rId28" Type="http://schemas.openxmlformats.org/officeDocument/2006/relationships/hyperlink" Target="https://hashtagbasketball.com/13742/player" TargetMode="External"/><Relationship Id="rId27" Type="http://schemas.openxmlformats.org/officeDocument/2006/relationships/hyperlink" Target="https://hashtagbasketball.com/9250/player" TargetMode="External"/><Relationship Id="rId400" Type="http://schemas.openxmlformats.org/officeDocument/2006/relationships/hyperlink" Target="https://hashtagbasketball.com/111215/player" TargetMode="External"/><Relationship Id="rId29" Type="http://schemas.openxmlformats.org/officeDocument/2006/relationships/hyperlink" Target="https://hashtagbasketball.com/9158/player" TargetMode="External"/><Relationship Id="rId11" Type="http://schemas.openxmlformats.org/officeDocument/2006/relationships/hyperlink" Target="https://hashtagbasketball.com/9354/player" TargetMode="External"/><Relationship Id="rId10" Type="http://schemas.openxmlformats.org/officeDocument/2006/relationships/hyperlink" Target="https://hashtagbasketball.com/9157/player" TargetMode="External"/><Relationship Id="rId13" Type="http://schemas.openxmlformats.org/officeDocument/2006/relationships/hyperlink" Target="https://hashtagbasketball.com/27469/player" TargetMode="External"/><Relationship Id="rId12" Type="http://schemas.openxmlformats.org/officeDocument/2006/relationships/hyperlink" Target="https://hashtagbasketball.com/9232/player" TargetMode="External"/><Relationship Id="rId15" Type="http://schemas.openxmlformats.org/officeDocument/2006/relationships/hyperlink" Target="https://hashtagbasketball.com/9434/player" TargetMode="External"/><Relationship Id="rId14" Type="http://schemas.openxmlformats.org/officeDocument/2006/relationships/hyperlink" Target="https://hashtagbasketball.com/13741/player" TargetMode="External"/><Relationship Id="rId17" Type="http://schemas.openxmlformats.org/officeDocument/2006/relationships/hyperlink" Target="https://hashtagbasketball.com/15201/player" TargetMode="External"/><Relationship Id="rId16" Type="http://schemas.openxmlformats.org/officeDocument/2006/relationships/hyperlink" Target="https://hashtagbasketball.com/10113/player" TargetMode="External"/><Relationship Id="rId19" Type="http://schemas.openxmlformats.org/officeDocument/2006/relationships/hyperlink" Target="https://hashtagbasketball.com/9152/player" TargetMode="External"/><Relationship Id="rId18" Type="http://schemas.openxmlformats.org/officeDocument/2006/relationships/hyperlink" Target="https://hashtagbasketball.com/15202/player" TargetMode="External"/><Relationship Id="rId84" Type="http://schemas.openxmlformats.org/officeDocument/2006/relationships/hyperlink" Target="https://hashtagbasketball.com/27884/player" TargetMode="External"/><Relationship Id="rId83" Type="http://schemas.openxmlformats.org/officeDocument/2006/relationships/hyperlink" Target="https://hashtagbasketball.com/9347/player" TargetMode="External"/><Relationship Id="rId86" Type="http://schemas.openxmlformats.org/officeDocument/2006/relationships/hyperlink" Target="https://hashtagbasketball.com/13753/player" TargetMode="External"/><Relationship Id="rId85" Type="http://schemas.openxmlformats.org/officeDocument/2006/relationships/hyperlink" Target="https://hashtagbasketball.com/10122/player" TargetMode="External"/><Relationship Id="rId88" Type="http://schemas.openxmlformats.org/officeDocument/2006/relationships/hyperlink" Target="https://hashtagbasketball.com/9237/player" TargetMode="External"/><Relationship Id="rId87" Type="http://schemas.openxmlformats.org/officeDocument/2006/relationships/hyperlink" Target="https://hashtagbasketball.com/9285/player" TargetMode="External"/><Relationship Id="rId89" Type="http://schemas.openxmlformats.org/officeDocument/2006/relationships/hyperlink" Target="https://hashtagbasketball.com/35041/player" TargetMode="External"/><Relationship Id="rId80" Type="http://schemas.openxmlformats.org/officeDocument/2006/relationships/hyperlink" Target="https://hashtagbasketball.com/9221/player" TargetMode="External"/><Relationship Id="rId82" Type="http://schemas.openxmlformats.org/officeDocument/2006/relationships/hyperlink" Target="https://hashtagbasketball.com/15221/player" TargetMode="External"/><Relationship Id="rId81" Type="http://schemas.openxmlformats.org/officeDocument/2006/relationships/hyperlink" Target="https://hashtagbasketball.com/31035/player" TargetMode="External"/><Relationship Id="rId73" Type="http://schemas.openxmlformats.org/officeDocument/2006/relationships/hyperlink" Target="https://hashtagbasketball.com/13756/player" TargetMode="External"/><Relationship Id="rId72" Type="http://schemas.openxmlformats.org/officeDocument/2006/relationships/hyperlink" Target="https://hashtagbasketball.com/9282/player" TargetMode="External"/><Relationship Id="rId75" Type="http://schemas.openxmlformats.org/officeDocument/2006/relationships/hyperlink" Target="https://hashtagbasketball.com/13729/player" TargetMode="External"/><Relationship Id="rId74" Type="http://schemas.openxmlformats.org/officeDocument/2006/relationships/hyperlink" Target="https://hashtagbasketball.com/17295/player" TargetMode="External"/><Relationship Id="rId77" Type="http://schemas.openxmlformats.org/officeDocument/2006/relationships/hyperlink" Target="https://hashtagbasketball.com/9503/player" TargetMode="External"/><Relationship Id="rId76" Type="http://schemas.openxmlformats.org/officeDocument/2006/relationships/hyperlink" Target="https://hashtagbasketball.com/9105/player" TargetMode="External"/><Relationship Id="rId79" Type="http://schemas.openxmlformats.org/officeDocument/2006/relationships/hyperlink" Target="https://hashtagbasketball.com/31033/player" TargetMode="External"/><Relationship Id="rId78" Type="http://schemas.openxmlformats.org/officeDocument/2006/relationships/hyperlink" Target="https://hashtagbasketball.com/15209/player" TargetMode="External"/><Relationship Id="rId71" Type="http://schemas.openxmlformats.org/officeDocument/2006/relationships/hyperlink" Target="https://hashtagbasketball.com/38835/player" TargetMode="External"/><Relationship Id="rId70" Type="http://schemas.openxmlformats.org/officeDocument/2006/relationships/hyperlink" Target="https://hashtagbasketball.com/13755/player" TargetMode="External"/><Relationship Id="rId62" Type="http://schemas.openxmlformats.org/officeDocument/2006/relationships/hyperlink" Target="https://hashtagbasketball.com/17197/player" TargetMode="External"/><Relationship Id="rId61" Type="http://schemas.openxmlformats.org/officeDocument/2006/relationships/hyperlink" Target="https://hashtagbasketball.com/31037/player" TargetMode="External"/><Relationship Id="rId64" Type="http://schemas.openxmlformats.org/officeDocument/2006/relationships/hyperlink" Target="https://hashtagbasketball.com/9419/player" TargetMode="External"/><Relationship Id="rId63" Type="http://schemas.openxmlformats.org/officeDocument/2006/relationships/hyperlink" Target="https://hashtagbasketball.com/17259/player" TargetMode="External"/><Relationship Id="rId66" Type="http://schemas.openxmlformats.org/officeDocument/2006/relationships/hyperlink" Target="https://hashtagbasketball.com/15224/player" TargetMode="External"/><Relationship Id="rId65" Type="http://schemas.openxmlformats.org/officeDocument/2006/relationships/hyperlink" Target="https://hashtagbasketball.com/27644/player" TargetMode="External"/><Relationship Id="rId68" Type="http://schemas.openxmlformats.org/officeDocument/2006/relationships/hyperlink" Target="https://hashtagbasketball.com/38949/player" TargetMode="External"/><Relationship Id="rId67" Type="http://schemas.openxmlformats.org/officeDocument/2006/relationships/hyperlink" Target="https://hashtagbasketball.com/27342/player" TargetMode="External"/><Relationship Id="rId60" Type="http://schemas.openxmlformats.org/officeDocument/2006/relationships/hyperlink" Target="https://hashtagbasketball.com/31045/player" TargetMode="External"/><Relationship Id="rId69" Type="http://schemas.openxmlformats.org/officeDocument/2006/relationships/hyperlink" Target="https://hashtagbasketball.com/13750/player" TargetMode="External"/><Relationship Id="rId51" Type="http://schemas.openxmlformats.org/officeDocument/2006/relationships/hyperlink" Target="https://hashtagbasketball.com/17329/player" TargetMode="External"/><Relationship Id="rId50" Type="http://schemas.openxmlformats.org/officeDocument/2006/relationships/hyperlink" Target="https://hashtagbasketball.com/27450/player" TargetMode="External"/><Relationship Id="rId53" Type="http://schemas.openxmlformats.org/officeDocument/2006/relationships/hyperlink" Target="https://hashtagbasketball.com/13749/player" TargetMode="External"/><Relationship Id="rId52" Type="http://schemas.openxmlformats.org/officeDocument/2006/relationships/hyperlink" Target="https://hashtagbasketball.com/10149/player" TargetMode="External"/><Relationship Id="rId55" Type="http://schemas.openxmlformats.org/officeDocument/2006/relationships/hyperlink" Target="https://hashtagbasketball.com/16958/player" TargetMode="External"/><Relationship Id="rId54" Type="http://schemas.openxmlformats.org/officeDocument/2006/relationships/hyperlink" Target="https://hashtagbasketball.com/38617/player" TargetMode="External"/><Relationship Id="rId57" Type="http://schemas.openxmlformats.org/officeDocument/2006/relationships/hyperlink" Target="https://hashtagbasketball.com/15198/player" TargetMode="External"/><Relationship Id="rId56" Type="http://schemas.openxmlformats.org/officeDocument/2006/relationships/hyperlink" Target="https://hashtagbasketball.com/17189/player" TargetMode="External"/><Relationship Id="rId59" Type="http://schemas.openxmlformats.org/officeDocument/2006/relationships/hyperlink" Target="https://hashtagbasketball.com/9334/player" TargetMode="External"/><Relationship Id="rId58" Type="http://schemas.openxmlformats.org/officeDocument/2006/relationships/hyperlink" Target="https://hashtagbasketball.com/9523/player" TargetMode="External"/><Relationship Id="rId107" Type="http://schemas.openxmlformats.org/officeDocument/2006/relationships/hyperlink" Target="https://hashtagbasketball.com/38848/player" TargetMode="External"/><Relationship Id="rId228" Type="http://schemas.openxmlformats.org/officeDocument/2006/relationships/hyperlink" Target="https://hashtagbasketball.com/15309/player" TargetMode="External"/><Relationship Id="rId349" Type="http://schemas.openxmlformats.org/officeDocument/2006/relationships/hyperlink" Target="https://hashtagbasketball.com/9148/player" TargetMode="External"/><Relationship Id="rId106" Type="http://schemas.openxmlformats.org/officeDocument/2006/relationships/hyperlink" Target="https://hashtagbasketball.com/10127/player" TargetMode="External"/><Relationship Id="rId227" Type="http://schemas.openxmlformats.org/officeDocument/2006/relationships/hyperlink" Target="https://hashtagbasketball.com/15222/player" TargetMode="External"/><Relationship Id="rId348" Type="http://schemas.openxmlformats.org/officeDocument/2006/relationships/hyperlink" Target="https://hashtagbasketball.com/111226/player" TargetMode="External"/><Relationship Id="rId105" Type="http://schemas.openxmlformats.org/officeDocument/2006/relationships/hyperlink" Target="https://hashtagbasketball.com/38942/player" TargetMode="External"/><Relationship Id="rId226" Type="http://schemas.openxmlformats.org/officeDocument/2006/relationships/hyperlink" Target="https://hashtagbasketball.com/9207/player" TargetMode="External"/><Relationship Id="rId347" Type="http://schemas.openxmlformats.org/officeDocument/2006/relationships/hyperlink" Target="https://hashtagbasketball.com/9173/player" TargetMode="External"/><Relationship Id="rId104" Type="http://schemas.openxmlformats.org/officeDocument/2006/relationships/hyperlink" Target="https://hashtagbasketball.com/9114/player" TargetMode="External"/><Relationship Id="rId225" Type="http://schemas.openxmlformats.org/officeDocument/2006/relationships/hyperlink" Target="https://hashtagbasketball.com/17195/player" TargetMode="External"/><Relationship Id="rId346" Type="http://schemas.openxmlformats.org/officeDocument/2006/relationships/hyperlink" Target="https://hashtagbasketball.com/13736/player" TargetMode="External"/><Relationship Id="rId109" Type="http://schemas.openxmlformats.org/officeDocument/2006/relationships/hyperlink" Target="https://hashtagbasketball.com/10169/player" TargetMode="External"/><Relationship Id="rId108" Type="http://schemas.openxmlformats.org/officeDocument/2006/relationships/hyperlink" Target="https://hashtagbasketball.com/15287/player" TargetMode="External"/><Relationship Id="rId229" Type="http://schemas.openxmlformats.org/officeDocument/2006/relationships/hyperlink" Target="https://hashtagbasketball.com/17334/player" TargetMode="External"/><Relationship Id="rId220" Type="http://schemas.openxmlformats.org/officeDocument/2006/relationships/hyperlink" Target="https://hashtagbasketball.com/15217/player" TargetMode="External"/><Relationship Id="rId341" Type="http://schemas.openxmlformats.org/officeDocument/2006/relationships/hyperlink" Target="https://hashtagbasketball.com/9155/player" TargetMode="External"/><Relationship Id="rId340" Type="http://schemas.openxmlformats.org/officeDocument/2006/relationships/hyperlink" Target="https://hashtagbasketball.com/9268/player" TargetMode="External"/><Relationship Id="rId103" Type="http://schemas.openxmlformats.org/officeDocument/2006/relationships/hyperlink" Target="https://hashtagbasketball.com/10136/player" TargetMode="External"/><Relationship Id="rId224" Type="http://schemas.openxmlformats.org/officeDocument/2006/relationships/hyperlink" Target="https://hashtagbasketball.com/17193/player" TargetMode="External"/><Relationship Id="rId345" Type="http://schemas.openxmlformats.org/officeDocument/2006/relationships/hyperlink" Target="https://hashtagbasketball.com/38423/player" TargetMode="External"/><Relationship Id="rId102" Type="http://schemas.openxmlformats.org/officeDocument/2006/relationships/hyperlink" Target="https://hashtagbasketball.com/9082/player" TargetMode="External"/><Relationship Id="rId223" Type="http://schemas.openxmlformats.org/officeDocument/2006/relationships/hyperlink" Target="https://hashtagbasketball.com/9161/player" TargetMode="External"/><Relationship Id="rId344" Type="http://schemas.openxmlformats.org/officeDocument/2006/relationships/hyperlink" Target="https://hashtagbasketball.com/31084/player" TargetMode="External"/><Relationship Id="rId101" Type="http://schemas.openxmlformats.org/officeDocument/2006/relationships/hyperlink" Target="https://hashtagbasketball.com/38840/player" TargetMode="External"/><Relationship Id="rId222" Type="http://schemas.openxmlformats.org/officeDocument/2006/relationships/hyperlink" Target="https://hashtagbasketball.com/38582/player" TargetMode="External"/><Relationship Id="rId343" Type="http://schemas.openxmlformats.org/officeDocument/2006/relationships/hyperlink" Target="https://hashtagbasketball.com/31043/player" TargetMode="External"/><Relationship Id="rId100" Type="http://schemas.openxmlformats.org/officeDocument/2006/relationships/hyperlink" Target="https://hashtagbasketball.com/15282/player" TargetMode="External"/><Relationship Id="rId221" Type="http://schemas.openxmlformats.org/officeDocument/2006/relationships/hyperlink" Target="https://hashtagbasketball.com/109468/player" TargetMode="External"/><Relationship Id="rId342" Type="http://schemas.openxmlformats.org/officeDocument/2006/relationships/hyperlink" Target="https://hashtagbasketball.com/31122/player" TargetMode="External"/><Relationship Id="rId217" Type="http://schemas.openxmlformats.org/officeDocument/2006/relationships/hyperlink" Target="https://hashtagbasketball.com/31036/player" TargetMode="External"/><Relationship Id="rId338" Type="http://schemas.openxmlformats.org/officeDocument/2006/relationships/hyperlink" Target="https://hashtagbasketball.com/111216/player" TargetMode="External"/><Relationship Id="rId216" Type="http://schemas.openxmlformats.org/officeDocument/2006/relationships/hyperlink" Target="https://hashtagbasketball.com/111205/player" TargetMode="External"/><Relationship Id="rId337" Type="http://schemas.openxmlformats.org/officeDocument/2006/relationships/hyperlink" Target="https://hashtagbasketball.com/13862/player" TargetMode="External"/><Relationship Id="rId215" Type="http://schemas.openxmlformats.org/officeDocument/2006/relationships/hyperlink" Target="https://hashtagbasketball.com/10117/player" TargetMode="External"/><Relationship Id="rId336" Type="http://schemas.openxmlformats.org/officeDocument/2006/relationships/hyperlink" Target="https://hashtagbasketball.com/17327/player" TargetMode="External"/><Relationship Id="rId214" Type="http://schemas.openxmlformats.org/officeDocument/2006/relationships/hyperlink" Target="https://hashtagbasketball.com/9087/player" TargetMode="External"/><Relationship Id="rId335" Type="http://schemas.openxmlformats.org/officeDocument/2006/relationships/hyperlink" Target="https://hashtagbasketball.com/9244/player" TargetMode="External"/><Relationship Id="rId219" Type="http://schemas.openxmlformats.org/officeDocument/2006/relationships/hyperlink" Target="https://hashtagbasketball.com/27881/player" TargetMode="External"/><Relationship Id="rId218" Type="http://schemas.openxmlformats.org/officeDocument/2006/relationships/hyperlink" Target="https://hashtagbasketball.com/53823/player" TargetMode="External"/><Relationship Id="rId339" Type="http://schemas.openxmlformats.org/officeDocument/2006/relationships/hyperlink" Target="https://hashtagbasketball.com/31052/player" TargetMode="External"/><Relationship Id="rId330" Type="http://schemas.openxmlformats.org/officeDocument/2006/relationships/hyperlink" Target="https://hashtagbasketball.com/9204/player" TargetMode="External"/><Relationship Id="rId213" Type="http://schemas.openxmlformats.org/officeDocument/2006/relationships/hyperlink" Target="https://hashtagbasketball.com/31049/player" TargetMode="External"/><Relationship Id="rId334" Type="http://schemas.openxmlformats.org/officeDocument/2006/relationships/hyperlink" Target="https://hashtagbasketball.com/15322/player" TargetMode="External"/><Relationship Id="rId212" Type="http://schemas.openxmlformats.org/officeDocument/2006/relationships/hyperlink" Target="https://hashtagbasketball.com/10133/player" TargetMode="External"/><Relationship Id="rId333" Type="http://schemas.openxmlformats.org/officeDocument/2006/relationships/hyperlink" Target="https://hashtagbasketball.com/38939/player" TargetMode="External"/><Relationship Id="rId211" Type="http://schemas.openxmlformats.org/officeDocument/2006/relationships/hyperlink" Target="https://hashtagbasketball.com/9456/player" TargetMode="External"/><Relationship Id="rId332" Type="http://schemas.openxmlformats.org/officeDocument/2006/relationships/hyperlink" Target="https://hashtagbasketball.com/38945/player" TargetMode="External"/><Relationship Id="rId210" Type="http://schemas.openxmlformats.org/officeDocument/2006/relationships/hyperlink" Target="https://hashtagbasketball.com/9107/player" TargetMode="External"/><Relationship Id="rId331" Type="http://schemas.openxmlformats.org/officeDocument/2006/relationships/hyperlink" Target="https://hashtagbasketball.com/9413/player" TargetMode="External"/><Relationship Id="rId370" Type="http://schemas.openxmlformats.org/officeDocument/2006/relationships/hyperlink" Target="https://hashtagbasketball.com/13735/player" TargetMode="External"/><Relationship Id="rId129" Type="http://schemas.openxmlformats.org/officeDocument/2006/relationships/hyperlink" Target="https://hashtagbasketball.com/27591/player" TargetMode="External"/><Relationship Id="rId128" Type="http://schemas.openxmlformats.org/officeDocument/2006/relationships/hyperlink" Target="https://hashtagbasketball.com/10087/player" TargetMode="External"/><Relationship Id="rId249" Type="http://schemas.openxmlformats.org/officeDocument/2006/relationships/hyperlink" Target="https://hashtagbasketball.com/27624/player" TargetMode="External"/><Relationship Id="rId127" Type="http://schemas.openxmlformats.org/officeDocument/2006/relationships/hyperlink" Target="https://hashtagbasketball.com/15288/player" TargetMode="External"/><Relationship Id="rId248" Type="http://schemas.openxmlformats.org/officeDocument/2006/relationships/hyperlink" Target="https://hashtagbasketball.com/27462/player" TargetMode="External"/><Relationship Id="rId369" Type="http://schemas.openxmlformats.org/officeDocument/2006/relationships/hyperlink" Target="https://hashtagbasketball.com/15223/player" TargetMode="External"/><Relationship Id="rId126" Type="http://schemas.openxmlformats.org/officeDocument/2006/relationships/hyperlink" Target="https://hashtagbasketball.com/9192/player" TargetMode="External"/><Relationship Id="rId247" Type="http://schemas.openxmlformats.org/officeDocument/2006/relationships/hyperlink" Target="https://hashtagbasketball.com/9202/player" TargetMode="External"/><Relationship Id="rId368" Type="http://schemas.openxmlformats.org/officeDocument/2006/relationships/hyperlink" Target="https://hashtagbasketball.com/27862/player" TargetMode="External"/><Relationship Id="rId121" Type="http://schemas.openxmlformats.org/officeDocument/2006/relationships/hyperlink" Target="https://hashtagbasketball.com/9203/player" TargetMode="External"/><Relationship Id="rId242" Type="http://schemas.openxmlformats.org/officeDocument/2006/relationships/hyperlink" Target="https://hashtagbasketball.com/13856/player" TargetMode="External"/><Relationship Id="rId363" Type="http://schemas.openxmlformats.org/officeDocument/2006/relationships/hyperlink" Target="https://hashtagbasketball.com/17240/player" TargetMode="External"/><Relationship Id="rId120" Type="http://schemas.openxmlformats.org/officeDocument/2006/relationships/hyperlink" Target="https://hashtagbasketball.com/111203/player" TargetMode="External"/><Relationship Id="rId241" Type="http://schemas.openxmlformats.org/officeDocument/2006/relationships/hyperlink" Target="https://hashtagbasketball.com/31057/player" TargetMode="External"/><Relationship Id="rId362" Type="http://schemas.openxmlformats.org/officeDocument/2006/relationships/hyperlink" Target="https://hashtagbasketball.com/15297/player" TargetMode="External"/><Relationship Id="rId240" Type="http://schemas.openxmlformats.org/officeDocument/2006/relationships/hyperlink" Target="https://hashtagbasketball.com/38836/player" TargetMode="External"/><Relationship Id="rId361" Type="http://schemas.openxmlformats.org/officeDocument/2006/relationships/hyperlink" Target="https://hashtagbasketball.com/39848/player" TargetMode="External"/><Relationship Id="rId360" Type="http://schemas.openxmlformats.org/officeDocument/2006/relationships/hyperlink" Target="https://hashtagbasketball.com/17315/player" TargetMode="External"/><Relationship Id="rId125" Type="http://schemas.openxmlformats.org/officeDocument/2006/relationships/hyperlink" Target="https://hashtagbasketball.com/27700/player" TargetMode="External"/><Relationship Id="rId246" Type="http://schemas.openxmlformats.org/officeDocument/2006/relationships/hyperlink" Target="https://hashtagbasketball.com/35208/player" TargetMode="External"/><Relationship Id="rId367" Type="http://schemas.openxmlformats.org/officeDocument/2006/relationships/hyperlink" Target="https://hashtagbasketball.com/27709/player" TargetMode="External"/><Relationship Id="rId124" Type="http://schemas.openxmlformats.org/officeDocument/2006/relationships/hyperlink" Target="https://hashtagbasketball.com/15216/player" TargetMode="External"/><Relationship Id="rId245" Type="http://schemas.openxmlformats.org/officeDocument/2006/relationships/hyperlink" Target="https://hashtagbasketball.com/10115/player" TargetMode="External"/><Relationship Id="rId366" Type="http://schemas.openxmlformats.org/officeDocument/2006/relationships/hyperlink" Target="https://hashtagbasketball.com/27849/player" TargetMode="External"/><Relationship Id="rId123" Type="http://schemas.openxmlformats.org/officeDocument/2006/relationships/hyperlink" Target="https://hashtagbasketball.com/9475/player" TargetMode="External"/><Relationship Id="rId244" Type="http://schemas.openxmlformats.org/officeDocument/2006/relationships/hyperlink" Target="https://hashtagbasketball.com/17317/player" TargetMode="External"/><Relationship Id="rId365" Type="http://schemas.openxmlformats.org/officeDocument/2006/relationships/hyperlink" Target="https://hashtagbasketball.com/17304/player" TargetMode="External"/><Relationship Id="rId122" Type="http://schemas.openxmlformats.org/officeDocument/2006/relationships/hyperlink" Target="https://hashtagbasketball.com/9342/player" TargetMode="External"/><Relationship Id="rId243" Type="http://schemas.openxmlformats.org/officeDocument/2006/relationships/hyperlink" Target="https://hashtagbasketball.com/9338/player" TargetMode="External"/><Relationship Id="rId364" Type="http://schemas.openxmlformats.org/officeDocument/2006/relationships/hyperlink" Target="https://hashtagbasketball.com/9119/player" TargetMode="External"/><Relationship Id="rId95" Type="http://schemas.openxmlformats.org/officeDocument/2006/relationships/hyperlink" Target="https://hashtagbasketball.com/9212/player" TargetMode="External"/><Relationship Id="rId94" Type="http://schemas.openxmlformats.org/officeDocument/2006/relationships/hyperlink" Target="https://hashtagbasketball.com/9265/player" TargetMode="External"/><Relationship Id="rId97" Type="http://schemas.openxmlformats.org/officeDocument/2006/relationships/hyperlink" Target="https://hashtagbasketball.com/31046/player" TargetMode="External"/><Relationship Id="rId96" Type="http://schemas.openxmlformats.org/officeDocument/2006/relationships/hyperlink" Target="https://hashtagbasketball.com/9491/player" TargetMode="External"/><Relationship Id="rId99" Type="http://schemas.openxmlformats.org/officeDocument/2006/relationships/hyperlink" Target="https://hashtagbasketball.com/15211/player" TargetMode="External"/><Relationship Id="rId98" Type="http://schemas.openxmlformats.org/officeDocument/2006/relationships/hyperlink" Target="https://hashtagbasketball.com/9228/player" TargetMode="External"/><Relationship Id="rId91" Type="http://schemas.openxmlformats.org/officeDocument/2006/relationships/hyperlink" Target="https://hashtagbasketball.com/13784/player" TargetMode="External"/><Relationship Id="rId90" Type="http://schemas.openxmlformats.org/officeDocument/2006/relationships/hyperlink" Target="https://hashtagbasketball.com/9447/player" TargetMode="External"/><Relationship Id="rId93" Type="http://schemas.openxmlformats.org/officeDocument/2006/relationships/hyperlink" Target="https://hashtagbasketball.com/13737/player" TargetMode="External"/><Relationship Id="rId92" Type="http://schemas.openxmlformats.org/officeDocument/2006/relationships/hyperlink" Target="https://hashtagbasketball.com/15316/player" TargetMode="External"/><Relationship Id="rId118" Type="http://schemas.openxmlformats.org/officeDocument/2006/relationships/hyperlink" Target="https://hashtagbasketball.com/27679/player" TargetMode="External"/><Relationship Id="rId239" Type="http://schemas.openxmlformats.org/officeDocument/2006/relationships/hyperlink" Target="https://hashtagbasketball.com/111212/player" TargetMode="External"/><Relationship Id="rId117" Type="http://schemas.openxmlformats.org/officeDocument/2006/relationships/hyperlink" Target="https://hashtagbasketball.com/9209/player" TargetMode="External"/><Relationship Id="rId238" Type="http://schemas.openxmlformats.org/officeDocument/2006/relationships/hyperlink" Target="https://hashtagbasketball.com/27463/player" TargetMode="External"/><Relationship Id="rId359" Type="http://schemas.openxmlformats.org/officeDocument/2006/relationships/hyperlink" Target="https://hashtagbasketball.com/111234/player" TargetMode="External"/><Relationship Id="rId116" Type="http://schemas.openxmlformats.org/officeDocument/2006/relationships/hyperlink" Target="https://hashtagbasketball.com/9296/player" TargetMode="External"/><Relationship Id="rId237" Type="http://schemas.openxmlformats.org/officeDocument/2006/relationships/hyperlink" Target="https://hashtagbasketball.com/36104/player" TargetMode="External"/><Relationship Id="rId358" Type="http://schemas.openxmlformats.org/officeDocument/2006/relationships/hyperlink" Target="https://hashtagbasketball.com/36073/player" TargetMode="External"/><Relationship Id="rId115" Type="http://schemas.openxmlformats.org/officeDocument/2006/relationships/hyperlink" Target="https://hashtagbasketball.com/15204/player" TargetMode="External"/><Relationship Id="rId236" Type="http://schemas.openxmlformats.org/officeDocument/2006/relationships/hyperlink" Target="https://hashtagbasketball.com/111207/player" TargetMode="External"/><Relationship Id="rId357" Type="http://schemas.openxmlformats.org/officeDocument/2006/relationships/hyperlink" Target="https://hashtagbasketball.com/17241/player" TargetMode="External"/><Relationship Id="rId119" Type="http://schemas.openxmlformats.org/officeDocument/2006/relationships/hyperlink" Target="https://hashtagbasketball.com/17275/player" TargetMode="External"/><Relationship Id="rId110" Type="http://schemas.openxmlformats.org/officeDocument/2006/relationships/hyperlink" Target="https://hashtagbasketball.com/31064/player" TargetMode="External"/><Relationship Id="rId231" Type="http://schemas.openxmlformats.org/officeDocument/2006/relationships/hyperlink" Target="https://hashtagbasketball.com/53821/player" TargetMode="External"/><Relationship Id="rId352" Type="http://schemas.openxmlformats.org/officeDocument/2006/relationships/hyperlink" Target="https://hashtagbasketball.com/9142/player" TargetMode="External"/><Relationship Id="rId230" Type="http://schemas.openxmlformats.org/officeDocument/2006/relationships/hyperlink" Target="https://hashtagbasketball.com/15319/player" TargetMode="External"/><Relationship Id="rId351" Type="http://schemas.openxmlformats.org/officeDocument/2006/relationships/hyperlink" Target="https://hashtagbasketball.com/31048/player" TargetMode="External"/><Relationship Id="rId350" Type="http://schemas.openxmlformats.org/officeDocument/2006/relationships/hyperlink" Target="https://hashtagbasketball.com/38951/player" TargetMode="External"/><Relationship Id="rId114" Type="http://schemas.openxmlformats.org/officeDocument/2006/relationships/hyperlink" Target="https://hashtagbasketball.com/9102/player" TargetMode="External"/><Relationship Id="rId235" Type="http://schemas.openxmlformats.org/officeDocument/2006/relationships/hyperlink" Target="https://hashtagbasketball.com/9427/player" TargetMode="External"/><Relationship Id="rId356" Type="http://schemas.openxmlformats.org/officeDocument/2006/relationships/hyperlink" Target="https://hashtagbasketball.com/111233/player" TargetMode="External"/><Relationship Id="rId113" Type="http://schemas.openxmlformats.org/officeDocument/2006/relationships/hyperlink" Target="https://hashtagbasketball.com/38797/player" TargetMode="External"/><Relationship Id="rId234" Type="http://schemas.openxmlformats.org/officeDocument/2006/relationships/hyperlink" Target="https://hashtagbasketball.com/39838/player" TargetMode="External"/><Relationship Id="rId355" Type="http://schemas.openxmlformats.org/officeDocument/2006/relationships/hyperlink" Target="https://hashtagbasketball.com/31087/player" TargetMode="External"/><Relationship Id="rId112" Type="http://schemas.openxmlformats.org/officeDocument/2006/relationships/hyperlink" Target="https://hashtagbasketball.com/9151/player" TargetMode="External"/><Relationship Id="rId233" Type="http://schemas.openxmlformats.org/officeDocument/2006/relationships/hyperlink" Target="https://hashtagbasketball.com/109470/player" TargetMode="External"/><Relationship Id="rId354" Type="http://schemas.openxmlformats.org/officeDocument/2006/relationships/hyperlink" Target="https://hashtagbasketball.com/27621/player" TargetMode="External"/><Relationship Id="rId111" Type="http://schemas.openxmlformats.org/officeDocument/2006/relationships/hyperlink" Target="https://hashtagbasketball.com/27724/player" TargetMode="External"/><Relationship Id="rId232" Type="http://schemas.openxmlformats.org/officeDocument/2006/relationships/hyperlink" Target="https://hashtagbasketball.com/111206/player" TargetMode="External"/><Relationship Id="rId353" Type="http://schemas.openxmlformats.org/officeDocument/2006/relationships/hyperlink" Target="https://hashtagbasketball.com/38947/player" TargetMode="External"/><Relationship Id="rId305" Type="http://schemas.openxmlformats.org/officeDocument/2006/relationships/hyperlink" Target="https://hashtagbasketball.com/15300/player" TargetMode="External"/><Relationship Id="rId304" Type="http://schemas.openxmlformats.org/officeDocument/2006/relationships/hyperlink" Target="https://hashtagbasketball.com/15278/player" TargetMode="External"/><Relationship Id="rId303" Type="http://schemas.openxmlformats.org/officeDocument/2006/relationships/hyperlink" Target="https://hashtagbasketball.com/111219/player" TargetMode="External"/><Relationship Id="rId302" Type="http://schemas.openxmlformats.org/officeDocument/2006/relationships/hyperlink" Target="https://hashtagbasketball.com/15215/player" TargetMode="External"/><Relationship Id="rId309" Type="http://schemas.openxmlformats.org/officeDocument/2006/relationships/hyperlink" Target="https://hashtagbasketball.com/15295/player" TargetMode="External"/><Relationship Id="rId308" Type="http://schemas.openxmlformats.org/officeDocument/2006/relationships/hyperlink" Target="https://hashtagbasketball.com/111220/player" TargetMode="External"/><Relationship Id="rId307" Type="http://schemas.openxmlformats.org/officeDocument/2006/relationships/hyperlink" Target="https://hashtagbasketball.com/31038/player" TargetMode="External"/><Relationship Id="rId306" Type="http://schemas.openxmlformats.org/officeDocument/2006/relationships/hyperlink" Target="https://hashtagbasketball.com/31058/player" TargetMode="External"/><Relationship Id="rId301" Type="http://schemas.openxmlformats.org/officeDocument/2006/relationships/hyperlink" Target="https://hashtagbasketball.com/111214/player" TargetMode="External"/><Relationship Id="rId300" Type="http://schemas.openxmlformats.org/officeDocument/2006/relationships/hyperlink" Target="https://hashtagbasketball.com/17274/player" TargetMode="External"/><Relationship Id="rId206" Type="http://schemas.openxmlformats.org/officeDocument/2006/relationships/hyperlink" Target="https://hashtagbasketball.com/15323/player" TargetMode="External"/><Relationship Id="rId327" Type="http://schemas.openxmlformats.org/officeDocument/2006/relationships/hyperlink" Target="https://hashtagbasketball.com/9540/player" TargetMode="External"/><Relationship Id="rId205" Type="http://schemas.openxmlformats.org/officeDocument/2006/relationships/hyperlink" Target="https://hashtagbasketball.com/31082/player" TargetMode="External"/><Relationship Id="rId326" Type="http://schemas.openxmlformats.org/officeDocument/2006/relationships/hyperlink" Target="https://hashtagbasketball.com/9092/player" TargetMode="External"/><Relationship Id="rId204" Type="http://schemas.openxmlformats.org/officeDocument/2006/relationships/hyperlink" Target="https://hashtagbasketball.com/9352/player" TargetMode="External"/><Relationship Id="rId325" Type="http://schemas.openxmlformats.org/officeDocument/2006/relationships/hyperlink" Target="https://hashtagbasketball.com/38948/player" TargetMode="External"/><Relationship Id="rId203" Type="http://schemas.openxmlformats.org/officeDocument/2006/relationships/hyperlink" Target="https://hashtagbasketball.com/13733/player" TargetMode="External"/><Relationship Id="rId324" Type="http://schemas.openxmlformats.org/officeDocument/2006/relationships/hyperlink" Target="https://hashtagbasketball.com/17229/player" TargetMode="External"/><Relationship Id="rId209" Type="http://schemas.openxmlformats.org/officeDocument/2006/relationships/hyperlink" Target="https://hashtagbasketball.com/38570/player" TargetMode="External"/><Relationship Id="rId208" Type="http://schemas.openxmlformats.org/officeDocument/2006/relationships/hyperlink" Target="https://hashtagbasketball.com/13766/player" TargetMode="External"/><Relationship Id="rId329" Type="http://schemas.openxmlformats.org/officeDocument/2006/relationships/hyperlink" Target="https://hashtagbasketball.com/10146/player" TargetMode="External"/><Relationship Id="rId207" Type="http://schemas.openxmlformats.org/officeDocument/2006/relationships/hyperlink" Target="https://hashtagbasketball.com/31055/player" TargetMode="External"/><Relationship Id="rId328" Type="http://schemas.openxmlformats.org/officeDocument/2006/relationships/hyperlink" Target="https://hashtagbasketball.com/15462/player" TargetMode="External"/><Relationship Id="rId202" Type="http://schemas.openxmlformats.org/officeDocument/2006/relationships/hyperlink" Target="https://hashtagbasketball.com/9191/player" TargetMode="External"/><Relationship Id="rId323" Type="http://schemas.openxmlformats.org/officeDocument/2006/relationships/hyperlink" Target="https://hashtagbasketball.com/27843/player" TargetMode="External"/><Relationship Id="rId201" Type="http://schemas.openxmlformats.org/officeDocument/2006/relationships/hyperlink" Target="https://hashtagbasketball.com/31034/player" TargetMode="External"/><Relationship Id="rId322" Type="http://schemas.openxmlformats.org/officeDocument/2006/relationships/hyperlink" Target="https://hashtagbasketball.com/38944/player" TargetMode="External"/><Relationship Id="rId200" Type="http://schemas.openxmlformats.org/officeDocument/2006/relationships/hyperlink" Target="https://hashtagbasketball.com/27636/player" TargetMode="External"/><Relationship Id="rId321" Type="http://schemas.openxmlformats.org/officeDocument/2006/relationships/hyperlink" Target="https://hashtagbasketball.com/111213/player" TargetMode="External"/><Relationship Id="rId320" Type="http://schemas.openxmlformats.org/officeDocument/2006/relationships/hyperlink" Target="https://hashtagbasketball.com/10172/player" TargetMode="External"/><Relationship Id="rId316" Type="http://schemas.openxmlformats.org/officeDocument/2006/relationships/hyperlink" Target="https://hashtagbasketball.com/15341/player" TargetMode="External"/><Relationship Id="rId315" Type="http://schemas.openxmlformats.org/officeDocument/2006/relationships/hyperlink" Target="https://hashtagbasketball.com/39834/player" TargetMode="External"/><Relationship Id="rId314" Type="http://schemas.openxmlformats.org/officeDocument/2006/relationships/hyperlink" Target="https://hashtagbasketball.com/27587/player" TargetMode="External"/><Relationship Id="rId313" Type="http://schemas.openxmlformats.org/officeDocument/2006/relationships/hyperlink" Target="https://hashtagbasketball.com/17194/player" TargetMode="External"/><Relationship Id="rId319" Type="http://schemas.openxmlformats.org/officeDocument/2006/relationships/hyperlink" Target="https://hashtagbasketball.com/31158/player" TargetMode="External"/><Relationship Id="rId318" Type="http://schemas.openxmlformats.org/officeDocument/2006/relationships/hyperlink" Target="https://hashtagbasketball.com/9524/player" TargetMode="External"/><Relationship Id="rId317" Type="http://schemas.openxmlformats.org/officeDocument/2006/relationships/hyperlink" Target="https://hashtagbasketball.com/39835/player" TargetMode="External"/><Relationship Id="rId312" Type="http://schemas.openxmlformats.org/officeDocument/2006/relationships/hyperlink" Target="https://hashtagbasketball.com/109467/player" TargetMode="External"/><Relationship Id="rId311" Type="http://schemas.openxmlformats.org/officeDocument/2006/relationships/hyperlink" Target="https://hashtagbasketball.com/9498/player" TargetMode="External"/><Relationship Id="rId310" Type="http://schemas.openxmlformats.org/officeDocument/2006/relationships/hyperlink" Target="https://hashtagbasketball.com/27706/player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5.0"/>
    <col customWidth="1" min="3" max="3" width="16.75"/>
    <col customWidth="1" min="4" max="4" width="13.38"/>
    <col customWidth="1" min="5" max="5" width="16.13"/>
    <col customWidth="1" min="6" max="6" width="14.5"/>
    <col customWidth="1" min="7" max="7" width="14.88"/>
    <col customWidth="1" min="8" max="8" width="16.88"/>
    <col customWidth="1" min="9" max="9" width="15.63"/>
    <col customWidth="1" min="10" max="10" width="14.88"/>
    <col customWidth="1" min="11" max="11" width="13.25"/>
    <col customWidth="1" min="12" max="12" width="14.38"/>
    <col customWidth="1" min="13" max="13" width="13.88"/>
    <col customWidth="1" min="14" max="14" width="16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4" t="s">
        <v>14</v>
      </c>
      <c r="P2" s="4" t="s">
        <v>15</v>
      </c>
    </row>
    <row r="3">
      <c r="A3" s="5">
        <v>1.0</v>
      </c>
      <c r="B3" s="6" t="b">
        <v>0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</row>
    <row r="4">
      <c r="A4" s="5">
        <v>2.0</v>
      </c>
      <c r="B4" s="6" t="b">
        <v>0</v>
      </c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</row>
    <row r="5">
      <c r="A5" s="5">
        <v>3.0</v>
      </c>
      <c r="B5" s="6" t="b">
        <v>0</v>
      </c>
      <c r="C5" s="6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6"/>
      <c r="P5" s="6"/>
    </row>
    <row r="6">
      <c r="A6" s="5">
        <v>4.0</v>
      </c>
      <c r="B6" s="6" t="b">
        <v>0</v>
      </c>
      <c r="C6" s="6"/>
      <c r="D6" s="6"/>
      <c r="E6" s="7"/>
      <c r="F6" s="7"/>
      <c r="G6" s="7"/>
      <c r="H6" s="7"/>
      <c r="I6" s="7"/>
      <c r="J6" s="7"/>
      <c r="K6" s="7"/>
      <c r="L6" s="7"/>
      <c r="M6" s="7"/>
      <c r="N6" s="7"/>
      <c r="O6" s="6"/>
      <c r="P6" s="6"/>
    </row>
    <row r="7">
      <c r="A7" s="5">
        <v>5.0</v>
      </c>
      <c r="B7" s="6" t="b">
        <v>0</v>
      </c>
      <c r="C7" s="6"/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6"/>
      <c r="P7" s="6"/>
    </row>
    <row r="8">
      <c r="A8" s="5">
        <v>6.0</v>
      </c>
      <c r="B8" s="6" t="b">
        <v>0</v>
      </c>
      <c r="C8" s="6"/>
      <c r="D8" s="6" t="s">
        <v>16</v>
      </c>
      <c r="E8" s="7"/>
      <c r="F8" s="7" t="s">
        <v>17</v>
      </c>
      <c r="G8" s="7"/>
      <c r="H8" s="7" t="s">
        <v>18</v>
      </c>
      <c r="I8" s="7"/>
      <c r="J8" s="7" t="s">
        <v>19</v>
      </c>
      <c r="K8" s="7"/>
      <c r="L8" s="7"/>
      <c r="M8" s="7"/>
      <c r="N8" s="7"/>
      <c r="O8" s="6"/>
      <c r="P8" s="6"/>
    </row>
    <row r="9">
      <c r="A9" s="5">
        <v>7.0</v>
      </c>
      <c r="B9" s="6" t="b">
        <v>1</v>
      </c>
      <c r="C9" s="6" t="s">
        <v>20</v>
      </c>
      <c r="D9" s="6"/>
      <c r="E9" s="7" t="s">
        <v>21</v>
      </c>
      <c r="F9" s="7"/>
      <c r="G9" s="7" t="s">
        <v>22</v>
      </c>
      <c r="H9" s="7"/>
      <c r="I9" s="7" t="s">
        <v>23</v>
      </c>
      <c r="J9" s="7"/>
      <c r="K9" s="7"/>
      <c r="L9" s="7"/>
      <c r="M9" s="7"/>
      <c r="N9" s="7"/>
      <c r="O9" s="6"/>
      <c r="P9" s="6"/>
    </row>
    <row r="10">
      <c r="A10" s="5">
        <v>8.0</v>
      </c>
      <c r="B10" s="6" t="b">
        <v>0</v>
      </c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6"/>
      <c r="P10" s="6"/>
    </row>
    <row r="11">
      <c r="A11" s="5">
        <v>9.0</v>
      </c>
      <c r="B11" s="6" t="b">
        <v>0</v>
      </c>
      <c r="C11" s="6"/>
      <c r="D11" s="6"/>
      <c r="E11" s="7"/>
      <c r="F11" s="7"/>
      <c r="G11" s="7"/>
      <c r="H11" s="7"/>
      <c r="I11" s="7"/>
      <c r="J11" s="7"/>
      <c r="K11" s="7"/>
      <c r="L11" s="6"/>
      <c r="M11" s="7"/>
      <c r="N11" s="7"/>
      <c r="O11" s="6"/>
      <c r="P11" s="6"/>
    </row>
    <row r="12">
      <c r="A12" s="5">
        <v>10.0</v>
      </c>
      <c r="B12" s="6" t="b">
        <v>0</v>
      </c>
      <c r="C12" s="6"/>
      <c r="D12" s="6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  <c r="P12" s="6"/>
    </row>
    <row r="13">
      <c r="A13" s="5">
        <v>11.0</v>
      </c>
      <c r="B13" s="6" t="b">
        <v>0</v>
      </c>
      <c r="C13" s="6"/>
      <c r="D13" s="6"/>
      <c r="E13" s="7"/>
      <c r="F13" s="7"/>
      <c r="G13" s="7"/>
      <c r="H13" s="7"/>
      <c r="I13" s="7"/>
      <c r="J13" s="7"/>
      <c r="K13" s="7"/>
      <c r="L13" s="7"/>
      <c r="M13" s="7"/>
      <c r="N13" s="7"/>
      <c r="O13" s="6"/>
      <c r="P13" s="6"/>
    </row>
    <row r="14">
      <c r="A14" s="5">
        <v>12.0</v>
      </c>
      <c r="B14" s="6" t="b">
        <v>0</v>
      </c>
      <c r="C14" s="6"/>
      <c r="D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6"/>
      <c r="P14" s="6"/>
    </row>
    <row r="15">
      <c r="A15" s="8"/>
      <c r="B15" s="9" t="s">
        <v>24</v>
      </c>
      <c r="C15" s="10" t="s">
        <v>25</v>
      </c>
      <c r="D15" s="11" t="s">
        <v>25</v>
      </c>
      <c r="E15" s="12" t="str">
        <f>IF($H$19, "↑","↓")</f>
        <v>↑</v>
      </c>
      <c r="F15" s="12" t="str">
        <f>IF($H$19,"↓", "↑")</f>
        <v>↓</v>
      </c>
      <c r="G15" s="12" t="str">
        <f>IF($H$19, "↑","↓")</f>
        <v>↑</v>
      </c>
      <c r="H15" s="12" t="str">
        <f>IF($H$19,"↓", "↑")</f>
        <v>↓</v>
      </c>
      <c r="I15" s="12" t="str">
        <f>IF($H$19, "↑","↓")</f>
        <v>↑</v>
      </c>
      <c r="J15" s="12" t="str">
        <f>IF($H$19,"↓", "↑")</f>
        <v>↓</v>
      </c>
      <c r="K15" s="12" t="str">
        <f>IF($H$19, "↑","↓")</f>
        <v>↑</v>
      </c>
      <c r="L15" s="12" t="str">
        <f>IF($H$19,"↓", "↑")</f>
        <v>↓</v>
      </c>
      <c r="M15" s="12" t="str">
        <f>IF($H$19, "↑","↓")</f>
        <v>↑</v>
      </c>
      <c r="N15" s="12" t="str">
        <f>IF($H$19,"↓", "↑")</f>
        <v>↓</v>
      </c>
      <c r="O15" s="12" t="str">
        <f>IF($H$19, "↑","↓")</f>
        <v>↑</v>
      </c>
      <c r="P15" s="12" t="str">
        <f>IF($H$19,"↓", "↑")</f>
        <v>↓</v>
      </c>
    </row>
    <row r="16">
      <c r="A16" s="8"/>
      <c r="B16" s="13" t="s">
        <v>26</v>
      </c>
      <c r="C16" s="14" t="str">
        <f>IF(B3=TRUE,"1",IF(B4=TRUE,"2", IF(B5=True, "3",IF(B6=True, "4",IF(B7=True, "5",IF(B8=True, "6",IF(B9=True, "7",IF(B10=True, "8",IF(B11=True, "9",IF(B12=True, "10",IF(B13=True, "11",IF(B14=True, "12"))))))))))))</f>
        <v>7</v>
      </c>
      <c r="D16" s="14" t="str">
        <f>IF(B3=TRUE,"24",IF(B4=TRUE,"23", IF(B5=True, "22",IF(B6=True, "21",IF(B7=True, "20",IF(B8=True, "19",IF(B9=True, "18",IF(B10=True, "17",IF(B11=True, "16",IF(B12=True, "15",IF(B13=True, "14",IF(B14=True, "13"))))))))))))</f>
        <v>18</v>
      </c>
      <c r="E16" s="15" t="str">
        <f>IF(B3=TRUE,"25",IF(B4=TRUE,"26", IF(B5=True, "27",IF(B6=True, "28",IF(B7=True, "29",IF(B8=True, "30",IF(B9=True, "31",IF(B10=True, "32",IF(B11=True, "33",IF(B12=True, "34",IF(B13=True, "35",IF(B14=True, "36"))))))))))))</f>
        <v>31</v>
      </c>
      <c r="F16" s="15" t="str">
        <f>IF(B3=TRUE,"48",IF(B4=TRUE,"47", IF(B5=True, "46",IF(B6=True, "45",IF(B7=True, "44",IF(B8=True, "43",IF(B9=True, "42",IF(B10=True, "41",IF(B11=True, "40",IF(B12=True, "39",IF(B13=True, "38",IF(B14=True, "37"))))))))))))</f>
        <v>42</v>
      </c>
      <c r="G16" s="15" t="str">
        <f>IF(B3=TRUE,"49",IF(B4=TRUE,"50", IF(B5=True, "51",IF(B6=True, "52",IF(B7=True, "53",IF(B8=True, "54",IF(B9=True, "55",IF(B10=True, "56",IF(B11=True, "57",IF(B12=True, "58",IF(B13=True, "59",IF(B14=True, "60"))))))))))))</f>
        <v>55</v>
      </c>
      <c r="H16" s="15" t="str">
        <f>IF(B3=TRUE,"72",IF(B4=TRUE,"71", IF(B5=True, "70",IF(B6=True, "69",IF(B7=True, "68",IF(B8=True, "67",IF(B9=True, "66",IF(B10=True, "65",IF(B11=True, "64",IF(B12=True, "63",IF(B13=True, "62",IF(B14=True, "61"))))))))))))</f>
        <v>66</v>
      </c>
      <c r="I16" s="15" t="str">
        <f>IF(B3=TRUE,"73",IF(B4=TRUE,"74", IF(B5=True, "75",IF(B6=True, "76",IF(B7=True, "77",IF(B8=True, "78",IF(B9=True, "79",IF(B10=True, "80",IF(B11=True, "81",IF(B12=True, "82",IF(B13=True, "83",IF(B14=True, "84"))))))))))))</f>
        <v>79</v>
      </c>
      <c r="J16" s="15" t="str">
        <f>IF(B3=TRUE,"96",IF(B4=TRUE,"95", IF(B5=True, "94",IF(B6=True, "93",IF(B7=True, "92",IF(B8=True, "91",IF(B9=True, "90",IF(B10=True, "89",IF(B11=True, "88",IF(B12=True, "87",IF(B13=True, "86",IF(B14=True, "85"))))))))))))</f>
        <v>90</v>
      </c>
      <c r="K16" s="15" t="str">
        <f>IF(B3=TRUE,"97",IF(B4=TRUE,"98", IF(B5=True, "99",IF(B6=True, "100",IF(B7=True, "101",IF(B8=True, "102",IF(B9=True, "103",IF(B10=True, "104",IF(B11=True, "105",IF(B12=True, "106",IF(B13=True, "107",IF(B14=True, "108"))))))))))))</f>
        <v>103</v>
      </c>
      <c r="L16" s="15" t="str">
        <f>IF(B3=TRUE,"120",IF(B4=TRUE,"119", IF(B5=True, "118",IF(B6=True, "117",IF(B7=True, "116",IF(B8=True, "115",IF(B9=True, "114",IF(B10=True, "113",IF(B11=True, "112",IF(B12=True, "111",IF(B13=True, "110",IF(B14=True, "109"))))))))))))</f>
        <v>114</v>
      </c>
      <c r="M16" s="15" t="str">
        <f>IF(B3=TRUE,"121",IF(B4=TRUE,"122", IF(B5=True, "123",IF(B6=True, "124",IF(B7=True, "125",IF(B8=True, "126",IF(B9=True, "127",IF(B10=True, "128",IF(B11=True, "129",IF(B12=True, "130",IF(B13=True, "131",IF(B14=True, "132"))))))))))))</f>
        <v>127</v>
      </c>
      <c r="N16" s="15" t="str">
        <f>IF(B3=TRUE,"144",IF(B4=TRUE,"143", IF(B5=True, "142",IF(B6=True, "141",IF(B7=True, "140",IF(B8=True, "139",IF(B9=True, "138",IF(B10=True, "137",IF(B11=True, "136",IF(B12=True, "135",IF(B13=True, "134",IF(B14=True, "133"))))))))))))</f>
        <v>138</v>
      </c>
      <c r="O16" s="15" t="str">
        <f>IF(B3=TRUE,"145",IF(B4=TRUE,"146", IF(B5=True, "147",IF(B6=True, "148",IF(B7=True, "149",IF(B8=True, "150",IF(B9=True, "151",IF(B10=True, "152",IF(B11=True, "153",IF(B12=True, "154",IF(B13=True, "155",IF(B14=True, "156"))))))))))))</f>
        <v>151</v>
      </c>
      <c r="P16" s="15" t="str">
        <f>IF(B3=TRUE,"168",IF(B4=TRUE,"167", IF(B5=True, "166",IF(B6=True, "165",IF(B7=True, "164",IF(B8=True, "163",IF(B9=True, "162",IF(B10=True, "161",IF(B11=True, "160",IF(B12=True, "159",IF(B13=True, "158",IF(B14=True, "157"))))))))))))</f>
        <v>162</v>
      </c>
    </row>
    <row r="17">
      <c r="A17" s="16"/>
      <c r="B17" s="17" t="s">
        <v>27</v>
      </c>
      <c r="C17" s="14" t="str">
        <f t="shared" ref="C17:D17" si="1">C16</f>
        <v>7</v>
      </c>
      <c r="D17" s="14" t="str">
        <f t="shared" si="1"/>
        <v>18</v>
      </c>
      <c r="E17" s="18">
        <f>E16+IF($B$3,11, IF($B$4,9,IF($B$5,7,IF($B$6,5,IF($B$7,3,IF($B$8,1,IF($B$9,-1,IF($B$10,-3,IF($B$11,-5,IF($B$12,-7, IF($B$13,-9, IF($B$14,-11))))))))))))</f>
        <v>30</v>
      </c>
      <c r="F17" s="18">
        <f>F16-IF($B$3,11, IF($B$4,9,IF($B$5,7,IF($B$6,5,IF($B$7,3,IF($B$8,1,IF($B$9,-1,IF($B$10,-3,IF($B$11,-5,IF($B$12,-7, IF($B$13,-9, IF($B$14,-11))))))))))))</f>
        <v>43</v>
      </c>
      <c r="G17" s="18">
        <f>G16+IF($B$3,11, IF($B$4,9,IF($B$5,7,IF($B$6,5,IF($B$7,3,IF($B$8,1,IF($B$9,-1,IF($B$10,-3,IF($B$11,-5,IF($B$12,-7, IF($B$13,-9, IF($B$14,-11))))))))))))</f>
        <v>54</v>
      </c>
      <c r="H17" s="18">
        <f>H16-IF($B$3,11, IF($B$4,9,IF($B$5,7,IF($B$6,5,IF($B$7,3,IF($B$8,1,IF($B$9,-1,IF($B$10,-3,IF($B$11,-5,IF($B$12,-7, IF($B$13,-9, IF($B$14,-11))))))))))))</f>
        <v>67</v>
      </c>
      <c r="I17" s="18">
        <f>I16+IF($B$3,11, IF($B$4,9,IF($B$5,7,IF($B$6,5,IF($B$7,3,IF($B$8,1,IF($B$9,-1,IF($B$10,-3,IF($B$11,-5,IF($B$12,-7, IF($B$13,-9, IF($B$14,-11))))))))))))</f>
        <v>78</v>
      </c>
      <c r="J17" s="18">
        <f>J16-IF($B$3,11, IF($B$4,9,IF($B$5,7,IF($B$6,5,IF($B$7,3,IF($B$8,1,IF($B$9,-1,IF($B$10,-3,IF($B$11,-5,IF($B$12,-7, IF($B$13,-9, IF($B$14,-11))))))))))))</f>
        <v>91</v>
      </c>
      <c r="K17" s="18">
        <f>K16+IF($B$3,11, IF($B$4,9,IF($B$5,7,IF($B$6,5,IF($B$7,3,IF($B$8,1,IF($B$9,-1,IF($B$10,-3,IF($B$11,-5,IF($B$12,-7, IF($B$13,-9, IF($B$14,-11))))))))))))</f>
        <v>102</v>
      </c>
      <c r="L17" s="18">
        <f>L16-IF($B$3,11, IF($B$4,9,IF($B$5,7,IF($B$6,5,IF($B$7,3,IF($B$8,1,IF($B$9,-1,IF($B$10,-3,IF($B$11,-5,IF($B$12,-7, IF($B$13,-9, IF($B$14,-11))))))))))))</f>
        <v>115</v>
      </c>
      <c r="M17" s="18">
        <f>M16+IF($B$3,11, IF($B$4,9,IF($B$5,7,IF($B$6,5,IF($B$7,3,IF($B$8,1,IF($B$9,-1,IF($B$10,-3,IF($B$11,-5,IF($B$12,-7, IF($B$13,-9, IF($B$14,-11))))))))))))</f>
        <v>126</v>
      </c>
      <c r="N17" s="18">
        <f>N16-IF($B$3,11, IF($B$4,9,IF($B$5,7,IF($B$6,5,IF($B$7,3,IF($B$8,1,IF($B$9,-1,IF($B$10,-3,IF($B$11,-5,IF($B$12,-7, IF($B$13,-9, IF($B$14,-11))))))))))))</f>
        <v>139</v>
      </c>
      <c r="O17" s="18">
        <f>O16+IF($B$3,11, IF($B$4,9,IF($B$5,7,IF($B$6,5,IF($B$7,3,IF($B$8,1,IF($B$9,-1,IF($B$10,-3,IF($B$11,-5,IF($B$12,-7, IF($B$13,-9, IF($B$14,-11))))))))))))</f>
        <v>150</v>
      </c>
      <c r="P17" s="18">
        <f>P16-IF($B$3,11, IF($B$4,9,IF($B$5,7,IF($B$6,5,IF($B$7,3,IF($B$8,1,IF($B$9,-1,IF($B$10,-3,IF($B$11,-5,IF($B$12,-7, IF($B$13,-9, IF($B$14,-11))))))))))))</f>
        <v>163</v>
      </c>
    </row>
    <row r="18">
      <c r="A18" s="16"/>
      <c r="B18" s="19"/>
      <c r="C18" s="20"/>
      <c r="D18" s="20"/>
      <c r="E18" s="21"/>
      <c r="F18" s="22"/>
      <c r="G18" s="22"/>
      <c r="H18" s="22"/>
      <c r="I18" s="22"/>
      <c r="J18" s="22"/>
      <c r="K18" s="22"/>
      <c r="L18" s="22"/>
      <c r="M18" s="22"/>
      <c r="N18" s="22"/>
      <c r="O18" s="19"/>
      <c r="P18" s="19"/>
    </row>
    <row r="19">
      <c r="A19" s="16"/>
      <c r="B19" s="23"/>
      <c r="C19" s="24" t="s">
        <v>28</v>
      </c>
      <c r="D19" s="25"/>
      <c r="E19" s="26"/>
      <c r="F19" s="27"/>
      <c r="G19" s="28" t="s">
        <v>27</v>
      </c>
      <c r="H19" s="29" t="b">
        <v>1</v>
      </c>
      <c r="I19" s="22"/>
      <c r="J19" s="22"/>
      <c r="K19" s="22"/>
      <c r="L19" s="22"/>
      <c r="M19" s="22"/>
      <c r="N19" s="22"/>
      <c r="O19" s="19"/>
      <c r="P19" s="19"/>
    </row>
    <row r="20">
      <c r="A20" s="16"/>
      <c r="C20" s="30" t="s">
        <v>29</v>
      </c>
      <c r="D20" s="31"/>
      <c r="E20" s="32"/>
      <c r="F20" s="32"/>
      <c r="G20" s="16"/>
      <c r="H20" s="16"/>
      <c r="I20" s="16"/>
      <c r="J20" s="16"/>
      <c r="K20" s="16"/>
      <c r="L20" s="16"/>
      <c r="M20" s="16"/>
      <c r="N20" s="16"/>
    </row>
    <row r="21">
      <c r="A21" s="16"/>
      <c r="C21" s="32"/>
      <c r="D21" s="32"/>
      <c r="E21" s="32"/>
      <c r="F21" s="32"/>
      <c r="G21" s="16"/>
      <c r="H21" s="16"/>
      <c r="I21" s="16"/>
      <c r="J21" s="16"/>
      <c r="K21" s="16"/>
      <c r="L21" s="16"/>
      <c r="M21" s="16"/>
      <c r="N21" s="16"/>
    </row>
    <row r="22">
      <c r="A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>
      <c r="A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>
      <c r="A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>
      <c r="A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>
      <c r="A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>
      <c r="A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>
      <c r="A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>
      <c r="A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>
      <c r="A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>
      <c r="A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>
      <c r="A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>
      <c r="A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>
      <c r="A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>
      <c r="A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>
      <c r="A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>
      <c r="A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>
      <c r="A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>
      <c r="A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>
      <c r="A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>
      <c r="A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>
      <c r="A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>
      <c r="A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>
      <c r="A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>
      <c r="A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>
      <c r="A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>
      <c r="A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>
      <c r="A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>
      <c r="A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>
      <c r="A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>
      <c r="A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>
      <c r="A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>
      <c r="A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>
      <c r="A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>
      <c r="A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>
      <c r="A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>
      <c r="A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>
      <c r="A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>
      <c r="A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>
      <c r="A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>
      <c r="A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>
      <c r="A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>
      <c r="A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>
      <c r="A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>
      <c r="A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>
      <c r="A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>
      <c r="A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>
      <c r="A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>
      <c r="A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>
      <c r="A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>
      <c r="A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>
      <c r="A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>
      <c r="A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>
      <c r="A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>
      <c r="A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>
      <c r="A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>
      <c r="A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>
      <c r="A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>
      <c r="A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>
      <c r="A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>
      <c r="A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>
      <c r="A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>
      <c r="A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>
      <c r="A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>
      <c r="A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  <row r="86">
      <c r="A86" s="16"/>
      <c r="E86" s="16"/>
      <c r="F86" s="16"/>
      <c r="G86" s="16"/>
      <c r="H86" s="16"/>
      <c r="I86" s="16"/>
      <c r="J86" s="16"/>
      <c r="K86" s="16"/>
      <c r="L86" s="16"/>
      <c r="M86" s="16"/>
      <c r="N86" s="16"/>
    </row>
    <row r="87">
      <c r="A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>
      <c r="A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>
      <c r="A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>
      <c r="A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>
      <c r="A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>
      <c r="A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>
      <c r="A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>
      <c r="A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>
      <c r="A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>
      <c r="A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>
      <c r="A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>
      <c r="A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>
      <c r="A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>
      <c r="A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>
      <c r="A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>
      <c r="A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>
      <c r="A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>
      <c r="A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>
      <c r="A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>
      <c r="A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>
      <c r="A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>
      <c r="A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>
      <c r="A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>
      <c r="A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>
      <c r="A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>
      <c r="A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>
      <c r="A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>
      <c r="A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>
      <c r="A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>
      <c r="A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>
      <c r="A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>
      <c r="A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>
      <c r="A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>
      <c r="A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>
      <c r="A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>
      <c r="A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>
      <c r="A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>
      <c r="A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>
      <c r="A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>
      <c r="A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>
      <c r="A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>
      <c r="A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>
      <c r="A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>
      <c r="A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>
      <c r="A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>
      <c r="A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>
      <c r="A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>
      <c r="A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>
      <c r="A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>
      <c r="A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>
      <c r="A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>
      <c r="A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>
      <c r="A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>
      <c r="A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>
      <c r="A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>
      <c r="A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>
      <c r="A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>
      <c r="A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>
      <c r="A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>
      <c r="A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>
      <c r="A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>
      <c r="A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>
      <c r="A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>
      <c r="A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>
      <c r="A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>
      <c r="A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>
      <c r="A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>
      <c r="A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>
      <c r="A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>
      <c r="A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>
      <c r="A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>
      <c r="A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>
      <c r="A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>
      <c r="A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>
      <c r="A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>
      <c r="A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>
      <c r="A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>
      <c r="A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>
      <c r="A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>
      <c r="A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>
      <c r="A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>
      <c r="A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>
      <c r="A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>
      <c r="A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>
      <c r="A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>
      <c r="A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>
      <c r="A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>
      <c r="A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>
      <c r="A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>
      <c r="A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>
      <c r="A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>
      <c r="A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>
      <c r="A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>
      <c r="A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>
      <c r="A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>
      <c r="A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>
      <c r="A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>
      <c r="A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>
      <c r="A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>
      <c r="A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>
      <c r="A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>
      <c r="A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>
      <c r="A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>
      <c r="A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>
      <c r="A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>
      <c r="A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>
      <c r="A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>
      <c r="A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>
      <c r="A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>
      <c r="A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>
      <c r="A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>
      <c r="A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>
      <c r="A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>
      <c r="A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>
      <c r="A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>
      <c r="A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>
      <c r="A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>
      <c r="A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>
      <c r="A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>
      <c r="A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>
      <c r="A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>
      <c r="A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>
      <c r="A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>
      <c r="A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>
      <c r="A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>
      <c r="A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>
      <c r="A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>
      <c r="A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>
      <c r="A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>
      <c r="A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>
      <c r="A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>
      <c r="A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>
      <c r="A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>
      <c r="A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>
      <c r="A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>
      <c r="A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</row>
    <row r="223">
      <c r="A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</row>
    <row r="224">
      <c r="A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</row>
    <row r="225">
      <c r="A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>
      <c r="A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</row>
    <row r="227">
      <c r="A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</row>
    <row r="228">
      <c r="A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>
      <c r="A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</row>
    <row r="230">
      <c r="A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</row>
    <row r="231">
      <c r="A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>
      <c r="A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</row>
    <row r="233">
      <c r="A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</row>
    <row r="234">
      <c r="A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</row>
    <row r="235">
      <c r="A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</row>
    <row r="236">
      <c r="A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>
      <c r="A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</row>
    <row r="238">
      <c r="A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>
      <c r="A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</row>
    <row r="240">
      <c r="A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>
      <c r="A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</row>
    <row r="242">
      <c r="A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</row>
    <row r="243">
      <c r="A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>
      <c r="A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</row>
    <row r="245">
      <c r="A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>
      <c r="A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>
      <c r="A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</row>
    <row r="248">
      <c r="A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</row>
    <row r="249">
      <c r="A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</row>
    <row r="250">
      <c r="A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</row>
    <row r="251">
      <c r="A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</row>
    <row r="252">
      <c r="A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</row>
    <row r="253">
      <c r="A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>
      <c r="A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</row>
    <row r="255">
      <c r="A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</row>
    <row r="256">
      <c r="A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>
      <c r="A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</row>
    <row r="258">
      <c r="A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</row>
    <row r="259">
      <c r="A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</row>
    <row r="260">
      <c r="A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>
      <c r="A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>
      <c r="A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</row>
    <row r="263">
      <c r="A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>
      <c r="A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</row>
    <row r="265">
      <c r="A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</row>
    <row r="266">
      <c r="A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</row>
    <row r="267">
      <c r="A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</row>
    <row r="268">
      <c r="A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</row>
    <row r="269">
      <c r="A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>
      <c r="A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</row>
    <row r="271">
      <c r="A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>
      <c r="A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</row>
    <row r="273">
      <c r="A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</row>
    <row r="274">
      <c r="A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</row>
    <row r="275">
      <c r="A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</row>
    <row r="276">
      <c r="A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>
      <c r="A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</row>
    <row r="278">
      <c r="A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</row>
    <row r="279">
      <c r="A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>
      <c r="A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</row>
    <row r="281">
      <c r="A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</row>
    <row r="282">
      <c r="A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</row>
    <row r="283">
      <c r="A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</row>
    <row r="284">
      <c r="A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>
      <c r="A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</row>
    <row r="286">
      <c r="A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>
      <c r="A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</row>
    <row r="288">
      <c r="A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</row>
    <row r="289">
      <c r="A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</row>
    <row r="290">
      <c r="A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</row>
    <row r="291">
      <c r="A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</row>
    <row r="292">
      <c r="A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>
      <c r="A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>
      <c r="A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</row>
    <row r="295">
      <c r="A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</row>
    <row r="296">
      <c r="A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</row>
    <row r="297">
      <c r="A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</row>
    <row r="298">
      <c r="A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</row>
    <row r="299">
      <c r="A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>
      <c r="A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>
      <c r="A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</row>
    <row r="302">
      <c r="A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</row>
    <row r="303">
      <c r="A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</row>
    <row r="304">
      <c r="A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</row>
    <row r="305">
      <c r="A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</row>
    <row r="306">
      <c r="A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>
      <c r="A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>
      <c r="A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</row>
    <row r="309">
      <c r="A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</row>
    <row r="310">
      <c r="A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</row>
    <row r="311">
      <c r="A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</row>
    <row r="312">
      <c r="A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</row>
    <row r="313">
      <c r="A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>
      <c r="A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>
      <c r="A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</row>
    <row r="316">
      <c r="A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</row>
    <row r="317">
      <c r="A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</row>
    <row r="318">
      <c r="A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>
      <c r="A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</row>
    <row r="320">
      <c r="A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>
      <c r="A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>
      <c r="A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</row>
    <row r="323">
      <c r="A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</row>
    <row r="324">
      <c r="A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</row>
    <row r="325">
      <c r="A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</row>
    <row r="326">
      <c r="A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</row>
    <row r="327">
      <c r="A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>
      <c r="A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>
      <c r="A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</row>
    <row r="330">
      <c r="A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</row>
    <row r="331">
      <c r="A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</row>
    <row r="332">
      <c r="A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</row>
    <row r="333">
      <c r="A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</row>
    <row r="334">
      <c r="A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>
      <c r="A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>
      <c r="A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</row>
    <row r="337">
      <c r="A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</row>
    <row r="338">
      <c r="A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</row>
    <row r="339">
      <c r="A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</row>
    <row r="340">
      <c r="A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</row>
    <row r="341">
      <c r="A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>
      <c r="A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</row>
    <row r="343">
      <c r="A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>
      <c r="A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</row>
    <row r="345">
      <c r="A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</row>
    <row r="346">
      <c r="A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</row>
    <row r="347">
      <c r="A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>
      <c r="A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</row>
    <row r="349">
      <c r="A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</row>
    <row r="350">
      <c r="A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</row>
    <row r="351">
      <c r="A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</row>
    <row r="352">
      <c r="A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>
      <c r="A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</row>
    <row r="354">
      <c r="A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>
      <c r="A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</row>
    <row r="356">
      <c r="A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</row>
    <row r="357">
      <c r="A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</row>
    <row r="358">
      <c r="A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</row>
    <row r="359">
      <c r="A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>
      <c r="A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</row>
    <row r="361">
      <c r="A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>
      <c r="A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</row>
    <row r="363">
      <c r="A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</row>
    <row r="364">
      <c r="A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</row>
    <row r="365">
      <c r="A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</row>
    <row r="366">
      <c r="A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>
      <c r="A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</row>
    <row r="368">
      <c r="A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>
      <c r="A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</row>
    <row r="370">
      <c r="A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</row>
    <row r="371">
      <c r="A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</row>
    <row r="372">
      <c r="A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</row>
    <row r="373">
      <c r="A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>
      <c r="A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</row>
    <row r="375">
      <c r="A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>
      <c r="A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>
      <c r="A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</row>
    <row r="378">
      <c r="A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</row>
    <row r="379">
      <c r="A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</row>
    <row r="380">
      <c r="A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</row>
    <row r="381">
      <c r="A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</row>
    <row r="382">
      <c r="A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>
      <c r="A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>
      <c r="A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</row>
    <row r="385">
      <c r="A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>
      <c r="A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>
      <c r="A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>
      <c r="A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>
      <c r="A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>
      <c r="A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>
      <c r="A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>
      <c r="A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>
      <c r="A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>
      <c r="A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>
      <c r="A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>
      <c r="A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</row>
    <row r="397">
      <c r="A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>
      <c r="A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</row>
    <row r="399">
      <c r="A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</row>
    <row r="400">
      <c r="A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</row>
    <row r="401">
      <c r="A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</row>
    <row r="402">
      <c r="A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>
      <c r="A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</row>
    <row r="404">
      <c r="A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</row>
    <row r="405">
      <c r="A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>
      <c r="A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</row>
    <row r="407">
      <c r="A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</row>
    <row r="408">
      <c r="A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>
      <c r="A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</row>
    <row r="410">
      <c r="A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</row>
    <row r="411">
      <c r="A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</row>
    <row r="412">
      <c r="A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</row>
    <row r="413">
      <c r="A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>
      <c r="A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</row>
    <row r="415">
      <c r="A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>
      <c r="A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</row>
    <row r="417">
      <c r="A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</row>
    <row r="418">
      <c r="A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</row>
    <row r="419">
      <c r="A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</row>
    <row r="420">
      <c r="A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</row>
    <row r="421">
      <c r="A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>
      <c r="A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>
      <c r="A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</row>
    <row r="424">
      <c r="A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</row>
    <row r="425">
      <c r="A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</row>
    <row r="426">
      <c r="A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</row>
    <row r="427">
      <c r="A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</row>
    <row r="428">
      <c r="A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>
      <c r="A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>
      <c r="A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</row>
    <row r="431">
      <c r="A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</row>
    <row r="432">
      <c r="A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</row>
    <row r="433">
      <c r="A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</row>
    <row r="434">
      <c r="A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</row>
    <row r="435">
      <c r="A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>
      <c r="A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>
      <c r="A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</row>
    <row r="438">
      <c r="A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>
      <c r="A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</row>
    <row r="440">
      <c r="A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>
      <c r="A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</row>
    <row r="442">
      <c r="A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</row>
    <row r="443">
      <c r="A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>
      <c r="A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</row>
    <row r="445">
      <c r="A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>
      <c r="A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</row>
    <row r="447">
      <c r="A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</row>
    <row r="448">
      <c r="A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</row>
    <row r="449">
      <c r="A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</row>
    <row r="450">
      <c r="A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>
      <c r="A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</row>
    <row r="452">
      <c r="A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</row>
    <row r="453">
      <c r="A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>
      <c r="A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</row>
    <row r="455">
      <c r="A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</row>
    <row r="456">
      <c r="A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</row>
    <row r="457">
      <c r="A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>
      <c r="A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</row>
    <row r="459">
      <c r="A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</row>
    <row r="460">
      <c r="A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</row>
    <row r="461">
      <c r="A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>
      <c r="A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</row>
    <row r="463">
      <c r="A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>
      <c r="A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</row>
    <row r="465">
      <c r="A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</row>
    <row r="466">
      <c r="A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</row>
    <row r="467">
      <c r="A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</row>
    <row r="468">
      <c r="A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</row>
    <row r="469">
      <c r="A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>
      <c r="A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</row>
    <row r="471">
      <c r="A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>
      <c r="A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</row>
    <row r="473">
      <c r="A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</row>
    <row r="474">
      <c r="A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>
      <c r="A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</row>
    <row r="476">
      <c r="A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</row>
    <row r="477">
      <c r="A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>
      <c r="A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</row>
    <row r="479">
      <c r="A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</row>
    <row r="480">
      <c r="A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</row>
    <row r="481">
      <c r="A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>
      <c r="A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</row>
    <row r="483">
      <c r="A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>
      <c r="A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>
      <c r="A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</row>
    <row r="486">
      <c r="A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</row>
    <row r="487">
      <c r="A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</row>
    <row r="488">
      <c r="A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>
      <c r="A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</row>
    <row r="490">
      <c r="A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</row>
    <row r="491">
      <c r="A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>
      <c r="A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</row>
    <row r="493">
      <c r="A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</row>
    <row r="494">
      <c r="A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>
      <c r="A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</row>
    <row r="496">
      <c r="A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</row>
    <row r="497">
      <c r="A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</row>
    <row r="498">
      <c r="A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</row>
    <row r="499">
      <c r="A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>
      <c r="A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</row>
    <row r="501">
      <c r="A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</row>
    <row r="502">
      <c r="A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>
      <c r="A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</row>
    <row r="504">
      <c r="A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</row>
    <row r="505">
      <c r="A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</row>
    <row r="506">
      <c r="A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>
      <c r="A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</row>
    <row r="508">
      <c r="A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</row>
    <row r="509">
      <c r="A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</row>
    <row r="510">
      <c r="A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>
      <c r="A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>
      <c r="A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</row>
    <row r="513">
      <c r="A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>
      <c r="A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</row>
    <row r="515">
      <c r="A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</row>
    <row r="516">
      <c r="A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</row>
    <row r="517">
      <c r="A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>
      <c r="A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</row>
    <row r="519">
      <c r="A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</row>
    <row r="520">
      <c r="A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>
      <c r="A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</row>
    <row r="522">
      <c r="A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</row>
    <row r="523">
      <c r="A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</row>
    <row r="524">
      <c r="A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</row>
    <row r="525">
      <c r="A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>
      <c r="A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</row>
    <row r="527">
      <c r="A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</row>
    <row r="528">
      <c r="A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>
      <c r="A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</row>
    <row r="530">
      <c r="A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</row>
    <row r="531">
      <c r="A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</row>
    <row r="532">
      <c r="A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</row>
    <row r="533">
      <c r="A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>
      <c r="A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</row>
    <row r="535">
      <c r="A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>
      <c r="A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</row>
    <row r="537">
      <c r="A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</row>
    <row r="538">
      <c r="A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</row>
    <row r="539">
      <c r="A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</row>
    <row r="540">
      <c r="A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>
      <c r="A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</row>
    <row r="542">
      <c r="A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>
      <c r="A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</row>
    <row r="544">
      <c r="A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</row>
    <row r="545">
      <c r="A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</row>
    <row r="546">
      <c r="A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</row>
    <row r="547">
      <c r="A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</row>
    <row r="548">
      <c r="A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>
      <c r="A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>
      <c r="A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</row>
    <row r="551">
      <c r="A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</row>
    <row r="552">
      <c r="A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</row>
    <row r="553">
      <c r="A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</row>
    <row r="554">
      <c r="A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>
      <c r="A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</row>
    <row r="556">
      <c r="A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>
      <c r="A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>
      <c r="A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</row>
    <row r="559">
      <c r="A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</row>
    <row r="560">
      <c r="A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</row>
    <row r="561">
      <c r="A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</row>
    <row r="562">
      <c r="A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</row>
    <row r="563">
      <c r="A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>
      <c r="A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>
      <c r="A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</row>
    <row r="566">
      <c r="A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</row>
    <row r="567">
      <c r="A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</row>
    <row r="568">
      <c r="A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</row>
    <row r="569">
      <c r="A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</row>
    <row r="570">
      <c r="A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>
      <c r="A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</row>
    <row r="572">
      <c r="A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>
      <c r="A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</row>
    <row r="574">
      <c r="A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</row>
    <row r="575">
      <c r="A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</row>
    <row r="576">
      <c r="A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</row>
    <row r="577">
      <c r="A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</row>
    <row r="578">
      <c r="A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>
      <c r="A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</row>
    <row r="580">
      <c r="A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</row>
    <row r="581">
      <c r="A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</row>
    <row r="582">
      <c r="A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</row>
    <row r="583">
      <c r="A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</row>
    <row r="584">
      <c r="A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</row>
    <row r="585">
      <c r="A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>
      <c r="A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>
      <c r="A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</row>
    <row r="588">
      <c r="A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</row>
    <row r="589">
      <c r="A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</row>
    <row r="590">
      <c r="A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</row>
    <row r="591">
      <c r="A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</row>
    <row r="592">
      <c r="A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>
      <c r="A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>
      <c r="A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</row>
    <row r="595">
      <c r="A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</row>
    <row r="596">
      <c r="A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</row>
    <row r="597">
      <c r="A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</row>
    <row r="598">
      <c r="A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</row>
    <row r="599">
      <c r="A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>
      <c r="A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>
      <c r="A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</row>
    <row r="602">
      <c r="A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</row>
    <row r="603">
      <c r="A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</row>
    <row r="604">
      <c r="A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</row>
    <row r="605">
      <c r="A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>
      <c r="A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</row>
    <row r="607">
      <c r="A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>
      <c r="A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</row>
    <row r="609">
      <c r="A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</row>
    <row r="610">
      <c r="A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>
      <c r="A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</row>
    <row r="612">
      <c r="A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>
      <c r="A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</row>
    <row r="614">
      <c r="A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</row>
    <row r="615">
      <c r="A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</row>
    <row r="616">
      <c r="A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</row>
    <row r="617">
      <c r="A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>
      <c r="A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>
      <c r="A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</row>
    <row r="620">
      <c r="A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>
      <c r="A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</row>
    <row r="622">
      <c r="A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</row>
    <row r="623">
      <c r="A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</row>
    <row r="624">
      <c r="A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</row>
    <row r="625">
      <c r="A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>
      <c r="A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</row>
    <row r="627">
      <c r="A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>
      <c r="A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</row>
    <row r="629">
      <c r="A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</row>
    <row r="630">
      <c r="A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</row>
    <row r="631">
      <c r="A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</row>
    <row r="632">
      <c r="A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>
      <c r="A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</row>
    <row r="634">
      <c r="A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>
      <c r="A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</row>
    <row r="636">
      <c r="A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</row>
    <row r="637">
      <c r="A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</row>
    <row r="638">
      <c r="A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</row>
    <row r="639">
      <c r="A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>
      <c r="A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</row>
    <row r="641">
      <c r="A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>
      <c r="A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</row>
    <row r="643">
      <c r="A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</row>
    <row r="644">
      <c r="A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</row>
    <row r="645">
      <c r="A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>
      <c r="A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</row>
    <row r="647">
      <c r="A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</row>
    <row r="648">
      <c r="A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>
      <c r="A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</row>
    <row r="650">
      <c r="A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</row>
    <row r="651">
      <c r="A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</row>
    <row r="652">
      <c r="A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>
      <c r="A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</row>
    <row r="654">
      <c r="A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</row>
    <row r="655">
      <c r="A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>
      <c r="A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</row>
    <row r="657">
      <c r="A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</row>
    <row r="658">
      <c r="A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</row>
    <row r="659">
      <c r="A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>
      <c r="A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</row>
    <row r="661">
      <c r="A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>
      <c r="A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</row>
    <row r="663">
      <c r="A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</row>
    <row r="664">
      <c r="A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</row>
    <row r="665">
      <c r="A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</row>
    <row r="666">
      <c r="A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>
      <c r="A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</row>
    <row r="668">
      <c r="A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>
      <c r="A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</row>
    <row r="670">
      <c r="A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</row>
    <row r="671">
      <c r="A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</row>
    <row r="672">
      <c r="A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</row>
    <row r="673">
      <c r="A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>
      <c r="A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>
      <c r="A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</row>
    <row r="676">
      <c r="A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</row>
    <row r="677">
      <c r="A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</row>
    <row r="678">
      <c r="A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</row>
    <row r="679">
      <c r="A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</row>
    <row r="680">
      <c r="A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</row>
    <row r="681">
      <c r="A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>
      <c r="A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</row>
    <row r="683">
      <c r="A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</row>
    <row r="684">
      <c r="A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</row>
    <row r="685">
      <c r="A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</row>
    <row r="686">
      <c r="A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</row>
    <row r="687">
      <c r="A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>
      <c r="A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>
      <c r="A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</row>
    <row r="690">
      <c r="A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</row>
    <row r="691">
      <c r="A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</row>
    <row r="692">
      <c r="A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</row>
    <row r="693">
      <c r="A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</row>
    <row r="694">
      <c r="A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>
      <c r="A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>
      <c r="A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</row>
    <row r="697">
      <c r="A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</row>
    <row r="698">
      <c r="A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</row>
    <row r="699">
      <c r="A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</row>
    <row r="700">
      <c r="A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</row>
    <row r="701">
      <c r="A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</row>
    <row r="702">
      <c r="A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>
      <c r="A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</row>
    <row r="704">
      <c r="A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</row>
    <row r="705">
      <c r="A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</row>
    <row r="706">
      <c r="A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</row>
    <row r="707">
      <c r="A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</row>
    <row r="708">
      <c r="A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</row>
    <row r="709">
      <c r="A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>
      <c r="A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</row>
    <row r="711">
      <c r="A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</row>
    <row r="712">
      <c r="A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</row>
    <row r="713">
      <c r="A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</row>
    <row r="714">
      <c r="A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</row>
    <row r="715">
      <c r="A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>
      <c r="A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</row>
    <row r="717">
      <c r="A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</row>
    <row r="718">
      <c r="A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>
      <c r="A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</row>
    <row r="720">
      <c r="A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</row>
    <row r="721">
      <c r="A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</row>
    <row r="722">
      <c r="A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>
      <c r="A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</row>
    <row r="724">
      <c r="A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</row>
    <row r="725">
      <c r="A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</row>
    <row r="726">
      <c r="A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>
      <c r="A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</row>
    <row r="728">
      <c r="A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</row>
    <row r="729">
      <c r="A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>
      <c r="A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</row>
    <row r="731">
      <c r="A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</row>
    <row r="732">
      <c r="A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</row>
    <row r="733">
      <c r="A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>
      <c r="A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</row>
    <row r="735">
      <c r="A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>
      <c r="A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</row>
    <row r="737">
      <c r="A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</row>
    <row r="738">
      <c r="A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</row>
    <row r="739">
      <c r="A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</row>
    <row r="740">
      <c r="A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>
      <c r="A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</row>
    <row r="742">
      <c r="A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>
      <c r="A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</row>
    <row r="744">
      <c r="A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</row>
    <row r="745">
      <c r="A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</row>
    <row r="746">
      <c r="A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</row>
    <row r="747">
      <c r="A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>
      <c r="A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</row>
    <row r="749">
      <c r="A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>
      <c r="A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</row>
    <row r="751">
      <c r="A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</row>
    <row r="752">
      <c r="A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</row>
    <row r="753">
      <c r="A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</row>
    <row r="754">
      <c r="A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>
      <c r="A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</row>
    <row r="756">
      <c r="A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>
      <c r="A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</row>
    <row r="758">
      <c r="A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</row>
    <row r="759">
      <c r="A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</row>
    <row r="760">
      <c r="A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</row>
    <row r="761">
      <c r="A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>
      <c r="A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</row>
    <row r="763">
      <c r="A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>
      <c r="A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</row>
    <row r="765">
      <c r="A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</row>
    <row r="766">
      <c r="A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</row>
    <row r="767">
      <c r="A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</row>
    <row r="768">
      <c r="A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>
      <c r="A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</row>
    <row r="770">
      <c r="A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>
      <c r="A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</row>
    <row r="772">
      <c r="A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</row>
    <row r="773">
      <c r="A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</row>
    <row r="774">
      <c r="A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</row>
    <row r="775">
      <c r="A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>
      <c r="A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</row>
    <row r="777">
      <c r="A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>
      <c r="A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</row>
    <row r="779">
      <c r="A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</row>
    <row r="780">
      <c r="A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</row>
    <row r="781">
      <c r="A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</row>
    <row r="782">
      <c r="A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</row>
    <row r="783">
      <c r="A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>
      <c r="A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</row>
    <row r="785">
      <c r="A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</row>
    <row r="786">
      <c r="A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</row>
    <row r="787">
      <c r="A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</row>
    <row r="788">
      <c r="A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</row>
    <row r="789">
      <c r="A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</row>
    <row r="790">
      <c r="A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>
      <c r="A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</row>
    <row r="792">
      <c r="A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</row>
    <row r="793">
      <c r="A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</row>
    <row r="794">
      <c r="A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</row>
    <row r="795">
      <c r="A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</row>
    <row r="796">
      <c r="A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>
      <c r="A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>
      <c r="A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</row>
    <row r="799">
      <c r="A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</row>
    <row r="800">
      <c r="A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>
      <c r="A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</row>
    <row r="802">
      <c r="A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>
      <c r="A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</row>
    <row r="804">
      <c r="A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</row>
    <row r="805">
      <c r="A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</row>
    <row r="806">
      <c r="A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</row>
    <row r="807">
      <c r="A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>
      <c r="A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</row>
    <row r="809">
      <c r="A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>
      <c r="A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</row>
    <row r="811">
      <c r="A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</row>
    <row r="812">
      <c r="A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</row>
    <row r="813">
      <c r="A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</row>
    <row r="814">
      <c r="A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</row>
    <row r="815">
      <c r="A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>
      <c r="A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</row>
    <row r="817">
      <c r="A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</row>
    <row r="818">
      <c r="A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</row>
    <row r="819">
      <c r="A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</row>
    <row r="820">
      <c r="A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</row>
    <row r="821">
      <c r="A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>
      <c r="A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</row>
    <row r="823">
      <c r="A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>
      <c r="A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</row>
    <row r="825">
      <c r="A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</row>
    <row r="826">
      <c r="A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</row>
    <row r="827">
      <c r="A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</row>
    <row r="828">
      <c r="A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>
      <c r="A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>
      <c r="A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</row>
    <row r="831">
      <c r="A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</row>
    <row r="832">
      <c r="A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</row>
    <row r="833">
      <c r="A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</row>
    <row r="834">
      <c r="A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</row>
    <row r="835">
      <c r="A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>
      <c r="A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>
      <c r="A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</row>
    <row r="838">
      <c r="A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</row>
    <row r="839">
      <c r="A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</row>
    <row r="840">
      <c r="A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</row>
    <row r="841">
      <c r="A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</row>
    <row r="842">
      <c r="A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</row>
    <row r="843">
      <c r="A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>
      <c r="A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</row>
    <row r="845">
      <c r="A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</row>
    <row r="846">
      <c r="A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</row>
    <row r="847">
      <c r="A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</row>
    <row r="848">
      <c r="A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</row>
    <row r="849">
      <c r="A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</row>
    <row r="850">
      <c r="A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</row>
    <row r="851">
      <c r="A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</row>
    <row r="852">
      <c r="A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</row>
    <row r="853">
      <c r="A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</row>
    <row r="854">
      <c r="A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</row>
    <row r="855">
      <c r="A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>
      <c r="A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</row>
    <row r="857">
      <c r="A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</row>
    <row r="858">
      <c r="A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</row>
    <row r="859">
      <c r="A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</row>
    <row r="860">
      <c r="A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</row>
    <row r="861">
      <c r="A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</row>
    <row r="862">
      <c r="A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</row>
    <row r="863">
      <c r="A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</row>
    <row r="864">
      <c r="A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>
      <c r="A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</row>
    <row r="866">
      <c r="A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</row>
    <row r="867">
      <c r="A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</row>
    <row r="868">
      <c r="A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</row>
    <row r="869">
      <c r="A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</row>
    <row r="870">
      <c r="A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</row>
    <row r="871">
      <c r="A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>
      <c r="A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</row>
    <row r="873">
      <c r="A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</row>
    <row r="874">
      <c r="A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</row>
    <row r="875">
      <c r="A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</row>
    <row r="876">
      <c r="A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</row>
    <row r="877">
      <c r="A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</row>
    <row r="878">
      <c r="A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</row>
    <row r="879">
      <c r="A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</row>
    <row r="880">
      <c r="A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</row>
    <row r="881">
      <c r="A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</row>
    <row r="882">
      <c r="A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</row>
    <row r="883">
      <c r="A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</row>
    <row r="884">
      <c r="A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</row>
    <row r="885">
      <c r="A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</row>
    <row r="886">
      <c r="A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</row>
    <row r="887">
      <c r="A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</row>
    <row r="888">
      <c r="A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</row>
    <row r="889">
      <c r="A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</row>
    <row r="890">
      <c r="A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</row>
    <row r="891">
      <c r="A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</row>
    <row r="892">
      <c r="A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</row>
    <row r="893">
      <c r="A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</row>
    <row r="894">
      <c r="A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</row>
    <row r="895">
      <c r="A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</row>
    <row r="896">
      <c r="A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</row>
    <row r="897">
      <c r="A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</row>
    <row r="898">
      <c r="A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</row>
    <row r="899">
      <c r="A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</row>
    <row r="900">
      <c r="A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</row>
    <row r="901">
      <c r="A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</row>
    <row r="902">
      <c r="A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</row>
    <row r="903">
      <c r="A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</row>
    <row r="904">
      <c r="A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</row>
    <row r="905">
      <c r="A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</row>
    <row r="906">
      <c r="A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</row>
    <row r="907">
      <c r="A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</row>
    <row r="908">
      <c r="A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</row>
    <row r="909">
      <c r="A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</row>
    <row r="910">
      <c r="A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</row>
    <row r="911">
      <c r="A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</row>
    <row r="912">
      <c r="A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</row>
    <row r="913">
      <c r="A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</row>
    <row r="914">
      <c r="A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</row>
    <row r="915">
      <c r="A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>
      <c r="A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</row>
    <row r="917">
      <c r="A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</row>
    <row r="918">
      <c r="A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</row>
    <row r="919">
      <c r="A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</row>
    <row r="920">
      <c r="A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</row>
    <row r="921">
      <c r="A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</row>
    <row r="922">
      <c r="A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</row>
    <row r="923">
      <c r="A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</row>
    <row r="924">
      <c r="A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</row>
    <row r="925">
      <c r="A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</row>
    <row r="926">
      <c r="A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</row>
    <row r="927">
      <c r="A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</row>
    <row r="928">
      <c r="A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</row>
    <row r="929">
      <c r="A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</row>
    <row r="930">
      <c r="A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</row>
    <row r="931">
      <c r="A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</row>
    <row r="932">
      <c r="A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</row>
    <row r="933">
      <c r="A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</row>
    <row r="934">
      <c r="A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</row>
    <row r="935">
      <c r="A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</row>
    <row r="936">
      <c r="A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</row>
    <row r="937">
      <c r="A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</row>
    <row r="938">
      <c r="A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</row>
    <row r="939">
      <c r="A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</row>
    <row r="940">
      <c r="A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</row>
    <row r="941">
      <c r="A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</row>
    <row r="942">
      <c r="A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</row>
    <row r="943">
      <c r="A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</row>
    <row r="944">
      <c r="A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</row>
    <row r="945">
      <c r="A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</row>
    <row r="946">
      <c r="A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</row>
    <row r="947">
      <c r="A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</row>
    <row r="948">
      <c r="A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</row>
    <row r="949">
      <c r="A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</row>
    <row r="950">
      <c r="A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</row>
    <row r="951">
      <c r="A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</row>
    <row r="952">
      <c r="A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</row>
    <row r="953">
      <c r="A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</row>
    <row r="954">
      <c r="A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</row>
    <row r="955">
      <c r="A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</row>
    <row r="956">
      <c r="A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</row>
    <row r="957">
      <c r="A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</row>
    <row r="958">
      <c r="A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</row>
    <row r="959">
      <c r="A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</row>
    <row r="960">
      <c r="A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</row>
    <row r="961">
      <c r="A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</row>
    <row r="962">
      <c r="A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</row>
    <row r="963">
      <c r="A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</row>
    <row r="964">
      <c r="A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</row>
    <row r="965">
      <c r="A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</row>
    <row r="966">
      <c r="A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</row>
    <row r="967">
      <c r="A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</row>
    <row r="968">
      <c r="A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</row>
    <row r="969">
      <c r="A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</row>
    <row r="970">
      <c r="A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</row>
    <row r="971">
      <c r="A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</row>
    <row r="972">
      <c r="A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</row>
    <row r="973">
      <c r="A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</row>
    <row r="974">
      <c r="A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</row>
    <row r="975">
      <c r="A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</row>
    <row r="976">
      <c r="A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</row>
    <row r="977">
      <c r="A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</row>
    <row r="978">
      <c r="A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</row>
    <row r="979">
      <c r="A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</row>
    <row r="980">
      <c r="A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</row>
    <row r="981">
      <c r="A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</row>
    <row r="982">
      <c r="A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</row>
    <row r="983">
      <c r="A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</row>
    <row r="984">
      <c r="A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</row>
    <row r="985">
      <c r="A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</row>
    <row r="986">
      <c r="A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</row>
    <row r="987">
      <c r="A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</row>
    <row r="988">
      <c r="A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</row>
    <row r="989">
      <c r="A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</row>
    <row r="990">
      <c r="A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</row>
    <row r="991">
      <c r="A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</row>
    <row r="992">
      <c r="A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</row>
    <row r="993">
      <c r="A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</row>
    <row r="994">
      <c r="A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</row>
    <row r="995">
      <c r="A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</row>
    <row r="996">
      <c r="A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</row>
    <row r="997">
      <c r="A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</row>
    <row r="998">
      <c r="A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</row>
    <row r="999">
      <c r="A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</row>
    <row r="1000">
      <c r="A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</row>
  </sheetData>
  <mergeCells count="2">
    <mergeCell ref="C19:E19"/>
    <mergeCell ref="C20:D20"/>
  </mergeCells>
  <conditionalFormatting sqref="C3">
    <cfRule type="expression" dxfId="0" priority="1">
      <formula>(B3=TRUE)</formula>
    </cfRule>
  </conditionalFormatting>
  <conditionalFormatting sqref="C6">
    <cfRule type="expression" dxfId="0" priority="2">
      <formula>(B6=TRUE)</formula>
    </cfRule>
  </conditionalFormatting>
  <conditionalFormatting sqref="D11">
    <cfRule type="expression" dxfId="0" priority="3">
      <formula>(B6=TRUE)</formula>
    </cfRule>
  </conditionalFormatting>
  <conditionalFormatting sqref="E6">
    <cfRule type="expression" dxfId="0" priority="4">
      <formula>(B6=TRUE)</formula>
    </cfRule>
  </conditionalFormatting>
  <conditionalFormatting sqref="O6">
    <cfRule type="expression" dxfId="0" priority="5">
      <formula>(B6=TRUE)</formula>
    </cfRule>
  </conditionalFormatting>
  <conditionalFormatting sqref="G6">
    <cfRule type="expression" dxfId="0" priority="6">
      <formula>(B6=TRUE)</formula>
    </cfRule>
  </conditionalFormatting>
  <conditionalFormatting sqref="I6">
    <cfRule type="expression" dxfId="0" priority="7">
      <formula>(B6=TRUE)</formula>
    </cfRule>
  </conditionalFormatting>
  <conditionalFormatting sqref="K6">
    <cfRule type="expression" dxfId="0" priority="8">
      <formula>(B6=TRUE)</formula>
    </cfRule>
  </conditionalFormatting>
  <conditionalFormatting sqref="F11">
    <cfRule type="expression" dxfId="0" priority="9">
      <formula>(B6=TRUE)</formula>
    </cfRule>
  </conditionalFormatting>
  <conditionalFormatting sqref="H11">
    <cfRule type="expression" dxfId="0" priority="10">
      <formula>(B6=TRUE)</formula>
    </cfRule>
  </conditionalFormatting>
  <conditionalFormatting sqref="J11">
    <cfRule type="expression" dxfId="0" priority="11">
      <formula>(B6=TRUE)</formula>
    </cfRule>
  </conditionalFormatting>
  <conditionalFormatting sqref="L11">
    <cfRule type="expression" dxfId="0" priority="12">
      <formula>(B6=TRUE)</formula>
    </cfRule>
  </conditionalFormatting>
  <conditionalFormatting sqref="N11">
    <cfRule type="expression" dxfId="0" priority="13">
      <formula>(B6=TRUE)</formula>
    </cfRule>
  </conditionalFormatting>
  <conditionalFormatting sqref="D14">
    <cfRule type="expression" dxfId="0" priority="14">
      <formula>(B3=TRUE)</formula>
    </cfRule>
  </conditionalFormatting>
  <conditionalFormatting sqref="E3 F14 G3 H14 O3 P14">
    <cfRule type="expression" dxfId="0" priority="15">
      <formula>($B$3=TRUE)</formula>
    </cfRule>
  </conditionalFormatting>
  <conditionalFormatting sqref="I3 J14 K3 L14 M3 N14">
    <cfRule type="expression" dxfId="0" priority="16">
      <formula>($B$3=TRUE)</formula>
    </cfRule>
  </conditionalFormatting>
  <conditionalFormatting sqref="C4 D13 E4 F13 G4 H13 I4 J13 K4 L13 M4 N13 P13 O4">
    <cfRule type="expression" dxfId="0" priority="17">
      <formula>($B$4=TRUE)</formula>
    </cfRule>
  </conditionalFormatting>
  <conditionalFormatting sqref="C5 E5 G5 I5 K5 M5 O5 D12 F12 H12 J12 L12 N12 P12">
    <cfRule type="expression" dxfId="1" priority="18">
      <formula>($B$5=TRUE)</formula>
    </cfRule>
  </conditionalFormatting>
  <conditionalFormatting sqref="C7 D10 E7 F10 G7 H10 I7 J10 K7 L10 M7 N10 O7 P10">
    <cfRule type="expression" dxfId="0" priority="19">
      <formula>($B$7=TRUE)</formula>
    </cfRule>
  </conditionalFormatting>
  <conditionalFormatting sqref="C8 D9 E8 F9 G8 H9 I8 J9 K8 L9 M8 N9 O8 P9">
    <cfRule type="expression" dxfId="0" priority="20">
      <formula>($B$8=TRUE)</formula>
    </cfRule>
  </conditionalFormatting>
  <conditionalFormatting sqref="N8 M9 L8 K9 J8 I9 H8 G9 F8 E9 D8 C9 O9 P8">
    <cfRule type="expression" dxfId="1" priority="21">
      <formula>($B$9=TRUE)</formula>
    </cfRule>
  </conditionalFormatting>
  <conditionalFormatting sqref="C10 D7 E10 F7 G10 H7 I10 K10 J7 L7 M10 N7 O10 P7">
    <cfRule type="expression" dxfId="0" priority="22">
      <formula>($B$10=TRUE)</formula>
    </cfRule>
  </conditionalFormatting>
  <conditionalFormatting sqref="C11 D6 E11 F6 G11 H6 I11 J6 K11 L6 M11 N6 O11 P6">
    <cfRule type="expression" dxfId="0" priority="23">
      <formula>($B$11=TRUE)</formula>
    </cfRule>
  </conditionalFormatting>
  <conditionalFormatting sqref="C12 D5 E12 F5 G12 H5 I12 J5 K12 L5 M12 N5 O12 P5">
    <cfRule type="expression" dxfId="0" priority="24">
      <formula>($B$12=TRUE)</formula>
    </cfRule>
  </conditionalFormatting>
  <conditionalFormatting sqref="C13 D4 E13 F4 G13 H4 I13 J4 K13 L4 M13 N4 O13 P4">
    <cfRule type="expression" dxfId="0" priority="25">
      <formula>($B$13=TRUE)</formula>
    </cfRule>
  </conditionalFormatting>
  <conditionalFormatting sqref="C14 D3 E14 F3 G14 H3 I14 J3 K14 L3 M14 N3 O14 P3">
    <cfRule type="expression" dxfId="0" priority="26">
      <formula>($B$14=TRUE)</formula>
    </cfRule>
  </conditionalFormatting>
  <conditionalFormatting sqref="M6">
    <cfRule type="expression" dxfId="0" priority="27">
      <formula>(B6=TRUE)</formula>
    </cfRule>
  </conditionalFormatting>
  <conditionalFormatting sqref="P11">
    <cfRule type="expression" dxfId="0" priority="28">
      <formula>(B6=TRUE)</formula>
    </cfRule>
  </conditionalFormatting>
  <dataValidations>
    <dataValidation type="list" allowBlank="1" sqref="C3:P14">
      <formula1>Projections!$H$6:$H$500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.25"/>
    <col customWidth="1" min="2" max="2" width="6.63"/>
    <col customWidth="1" min="3" max="3" width="6.25"/>
    <col customWidth="1" min="4" max="4" width="6.38"/>
    <col customWidth="1" min="5" max="5" width="6.88"/>
    <col customWidth="1" min="6" max="6" width="5.0"/>
    <col customWidth="1" min="7" max="7" width="8.63"/>
    <col customWidth="1" min="8" max="8" width="22.13"/>
    <col customWidth="1" min="9" max="9" width="5.88"/>
    <col customWidth="1" min="10" max="10" width="8.63"/>
    <col customWidth="1" min="11" max="11" width="6.25"/>
    <col customWidth="1" min="12" max="20" width="6.63"/>
    <col customWidth="1" min="21" max="21" width="6.5"/>
    <col customWidth="1" min="22" max="22" width="5.0"/>
    <col customWidth="1" min="23" max="23" width="5.13"/>
    <col customWidth="1" min="24" max="27" width="5.0"/>
    <col customWidth="1" min="28" max="28" width="5.38"/>
    <col customWidth="1" min="29" max="29" width="5.0"/>
    <col customWidth="1" min="30" max="31" width="5.63"/>
    <col customWidth="1" min="33" max="33" width="14.25"/>
  </cols>
  <sheetData>
    <row r="1">
      <c r="A1" s="33"/>
      <c r="B1" s="33"/>
      <c r="C1" s="33"/>
      <c r="D1" s="33"/>
      <c r="E1" s="33"/>
      <c r="F1" s="33"/>
      <c r="W1" s="33"/>
    </row>
    <row r="2">
      <c r="G2" s="34" t="s">
        <v>30</v>
      </c>
      <c r="H2" s="35" t="s">
        <v>31</v>
      </c>
      <c r="I2" s="36"/>
      <c r="J2" s="4" t="s">
        <v>32</v>
      </c>
      <c r="K2" s="4" t="s">
        <v>33</v>
      </c>
      <c r="L2" s="4" t="s">
        <v>34</v>
      </c>
      <c r="M2" s="34" t="s">
        <v>35</v>
      </c>
      <c r="N2" s="4" t="s">
        <v>36</v>
      </c>
      <c r="O2" s="4" t="s">
        <v>37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4" t="s">
        <v>47</v>
      </c>
    </row>
    <row r="3">
      <c r="G3" s="37" t="s">
        <v>48</v>
      </c>
      <c r="H3" s="38" t="b">
        <v>0</v>
      </c>
      <c r="I3" s="39"/>
      <c r="J3" s="38" t="b">
        <v>1</v>
      </c>
      <c r="K3" s="38" t="b">
        <v>0</v>
      </c>
      <c r="L3" s="6">
        <v>1.0</v>
      </c>
      <c r="M3" s="6">
        <v>0.9</v>
      </c>
      <c r="N3" s="6">
        <v>1.0</v>
      </c>
      <c r="O3" s="6">
        <v>1.1</v>
      </c>
      <c r="P3" s="6">
        <v>0.7</v>
      </c>
      <c r="Q3" s="6">
        <v>0.7</v>
      </c>
      <c r="R3" s="6">
        <v>0.9</v>
      </c>
      <c r="S3" s="6">
        <v>0.8</v>
      </c>
      <c r="T3" s="6">
        <v>0.25</v>
      </c>
      <c r="U3" s="6" t="s">
        <v>43</v>
      </c>
      <c r="V3" s="6" t="s">
        <v>44</v>
      </c>
      <c r="W3" s="6" t="s">
        <v>45</v>
      </c>
      <c r="X3" s="6" t="s">
        <v>46</v>
      </c>
      <c r="Y3" s="6" t="s">
        <v>47</v>
      </c>
    </row>
    <row r="5">
      <c r="A5" s="40" t="s">
        <v>49</v>
      </c>
      <c r="B5" s="40" t="s">
        <v>50</v>
      </c>
      <c r="C5" s="40" t="s">
        <v>51</v>
      </c>
      <c r="D5" s="40" t="s">
        <v>52</v>
      </c>
      <c r="E5" s="40" t="s">
        <v>53</v>
      </c>
      <c r="F5" s="40" t="s">
        <v>54</v>
      </c>
      <c r="G5" s="40" t="s">
        <v>55</v>
      </c>
      <c r="H5" s="41" t="s">
        <v>56</v>
      </c>
      <c r="I5" s="40" t="s">
        <v>57</v>
      </c>
      <c r="J5" s="41" t="s">
        <v>58</v>
      </c>
      <c r="K5" s="40" t="s">
        <v>59</v>
      </c>
      <c r="L5" s="41" t="s">
        <v>48</v>
      </c>
      <c r="M5" s="40" t="s">
        <v>60</v>
      </c>
      <c r="N5" s="40" t="s">
        <v>34</v>
      </c>
      <c r="O5" s="40" t="s">
        <v>35</v>
      </c>
      <c r="P5" s="40" t="s">
        <v>36</v>
      </c>
      <c r="Q5" s="40" t="s">
        <v>37</v>
      </c>
      <c r="R5" s="40" t="s">
        <v>38</v>
      </c>
      <c r="S5" s="40" t="s">
        <v>61</v>
      </c>
      <c r="T5" s="40" t="s">
        <v>40</v>
      </c>
      <c r="U5" s="40" t="s">
        <v>41</v>
      </c>
      <c r="V5" s="40" t="s">
        <v>42</v>
      </c>
      <c r="W5" s="41" t="s">
        <v>62</v>
      </c>
      <c r="X5" s="41" t="s">
        <v>63</v>
      </c>
      <c r="Y5" s="41" t="s">
        <v>64</v>
      </c>
      <c r="Z5" s="41" t="s">
        <v>65</v>
      </c>
      <c r="AA5" s="41" t="s">
        <v>66</v>
      </c>
      <c r="AB5" s="41" t="s">
        <v>67</v>
      </c>
      <c r="AC5" s="41" t="s">
        <v>68</v>
      </c>
      <c r="AD5" s="41" t="s">
        <v>69</v>
      </c>
      <c r="AE5" s="41" t="s">
        <v>70</v>
      </c>
    </row>
    <row r="6">
      <c r="A6" s="6" t="str">
        <f>IF(VLOOKUP(H6,'Paste #BBall'!$B$2:$N1001,3,)="BRO","BKN",IF(VLOOKUP(H6,'Paste #BBall'!$B$2:$N1001,3,)="OKL","OKC",VLOOKUP(H6,'Paste #BBall'!$B$2:$N1001,3,)))</f>
        <v>DEN</v>
      </c>
      <c r="B6" s="42">
        <f>VLOOKUP($A6,Schedule!$C$2:$G$31,2,0)</f>
        <v>3</v>
      </c>
      <c r="C6" s="42">
        <f>VLOOKUP($A6,Schedule!$C$2:$G$31,3,0)</f>
        <v>4</v>
      </c>
      <c r="D6" s="42">
        <f>VLOOKUP($A6,Schedule!$C$2:$G$31,4,0)</f>
        <v>3</v>
      </c>
      <c r="E6" s="42">
        <f t="shared" ref="E6:E421" si="1">SUM(B6:D6)</f>
        <v>10</v>
      </c>
      <c r="F6" s="43">
        <v>1.0</v>
      </c>
      <c r="G6" s="44">
        <f>IFERROR(__xludf.DUMMYFUNCTION("Filter('NO USAR3'!B5:Z405,IF('NO USAR3'!AA5:AA405="""",FALSE,TRUE),NOT(COUNTIF('NO USAR3'!A5:A200,'NO USAR3'!C5:C405)))"),1.0)</f>
        <v>1</v>
      </c>
      <c r="H6" s="45" t="str">
        <f>IFERROR(__xludf.DUMMYFUNCTION("""COMPUTED_VALUE"""),"Nikola Jokic")</f>
        <v>Nikola Jokic</v>
      </c>
      <c r="I6" s="45">
        <f>IFERROR(__xludf.DUMMYFUNCTION("""COMPUTED_VALUE"""),72.0)</f>
        <v>72</v>
      </c>
      <c r="J6" s="46" t="str">
        <f>IFERROR(__xludf.DUMMYFUNCTION("""COMPUTED_VALUE"""),"C")</f>
        <v>C</v>
      </c>
      <c r="K6" s="46">
        <f>IFERROR(__xludf.DUMMYFUNCTION("""COMPUTED_VALUE"""),9.54924845456491)</f>
        <v>9.549248455</v>
      </c>
      <c r="L6" s="46">
        <f>IFERROR(__xludf.DUMMYFUNCTION("""COMPUTED_VALUE"""),9.214627913768442)</f>
        <v>9.214627914</v>
      </c>
      <c r="M6" s="47">
        <f>IFERROR(__xludf.DUMMYFUNCTION("""COMPUTED_VALUE"""),-0.3346205407964682)</f>
        <v>-0.3346205408</v>
      </c>
      <c r="N6" s="47">
        <f>IFERROR(__xludf.DUMMYFUNCTION("""COMPUTED_VALUE"""),24.5)</f>
        <v>24.5</v>
      </c>
      <c r="O6" s="47">
        <f>IFERROR(__xludf.DUMMYFUNCTION("""COMPUTED_VALUE"""),1.0)</f>
        <v>1</v>
      </c>
      <c r="P6" s="47">
        <f>IFERROR(__xludf.DUMMYFUNCTION("""COMPUTED_VALUE"""),11.7)</f>
        <v>11.7</v>
      </c>
      <c r="Q6" s="48">
        <f>IFERROR(__xludf.DUMMYFUNCTION("""COMPUTED_VALUE"""),9.7)</f>
        <v>9.7</v>
      </c>
      <c r="R6" s="47">
        <f>IFERROR(__xludf.DUMMYFUNCTION("""COMPUTED_VALUE"""),1.4)</f>
        <v>1.4</v>
      </c>
      <c r="S6" s="47">
        <f>IFERROR(__xludf.DUMMYFUNCTION("""COMPUTED_VALUE"""),0.7)</f>
        <v>0.7</v>
      </c>
      <c r="T6" s="47">
        <f>IFERROR(__xludf.DUMMYFUNCTION("""COMPUTED_VALUE"""),62.16216216216215)</f>
        <v>62.16216216</v>
      </c>
      <c r="U6" s="47">
        <f>IFERROR(__xludf.DUMMYFUNCTION("""COMPUTED_VALUE"""),81.9672131147541)</f>
        <v>81.96721311</v>
      </c>
      <c r="V6" s="47">
        <f>IFERROR(__xludf.DUMMYFUNCTION("""COMPUTED_VALUE"""),3.7)</f>
        <v>3.7</v>
      </c>
      <c r="W6" s="49">
        <f>IFERROR(__xludf.DUMMYFUNCTION("""COMPUTED_VALUE"""),1.2206927237691836)</f>
        <v>1.220692724</v>
      </c>
      <c r="X6" s="46">
        <f>IFERROR(__xludf.DUMMYFUNCTION("""COMPUTED_VALUE"""),-0.5590090246596284)</f>
        <v>-0.5590090247</v>
      </c>
      <c r="Y6" s="46">
        <f>IFERROR(__xludf.DUMMYFUNCTION("""COMPUTED_VALUE"""),2.3436120958610913)</f>
        <v>2.343612096</v>
      </c>
      <c r="Z6" s="46">
        <f>IFERROR(__xludf.DUMMYFUNCTION("""COMPUTED_VALUE"""),2.986704087554234)</f>
        <v>2.986704088</v>
      </c>
      <c r="AA6" s="49">
        <f>IFERROR(__xludf.DUMMYFUNCTION("""COMPUTED_VALUE"""),0.883828931240691)</f>
        <v>0.8838289312</v>
      </c>
      <c r="AB6" s="46">
        <f>IFERROR(__xludf.DUMMYFUNCTION("""COMPUTED_VALUE"""),-0.0017508778622903794)</f>
        <v>-0.001750877862</v>
      </c>
      <c r="AC6" s="46">
        <f>IFERROR(__xludf.DUMMYFUNCTION("""COMPUTED_VALUE"""),1.857320056544927)</f>
        <v>1.857320057</v>
      </c>
      <c r="AD6" s="49">
        <f>IFERROR(__xludf.DUMMYFUNCTION("""COMPUTED_VALUE"""),0.4536630262097989)</f>
        <v>0.4536630262</v>
      </c>
      <c r="AE6" s="46">
        <f>IFERROR(__xludf.DUMMYFUNCTION("""COMPUTED_VALUE"""),-0.5294421295491943)</f>
        <v>-0.5294421295</v>
      </c>
      <c r="AL6" s="50"/>
    </row>
    <row r="7">
      <c r="A7" s="6" t="str">
        <f>IF(VLOOKUP(H7,'Paste #BBall'!$B$2:$N1001,3,)="BRO","BKN",IF(VLOOKUP(H7,'Paste #BBall'!$B$2:$N1001,3,)="OKL","OKC",VLOOKUP(H7,'Paste #BBall'!$B$2:$N1001,3,)))</f>
        <v>PHI</v>
      </c>
      <c r="B7" s="42">
        <f>VLOOKUP($A7,Schedule!$C$2:$G$31,2,0)</f>
        <v>4</v>
      </c>
      <c r="C7" s="42">
        <f>VLOOKUP($A7,Schedule!$C$2:$G$31,3,0)</f>
        <v>3</v>
      </c>
      <c r="D7" s="42">
        <f>VLOOKUP($A7,Schedule!$C$2:$G$31,4,0)</f>
        <v>4</v>
      </c>
      <c r="E7" s="42">
        <f t="shared" si="1"/>
        <v>11</v>
      </c>
      <c r="F7" s="51">
        <v>2.0</v>
      </c>
      <c r="G7" s="45">
        <f>IFERROR(__xludf.DUMMYFUNCTION("""COMPUTED_VALUE"""),2.0)</f>
        <v>2</v>
      </c>
      <c r="H7" s="45" t="str">
        <f>IFERROR(__xludf.DUMMYFUNCTION("""COMPUTED_VALUE"""),"Joel Embiid")</f>
        <v>Joel Embiid</v>
      </c>
      <c r="I7" s="45">
        <f>IFERROR(__xludf.DUMMYFUNCTION("""COMPUTED_VALUE"""),67.0)</f>
        <v>67</v>
      </c>
      <c r="J7" s="46" t="str">
        <f>IFERROR(__xludf.DUMMYFUNCTION("""COMPUTED_VALUE"""),"C")</f>
        <v>C</v>
      </c>
      <c r="K7" s="46">
        <f>IFERROR(__xludf.DUMMYFUNCTION("""COMPUTED_VALUE"""),8.589996039505778)</f>
        <v>8.58999604</v>
      </c>
      <c r="L7" s="46">
        <f>IFERROR(__xludf.DUMMYFUNCTION("""COMPUTED_VALUE"""),7.635406106501781)</f>
        <v>7.635406107</v>
      </c>
      <c r="M7" s="47">
        <f>IFERROR(__xludf.DUMMYFUNCTION("""COMPUTED_VALUE"""),-0.9545899330039962)</f>
        <v>-0.954589933</v>
      </c>
      <c r="N7" s="47">
        <f>IFERROR(__xludf.DUMMYFUNCTION("""COMPUTED_VALUE"""),32.6)</f>
        <v>32.6</v>
      </c>
      <c r="O7" s="47">
        <f>IFERROR(__xludf.DUMMYFUNCTION("""COMPUTED_VALUE"""),1.2)</f>
        <v>1.2</v>
      </c>
      <c r="P7" s="47">
        <f>IFERROR(__xludf.DUMMYFUNCTION("""COMPUTED_VALUE"""),10.2)</f>
        <v>10.2</v>
      </c>
      <c r="Q7" s="48">
        <f>IFERROR(__xludf.DUMMYFUNCTION("""COMPUTED_VALUE"""),4.2)</f>
        <v>4.2</v>
      </c>
      <c r="R7" s="47">
        <f>IFERROR(__xludf.DUMMYFUNCTION("""COMPUTED_VALUE"""),1.1)</f>
        <v>1.1</v>
      </c>
      <c r="S7" s="47">
        <f>IFERROR(__xludf.DUMMYFUNCTION("""COMPUTED_VALUE"""),1.6)</f>
        <v>1.6</v>
      </c>
      <c r="T7" s="47">
        <f>IFERROR(__xludf.DUMMYFUNCTION("""COMPUTED_VALUE"""),54.0)</f>
        <v>54</v>
      </c>
      <c r="U7" s="47">
        <f>IFERROR(__xludf.DUMMYFUNCTION("""COMPUTED_VALUE"""),83.19327731092437)</f>
        <v>83.19327731</v>
      </c>
      <c r="V7" s="47">
        <f>IFERROR(__xludf.DUMMYFUNCTION("""COMPUTED_VALUE"""),3.3)</f>
        <v>3.3</v>
      </c>
      <c r="W7" s="46">
        <f>IFERROR(__xludf.DUMMYFUNCTION("""COMPUTED_VALUE"""),2.5857563771327903)</f>
        <v>2.585756377</v>
      </c>
      <c r="X7" s="46">
        <f>IFERROR(__xludf.DUMMYFUNCTION("""COMPUTED_VALUE"""),-0.38558326726780967)</f>
        <v>-0.3855832673</v>
      </c>
      <c r="Y7" s="46">
        <f>IFERROR(__xludf.DUMMYFUNCTION("""COMPUTED_VALUE"""),1.7163815480214986)</f>
        <v>1.716381548</v>
      </c>
      <c r="Z7" s="46">
        <f>IFERROR(__xludf.DUMMYFUNCTION("""COMPUTED_VALUE"""),0.18156875942098802)</f>
        <v>0.1815687594</v>
      </c>
      <c r="AA7" s="46">
        <f>IFERROR(__xludf.DUMMYFUNCTION("""COMPUTED_VALUE"""),0.22967922884215308)</f>
        <v>0.2296792288</v>
      </c>
      <c r="AB7" s="46">
        <f>IFERROR(__xludf.DUMMYFUNCTION("""COMPUTED_VALUE"""),1.1800916791835507)</f>
        <v>1.180091679</v>
      </c>
      <c r="AC7" s="46">
        <f>IFERROR(__xludf.DUMMYFUNCTION("""COMPUTED_VALUE"""),0.8793122989733448)</f>
        <v>0.879312299</v>
      </c>
      <c r="AD7" s="46">
        <f>IFERROR(__xludf.DUMMYFUNCTION("""COMPUTED_VALUE"""),1.2481994821952669)</f>
        <v>1.248199482</v>
      </c>
      <c r="AE7" s="46">
        <f>IFERROR(__xludf.DUMMYFUNCTION("""COMPUTED_VALUE"""),-0.40525711089027455)</f>
        <v>-0.4052571109</v>
      </c>
      <c r="AH7" s="52"/>
      <c r="AI7" s="52"/>
      <c r="AJ7" s="52"/>
      <c r="AK7" s="52"/>
      <c r="AL7" s="52"/>
      <c r="AM7" s="52"/>
      <c r="AN7" s="52"/>
      <c r="AO7" s="52"/>
      <c r="AP7" s="52"/>
    </row>
    <row r="8">
      <c r="A8" s="6" t="str">
        <f>IF(VLOOKUP(H8,'Paste #BBall'!$B$2:$N1001,3,)="BRO","BKN",IF(VLOOKUP(H8,'Paste #BBall'!$B$2:$N1001,3,)="OKL","OKC",VLOOKUP(H8,'Paste #BBall'!$B$2:$N1001,3,)))</f>
        <v>DAL</v>
      </c>
      <c r="B8" s="42">
        <f>VLOOKUP($A8,Schedule!$C$2:$G$31,2,0)</f>
        <v>3</v>
      </c>
      <c r="C8" s="42">
        <f>VLOOKUP($A8,Schedule!$C$2:$G$31,3,0)</f>
        <v>4</v>
      </c>
      <c r="D8" s="42">
        <f>VLOOKUP($A8,Schedule!$C$2:$G$31,4,0)</f>
        <v>2</v>
      </c>
      <c r="E8" s="42">
        <f t="shared" si="1"/>
        <v>9</v>
      </c>
      <c r="F8" s="51">
        <v>3.0</v>
      </c>
      <c r="G8" s="45">
        <f>IFERROR(__xludf.DUMMYFUNCTION("""COMPUTED_VALUE"""),3.0)</f>
        <v>3</v>
      </c>
      <c r="H8" s="45" t="str">
        <f>IFERROR(__xludf.DUMMYFUNCTION("""COMPUTED_VALUE"""),"Luka Doncic")</f>
        <v>Luka Doncic</v>
      </c>
      <c r="I8" s="45">
        <f>IFERROR(__xludf.DUMMYFUNCTION("""COMPUTED_VALUE"""),66.0)</f>
        <v>66</v>
      </c>
      <c r="J8" s="46" t="str">
        <f>IFERROR(__xludf.DUMMYFUNCTION("""COMPUTED_VALUE"""),"PG")</f>
        <v>PG</v>
      </c>
      <c r="K8" s="46">
        <f>IFERROR(__xludf.DUMMYFUNCTION("""COMPUTED_VALUE"""),6.6677410644050665)</f>
        <v>6.667741064</v>
      </c>
      <c r="L8" s="46">
        <f>IFERROR(__xludf.DUMMYFUNCTION("""COMPUTED_VALUE"""),6.872562954664767)</f>
        <v>6.872562955</v>
      </c>
      <c r="M8" s="47">
        <f>IFERROR(__xludf.DUMMYFUNCTION("""COMPUTED_VALUE"""),0.20482189025970055)</f>
        <v>0.2048218903</v>
      </c>
      <c r="N8" s="47">
        <f>IFERROR(__xludf.DUMMYFUNCTION("""COMPUTED_VALUE"""),32.7)</f>
        <v>32.7</v>
      </c>
      <c r="O8" s="47">
        <f>IFERROR(__xludf.DUMMYFUNCTION("""COMPUTED_VALUE"""),3.0)</f>
        <v>3</v>
      </c>
      <c r="P8" s="47">
        <f>IFERROR(__xludf.DUMMYFUNCTION("""COMPUTED_VALUE"""),8.8)</f>
        <v>8.8</v>
      </c>
      <c r="Q8" s="48">
        <f>IFERROR(__xludf.DUMMYFUNCTION("""COMPUTED_VALUE"""),8.1)</f>
        <v>8.1</v>
      </c>
      <c r="R8" s="47">
        <f>IFERROR(__xludf.DUMMYFUNCTION("""COMPUTED_VALUE"""),1.3)</f>
        <v>1.3</v>
      </c>
      <c r="S8" s="47">
        <f>IFERROR(__xludf.DUMMYFUNCTION("""COMPUTED_VALUE"""),0.5)</f>
        <v>0.5</v>
      </c>
      <c r="T8" s="47">
        <f>IFERROR(__xludf.DUMMYFUNCTION("""COMPUTED_VALUE"""),49.10714285714286)</f>
        <v>49.10714286</v>
      </c>
      <c r="U8" s="47">
        <f>IFERROR(__xludf.DUMMYFUNCTION("""COMPUTED_VALUE"""),76.47058823529413)</f>
        <v>76.47058824</v>
      </c>
      <c r="V8" s="47">
        <f>IFERROR(__xludf.DUMMYFUNCTION("""COMPUTED_VALUE"""),3.6)</f>
        <v>3.6</v>
      </c>
      <c r="W8" s="46">
        <f>IFERROR(__xludf.DUMMYFUNCTION("""COMPUTED_VALUE"""),2.602609014828637)</f>
        <v>2.602609015</v>
      </c>
      <c r="X8" s="46">
        <f>IFERROR(__xludf.DUMMYFUNCTION("""COMPUTED_VALUE"""),1.1752485492585598)</f>
        <v>1.175248549</v>
      </c>
      <c r="Y8" s="46">
        <f>IFERROR(__xludf.DUMMYFUNCTION("""COMPUTED_VALUE"""),1.1309663700378794)</f>
        <v>1.13096637</v>
      </c>
      <c r="Z8" s="46">
        <f>IFERROR(__xludf.DUMMYFUNCTION("""COMPUTED_VALUE"""),2.170664719370017)</f>
        <v>2.170664719</v>
      </c>
      <c r="AA8" s="46">
        <f>IFERROR(__xludf.DUMMYFUNCTION("""COMPUTED_VALUE"""),0.6657790304411786)</f>
        <v>0.6657790304</v>
      </c>
      <c r="AB8" s="46">
        <f>IFERROR(__xludf.DUMMYFUNCTION("""COMPUTED_VALUE"""),-0.2643825572058105)</f>
        <v>-0.2643825572</v>
      </c>
      <c r="AC8" s="46">
        <f>IFERROR(__xludf.DUMMYFUNCTION("""COMPUTED_VALUE"""),-0.10992629718122864)</f>
        <v>-0.1099262972</v>
      </c>
      <c r="AD8" s="46">
        <f>IFERROR(__xludf.DUMMYFUNCTION("""COMPUTED_VALUE"""),-0.6370246463324157)</f>
        <v>-0.6370246463</v>
      </c>
      <c r="AE8" s="46">
        <f>IFERROR(__xludf.DUMMYFUNCTION("""COMPUTED_VALUE"""),-0.49839587488446435)</f>
        <v>-0.4983958749</v>
      </c>
      <c r="AH8" s="53"/>
      <c r="AI8" s="53"/>
      <c r="AJ8" s="53"/>
      <c r="AK8" s="53"/>
      <c r="AL8" s="54"/>
      <c r="AM8" s="53"/>
      <c r="AN8" s="53"/>
      <c r="AO8" s="53"/>
      <c r="AP8" s="53"/>
    </row>
    <row r="9">
      <c r="A9" s="6" t="str">
        <f>IF(VLOOKUP(H9,'Paste #BBall'!$B$2:$N1001,3,)="BRO","BKN",IF(VLOOKUP(H9,'Paste #BBall'!$B$2:$N1001,3,)="OKL","OKC",VLOOKUP(H9,'Paste #BBall'!$B$2:$N1001,3,)))</f>
        <v>IND</v>
      </c>
      <c r="B9" s="42">
        <f>VLOOKUP($A9,Schedule!$C$2:$G$31,2,0)</f>
        <v>3</v>
      </c>
      <c r="C9" s="42">
        <f>VLOOKUP($A9,Schedule!$C$2:$G$31,3,0)</f>
        <v>3</v>
      </c>
      <c r="D9" s="42">
        <f>VLOOKUP($A9,Schedule!$C$2:$G$31,4,0)</f>
        <v>4</v>
      </c>
      <c r="E9" s="42">
        <f t="shared" si="1"/>
        <v>10</v>
      </c>
      <c r="F9" s="43">
        <v>4.0</v>
      </c>
      <c r="G9" s="45">
        <f>IFERROR(__xludf.DUMMYFUNCTION("""COMPUTED_VALUE"""),5.0)</f>
        <v>5</v>
      </c>
      <c r="H9" s="45" t="str">
        <f>IFERROR(__xludf.DUMMYFUNCTION("""COMPUTED_VALUE"""),"Tyrese Haliburton")</f>
        <v>Tyrese Haliburton</v>
      </c>
      <c r="I9" s="45">
        <f>IFERROR(__xludf.DUMMYFUNCTION("""COMPUTED_VALUE"""),73.0)</f>
        <v>73</v>
      </c>
      <c r="J9" s="46" t="str">
        <f>IFERROR(__xludf.DUMMYFUNCTION("""COMPUTED_VALUE"""),"PG,SG")</f>
        <v>PG,SG</v>
      </c>
      <c r="K9" s="46">
        <f>IFERROR(__xludf.DUMMYFUNCTION("""COMPUTED_VALUE"""),6.550969880100022)</f>
        <v>6.55096988</v>
      </c>
      <c r="L9" s="46">
        <f>IFERROR(__xludf.DUMMYFUNCTION("""COMPUTED_VALUE"""),6.817439699232969)</f>
        <v>6.817439699</v>
      </c>
      <c r="M9" s="47">
        <f>IFERROR(__xludf.DUMMYFUNCTION("""COMPUTED_VALUE"""),0.2664698191329471)</f>
        <v>0.2664698191</v>
      </c>
      <c r="N9" s="47">
        <f>IFERROR(__xludf.DUMMYFUNCTION("""COMPUTED_VALUE"""),23.3)</f>
        <v>23.3</v>
      </c>
      <c r="O9" s="47">
        <f>IFERROR(__xludf.DUMMYFUNCTION("""COMPUTED_VALUE"""),2.8)</f>
        <v>2.8</v>
      </c>
      <c r="P9" s="47">
        <f>IFERROR(__xludf.DUMMYFUNCTION("""COMPUTED_VALUE"""),4.0)</f>
        <v>4</v>
      </c>
      <c r="Q9" s="48">
        <f>IFERROR(__xludf.DUMMYFUNCTION("""COMPUTED_VALUE"""),10.5)</f>
        <v>10.5</v>
      </c>
      <c r="R9" s="47">
        <f>IFERROR(__xludf.DUMMYFUNCTION("""COMPUTED_VALUE"""),1.7)</f>
        <v>1.7</v>
      </c>
      <c r="S9" s="47">
        <f>IFERROR(__xludf.DUMMYFUNCTION("""COMPUTED_VALUE"""),0.4)</f>
        <v>0.4</v>
      </c>
      <c r="T9" s="47">
        <f>IFERROR(__xludf.DUMMYFUNCTION("""COMPUTED_VALUE"""),48.913043478260875)</f>
        <v>48.91304348</v>
      </c>
      <c r="U9" s="47">
        <f>IFERROR(__xludf.DUMMYFUNCTION("""COMPUTED_VALUE"""),86.66666666666667)</f>
        <v>86.66666667</v>
      </c>
      <c r="V9" s="47">
        <f>IFERROR(__xludf.DUMMYFUNCTION("""COMPUTED_VALUE"""),2.6)</f>
        <v>2.6</v>
      </c>
      <c r="W9" s="46">
        <f>IFERROR(__xludf.DUMMYFUNCTION("""COMPUTED_VALUE"""),1.0184610714190199)</f>
        <v>1.018461071</v>
      </c>
      <c r="X9" s="46">
        <f>IFERROR(__xludf.DUMMYFUNCTION("""COMPUTED_VALUE"""),1.001822791866741)</f>
        <v>1.001822792</v>
      </c>
      <c r="Y9" s="46">
        <f>IFERROR(__xludf.DUMMYFUNCTION("""COMPUTED_VALUE"""),-0.8761713830488173)</f>
        <v>-0.876171383</v>
      </c>
      <c r="Z9" s="46">
        <f>IFERROR(__xludf.DUMMYFUNCTION("""COMPUTED_VALUE"""),3.3947237716463428)</f>
        <v>3.394723772</v>
      </c>
      <c r="AA9" s="46">
        <f>IFERROR(__xludf.DUMMYFUNCTION("""COMPUTED_VALUE"""),1.5379786336392296)</f>
        <v>1.537978634</v>
      </c>
      <c r="AB9" s="46">
        <f>IFERROR(__xludf.DUMMYFUNCTION("""COMPUTED_VALUE"""),-0.39569839687757064)</f>
        <v>-0.3956983969</v>
      </c>
      <c r="AC9" s="46">
        <f>IFERROR(__xludf.DUMMYFUNCTION("""COMPUTED_VALUE"""),-0.12597035229978393)</f>
        <v>-0.1259703523</v>
      </c>
      <c r="AD9" s="46">
        <f>IFERROR(__xludf.DUMMYFUNCTION("""COMPUTED_VALUE"""),0.5740555080761552)</f>
        <v>0.5740555081</v>
      </c>
      <c r="AE9" s="46">
        <f>IFERROR(__xludf.DUMMYFUNCTION("""COMPUTED_VALUE"""),-0.18793332823716524)</f>
        <v>-0.1879333282</v>
      </c>
      <c r="AH9" s="53"/>
      <c r="AI9" s="53"/>
      <c r="AJ9" s="53"/>
      <c r="AK9" s="53"/>
      <c r="AL9" s="54"/>
      <c r="AM9" s="53"/>
      <c r="AN9" s="53"/>
      <c r="AO9" s="53"/>
      <c r="AP9" s="53"/>
    </row>
    <row r="10">
      <c r="A10" s="6" t="str">
        <f>IF(VLOOKUP(H10,'Paste #BBall'!$B$2:$N1001,3,)="BRO","BKN",IF(VLOOKUP(H10,'Paste #BBall'!$B$2:$N1001,3,)="OKL","OKC",VLOOKUP(H10,'Paste #BBall'!$B$2:$N1001,3,)))</f>
        <v>CHA</v>
      </c>
      <c r="B10" s="42">
        <f>VLOOKUP($A10,Schedule!$C$2:$G$31,2,0)</f>
        <v>3</v>
      </c>
      <c r="C10" s="42">
        <f>VLOOKUP($A10,Schedule!$C$2:$G$31,3,0)</f>
        <v>4</v>
      </c>
      <c r="D10" s="42">
        <f>VLOOKUP($A10,Schedule!$C$2:$G$31,4,0)</f>
        <v>2</v>
      </c>
      <c r="E10" s="42">
        <f t="shared" si="1"/>
        <v>9</v>
      </c>
      <c r="F10" s="51">
        <v>5.0</v>
      </c>
      <c r="G10" s="45">
        <f>IFERROR(__xludf.DUMMYFUNCTION("""COMPUTED_VALUE"""),7.0)</f>
        <v>7</v>
      </c>
      <c r="H10" s="45" t="str">
        <f>IFERROR(__xludf.DUMMYFUNCTION("""COMPUTED_VALUE"""),"LaMelo Ball")</f>
        <v>LaMelo Ball</v>
      </c>
      <c r="I10" s="45">
        <f>IFERROR(__xludf.DUMMYFUNCTION("""COMPUTED_VALUE"""),69.0)</f>
        <v>69</v>
      </c>
      <c r="J10" s="46" t="str">
        <f>IFERROR(__xludf.DUMMYFUNCTION("""COMPUTED_VALUE"""),"PG,SG")</f>
        <v>PG,SG</v>
      </c>
      <c r="K10" s="46">
        <f>IFERROR(__xludf.DUMMYFUNCTION("""COMPUTED_VALUE"""),6.185474007494449)</f>
        <v>6.185474007</v>
      </c>
      <c r="L10" s="46">
        <f>IFERROR(__xludf.DUMMYFUNCTION("""COMPUTED_VALUE"""),6.634110243347756)</f>
        <v>6.634110243</v>
      </c>
      <c r="M10" s="47">
        <f>IFERROR(__xludf.DUMMYFUNCTION("""COMPUTED_VALUE"""),0.44863623585330714)</f>
        <v>0.4486362359</v>
      </c>
      <c r="N10" s="47">
        <f>IFERROR(__xludf.DUMMYFUNCTION("""COMPUTED_VALUE"""),23.4)</f>
        <v>23.4</v>
      </c>
      <c r="O10" s="47">
        <f>IFERROR(__xludf.DUMMYFUNCTION("""COMPUTED_VALUE"""),3.7)</f>
        <v>3.7</v>
      </c>
      <c r="P10" s="47">
        <f>IFERROR(__xludf.DUMMYFUNCTION("""COMPUTED_VALUE"""),7.0)</f>
        <v>7</v>
      </c>
      <c r="Q10" s="48">
        <f>IFERROR(__xludf.DUMMYFUNCTION("""COMPUTED_VALUE"""),8.6)</f>
        <v>8.6</v>
      </c>
      <c r="R10" s="47">
        <f>IFERROR(__xludf.DUMMYFUNCTION("""COMPUTED_VALUE"""),1.6)</f>
        <v>1.6</v>
      </c>
      <c r="S10" s="47">
        <f>IFERROR(__xludf.DUMMYFUNCTION("""COMPUTED_VALUE"""),0.4)</f>
        <v>0.4</v>
      </c>
      <c r="T10" s="47">
        <f>IFERROR(__xludf.DUMMYFUNCTION("""COMPUTED_VALUE"""),42.78350515463919)</f>
        <v>42.78350515</v>
      </c>
      <c r="U10" s="47">
        <f>IFERROR(__xludf.DUMMYFUNCTION("""COMPUTED_VALUE"""),85.71428571428571)</f>
        <v>85.71428571</v>
      </c>
      <c r="V10" s="47">
        <f>IFERROR(__xludf.DUMMYFUNCTION("""COMPUTED_VALUE"""),3.6)</f>
        <v>3.6</v>
      </c>
      <c r="W10" s="46">
        <f>IFERROR(__xludf.DUMMYFUNCTION("""COMPUTED_VALUE"""),1.0353137091148663)</f>
        <v>1.035313709</v>
      </c>
      <c r="X10" s="46">
        <f>IFERROR(__xludf.DUMMYFUNCTION("""COMPUTED_VALUE"""),1.7822387001299258)</f>
        <v>1.7822387</v>
      </c>
      <c r="Y10" s="46">
        <f>IFERROR(__xludf.DUMMYFUNCTION("""COMPUTED_VALUE"""),0.3782897126303679)</f>
        <v>0.3782897126</v>
      </c>
      <c r="Z10" s="46">
        <f>IFERROR(__xludf.DUMMYFUNCTION("""COMPUTED_VALUE"""),2.4256770219275845)</f>
        <v>2.425677022</v>
      </c>
      <c r="AA10" s="46">
        <f>IFERROR(__xludf.DUMMYFUNCTION("""COMPUTED_VALUE"""),1.319928732839717)</f>
        <v>1.319928733</v>
      </c>
      <c r="AB10" s="46">
        <f>IFERROR(__xludf.DUMMYFUNCTION("""COMPUTED_VALUE"""),-0.39569839687757064)</f>
        <v>-0.3956983969</v>
      </c>
      <c r="AC10" s="46">
        <f>IFERROR(__xludf.DUMMYFUNCTION("""COMPUTED_VALUE"""),-1.3205973735909926)</f>
        <v>-1.320597374</v>
      </c>
      <c r="AD10" s="46">
        <f>IFERROR(__xludf.DUMMYFUNCTION("""COMPUTED_VALUE"""),0.5867566384673297)</f>
        <v>0.5867566385</v>
      </c>
      <c r="AE10" s="46">
        <f>IFERROR(__xludf.DUMMYFUNCTION("""COMPUTED_VALUE"""),-0.49839587488446435)</f>
        <v>-0.4983958749</v>
      </c>
      <c r="AH10" s="53"/>
      <c r="AI10" s="53"/>
      <c r="AJ10" s="53"/>
      <c r="AK10" s="53"/>
      <c r="AL10" s="54"/>
      <c r="AM10" s="53"/>
      <c r="AN10" s="53"/>
      <c r="AO10" s="53"/>
      <c r="AP10" s="53"/>
    </row>
    <row r="11">
      <c r="A11" s="6" t="str">
        <f>IF(VLOOKUP(H11,'Paste #BBall'!$B$2:$N1001,3,)="BRO","BKN",IF(VLOOKUP(H11,'Paste #BBall'!$B$2:$N1001,3,)="OKL","OKC",VLOOKUP(H11,'Paste #BBall'!$B$2:$N1001,3,)))</f>
        <v>BOS</v>
      </c>
      <c r="B11" s="42">
        <f>VLOOKUP($A11,Schedule!$C$2:$G$31,2,0)</f>
        <v>3</v>
      </c>
      <c r="C11" s="42">
        <f>VLOOKUP($A11,Schedule!$C$2:$G$31,3,0)</f>
        <v>4</v>
      </c>
      <c r="D11" s="42">
        <f>VLOOKUP($A11,Schedule!$C$2:$G$31,4,0)</f>
        <v>4</v>
      </c>
      <c r="E11" s="42">
        <f t="shared" si="1"/>
        <v>11</v>
      </c>
      <c r="F11" s="51">
        <v>6.0</v>
      </c>
      <c r="G11" s="45">
        <f>IFERROR(__xludf.DUMMYFUNCTION("""COMPUTED_VALUE"""),6.0)</f>
        <v>6</v>
      </c>
      <c r="H11" s="45" t="str">
        <f>IFERROR(__xludf.DUMMYFUNCTION("""COMPUTED_VALUE"""),"Jayson Tatum")</f>
        <v>Jayson Tatum</v>
      </c>
      <c r="I11" s="45">
        <f>IFERROR(__xludf.DUMMYFUNCTION("""COMPUTED_VALUE"""),75.0)</f>
        <v>75</v>
      </c>
      <c r="J11" s="46" t="str">
        <f>IFERROR(__xludf.DUMMYFUNCTION("""COMPUTED_VALUE"""),"SF,PF")</f>
        <v>SF,PF</v>
      </c>
      <c r="K11" s="46">
        <f>IFERROR(__xludf.DUMMYFUNCTION("""COMPUTED_VALUE"""),6.237419142116777)</f>
        <v>6.237419142</v>
      </c>
      <c r="L11" s="46">
        <f>IFERROR(__xludf.DUMMYFUNCTION("""COMPUTED_VALUE"""),6.073044076011835)</f>
        <v>6.073044076</v>
      </c>
      <c r="M11" s="47">
        <f>IFERROR(__xludf.DUMMYFUNCTION("""COMPUTED_VALUE"""),-0.16437506610494168)</f>
        <v>-0.1643750661</v>
      </c>
      <c r="N11" s="47">
        <f>IFERROR(__xludf.DUMMYFUNCTION("""COMPUTED_VALUE"""),29.5)</f>
        <v>29.5</v>
      </c>
      <c r="O11" s="47">
        <f>IFERROR(__xludf.DUMMYFUNCTION("""COMPUTED_VALUE"""),3.3)</f>
        <v>3.3</v>
      </c>
      <c r="P11" s="47">
        <f>IFERROR(__xludf.DUMMYFUNCTION("""COMPUTED_VALUE"""),8.2)</f>
        <v>8.2</v>
      </c>
      <c r="Q11" s="48">
        <f>IFERROR(__xludf.DUMMYFUNCTION("""COMPUTED_VALUE"""),4.8)</f>
        <v>4.8</v>
      </c>
      <c r="R11" s="47">
        <f>IFERROR(__xludf.DUMMYFUNCTION("""COMPUTED_VALUE"""),1.1)</f>
        <v>1.1</v>
      </c>
      <c r="S11" s="47">
        <f>IFERROR(__xludf.DUMMYFUNCTION("""COMPUTED_VALUE"""),0.7)</f>
        <v>0.7</v>
      </c>
      <c r="T11" s="47">
        <f>IFERROR(__xludf.DUMMYFUNCTION("""COMPUTED_VALUE"""),46.666666666666664)</f>
        <v>46.66666667</v>
      </c>
      <c r="U11" s="47">
        <f>IFERROR(__xludf.DUMMYFUNCTION("""COMPUTED_VALUE"""),85.71428571428571)</f>
        <v>85.71428571</v>
      </c>
      <c r="V11" s="47">
        <f>IFERROR(__xludf.DUMMYFUNCTION("""COMPUTED_VALUE"""),3.0)</f>
        <v>3</v>
      </c>
      <c r="W11" s="46">
        <f>IFERROR(__xludf.DUMMYFUNCTION("""COMPUTED_VALUE"""),2.0633246085615333)</f>
        <v>2.063324609</v>
      </c>
      <c r="X11" s="46">
        <f>IFERROR(__xludf.DUMMYFUNCTION("""COMPUTED_VALUE"""),1.435387185346288)</f>
        <v>1.435387185</v>
      </c>
      <c r="Y11" s="46">
        <f>IFERROR(__xludf.DUMMYFUNCTION("""COMPUTED_VALUE"""),0.8800741509020418)</f>
        <v>0.8800741509</v>
      </c>
      <c r="Z11" s="46">
        <f>IFERROR(__xludf.DUMMYFUNCTION("""COMPUTED_VALUE"""),0.4875835224900693)</f>
        <v>0.4875835225</v>
      </c>
      <c r="AA11" s="46">
        <f>IFERROR(__xludf.DUMMYFUNCTION("""COMPUTED_VALUE"""),0.22967922884215308)</f>
        <v>0.2296792288</v>
      </c>
      <c r="AB11" s="46">
        <f>IFERROR(__xludf.DUMMYFUNCTION("""COMPUTED_VALUE"""),-0.0017508778622903794)</f>
        <v>-0.001750877862</v>
      </c>
      <c r="AC11" s="46">
        <f>IFERROR(__xludf.DUMMYFUNCTION("""COMPUTED_VALUE"""),-0.6149742310855772)</f>
        <v>-0.6149742311</v>
      </c>
      <c r="AD11" s="46">
        <f>IFERROR(__xludf.DUMMYFUNCTION("""COMPUTED_VALUE"""),1.2908646046281254)</f>
        <v>1.290864605</v>
      </c>
      <c r="AE11" s="46">
        <f>IFERROR(__xludf.DUMMYFUNCTION("""COMPUTED_VALUE"""),-0.31211834689608486)</f>
        <v>-0.3121183469</v>
      </c>
      <c r="AH11" s="53"/>
      <c r="AI11" s="53"/>
      <c r="AJ11" s="53"/>
      <c r="AK11" s="53"/>
      <c r="AL11" s="54"/>
      <c r="AM11" s="53"/>
      <c r="AN11" s="53"/>
      <c r="AO11" s="53"/>
      <c r="AP11" s="53"/>
    </row>
    <row r="12">
      <c r="A12" s="6" t="str">
        <f>IF(VLOOKUP(H12,'Paste #BBall'!$B$2:$N1001,3,)="BRO","BKN",IF(VLOOKUP(H12,'Paste #BBall'!$B$2:$N1001,3,)="OKL","OKC",VLOOKUP(H12,'Paste #BBall'!$B$2:$N1001,3,)))</f>
        <v>OKC</v>
      </c>
      <c r="B12" s="42">
        <f>VLOOKUP($A12,Schedule!$C$2:$G$31,2,0)</f>
        <v>4</v>
      </c>
      <c r="C12" s="42">
        <f>VLOOKUP($A12,Schedule!$C$2:$G$31,3,0)</f>
        <v>3</v>
      </c>
      <c r="D12" s="42">
        <f>VLOOKUP($A12,Schedule!$C$2:$G$31,4,0)</f>
        <v>3</v>
      </c>
      <c r="E12" s="42">
        <f t="shared" si="1"/>
        <v>10</v>
      </c>
      <c r="F12" s="43">
        <v>7.0</v>
      </c>
      <c r="G12" s="45">
        <f>IFERROR(__xludf.DUMMYFUNCTION("""COMPUTED_VALUE"""),4.0)</f>
        <v>4</v>
      </c>
      <c r="H12" s="45" t="str">
        <f>IFERROR(__xludf.DUMMYFUNCTION("""COMPUTED_VALUE"""),"Shai Gilgeous-Alexander")</f>
        <v>Shai Gilgeous-Alexander</v>
      </c>
      <c r="I12" s="45">
        <f>IFERROR(__xludf.DUMMYFUNCTION("""COMPUTED_VALUE"""),67.0)</f>
        <v>67</v>
      </c>
      <c r="J12" s="46" t="str">
        <f>IFERROR(__xludf.DUMMYFUNCTION("""COMPUTED_VALUE"""),"PG,SG")</f>
        <v>PG,SG</v>
      </c>
      <c r="K12" s="46">
        <f>IFERROR(__xludf.DUMMYFUNCTION("""COMPUTED_VALUE"""),6.586598644459562)</f>
        <v>6.586598644</v>
      </c>
      <c r="L12" s="46">
        <f>IFERROR(__xludf.DUMMYFUNCTION("""COMPUTED_VALUE"""),5.834728981810113)</f>
        <v>5.834728982</v>
      </c>
      <c r="M12" s="47">
        <f>IFERROR(__xludf.DUMMYFUNCTION("""COMPUTED_VALUE"""),-0.7518696626494483)</f>
        <v>-0.7518696626</v>
      </c>
      <c r="N12" s="47">
        <f>IFERROR(__xludf.DUMMYFUNCTION("""COMPUTED_VALUE"""),29.6)</f>
        <v>29.6</v>
      </c>
      <c r="O12" s="47">
        <f>IFERROR(__xludf.DUMMYFUNCTION("""COMPUTED_VALUE"""),1.0)</f>
        <v>1</v>
      </c>
      <c r="P12" s="47">
        <f>IFERROR(__xludf.DUMMYFUNCTION("""COMPUTED_VALUE"""),5.0)</f>
        <v>5</v>
      </c>
      <c r="Q12" s="48">
        <f>IFERROR(__xludf.DUMMYFUNCTION("""COMPUTED_VALUE"""),5.6)</f>
        <v>5.6</v>
      </c>
      <c r="R12" s="47">
        <f>IFERROR(__xludf.DUMMYFUNCTION("""COMPUTED_VALUE"""),1.5)</f>
        <v>1.5</v>
      </c>
      <c r="S12" s="47">
        <f>IFERROR(__xludf.DUMMYFUNCTION("""COMPUTED_VALUE"""),0.9)</f>
        <v>0.9</v>
      </c>
      <c r="T12" s="47">
        <f>IFERROR(__xludf.DUMMYFUNCTION("""COMPUTED_VALUE"""),48.5)</f>
        <v>48.5</v>
      </c>
      <c r="U12" s="47">
        <f>IFERROR(__xludf.DUMMYFUNCTION("""COMPUTED_VALUE"""),88.46153846153845)</f>
        <v>88.46153846</v>
      </c>
      <c r="V12" s="47">
        <f>IFERROR(__xludf.DUMMYFUNCTION("""COMPUTED_VALUE"""),2.9)</f>
        <v>2.9</v>
      </c>
      <c r="W12" s="46">
        <f>IFERROR(__xludf.DUMMYFUNCTION("""COMPUTED_VALUE"""),2.08017724625738)</f>
        <v>2.080177246</v>
      </c>
      <c r="X12" s="46">
        <f>IFERROR(__xludf.DUMMYFUNCTION("""COMPUTED_VALUE"""),-0.5590090246596284)</f>
        <v>-0.5590090247</v>
      </c>
      <c r="Y12" s="46">
        <f>IFERROR(__xludf.DUMMYFUNCTION("""COMPUTED_VALUE"""),-0.45801768448908886)</f>
        <v>-0.4580176845</v>
      </c>
      <c r="Z12" s="46">
        <f>IFERROR(__xludf.DUMMYFUNCTION("""COMPUTED_VALUE"""),0.8956032065821777)</f>
        <v>0.8956032066</v>
      </c>
      <c r="AA12" s="46">
        <f>IFERROR(__xludf.DUMMYFUNCTION("""COMPUTED_VALUE"""),1.101878832040204)</f>
        <v>1.101878832</v>
      </c>
      <c r="AB12" s="46">
        <f>IFERROR(__xludf.DUMMYFUNCTION("""COMPUTED_VALUE"""),0.2608808014812299)</f>
        <v>0.2608808015</v>
      </c>
      <c r="AC12" s="46">
        <f>IFERROR(__xludf.DUMMYFUNCTION("""COMPUTED_VALUE"""),-0.21943923317493375)</f>
        <v>-0.2194392332</v>
      </c>
      <c r="AD12" s="46">
        <f>IFERROR(__xludf.DUMMYFUNCTION("""COMPUTED_VALUE"""),2.4547179053444985)</f>
        <v>2.454717905</v>
      </c>
      <c r="AE12" s="46">
        <f>IFERROR(__xludf.DUMMYFUNCTION("""COMPUTED_VALUE"""),-0.28107209223135493)</f>
        <v>-0.2810720922</v>
      </c>
      <c r="AH12" s="53"/>
      <c r="AI12" s="53"/>
      <c r="AJ12" s="53"/>
      <c r="AK12" s="53"/>
      <c r="AL12" s="53"/>
      <c r="AM12" s="53"/>
      <c r="AN12" s="53"/>
      <c r="AO12" s="53"/>
      <c r="AP12" s="53"/>
    </row>
    <row r="13">
      <c r="A13" s="6" t="str">
        <f>IF(VLOOKUP(H13,'Paste #BBall'!$B$2:$N1001,3,)="BRO","BKN",IF(VLOOKUP(H13,'Paste #BBall'!$B$2:$N1001,3,)="OKL","OKC",VLOOKUP(H13,'Paste #BBall'!$B$2:$N1001,3,)))</f>
        <v>MIL</v>
      </c>
      <c r="B13" s="42">
        <f>VLOOKUP($A13,Schedule!$C$2:$G$31,2,0)</f>
        <v>4</v>
      </c>
      <c r="C13" s="42">
        <f>VLOOKUP($A13,Schedule!$C$2:$G$31,3,0)</f>
        <v>3</v>
      </c>
      <c r="D13" s="42">
        <f>VLOOKUP($A13,Schedule!$C$2:$G$31,4,0)</f>
        <v>3</v>
      </c>
      <c r="E13" s="42">
        <f t="shared" si="1"/>
        <v>10</v>
      </c>
      <c r="F13" s="51">
        <v>8.0</v>
      </c>
      <c r="G13" s="45">
        <f>IFERROR(__xludf.DUMMYFUNCTION("""COMPUTED_VALUE"""),29.0)</f>
        <v>29</v>
      </c>
      <c r="H13" s="45" t="str">
        <f>IFERROR(__xludf.DUMMYFUNCTION("""COMPUTED_VALUE"""),"Giannis Antetokounmpo")</f>
        <v>Giannis Antetokounmpo</v>
      </c>
      <c r="I13" s="45">
        <f>IFERROR(__xludf.DUMMYFUNCTION("""COMPUTED_VALUE"""),65.0)</f>
        <v>65</v>
      </c>
      <c r="J13" s="46" t="str">
        <f>IFERROR(__xludf.DUMMYFUNCTION("""COMPUTED_VALUE"""),"PF,C")</f>
        <v>PF,C</v>
      </c>
      <c r="K13" s="46">
        <f>IFERROR(__xludf.DUMMYFUNCTION("""COMPUTED_VALUE"""),2.440947221287024)</f>
        <v>2.440947221</v>
      </c>
      <c r="L13" s="46">
        <f>IFERROR(__xludf.DUMMYFUNCTION("""COMPUTED_VALUE"""),5.804536560306708)</f>
        <v>5.80453656</v>
      </c>
      <c r="M13" s="47">
        <f>IFERROR(__xludf.DUMMYFUNCTION("""COMPUTED_VALUE"""),3.3635893390196845)</f>
        <v>3.363589339</v>
      </c>
      <c r="N13" s="47">
        <f>IFERROR(__xludf.DUMMYFUNCTION("""COMPUTED_VALUE"""),28.3)</f>
        <v>28.3</v>
      </c>
      <c r="O13" s="47">
        <f>IFERROR(__xludf.DUMMYFUNCTION("""COMPUTED_VALUE"""),0.9)</f>
        <v>0.9</v>
      </c>
      <c r="P13" s="47">
        <f>IFERROR(__xludf.DUMMYFUNCTION("""COMPUTED_VALUE"""),11.6)</f>
        <v>11.6</v>
      </c>
      <c r="Q13" s="48">
        <f>IFERROR(__xludf.DUMMYFUNCTION("""COMPUTED_VALUE"""),5.7)</f>
        <v>5.7</v>
      </c>
      <c r="R13" s="47">
        <f>IFERROR(__xludf.DUMMYFUNCTION("""COMPUTED_VALUE"""),1.1)</f>
        <v>1.1</v>
      </c>
      <c r="S13" s="47">
        <f>IFERROR(__xludf.DUMMYFUNCTION("""COMPUTED_VALUE"""),1.0)</f>
        <v>1</v>
      </c>
      <c r="T13" s="47">
        <f>IFERROR(__xludf.DUMMYFUNCTION("""COMPUTED_VALUE"""),56.7251461988304)</f>
        <v>56.7251462</v>
      </c>
      <c r="U13" s="47">
        <f>IFERROR(__xludf.DUMMYFUNCTION("""COMPUTED_VALUE"""),67.79661016949152)</f>
        <v>67.79661017</v>
      </c>
      <c r="V13" s="47">
        <f>IFERROR(__xludf.DUMMYFUNCTION("""COMPUTED_VALUE"""),3.6)</f>
        <v>3.6</v>
      </c>
      <c r="W13" s="46">
        <f>IFERROR(__xludf.DUMMYFUNCTION("""COMPUTED_VALUE"""),1.8610929562113694)</f>
        <v>1.861092956</v>
      </c>
      <c r="X13" s="46">
        <f>IFERROR(__xludf.DUMMYFUNCTION("""COMPUTED_VALUE"""),-0.6457219033555379)</f>
        <v>-0.6457219034</v>
      </c>
      <c r="Y13" s="46">
        <f>IFERROR(__xludf.DUMMYFUNCTION("""COMPUTED_VALUE"""),2.3017967260051186)</f>
        <v>2.301796726</v>
      </c>
      <c r="Z13" s="46">
        <f>IFERROR(__xludf.DUMMYFUNCTION("""COMPUTED_VALUE"""),0.9466056670936915)</f>
        <v>0.9466056671</v>
      </c>
      <c r="AA13" s="46">
        <f>IFERROR(__xludf.DUMMYFUNCTION("""COMPUTED_VALUE"""),0.22967922884215308)</f>
        <v>0.2296792288</v>
      </c>
      <c r="AB13" s="46">
        <f>IFERROR(__xludf.DUMMYFUNCTION("""COMPUTED_VALUE"""),0.39219664115299)</f>
        <v>0.3921966412</v>
      </c>
      <c r="AC13" s="46">
        <f>IFERROR(__xludf.DUMMYFUNCTION("""COMPUTED_VALUE"""),1.2172831192413873)</f>
        <v>1.217283119</v>
      </c>
      <c r="AD13" s="46">
        <f>IFERROR(__xludf.DUMMYFUNCTION("""COMPUTED_VALUE"""),-3.2847641480178242)</f>
        <v>-3.284764148</v>
      </c>
      <c r="AE13" s="46">
        <f>IFERROR(__xludf.DUMMYFUNCTION("""COMPUTED_VALUE"""),-0.49839587488446435)</f>
        <v>-0.4983958749</v>
      </c>
      <c r="AL13" s="55"/>
    </row>
    <row r="14">
      <c r="A14" s="6" t="str">
        <f>IF(VLOOKUP(H14,'Paste #BBall'!$B$2:$N1001,3,)="BRO","BKN",IF(VLOOKUP(H14,'Paste #BBall'!$B$2:$N1001,3,)="OKL","OKC",VLOOKUP(H14,'Paste #BBall'!$B$2:$N1001,3,)))</f>
        <v>MIL</v>
      </c>
      <c r="B14" s="42">
        <f>VLOOKUP($A14,Schedule!$C$2:$G$31,2,0)</f>
        <v>4</v>
      </c>
      <c r="C14" s="42">
        <f>VLOOKUP($A14,Schedule!$C$2:$G$31,3,0)</f>
        <v>3</v>
      </c>
      <c r="D14" s="42">
        <f>VLOOKUP($A14,Schedule!$C$2:$G$31,4,0)</f>
        <v>3</v>
      </c>
      <c r="E14" s="42">
        <f t="shared" si="1"/>
        <v>10</v>
      </c>
      <c r="F14" s="43">
        <v>9.0</v>
      </c>
      <c r="G14" s="45">
        <f>IFERROR(__xludf.DUMMYFUNCTION("""COMPUTED_VALUE"""),9.0)</f>
        <v>9</v>
      </c>
      <c r="H14" s="45" t="str">
        <f>IFERROR(__xludf.DUMMYFUNCTION("""COMPUTED_VALUE"""),"Damian Lillard")</f>
        <v>Damian Lillard</v>
      </c>
      <c r="I14" s="45">
        <f>IFERROR(__xludf.DUMMYFUNCTION("""COMPUTED_VALUE"""),67.0)</f>
        <v>67</v>
      </c>
      <c r="J14" s="46" t="str">
        <f>IFERROR(__xludf.DUMMYFUNCTION("""COMPUTED_VALUE"""),"PG")</f>
        <v>PG</v>
      </c>
      <c r="K14" s="46">
        <f>IFERROR(__xludf.DUMMYFUNCTION("""COMPUTED_VALUE"""),5.471375355219976)</f>
        <v>5.471375355</v>
      </c>
      <c r="L14" s="46">
        <f>IFERROR(__xludf.DUMMYFUNCTION("""COMPUTED_VALUE"""),5.737778982304781)</f>
        <v>5.737778982</v>
      </c>
      <c r="M14" s="47">
        <f>IFERROR(__xludf.DUMMYFUNCTION("""COMPUTED_VALUE"""),0.2664036270848049)</f>
        <v>0.2664036271</v>
      </c>
      <c r="N14" s="47">
        <f>IFERROR(__xludf.DUMMYFUNCTION("""COMPUTED_VALUE"""),27.2)</f>
        <v>27.2</v>
      </c>
      <c r="O14" s="47">
        <f>IFERROR(__xludf.DUMMYFUNCTION("""COMPUTED_VALUE"""),3.8)</f>
        <v>3.8</v>
      </c>
      <c r="P14" s="47">
        <f>IFERROR(__xludf.DUMMYFUNCTION("""COMPUTED_VALUE"""),4.0)</f>
        <v>4</v>
      </c>
      <c r="Q14" s="48">
        <f>IFERROR(__xludf.DUMMYFUNCTION("""COMPUTED_VALUE"""),6.9)</f>
        <v>6.9</v>
      </c>
      <c r="R14" s="47">
        <f>IFERROR(__xludf.DUMMYFUNCTION("""COMPUTED_VALUE"""),0.9)</f>
        <v>0.9</v>
      </c>
      <c r="S14" s="47">
        <f>IFERROR(__xludf.DUMMYFUNCTION("""COMPUTED_VALUE"""),0.3)</f>
        <v>0.3</v>
      </c>
      <c r="T14" s="47">
        <f>IFERROR(__xludf.DUMMYFUNCTION("""COMPUTED_VALUE"""),46.067415730337075)</f>
        <v>46.06741573</v>
      </c>
      <c r="U14" s="47">
        <f>IFERROR(__xludf.DUMMYFUNCTION("""COMPUTED_VALUE"""),91.02564102564102)</f>
        <v>91.02564103</v>
      </c>
      <c r="V14" s="47">
        <f>IFERROR(__xludf.DUMMYFUNCTION("""COMPUTED_VALUE"""),3.1)</f>
        <v>3.1</v>
      </c>
      <c r="W14" s="46">
        <f>IFERROR(__xludf.DUMMYFUNCTION("""COMPUTED_VALUE"""),1.6757139415570521)</f>
        <v>1.675713942</v>
      </c>
      <c r="X14" s="46">
        <f>IFERROR(__xludf.DUMMYFUNCTION("""COMPUTED_VALUE"""),1.868951578825835)</f>
        <v>1.868951579</v>
      </c>
      <c r="Y14" s="46">
        <f>IFERROR(__xludf.DUMMYFUNCTION("""COMPUTED_VALUE"""),-0.8761713830488173)</f>
        <v>-0.876171383</v>
      </c>
      <c r="Z14" s="46">
        <f>IFERROR(__xludf.DUMMYFUNCTION("""COMPUTED_VALUE"""),1.5586351932318547)</f>
        <v>1.558635193</v>
      </c>
      <c r="AA14" s="46">
        <f>IFERROR(__xludf.DUMMYFUNCTION("""COMPUTED_VALUE"""),-0.2064205727568726)</f>
        <v>-0.2064205728</v>
      </c>
      <c r="AB14" s="46">
        <f>IFERROR(__xludf.DUMMYFUNCTION("""COMPUTED_VALUE"""),-0.5270142365493308)</f>
        <v>-0.5270142365</v>
      </c>
      <c r="AC14" s="46">
        <f>IFERROR(__xludf.DUMMYFUNCTION("""COMPUTED_VALUE"""),-0.6278094751804226)</f>
        <v>-0.6278094752</v>
      </c>
      <c r="AD14" s="46">
        <f>IFERROR(__xludf.DUMMYFUNCTION("""COMPUTED_VALUE"""),2.3388871547374808)</f>
        <v>2.338887155</v>
      </c>
      <c r="AE14" s="46">
        <f>IFERROR(__xludf.DUMMYFUNCTION("""COMPUTED_VALUE"""),-0.3431646015608148)</f>
        <v>-0.3431646016</v>
      </c>
    </row>
    <row r="15">
      <c r="A15" s="6" t="str">
        <f>IF(VLOOKUP(H15,'Paste #BBall'!$B$2:$N1001,3,)="BRO","BKN",IF(VLOOKUP(H15,'Paste #BBall'!$B$2:$N1001,3,)="OKL","OKC",VLOOKUP(H15,'Paste #BBall'!$B$2:$N1001,3,)))</f>
        <v>GS</v>
      </c>
      <c r="B15" s="42">
        <f>VLOOKUP($A15,Schedule!$C$2:$G$31,2,0)</f>
        <v>3</v>
      </c>
      <c r="C15" s="42">
        <f>VLOOKUP($A15,Schedule!$C$2:$G$31,3,0)</f>
        <v>3</v>
      </c>
      <c r="D15" s="42">
        <f>VLOOKUP($A15,Schedule!$C$2:$G$31,4,0)</f>
        <v>4</v>
      </c>
      <c r="E15" s="42">
        <f t="shared" si="1"/>
        <v>10</v>
      </c>
      <c r="F15" s="51">
        <v>10.0</v>
      </c>
      <c r="G15" s="45">
        <f>IFERROR(__xludf.DUMMYFUNCTION("""COMPUTED_VALUE"""),8.0)</f>
        <v>8</v>
      </c>
      <c r="H15" s="45" t="str">
        <f>IFERROR(__xludf.DUMMYFUNCTION("""COMPUTED_VALUE"""),"Stephen Curry")</f>
        <v>Stephen Curry</v>
      </c>
      <c r="I15" s="45">
        <f>IFERROR(__xludf.DUMMYFUNCTION("""COMPUTED_VALUE"""),65.0)</f>
        <v>65</v>
      </c>
      <c r="J15" s="46" t="str">
        <f>IFERROR(__xludf.DUMMYFUNCTION("""COMPUTED_VALUE"""),"PG")</f>
        <v>PG</v>
      </c>
      <c r="K15" s="46">
        <f>IFERROR(__xludf.DUMMYFUNCTION("""COMPUTED_VALUE"""),5.8071797150291085)</f>
        <v>5.807179715</v>
      </c>
      <c r="L15" s="46">
        <f>IFERROR(__xludf.DUMMYFUNCTION("""COMPUTED_VALUE"""),5.6849205284665425)</f>
        <v>5.684920528</v>
      </c>
      <c r="M15" s="47">
        <f>IFERROR(__xludf.DUMMYFUNCTION("""COMPUTED_VALUE"""),-0.12225918656256596)</f>
        <v>-0.1222591866</v>
      </c>
      <c r="N15" s="47">
        <f>IFERROR(__xludf.DUMMYFUNCTION("""COMPUTED_VALUE"""),28.0)</f>
        <v>28</v>
      </c>
      <c r="O15" s="47">
        <f>IFERROR(__xludf.DUMMYFUNCTION("""COMPUTED_VALUE"""),4.7)</f>
        <v>4.7</v>
      </c>
      <c r="P15" s="47">
        <f>IFERROR(__xludf.DUMMYFUNCTION("""COMPUTED_VALUE"""),5.6)</f>
        <v>5.6</v>
      </c>
      <c r="Q15" s="48">
        <f>IFERROR(__xludf.DUMMYFUNCTION("""COMPUTED_VALUE"""),5.6)</f>
        <v>5.6</v>
      </c>
      <c r="R15" s="47">
        <f>IFERROR(__xludf.DUMMYFUNCTION("""COMPUTED_VALUE"""),0.9)</f>
        <v>0.9</v>
      </c>
      <c r="S15" s="47">
        <f>IFERROR(__xludf.DUMMYFUNCTION("""COMPUTED_VALUE"""),0.3)</f>
        <v>0.3</v>
      </c>
      <c r="T15" s="47">
        <f>IFERROR(__xludf.DUMMYFUNCTION("""COMPUTED_VALUE"""),47.474747474747474)</f>
        <v>47.47474747</v>
      </c>
      <c r="U15" s="47">
        <f>IFERROR(__xludf.DUMMYFUNCTION("""COMPUTED_VALUE"""),91.83673469387755)</f>
        <v>91.83673469</v>
      </c>
      <c r="V15" s="47">
        <f>IFERROR(__xludf.DUMMYFUNCTION("""COMPUTED_VALUE"""),3.3)</f>
        <v>3.3</v>
      </c>
      <c r="W15" s="46">
        <f>IFERROR(__xludf.DUMMYFUNCTION("""COMPUTED_VALUE"""),1.8105350431238283)</f>
        <v>1.810535043</v>
      </c>
      <c r="X15" s="46">
        <f>IFERROR(__xludf.DUMMYFUNCTION("""COMPUTED_VALUE"""),2.64936748708902)</f>
        <v>2.649367487</v>
      </c>
      <c r="Y15" s="46">
        <f>IFERROR(__xludf.DUMMYFUNCTION("""COMPUTED_VALUE"""),-0.207125465353252)</f>
        <v>-0.2071254654</v>
      </c>
      <c r="Z15" s="46">
        <f>IFERROR(__xludf.DUMMYFUNCTION("""COMPUTED_VALUE"""),0.8956032065821777)</f>
        <v>0.8956032066</v>
      </c>
      <c r="AA15" s="46">
        <f>IFERROR(__xludf.DUMMYFUNCTION("""COMPUTED_VALUE"""),-0.2064205727568726)</f>
        <v>-0.2064205728</v>
      </c>
      <c r="AB15" s="46">
        <f>IFERROR(__xludf.DUMMYFUNCTION("""COMPUTED_VALUE"""),-0.5270142365493308)</f>
        <v>-0.5270142365</v>
      </c>
      <c r="AC15" s="46">
        <f>IFERROR(__xludf.DUMMYFUNCTION("""COMPUTED_VALUE"""),-0.4200144417760026)</f>
        <v>-0.4200144418</v>
      </c>
      <c r="AD15" s="46">
        <f>IFERROR(__xludf.DUMMYFUNCTION("""COMPUTED_VALUE"""),1.5682323824479183)</f>
        <v>1.568232382</v>
      </c>
      <c r="AE15" s="46">
        <f>IFERROR(__xludf.DUMMYFUNCTION("""COMPUTED_VALUE"""),-0.40525711089027455)</f>
        <v>-0.4052571109</v>
      </c>
      <c r="AQ15" s="56"/>
    </row>
    <row r="16">
      <c r="A16" s="6" t="str">
        <f>IF(VLOOKUP(H16,'Paste #BBall'!$B$2:$N1001,3,)="BRO","BKN",IF(VLOOKUP(H16,'Paste #BBall'!$B$2:$N1001,3,)="OKL","OKC",VLOOKUP(H16,'Paste #BBall'!$B$2:$N1001,3,)))</f>
        <v>DAL</v>
      </c>
      <c r="B16" s="42">
        <f>VLOOKUP($A16,Schedule!$C$2:$G$31,2,0)</f>
        <v>3</v>
      </c>
      <c r="C16" s="42">
        <f>VLOOKUP($A16,Schedule!$C$2:$G$31,3,0)</f>
        <v>4</v>
      </c>
      <c r="D16" s="42">
        <f>VLOOKUP($A16,Schedule!$C$2:$G$31,4,0)</f>
        <v>2</v>
      </c>
      <c r="E16" s="42">
        <f t="shared" si="1"/>
        <v>9</v>
      </c>
      <c r="F16" s="51">
        <v>11.0</v>
      </c>
      <c r="G16" s="45">
        <f>IFERROR(__xludf.DUMMYFUNCTION("""COMPUTED_VALUE"""),10.0)</f>
        <v>10</v>
      </c>
      <c r="H16" s="45" t="str">
        <f>IFERROR(__xludf.DUMMYFUNCTION("""COMPUTED_VALUE"""),"Kyrie Irving")</f>
        <v>Kyrie Irving</v>
      </c>
      <c r="I16" s="45">
        <f>IFERROR(__xludf.DUMMYFUNCTION("""COMPUTED_VALUE"""),62.0)</f>
        <v>62</v>
      </c>
      <c r="J16" s="46" t="str">
        <f>IFERROR(__xludf.DUMMYFUNCTION("""COMPUTED_VALUE"""),"PG,SG")</f>
        <v>PG,SG</v>
      </c>
      <c r="K16" s="46">
        <f>IFERROR(__xludf.DUMMYFUNCTION("""COMPUTED_VALUE"""),5.39863539570384)</f>
        <v>5.398635396</v>
      </c>
      <c r="L16" s="46">
        <f>IFERROR(__xludf.DUMMYFUNCTION("""COMPUTED_VALUE"""),5.304467756856497)</f>
        <v>5.304467757</v>
      </c>
      <c r="M16" s="47">
        <f>IFERROR(__xludf.DUMMYFUNCTION("""COMPUTED_VALUE"""),-0.0941676388473427)</f>
        <v>-0.09416763885</v>
      </c>
      <c r="N16" s="47">
        <f>IFERROR(__xludf.DUMMYFUNCTION("""COMPUTED_VALUE"""),26.7)</f>
        <v>26.7</v>
      </c>
      <c r="O16" s="47">
        <f>IFERROR(__xludf.DUMMYFUNCTION("""COMPUTED_VALUE"""),3.2)</f>
        <v>3.2</v>
      </c>
      <c r="P16" s="47">
        <f>IFERROR(__xludf.DUMMYFUNCTION("""COMPUTED_VALUE"""),4.8)</f>
        <v>4.8</v>
      </c>
      <c r="Q16" s="48">
        <f>IFERROR(__xludf.DUMMYFUNCTION("""COMPUTED_VALUE"""),5.5)</f>
        <v>5.5</v>
      </c>
      <c r="R16" s="47">
        <f>IFERROR(__xludf.DUMMYFUNCTION("""COMPUTED_VALUE"""),1.2)</f>
        <v>1.2</v>
      </c>
      <c r="S16" s="47">
        <f>IFERROR(__xludf.DUMMYFUNCTION("""COMPUTED_VALUE"""),0.7)</f>
        <v>0.7</v>
      </c>
      <c r="T16" s="47">
        <f>IFERROR(__xludf.DUMMYFUNCTION("""COMPUTED_VALUE"""),48.756218905472636)</f>
        <v>48.75621891</v>
      </c>
      <c r="U16" s="47">
        <f>IFERROR(__xludf.DUMMYFUNCTION("""COMPUTED_VALUE"""),90.9090909090909)</f>
        <v>90.90909091</v>
      </c>
      <c r="V16" s="47">
        <f>IFERROR(__xludf.DUMMYFUNCTION("""COMPUTED_VALUE"""),2.2)</f>
        <v>2.2</v>
      </c>
      <c r="W16" s="46">
        <f>IFERROR(__xludf.DUMMYFUNCTION("""COMPUTED_VALUE"""),1.5914507530778172)</f>
        <v>1.591450753</v>
      </c>
      <c r="X16" s="46">
        <f>IFERROR(__xludf.DUMMYFUNCTION("""COMPUTED_VALUE"""),1.3486743066503788)</f>
        <v>1.348674307</v>
      </c>
      <c r="Y16" s="57">
        <f>IFERROR(__xludf.DUMMYFUNCTION("""COMPUTED_VALUE"""),-0.5416484242010347)</f>
        <v>-0.5416484242</v>
      </c>
      <c r="Z16" s="46">
        <f>IFERROR(__xludf.DUMMYFUNCTION("""COMPUTED_VALUE"""),0.8446007460706644)</f>
        <v>0.8446007461</v>
      </c>
      <c r="AA16" s="46">
        <f>IFERROR(__xludf.DUMMYFUNCTION("""COMPUTED_VALUE"""),0.44772912964166556)</f>
        <v>0.4477291296</v>
      </c>
      <c r="AB16" s="46">
        <f>IFERROR(__xludf.DUMMYFUNCTION("""COMPUTED_VALUE"""),-0.0017508778622903794)</f>
        <v>-0.001750877862</v>
      </c>
      <c r="AC16" s="46">
        <f>IFERROR(__xludf.DUMMYFUNCTION("""COMPUTED_VALUE"""),-0.16909488033568423)</f>
        <v>-0.1690948803</v>
      </c>
      <c r="AD16" s="46">
        <f>IFERROR(__xludf.DUMMYFUNCTION("""COMPUTED_VALUE"""),1.3066068891921918)</f>
        <v>1.306606889</v>
      </c>
      <c r="AE16" s="46">
        <f>IFERROR(__xludf.DUMMYFUNCTION("""COMPUTED_VALUE"""),-0.06374830957824563)</f>
        <v>-0.06374830958</v>
      </c>
    </row>
    <row r="17">
      <c r="A17" s="6" t="str">
        <f>IF(VLOOKUP(H17,'Paste #BBall'!$B$2:$N1001,3,)="BRO","BKN",IF(VLOOKUP(H17,'Paste #BBall'!$B$2:$N1001,3,)="OKL","OKC",VLOOKUP(H17,'Paste #BBall'!$B$2:$N1001,3,)))</f>
        <v>LAL</v>
      </c>
      <c r="B17" s="42">
        <f>VLOOKUP($A17,Schedule!$C$2:$G$31,2,0)</f>
        <v>4</v>
      </c>
      <c r="C17" s="42">
        <f>VLOOKUP($A17,Schedule!$C$2:$G$31,3,0)</f>
        <v>2</v>
      </c>
      <c r="D17" s="42">
        <f>VLOOKUP($A17,Schedule!$C$2:$G$31,4,0)</f>
        <v>3</v>
      </c>
      <c r="E17" s="42">
        <f t="shared" si="1"/>
        <v>9</v>
      </c>
      <c r="F17" s="43">
        <v>12.0</v>
      </c>
      <c r="G17" s="45">
        <f>IFERROR(__xludf.DUMMYFUNCTION("""COMPUTED_VALUE"""),12.0)</f>
        <v>12</v>
      </c>
      <c r="H17" s="45" t="str">
        <f>IFERROR(__xludf.DUMMYFUNCTION("""COMPUTED_VALUE"""),"Anthony Davis")</f>
        <v>Anthony Davis</v>
      </c>
      <c r="I17" s="45">
        <f>IFERROR(__xludf.DUMMYFUNCTION("""COMPUTED_VALUE"""),60.0)</f>
        <v>60</v>
      </c>
      <c r="J17" s="46" t="str">
        <f>IFERROR(__xludf.DUMMYFUNCTION("""COMPUTED_VALUE"""),"PF,C")</f>
        <v>PF,C</v>
      </c>
      <c r="K17" s="46">
        <f>IFERROR(__xludf.DUMMYFUNCTION("""COMPUTED_VALUE"""),4.746284103456114)</f>
        <v>4.746284103</v>
      </c>
      <c r="L17" s="46">
        <f>IFERROR(__xludf.DUMMYFUNCTION("""COMPUTED_VALUE"""),5.121027053206726)</f>
        <v>5.121027053</v>
      </c>
      <c r="M17" s="47">
        <f>IFERROR(__xludf.DUMMYFUNCTION("""COMPUTED_VALUE"""),0.37474294975061184)</f>
        <v>0.3747429498</v>
      </c>
      <c r="N17" s="47">
        <f>IFERROR(__xludf.DUMMYFUNCTION("""COMPUTED_VALUE"""),24.3)</f>
        <v>24.3</v>
      </c>
      <c r="O17" s="47">
        <f>IFERROR(__xludf.DUMMYFUNCTION("""COMPUTED_VALUE"""),0.3)</f>
        <v>0.3</v>
      </c>
      <c r="P17" s="47">
        <f>IFERROR(__xludf.DUMMYFUNCTION("""COMPUTED_VALUE"""),11.2)</f>
        <v>11.2</v>
      </c>
      <c r="Q17" s="48">
        <f>IFERROR(__xludf.DUMMYFUNCTION("""COMPUTED_VALUE"""),2.8)</f>
        <v>2.8</v>
      </c>
      <c r="R17" s="47">
        <f>IFERROR(__xludf.DUMMYFUNCTION("""COMPUTED_VALUE"""),1.1)</f>
        <v>1.1</v>
      </c>
      <c r="S17" s="47">
        <f>IFERROR(__xludf.DUMMYFUNCTION("""COMPUTED_VALUE"""),2.1)</f>
        <v>2.1</v>
      </c>
      <c r="T17" s="47">
        <f>IFERROR(__xludf.DUMMYFUNCTION("""COMPUTED_VALUE"""),54.70588235294118)</f>
        <v>54.70588235</v>
      </c>
      <c r="U17" s="47">
        <f>IFERROR(__xludf.DUMMYFUNCTION("""COMPUTED_VALUE"""),75.71428571428571)</f>
        <v>75.71428571</v>
      </c>
      <c r="V17" s="47">
        <f>IFERROR(__xludf.DUMMYFUNCTION("""COMPUTED_VALUE"""),2.1)</f>
        <v>2.1</v>
      </c>
      <c r="W17" s="46">
        <f>IFERROR(__xludf.DUMMYFUNCTION("""COMPUTED_VALUE"""),1.1869874483774896)</f>
        <v>1.186987448</v>
      </c>
      <c r="X17" s="46">
        <f>IFERROR(__xludf.DUMMYFUNCTION("""COMPUTED_VALUE"""),-1.1659991755309944)</f>
        <v>-1.165999176</v>
      </c>
      <c r="Y17" s="46">
        <f>IFERROR(__xludf.DUMMYFUNCTION("""COMPUTED_VALUE"""),2.134535246581227)</f>
        <v>2.134535247</v>
      </c>
      <c r="Z17" s="46">
        <f>IFERROR(__xludf.DUMMYFUNCTION("""COMPUTED_VALUE"""),-0.5324656877402022)</f>
        <v>-0.5324656877</v>
      </c>
      <c r="AA17" s="46">
        <f>IFERROR(__xludf.DUMMYFUNCTION("""COMPUTED_VALUE"""),0.22967922884215308)</f>
        <v>0.2296792288</v>
      </c>
      <c r="AB17" s="46">
        <f>IFERROR(__xludf.DUMMYFUNCTION("""COMPUTED_VALUE"""),1.8366708775423515)</f>
        <v>1.836670878</v>
      </c>
      <c r="AC17" s="46">
        <f>IFERROR(__xludf.DUMMYFUNCTION("""COMPUTED_VALUE"""),0.8672792576344284)</f>
        <v>0.8672792576</v>
      </c>
      <c r="AD17" s="46">
        <f>IFERROR(__xludf.DUMMYFUNCTION("""COMPUTED_VALUE"""),-0.5689572631172066)</f>
        <v>-0.5689572631</v>
      </c>
      <c r="AE17" s="46">
        <f>IFERROR(__xludf.DUMMYFUNCTION("""COMPUTED_VALUE"""),-0.032702054913515695)</f>
        <v>-0.03270205491</v>
      </c>
    </row>
    <row r="18">
      <c r="A18" s="6" t="str">
        <f>IF(VLOOKUP(H18,'Paste #BBall'!$B$2:$N1001,3,)="BRO","BKN",IF(VLOOKUP(H18,'Paste #BBall'!$B$2:$N1001,3,)="OKL","OKC",VLOOKUP(H18,'Paste #BBall'!$B$2:$N1001,3,)))</f>
        <v>ATL</v>
      </c>
      <c r="B18" s="42">
        <f>VLOOKUP($A18,Schedule!$C$2:$G$31,2,0)</f>
        <v>4</v>
      </c>
      <c r="C18" s="42">
        <f>VLOOKUP($A18,Schedule!$C$2:$G$31,3,0)</f>
        <v>3</v>
      </c>
      <c r="D18" s="42">
        <f>VLOOKUP($A18,Schedule!$C$2:$G$31,4,0)</f>
        <v>3</v>
      </c>
      <c r="E18" s="42">
        <f t="shared" si="1"/>
        <v>10</v>
      </c>
      <c r="F18" s="51">
        <v>13.0</v>
      </c>
      <c r="G18" s="45">
        <f>IFERROR(__xludf.DUMMYFUNCTION("""COMPUTED_VALUE"""),15.0)</f>
        <v>15</v>
      </c>
      <c r="H18" s="45" t="str">
        <f>IFERROR(__xludf.DUMMYFUNCTION("""COMPUTED_VALUE"""),"Trae Young")</f>
        <v>Trae Young</v>
      </c>
      <c r="I18" s="45">
        <f>IFERROR(__xludf.DUMMYFUNCTION("""COMPUTED_VALUE"""),75.0)</f>
        <v>75</v>
      </c>
      <c r="J18" s="46" t="str">
        <f>IFERROR(__xludf.DUMMYFUNCTION("""COMPUTED_VALUE"""),"PG")</f>
        <v>PG</v>
      </c>
      <c r="K18" s="46">
        <f>IFERROR(__xludf.DUMMYFUNCTION("""COMPUTED_VALUE"""),4.266807449081796)</f>
        <v>4.266807449</v>
      </c>
      <c r="L18" s="46">
        <f>IFERROR(__xludf.DUMMYFUNCTION("""COMPUTED_VALUE"""),4.937474580159613)</f>
        <v>4.93747458</v>
      </c>
      <c r="M18" s="47">
        <f>IFERROR(__xludf.DUMMYFUNCTION("""COMPUTED_VALUE"""),0.670667131077817)</f>
        <v>0.6706671311</v>
      </c>
      <c r="N18" s="47">
        <f>IFERROR(__xludf.DUMMYFUNCTION("""COMPUTED_VALUE"""),27.1)</f>
        <v>27.1</v>
      </c>
      <c r="O18" s="47">
        <f>IFERROR(__xludf.DUMMYFUNCTION("""COMPUTED_VALUE"""),2.2)</f>
        <v>2.2</v>
      </c>
      <c r="P18" s="47">
        <f>IFERROR(__xludf.DUMMYFUNCTION("""COMPUTED_VALUE"""),3.4)</f>
        <v>3.4</v>
      </c>
      <c r="Q18" s="48">
        <f>IFERROR(__xludf.DUMMYFUNCTION("""COMPUTED_VALUE"""),10.0)</f>
        <v>10</v>
      </c>
      <c r="R18" s="47">
        <f>IFERROR(__xludf.DUMMYFUNCTION("""COMPUTED_VALUE"""),1.1)</f>
        <v>1.1</v>
      </c>
      <c r="S18" s="47">
        <f>IFERROR(__xludf.DUMMYFUNCTION("""COMPUTED_VALUE"""),0.1)</f>
        <v>0.1</v>
      </c>
      <c r="T18" s="47">
        <f>IFERROR(__xludf.DUMMYFUNCTION("""COMPUTED_VALUE"""),43.62745098039216)</f>
        <v>43.62745098</v>
      </c>
      <c r="U18" s="47">
        <f>IFERROR(__xludf.DUMMYFUNCTION("""COMPUTED_VALUE"""),88.8888888888889)</f>
        <v>88.88888889</v>
      </c>
      <c r="V18" s="47">
        <f>IFERROR(__xludf.DUMMYFUNCTION("""COMPUTED_VALUE"""),4.1)</f>
        <v>4.1</v>
      </c>
      <c r="W18" s="46">
        <f>IFERROR(__xludf.DUMMYFUNCTION("""COMPUTED_VALUE"""),1.6588613038612057)</f>
        <v>1.658861304</v>
      </c>
      <c r="X18" s="46">
        <f>IFERROR(__xludf.DUMMYFUNCTION("""COMPUTED_VALUE"""),0.48154551969128473)</f>
        <v>0.4815455197</v>
      </c>
      <c r="Y18" s="46">
        <f>IFERROR(__xludf.DUMMYFUNCTION("""COMPUTED_VALUE"""),-1.1270636021846543)</f>
        <v>-1.127063602</v>
      </c>
      <c r="Z18" s="46">
        <f>IFERROR(__xludf.DUMMYFUNCTION("""COMPUTED_VALUE"""),3.1397114690887746)</f>
        <v>3.139711469</v>
      </c>
      <c r="AA18" s="46">
        <f>IFERROR(__xludf.DUMMYFUNCTION("""COMPUTED_VALUE"""),0.22967922884215308)</f>
        <v>0.2296792288</v>
      </c>
      <c r="AB18" s="46">
        <f>IFERROR(__xludf.DUMMYFUNCTION("""COMPUTED_VALUE"""),-0.7896459158928509)</f>
        <v>-0.7896459159</v>
      </c>
      <c r="AC18" s="46">
        <f>IFERROR(__xludf.DUMMYFUNCTION("""COMPUTED_VALUE"""),-1.2166998568887837)</f>
        <v>-1.216699857</v>
      </c>
      <c r="AD18" s="46">
        <f>IFERROR(__xludf.DUMMYFUNCTION("""COMPUTED_VALUE"""),1.9980137249618144)</f>
        <v>1.998013725</v>
      </c>
      <c r="AE18" s="46">
        <f>IFERROR(__xludf.DUMMYFUNCTION("""COMPUTED_VALUE"""),-0.6536271482081137)</f>
        <v>-0.6536271482</v>
      </c>
    </row>
    <row r="19">
      <c r="A19" s="6" t="str">
        <f>IF(VLOOKUP(H19,'Paste #BBall'!$B$2:$N1001,3,)="BRO","BKN",IF(VLOOKUP(H19,'Paste #BBall'!$B$2:$N1001,3,)="OKL","OKC",VLOOKUP(H19,'Paste #BBall'!$B$2:$N1001,3,)))</f>
        <v>PHI</v>
      </c>
      <c r="B19" s="42">
        <f>VLOOKUP($A19,Schedule!$C$2:$G$31,2,0)</f>
        <v>4</v>
      </c>
      <c r="C19" s="42">
        <f>VLOOKUP($A19,Schedule!$C$2:$G$31,3,0)</f>
        <v>3</v>
      </c>
      <c r="D19" s="42">
        <f>VLOOKUP($A19,Schedule!$C$2:$G$31,4,0)</f>
        <v>4</v>
      </c>
      <c r="E19" s="42">
        <f t="shared" si="1"/>
        <v>11</v>
      </c>
      <c r="F19" s="51">
        <v>14.0</v>
      </c>
      <c r="G19" s="45">
        <f>IFERROR(__xludf.DUMMYFUNCTION("""COMPUTED_VALUE"""),14.0)</f>
        <v>14</v>
      </c>
      <c r="H19" s="45" t="str">
        <f>IFERROR(__xludf.DUMMYFUNCTION("""COMPUTED_VALUE"""),"James Harden")</f>
        <v>James Harden</v>
      </c>
      <c r="I19" s="45">
        <f>IFERROR(__xludf.DUMMYFUNCTION("""COMPUTED_VALUE"""),60.0)</f>
        <v>60</v>
      </c>
      <c r="J19" s="46" t="str">
        <f>IFERROR(__xludf.DUMMYFUNCTION("""COMPUTED_VALUE"""),"PG,SG")</f>
        <v>PG,SG</v>
      </c>
      <c r="K19" s="46">
        <f>IFERROR(__xludf.DUMMYFUNCTION("""COMPUTED_VALUE"""),4.432903750997129)</f>
        <v>4.432903751</v>
      </c>
      <c r="L19" s="46">
        <f>IFERROR(__xludf.DUMMYFUNCTION("""COMPUTED_VALUE"""),4.82347949870555)</f>
        <v>4.823479499</v>
      </c>
      <c r="M19" s="47">
        <f>IFERROR(__xludf.DUMMYFUNCTION("""COMPUTED_VALUE"""),0.39057574770842063)</f>
        <v>0.3905757477</v>
      </c>
      <c r="N19" s="47">
        <f>IFERROR(__xludf.DUMMYFUNCTION("""COMPUTED_VALUE"""),20.0)</f>
        <v>20</v>
      </c>
      <c r="O19" s="47">
        <f>IFERROR(__xludf.DUMMYFUNCTION("""COMPUTED_VALUE"""),2.4)</f>
        <v>2.4</v>
      </c>
      <c r="P19" s="47">
        <f>IFERROR(__xludf.DUMMYFUNCTION("""COMPUTED_VALUE"""),5.6)</f>
        <v>5.6</v>
      </c>
      <c r="Q19" s="48">
        <f>IFERROR(__xludf.DUMMYFUNCTION("""COMPUTED_VALUE"""),10.1)</f>
        <v>10.1</v>
      </c>
      <c r="R19" s="47">
        <f>IFERROR(__xludf.DUMMYFUNCTION("""COMPUTED_VALUE"""),1.1)</f>
        <v>1.1</v>
      </c>
      <c r="S19" s="47">
        <f>IFERROR(__xludf.DUMMYFUNCTION("""COMPUTED_VALUE"""),0.5)</f>
        <v>0.5</v>
      </c>
      <c r="T19" s="47">
        <f>IFERROR(__xludf.DUMMYFUNCTION("""COMPUTED_VALUE"""),42.7536231884058)</f>
        <v>42.75362319</v>
      </c>
      <c r="U19" s="47">
        <f>IFERROR(__xludf.DUMMYFUNCTION("""COMPUTED_VALUE"""),86.76470588235294)</f>
        <v>86.76470588</v>
      </c>
      <c r="V19" s="47">
        <f>IFERROR(__xludf.DUMMYFUNCTION("""COMPUTED_VALUE"""),3.8)</f>
        <v>3.8</v>
      </c>
      <c r="W19" s="46">
        <f>IFERROR(__xludf.DUMMYFUNCTION("""COMPUTED_VALUE"""),0.46232402745606893)</f>
        <v>0.4623240275</v>
      </c>
      <c r="X19" s="46">
        <f>IFERROR(__xludf.DUMMYFUNCTION("""COMPUTED_VALUE"""),0.6549712770831033)</f>
        <v>0.6549712771</v>
      </c>
      <c r="Y19" s="46">
        <f>IFERROR(__xludf.DUMMYFUNCTION("""COMPUTED_VALUE"""),-0.207125465353252)</f>
        <v>-0.2071254654</v>
      </c>
      <c r="Z19" s="46">
        <f>IFERROR(__xludf.DUMMYFUNCTION("""COMPUTED_VALUE"""),3.190713929600288)</f>
        <v>3.19071393</v>
      </c>
      <c r="AA19" s="46">
        <f>IFERROR(__xludf.DUMMYFUNCTION("""COMPUTED_VALUE"""),0.22967922884215308)</f>
        <v>0.2296792288</v>
      </c>
      <c r="AB19" s="46">
        <f>IFERROR(__xludf.DUMMYFUNCTION("""COMPUTED_VALUE"""),-0.2643825572058105)</f>
        <v>-0.2643825572</v>
      </c>
      <c r="AC19" s="46">
        <f>IFERROR(__xludf.DUMMYFUNCTION("""COMPUTED_VALUE"""),-0.9435130390666896)</f>
        <v>-0.9435130391</v>
      </c>
      <c r="AD19" s="46">
        <f>IFERROR(__xludf.DUMMYFUNCTION("""COMPUTED_VALUE"""),1.3177874424969223)</f>
        <v>1.317787442</v>
      </c>
      <c r="AE19" s="46">
        <f>IFERROR(__xludf.DUMMYFUNCTION("""COMPUTED_VALUE"""),-0.5604883842139241)</f>
        <v>-0.5604883842</v>
      </c>
      <c r="AH19" s="52"/>
      <c r="AI19" s="52"/>
      <c r="AJ19" s="52"/>
      <c r="AK19" s="52"/>
      <c r="AL19" s="52"/>
      <c r="AM19" s="52"/>
      <c r="AN19" s="52"/>
      <c r="AO19" s="52"/>
      <c r="AP19" s="52"/>
    </row>
    <row r="20">
      <c r="A20" s="6" t="str">
        <f>IF(VLOOKUP(H20,'Paste #BBall'!$B$2:$N1001,3,)="BRO","BKN",IF(VLOOKUP(H20,'Paste #BBall'!$B$2:$N1001,3,)="OKL","OKC",VLOOKUP(H20,'Paste #BBall'!$B$2:$N1001,3,)))</f>
        <v>SAC</v>
      </c>
      <c r="B20" s="42">
        <f>VLOOKUP($A20,Schedule!$C$2:$G$31,2,0)</f>
        <v>4</v>
      </c>
      <c r="C20" s="42">
        <f>VLOOKUP($A20,Schedule!$C$2:$G$31,3,0)</f>
        <v>3</v>
      </c>
      <c r="D20" s="42">
        <f>VLOOKUP($A20,Schedule!$C$2:$G$31,4,0)</f>
        <v>4</v>
      </c>
      <c r="E20" s="42">
        <f t="shared" si="1"/>
        <v>11</v>
      </c>
      <c r="F20" s="43">
        <v>15.0</v>
      </c>
      <c r="G20" s="45">
        <f>IFERROR(__xludf.DUMMYFUNCTION("""COMPUTED_VALUE"""),18.0)</f>
        <v>18</v>
      </c>
      <c r="H20" s="45" t="str">
        <f>IFERROR(__xludf.DUMMYFUNCTION("""COMPUTED_VALUE"""),"Domantas Sabonis")</f>
        <v>Domantas Sabonis</v>
      </c>
      <c r="I20" s="45">
        <f>IFERROR(__xludf.DUMMYFUNCTION("""COMPUTED_VALUE"""),72.0)</f>
        <v>72</v>
      </c>
      <c r="J20" s="46" t="str">
        <f>IFERROR(__xludf.DUMMYFUNCTION("""COMPUTED_VALUE"""),"PF,C")</f>
        <v>PF,C</v>
      </c>
      <c r="K20" s="46">
        <f>IFERROR(__xludf.DUMMYFUNCTION("""COMPUTED_VALUE"""),3.579700592395934)</f>
        <v>3.579700592</v>
      </c>
      <c r="L20" s="46">
        <f>IFERROR(__xludf.DUMMYFUNCTION("""COMPUTED_VALUE"""),4.734502334063159)</f>
        <v>4.734502334</v>
      </c>
      <c r="M20" s="47">
        <f>IFERROR(__xludf.DUMMYFUNCTION("""COMPUTED_VALUE"""),1.1548017416672254)</f>
        <v>1.154801742</v>
      </c>
      <c r="N20" s="47">
        <f>IFERROR(__xludf.DUMMYFUNCTION("""COMPUTED_VALUE"""),19.5)</f>
        <v>19.5</v>
      </c>
      <c r="O20" s="47">
        <f>IFERROR(__xludf.DUMMYFUNCTION("""COMPUTED_VALUE"""),0.5)</f>
        <v>0.5</v>
      </c>
      <c r="P20" s="47">
        <f>IFERROR(__xludf.DUMMYFUNCTION("""COMPUTED_VALUE"""),12.4)</f>
        <v>12.4</v>
      </c>
      <c r="Q20" s="48">
        <f>IFERROR(__xludf.DUMMYFUNCTION("""COMPUTED_VALUE"""),7.3)</f>
        <v>7.3</v>
      </c>
      <c r="R20" s="47">
        <f>IFERROR(__xludf.DUMMYFUNCTION("""COMPUTED_VALUE"""),0.9)</f>
        <v>0.9</v>
      </c>
      <c r="S20" s="47">
        <f>IFERROR(__xludf.DUMMYFUNCTION("""COMPUTED_VALUE"""),0.5)</f>
        <v>0.5</v>
      </c>
      <c r="T20" s="47">
        <f>IFERROR(__xludf.DUMMYFUNCTION("""COMPUTED_VALUE"""),60.655737704918046)</f>
        <v>60.6557377</v>
      </c>
      <c r="U20" s="47">
        <f>IFERROR(__xludf.DUMMYFUNCTION("""COMPUTED_VALUE"""),74.54545454545453)</f>
        <v>74.54545455</v>
      </c>
      <c r="V20" s="47">
        <f>IFERROR(__xludf.DUMMYFUNCTION("""COMPUTED_VALUE"""),3.0)</f>
        <v>3</v>
      </c>
      <c r="W20" s="46">
        <f>IFERROR(__xludf.DUMMYFUNCTION("""COMPUTED_VALUE"""),0.378060838976834)</f>
        <v>0.378060839</v>
      </c>
      <c r="X20" s="46">
        <f>IFERROR(__xludf.DUMMYFUNCTION("""COMPUTED_VALUE"""),-0.9925734181391757)</f>
        <v>-0.9925734181</v>
      </c>
      <c r="Y20" s="46">
        <f>IFERROR(__xludf.DUMMYFUNCTION("""COMPUTED_VALUE"""),2.6363196848529014)</f>
        <v>2.636319685</v>
      </c>
      <c r="Z20" s="46">
        <f>IFERROR(__xludf.DUMMYFUNCTION("""COMPUTED_VALUE"""),1.7626450352779086)</f>
        <v>1.762645035</v>
      </c>
      <c r="AA20" s="46">
        <f>IFERROR(__xludf.DUMMYFUNCTION("""COMPUTED_VALUE"""),-0.2064205727568726)</f>
        <v>-0.2064205728</v>
      </c>
      <c r="AB20" s="46">
        <f>IFERROR(__xludf.DUMMYFUNCTION("""COMPUTED_VALUE"""),-0.2643825572058105)</f>
        <v>-0.2643825572</v>
      </c>
      <c r="AC20" s="46">
        <f>IFERROR(__xludf.DUMMYFUNCTION("""COMPUTED_VALUE"""),1.3474589061050153)</f>
        <v>1.347458906</v>
      </c>
      <c r="AD20" s="46">
        <f>IFERROR(__xludf.DUMMYFUNCTION("""COMPUTED_VALUE"""),-0.6070606542907326)</f>
        <v>-0.6070606543</v>
      </c>
      <c r="AE20" s="46">
        <f>IFERROR(__xludf.DUMMYFUNCTION("""COMPUTED_VALUE"""),-0.31211834689608486)</f>
        <v>-0.3121183469</v>
      </c>
      <c r="AH20" s="53"/>
      <c r="AI20" s="53"/>
      <c r="AJ20" s="53"/>
      <c r="AK20" s="53"/>
      <c r="AL20" s="54"/>
      <c r="AM20" s="53"/>
      <c r="AN20" s="53"/>
      <c r="AO20" s="53"/>
      <c r="AP20" s="53"/>
    </row>
    <row r="21">
      <c r="A21" s="6" t="str">
        <f>IF(VLOOKUP(H21,'Paste #BBall'!$B$2:$N1001,3,)="BRO","BKN",IF(VLOOKUP(H21,'Paste #BBall'!$B$2:$N1001,3,)="OKL","OKC",VLOOKUP(H21,'Paste #BBall'!$B$2:$N1001,3,)))</f>
        <v>CLE</v>
      </c>
      <c r="B21" s="42">
        <f>VLOOKUP($A21,Schedule!$C$2:$G$31,2,0)</f>
        <v>4</v>
      </c>
      <c r="C21" s="42">
        <f>VLOOKUP($A21,Schedule!$C$2:$G$31,3,0)</f>
        <v>3</v>
      </c>
      <c r="D21" s="42">
        <f>VLOOKUP($A21,Schedule!$C$2:$G$31,4,0)</f>
        <v>4</v>
      </c>
      <c r="E21" s="42">
        <f t="shared" si="1"/>
        <v>11</v>
      </c>
      <c r="F21" s="51">
        <v>16.0</v>
      </c>
      <c r="G21" s="45">
        <f>IFERROR(__xludf.DUMMYFUNCTION("""COMPUTED_VALUE"""),11.0)</f>
        <v>11</v>
      </c>
      <c r="H21" s="45" t="str">
        <f>IFERROR(__xludf.DUMMYFUNCTION("""COMPUTED_VALUE"""),"Donovan Mitchell")</f>
        <v>Donovan Mitchell</v>
      </c>
      <c r="I21" s="45">
        <f>IFERROR(__xludf.DUMMYFUNCTION("""COMPUTED_VALUE"""),69.0)</f>
        <v>69</v>
      </c>
      <c r="J21" s="46" t="str">
        <f>IFERROR(__xludf.DUMMYFUNCTION("""COMPUTED_VALUE"""),"PG,SG")</f>
        <v>PG,SG</v>
      </c>
      <c r="K21" s="46">
        <f>IFERROR(__xludf.DUMMYFUNCTION("""COMPUTED_VALUE"""),4.8289869003301185)</f>
        <v>4.8289869</v>
      </c>
      <c r="L21" s="46">
        <f>IFERROR(__xludf.DUMMYFUNCTION("""COMPUTED_VALUE"""),4.706132753642026)</f>
        <v>4.706132754</v>
      </c>
      <c r="M21" s="47">
        <f>IFERROR(__xludf.DUMMYFUNCTION("""COMPUTED_VALUE"""),-0.12285414668809214)</f>
        <v>-0.1228541467</v>
      </c>
      <c r="N21" s="47">
        <f>IFERROR(__xludf.DUMMYFUNCTION("""COMPUTED_VALUE"""),27.7)</f>
        <v>27.7</v>
      </c>
      <c r="O21" s="47">
        <f>IFERROR(__xludf.DUMMYFUNCTION("""COMPUTED_VALUE"""),3.6)</f>
        <v>3.6</v>
      </c>
      <c r="P21" s="47">
        <f>IFERROR(__xludf.DUMMYFUNCTION("""COMPUTED_VALUE"""),4.4)</f>
        <v>4.4</v>
      </c>
      <c r="Q21" s="48">
        <f>IFERROR(__xludf.DUMMYFUNCTION("""COMPUTED_VALUE"""),4.4)</f>
        <v>4.4</v>
      </c>
      <c r="R21" s="47">
        <f>IFERROR(__xludf.DUMMYFUNCTION("""COMPUTED_VALUE"""),1.5)</f>
        <v>1.5</v>
      </c>
      <c r="S21" s="47">
        <f>IFERROR(__xludf.DUMMYFUNCTION("""COMPUTED_VALUE"""),0.3)</f>
        <v>0.3</v>
      </c>
      <c r="T21" s="47">
        <f>IFERROR(__xludf.DUMMYFUNCTION("""COMPUTED_VALUE"""),47.804878048780495)</f>
        <v>47.80487805</v>
      </c>
      <c r="U21" s="47">
        <f>IFERROR(__xludf.DUMMYFUNCTION("""COMPUTED_VALUE"""),86.53846153846153)</f>
        <v>86.53846154</v>
      </c>
      <c r="V21" s="47">
        <f>IFERROR(__xludf.DUMMYFUNCTION("""COMPUTED_VALUE"""),2.7)</f>
        <v>2.7</v>
      </c>
      <c r="W21" s="46">
        <f>IFERROR(__xludf.DUMMYFUNCTION("""COMPUTED_VALUE"""),1.7599771300362872)</f>
        <v>1.75997713</v>
      </c>
      <c r="X21" s="46">
        <f>IFERROR(__xludf.DUMMYFUNCTION("""COMPUTED_VALUE"""),1.6955258214340165)</f>
        <v>1.695525821</v>
      </c>
      <c r="Y21" s="46">
        <f>IFERROR(__xludf.DUMMYFUNCTION("""COMPUTED_VALUE"""),-0.7089099036249258)</f>
        <v>-0.7089099036</v>
      </c>
      <c r="Z21" s="46">
        <f>IFERROR(__xludf.DUMMYFUNCTION("""COMPUTED_VALUE"""),0.28357368044401526)</f>
        <v>0.2835736804</v>
      </c>
      <c r="AA21" s="46">
        <f>IFERROR(__xludf.DUMMYFUNCTION("""COMPUTED_VALUE"""),1.101878832040204)</f>
        <v>1.101878832</v>
      </c>
      <c r="AB21" s="46">
        <f>IFERROR(__xludf.DUMMYFUNCTION("""COMPUTED_VALUE"""),-0.5270142365493308)</f>
        <v>-0.5270142365</v>
      </c>
      <c r="AC21" s="46">
        <f>IFERROR(__xludf.DUMMYFUNCTION("""COMPUTED_VALUE"""),-0.3672634806689693)</f>
        <v>-0.3672634807</v>
      </c>
      <c r="AD21" s="46">
        <f>IFERROR(__xludf.DUMMYFUNCTION("""COMPUTED_VALUE"""),0.9784345898076978)</f>
        <v>0.9784345898</v>
      </c>
      <c r="AE21" s="46">
        <f>IFERROR(__xludf.DUMMYFUNCTION("""COMPUTED_VALUE"""),-0.2189795829018952)</f>
        <v>-0.2189795829</v>
      </c>
      <c r="AH21" s="53"/>
      <c r="AI21" s="53"/>
      <c r="AJ21" s="53"/>
      <c r="AK21" s="53"/>
      <c r="AL21" s="54"/>
      <c r="AM21" s="53"/>
      <c r="AN21" s="53"/>
      <c r="AO21" s="53"/>
      <c r="AP21" s="53"/>
    </row>
    <row r="22">
      <c r="A22" s="6" t="str">
        <f>IF(VLOOKUP(H22,'Paste #BBall'!$B$2:$N1001,3,)="BRO","BKN",IF(VLOOKUP(H22,'Paste #BBall'!$B$2:$N1001,3,)="OKL","OKC",VLOOKUP(H22,'Paste #BBall'!$B$2:$N1001,3,)))</f>
        <v>PHO</v>
      </c>
      <c r="B22" s="42">
        <f>VLOOKUP($A22,Schedule!$C$2:$G$31,2,0)</f>
        <v>3</v>
      </c>
      <c r="C22" s="42">
        <f>VLOOKUP($A22,Schedule!$C$2:$G$31,3,0)</f>
        <v>4</v>
      </c>
      <c r="D22" s="42">
        <f>VLOOKUP($A22,Schedule!$C$2:$G$31,4,0)</f>
        <v>3</v>
      </c>
      <c r="E22" s="42">
        <f t="shared" si="1"/>
        <v>10</v>
      </c>
      <c r="F22" s="43">
        <v>17.0</v>
      </c>
      <c r="G22" s="45">
        <f>IFERROR(__xludf.DUMMYFUNCTION("""COMPUTED_VALUE"""),13.0)</f>
        <v>13</v>
      </c>
      <c r="H22" s="45" t="str">
        <f>IFERROR(__xludf.DUMMYFUNCTION("""COMPUTED_VALUE"""),"Kevin Durant")</f>
        <v>Kevin Durant</v>
      </c>
      <c r="I22" s="45">
        <f>IFERROR(__xludf.DUMMYFUNCTION("""COMPUTED_VALUE"""),60.0)</f>
        <v>60</v>
      </c>
      <c r="J22" s="46" t="str">
        <f>IFERROR(__xludf.DUMMYFUNCTION("""COMPUTED_VALUE"""),"SF,PF")</f>
        <v>SF,PF</v>
      </c>
      <c r="K22" s="46">
        <f>IFERROR(__xludf.DUMMYFUNCTION("""COMPUTED_VALUE"""),4.606663231954464)</f>
        <v>4.606663232</v>
      </c>
      <c r="L22" s="46">
        <f>IFERROR(__xludf.DUMMYFUNCTION("""COMPUTED_VALUE"""),4.562671069507245)</f>
        <v>4.56267107</v>
      </c>
      <c r="M22" s="47">
        <f>IFERROR(__xludf.DUMMYFUNCTION("""COMPUTED_VALUE"""),-0.0439921624472186)</f>
        <v>-0.04399216245</v>
      </c>
      <c r="N22" s="47">
        <f>IFERROR(__xludf.DUMMYFUNCTION("""COMPUTED_VALUE"""),25.3)</f>
        <v>25.3</v>
      </c>
      <c r="O22" s="47">
        <f>IFERROR(__xludf.DUMMYFUNCTION("""COMPUTED_VALUE"""),1.9)</f>
        <v>1.9</v>
      </c>
      <c r="P22" s="47">
        <f>IFERROR(__xludf.DUMMYFUNCTION("""COMPUTED_VALUE"""),6.5)</f>
        <v>6.5</v>
      </c>
      <c r="Q22" s="48">
        <f>IFERROR(__xludf.DUMMYFUNCTION("""COMPUTED_VALUE"""),5.0)</f>
        <v>5</v>
      </c>
      <c r="R22" s="47">
        <f>IFERROR(__xludf.DUMMYFUNCTION("""COMPUTED_VALUE"""),0.7)</f>
        <v>0.7</v>
      </c>
      <c r="S22" s="47">
        <f>IFERROR(__xludf.DUMMYFUNCTION("""COMPUTED_VALUE"""),1.0)</f>
        <v>1</v>
      </c>
      <c r="T22" s="47">
        <f>IFERROR(__xludf.DUMMYFUNCTION("""COMPUTED_VALUE"""),52.38095238095239)</f>
        <v>52.38095238</v>
      </c>
      <c r="U22" s="47">
        <f>IFERROR(__xludf.DUMMYFUNCTION("""COMPUTED_VALUE"""),89.3939393939394)</f>
        <v>89.39393939</v>
      </c>
      <c r="V22" s="47">
        <f>IFERROR(__xludf.DUMMYFUNCTION("""COMPUTED_VALUE"""),3.1)</f>
        <v>3.1</v>
      </c>
      <c r="W22" s="46">
        <f>IFERROR(__xludf.DUMMYFUNCTION("""COMPUTED_VALUE"""),1.3555138253359595)</f>
        <v>1.355513825</v>
      </c>
      <c r="X22" s="46">
        <f>IFERROR(__xludf.DUMMYFUNCTION("""COMPUTED_VALUE"""),0.2214068836035562)</f>
        <v>0.2214068836</v>
      </c>
      <c r="Y22" s="46">
        <f>IFERROR(__xludf.DUMMYFUNCTION("""COMPUTED_VALUE"""),0.16921286335050373)</f>
        <v>0.1692128634</v>
      </c>
      <c r="Z22" s="46">
        <f>IFERROR(__xludf.DUMMYFUNCTION("""COMPUTED_VALUE"""),0.5895884435130965)</f>
        <v>0.5895884435</v>
      </c>
      <c r="AA22" s="46">
        <f>IFERROR(__xludf.DUMMYFUNCTION("""COMPUTED_VALUE"""),-0.6425203743558983)</f>
        <v>-0.6425203744</v>
      </c>
      <c r="AB22" s="46">
        <f>IFERROR(__xludf.DUMMYFUNCTION("""COMPUTED_VALUE"""),0.39219664115299)</f>
        <v>0.3921966412</v>
      </c>
      <c r="AC22" s="46">
        <f>IFERROR(__xludf.DUMMYFUNCTION("""COMPUTED_VALUE"""),0.4669310431882173)</f>
        <v>0.4669310432</v>
      </c>
      <c r="AD22" s="46">
        <f>IFERROR(__xludf.DUMMYFUNCTION("""COMPUTED_VALUE"""),1.710985970923737)</f>
        <v>1.710985971</v>
      </c>
      <c r="AE22" s="46">
        <f>IFERROR(__xludf.DUMMYFUNCTION("""COMPUTED_VALUE"""),-0.3431646015608148)</f>
        <v>-0.3431646016</v>
      </c>
      <c r="AH22" s="53"/>
      <c r="AI22" s="53"/>
      <c r="AJ22" s="53"/>
      <c r="AK22" s="53"/>
      <c r="AL22" s="53"/>
      <c r="AM22" s="53"/>
      <c r="AN22" s="53"/>
      <c r="AO22" s="53"/>
      <c r="AP22" s="53"/>
    </row>
    <row r="23">
      <c r="A23" s="6" t="str">
        <f>IF(VLOOKUP(H23,'Paste #BBall'!$B$2:$N1001,3,)="BRO","BKN",IF(VLOOKUP(H23,'Paste #BBall'!$B$2:$N1001,3,)="OKL","OKC",VLOOKUP(H23,'Paste #BBall'!$B$2:$N1001,3,)))</f>
        <v>PHO</v>
      </c>
      <c r="B23" s="42">
        <f>VLOOKUP($A23,Schedule!$C$2:$G$31,2,0)</f>
        <v>3</v>
      </c>
      <c r="C23" s="42">
        <f>VLOOKUP($A23,Schedule!$C$2:$G$31,3,0)</f>
        <v>4</v>
      </c>
      <c r="D23" s="42">
        <f>VLOOKUP($A23,Schedule!$C$2:$G$31,4,0)</f>
        <v>3</v>
      </c>
      <c r="E23" s="42">
        <f t="shared" si="1"/>
        <v>10</v>
      </c>
      <c r="F23" s="51">
        <v>18.0</v>
      </c>
      <c r="G23" s="45">
        <f>IFERROR(__xludf.DUMMYFUNCTION("""COMPUTED_VALUE"""),16.0)</f>
        <v>16</v>
      </c>
      <c r="H23" s="45" t="str">
        <f>IFERROR(__xludf.DUMMYFUNCTION("""COMPUTED_VALUE"""),"Devin Booker")</f>
        <v>Devin Booker</v>
      </c>
      <c r="I23" s="45">
        <f>IFERROR(__xludf.DUMMYFUNCTION("""COMPUTED_VALUE"""),68.0)</f>
        <v>68</v>
      </c>
      <c r="J23" s="46" t="str">
        <f>IFERROR(__xludf.DUMMYFUNCTION("""COMPUTED_VALUE"""),"SG,SF")</f>
        <v>SG,SF</v>
      </c>
      <c r="K23" s="46">
        <f>IFERROR(__xludf.DUMMYFUNCTION("""COMPUTED_VALUE"""),4.021516656325469)</f>
        <v>4.021516656</v>
      </c>
      <c r="L23" s="46">
        <f>IFERROR(__xludf.DUMMYFUNCTION("""COMPUTED_VALUE"""),4.17398150830221)</f>
        <v>4.173981508</v>
      </c>
      <c r="M23" s="47">
        <f>IFERROR(__xludf.DUMMYFUNCTION("""COMPUTED_VALUE"""),0.15246485197674087)</f>
        <v>0.152464852</v>
      </c>
      <c r="N23" s="47">
        <f>IFERROR(__xludf.DUMMYFUNCTION("""COMPUTED_VALUE"""),27.2)</f>
        <v>27.2</v>
      </c>
      <c r="O23" s="47">
        <f>IFERROR(__xludf.DUMMYFUNCTION("""COMPUTED_VALUE"""),2.3)</f>
        <v>2.3</v>
      </c>
      <c r="P23" s="47">
        <f>IFERROR(__xludf.DUMMYFUNCTION("""COMPUTED_VALUE"""),4.9)</f>
        <v>4.9</v>
      </c>
      <c r="Q23" s="48">
        <f>IFERROR(__xludf.DUMMYFUNCTION("""COMPUTED_VALUE"""),6.3)</f>
        <v>6.3</v>
      </c>
      <c r="R23" s="47">
        <f>IFERROR(__xludf.DUMMYFUNCTION("""COMPUTED_VALUE"""),1.1)</f>
        <v>1.1</v>
      </c>
      <c r="S23" s="47">
        <f>IFERROR(__xludf.DUMMYFUNCTION("""COMPUTED_VALUE"""),0.4)</f>
        <v>0.4</v>
      </c>
      <c r="T23" s="47">
        <f>IFERROR(__xludf.DUMMYFUNCTION("""COMPUTED_VALUE"""),48.756218905472636)</f>
        <v>48.75621891</v>
      </c>
      <c r="U23" s="47">
        <f>IFERROR(__xludf.DUMMYFUNCTION("""COMPUTED_VALUE"""),86.88524590163935)</f>
        <v>86.8852459</v>
      </c>
      <c r="V23" s="47">
        <f>IFERROR(__xludf.DUMMYFUNCTION("""COMPUTED_VALUE"""),2.6)</f>
        <v>2.6</v>
      </c>
      <c r="W23" s="46">
        <f>IFERROR(__xludf.DUMMYFUNCTION("""COMPUTED_VALUE"""),1.6757139415570521)</f>
        <v>1.675713942</v>
      </c>
      <c r="X23" s="46">
        <f>IFERROR(__xludf.DUMMYFUNCTION("""COMPUTED_VALUE"""),0.5682583983871938)</f>
        <v>0.5682583984</v>
      </c>
      <c r="Y23" s="46">
        <f>IFERROR(__xludf.DUMMYFUNCTION("""COMPUTED_VALUE"""),-0.4998330543450616)</f>
        <v>-0.4998330543</v>
      </c>
      <c r="Z23" s="46">
        <f>IFERROR(__xludf.DUMMYFUNCTION("""COMPUTED_VALUE"""),1.2526204301627728)</f>
        <v>1.25262043</v>
      </c>
      <c r="AA23" s="46">
        <f>IFERROR(__xludf.DUMMYFUNCTION("""COMPUTED_VALUE"""),0.22967922884215308)</f>
        <v>0.2296792288</v>
      </c>
      <c r="AB23" s="46">
        <f>IFERROR(__xludf.DUMMYFUNCTION("""COMPUTED_VALUE"""),-0.39569839687757064)</f>
        <v>-0.3956983969</v>
      </c>
      <c r="AC23" s="46">
        <f>IFERROR(__xludf.DUMMYFUNCTION("""COMPUTED_VALUE"""),-0.16909488033568423)</f>
        <v>-0.1690948803</v>
      </c>
      <c r="AD23" s="46">
        <f>IFERROR(__xludf.DUMMYFUNCTION("""COMPUTED_VALUE"""),1.200436114803457)</f>
        <v>1.200436115</v>
      </c>
      <c r="AE23" s="46">
        <f>IFERROR(__xludf.DUMMYFUNCTION("""COMPUTED_VALUE"""),-0.18793332823716524)</f>
        <v>-0.1879333282</v>
      </c>
      <c r="AH23" s="53"/>
      <c r="AI23" s="53"/>
      <c r="AJ23" s="53"/>
      <c r="AK23" s="53"/>
      <c r="AL23" s="54"/>
      <c r="AM23" s="53"/>
      <c r="AN23" s="53"/>
      <c r="AO23" s="53"/>
      <c r="AP23" s="53"/>
    </row>
    <row r="24">
      <c r="A24" s="6" t="str">
        <f>IF(VLOOKUP(H24,'Paste #BBall'!$B$2:$N1001,3,)="BRO","BKN",IF(VLOOKUP(H24,'Paste #BBall'!$B$2:$N1001,3,)="OKL","OKC",VLOOKUP(H24,'Paste #BBall'!$B$2:$N1001,3,)))</f>
        <v>MIA</v>
      </c>
      <c r="B24" s="42">
        <f>VLOOKUP($A24,Schedule!$C$2:$G$31,2,0)</f>
        <v>4</v>
      </c>
      <c r="C24" s="42">
        <f>VLOOKUP($A24,Schedule!$C$2:$G$31,3,0)</f>
        <v>3</v>
      </c>
      <c r="D24" s="42">
        <f>VLOOKUP($A24,Schedule!$C$2:$G$31,4,0)</f>
        <v>4</v>
      </c>
      <c r="E24" s="42">
        <f t="shared" si="1"/>
        <v>11</v>
      </c>
      <c r="F24" s="51">
        <v>19.0</v>
      </c>
      <c r="G24" s="45">
        <f>IFERROR(__xludf.DUMMYFUNCTION("""COMPUTED_VALUE"""),20.0)</f>
        <v>20</v>
      </c>
      <c r="H24" s="45" t="str">
        <f>IFERROR(__xludf.DUMMYFUNCTION("""COMPUTED_VALUE"""),"Jimmy Butler")</f>
        <v>Jimmy Butler</v>
      </c>
      <c r="I24" s="45">
        <f>IFERROR(__xludf.DUMMYFUNCTION("""COMPUTED_VALUE"""),65.0)</f>
        <v>65</v>
      </c>
      <c r="J24" s="46" t="str">
        <f>IFERROR(__xludf.DUMMYFUNCTION("""COMPUTED_VALUE"""),"SF,PF")</f>
        <v>SF,PF</v>
      </c>
      <c r="K24" s="46">
        <f>IFERROR(__xludf.DUMMYFUNCTION("""COMPUTED_VALUE"""),3.3619381711080165)</f>
        <v>3.361938171</v>
      </c>
      <c r="L24" s="46">
        <f>IFERROR(__xludf.DUMMYFUNCTION("""COMPUTED_VALUE"""),3.792516404390513)</f>
        <v>3.792516404</v>
      </c>
      <c r="M24" s="47">
        <f>IFERROR(__xludf.DUMMYFUNCTION("""COMPUTED_VALUE"""),0.43057823328249656)</f>
        <v>0.4305782333</v>
      </c>
      <c r="N24" s="47">
        <f>IFERROR(__xludf.DUMMYFUNCTION("""COMPUTED_VALUE"""),21.3)</f>
        <v>21.3</v>
      </c>
      <c r="O24" s="47">
        <f>IFERROR(__xludf.DUMMYFUNCTION("""COMPUTED_VALUE"""),0.5)</f>
        <v>0.5</v>
      </c>
      <c r="P24" s="47">
        <f>IFERROR(__xludf.DUMMYFUNCTION("""COMPUTED_VALUE"""),5.7)</f>
        <v>5.7</v>
      </c>
      <c r="Q24" s="48">
        <f>IFERROR(__xludf.DUMMYFUNCTION("""COMPUTED_VALUE"""),5.0)</f>
        <v>5</v>
      </c>
      <c r="R24" s="47">
        <f>IFERROR(__xludf.DUMMYFUNCTION("""COMPUTED_VALUE"""),1.6)</f>
        <v>1.6</v>
      </c>
      <c r="S24" s="47">
        <f>IFERROR(__xludf.DUMMYFUNCTION("""COMPUTED_VALUE"""),0.4)</f>
        <v>0.4</v>
      </c>
      <c r="T24" s="47">
        <f>IFERROR(__xludf.DUMMYFUNCTION("""COMPUTED_VALUE"""),51.47058823529412)</f>
        <v>51.47058824</v>
      </c>
      <c r="U24" s="47">
        <f>IFERROR(__xludf.DUMMYFUNCTION("""COMPUTED_VALUE"""),86.25)</f>
        <v>86.25</v>
      </c>
      <c r="V24" s="47">
        <f>IFERROR(__xludf.DUMMYFUNCTION("""COMPUTED_VALUE"""),1.8)</f>
        <v>1.8</v>
      </c>
      <c r="W24" s="46">
        <f>IFERROR(__xludf.DUMMYFUNCTION("""COMPUTED_VALUE"""),0.68140831750208)</f>
        <v>0.6814083175</v>
      </c>
      <c r="X24" s="46">
        <f>IFERROR(__xludf.DUMMYFUNCTION("""COMPUTED_VALUE"""),-0.9925734181391757)</f>
        <v>-0.9925734181</v>
      </c>
      <c r="Y24" s="46">
        <f>IFERROR(__xludf.DUMMYFUNCTION("""COMPUTED_VALUE"""),-0.16531009549727893)</f>
        <v>-0.1653100955</v>
      </c>
      <c r="Z24" s="46">
        <f>IFERROR(__xludf.DUMMYFUNCTION("""COMPUTED_VALUE"""),0.5895884435130965)</f>
        <v>0.5895884435</v>
      </c>
      <c r="AA24" s="46">
        <f>IFERROR(__xludf.DUMMYFUNCTION("""COMPUTED_VALUE"""),1.319928732839717)</f>
        <v>1.319928733</v>
      </c>
      <c r="AB24" s="46">
        <f>IFERROR(__xludf.DUMMYFUNCTION("""COMPUTED_VALUE"""),-0.39569839687757064)</f>
        <v>-0.3956983969</v>
      </c>
      <c r="AC24" s="46">
        <f>IFERROR(__xludf.DUMMYFUNCTION("""COMPUTED_VALUE"""),0.2543227932482316)</f>
        <v>0.2543227932</v>
      </c>
      <c r="AD24" s="46">
        <f>IFERROR(__xludf.DUMMYFUNCTION("""COMPUTED_VALUE"""),1.4478399005815639)</f>
        <v>1.447839901</v>
      </c>
      <c r="AE24" s="46">
        <f>IFERROR(__xludf.DUMMYFUNCTION("""COMPUTED_VALUE"""),0.06043670908067405)</f>
        <v>0.06043670908</v>
      </c>
      <c r="AH24" s="53"/>
      <c r="AI24" s="53"/>
      <c r="AJ24" s="53"/>
      <c r="AK24" s="53"/>
      <c r="AL24" s="54"/>
      <c r="AM24" s="53"/>
      <c r="AN24" s="53"/>
      <c r="AO24" s="53"/>
      <c r="AP24" s="53"/>
    </row>
    <row r="25">
      <c r="A25" s="6" t="str">
        <f>IF(VLOOKUP(H25,'Paste #BBall'!$B$2:$N1001,3,)="BRO","BKN",IF(VLOOKUP(H25,'Paste #BBall'!$B$2:$N1001,3,)="OKL","OKC",VLOOKUP(H25,'Paste #BBall'!$B$2:$N1001,3,)))</f>
        <v>HOU</v>
      </c>
      <c r="B25" s="42">
        <f>VLOOKUP($A25,Schedule!$C$2:$G$31,2,0)</f>
        <v>4</v>
      </c>
      <c r="C25" s="42">
        <f>VLOOKUP($A25,Schedule!$C$2:$G$31,3,0)</f>
        <v>3</v>
      </c>
      <c r="D25" s="42">
        <f>VLOOKUP($A25,Schedule!$C$2:$G$31,4,0)</f>
        <v>3</v>
      </c>
      <c r="E25" s="42">
        <f t="shared" si="1"/>
        <v>10</v>
      </c>
      <c r="F25" s="43">
        <v>20.0</v>
      </c>
      <c r="G25" s="45">
        <f>IFERROR(__xludf.DUMMYFUNCTION("""COMPUTED_VALUE"""),24.0)</f>
        <v>24</v>
      </c>
      <c r="H25" s="45" t="str">
        <f>IFERROR(__xludf.DUMMYFUNCTION("""COMPUTED_VALUE"""),"Fred VanVleet")</f>
        <v>Fred VanVleet</v>
      </c>
      <c r="I25" s="45">
        <f>IFERROR(__xludf.DUMMYFUNCTION("""COMPUTED_VALUE"""),67.0)</f>
        <v>67</v>
      </c>
      <c r="J25" s="46" t="str">
        <f>IFERROR(__xludf.DUMMYFUNCTION("""COMPUTED_VALUE"""),"PG")</f>
        <v>PG</v>
      </c>
      <c r="K25" s="46">
        <f>IFERROR(__xludf.DUMMYFUNCTION("""COMPUTED_VALUE"""),2.762430198240379)</f>
        <v>2.762430198</v>
      </c>
      <c r="L25" s="46">
        <f>IFERROR(__xludf.DUMMYFUNCTION("""COMPUTED_VALUE"""),3.6988045120987563)</f>
        <v>3.698804512</v>
      </c>
      <c r="M25" s="47">
        <f>IFERROR(__xludf.DUMMYFUNCTION("""COMPUTED_VALUE"""),0.9363743138583773)</f>
        <v>0.9363743139</v>
      </c>
      <c r="N25" s="47">
        <f>IFERROR(__xludf.DUMMYFUNCTION("""COMPUTED_VALUE"""),18.4)</f>
        <v>18.4</v>
      </c>
      <c r="O25" s="47">
        <f>IFERROR(__xludf.DUMMYFUNCTION("""COMPUTED_VALUE"""),3.1)</f>
        <v>3.1</v>
      </c>
      <c r="P25" s="47">
        <f>IFERROR(__xludf.DUMMYFUNCTION("""COMPUTED_VALUE"""),3.9)</f>
        <v>3.9</v>
      </c>
      <c r="Q25" s="48">
        <f>IFERROR(__xludf.DUMMYFUNCTION("""COMPUTED_VALUE"""),6.4)</f>
        <v>6.4</v>
      </c>
      <c r="R25" s="47">
        <f>IFERROR(__xludf.DUMMYFUNCTION("""COMPUTED_VALUE"""),1.6)</f>
        <v>1.6</v>
      </c>
      <c r="S25" s="47">
        <f>IFERROR(__xludf.DUMMYFUNCTION("""COMPUTED_VALUE"""),0.5)</f>
        <v>0.5</v>
      </c>
      <c r="T25" s="47">
        <f>IFERROR(__xludf.DUMMYFUNCTION("""COMPUTED_VALUE"""),39.869281045751634)</f>
        <v>39.86928105</v>
      </c>
      <c r="U25" s="47">
        <f>IFERROR(__xludf.DUMMYFUNCTION("""COMPUTED_VALUE"""),88.57142857142858)</f>
        <v>88.57142857</v>
      </c>
      <c r="V25" s="47">
        <f>IFERROR(__xludf.DUMMYFUNCTION("""COMPUTED_VALUE"""),2.1)</f>
        <v>2.1</v>
      </c>
      <c r="W25" s="46">
        <f>IFERROR(__xludf.DUMMYFUNCTION("""COMPUTED_VALUE"""),0.19268182432251685)</f>
        <v>0.1926818243</v>
      </c>
      <c r="X25" s="46">
        <f>IFERROR(__xludf.DUMMYFUNCTION("""COMPUTED_VALUE"""),1.2619614279544695)</f>
        <v>1.261961428</v>
      </c>
      <c r="Y25" s="46">
        <f>IFERROR(__xludf.DUMMYFUNCTION("""COMPUTED_VALUE"""),-0.9179867529047901)</f>
        <v>-0.9179867529</v>
      </c>
      <c r="Z25" s="46">
        <f>IFERROR(__xludf.DUMMYFUNCTION("""COMPUTED_VALUE"""),1.3036228906742866)</f>
        <v>1.303622891</v>
      </c>
      <c r="AA25" s="46">
        <f>IFERROR(__xludf.DUMMYFUNCTION("""COMPUTED_VALUE"""),1.319928732839717)</f>
        <v>1.319928733</v>
      </c>
      <c r="AB25" s="46">
        <f>IFERROR(__xludf.DUMMYFUNCTION("""COMPUTED_VALUE"""),-0.2643825572058105)</f>
        <v>-0.2643825572</v>
      </c>
      <c r="AC25" s="46">
        <f>IFERROR(__xludf.DUMMYFUNCTION("""COMPUTED_VALUE"""),-1.4868722844713707)</f>
        <v>-1.486872284</v>
      </c>
      <c r="AD25" s="46">
        <f>IFERROR(__xludf.DUMMYFUNCTION("""COMPUTED_VALUE"""),0.8356810013318832)</f>
        <v>0.8356810013</v>
      </c>
      <c r="AE25" s="46">
        <f>IFERROR(__xludf.DUMMYFUNCTION("""COMPUTED_VALUE"""),-0.032702054913515695)</f>
        <v>-0.03270205491</v>
      </c>
      <c r="AH25" s="53"/>
      <c r="AI25" s="53"/>
      <c r="AJ25" s="53"/>
      <c r="AK25" s="53"/>
      <c r="AL25" s="53"/>
      <c r="AM25" s="53"/>
      <c r="AN25" s="53"/>
      <c r="AO25" s="53"/>
      <c r="AP25" s="53"/>
    </row>
    <row r="26">
      <c r="A26" s="6" t="str">
        <f>IF(VLOOKUP(H26,'Paste #BBall'!$B$2:$N1001,3,)="BRO","BKN",IF(VLOOKUP(H26,'Paste #BBall'!$B$2:$N1001,3,)="OKL","OKC",VLOOKUP(H26,'Paste #BBall'!$B$2:$N1001,3,)))</f>
        <v>LAC</v>
      </c>
      <c r="B26" s="42">
        <f>VLOOKUP($A26,Schedule!$C$2:$G$31,2,0)</f>
        <v>4</v>
      </c>
      <c r="C26" s="42">
        <f>VLOOKUP($A26,Schedule!$C$2:$G$31,3,0)</f>
        <v>4</v>
      </c>
      <c r="D26" s="42">
        <f>VLOOKUP($A26,Schedule!$C$2:$G$31,4,0)</f>
        <v>3</v>
      </c>
      <c r="E26" s="42">
        <f t="shared" si="1"/>
        <v>11</v>
      </c>
      <c r="F26" s="51">
        <v>21.0</v>
      </c>
      <c r="G26" s="45">
        <f>IFERROR(__xludf.DUMMYFUNCTION("""COMPUTED_VALUE"""),19.0)</f>
        <v>19</v>
      </c>
      <c r="H26" s="45" t="str">
        <f>IFERROR(__xludf.DUMMYFUNCTION("""COMPUTED_VALUE"""),"Paul George")</f>
        <v>Paul George</v>
      </c>
      <c r="I26" s="45">
        <f>IFERROR(__xludf.DUMMYFUNCTION("""COMPUTED_VALUE"""),60.0)</f>
        <v>60</v>
      </c>
      <c r="J26" s="46" t="str">
        <f>IFERROR(__xludf.DUMMYFUNCTION("""COMPUTED_VALUE"""),"SG,SF,PF")</f>
        <v>SG,SF,PF</v>
      </c>
      <c r="K26" s="46">
        <f>IFERROR(__xludf.DUMMYFUNCTION("""COMPUTED_VALUE"""),3.569957191869557)</f>
        <v>3.569957192</v>
      </c>
      <c r="L26" s="46">
        <f>IFERROR(__xludf.DUMMYFUNCTION("""COMPUTED_VALUE"""),3.683648395764549)</f>
        <v>3.683648396</v>
      </c>
      <c r="M26" s="47">
        <f>IFERROR(__xludf.DUMMYFUNCTION("""COMPUTED_VALUE"""),0.11369120389499177)</f>
        <v>0.1136912039</v>
      </c>
      <c r="N26" s="47">
        <f>IFERROR(__xludf.DUMMYFUNCTION("""COMPUTED_VALUE"""),23.0)</f>
        <v>23</v>
      </c>
      <c r="O26" s="47">
        <f>IFERROR(__xludf.DUMMYFUNCTION("""COMPUTED_VALUE"""),2.8)</f>
        <v>2.8</v>
      </c>
      <c r="P26" s="47">
        <f>IFERROR(__xludf.DUMMYFUNCTION("""COMPUTED_VALUE"""),6.1)</f>
        <v>6.1</v>
      </c>
      <c r="Q26" s="48">
        <f>IFERROR(__xludf.DUMMYFUNCTION("""COMPUTED_VALUE"""),5.0)</f>
        <v>5</v>
      </c>
      <c r="R26" s="47">
        <f>IFERROR(__xludf.DUMMYFUNCTION("""COMPUTED_VALUE"""),1.5)</f>
        <v>1.5</v>
      </c>
      <c r="S26" s="47">
        <f>IFERROR(__xludf.DUMMYFUNCTION("""COMPUTED_VALUE"""),0.4)</f>
        <v>0.4</v>
      </c>
      <c r="T26" s="47">
        <f>IFERROR(__xludf.DUMMYFUNCTION("""COMPUTED_VALUE"""),44.19889502762431)</f>
        <v>44.19889503</v>
      </c>
      <c r="U26" s="47">
        <f>IFERROR(__xludf.DUMMYFUNCTION("""COMPUTED_VALUE"""),85.71428571428571)</f>
        <v>85.71428571</v>
      </c>
      <c r="V26" s="47">
        <f>IFERROR(__xludf.DUMMYFUNCTION("""COMPUTED_VALUE"""),3.3)</f>
        <v>3.3</v>
      </c>
      <c r="W26" s="46">
        <f>IFERROR(__xludf.DUMMYFUNCTION("""COMPUTED_VALUE"""),0.9679031583314787)</f>
        <v>0.9679031583</v>
      </c>
      <c r="X26" s="46">
        <f>IFERROR(__xludf.DUMMYFUNCTION("""COMPUTED_VALUE"""),1.001822791866741)</f>
        <v>1.001822792</v>
      </c>
      <c r="Y26" s="46">
        <f>IFERROR(__xludf.DUMMYFUNCTION("""COMPUTED_VALUE"""),0.0019513839266122224)</f>
        <v>0.001951383927</v>
      </c>
      <c r="Z26" s="46">
        <f>IFERROR(__xludf.DUMMYFUNCTION("""COMPUTED_VALUE"""),0.5895884435130965)</f>
        <v>0.5895884435</v>
      </c>
      <c r="AA26" s="46">
        <f>IFERROR(__xludf.DUMMYFUNCTION("""COMPUTED_VALUE"""),1.101878832040204)</f>
        <v>1.101878832</v>
      </c>
      <c r="AB26" s="46">
        <f>IFERROR(__xludf.DUMMYFUNCTION("""COMPUTED_VALUE"""),-0.39569839687757064)</f>
        <v>-0.3956983969</v>
      </c>
      <c r="AC26" s="46">
        <f>IFERROR(__xludf.DUMMYFUNCTION("""COMPUTED_VALUE"""),-0.9762089312755282)</f>
        <v>-0.9762089313</v>
      </c>
      <c r="AD26" s="46">
        <f>IFERROR(__xludf.DUMMYFUNCTION("""COMPUTED_VALUE"""),0.8214592938542618)</f>
        <v>0.8214592939</v>
      </c>
      <c r="AE26" s="46">
        <f>IFERROR(__xludf.DUMMYFUNCTION("""COMPUTED_VALUE"""),-0.40525711089027455)</f>
        <v>-0.4052571109</v>
      </c>
    </row>
    <row r="27">
      <c r="A27" s="6" t="str">
        <f>IF(VLOOKUP(H27,'Paste #BBall'!$B$2:$N1001,3,)="BRO","BKN",IF(VLOOKUP(H27,'Paste #BBall'!$B$2:$N1001,3,)="OKL","OKC",VLOOKUP(H27,'Paste #BBall'!$B$2:$N1001,3,)))</f>
        <v>MIN</v>
      </c>
      <c r="B27" s="42">
        <f>VLOOKUP($A27,Schedule!$C$2:$G$31,2,0)</f>
        <v>4</v>
      </c>
      <c r="C27" s="42">
        <f>VLOOKUP($A27,Schedule!$C$2:$G$31,3,0)</f>
        <v>2</v>
      </c>
      <c r="D27" s="42">
        <f>VLOOKUP($A27,Schedule!$C$2:$G$31,4,0)</f>
        <v>4</v>
      </c>
      <c r="E27" s="42">
        <f t="shared" si="1"/>
        <v>10</v>
      </c>
      <c r="F27" s="51">
        <v>22.0</v>
      </c>
      <c r="G27" s="45">
        <f>IFERROR(__xludf.DUMMYFUNCTION("""COMPUTED_VALUE"""),17.0)</f>
        <v>17</v>
      </c>
      <c r="H27" s="45" t="str">
        <f>IFERROR(__xludf.DUMMYFUNCTION("""COMPUTED_VALUE"""),"Anthony Edwards")</f>
        <v>Anthony Edwards</v>
      </c>
      <c r="I27" s="45">
        <f>IFERROR(__xludf.DUMMYFUNCTION("""COMPUTED_VALUE"""),76.0)</f>
        <v>76</v>
      </c>
      <c r="J27" s="46" t="str">
        <f>IFERROR(__xludf.DUMMYFUNCTION("""COMPUTED_VALUE"""),"SG,SF")</f>
        <v>SG,SF</v>
      </c>
      <c r="K27" s="46">
        <f>IFERROR(__xludf.DUMMYFUNCTION("""COMPUTED_VALUE"""),3.7807040648571326)</f>
        <v>3.780704065</v>
      </c>
      <c r="L27" s="46">
        <f>IFERROR(__xludf.DUMMYFUNCTION("""COMPUTED_VALUE"""),3.5754547960433927)</f>
        <v>3.575454796</v>
      </c>
      <c r="M27" s="47">
        <f>IFERROR(__xludf.DUMMYFUNCTION("""COMPUTED_VALUE"""),-0.20524926881373995)</f>
        <v>-0.2052492688</v>
      </c>
      <c r="N27" s="47">
        <f>IFERROR(__xludf.DUMMYFUNCTION("""COMPUTED_VALUE"""),25.8)</f>
        <v>25.8</v>
      </c>
      <c r="O27" s="47">
        <f>IFERROR(__xludf.DUMMYFUNCTION("""COMPUTED_VALUE"""),3.0)</f>
        <v>3</v>
      </c>
      <c r="P27" s="47">
        <f>IFERROR(__xludf.DUMMYFUNCTION("""COMPUTED_VALUE"""),5.7)</f>
        <v>5.7</v>
      </c>
      <c r="Q27" s="48">
        <f>IFERROR(__xludf.DUMMYFUNCTION("""COMPUTED_VALUE"""),4.8)</f>
        <v>4.8</v>
      </c>
      <c r="R27" s="47">
        <f>IFERROR(__xludf.DUMMYFUNCTION("""COMPUTED_VALUE"""),1.6)</f>
        <v>1.6</v>
      </c>
      <c r="S27" s="47">
        <f>IFERROR(__xludf.DUMMYFUNCTION("""COMPUTED_VALUE"""),0.7)</f>
        <v>0.7</v>
      </c>
      <c r="T27" s="47">
        <f>IFERROR(__xludf.DUMMYFUNCTION("""COMPUTED_VALUE"""),46.231155778894475)</f>
        <v>46.23115578</v>
      </c>
      <c r="U27" s="47">
        <f>IFERROR(__xludf.DUMMYFUNCTION("""COMPUTED_VALUE"""),76.78571428571429)</f>
        <v>76.78571429</v>
      </c>
      <c r="V27" s="47">
        <f>IFERROR(__xludf.DUMMYFUNCTION("""COMPUTED_VALUE"""),3.2)</f>
        <v>3.2</v>
      </c>
      <c r="W27" s="46">
        <f>IFERROR(__xludf.DUMMYFUNCTION("""COMPUTED_VALUE"""),1.4397770138151946)</f>
        <v>1.439777014</v>
      </c>
      <c r="X27" s="46">
        <f>IFERROR(__xludf.DUMMYFUNCTION("""COMPUTED_VALUE"""),1.1752485492585598)</f>
        <v>1.175248549</v>
      </c>
      <c r="Y27" s="46">
        <f>IFERROR(__xludf.DUMMYFUNCTION("""COMPUTED_VALUE"""),-0.16531009549727893)</f>
        <v>-0.1653100955</v>
      </c>
      <c r="Z27" s="46">
        <f>IFERROR(__xludf.DUMMYFUNCTION("""COMPUTED_VALUE"""),0.4875835224900693)</f>
        <v>0.4875835225</v>
      </c>
      <c r="AA27" s="46">
        <f>IFERROR(__xludf.DUMMYFUNCTION("""COMPUTED_VALUE"""),1.319928732839717)</f>
        <v>1.319928733</v>
      </c>
      <c r="AB27" s="46">
        <f>IFERROR(__xludf.DUMMYFUNCTION("""COMPUTED_VALUE"""),-0.0017508778622903794)</f>
        <v>-0.001750877862</v>
      </c>
      <c r="AC27" s="46">
        <f>IFERROR(__xludf.DUMMYFUNCTION("""COMPUTED_VALUE"""),-0.6693295977044654)</f>
        <v>-0.6693295977</v>
      </c>
      <c r="AD27" s="46">
        <f>IFERROR(__xludf.DUMMYFUNCTION("""COMPUTED_VALUE"""),-0.3058111927750329)</f>
        <v>-0.3058111928</v>
      </c>
      <c r="AE27" s="46">
        <f>IFERROR(__xludf.DUMMYFUNCTION("""COMPUTED_VALUE"""),-0.37421085622554473)</f>
        <v>-0.3742108562</v>
      </c>
    </row>
    <row r="28">
      <c r="A28" s="6" t="str">
        <f>IF(VLOOKUP(H28,'Paste #BBall'!$B$2:$N1001,3,)="BRO","BKN",IF(VLOOKUP(H28,'Paste #BBall'!$B$2:$N1001,3,)="OKL","OKC",VLOOKUP(H28,'Paste #BBall'!$B$2:$N1001,3,)))</f>
        <v>UTA</v>
      </c>
      <c r="B28" s="42">
        <f>VLOOKUP($A28,Schedule!$C$2:$G$31,2,0)</f>
        <v>3</v>
      </c>
      <c r="C28" s="42">
        <f>VLOOKUP($A28,Schedule!$C$2:$G$31,3,0)</f>
        <v>3</v>
      </c>
      <c r="D28" s="42">
        <f>VLOOKUP($A28,Schedule!$C$2:$G$31,4,0)</f>
        <v>4</v>
      </c>
      <c r="E28" s="42">
        <f t="shared" si="1"/>
        <v>10</v>
      </c>
      <c r="F28" s="43">
        <v>23.0</v>
      </c>
      <c r="G28" s="45">
        <f>IFERROR(__xludf.DUMMYFUNCTION("""COMPUTED_VALUE"""),28.0)</f>
        <v>28</v>
      </c>
      <c r="H28" s="45" t="str">
        <f>IFERROR(__xludf.DUMMYFUNCTION("""COMPUTED_VALUE"""),"Lauri Markkanen")</f>
        <v>Lauri Markkanen</v>
      </c>
      <c r="I28" s="45">
        <f>IFERROR(__xludf.DUMMYFUNCTION("""COMPUTED_VALUE"""),66.0)</f>
        <v>66</v>
      </c>
      <c r="J28" s="46" t="str">
        <f>IFERROR(__xludf.DUMMYFUNCTION("""COMPUTED_VALUE"""),"SF,PF")</f>
        <v>SF,PF</v>
      </c>
      <c r="K28" s="46">
        <f>IFERROR(__xludf.DUMMYFUNCTION("""COMPUTED_VALUE"""),2.5173649342499935)</f>
        <v>2.517364934</v>
      </c>
      <c r="L28" s="46">
        <f>IFERROR(__xludf.DUMMYFUNCTION("""COMPUTED_VALUE"""),3.364427045077207)</f>
        <v>3.364427045</v>
      </c>
      <c r="M28" s="47">
        <f>IFERROR(__xludf.DUMMYFUNCTION("""COMPUTED_VALUE"""),0.8470621108272134)</f>
        <v>0.8470621108</v>
      </c>
      <c r="N28" s="47">
        <f>IFERROR(__xludf.DUMMYFUNCTION("""COMPUTED_VALUE"""),23.9)</f>
        <v>23.9</v>
      </c>
      <c r="O28" s="47">
        <f>IFERROR(__xludf.DUMMYFUNCTION("""COMPUTED_VALUE"""),2.9)</f>
        <v>2.9</v>
      </c>
      <c r="P28" s="47">
        <f>IFERROR(__xludf.DUMMYFUNCTION("""COMPUTED_VALUE"""),8.0)</f>
        <v>8</v>
      </c>
      <c r="Q28" s="48">
        <f>IFERROR(__xludf.DUMMYFUNCTION("""COMPUTED_VALUE"""),1.9)</f>
        <v>1.9</v>
      </c>
      <c r="R28" s="47">
        <f>IFERROR(__xludf.DUMMYFUNCTION("""COMPUTED_VALUE"""),0.7)</f>
        <v>0.7</v>
      </c>
      <c r="S28" s="47">
        <f>IFERROR(__xludf.DUMMYFUNCTION("""COMPUTED_VALUE"""),0.6)</f>
        <v>0.6</v>
      </c>
      <c r="T28" s="47">
        <f>IFERROR(__xludf.DUMMYFUNCTION("""COMPUTED_VALUE"""),48.78048780487806)</f>
        <v>48.7804878</v>
      </c>
      <c r="U28" s="47">
        <f>IFERROR(__xludf.DUMMYFUNCTION("""COMPUTED_VALUE"""),87.71929824561403)</f>
        <v>87.71929825</v>
      </c>
      <c r="V28" s="47">
        <f>IFERROR(__xludf.DUMMYFUNCTION("""COMPUTED_VALUE"""),1.9)</f>
        <v>1.9</v>
      </c>
      <c r="W28" s="46">
        <f>IFERROR(__xludf.DUMMYFUNCTION("""COMPUTED_VALUE"""),1.1195768975941014)</f>
        <v>1.119576898</v>
      </c>
      <c r="X28" s="46">
        <f>IFERROR(__xludf.DUMMYFUNCTION("""COMPUTED_VALUE"""),1.0885356705626503)</f>
        <v>1.088535671</v>
      </c>
      <c r="Y28" s="46">
        <f>IFERROR(__xludf.DUMMYFUNCTION("""COMPUTED_VALUE"""),0.7964434111900963)</f>
        <v>0.7964434112</v>
      </c>
      <c r="Z28" s="46">
        <f>IFERROR(__xludf.DUMMYFUNCTION("""COMPUTED_VALUE"""),-0.9914878323438243)</f>
        <v>-0.9914878323</v>
      </c>
      <c r="AA28" s="46">
        <f>IFERROR(__xludf.DUMMYFUNCTION("""COMPUTED_VALUE"""),-0.6425203743558983)</f>
        <v>-0.6425203744</v>
      </c>
      <c r="AB28" s="46">
        <f>IFERROR(__xludf.DUMMYFUNCTION("""COMPUTED_VALUE"""),-0.13306671753405044)</f>
        <v>-0.1330667175</v>
      </c>
      <c r="AC28" s="46">
        <f>IFERROR(__xludf.DUMMYFUNCTION("""COMPUTED_VALUE"""),-0.1339923798590622)</f>
        <v>-0.1339923799</v>
      </c>
      <c r="AD28" s="46">
        <f>IFERROR(__xludf.DUMMYFUNCTION("""COMPUTED_VALUE"""),1.2400600830634254)</f>
        <v>1.240060083</v>
      </c>
      <c r="AE28" s="46">
        <f>IFERROR(__xludf.DUMMYFUNCTION("""COMPUTED_VALUE"""),0.029390454415944182)</f>
        <v>0.02939045442</v>
      </c>
      <c r="AQ28" s="56"/>
    </row>
    <row r="29">
      <c r="A29" s="6" t="str">
        <f>IF(VLOOKUP(H29,'Paste #BBall'!$B$2:$N1001,3,)="BRO","BKN",IF(VLOOKUP(H29,'Paste #BBall'!$B$2:$N1001,3,)="OKL","OKC",VLOOKUP(H29,'Paste #BBall'!$B$2:$N1001,3,)))</f>
        <v>MIA</v>
      </c>
      <c r="B29" s="42">
        <f>VLOOKUP($A29,Schedule!$C$2:$G$31,2,0)</f>
        <v>4</v>
      </c>
      <c r="C29" s="42">
        <f>VLOOKUP($A29,Schedule!$C$2:$G$31,3,0)</f>
        <v>3</v>
      </c>
      <c r="D29" s="42">
        <f>VLOOKUP($A29,Schedule!$C$2:$G$31,4,0)</f>
        <v>4</v>
      </c>
      <c r="E29" s="42">
        <f t="shared" si="1"/>
        <v>11</v>
      </c>
      <c r="F29" s="51">
        <v>24.0</v>
      </c>
      <c r="G29" s="45">
        <f>IFERROR(__xludf.DUMMYFUNCTION("""COMPUTED_VALUE"""),30.0)</f>
        <v>30</v>
      </c>
      <c r="H29" s="45" t="str">
        <f>IFERROR(__xludf.DUMMYFUNCTION("""COMPUTED_VALUE"""),"Bam Adebayo")</f>
        <v>Bam Adebayo</v>
      </c>
      <c r="I29" s="45">
        <f>IFERROR(__xludf.DUMMYFUNCTION("""COMPUTED_VALUE"""),72.0)</f>
        <v>72</v>
      </c>
      <c r="J29" s="46" t="str">
        <f>IFERROR(__xludf.DUMMYFUNCTION("""COMPUTED_VALUE"""),"C")</f>
        <v>C</v>
      </c>
      <c r="K29" s="46">
        <f>IFERROR(__xludf.DUMMYFUNCTION("""COMPUTED_VALUE"""),2.3532365615340547)</f>
        <v>2.353236562</v>
      </c>
      <c r="L29" s="46">
        <f>IFERROR(__xludf.DUMMYFUNCTION("""COMPUTED_VALUE"""),3.27748677288815)</f>
        <v>3.277486773</v>
      </c>
      <c r="M29" s="47">
        <f>IFERROR(__xludf.DUMMYFUNCTION("""COMPUTED_VALUE"""),0.9242502113540954)</f>
        <v>0.9242502114</v>
      </c>
      <c r="N29" s="47">
        <f>IFERROR(__xludf.DUMMYFUNCTION("""COMPUTED_VALUE"""),20.2)</f>
        <v>20.2</v>
      </c>
      <c r="O29" s="47">
        <f>IFERROR(__xludf.DUMMYFUNCTION("""COMPUTED_VALUE"""),0.0)</f>
        <v>0</v>
      </c>
      <c r="P29" s="47">
        <f>IFERROR(__xludf.DUMMYFUNCTION("""COMPUTED_VALUE"""),9.8)</f>
        <v>9.8</v>
      </c>
      <c r="Q29" s="48">
        <f>IFERROR(__xludf.DUMMYFUNCTION("""COMPUTED_VALUE"""),3.5)</f>
        <v>3.5</v>
      </c>
      <c r="R29" s="47">
        <f>IFERROR(__xludf.DUMMYFUNCTION("""COMPUTED_VALUE"""),1.3)</f>
        <v>1.3</v>
      </c>
      <c r="S29" s="47">
        <f>IFERROR(__xludf.DUMMYFUNCTION("""COMPUTED_VALUE"""),0.8)</f>
        <v>0.8</v>
      </c>
      <c r="T29" s="47">
        <f>IFERROR(__xludf.DUMMYFUNCTION("""COMPUTED_VALUE"""),53.74149659863946)</f>
        <v>53.7414966</v>
      </c>
      <c r="U29" s="47">
        <f>IFERROR(__xludf.DUMMYFUNCTION("""COMPUTED_VALUE"""),80.35714285714286)</f>
        <v>80.35714286</v>
      </c>
      <c r="V29" s="47">
        <f>IFERROR(__xludf.DUMMYFUNCTION("""COMPUTED_VALUE"""),2.6)</f>
        <v>2.6</v>
      </c>
      <c r="W29" s="46">
        <f>IFERROR(__xludf.DUMMYFUNCTION("""COMPUTED_VALUE"""),0.4960293028477628)</f>
        <v>0.4960293028</v>
      </c>
      <c r="X29" s="46">
        <f>IFERROR(__xludf.DUMMYFUNCTION("""COMPUTED_VALUE"""),-1.4261378116187227)</f>
        <v>-1.426137812</v>
      </c>
      <c r="Y29" s="46">
        <f>IFERROR(__xludf.DUMMYFUNCTION("""COMPUTED_VALUE"""),1.5491200685976079)</f>
        <v>1.549120069</v>
      </c>
      <c r="Z29" s="46">
        <f>IFERROR(__xludf.DUMMYFUNCTION("""COMPUTED_VALUE"""),-0.17544846415960708)</f>
        <v>-0.1754484642</v>
      </c>
      <c r="AA29" s="46">
        <f>IFERROR(__xludf.DUMMYFUNCTION("""COMPUTED_VALUE"""),0.6657790304411786)</f>
        <v>0.6657790304</v>
      </c>
      <c r="AB29" s="46">
        <f>IFERROR(__xludf.DUMMYFUNCTION("""COMPUTED_VALUE"""),0.12956496180946983)</f>
        <v>0.1295649618</v>
      </c>
      <c r="AC29" s="46">
        <f>IFERROR(__xludf.DUMMYFUNCTION("""COMPUTED_VALUE"""),0.6083376686348317)</f>
        <v>0.6083376686</v>
      </c>
      <c r="AD29" s="46">
        <f>IFERROR(__xludf.DUMMYFUNCTION("""COMPUTED_VALUE"""),0.19203753295407164)</f>
        <v>0.192037533</v>
      </c>
      <c r="AE29" s="46">
        <f>IFERROR(__xludf.DUMMYFUNCTION("""COMPUTED_VALUE"""),-0.18793332823716524)</f>
        <v>-0.1879333282</v>
      </c>
    </row>
    <row r="30">
      <c r="A30" s="6" t="str">
        <f>IF(VLOOKUP(H30,'Paste #BBall'!$B$2:$N1001,3,)="BRO","BKN",IF(VLOOKUP(H30,'Paste #BBall'!$B$2:$N1001,3,)="OKL","OKC",VLOOKUP(H30,'Paste #BBall'!$B$2:$N1001,3,)))</f>
        <v>MEM</v>
      </c>
      <c r="B30" s="42">
        <f>VLOOKUP($A30,Schedule!$C$2:$G$31,2,0)</f>
        <v>4</v>
      </c>
      <c r="C30" s="42">
        <f>VLOOKUP($A30,Schedule!$C$2:$G$31,3,0)</f>
        <v>3</v>
      </c>
      <c r="D30" s="42">
        <f>VLOOKUP($A30,Schedule!$C$2:$G$31,4,0)</f>
        <v>3</v>
      </c>
      <c r="E30" s="42">
        <f t="shared" si="1"/>
        <v>10</v>
      </c>
      <c r="F30" s="43">
        <v>25.0</v>
      </c>
      <c r="G30" s="45">
        <f>IFERROR(__xludf.DUMMYFUNCTION("""COMPUTED_VALUE"""),21.0)</f>
        <v>21</v>
      </c>
      <c r="H30" s="45" t="str">
        <f>IFERROR(__xludf.DUMMYFUNCTION("""COMPUTED_VALUE"""),"Jaren Jackson Jr.")</f>
        <v>Jaren Jackson Jr.</v>
      </c>
      <c r="I30" s="45">
        <f>IFERROR(__xludf.DUMMYFUNCTION("""COMPUTED_VALUE"""),69.0)</f>
        <v>69</v>
      </c>
      <c r="J30" s="46" t="str">
        <f>IFERROR(__xludf.DUMMYFUNCTION("""COMPUTED_VALUE"""),"PF,C")</f>
        <v>PF,C</v>
      </c>
      <c r="K30" s="46">
        <f>IFERROR(__xludf.DUMMYFUNCTION("""COMPUTED_VALUE"""),3.111693059921107)</f>
        <v>3.11169306</v>
      </c>
      <c r="L30" s="46">
        <f>IFERROR(__xludf.DUMMYFUNCTION("""COMPUTED_VALUE"""),3.2521358853925335)</f>
        <v>3.252135885</v>
      </c>
      <c r="M30" s="47">
        <f>IFERROR(__xludf.DUMMYFUNCTION("""COMPUTED_VALUE"""),0.1404428254714265)</f>
        <v>0.1404428255</v>
      </c>
      <c r="N30" s="47">
        <f>IFERROR(__xludf.DUMMYFUNCTION("""COMPUTED_VALUE"""),19.6)</f>
        <v>19.6</v>
      </c>
      <c r="O30" s="47">
        <f>IFERROR(__xludf.DUMMYFUNCTION("""COMPUTED_VALUE"""),1.7)</f>
        <v>1.7</v>
      </c>
      <c r="P30" s="47">
        <f>IFERROR(__xludf.DUMMYFUNCTION("""COMPUTED_VALUE"""),7.1)</f>
        <v>7.1</v>
      </c>
      <c r="Q30" s="48">
        <f>IFERROR(__xludf.DUMMYFUNCTION("""COMPUTED_VALUE"""),1.2)</f>
        <v>1.2</v>
      </c>
      <c r="R30" s="47">
        <f>IFERROR(__xludf.DUMMYFUNCTION("""COMPUTED_VALUE"""),1.0)</f>
        <v>1</v>
      </c>
      <c r="S30" s="47">
        <f>IFERROR(__xludf.DUMMYFUNCTION("""COMPUTED_VALUE"""),2.6)</f>
        <v>2.6</v>
      </c>
      <c r="T30" s="47">
        <f>IFERROR(__xludf.DUMMYFUNCTION("""COMPUTED_VALUE"""),47.945205479452056)</f>
        <v>47.94520548</v>
      </c>
      <c r="U30" s="47">
        <f>IFERROR(__xludf.DUMMYFUNCTION("""COMPUTED_VALUE"""),80.0)</f>
        <v>80</v>
      </c>
      <c r="V30" s="47">
        <f>IFERROR(__xludf.DUMMYFUNCTION("""COMPUTED_VALUE"""),2.0)</f>
        <v>2</v>
      </c>
      <c r="W30" s="46">
        <f>IFERROR(__xludf.DUMMYFUNCTION("""COMPUTED_VALUE"""),0.39491347667268123)</f>
        <v>0.3949134767</v>
      </c>
      <c r="X30" s="46">
        <f>IFERROR(__xludf.DUMMYFUNCTION("""COMPUTED_VALUE"""),0.047981126211737425)</f>
        <v>0.04798112621</v>
      </c>
      <c r="Y30" s="46">
        <f>IFERROR(__xludf.DUMMYFUNCTION("""COMPUTED_VALUE"""),0.42010508248634065)</f>
        <v>0.4201050825</v>
      </c>
      <c r="Z30" s="46">
        <f>IFERROR(__xludf.DUMMYFUNCTION("""COMPUTED_VALUE"""),-1.3485050559244194)</f>
        <v>-1.348505056</v>
      </c>
      <c r="AA30" s="46">
        <f>IFERROR(__xludf.DUMMYFUNCTION("""COMPUTED_VALUE"""),0.011629328042640127)</f>
        <v>0.01162932804</v>
      </c>
      <c r="AB30" s="46">
        <f>IFERROR(__xludf.DUMMYFUNCTION("""COMPUTED_VALUE"""),2.4932500759011518)</f>
        <v>2.493250076</v>
      </c>
      <c r="AC30" s="46">
        <f>IFERROR(__xludf.DUMMYFUNCTION("""COMPUTED_VALUE"""),-0.24109870758498325)</f>
        <v>-0.2410987076</v>
      </c>
      <c r="AD30" s="46">
        <f>IFERROR(__xludf.DUMMYFUNCTION("""COMPUTED_VALUE"""),0.12701130391175117)</f>
        <v>0.1270113039</v>
      </c>
      <c r="AE30" s="46">
        <f>IFERROR(__xludf.DUMMYFUNCTION("""COMPUTED_VALUE"""),-0.0016558002487857576)</f>
        <v>-0.001655800249</v>
      </c>
    </row>
    <row r="31">
      <c r="A31" s="6" t="str">
        <f>IF(VLOOKUP(H31,'Paste #BBall'!$B$2:$N1001,3,)="BRO","BKN",IF(VLOOKUP(H31,'Paste #BBall'!$B$2:$N1001,3,)="OKL","OKC",VLOOKUP(H31,'Paste #BBall'!$B$2:$N1001,3,)))</f>
        <v>CLE</v>
      </c>
      <c r="B31" s="42">
        <f>VLOOKUP($A31,Schedule!$C$2:$G$31,2,0)</f>
        <v>4</v>
      </c>
      <c r="C31" s="42">
        <f>VLOOKUP($A31,Schedule!$C$2:$G$31,3,0)</f>
        <v>3</v>
      </c>
      <c r="D31" s="42">
        <f>VLOOKUP($A31,Schedule!$C$2:$G$31,4,0)</f>
        <v>4</v>
      </c>
      <c r="E31" s="42">
        <f t="shared" si="1"/>
        <v>11</v>
      </c>
      <c r="F31" s="51">
        <v>26.0</v>
      </c>
      <c r="G31" s="45">
        <f>IFERROR(__xludf.DUMMYFUNCTION("""COMPUTED_VALUE"""),33.0)</f>
        <v>33</v>
      </c>
      <c r="H31" s="45" t="str">
        <f>IFERROR(__xludf.DUMMYFUNCTION("""COMPUTED_VALUE"""),"Darius Garland")</f>
        <v>Darius Garland</v>
      </c>
      <c r="I31" s="45">
        <f>IFERROR(__xludf.DUMMYFUNCTION("""COMPUTED_VALUE"""),69.0)</f>
        <v>69</v>
      </c>
      <c r="J31" s="46" t="str">
        <f>IFERROR(__xludf.DUMMYFUNCTION("""COMPUTED_VALUE"""),"PG")</f>
        <v>PG</v>
      </c>
      <c r="K31" s="46">
        <f>IFERROR(__xludf.DUMMYFUNCTION("""COMPUTED_VALUE"""),2.0659739313453347)</f>
        <v>2.065973931</v>
      </c>
      <c r="L31" s="46">
        <f>IFERROR(__xludf.DUMMYFUNCTION("""COMPUTED_VALUE"""),3.140666810618605)</f>
        <v>3.140666811</v>
      </c>
      <c r="M31" s="47">
        <f>IFERROR(__xludf.DUMMYFUNCTION("""COMPUTED_VALUE"""),1.0746928792732704)</f>
        <v>1.074692879</v>
      </c>
      <c r="N31" s="47">
        <f>IFERROR(__xludf.DUMMYFUNCTION("""COMPUTED_VALUE"""),21.8)</f>
        <v>21.8</v>
      </c>
      <c r="O31" s="47">
        <f>IFERROR(__xludf.DUMMYFUNCTION("""COMPUTED_VALUE"""),2.5)</f>
        <v>2.5</v>
      </c>
      <c r="P31" s="47">
        <f>IFERROR(__xludf.DUMMYFUNCTION("""COMPUTED_VALUE"""),3.0)</f>
        <v>3</v>
      </c>
      <c r="Q31" s="48">
        <f>IFERROR(__xludf.DUMMYFUNCTION("""COMPUTED_VALUE"""),7.8)</f>
        <v>7.8</v>
      </c>
      <c r="R31" s="47">
        <f>IFERROR(__xludf.DUMMYFUNCTION("""COMPUTED_VALUE"""),1.2)</f>
        <v>1.2</v>
      </c>
      <c r="S31" s="47">
        <f>IFERROR(__xludf.DUMMYFUNCTION("""COMPUTED_VALUE"""),0.1)</f>
        <v>0.1</v>
      </c>
      <c r="T31" s="47">
        <f>IFERROR(__xludf.DUMMYFUNCTION("""COMPUTED_VALUE"""),45.88235294117647)</f>
        <v>45.88235294</v>
      </c>
      <c r="U31" s="47">
        <f>IFERROR(__xludf.DUMMYFUNCTION("""COMPUTED_VALUE"""),87.8048780487805)</f>
        <v>87.80487805</v>
      </c>
      <c r="V31" s="47">
        <f>IFERROR(__xludf.DUMMYFUNCTION("""COMPUTED_VALUE"""),3.0)</f>
        <v>3</v>
      </c>
      <c r="W31" s="46">
        <f>IFERROR(__xludf.DUMMYFUNCTION("""COMPUTED_VALUE"""),0.765671505981315)</f>
        <v>0.765671506</v>
      </c>
      <c r="X31" s="46">
        <f>IFERROR(__xludf.DUMMYFUNCTION("""COMPUTED_VALUE"""),0.7416841557790128)</f>
        <v>0.7416841558</v>
      </c>
      <c r="Y31" s="46">
        <f>IFERROR(__xludf.DUMMYFUNCTION("""COMPUTED_VALUE"""),-1.2943250816085456)</f>
        <v>-1.294325082</v>
      </c>
      <c r="Z31" s="46">
        <f>IFERROR(__xludf.DUMMYFUNCTION("""COMPUTED_VALUE"""),2.0176573378354767)</f>
        <v>2.017657338</v>
      </c>
      <c r="AA31" s="46">
        <f>IFERROR(__xludf.DUMMYFUNCTION("""COMPUTED_VALUE"""),0.44772912964166556)</f>
        <v>0.4477291296</v>
      </c>
      <c r="AB31" s="46">
        <f>IFERROR(__xludf.DUMMYFUNCTION("""COMPUTED_VALUE"""),-0.7896459158928509)</f>
        <v>-0.7896459159</v>
      </c>
      <c r="AC31" s="46">
        <f>IFERROR(__xludf.DUMMYFUNCTION("""COMPUTED_VALUE"""),-0.6310182862041335)</f>
        <v>-0.6310182862</v>
      </c>
      <c r="AD31" s="46">
        <f>IFERROR(__xludf.DUMMYFUNCTION("""COMPUTED_VALUE"""),0.9007072303742041)</f>
        <v>0.9007072304</v>
      </c>
      <c r="AE31" s="46">
        <f>IFERROR(__xludf.DUMMYFUNCTION("""COMPUTED_VALUE"""),-0.31211834689608486)</f>
        <v>-0.3121183469</v>
      </c>
    </row>
    <row r="32">
      <c r="A32" s="6" t="str">
        <f>IF(VLOOKUP(H32,'Paste #BBall'!$B$2:$N1001,3,)="BRO","BKN",IF(VLOOKUP(H32,'Paste #BBall'!$B$2:$N1001,3,)="OKL","OKC",VLOOKUP(H32,'Paste #BBall'!$B$2:$N1001,3,)))</f>
        <v>MEM</v>
      </c>
      <c r="B32" s="42">
        <f>VLOOKUP($A32,Schedule!$C$2:$G$31,2,0)</f>
        <v>4</v>
      </c>
      <c r="C32" s="42">
        <f>VLOOKUP($A32,Schedule!$C$2:$G$31,3,0)</f>
        <v>3</v>
      </c>
      <c r="D32" s="42">
        <f>VLOOKUP($A32,Schedule!$C$2:$G$31,4,0)</f>
        <v>3</v>
      </c>
      <c r="E32" s="42">
        <f t="shared" si="1"/>
        <v>10</v>
      </c>
      <c r="F32" s="51">
        <v>27.0</v>
      </c>
      <c r="G32" s="45">
        <f>IFERROR(__xludf.DUMMYFUNCTION("""COMPUTED_VALUE"""),23.0)</f>
        <v>23</v>
      </c>
      <c r="H32" s="45" t="str">
        <f>IFERROR(__xludf.DUMMYFUNCTION("""COMPUTED_VALUE"""),"Desmond Bane")</f>
        <v>Desmond Bane</v>
      </c>
      <c r="I32" s="45">
        <f>IFERROR(__xludf.DUMMYFUNCTION("""COMPUTED_VALUE"""),70.0)</f>
        <v>70</v>
      </c>
      <c r="J32" s="46" t="str">
        <f>IFERROR(__xludf.DUMMYFUNCTION("""COMPUTED_VALUE"""),"SG,SF")</f>
        <v>SG,SF</v>
      </c>
      <c r="K32" s="46">
        <f>IFERROR(__xludf.DUMMYFUNCTION("""COMPUTED_VALUE"""),2.9542778715853353)</f>
        <v>2.954277872</v>
      </c>
      <c r="L32" s="46">
        <f>IFERROR(__xludf.DUMMYFUNCTION("""COMPUTED_VALUE"""),3.0749876977007533)</f>
        <v>3.074987698</v>
      </c>
      <c r="M32" s="47">
        <f>IFERROR(__xludf.DUMMYFUNCTION("""COMPUTED_VALUE"""),0.12070982611541803)</f>
        <v>0.1207098261</v>
      </c>
      <c r="N32" s="47">
        <f>IFERROR(__xludf.DUMMYFUNCTION("""COMPUTED_VALUE"""),22.6)</f>
        <v>22.6</v>
      </c>
      <c r="O32" s="47">
        <f>IFERROR(__xludf.DUMMYFUNCTION("""COMPUTED_VALUE"""),3.4)</f>
        <v>3.4</v>
      </c>
      <c r="P32" s="47">
        <f>IFERROR(__xludf.DUMMYFUNCTION("""COMPUTED_VALUE"""),5.4)</f>
        <v>5.4</v>
      </c>
      <c r="Q32" s="48">
        <f>IFERROR(__xludf.DUMMYFUNCTION("""COMPUTED_VALUE"""),4.0)</f>
        <v>4</v>
      </c>
      <c r="R32" s="47">
        <f>IFERROR(__xludf.DUMMYFUNCTION("""COMPUTED_VALUE"""),1.2)</f>
        <v>1.2</v>
      </c>
      <c r="S32" s="47">
        <f>IFERROR(__xludf.DUMMYFUNCTION("""COMPUTED_VALUE"""),0.4)</f>
        <v>0.4</v>
      </c>
      <c r="T32" s="47">
        <f>IFERROR(__xludf.DUMMYFUNCTION("""COMPUTED_VALUE"""),46.59090909090908)</f>
        <v>46.59090909</v>
      </c>
      <c r="U32" s="47">
        <f>IFERROR(__xludf.DUMMYFUNCTION("""COMPUTED_VALUE"""),90.32258064516128)</f>
        <v>90.32258065</v>
      </c>
      <c r="V32" s="47">
        <f>IFERROR(__xludf.DUMMYFUNCTION("""COMPUTED_VALUE"""),2.2)</f>
        <v>2.2</v>
      </c>
      <c r="W32" s="46">
        <f>IFERROR(__xludf.DUMMYFUNCTION("""COMPUTED_VALUE"""),0.900492607548091)</f>
        <v>0.9004926075</v>
      </c>
      <c r="X32" s="46">
        <f>IFERROR(__xludf.DUMMYFUNCTION("""COMPUTED_VALUE"""),1.5221000640421976)</f>
        <v>1.522100064</v>
      </c>
      <c r="Y32" s="46">
        <f>IFERROR(__xludf.DUMMYFUNCTION("""COMPUTED_VALUE"""),-0.2907562050651974)</f>
        <v>-0.2907562051</v>
      </c>
      <c r="Z32" s="46">
        <f>IFERROR(__xludf.DUMMYFUNCTION("""COMPUTED_VALUE"""),0.07956383839796079)</f>
        <v>0.0795638384</v>
      </c>
      <c r="AA32" s="46">
        <f>IFERROR(__xludf.DUMMYFUNCTION("""COMPUTED_VALUE"""),0.44772912964166556)</f>
        <v>0.4477291296</v>
      </c>
      <c r="AB32" s="46">
        <f>IFERROR(__xludf.DUMMYFUNCTION("""COMPUTED_VALUE"""),-0.39569839687757064)</f>
        <v>-0.3956983969</v>
      </c>
      <c r="AC32" s="46">
        <f>IFERROR(__xludf.DUMMYFUNCTION("""COMPUTED_VALUE"""),-0.5287251750137805)</f>
        <v>-0.528725175</v>
      </c>
      <c r="AD32" s="46">
        <f>IFERROR(__xludf.DUMMYFUNCTION("""COMPUTED_VALUE"""),0.875304969591852)</f>
        <v>0.8753049696</v>
      </c>
      <c r="AE32" s="46">
        <f>IFERROR(__xludf.DUMMYFUNCTION("""COMPUTED_VALUE"""),-0.06374830957824563)</f>
        <v>-0.06374830958</v>
      </c>
    </row>
    <row r="33">
      <c r="A33" s="6" t="str">
        <f>IF(VLOOKUP(H33,'Paste #BBall'!$B$2:$N1001,3,)="BRO","BKN",IF(VLOOKUP(H33,'Paste #BBall'!$B$2:$N1001,3,)="OKL","OKC",VLOOKUP(H33,'Paste #BBall'!$B$2:$N1001,3,)))</f>
        <v>LAL</v>
      </c>
      <c r="B33" s="42">
        <f>VLOOKUP($A33,Schedule!$C$2:$G$31,2,0)</f>
        <v>4</v>
      </c>
      <c r="C33" s="42">
        <f>VLOOKUP($A33,Schedule!$C$2:$G$31,3,0)</f>
        <v>2</v>
      </c>
      <c r="D33" s="42">
        <f>VLOOKUP($A33,Schedule!$C$2:$G$31,4,0)</f>
        <v>3</v>
      </c>
      <c r="E33" s="42">
        <f t="shared" si="1"/>
        <v>9</v>
      </c>
      <c r="F33" s="43">
        <v>28.0</v>
      </c>
      <c r="G33" s="45">
        <f>IFERROR(__xludf.DUMMYFUNCTION("""COMPUTED_VALUE"""),25.0)</f>
        <v>25</v>
      </c>
      <c r="H33" s="45" t="str">
        <f>IFERROR(__xludf.DUMMYFUNCTION("""COMPUTED_VALUE"""),"LeBron James")</f>
        <v>LeBron James</v>
      </c>
      <c r="I33" s="45">
        <f>IFERROR(__xludf.DUMMYFUNCTION("""COMPUTED_VALUE"""),56.0)</f>
        <v>56</v>
      </c>
      <c r="J33" s="46" t="str">
        <f>IFERROR(__xludf.DUMMYFUNCTION("""COMPUTED_VALUE"""),"SF,PF")</f>
        <v>SF,PF</v>
      </c>
      <c r="K33" s="46">
        <f>IFERROR(__xludf.DUMMYFUNCTION("""COMPUTED_VALUE"""),2.565004818154389)</f>
        <v>2.565004818</v>
      </c>
      <c r="L33" s="46">
        <f>IFERROR(__xludf.DUMMYFUNCTION("""COMPUTED_VALUE"""),3.0533853100986708)</f>
        <v>3.05338531</v>
      </c>
      <c r="M33" s="47">
        <f>IFERROR(__xludf.DUMMYFUNCTION("""COMPUTED_VALUE"""),0.48838049194428157)</f>
        <v>0.4883804919</v>
      </c>
      <c r="N33" s="47">
        <f>IFERROR(__xludf.DUMMYFUNCTION("""COMPUTED_VALUE"""),26.7)</f>
        <v>26.7</v>
      </c>
      <c r="O33" s="47">
        <f>IFERROR(__xludf.DUMMYFUNCTION("""COMPUTED_VALUE"""),2.3)</f>
        <v>2.3</v>
      </c>
      <c r="P33" s="47">
        <f>IFERROR(__xludf.DUMMYFUNCTION("""COMPUTED_VALUE"""),7.6)</f>
        <v>7.6</v>
      </c>
      <c r="Q33" s="48">
        <f>IFERROR(__xludf.DUMMYFUNCTION("""COMPUTED_VALUE"""),6.0)</f>
        <v>6</v>
      </c>
      <c r="R33" s="47">
        <f>IFERROR(__xludf.DUMMYFUNCTION("""COMPUTED_VALUE"""),0.8)</f>
        <v>0.8</v>
      </c>
      <c r="S33" s="47">
        <f>IFERROR(__xludf.DUMMYFUNCTION("""COMPUTED_VALUE"""),0.5)</f>
        <v>0.5</v>
      </c>
      <c r="T33" s="47">
        <f>IFERROR(__xludf.DUMMYFUNCTION("""COMPUTED_VALUE"""),50.24875621890546)</f>
        <v>50.24875622</v>
      </c>
      <c r="U33" s="47">
        <f>IFERROR(__xludf.DUMMYFUNCTION("""COMPUTED_VALUE"""),76.36363636363637)</f>
        <v>76.36363636</v>
      </c>
      <c r="V33" s="47">
        <f>IFERROR(__xludf.DUMMYFUNCTION("""COMPUTED_VALUE"""),3.1)</f>
        <v>3.1</v>
      </c>
      <c r="W33" s="46">
        <f>IFERROR(__xludf.DUMMYFUNCTION("""COMPUTED_VALUE"""),1.5914507530778172)</f>
        <v>1.591450753</v>
      </c>
      <c r="X33" s="46">
        <f>IFERROR(__xludf.DUMMYFUNCTION("""COMPUTED_VALUE"""),0.5682583983871938)</f>
        <v>0.5682583984</v>
      </c>
      <c r="Y33" s="46">
        <f>IFERROR(__xludf.DUMMYFUNCTION("""COMPUTED_VALUE"""),0.6291819317662048)</f>
        <v>0.6291819318</v>
      </c>
      <c r="Z33" s="46">
        <f>IFERROR(__xludf.DUMMYFUNCTION("""COMPUTED_VALUE"""),1.0996130486282323)</f>
        <v>1.099613049</v>
      </c>
      <c r="AA33" s="46">
        <f>IFERROR(__xludf.DUMMYFUNCTION("""COMPUTED_VALUE"""),-0.42447047355638534)</f>
        <v>-0.4244704736</v>
      </c>
      <c r="AB33" s="46">
        <f>IFERROR(__xludf.DUMMYFUNCTION("""COMPUTED_VALUE"""),-0.2643825572058105)</f>
        <v>-0.2643825572</v>
      </c>
      <c r="AC33" s="46">
        <f>IFERROR(__xludf.DUMMYFUNCTION("""COMPUTED_VALUE"""),0.1305646284320265)</f>
        <v>0.1305646284</v>
      </c>
      <c r="AD33" s="46">
        <f>IFERROR(__xludf.DUMMYFUNCTION("""COMPUTED_VALUE"""),-0.3581362914261786)</f>
        <v>-0.3581362914</v>
      </c>
      <c r="AE33" s="46">
        <f>IFERROR(__xludf.DUMMYFUNCTION("""COMPUTED_VALUE"""),-0.3431646015608148)</f>
        <v>-0.3431646016</v>
      </c>
    </row>
    <row r="34">
      <c r="A34" s="6" t="str">
        <f>IF(VLOOKUP(H34,'Paste #BBall'!$B$2:$N1001,3,)="BRO","BKN",IF(VLOOKUP(H34,'Paste #BBall'!$B$2:$N1001,3,)="OKL","OKC",VLOOKUP(H34,'Paste #BBall'!$B$2:$N1001,3,)))</f>
        <v>DET</v>
      </c>
      <c r="B34" s="42">
        <f>VLOOKUP($A34,Schedule!$C$2:$G$31,2,0)</f>
        <v>3</v>
      </c>
      <c r="C34" s="42">
        <f>VLOOKUP($A34,Schedule!$C$2:$G$31,3,0)</f>
        <v>4</v>
      </c>
      <c r="D34" s="42">
        <f>VLOOKUP($A34,Schedule!$C$2:$G$31,4,0)</f>
        <v>4</v>
      </c>
      <c r="E34" s="42">
        <f t="shared" si="1"/>
        <v>11</v>
      </c>
      <c r="F34" s="51">
        <v>29.0</v>
      </c>
      <c r="G34" s="45">
        <f>IFERROR(__xludf.DUMMYFUNCTION("""COMPUTED_VALUE"""),32.0)</f>
        <v>32</v>
      </c>
      <c r="H34" s="45" t="str">
        <f>IFERROR(__xludf.DUMMYFUNCTION("""COMPUTED_VALUE"""),"Cade Cunningham")</f>
        <v>Cade Cunningham</v>
      </c>
      <c r="I34" s="45">
        <f>IFERROR(__xludf.DUMMYFUNCTION("""COMPUTED_VALUE"""),65.0)</f>
        <v>65</v>
      </c>
      <c r="J34" s="46" t="str">
        <f>IFERROR(__xludf.DUMMYFUNCTION("""COMPUTED_VALUE"""),"PG,SG")</f>
        <v>PG,SG</v>
      </c>
      <c r="K34" s="46">
        <f>IFERROR(__xludf.DUMMYFUNCTION("""COMPUTED_VALUE"""),2.155030414297245)</f>
        <v>2.155030414</v>
      </c>
      <c r="L34" s="46">
        <f>IFERROR(__xludf.DUMMYFUNCTION("""COMPUTED_VALUE"""),3.0352956900630117)</f>
        <v>3.03529569</v>
      </c>
      <c r="M34" s="47">
        <f>IFERROR(__xludf.DUMMYFUNCTION("""COMPUTED_VALUE"""),0.8802652757657667)</f>
        <v>0.8802652758</v>
      </c>
      <c r="N34" s="47">
        <f>IFERROR(__xludf.DUMMYFUNCTION("""COMPUTED_VALUE"""),20.9)</f>
        <v>20.9</v>
      </c>
      <c r="O34" s="47">
        <f>IFERROR(__xludf.DUMMYFUNCTION("""COMPUTED_VALUE"""),1.8)</f>
        <v>1.8</v>
      </c>
      <c r="P34" s="47">
        <f>IFERROR(__xludf.DUMMYFUNCTION("""COMPUTED_VALUE"""),6.4)</f>
        <v>6.4</v>
      </c>
      <c r="Q34" s="48">
        <f>IFERROR(__xludf.DUMMYFUNCTION("""COMPUTED_VALUE"""),6.6)</f>
        <v>6.6</v>
      </c>
      <c r="R34" s="47">
        <f>IFERROR(__xludf.DUMMYFUNCTION("""COMPUTED_VALUE"""),1.3)</f>
        <v>1.3</v>
      </c>
      <c r="S34" s="47">
        <f>IFERROR(__xludf.DUMMYFUNCTION("""COMPUTED_VALUE"""),0.7)</f>
        <v>0.7</v>
      </c>
      <c r="T34" s="47">
        <f>IFERROR(__xludf.DUMMYFUNCTION("""COMPUTED_VALUE"""),42.02127659574468)</f>
        <v>42.0212766</v>
      </c>
      <c r="U34" s="47">
        <f>IFERROR(__xludf.DUMMYFUNCTION("""COMPUTED_VALUE"""),84.21052631578948)</f>
        <v>84.21052632</v>
      </c>
      <c r="V34" s="47">
        <f>IFERROR(__xludf.DUMMYFUNCTION("""COMPUTED_VALUE"""),3.3)</f>
        <v>3.3</v>
      </c>
      <c r="W34" s="46">
        <f>IFERROR(__xludf.DUMMYFUNCTION("""COMPUTED_VALUE"""),0.6139977667186917)</f>
        <v>0.6139977667</v>
      </c>
      <c r="X34" s="46">
        <f>IFERROR(__xludf.DUMMYFUNCTION("""COMPUTED_VALUE"""),0.13469400490764694)</f>
        <v>0.1346940049</v>
      </c>
      <c r="Y34" s="46">
        <f>IFERROR(__xludf.DUMMYFUNCTION("""COMPUTED_VALUE"""),0.12739749349453106)</f>
        <v>0.1273974935</v>
      </c>
      <c r="Z34" s="46">
        <f>IFERROR(__xludf.DUMMYFUNCTION("""COMPUTED_VALUE"""),1.4056278116973135)</f>
        <v>1.405627812</v>
      </c>
      <c r="AA34" s="46">
        <f>IFERROR(__xludf.DUMMYFUNCTION("""COMPUTED_VALUE"""),0.6657790304411786)</f>
        <v>0.6657790304</v>
      </c>
      <c r="AB34" s="46">
        <f>IFERROR(__xludf.DUMMYFUNCTION("""COMPUTED_VALUE"""),-0.0017508778622903794)</f>
        <v>-0.001750877862</v>
      </c>
      <c r="AC34" s="46">
        <f>IFERROR(__xludf.DUMMYFUNCTION("""COMPUTED_VALUE"""),-1.4228904847813482)</f>
        <v>-1.422890485</v>
      </c>
      <c r="AD34" s="46">
        <f>IFERROR(__xludf.DUMMYFUNCTION("""COMPUTED_VALUE"""),0.4948075715562148)</f>
        <v>0.4948075716</v>
      </c>
      <c r="AE34" s="46">
        <f>IFERROR(__xludf.DUMMYFUNCTION("""COMPUTED_VALUE"""),-0.40525711089027455)</f>
        <v>-0.4052571109</v>
      </c>
    </row>
    <row r="35">
      <c r="A35" s="6" t="str">
        <f>IF(VLOOKUP(H35,'Paste #BBall'!$B$2:$N1001,3,)="BRO","BKN",IF(VLOOKUP(H35,'Paste #BBall'!$B$2:$N1001,3,)="OKL","OKC",VLOOKUP(H35,'Paste #BBall'!$B$2:$N1001,3,)))</f>
        <v>MIN</v>
      </c>
      <c r="B35" s="42">
        <f>VLOOKUP($A35,Schedule!$C$2:$G$31,2,0)</f>
        <v>4</v>
      </c>
      <c r="C35" s="42">
        <f>VLOOKUP($A35,Schedule!$C$2:$G$31,3,0)</f>
        <v>2</v>
      </c>
      <c r="D35" s="42">
        <f>VLOOKUP($A35,Schedule!$C$2:$G$31,4,0)</f>
        <v>4</v>
      </c>
      <c r="E35" s="42">
        <f t="shared" si="1"/>
        <v>10</v>
      </c>
      <c r="F35" s="51">
        <v>30.0</v>
      </c>
      <c r="G35" s="45">
        <f>IFERROR(__xludf.DUMMYFUNCTION("""COMPUTED_VALUE"""),26.0)</f>
        <v>26</v>
      </c>
      <c r="H35" s="45" t="str">
        <f>IFERROR(__xludf.DUMMYFUNCTION("""COMPUTED_VALUE"""),"Karl-Anthony Towns")</f>
        <v>Karl-Anthony Towns</v>
      </c>
      <c r="I35" s="45">
        <f>IFERROR(__xludf.DUMMYFUNCTION("""COMPUTED_VALUE"""),70.0)</f>
        <v>70</v>
      </c>
      <c r="J35" s="46" t="str">
        <f>IFERROR(__xludf.DUMMYFUNCTION("""COMPUTED_VALUE"""),"PF,C")</f>
        <v>PF,C</v>
      </c>
      <c r="K35" s="46">
        <f>IFERROR(__xludf.DUMMYFUNCTION("""COMPUTED_VALUE"""),2.551360661611608)</f>
        <v>2.551360662</v>
      </c>
      <c r="L35" s="46">
        <f>IFERROR(__xludf.DUMMYFUNCTION("""COMPUTED_VALUE"""),3.02209117633912)</f>
        <v>3.022091176</v>
      </c>
      <c r="M35" s="47">
        <f>IFERROR(__xludf.DUMMYFUNCTION("""COMPUTED_VALUE"""),0.4707305147275118)</f>
        <v>0.4707305147</v>
      </c>
      <c r="N35" s="47">
        <f>IFERROR(__xludf.DUMMYFUNCTION("""COMPUTED_VALUE"""),21.4)</f>
        <v>21.4</v>
      </c>
      <c r="O35" s="47">
        <f>IFERROR(__xludf.DUMMYFUNCTION("""COMPUTED_VALUE"""),2.1)</f>
        <v>2.1</v>
      </c>
      <c r="P35" s="47">
        <f>IFERROR(__xludf.DUMMYFUNCTION("""COMPUTED_VALUE"""),8.5)</f>
        <v>8.5</v>
      </c>
      <c r="Q35" s="48">
        <f>IFERROR(__xludf.DUMMYFUNCTION("""COMPUTED_VALUE"""),4.6)</f>
        <v>4.6</v>
      </c>
      <c r="R35" s="47">
        <f>IFERROR(__xludf.DUMMYFUNCTION("""COMPUTED_VALUE"""),0.7)</f>
        <v>0.7</v>
      </c>
      <c r="S35" s="47">
        <f>IFERROR(__xludf.DUMMYFUNCTION("""COMPUTED_VALUE"""),0.7)</f>
        <v>0.7</v>
      </c>
      <c r="T35" s="47">
        <f>IFERROR(__xludf.DUMMYFUNCTION("""COMPUTED_VALUE"""),50.0)</f>
        <v>50</v>
      </c>
      <c r="U35" s="47">
        <f>IFERROR(__xludf.DUMMYFUNCTION("""COMPUTED_VALUE"""),84.61538461538461)</f>
        <v>84.61538462</v>
      </c>
      <c r="V35" s="47">
        <f>IFERROR(__xludf.DUMMYFUNCTION("""COMPUTED_VALUE"""),2.8)</f>
        <v>2.8</v>
      </c>
      <c r="W35" s="46">
        <f>IFERROR(__xludf.DUMMYFUNCTION("""COMPUTED_VALUE"""),0.6982609551979266)</f>
        <v>0.6982609552</v>
      </c>
      <c r="X35" s="46">
        <f>IFERROR(__xludf.DUMMYFUNCTION("""COMPUTED_VALUE"""),0.39483264099537524)</f>
        <v>0.394832641</v>
      </c>
      <c r="Y35" s="46">
        <f>IFERROR(__xludf.DUMMYFUNCTION("""COMPUTED_VALUE"""),1.0055202604699605)</f>
        <v>1.00552026</v>
      </c>
      <c r="Z35" s="46">
        <f>IFERROR(__xludf.DUMMYFUNCTION("""COMPUTED_VALUE"""),0.38557860146704204)</f>
        <v>0.3855786015</v>
      </c>
      <c r="AA35" s="46">
        <f>IFERROR(__xludf.DUMMYFUNCTION("""COMPUTED_VALUE"""),-0.6425203743558983)</f>
        <v>-0.6425203744</v>
      </c>
      <c r="AB35" s="46">
        <f>IFERROR(__xludf.DUMMYFUNCTION("""COMPUTED_VALUE"""),-0.0017508778622903794)</f>
        <v>-0.001750877862</v>
      </c>
      <c r="AC35" s="46">
        <f>IFERROR(__xludf.DUMMYFUNCTION("""COMPUTED_VALUE"""),0.06016520669458396)</f>
        <v>0.06016520669</v>
      </c>
      <c r="AD35" s="46">
        <f>IFERROR(__xludf.DUMMYFUNCTION("""COMPUTED_VALUE"""),0.7295102269431463)</f>
        <v>0.7295102269</v>
      </c>
      <c r="AE35" s="46">
        <f>IFERROR(__xludf.DUMMYFUNCTION("""COMPUTED_VALUE"""),-0.250025837566625)</f>
        <v>-0.2500258376</v>
      </c>
    </row>
    <row r="36">
      <c r="A36" s="6" t="str">
        <f>IF(VLOOKUP(H36,'Paste #BBall'!$B$2:$N1001,3,)="BRO","BKN",IF(VLOOKUP(H36,'Paste #BBall'!$B$2:$N1001,3,)="OKL","OKC",VLOOKUP(H36,'Paste #BBall'!$B$2:$N1001,3,)))</f>
        <v>LAC</v>
      </c>
      <c r="B36" s="42">
        <f>VLOOKUP($A36,Schedule!$C$2:$G$31,2,0)</f>
        <v>4</v>
      </c>
      <c r="C36" s="42">
        <f>VLOOKUP($A36,Schedule!$C$2:$G$31,3,0)</f>
        <v>4</v>
      </c>
      <c r="D36" s="42">
        <f>VLOOKUP($A36,Schedule!$C$2:$G$31,4,0)</f>
        <v>3</v>
      </c>
      <c r="E36" s="42">
        <f t="shared" si="1"/>
        <v>11</v>
      </c>
      <c r="F36" s="43">
        <v>31.0</v>
      </c>
      <c r="G36" s="45">
        <f>IFERROR(__xludf.DUMMYFUNCTION("""COMPUTED_VALUE"""),22.0)</f>
        <v>22</v>
      </c>
      <c r="H36" s="45" t="str">
        <f>IFERROR(__xludf.DUMMYFUNCTION("""COMPUTED_VALUE"""),"Kawhi Leonard")</f>
        <v>Kawhi Leonard</v>
      </c>
      <c r="I36" s="45">
        <f>IFERROR(__xludf.DUMMYFUNCTION("""COMPUTED_VALUE"""),56.0)</f>
        <v>56</v>
      </c>
      <c r="J36" s="46" t="str">
        <f>IFERROR(__xludf.DUMMYFUNCTION("""COMPUTED_VALUE"""),"SG,SF")</f>
        <v>SG,SF</v>
      </c>
      <c r="K36" s="46">
        <f>IFERROR(__xludf.DUMMYFUNCTION("""COMPUTED_VALUE"""),3.0855954663421805)</f>
        <v>3.085595466</v>
      </c>
      <c r="L36" s="46">
        <f>IFERROR(__xludf.DUMMYFUNCTION("""COMPUTED_VALUE"""),2.9936371948971283)</f>
        <v>2.993637195</v>
      </c>
      <c r="M36" s="47">
        <f>IFERROR(__xludf.DUMMYFUNCTION("""COMPUTED_VALUE"""),-0.0919582714450522)</f>
        <v>-0.09195827145</v>
      </c>
      <c r="N36" s="47">
        <f>IFERROR(__xludf.DUMMYFUNCTION("""COMPUTED_VALUE"""),23.2)</f>
        <v>23.2</v>
      </c>
      <c r="O36" s="47">
        <f>IFERROR(__xludf.DUMMYFUNCTION("""COMPUTED_VALUE"""),1.9)</f>
        <v>1.9</v>
      </c>
      <c r="P36" s="47">
        <f>IFERROR(__xludf.DUMMYFUNCTION("""COMPUTED_VALUE"""),6.2)</f>
        <v>6.2</v>
      </c>
      <c r="Q36" s="48">
        <f>IFERROR(__xludf.DUMMYFUNCTION("""COMPUTED_VALUE"""),3.7)</f>
        <v>3.7</v>
      </c>
      <c r="R36" s="47">
        <f>IFERROR(__xludf.DUMMYFUNCTION("""COMPUTED_VALUE"""),1.3)</f>
        <v>1.3</v>
      </c>
      <c r="S36" s="47">
        <f>IFERROR(__xludf.DUMMYFUNCTION("""COMPUTED_VALUE"""),0.5)</f>
        <v>0.5</v>
      </c>
      <c r="T36" s="47">
        <f>IFERROR(__xludf.DUMMYFUNCTION("""COMPUTED_VALUE"""),50.2994011976048)</f>
        <v>50.2994012</v>
      </c>
      <c r="U36" s="47">
        <f>IFERROR(__xludf.DUMMYFUNCTION("""COMPUTED_VALUE"""),86.27450980392159)</f>
        <v>86.2745098</v>
      </c>
      <c r="V36" s="47">
        <f>IFERROR(__xludf.DUMMYFUNCTION("""COMPUTED_VALUE"""),1.7)</f>
        <v>1.7</v>
      </c>
      <c r="W36" s="46">
        <f>IFERROR(__xludf.DUMMYFUNCTION("""COMPUTED_VALUE"""),1.0016084337231725)</f>
        <v>1.001608434</v>
      </c>
      <c r="X36" s="46">
        <f>IFERROR(__xludf.DUMMYFUNCTION("""COMPUTED_VALUE"""),0.2214068836035562)</f>
        <v>0.2214068836</v>
      </c>
      <c r="Y36" s="46">
        <f>IFERROR(__xludf.DUMMYFUNCTION("""COMPUTED_VALUE"""),0.04376675378258529)</f>
        <v>0.04376675378</v>
      </c>
      <c r="Z36" s="46">
        <f>IFERROR(__xludf.DUMMYFUNCTION("""COMPUTED_VALUE"""),-0.07344354313657983)</f>
        <v>-0.07344354314</v>
      </c>
      <c r="AA36" s="46">
        <f>IFERROR(__xludf.DUMMYFUNCTION("""COMPUTED_VALUE"""),0.6657790304411786)</f>
        <v>0.6657790304</v>
      </c>
      <c r="AB36" s="46">
        <f>IFERROR(__xludf.DUMMYFUNCTION("""COMPUTED_VALUE"""),-0.2643825572058105)</f>
        <v>-0.2643825572</v>
      </c>
      <c r="AC36" s="46">
        <f>IFERROR(__xludf.DUMMYFUNCTION("""COMPUTED_VALUE"""),0.11692718158125681)</f>
        <v>0.1169271816</v>
      </c>
      <c r="AD36" s="46">
        <f>IFERROR(__xludf.DUMMYFUNCTION("""COMPUTED_VALUE"""),0.926109491156555)</f>
        <v>0.9261094912</v>
      </c>
      <c r="AE36" s="46">
        <f>IFERROR(__xludf.DUMMYFUNCTION("""COMPUTED_VALUE"""),0.09148296374540399)</f>
        <v>0.09148296375</v>
      </c>
    </row>
    <row r="37">
      <c r="A37" s="6" t="str">
        <f>IF(VLOOKUP(H37,'Paste #BBall'!$B$2:$N1001,3,)="BRO","BKN",IF(VLOOKUP(H37,'Paste #BBall'!$B$2:$N1001,3,)="OKL","OKC",VLOOKUP(H37,'Paste #BBall'!$B$2:$N1001,3,)))</f>
        <v>ATL</v>
      </c>
      <c r="B37" s="42">
        <f>VLOOKUP($A37,Schedule!$C$2:$G$31,2,0)</f>
        <v>4</v>
      </c>
      <c r="C37" s="42">
        <f>VLOOKUP($A37,Schedule!$C$2:$G$31,3,0)</f>
        <v>3</v>
      </c>
      <c r="D37" s="42">
        <f>VLOOKUP($A37,Schedule!$C$2:$G$31,4,0)</f>
        <v>3</v>
      </c>
      <c r="E37" s="42">
        <f t="shared" si="1"/>
        <v>10</v>
      </c>
      <c r="F37" s="51">
        <v>32.0</v>
      </c>
      <c r="G37" s="45">
        <f>IFERROR(__xludf.DUMMYFUNCTION("""COMPUTED_VALUE"""),27.0)</f>
        <v>27</v>
      </c>
      <c r="H37" s="45" t="str">
        <f>IFERROR(__xludf.DUMMYFUNCTION("""COMPUTED_VALUE"""),"Dejounte Murray")</f>
        <v>Dejounte Murray</v>
      </c>
      <c r="I37" s="45">
        <f>IFERROR(__xludf.DUMMYFUNCTION("""COMPUTED_VALUE"""),74.0)</f>
        <v>74</v>
      </c>
      <c r="J37" s="46" t="str">
        <f>IFERROR(__xludf.DUMMYFUNCTION("""COMPUTED_VALUE"""),"PG,SG")</f>
        <v>PG,SG</v>
      </c>
      <c r="K37" s="46">
        <f>IFERROR(__xludf.DUMMYFUNCTION("""COMPUTED_VALUE"""),2.529259984972202)</f>
        <v>2.529259985</v>
      </c>
      <c r="L37" s="46">
        <f>IFERROR(__xludf.DUMMYFUNCTION("""COMPUTED_VALUE"""),2.8593934301867776)</f>
        <v>2.85939343</v>
      </c>
      <c r="M37" s="47">
        <f>IFERROR(__xludf.DUMMYFUNCTION("""COMPUTED_VALUE"""),0.33013344521457544)</f>
        <v>0.3301334452</v>
      </c>
      <c r="N37" s="47">
        <f>IFERROR(__xludf.DUMMYFUNCTION("""COMPUTED_VALUE"""),20.7)</f>
        <v>20.7</v>
      </c>
      <c r="O37" s="47">
        <f>IFERROR(__xludf.DUMMYFUNCTION("""COMPUTED_VALUE"""),1.6)</f>
        <v>1.6</v>
      </c>
      <c r="P37" s="47">
        <f>IFERROR(__xludf.DUMMYFUNCTION("""COMPUTED_VALUE"""),6.5)</f>
        <v>6.5</v>
      </c>
      <c r="Q37" s="48">
        <f>IFERROR(__xludf.DUMMYFUNCTION("""COMPUTED_VALUE"""),6.4)</f>
        <v>6.4</v>
      </c>
      <c r="R37" s="47">
        <f>IFERROR(__xludf.DUMMYFUNCTION("""COMPUTED_VALUE"""),1.6)</f>
        <v>1.6</v>
      </c>
      <c r="S37" s="47">
        <f>IFERROR(__xludf.DUMMYFUNCTION("""COMPUTED_VALUE"""),0.3)</f>
        <v>0.3</v>
      </c>
      <c r="T37" s="47">
        <f>IFERROR(__xludf.DUMMYFUNCTION("""COMPUTED_VALUE"""),46.448087431693985)</f>
        <v>46.44808743</v>
      </c>
      <c r="U37" s="47">
        <f>IFERROR(__xludf.DUMMYFUNCTION("""COMPUTED_VALUE"""),80.76923076923077)</f>
        <v>80.76923077</v>
      </c>
      <c r="V37" s="47">
        <f>IFERROR(__xludf.DUMMYFUNCTION("""COMPUTED_VALUE"""),2.2)</f>
        <v>2.2</v>
      </c>
      <c r="W37" s="46">
        <f>IFERROR(__xludf.DUMMYFUNCTION("""COMPUTED_VALUE"""),0.5802924913269978)</f>
        <v>0.5802924913</v>
      </c>
      <c r="X37" s="46">
        <f>IFERROR(__xludf.DUMMYFUNCTION("""COMPUTED_VALUE"""),-0.03873175248417188)</f>
        <v>-0.03873175248</v>
      </c>
      <c r="Y37" s="46">
        <f>IFERROR(__xludf.DUMMYFUNCTION("""COMPUTED_VALUE"""),0.16921286335050373)</f>
        <v>0.1692128634</v>
      </c>
      <c r="Z37" s="46">
        <f>IFERROR(__xludf.DUMMYFUNCTION("""COMPUTED_VALUE"""),1.3036228906742866)</f>
        <v>1.303622891</v>
      </c>
      <c r="AA37" s="46">
        <f>IFERROR(__xludf.DUMMYFUNCTION("""COMPUTED_VALUE"""),1.319928732839717)</f>
        <v>1.319928733</v>
      </c>
      <c r="AB37" s="46">
        <f>IFERROR(__xludf.DUMMYFUNCTION("""COMPUTED_VALUE"""),-0.5270142365493308)</f>
        <v>-0.5270142365</v>
      </c>
      <c r="AC37" s="46">
        <f>IFERROR(__xludf.DUMMYFUNCTION("""COMPUTED_VALUE"""),-0.5758607168293178)</f>
        <v>-0.5758607168</v>
      </c>
      <c r="AD37" s="46">
        <f>IFERROR(__xludf.DUMMYFUNCTION("""COMPUTED_VALUE"""),0.11583075060702093)</f>
        <v>0.1158307506</v>
      </c>
      <c r="AE37" s="46">
        <f>IFERROR(__xludf.DUMMYFUNCTION("""COMPUTED_VALUE"""),-0.06374830957824563)</f>
        <v>-0.06374830958</v>
      </c>
    </row>
    <row r="38">
      <c r="A38" s="6" t="str">
        <f>IF(VLOOKUP(H38,'Paste #BBall'!$B$2:$N1001,3,)="BRO","BKN",IF(VLOOKUP(H38,'Paste #BBall'!$B$2:$N1001,3,)="OKL","OKC",VLOOKUP(H38,'Paste #BBall'!$B$2:$N1001,3,)))</f>
        <v>NY</v>
      </c>
      <c r="B38" s="42">
        <f>VLOOKUP($A38,Schedule!$C$2:$G$31,2,0)</f>
        <v>3</v>
      </c>
      <c r="C38" s="42">
        <f>VLOOKUP($A38,Schedule!$C$2:$G$31,3,0)</f>
        <v>3</v>
      </c>
      <c r="D38" s="42">
        <f>VLOOKUP($A38,Schedule!$C$2:$G$31,4,0)</f>
        <v>3</v>
      </c>
      <c r="E38" s="42">
        <f t="shared" si="1"/>
        <v>9</v>
      </c>
      <c r="F38" s="43">
        <v>33.0</v>
      </c>
      <c r="G38" s="45">
        <f>IFERROR(__xludf.DUMMYFUNCTION("""COMPUTED_VALUE"""),36.0)</f>
        <v>36</v>
      </c>
      <c r="H38" s="45" t="str">
        <f>IFERROR(__xludf.DUMMYFUNCTION("""COMPUTED_VALUE"""),"Jalen Brunson")</f>
        <v>Jalen Brunson</v>
      </c>
      <c r="I38" s="45">
        <f>IFERROR(__xludf.DUMMYFUNCTION("""COMPUTED_VALUE"""),72.0)</f>
        <v>72</v>
      </c>
      <c r="J38" s="46" t="str">
        <f>IFERROR(__xludf.DUMMYFUNCTION("""COMPUTED_VALUE"""),"PG")</f>
        <v>PG</v>
      </c>
      <c r="K38" s="46">
        <f>IFERROR(__xludf.DUMMYFUNCTION("""COMPUTED_VALUE"""),1.514646802178458)</f>
        <v>1.514646802</v>
      </c>
      <c r="L38" s="46">
        <f>IFERROR(__xludf.DUMMYFUNCTION("""COMPUTED_VALUE"""),2.6708626938346045)</f>
        <v>2.670862694</v>
      </c>
      <c r="M38" s="47">
        <f>IFERROR(__xludf.DUMMYFUNCTION("""COMPUTED_VALUE"""),1.1562158916561465)</f>
        <v>1.156215892</v>
      </c>
      <c r="N38" s="47">
        <f>IFERROR(__xludf.DUMMYFUNCTION("""COMPUTED_VALUE"""),24.2)</f>
        <v>24.2</v>
      </c>
      <c r="O38" s="47">
        <f>IFERROR(__xludf.DUMMYFUNCTION("""COMPUTED_VALUE"""),2.0)</f>
        <v>2</v>
      </c>
      <c r="P38" s="47">
        <f>IFERROR(__xludf.DUMMYFUNCTION("""COMPUTED_VALUE"""),3.7)</f>
        <v>3.7</v>
      </c>
      <c r="Q38" s="48">
        <f>IFERROR(__xludf.DUMMYFUNCTION("""COMPUTED_VALUE"""),6.5)</f>
        <v>6.5</v>
      </c>
      <c r="R38" s="47">
        <f>IFERROR(__xludf.DUMMYFUNCTION("""COMPUTED_VALUE"""),1.0)</f>
        <v>1</v>
      </c>
      <c r="S38" s="47">
        <f>IFERROR(__xludf.DUMMYFUNCTION("""COMPUTED_VALUE"""),0.2)</f>
        <v>0.2</v>
      </c>
      <c r="T38" s="47">
        <f>IFERROR(__xludf.DUMMYFUNCTION("""COMPUTED_VALUE"""),49.18032786885246)</f>
        <v>49.18032787</v>
      </c>
      <c r="U38" s="47">
        <f>IFERROR(__xludf.DUMMYFUNCTION("""COMPUTED_VALUE"""),84.00000000000001)</f>
        <v>84</v>
      </c>
      <c r="V38" s="47">
        <f>IFERROR(__xludf.DUMMYFUNCTION("""COMPUTED_VALUE"""),2.2)</f>
        <v>2.2</v>
      </c>
      <c r="W38" s="46">
        <f>IFERROR(__xludf.DUMMYFUNCTION("""COMPUTED_VALUE"""),1.1701348106816425)</f>
        <v>1.170134811</v>
      </c>
      <c r="X38" s="46">
        <f>IFERROR(__xludf.DUMMYFUNCTION("""COMPUTED_VALUE"""),0.30811976229946575)</f>
        <v>0.3081197623</v>
      </c>
      <c r="Y38" s="46">
        <f>IFERROR(__xludf.DUMMYFUNCTION("""COMPUTED_VALUE"""),-1.0016174926167358)</f>
        <v>-1.001617493</v>
      </c>
      <c r="Z38" s="46">
        <f>IFERROR(__xludf.DUMMYFUNCTION("""COMPUTED_VALUE"""),1.3546253511858)</f>
        <v>1.354625351</v>
      </c>
      <c r="AA38" s="46">
        <f>IFERROR(__xludf.DUMMYFUNCTION("""COMPUTED_VALUE"""),0.011629328042640127)</f>
        <v>0.01162932804</v>
      </c>
      <c r="AB38" s="46">
        <f>IFERROR(__xludf.DUMMYFUNCTION("""COMPUTED_VALUE"""),-0.6583300762210907)</f>
        <v>-0.6583300762</v>
      </c>
      <c r="AC38" s="46">
        <f>IFERROR(__xludf.DUMMYFUNCTION("""COMPUTED_VALUE"""),-0.07642820221646378)</f>
        <v>-0.07642820222</v>
      </c>
      <c r="AD38" s="46">
        <f>IFERROR(__xludf.DUMMYFUNCTION("""COMPUTED_VALUE"""),0.6248600296408564)</f>
        <v>0.6248600296</v>
      </c>
      <c r="AE38" s="46">
        <f>IFERROR(__xludf.DUMMYFUNCTION("""COMPUTED_VALUE"""),-0.06374830957824563)</f>
        <v>-0.06374830958</v>
      </c>
    </row>
    <row r="39">
      <c r="A39" s="6" t="str">
        <f>IF(VLOOKUP(H39,'Paste #BBall'!$B$2:$N1001,3,)="BRO","BKN",IF(VLOOKUP(H39,'Paste #BBall'!$B$2:$N1001,3,)="OKL","OKC",VLOOKUP(H39,'Paste #BBall'!$B$2:$N1001,3,)))</f>
        <v>BKN</v>
      </c>
      <c r="B39" s="42">
        <f>VLOOKUP($A39,Schedule!$C$2:$G$31,2,0)</f>
        <v>5</v>
      </c>
      <c r="C39" s="42">
        <f>VLOOKUP($A39,Schedule!$C$2:$G$31,3,0)</f>
        <v>3</v>
      </c>
      <c r="D39" s="42">
        <f>VLOOKUP($A39,Schedule!$C$2:$G$31,4,0)</f>
        <v>3</v>
      </c>
      <c r="E39" s="42">
        <f t="shared" si="1"/>
        <v>11</v>
      </c>
      <c r="F39" s="51">
        <v>34.0</v>
      </c>
      <c r="G39" s="45">
        <f>IFERROR(__xludf.DUMMYFUNCTION("""COMPUTED_VALUE"""),31.0)</f>
        <v>31</v>
      </c>
      <c r="H39" s="45" t="str">
        <f>IFERROR(__xludf.DUMMYFUNCTION("""COMPUTED_VALUE"""),"Mikal Bridges")</f>
        <v>Mikal Bridges</v>
      </c>
      <c r="I39" s="45">
        <f>IFERROR(__xludf.DUMMYFUNCTION("""COMPUTED_VALUE"""),80.0)</f>
        <v>80</v>
      </c>
      <c r="J39" s="46" t="str">
        <f>IFERROR(__xludf.DUMMYFUNCTION("""COMPUTED_VALUE"""),"SG,SF")</f>
        <v>SG,SF</v>
      </c>
      <c r="K39" s="46">
        <f>IFERROR(__xludf.DUMMYFUNCTION("""COMPUTED_VALUE"""),2.2914858204846524)</f>
        <v>2.29148582</v>
      </c>
      <c r="L39" s="46">
        <f>IFERROR(__xludf.DUMMYFUNCTION("""COMPUTED_VALUE"""),2.6185997728987687)</f>
        <v>2.618599773</v>
      </c>
      <c r="M39" s="47">
        <f>IFERROR(__xludf.DUMMYFUNCTION("""COMPUTED_VALUE"""),0.3271139524141162)</f>
        <v>0.3271139524</v>
      </c>
      <c r="N39" s="47">
        <f>IFERROR(__xludf.DUMMYFUNCTION("""COMPUTED_VALUE"""),25.4)</f>
        <v>25.4</v>
      </c>
      <c r="O39" s="47">
        <f>IFERROR(__xludf.DUMMYFUNCTION("""COMPUTED_VALUE"""),2.4)</f>
        <v>2.4</v>
      </c>
      <c r="P39" s="47">
        <f>IFERROR(__xludf.DUMMYFUNCTION("""COMPUTED_VALUE"""),4.6)</f>
        <v>4.6</v>
      </c>
      <c r="Q39" s="48">
        <f>IFERROR(__xludf.DUMMYFUNCTION("""COMPUTED_VALUE"""),3.4)</f>
        <v>3.4</v>
      </c>
      <c r="R39" s="47">
        <f>IFERROR(__xludf.DUMMYFUNCTION("""COMPUTED_VALUE"""),1.1)</f>
        <v>1.1</v>
      </c>
      <c r="S39" s="47">
        <f>IFERROR(__xludf.DUMMYFUNCTION("""COMPUTED_VALUE"""),0.6)</f>
        <v>0.6</v>
      </c>
      <c r="T39" s="47">
        <f>IFERROR(__xludf.DUMMYFUNCTION("""COMPUTED_VALUE"""),47.39583333333333)</f>
        <v>47.39583333</v>
      </c>
      <c r="U39" s="47">
        <f>IFERROR(__xludf.DUMMYFUNCTION("""COMPUTED_VALUE"""),87.03703703703704)</f>
        <v>87.03703704</v>
      </c>
      <c r="V39" s="47">
        <f>IFERROR(__xludf.DUMMYFUNCTION("""COMPUTED_VALUE"""),1.8)</f>
        <v>1.8</v>
      </c>
      <c r="W39" s="46">
        <f>IFERROR(__xludf.DUMMYFUNCTION("""COMPUTED_VALUE"""),1.3723664630318062)</f>
        <v>1.372366463</v>
      </c>
      <c r="X39" s="46">
        <f>IFERROR(__xludf.DUMMYFUNCTION("""COMPUTED_VALUE"""),0.6549712770831033)</f>
        <v>0.6549712771</v>
      </c>
      <c r="Y39" s="46">
        <f>IFERROR(__xludf.DUMMYFUNCTION("""COMPUTED_VALUE"""),-0.6252791639129804)</f>
        <v>-0.6252791639</v>
      </c>
      <c r="Z39" s="46">
        <f>IFERROR(__xludf.DUMMYFUNCTION("""COMPUTED_VALUE"""),-0.22645092467112066)</f>
        <v>-0.2264509247</v>
      </c>
      <c r="AA39" s="46">
        <f>IFERROR(__xludf.DUMMYFUNCTION("""COMPUTED_VALUE"""),0.22967922884215308)</f>
        <v>0.2296792288</v>
      </c>
      <c r="AB39" s="46">
        <f>IFERROR(__xludf.DUMMYFUNCTION("""COMPUTED_VALUE"""),-0.13306671753405044)</f>
        <v>-0.1330667175</v>
      </c>
      <c r="AC39" s="46">
        <f>IFERROR(__xludf.DUMMYFUNCTION("""COMPUTED_VALUE"""),-0.4224210500437864)</f>
        <v>-0.42242105</v>
      </c>
      <c r="AD39" s="46">
        <f>IFERROR(__xludf.DUMMYFUNCTION("""COMPUTED_VALUE"""),1.0830847871099896)</f>
        <v>1.083084787</v>
      </c>
      <c r="AE39" s="46">
        <f>IFERROR(__xludf.DUMMYFUNCTION("""COMPUTED_VALUE"""),0.06043670908067405)</f>
        <v>0.06043670908</v>
      </c>
    </row>
    <row r="40">
      <c r="A40" s="6" t="str">
        <f>IF(VLOOKUP(H40,'Paste #BBall'!$B$2:$N1001,3,)="BRO","BKN",IF(VLOOKUP(H40,'Paste #BBall'!$B$2:$N1001,3,)="OKL","OKC",VLOOKUP(H40,'Paste #BBall'!$B$2:$N1001,3,)))</f>
        <v>BOS</v>
      </c>
      <c r="B40" s="42">
        <f>VLOOKUP($A40,Schedule!$C$2:$G$31,2,0)</f>
        <v>3</v>
      </c>
      <c r="C40" s="42">
        <f>VLOOKUP($A40,Schedule!$C$2:$G$31,3,0)</f>
        <v>4</v>
      </c>
      <c r="D40" s="42">
        <f>VLOOKUP($A40,Schedule!$C$2:$G$31,4,0)</f>
        <v>4</v>
      </c>
      <c r="E40" s="42">
        <f t="shared" si="1"/>
        <v>11</v>
      </c>
      <c r="F40" s="51">
        <v>35.0</v>
      </c>
      <c r="G40" s="45">
        <f>IFERROR(__xludf.DUMMYFUNCTION("""COMPUTED_VALUE"""),34.0)</f>
        <v>34</v>
      </c>
      <c r="H40" s="45" t="str">
        <f>IFERROR(__xludf.DUMMYFUNCTION("""COMPUTED_VALUE"""),"Kristaps Porzingis")</f>
        <v>Kristaps Porzingis</v>
      </c>
      <c r="I40" s="45">
        <f>IFERROR(__xludf.DUMMYFUNCTION("""COMPUTED_VALUE"""),60.0)</f>
        <v>60</v>
      </c>
      <c r="J40" s="46" t="str">
        <f>IFERROR(__xludf.DUMMYFUNCTION("""COMPUTED_VALUE"""),"PF,C")</f>
        <v>PF,C</v>
      </c>
      <c r="K40" s="46">
        <f>IFERROR(__xludf.DUMMYFUNCTION("""COMPUTED_VALUE"""),1.9094858334976885)</f>
        <v>1.909485833</v>
      </c>
      <c r="L40" s="46">
        <f>IFERROR(__xludf.DUMMYFUNCTION("""COMPUTED_VALUE"""),2.3385453839585777)</f>
        <v>2.338545384</v>
      </c>
      <c r="M40" s="47">
        <f>IFERROR(__xludf.DUMMYFUNCTION("""COMPUTED_VALUE"""),0.42905955046088917)</f>
        <v>0.4290595505</v>
      </c>
      <c r="N40" s="47">
        <f>IFERROR(__xludf.DUMMYFUNCTION("""COMPUTED_VALUE"""),18.7)</f>
        <v>18.7</v>
      </c>
      <c r="O40" s="47">
        <f>IFERROR(__xludf.DUMMYFUNCTION("""COMPUTED_VALUE"""),1.8)</f>
        <v>1.8</v>
      </c>
      <c r="P40" s="47">
        <f>IFERROR(__xludf.DUMMYFUNCTION("""COMPUTED_VALUE"""),7.9)</f>
        <v>7.9</v>
      </c>
      <c r="Q40" s="48">
        <f>IFERROR(__xludf.DUMMYFUNCTION("""COMPUTED_VALUE"""),2.1)</f>
        <v>2.1</v>
      </c>
      <c r="R40" s="47">
        <f>IFERROR(__xludf.DUMMYFUNCTION("""COMPUTED_VALUE"""),0.8)</f>
        <v>0.8</v>
      </c>
      <c r="S40" s="47">
        <f>IFERROR(__xludf.DUMMYFUNCTION("""COMPUTED_VALUE"""),1.5)</f>
        <v>1.5</v>
      </c>
      <c r="T40" s="47">
        <f>IFERROR(__xludf.DUMMYFUNCTION("""COMPUTED_VALUE"""),48.148148148148145)</f>
        <v>48.14814815</v>
      </c>
      <c r="U40" s="47">
        <f>IFERROR(__xludf.DUMMYFUNCTION("""COMPUTED_VALUE"""),85.1063829787234)</f>
        <v>85.10638298</v>
      </c>
      <c r="V40" s="47">
        <f>IFERROR(__xludf.DUMMYFUNCTION("""COMPUTED_VALUE"""),1.8)</f>
        <v>1.8</v>
      </c>
      <c r="W40" s="46">
        <f>IFERROR(__xludf.DUMMYFUNCTION("""COMPUTED_VALUE"""),0.24323973741005794)</f>
        <v>0.2432397374</v>
      </c>
      <c r="X40" s="46">
        <f>IFERROR(__xludf.DUMMYFUNCTION("""COMPUTED_VALUE"""),0.13469400490764694)</f>
        <v>0.1346940049</v>
      </c>
      <c r="Y40" s="46">
        <f>IFERROR(__xludf.DUMMYFUNCTION("""COMPUTED_VALUE"""),0.7546280413341236)</f>
        <v>0.7546280413</v>
      </c>
      <c r="Z40" s="46">
        <f>IFERROR(__xludf.DUMMYFUNCTION("""COMPUTED_VALUE"""),-0.8894829113207969)</f>
        <v>-0.8894829113</v>
      </c>
      <c r="AA40" s="46">
        <f>IFERROR(__xludf.DUMMYFUNCTION("""COMPUTED_VALUE"""),-0.42447047355638534)</f>
        <v>-0.4244704736</v>
      </c>
      <c r="AB40" s="46">
        <f>IFERROR(__xludf.DUMMYFUNCTION("""COMPUTED_VALUE"""),1.0487758395117905)</f>
        <v>1.04877584</v>
      </c>
      <c r="AC40" s="46">
        <f>IFERROR(__xludf.DUMMYFUNCTION("""COMPUTED_VALUE"""),-0.19556757128130153)</f>
        <v>-0.1955675713</v>
      </c>
      <c r="AD40" s="46">
        <f>IFERROR(__xludf.DUMMYFUNCTION("""COMPUTED_VALUE"""),0.7168090965519713)</f>
        <v>0.7168090966</v>
      </c>
      <c r="AE40" s="46">
        <f>IFERROR(__xludf.DUMMYFUNCTION("""COMPUTED_VALUE"""),0.06043670908067405)</f>
        <v>0.06043670908</v>
      </c>
    </row>
    <row r="41">
      <c r="A41" s="6" t="str">
        <f>IF(VLOOKUP(H41,'Paste #BBall'!$B$2:$N1001,3,)="BRO","BKN",IF(VLOOKUP(H41,'Paste #BBall'!$B$2:$N1001,3,)="OKL","OKC",VLOOKUP(H41,'Paste #BBall'!$B$2:$N1001,3,)))</f>
        <v>CHI</v>
      </c>
      <c r="B41" s="42">
        <f>VLOOKUP($A41,Schedule!$C$2:$G$31,2,0)</f>
        <v>4</v>
      </c>
      <c r="C41" s="42">
        <f>VLOOKUP($A41,Schedule!$C$2:$G$31,3,0)</f>
        <v>4</v>
      </c>
      <c r="D41" s="42">
        <f>VLOOKUP($A41,Schedule!$C$2:$G$31,4,0)</f>
        <v>3</v>
      </c>
      <c r="E41" s="42">
        <f t="shared" si="1"/>
        <v>11</v>
      </c>
      <c r="F41" s="43">
        <v>36.0</v>
      </c>
      <c r="G41" s="45">
        <f>IFERROR(__xludf.DUMMYFUNCTION("""COMPUTED_VALUE"""),37.0)</f>
        <v>37</v>
      </c>
      <c r="H41" s="45" t="str">
        <f>IFERROR(__xludf.DUMMYFUNCTION("""COMPUTED_VALUE"""),"DeMar DeRozan")</f>
        <v>DeMar DeRozan</v>
      </c>
      <c r="I41" s="45">
        <f>IFERROR(__xludf.DUMMYFUNCTION("""COMPUTED_VALUE"""),74.0)</f>
        <v>74</v>
      </c>
      <c r="J41" s="46" t="str">
        <f>IFERROR(__xludf.DUMMYFUNCTION("""COMPUTED_VALUE"""),"SG")</f>
        <v>SG</v>
      </c>
      <c r="K41" s="46">
        <f>IFERROR(__xludf.DUMMYFUNCTION("""COMPUTED_VALUE"""),1.4674066026054566)</f>
        <v>1.467406603</v>
      </c>
      <c r="L41" s="46">
        <f>IFERROR(__xludf.DUMMYFUNCTION("""COMPUTED_VALUE"""),2.293130986605172)</f>
        <v>2.293130987</v>
      </c>
      <c r="M41" s="47">
        <f>IFERROR(__xludf.DUMMYFUNCTION("""COMPUTED_VALUE"""),0.8257243839997153)</f>
        <v>0.825724384</v>
      </c>
      <c r="N41" s="47">
        <f>IFERROR(__xludf.DUMMYFUNCTION("""COMPUTED_VALUE"""),24.7)</f>
        <v>24.7</v>
      </c>
      <c r="O41" s="47">
        <f>IFERROR(__xludf.DUMMYFUNCTION("""COMPUTED_VALUE"""),0.6)</f>
        <v>0.6</v>
      </c>
      <c r="P41" s="47">
        <f>IFERROR(__xludf.DUMMYFUNCTION("""COMPUTED_VALUE"""),4.6)</f>
        <v>4.6</v>
      </c>
      <c r="Q41" s="48">
        <f>IFERROR(__xludf.DUMMYFUNCTION("""COMPUTED_VALUE"""),4.9)</f>
        <v>4.9</v>
      </c>
      <c r="R41" s="47">
        <f>IFERROR(__xludf.DUMMYFUNCTION("""COMPUTED_VALUE"""),1.0)</f>
        <v>1</v>
      </c>
      <c r="S41" s="47">
        <f>IFERROR(__xludf.DUMMYFUNCTION("""COMPUTED_VALUE"""),0.4)</f>
        <v>0.4</v>
      </c>
      <c r="T41" s="47">
        <f>IFERROR(__xludf.DUMMYFUNCTION("""COMPUTED_VALUE"""),50.55555555555556)</f>
        <v>50.55555556</v>
      </c>
      <c r="U41" s="47">
        <f>IFERROR(__xludf.DUMMYFUNCTION("""COMPUTED_VALUE"""),86.95652173913044)</f>
        <v>86.95652174</v>
      </c>
      <c r="V41" s="47">
        <f>IFERROR(__xludf.DUMMYFUNCTION("""COMPUTED_VALUE"""),2.1)</f>
        <v>2.1</v>
      </c>
      <c r="W41" s="46">
        <f>IFERROR(__xludf.DUMMYFUNCTION("""COMPUTED_VALUE"""),1.2543979991608774)</f>
        <v>1.254397999</v>
      </c>
      <c r="X41" s="46">
        <f>IFERROR(__xludf.DUMMYFUNCTION("""COMPUTED_VALUE"""),-0.9058605394432663)</f>
        <v>-0.9058605394</v>
      </c>
      <c r="Y41" s="46">
        <f>IFERROR(__xludf.DUMMYFUNCTION("""COMPUTED_VALUE"""),-0.6252791639129804)</f>
        <v>-0.6252791639</v>
      </c>
      <c r="Z41" s="46">
        <f>IFERROR(__xludf.DUMMYFUNCTION("""COMPUTED_VALUE"""),0.5385859830015831)</f>
        <v>0.538585983</v>
      </c>
      <c r="AA41" s="46">
        <f>IFERROR(__xludf.DUMMYFUNCTION("""COMPUTED_VALUE"""),0.011629328042640127)</f>
        <v>0.01162932804</v>
      </c>
      <c r="AB41" s="46">
        <f>IFERROR(__xludf.DUMMYFUNCTION("""COMPUTED_VALUE"""),-0.39569839687757064)</f>
        <v>-0.3956983969</v>
      </c>
      <c r="AC41" s="46">
        <f>IFERROR(__xludf.DUMMYFUNCTION("""COMPUTED_VALUE"""),0.17208475095607112)</f>
        <v>0.172084751</v>
      </c>
      <c r="AD41" s="46">
        <f>IFERROR(__xludf.DUMMYFUNCTION("""COMPUTED_VALUE"""),1.370112541148067)</f>
        <v>1.370112541</v>
      </c>
      <c r="AE41" s="46">
        <f>IFERROR(__xludf.DUMMYFUNCTION("""COMPUTED_VALUE"""),-0.032702054913515695)</f>
        <v>-0.03270205491</v>
      </c>
    </row>
    <row r="42">
      <c r="A42" s="6" t="str">
        <f>IF(VLOOKUP(H42,'Paste #BBall'!$B$2:$N1001,3,)="BRO","BKN",IF(VLOOKUP(H42,'Paste #BBall'!$B$2:$N1001,3,)="OKL","OKC",VLOOKUP(H42,'Paste #BBall'!$B$2:$N1001,3,)))</f>
        <v>BOS</v>
      </c>
      <c r="B42" s="42">
        <f>VLOOKUP($A42,Schedule!$C$2:$G$31,2,0)</f>
        <v>3</v>
      </c>
      <c r="C42" s="42">
        <f>VLOOKUP($A42,Schedule!$C$2:$G$31,3,0)</f>
        <v>4</v>
      </c>
      <c r="D42" s="42">
        <f>VLOOKUP($A42,Schedule!$C$2:$G$31,4,0)</f>
        <v>4</v>
      </c>
      <c r="E42" s="42">
        <f t="shared" si="1"/>
        <v>11</v>
      </c>
      <c r="F42" s="51">
        <v>37.0</v>
      </c>
      <c r="G42" s="45">
        <f>IFERROR(__xludf.DUMMYFUNCTION("""COMPUTED_VALUE"""),35.0)</f>
        <v>35</v>
      </c>
      <c r="H42" s="45" t="str">
        <f>IFERROR(__xludf.DUMMYFUNCTION("""COMPUTED_VALUE"""),"Jaylen Brown")</f>
        <v>Jaylen Brown</v>
      </c>
      <c r="I42" s="45">
        <f>IFERROR(__xludf.DUMMYFUNCTION("""COMPUTED_VALUE"""),69.0)</f>
        <v>69</v>
      </c>
      <c r="J42" s="46" t="str">
        <f>IFERROR(__xludf.DUMMYFUNCTION("""COMPUTED_VALUE"""),"SG,SF")</f>
        <v>SG,SF</v>
      </c>
      <c r="K42" s="46">
        <f>IFERROR(__xludf.DUMMYFUNCTION("""COMPUTED_VALUE"""),1.7571801338935376)</f>
        <v>1.757180134</v>
      </c>
      <c r="L42" s="46">
        <f>IFERROR(__xludf.DUMMYFUNCTION("""COMPUTED_VALUE"""),2.1089182627502807)</f>
        <v>2.108918263</v>
      </c>
      <c r="M42" s="47">
        <f>IFERROR(__xludf.DUMMYFUNCTION("""COMPUTED_VALUE"""),0.35173812885674316)</f>
        <v>0.3517381289</v>
      </c>
      <c r="N42" s="47">
        <f>IFERROR(__xludf.DUMMYFUNCTION("""COMPUTED_VALUE"""),26.4)</f>
        <v>26.4</v>
      </c>
      <c r="O42" s="47">
        <f>IFERROR(__xludf.DUMMYFUNCTION("""COMPUTED_VALUE"""),2.6)</f>
        <v>2.6</v>
      </c>
      <c r="P42" s="47">
        <f>IFERROR(__xludf.DUMMYFUNCTION("""COMPUTED_VALUE"""),6.7)</f>
        <v>6.7</v>
      </c>
      <c r="Q42" s="48">
        <f>IFERROR(__xludf.DUMMYFUNCTION("""COMPUTED_VALUE"""),3.6)</f>
        <v>3.6</v>
      </c>
      <c r="R42" s="47">
        <f>IFERROR(__xludf.DUMMYFUNCTION("""COMPUTED_VALUE"""),1.1)</f>
        <v>1.1</v>
      </c>
      <c r="S42" s="47">
        <f>IFERROR(__xludf.DUMMYFUNCTION("""COMPUTED_VALUE"""),0.3)</f>
        <v>0.3</v>
      </c>
      <c r="T42" s="47">
        <f>IFERROR(__xludf.DUMMYFUNCTION("""COMPUTED_VALUE"""),49.504950495049506)</f>
        <v>49.5049505</v>
      </c>
      <c r="U42" s="47">
        <f>IFERROR(__xludf.DUMMYFUNCTION("""COMPUTED_VALUE"""),76.47058823529413)</f>
        <v>76.47058824</v>
      </c>
      <c r="V42" s="47">
        <f>IFERROR(__xludf.DUMMYFUNCTION("""COMPUTED_VALUE"""),2.9)</f>
        <v>2.9</v>
      </c>
      <c r="W42" s="46">
        <f>IFERROR(__xludf.DUMMYFUNCTION("""COMPUTED_VALUE"""),1.5408928399902762)</f>
        <v>1.54089284</v>
      </c>
      <c r="X42" s="46">
        <f>IFERROR(__xludf.DUMMYFUNCTION("""COMPUTED_VALUE"""),0.8283970344749224)</f>
        <v>0.8283970345</v>
      </c>
      <c r="Y42" s="46">
        <f>IFERROR(__xludf.DUMMYFUNCTION("""COMPUTED_VALUE"""),0.2528436030624495)</f>
        <v>0.2528436031</v>
      </c>
      <c r="Z42" s="46">
        <f>IFERROR(__xludf.DUMMYFUNCTION("""COMPUTED_VALUE"""),-0.12444600364809345)</f>
        <v>-0.1244460036</v>
      </c>
      <c r="AA42" s="46">
        <f>IFERROR(__xludf.DUMMYFUNCTION("""COMPUTED_VALUE"""),0.22967922884215308)</f>
        <v>0.2296792288</v>
      </c>
      <c r="AB42" s="46">
        <f>IFERROR(__xludf.DUMMYFUNCTION("""COMPUTED_VALUE"""),-0.5270142365493308)</f>
        <v>-0.5270142365</v>
      </c>
      <c r="AC42" s="46">
        <f>IFERROR(__xludf.DUMMYFUNCTION("""COMPUTED_VALUE"""),-0.018864024573864387)</f>
        <v>-0.01886402457</v>
      </c>
      <c r="AD42" s="46">
        <f>IFERROR(__xludf.DUMMYFUNCTION("""COMPUTED_VALUE"""),-0.31851232316620787)</f>
        <v>-0.3185123232</v>
      </c>
      <c r="AE42" s="46">
        <f>IFERROR(__xludf.DUMMYFUNCTION("""COMPUTED_VALUE"""),-0.28107209223135493)</f>
        <v>-0.2810720922</v>
      </c>
    </row>
    <row r="43">
      <c r="A43" s="6" t="str">
        <f>IF(VLOOKUP(H43,'Paste #BBall'!$B$2:$N1001,3,)="BRO","BKN",IF(VLOOKUP(H43,'Paste #BBall'!$B$2:$N1001,3,)="OKL","OKC",VLOOKUP(H43,'Paste #BBall'!$B$2:$N1001,3,)))</f>
        <v>DEN</v>
      </c>
      <c r="B43" s="42">
        <f>VLOOKUP($A43,Schedule!$C$2:$G$31,2,0)</f>
        <v>3</v>
      </c>
      <c r="C43" s="42">
        <f>VLOOKUP($A43,Schedule!$C$2:$G$31,3,0)</f>
        <v>4</v>
      </c>
      <c r="D43" s="42">
        <f>VLOOKUP($A43,Schedule!$C$2:$G$31,4,0)</f>
        <v>3</v>
      </c>
      <c r="E43" s="42">
        <f t="shared" si="1"/>
        <v>10</v>
      </c>
      <c r="F43" s="51">
        <v>38.0</v>
      </c>
      <c r="G43" s="45">
        <f>IFERROR(__xludf.DUMMYFUNCTION("""COMPUTED_VALUE"""),40.0)</f>
        <v>40</v>
      </c>
      <c r="H43" s="45" t="str">
        <f>IFERROR(__xludf.DUMMYFUNCTION("""COMPUTED_VALUE"""),"Jamal Murray")</f>
        <v>Jamal Murray</v>
      </c>
      <c r="I43" s="45">
        <f>IFERROR(__xludf.DUMMYFUNCTION("""COMPUTED_VALUE"""),70.0)</f>
        <v>70</v>
      </c>
      <c r="J43" s="46" t="str">
        <f>IFERROR(__xludf.DUMMYFUNCTION("""COMPUTED_VALUE"""),"PG,SG")</f>
        <v>PG,SG</v>
      </c>
      <c r="K43" s="46">
        <f>IFERROR(__xludf.DUMMYFUNCTION("""COMPUTED_VALUE"""),1.091704750004179)</f>
        <v>1.09170475</v>
      </c>
      <c r="L43" s="46">
        <f>IFERROR(__xludf.DUMMYFUNCTION("""COMPUTED_VALUE"""),2.0410587660792614)</f>
        <v>2.041058766</v>
      </c>
      <c r="M43" s="47">
        <f>IFERROR(__xludf.DUMMYFUNCTION("""COMPUTED_VALUE"""),0.9493540160750824)</f>
        <v>0.9493540161</v>
      </c>
      <c r="N43" s="47">
        <f>IFERROR(__xludf.DUMMYFUNCTION("""COMPUTED_VALUE"""),21.0)</f>
        <v>21</v>
      </c>
      <c r="O43" s="47">
        <f>IFERROR(__xludf.DUMMYFUNCTION("""COMPUTED_VALUE"""),2.7)</f>
        <v>2.7</v>
      </c>
      <c r="P43" s="47">
        <f>IFERROR(__xludf.DUMMYFUNCTION("""COMPUTED_VALUE"""),4.1)</f>
        <v>4.1</v>
      </c>
      <c r="Q43" s="48">
        <f>IFERROR(__xludf.DUMMYFUNCTION("""COMPUTED_VALUE"""),6.3)</f>
        <v>6.3</v>
      </c>
      <c r="R43" s="47">
        <f>IFERROR(__xludf.DUMMYFUNCTION("""COMPUTED_VALUE"""),1.0)</f>
        <v>1</v>
      </c>
      <c r="S43" s="47">
        <f>IFERROR(__xludf.DUMMYFUNCTION("""COMPUTED_VALUE"""),0.3)</f>
        <v>0.3</v>
      </c>
      <c r="T43" s="47">
        <f>IFERROR(__xludf.DUMMYFUNCTION("""COMPUTED_VALUE"""),46.98795180722891)</f>
        <v>46.98795181</v>
      </c>
      <c r="U43" s="47">
        <f>IFERROR(__xludf.DUMMYFUNCTION("""COMPUTED_VALUE"""),82.35294117647058)</f>
        <v>82.35294118</v>
      </c>
      <c r="V43" s="47">
        <f>IFERROR(__xludf.DUMMYFUNCTION("""COMPUTED_VALUE"""),2.3)</f>
        <v>2.3</v>
      </c>
      <c r="W43" s="46">
        <f>IFERROR(__xludf.DUMMYFUNCTION("""COMPUTED_VALUE"""),0.6308504044145389)</f>
        <v>0.6308504044</v>
      </c>
      <c r="X43" s="46">
        <f>IFERROR(__xludf.DUMMYFUNCTION("""COMPUTED_VALUE"""),0.9151099131708318)</f>
        <v>0.9151099132</v>
      </c>
      <c r="Y43" s="46">
        <f>IFERROR(__xludf.DUMMYFUNCTION("""COMPUTED_VALUE"""),-0.8343560131928446)</f>
        <v>-0.8343560132</v>
      </c>
      <c r="Z43" s="46">
        <f>IFERROR(__xludf.DUMMYFUNCTION("""COMPUTED_VALUE"""),1.2526204301627728)</f>
        <v>1.25262043</v>
      </c>
      <c r="AA43" s="46">
        <f>IFERROR(__xludf.DUMMYFUNCTION("""COMPUTED_VALUE"""),0.011629328042640127)</f>
        <v>0.01162932804</v>
      </c>
      <c r="AB43" s="46">
        <f>IFERROR(__xludf.DUMMYFUNCTION("""COMPUTED_VALUE"""),-0.5270142365493308)</f>
        <v>-0.5270142365</v>
      </c>
      <c r="AC43" s="46">
        <f>IFERROR(__xludf.DUMMYFUNCTION("""COMPUTED_VALUE"""),-0.43284968587084793)</f>
        <v>-0.4328496859</v>
      </c>
      <c r="AD43" s="46">
        <f>IFERROR(__xludf.DUMMYFUNCTION("""COMPUTED_VALUE"""),0.28550717695163197)</f>
        <v>0.285507177</v>
      </c>
      <c r="AE43" s="46">
        <f>IFERROR(__xludf.DUMMYFUNCTION("""COMPUTED_VALUE"""),-0.09479456424297544)</f>
        <v>-0.09479456424</v>
      </c>
    </row>
    <row r="44">
      <c r="A44" s="6" t="str">
        <f>IF(VLOOKUP(H44,'Paste #BBall'!$B$2:$N1001,3,)="BRO","BKN",IF(VLOOKUP(H44,'Paste #BBall'!$B$2:$N1001,3,)="OKL","OKC",VLOOKUP(H44,'Paste #BBall'!$B$2:$N1001,3,)))</f>
        <v>IND</v>
      </c>
      <c r="B44" s="42">
        <f>VLOOKUP($A44,Schedule!$C$2:$G$31,2,0)</f>
        <v>3</v>
      </c>
      <c r="C44" s="42">
        <f>VLOOKUP($A44,Schedule!$C$2:$G$31,3,0)</f>
        <v>3</v>
      </c>
      <c r="D44" s="42">
        <f>VLOOKUP($A44,Schedule!$C$2:$G$31,4,0)</f>
        <v>4</v>
      </c>
      <c r="E44" s="42">
        <f t="shared" si="1"/>
        <v>10</v>
      </c>
      <c r="F44" s="43">
        <v>39.0</v>
      </c>
      <c r="G44" s="45">
        <f>IFERROR(__xludf.DUMMYFUNCTION("""COMPUTED_VALUE"""),39.0)</f>
        <v>39</v>
      </c>
      <c r="H44" s="45" t="str">
        <f>IFERROR(__xludf.DUMMYFUNCTION("""COMPUTED_VALUE"""),"Myles Turner")</f>
        <v>Myles Turner</v>
      </c>
      <c r="I44" s="45">
        <f>IFERROR(__xludf.DUMMYFUNCTION("""COMPUTED_VALUE"""),64.0)</f>
        <v>64</v>
      </c>
      <c r="J44" s="46" t="str">
        <f>IFERROR(__xludf.DUMMYFUNCTION("""COMPUTED_VALUE"""),"C")</f>
        <v>C</v>
      </c>
      <c r="K44" s="46">
        <f>IFERROR(__xludf.DUMMYFUNCTION("""COMPUTED_VALUE"""),1.2250648558666697)</f>
        <v>1.225064856</v>
      </c>
      <c r="L44" s="46">
        <f>IFERROR(__xludf.DUMMYFUNCTION("""COMPUTED_VALUE"""),2.0057863834398137)</f>
        <v>2.005786383</v>
      </c>
      <c r="M44" s="47">
        <f>IFERROR(__xludf.DUMMYFUNCTION("""COMPUTED_VALUE"""),0.7807215275731441)</f>
        <v>0.7807215276</v>
      </c>
      <c r="N44" s="47">
        <f>IFERROR(__xludf.DUMMYFUNCTION("""COMPUTED_VALUE"""),16.1)</f>
        <v>16.1</v>
      </c>
      <c r="O44" s="47">
        <f>IFERROR(__xludf.DUMMYFUNCTION("""COMPUTED_VALUE"""),1.5)</f>
        <v>1.5</v>
      </c>
      <c r="P44" s="47">
        <f>IFERROR(__xludf.DUMMYFUNCTION("""COMPUTED_VALUE"""),7.4)</f>
        <v>7.4</v>
      </c>
      <c r="Q44" s="48">
        <f>IFERROR(__xludf.DUMMYFUNCTION("""COMPUTED_VALUE"""),1.3)</f>
        <v>1.3</v>
      </c>
      <c r="R44" s="47">
        <f>IFERROR(__xludf.DUMMYFUNCTION("""COMPUTED_VALUE"""),0.6)</f>
        <v>0.6</v>
      </c>
      <c r="S44" s="47">
        <f>IFERROR(__xludf.DUMMYFUNCTION("""COMPUTED_VALUE"""),2.3)</f>
        <v>2.3</v>
      </c>
      <c r="T44" s="47">
        <f>IFERROR(__xludf.DUMMYFUNCTION("""COMPUTED_VALUE"""),53.63636363636364)</f>
        <v>53.63636364</v>
      </c>
      <c r="U44" s="47">
        <f>IFERROR(__xludf.DUMMYFUNCTION("""COMPUTED_VALUE"""),78.37837837837837)</f>
        <v>78.37837838</v>
      </c>
      <c r="V44" s="47">
        <f>IFERROR(__xludf.DUMMYFUNCTION("""COMPUTED_VALUE"""),1.5)</f>
        <v>1.5</v>
      </c>
      <c r="W44" s="46">
        <f>IFERROR(__xludf.DUMMYFUNCTION("""COMPUTED_VALUE"""),-0.19492884268196348)</f>
        <v>-0.1949288427</v>
      </c>
      <c r="X44" s="46">
        <f>IFERROR(__xludf.DUMMYFUNCTION("""COMPUTED_VALUE"""),-0.12544463118008137)</f>
        <v>-0.1254446312</v>
      </c>
      <c r="Y44" s="46">
        <f>IFERROR(__xludf.DUMMYFUNCTION("""COMPUTED_VALUE"""),0.5455511920542595)</f>
        <v>0.5455511921</v>
      </c>
      <c r="Z44" s="46">
        <f>IFERROR(__xludf.DUMMYFUNCTION("""COMPUTED_VALUE"""),-1.2975025954129054)</f>
        <v>-1.297502595</v>
      </c>
      <c r="AA44" s="46">
        <f>IFERROR(__xludf.DUMMYFUNCTION("""COMPUTED_VALUE"""),-0.860570275155411)</f>
        <v>-0.8605702752</v>
      </c>
      <c r="AB44" s="46">
        <f>IFERROR(__xludf.DUMMYFUNCTION("""COMPUTED_VALUE"""),2.0993025568858714)</f>
        <v>2.099302557</v>
      </c>
      <c r="AC44" s="46">
        <f>IFERROR(__xludf.DUMMYFUNCTION("""COMPUTED_VALUE"""),0.4436671632663111)</f>
        <v>0.4436671633</v>
      </c>
      <c r="AD44" s="46">
        <f>IFERROR(__xludf.DUMMYFUNCTION("""COMPUTED_VALUE"""),-0.055366252824036045)</f>
        <v>-0.05536625282</v>
      </c>
      <c r="AE44" s="46">
        <f>IFERROR(__xludf.DUMMYFUNCTION("""COMPUTED_VALUE"""),0.1535754730748638)</f>
        <v>0.1535754731</v>
      </c>
    </row>
    <row r="45">
      <c r="A45" s="6" t="str">
        <f>IF(VLOOKUP(H45,'Paste #BBall'!$B$2:$N1001,3,)="BRO","BKN",IF(VLOOKUP(H45,'Paste #BBall'!$B$2:$N1001,3,)="OKL","OKC",VLOOKUP(H45,'Paste #BBall'!$B$2:$N1001,3,)))</f>
        <v>SAC</v>
      </c>
      <c r="B45" s="42">
        <f>VLOOKUP($A45,Schedule!$C$2:$G$31,2,0)</f>
        <v>4</v>
      </c>
      <c r="C45" s="42">
        <f>VLOOKUP($A45,Schedule!$C$2:$G$31,3,0)</f>
        <v>3</v>
      </c>
      <c r="D45" s="42">
        <f>VLOOKUP($A45,Schedule!$C$2:$G$31,4,0)</f>
        <v>4</v>
      </c>
      <c r="E45" s="42">
        <f t="shared" si="1"/>
        <v>11</v>
      </c>
      <c r="F45" s="51">
        <v>40.0</v>
      </c>
      <c r="G45" s="45">
        <f>IFERROR(__xludf.DUMMYFUNCTION("""COMPUTED_VALUE"""),38.0)</f>
        <v>38</v>
      </c>
      <c r="H45" s="45" t="str">
        <f>IFERROR(__xludf.DUMMYFUNCTION("""COMPUTED_VALUE"""),"De'Aaron Fox")</f>
        <v>De'Aaron Fox</v>
      </c>
      <c r="I45" s="45">
        <f>IFERROR(__xludf.DUMMYFUNCTION("""COMPUTED_VALUE"""),70.0)</f>
        <v>70</v>
      </c>
      <c r="J45" s="46" t="str">
        <f>IFERROR(__xludf.DUMMYFUNCTION("""COMPUTED_VALUE"""),"PG")</f>
        <v>PG</v>
      </c>
      <c r="K45" s="46">
        <f>IFERROR(__xludf.DUMMYFUNCTION("""COMPUTED_VALUE"""),1.2689275532907445)</f>
        <v>1.268927553</v>
      </c>
      <c r="L45" s="46">
        <f>IFERROR(__xludf.DUMMYFUNCTION("""COMPUTED_VALUE"""),1.9994983030520739)</f>
        <v>1.999498303</v>
      </c>
      <c r="M45" s="47">
        <f>IFERROR(__xludf.DUMMYFUNCTION("""COMPUTED_VALUE"""),0.7305707497613294)</f>
        <v>0.7305707498</v>
      </c>
      <c r="N45" s="47">
        <f>IFERROR(__xludf.DUMMYFUNCTION("""COMPUTED_VALUE"""),25.1)</f>
        <v>25.1</v>
      </c>
      <c r="O45" s="47">
        <f>IFERROR(__xludf.DUMMYFUNCTION("""COMPUTED_VALUE"""),1.6)</f>
        <v>1.6</v>
      </c>
      <c r="P45" s="47">
        <f>IFERROR(__xludf.DUMMYFUNCTION("""COMPUTED_VALUE"""),4.2)</f>
        <v>4.2</v>
      </c>
      <c r="Q45" s="48">
        <f>IFERROR(__xludf.DUMMYFUNCTION("""COMPUTED_VALUE"""),6.1)</f>
        <v>6.1</v>
      </c>
      <c r="R45" s="47">
        <f>IFERROR(__xludf.DUMMYFUNCTION("""COMPUTED_VALUE"""),1.2)</f>
        <v>1.2</v>
      </c>
      <c r="S45" s="47">
        <f>IFERROR(__xludf.DUMMYFUNCTION("""COMPUTED_VALUE"""),0.4)</f>
        <v>0.4</v>
      </c>
      <c r="T45" s="47">
        <f>IFERROR(__xludf.DUMMYFUNCTION("""COMPUTED_VALUE"""),49.73544973544974)</f>
        <v>49.73544974</v>
      </c>
      <c r="U45" s="47">
        <f>IFERROR(__xludf.DUMMYFUNCTION("""COMPUTED_VALUE"""),77.04918032786885)</f>
        <v>77.04918033</v>
      </c>
      <c r="V45" s="47">
        <f>IFERROR(__xludf.DUMMYFUNCTION("""COMPUTED_VALUE"""),2.7)</f>
        <v>2.7</v>
      </c>
      <c r="W45" s="46">
        <f>IFERROR(__xludf.DUMMYFUNCTION("""COMPUTED_VALUE"""),1.3218085499442658)</f>
        <v>1.32180855</v>
      </c>
      <c r="X45" s="46">
        <f>IFERROR(__xludf.DUMMYFUNCTION("""COMPUTED_VALUE"""),-0.03873175248417188)</f>
        <v>-0.03873175248</v>
      </c>
      <c r="Y45" s="46">
        <f>IFERROR(__xludf.DUMMYFUNCTION("""COMPUTED_VALUE"""),-0.7925406433368716)</f>
        <v>-0.7925406433</v>
      </c>
      <c r="Z45" s="46">
        <f>IFERROR(__xludf.DUMMYFUNCTION("""COMPUTED_VALUE"""),1.1506155091397456)</f>
        <v>1.150615509</v>
      </c>
      <c r="AA45" s="46">
        <f>IFERROR(__xludf.DUMMYFUNCTION("""COMPUTED_VALUE"""),0.44772912964166556)</f>
        <v>0.4477291296</v>
      </c>
      <c r="AB45" s="46">
        <f>IFERROR(__xludf.DUMMYFUNCTION("""COMPUTED_VALUE"""),-0.39569839687757064)</f>
        <v>-0.3956983969</v>
      </c>
      <c r="AC45" s="46">
        <f>IFERROR(__xludf.DUMMYFUNCTION("""COMPUTED_VALUE"""),0.025864908973892015)</f>
        <v>0.02586490897</v>
      </c>
      <c r="AD45" s="46">
        <f>IFERROR(__xludf.DUMMYFUNCTION("""COMPUTED_VALUE"""),-0.29311006238385734)</f>
        <v>-0.2931100624</v>
      </c>
      <c r="AE45" s="46">
        <f>IFERROR(__xludf.DUMMYFUNCTION("""COMPUTED_VALUE"""),-0.2189795829018952)</f>
        <v>-0.2189795829</v>
      </c>
    </row>
    <row r="46">
      <c r="A46" s="6" t="str">
        <f>IF(VLOOKUP(H46,'Paste #BBall'!$B$2:$N1001,3,)="BRO","BKN",IF(VLOOKUP(H46,'Paste #BBall'!$B$2:$N1001,3,)="OKL","OKC",VLOOKUP(H46,'Paste #BBall'!$B$2:$N1001,3,)))</f>
        <v>POR</v>
      </c>
      <c r="B46" s="42">
        <f>VLOOKUP($A46,Schedule!$C$2:$G$31,2,0)</f>
        <v>4</v>
      </c>
      <c r="C46" s="42">
        <f>VLOOKUP($A46,Schedule!$C$2:$G$31,3,0)</f>
        <v>4</v>
      </c>
      <c r="D46" s="42">
        <f>VLOOKUP($A46,Schedule!$C$2:$G$31,4,0)</f>
        <v>4</v>
      </c>
      <c r="E46" s="42">
        <f t="shared" si="1"/>
        <v>12</v>
      </c>
      <c r="F46" s="43">
        <v>41.0</v>
      </c>
      <c r="G46" s="45">
        <f>IFERROR(__xludf.DUMMYFUNCTION("""COMPUTED_VALUE"""),50.0)</f>
        <v>50</v>
      </c>
      <c r="H46" s="45" t="str">
        <f>IFERROR(__xludf.DUMMYFUNCTION("""COMPUTED_VALUE"""),"Anfernee Simons")</f>
        <v>Anfernee Simons</v>
      </c>
      <c r="I46" s="45">
        <f>IFERROR(__xludf.DUMMYFUNCTION("""COMPUTED_VALUE"""),65.0)</f>
        <v>65</v>
      </c>
      <c r="J46" s="46" t="str">
        <f>IFERROR(__xludf.DUMMYFUNCTION("""COMPUTED_VALUE"""),"PG,SG")</f>
        <v>PG,SG</v>
      </c>
      <c r="K46" s="46">
        <f>IFERROR(__xludf.DUMMYFUNCTION("""COMPUTED_VALUE"""),0.41968418169714083)</f>
        <v>0.4196841817</v>
      </c>
      <c r="L46" s="46">
        <f>IFERROR(__xludf.DUMMYFUNCTION("""COMPUTED_VALUE"""),1.9896988794779378)</f>
        <v>1.989698879</v>
      </c>
      <c r="M46" s="47">
        <f>IFERROR(__xludf.DUMMYFUNCTION("""COMPUTED_VALUE"""),1.570014697780797)</f>
        <v>1.570014698</v>
      </c>
      <c r="N46" s="47">
        <f>IFERROR(__xludf.DUMMYFUNCTION("""COMPUTED_VALUE"""),21.6)</f>
        <v>21.6</v>
      </c>
      <c r="O46" s="47">
        <f>IFERROR(__xludf.DUMMYFUNCTION("""COMPUTED_VALUE"""),3.7)</f>
        <v>3.7</v>
      </c>
      <c r="P46" s="47">
        <f>IFERROR(__xludf.DUMMYFUNCTION("""COMPUTED_VALUE"""),2.9)</f>
        <v>2.9</v>
      </c>
      <c r="Q46" s="48">
        <f>IFERROR(__xludf.DUMMYFUNCTION("""COMPUTED_VALUE"""),5.4)</f>
        <v>5.4</v>
      </c>
      <c r="R46" s="47">
        <f>IFERROR(__xludf.DUMMYFUNCTION("""COMPUTED_VALUE"""),0.7)</f>
        <v>0.7</v>
      </c>
      <c r="S46" s="47">
        <f>IFERROR(__xludf.DUMMYFUNCTION("""COMPUTED_VALUE"""),0.2)</f>
        <v>0.2</v>
      </c>
      <c r="T46" s="47">
        <f>IFERROR(__xludf.DUMMYFUNCTION("""COMPUTED_VALUE"""),44.37869822485207)</f>
        <v>44.37869822</v>
      </c>
      <c r="U46" s="47">
        <f>IFERROR(__xludf.DUMMYFUNCTION("""COMPUTED_VALUE"""),90.62499999999999)</f>
        <v>90.625</v>
      </c>
      <c r="V46" s="47">
        <f>IFERROR(__xludf.DUMMYFUNCTION("""COMPUTED_VALUE"""),2.2)</f>
        <v>2.2</v>
      </c>
      <c r="W46" s="46">
        <f>IFERROR(__xludf.DUMMYFUNCTION("""COMPUTED_VALUE"""),0.7319662305896211)</f>
        <v>0.7319662306</v>
      </c>
      <c r="X46" s="46">
        <f>IFERROR(__xludf.DUMMYFUNCTION("""COMPUTED_VALUE"""),1.7822387001299258)</f>
        <v>1.7822387</v>
      </c>
      <c r="Y46" s="46">
        <f>IFERROR(__xludf.DUMMYFUNCTION("""COMPUTED_VALUE"""),-1.3361404514645185)</f>
        <v>-1.336140451</v>
      </c>
      <c r="Z46" s="46">
        <f>IFERROR(__xludf.DUMMYFUNCTION("""COMPUTED_VALUE"""),0.7935982855591509)</f>
        <v>0.7935982856</v>
      </c>
      <c r="AA46" s="46">
        <f>IFERROR(__xludf.DUMMYFUNCTION("""COMPUTED_VALUE"""),-0.6425203743558983)</f>
        <v>-0.6425203744</v>
      </c>
      <c r="AB46" s="46">
        <f>IFERROR(__xludf.DUMMYFUNCTION("""COMPUTED_VALUE"""),-0.6583300762210907)</f>
        <v>-0.6583300762</v>
      </c>
      <c r="AC46" s="46">
        <f>IFERROR(__xludf.DUMMYFUNCTION("""COMPUTED_VALUE"""),-0.8811356448885229)</f>
        <v>-0.8811356449</v>
      </c>
      <c r="AD46" s="46">
        <f>IFERROR(__xludf.DUMMYFUNCTION("""COMPUTED_VALUE"""),0.9276300682429975)</f>
        <v>0.9276300682</v>
      </c>
      <c r="AE46" s="46">
        <f>IFERROR(__xludf.DUMMYFUNCTION("""COMPUTED_VALUE"""),-0.06374830957824563)</f>
        <v>-0.06374830958</v>
      </c>
    </row>
    <row r="47">
      <c r="A47" s="6" t="str">
        <f>IF(VLOOKUP(H47,'Paste #BBall'!$B$2:$N1001,3,)="BRO","BKN",IF(VLOOKUP(H47,'Paste #BBall'!$B$2:$N1001,3,)="OKL","OKC",VLOOKUP(H47,'Paste #BBall'!$B$2:$N1001,3,)))</f>
        <v>PHI</v>
      </c>
      <c r="B47" s="42">
        <f>VLOOKUP($A47,Schedule!$C$2:$G$31,2,0)</f>
        <v>4</v>
      </c>
      <c r="C47" s="42">
        <f>VLOOKUP($A47,Schedule!$C$2:$G$31,3,0)</f>
        <v>3</v>
      </c>
      <c r="D47" s="42">
        <f>VLOOKUP($A47,Schedule!$C$2:$G$31,4,0)</f>
        <v>4</v>
      </c>
      <c r="E47" s="42">
        <f t="shared" si="1"/>
        <v>11</v>
      </c>
      <c r="F47" s="51">
        <v>42.0</v>
      </c>
      <c r="G47" s="45">
        <f>IFERROR(__xludf.DUMMYFUNCTION("""COMPUTED_VALUE"""),52.0)</f>
        <v>52</v>
      </c>
      <c r="H47" s="45" t="str">
        <f>IFERROR(__xludf.DUMMYFUNCTION("""COMPUTED_VALUE"""),"Tyrese Maxey")</f>
        <v>Tyrese Maxey</v>
      </c>
      <c r="I47" s="45">
        <f>IFERROR(__xludf.DUMMYFUNCTION("""COMPUTED_VALUE"""),70.0)</f>
        <v>70</v>
      </c>
      <c r="J47" s="46" t="str">
        <f>IFERROR(__xludf.DUMMYFUNCTION("""COMPUTED_VALUE"""),"PG,SG")</f>
        <v>PG,SG</v>
      </c>
      <c r="K47" s="46">
        <f>IFERROR(__xludf.DUMMYFUNCTION("""COMPUTED_VALUE"""),0.3024381591671205)</f>
        <v>0.3024381592</v>
      </c>
      <c r="L47" s="46">
        <f>IFERROR(__xludf.DUMMYFUNCTION("""COMPUTED_VALUE"""),1.8548911679466045)</f>
        <v>1.854891168</v>
      </c>
      <c r="M47" s="47">
        <f>IFERROR(__xludf.DUMMYFUNCTION("""COMPUTED_VALUE"""),1.552453008779484)</f>
        <v>1.552453009</v>
      </c>
      <c r="N47" s="47">
        <f>IFERROR(__xludf.DUMMYFUNCTION("""COMPUTED_VALUE"""),21.5)</f>
        <v>21.5</v>
      </c>
      <c r="O47" s="47">
        <f>IFERROR(__xludf.DUMMYFUNCTION("""COMPUTED_VALUE"""),2.9)</f>
        <v>2.9</v>
      </c>
      <c r="P47" s="47">
        <f>IFERROR(__xludf.DUMMYFUNCTION("""COMPUTED_VALUE"""),3.3)</f>
        <v>3.3</v>
      </c>
      <c r="Q47" s="48">
        <f>IFERROR(__xludf.DUMMYFUNCTION("""COMPUTED_VALUE"""),4.4)</f>
        <v>4.4</v>
      </c>
      <c r="R47" s="47">
        <f>IFERROR(__xludf.DUMMYFUNCTION("""COMPUTED_VALUE"""),0.8)</f>
        <v>0.8</v>
      </c>
      <c r="S47" s="47">
        <f>IFERROR(__xludf.DUMMYFUNCTION("""COMPUTED_VALUE"""),0.3)</f>
        <v>0.3</v>
      </c>
      <c r="T47" s="47">
        <f>IFERROR(__xludf.DUMMYFUNCTION("""COMPUTED_VALUE"""),48.75)</f>
        <v>48.75</v>
      </c>
      <c r="U47" s="47">
        <f>IFERROR(__xludf.DUMMYFUNCTION("""COMPUTED_VALUE"""),86.11111111111111)</f>
        <v>86.11111111</v>
      </c>
      <c r="V47" s="47">
        <f>IFERROR(__xludf.DUMMYFUNCTION("""COMPUTED_VALUE"""),1.3)</f>
        <v>1.3</v>
      </c>
      <c r="W47" s="46">
        <f>IFERROR(__xludf.DUMMYFUNCTION("""COMPUTED_VALUE"""),0.7151135928937739)</f>
        <v>0.7151135929</v>
      </c>
      <c r="X47" s="46">
        <f>IFERROR(__xludf.DUMMYFUNCTION("""COMPUTED_VALUE"""),1.0885356705626503)</f>
        <v>1.088535671</v>
      </c>
      <c r="Y47" s="46">
        <f>IFERROR(__xludf.DUMMYFUNCTION("""COMPUTED_VALUE"""),-1.1688789720406272)</f>
        <v>-1.168878972</v>
      </c>
      <c r="Z47" s="46">
        <f>IFERROR(__xludf.DUMMYFUNCTION("""COMPUTED_VALUE"""),0.28357368044401526)</f>
        <v>0.2835736804</v>
      </c>
      <c r="AA47" s="46">
        <f>IFERROR(__xludf.DUMMYFUNCTION("""COMPUTED_VALUE"""),-0.42447047355638534)</f>
        <v>-0.4244704736</v>
      </c>
      <c r="AB47" s="46">
        <f>IFERROR(__xludf.DUMMYFUNCTION("""COMPUTED_VALUE"""),-0.5270142365493308)</f>
        <v>-0.5270142365</v>
      </c>
      <c r="AC47" s="46">
        <f>IFERROR(__xludf.DUMMYFUNCTION("""COMPUTED_VALUE"""),-0.13559678537091868)</f>
        <v>-0.1355967854</v>
      </c>
      <c r="AD47" s="46">
        <f>IFERROR(__xludf.DUMMYFUNCTION("""COMPUTED_VALUE"""),0.6390817371184762)</f>
        <v>0.6390817371</v>
      </c>
      <c r="AE47" s="46">
        <f>IFERROR(__xludf.DUMMYFUNCTION("""COMPUTED_VALUE"""),0.2156679824043236)</f>
        <v>0.2156679824</v>
      </c>
    </row>
    <row r="48">
      <c r="A48" s="6" t="str">
        <f>IF(VLOOKUP(H48,'Paste #BBall'!$B$2:$N1001,3,)="BRO","BKN",IF(VLOOKUP(H48,'Paste #BBall'!$B$2:$N1001,3,)="OKL","OKC",VLOOKUP(H48,'Paste #BBall'!$B$2:$N1001,3,)))</f>
        <v>MEM</v>
      </c>
      <c r="B48" s="42">
        <f>VLOOKUP($A48,Schedule!$C$2:$G$31,2,0)</f>
        <v>4</v>
      </c>
      <c r="C48" s="42">
        <f>VLOOKUP($A48,Schedule!$C$2:$G$31,3,0)</f>
        <v>3</v>
      </c>
      <c r="D48" s="42">
        <f>VLOOKUP($A48,Schedule!$C$2:$G$31,4,0)</f>
        <v>3</v>
      </c>
      <c r="E48" s="42">
        <f t="shared" si="1"/>
        <v>10</v>
      </c>
      <c r="F48" s="51">
        <v>43.0</v>
      </c>
      <c r="G48" s="45">
        <f>IFERROR(__xludf.DUMMYFUNCTION("""COMPUTED_VALUE"""),42.0)</f>
        <v>42</v>
      </c>
      <c r="H48" s="45" t="str">
        <f>IFERROR(__xludf.DUMMYFUNCTION("""COMPUTED_VALUE"""),"Ja Morant")</f>
        <v>Ja Morant</v>
      </c>
      <c r="I48" s="45">
        <f>IFERROR(__xludf.DUMMYFUNCTION("""COMPUTED_VALUE"""),48.0)</f>
        <v>48</v>
      </c>
      <c r="J48" s="46" t="str">
        <f>IFERROR(__xludf.DUMMYFUNCTION("""COMPUTED_VALUE"""),"PG")</f>
        <v>PG</v>
      </c>
      <c r="K48" s="46">
        <f>IFERROR(__xludf.DUMMYFUNCTION("""COMPUTED_VALUE"""),1.03921344977379)</f>
        <v>1.03921345</v>
      </c>
      <c r="L48" s="46">
        <f>IFERROR(__xludf.DUMMYFUNCTION("""COMPUTED_VALUE"""),1.8173978255932877)</f>
        <v>1.817397826</v>
      </c>
      <c r="M48" s="47">
        <f>IFERROR(__xludf.DUMMYFUNCTION("""COMPUTED_VALUE"""),0.7781843758194977)</f>
        <v>0.7781843758</v>
      </c>
      <c r="N48" s="47">
        <f>IFERROR(__xludf.DUMMYFUNCTION("""COMPUTED_VALUE"""),26.5)</f>
        <v>26.5</v>
      </c>
      <c r="O48" s="47">
        <f>IFERROR(__xludf.DUMMYFUNCTION("""COMPUTED_VALUE"""),1.5)</f>
        <v>1.5</v>
      </c>
      <c r="P48" s="47">
        <f>IFERROR(__xludf.DUMMYFUNCTION("""COMPUTED_VALUE"""),5.8)</f>
        <v>5.8</v>
      </c>
      <c r="Q48" s="48">
        <f>IFERROR(__xludf.DUMMYFUNCTION("""COMPUTED_VALUE"""),7.1)</f>
        <v>7.1</v>
      </c>
      <c r="R48" s="47">
        <f>IFERROR(__xludf.DUMMYFUNCTION("""COMPUTED_VALUE"""),1.1)</f>
        <v>1.1</v>
      </c>
      <c r="S48" s="47">
        <f>IFERROR(__xludf.DUMMYFUNCTION("""COMPUTED_VALUE"""),0.3)</f>
        <v>0.3</v>
      </c>
      <c r="T48" s="47">
        <f>IFERROR(__xludf.DUMMYFUNCTION("""COMPUTED_VALUE"""),47.524752475247524)</f>
        <v>47.52475248</v>
      </c>
      <c r="U48" s="47">
        <f>IFERROR(__xludf.DUMMYFUNCTION("""COMPUTED_VALUE"""),75.32467532467531)</f>
        <v>75.32467532</v>
      </c>
      <c r="V48" s="47">
        <f>IFERROR(__xludf.DUMMYFUNCTION("""COMPUTED_VALUE"""),3.4)</f>
        <v>3.4</v>
      </c>
      <c r="W48" s="46">
        <f>IFERROR(__xludf.DUMMYFUNCTION("""COMPUTED_VALUE"""),1.5577454776861235)</f>
        <v>1.557745478</v>
      </c>
      <c r="X48" s="46">
        <f>IFERROR(__xludf.DUMMYFUNCTION("""COMPUTED_VALUE"""),-0.12544463118008137)</f>
        <v>-0.1254446312</v>
      </c>
      <c r="Y48" s="46">
        <f>IFERROR(__xludf.DUMMYFUNCTION("""COMPUTED_VALUE"""),-0.12349472564130623)</f>
        <v>-0.1234947256</v>
      </c>
      <c r="Z48" s="46">
        <f>IFERROR(__xludf.DUMMYFUNCTION("""COMPUTED_VALUE"""),1.6606401142548812)</f>
        <v>1.660640114</v>
      </c>
      <c r="AA48" s="46">
        <f>IFERROR(__xludf.DUMMYFUNCTION("""COMPUTED_VALUE"""),0.22967922884215308)</f>
        <v>0.2296792288</v>
      </c>
      <c r="AB48" s="46">
        <f>IFERROR(__xludf.DUMMYFUNCTION("""COMPUTED_VALUE"""),-0.5270142365493308)</f>
        <v>-0.5270142365</v>
      </c>
      <c r="AC48" s="46">
        <f>IFERROR(__xludf.DUMMYFUNCTION("""COMPUTED_VALUE"""),-0.4184100362641475)</f>
        <v>-0.4184100363</v>
      </c>
      <c r="AD48" s="46">
        <f>IFERROR(__xludf.DUMMYFUNCTION("""COMPUTED_VALUE"""),-0.7005302982882942)</f>
        <v>-0.7005302983</v>
      </c>
      <c r="AE48" s="46">
        <f>IFERROR(__xludf.DUMMYFUNCTION("""COMPUTED_VALUE"""),-0.4363033655550045)</f>
        <v>-0.4363033656</v>
      </c>
    </row>
    <row r="49">
      <c r="A49" s="6" t="str">
        <f>IF(VLOOKUP(H49,'Paste #BBall'!$B$2:$N1001,3,)="BRO","BKN",IF(VLOOKUP(H49,'Paste #BBall'!$B$2:$N1001,3,)="OKL","OKC",VLOOKUP(H49,'Paste #BBall'!$B$2:$N1001,3,)))</f>
        <v>NY</v>
      </c>
      <c r="B49" s="42">
        <f>VLOOKUP($A49,Schedule!$C$2:$G$31,2,0)</f>
        <v>3</v>
      </c>
      <c r="C49" s="42">
        <f>VLOOKUP($A49,Schedule!$C$2:$G$31,3,0)</f>
        <v>3</v>
      </c>
      <c r="D49" s="42">
        <f>VLOOKUP($A49,Schedule!$C$2:$G$31,4,0)</f>
        <v>3</v>
      </c>
      <c r="E49" s="42">
        <f t="shared" si="1"/>
        <v>9</v>
      </c>
      <c r="F49" s="43">
        <v>44.0</v>
      </c>
      <c r="G49" s="45">
        <f>IFERROR(__xludf.DUMMYFUNCTION("""COMPUTED_VALUE"""),46.0)</f>
        <v>46</v>
      </c>
      <c r="H49" s="45" t="str">
        <f>IFERROR(__xludf.DUMMYFUNCTION("""COMPUTED_VALUE"""),"Julius Randle")</f>
        <v>Julius Randle</v>
      </c>
      <c r="I49" s="45">
        <f>IFERROR(__xludf.DUMMYFUNCTION("""COMPUTED_VALUE"""),74.0)</f>
        <v>74</v>
      </c>
      <c r="J49" s="46" t="str">
        <f>IFERROR(__xludf.DUMMYFUNCTION("""COMPUTED_VALUE"""),"PF")</f>
        <v>PF</v>
      </c>
      <c r="K49" s="46">
        <f>IFERROR(__xludf.DUMMYFUNCTION("""COMPUTED_VALUE"""),0.7168108727800732)</f>
        <v>0.7168108728</v>
      </c>
      <c r="L49" s="46">
        <f>IFERROR(__xludf.DUMMYFUNCTION("""COMPUTED_VALUE"""),1.7698731885705303)</f>
        <v>1.769873189</v>
      </c>
      <c r="M49" s="47">
        <f>IFERROR(__xludf.DUMMYFUNCTION("""COMPUTED_VALUE"""),1.053062315790457)</f>
        <v>1.053062316</v>
      </c>
      <c r="N49" s="47">
        <f>IFERROR(__xludf.DUMMYFUNCTION("""COMPUTED_VALUE"""),22.9)</f>
        <v>22.9</v>
      </c>
      <c r="O49" s="47">
        <f>IFERROR(__xludf.DUMMYFUNCTION("""COMPUTED_VALUE"""),2.3)</f>
        <v>2.3</v>
      </c>
      <c r="P49" s="47">
        <f>IFERROR(__xludf.DUMMYFUNCTION("""COMPUTED_VALUE"""),10.0)</f>
        <v>10</v>
      </c>
      <c r="Q49" s="48">
        <f>IFERROR(__xludf.DUMMYFUNCTION("""COMPUTED_VALUE"""),4.7)</f>
        <v>4.7</v>
      </c>
      <c r="R49" s="47">
        <f>IFERROR(__xludf.DUMMYFUNCTION("""COMPUTED_VALUE"""),0.7)</f>
        <v>0.7</v>
      </c>
      <c r="S49" s="47">
        <f>IFERROR(__xludf.DUMMYFUNCTION("""COMPUTED_VALUE"""),0.4)</f>
        <v>0.4</v>
      </c>
      <c r="T49" s="47">
        <f>IFERROR(__xludf.DUMMYFUNCTION("""COMPUTED_VALUE"""),45.142857142857146)</f>
        <v>45.14285714</v>
      </c>
      <c r="U49" s="47">
        <f>IFERROR(__xludf.DUMMYFUNCTION("""COMPUTED_VALUE"""),76.19047619047619)</f>
        <v>76.19047619</v>
      </c>
      <c r="V49" s="47">
        <f>IFERROR(__xludf.DUMMYFUNCTION("""COMPUTED_VALUE"""),3.1)</f>
        <v>3.1</v>
      </c>
      <c r="W49" s="46">
        <f>IFERROR(__xludf.DUMMYFUNCTION("""COMPUTED_VALUE"""),0.9510505206356314)</f>
        <v>0.9510505206</v>
      </c>
      <c r="X49" s="46">
        <f>IFERROR(__xludf.DUMMYFUNCTION("""COMPUTED_VALUE"""),0.5682583983871938)</f>
        <v>0.5682583984</v>
      </c>
      <c r="Y49" s="46">
        <f>IFERROR(__xludf.DUMMYFUNCTION("""COMPUTED_VALUE"""),1.6327508083095532)</f>
        <v>1.632750808</v>
      </c>
      <c r="Z49" s="46">
        <f>IFERROR(__xludf.DUMMYFUNCTION("""COMPUTED_VALUE"""),0.4365810619785559)</f>
        <v>0.436581062</v>
      </c>
      <c r="AA49" s="46">
        <f>IFERROR(__xludf.DUMMYFUNCTION("""COMPUTED_VALUE"""),-0.6425203743558983)</f>
        <v>-0.6425203744</v>
      </c>
      <c r="AB49" s="46">
        <f>IFERROR(__xludf.DUMMYFUNCTION("""COMPUTED_VALUE"""),-0.39569839687757064)</f>
        <v>-0.3956983969</v>
      </c>
      <c r="AC49" s="46">
        <f>IFERROR(__xludf.DUMMYFUNCTION("""COMPUTED_VALUE"""),-0.7788425336981692)</f>
        <v>-0.7788425337</v>
      </c>
      <c r="AD49" s="46">
        <f>IFERROR(__xludf.DUMMYFUNCTION("""COMPUTED_VALUE"""),-0.43738422794612053)</f>
        <v>-0.4373842279</v>
      </c>
      <c r="AE49" s="46">
        <f>IFERROR(__xludf.DUMMYFUNCTION("""COMPUTED_VALUE"""),-0.3431646015608148)</f>
        <v>-0.3431646016</v>
      </c>
    </row>
    <row r="50">
      <c r="A50" s="6" t="str">
        <f>IF(VLOOKUP(H50,'Paste #BBall'!$B$2:$N1001,3,)="BRO","BKN",IF(VLOOKUP(H50,'Paste #BBall'!$B$2:$N1001,3,)="OKL","OKC",VLOOKUP(H50,'Paste #BBall'!$B$2:$N1001,3,)))</f>
        <v>NO</v>
      </c>
      <c r="B50" s="42">
        <f>VLOOKUP($A50,Schedule!$C$2:$G$31,2,0)</f>
        <v>3</v>
      </c>
      <c r="C50" s="42">
        <f>VLOOKUP($A50,Schedule!$C$2:$G$31,3,0)</f>
        <v>3</v>
      </c>
      <c r="D50" s="42">
        <f>VLOOKUP($A50,Schedule!$C$2:$G$31,4,0)</f>
        <v>4</v>
      </c>
      <c r="E50" s="42">
        <f t="shared" si="1"/>
        <v>10</v>
      </c>
      <c r="F50" s="51">
        <v>45.0</v>
      </c>
      <c r="G50" s="45">
        <f>IFERROR(__xludf.DUMMYFUNCTION("""COMPUTED_VALUE"""),66.0)</f>
        <v>66</v>
      </c>
      <c r="H50" s="45" t="str">
        <f>IFERROR(__xludf.DUMMYFUNCTION("""COMPUTED_VALUE"""),"Zion Williamson")</f>
        <v>Zion Williamson</v>
      </c>
      <c r="I50" s="45">
        <f>IFERROR(__xludf.DUMMYFUNCTION("""COMPUTED_VALUE"""),52.0)</f>
        <v>52</v>
      </c>
      <c r="J50" s="46" t="str">
        <f>IFERROR(__xludf.DUMMYFUNCTION("""COMPUTED_VALUE"""),"PF,C")</f>
        <v>PF,C</v>
      </c>
      <c r="K50" s="46">
        <f>IFERROR(__xludf.DUMMYFUNCTION("""COMPUTED_VALUE"""),-0.1812825818664714)</f>
        <v>-0.1812825819</v>
      </c>
      <c r="L50" s="46">
        <f>IFERROR(__xludf.DUMMYFUNCTION("""COMPUTED_VALUE"""),1.7548827075835067)</f>
        <v>1.754882708</v>
      </c>
      <c r="M50" s="47">
        <f>IFERROR(__xludf.DUMMYFUNCTION("""COMPUTED_VALUE"""),1.9361652894499781)</f>
        <v>1.936165289</v>
      </c>
      <c r="N50" s="47">
        <f>IFERROR(__xludf.DUMMYFUNCTION("""COMPUTED_VALUE"""),25.3)</f>
        <v>25.3</v>
      </c>
      <c r="O50" s="47">
        <f>IFERROR(__xludf.DUMMYFUNCTION("""COMPUTED_VALUE"""),0.2)</f>
        <v>0.2</v>
      </c>
      <c r="P50" s="47">
        <f>IFERROR(__xludf.DUMMYFUNCTION("""COMPUTED_VALUE"""),6.8)</f>
        <v>6.8</v>
      </c>
      <c r="Q50" s="48">
        <f>IFERROR(__xludf.DUMMYFUNCTION("""COMPUTED_VALUE"""),4.5)</f>
        <v>4.5</v>
      </c>
      <c r="R50" s="47">
        <f>IFERROR(__xludf.DUMMYFUNCTION("""COMPUTED_VALUE"""),1.0)</f>
        <v>1</v>
      </c>
      <c r="S50" s="47">
        <f>IFERROR(__xludf.DUMMYFUNCTION("""COMPUTED_VALUE"""),0.5)</f>
        <v>0.5</v>
      </c>
      <c r="T50" s="47">
        <f>IFERROR(__xludf.DUMMYFUNCTION("""COMPUTED_VALUE"""),60.37735849056604)</f>
        <v>60.37735849</v>
      </c>
      <c r="U50" s="47">
        <f>IFERROR(__xludf.DUMMYFUNCTION("""COMPUTED_VALUE"""),70.23809523809524)</f>
        <v>70.23809524</v>
      </c>
      <c r="V50" s="47">
        <f>IFERROR(__xludf.DUMMYFUNCTION("""COMPUTED_VALUE"""),3.4)</f>
        <v>3.4</v>
      </c>
      <c r="W50" s="46">
        <f>IFERROR(__xludf.DUMMYFUNCTION("""COMPUTED_VALUE"""),1.3555138253359595)</f>
        <v>1.355513825</v>
      </c>
      <c r="X50" s="46">
        <f>IFERROR(__xludf.DUMMYFUNCTION("""COMPUTED_VALUE"""),-1.252712054226904)</f>
        <v>-1.252712054</v>
      </c>
      <c r="Y50" s="46">
        <f>IFERROR(__xludf.DUMMYFUNCTION("""COMPUTED_VALUE"""),0.2946589729184222)</f>
        <v>0.2946589729</v>
      </c>
      <c r="Z50" s="46">
        <f>IFERROR(__xludf.DUMMYFUNCTION("""COMPUTED_VALUE"""),0.3345761409555286)</f>
        <v>0.334576141</v>
      </c>
      <c r="AA50" s="46">
        <f>IFERROR(__xludf.DUMMYFUNCTION("""COMPUTED_VALUE"""),0.011629328042640127)</f>
        <v>0.01162932804</v>
      </c>
      <c r="AB50" s="46">
        <f>IFERROR(__xludf.DUMMYFUNCTION("""COMPUTED_VALUE"""),-0.2643825572058105)</f>
        <v>-0.2643825572</v>
      </c>
      <c r="AC50" s="46">
        <f>IFERROR(__xludf.DUMMYFUNCTION("""COMPUTED_VALUE"""),1.7119024173186752)</f>
        <v>1.711902417</v>
      </c>
      <c r="AD50" s="46">
        <f>IFERROR(__xludf.DUMMYFUNCTION("""COMPUTED_VALUE"""),-1.8278007849175868)</f>
        <v>-1.827800785</v>
      </c>
      <c r="AE50" s="46">
        <f>IFERROR(__xludf.DUMMYFUNCTION("""COMPUTED_VALUE"""),-0.4363033655550045)</f>
        <v>-0.4363033656</v>
      </c>
    </row>
    <row r="51">
      <c r="A51" s="6" t="str">
        <f>IF(VLOOKUP(H51,'Paste #BBall'!$B$2:$N1001,3,)="BRO","BKN",IF(VLOOKUP(H51,'Paste #BBall'!$B$2:$N1001,3,)="OKL","OKC",VLOOKUP(H51,'Paste #BBall'!$B$2:$N1001,3,)))</f>
        <v>CHI</v>
      </c>
      <c r="B51" s="42">
        <f>VLOOKUP($A51,Schedule!$C$2:$G$31,2,0)</f>
        <v>4</v>
      </c>
      <c r="C51" s="42">
        <f>VLOOKUP($A51,Schedule!$C$2:$G$31,3,0)</f>
        <v>4</v>
      </c>
      <c r="D51" s="42">
        <f>VLOOKUP($A51,Schedule!$C$2:$G$31,4,0)</f>
        <v>3</v>
      </c>
      <c r="E51" s="42">
        <f t="shared" si="1"/>
        <v>11</v>
      </c>
      <c r="F51" s="51">
        <v>46.0</v>
      </c>
      <c r="G51" s="45">
        <f>IFERROR(__xludf.DUMMYFUNCTION("""COMPUTED_VALUE"""),45.0)</f>
        <v>45</v>
      </c>
      <c r="H51" s="45" t="str">
        <f>IFERROR(__xludf.DUMMYFUNCTION("""COMPUTED_VALUE"""),"Nikola Vucevic")</f>
        <v>Nikola Vucevic</v>
      </c>
      <c r="I51" s="45">
        <f>IFERROR(__xludf.DUMMYFUNCTION("""COMPUTED_VALUE"""),74.0)</f>
        <v>74</v>
      </c>
      <c r="J51" s="46" t="str">
        <f>IFERROR(__xludf.DUMMYFUNCTION("""COMPUTED_VALUE"""),"C")</f>
        <v>C</v>
      </c>
      <c r="K51" s="46">
        <f>IFERROR(__xludf.DUMMYFUNCTION("""COMPUTED_VALUE"""),0.804530549852021)</f>
        <v>0.8045305499</v>
      </c>
      <c r="L51" s="46">
        <f>IFERROR(__xludf.DUMMYFUNCTION("""COMPUTED_VALUE"""),1.7345139937979592)</f>
        <v>1.734513994</v>
      </c>
      <c r="M51" s="47">
        <f>IFERROR(__xludf.DUMMYFUNCTION("""COMPUTED_VALUE"""),0.9299834439459382)</f>
        <v>0.9299834439</v>
      </c>
      <c r="N51" s="47">
        <f>IFERROR(__xludf.DUMMYFUNCTION("""COMPUTED_VALUE"""),17.4)</f>
        <v>17.4</v>
      </c>
      <c r="O51" s="47">
        <f>IFERROR(__xludf.DUMMYFUNCTION("""COMPUTED_VALUE"""),1.5)</f>
        <v>1.5</v>
      </c>
      <c r="P51" s="47">
        <f>IFERROR(__xludf.DUMMYFUNCTION("""COMPUTED_VALUE"""),11.0)</f>
        <v>11</v>
      </c>
      <c r="Q51" s="48">
        <f>IFERROR(__xludf.DUMMYFUNCTION("""COMPUTED_VALUE"""),3.2)</f>
        <v>3.2</v>
      </c>
      <c r="R51" s="47">
        <f>IFERROR(__xludf.DUMMYFUNCTION("""COMPUTED_VALUE"""),0.7)</f>
        <v>0.7</v>
      </c>
      <c r="S51" s="47">
        <f>IFERROR(__xludf.DUMMYFUNCTION("""COMPUTED_VALUE"""),0.7)</f>
        <v>0.7</v>
      </c>
      <c r="T51" s="47">
        <f>IFERROR(__xludf.DUMMYFUNCTION("""COMPUTED_VALUE"""),48.648648648648646)</f>
        <v>48.64864865</v>
      </c>
      <c r="U51" s="47">
        <f>IFERROR(__xludf.DUMMYFUNCTION("""COMPUTED_VALUE"""),83.33333333333333)</f>
        <v>83.33333333</v>
      </c>
      <c r="V51" s="47">
        <f>IFERROR(__xludf.DUMMYFUNCTION("""COMPUTED_VALUE"""),1.8)</f>
        <v>1.8</v>
      </c>
      <c r="W51" s="46">
        <f>IFERROR(__xludf.DUMMYFUNCTION("""COMPUTED_VALUE"""),0.02415544736404694)</f>
        <v>0.02415544736</v>
      </c>
      <c r="X51" s="46">
        <f>IFERROR(__xludf.DUMMYFUNCTION("""COMPUTED_VALUE"""),-0.12544463118008137)</f>
        <v>-0.1254446312</v>
      </c>
      <c r="Y51" s="46">
        <f>IFERROR(__xludf.DUMMYFUNCTION("""COMPUTED_VALUE"""),2.0509045068692817)</f>
        <v>2.050904507</v>
      </c>
      <c r="Z51" s="46">
        <f>IFERROR(__xludf.DUMMYFUNCTION("""COMPUTED_VALUE"""),-0.32845584569414765)</f>
        <v>-0.3284558457</v>
      </c>
      <c r="AA51" s="46">
        <f>IFERROR(__xludf.DUMMYFUNCTION("""COMPUTED_VALUE"""),-0.6425203743558983)</f>
        <v>-0.6425203744</v>
      </c>
      <c r="AB51" s="46">
        <f>IFERROR(__xludf.DUMMYFUNCTION("""COMPUTED_VALUE"""),-0.0017508778622903794)</f>
        <v>-0.001750877862</v>
      </c>
      <c r="AC51" s="46">
        <f>IFERROR(__xludf.DUMMYFUNCTION("""COMPUTED_VALUE"""),-0.14041000190648567)</f>
        <v>-0.1404100019</v>
      </c>
      <c r="AD51" s="46">
        <f>IFERROR(__xludf.DUMMYFUNCTION("""COMPUTED_VALUE"""),0.19507868712696136)</f>
        <v>0.1950786871</v>
      </c>
      <c r="AE51" s="46">
        <f>IFERROR(__xludf.DUMMYFUNCTION("""COMPUTED_VALUE"""),0.06043670908067405)</f>
        <v>0.06043670908</v>
      </c>
    </row>
    <row r="52">
      <c r="A52" s="6" t="str">
        <f>IF(VLOOKUP(H52,'Paste #BBall'!$B$2:$N1001,3,)="BRO","BKN",IF(VLOOKUP(H52,'Paste #BBall'!$B$2:$N1001,3,)="OKL","OKC",VLOOKUP(H52,'Paste #BBall'!$B$2:$N1001,3,)))</f>
        <v>CHI</v>
      </c>
      <c r="B52" s="42">
        <f>VLOOKUP($A52,Schedule!$C$2:$G$31,2,0)</f>
        <v>4</v>
      </c>
      <c r="C52" s="42">
        <f>VLOOKUP($A52,Schedule!$C$2:$G$31,3,0)</f>
        <v>4</v>
      </c>
      <c r="D52" s="42">
        <f>VLOOKUP($A52,Schedule!$C$2:$G$31,4,0)</f>
        <v>3</v>
      </c>
      <c r="E52" s="42">
        <f t="shared" si="1"/>
        <v>11</v>
      </c>
      <c r="F52" s="43">
        <v>47.0</v>
      </c>
      <c r="G52" s="45">
        <f>IFERROR(__xludf.DUMMYFUNCTION("""COMPUTED_VALUE"""),44.0)</f>
        <v>44</v>
      </c>
      <c r="H52" s="45" t="str">
        <f>IFERROR(__xludf.DUMMYFUNCTION("""COMPUTED_VALUE"""),"Zach LaVine")</f>
        <v>Zach LaVine</v>
      </c>
      <c r="I52" s="45">
        <f>IFERROR(__xludf.DUMMYFUNCTION("""COMPUTED_VALUE"""),74.0)</f>
        <v>74</v>
      </c>
      <c r="J52" s="46" t="str">
        <f>IFERROR(__xludf.DUMMYFUNCTION("""COMPUTED_VALUE"""),"SG,SF")</f>
        <v>SG,SF</v>
      </c>
      <c r="K52" s="46">
        <f>IFERROR(__xludf.DUMMYFUNCTION("""COMPUTED_VALUE"""),0.9167348261884019)</f>
        <v>0.9167348262</v>
      </c>
      <c r="L52" s="46">
        <f>IFERROR(__xludf.DUMMYFUNCTION("""COMPUTED_VALUE"""),1.62531928705058)</f>
        <v>1.625319287</v>
      </c>
      <c r="M52" s="47">
        <f>IFERROR(__xludf.DUMMYFUNCTION("""COMPUTED_VALUE"""),0.7085844608621781)</f>
        <v>0.7085844609</v>
      </c>
      <c r="N52" s="47">
        <f>IFERROR(__xludf.DUMMYFUNCTION("""COMPUTED_VALUE"""),24.9)</f>
        <v>24.9</v>
      </c>
      <c r="O52" s="47">
        <f>IFERROR(__xludf.DUMMYFUNCTION("""COMPUTED_VALUE"""),2.6)</f>
        <v>2.6</v>
      </c>
      <c r="P52" s="47">
        <f>IFERROR(__xludf.DUMMYFUNCTION("""COMPUTED_VALUE"""),4.4)</f>
        <v>4.4</v>
      </c>
      <c r="Q52" s="48">
        <f>IFERROR(__xludf.DUMMYFUNCTION("""COMPUTED_VALUE"""),4.3)</f>
        <v>4.3</v>
      </c>
      <c r="R52" s="47">
        <f>IFERROR(__xludf.DUMMYFUNCTION("""COMPUTED_VALUE"""),0.8)</f>
        <v>0.8</v>
      </c>
      <c r="S52" s="47">
        <f>IFERROR(__xludf.DUMMYFUNCTION("""COMPUTED_VALUE"""),0.3)</f>
        <v>0.3</v>
      </c>
      <c r="T52" s="47">
        <f>IFERROR(__xludf.DUMMYFUNCTION("""COMPUTED_VALUE"""),47.802197802197796)</f>
        <v>47.8021978</v>
      </c>
      <c r="U52" s="47">
        <f>IFERROR(__xludf.DUMMYFUNCTION("""COMPUTED_VALUE"""),84.21052631578947)</f>
        <v>84.21052632</v>
      </c>
      <c r="V52" s="47">
        <f>IFERROR(__xludf.DUMMYFUNCTION("""COMPUTED_VALUE"""),2.6)</f>
        <v>2.6</v>
      </c>
      <c r="W52" s="46">
        <f>IFERROR(__xludf.DUMMYFUNCTION("""COMPUTED_VALUE"""),1.2881032745525713)</f>
        <v>1.288103275</v>
      </c>
      <c r="X52" s="46">
        <f>IFERROR(__xludf.DUMMYFUNCTION("""COMPUTED_VALUE"""),0.8283970344749224)</f>
        <v>0.8283970345</v>
      </c>
      <c r="Y52" s="46">
        <f>IFERROR(__xludf.DUMMYFUNCTION("""COMPUTED_VALUE"""),-0.7089099036249258)</f>
        <v>-0.7089099036</v>
      </c>
      <c r="Z52" s="46">
        <f>IFERROR(__xludf.DUMMYFUNCTION("""COMPUTED_VALUE"""),0.2325712199325014)</f>
        <v>0.2325712199</v>
      </c>
      <c r="AA52" s="46">
        <f>IFERROR(__xludf.DUMMYFUNCTION("""COMPUTED_VALUE"""),-0.42447047355638534)</f>
        <v>-0.4244704736</v>
      </c>
      <c r="AB52" s="46">
        <f>IFERROR(__xludf.DUMMYFUNCTION("""COMPUTED_VALUE"""),-0.5270142365493308)</f>
        <v>-0.5270142365</v>
      </c>
      <c r="AC52" s="46">
        <f>IFERROR(__xludf.DUMMYFUNCTION("""COMPUTED_VALUE"""),-0.32654556090085485)</f>
        <v>-0.3265455609</v>
      </c>
      <c r="AD52" s="46">
        <f>IFERROR(__xludf.DUMMYFUNCTION("""COMPUTED_VALUE"""),0.7422113573343209)</f>
        <v>0.7422113573</v>
      </c>
      <c r="AE52" s="46">
        <f>IFERROR(__xludf.DUMMYFUNCTION("""COMPUTED_VALUE"""),-0.18793332823716524)</f>
        <v>-0.1879333282</v>
      </c>
    </row>
    <row r="53">
      <c r="A53" s="6" t="str">
        <f>IF(VLOOKUP(H53,'Paste #BBall'!$B$2:$N1001,3,)="BRO","BKN",IF(VLOOKUP(H53,'Paste #BBall'!$B$2:$N1001,3,)="OKL","OKC",VLOOKUP(H53,'Paste #BBall'!$B$2:$N1001,3,)))</f>
        <v>TOR</v>
      </c>
      <c r="B53" s="42">
        <f>VLOOKUP($A53,Schedule!$C$2:$G$31,2,0)</f>
        <v>3</v>
      </c>
      <c r="C53" s="42">
        <f>VLOOKUP($A53,Schedule!$C$2:$G$31,3,0)</f>
        <v>4</v>
      </c>
      <c r="D53" s="42">
        <f>VLOOKUP($A53,Schedule!$C$2:$G$31,4,0)</f>
        <v>3</v>
      </c>
      <c r="E53" s="42">
        <f t="shared" si="1"/>
        <v>10</v>
      </c>
      <c r="F53" s="51">
        <v>48.0</v>
      </c>
      <c r="G53" s="45">
        <f>IFERROR(__xludf.DUMMYFUNCTION("""COMPUTED_VALUE"""),43.0)</f>
        <v>43</v>
      </c>
      <c r="H53" s="45" t="str">
        <f>IFERROR(__xludf.DUMMYFUNCTION("""COMPUTED_VALUE"""),"Pascal Siakam")</f>
        <v>Pascal Siakam</v>
      </c>
      <c r="I53" s="45">
        <f>IFERROR(__xludf.DUMMYFUNCTION("""COMPUTED_VALUE"""),70.0)</f>
        <v>70</v>
      </c>
      <c r="J53" s="46" t="str">
        <f>IFERROR(__xludf.DUMMYFUNCTION("""COMPUTED_VALUE"""),"PF,C")</f>
        <v>PF,C</v>
      </c>
      <c r="K53" s="46">
        <f>IFERROR(__xludf.DUMMYFUNCTION("""COMPUTED_VALUE"""),0.9813544754951018)</f>
        <v>0.9813544755</v>
      </c>
      <c r="L53" s="46">
        <f>IFERROR(__xludf.DUMMYFUNCTION("""COMPUTED_VALUE"""),1.5653361394165863)</f>
        <v>1.565336139</v>
      </c>
      <c r="M53" s="47">
        <f>IFERROR(__xludf.DUMMYFUNCTION("""COMPUTED_VALUE"""),0.5839816639214845)</f>
        <v>0.5839816639</v>
      </c>
      <c r="N53" s="47">
        <f>IFERROR(__xludf.DUMMYFUNCTION("""COMPUTED_VALUE"""),22.1)</f>
        <v>22.1</v>
      </c>
      <c r="O53" s="47">
        <f>IFERROR(__xludf.DUMMYFUNCTION("""COMPUTED_VALUE"""),1.2)</f>
        <v>1.2</v>
      </c>
      <c r="P53" s="47">
        <f>IFERROR(__xludf.DUMMYFUNCTION("""COMPUTED_VALUE"""),7.8)</f>
        <v>7.8</v>
      </c>
      <c r="Q53" s="48">
        <f>IFERROR(__xludf.DUMMYFUNCTION("""COMPUTED_VALUE"""),5.7)</f>
        <v>5.7</v>
      </c>
      <c r="R53" s="47">
        <f>IFERROR(__xludf.DUMMYFUNCTION("""COMPUTED_VALUE"""),1.0)</f>
        <v>1</v>
      </c>
      <c r="S53" s="47">
        <f>IFERROR(__xludf.DUMMYFUNCTION("""COMPUTED_VALUE"""),0.5)</f>
        <v>0.5</v>
      </c>
      <c r="T53" s="47">
        <f>IFERROR(__xludf.DUMMYFUNCTION("""COMPUTED_VALUE"""),47.67441860465116)</f>
        <v>47.6744186</v>
      </c>
      <c r="U53" s="47">
        <f>IFERROR(__xludf.DUMMYFUNCTION("""COMPUTED_VALUE"""),77.58620689655173)</f>
        <v>77.5862069</v>
      </c>
      <c r="V53" s="47">
        <f>IFERROR(__xludf.DUMMYFUNCTION("""COMPUTED_VALUE"""),2.4)</f>
        <v>2.4</v>
      </c>
      <c r="W53" s="46">
        <f>IFERROR(__xludf.DUMMYFUNCTION("""COMPUTED_VALUE"""),0.816229419068856)</f>
        <v>0.8162294191</v>
      </c>
      <c r="X53" s="46">
        <f>IFERROR(__xludf.DUMMYFUNCTION("""COMPUTED_VALUE"""),-0.38558326726780967)</f>
        <v>-0.3855832673</v>
      </c>
      <c r="Y53" s="46">
        <f>IFERROR(__xludf.DUMMYFUNCTION("""COMPUTED_VALUE"""),0.7128126714781506)</f>
        <v>0.7128126715</v>
      </c>
      <c r="Z53" s="46">
        <f>IFERROR(__xludf.DUMMYFUNCTION("""COMPUTED_VALUE"""),0.9466056670936915)</f>
        <v>0.9466056671</v>
      </c>
      <c r="AA53" s="46">
        <f>IFERROR(__xludf.DUMMYFUNCTION("""COMPUTED_VALUE"""),0.011629328042640127)</f>
        <v>0.01162932804</v>
      </c>
      <c r="AB53" s="46">
        <f>IFERROR(__xludf.DUMMYFUNCTION("""COMPUTED_VALUE"""),-0.2643825572058105)</f>
        <v>-0.2643825572</v>
      </c>
      <c r="AC53" s="46">
        <f>IFERROR(__xludf.DUMMYFUNCTION("""COMPUTED_VALUE"""),-0.33055657468049393)</f>
        <v>-0.3305565747</v>
      </c>
      <c r="AD53" s="46">
        <f>IFERROR(__xludf.DUMMYFUNCTION("""COMPUTED_VALUE"""),-0.2011609954727426)</f>
        <v>-0.2011609955</v>
      </c>
      <c r="AE53" s="46">
        <f>IFERROR(__xludf.DUMMYFUNCTION("""COMPUTED_VALUE"""),-0.12584081890770538)</f>
        <v>-0.1258408189</v>
      </c>
    </row>
    <row r="54">
      <c r="A54" s="6" t="str">
        <f>IF(VLOOKUP(H54,'Paste #BBall'!$B$2:$N1001,3,)="BRO","BKN",IF(VLOOKUP(H54,'Paste #BBall'!$B$2:$N1001,3,)="OKL","OKC",VLOOKUP(H54,'Paste #BBall'!$B$2:$N1001,3,)))</f>
        <v>CLE</v>
      </c>
      <c r="B54" s="42">
        <f>VLOOKUP($A54,Schedule!$C$2:$G$31,2,0)</f>
        <v>4</v>
      </c>
      <c r="C54" s="42">
        <f>VLOOKUP($A54,Schedule!$C$2:$G$31,3,0)</f>
        <v>3</v>
      </c>
      <c r="D54" s="42">
        <f>VLOOKUP($A54,Schedule!$C$2:$G$31,4,0)</f>
        <v>4</v>
      </c>
      <c r="E54" s="42">
        <f t="shared" si="1"/>
        <v>11</v>
      </c>
      <c r="F54" s="43">
        <v>49.0</v>
      </c>
      <c r="G54" s="45">
        <f>IFERROR(__xludf.DUMMYFUNCTION("""COMPUTED_VALUE"""),49.0)</f>
        <v>49</v>
      </c>
      <c r="H54" s="45" t="str">
        <f>IFERROR(__xludf.DUMMYFUNCTION("""COMPUTED_VALUE"""),"Evan Mobley")</f>
        <v>Evan Mobley</v>
      </c>
      <c r="I54" s="45">
        <f>IFERROR(__xludf.DUMMYFUNCTION("""COMPUTED_VALUE"""),76.0)</f>
        <v>76</v>
      </c>
      <c r="J54" s="46" t="str">
        <f>IFERROR(__xludf.DUMMYFUNCTION("""COMPUTED_VALUE"""),"PF,C")</f>
        <v>PF,C</v>
      </c>
      <c r="K54" s="46">
        <f>IFERROR(__xludf.DUMMYFUNCTION("""COMPUTED_VALUE"""),0.52592544364058)</f>
        <v>0.5259254436</v>
      </c>
      <c r="L54" s="46">
        <f>IFERROR(__xludf.DUMMYFUNCTION("""COMPUTED_VALUE"""),1.5413991401364808)</f>
        <v>1.54139914</v>
      </c>
      <c r="M54" s="47">
        <f>IFERROR(__xludf.DUMMYFUNCTION("""COMPUTED_VALUE"""),1.0154736964959008)</f>
        <v>1.015473696</v>
      </c>
      <c r="N54" s="47">
        <f>IFERROR(__xludf.DUMMYFUNCTION("""COMPUTED_VALUE"""),17.2)</f>
        <v>17.2</v>
      </c>
      <c r="O54" s="47">
        <f>IFERROR(__xludf.DUMMYFUNCTION("""COMPUTED_VALUE"""),0.3)</f>
        <v>0.3</v>
      </c>
      <c r="P54" s="47">
        <f>IFERROR(__xludf.DUMMYFUNCTION("""COMPUTED_VALUE"""),9.3)</f>
        <v>9.3</v>
      </c>
      <c r="Q54" s="48">
        <f>IFERROR(__xludf.DUMMYFUNCTION("""COMPUTED_VALUE"""),2.9)</f>
        <v>2.9</v>
      </c>
      <c r="R54" s="47">
        <f>IFERROR(__xludf.DUMMYFUNCTION("""COMPUTED_VALUE"""),0.9)</f>
        <v>0.9</v>
      </c>
      <c r="S54" s="47">
        <f>IFERROR(__xludf.DUMMYFUNCTION("""COMPUTED_VALUE"""),1.7)</f>
        <v>1.7</v>
      </c>
      <c r="T54" s="47">
        <f>IFERROR(__xludf.DUMMYFUNCTION("""COMPUTED_VALUE"""),55.03875968992248)</f>
        <v>55.03875969</v>
      </c>
      <c r="U54" s="47">
        <f>IFERROR(__xludf.DUMMYFUNCTION("""COMPUTED_VALUE"""),67.5)</f>
        <v>67.5</v>
      </c>
      <c r="V54" s="47">
        <f>IFERROR(__xludf.DUMMYFUNCTION("""COMPUTED_VALUE"""),1.9)</f>
        <v>1.9</v>
      </c>
      <c r="W54" s="46">
        <f>IFERROR(__xludf.DUMMYFUNCTION("""COMPUTED_VALUE"""),-0.009549828027646924)</f>
        <v>-0.009549828028</v>
      </c>
      <c r="X54" s="46">
        <f>IFERROR(__xludf.DUMMYFUNCTION("""COMPUTED_VALUE"""),-1.1659991755309944)</f>
        <v>-1.165999176</v>
      </c>
      <c r="Y54" s="46">
        <f>IFERROR(__xludf.DUMMYFUNCTION("""COMPUTED_VALUE"""),1.3400432193177436)</f>
        <v>1.340043219</v>
      </c>
      <c r="Z54" s="46">
        <f>IFERROR(__xludf.DUMMYFUNCTION("""COMPUTED_VALUE"""),-0.48146322722868856)</f>
        <v>-0.4814632272</v>
      </c>
      <c r="AA54" s="46">
        <f>IFERROR(__xludf.DUMMYFUNCTION("""COMPUTED_VALUE"""),-0.2064205727568726)</f>
        <v>-0.2064205728</v>
      </c>
      <c r="AB54" s="46">
        <f>IFERROR(__xludf.DUMMYFUNCTION("""COMPUTED_VALUE"""),1.3114075188553107)</f>
        <v>1.311407519</v>
      </c>
      <c r="AC54" s="46">
        <f>IFERROR(__xludf.DUMMYFUNCTION("""COMPUTED_VALUE"""),0.7010043467540514)</f>
        <v>0.7010043468</v>
      </c>
      <c r="AD54" s="46">
        <f>IFERROR(__xludf.DUMMYFUNCTION("""COMPUTED_VALUE"""),-1.143012771193361)</f>
        <v>-1.143012771</v>
      </c>
      <c r="AE54" s="46">
        <f>IFERROR(__xludf.DUMMYFUNCTION("""COMPUTED_VALUE"""),0.029390454415944182)</f>
        <v>0.02939045442</v>
      </c>
    </row>
    <row r="55">
      <c r="A55" s="6" t="str">
        <f>IF(VLOOKUP(H55,'Paste #BBall'!$B$2:$N1001,3,)="BRO","BKN",IF(VLOOKUP(H55,'Paste #BBall'!$B$2:$N1001,3,)="OKL","OKC",VLOOKUP(H55,'Paste #BBall'!$B$2:$N1001,3,)))</f>
        <v>WAS</v>
      </c>
      <c r="B55" s="42">
        <f>VLOOKUP($A55,Schedule!$C$2:$G$31,2,0)</f>
        <v>4</v>
      </c>
      <c r="C55" s="42">
        <f>VLOOKUP($A55,Schedule!$C$2:$G$31,3,0)</f>
        <v>4</v>
      </c>
      <c r="D55" s="42">
        <f>VLOOKUP($A55,Schedule!$C$2:$G$31,4,0)</f>
        <v>3</v>
      </c>
      <c r="E55" s="42">
        <f t="shared" si="1"/>
        <v>11</v>
      </c>
      <c r="F55" s="51">
        <v>50.0</v>
      </c>
      <c r="G55" s="45">
        <f>IFERROR(__xludf.DUMMYFUNCTION("""COMPUTED_VALUE"""),48.0)</f>
        <v>48</v>
      </c>
      <c r="H55" s="45" t="str">
        <f>IFERROR(__xludf.DUMMYFUNCTION("""COMPUTED_VALUE"""),"Jordan Poole")</f>
        <v>Jordan Poole</v>
      </c>
      <c r="I55" s="45">
        <f>IFERROR(__xludf.DUMMYFUNCTION("""COMPUTED_VALUE"""),78.0)</f>
        <v>78</v>
      </c>
      <c r="J55" s="46" t="str">
        <f>IFERROR(__xludf.DUMMYFUNCTION("""COMPUTED_VALUE"""),"PG,SG")</f>
        <v>PG,SG</v>
      </c>
      <c r="K55" s="46">
        <f>IFERROR(__xludf.DUMMYFUNCTION("""COMPUTED_VALUE"""),0.6625176306904432)</f>
        <v>0.6625176307</v>
      </c>
      <c r="L55" s="46">
        <f>IFERROR(__xludf.DUMMYFUNCTION("""COMPUTED_VALUE"""),1.4741687484064105)</f>
        <v>1.474168748</v>
      </c>
      <c r="M55" s="47">
        <f>IFERROR(__xludf.DUMMYFUNCTION("""COMPUTED_VALUE"""),0.8116511177159673)</f>
        <v>0.8116511177</v>
      </c>
      <c r="N55" s="47">
        <f>IFERROR(__xludf.DUMMYFUNCTION("""COMPUTED_VALUE"""),22.0)</f>
        <v>22</v>
      </c>
      <c r="O55" s="47">
        <f>IFERROR(__xludf.DUMMYFUNCTION("""COMPUTED_VALUE"""),3.0)</f>
        <v>3</v>
      </c>
      <c r="P55" s="47">
        <f>IFERROR(__xludf.DUMMYFUNCTION("""COMPUTED_VALUE"""),3.5)</f>
        <v>3.5</v>
      </c>
      <c r="Q55" s="48">
        <f>IFERROR(__xludf.DUMMYFUNCTION("""COMPUTED_VALUE"""),4.8)</f>
        <v>4.8</v>
      </c>
      <c r="R55" s="47">
        <f>IFERROR(__xludf.DUMMYFUNCTION("""COMPUTED_VALUE"""),0.9)</f>
        <v>0.9</v>
      </c>
      <c r="S55" s="47">
        <f>IFERROR(__xludf.DUMMYFUNCTION("""COMPUTED_VALUE"""),0.3)</f>
        <v>0.3</v>
      </c>
      <c r="T55" s="47">
        <f>IFERROR(__xludf.DUMMYFUNCTION("""COMPUTED_VALUE"""),43.712574850299404)</f>
        <v>43.71257485</v>
      </c>
      <c r="U55" s="47">
        <f>IFERROR(__xludf.DUMMYFUNCTION("""COMPUTED_VALUE"""),87.75510204081631)</f>
        <v>87.75510204</v>
      </c>
      <c r="V55" s="47">
        <f>IFERROR(__xludf.DUMMYFUNCTION("""COMPUTED_VALUE"""),3.1)</f>
        <v>3.1</v>
      </c>
      <c r="W55" s="46">
        <f>IFERROR(__xludf.DUMMYFUNCTION("""COMPUTED_VALUE"""),0.7993767813730088)</f>
        <v>0.7993767814</v>
      </c>
      <c r="X55" s="46">
        <f>IFERROR(__xludf.DUMMYFUNCTION("""COMPUTED_VALUE"""),1.1752485492585598)</f>
        <v>1.175248549</v>
      </c>
      <c r="Y55" s="46">
        <f>IFERROR(__xludf.DUMMYFUNCTION("""COMPUTED_VALUE"""),-1.0852482323286814)</f>
        <v>-1.085248232</v>
      </c>
      <c r="Z55" s="46">
        <f>IFERROR(__xludf.DUMMYFUNCTION("""COMPUTED_VALUE"""),0.4875835224900693)</f>
        <v>0.4875835225</v>
      </c>
      <c r="AA55" s="46">
        <f>IFERROR(__xludf.DUMMYFUNCTION("""COMPUTED_VALUE"""),-0.2064205727568726)</f>
        <v>-0.2064205728</v>
      </c>
      <c r="AB55" s="46">
        <f>IFERROR(__xludf.DUMMYFUNCTION("""COMPUTED_VALUE"""),-0.5270142365493308)</f>
        <v>-0.5270142365</v>
      </c>
      <c r="AC55" s="46">
        <f>IFERROR(__xludf.DUMMYFUNCTION("""COMPUTED_VALUE"""),-0.9818243505670221)</f>
        <v>-0.9818243506</v>
      </c>
      <c r="AD55" s="46">
        <f>IFERROR(__xludf.DUMMYFUNCTION("""COMPUTED_VALUE"""),1.070383656718813)</f>
        <v>1.070383657</v>
      </c>
      <c r="AE55" s="46">
        <f>IFERROR(__xludf.DUMMYFUNCTION("""COMPUTED_VALUE"""),-0.3431646015608148)</f>
        <v>-0.3431646016</v>
      </c>
    </row>
    <row r="56">
      <c r="A56" s="6" t="str">
        <f>IF(VLOOKUP(H56,'Paste #BBall'!$B$2:$N1001,3,)="BRO","BKN",IF(VLOOKUP(H56,'Paste #BBall'!$B$2:$N1001,3,)="OKL","OKC",VLOOKUP(H56,'Paste #BBall'!$B$2:$N1001,3,)))</f>
        <v>CHA</v>
      </c>
      <c r="B56" s="42">
        <f>VLOOKUP($A56,Schedule!$C$2:$G$31,2,0)</f>
        <v>3</v>
      </c>
      <c r="C56" s="42">
        <f>VLOOKUP($A56,Schedule!$C$2:$G$31,3,0)</f>
        <v>4</v>
      </c>
      <c r="D56" s="42">
        <f>VLOOKUP($A56,Schedule!$C$2:$G$31,4,0)</f>
        <v>2</v>
      </c>
      <c r="E56" s="42">
        <f t="shared" si="1"/>
        <v>9</v>
      </c>
      <c r="F56" s="51">
        <v>51.0</v>
      </c>
      <c r="G56" s="45">
        <f>IFERROR(__xludf.DUMMYFUNCTION("""COMPUTED_VALUE"""),53.0)</f>
        <v>53</v>
      </c>
      <c r="H56" s="45" t="str">
        <f>IFERROR(__xludf.DUMMYFUNCTION("""COMPUTED_VALUE"""),"Terry Rozier")</f>
        <v>Terry Rozier</v>
      </c>
      <c r="I56" s="45">
        <f>IFERROR(__xludf.DUMMYFUNCTION("""COMPUTED_VALUE"""),68.0)</f>
        <v>68</v>
      </c>
      <c r="J56" s="46" t="str">
        <f>IFERROR(__xludf.DUMMYFUNCTION("""COMPUTED_VALUE"""),"PG,SG")</f>
        <v>PG,SG</v>
      </c>
      <c r="K56" s="46">
        <f>IFERROR(__xludf.DUMMYFUNCTION("""COMPUTED_VALUE"""),0.29670248832251644)</f>
        <v>0.2967024883</v>
      </c>
      <c r="L56" s="46">
        <f>IFERROR(__xludf.DUMMYFUNCTION("""COMPUTED_VALUE"""),1.429562024425223)</f>
        <v>1.429562024</v>
      </c>
      <c r="M56" s="47">
        <f>IFERROR(__xludf.DUMMYFUNCTION("""COMPUTED_VALUE"""),1.1328595361027065)</f>
        <v>1.132859536</v>
      </c>
      <c r="N56" s="47">
        <f>IFERROR(__xludf.DUMMYFUNCTION("""COMPUTED_VALUE"""),19.6)</f>
        <v>19.6</v>
      </c>
      <c r="O56" s="47">
        <f>IFERROR(__xludf.DUMMYFUNCTION("""COMPUTED_VALUE"""),2.8)</f>
        <v>2.8</v>
      </c>
      <c r="P56" s="47">
        <f>IFERROR(__xludf.DUMMYFUNCTION("""COMPUTED_VALUE"""),4.1)</f>
        <v>4.1</v>
      </c>
      <c r="Q56" s="48">
        <f>IFERROR(__xludf.DUMMYFUNCTION("""COMPUTED_VALUE"""),4.6)</f>
        <v>4.6</v>
      </c>
      <c r="R56" s="47">
        <f>IFERROR(__xludf.DUMMYFUNCTION("""COMPUTED_VALUE"""),1.2)</f>
        <v>1.2</v>
      </c>
      <c r="S56" s="47">
        <f>IFERROR(__xludf.DUMMYFUNCTION("""COMPUTED_VALUE"""),0.3)</f>
        <v>0.3</v>
      </c>
      <c r="T56" s="47">
        <f>IFERROR(__xludf.DUMMYFUNCTION("""COMPUTED_VALUE"""),43.19526627218935)</f>
        <v>43.19526627</v>
      </c>
      <c r="U56" s="47">
        <f>IFERROR(__xludf.DUMMYFUNCTION("""COMPUTED_VALUE"""),85.71428571428572)</f>
        <v>85.71428571</v>
      </c>
      <c r="V56" s="47">
        <f>IFERROR(__xludf.DUMMYFUNCTION("""COMPUTED_VALUE"""),1.7)</f>
        <v>1.7</v>
      </c>
      <c r="W56" s="46">
        <f>IFERROR(__xludf.DUMMYFUNCTION("""COMPUTED_VALUE"""),0.39491347667268123)</f>
        <v>0.3949134767</v>
      </c>
      <c r="X56" s="46">
        <f>IFERROR(__xludf.DUMMYFUNCTION("""COMPUTED_VALUE"""),1.001822791866741)</f>
        <v>1.001822792</v>
      </c>
      <c r="Y56" s="46">
        <f>IFERROR(__xludf.DUMMYFUNCTION("""COMPUTED_VALUE"""),-0.8343560131928446)</f>
        <v>-0.8343560132</v>
      </c>
      <c r="Z56" s="46">
        <f>IFERROR(__xludf.DUMMYFUNCTION("""COMPUTED_VALUE"""),0.38557860146704204)</f>
        <v>0.3855786015</v>
      </c>
      <c r="AA56" s="46">
        <f>IFERROR(__xludf.DUMMYFUNCTION("""COMPUTED_VALUE"""),0.44772912964166556)</f>
        <v>0.4477291296</v>
      </c>
      <c r="AB56" s="46">
        <f>IFERROR(__xludf.DUMMYFUNCTION("""COMPUTED_VALUE"""),-0.5270142365493308)</f>
        <v>-0.5270142365</v>
      </c>
      <c r="AC56" s="46">
        <f>IFERROR(__xludf.DUMMYFUNCTION("""COMPUTED_VALUE"""),-1.0809086507336643)</f>
        <v>-1.080908651</v>
      </c>
      <c r="AD56" s="46">
        <f>IFERROR(__xludf.DUMMYFUNCTION("""COMPUTED_VALUE"""),0.4694053107738645)</f>
        <v>0.4694053108</v>
      </c>
      <c r="AE56" s="46">
        <f>IFERROR(__xludf.DUMMYFUNCTION("""COMPUTED_VALUE"""),0.09148296374540399)</f>
        <v>0.09148296375</v>
      </c>
    </row>
    <row r="57">
      <c r="A57" s="6" t="str">
        <f>IF(VLOOKUP(H57,'Paste #BBall'!$B$2:$N1001,3,)="BRO","BKN",IF(VLOOKUP(H57,'Paste #BBall'!$B$2:$N1001,3,)="OKL","OKC",VLOOKUP(H57,'Paste #BBall'!$B$2:$N1001,3,)))</f>
        <v>SA</v>
      </c>
      <c r="B57" s="42">
        <f>VLOOKUP($A57,Schedule!$C$2:$G$31,2,0)</f>
        <v>3</v>
      </c>
      <c r="C57" s="42">
        <f>VLOOKUP($A57,Schedule!$C$2:$G$31,3,0)</f>
        <v>4</v>
      </c>
      <c r="D57" s="42">
        <f>VLOOKUP($A57,Schedule!$C$2:$G$31,4,0)</f>
        <v>3</v>
      </c>
      <c r="E57" s="42">
        <f t="shared" si="1"/>
        <v>10</v>
      </c>
      <c r="F57" s="43">
        <v>52.0</v>
      </c>
      <c r="G57" s="45">
        <f>IFERROR(__xludf.DUMMYFUNCTION("""COMPUTED_VALUE"""),51.0)</f>
        <v>51</v>
      </c>
      <c r="H57" s="45" t="str">
        <f>IFERROR(__xludf.DUMMYFUNCTION("""COMPUTED_VALUE"""),"Devin Vassell")</f>
        <v>Devin Vassell</v>
      </c>
      <c r="I57" s="45">
        <f>IFERROR(__xludf.DUMMYFUNCTION("""COMPUTED_VALUE"""),69.0)</f>
        <v>69</v>
      </c>
      <c r="J57" s="46" t="str">
        <f>IFERROR(__xludf.DUMMYFUNCTION("""COMPUTED_VALUE"""),"SG,SF")</f>
        <v>SG,SF</v>
      </c>
      <c r="K57" s="46">
        <f>IFERROR(__xludf.DUMMYFUNCTION("""COMPUTED_VALUE"""),0.30666566088871827)</f>
        <v>0.3066656609</v>
      </c>
      <c r="L57" s="46">
        <f>IFERROR(__xludf.DUMMYFUNCTION("""COMPUTED_VALUE"""),1.325381196820481)</f>
        <v>1.325381197</v>
      </c>
      <c r="M57" s="47">
        <f>IFERROR(__xludf.DUMMYFUNCTION("""COMPUTED_VALUE"""),1.0187155359317628)</f>
        <v>1.018715536</v>
      </c>
      <c r="N57" s="47">
        <f>IFERROR(__xludf.DUMMYFUNCTION("""COMPUTED_VALUE"""),18.3)</f>
        <v>18.3</v>
      </c>
      <c r="O57" s="47">
        <f>IFERROR(__xludf.DUMMYFUNCTION("""COMPUTED_VALUE"""),2.9)</f>
        <v>2.9</v>
      </c>
      <c r="P57" s="47">
        <f>IFERROR(__xludf.DUMMYFUNCTION("""COMPUTED_VALUE"""),4.3)</f>
        <v>4.3</v>
      </c>
      <c r="Q57" s="48">
        <f>IFERROR(__xludf.DUMMYFUNCTION("""COMPUTED_VALUE"""),3.8)</f>
        <v>3.8</v>
      </c>
      <c r="R57" s="47">
        <f>IFERROR(__xludf.DUMMYFUNCTION("""COMPUTED_VALUE"""),1.2)</f>
        <v>1.2</v>
      </c>
      <c r="S57" s="47">
        <f>IFERROR(__xludf.DUMMYFUNCTION("""COMPUTED_VALUE"""),0.6)</f>
        <v>0.6</v>
      </c>
      <c r="T57" s="47">
        <f>IFERROR(__xludf.DUMMYFUNCTION("""COMPUTED_VALUE"""),43.046357615894046)</f>
        <v>43.04635762</v>
      </c>
      <c r="U57" s="47">
        <f>IFERROR(__xludf.DUMMYFUNCTION("""COMPUTED_VALUE"""),82.75862068965517)</f>
        <v>82.75862069</v>
      </c>
      <c r="V57" s="47">
        <f>IFERROR(__xludf.DUMMYFUNCTION("""COMPUTED_VALUE"""),1.2)</f>
        <v>1.2</v>
      </c>
      <c r="W57" s="46">
        <f>IFERROR(__xludf.DUMMYFUNCTION("""COMPUTED_VALUE"""),0.17582918662667021)</f>
        <v>0.1758291866</v>
      </c>
      <c r="X57" s="46">
        <f>IFERROR(__xludf.DUMMYFUNCTION("""COMPUTED_VALUE"""),1.0885356705626503)</f>
        <v>1.088535671</v>
      </c>
      <c r="Y57" s="46">
        <f>IFERROR(__xludf.DUMMYFUNCTION("""COMPUTED_VALUE"""),-0.7507252734808988)</f>
        <v>-0.7507252735</v>
      </c>
      <c r="Z57" s="46">
        <f>IFERROR(__xludf.DUMMYFUNCTION("""COMPUTED_VALUE"""),-0.022441082625066444)</f>
        <v>-0.02244108263</v>
      </c>
      <c r="AA57" s="46">
        <f>IFERROR(__xludf.DUMMYFUNCTION("""COMPUTED_VALUE"""),0.44772912964166556)</f>
        <v>0.4477291296</v>
      </c>
      <c r="AB57" s="46">
        <f>IFERROR(__xludf.DUMMYFUNCTION("""COMPUTED_VALUE"""),-0.13306671753405044)</f>
        <v>-0.1330667175</v>
      </c>
      <c r="AC57" s="46">
        <f>IFERROR(__xludf.DUMMYFUNCTION("""COMPUTED_VALUE"""),-0.9882419726144438)</f>
        <v>-0.9882419726</v>
      </c>
      <c r="AD57" s="46">
        <f>IFERROR(__xludf.DUMMYFUNCTION("""COMPUTED_VALUE"""),0.2728060465604572)</f>
        <v>0.2728060466</v>
      </c>
      <c r="AE57" s="46">
        <f>IFERROR(__xludf.DUMMYFUNCTION("""COMPUTED_VALUE"""),0.24671423706905354)</f>
        <v>0.2467142371</v>
      </c>
    </row>
    <row r="58">
      <c r="A58" s="6" t="str">
        <f>IF(VLOOKUP(H58,'Paste #BBall'!$B$2:$N1001,3,)="BRO","BKN",IF(VLOOKUP(H58,'Paste #BBall'!$B$2:$N1001,3,)="OKL","OKC",VLOOKUP(H58,'Paste #BBall'!$B$2:$N1001,3,)))</f>
        <v>POR</v>
      </c>
      <c r="B58" s="42">
        <f>VLOOKUP($A58,Schedule!$C$2:$G$31,2,0)</f>
        <v>4</v>
      </c>
      <c r="C58" s="42">
        <f>VLOOKUP($A58,Schedule!$C$2:$G$31,3,0)</f>
        <v>4</v>
      </c>
      <c r="D58" s="42">
        <f>VLOOKUP($A58,Schedule!$C$2:$G$31,4,0)</f>
        <v>4</v>
      </c>
      <c r="E58" s="42">
        <f t="shared" si="1"/>
        <v>12</v>
      </c>
      <c r="F58" s="51">
        <v>53.0</v>
      </c>
      <c r="G58" s="45">
        <f>IFERROR(__xludf.DUMMYFUNCTION("""COMPUTED_VALUE"""),72.0)</f>
        <v>72</v>
      </c>
      <c r="H58" s="45" t="str">
        <f>IFERROR(__xludf.DUMMYFUNCTION("""COMPUTED_VALUE"""),"Deandre Ayton")</f>
        <v>Deandre Ayton</v>
      </c>
      <c r="I58" s="45">
        <f>IFERROR(__xludf.DUMMYFUNCTION("""COMPUTED_VALUE"""),69.0)</f>
        <v>69</v>
      </c>
      <c r="J58" s="46" t="str">
        <f>IFERROR(__xludf.DUMMYFUNCTION("""COMPUTED_VALUE"""),"C")</f>
        <v>C</v>
      </c>
      <c r="K58" s="46">
        <f>IFERROR(__xludf.DUMMYFUNCTION("""COMPUTED_VALUE"""),-0.39556400842121375)</f>
        <v>-0.3955640084</v>
      </c>
      <c r="L58" s="46">
        <f>IFERROR(__xludf.DUMMYFUNCTION("""COMPUTED_VALUE"""),1.2394522214943406)</f>
        <v>1.239452221</v>
      </c>
      <c r="M58" s="47">
        <f>IFERROR(__xludf.DUMMYFUNCTION("""COMPUTED_VALUE"""),1.6350162299155544)</f>
        <v>1.63501623</v>
      </c>
      <c r="N58" s="47">
        <f>IFERROR(__xludf.DUMMYFUNCTION("""COMPUTED_VALUE"""),18.9)</f>
        <v>18.9</v>
      </c>
      <c r="O58" s="47">
        <f>IFERROR(__xludf.DUMMYFUNCTION("""COMPUTED_VALUE"""),0.1)</f>
        <v>0.1</v>
      </c>
      <c r="P58" s="47">
        <f>IFERROR(__xludf.DUMMYFUNCTION("""COMPUTED_VALUE"""),10.1)</f>
        <v>10.1</v>
      </c>
      <c r="Q58" s="48">
        <f>IFERROR(__xludf.DUMMYFUNCTION("""COMPUTED_VALUE"""),1.7)</f>
        <v>1.7</v>
      </c>
      <c r="R58" s="47">
        <f>IFERROR(__xludf.DUMMYFUNCTION("""COMPUTED_VALUE"""),0.7)</f>
        <v>0.7</v>
      </c>
      <c r="S58" s="47">
        <f>IFERROR(__xludf.DUMMYFUNCTION("""COMPUTED_VALUE"""),0.8)</f>
        <v>0.8</v>
      </c>
      <c r="T58" s="47">
        <f>IFERROR(__xludf.DUMMYFUNCTION("""COMPUTED_VALUE"""),58.450704225352126)</f>
        <v>58.45070423</v>
      </c>
      <c r="U58" s="47">
        <f>IFERROR(__xludf.DUMMYFUNCTION("""COMPUTED_VALUE"""),73.33333333333334)</f>
        <v>73.33333333</v>
      </c>
      <c r="V58" s="47">
        <f>IFERROR(__xludf.DUMMYFUNCTION("""COMPUTED_VALUE"""),1.8)</f>
        <v>1.8</v>
      </c>
      <c r="W58" s="46">
        <f>IFERROR(__xludf.DUMMYFUNCTION("""COMPUTED_VALUE"""),0.2769450128017518)</f>
        <v>0.2769450128</v>
      </c>
      <c r="X58" s="46">
        <f>IFERROR(__xludf.DUMMYFUNCTION("""COMPUTED_VALUE"""),-1.3394249329228134)</f>
        <v>-1.339424933</v>
      </c>
      <c r="Y58" s="46">
        <f>IFERROR(__xludf.DUMMYFUNCTION("""COMPUTED_VALUE"""),1.6745661781655259)</f>
        <v>1.674566178</v>
      </c>
      <c r="Z58" s="46">
        <f>IFERROR(__xludf.DUMMYFUNCTION("""COMPUTED_VALUE"""),-1.0934927533668515)</f>
        <v>-1.093492753</v>
      </c>
      <c r="AA58" s="46">
        <f>IFERROR(__xludf.DUMMYFUNCTION("""COMPUTED_VALUE"""),-0.6425203743558983)</f>
        <v>-0.6425203744</v>
      </c>
      <c r="AB58" s="46">
        <f>IFERROR(__xludf.DUMMYFUNCTION("""COMPUTED_VALUE"""),0.12956496180946983)</f>
        <v>0.1295649618</v>
      </c>
      <c r="AC58" s="46">
        <f>IFERROR(__xludf.DUMMYFUNCTION("""COMPUTED_VALUE"""),1.2555944307417226)</f>
        <v>1.255594431</v>
      </c>
      <c r="AD58" s="46">
        <f>IFERROR(__xludf.DUMMYFUNCTION("""COMPUTED_VALUE"""),-0.4216419433820539)</f>
        <v>-0.4216419434</v>
      </c>
      <c r="AE58" s="46">
        <f>IFERROR(__xludf.DUMMYFUNCTION("""COMPUTED_VALUE"""),0.06043670908067405)</f>
        <v>0.06043670908</v>
      </c>
    </row>
    <row r="59">
      <c r="A59" s="6" t="str">
        <f>IF(VLOOKUP(H59,'Paste #BBall'!$B$2:$N1001,3,)="BRO","BKN",IF(VLOOKUP(H59,'Paste #BBall'!$B$2:$N1001,3,)="OKL","OKC",VLOOKUP(H59,'Paste #BBall'!$B$2:$N1001,3,)))</f>
        <v>SA</v>
      </c>
      <c r="B59" s="42">
        <f>VLOOKUP($A59,Schedule!$C$2:$G$31,2,0)</f>
        <v>3</v>
      </c>
      <c r="C59" s="42">
        <f>VLOOKUP($A59,Schedule!$C$2:$G$31,3,0)</f>
        <v>4</v>
      </c>
      <c r="D59" s="42">
        <f>VLOOKUP($A59,Schedule!$C$2:$G$31,4,0)</f>
        <v>3</v>
      </c>
      <c r="E59" s="42">
        <f t="shared" si="1"/>
        <v>10</v>
      </c>
      <c r="F59" s="51">
        <v>54.0</v>
      </c>
      <c r="G59" s="45">
        <f>IFERROR(__xludf.DUMMYFUNCTION("""COMPUTED_VALUE"""),47.0)</f>
        <v>47</v>
      </c>
      <c r="H59" s="45" t="str">
        <f>IFERROR(__xludf.DUMMYFUNCTION("""COMPUTED_VALUE"""),"Victor Wembanyama")</f>
        <v>Victor Wembanyama</v>
      </c>
      <c r="I59" s="45">
        <f>IFERROR(__xludf.DUMMYFUNCTION("""COMPUTED_VALUE"""),65.0)</f>
        <v>65</v>
      </c>
      <c r="J59" s="46" t="str">
        <f>IFERROR(__xludf.DUMMYFUNCTION("""COMPUTED_VALUE"""),"PF,C")</f>
        <v>PF,C</v>
      </c>
      <c r="K59" s="46">
        <f>IFERROR(__xludf.DUMMYFUNCTION("""COMPUTED_VALUE"""),0.6932769424569138)</f>
        <v>0.6932769425</v>
      </c>
      <c r="L59" s="46">
        <f>IFERROR(__xludf.DUMMYFUNCTION("""COMPUTED_VALUE"""),1.2201329122079514)</f>
        <v>1.220132912</v>
      </c>
      <c r="M59" s="47">
        <f>IFERROR(__xludf.DUMMYFUNCTION("""COMPUTED_VALUE"""),0.5268559697510375)</f>
        <v>0.5268559698</v>
      </c>
      <c r="N59" s="47">
        <f>IFERROR(__xludf.DUMMYFUNCTION("""COMPUTED_VALUE"""),17.3)</f>
        <v>17.3</v>
      </c>
      <c r="O59" s="47">
        <f>IFERROR(__xludf.DUMMYFUNCTION("""COMPUTED_VALUE"""),1.0)</f>
        <v>1</v>
      </c>
      <c r="P59" s="47">
        <f>IFERROR(__xludf.DUMMYFUNCTION("""COMPUTED_VALUE"""),8.2)</f>
        <v>8.2</v>
      </c>
      <c r="Q59" s="48">
        <f>IFERROR(__xludf.DUMMYFUNCTION("""COMPUTED_VALUE"""),1.8)</f>
        <v>1.8</v>
      </c>
      <c r="R59" s="47">
        <f>IFERROR(__xludf.DUMMYFUNCTION("""COMPUTED_VALUE"""),0.7)</f>
        <v>0.7</v>
      </c>
      <c r="S59" s="47">
        <f>IFERROR(__xludf.DUMMYFUNCTION("""COMPUTED_VALUE"""),2.3)</f>
        <v>2.3</v>
      </c>
      <c r="T59" s="47">
        <f>IFERROR(__xludf.DUMMYFUNCTION("""COMPUTED_VALUE"""),45.714285714285715)</f>
        <v>45.71428571</v>
      </c>
      <c r="U59" s="47">
        <f>IFERROR(__xludf.DUMMYFUNCTION("""COMPUTED_VALUE"""),78.26086956521739)</f>
        <v>78.26086957</v>
      </c>
      <c r="V59" s="47">
        <f>IFERROR(__xludf.DUMMYFUNCTION("""COMPUTED_VALUE"""),1.8)</f>
        <v>1.8</v>
      </c>
      <c r="W59" s="46">
        <f>IFERROR(__xludf.DUMMYFUNCTION("""COMPUTED_VALUE"""),0.007302809668200307)</f>
        <v>0.007302809668</v>
      </c>
      <c r="X59" s="46">
        <f>IFERROR(__xludf.DUMMYFUNCTION("""COMPUTED_VALUE"""),-0.5590090246596284)</f>
        <v>-0.5590090247</v>
      </c>
      <c r="Y59" s="46">
        <f>IFERROR(__xludf.DUMMYFUNCTION("""COMPUTED_VALUE"""),0.8800741509020418)</f>
        <v>0.8800741509</v>
      </c>
      <c r="Z59" s="46">
        <f>IFERROR(__xludf.DUMMYFUNCTION("""COMPUTED_VALUE"""),-1.0424902928553377)</f>
        <v>-1.042490293</v>
      </c>
      <c r="AA59" s="46">
        <f>IFERROR(__xludf.DUMMYFUNCTION("""COMPUTED_VALUE"""),-0.6425203743558983)</f>
        <v>-0.6425203744</v>
      </c>
      <c r="AB59" s="46">
        <f>IFERROR(__xludf.DUMMYFUNCTION("""COMPUTED_VALUE"""),2.0993025568858714)</f>
        <v>2.099302557</v>
      </c>
      <c r="AC59" s="46">
        <f>IFERROR(__xludf.DUMMYFUNCTION("""COMPUTED_VALUE"""),-0.5431648246204785)</f>
        <v>-0.5431648246</v>
      </c>
      <c r="AD59" s="46">
        <f>IFERROR(__xludf.DUMMYFUNCTION("""COMPUTED_VALUE"""),-0.08228909069283091)</f>
        <v>-0.08228909069</v>
      </c>
      <c r="AE59" s="46">
        <f>IFERROR(__xludf.DUMMYFUNCTION("""COMPUTED_VALUE"""),0.06043670908067405)</f>
        <v>0.06043670908</v>
      </c>
    </row>
    <row r="60">
      <c r="A60" s="6" t="str">
        <f>IF(VLOOKUP(H60,'Paste #BBall'!$B$2:$N1001,3,)="BRO","BKN",IF(VLOOKUP(H60,'Paste #BBall'!$B$2:$N1001,3,)="OKL","OKC",VLOOKUP(H60,'Paste #BBall'!$B$2:$N1001,3,)))</f>
        <v>WAS</v>
      </c>
      <c r="B60" s="42">
        <f>VLOOKUP($A60,Schedule!$C$2:$G$31,2,0)</f>
        <v>4</v>
      </c>
      <c r="C60" s="42">
        <f>VLOOKUP($A60,Schedule!$C$2:$G$31,3,0)</f>
        <v>4</v>
      </c>
      <c r="D60" s="42">
        <f>VLOOKUP($A60,Schedule!$C$2:$G$31,4,0)</f>
        <v>3</v>
      </c>
      <c r="E60" s="42">
        <f t="shared" si="1"/>
        <v>11</v>
      </c>
      <c r="F60" s="43">
        <v>55.0</v>
      </c>
      <c r="G60" s="45">
        <f>IFERROR(__xludf.DUMMYFUNCTION("""COMPUTED_VALUE"""),68.0)</f>
        <v>68</v>
      </c>
      <c r="H60" s="45" t="str">
        <f>IFERROR(__xludf.DUMMYFUNCTION("""COMPUTED_VALUE"""),"Tyus Jones")</f>
        <v>Tyus Jones</v>
      </c>
      <c r="I60" s="45">
        <f>IFERROR(__xludf.DUMMYFUNCTION("""COMPUTED_VALUE"""),72.0)</f>
        <v>72</v>
      </c>
      <c r="J60" s="46" t="str">
        <f>IFERROR(__xludf.DUMMYFUNCTION("""COMPUTED_VALUE"""),"PG")</f>
        <v>PG</v>
      </c>
      <c r="K60" s="46">
        <f>IFERROR(__xludf.DUMMYFUNCTION("""COMPUTED_VALUE"""),-0.3106504941592282)</f>
        <v>-0.3106504942</v>
      </c>
      <c r="L60" s="46">
        <f>IFERROR(__xludf.DUMMYFUNCTION("""COMPUTED_VALUE"""),1.2096704470992077)</f>
        <v>1.209670447</v>
      </c>
      <c r="M60" s="47">
        <f>IFERROR(__xludf.DUMMYFUNCTION("""COMPUTED_VALUE"""),1.520320941258436)</f>
        <v>1.520320941</v>
      </c>
      <c r="N60" s="47">
        <f>IFERROR(__xludf.DUMMYFUNCTION("""COMPUTED_VALUE"""),13.5)</f>
        <v>13.5</v>
      </c>
      <c r="O60" s="47">
        <f>IFERROR(__xludf.DUMMYFUNCTION("""COMPUTED_VALUE"""),1.9)</f>
        <v>1.9</v>
      </c>
      <c r="P60" s="47">
        <f>IFERROR(__xludf.DUMMYFUNCTION("""COMPUTED_VALUE"""),3.5)</f>
        <v>3.5</v>
      </c>
      <c r="Q60" s="48">
        <f>IFERROR(__xludf.DUMMYFUNCTION("""COMPUTED_VALUE"""),7.4)</f>
        <v>7.4</v>
      </c>
      <c r="R60" s="47">
        <f>IFERROR(__xludf.DUMMYFUNCTION("""COMPUTED_VALUE"""),1.4)</f>
        <v>1.4</v>
      </c>
      <c r="S60" s="47">
        <f>IFERROR(__xludf.DUMMYFUNCTION("""COMPUTED_VALUE"""),0.1)</f>
        <v>0.1</v>
      </c>
      <c r="T60" s="47">
        <f>IFERROR(__xludf.DUMMYFUNCTION("""COMPUTED_VALUE"""),44.44444444444445)</f>
        <v>44.44444444</v>
      </c>
      <c r="U60" s="47">
        <f>IFERROR(__xludf.DUMMYFUNCTION("""COMPUTED_VALUE"""),80.0)</f>
        <v>80</v>
      </c>
      <c r="V60" s="47">
        <f>IFERROR(__xludf.DUMMYFUNCTION("""COMPUTED_VALUE"""),1.1)</f>
        <v>1.1</v>
      </c>
      <c r="W60" s="46">
        <f>IFERROR(__xludf.DUMMYFUNCTION("""COMPUTED_VALUE"""),-0.6330974227739855)</f>
        <v>-0.6330974228</v>
      </c>
      <c r="X60" s="46">
        <f>IFERROR(__xludf.DUMMYFUNCTION("""COMPUTED_VALUE"""),0.2214068836035562)</f>
        <v>0.2214068836</v>
      </c>
      <c r="Y60" s="46">
        <f>IFERROR(__xludf.DUMMYFUNCTION("""COMPUTED_VALUE"""),-1.0852482323286814)</f>
        <v>-1.085248232</v>
      </c>
      <c r="Z60" s="46">
        <f>IFERROR(__xludf.DUMMYFUNCTION("""COMPUTED_VALUE"""),1.8136474957894224)</f>
        <v>1.813647496</v>
      </c>
      <c r="AA60" s="46">
        <f>IFERROR(__xludf.DUMMYFUNCTION("""COMPUTED_VALUE"""),0.883828931240691)</f>
        <v>0.8838289312</v>
      </c>
      <c r="AB60" s="46">
        <f>IFERROR(__xludf.DUMMYFUNCTION("""COMPUTED_VALUE"""),-0.7896459158928509)</f>
        <v>-0.7896459159</v>
      </c>
      <c r="AC60" s="46">
        <f>IFERROR(__xludf.DUMMYFUNCTION("""COMPUTED_VALUE"""),-0.6023334077749337)</f>
        <v>-0.6023334078</v>
      </c>
      <c r="AD60" s="46">
        <f>IFERROR(__xludf.DUMMYFUNCTION("""COMPUTED_VALUE"""),0.038103391173524945)</f>
        <v>0.03810339117</v>
      </c>
      <c r="AE60" s="46">
        <f>IFERROR(__xludf.DUMMYFUNCTION("""COMPUTED_VALUE"""),0.2777604917337834)</f>
        <v>0.2777604917</v>
      </c>
    </row>
    <row r="61">
      <c r="A61" s="6" t="str">
        <f>IF(VLOOKUP(H61,'Paste #BBall'!$B$2:$N1001,3,)="BRO","BKN",IF(VLOOKUP(H61,'Paste #BBall'!$B$2:$N1001,3,)="OKL","OKC",VLOOKUP(H61,'Paste #BBall'!$B$2:$N1001,3,)))</f>
        <v>BKN</v>
      </c>
      <c r="B61" s="42">
        <f>VLOOKUP($A61,Schedule!$C$2:$G$31,2,0)</f>
        <v>5</v>
      </c>
      <c r="C61" s="42">
        <f>VLOOKUP($A61,Schedule!$C$2:$G$31,3,0)</f>
        <v>3</v>
      </c>
      <c r="D61" s="42">
        <f>VLOOKUP($A61,Schedule!$C$2:$G$31,4,0)</f>
        <v>3</v>
      </c>
      <c r="E61" s="42">
        <f t="shared" si="1"/>
        <v>11</v>
      </c>
      <c r="F61" s="51">
        <v>56.0</v>
      </c>
      <c r="G61" s="45">
        <f>IFERROR(__xludf.DUMMYFUNCTION("""COMPUTED_VALUE"""),67.0)</f>
        <v>67</v>
      </c>
      <c r="H61" s="45" t="str">
        <f>IFERROR(__xludf.DUMMYFUNCTION("""COMPUTED_VALUE"""),"Nicolas Claxton")</f>
        <v>Nicolas Claxton</v>
      </c>
      <c r="I61" s="45">
        <f>IFERROR(__xludf.DUMMYFUNCTION("""COMPUTED_VALUE"""),75.0)</f>
        <v>75</v>
      </c>
      <c r="J61" s="46" t="str">
        <f>IFERROR(__xludf.DUMMYFUNCTION("""COMPUTED_VALUE"""),"C")</f>
        <v>C</v>
      </c>
      <c r="K61" s="46">
        <f>IFERROR(__xludf.DUMMYFUNCTION("""COMPUTED_VALUE"""),-0.29782674528811226)</f>
        <v>-0.2978267453</v>
      </c>
      <c r="L61" s="46">
        <f>IFERROR(__xludf.DUMMYFUNCTION("""COMPUTED_VALUE"""),1.1536372348776487)</f>
        <v>1.153637235</v>
      </c>
      <c r="M61" s="47">
        <f>IFERROR(__xludf.DUMMYFUNCTION("""COMPUTED_VALUE"""),1.451463980165761)</f>
        <v>1.45146398</v>
      </c>
      <c r="N61" s="47">
        <f>IFERROR(__xludf.DUMMYFUNCTION("""COMPUTED_VALUE"""),12.0)</f>
        <v>12</v>
      </c>
      <c r="O61" s="47">
        <f>IFERROR(__xludf.DUMMYFUNCTION("""COMPUTED_VALUE"""),0.0)</f>
        <v>0</v>
      </c>
      <c r="P61" s="47">
        <f>IFERROR(__xludf.DUMMYFUNCTION("""COMPUTED_VALUE"""),9.1)</f>
        <v>9.1</v>
      </c>
      <c r="Q61" s="48">
        <f>IFERROR(__xludf.DUMMYFUNCTION("""COMPUTED_VALUE"""),1.8)</f>
        <v>1.8</v>
      </c>
      <c r="R61" s="47">
        <f>IFERROR(__xludf.DUMMYFUNCTION("""COMPUTED_VALUE"""),0.8)</f>
        <v>0.8</v>
      </c>
      <c r="S61" s="47">
        <f>IFERROR(__xludf.DUMMYFUNCTION("""COMPUTED_VALUE"""),2.4)</f>
        <v>2.4</v>
      </c>
      <c r="T61" s="47">
        <f>IFERROR(__xludf.DUMMYFUNCTION("""COMPUTED_VALUE"""),65.38461538461539)</f>
        <v>65.38461538</v>
      </c>
      <c r="U61" s="47">
        <f>IFERROR(__xludf.DUMMYFUNCTION("""COMPUTED_VALUE"""),56.666666666666664)</f>
        <v>56.66666667</v>
      </c>
      <c r="V61" s="47">
        <f>IFERROR(__xludf.DUMMYFUNCTION("""COMPUTED_VALUE"""),1.3)</f>
        <v>1.3</v>
      </c>
      <c r="W61" s="46">
        <f>IFERROR(__xludf.DUMMYFUNCTION("""COMPUTED_VALUE"""),-0.8858869882116903)</f>
        <v>-0.8858869882</v>
      </c>
      <c r="X61" s="46">
        <f>IFERROR(__xludf.DUMMYFUNCTION("""COMPUTED_VALUE"""),-1.4261378116187227)</f>
        <v>-1.426137812</v>
      </c>
      <c r="Y61" s="46">
        <f>IFERROR(__xludf.DUMMYFUNCTION("""COMPUTED_VALUE"""),1.2564124796057974)</f>
        <v>1.25641248</v>
      </c>
      <c r="Z61" s="46">
        <f>IFERROR(__xludf.DUMMYFUNCTION("""COMPUTED_VALUE"""),-1.0424902928553377)</f>
        <v>-1.042490293</v>
      </c>
      <c r="AA61" s="46">
        <f>IFERROR(__xludf.DUMMYFUNCTION("""COMPUTED_VALUE"""),-0.42447047355638534)</f>
        <v>-0.4244704736</v>
      </c>
      <c r="AB61" s="46">
        <f>IFERROR(__xludf.DUMMYFUNCTION("""COMPUTED_VALUE"""),2.2306183965576314)</f>
        <v>2.230618397</v>
      </c>
      <c r="AC61" s="46">
        <f>IFERROR(__xludf.DUMMYFUNCTION("""COMPUTED_VALUE"""),1.229923942552032)</f>
        <v>1.229923943</v>
      </c>
      <c r="AD61" s="46">
        <f>IFERROR(__xludf.DUMMYFUNCTION("""COMPUTED_VALUE"""),-1.6662637577048163)</f>
        <v>-1.666263758</v>
      </c>
      <c r="AE61" s="46">
        <f>IFERROR(__xludf.DUMMYFUNCTION("""COMPUTED_VALUE"""),0.2156679824043236)</f>
        <v>0.2156679824</v>
      </c>
    </row>
    <row r="62">
      <c r="A62" s="6" t="str">
        <f>IF(VLOOKUP(H62,'Paste #BBall'!$B$2:$N1001,3,)="BRO","BKN",IF(VLOOKUP(H62,'Paste #BBall'!$B$2:$N1001,3,)="OKL","OKC",VLOOKUP(H62,'Paste #BBall'!$B$2:$N1001,3,)))</f>
        <v>BOS</v>
      </c>
      <c r="B62" s="42">
        <f>VLOOKUP($A62,Schedule!$C$2:$G$31,2,0)</f>
        <v>3</v>
      </c>
      <c r="C62" s="42">
        <f>VLOOKUP($A62,Schedule!$C$2:$G$31,3,0)</f>
        <v>4</v>
      </c>
      <c r="D62" s="42">
        <f>VLOOKUP($A62,Schedule!$C$2:$G$31,4,0)</f>
        <v>4</v>
      </c>
      <c r="E62" s="42">
        <f t="shared" si="1"/>
        <v>11</v>
      </c>
      <c r="F62" s="43">
        <v>57.0</v>
      </c>
      <c r="G62" s="45">
        <f>IFERROR(__xludf.DUMMYFUNCTION("""COMPUTED_VALUE"""),41.0)</f>
        <v>41</v>
      </c>
      <c r="H62" s="45" t="str">
        <f>IFERROR(__xludf.DUMMYFUNCTION("""COMPUTED_VALUE"""),"Jrue Holiday")</f>
        <v>Jrue Holiday</v>
      </c>
      <c r="I62" s="45">
        <f>IFERROR(__xludf.DUMMYFUNCTION("""COMPUTED_VALUE"""),67.0)</f>
        <v>67</v>
      </c>
      <c r="J62" s="46" t="str">
        <f>IFERROR(__xludf.DUMMYFUNCTION("""COMPUTED_VALUE"""),"PG,SG")</f>
        <v>PG,SG</v>
      </c>
      <c r="K62" s="46">
        <f>IFERROR(__xludf.DUMMYFUNCTION("""COMPUTED_VALUE"""),1.0452572827887654)</f>
        <v>1.045257283</v>
      </c>
      <c r="L62" s="46">
        <f>IFERROR(__xludf.DUMMYFUNCTION("""COMPUTED_VALUE"""),1.1180526673360256)</f>
        <v>1.118052667</v>
      </c>
      <c r="M62" s="47">
        <f>IFERROR(__xludf.DUMMYFUNCTION("""COMPUTED_VALUE"""),0.0727953845472602)</f>
        <v>0.07279538455</v>
      </c>
      <c r="N62" s="47">
        <f>IFERROR(__xludf.DUMMYFUNCTION("""COMPUTED_VALUE"""),16.3)</f>
        <v>16.3</v>
      </c>
      <c r="O62" s="47">
        <f>IFERROR(__xludf.DUMMYFUNCTION("""COMPUTED_VALUE"""),2.2)</f>
        <v>2.2</v>
      </c>
      <c r="P62" s="47">
        <f>IFERROR(__xludf.DUMMYFUNCTION("""COMPUTED_VALUE"""),4.8)</f>
        <v>4.8</v>
      </c>
      <c r="Q62" s="48">
        <f>IFERROR(__xludf.DUMMYFUNCTION("""COMPUTED_VALUE"""),5.1)</f>
        <v>5.1</v>
      </c>
      <c r="R62" s="47">
        <f>IFERROR(__xludf.DUMMYFUNCTION("""COMPUTED_VALUE"""),1.4)</f>
        <v>1.4</v>
      </c>
      <c r="S62" s="47">
        <f>IFERROR(__xludf.DUMMYFUNCTION("""COMPUTED_VALUE"""),0.4)</f>
        <v>0.4</v>
      </c>
      <c r="T62" s="47">
        <f>IFERROR(__xludf.DUMMYFUNCTION("""COMPUTED_VALUE"""),47.61904761904762)</f>
        <v>47.61904762</v>
      </c>
      <c r="U62" s="47">
        <f>IFERROR(__xludf.DUMMYFUNCTION("""COMPUTED_VALUE"""),81.4814814814815)</f>
        <v>81.48148148</v>
      </c>
      <c r="V62" s="47">
        <f>IFERROR(__xludf.DUMMYFUNCTION("""COMPUTED_VALUE"""),2.8)</f>
        <v>2.8</v>
      </c>
      <c r="W62" s="46">
        <f>IFERROR(__xludf.DUMMYFUNCTION("""COMPUTED_VALUE"""),-0.1612235672902696)</f>
        <v>-0.1612235673</v>
      </c>
      <c r="X62" s="46">
        <f>IFERROR(__xludf.DUMMYFUNCTION("""COMPUTED_VALUE"""),0.48154551969128473)</f>
        <v>0.4815455197</v>
      </c>
      <c r="Y62" s="46">
        <f>IFERROR(__xludf.DUMMYFUNCTION("""COMPUTED_VALUE"""),-0.5416484242010347)</f>
        <v>-0.5416484242</v>
      </c>
      <c r="Z62" s="46">
        <f>IFERROR(__xludf.DUMMYFUNCTION("""COMPUTED_VALUE"""),0.6405909040246098)</f>
        <v>0.640590904</v>
      </c>
      <c r="AA62" s="46">
        <f>IFERROR(__xludf.DUMMYFUNCTION("""COMPUTED_VALUE"""),0.883828931240691)</f>
        <v>0.8838289312</v>
      </c>
      <c r="AB62" s="46">
        <f>IFERROR(__xludf.DUMMYFUNCTION("""COMPUTED_VALUE"""),-0.39569839687757064)</f>
        <v>-0.3956983969</v>
      </c>
      <c r="AC62" s="46">
        <f>IFERROR(__xludf.DUMMYFUNCTION("""COMPUTED_VALUE"""),-0.24912073514426122)</f>
        <v>-0.2491207351</v>
      </c>
      <c r="AD62" s="46">
        <f>IFERROR(__xludf.DUMMYFUNCTION("""COMPUTED_VALUE"""),0.16815584925816673)</f>
        <v>0.1681558493</v>
      </c>
      <c r="AE62" s="46">
        <f>IFERROR(__xludf.DUMMYFUNCTION("""COMPUTED_VALUE"""),-0.250025837566625)</f>
        <v>-0.2500258376</v>
      </c>
    </row>
    <row r="63">
      <c r="A63" s="6" t="str">
        <f>IF(VLOOKUP(H63,'Paste #BBall'!$B$2:$N1001,3,)="BRO","BKN",IF(VLOOKUP(H63,'Paste #BBall'!$B$2:$N1001,3,)="OKL","OKC",VLOOKUP(H63,'Paste #BBall'!$B$2:$N1001,3,)))</f>
        <v>UTA</v>
      </c>
      <c r="B63" s="42">
        <f>VLOOKUP($A63,Schedule!$C$2:$G$31,2,0)</f>
        <v>3</v>
      </c>
      <c r="C63" s="42">
        <f>VLOOKUP($A63,Schedule!$C$2:$G$31,3,0)</f>
        <v>3</v>
      </c>
      <c r="D63" s="42">
        <f>VLOOKUP($A63,Schedule!$C$2:$G$31,4,0)</f>
        <v>4</v>
      </c>
      <c r="E63" s="42">
        <f t="shared" si="1"/>
        <v>10</v>
      </c>
      <c r="F63" s="51">
        <v>58.0</v>
      </c>
      <c r="G63" s="45">
        <f>IFERROR(__xludf.DUMMYFUNCTION("""COMPUTED_VALUE"""),74.0)</f>
        <v>74</v>
      </c>
      <c r="H63" s="45" t="str">
        <f>IFERROR(__xludf.DUMMYFUNCTION("""COMPUTED_VALUE"""),"Walker Kessler")</f>
        <v>Walker Kessler</v>
      </c>
      <c r="I63" s="45">
        <f>IFERROR(__xludf.DUMMYFUNCTION("""COMPUTED_VALUE"""),74.0)</f>
        <v>74</v>
      </c>
      <c r="J63" s="46" t="str">
        <f>IFERROR(__xludf.DUMMYFUNCTION("""COMPUTED_VALUE"""),"C")</f>
        <v>C</v>
      </c>
      <c r="K63" s="46">
        <f>IFERROR(__xludf.DUMMYFUNCTION("""COMPUTED_VALUE"""),-0.5606134959579641)</f>
        <v>-0.560613496</v>
      </c>
      <c r="L63" s="46">
        <f>IFERROR(__xludf.DUMMYFUNCTION("""COMPUTED_VALUE"""),1.074118522801445)</f>
        <v>1.074118523</v>
      </c>
      <c r="M63" s="47">
        <f>IFERROR(__xludf.DUMMYFUNCTION("""COMPUTED_VALUE"""),1.634732018759409)</f>
        <v>1.634732019</v>
      </c>
      <c r="N63" s="47">
        <f>IFERROR(__xludf.DUMMYFUNCTION("""COMPUTED_VALUE"""),11.2)</f>
        <v>11.2</v>
      </c>
      <c r="O63" s="47">
        <f>IFERROR(__xludf.DUMMYFUNCTION("""COMPUTED_VALUE"""),0.0)</f>
        <v>0</v>
      </c>
      <c r="P63" s="47">
        <f>IFERROR(__xludf.DUMMYFUNCTION("""COMPUTED_VALUE"""),10.3)</f>
        <v>10.3</v>
      </c>
      <c r="Q63" s="48">
        <f>IFERROR(__xludf.DUMMYFUNCTION("""COMPUTED_VALUE"""),1.1)</f>
        <v>1.1</v>
      </c>
      <c r="R63" s="47">
        <f>IFERROR(__xludf.DUMMYFUNCTION("""COMPUTED_VALUE"""),0.4)</f>
        <v>0.4</v>
      </c>
      <c r="S63" s="47">
        <f>IFERROR(__xludf.DUMMYFUNCTION("""COMPUTED_VALUE"""),2.7)</f>
        <v>2.7</v>
      </c>
      <c r="T63" s="47">
        <f>IFERROR(__xludf.DUMMYFUNCTION("""COMPUTED_VALUE"""),72.05882352941177)</f>
        <v>72.05882353</v>
      </c>
      <c r="U63" s="47">
        <f>IFERROR(__xludf.DUMMYFUNCTION("""COMPUTED_VALUE"""),53.84615384615385)</f>
        <v>53.84615385</v>
      </c>
      <c r="V63" s="47">
        <f>IFERROR(__xludf.DUMMYFUNCTION("""COMPUTED_VALUE"""),1.0)</f>
        <v>1</v>
      </c>
      <c r="W63" s="46">
        <f>IFERROR(__xludf.DUMMYFUNCTION("""COMPUTED_VALUE"""),-1.0207080897784664)</f>
        <v>-1.02070809</v>
      </c>
      <c r="X63" s="46">
        <f>IFERROR(__xludf.DUMMYFUNCTION("""COMPUTED_VALUE"""),-1.4261378116187227)</f>
        <v>-1.426137812</v>
      </c>
      <c r="Y63" s="46">
        <f>IFERROR(__xludf.DUMMYFUNCTION("""COMPUTED_VALUE"""),1.758196917877472)</f>
        <v>1.758196918</v>
      </c>
      <c r="Z63" s="46">
        <f>IFERROR(__xludf.DUMMYFUNCTION("""COMPUTED_VALUE"""),-1.3995075164359327)</f>
        <v>-1.399507516</v>
      </c>
      <c r="AA63" s="46">
        <f>IFERROR(__xludf.DUMMYFUNCTION("""COMPUTED_VALUE"""),-1.2966700767544366)</f>
        <v>-1.296670077</v>
      </c>
      <c r="AB63" s="46">
        <f>IFERROR(__xludf.DUMMYFUNCTION("""COMPUTED_VALUE"""),2.624565915572912)</f>
        <v>2.624565916</v>
      </c>
      <c r="AC63" s="46">
        <f>IFERROR(__xludf.DUMMYFUNCTION("""COMPUTED_VALUE"""),1.5255724375401056)</f>
        <v>1.525572438</v>
      </c>
      <c r="AD63" s="46">
        <f>IFERROR(__xludf.DUMMYFUNCTION("""COMPUTED_VALUE"""),-1.626639789444846)</f>
        <v>-1.626639789</v>
      </c>
      <c r="AE63" s="46">
        <f>IFERROR(__xludf.DUMMYFUNCTION("""COMPUTED_VALUE"""),0.30880674639851335)</f>
        <v>0.3088067464</v>
      </c>
    </row>
    <row r="64">
      <c r="A64" s="6" t="str">
        <f>IF(VLOOKUP(H64,'Paste #BBall'!$B$2:$N1001,3,)="BRO","BKN",IF(VLOOKUP(H64,'Paste #BBall'!$B$2:$N1001,3,)="OKL","OKC",VLOOKUP(H64,'Paste #BBall'!$B$2:$N1001,3,)))</f>
        <v>HOU</v>
      </c>
      <c r="B64" s="42">
        <f>VLOOKUP($A64,Schedule!$C$2:$G$31,2,0)</f>
        <v>4</v>
      </c>
      <c r="C64" s="42">
        <f>VLOOKUP($A64,Schedule!$C$2:$G$31,3,0)</f>
        <v>3</v>
      </c>
      <c r="D64" s="42">
        <f>VLOOKUP($A64,Schedule!$C$2:$G$31,4,0)</f>
        <v>3</v>
      </c>
      <c r="E64" s="42">
        <f t="shared" si="1"/>
        <v>10</v>
      </c>
      <c r="F64" s="51">
        <v>59.0</v>
      </c>
      <c r="G64" s="45">
        <f>IFERROR(__xludf.DUMMYFUNCTION("""COMPUTED_VALUE"""),54.0)</f>
        <v>54</v>
      </c>
      <c r="H64" s="45" t="str">
        <f>IFERROR(__xludf.DUMMYFUNCTION("""COMPUTED_VALUE"""),"Alperen Sengün")</f>
        <v>Alperen Sengün</v>
      </c>
      <c r="I64" s="45">
        <f>IFERROR(__xludf.DUMMYFUNCTION("""COMPUTED_VALUE"""),74.0)</f>
        <v>74</v>
      </c>
      <c r="J64" s="46" t="str">
        <f>IFERROR(__xludf.DUMMYFUNCTION("""COMPUTED_VALUE"""),"C")</f>
        <v>C</v>
      </c>
      <c r="K64" s="46">
        <f>IFERROR(__xludf.DUMMYFUNCTION("""COMPUTED_VALUE"""),0.20614322636306415)</f>
        <v>0.2061432264</v>
      </c>
      <c r="L64" s="46">
        <f>IFERROR(__xludf.DUMMYFUNCTION("""COMPUTED_VALUE"""),1.017024972285074)</f>
        <v>1.017024972</v>
      </c>
      <c r="M64" s="47">
        <f>IFERROR(__xludf.DUMMYFUNCTION("""COMPUTED_VALUE"""),0.8108817459220098)</f>
        <v>0.8108817459</v>
      </c>
      <c r="N64" s="47">
        <f>IFERROR(__xludf.DUMMYFUNCTION("""COMPUTED_VALUE"""),15.6)</f>
        <v>15.6</v>
      </c>
      <c r="O64" s="47">
        <f>IFERROR(__xludf.DUMMYFUNCTION("""COMPUTED_VALUE"""),0.5)</f>
        <v>0.5</v>
      </c>
      <c r="P64" s="47">
        <f>IFERROR(__xludf.DUMMYFUNCTION("""COMPUTED_VALUE"""),9.1)</f>
        <v>9.1</v>
      </c>
      <c r="Q64" s="48">
        <f>IFERROR(__xludf.DUMMYFUNCTION("""COMPUTED_VALUE"""),4.0)</f>
        <v>4</v>
      </c>
      <c r="R64" s="47">
        <f>IFERROR(__xludf.DUMMYFUNCTION("""COMPUTED_VALUE"""),1.0)</f>
        <v>1</v>
      </c>
      <c r="S64" s="47">
        <f>IFERROR(__xludf.DUMMYFUNCTION("""COMPUTED_VALUE"""),1.0)</f>
        <v>1</v>
      </c>
      <c r="T64" s="47">
        <f>IFERROR(__xludf.DUMMYFUNCTION("""COMPUTED_VALUE"""),54.54545454545454)</f>
        <v>54.54545455</v>
      </c>
      <c r="U64" s="47">
        <f>IFERROR(__xludf.DUMMYFUNCTION("""COMPUTED_VALUE"""),72.09302325581396)</f>
        <v>72.09302326</v>
      </c>
      <c r="V64" s="47">
        <f>IFERROR(__xludf.DUMMYFUNCTION("""COMPUTED_VALUE"""),2.8)</f>
        <v>2.8</v>
      </c>
      <c r="W64" s="46">
        <f>IFERROR(__xludf.DUMMYFUNCTION("""COMPUTED_VALUE"""),-0.27919203116119873)</f>
        <v>-0.2791920312</v>
      </c>
      <c r="X64" s="46">
        <f>IFERROR(__xludf.DUMMYFUNCTION("""COMPUTED_VALUE"""),-0.9925734181391757)</f>
        <v>-0.9925734181</v>
      </c>
      <c r="Y64" s="46">
        <f>IFERROR(__xludf.DUMMYFUNCTION("""COMPUTED_VALUE"""),1.2564124796057974)</f>
        <v>1.25641248</v>
      </c>
      <c r="Z64" s="46">
        <f>IFERROR(__xludf.DUMMYFUNCTION("""COMPUTED_VALUE"""),0.07956383839796079)</f>
        <v>0.0795638384</v>
      </c>
      <c r="AA64" s="46">
        <f>IFERROR(__xludf.DUMMYFUNCTION("""COMPUTED_VALUE"""),0.011629328042640127)</f>
        <v>0.01162932804</v>
      </c>
      <c r="AB64" s="46">
        <f>IFERROR(__xludf.DUMMYFUNCTION("""COMPUTED_VALUE"""),0.39219664115299)</f>
        <v>0.3921966412</v>
      </c>
      <c r="AC64" s="46">
        <f>IFERROR(__xludf.DUMMYFUNCTION("""COMPUTED_VALUE"""),0.5435536661888812)</f>
        <v>0.5435536662</v>
      </c>
      <c r="AD64" s="46">
        <f>IFERROR(__xludf.DUMMYFUNCTION("""COMPUTED_VALUE"""),-0.7371131123753718)</f>
        <v>-0.7371131124</v>
      </c>
      <c r="AE64" s="46">
        <f>IFERROR(__xludf.DUMMYFUNCTION("""COMPUTED_VALUE"""),-0.250025837566625)</f>
        <v>-0.2500258376</v>
      </c>
    </row>
    <row r="65">
      <c r="A65" s="6" t="str">
        <f>IF(VLOOKUP(H65,'Paste #BBall'!$B$2:$N1001,3,)="BRO","BKN",IF(VLOOKUP(H65,'Paste #BBall'!$B$2:$N1001,3,)="OKL","OKC",VLOOKUP(H65,'Paste #BBall'!$B$2:$N1001,3,)))</f>
        <v>BKN</v>
      </c>
      <c r="B65" s="42">
        <f>VLOOKUP($A65,Schedule!$C$2:$G$31,2,0)</f>
        <v>5</v>
      </c>
      <c r="C65" s="42">
        <f>VLOOKUP($A65,Schedule!$C$2:$G$31,3,0)</f>
        <v>3</v>
      </c>
      <c r="D65" s="42">
        <f>VLOOKUP($A65,Schedule!$C$2:$G$31,4,0)</f>
        <v>3</v>
      </c>
      <c r="E65" s="42">
        <f t="shared" si="1"/>
        <v>11</v>
      </c>
      <c r="F65" s="43">
        <v>60.0</v>
      </c>
      <c r="G65" s="45">
        <f>IFERROR(__xludf.DUMMYFUNCTION("""COMPUTED_VALUE"""),60.0)</f>
        <v>60</v>
      </c>
      <c r="H65" s="45" t="str">
        <f>IFERROR(__xludf.DUMMYFUNCTION("""COMPUTED_VALUE"""),"Cameron Johnson")</f>
        <v>Cameron Johnson</v>
      </c>
      <c r="I65" s="45">
        <f>IFERROR(__xludf.DUMMYFUNCTION("""COMPUTED_VALUE"""),68.0)</f>
        <v>68</v>
      </c>
      <c r="J65" s="46" t="str">
        <f>IFERROR(__xludf.DUMMYFUNCTION("""COMPUTED_VALUE"""),"SF,PF")</f>
        <v>SF,PF</v>
      </c>
      <c r="K65" s="46">
        <f>IFERROR(__xludf.DUMMYFUNCTION("""COMPUTED_VALUE"""),0.022532442860348)</f>
        <v>0.02253244286</v>
      </c>
      <c r="L65" s="46">
        <f>IFERROR(__xludf.DUMMYFUNCTION("""COMPUTED_VALUE"""),0.980769369036153)</f>
        <v>0.980769369</v>
      </c>
      <c r="M65" s="47">
        <f>IFERROR(__xludf.DUMMYFUNCTION("""COMPUTED_VALUE"""),0.958236926175805)</f>
        <v>0.9582369262</v>
      </c>
      <c r="N65" s="47">
        <f>IFERROR(__xludf.DUMMYFUNCTION("""COMPUTED_VALUE"""),16.2)</f>
        <v>16.2</v>
      </c>
      <c r="O65" s="47">
        <f>IFERROR(__xludf.DUMMYFUNCTION("""COMPUTED_VALUE"""),3.0)</f>
        <v>3</v>
      </c>
      <c r="P65" s="47">
        <f>IFERROR(__xludf.DUMMYFUNCTION("""COMPUTED_VALUE"""),5.0)</f>
        <v>5</v>
      </c>
      <c r="Q65" s="48">
        <f>IFERROR(__xludf.DUMMYFUNCTION("""COMPUTED_VALUE"""),2.0)</f>
        <v>2</v>
      </c>
      <c r="R65" s="47">
        <f>IFERROR(__xludf.DUMMYFUNCTION("""COMPUTED_VALUE"""),1.3)</f>
        <v>1.3</v>
      </c>
      <c r="S65" s="47">
        <f>IFERROR(__xludf.DUMMYFUNCTION("""COMPUTED_VALUE"""),0.3)</f>
        <v>0.3</v>
      </c>
      <c r="T65" s="47">
        <f>IFERROR(__xludf.DUMMYFUNCTION("""COMPUTED_VALUE"""),46.21848739495798)</f>
        <v>46.21848739</v>
      </c>
      <c r="U65" s="47">
        <f>IFERROR(__xludf.DUMMYFUNCTION("""COMPUTED_VALUE"""),84.61538461538461)</f>
        <v>84.61538462</v>
      </c>
      <c r="V65" s="47">
        <f>IFERROR(__xludf.DUMMYFUNCTION("""COMPUTED_VALUE"""),0.9)</f>
        <v>0.9</v>
      </c>
      <c r="W65" s="46">
        <f>IFERROR(__xludf.DUMMYFUNCTION("""COMPUTED_VALUE"""),-0.17807620498611684)</f>
        <v>-0.178076205</v>
      </c>
      <c r="X65" s="46">
        <f>IFERROR(__xludf.DUMMYFUNCTION("""COMPUTED_VALUE"""),1.1752485492585598)</f>
        <v>1.175248549</v>
      </c>
      <c r="Y65" s="46">
        <f>IFERROR(__xludf.DUMMYFUNCTION("""COMPUTED_VALUE"""),-0.45801768448908886)</f>
        <v>-0.4580176845</v>
      </c>
      <c r="Z65" s="46">
        <f>IFERROR(__xludf.DUMMYFUNCTION("""COMPUTED_VALUE"""),-0.9404853718323106)</f>
        <v>-0.9404853718</v>
      </c>
      <c r="AA65" s="46">
        <f>IFERROR(__xludf.DUMMYFUNCTION("""COMPUTED_VALUE"""),0.6657790304411786)</f>
        <v>0.6657790304</v>
      </c>
      <c r="AB65" s="46">
        <f>IFERROR(__xludf.DUMMYFUNCTION("""COMPUTED_VALUE"""),-0.5270142365493308)</f>
        <v>-0.5270142365</v>
      </c>
      <c r="AC65" s="46">
        <f>IFERROR(__xludf.DUMMYFUNCTION("""COMPUTED_VALUE"""),-0.40175819917386524)</f>
        <v>-0.4017581992</v>
      </c>
      <c r="AD65" s="46">
        <f>IFERROR(__xludf.DUMMYFUNCTION("""COMPUTED_VALUE"""),0.36475511347157313)</f>
        <v>0.3647551135</v>
      </c>
      <c r="AE65" s="46">
        <f>IFERROR(__xludf.DUMMYFUNCTION("""COMPUTED_VALUE"""),0.33985300106324323)</f>
        <v>0.3398530011</v>
      </c>
    </row>
    <row r="66">
      <c r="A66" s="6" t="str">
        <f>IF(VLOOKUP(H66,'Paste #BBall'!$B$2:$N1001,3,)="BRO","BKN",IF(VLOOKUP(H66,'Paste #BBall'!$B$2:$N1001,3,)="OKL","OKC",VLOOKUP(H66,'Paste #BBall'!$B$2:$N1001,3,)))</f>
        <v>MIA</v>
      </c>
      <c r="B66" s="42">
        <f>VLOOKUP($A66,Schedule!$C$2:$G$31,2,0)</f>
        <v>4</v>
      </c>
      <c r="C66" s="42">
        <f>VLOOKUP($A66,Schedule!$C$2:$G$31,3,0)</f>
        <v>3</v>
      </c>
      <c r="D66" s="42">
        <f>VLOOKUP($A66,Schedule!$C$2:$G$31,4,0)</f>
        <v>4</v>
      </c>
      <c r="E66" s="42">
        <f t="shared" si="1"/>
        <v>11</v>
      </c>
      <c r="F66" s="51">
        <v>61.0</v>
      </c>
      <c r="G66" s="45">
        <f>IFERROR(__xludf.DUMMYFUNCTION("""COMPUTED_VALUE"""),65.0)</f>
        <v>65</v>
      </c>
      <c r="H66" s="45" t="str">
        <f>IFERROR(__xludf.DUMMYFUNCTION("""COMPUTED_VALUE"""),"Tyler Herro")</f>
        <v>Tyler Herro</v>
      </c>
      <c r="I66" s="45">
        <f>IFERROR(__xludf.DUMMYFUNCTION("""COMPUTED_VALUE"""),67.0)</f>
        <v>67</v>
      </c>
      <c r="J66" s="46" t="str">
        <f>IFERROR(__xludf.DUMMYFUNCTION("""COMPUTED_VALUE"""),"PG,SG")</f>
        <v>PG,SG</v>
      </c>
      <c r="K66" s="46">
        <f>IFERROR(__xludf.DUMMYFUNCTION("""COMPUTED_VALUE"""),-0.10325470251580615)</f>
        <v>-0.1032547025</v>
      </c>
      <c r="L66" s="46">
        <f>IFERROR(__xludf.DUMMYFUNCTION("""COMPUTED_VALUE"""),0.9522454295277405)</f>
        <v>0.9522454295</v>
      </c>
      <c r="M66" s="47">
        <f>IFERROR(__xludf.DUMMYFUNCTION("""COMPUTED_VALUE"""),1.0555001320435466)</f>
        <v>1.055500132</v>
      </c>
      <c r="N66" s="47">
        <f>IFERROR(__xludf.DUMMYFUNCTION("""COMPUTED_VALUE"""),20.8)</f>
        <v>20.8</v>
      </c>
      <c r="O66" s="47">
        <f>IFERROR(__xludf.DUMMYFUNCTION("""COMPUTED_VALUE"""),2.9)</f>
        <v>2.9</v>
      </c>
      <c r="P66" s="47">
        <f>IFERROR(__xludf.DUMMYFUNCTION("""COMPUTED_VALUE"""),5.3)</f>
        <v>5.3</v>
      </c>
      <c r="Q66" s="48">
        <f>IFERROR(__xludf.DUMMYFUNCTION("""COMPUTED_VALUE"""),4.2)</f>
        <v>4.2</v>
      </c>
      <c r="R66" s="47">
        <f>IFERROR(__xludf.DUMMYFUNCTION("""COMPUTED_VALUE"""),0.7)</f>
        <v>0.7</v>
      </c>
      <c r="S66" s="47">
        <f>IFERROR(__xludf.DUMMYFUNCTION("""COMPUTED_VALUE"""),0.2)</f>
        <v>0.2</v>
      </c>
      <c r="T66" s="47">
        <f>IFERROR(__xludf.DUMMYFUNCTION("""COMPUTED_VALUE"""),44.444444444444436)</f>
        <v>44.44444444</v>
      </c>
      <c r="U66" s="47">
        <f>IFERROR(__xludf.DUMMYFUNCTION("""COMPUTED_VALUE"""),90.32258064516128)</f>
        <v>90.32258065</v>
      </c>
      <c r="V66" s="47">
        <f>IFERROR(__xludf.DUMMYFUNCTION("""COMPUTED_VALUE"""),2.5)</f>
        <v>2.5</v>
      </c>
      <c r="W66" s="46">
        <f>IFERROR(__xludf.DUMMYFUNCTION("""COMPUTED_VALUE"""),0.597145129022845)</f>
        <v>0.597145129</v>
      </c>
      <c r="X66" s="46">
        <f>IFERROR(__xludf.DUMMYFUNCTION("""COMPUTED_VALUE"""),1.0885356705626503)</f>
        <v>1.088535671</v>
      </c>
      <c r="Y66" s="46">
        <f>IFERROR(__xludf.DUMMYFUNCTION("""COMPUTED_VALUE"""),-0.33257157492117045)</f>
        <v>-0.3325715749</v>
      </c>
      <c r="Z66" s="46">
        <f>IFERROR(__xludf.DUMMYFUNCTION("""COMPUTED_VALUE"""),0.18156875942098802)</f>
        <v>0.1815687594</v>
      </c>
      <c r="AA66" s="46">
        <f>IFERROR(__xludf.DUMMYFUNCTION("""COMPUTED_VALUE"""),-0.6425203743558983)</f>
        <v>-0.6425203744</v>
      </c>
      <c r="AB66" s="46">
        <f>IFERROR(__xludf.DUMMYFUNCTION("""COMPUTED_VALUE"""),-0.6583300762210907)</f>
        <v>-0.6583300762</v>
      </c>
      <c r="AC66" s="46">
        <f>IFERROR(__xludf.DUMMYFUNCTION("""COMPUTED_VALUE"""),-0.8803334421325975)</f>
        <v>-0.8803334421</v>
      </c>
      <c r="AD66" s="46">
        <f>IFERROR(__xludf.DUMMYFUNCTION("""COMPUTED_VALUE"""),0.875304969591852)</f>
        <v>0.8753049696</v>
      </c>
      <c r="AE66" s="46">
        <f>IFERROR(__xludf.DUMMYFUNCTION("""COMPUTED_VALUE"""),-0.1568870735724353)</f>
        <v>-0.1568870736</v>
      </c>
    </row>
    <row r="67">
      <c r="A67" s="6" t="str">
        <f>IF(VLOOKUP(H67,'Paste #BBall'!$B$2:$N1001,3,)="BRO","BKN",IF(VLOOKUP(H67,'Paste #BBall'!$B$2:$N1001,3,)="OKL","OKC",VLOOKUP(H67,'Paste #BBall'!$B$2:$N1001,3,)))</f>
        <v>CLE</v>
      </c>
      <c r="B67" s="42">
        <f>VLOOKUP($A67,Schedule!$C$2:$G$31,2,0)</f>
        <v>4</v>
      </c>
      <c r="C67" s="42">
        <f>VLOOKUP($A67,Schedule!$C$2:$G$31,3,0)</f>
        <v>3</v>
      </c>
      <c r="D67" s="42">
        <f>VLOOKUP($A67,Schedule!$C$2:$G$31,4,0)</f>
        <v>4</v>
      </c>
      <c r="E67" s="42">
        <f t="shared" si="1"/>
        <v>11</v>
      </c>
      <c r="F67" s="51">
        <v>62.0</v>
      </c>
      <c r="G67" s="45">
        <f>IFERROR(__xludf.DUMMYFUNCTION("""COMPUTED_VALUE"""),76.0)</f>
        <v>76</v>
      </c>
      <c r="H67" s="45" t="str">
        <f>IFERROR(__xludf.DUMMYFUNCTION("""COMPUTED_VALUE"""),"Jarrett Allen")</f>
        <v>Jarrett Allen</v>
      </c>
      <c r="I67" s="45">
        <f>IFERROR(__xludf.DUMMYFUNCTION("""COMPUTED_VALUE"""),68.0)</f>
        <v>68</v>
      </c>
      <c r="J67" s="46" t="str">
        <f>IFERROR(__xludf.DUMMYFUNCTION("""COMPUTED_VALUE"""),"C")</f>
        <v>C</v>
      </c>
      <c r="K67" s="46">
        <f>IFERROR(__xludf.DUMMYFUNCTION("""COMPUTED_VALUE"""),-0.6620812964382108)</f>
        <v>-0.6620812964</v>
      </c>
      <c r="L67" s="46">
        <f>IFERROR(__xludf.DUMMYFUNCTION("""COMPUTED_VALUE"""),0.9491971521678456)</f>
        <v>0.9491971522</v>
      </c>
      <c r="M67" s="47">
        <f>IFERROR(__xludf.DUMMYFUNCTION("""COMPUTED_VALUE"""),1.6112784486060563)</f>
        <v>1.611278449</v>
      </c>
      <c r="N67" s="47">
        <f>IFERROR(__xludf.DUMMYFUNCTION("""COMPUTED_VALUE"""),14.1)</f>
        <v>14.1</v>
      </c>
      <c r="O67" s="47">
        <f>IFERROR(__xludf.DUMMYFUNCTION("""COMPUTED_VALUE"""),0.0)</f>
        <v>0</v>
      </c>
      <c r="P67" s="47">
        <f>IFERROR(__xludf.DUMMYFUNCTION("""COMPUTED_VALUE"""),9.7)</f>
        <v>9.7</v>
      </c>
      <c r="Q67" s="48">
        <f>IFERROR(__xludf.DUMMYFUNCTION("""COMPUTED_VALUE"""),1.5)</f>
        <v>1.5</v>
      </c>
      <c r="R67" s="47">
        <f>IFERROR(__xludf.DUMMYFUNCTION("""COMPUTED_VALUE"""),0.7)</f>
        <v>0.7</v>
      </c>
      <c r="S67" s="47">
        <f>IFERROR(__xludf.DUMMYFUNCTION("""COMPUTED_VALUE"""),1.2)</f>
        <v>1.2</v>
      </c>
      <c r="T67" s="47">
        <f>IFERROR(__xludf.DUMMYFUNCTION("""COMPUTED_VALUE"""),65.9090909090909)</f>
        <v>65.90909091</v>
      </c>
      <c r="U67" s="47">
        <f>IFERROR(__xludf.DUMMYFUNCTION("""COMPUTED_VALUE"""),73.52941176470588)</f>
        <v>73.52941176</v>
      </c>
      <c r="V67" s="47">
        <f>IFERROR(__xludf.DUMMYFUNCTION("""COMPUTED_VALUE"""),1.4)</f>
        <v>1.4</v>
      </c>
      <c r="W67" s="46">
        <f>IFERROR(__xludf.DUMMYFUNCTION("""COMPUTED_VALUE"""),-0.5319815965989035)</f>
        <v>-0.5319815966</v>
      </c>
      <c r="X67" s="46">
        <f>IFERROR(__xludf.DUMMYFUNCTION("""COMPUTED_VALUE"""),-1.4261378116187227)</f>
        <v>-1.426137812</v>
      </c>
      <c r="Y67" s="46">
        <f>IFERROR(__xludf.DUMMYFUNCTION("""COMPUTED_VALUE"""),1.5073046987416343)</f>
        <v>1.507304699</v>
      </c>
      <c r="Z67" s="46">
        <f>IFERROR(__xludf.DUMMYFUNCTION("""COMPUTED_VALUE"""),-1.1954976743898784)</f>
        <v>-1.195497674</v>
      </c>
      <c r="AA67" s="46">
        <f>IFERROR(__xludf.DUMMYFUNCTION("""COMPUTED_VALUE"""),-0.6425203743558983)</f>
        <v>-0.6425203744</v>
      </c>
      <c r="AB67" s="46">
        <f>IFERROR(__xludf.DUMMYFUNCTION("""COMPUTED_VALUE"""),0.6548283204965102)</f>
        <v>0.6548283205</v>
      </c>
      <c r="AC67" s="46">
        <f>IFERROR(__xludf.DUMMYFUNCTION("""COMPUTED_VALUE"""),1.433707962176812)</f>
        <v>1.433707962</v>
      </c>
      <c r="AD67" s="46">
        <f>IFERROR(__xludf.DUMMYFUNCTION("""COMPUTED_VALUE"""),-0.46126591164202435)</f>
        <v>-0.4612659116</v>
      </c>
      <c r="AE67" s="46">
        <f>IFERROR(__xludf.DUMMYFUNCTION("""COMPUTED_VALUE"""),0.18462172773959373)</f>
        <v>0.1846217277</v>
      </c>
    </row>
    <row r="68">
      <c r="A68" s="6" t="str">
        <f>IF(VLOOKUP(H68,'Paste #BBall'!$B$2:$N1001,3,)="BRO","BKN",IF(VLOOKUP(H68,'Paste #BBall'!$B$2:$N1001,3,)="OKL","OKC",VLOOKUP(H68,'Paste #BBall'!$B$2:$N1001,3,)))</f>
        <v>WAS</v>
      </c>
      <c r="B68" s="42">
        <f>VLOOKUP($A68,Schedule!$C$2:$G$31,2,0)</f>
        <v>4</v>
      </c>
      <c r="C68" s="42">
        <f>VLOOKUP($A68,Schedule!$C$2:$G$31,3,0)</f>
        <v>4</v>
      </c>
      <c r="D68" s="42">
        <f>VLOOKUP($A68,Schedule!$C$2:$G$31,4,0)</f>
        <v>3</v>
      </c>
      <c r="E68" s="42">
        <f t="shared" si="1"/>
        <v>11</v>
      </c>
      <c r="F68" s="43">
        <v>63.0</v>
      </c>
      <c r="G68" s="45">
        <f>IFERROR(__xludf.DUMMYFUNCTION("""COMPUTED_VALUE"""),63.0)</f>
        <v>63</v>
      </c>
      <c r="H68" s="45" t="str">
        <f>IFERROR(__xludf.DUMMYFUNCTION("""COMPUTED_VALUE"""),"Kyle Kuzma")</f>
        <v>Kyle Kuzma</v>
      </c>
      <c r="I68" s="45">
        <f>IFERROR(__xludf.DUMMYFUNCTION("""COMPUTED_VALUE"""),65.0)</f>
        <v>65</v>
      </c>
      <c r="J68" s="46" t="str">
        <f>IFERROR(__xludf.DUMMYFUNCTION("""COMPUTED_VALUE"""),"SF,PF")</f>
        <v>SF,PF</v>
      </c>
      <c r="K68" s="46">
        <f>IFERROR(__xludf.DUMMYFUNCTION("""COMPUTED_VALUE"""),-0.011675885692122301)</f>
        <v>-0.01167588569</v>
      </c>
      <c r="L68" s="46">
        <f>IFERROR(__xludf.DUMMYFUNCTION("""COMPUTED_VALUE"""),0.9281138377285512)</f>
        <v>0.9281138377</v>
      </c>
      <c r="M68" s="47">
        <f>IFERROR(__xludf.DUMMYFUNCTION("""COMPUTED_VALUE"""),0.9397897234206735)</f>
        <v>0.9397897234</v>
      </c>
      <c r="N68" s="47">
        <f>IFERROR(__xludf.DUMMYFUNCTION("""COMPUTED_VALUE"""),22.1)</f>
        <v>22.1</v>
      </c>
      <c r="O68" s="47">
        <f>IFERROR(__xludf.DUMMYFUNCTION("""COMPUTED_VALUE"""),2.6)</f>
        <v>2.6</v>
      </c>
      <c r="P68" s="47">
        <f>IFERROR(__xludf.DUMMYFUNCTION("""COMPUTED_VALUE"""),8.1)</f>
        <v>8.1</v>
      </c>
      <c r="Q68" s="48">
        <f>IFERROR(__xludf.DUMMYFUNCTION("""COMPUTED_VALUE"""),3.8)</f>
        <v>3.8</v>
      </c>
      <c r="R68" s="47">
        <f>IFERROR(__xludf.DUMMYFUNCTION("""COMPUTED_VALUE"""),0.7)</f>
        <v>0.7</v>
      </c>
      <c r="S68" s="47">
        <f>IFERROR(__xludf.DUMMYFUNCTION("""COMPUTED_VALUE"""),0.8)</f>
        <v>0.8</v>
      </c>
      <c r="T68" s="47">
        <f>IFERROR(__xludf.DUMMYFUNCTION("""COMPUTED_VALUE"""),44.623655913978496)</f>
        <v>44.62365591</v>
      </c>
      <c r="U68" s="47">
        <f>IFERROR(__xludf.DUMMYFUNCTION("""COMPUTED_VALUE"""),72.5)</f>
        <v>72.5</v>
      </c>
      <c r="V68" s="47">
        <f>IFERROR(__xludf.DUMMYFUNCTION("""COMPUTED_VALUE"""),3.2)</f>
        <v>3.2</v>
      </c>
      <c r="W68" s="46">
        <f>IFERROR(__xludf.DUMMYFUNCTION("""COMPUTED_VALUE"""),0.816229419068856)</f>
        <v>0.8162294191</v>
      </c>
      <c r="X68" s="46">
        <f>IFERROR(__xludf.DUMMYFUNCTION("""COMPUTED_VALUE"""),0.8283970344749224)</f>
        <v>0.8283970345</v>
      </c>
      <c r="Y68" s="46">
        <f>IFERROR(__xludf.DUMMYFUNCTION("""COMPUTED_VALUE"""),0.838258781046069)</f>
        <v>0.838258781</v>
      </c>
      <c r="Z68" s="46">
        <f>IFERROR(__xludf.DUMMYFUNCTION("""COMPUTED_VALUE"""),-0.022441082625066444)</f>
        <v>-0.02244108263</v>
      </c>
      <c r="AA68" s="46">
        <f>IFERROR(__xludf.DUMMYFUNCTION("""COMPUTED_VALUE"""),-0.6425203743558983)</f>
        <v>-0.6425203744</v>
      </c>
      <c r="AB68" s="46">
        <f>IFERROR(__xludf.DUMMYFUNCTION("""COMPUTED_VALUE"""),0.12956496180946983)</f>
        <v>0.1295649618</v>
      </c>
      <c r="AC68" s="46">
        <f>IFERROR(__xludf.DUMMYFUNCTION("""COMPUTED_VALUE"""),-0.9242601729244231)</f>
        <v>-0.9242601729</v>
      </c>
      <c r="AD68" s="46">
        <f>IFERROR(__xludf.DUMMYFUNCTION("""COMPUTED_VALUE"""),-0.6451640454642568)</f>
        <v>-0.6451640455</v>
      </c>
      <c r="AE68" s="46">
        <f>IFERROR(__xludf.DUMMYFUNCTION("""COMPUTED_VALUE"""),-0.37421085622554473)</f>
        <v>-0.3742108562</v>
      </c>
    </row>
    <row r="69">
      <c r="A69" s="6" t="str">
        <f>IF(VLOOKUP(H69,'Paste #BBall'!$B$2:$N1001,3,)="BRO","BKN",IF(VLOOKUP(H69,'Paste #BBall'!$B$2:$N1001,3,)="OKL","OKC",VLOOKUP(H69,'Paste #BBall'!$B$2:$N1001,3,)))</f>
        <v>NO</v>
      </c>
      <c r="B69" s="42">
        <f>VLOOKUP($A69,Schedule!$C$2:$G$31,2,0)</f>
        <v>3</v>
      </c>
      <c r="C69" s="42">
        <f>VLOOKUP($A69,Schedule!$C$2:$G$31,3,0)</f>
        <v>3</v>
      </c>
      <c r="D69" s="42">
        <f>VLOOKUP($A69,Schedule!$C$2:$G$31,4,0)</f>
        <v>4</v>
      </c>
      <c r="E69" s="42">
        <f t="shared" si="1"/>
        <v>10</v>
      </c>
      <c r="F69" s="51">
        <v>64.0</v>
      </c>
      <c r="G69" s="45">
        <f>IFERROR(__xludf.DUMMYFUNCTION("""COMPUTED_VALUE"""),57.0)</f>
        <v>57</v>
      </c>
      <c r="H69" s="45" t="str">
        <f>IFERROR(__xludf.DUMMYFUNCTION("""COMPUTED_VALUE"""),"Brandon Ingram")</f>
        <v>Brandon Ingram</v>
      </c>
      <c r="I69" s="45">
        <f>IFERROR(__xludf.DUMMYFUNCTION("""COMPUTED_VALUE"""),60.0)</f>
        <v>60</v>
      </c>
      <c r="J69" s="46" t="str">
        <f>IFERROR(__xludf.DUMMYFUNCTION("""COMPUTED_VALUE"""),"SG,SF,PF")</f>
        <v>SG,SF,PF</v>
      </c>
      <c r="K69" s="46">
        <f>IFERROR(__xludf.DUMMYFUNCTION("""COMPUTED_VALUE"""),0.13316962359273943)</f>
        <v>0.1331696236</v>
      </c>
      <c r="L69" s="46">
        <f>IFERROR(__xludf.DUMMYFUNCTION("""COMPUTED_VALUE"""),0.9040778253230328)</f>
        <v>0.9040778253</v>
      </c>
      <c r="M69" s="47">
        <f>IFERROR(__xludf.DUMMYFUNCTION("""COMPUTED_VALUE"""),0.7709082017302934)</f>
        <v>0.7709082017</v>
      </c>
      <c r="N69" s="47">
        <f>IFERROR(__xludf.DUMMYFUNCTION("""COMPUTED_VALUE"""),23.0)</f>
        <v>23</v>
      </c>
      <c r="O69" s="47">
        <f>IFERROR(__xludf.DUMMYFUNCTION("""COMPUTED_VALUE"""),1.3)</f>
        <v>1.3</v>
      </c>
      <c r="P69" s="47">
        <f>IFERROR(__xludf.DUMMYFUNCTION("""COMPUTED_VALUE"""),5.5)</f>
        <v>5.5</v>
      </c>
      <c r="Q69" s="48">
        <f>IFERROR(__xludf.DUMMYFUNCTION("""COMPUTED_VALUE"""),5.5)</f>
        <v>5.5</v>
      </c>
      <c r="R69" s="47">
        <f>IFERROR(__xludf.DUMMYFUNCTION("""COMPUTED_VALUE"""),0.7)</f>
        <v>0.7</v>
      </c>
      <c r="S69" s="47">
        <f>IFERROR(__xludf.DUMMYFUNCTION("""COMPUTED_VALUE"""),0.4)</f>
        <v>0.4</v>
      </c>
      <c r="T69" s="47">
        <f>IFERROR(__xludf.DUMMYFUNCTION("""COMPUTED_VALUE"""),46.89265536723165)</f>
        <v>46.89265537</v>
      </c>
      <c r="U69" s="47">
        <f>IFERROR(__xludf.DUMMYFUNCTION("""COMPUTED_VALUE"""),84.48275862068967)</f>
        <v>84.48275862</v>
      </c>
      <c r="V69" s="47">
        <f>IFERROR(__xludf.DUMMYFUNCTION("""COMPUTED_VALUE"""),2.9)</f>
        <v>2.9</v>
      </c>
      <c r="W69" s="46">
        <f>IFERROR(__xludf.DUMMYFUNCTION("""COMPUTED_VALUE"""),0.9679031583314787)</f>
        <v>0.9679031583</v>
      </c>
      <c r="X69" s="46">
        <f>IFERROR(__xludf.DUMMYFUNCTION("""COMPUTED_VALUE"""),-0.2988703885719002)</f>
        <v>-0.2988703886</v>
      </c>
      <c r="Y69" s="46">
        <f>IFERROR(__xludf.DUMMYFUNCTION("""COMPUTED_VALUE"""),-0.24894083520922466)</f>
        <v>-0.2489408352</v>
      </c>
      <c r="Z69" s="46">
        <f>IFERROR(__xludf.DUMMYFUNCTION("""COMPUTED_VALUE"""),0.8446007460706644)</f>
        <v>0.8446007461</v>
      </c>
      <c r="AA69" s="46">
        <f>IFERROR(__xludf.DUMMYFUNCTION("""COMPUTED_VALUE"""),-0.6425203743558983)</f>
        <v>-0.6425203744</v>
      </c>
      <c r="AB69" s="46">
        <f>IFERROR(__xludf.DUMMYFUNCTION("""COMPUTED_VALUE"""),-0.39569839687757064)</f>
        <v>-0.3956983969</v>
      </c>
      <c r="AC69" s="46">
        <f>IFERROR(__xludf.DUMMYFUNCTION("""COMPUTED_VALUE"""),-0.47838082217452865)</f>
        <v>-0.4783808222</v>
      </c>
      <c r="AD69" s="46">
        <f>IFERROR(__xludf.DUMMYFUNCTION("""COMPUTED_VALUE"""),0.7945364559854688)</f>
        <v>0.794536456</v>
      </c>
      <c r="AE69" s="46">
        <f>IFERROR(__xludf.DUMMYFUNCTION("""COMPUTED_VALUE"""),-0.28107209223135493)</f>
        <v>-0.2810720922</v>
      </c>
    </row>
    <row r="70">
      <c r="A70" s="6" t="str">
        <f>IF(VLOOKUP(H70,'Paste #BBall'!$B$2:$N1001,3,)="BRO","BKN",IF(VLOOKUP(H70,'Paste #BBall'!$B$2:$N1001,3,)="OKL","OKC",VLOOKUP(H70,'Paste #BBall'!$B$2:$N1001,3,)))</f>
        <v>PHO</v>
      </c>
      <c r="B70" s="42">
        <f>VLOOKUP($A70,Schedule!$C$2:$G$31,2,0)</f>
        <v>3</v>
      </c>
      <c r="C70" s="42">
        <f>VLOOKUP($A70,Schedule!$C$2:$G$31,3,0)</f>
        <v>4</v>
      </c>
      <c r="D70" s="42">
        <f>VLOOKUP($A70,Schedule!$C$2:$G$31,4,0)</f>
        <v>3</v>
      </c>
      <c r="E70" s="42">
        <f t="shared" si="1"/>
        <v>10</v>
      </c>
      <c r="F70" s="43">
        <v>65.0</v>
      </c>
      <c r="G70" s="45">
        <f>IFERROR(__xludf.DUMMYFUNCTION("""COMPUTED_VALUE"""),56.0)</f>
        <v>56</v>
      </c>
      <c r="H70" s="45" t="str">
        <f>IFERROR(__xludf.DUMMYFUNCTION("""COMPUTED_VALUE"""),"Bradley Beal")</f>
        <v>Bradley Beal</v>
      </c>
      <c r="I70" s="45">
        <f>IFERROR(__xludf.DUMMYFUNCTION("""COMPUTED_VALUE"""),62.0)</f>
        <v>62</v>
      </c>
      <c r="J70" s="46" t="str">
        <f>IFERROR(__xludf.DUMMYFUNCTION("""COMPUTED_VALUE"""),"PG,SG")</f>
        <v>PG,SG</v>
      </c>
      <c r="K70" s="46">
        <f>IFERROR(__xludf.DUMMYFUNCTION("""COMPUTED_VALUE"""),0.16176672740822007)</f>
        <v>0.1617667274</v>
      </c>
      <c r="L70" s="46">
        <f>IFERROR(__xludf.DUMMYFUNCTION("""COMPUTED_VALUE"""),0.8235662545802251)</f>
        <v>0.8235662546</v>
      </c>
      <c r="M70" s="47">
        <f>IFERROR(__xludf.DUMMYFUNCTION("""COMPUTED_VALUE"""),0.6617995271720051)</f>
        <v>0.6617995272</v>
      </c>
      <c r="N70" s="47">
        <f>IFERROR(__xludf.DUMMYFUNCTION("""COMPUTED_VALUE"""),20.8)</f>
        <v>20.8</v>
      </c>
      <c r="O70" s="47">
        <f>IFERROR(__xludf.DUMMYFUNCTION("""COMPUTED_VALUE"""),1.6)</f>
        <v>1.6</v>
      </c>
      <c r="P70" s="47">
        <f>IFERROR(__xludf.DUMMYFUNCTION("""COMPUTED_VALUE"""),4.2)</f>
        <v>4.2</v>
      </c>
      <c r="Q70" s="48">
        <f>IFERROR(__xludf.DUMMYFUNCTION("""COMPUTED_VALUE"""),5.7)</f>
        <v>5.7</v>
      </c>
      <c r="R70" s="47">
        <f>IFERROR(__xludf.DUMMYFUNCTION("""COMPUTED_VALUE"""),0.9)</f>
        <v>0.9</v>
      </c>
      <c r="S70" s="47">
        <f>IFERROR(__xludf.DUMMYFUNCTION("""COMPUTED_VALUE"""),0.5)</f>
        <v>0.5</v>
      </c>
      <c r="T70" s="47">
        <f>IFERROR(__xludf.DUMMYFUNCTION("""COMPUTED_VALUE"""),47.5)</f>
        <v>47.5</v>
      </c>
      <c r="U70" s="47">
        <f>IFERROR(__xludf.DUMMYFUNCTION("""COMPUTED_VALUE"""),82.97872340425532)</f>
        <v>82.9787234</v>
      </c>
      <c r="V70" s="47">
        <f>IFERROR(__xludf.DUMMYFUNCTION("""COMPUTED_VALUE"""),3.1)</f>
        <v>3.1</v>
      </c>
      <c r="W70" s="46">
        <f>IFERROR(__xludf.DUMMYFUNCTION("""COMPUTED_VALUE"""),0.597145129022845)</f>
        <v>0.597145129</v>
      </c>
      <c r="X70" s="46">
        <f>IFERROR(__xludf.DUMMYFUNCTION("""COMPUTED_VALUE"""),-0.03873175248417188)</f>
        <v>-0.03873175248</v>
      </c>
      <c r="Y70" s="46">
        <f>IFERROR(__xludf.DUMMYFUNCTION("""COMPUTED_VALUE"""),-0.7925406433368716)</f>
        <v>-0.7925406433</v>
      </c>
      <c r="Z70" s="46">
        <f>IFERROR(__xludf.DUMMYFUNCTION("""COMPUTED_VALUE"""),0.9466056670936915)</f>
        <v>0.9466056671</v>
      </c>
      <c r="AA70" s="46">
        <f>IFERROR(__xludf.DUMMYFUNCTION("""COMPUTED_VALUE"""),-0.2064205727568726)</f>
        <v>-0.2064205728</v>
      </c>
      <c r="AB70" s="46">
        <f>IFERROR(__xludf.DUMMYFUNCTION("""COMPUTED_VALUE"""),-0.2643825572058105)</f>
        <v>-0.2643825572</v>
      </c>
      <c r="AC70" s="46">
        <f>IFERROR(__xludf.DUMMYFUNCTION("""COMPUTED_VALUE"""),-0.3353697912160603)</f>
        <v>-0.3353697912</v>
      </c>
      <c r="AD70" s="46">
        <f>IFERROR(__xludf.DUMMYFUNCTION("""COMPUTED_VALUE"""),0.4678847336874187)</f>
        <v>0.4678847337</v>
      </c>
      <c r="AE70" s="46">
        <f>IFERROR(__xludf.DUMMYFUNCTION("""COMPUTED_VALUE"""),-0.3431646015608148)</f>
        <v>-0.3431646016</v>
      </c>
    </row>
    <row r="71">
      <c r="A71" s="6" t="str">
        <f>IF(VLOOKUP(H71,'Paste #BBall'!$B$2:$N1001,3,)="BRO","BKN",IF(VLOOKUP(H71,'Paste #BBall'!$B$2:$N1001,3,)="OKL","OKC",VLOOKUP(H71,'Paste #BBall'!$B$2:$N1001,3,)))</f>
        <v>OKC</v>
      </c>
      <c r="B71" s="42">
        <f>VLOOKUP($A71,Schedule!$C$2:$G$31,2,0)</f>
        <v>4</v>
      </c>
      <c r="C71" s="42">
        <f>VLOOKUP($A71,Schedule!$C$2:$G$31,3,0)</f>
        <v>3</v>
      </c>
      <c r="D71" s="42">
        <f>VLOOKUP($A71,Schedule!$C$2:$G$31,4,0)</f>
        <v>3</v>
      </c>
      <c r="E71" s="42">
        <f t="shared" si="1"/>
        <v>10</v>
      </c>
      <c r="F71" s="51">
        <v>66.0</v>
      </c>
      <c r="G71" s="45">
        <f>IFERROR(__xludf.DUMMYFUNCTION("""COMPUTED_VALUE"""),70.0)</f>
        <v>70</v>
      </c>
      <c r="H71" s="45" t="str">
        <f>IFERROR(__xludf.DUMMYFUNCTION("""COMPUTED_VALUE"""),"Chet Holmgren")</f>
        <v>Chet Holmgren</v>
      </c>
      <c r="I71" s="45">
        <f>IFERROR(__xludf.DUMMYFUNCTION("""COMPUTED_VALUE"""),64.0)</f>
        <v>64</v>
      </c>
      <c r="J71" s="46" t="str">
        <f>IFERROR(__xludf.DUMMYFUNCTION("""COMPUTED_VALUE"""),"PF,C")</f>
        <v>PF,C</v>
      </c>
      <c r="K71" s="46">
        <f>IFERROR(__xludf.DUMMYFUNCTION("""COMPUTED_VALUE"""),-0.34816147586178403)</f>
        <v>-0.3481614759</v>
      </c>
      <c r="L71" s="46">
        <f>IFERROR(__xludf.DUMMYFUNCTION("""COMPUTED_VALUE"""),0.8202320935307801)</f>
        <v>0.8202320935</v>
      </c>
      <c r="M71" s="47">
        <f>IFERROR(__xludf.DUMMYFUNCTION("""COMPUTED_VALUE"""),1.1683935693925642)</f>
        <v>1.168393569</v>
      </c>
      <c r="N71" s="47">
        <f>IFERROR(__xludf.DUMMYFUNCTION("""COMPUTED_VALUE"""),14.3)</f>
        <v>14.3</v>
      </c>
      <c r="O71" s="47">
        <f>IFERROR(__xludf.DUMMYFUNCTION("""COMPUTED_VALUE"""),1.3)</f>
        <v>1.3</v>
      </c>
      <c r="P71" s="47">
        <f>IFERROR(__xludf.DUMMYFUNCTION("""COMPUTED_VALUE"""),9.2)</f>
        <v>9.2</v>
      </c>
      <c r="Q71" s="48">
        <f>IFERROR(__xludf.DUMMYFUNCTION("""COMPUTED_VALUE"""),1.6)</f>
        <v>1.6</v>
      </c>
      <c r="R71" s="47">
        <f>IFERROR(__xludf.DUMMYFUNCTION("""COMPUTED_VALUE"""),0.5)</f>
        <v>0.5</v>
      </c>
      <c r="S71" s="47">
        <f>IFERROR(__xludf.DUMMYFUNCTION("""COMPUTED_VALUE"""),2.0)</f>
        <v>2</v>
      </c>
      <c r="T71" s="47">
        <f>IFERROR(__xludf.DUMMYFUNCTION("""COMPUTED_VALUE"""),48.07692307692307)</f>
        <v>48.07692308</v>
      </c>
      <c r="U71" s="47">
        <f>IFERROR(__xludf.DUMMYFUNCTION("""COMPUTED_VALUE"""),75.0)</f>
        <v>75</v>
      </c>
      <c r="V71" s="47">
        <f>IFERROR(__xludf.DUMMYFUNCTION("""COMPUTED_VALUE"""),1.2)</f>
        <v>1.2</v>
      </c>
      <c r="W71" s="46">
        <f>IFERROR(__xludf.DUMMYFUNCTION("""COMPUTED_VALUE"""),-0.49827632120720944)</f>
        <v>-0.4982763212</v>
      </c>
      <c r="X71" s="46">
        <f>IFERROR(__xludf.DUMMYFUNCTION("""COMPUTED_VALUE"""),-0.2988703885719002)</f>
        <v>-0.2988703886</v>
      </c>
      <c r="Y71" s="46">
        <f>IFERROR(__xludf.DUMMYFUNCTION("""COMPUTED_VALUE"""),1.29822784946177)</f>
        <v>1.298227849</v>
      </c>
      <c r="Z71" s="46">
        <f>IFERROR(__xludf.DUMMYFUNCTION("""COMPUTED_VALUE"""),-1.144495213878365)</f>
        <v>-1.144495214</v>
      </c>
      <c r="AA71" s="46">
        <f>IFERROR(__xludf.DUMMYFUNCTION("""COMPUTED_VALUE"""),-1.0786201759549239)</f>
        <v>-1.078620176</v>
      </c>
      <c r="AB71" s="46">
        <f>IFERROR(__xludf.DUMMYFUNCTION("""COMPUTED_VALUE"""),1.705355037870591)</f>
        <v>1.705355038</v>
      </c>
      <c r="AC71" s="46">
        <f>IFERROR(__xludf.DUMMYFUNCTION("""COMPUTED_VALUE"""),-0.15805846253689695)</f>
        <v>-0.1580584625</v>
      </c>
      <c r="AD71" s="46">
        <f>IFERROR(__xludf.DUMMYFUNCTION("""COMPUTED_VALUE"""),-0.3962396825997042)</f>
        <v>-0.3962396826</v>
      </c>
      <c r="AE71" s="46">
        <f>IFERROR(__xludf.DUMMYFUNCTION("""COMPUTED_VALUE"""),0.24671423706905354)</f>
        <v>0.2467142371</v>
      </c>
    </row>
    <row r="72">
      <c r="A72" s="6" t="str">
        <f>IF(VLOOKUP(H72,'Paste #BBall'!$B$2:$N1001,3,)="BRO","BKN",IF(VLOOKUP(H72,'Paste #BBall'!$B$2:$N1001,3,)="OKL","OKC",VLOOKUP(H72,'Paste #BBall'!$B$2:$N1001,3,)))</f>
        <v>TOR</v>
      </c>
      <c r="B72" s="42">
        <f>VLOOKUP($A72,Schedule!$C$2:$G$31,2,0)</f>
        <v>3</v>
      </c>
      <c r="C72" s="42">
        <f>VLOOKUP($A72,Schedule!$C$2:$G$31,3,0)</f>
        <v>4</v>
      </c>
      <c r="D72" s="42">
        <f>VLOOKUP($A72,Schedule!$C$2:$G$31,4,0)</f>
        <v>3</v>
      </c>
      <c r="E72" s="42">
        <f t="shared" si="1"/>
        <v>10</v>
      </c>
      <c r="F72" s="51">
        <v>67.0</v>
      </c>
      <c r="G72" s="45">
        <f>IFERROR(__xludf.DUMMYFUNCTION("""COMPUTED_VALUE"""),62.0)</f>
        <v>62</v>
      </c>
      <c r="H72" s="45" t="str">
        <f>IFERROR(__xludf.DUMMYFUNCTION("""COMPUTED_VALUE"""),"Scottie Barnes")</f>
        <v>Scottie Barnes</v>
      </c>
      <c r="I72" s="45">
        <f>IFERROR(__xludf.DUMMYFUNCTION("""COMPUTED_VALUE"""),76.0)</f>
        <v>76</v>
      </c>
      <c r="J72" s="46" t="str">
        <f>IFERROR(__xludf.DUMMYFUNCTION("""COMPUTED_VALUE"""),"SF,PF")</f>
        <v>SF,PF</v>
      </c>
      <c r="K72" s="46">
        <f>IFERROR(__xludf.DUMMYFUNCTION("""COMPUTED_VALUE"""),-0.009037297330294312)</f>
        <v>-0.00903729733</v>
      </c>
      <c r="L72" s="46">
        <f>IFERROR(__xludf.DUMMYFUNCTION("""COMPUTED_VALUE"""),0.7601529830819346)</f>
        <v>0.7601529831</v>
      </c>
      <c r="M72" s="47">
        <f>IFERROR(__xludf.DUMMYFUNCTION("""COMPUTED_VALUE"""),0.7691902804122289)</f>
        <v>0.7691902804</v>
      </c>
      <c r="N72" s="47">
        <f>IFERROR(__xludf.DUMMYFUNCTION("""COMPUTED_VALUE"""),15.0)</f>
        <v>15</v>
      </c>
      <c r="O72" s="47">
        <f>IFERROR(__xludf.DUMMYFUNCTION("""COMPUTED_VALUE"""),0.8)</f>
        <v>0.8</v>
      </c>
      <c r="P72" s="47">
        <f>IFERROR(__xludf.DUMMYFUNCTION("""COMPUTED_VALUE"""),6.9)</f>
        <v>6.9</v>
      </c>
      <c r="Q72" s="48">
        <f>IFERROR(__xludf.DUMMYFUNCTION("""COMPUTED_VALUE"""),5.1)</f>
        <v>5.1</v>
      </c>
      <c r="R72" s="47">
        <f>IFERROR(__xludf.DUMMYFUNCTION("""COMPUTED_VALUE"""),1.1)</f>
        <v>1.1</v>
      </c>
      <c r="S72" s="47">
        <f>IFERROR(__xludf.DUMMYFUNCTION("""COMPUTED_VALUE"""),0.8)</f>
        <v>0.8</v>
      </c>
      <c r="T72" s="47">
        <f>IFERROR(__xludf.DUMMYFUNCTION("""COMPUTED_VALUE"""),47.61904761904762)</f>
        <v>47.61904762</v>
      </c>
      <c r="U72" s="47">
        <f>IFERROR(__xludf.DUMMYFUNCTION("""COMPUTED_VALUE"""),79.31034482758619)</f>
        <v>79.31034483</v>
      </c>
      <c r="V72" s="47">
        <f>IFERROR(__xludf.DUMMYFUNCTION("""COMPUTED_VALUE"""),1.9)</f>
        <v>1.9</v>
      </c>
      <c r="W72" s="46">
        <f>IFERROR(__xludf.DUMMYFUNCTION("""COMPUTED_VALUE"""),-0.3803078573362806)</f>
        <v>-0.3803078573</v>
      </c>
      <c r="X72" s="46">
        <f>IFERROR(__xludf.DUMMYFUNCTION("""COMPUTED_VALUE"""),-0.7324347820514473)</f>
        <v>-0.7324347821</v>
      </c>
      <c r="Y72" s="46">
        <f>IFERROR(__xludf.DUMMYFUNCTION("""COMPUTED_VALUE"""),0.33647434277439525)</f>
        <v>0.3364743428</v>
      </c>
      <c r="Z72" s="46">
        <f>IFERROR(__xludf.DUMMYFUNCTION("""COMPUTED_VALUE"""),0.6405909040246098)</f>
        <v>0.640590904</v>
      </c>
      <c r="AA72" s="46">
        <f>IFERROR(__xludf.DUMMYFUNCTION("""COMPUTED_VALUE"""),0.22967922884215308)</f>
        <v>0.2296792288</v>
      </c>
      <c r="AB72" s="46">
        <f>IFERROR(__xludf.DUMMYFUNCTION("""COMPUTED_VALUE"""),0.12956496180946983)</f>
        <v>0.1295649618</v>
      </c>
      <c r="AC72" s="46">
        <f>IFERROR(__xludf.DUMMYFUNCTION("""COMPUTED_VALUE"""),-0.24912073514426122)</f>
        <v>-0.2491207351</v>
      </c>
      <c r="AD72" s="46">
        <f>IFERROR(__xludf.DUMMYFUNCTION("""COMPUTED_VALUE"""),0.023881683695904318)</f>
        <v>0.0238816837</v>
      </c>
      <c r="AE72" s="46">
        <f>IFERROR(__xludf.DUMMYFUNCTION("""COMPUTED_VALUE"""),0.029390454415944182)</f>
        <v>0.02939045442</v>
      </c>
    </row>
    <row r="73">
      <c r="A73" s="6" t="str">
        <f>IF(VLOOKUP(H73,'Paste #BBall'!$B$2:$N1001,3,)="BRO","BKN",IF(VLOOKUP(H73,'Paste #BBall'!$B$2:$N1001,3,)="OKL","OKC",VLOOKUP(H73,'Paste #BBall'!$B$2:$N1001,3,)))</f>
        <v>LAL</v>
      </c>
      <c r="B73" s="42">
        <f>VLOOKUP($A73,Schedule!$C$2:$G$31,2,0)</f>
        <v>4</v>
      </c>
      <c r="C73" s="42">
        <f>VLOOKUP($A73,Schedule!$C$2:$G$31,3,0)</f>
        <v>2</v>
      </c>
      <c r="D73" s="42">
        <f>VLOOKUP($A73,Schedule!$C$2:$G$31,4,0)</f>
        <v>3</v>
      </c>
      <c r="E73" s="42">
        <f t="shared" si="1"/>
        <v>9</v>
      </c>
      <c r="F73" s="43">
        <v>68.0</v>
      </c>
      <c r="G73" s="45">
        <f>IFERROR(__xludf.DUMMYFUNCTION("""COMPUTED_VALUE"""),80.0)</f>
        <v>80</v>
      </c>
      <c r="H73" s="45" t="str">
        <f>IFERROR(__xludf.DUMMYFUNCTION("""COMPUTED_VALUE"""),"D'Angelo Russell")</f>
        <v>D'Angelo Russell</v>
      </c>
      <c r="I73" s="45">
        <f>IFERROR(__xludf.DUMMYFUNCTION("""COMPUTED_VALUE"""),70.0)</f>
        <v>70</v>
      </c>
      <c r="J73" s="46" t="str">
        <f>IFERROR(__xludf.DUMMYFUNCTION("""COMPUTED_VALUE"""),"PG,SG")</f>
        <v>PG,SG</v>
      </c>
      <c r="K73" s="46">
        <f>IFERROR(__xludf.DUMMYFUNCTION("""COMPUTED_VALUE"""),-0.7488240870115215)</f>
        <v>-0.748824087</v>
      </c>
      <c r="L73" s="46">
        <f>IFERROR(__xludf.DUMMYFUNCTION("""COMPUTED_VALUE"""),0.727002165468104)</f>
        <v>0.7270021655</v>
      </c>
      <c r="M73" s="47">
        <f>IFERROR(__xludf.DUMMYFUNCTION("""COMPUTED_VALUE"""),1.4758262524796255)</f>
        <v>1.475826252</v>
      </c>
      <c r="N73" s="47">
        <f>IFERROR(__xludf.DUMMYFUNCTION("""COMPUTED_VALUE"""),16.9)</f>
        <v>16.9</v>
      </c>
      <c r="O73" s="47">
        <f>IFERROR(__xludf.DUMMYFUNCTION("""COMPUTED_VALUE"""),2.6)</f>
        <v>2.6</v>
      </c>
      <c r="P73" s="47">
        <f>IFERROR(__xludf.DUMMYFUNCTION("""COMPUTED_VALUE"""),3.0)</f>
        <v>3</v>
      </c>
      <c r="Q73" s="48">
        <f>IFERROR(__xludf.DUMMYFUNCTION("""COMPUTED_VALUE"""),6.2)</f>
        <v>6.2</v>
      </c>
      <c r="R73" s="47">
        <f>IFERROR(__xludf.DUMMYFUNCTION("""COMPUTED_VALUE"""),0.9)</f>
        <v>0.9</v>
      </c>
      <c r="S73" s="47">
        <f>IFERROR(__xludf.DUMMYFUNCTION("""COMPUTED_VALUE"""),0.4)</f>
        <v>0.4</v>
      </c>
      <c r="T73" s="47">
        <f>IFERROR(__xludf.DUMMYFUNCTION("""COMPUTED_VALUE"""),44.3609022556391)</f>
        <v>44.36090226</v>
      </c>
      <c r="U73" s="47">
        <f>IFERROR(__xludf.DUMMYFUNCTION("""COMPUTED_VALUE"""),81.25)</f>
        <v>81.25</v>
      </c>
      <c r="V73" s="47">
        <f>IFERROR(__xludf.DUMMYFUNCTION("""COMPUTED_VALUE"""),2.4)</f>
        <v>2.4</v>
      </c>
      <c r="W73" s="46">
        <f>IFERROR(__xludf.DUMMYFUNCTION("""COMPUTED_VALUE"""),-0.06010774111518802)</f>
        <v>-0.06010774112</v>
      </c>
      <c r="X73" s="46">
        <f>IFERROR(__xludf.DUMMYFUNCTION("""COMPUTED_VALUE"""),0.8283970344749224)</f>
        <v>0.8283970345</v>
      </c>
      <c r="Y73" s="46">
        <f>IFERROR(__xludf.DUMMYFUNCTION("""COMPUTED_VALUE"""),-1.2943250816085456)</f>
        <v>-1.294325082</v>
      </c>
      <c r="Z73" s="46">
        <f>IFERROR(__xludf.DUMMYFUNCTION("""COMPUTED_VALUE"""),1.2016179696512597)</f>
        <v>1.20161797</v>
      </c>
      <c r="AA73" s="46">
        <f>IFERROR(__xludf.DUMMYFUNCTION("""COMPUTED_VALUE"""),-0.2064205727568726)</f>
        <v>-0.2064205728</v>
      </c>
      <c r="AB73" s="46">
        <f>IFERROR(__xludf.DUMMYFUNCTION("""COMPUTED_VALUE"""),-0.39569839687757064)</f>
        <v>-0.3956983969</v>
      </c>
      <c r="AC73" s="46">
        <f>IFERROR(__xludf.DUMMYFUNCTION("""COMPUTED_VALUE"""),-0.6958022886500829)</f>
        <v>-0.6958022887</v>
      </c>
      <c r="AD73" s="46">
        <f>IFERROR(__xludf.DUMMYFUNCTION("""COMPUTED_VALUE"""),0.1808569796493414)</f>
        <v>0.1808569796</v>
      </c>
      <c r="AE73" s="46">
        <f>IFERROR(__xludf.DUMMYFUNCTION("""COMPUTED_VALUE"""),-0.12584081890770538)</f>
        <v>-0.1258408189</v>
      </c>
    </row>
    <row r="74">
      <c r="A74" s="6" t="str">
        <f>IF(VLOOKUP(H74,'Paste #BBall'!$B$2:$N1001,3,)="BRO","BKN",IF(VLOOKUP(H74,'Paste #BBall'!$B$2:$N1001,3,)="OKL","OKC",VLOOKUP(H74,'Paste #BBall'!$B$2:$N1001,3,)))</f>
        <v>GS</v>
      </c>
      <c r="B74" s="42">
        <f>VLOOKUP($A74,Schedule!$C$2:$G$31,2,0)</f>
        <v>3</v>
      </c>
      <c r="C74" s="42">
        <f>VLOOKUP($A74,Schedule!$C$2:$G$31,3,0)</f>
        <v>3</v>
      </c>
      <c r="D74" s="42">
        <f>VLOOKUP($A74,Schedule!$C$2:$G$31,4,0)</f>
        <v>4</v>
      </c>
      <c r="E74" s="42">
        <f t="shared" si="1"/>
        <v>10</v>
      </c>
      <c r="F74" s="51">
        <v>69.0</v>
      </c>
      <c r="G74" s="45">
        <f>IFERROR(__xludf.DUMMYFUNCTION("""COMPUTED_VALUE"""),78.0)</f>
        <v>78</v>
      </c>
      <c r="H74" s="45" t="str">
        <f>IFERROR(__xludf.DUMMYFUNCTION("""COMPUTED_VALUE"""),"Klay Thompson")</f>
        <v>Klay Thompson</v>
      </c>
      <c r="I74" s="45">
        <f>IFERROR(__xludf.DUMMYFUNCTION("""COMPUTED_VALUE"""),68.0)</f>
        <v>68</v>
      </c>
      <c r="J74" s="46" t="str">
        <f>IFERROR(__xludf.DUMMYFUNCTION("""COMPUTED_VALUE"""),"SG,SF")</f>
        <v>SG,SF</v>
      </c>
      <c r="K74" s="46">
        <f>IFERROR(__xludf.DUMMYFUNCTION("""COMPUTED_VALUE"""),-0.7236982368779811)</f>
        <v>-0.7236982369</v>
      </c>
      <c r="L74" s="46">
        <f>IFERROR(__xludf.DUMMYFUNCTION("""COMPUTED_VALUE"""),0.7092912966210585)</f>
        <v>0.7092912966</v>
      </c>
      <c r="M74" s="47">
        <f>IFERROR(__xludf.DUMMYFUNCTION("""COMPUTED_VALUE"""),1.4329895334990397)</f>
        <v>1.432989533</v>
      </c>
      <c r="N74" s="47">
        <f>IFERROR(__xludf.DUMMYFUNCTION("""COMPUTED_VALUE"""),21.2)</f>
        <v>21.2</v>
      </c>
      <c r="O74" s="47">
        <f>IFERROR(__xludf.DUMMYFUNCTION("""COMPUTED_VALUE"""),4.2)</f>
        <v>4.2</v>
      </c>
      <c r="P74" s="47">
        <f>IFERROR(__xludf.DUMMYFUNCTION("""COMPUTED_VALUE"""),4.0)</f>
        <v>4</v>
      </c>
      <c r="Q74" s="48">
        <f>IFERROR(__xludf.DUMMYFUNCTION("""COMPUTED_VALUE"""),2.4)</f>
        <v>2.4</v>
      </c>
      <c r="R74" s="47">
        <f>IFERROR(__xludf.DUMMYFUNCTION("""COMPUTED_VALUE"""),0.6)</f>
        <v>0.6</v>
      </c>
      <c r="S74" s="47">
        <f>IFERROR(__xludf.DUMMYFUNCTION("""COMPUTED_VALUE"""),0.5)</f>
        <v>0.5</v>
      </c>
      <c r="T74" s="47">
        <f>IFERROR(__xludf.DUMMYFUNCTION("""COMPUTED_VALUE"""),43.258426966292134)</f>
        <v>43.25842697</v>
      </c>
      <c r="U74" s="47">
        <f>IFERROR(__xludf.DUMMYFUNCTION("""COMPUTED_VALUE"""),88.8888888888889)</f>
        <v>88.88888889</v>
      </c>
      <c r="V74" s="47">
        <f>IFERROR(__xludf.DUMMYFUNCTION("""COMPUTED_VALUE"""),1.6)</f>
        <v>1.6</v>
      </c>
      <c r="W74" s="46">
        <f>IFERROR(__xludf.DUMMYFUNCTION("""COMPUTED_VALUE"""),0.6645556798062328)</f>
        <v>0.6645556798</v>
      </c>
      <c r="X74" s="46">
        <f>IFERROR(__xludf.DUMMYFUNCTION("""COMPUTED_VALUE"""),2.215803093609473)</f>
        <v>2.215803094</v>
      </c>
      <c r="Y74" s="46">
        <f>IFERROR(__xludf.DUMMYFUNCTION("""COMPUTED_VALUE"""),-0.8761713830488173)</f>
        <v>-0.876171383</v>
      </c>
      <c r="Z74" s="46">
        <f>IFERROR(__xludf.DUMMYFUNCTION("""COMPUTED_VALUE"""),-0.7364755297862564)</f>
        <v>-0.7364755298</v>
      </c>
      <c r="AA74" s="46">
        <f>IFERROR(__xludf.DUMMYFUNCTION("""COMPUTED_VALUE"""),-0.860570275155411)</f>
        <v>-0.8605702752</v>
      </c>
      <c r="AB74" s="46">
        <f>IFERROR(__xludf.DUMMYFUNCTION("""COMPUTED_VALUE"""),-0.2643825572058105)</f>
        <v>-0.2643825572</v>
      </c>
      <c r="AC74" s="46">
        <f>IFERROR(__xludf.DUMMYFUNCTION("""COMPUTED_VALUE"""),-1.1272419897932755)</f>
        <v>-1.12724199</v>
      </c>
      <c r="AD74" s="46">
        <f>IFERROR(__xludf.DUMMYFUNCTION("""COMPUTED_VALUE"""),0.44400304999151435)</f>
        <v>0.44400305</v>
      </c>
      <c r="AE74" s="46">
        <f>IFERROR(__xludf.DUMMYFUNCTION("""COMPUTED_VALUE"""),0.12252921841013387)</f>
        <v>0.1225292184</v>
      </c>
    </row>
    <row r="75">
      <c r="A75" s="6" t="str">
        <f>IF(VLOOKUP(H75,'Paste #BBall'!$B$2:$N1001,3,)="BRO","BKN",IF(VLOOKUP(H75,'Paste #BBall'!$B$2:$N1001,3,)="OKL","OKC",VLOOKUP(H75,'Paste #BBall'!$B$2:$N1001,3,)))</f>
        <v>OKC</v>
      </c>
      <c r="B75" s="42">
        <f>VLOOKUP($A75,Schedule!$C$2:$G$31,2,0)</f>
        <v>4</v>
      </c>
      <c r="C75" s="42">
        <f>VLOOKUP($A75,Schedule!$C$2:$G$31,3,0)</f>
        <v>3</v>
      </c>
      <c r="D75" s="42">
        <f>VLOOKUP($A75,Schedule!$C$2:$G$31,4,0)</f>
        <v>3</v>
      </c>
      <c r="E75" s="42">
        <f t="shared" si="1"/>
        <v>10</v>
      </c>
      <c r="F75" s="51">
        <v>70.0</v>
      </c>
      <c r="G75" s="45">
        <f>IFERROR(__xludf.DUMMYFUNCTION("""COMPUTED_VALUE"""),61.0)</f>
        <v>61</v>
      </c>
      <c r="H75" s="45" t="str">
        <f>IFERROR(__xludf.DUMMYFUNCTION("""COMPUTED_VALUE"""),"Josh Giddey")</f>
        <v>Josh Giddey</v>
      </c>
      <c r="I75" s="45">
        <f>IFERROR(__xludf.DUMMYFUNCTION("""COMPUTED_VALUE"""),74.0)</f>
        <v>74</v>
      </c>
      <c r="J75" s="46" t="str">
        <f>IFERROR(__xludf.DUMMYFUNCTION("""COMPUTED_VALUE"""),"SG,SF,PF")</f>
        <v>SG,SF,PF</v>
      </c>
      <c r="K75" s="46">
        <f>IFERROR(__xludf.DUMMYFUNCTION("""COMPUTED_VALUE"""),-0.004844422007935556)</f>
        <v>-0.004844422008</v>
      </c>
      <c r="L75" s="46">
        <f>IFERROR(__xludf.DUMMYFUNCTION("""COMPUTED_VALUE"""),0.6965497428787317)</f>
        <v>0.6965497429</v>
      </c>
      <c r="M75" s="47">
        <f>IFERROR(__xludf.DUMMYFUNCTION("""COMPUTED_VALUE"""),0.7013941648866673)</f>
        <v>0.7013941649</v>
      </c>
      <c r="N75" s="47">
        <f>IFERROR(__xludf.DUMMYFUNCTION("""COMPUTED_VALUE"""),17.3)</f>
        <v>17.3</v>
      </c>
      <c r="O75" s="47">
        <f>IFERROR(__xludf.DUMMYFUNCTION("""COMPUTED_VALUE"""),1.1)</f>
        <v>1.1</v>
      </c>
      <c r="P75" s="47">
        <f>IFERROR(__xludf.DUMMYFUNCTION("""COMPUTED_VALUE"""),8.1)</f>
        <v>8.1</v>
      </c>
      <c r="Q75" s="48">
        <f>IFERROR(__xludf.DUMMYFUNCTION("""COMPUTED_VALUE"""),6.5)</f>
        <v>6.5</v>
      </c>
      <c r="R75" s="47">
        <f>IFERROR(__xludf.DUMMYFUNCTION("""COMPUTED_VALUE"""),0.9)</f>
        <v>0.9</v>
      </c>
      <c r="S75" s="47">
        <f>IFERROR(__xludf.DUMMYFUNCTION("""COMPUTED_VALUE"""),0.4)</f>
        <v>0.4</v>
      </c>
      <c r="T75" s="47">
        <f>IFERROR(__xludf.DUMMYFUNCTION("""COMPUTED_VALUE"""),47.77070063694268)</f>
        <v>47.77070064</v>
      </c>
      <c r="U75" s="47">
        <f>IFERROR(__xludf.DUMMYFUNCTION("""COMPUTED_VALUE"""),72.22222222222221)</f>
        <v>72.22222222</v>
      </c>
      <c r="V75" s="47">
        <f>IFERROR(__xludf.DUMMYFUNCTION("""COMPUTED_VALUE"""),3.0)</f>
        <v>3</v>
      </c>
      <c r="W75" s="46">
        <f>IFERROR(__xludf.DUMMYFUNCTION("""COMPUTED_VALUE"""),0.007302809668200307)</f>
        <v>0.007302809668</v>
      </c>
      <c r="X75" s="46">
        <f>IFERROR(__xludf.DUMMYFUNCTION("""COMPUTED_VALUE"""),-0.472296145963719)</f>
        <v>-0.472296146</v>
      </c>
      <c r="Y75" s="46">
        <f>IFERROR(__xludf.DUMMYFUNCTION("""COMPUTED_VALUE"""),0.838258781046069)</f>
        <v>0.838258781</v>
      </c>
      <c r="Z75" s="46">
        <f>IFERROR(__xludf.DUMMYFUNCTION("""COMPUTED_VALUE"""),1.3546253511858)</f>
        <v>1.354625351</v>
      </c>
      <c r="AA75" s="46">
        <f>IFERROR(__xludf.DUMMYFUNCTION("""COMPUTED_VALUE"""),-0.2064205727568726)</f>
        <v>-0.2064205728</v>
      </c>
      <c r="AB75" s="46">
        <f>IFERROR(__xludf.DUMMYFUNCTION("""COMPUTED_VALUE"""),-0.39569839687757064)</f>
        <v>-0.3956983969</v>
      </c>
      <c r="AC75" s="46">
        <f>IFERROR(__xludf.DUMMYFUNCTION("""COMPUTED_VALUE"""),-0.2866298438886661)</f>
        <v>-0.2866298439</v>
      </c>
      <c r="AD75" s="46">
        <f>IFERROR(__xludf.DUMMYFUNCTION("""COMPUTED_VALUE"""),-0.3027700386021432)</f>
        <v>-0.3027700386</v>
      </c>
      <c r="AE75" s="46">
        <f>IFERROR(__xludf.DUMMYFUNCTION("""COMPUTED_VALUE"""),-0.31211834689608486)</f>
        <v>-0.3121183469</v>
      </c>
    </row>
    <row r="76">
      <c r="A76" s="6" t="str">
        <f>IF(VLOOKUP(H76,'Paste #BBall'!$B$2:$N1001,3,)="BRO","BKN",IF(VLOOKUP(H76,'Paste #BBall'!$B$2:$N1001,3,)="OKL","OKC",VLOOKUP(H76,'Paste #BBall'!$B$2:$N1001,3,)))</f>
        <v>NO</v>
      </c>
      <c r="B76" s="42">
        <f>VLOOKUP($A76,Schedule!$C$2:$G$31,2,0)</f>
        <v>3</v>
      </c>
      <c r="C76" s="42">
        <f>VLOOKUP($A76,Schedule!$C$2:$G$31,3,0)</f>
        <v>3</v>
      </c>
      <c r="D76" s="42">
        <f>VLOOKUP($A76,Schedule!$C$2:$G$31,4,0)</f>
        <v>4</v>
      </c>
      <c r="E76" s="42">
        <f t="shared" si="1"/>
        <v>10</v>
      </c>
      <c r="F76" s="43">
        <v>71.0</v>
      </c>
      <c r="G76" s="45">
        <f>IFERROR(__xludf.DUMMYFUNCTION("""COMPUTED_VALUE"""),73.0)</f>
        <v>73</v>
      </c>
      <c r="H76" s="45" t="str">
        <f>IFERROR(__xludf.DUMMYFUNCTION("""COMPUTED_VALUE"""),"CJ McCollum")</f>
        <v>CJ McCollum</v>
      </c>
      <c r="I76" s="45">
        <f>IFERROR(__xludf.DUMMYFUNCTION("""COMPUTED_VALUE"""),72.0)</f>
        <v>72</v>
      </c>
      <c r="J76" s="46" t="str">
        <f>IFERROR(__xludf.DUMMYFUNCTION("""COMPUTED_VALUE"""),"PG,SG")</f>
        <v>PG,SG</v>
      </c>
      <c r="K76" s="46">
        <f>IFERROR(__xludf.DUMMYFUNCTION("""COMPUTED_VALUE"""),-0.4721888113577693)</f>
        <v>-0.4721888114</v>
      </c>
      <c r="L76" s="46">
        <f>IFERROR(__xludf.DUMMYFUNCTION("""COMPUTED_VALUE"""),0.6355646940724191)</f>
        <v>0.6355646941</v>
      </c>
      <c r="M76" s="47">
        <f>IFERROR(__xludf.DUMMYFUNCTION("""COMPUTED_VALUE"""),1.1077535054301884)</f>
        <v>1.107753505</v>
      </c>
      <c r="N76" s="47">
        <f>IFERROR(__xludf.DUMMYFUNCTION("""COMPUTED_VALUE"""),20.5)</f>
        <v>20.5</v>
      </c>
      <c r="O76" s="47">
        <f>IFERROR(__xludf.DUMMYFUNCTION("""COMPUTED_VALUE"""),2.7)</f>
        <v>2.7</v>
      </c>
      <c r="P76" s="47">
        <f>IFERROR(__xludf.DUMMYFUNCTION("""COMPUTED_VALUE"""),4.2)</f>
        <v>4.2</v>
      </c>
      <c r="Q76" s="48">
        <f>IFERROR(__xludf.DUMMYFUNCTION("""COMPUTED_VALUE"""),5.2)</f>
        <v>5.2</v>
      </c>
      <c r="R76" s="47">
        <f>IFERROR(__xludf.DUMMYFUNCTION("""COMPUTED_VALUE"""),1.0)</f>
        <v>1</v>
      </c>
      <c r="S76" s="47">
        <f>IFERROR(__xludf.DUMMYFUNCTION("""COMPUTED_VALUE"""),0.4)</f>
        <v>0.4</v>
      </c>
      <c r="T76" s="47">
        <f>IFERROR(__xludf.DUMMYFUNCTION("""COMPUTED_VALUE"""),44.57142857142857)</f>
        <v>44.57142857</v>
      </c>
      <c r="U76" s="47">
        <f>IFERROR(__xludf.DUMMYFUNCTION("""COMPUTED_VALUE"""),75.00000000000001)</f>
        <v>75</v>
      </c>
      <c r="V76" s="47">
        <f>IFERROR(__xludf.DUMMYFUNCTION("""COMPUTED_VALUE"""),2.2)</f>
        <v>2.2</v>
      </c>
      <c r="W76" s="46">
        <f>IFERROR(__xludf.DUMMYFUNCTION("""COMPUTED_VALUE"""),0.5465872159353039)</f>
        <v>0.5465872159</v>
      </c>
      <c r="X76" s="46">
        <f>IFERROR(__xludf.DUMMYFUNCTION("""COMPUTED_VALUE"""),0.9151099131708318)</f>
        <v>0.9151099132</v>
      </c>
      <c r="Y76" s="46">
        <f>IFERROR(__xludf.DUMMYFUNCTION("""COMPUTED_VALUE"""),-0.7925406433368716)</f>
        <v>-0.7925406433</v>
      </c>
      <c r="Z76" s="46">
        <f>IFERROR(__xludf.DUMMYFUNCTION("""COMPUTED_VALUE"""),0.6915933645361237)</f>
        <v>0.6915933645</v>
      </c>
      <c r="AA76" s="46">
        <f>IFERROR(__xludf.DUMMYFUNCTION("""COMPUTED_VALUE"""),0.011629328042640127)</f>
        <v>0.01162932804</v>
      </c>
      <c r="AB76" s="46">
        <f>IFERROR(__xludf.DUMMYFUNCTION("""COMPUTED_VALUE"""),-0.39569839687757064)</f>
        <v>-0.3956983969</v>
      </c>
      <c r="AC76" s="46">
        <f>IFERROR(__xludf.DUMMYFUNCTION("""COMPUTED_VALUE"""),-0.8787290366207401)</f>
        <v>-0.8787290366</v>
      </c>
      <c r="AD76" s="46">
        <f>IFERROR(__xludf.DUMMYFUNCTION("""COMPUTED_VALUE"""),-0.2773677778197922)</f>
        <v>-0.2773677778</v>
      </c>
      <c r="AE76" s="46">
        <f>IFERROR(__xludf.DUMMYFUNCTION("""COMPUTED_VALUE"""),-0.06374830957824563)</f>
        <v>-0.06374830958</v>
      </c>
    </row>
    <row r="77">
      <c r="A77" s="6" t="str">
        <f>IF(VLOOKUP(H77,'Paste #BBall'!$B$2:$N1001,3,)="BRO","BKN",IF(VLOOKUP(H77,'Paste #BBall'!$B$2:$N1001,3,)="OKL","OKC",VLOOKUP(H77,'Paste #BBall'!$B$2:$N1001,3,)))</f>
        <v>CHA</v>
      </c>
      <c r="B77" s="42">
        <f>VLOOKUP($A77,Schedule!$C$2:$G$31,2,0)</f>
        <v>3</v>
      </c>
      <c r="C77" s="42">
        <f>VLOOKUP($A77,Schedule!$C$2:$G$31,3,0)</f>
        <v>4</v>
      </c>
      <c r="D77" s="42">
        <f>VLOOKUP($A77,Schedule!$C$2:$G$31,4,0)</f>
        <v>2</v>
      </c>
      <c r="E77" s="42">
        <f t="shared" si="1"/>
        <v>9</v>
      </c>
      <c r="F77" s="51">
        <v>72.0</v>
      </c>
      <c r="G77" s="45">
        <f>IFERROR(__xludf.DUMMYFUNCTION("""COMPUTED_VALUE"""),85.0)</f>
        <v>85</v>
      </c>
      <c r="H77" s="45" t="str">
        <f>IFERROR(__xludf.DUMMYFUNCTION("""COMPUTED_VALUE"""),"Mark Williams")</f>
        <v>Mark Williams</v>
      </c>
      <c r="I77" s="45">
        <f>IFERROR(__xludf.DUMMYFUNCTION("""COMPUTED_VALUE"""),70.0)</f>
        <v>70</v>
      </c>
      <c r="J77" s="46" t="str">
        <f>IFERROR(__xludf.DUMMYFUNCTION("""COMPUTED_VALUE"""),"C")</f>
        <v>C</v>
      </c>
      <c r="K77" s="46">
        <f>IFERROR(__xludf.DUMMYFUNCTION("""COMPUTED_VALUE"""),-1.0279423701134938)</f>
        <v>-1.02794237</v>
      </c>
      <c r="L77" s="46">
        <f>IFERROR(__xludf.DUMMYFUNCTION("""COMPUTED_VALUE"""),0.6235352476181801)</f>
        <v>0.6235352476</v>
      </c>
      <c r="M77" s="47">
        <f>IFERROR(__xludf.DUMMYFUNCTION("""COMPUTED_VALUE"""),1.651477617731674)</f>
        <v>1.651477618</v>
      </c>
      <c r="N77" s="47">
        <f>IFERROR(__xludf.DUMMYFUNCTION("""COMPUTED_VALUE"""),12.6)</f>
        <v>12.6</v>
      </c>
      <c r="O77" s="47">
        <f>IFERROR(__xludf.DUMMYFUNCTION("""COMPUTED_VALUE"""),0.0)</f>
        <v>0</v>
      </c>
      <c r="P77" s="47">
        <f>IFERROR(__xludf.DUMMYFUNCTION("""COMPUTED_VALUE"""),9.9)</f>
        <v>9.9</v>
      </c>
      <c r="Q77" s="48">
        <f>IFERROR(__xludf.DUMMYFUNCTION("""COMPUTED_VALUE"""),0.6)</f>
        <v>0.6</v>
      </c>
      <c r="R77" s="47">
        <f>IFERROR(__xludf.DUMMYFUNCTION("""COMPUTED_VALUE"""),0.9)</f>
        <v>0.9</v>
      </c>
      <c r="S77" s="47">
        <f>IFERROR(__xludf.DUMMYFUNCTION("""COMPUTED_VALUE"""),1.4)</f>
        <v>1.4</v>
      </c>
      <c r="T77" s="47">
        <f>IFERROR(__xludf.DUMMYFUNCTION("""COMPUTED_VALUE"""),63.41463414634148)</f>
        <v>63.41463415</v>
      </c>
      <c r="U77" s="47">
        <f>IFERROR(__xludf.DUMMYFUNCTION("""COMPUTED_VALUE"""),68.75)</f>
        <v>68.75</v>
      </c>
      <c r="V77" s="47">
        <f>IFERROR(__xludf.DUMMYFUNCTION("""COMPUTED_VALUE"""),1.3)</f>
        <v>1.3</v>
      </c>
      <c r="W77" s="46">
        <f>IFERROR(__xludf.DUMMYFUNCTION("""COMPUTED_VALUE"""),-0.7847711620366085)</f>
        <v>-0.784771162</v>
      </c>
      <c r="X77" s="46">
        <f>IFERROR(__xludf.DUMMYFUNCTION("""COMPUTED_VALUE"""),-1.4261378116187227)</f>
        <v>-1.426137812</v>
      </c>
      <c r="Y77" s="46">
        <f>IFERROR(__xludf.DUMMYFUNCTION("""COMPUTED_VALUE"""),1.5909354384535805)</f>
        <v>1.590935438</v>
      </c>
      <c r="Z77" s="46">
        <f>IFERROR(__xludf.DUMMYFUNCTION("""COMPUTED_VALUE"""),-1.6545198189935006)</f>
        <v>-1.654519819</v>
      </c>
      <c r="AA77" s="46">
        <f>IFERROR(__xludf.DUMMYFUNCTION("""COMPUTED_VALUE"""),-0.2064205727568726)</f>
        <v>-0.2064205728</v>
      </c>
      <c r="AB77" s="46">
        <f>IFERROR(__xludf.DUMMYFUNCTION("""COMPUTED_VALUE"""),0.9174599998400302)</f>
        <v>0.9174599998</v>
      </c>
      <c r="AC77" s="46">
        <f>IFERROR(__xludf.DUMMYFUNCTION("""COMPUTED_VALUE"""),1.131641845141318)</f>
        <v>1.131641845</v>
      </c>
      <c r="AD77" s="46">
        <f>IFERROR(__xludf.DUMMYFUNCTION("""COMPUTED_VALUE"""),-0.8148404718088682)</f>
        <v>-0.8148404718</v>
      </c>
      <c r="AE77" s="46">
        <f>IFERROR(__xludf.DUMMYFUNCTION("""COMPUTED_VALUE"""),0.2156679824043236)</f>
        <v>0.2156679824</v>
      </c>
    </row>
    <row r="78">
      <c r="A78" s="6" t="str">
        <f>IF(VLOOKUP(H78,'Paste #BBall'!$B$2:$N1001,3,)="BRO","BKN",IF(VLOOKUP(H78,'Paste #BBall'!$B$2:$N1001,3,)="OKL","OKC",VLOOKUP(H78,'Paste #BBall'!$B$2:$N1001,3,)))</f>
        <v>MIL</v>
      </c>
      <c r="B78" s="42">
        <f>VLOOKUP($A78,Schedule!$C$2:$G$31,2,0)</f>
        <v>4</v>
      </c>
      <c r="C78" s="42">
        <f>VLOOKUP($A78,Schedule!$C$2:$G$31,3,0)</f>
        <v>3</v>
      </c>
      <c r="D78" s="42">
        <f>VLOOKUP($A78,Schedule!$C$2:$G$31,4,0)</f>
        <v>3</v>
      </c>
      <c r="E78" s="42">
        <f t="shared" si="1"/>
        <v>10</v>
      </c>
      <c r="F78" s="43">
        <v>73.0</v>
      </c>
      <c r="G78" s="45">
        <f>IFERROR(__xludf.DUMMYFUNCTION("""COMPUTED_VALUE"""),55.0)</f>
        <v>55</v>
      </c>
      <c r="H78" s="45" t="str">
        <f>IFERROR(__xludf.DUMMYFUNCTION("""COMPUTED_VALUE"""),"Khris Middleton")</f>
        <v>Khris Middleton</v>
      </c>
      <c r="I78" s="45">
        <f>IFERROR(__xludf.DUMMYFUNCTION("""COMPUTED_VALUE"""),65.0)</f>
        <v>65</v>
      </c>
      <c r="J78" s="46" t="str">
        <f>IFERROR(__xludf.DUMMYFUNCTION("""COMPUTED_VALUE"""),"SF,PF")</f>
        <v>SF,PF</v>
      </c>
      <c r="K78" s="46">
        <f>IFERROR(__xludf.DUMMYFUNCTION("""COMPUTED_VALUE"""),0.17016415538602003)</f>
        <v>0.1701641554</v>
      </c>
      <c r="L78" s="46">
        <f>IFERROR(__xludf.DUMMYFUNCTION("""COMPUTED_VALUE"""),0.6058181685500269)</f>
        <v>0.6058181686</v>
      </c>
      <c r="M78" s="47">
        <f>IFERROR(__xludf.DUMMYFUNCTION("""COMPUTED_VALUE"""),0.43565401316400687)</f>
        <v>0.4356540132</v>
      </c>
      <c r="N78" s="47">
        <f>IFERROR(__xludf.DUMMYFUNCTION("""COMPUTED_VALUE"""),17.6)</f>
        <v>17.6</v>
      </c>
      <c r="O78" s="47">
        <f>IFERROR(__xludf.DUMMYFUNCTION("""COMPUTED_VALUE"""),2.0)</f>
        <v>2</v>
      </c>
      <c r="P78" s="47">
        <f>IFERROR(__xludf.DUMMYFUNCTION("""COMPUTED_VALUE"""),4.9)</f>
        <v>4.9</v>
      </c>
      <c r="Q78" s="48">
        <f>IFERROR(__xludf.DUMMYFUNCTION("""COMPUTED_VALUE"""),4.1)</f>
        <v>4.1</v>
      </c>
      <c r="R78" s="47">
        <f>IFERROR(__xludf.DUMMYFUNCTION("""COMPUTED_VALUE"""),1.1)</f>
        <v>1.1</v>
      </c>
      <c r="S78" s="47">
        <f>IFERROR(__xludf.DUMMYFUNCTION("""COMPUTED_VALUE"""),0.3)</f>
        <v>0.3</v>
      </c>
      <c r="T78" s="47">
        <f>IFERROR(__xludf.DUMMYFUNCTION("""COMPUTED_VALUE"""),45.0)</f>
        <v>45</v>
      </c>
      <c r="U78" s="47">
        <f>IFERROR(__xludf.DUMMYFUNCTION("""COMPUTED_VALUE"""),91.1764705882353)</f>
        <v>91.17647059</v>
      </c>
      <c r="V78" s="47">
        <f>IFERROR(__xludf.DUMMYFUNCTION("""COMPUTED_VALUE"""),2.4)</f>
        <v>2.4</v>
      </c>
      <c r="W78" s="46">
        <f>IFERROR(__xludf.DUMMYFUNCTION("""COMPUTED_VALUE"""),0.0578607227557414)</f>
        <v>0.05786072276</v>
      </c>
      <c r="X78" s="46">
        <f>IFERROR(__xludf.DUMMYFUNCTION("""COMPUTED_VALUE"""),0.30811976229946575)</f>
        <v>0.3081197623</v>
      </c>
      <c r="Y78" s="46">
        <f>IFERROR(__xludf.DUMMYFUNCTION("""COMPUTED_VALUE"""),-0.4998330543450616)</f>
        <v>-0.4998330543</v>
      </c>
      <c r="Z78" s="46">
        <f>IFERROR(__xludf.DUMMYFUNCTION("""COMPUTED_VALUE"""),0.1305662989094742)</f>
        <v>0.1305662989</v>
      </c>
      <c r="AA78" s="46">
        <f>IFERROR(__xludf.DUMMYFUNCTION("""COMPUTED_VALUE"""),0.22967922884215308)</f>
        <v>0.2296792288</v>
      </c>
      <c r="AB78" s="46">
        <f>IFERROR(__xludf.DUMMYFUNCTION("""COMPUTED_VALUE"""),-0.5270142365493308)</f>
        <v>-0.5270142365</v>
      </c>
      <c r="AC78" s="46">
        <f>IFERROR(__xludf.DUMMYFUNCTION("""COMPUTED_VALUE"""),-0.6430513275430497)</f>
        <v>-0.6430513275</v>
      </c>
      <c r="AD78" s="46">
        <f>IFERROR(__xludf.DUMMYFUNCTION("""COMPUTED_VALUE"""),1.0322802655452903)</f>
        <v>1.032280266</v>
      </c>
      <c r="AE78" s="46">
        <f>IFERROR(__xludf.DUMMYFUNCTION("""COMPUTED_VALUE"""),-0.12584081890770538)</f>
        <v>-0.1258408189</v>
      </c>
    </row>
    <row r="79">
      <c r="A79" s="6" t="str">
        <f>IF(VLOOKUP(H79,'Paste #BBall'!$B$2:$N1001,3,)="BRO","BKN",IF(VLOOKUP(H79,'Paste #BBall'!$B$2:$N1001,3,)="OKL","OKC",VLOOKUP(H79,'Paste #BBall'!$B$2:$N1001,3,)))</f>
        <v>MIN</v>
      </c>
      <c r="B79" s="42">
        <f>VLOOKUP($A79,Schedule!$C$2:$G$31,2,0)</f>
        <v>4</v>
      </c>
      <c r="C79" s="42">
        <f>VLOOKUP($A79,Schedule!$C$2:$G$31,3,0)</f>
        <v>2</v>
      </c>
      <c r="D79" s="42">
        <f>VLOOKUP($A79,Schedule!$C$2:$G$31,4,0)</f>
        <v>4</v>
      </c>
      <c r="E79" s="42">
        <f t="shared" si="1"/>
        <v>10</v>
      </c>
      <c r="F79" s="51">
        <v>74.0</v>
      </c>
      <c r="G79" s="45">
        <f>IFERROR(__xludf.DUMMYFUNCTION("""COMPUTED_VALUE"""),91.0)</f>
        <v>91</v>
      </c>
      <c r="H79" s="45" t="str">
        <f>IFERROR(__xludf.DUMMYFUNCTION("""COMPUTED_VALUE"""),"Rudy Gobert")</f>
        <v>Rudy Gobert</v>
      </c>
      <c r="I79" s="45">
        <f>IFERROR(__xludf.DUMMYFUNCTION("""COMPUTED_VALUE"""),68.0)</f>
        <v>68</v>
      </c>
      <c r="J79" s="46" t="str">
        <f>IFERROR(__xludf.DUMMYFUNCTION("""COMPUTED_VALUE"""),"C")</f>
        <v>C</v>
      </c>
      <c r="K79" s="46">
        <f>IFERROR(__xludf.DUMMYFUNCTION("""COMPUTED_VALUE"""),-1.3201981517384154)</f>
        <v>-1.320198152</v>
      </c>
      <c r="L79" s="46">
        <f>IFERROR(__xludf.DUMMYFUNCTION("""COMPUTED_VALUE"""),0.5949515346794312)</f>
        <v>0.5949515347</v>
      </c>
      <c r="M79" s="47">
        <f>IFERROR(__xludf.DUMMYFUNCTION("""COMPUTED_VALUE"""),1.9151496864178466)</f>
        <v>1.915149686</v>
      </c>
      <c r="N79" s="47">
        <f>IFERROR(__xludf.DUMMYFUNCTION("""COMPUTED_VALUE"""),13.5)</f>
        <v>13.5</v>
      </c>
      <c r="O79" s="47">
        <f>IFERROR(__xludf.DUMMYFUNCTION("""COMPUTED_VALUE"""),0.0)</f>
        <v>0</v>
      </c>
      <c r="P79" s="47">
        <f>IFERROR(__xludf.DUMMYFUNCTION("""COMPUTED_VALUE"""),11.5)</f>
        <v>11.5</v>
      </c>
      <c r="Q79" s="48">
        <f>IFERROR(__xludf.DUMMYFUNCTION("""COMPUTED_VALUE"""),1.1)</f>
        <v>1.1</v>
      </c>
      <c r="R79" s="47">
        <f>IFERROR(__xludf.DUMMYFUNCTION("""COMPUTED_VALUE"""),0.7)</f>
        <v>0.7</v>
      </c>
      <c r="S79" s="47">
        <f>IFERROR(__xludf.DUMMYFUNCTION("""COMPUTED_VALUE"""),1.4)</f>
        <v>1.4</v>
      </c>
      <c r="T79" s="47">
        <f>IFERROR(__xludf.DUMMYFUNCTION("""COMPUTED_VALUE"""),69.44444444444444)</f>
        <v>69.44444444</v>
      </c>
      <c r="U79" s="47">
        <f>IFERROR(__xludf.DUMMYFUNCTION("""COMPUTED_VALUE"""),66.66666666666666)</f>
        <v>66.66666667</v>
      </c>
      <c r="V79" s="47">
        <f>IFERROR(__xludf.DUMMYFUNCTION("""COMPUTED_VALUE"""),1.7)</f>
        <v>1.7</v>
      </c>
      <c r="W79" s="46">
        <f>IFERROR(__xludf.DUMMYFUNCTION("""COMPUTED_VALUE"""),-0.6330974227739855)</f>
        <v>-0.6330974228</v>
      </c>
      <c r="X79" s="46">
        <f>IFERROR(__xludf.DUMMYFUNCTION("""COMPUTED_VALUE"""),-1.4261378116187227)</f>
        <v>-1.426137812</v>
      </c>
      <c r="Y79" s="46">
        <f>IFERROR(__xludf.DUMMYFUNCTION("""COMPUTED_VALUE"""),2.259981356149146)</f>
        <v>2.259981356</v>
      </c>
      <c r="Z79" s="46">
        <f>IFERROR(__xludf.DUMMYFUNCTION("""COMPUTED_VALUE"""),-1.3995075164359327)</f>
        <v>-1.399507516</v>
      </c>
      <c r="AA79" s="46">
        <f>IFERROR(__xludf.DUMMYFUNCTION("""COMPUTED_VALUE"""),-0.6425203743558983)</f>
        <v>-0.6425203744</v>
      </c>
      <c r="AB79" s="46">
        <f>IFERROR(__xludf.DUMMYFUNCTION("""COMPUTED_VALUE"""),0.9174599998400302)</f>
        <v>0.9174599998</v>
      </c>
      <c r="AC79" s="46">
        <f>IFERROR(__xludf.DUMMYFUNCTION("""COMPUTED_VALUE"""),1.42729034012939)</f>
        <v>1.42729034</v>
      </c>
      <c r="AD79" s="46">
        <f>IFERROR(__xludf.DUMMYFUNCTION("""COMPUTED_VALUE"""),-1.6550832044000867)</f>
        <v>-1.655083204</v>
      </c>
      <c r="AE79" s="46">
        <f>IFERROR(__xludf.DUMMYFUNCTION("""COMPUTED_VALUE"""),0.09148296374540399)</f>
        <v>0.09148296375</v>
      </c>
    </row>
    <row r="80">
      <c r="A80" s="6" t="str">
        <f>IF(VLOOKUP(H80,'Paste #BBall'!$B$2:$N1001,3,)="BRO","BKN",IF(VLOOKUP(H80,'Paste #BBall'!$B$2:$N1001,3,)="OKL","OKC",VLOOKUP(H80,'Paste #BBall'!$B$2:$N1001,3,)))</f>
        <v>ORL</v>
      </c>
      <c r="B80" s="42">
        <f>VLOOKUP($A80,Schedule!$C$2:$G$31,2,0)</f>
        <v>4</v>
      </c>
      <c r="C80" s="42">
        <f>VLOOKUP($A80,Schedule!$C$2:$G$31,3,0)</f>
        <v>3</v>
      </c>
      <c r="D80" s="42">
        <f>VLOOKUP($A80,Schedule!$C$2:$G$31,4,0)</f>
        <v>3</v>
      </c>
      <c r="E80" s="42">
        <f t="shared" si="1"/>
        <v>10</v>
      </c>
      <c r="F80" s="51">
        <v>75.0</v>
      </c>
      <c r="G80" s="45">
        <f>IFERROR(__xludf.DUMMYFUNCTION("""COMPUTED_VALUE"""),69.0)</f>
        <v>69</v>
      </c>
      <c r="H80" s="45" t="str">
        <f>IFERROR(__xludf.DUMMYFUNCTION("""COMPUTED_VALUE"""),"Markelle Fultz")</f>
        <v>Markelle Fultz</v>
      </c>
      <c r="I80" s="45">
        <f>IFERROR(__xludf.DUMMYFUNCTION("""COMPUTED_VALUE"""),60.0)</f>
        <v>60</v>
      </c>
      <c r="J80" s="46" t="str">
        <f>IFERROR(__xludf.DUMMYFUNCTION("""COMPUTED_VALUE"""),"PG,SG")</f>
        <v>PG,SG</v>
      </c>
      <c r="K80" s="46">
        <f>IFERROR(__xludf.DUMMYFUNCTION("""COMPUTED_VALUE"""),-0.33309018875855173)</f>
        <v>-0.3330901888</v>
      </c>
      <c r="L80" s="46">
        <f>IFERROR(__xludf.DUMMYFUNCTION("""COMPUTED_VALUE"""),0.5021711334249961)</f>
        <v>0.5021711334</v>
      </c>
      <c r="M80" s="47">
        <f>IFERROR(__xludf.DUMMYFUNCTION("""COMPUTED_VALUE"""),0.8352613221835479)</f>
        <v>0.8352613222</v>
      </c>
      <c r="N80" s="47">
        <f>IFERROR(__xludf.DUMMYFUNCTION("""COMPUTED_VALUE"""),14.4)</f>
        <v>14.4</v>
      </c>
      <c r="O80" s="47">
        <f>IFERROR(__xludf.DUMMYFUNCTION("""COMPUTED_VALUE"""),0.4)</f>
        <v>0.4</v>
      </c>
      <c r="P80" s="47">
        <f>IFERROR(__xludf.DUMMYFUNCTION("""COMPUTED_VALUE"""),4.0)</f>
        <v>4</v>
      </c>
      <c r="Q80" s="48">
        <f>IFERROR(__xludf.DUMMYFUNCTION("""COMPUTED_VALUE"""),6.2)</f>
        <v>6.2</v>
      </c>
      <c r="R80" s="47">
        <f>IFERROR(__xludf.DUMMYFUNCTION("""COMPUTED_VALUE"""),1.5)</f>
        <v>1.5</v>
      </c>
      <c r="S80" s="47">
        <f>IFERROR(__xludf.DUMMYFUNCTION("""COMPUTED_VALUE"""),0.4)</f>
        <v>0.4</v>
      </c>
      <c r="T80" s="47">
        <f>IFERROR(__xludf.DUMMYFUNCTION("""COMPUTED_VALUE"""),50.42016806722689)</f>
        <v>50.42016807</v>
      </c>
      <c r="U80" s="47">
        <f>IFERROR(__xludf.DUMMYFUNCTION("""COMPUTED_VALUE"""),79.16666666666666)</f>
        <v>79.16666667</v>
      </c>
      <c r="V80" s="47">
        <f>IFERROR(__xludf.DUMMYFUNCTION("""COMPUTED_VALUE"""),2.5)</f>
        <v>2.5</v>
      </c>
      <c r="W80" s="46">
        <f>IFERROR(__xludf.DUMMYFUNCTION("""COMPUTED_VALUE"""),-0.4814236835113625)</f>
        <v>-0.4814236835</v>
      </c>
      <c r="X80" s="46">
        <f>IFERROR(__xludf.DUMMYFUNCTION("""COMPUTED_VALUE"""),-1.079286296835085)</f>
        <v>-1.079286297</v>
      </c>
      <c r="Y80" s="46">
        <f>IFERROR(__xludf.DUMMYFUNCTION("""COMPUTED_VALUE"""),-0.8761713830488173)</f>
        <v>-0.876171383</v>
      </c>
      <c r="Z80" s="46">
        <f>IFERROR(__xludf.DUMMYFUNCTION("""COMPUTED_VALUE"""),1.2016179696512597)</f>
        <v>1.20161797</v>
      </c>
      <c r="AA80" s="46">
        <f>IFERROR(__xludf.DUMMYFUNCTION("""COMPUTED_VALUE"""),1.101878832040204)</f>
        <v>1.101878832</v>
      </c>
      <c r="AB80" s="46">
        <f>IFERROR(__xludf.DUMMYFUNCTION("""COMPUTED_VALUE"""),-0.39569839687757064)</f>
        <v>-0.3956983969</v>
      </c>
      <c r="AC80" s="46">
        <f>IFERROR(__xludf.DUMMYFUNCTION("""COMPUTED_VALUE"""),0.09767431543898845)</f>
        <v>0.09767431544</v>
      </c>
      <c r="AD80" s="46">
        <f>IFERROR(__xludf.DUMMYFUNCTION("""COMPUTED_VALUE"""),0.011180553304729612)</f>
        <v>0.0111805533</v>
      </c>
      <c r="AE80" s="46">
        <f>IFERROR(__xludf.DUMMYFUNCTION("""COMPUTED_VALUE"""),-0.1568870735724353)</f>
        <v>-0.1568870736</v>
      </c>
    </row>
    <row r="81">
      <c r="A81" s="6" t="str">
        <f>IF(VLOOKUP(H81,'Paste #BBall'!$B$2:$N1001,3,)="BRO","BKN",IF(VLOOKUP(H81,'Paste #BBall'!$B$2:$N1001,3,)="OKL","OKC",VLOOKUP(H81,'Paste #BBall'!$B$2:$N1001,3,)))</f>
        <v>NY</v>
      </c>
      <c r="B81" s="42">
        <f>VLOOKUP($A81,Schedule!$C$2:$G$31,2,0)</f>
        <v>3</v>
      </c>
      <c r="C81" s="42">
        <f>VLOOKUP($A81,Schedule!$C$2:$G$31,3,0)</f>
        <v>3</v>
      </c>
      <c r="D81" s="42">
        <f>VLOOKUP($A81,Schedule!$C$2:$G$31,4,0)</f>
        <v>3</v>
      </c>
      <c r="E81" s="42">
        <f t="shared" si="1"/>
        <v>9</v>
      </c>
      <c r="F81" s="43">
        <v>76.0</v>
      </c>
      <c r="G81" s="45">
        <f>IFERROR(__xludf.DUMMYFUNCTION("""COMPUTED_VALUE"""),71.0)</f>
        <v>71</v>
      </c>
      <c r="H81" s="45" t="str">
        <f>IFERROR(__xludf.DUMMYFUNCTION("""COMPUTED_VALUE"""),"Josh Hart")</f>
        <v>Josh Hart</v>
      </c>
      <c r="I81" s="45">
        <f>IFERROR(__xludf.DUMMYFUNCTION("""COMPUTED_VALUE"""),74.0)</f>
        <v>74</v>
      </c>
      <c r="J81" s="46" t="str">
        <f>IFERROR(__xludf.DUMMYFUNCTION("""COMPUTED_VALUE"""),"SG,SF")</f>
        <v>SG,SF</v>
      </c>
      <c r="K81" s="46">
        <f>IFERROR(__xludf.DUMMYFUNCTION("""COMPUTED_VALUE"""),-0.3660430236821618)</f>
        <v>-0.3660430237</v>
      </c>
      <c r="L81" s="46">
        <f>IFERROR(__xludf.DUMMYFUNCTION("""COMPUTED_VALUE"""),0.4982812236254099)</f>
        <v>0.4982812236</v>
      </c>
      <c r="M81" s="47">
        <f>IFERROR(__xludf.DUMMYFUNCTION("""COMPUTED_VALUE"""),0.8643242473075716)</f>
        <v>0.8643242473</v>
      </c>
      <c r="N81" s="47">
        <f>IFERROR(__xludf.DUMMYFUNCTION("""COMPUTED_VALUE"""),11.8)</f>
        <v>11.8</v>
      </c>
      <c r="O81" s="47">
        <f>IFERROR(__xludf.DUMMYFUNCTION("""COMPUTED_VALUE"""),1.0)</f>
        <v>1</v>
      </c>
      <c r="P81" s="47">
        <f>IFERROR(__xludf.DUMMYFUNCTION("""COMPUTED_VALUE"""),7.5)</f>
        <v>7.5</v>
      </c>
      <c r="Q81" s="48">
        <f>IFERROR(__xludf.DUMMYFUNCTION("""COMPUTED_VALUE"""),3.9)</f>
        <v>3.9</v>
      </c>
      <c r="R81" s="47">
        <f>IFERROR(__xludf.DUMMYFUNCTION("""COMPUTED_VALUE"""),1.4)</f>
        <v>1.4</v>
      </c>
      <c r="S81" s="47">
        <f>IFERROR(__xludf.DUMMYFUNCTION("""COMPUTED_VALUE"""),0.5)</f>
        <v>0.5</v>
      </c>
      <c r="T81" s="47">
        <f>IFERROR(__xludf.DUMMYFUNCTION("""COMPUTED_VALUE"""),51.80722891566264)</f>
        <v>51.80722892</v>
      </c>
      <c r="U81" s="47">
        <f>IFERROR(__xludf.DUMMYFUNCTION("""COMPUTED_VALUE"""),73.33333333333334)</f>
        <v>73.33333333</v>
      </c>
      <c r="V81" s="47">
        <f>IFERROR(__xludf.DUMMYFUNCTION("""COMPUTED_VALUE"""),1.8)</f>
        <v>1.8</v>
      </c>
      <c r="W81" s="46">
        <f>IFERROR(__xludf.DUMMYFUNCTION("""COMPUTED_VALUE"""),-0.9195922636033842)</f>
        <v>-0.9195922636</v>
      </c>
      <c r="X81" s="46">
        <f>IFERROR(__xludf.DUMMYFUNCTION("""COMPUTED_VALUE"""),-0.5590090246596284)</f>
        <v>-0.5590090247</v>
      </c>
      <c r="Y81" s="46">
        <f>IFERROR(__xludf.DUMMYFUNCTION("""COMPUTED_VALUE"""),0.5873665619102322)</f>
        <v>0.5873665619</v>
      </c>
      <c r="Z81" s="46">
        <f>IFERROR(__xludf.DUMMYFUNCTION("""COMPUTED_VALUE"""),0.02856137788644717)</f>
        <v>0.02856137789</v>
      </c>
      <c r="AA81" s="46">
        <f>IFERROR(__xludf.DUMMYFUNCTION("""COMPUTED_VALUE"""),0.883828931240691)</f>
        <v>0.8838289312</v>
      </c>
      <c r="AB81" s="46">
        <f>IFERROR(__xludf.DUMMYFUNCTION("""COMPUTED_VALUE"""),-0.2643825572058105)</f>
        <v>-0.2643825572</v>
      </c>
      <c r="AC81" s="46">
        <f>IFERROR(__xludf.DUMMYFUNCTION("""COMPUTED_VALUE"""),0.18312116875485832)</f>
        <v>0.1831211688</v>
      </c>
      <c r="AD81" s="46">
        <f>IFERROR(__xludf.DUMMYFUNCTION("""COMPUTED_VALUE"""),-0.4216419433820539)</f>
        <v>-0.4216419434</v>
      </c>
      <c r="AE81" s="46">
        <f>IFERROR(__xludf.DUMMYFUNCTION("""COMPUTED_VALUE"""),0.06043670908067405)</f>
        <v>0.06043670908</v>
      </c>
    </row>
    <row r="82">
      <c r="A82" s="6" t="str">
        <f>IF(VLOOKUP(H82,'Paste #BBall'!$B$2:$N1001,3,)="BRO","BKN",IF(VLOOKUP(H82,'Paste #BBall'!$B$2:$N1001,3,)="OKL","OKC",VLOOKUP(H82,'Paste #BBall'!$B$2:$N1001,3,)))</f>
        <v>ORL</v>
      </c>
      <c r="B82" s="42">
        <f>VLOOKUP($A82,Schedule!$C$2:$G$31,2,0)</f>
        <v>4</v>
      </c>
      <c r="C82" s="42">
        <f>VLOOKUP($A82,Schedule!$C$2:$G$31,3,0)</f>
        <v>3</v>
      </c>
      <c r="D82" s="42">
        <f>VLOOKUP($A82,Schedule!$C$2:$G$31,4,0)</f>
        <v>3</v>
      </c>
      <c r="E82" s="42">
        <f t="shared" si="1"/>
        <v>10</v>
      </c>
      <c r="F82" s="51">
        <v>77.0</v>
      </c>
      <c r="G82" s="45">
        <f>IFERROR(__xludf.DUMMYFUNCTION("""COMPUTED_VALUE"""),64.0)</f>
        <v>64</v>
      </c>
      <c r="H82" s="45" t="str">
        <f>IFERROR(__xludf.DUMMYFUNCTION("""COMPUTED_VALUE"""),"Franz Wagner")</f>
        <v>Franz Wagner</v>
      </c>
      <c r="I82" s="45">
        <f>IFERROR(__xludf.DUMMYFUNCTION("""COMPUTED_VALUE"""),78.0)</f>
        <v>78</v>
      </c>
      <c r="J82" s="46" t="str">
        <f>IFERROR(__xludf.DUMMYFUNCTION("""COMPUTED_VALUE"""),"SG,SF,PF")</f>
        <v>SG,SF,PF</v>
      </c>
      <c r="K82" s="46">
        <f>IFERROR(__xludf.DUMMYFUNCTION("""COMPUTED_VALUE"""),-0.07416612134772715)</f>
        <v>-0.07416612135</v>
      </c>
      <c r="L82" s="46">
        <f>IFERROR(__xludf.DUMMYFUNCTION("""COMPUTED_VALUE"""),0.49466799302750597)</f>
        <v>0.494667993</v>
      </c>
      <c r="M82" s="47">
        <f>IFERROR(__xludf.DUMMYFUNCTION("""COMPUTED_VALUE"""),0.5688341143752331)</f>
        <v>0.5688341144</v>
      </c>
      <c r="N82" s="47">
        <f>IFERROR(__xludf.DUMMYFUNCTION("""COMPUTED_VALUE"""),18.8)</f>
        <v>18.8</v>
      </c>
      <c r="O82" s="47">
        <f>IFERROR(__xludf.DUMMYFUNCTION("""COMPUTED_VALUE"""),1.7)</f>
        <v>1.7</v>
      </c>
      <c r="P82" s="47">
        <f>IFERROR(__xludf.DUMMYFUNCTION("""COMPUTED_VALUE"""),4.6)</f>
        <v>4.6</v>
      </c>
      <c r="Q82" s="48">
        <f>IFERROR(__xludf.DUMMYFUNCTION("""COMPUTED_VALUE"""),3.6)</f>
        <v>3.6</v>
      </c>
      <c r="R82" s="47">
        <f>IFERROR(__xludf.DUMMYFUNCTION("""COMPUTED_VALUE"""),1.1)</f>
        <v>1.1</v>
      </c>
      <c r="S82" s="47">
        <f>IFERROR(__xludf.DUMMYFUNCTION("""COMPUTED_VALUE"""),0.3)</f>
        <v>0.3</v>
      </c>
      <c r="T82" s="47">
        <f>IFERROR(__xludf.DUMMYFUNCTION("""COMPUTED_VALUE"""),48.92086330935251)</f>
        <v>48.92086331</v>
      </c>
      <c r="U82" s="47">
        <f>IFERROR(__xludf.DUMMYFUNCTION("""COMPUTED_VALUE"""),85.71428571428571)</f>
        <v>85.71428571</v>
      </c>
      <c r="V82" s="47">
        <f>IFERROR(__xludf.DUMMYFUNCTION("""COMPUTED_VALUE"""),2.0)</f>
        <v>2</v>
      </c>
      <c r="W82" s="46">
        <f>IFERROR(__xludf.DUMMYFUNCTION("""COMPUTED_VALUE"""),0.26009237510590516)</f>
        <v>0.2600923751</v>
      </c>
      <c r="X82" s="46">
        <f>IFERROR(__xludf.DUMMYFUNCTION("""COMPUTED_VALUE"""),0.047981126211737425)</f>
        <v>0.04798112621</v>
      </c>
      <c r="Y82" s="46">
        <f>IFERROR(__xludf.DUMMYFUNCTION("""COMPUTED_VALUE"""),-0.6252791639129804)</f>
        <v>-0.6252791639</v>
      </c>
      <c r="Z82" s="46">
        <f>IFERROR(__xludf.DUMMYFUNCTION("""COMPUTED_VALUE"""),-0.12444600364809345)</f>
        <v>-0.1244460036</v>
      </c>
      <c r="AA82" s="46">
        <f>IFERROR(__xludf.DUMMYFUNCTION("""COMPUTED_VALUE"""),0.22967922884215308)</f>
        <v>0.2296792288</v>
      </c>
      <c r="AB82" s="46">
        <f>IFERROR(__xludf.DUMMYFUNCTION("""COMPUTED_VALUE"""),-0.5270142365493308)</f>
        <v>-0.5270142365</v>
      </c>
      <c r="AC82" s="46">
        <f>IFERROR(__xludf.DUMMYFUNCTION("""COMPUTED_VALUE"""),-0.09407666284687553)</f>
        <v>-0.09407666285</v>
      </c>
      <c r="AD82" s="46">
        <f>IFERROR(__xludf.DUMMYFUNCTION("""COMPUTED_VALUE"""),0.7041079661607959)</f>
        <v>0.7041079662</v>
      </c>
      <c r="AE82" s="46">
        <f>IFERROR(__xludf.DUMMYFUNCTION("""COMPUTED_VALUE"""),-0.0016558002487857576)</f>
        <v>-0.001655800249</v>
      </c>
    </row>
    <row r="83">
      <c r="A83" s="6" t="str">
        <f>IF(VLOOKUP(H83,'Paste #BBall'!$B$2:$N1001,3,)="BRO","BKN",IF(VLOOKUP(H83,'Paste #BBall'!$B$2:$N1001,3,)="OKL","OKC",VLOOKUP(H83,'Paste #BBall'!$B$2:$N1001,3,)))</f>
        <v>TOR</v>
      </c>
      <c r="B83" s="42">
        <f>VLOOKUP($A83,Schedule!$C$2:$G$31,2,0)</f>
        <v>3</v>
      </c>
      <c r="C83" s="42">
        <f>VLOOKUP($A83,Schedule!$C$2:$G$31,3,0)</f>
        <v>4</v>
      </c>
      <c r="D83" s="42">
        <f>VLOOKUP($A83,Schedule!$C$2:$G$31,4,0)</f>
        <v>3</v>
      </c>
      <c r="E83" s="42">
        <f t="shared" si="1"/>
        <v>10</v>
      </c>
      <c r="F83" s="51">
        <v>78.0</v>
      </c>
      <c r="G83" s="45">
        <f>IFERROR(__xludf.DUMMYFUNCTION("""COMPUTED_VALUE"""),58.0)</f>
        <v>58</v>
      </c>
      <c r="H83" s="45" t="str">
        <f>IFERROR(__xludf.DUMMYFUNCTION("""COMPUTED_VALUE"""),"OG Anunoby")</f>
        <v>OG Anunoby</v>
      </c>
      <c r="I83" s="45">
        <f>IFERROR(__xludf.DUMMYFUNCTION("""COMPUTED_VALUE"""),68.0)</f>
        <v>68</v>
      </c>
      <c r="J83" s="46" t="str">
        <f>IFERROR(__xludf.DUMMYFUNCTION("""COMPUTED_VALUE"""),"SG,SF")</f>
        <v>SG,SF</v>
      </c>
      <c r="K83" s="46">
        <f>IFERROR(__xludf.DUMMYFUNCTION("""COMPUTED_VALUE"""),0.09277808133560068)</f>
        <v>0.09277808134</v>
      </c>
      <c r="L83" s="46">
        <f>IFERROR(__xludf.DUMMYFUNCTION("""COMPUTED_VALUE"""),0.4617185360985513)</f>
        <v>0.4617185361</v>
      </c>
      <c r="M83" s="47">
        <f>IFERROR(__xludf.DUMMYFUNCTION("""COMPUTED_VALUE"""),0.3689404547629506)</f>
        <v>0.3689404548</v>
      </c>
      <c r="N83" s="47">
        <f>IFERROR(__xludf.DUMMYFUNCTION("""COMPUTED_VALUE"""),16.1)</f>
        <v>16.1</v>
      </c>
      <c r="O83" s="47">
        <f>IFERROR(__xludf.DUMMYFUNCTION("""COMPUTED_VALUE"""),2.1)</f>
        <v>2.1</v>
      </c>
      <c r="P83" s="47">
        <f>IFERROR(__xludf.DUMMYFUNCTION("""COMPUTED_VALUE"""),4.9)</f>
        <v>4.9</v>
      </c>
      <c r="Q83" s="48">
        <f>IFERROR(__xludf.DUMMYFUNCTION("""COMPUTED_VALUE"""),2.1)</f>
        <v>2.1</v>
      </c>
      <c r="R83" s="47">
        <f>IFERROR(__xludf.DUMMYFUNCTION("""COMPUTED_VALUE"""),1.6)</f>
        <v>1.6</v>
      </c>
      <c r="S83" s="47">
        <f>IFERROR(__xludf.DUMMYFUNCTION("""COMPUTED_VALUE"""),0.6)</f>
        <v>0.6</v>
      </c>
      <c r="T83" s="47">
        <f>IFERROR(__xludf.DUMMYFUNCTION("""COMPUTED_VALUE"""),45.80152671755725)</f>
        <v>45.80152672</v>
      </c>
      <c r="U83" s="47">
        <f>IFERROR(__xludf.DUMMYFUNCTION("""COMPUTED_VALUE"""),79.16666666666666)</f>
        <v>79.16666667</v>
      </c>
      <c r="V83" s="47">
        <f>IFERROR(__xludf.DUMMYFUNCTION("""COMPUTED_VALUE"""),1.8)</f>
        <v>1.8</v>
      </c>
      <c r="W83" s="46">
        <f>IFERROR(__xludf.DUMMYFUNCTION("""COMPUTED_VALUE"""),-0.19492884268196348)</f>
        <v>-0.1949288427</v>
      </c>
      <c r="X83" s="46">
        <f>IFERROR(__xludf.DUMMYFUNCTION("""COMPUTED_VALUE"""),0.39483264099537524)</f>
        <v>0.394832641</v>
      </c>
      <c r="Y83" s="46">
        <f>IFERROR(__xludf.DUMMYFUNCTION("""COMPUTED_VALUE"""),-0.4998330543450616)</f>
        <v>-0.4998330543</v>
      </c>
      <c r="Z83" s="46">
        <f>IFERROR(__xludf.DUMMYFUNCTION("""COMPUTED_VALUE"""),-0.8894829113207969)</f>
        <v>-0.8894829113</v>
      </c>
      <c r="AA83" s="46">
        <f>IFERROR(__xludf.DUMMYFUNCTION("""COMPUTED_VALUE"""),1.319928732839717)</f>
        <v>1.319928733</v>
      </c>
      <c r="AB83" s="46">
        <f>IFERROR(__xludf.DUMMYFUNCTION("""COMPUTED_VALUE"""),-0.13306671753405044)</f>
        <v>-0.1330667175</v>
      </c>
      <c r="AC83" s="46">
        <f>IFERROR(__xludf.DUMMYFUNCTION("""COMPUTED_VALUE"""),-0.4968314855608691)</f>
        <v>-0.4968314856</v>
      </c>
      <c r="AD83" s="46">
        <f>IFERROR(__xludf.DUMMYFUNCTION("""COMPUTED_VALUE"""),0.011180553304729612)</f>
        <v>0.0111805533</v>
      </c>
      <c r="AE83" s="46">
        <f>IFERROR(__xludf.DUMMYFUNCTION("""COMPUTED_VALUE"""),0.06043670908067405)</f>
        <v>0.06043670908</v>
      </c>
    </row>
    <row r="84">
      <c r="A84" s="6" t="str">
        <f>IF(VLOOKUP(H84,'Paste #BBall'!$B$2:$N1001,3,)="BRO","BKN",IF(VLOOKUP(H84,'Paste #BBall'!$B$2:$N1001,3,)="OKL","OKC",VLOOKUP(H84,'Paste #BBall'!$B$2:$N1001,3,)))</f>
        <v>TOR</v>
      </c>
      <c r="B84" s="42">
        <f>VLOOKUP($A84,Schedule!$C$2:$G$31,2,0)</f>
        <v>3</v>
      </c>
      <c r="C84" s="42">
        <f>VLOOKUP($A84,Schedule!$C$2:$G$31,3,0)</f>
        <v>4</v>
      </c>
      <c r="D84" s="42">
        <f>VLOOKUP($A84,Schedule!$C$2:$G$31,4,0)</f>
        <v>3</v>
      </c>
      <c r="E84" s="42">
        <f t="shared" si="1"/>
        <v>10</v>
      </c>
      <c r="F84" s="43">
        <v>79.0</v>
      </c>
      <c r="G84" s="45">
        <f>IFERROR(__xludf.DUMMYFUNCTION("""COMPUTED_VALUE"""),93.0)</f>
        <v>93</v>
      </c>
      <c r="H84" s="45" t="str">
        <f>IFERROR(__xludf.DUMMYFUNCTION("""COMPUTED_VALUE"""),"Jakob Poeltl")</f>
        <v>Jakob Poeltl</v>
      </c>
      <c r="I84" s="45">
        <f>IFERROR(__xludf.DUMMYFUNCTION("""COMPUTED_VALUE"""),70.0)</f>
        <v>70</v>
      </c>
      <c r="J84" s="46" t="str">
        <f>IFERROR(__xludf.DUMMYFUNCTION("""COMPUTED_VALUE"""),"C")</f>
        <v>C</v>
      </c>
      <c r="K84" s="46">
        <f>IFERROR(__xludf.DUMMYFUNCTION("""COMPUTED_VALUE"""),-1.6207190510238796)</f>
        <v>-1.620719051</v>
      </c>
      <c r="L84" s="46">
        <f>IFERROR(__xludf.DUMMYFUNCTION("""COMPUTED_VALUE"""),0.4514014481906983)</f>
        <v>0.4514014482</v>
      </c>
      <c r="M84" s="47">
        <f>IFERROR(__xludf.DUMMYFUNCTION("""COMPUTED_VALUE"""),2.072120499214578)</f>
        <v>2.072120499</v>
      </c>
      <c r="N84" s="47">
        <f>IFERROR(__xludf.DUMMYFUNCTION("""COMPUTED_VALUE"""),13.1)</f>
        <v>13.1</v>
      </c>
      <c r="O84" s="47">
        <f>IFERROR(__xludf.DUMMYFUNCTION("""COMPUTED_VALUE"""),0.0)</f>
        <v>0</v>
      </c>
      <c r="P84" s="47">
        <f>IFERROR(__xludf.DUMMYFUNCTION("""COMPUTED_VALUE"""),9.3)</f>
        <v>9.3</v>
      </c>
      <c r="Q84" s="48">
        <f>IFERROR(__xludf.DUMMYFUNCTION("""COMPUTED_VALUE"""),2.8)</f>
        <v>2.8</v>
      </c>
      <c r="R84" s="47">
        <f>IFERROR(__xludf.DUMMYFUNCTION("""COMPUTED_VALUE"""),0.8)</f>
        <v>0.8</v>
      </c>
      <c r="S84" s="47">
        <f>IFERROR(__xludf.DUMMYFUNCTION("""COMPUTED_VALUE"""),1.4)</f>
        <v>1.4</v>
      </c>
      <c r="T84" s="47">
        <f>IFERROR(__xludf.DUMMYFUNCTION("""COMPUTED_VALUE"""),62.36559139784945)</f>
        <v>62.3655914</v>
      </c>
      <c r="U84" s="47">
        <f>IFERROR(__xludf.DUMMYFUNCTION("""COMPUTED_VALUE"""),53.57142857142857)</f>
        <v>53.57142857</v>
      </c>
      <c r="V84" s="47">
        <f>IFERROR(__xludf.DUMMYFUNCTION("""COMPUTED_VALUE"""),1.7)</f>
        <v>1.7</v>
      </c>
      <c r="W84" s="46">
        <f>IFERROR(__xludf.DUMMYFUNCTION("""COMPUTED_VALUE"""),-0.7005079735573735)</f>
        <v>-0.7005079736</v>
      </c>
      <c r="X84" s="46">
        <f>IFERROR(__xludf.DUMMYFUNCTION("""COMPUTED_VALUE"""),-1.4261378116187227)</f>
        <v>-1.426137812</v>
      </c>
      <c r="Y84" s="46">
        <f>IFERROR(__xludf.DUMMYFUNCTION("""COMPUTED_VALUE"""),1.3400432193177436)</f>
        <v>1.340043219</v>
      </c>
      <c r="Z84" s="46">
        <f>IFERROR(__xludf.DUMMYFUNCTION("""COMPUTED_VALUE"""),-0.5324656877402022)</f>
        <v>-0.5324656877</v>
      </c>
      <c r="AA84" s="46">
        <f>IFERROR(__xludf.DUMMYFUNCTION("""COMPUTED_VALUE"""),-0.42447047355638534)</f>
        <v>-0.4244704736</v>
      </c>
      <c r="AB84" s="46">
        <f>IFERROR(__xludf.DUMMYFUNCTION("""COMPUTED_VALUE"""),0.9174599998400302)</f>
        <v>0.9174599998</v>
      </c>
      <c r="AC84" s="46">
        <f>IFERROR(__xludf.DUMMYFUNCTION("""COMPUTED_VALUE"""),1.1859972117602042)</f>
        <v>1.185997212</v>
      </c>
      <c r="AD84" s="46">
        <f>IFERROR(__xludf.DUMMYFUNCTION("""COMPUTED_VALUE"""),-1.7709139550071076)</f>
        <v>-1.770913955</v>
      </c>
      <c r="AE84" s="46">
        <f>IFERROR(__xludf.DUMMYFUNCTION("""COMPUTED_VALUE"""),0.09148296374540399)</f>
        <v>0.09148296375</v>
      </c>
    </row>
    <row r="85">
      <c r="A85" s="6" t="str">
        <f>IF(VLOOKUP(H85,'Paste #BBall'!$B$2:$N1001,3,)="BRO","BKN",IF(VLOOKUP(H85,'Paste #BBall'!$B$2:$N1001,3,)="OKL","OKC",VLOOKUP(H85,'Paste #BBall'!$B$2:$N1001,3,)))</f>
        <v>WAS</v>
      </c>
      <c r="B85" s="42">
        <f>VLOOKUP($A85,Schedule!$C$2:$G$31,2,0)</f>
        <v>4</v>
      </c>
      <c r="C85" s="42">
        <f>VLOOKUP($A85,Schedule!$C$2:$G$31,3,0)</f>
        <v>4</v>
      </c>
      <c r="D85" s="42">
        <f>VLOOKUP($A85,Schedule!$C$2:$G$31,4,0)</f>
        <v>3</v>
      </c>
      <c r="E85" s="42">
        <f t="shared" si="1"/>
        <v>11</v>
      </c>
      <c r="F85" s="51">
        <v>80.0</v>
      </c>
      <c r="G85" s="45">
        <f>IFERROR(__xludf.DUMMYFUNCTION("""COMPUTED_VALUE"""),87.0)</f>
        <v>87</v>
      </c>
      <c r="H85" s="45" t="str">
        <f>IFERROR(__xludf.DUMMYFUNCTION("""COMPUTED_VALUE"""),"Daniel Gafford")</f>
        <v>Daniel Gafford</v>
      </c>
      <c r="I85" s="45">
        <f>IFERROR(__xludf.DUMMYFUNCTION("""COMPUTED_VALUE"""),76.0)</f>
        <v>76</v>
      </c>
      <c r="J85" s="46" t="str">
        <f>IFERROR(__xludf.DUMMYFUNCTION("""COMPUTED_VALUE"""),"PF")</f>
        <v>PF</v>
      </c>
      <c r="K85" s="46">
        <f>IFERROR(__xludf.DUMMYFUNCTION("""COMPUTED_VALUE"""),-1.0760415300708148)</f>
        <v>-1.07604153</v>
      </c>
      <c r="L85" s="46">
        <f>IFERROR(__xludf.DUMMYFUNCTION("""COMPUTED_VALUE"""),0.36032996250633564)</f>
        <v>0.3603299625</v>
      </c>
      <c r="M85" s="47">
        <f>IFERROR(__xludf.DUMMYFUNCTION("""COMPUTED_VALUE"""),1.4363714925771505)</f>
        <v>1.436371493</v>
      </c>
      <c r="N85" s="47">
        <f>IFERROR(__xludf.DUMMYFUNCTION("""COMPUTED_VALUE"""),12.8)</f>
        <v>12.8</v>
      </c>
      <c r="O85" s="47">
        <f>IFERROR(__xludf.DUMMYFUNCTION("""COMPUTED_VALUE"""),0.0)</f>
        <v>0</v>
      </c>
      <c r="P85" s="47">
        <f>IFERROR(__xludf.DUMMYFUNCTION("""COMPUTED_VALUE"""),7.8)</f>
        <v>7.8</v>
      </c>
      <c r="Q85" s="48">
        <f>IFERROR(__xludf.DUMMYFUNCTION("""COMPUTED_VALUE"""),1.4)</f>
        <v>1.4</v>
      </c>
      <c r="R85" s="47">
        <f>IFERROR(__xludf.DUMMYFUNCTION("""COMPUTED_VALUE"""),0.6)</f>
        <v>0.6</v>
      </c>
      <c r="S85" s="47">
        <f>IFERROR(__xludf.DUMMYFUNCTION("""COMPUTED_VALUE"""),1.7)</f>
        <v>1.7</v>
      </c>
      <c r="T85" s="47">
        <f>IFERROR(__xludf.DUMMYFUNCTION("""COMPUTED_VALUE"""),71.62162162162161)</f>
        <v>71.62162162</v>
      </c>
      <c r="U85" s="47">
        <f>IFERROR(__xludf.DUMMYFUNCTION("""COMPUTED_VALUE"""),70.96774193548387)</f>
        <v>70.96774194</v>
      </c>
      <c r="V85" s="47">
        <f>IFERROR(__xludf.DUMMYFUNCTION("""COMPUTED_VALUE"""),1.4)</f>
        <v>1.4</v>
      </c>
      <c r="W85" s="46">
        <f>IFERROR(__xludf.DUMMYFUNCTION("""COMPUTED_VALUE"""),-0.7510658866449142)</f>
        <v>-0.7510658866</v>
      </c>
      <c r="X85" s="46">
        <f>IFERROR(__xludf.DUMMYFUNCTION("""COMPUTED_VALUE"""),-1.4261378116187227)</f>
        <v>-1.426137812</v>
      </c>
      <c r="Y85" s="46">
        <f>IFERROR(__xludf.DUMMYFUNCTION("""COMPUTED_VALUE"""),0.7128126714781506)</f>
        <v>0.7128126715</v>
      </c>
      <c r="Z85" s="46">
        <f>IFERROR(__xludf.DUMMYFUNCTION("""COMPUTED_VALUE"""),-1.246500134901392)</f>
        <v>-1.246500135</v>
      </c>
      <c r="AA85" s="46">
        <f>IFERROR(__xludf.DUMMYFUNCTION("""COMPUTED_VALUE"""),-0.860570275155411)</f>
        <v>-0.8605702752</v>
      </c>
      <c r="AB85" s="46">
        <f>IFERROR(__xludf.DUMMYFUNCTION("""COMPUTED_VALUE"""),1.3114075188553107)</f>
        <v>1.311407519</v>
      </c>
      <c r="AC85" s="46">
        <f>IFERROR(__xludf.DUMMYFUNCTION("""COMPUTED_VALUE"""),1.6278655487304587)</f>
        <v>1.627865549</v>
      </c>
      <c r="AD85" s="46">
        <f>IFERROR(__xludf.DUMMYFUNCTION("""COMPUTED_VALUE"""),-0.6182412075954611)</f>
        <v>-0.6182412076</v>
      </c>
      <c r="AE85" s="46">
        <f>IFERROR(__xludf.DUMMYFUNCTION("""COMPUTED_VALUE"""),0.18462172773959373)</f>
        <v>0.1846217277</v>
      </c>
    </row>
    <row r="86">
      <c r="A86" s="6" t="str">
        <f>IF(VLOOKUP(H86,'Paste #BBall'!$B$2:$N1001,3,)="BRO","BKN",IF(VLOOKUP(H86,'Paste #BBall'!$B$2:$N1001,3,)="OKL","OKC",VLOOKUP(H86,'Paste #BBall'!$B$2:$N1001,3,)))</f>
        <v>OKC</v>
      </c>
      <c r="B86" s="42">
        <f>VLOOKUP($A86,Schedule!$C$2:$G$31,2,0)</f>
        <v>4</v>
      </c>
      <c r="C86" s="42">
        <f>VLOOKUP($A86,Schedule!$C$2:$G$31,3,0)</f>
        <v>3</v>
      </c>
      <c r="D86" s="42">
        <f>VLOOKUP($A86,Schedule!$C$2:$G$31,4,0)</f>
        <v>3</v>
      </c>
      <c r="E86" s="42">
        <f t="shared" si="1"/>
        <v>10</v>
      </c>
      <c r="F86" s="43">
        <v>81.0</v>
      </c>
      <c r="G86" s="45">
        <f>IFERROR(__xludf.DUMMYFUNCTION("""COMPUTED_VALUE"""),59.0)</f>
        <v>59</v>
      </c>
      <c r="H86" s="45" t="str">
        <f>IFERROR(__xludf.DUMMYFUNCTION("""COMPUTED_VALUE"""),"Jalen Williams")</f>
        <v>Jalen Williams</v>
      </c>
      <c r="I86" s="45">
        <f>IFERROR(__xludf.DUMMYFUNCTION("""COMPUTED_VALUE"""),74.0)</f>
        <v>74</v>
      </c>
      <c r="J86" s="46" t="str">
        <f>IFERROR(__xludf.DUMMYFUNCTION("""COMPUTED_VALUE"""),"SG,SF")</f>
        <v>SG,SF</v>
      </c>
      <c r="K86" s="46">
        <f>IFERROR(__xludf.DUMMYFUNCTION("""COMPUTED_VALUE"""),0.08691188539517358)</f>
        <v>0.0869118854</v>
      </c>
      <c r="L86" s="46">
        <f>IFERROR(__xludf.DUMMYFUNCTION("""COMPUTED_VALUE"""),0.3443132052407103)</f>
        <v>0.3443132052</v>
      </c>
      <c r="M86" s="47">
        <f>IFERROR(__xludf.DUMMYFUNCTION("""COMPUTED_VALUE"""),0.2574013198455367)</f>
        <v>0.2574013198</v>
      </c>
      <c r="N86" s="47">
        <f>IFERROR(__xludf.DUMMYFUNCTION("""COMPUTED_VALUE"""),15.0)</f>
        <v>15</v>
      </c>
      <c r="O86" s="47">
        <f>IFERROR(__xludf.DUMMYFUNCTION("""COMPUTED_VALUE"""),1.0)</f>
        <v>1</v>
      </c>
      <c r="P86" s="47">
        <f>IFERROR(__xludf.DUMMYFUNCTION("""COMPUTED_VALUE"""),4.8)</f>
        <v>4.8</v>
      </c>
      <c r="Q86" s="48">
        <f>IFERROR(__xludf.DUMMYFUNCTION("""COMPUTED_VALUE"""),3.5)</f>
        <v>3.5</v>
      </c>
      <c r="R86" s="47">
        <f>IFERROR(__xludf.DUMMYFUNCTION("""COMPUTED_VALUE"""),1.5)</f>
        <v>1.5</v>
      </c>
      <c r="S86" s="47">
        <f>IFERROR(__xludf.DUMMYFUNCTION("""COMPUTED_VALUE"""),0.5)</f>
        <v>0.5</v>
      </c>
      <c r="T86" s="47">
        <f>IFERROR(__xludf.DUMMYFUNCTION("""COMPUTED_VALUE"""),52.67857142857143)</f>
        <v>52.67857143</v>
      </c>
      <c r="U86" s="47">
        <f>IFERROR(__xludf.DUMMYFUNCTION("""COMPUTED_VALUE"""),81.4814814814815)</f>
        <v>81.48148148</v>
      </c>
      <c r="V86" s="47">
        <f>IFERROR(__xludf.DUMMYFUNCTION("""COMPUTED_VALUE"""),1.7)</f>
        <v>1.7</v>
      </c>
      <c r="W86" s="46">
        <f>IFERROR(__xludf.DUMMYFUNCTION("""COMPUTED_VALUE"""),-0.3803078573362806)</f>
        <v>-0.3803078573</v>
      </c>
      <c r="X86" s="46">
        <f>IFERROR(__xludf.DUMMYFUNCTION("""COMPUTED_VALUE"""),-0.5590090246596284)</f>
        <v>-0.5590090247</v>
      </c>
      <c r="Y86" s="46">
        <f>IFERROR(__xludf.DUMMYFUNCTION("""COMPUTED_VALUE"""),-0.5416484242010347)</f>
        <v>-0.5416484242</v>
      </c>
      <c r="Z86" s="46">
        <f>IFERROR(__xludf.DUMMYFUNCTION("""COMPUTED_VALUE"""),-0.17544846415960708)</f>
        <v>-0.1754484642</v>
      </c>
      <c r="AA86" s="46">
        <f>IFERROR(__xludf.DUMMYFUNCTION("""COMPUTED_VALUE"""),1.101878832040204)</f>
        <v>1.101878832</v>
      </c>
      <c r="AB86" s="46">
        <f>IFERROR(__xludf.DUMMYFUNCTION("""COMPUTED_VALUE"""),-0.2643825572058105)</f>
        <v>-0.2643825572</v>
      </c>
      <c r="AC86" s="46">
        <f>IFERROR(__xludf.DUMMYFUNCTION("""COMPUTED_VALUE"""),0.34458286309966835)</f>
        <v>0.3445828631</v>
      </c>
      <c r="AD86" s="46">
        <f>IFERROR(__xludf.DUMMYFUNCTION("""COMPUTED_VALUE"""),0.16815584925816673)</f>
        <v>0.1681558493</v>
      </c>
      <c r="AE86" s="46">
        <f>IFERROR(__xludf.DUMMYFUNCTION("""COMPUTED_VALUE"""),0.09148296374540399)</f>
        <v>0.09148296375</v>
      </c>
    </row>
    <row r="87">
      <c r="A87" s="6" t="str">
        <f>IF(VLOOKUP(H87,'Paste #BBall'!$B$2:$N1001,3,)="BRO","BKN",IF(VLOOKUP(H87,'Paste #BBall'!$B$2:$N1001,3,)="OKL","OKC",VLOOKUP(H87,'Paste #BBall'!$B$2:$N1001,3,)))</f>
        <v>ATL</v>
      </c>
      <c r="B87" s="42">
        <f>VLOOKUP($A87,Schedule!$C$2:$G$31,2,0)</f>
        <v>4</v>
      </c>
      <c r="C87" s="42">
        <f>VLOOKUP($A87,Schedule!$C$2:$G$31,3,0)</f>
        <v>3</v>
      </c>
      <c r="D87" s="42">
        <f>VLOOKUP($A87,Schedule!$C$2:$G$31,4,0)</f>
        <v>3</v>
      </c>
      <c r="E87" s="42">
        <f t="shared" si="1"/>
        <v>10</v>
      </c>
      <c r="F87" s="51">
        <v>82.0</v>
      </c>
      <c r="G87" s="45">
        <f>IFERROR(__xludf.DUMMYFUNCTION("""COMPUTED_VALUE"""),84.0)</f>
        <v>84</v>
      </c>
      <c r="H87" s="45" t="str">
        <f>IFERROR(__xludf.DUMMYFUNCTION("""COMPUTED_VALUE"""),"Onyeka Okongwu")</f>
        <v>Onyeka Okongwu</v>
      </c>
      <c r="I87" s="45">
        <f>IFERROR(__xludf.DUMMYFUNCTION("""COMPUTED_VALUE"""),76.0)</f>
        <v>76</v>
      </c>
      <c r="J87" s="46" t="str">
        <f>IFERROR(__xludf.DUMMYFUNCTION("""COMPUTED_VALUE"""),"C")</f>
        <v>C</v>
      </c>
      <c r="K87" s="46">
        <f>IFERROR(__xludf.DUMMYFUNCTION("""COMPUTED_VALUE"""),-1.0169683664905758)</f>
        <v>-1.016968366</v>
      </c>
      <c r="L87" s="46">
        <f>IFERROR(__xludf.DUMMYFUNCTION("""COMPUTED_VALUE"""),0.3117832511753085)</f>
        <v>0.3117832512</v>
      </c>
      <c r="M87" s="47">
        <f>IFERROR(__xludf.DUMMYFUNCTION("""COMPUTED_VALUE"""),1.3287516176658842)</f>
        <v>1.328751618</v>
      </c>
      <c r="N87" s="47">
        <f>IFERROR(__xludf.DUMMYFUNCTION("""COMPUTED_VALUE"""),11.0)</f>
        <v>11</v>
      </c>
      <c r="O87" s="47">
        <f>IFERROR(__xludf.DUMMYFUNCTION("""COMPUTED_VALUE"""),0.0)</f>
        <v>0</v>
      </c>
      <c r="P87" s="47">
        <f>IFERROR(__xludf.DUMMYFUNCTION("""COMPUTED_VALUE"""),8.0)</f>
        <v>8</v>
      </c>
      <c r="Q87" s="48">
        <f>IFERROR(__xludf.DUMMYFUNCTION("""COMPUTED_VALUE"""),1.2)</f>
        <v>1.2</v>
      </c>
      <c r="R87" s="47">
        <f>IFERROR(__xludf.DUMMYFUNCTION("""COMPUTED_VALUE"""),0.8)</f>
        <v>0.8</v>
      </c>
      <c r="S87" s="47">
        <f>IFERROR(__xludf.DUMMYFUNCTION("""COMPUTED_VALUE"""),1.5)</f>
        <v>1.5</v>
      </c>
      <c r="T87" s="47">
        <f>IFERROR(__xludf.DUMMYFUNCTION("""COMPUTED_VALUE"""),65.67164179104478)</f>
        <v>65.67164179</v>
      </c>
      <c r="U87" s="47">
        <f>IFERROR(__xludf.DUMMYFUNCTION("""COMPUTED_VALUE"""),78.57142857142858)</f>
        <v>78.57142857</v>
      </c>
      <c r="V87" s="47">
        <f>IFERROR(__xludf.DUMMYFUNCTION("""COMPUTED_VALUE"""),1.2)</f>
        <v>1.2</v>
      </c>
      <c r="W87" s="46">
        <f>IFERROR(__xludf.DUMMYFUNCTION("""COMPUTED_VALUE"""),-1.0544133651701602)</f>
        <v>-1.054413365</v>
      </c>
      <c r="X87" s="46">
        <f>IFERROR(__xludf.DUMMYFUNCTION("""COMPUTED_VALUE"""),-1.4261378116187227)</f>
        <v>-1.426137812</v>
      </c>
      <c r="Y87" s="46">
        <f>IFERROR(__xludf.DUMMYFUNCTION("""COMPUTED_VALUE"""),0.7964434111900963)</f>
        <v>0.7964434112</v>
      </c>
      <c r="Z87" s="46">
        <f>IFERROR(__xludf.DUMMYFUNCTION("""COMPUTED_VALUE"""),-1.3485050559244194)</f>
        <v>-1.348505056</v>
      </c>
      <c r="AA87" s="46">
        <f>IFERROR(__xludf.DUMMYFUNCTION("""COMPUTED_VALUE"""),-0.42447047355638534)</f>
        <v>-0.4244704736</v>
      </c>
      <c r="AB87" s="46">
        <f>IFERROR(__xludf.DUMMYFUNCTION("""COMPUTED_VALUE"""),1.0487758395117905)</f>
        <v>1.04877584</v>
      </c>
      <c r="AC87" s="46">
        <f>IFERROR(__xludf.DUMMYFUNCTION("""COMPUTED_VALUE"""),1.0756820730105732)</f>
        <v>1.075682073</v>
      </c>
      <c r="AD87" s="46">
        <f>IFERROR(__xludf.DUMMYFUNCTION("""COMPUTED_VALUE"""),-0.028443414955239922)</f>
        <v>-0.02844341496</v>
      </c>
      <c r="AE87" s="46">
        <f>IFERROR(__xludf.DUMMYFUNCTION("""COMPUTED_VALUE"""),0.24671423706905354)</f>
        <v>0.2467142371</v>
      </c>
    </row>
    <row r="88">
      <c r="A88" s="6" t="str">
        <f>IF(VLOOKUP(H88,'Paste #BBall'!$B$2:$N1001,3,)="BRO","BKN",IF(VLOOKUP(H88,'Paste #BBall'!$B$2:$N1001,3,)="OKL","OKC",VLOOKUP(H88,'Paste #BBall'!$B$2:$N1001,3,)))</f>
        <v>GS</v>
      </c>
      <c r="B88" s="42">
        <f>VLOOKUP($A88,Schedule!$C$2:$G$31,2,0)</f>
        <v>3</v>
      </c>
      <c r="C88" s="42">
        <f>VLOOKUP($A88,Schedule!$C$2:$G$31,3,0)</f>
        <v>3</v>
      </c>
      <c r="D88" s="42">
        <f>VLOOKUP($A88,Schedule!$C$2:$G$31,4,0)</f>
        <v>4</v>
      </c>
      <c r="E88" s="42">
        <f t="shared" si="1"/>
        <v>10</v>
      </c>
      <c r="F88" s="51">
        <v>83.0</v>
      </c>
      <c r="G88" s="45">
        <f>IFERROR(__xludf.DUMMYFUNCTION("""COMPUTED_VALUE"""),86.0)</f>
        <v>86</v>
      </c>
      <c r="H88" s="45" t="str">
        <f>IFERROR(__xludf.DUMMYFUNCTION("""COMPUTED_VALUE"""),"Chris Paul")</f>
        <v>Chris Paul</v>
      </c>
      <c r="I88" s="45">
        <f>IFERROR(__xludf.DUMMYFUNCTION("""COMPUTED_VALUE"""),60.0)</f>
        <v>60</v>
      </c>
      <c r="J88" s="46" t="str">
        <f>IFERROR(__xludf.DUMMYFUNCTION("""COMPUTED_VALUE"""),"PG")</f>
        <v>PG</v>
      </c>
      <c r="K88" s="46">
        <f>IFERROR(__xludf.DUMMYFUNCTION("""COMPUTED_VALUE"""),-1.0458227892065626)</f>
        <v>-1.045822789</v>
      </c>
      <c r="L88" s="46">
        <f>IFERROR(__xludf.DUMMYFUNCTION("""COMPUTED_VALUE"""),0.2921230590694298)</f>
        <v>0.2921230591</v>
      </c>
      <c r="M88" s="47">
        <f>IFERROR(__xludf.DUMMYFUNCTION("""COMPUTED_VALUE"""),1.3379458482759925)</f>
        <v>1.337945848</v>
      </c>
      <c r="N88" s="47">
        <f>IFERROR(__xludf.DUMMYFUNCTION("""COMPUTED_VALUE"""),11.6)</f>
        <v>11.6</v>
      </c>
      <c r="O88" s="47">
        <f>IFERROR(__xludf.DUMMYFUNCTION("""COMPUTED_VALUE"""),1.3)</f>
        <v>1.3</v>
      </c>
      <c r="P88" s="47">
        <f>IFERROR(__xludf.DUMMYFUNCTION("""COMPUTED_VALUE"""),3.6)</f>
        <v>3.6</v>
      </c>
      <c r="Q88" s="48">
        <f>IFERROR(__xludf.DUMMYFUNCTION("""COMPUTED_VALUE"""),7.5)</f>
        <v>7.5</v>
      </c>
      <c r="R88" s="47">
        <f>IFERROR(__xludf.DUMMYFUNCTION("""COMPUTED_VALUE"""),1.2)</f>
        <v>1.2</v>
      </c>
      <c r="S88" s="47">
        <f>IFERROR(__xludf.DUMMYFUNCTION("""COMPUTED_VALUE"""),0.3)</f>
        <v>0.3</v>
      </c>
      <c r="T88" s="47">
        <f>IFERROR(__xludf.DUMMYFUNCTION("""COMPUTED_VALUE"""),43.61702127659574)</f>
        <v>43.61702128</v>
      </c>
      <c r="U88" s="47">
        <f>IFERROR(__xludf.DUMMYFUNCTION("""COMPUTED_VALUE"""),83.33333333333334)</f>
        <v>83.33333333</v>
      </c>
      <c r="V88" s="47">
        <f>IFERROR(__xludf.DUMMYFUNCTION("""COMPUTED_VALUE"""),1.8)</f>
        <v>1.8</v>
      </c>
      <c r="W88" s="46">
        <f>IFERROR(__xludf.DUMMYFUNCTION("""COMPUTED_VALUE"""),-0.9532975389950784)</f>
        <v>-0.953297539</v>
      </c>
      <c r="X88" s="46">
        <f>IFERROR(__xludf.DUMMYFUNCTION("""COMPUTED_VALUE"""),-0.2988703885719002)</f>
        <v>-0.2988703886</v>
      </c>
      <c r="Y88" s="46">
        <f>IFERROR(__xludf.DUMMYFUNCTION("""COMPUTED_VALUE"""),-1.0434328624727087)</f>
        <v>-1.043432862</v>
      </c>
      <c r="Z88" s="46">
        <f>IFERROR(__xludf.DUMMYFUNCTION("""COMPUTED_VALUE"""),1.8646499563009358)</f>
        <v>1.864649956</v>
      </c>
      <c r="AA88" s="46">
        <f>IFERROR(__xludf.DUMMYFUNCTION("""COMPUTED_VALUE"""),0.44772912964166556)</f>
        <v>0.4477291296</v>
      </c>
      <c r="AB88" s="46">
        <f>IFERROR(__xludf.DUMMYFUNCTION("""COMPUTED_VALUE"""),-0.5270142365493308)</f>
        <v>-0.5270142365</v>
      </c>
      <c r="AC88" s="46">
        <f>IFERROR(__xludf.DUMMYFUNCTION("""COMPUTED_VALUE"""),-0.5616154880068186)</f>
        <v>-0.561615488</v>
      </c>
      <c r="AD88" s="46">
        <f>IFERROR(__xludf.DUMMYFUNCTION("""COMPUTED_VALUE"""),0.2601049161692824)</f>
        <v>0.2601049162</v>
      </c>
      <c r="AE88" s="46">
        <f>IFERROR(__xludf.DUMMYFUNCTION("""COMPUTED_VALUE"""),0.06043670908067405)</f>
        <v>0.06043670908</v>
      </c>
    </row>
    <row r="89">
      <c r="A89" s="6" t="str">
        <f>IF(VLOOKUP(H89,'Paste #BBall'!$B$2:$N1001,3,)="BRO","BKN",IF(VLOOKUP(H89,'Paste #BBall'!$B$2:$N1001,3,)="OKL","OKC",VLOOKUP(H89,'Paste #BBall'!$B$2:$N1001,3,)))</f>
        <v>GS</v>
      </c>
      <c r="B89" s="42">
        <f>VLOOKUP($A89,Schedule!$C$2:$G$31,2,0)</f>
        <v>3</v>
      </c>
      <c r="C89" s="42">
        <f>VLOOKUP($A89,Schedule!$C$2:$G$31,3,0)</f>
        <v>3</v>
      </c>
      <c r="D89" s="42">
        <f>VLOOKUP($A89,Schedule!$C$2:$G$31,4,0)</f>
        <v>4</v>
      </c>
      <c r="E89" s="42">
        <f t="shared" si="1"/>
        <v>10</v>
      </c>
      <c r="F89" s="43">
        <v>84.0</v>
      </c>
      <c r="G89" s="45">
        <f>IFERROR(__xludf.DUMMYFUNCTION("""COMPUTED_VALUE"""),88.0)</f>
        <v>88</v>
      </c>
      <c r="H89" s="45" t="str">
        <f>IFERROR(__xludf.DUMMYFUNCTION("""COMPUTED_VALUE"""),"Draymond Green")</f>
        <v>Draymond Green</v>
      </c>
      <c r="I89" s="45">
        <f>IFERROR(__xludf.DUMMYFUNCTION("""COMPUTED_VALUE"""),55.0)</f>
        <v>55</v>
      </c>
      <c r="J89" s="46" t="str">
        <f>IFERROR(__xludf.DUMMYFUNCTION("""COMPUTED_VALUE"""),"PF,C")</f>
        <v>PF,C</v>
      </c>
      <c r="K89" s="46">
        <f>IFERROR(__xludf.DUMMYFUNCTION("""COMPUTED_VALUE"""),-1.1876905895448422)</f>
        <v>-1.18769059</v>
      </c>
      <c r="L89" s="46">
        <f>IFERROR(__xludf.DUMMYFUNCTION("""COMPUTED_VALUE"""),0.2625146524650961)</f>
        <v>0.2625146525</v>
      </c>
      <c r="M89" s="47">
        <f>IFERROR(__xludf.DUMMYFUNCTION("""COMPUTED_VALUE"""),1.4502052420099383)</f>
        <v>1.450205242</v>
      </c>
      <c r="N89" s="47">
        <f>IFERROR(__xludf.DUMMYFUNCTION("""COMPUTED_VALUE"""),8.4)</f>
        <v>8.4</v>
      </c>
      <c r="O89" s="47">
        <f>IFERROR(__xludf.DUMMYFUNCTION("""COMPUTED_VALUE"""),0.5)</f>
        <v>0.5</v>
      </c>
      <c r="P89" s="47">
        <f>IFERROR(__xludf.DUMMYFUNCTION("""COMPUTED_VALUE"""),7.5)</f>
        <v>7.5</v>
      </c>
      <c r="Q89" s="48">
        <f>IFERROR(__xludf.DUMMYFUNCTION("""COMPUTED_VALUE"""),6.0)</f>
        <v>6</v>
      </c>
      <c r="R89" s="47">
        <f>IFERROR(__xludf.DUMMYFUNCTION("""COMPUTED_VALUE"""),1.0)</f>
        <v>1</v>
      </c>
      <c r="S89" s="47">
        <f>IFERROR(__xludf.DUMMYFUNCTION("""COMPUTED_VALUE"""),0.7)</f>
        <v>0.7</v>
      </c>
      <c r="T89" s="47">
        <f>IFERROR(__xludf.DUMMYFUNCTION("""COMPUTED_VALUE"""),53.125)</f>
        <v>53.125</v>
      </c>
      <c r="U89" s="47">
        <f>IFERROR(__xludf.DUMMYFUNCTION("""COMPUTED_VALUE"""),70.58823529411765)</f>
        <v>70.58823529</v>
      </c>
      <c r="V89" s="47">
        <f>IFERROR(__xludf.DUMMYFUNCTION("""COMPUTED_VALUE"""),3.0)</f>
        <v>3</v>
      </c>
      <c r="W89" s="46">
        <f>IFERROR(__xludf.DUMMYFUNCTION("""COMPUTED_VALUE"""),-1.492581945262182)</f>
        <v>-1.492581945</v>
      </c>
      <c r="X89" s="46">
        <f>IFERROR(__xludf.DUMMYFUNCTION("""COMPUTED_VALUE"""),-0.9925734181391757)</f>
        <v>-0.9925734181</v>
      </c>
      <c r="Y89" s="46">
        <f>IFERROR(__xludf.DUMMYFUNCTION("""COMPUTED_VALUE"""),0.5873665619102322)</f>
        <v>0.5873665619</v>
      </c>
      <c r="Z89" s="46">
        <f>IFERROR(__xludf.DUMMYFUNCTION("""COMPUTED_VALUE"""),1.0996130486282323)</f>
        <v>1.099613049</v>
      </c>
      <c r="AA89" s="46">
        <f>IFERROR(__xludf.DUMMYFUNCTION("""COMPUTED_VALUE"""),0.011629328042640127)</f>
        <v>0.01162932804</v>
      </c>
      <c r="AB89" s="46">
        <f>IFERROR(__xludf.DUMMYFUNCTION("""COMPUTED_VALUE"""),-0.0017508778622903794)</f>
        <v>-0.001750877862</v>
      </c>
      <c r="AC89" s="46">
        <f>IFERROR(__xludf.DUMMYFUNCTION("""COMPUTED_VALUE"""),0.22544349403483055)</f>
        <v>0.225443494</v>
      </c>
      <c r="AD89" s="46">
        <f>IFERROR(__xludf.DUMMYFUNCTION("""COMPUTED_VALUE"""),-0.3550951372532883)</f>
        <v>-0.3550951373</v>
      </c>
      <c r="AE89" s="46">
        <f>IFERROR(__xludf.DUMMYFUNCTION("""COMPUTED_VALUE"""),-0.31211834689608486)</f>
        <v>-0.3121183469</v>
      </c>
    </row>
    <row r="90">
      <c r="A90" s="6" t="str">
        <f>IF(VLOOKUP(H90,'Paste #BBall'!$B$2:$N1001,3,)="BRO","BKN",IF(VLOOKUP(H90,'Paste #BBall'!$B$2:$N1001,3,)="OKL","OKC",VLOOKUP(H90,'Paste #BBall'!$B$2:$N1001,3,)))</f>
        <v>ATL</v>
      </c>
      <c r="B90" s="42">
        <f>VLOOKUP($A90,Schedule!$C$2:$G$31,2,0)</f>
        <v>4</v>
      </c>
      <c r="C90" s="42">
        <f>VLOOKUP($A90,Schedule!$C$2:$G$31,3,0)</f>
        <v>3</v>
      </c>
      <c r="D90" s="42">
        <f>VLOOKUP($A90,Schedule!$C$2:$G$31,4,0)</f>
        <v>3</v>
      </c>
      <c r="E90" s="42">
        <f t="shared" si="1"/>
        <v>10</v>
      </c>
      <c r="F90" s="51">
        <v>85.0</v>
      </c>
      <c r="G90" s="45">
        <f>IFERROR(__xludf.DUMMYFUNCTION("""COMPUTED_VALUE"""),105.0)</f>
        <v>105</v>
      </c>
      <c r="H90" s="45" t="str">
        <f>IFERROR(__xludf.DUMMYFUNCTION("""COMPUTED_VALUE"""),"Clint Capela")</f>
        <v>Clint Capela</v>
      </c>
      <c r="I90" s="45">
        <f>IFERROR(__xludf.DUMMYFUNCTION("""COMPUTED_VALUE"""),68.0)</f>
        <v>68</v>
      </c>
      <c r="J90" s="46" t="str">
        <f>IFERROR(__xludf.DUMMYFUNCTION("""COMPUTED_VALUE"""),"C")</f>
        <v>C</v>
      </c>
      <c r="K90" s="46">
        <f>IFERROR(__xludf.DUMMYFUNCTION("""COMPUTED_VALUE"""),-1.862138667560545)</f>
        <v>-1.862138668</v>
      </c>
      <c r="L90" s="46">
        <f>IFERROR(__xludf.DUMMYFUNCTION("""COMPUTED_VALUE"""),0.15162582057031004)</f>
        <v>0.1516258206</v>
      </c>
      <c r="M90" s="47">
        <f>IFERROR(__xludf.DUMMYFUNCTION("""COMPUTED_VALUE"""),2.013764488130855)</f>
        <v>2.013764488</v>
      </c>
      <c r="N90" s="47">
        <f>IFERROR(__xludf.DUMMYFUNCTION("""COMPUTED_VALUE"""),11.4)</f>
        <v>11.4</v>
      </c>
      <c r="O90" s="47">
        <f>IFERROR(__xludf.DUMMYFUNCTION("""COMPUTED_VALUE"""),0.0)</f>
        <v>0</v>
      </c>
      <c r="P90" s="47">
        <f>IFERROR(__xludf.DUMMYFUNCTION("""COMPUTED_VALUE"""),11.2)</f>
        <v>11.2</v>
      </c>
      <c r="Q90" s="48">
        <f>IFERROR(__xludf.DUMMYFUNCTION("""COMPUTED_VALUE"""),1.1)</f>
        <v>1.1</v>
      </c>
      <c r="R90" s="47">
        <f>IFERROR(__xludf.DUMMYFUNCTION("""COMPUTED_VALUE"""),0.7)</f>
        <v>0.7</v>
      </c>
      <c r="S90" s="47">
        <f>IFERROR(__xludf.DUMMYFUNCTION("""COMPUTED_VALUE"""),1.2)</f>
        <v>1.2</v>
      </c>
      <c r="T90" s="47">
        <f>IFERROR(__xludf.DUMMYFUNCTION("""COMPUTED_VALUE"""),63.74999999999999)</f>
        <v>63.75</v>
      </c>
      <c r="U90" s="47">
        <f>IFERROR(__xludf.DUMMYFUNCTION("""COMPUTED_VALUE"""),57.14285714285714)</f>
        <v>57.14285714</v>
      </c>
      <c r="V90" s="47">
        <f>IFERROR(__xludf.DUMMYFUNCTION("""COMPUTED_VALUE"""),0.7)</f>
        <v>0.7</v>
      </c>
      <c r="W90" s="46">
        <f>IFERROR(__xludf.DUMMYFUNCTION("""COMPUTED_VALUE"""),-0.9870028143867723)</f>
        <v>-0.9870028144</v>
      </c>
      <c r="X90" s="46">
        <f>IFERROR(__xludf.DUMMYFUNCTION("""COMPUTED_VALUE"""),-1.4261378116187227)</f>
        <v>-1.426137812</v>
      </c>
      <c r="Y90" s="46">
        <f>IFERROR(__xludf.DUMMYFUNCTION("""COMPUTED_VALUE"""),2.134535246581227)</f>
        <v>2.134535247</v>
      </c>
      <c r="Z90" s="46">
        <f>IFERROR(__xludf.DUMMYFUNCTION("""COMPUTED_VALUE"""),-1.3995075164359327)</f>
        <v>-1.399507516</v>
      </c>
      <c r="AA90" s="46">
        <f>IFERROR(__xludf.DUMMYFUNCTION("""COMPUTED_VALUE"""),-0.6425203743558983)</f>
        <v>-0.6425203744</v>
      </c>
      <c r="AB90" s="46">
        <f>IFERROR(__xludf.DUMMYFUNCTION("""COMPUTED_VALUE"""),0.6548283204965102)</f>
        <v>0.6548283205</v>
      </c>
      <c r="AC90" s="46">
        <f>IFERROR(__xludf.DUMMYFUNCTION("""COMPUTED_VALUE"""),1.130839642385389)</f>
        <v>1.130839642</v>
      </c>
      <c r="AD90" s="46">
        <f>IFERROR(__xludf.DUMMYFUNCTION("""COMPUTED_VALUE"""),-1.1414921941069163)</f>
        <v>-1.141492194</v>
      </c>
      <c r="AE90" s="46">
        <f>IFERROR(__xludf.DUMMYFUNCTION("""COMPUTED_VALUE"""),0.4019455103927031)</f>
        <v>0.4019455104</v>
      </c>
    </row>
    <row r="91">
      <c r="A91" s="6" t="str">
        <f>IF(VLOOKUP(H91,'Paste #BBall'!$B$2:$N1001,3,)="BRO","BKN",IF(VLOOKUP(H91,'Paste #BBall'!$B$2:$N1001,3,)="OKL","OKC",VLOOKUP(H91,'Paste #BBall'!$B$2:$N1001,3,)))</f>
        <v>MIL</v>
      </c>
      <c r="B91" s="42">
        <f>VLOOKUP($A91,Schedule!$C$2:$G$31,2,0)</f>
        <v>4</v>
      </c>
      <c r="C91" s="42">
        <f>VLOOKUP($A91,Schedule!$C$2:$G$31,3,0)</f>
        <v>3</v>
      </c>
      <c r="D91" s="42">
        <f>VLOOKUP($A91,Schedule!$C$2:$G$31,4,0)</f>
        <v>3</v>
      </c>
      <c r="E91" s="42">
        <f t="shared" si="1"/>
        <v>10</v>
      </c>
      <c r="F91" s="51">
        <v>86.0</v>
      </c>
      <c r="G91" s="45">
        <f>IFERROR(__xludf.DUMMYFUNCTION("""COMPUTED_VALUE"""),89.0)</f>
        <v>89</v>
      </c>
      <c r="H91" s="45" t="str">
        <f>IFERROR(__xludf.DUMMYFUNCTION("""COMPUTED_VALUE"""),"Brook Lopez")</f>
        <v>Brook Lopez</v>
      </c>
      <c r="I91" s="45">
        <f>IFERROR(__xludf.DUMMYFUNCTION("""COMPUTED_VALUE"""),72.0)</f>
        <v>72</v>
      </c>
      <c r="J91" s="46" t="str">
        <f>IFERROR(__xludf.DUMMYFUNCTION("""COMPUTED_VALUE"""),"C")</f>
        <v>C</v>
      </c>
      <c r="K91" s="46">
        <f>IFERROR(__xludf.DUMMYFUNCTION("""COMPUTED_VALUE"""),-1.258926998719723)</f>
        <v>-1.258926999</v>
      </c>
      <c r="L91" s="46">
        <f>IFERROR(__xludf.DUMMYFUNCTION("""COMPUTED_VALUE"""),0.10586545365203981)</f>
        <v>0.1058654537</v>
      </c>
      <c r="M91" s="47">
        <f>IFERROR(__xludf.DUMMYFUNCTION("""COMPUTED_VALUE"""),1.3647924523717627)</f>
        <v>1.364792452</v>
      </c>
      <c r="N91" s="47">
        <f>IFERROR(__xludf.DUMMYFUNCTION("""COMPUTED_VALUE"""),13.5)</f>
        <v>13.5</v>
      </c>
      <c r="O91" s="47">
        <f>IFERROR(__xludf.DUMMYFUNCTION("""COMPUTED_VALUE"""),1.5)</f>
        <v>1.5</v>
      </c>
      <c r="P91" s="47">
        <f>IFERROR(__xludf.DUMMYFUNCTION("""COMPUTED_VALUE"""),5.9)</f>
        <v>5.9</v>
      </c>
      <c r="Q91" s="48">
        <f>IFERROR(__xludf.DUMMYFUNCTION("""COMPUTED_VALUE"""),1.0)</f>
        <v>1</v>
      </c>
      <c r="R91" s="47">
        <f>IFERROR(__xludf.DUMMYFUNCTION("""COMPUTED_VALUE"""),0.4)</f>
        <v>0.4</v>
      </c>
      <c r="S91" s="47">
        <f>IFERROR(__xludf.DUMMYFUNCTION("""COMPUTED_VALUE"""),2.0)</f>
        <v>2</v>
      </c>
      <c r="T91" s="47">
        <f>IFERROR(__xludf.DUMMYFUNCTION("""COMPUTED_VALUE"""),52.0)</f>
        <v>52</v>
      </c>
      <c r="U91" s="47">
        <f>IFERROR(__xludf.DUMMYFUNCTION("""COMPUTED_VALUE"""),80.0)</f>
        <v>80</v>
      </c>
      <c r="V91" s="47">
        <f>IFERROR(__xludf.DUMMYFUNCTION("""COMPUTED_VALUE"""),1.2)</f>
        <v>1.2</v>
      </c>
      <c r="W91" s="46">
        <f>IFERROR(__xludf.DUMMYFUNCTION("""COMPUTED_VALUE"""),-0.6330974227739855)</f>
        <v>-0.6330974228</v>
      </c>
      <c r="X91" s="46">
        <f>IFERROR(__xludf.DUMMYFUNCTION("""COMPUTED_VALUE"""),-0.12544463118008137)</f>
        <v>-0.1254446312</v>
      </c>
      <c r="Y91" s="46">
        <f>IFERROR(__xludf.DUMMYFUNCTION("""COMPUTED_VALUE"""),-0.08167935578533317)</f>
        <v>-0.08167935579</v>
      </c>
      <c r="Z91" s="46">
        <f>IFERROR(__xludf.DUMMYFUNCTION("""COMPUTED_VALUE"""),-1.4505099769474463)</f>
        <v>-1.450509977</v>
      </c>
      <c r="AA91" s="46">
        <f>IFERROR(__xludf.DUMMYFUNCTION("""COMPUTED_VALUE"""),-1.2966700767544366)</f>
        <v>-1.296670077</v>
      </c>
      <c r="AB91" s="46">
        <f>IFERROR(__xludf.DUMMYFUNCTION("""COMPUTED_VALUE"""),1.705355037870591)</f>
        <v>1.705355038</v>
      </c>
      <c r="AC91" s="46">
        <f>IFERROR(__xludf.DUMMYFUNCTION("""COMPUTED_VALUE"""),0.2398831436415309)</f>
        <v>0.2398831436</v>
      </c>
      <c r="AD91" s="46">
        <f>IFERROR(__xludf.DUMMYFUNCTION("""COMPUTED_VALUE"""),0.05080452156470048)</f>
        <v>0.05080452156</v>
      </c>
      <c r="AE91" s="46">
        <f>IFERROR(__xludf.DUMMYFUNCTION("""COMPUTED_VALUE"""),0.24671423706905354)</f>
        <v>0.2467142371</v>
      </c>
    </row>
    <row r="92">
      <c r="A92" s="6" t="str">
        <f>IF(VLOOKUP(H92,'Paste #BBall'!$B$2:$N1001,3,)="BRO","BKN",IF(VLOOKUP(H92,'Paste #BBall'!$B$2:$N1001,3,)="OKL","OKC",VLOOKUP(H92,'Paste #BBall'!$B$2:$N1001,3,)))</f>
        <v>ORL</v>
      </c>
      <c r="B92" s="42">
        <f>VLOOKUP($A92,Schedule!$C$2:$G$31,2,0)</f>
        <v>4</v>
      </c>
      <c r="C92" s="42">
        <f>VLOOKUP($A92,Schedule!$C$2:$G$31,3,0)</f>
        <v>3</v>
      </c>
      <c r="D92" s="42">
        <f>VLOOKUP($A92,Schedule!$C$2:$G$31,4,0)</f>
        <v>3</v>
      </c>
      <c r="E92" s="42">
        <f t="shared" si="1"/>
        <v>10</v>
      </c>
      <c r="F92" s="43">
        <v>87.0</v>
      </c>
      <c r="G92" s="45">
        <f>IFERROR(__xludf.DUMMYFUNCTION("""COMPUTED_VALUE"""),82.0)</f>
        <v>82</v>
      </c>
      <c r="H92" s="45" t="str">
        <f>IFERROR(__xludf.DUMMYFUNCTION("""COMPUTED_VALUE"""),"Paolo Banchero")</f>
        <v>Paolo Banchero</v>
      </c>
      <c r="I92" s="45">
        <f>IFERROR(__xludf.DUMMYFUNCTION("""COMPUTED_VALUE"""),72.0)</f>
        <v>72</v>
      </c>
      <c r="J92" s="46" t="str">
        <f>IFERROR(__xludf.DUMMYFUNCTION("""COMPUTED_VALUE"""),"SF,PF")</f>
        <v>SF,PF</v>
      </c>
      <c r="K92" s="46">
        <f>IFERROR(__xludf.DUMMYFUNCTION("""COMPUTED_VALUE"""),-0.9304531185650247)</f>
        <v>-0.9304531186</v>
      </c>
      <c r="L92" s="46">
        <f>IFERROR(__xludf.DUMMYFUNCTION("""COMPUTED_VALUE"""),0.03784572165320632)</f>
        <v>0.03784572165</v>
      </c>
      <c r="M92" s="47">
        <f>IFERROR(__xludf.DUMMYFUNCTION("""COMPUTED_VALUE"""),0.968298840218231)</f>
        <v>0.9682988402</v>
      </c>
      <c r="N92" s="47">
        <f>IFERROR(__xludf.DUMMYFUNCTION("""COMPUTED_VALUE"""),21.5)</f>
        <v>21.5</v>
      </c>
      <c r="O92" s="47">
        <f>IFERROR(__xludf.DUMMYFUNCTION("""COMPUTED_VALUE"""),1.3)</f>
        <v>1.3</v>
      </c>
      <c r="P92" s="47">
        <f>IFERROR(__xludf.DUMMYFUNCTION("""COMPUTED_VALUE"""),7.5)</f>
        <v>7.5</v>
      </c>
      <c r="Q92" s="48">
        <f>IFERROR(__xludf.DUMMYFUNCTION("""COMPUTED_VALUE"""),4.0)</f>
        <v>4</v>
      </c>
      <c r="R92" s="47">
        <f>IFERROR(__xludf.DUMMYFUNCTION("""COMPUTED_VALUE"""),1.0)</f>
        <v>1</v>
      </c>
      <c r="S92" s="47">
        <f>IFERROR(__xludf.DUMMYFUNCTION("""COMPUTED_VALUE"""),0.7)</f>
        <v>0.7</v>
      </c>
      <c r="T92" s="47">
        <f>IFERROR(__xludf.DUMMYFUNCTION("""COMPUTED_VALUE"""),44.242424242424235)</f>
        <v>44.24242424</v>
      </c>
      <c r="U92" s="47">
        <f>IFERROR(__xludf.DUMMYFUNCTION("""COMPUTED_VALUE"""),74.66666666666666)</f>
        <v>74.66666667</v>
      </c>
      <c r="V92" s="47">
        <f>IFERROR(__xludf.DUMMYFUNCTION("""COMPUTED_VALUE"""),2.8)</f>
        <v>2.8</v>
      </c>
      <c r="W92" s="46">
        <f>IFERROR(__xludf.DUMMYFUNCTION("""COMPUTED_VALUE"""),0.7151135928937739)</f>
        <v>0.7151135929</v>
      </c>
      <c r="X92" s="46">
        <f>IFERROR(__xludf.DUMMYFUNCTION("""COMPUTED_VALUE"""),-0.2988703885719002)</f>
        <v>-0.2988703886</v>
      </c>
      <c r="Y92" s="46">
        <f>IFERROR(__xludf.DUMMYFUNCTION("""COMPUTED_VALUE"""),0.5873665619102322)</f>
        <v>0.5873665619</v>
      </c>
      <c r="Z92" s="46">
        <f>IFERROR(__xludf.DUMMYFUNCTION("""COMPUTED_VALUE"""),0.07956383839796079)</f>
        <v>0.0795638384</v>
      </c>
      <c r="AA92" s="46">
        <f>IFERROR(__xludf.DUMMYFUNCTION("""COMPUTED_VALUE"""),0.011629328042640127)</f>
        <v>0.01162932804</v>
      </c>
      <c r="AB92" s="46">
        <f>IFERROR(__xludf.DUMMYFUNCTION("""COMPUTED_VALUE"""),-0.0017508778622903794)</f>
        <v>-0.001750877862</v>
      </c>
      <c r="AC92" s="46">
        <f>IFERROR(__xludf.DUMMYFUNCTION("""COMPUTED_VALUE"""),-0.88274005040038)</f>
        <v>-0.8827400504</v>
      </c>
      <c r="AD92" s="46">
        <f>IFERROR(__xludf.DUMMYFUNCTION("""COMPUTED_VALUE"""),-0.805180495590585)</f>
        <v>-0.8051804956</v>
      </c>
      <c r="AE92" s="46">
        <f>IFERROR(__xludf.DUMMYFUNCTION("""COMPUTED_VALUE"""),-0.250025837566625)</f>
        <v>-0.2500258376</v>
      </c>
    </row>
    <row r="93">
      <c r="A93" s="6" t="str">
        <f>IF(VLOOKUP(H93,'Paste #BBall'!$B$2:$N1001,3,)="BRO","BKN",IF(VLOOKUP(H93,'Paste #BBall'!$B$2:$N1001,3,)="OKL","OKC",VLOOKUP(H93,'Paste #BBall'!$B$2:$N1001,3,)))</f>
        <v>POR</v>
      </c>
      <c r="B93" s="42">
        <f>VLOOKUP($A93,Schedule!$C$2:$G$31,2,0)</f>
        <v>4</v>
      </c>
      <c r="C93" s="42">
        <f>VLOOKUP($A93,Schedule!$C$2:$G$31,3,0)</f>
        <v>4</v>
      </c>
      <c r="D93" s="42">
        <f>VLOOKUP($A93,Schedule!$C$2:$G$31,4,0)</f>
        <v>4</v>
      </c>
      <c r="E93" s="42">
        <f t="shared" si="1"/>
        <v>12</v>
      </c>
      <c r="F93" s="51">
        <v>88.0</v>
      </c>
      <c r="G93" s="45">
        <f>IFERROR(__xludf.DUMMYFUNCTION("""COMPUTED_VALUE"""),75.0)</f>
        <v>75</v>
      </c>
      <c r="H93" s="45" t="str">
        <f>IFERROR(__xludf.DUMMYFUNCTION("""COMPUTED_VALUE"""),"Jerami Grant")</f>
        <v>Jerami Grant</v>
      </c>
      <c r="I93" s="45">
        <f>IFERROR(__xludf.DUMMYFUNCTION("""COMPUTED_VALUE"""),65.0)</f>
        <v>65</v>
      </c>
      <c r="J93" s="46" t="str">
        <f>IFERROR(__xludf.DUMMYFUNCTION("""COMPUTED_VALUE"""),"PF")</f>
        <v>PF</v>
      </c>
      <c r="K93" s="46">
        <f>IFERROR(__xludf.DUMMYFUNCTION("""COMPUTED_VALUE"""),-0.6131414604792693)</f>
        <v>-0.6131414605</v>
      </c>
      <c r="L93" s="46">
        <f>IFERROR(__xludf.DUMMYFUNCTION("""COMPUTED_VALUE"""),0.03526288695947233)</f>
        <v>0.03526288696</v>
      </c>
      <c r="M93" s="47">
        <f>IFERROR(__xludf.DUMMYFUNCTION("""COMPUTED_VALUE"""),0.6484043474387416)</f>
        <v>0.6484043474</v>
      </c>
      <c r="N93" s="47">
        <f>IFERROR(__xludf.DUMMYFUNCTION("""COMPUTED_VALUE"""),19.6)</f>
        <v>19.6</v>
      </c>
      <c r="O93" s="47">
        <f>IFERROR(__xludf.DUMMYFUNCTION("""COMPUTED_VALUE"""),2.1)</f>
        <v>2.1</v>
      </c>
      <c r="P93" s="47">
        <f>IFERROR(__xludf.DUMMYFUNCTION("""COMPUTED_VALUE"""),4.4)</f>
        <v>4.4</v>
      </c>
      <c r="Q93" s="48">
        <f>IFERROR(__xludf.DUMMYFUNCTION("""COMPUTED_VALUE"""),2.4)</f>
        <v>2.4</v>
      </c>
      <c r="R93" s="47">
        <f>IFERROR(__xludf.DUMMYFUNCTION("""COMPUTED_VALUE"""),0.9)</f>
        <v>0.9</v>
      </c>
      <c r="S93" s="47">
        <f>IFERROR(__xludf.DUMMYFUNCTION("""COMPUTED_VALUE"""),0.9)</f>
        <v>0.9</v>
      </c>
      <c r="T93" s="47">
        <f>IFERROR(__xludf.DUMMYFUNCTION("""COMPUTED_VALUE"""),46.85314685314685)</f>
        <v>46.85314685</v>
      </c>
      <c r="U93" s="47">
        <f>IFERROR(__xludf.DUMMYFUNCTION("""COMPUTED_VALUE"""),80.76923076923077)</f>
        <v>80.76923077</v>
      </c>
      <c r="V93" s="47">
        <f>IFERROR(__xludf.DUMMYFUNCTION("""COMPUTED_VALUE"""),1.8)</f>
        <v>1.8</v>
      </c>
      <c r="W93" s="46">
        <f>IFERROR(__xludf.DUMMYFUNCTION("""COMPUTED_VALUE"""),0.39491347667268123)</f>
        <v>0.3949134767</v>
      </c>
      <c r="X93" s="46">
        <f>IFERROR(__xludf.DUMMYFUNCTION("""COMPUTED_VALUE"""),0.39483264099537524)</f>
        <v>0.394832641</v>
      </c>
      <c r="Y93" s="46">
        <f>IFERROR(__xludf.DUMMYFUNCTION("""COMPUTED_VALUE"""),-0.7089099036249258)</f>
        <v>-0.7089099036</v>
      </c>
      <c r="Z93" s="46">
        <f>IFERROR(__xludf.DUMMYFUNCTION("""COMPUTED_VALUE"""),-0.7364755297862564)</f>
        <v>-0.7364755298</v>
      </c>
      <c r="AA93" s="46">
        <f>IFERROR(__xludf.DUMMYFUNCTION("""COMPUTED_VALUE"""),-0.2064205727568726)</f>
        <v>-0.2064205728</v>
      </c>
      <c r="AB93" s="46">
        <f>IFERROR(__xludf.DUMMYFUNCTION("""COMPUTED_VALUE"""),0.2608808014812299)</f>
        <v>0.2608808015</v>
      </c>
      <c r="AC93" s="46">
        <f>IFERROR(__xludf.DUMMYFUNCTION("""COMPUTED_VALUE"""),-0.39213176610273137)</f>
        <v>-0.3921317661</v>
      </c>
      <c r="AD93" s="46">
        <f>IFERROR(__xludf.DUMMYFUNCTION("""COMPUTED_VALUE"""),0.23166150121404186)</f>
        <v>0.2316615012</v>
      </c>
      <c r="AE93" s="46">
        <f>IFERROR(__xludf.DUMMYFUNCTION("""COMPUTED_VALUE"""),0.06043670908067405)</f>
        <v>0.06043670908</v>
      </c>
    </row>
    <row r="94">
      <c r="A94" s="6" t="str">
        <f>IF(VLOOKUP(H94,'Paste #BBall'!$B$2:$N1001,3,)="BRO","BKN",IF(VLOOKUP(H94,'Paste #BBall'!$B$2:$N1001,3,)="OKL","OKC",VLOOKUP(H94,'Paste #BBall'!$B$2:$N1001,3,)))</f>
        <v>NO</v>
      </c>
      <c r="B94" s="42">
        <f>VLOOKUP($A94,Schedule!$C$2:$G$31,2,0)</f>
        <v>3</v>
      </c>
      <c r="C94" s="42">
        <f>VLOOKUP($A94,Schedule!$C$2:$G$31,3,0)</f>
        <v>3</v>
      </c>
      <c r="D94" s="42">
        <f>VLOOKUP($A94,Schedule!$C$2:$G$31,4,0)</f>
        <v>4</v>
      </c>
      <c r="E94" s="42">
        <f t="shared" si="1"/>
        <v>10</v>
      </c>
      <c r="F94" s="43">
        <v>89.0</v>
      </c>
      <c r="G94" s="45">
        <f>IFERROR(__xludf.DUMMYFUNCTION("""COMPUTED_VALUE"""),97.0)</f>
        <v>97</v>
      </c>
      <c r="H94" s="45" t="str">
        <f>IFERROR(__xludf.DUMMYFUNCTION("""COMPUTED_VALUE"""),"Jonas Valanciunas")</f>
        <v>Jonas Valanciunas</v>
      </c>
      <c r="I94" s="45">
        <f>IFERROR(__xludf.DUMMYFUNCTION("""COMPUTED_VALUE"""),74.0)</f>
        <v>74</v>
      </c>
      <c r="J94" s="46" t="str">
        <f>IFERROR(__xludf.DUMMYFUNCTION("""COMPUTED_VALUE"""),"C")</f>
        <v>C</v>
      </c>
      <c r="K94" s="46">
        <f>IFERROR(__xludf.DUMMYFUNCTION("""COMPUTED_VALUE"""),-1.7206664544266304)</f>
        <v>-1.720666454</v>
      </c>
      <c r="L94" s="46">
        <f>IFERROR(__xludf.DUMMYFUNCTION("""COMPUTED_VALUE"""),0.013236175126229544)</f>
        <v>0.01323617513</v>
      </c>
      <c r="M94" s="47">
        <f>IFERROR(__xludf.DUMMYFUNCTION("""COMPUTED_VALUE"""),1.73390262955286)</f>
        <v>1.73390263</v>
      </c>
      <c r="N94" s="47">
        <f>IFERROR(__xludf.DUMMYFUNCTION("""COMPUTED_VALUE"""),14.1)</f>
        <v>14.1</v>
      </c>
      <c r="O94" s="47">
        <f>IFERROR(__xludf.DUMMYFUNCTION("""COMPUTED_VALUE"""),0.6)</f>
        <v>0.6</v>
      </c>
      <c r="P94" s="47">
        <f>IFERROR(__xludf.DUMMYFUNCTION("""COMPUTED_VALUE"""),9.9)</f>
        <v>9.9</v>
      </c>
      <c r="Q94" s="48">
        <f>IFERROR(__xludf.DUMMYFUNCTION("""COMPUTED_VALUE"""),2.0)</f>
        <v>2</v>
      </c>
      <c r="R94" s="47">
        <f>IFERROR(__xludf.DUMMYFUNCTION("""COMPUTED_VALUE"""),0.4)</f>
        <v>0.4</v>
      </c>
      <c r="S94" s="47">
        <f>IFERROR(__xludf.DUMMYFUNCTION("""COMPUTED_VALUE"""),0.7)</f>
        <v>0.7</v>
      </c>
      <c r="T94" s="47">
        <f>IFERROR(__xludf.DUMMYFUNCTION("""COMPUTED_VALUE"""),54.28571428571429)</f>
        <v>54.28571429</v>
      </c>
      <c r="U94" s="47">
        <f>IFERROR(__xludf.DUMMYFUNCTION("""COMPUTED_VALUE"""),84.00000000000001)</f>
        <v>84</v>
      </c>
      <c r="V94" s="47">
        <f>IFERROR(__xludf.DUMMYFUNCTION("""COMPUTED_VALUE"""),2.0)</f>
        <v>2</v>
      </c>
      <c r="W94" s="46">
        <f>IFERROR(__xludf.DUMMYFUNCTION("""COMPUTED_VALUE"""),-0.5319815965989035)</f>
        <v>-0.5319815966</v>
      </c>
      <c r="X94" s="46">
        <f>IFERROR(__xludf.DUMMYFUNCTION("""COMPUTED_VALUE"""),-0.9058605394432663)</f>
        <v>-0.9058605394</v>
      </c>
      <c r="Y94" s="46">
        <f>IFERROR(__xludf.DUMMYFUNCTION("""COMPUTED_VALUE"""),1.5909354384535805)</f>
        <v>1.590935438</v>
      </c>
      <c r="Z94" s="46">
        <f>IFERROR(__xludf.DUMMYFUNCTION("""COMPUTED_VALUE"""),-0.9404853718323106)</f>
        <v>-0.9404853718</v>
      </c>
      <c r="AA94" s="46">
        <f>IFERROR(__xludf.DUMMYFUNCTION("""COMPUTED_VALUE"""),-1.2966700767544366)</f>
        <v>-1.296670077</v>
      </c>
      <c r="AB94" s="46">
        <f>IFERROR(__xludf.DUMMYFUNCTION("""COMPUTED_VALUE"""),-0.0017508778622903794)</f>
        <v>-0.001750877862</v>
      </c>
      <c r="AC94" s="46">
        <f>IFERROR(__xludf.DUMMYFUNCTION("""COMPUTED_VALUE"""),0.49160490783777755)</f>
        <v>0.4916049078</v>
      </c>
      <c r="AD94" s="46">
        <f>IFERROR(__xludf.DUMMYFUNCTION("""COMPUTED_VALUE"""),0.3124300148204282)</f>
        <v>0.3124300148</v>
      </c>
      <c r="AE94" s="46">
        <f>IFERROR(__xludf.DUMMYFUNCTION("""COMPUTED_VALUE"""),-0.0016558002487857576)</f>
        <v>-0.001655800249</v>
      </c>
    </row>
    <row r="95">
      <c r="A95" s="6" t="str">
        <f>IF(VLOOKUP(H95,'Paste #BBall'!$B$2:$N1001,3,)="BRO","BKN",IF(VLOOKUP(H95,'Paste #BBall'!$B$2:$N1001,3,)="OKL","OKC",VLOOKUP(H95,'Paste #BBall'!$B$2:$N1001,3,)))</f>
        <v>DEN</v>
      </c>
      <c r="B95" s="42">
        <f>VLOOKUP($A95,Schedule!$C$2:$G$31,2,0)</f>
        <v>3</v>
      </c>
      <c r="C95" s="42">
        <f>VLOOKUP($A95,Schedule!$C$2:$G$31,3,0)</f>
        <v>4</v>
      </c>
      <c r="D95" s="42">
        <f>VLOOKUP($A95,Schedule!$C$2:$G$31,4,0)</f>
        <v>3</v>
      </c>
      <c r="E95" s="42">
        <f t="shared" si="1"/>
        <v>10</v>
      </c>
      <c r="F95" s="51">
        <v>90.0</v>
      </c>
      <c r="G95" s="45">
        <f>IFERROR(__xludf.DUMMYFUNCTION("""COMPUTED_VALUE"""),100.0)</f>
        <v>100</v>
      </c>
      <c r="H95" s="45" t="str">
        <f>IFERROR(__xludf.DUMMYFUNCTION("""COMPUTED_VALUE"""),"Michael Porter Jr.")</f>
        <v>Michael Porter Jr.</v>
      </c>
      <c r="I95" s="45">
        <f>IFERROR(__xludf.DUMMYFUNCTION("""COMPUTED_VALUE"""),65.0)</f>
        <v>65</v>
      </c>
      <c r="J95" s="46" t="str">
        <f>IFERROR(__xludf.DUMMYFUNCTION("""COMPUTED_VALUE"""),"SF")</f>
        <v>SF</v>
      </c>
      <c r="K95" s="46">
        <f>IFERROR(__xludf.DUMMYFUNCTION("""COMPUTED_VALUE"""),-1.7716116308898697)</f>
        <v>-1.771611631</v>
      </c>
      <c r="L95" s="46">
        <f>IFERROR(__xludf.DUMMYFUNCTION("""COMPUTED_VALUE"""),0.007453628579224381)</f>
        <v>0.007453628579</v>
      </c>
      <c r="M95" s="47">
        <f>IFERROR(__xludf.DUMMYFUNCTION("""COMPUTED_VALUE"""),1.779065259469094)</f>
        <v>1.779065259</v>
      </c>
      <c r="N95" s="47">
        <f>IFERROR(__xludf.DUMMYFUNCTION("""COMPUTED_VALUE"""),17.3)</f>
        <v>17.3</v>
      </c>
      <c r="O95" s="47">
        <f>IFERROR(__xludf.DUMMYFUNCTION("""COMPUTED_VALUE"""),2.9)</f>
        <v>2.9</v>
      </c>
      <c r="P95" s="47">
        <f>IFERROR(__xludf.DUMMYFUNCTION("""COMPUTED_VALUE"""),5.9)</f>
        <v>5.9</v>
      </c>
      <c r="Q95" s="48">
        <f>IFERROR(__xludf.DUMMYFUNCTION("""COMPUTED_VALUE"""),1.2)</f>
        <v>1.2</v>
      </c>
      <c r="R95" s="47">
        <f>IFERROR(__xludf.DUMMYFUNCTION("""COMPUTED_VALUE"""),0.7)</f>
        <v>0.7</v>
      </c>
      <c r="S95" s="47">
        <f>IFERROR(__xludf.DUMMYFUNCTION("""COMPUTED_VALUE"""),0.5)</f>
        <v>0.5</v>
      </c>
      <c r="T95" s="47">
        <f>IFERROR(__xludf.DUMMYFUNCTION("""COMPUTED_VALUE"""),47.05882352941177)</f>
        <v>47.05882353</v>
      </c>
      <c r="U95" s="47">
        <f>IFERROR(__xludf.DUMMYFUNCTION("""COMPUTED_VALUE"""),78.94736842105263)</f>
        <v>78.94736842</v>
      </c>
      <c r="V95" s="47">
        <f>IFERROR(__xludf.DUMMYFUNCTION("""COMPUTED_VALUE"""),1.2)</f>
        <v>1.2</v>
      </c>
      <c r="W95" s="46">
        <f>IFERROR(__xludf.DUMMYFUNCTION("""COMPUTED_VALUE"""),0.007302809668200307)</f>
        <v>0.007302809668</v>
      </c>
      <c r="X95" s="46">
        <f>IFERROR(__xludf.DUMMYFUNCTION("""COMPUTED_VALUE"""),1.0885356705626503)</f>
        <v>1.088535671</v>
      </c>
      <c r="Y95" s="46">
        <f>IFERROR(__xludf.DUMMYFUNCTION("""COMPUTED_VALUE"""),-0.08167935578533317)</f>
        <v>-0.08167935579</v>
      </c>
      <c r="Z95" s="46">
        <f>IFERROR(__xludf.DUMMYFUNCTION("""COMPUTED_VALUE"""),-1.3485050559244194)</f>
        <v>-1.348505056</v>
      </c>
      <c r="AA95" s="46">
        <f>IFERROR(__xludf.DUMMYFUNCTION("""COMPUTED_VALUE"""),-0.6425203743558983)</f>
        <v>-0.6425203744</v>
      </c>
      <c r="AB95" s="46">
        <f>IFERROR(__xludf.DUMMYFUNCTION("""COMPUTED_VALUE"""),-0.2643825572058105)</f>
        <v>-0.2643825572</v>
      </c>
      <c r="AC95" s="46">
        <f>IFERROR(__xludf.DUMMYFUNCTION("""COMPUTED_VALUE"""),-0.3449962242871927)</f>
        <v>-0.3449962243</v>
      </c>
      <c r="AD95" s="46">
        <f>IFERROR(__xludf.DUMMYFUNCTION("""COMPUTED_VALUE"""),-0.0015205770864451739)</f>
        <v>-0.001520577086</v>
      </c>
      <c r="AE95" s="46">
        <f>IFERROR(__xludf.DUMMYFUNCTION("""COMPUTED_VALUE"""),0.24671423706905354)</f>
        <v>0.2467142371</v>
      </c>
    </row>
    <row r="96">
      <c r="A96" s="6" t="str">
        <f>IF(VLOOKUP(H96,'Paste #BBall'!$B$2:$N1001,3,)="BRO","BKN",IF(VLOOKUP(H96,'Paste #BBall'!$B$2:$N1001,3,)="OKL","OKC",VLOOKUP(H96,'Paste #BBall'!$B$2:$N1001,3,)))</f>
        <v>MIN</v>
      </c>
      <c r="B96" s="42">
        <f>VLOOKUP($A96,Schedule!$C$2:$G$31,2,0)</f>
        <v>4</v>
      </c>
      <c r="C96" s="42">
        <f>VLOOKUP($A96,Schedule!$C$2:$G$31,3,0)</f>
        <v>2</v>
      </c>
      <c r="D96" s="42">
        <f>VLOOKUP($A96,Schedule!$C$2:$G$31,4,0)</f>
        <v>4</v>
      </c>
      <c r="E96" s="42">
        <f t="shared" si="1"/>
        <v>10</v>
      </c>
      <c r="F96" s="51">
        <v>91.0</v>
      </c>
      <c r="G96" s="45">
        <f>IFERROR(__xludf.DUMMYFUNCTION("""COMPUTED_VALUE"""),102.0)</f>
        <v>102</v>
      </c>
      <c r="H96" s="45" t="str">
        <f>IFERROR(__xludf.DUMMYFUNCTION("""COMPUTED_VALUE"""),"Mike Conley")</f>
        <v>Mike Conley</v>
      </c>
      <c r="I96" s="45">
        <f>IFERROR(__xludf.DUMMYFUNCTION("""COMPUTED_VALUE"""),68.0)</f>
        <v>68</v>
      </c>
      <c r="J96" s="46" t="str">
        <f>IFERROR(__xludf.DUMMYFUNCTION("""COMPUTED_VALUE"""),"PG")</f>
        <v>PG</v>
      </c>
      <c r="K96" s="46">
        <f>IFERROR(__xludf.DUMMYFUNCTION("""COMPUTED_VALUE"""),-1.788887385711535)</f>
        <v>-1.788887386</v>
      </c>
      <c r="L96" s="46">
        <f>IFERROR(__xludf.DUMMYFUNCTION("""COMPUTED_VALUE"""),-0.032727994589573095)</f>
        <v>-0.03272799459</v>
      </c>
      <c r="M96" s="47">
        <f>IFERROR(__xludf.DUMMYFUNCTION("""COMPUTED_VALUE"""),1.756159391121962)</f>
        <v>1.756159391</v>
      </c>
      <c r="N96" s="47">
        <f>IFERROR(__xludf.DUMMYFUNCTION("""COMPUTED_VALUE"""),12.4)</f>
        <v>12.4</v>
      </c>
      <c r="O96" s="47">
        <f>IFERROR(__xludf.DUMMYFUNCTION("""COMPUTED_VALUE"""),2.1)</f>
        <v>2.1</v>
      </c>
      <c r="P96" s="47">
        <f>IFERROR(__xludf.DUMMYFUNCTION("""COMPUTED_VALUE"""),2.8)</f>
        <v>2.8</v>
      </c>
      <c r="Q96" s="48">
        <f>IFERROR(__xludf.DUMMYFUNCTION("""COMPUTED_VALUE"""),6.0)</f>
        <v>6</v>
      </c>
      <c r="R96" s="47">
        <f>IFERROR(__xludf.DUMMYFUNCTION("""COMPUTED_VALUE"""),1.1)</f>
        <v>1.1</v>
      </c>
      <c r="S96" s="47">
        <f>IFERROR(__xludf.DUMMYFUNCTION("""COMPUTED_VALUE"""),0.2)</f>
        <v>0.2</v>
      </c>
      <c r="T96" s="47">
        <f>IFERROR(__xludf.DUMMYFUNCTION("""COMPUTED_VALUE"""),43.29896907216496)</f>
        <v>43.29896907</v>
      </c>
      <c r="U96" s="47">
        <f>IFERROR(__xludf.DUMMYFUNCTION("""COMPUTED_VALUE"""),82.6086956521739)</f>
        <v>82.60869565</v>
      </c>
      <c r="V96" s="47">
        <f>IFERROR(__xludf.DUMMYFUNCTION("""COMPUTED_VALUE"""),1.6)</f>
        <v>1.6</v>
      </c>
      <c r="W96" s="46">
        <f>IFERROR(__xludf.DUMMYFUNCTION("""COMPUTED_VALUE"""),-0.8184764374283023)</f>
        <v>-0.8184764374</v>
      </c>
      <c r="X96" s="46">
        <f>IFERROR(__xludf.DUMMYFUNCTION("""COMPUTED_VALUE"""),0.39483264099537524)</f>
        <v>0.394832641</v>
      </c>
      <c r="Y96" s="46">
        <f>IFERROR(__xludf.DUMMYFUNCTION("""COMPUTED_VALUE"""),-1.3779558213204914)</f>
        <v>-1.377955821</v>
      </c>
      <c r="Z96" s="46">
        <f>IFERROR(__xludf.DUMMYFUNCTION("""COMPUTED_VALUE"""),1.0996130486282323)</f>
        <v>1.099613049</v>
      </c>
      <c r="AA96" s="46">
        <f>IFERROR(__xludf.DUMMYFUNCTION("""COMPUTED_VALUE"""),0.22967922884215308)</f>
        <v>0.2296792288</v>
      </c>
      <c r="AB96" s="46">
        <f>IFERROR(__xludf.DUMMYFUNCTION("""COMPUTED_VALUE"""),-0.6583300762210907)</f>
        <v>-0.6583300762</v>
      </c>
      <c r="AC96" s="46">
        <f>IFERROR(__xludf.DUMMYFUNCTION("""COMPUTED_VALUE"""),-0.6103554353342111)</f>
        <v>-0.6103554353</v>
      </c>
      <c r="AD96" s="46">
        <f>IFERROR(__xludf.DUMMYFUNCTION("""COMPUTED_VALUE"""),0.20777981751813673)</f>
        <v>0.2077798175</v>
      </c>
      <c r="AE96" s="46">
        <f>IFERROR(__xludf.DUMMYFUNCTION("""COMPUTED_VALUE"""),0.12252921841013387)</f>
        <v>0.1225292184</v>
      </c>
    </row>
    <row r="97">
      <c r="A97" s="6" t="str">
        <f>IF(VLOOKUP(H97,'Paste #BBall'!$B$2:$N1001,3,)="BRO","BKN",IF(VLOOKUP(H97,'Paste #BBall'!$B$2:$N1001,3,)="OKL","OKC",VLOOKUP(H97,'Paste #BBall'!$B$2:$N1001,3,)))</f>
        <v>CHA</v>
      </c>
      <c r="B97" s="42">
        <f>VLOOKUP($A97,Schedule!$C$2:$G$31,2,0)</f>
        <v>3</v>
      </c>
      <c r="C97" s="42">
        <f>VLOOKUP($A97,Schedule!$C$2:$G$31,3,0)</f>
        <v>4</v>
      </c>
      <c r="D97" s="42">
        <f>VLOOKUP($A97,Schedule!$C$2:$G$31,4,0)</f>
        <v>2</v>
      </c>
      <c r="E97" s="42">
        <f t="shared" si="1"/>
        <v>9</v>
      </c>
      <c r="F97" s="43">
        <v>92.0</v>
      </c>
      <c r="G97" s="45">
        <f>IFERROR(__xludf.DUMMYFUNCTION("""COMPUTED_VALUE"""),79.0)</f>
        <v>79</v>
      </c>
      <c r="H97" s="45" t="str">
        <f>IFERROR(__xludf.DUMMYFUNCTION("""COMPUTED_VALUE"""),"Miles Bridges")</f>
        <v>Miles Bridges</v>
      </c>
      <c r="I97" s="45">
        <f>IFERROR(__xludf.DUMMYFUNCTION("""COMPUTED_VALUE"""),60.0)</f>
        <v>60</v>
      </c>
      <c r="J97" s="46" t="str">
        <f>IFERROR(__xludf.DUMMYFUNCTION("""COMPUTED_VALUE"""),"SF,PF")</f>
        <v>SF,PF</v>
      </c>
      <c r="K97" s="46">
        <f>IFERROR(__xludf.DUMMYFUNCTION("""COMPUTED_VALUE"""),-0.7301051457281598)</f>
        <v>-0.7301051457</v>
      </c>
      <c r="L97" s="46">
        <f>IFERROR(__xludf.DUMMYFUNCTION("""COMPUTED_VALUE"""),-0.055492187309456265)</f>
        <v>-0.05549218731</v>
      </c>
      <c r="M97" s="47">
        <f>IFERROR(__xludf.DUMMYFUNCTION("""COMPUTED_VALUE"""),0.6746129584187035)</f>
        <v>0.6746129584</v>
      </c>
      <c r="N97" s="47">
        <f>IFERROR(__xludf.DUMMYFUNCTION("""COMPUTED_VALUE"""),17.3)</f>
        <v>17.3</v>
      </c>
      <c r="O97" s="47">
        <f>IFERROR(__xludf.DUMMYFUNCTION("""COMPUTED_VALUE"""),1.7)</f>
        <v>1.7</v>
      </c>
      <c r="P97" s="47">
        <f>IFERROR(__xludf.DUMMYFUNCTION("""COMPUTED_VALUE"""),6.1)</f>
        <v>6.1</v>
      </c>
      <c r="Q97" s="48">
        <f>IFERROR(__xludf.DUMMYFUNCTION("""COMPUTED_VALUE"""),3.3)</f>
        <v>3.3</v>
      </c>
      <c r="R97" s="47">
        <f>IFERROR(__xludf.DUMMYFUNCTION("""COMPUTED_VALUE"""),0.8)</f>
        <v>0.8</v>
      </c>
      <c r="S97" s="47">
        <f>IFERROR(__xludf.DUMMYFUNCTION("""COMPUTED_VALUE"""),0.7)</f>
        <v>0.7</v>
      </c>
      <c r="T97" s="47">
        <f>IFERROR(__xludf.DUMMYFUNCTION("""COMPUTED_VALUE"""),48.85496183206107)</f>
        <v>48.85496183</v>
      </c>
      <c r="U97" s="47">
        <f>IFERROR(__xludf.DUMMYFUNCTION("""COMPUTED_VALUE"""),80.55555555555554)</f>
        <v>80.55555556</v>
      </c>
      <c r="V97" s="47">
        <f>IFERROR(__xludf.DUMMYFUNCTION("""COMPUTED_VALUE"""),1.6)</f>
        <v>1.6</v>
      </c>
      <c r="W97" s="46">
        <f>IFERROR(__xludf.DUMMYFUNCTION("""COMPUTED_VALUE"""),0.007302809668200307)</f>
        <v>0.007302809668</v>
      </c>
      <c r="X97" s="46">
        <f>IFERROR(__xludf.DUMMYFUNCTION("""COMPUTED_VALUE"""),0.047981126211737425)</f>
        <v>0.04798112621</v>
      </c>
      <c r="Y97" s="46">
        <f>IFERROR(__xludf.DUMMYFUNCTION("""COMPUTED_VALUE"""),0.0019513839266122224)</f>
        <v>0.001951383927</v>
      </c>
      <c r="Z97" s="46">
        <f>IFERROR(__xludf.DUMMYFUNCTION("""COMPUTED_VALUE"""),-0.27745338518263435)</f>
        <v>-0.2774533852</v>
      </c>
      <c r="AA97" s="46">
        <f>IFERROR(__xludf.DUMMYFUNCTION("""COMPUTED_VALUE"""),-0.42447047355638534)</f>
        <v>-0.4244704736</v>
      </c>
      <c r="AB97" s="46">
        <f>IFERROR(__xludf.DUMMYFUNCTION("""COMPUTED_VALUE"""),-0.0017508778622903794)</f>
        <v>-0.001750877862</v>
      </c>
      <c r="AC97" s="46">
        <f>IFERROR(__xludf.DUMMYFUNCTION("""COMPUTED_VALUE"""),-0.09728547387058557)</f>
        <v>-0.09728547387</v>
      </c>
      <c r="AD97" s="46">
        <f>IFERROR(__xludf.DUMMYFUNCTION("""COMPUTED_VALUE"""),0.14123301138937017)</f>
        <v>0.1412330114</v>
      </c>
      <c r="AE97" s="46">
        <f>IFERROR(__xludf.DUMMYFUNCTION("""COMPUTED_VALUE"""),0.12252921841013387)</f>
        <v>0.1225292184</v>
      </c>
    </row>
    <row r="98">
      <c r="A98" s="6" t="str">
        <f>IF(VLOOKUP(H98,'Paste #BBall'!$B$2:$N1001,3,)="BRO","BKN",IF(VLOOKUP(H98,'Paste #BBall'!$B$2:$N1001,3,)="OKL","OKC",VLOOKUP(H98,'Paste #BBall'!$B$2:$N1001,3,)))</f>
        <v>PHI</v>
      </c>
      <c r="B98" s="42">
        <f>VLOOKUP($A98,Schedule!$C$2:$G$31,2,0)</f>
        <v>4</v>
      </c>
      <c r="C98" s="42">
        <f>VLOOKUP($A98,Schedule!$C$2:$G$31,3,0)</f>
        <v>3</v>
      </c>
      <c r="D98" s="42">
        <f>VLOOKUP($A98,Schedule!$C$2:$G$31,4,0)</f>
        <v>4</v>
      </c>
      <c r="E98" s="42">
        <f t="shared" si="1"/>
        <v>11</v>
      </c>
      <c r="F98" s="51">
        <v>93.0</v>
      </c>
      <c r="G98" s="45">
        <f>IFERROR(__xludf.DUMMYFUNCTION("""COMPUTED_VALUE"""),77.0)</f>
        <v>77</v>
      </c>
      <c r="H98" s="45" t="str">
        <f>IFERROR(__xludf.DUMMYFUNCTION("""COMPUTED_VALUE"""),"De'Anthony Melton")</f>
        <v>De'Anthony Melton</v>
      </c>
      <c r="I98" s="45">
        <f>IFERROR(__xludf.DUMMYFUNCTION("""COMPUTED_VALUE"""),72.0)</f>
        <v>72</v>
      </c>
      <c r="J98" s="46" t="str">
        <f>IFERROR(__xludf.DUMMYFUNCTION("""COMPUTED_VALUE"""),"PG,SG")</f>
        <v>PG,SG</v>
      </c>
      <c r="K98" s="46">
        <f>IFERROR(__xludf.DUMMYFUNCTION("""COMPUTED_VALUE"""),-0.6660028014339003)</f>
        <v>-0.6660028014</v>
      </c>
      <c r="L98" s="46">
        <f>IFERROR(__xludf.DUMMYFUNCTION("""COMPUTED_VALUE"""),-0.07674778409818006)</f>
        <v>-0.0767477841</v>
      </c>
      <c r="M98" s="47">
        <f>IFERROR(__xludf.DUMMYFUNCTION("""COMPUTED_VALUE"""),0.5892550173357203)</f>
        <v>0.5892550173</v>
      </c>
      <c r="N98" s="47">
        <f>IFERROR(__xludf.DUMMYFUNCTION("""COMPUTED_VALUE"""),11.3)</f>
        <v>11.3</v>
      </c>
      <c r="O98" s="47">
        <f>IFERROR(__xludf.DUMMYFUNCTION("""COMPUTED_VALUE"""),2.1)</f>
        <v>2.1</v>
      </c>
      <c r="P98" s="47">
        <f>IFERROR(__xludf.DUMMYFUNCTION("""COMPUTED_VALUE"""),4.6)</f>
        <v>4.6</v>
      </c>
      <c r="Q98" s="48">
        <f>IFERROR(__xludf.DUMMYFUNCTION("""COMPUTED_VALUE"""),2.8)</f>
        <v>2.8</v>
      </c>
      <c r="R98" s="47">
        <f>IFERROR(__xludf.DUMMYFUNCTION("""COMPUTED_VALUE"""),1.7)</f>
        <v>1.7</v>
      </c>
      <c r="S98" s="47">
        <f>IFERROR(__xludf.DUMMYFUNCTION("""COMPUTED_VALUE"""),0.6)</f>
        <v>0.6</v>
      </c>
      <c r="T98" s="47">
        <f>IFERROR(__xludf.DUMMYFUNCTION("""COMPUTED_VALUE"""),42.5531914893617)</f>
        <v>42.55319149</v>
      </c>
      <c r="U98" s="47">
        <f>IFERROR(__xludf.DUMMYFUNCTION("""COMPUTED_VALUE"""),73.33333333333334)</f>
        <v>73.33333333</v>
      </c>
      <c r="V98" s="47">
        <f>IFERROR(__xludf.DUMMYFUNCTION("""COMPUTED_VALUE"""),1.5)</f>
        <v>1.5</v>
      </c>
      <c r="W98" s="46">
        <f>IFERROR(__xludf.DUMMYFUNCTION("""COMPUTED_VALUE"""),-1.003855452082619)</f>
        <v>-1.003855452</v>
      </c>
      <c r="X98" s="46">
        <f>IFERROR(__xludf.DUMMYFUNCTION("""COMPUTED_VALUE"""),0.39483264099537524)</f>
        <v>0.394832641</v>
      </c>
      <c r="Y98" s="46">
        <f>IFERROR(__xludf.DUMMYFUNCTION("""COMPUTED_VALUE"""),-0.6252791639129804)</f>
        <v>-0.6252791639</v>
      </c>
      <c r="Z98" s="46">
        <f>IFERROR(__xludf.DUMMYFUNCTION("""COMPUTED_VALUE"""),-0.5324656877402022)</f>
        <v>-0.5324656877</v>
      </c>
      <c r="AA98" s="46">
        <f>IFERROR(__xludf.DUMMYFUNCTION("""COMPUTED_VALUE"""),1.5379786336392296)</f>
        <v>1.537978634</v>
      </c>
      <c r="AB98" s="46">
        <f>IFERROR(__xludf.DUMMYFUNCTION("""COMPUTED_VALUE"""),-0.13306671753405044)</f>
        <v>-0.1330667175</v>
      </c>
      <c r="AC98" s="46">
        <f>IFERROR(__xludf.DUMMYFUNCTION("""COMPUTED_VALUE"""),-0.6615019909293889)</f>
        <v>-0.6615019909</v>
      </c>
      <c r="AD98" s="46">
        <f>IFERROR(__xludf.DUMMYFUNCTION("""COMPUTED_VALUE"""),-0.21082097169102695)</f>
        <v>-0.2108209717</v>
      </c>
      <c r="AE98" s="46">
        <f>IFERROR(__xludf.DUMMYFUNCTION("""COMPUTED_VALUE"""),0.1535754730748638)</f>
        <v>0.1535754731</v>
      </c>
    </row>
    <row r="99">
      <c r="A99" s="6" t="str">
        <f>IF(VLOOKUP(H99,'Paste #BBall'!$B$2:$N1001,3,)="BRO","BKN",IF(VLOOKUP(H99,'Paste #BBall'!$B$2:$N1001,3,)="OKL","OKC",VLOOKUP(H99,'Paste #BBall'!$B$2:$N1001,3,)))</f>
        <v>MEM</v>
      </c>
      <c r="B99" s="42">
        <f>VLOOKUP($A99,Schedule!$C$2:$G$31,2,0)</f>
        <v>4</v>
      </c>
      <c r="C99" s="42">
        <f>VLOOKUP($A99,Schedule!$C$2:$G$31,3,0)</f>
        <v>3</v>
      </c>
      <c r="D99" s="42">
        <f>VLOOKUP($A99,Schedule!$C$2:$G$31,4,0)</f>
        <v>3</v>
      </c>
      <c r="E99" s="42">
        <f t="shared" si="1"/>
        <v>10</v>
      </c>
      <c r="F99" s="51">
        <v>94.0</v>
      </c>
      <c r="G99" s="45">
        <f>IFERROR(__xludf.DUMMYFUNCTION("""COMPUTED_VALUE"""),83.0)</f>
        <v>83</v>
      </c>
      <c r="H99" s="45" t="str">
        <f>IFERROR(__xludf.DUMMYFUNCTION("""COMPUTED_VALUE"""),"Marcus Smart")</f>
        <v>Marcus Smart</v>
      </c>
      <c r="I99" s="45">
        <f>IFERROR(__xludf.DUMMYFUNCTION("""COMPUTED_VALUE"""),67.0)</f>
        <v>67</v>
      </c>
      <c r="J99" s="46" t="str">
        <f>IFERROR(__xludf.DUMMYFUNCTION("""COMPUTED_VALUE"""),"PG")</f>
        <v>PG</v>
      </c>
      <c r="K99" s="46">
        <f>IFERROR(__xludf.DUMMYFUNCTION("""COMPUTED_VALUE"""),-1.007508643300495)</f>
        <v>-1.007508643</v>
      </c>
      <c r="L99" s="46">
        <f>IFERROR(__xludf.DUMMYFUNCTION("""COMPUTED_VALUE"""),-0.19663403118242684)</f>
        <v>-0.1966340312</v>
      </c>
      <c r="M99" s="47">
        <f>IFERROR(__xludf.DUMMYFUNCTION("""COMPUTED_VALUE"""),0.8108746121180681)</f>
        <v>0.8108746121</v>
      </c>
      <c r="N99" s="47">
        <f>IFERROR(__xludf.DUMMYFUNCTION("""COMPUTED_VALUE"""),11.8)</f>
        <v>11.8</v>
      </c>
      <c r="O99" s="47">
        <f>IFERROR(__xludf.DUMMYFUNCTION("""COMPUTED_VALUE"""),1.8)</f>
        <v>1.8</v>
      </c>
      <c r="P99" s="47">
        <f>IFERROR(__xludf.DUMMYFUNCTION("""COMPUTED_VALUE"""),3.5)</f>
        <v>3.5</v>
      </c>
      <c r="Q99" s="48">
        <f>IFERROR(__xludf.DUMMYFUNCTION("""COMPUTED_VALUE"""),5.3)</f>
        <v>5.3</v>
      </c>
      <c r="R99" s="47">
        <f>IFERROR(__xludf.DUMMYFUNCTION("""COMPUTED_VALUE"""),1.6)</f>
        <v>1.6</v>
      </c>
      <c r="S99" s="47">
        <f>IFERROR(__xludf.DUMMYFUNCTION("""COMPUTED_VALUE"""),0.3)</f>
        <v>0.3</v>
      </c>
      <c r="T99" s="47">
        <f>IFERROR(__xludf.DUMMYFUNCTION("""COMPUTED_VALUE"""),42.00000000000001)</f>
        <v>42</v>
      </c>
      <c r="U99" s="47">
        <f>IFERROR(__xludf.DUMMYFUNCTION("""COMPUTED_VALUE"""),77.27272727272727)</f>
        <v>77.27272727</v>
      </c>
      <c r="V99" s="47">
        <f>IFERROR(__xludf.DUMMYFUNCTION("""COMPUTED_VALUE"""),2.3)</f>
        <v>2.3</v>
      </c>
      <c r="W99" s="46">
        <f>IFERROR(__xludf.DUMMYFUNCTION("""COMPUTED_VALUE"""),-0.9195922636033842)</f>
        <v>-0.9195922636</v>
      </c>
      <c r="X99" s="46">
        <f>IFERROR(__xludf.DUMMYFUNCTION("""COMPUTED_VALUE"""),0.13469400490764694)</f>
        <v>0.1346940049</v>
      </c>
      <c r="Y99" s="46">
        <f>IFERROR(__xludf.DUMMYFUNCTION("""COMPUTED_VALUE"""),-1.0852482323286814)</f>
        <v>-1.085248232</v>
      </c>
      <c r="Z99" s="46">
        <f>IFERROR(__xludf.DUMMYFUNCTION("""COMPUTED_VALUE"""),0.7425958250476372)</f>
        <v>0.742595825</v>
      </c>
      <c r="AA99" s="46">
        <f>IFERROR(__xludf.DUMMYFUNCTION("""COMPUTED_VALUE"""),1.319928732839717)</f>
        <v>1.319928733</v>
      </c>
      <c r="AB99" s="46">
        <f>IFERROR(__xludf.DUMMYFUNCTION("""COMPUTED_VALUE"""),-0.5270142365493308)</f>
        <v>-0.5270142365</v>
      </c>
      <c r="AC99" s="46">
        <f>IFERROR(__xludf.DUMMYFUNCTION("""COMPUTED_VALUE"""),-0.7589818855841758)</f>
        <v>-0.7589818856</v>
      </c>
      <c r="AD99" s="46">
        <f>IFERROR(__xludf.DUMMYFUNCTION("""COMPUTED_VALUE"""),-0.09346964399756186)</f>
        <v>-0.093469644</v>
      </c>
      <c r="AE99" s="46">
        <f>IFERROR(__xludf.DUMMYFUNCTION("""COMPUTED_VALUE"""),-0.09479456424297544)</f>
        <v>-0.09479456424</v>
      </c>
    </row>
    <row r="100">
      <c r="A100" s="6" t="str">
        <f>IF(VLOOKUP(H100,'Paste #BBall'!$B$2:$N1001,3,)="BRO","BKN",IF(VLOOKUP(H100,'Paste #BBall'!$B$2:$N1001,3,)="OKL","OKC",VLOOKUP(H100,'Paste #BBall'!$B$2:$N1001,3,)))</f>
        <v>MIL</v>
      </c>
      <c r="B100" s="42">
        <f>VLOOKUP($A100,Schedule!$C$2:$G$31,2,0)</f>
        <v>4</v>
      </c>
      <c r="C100" s="42">
        <f>VLOOKUP($A100,Schedule!$C$2:$G$31,3,0)</f>
        <v>3</v>
      </c>
      <c r="D100" s="42">
        <f>VLOOKUP($A100,Schedule!$C$2:$G$31,4,0)</f>
        <v>3</v>
      </c>
      <c r="E100" s="42">
        <f t="shared" si="1"/>
        <v>10</v>
      </c>
      <c r="F100" s="43">
        <v>95.0</v>
      </c>
      <c r="G100" s="45">
        <f>IFERROR(__xludf.DUMMYFUNCTION("""COMPUTED_VALUE"""),113.0)</f>
        <v>113</v>
      </c>
      <c r="H100" s="45" t="str">
        <f>IFERROR(__xludf.DUMMYFUNCTION("""COMPUTED_VALUE"""),"Bobby Portis")</f>
        <v>Bobby Portis</v>
      </c>
      <c r="I100" s="45">
        <f>IFERROR(__xludf.DUMMYFUNCTION("""COMPUTED_VALUE"""),71.0)</f>
        <v>71</v>
      </c>
      <c r="J100" s="46" t="str">
        <f>IFERROR(__xludf.DUMMYFUNCTION("""COMPUTED_VALUE"""),"PF,C")</f>
        <v>PF,C</v>
      </c>
      <c r="K100" s="46">
        <f>IFERROR(__xludf.DUMMYFUNCTION("""COMPUTED_VALUE"""),-2.1085404360011433)</f>
        <v>-2.108540436</v>
      </c>
      <c r="L100" s="46">
        <f>IFERROR(__xludf.DUMMYFUNCTION("""COMPUTED_VALUE"""),-0.19882641174452953)</f>
        <v>-0.1988264117</v>
      </c>
      <c r="M100" s="47">
        <f>IFERROR(__xludf.DUMMYFUNCTION("""COMPUTED_VALUE"""),1.9097140242566137)</f>
        <v>1.909714024</v>
      </c>
      <c r="N100" s="47">
        <f>IFERROR(__xludf.DUMMYFUNCTION("""COMPUTED_VALUE"""),14.6)</f>
        <v>14.6</v>
      </c>
      <c r="O100" s="47">
        <f>IFERROR(__xludf.DUMMYFUNCTION("""COMPUTED_VALUE"""),1.6)</f>
        <v>1.6</v>
      </c>
      <c r="P100" s="47">
        <f>IFERROR(__xludf.DUMMYFUNCTION("""COMPUTED_VALUE"""),9.5)</f>
        <v>9.5</v>
      </c>
      <c r="Q100" s="48">
        <f>IFERROR(__xludf.DUMMYFUNCTION("""COMPUTED_VALUE"""),1.4)</f>
        <v>1.4</v>
      </c>
      <c r="R100" s="47">
        <f>IFERROR(__xludf.DUMMYFUNCTION("""COMPUTED_VALUE"""),0.6)</f>
        <v>0.6</v>
      </c>
      <c r="S100" s="47">
        <f>IFERROR(__xludf.DUMMYFUNCTION("""COMPUTED_VALUE"""),0.5)</f>
        <v>0.5</v>
      </c>
      <c r="T100" s="47">
        <f>IFERROR(__xludf.DUMMYFUNCTION("""COMPUTED_VALUE"""),48.333333333333336)</f>
        <v>48.33333333</v>
      </c>
      <c r="U100" s="47">
        <f>IFERROR(__xludf.DUMMYFUNCTION("""COMPUTED_VALUE"""),76.47058823529413)</f>
        <v>76.47058824</v>
      </c>
      <c r="V100" s="47">
        <f>IFERROR(__xludf.DUMMYFUNCTION("""COMPUTED_VALUE"""),1.2)</f>
        <v>1.2</v>
      </c>
      <c r="W100" s="46">
        <f>IFERROR(__xludf.DUMMYFUNCTION("""COMPUTED_VALUE"""),-0.4477184081196686)</f>
        <v>-0.4477184081</v>
      </c>
      <c r="X100" s="46">
        <f>IFERROR(__xludf.DUMMYFUNCTION("""COMPUTED_VALUE"""),-0.03873175248417188)</f>
        <v>-0.03873175248</v>
      </c>
      <c r="Y100" s="46">
        <f>IFERROR(__xludf.DUMMYFUNCTION("""COMPUTED_VALUE"""),1.423673959029689)</f>
        <v>1.423673959</v>
      </c>
      <c r="Z100" s="46">
        <f>IFERROR(__xludf.DUMMYFUNCTION("""COMPUTED_VALUE"""),-1.246500134901392)</f>
        <v>-1.246500135</v>
      </c>
      <c r="AA100" s="46">
        <f>IFERROR(__xludf.DUMMYFUNCTION("""COMPUTED_VALUE"""),-0.860570275155411)</f>
        <v>-0.8605702752</v>
      </c>
      <c r="AB100" s="46">
        <f>IFERROR(__xludf.DUMMYFUNCTION("""COMPUTED_VALUE"""),-0.2643825572058105)</f>
        <v>-0.2643825572</v>
      </c>
      <c r="AC100" s="46">
        <f>IFERROR(__xludf.DUMMYFUNCTION("""COMPUTED_VALUE"""),-0.15164084048947418)</f>
        <v>-0.1516408405</v>
      </c>
      <c r="AD100" s="46">
        <f>IFERROR(__xludf.DUMMYFUNCTION("""COMPUTED_VALUE"""),-0.10617077438873597)</f>
        <v>-0.1061707744</v>
      </c>
      <c r="AE100" s="46">
        <f>IFERROR(__xludf.DUMMYFUNCTION("""COMPUTED_VALUE"""),0.24671423706905354)</f>
        <v>0.2467142371</v>
      </c>
    </row>
    <row r="101">
      <c r="A101" s="6" t="str">
        <f>IF(VLOOKUP(H101,'Paste #BBall'!$B$2:$N1001,3,)="BRO","BKN",IF(VLOOKUP(H101,'Paste #BBall'!$B$2:$N1001,3,)="OKL","OKC",VLOOKUP(H101,'Paste #BBall'!$B$2:$N1001,3,)))</f>
        <v>LAL</v>
      </c>
      <c r="B101" s="42">
        <f>VLOOKUP($A101,Schedule!$C$2:$G$31,2,0)</f>
        <v>4</v>
      </c>
      <c r="C101" s="42">
        <f>VLOOKUP($A101,Schedule!$C$2:$G$31,3,0)</f>
        <v>2</v>
      </c>
      <c r="D101" s="42">
        <f>VLOOKUP($A101,Schedule!$C$2:$G$31,4,0)</f>
        <v>3</v>
      </c>
      <c r="E101" s="42">
        <f t="shared" si="1"/>
        <v>9</v>
      </c>
      <c r="F101" s="51">
        <v>96.0</v>
      </c>
      <c r="G101" s="45">
        <f>IFERROR(__xludf.DUMMYFUNCTION("""COMPUTED_VALUE"""),96.0)</f>
        <v>96</v>
      </c>
      <c r="H101" s="45" t="str">
        <f>IFERROR(__xludf.DUMMYFUNCTION("""COMPUTED_VALUE"""),"Austin Reaves")</f>
        <v>Austin Reaves</v>
      </c>
      <c r="I101" s="45">
        <f>IFERROR(__xludf.DUMMYFUNCTION("""COMPUTED_VALUE"""),71.0)</f>
        <v>71</v>
      </c>
      <c r="J101" s="46" t="str">
        <f>IFERROR(__xludf.DUMMYFUNCTION("""COMPUTED_VALUE"""),"SG,SF")</f>
        <v>SG,SF</v>
      </c>
      <c r="K101" s="46">
        <f>IFERROR(__xludf.DUMMYFUNCTION("""COMPUTED_VALUE"""),-1.7198672624362643)</f>
        <v>-1.719867262</v>
      </c>
      <c r="L101" s="46">
        <f>IFERROR(__xludf.DUMMYFUNCTION("""COMPUTED_VALUE"""),-0.2572504549030832)</f>
        <v>-0.2572504549</v>
      </c>
      <c r="M101" s="47">
        <f>IFERROR(__xludf.DUMMYFUNCTION("""COMPUTED_VALUE"""),1.4626168075331811)</f>
        <v>1.462616808</v>
      </c>
      <c r="N101" s="47">
        <f>IFERROR(__xludf.DUMMYFUNCTION("""COMPUTED_VALUE"""),15.4)</f>
        <v>15.4</v>
      </c>
      <c r="O101" s="47">
        <f>IFERROR(__xludf.DUMMYFUNCTION("""COMPUTED_VALUE"""),1.6)</f>
        <v>1.6</v>
      </c>
      <c r="P101" s="47">
        <f>IFERROR(__xludf.DUMMYFUNCTION("""COMPUTED_VALUE"""),3.3)</f>
        <v>3.3</v>
      </c>
      <c r="Q101" s="48">
        <f>IFERROR(__xludf.DUMMYFUNCTION("""COMPUTED_VALUE"""),3.8)</f>
        <v>3.8</v>
      </c>
      <c r="R101" s="47">
        <f>IFERROR(__xludf.DUMMYFUNCTION("""COMPUTED_VALUE"""),0.7)</f>
        <v>0.7</v>
      </c>
      <c r="S101" s="47">
        <f>IFERROR(__xludf.DUMMYFUNCTION("""COMPUTED_VALUE"""),0.5)</f>
        <v>0.5</v>
      </c>
      <c r="T101" s="47">
        <f>IFERROR(__xludf.DUMMYFUNCTION("""COMPUTED_VALUE"""),50.0)</f>
        <v>50</v>
      </c>
      <c r="U101" s="47">
        <f>IFERROR(__xludf.DUMMYFUNCTION("""COMPUTED_VALUE"""),86.66666666666667)</f>
        <v>86.66666667</v>
      </c>
      <c r="V101" s="47">
        <f>IFERROR(__xludf.DUMMYFUNCTION("""COMPUTED_VALUE"""),1.6)</f>
        <v>1.6</v>
      </c>
      <c r="W101" s="46">
        <f>IFERROR(__xludf.DUMMYFUNCTION("""COMPUTED_VALUE"""),-0.3128973065528926)</f>
        <v>-0.3128973066</v>
      </c>
      <c r="X101" s="46">
        <f>IFERROR(__xludf.DUMMYFUNCTION("""COMPUTED_VALUE"""),-0.03873175248417188)</f>
        <v>-0.03873175248</v>
      </c>
      <c r="Y101" s="46">
        <f>IFERROR(__xludf.DUMMYFUNCTION("""COMPUTED_VALUE"""),-1.1688789720406272)</f>
        <v>-1.168878972</v>
      </c>
      <c r="Z101" s="46">
        <f>IFERROR(__xludf.DUMMYFUNCTION("""COMPUTED_VALUE"""),-0.022441082625066444)</f>
        <v>-0.02244108263</v>
      </c>
      <c r="AA101" s="46">
        <f>IFERROR(__xludf.DUMMYFUNCTION("""COMPUTED_VALUE"""),-0.6425203743558983)</f>
        <v>-0.6425203744</v>
      </c>
      <c r="AB101" s="46">
        <f>IFERROR(__xludf.DUMMYFUNCTION("""COMPUTED_VALUE"""),-0.2643825572058105)</f>
        <v>-0.2643825572</v>
      </c>
      <c r="AC101" s="46">
        <f>IFERROR(__xludf.DUMMYFUNCTION("""COMPUTED_VALUE"""),0.040110137796389306)</f>
        <v>0.0401101378</v>
      </c>
      <c r="AD101" s="46">
        <f>IFERROR(__xludf.DUMMYFUNCTION("""COMPUTED_VALUE"""),0.8610832621142331)</f>
        <v>0.8610832621</v>
      </c>
      <c r="AE101" s="46">
        <f>IFERROR(__xludf.DUMMYFUNCTION("""COMPUTED_VALUE"""),0.12252921841013387)</f>
        <v>0.1225292184</v>
      </c>
    </row>
    <row r="102">
      <c r="A102" s="6" t="str">
        <f>IF(VLOOKUP(H102,'Paste #BBall'!$B$2:$N1001,3,)="BRO","BKN",IF(VLOOKUP(H102,'Paste #BBall'!$B$2:$N1001,3,)="OKL","OKC",VLOOKUP(H102,'Paste #BBall'!$B$2:$N1001,3,)))</f>
        <v>PHI</v>
      </c>
      <c r="B102" s="42">
        <f>VLOOKUP($A102,Schedule!$C$2:$G$31,2,0)</f>
        <v>4</v>
      </c>
      <c r="C102" s="42">
        <f>VLOOKUP($A102,Schedule!$C$2:$G$31,3,0)</f>
        <v>3</v>
      </c>
      <c r="D102" s="42">
        <f>VLOOKUP($A102,Schedule!$C$2:$G$31,4,0)</f>
        <v>4</v>
      </c>
      <c r="E102" s="42">
        <f t="shared" si="1"/>
        <v>11</v>
      </c>
      <c r="F102" s="43">
        <v>97.0</v>
      </c>
      <c r="G102" s="45">
        <f>IFERROR(__xludf.DUMMYFUNCTION("""COMPUTED_VALUE"""),90.0)</f>
        <v>90</v>
      </c>
      <c r="H102" s="45" t="str">
        <f>IFERROR(__xludf.DUMMYFUNCTION("""COMPUTED_VALUE"""),"Paul Reed")</f>
        <v>Paul Reed</v>
      </c>
      <c r="I102" s="45">
        <f>IFERROR(__xludf.DUMMYFUNCTION("""COMPUTED_VALUE"""),69.0)</f>
        <v>69</v>
      </c>
      <c r="J102" s="46" t="str">
        <f>IFERROR(__xludf.DUMMYFUNCTION("""COMPUTED_VALUE"""),"PF,C")</f>
        <v>PF,C</v>
      </c>
      <c r="K102" s="46">
        <f>IFERROR(__xludf.DUMMYFUNCTION("""COMPUTED_VALUE"""),-1.3171725185350374)</f>
        <v>-1.317172519</v>
      </c>
      <c r="L102" s="46">
        <f>IFERROR(__xludf.DUMMYFUNCTION("""COMPUTED_VALUE"""),-0.299902903129194)</f>
        <v>-0.2999029031</v>
      </c>
      <c r="M102" s="47">
        <f>IFERROR(__xludf.DUMMYFUNCTION("""COMPUTED_VALUE"""),1.0172696154058434)</f>
        <v>1.017269615</v>
      </c>
      <c r="N102" s="47">
        <f>IFERROR(__xludf.DUMMYFUNCTION("""COMPUTED_VALUE"""),10.2)</f>
        <v>10.2</v>
      </c>
      <c r="O102" s="47">
        <f>IFERROR(__xludf.DUMMYFUNCTION("""COMPUTED_VALUE"""),0.1)</f>
        <v>0.1</v>
      </c>
      <c r="P102" s="47">
        <f>IFERROR(__xludf.DUMMYFUNCTION("""COMPUTED_VALUE"""),7.2)</f>
        <v>7.2</v>
      </c>
      <c r="Q102" s="48">
        <f>IFERROR(__xludf.DUMMYFUNCTION("""COMPUTED_VALUE"""),1.4)</f>
        <v>1.4</v>
      </c>
      <c r="R102" s="47">
        <f>IFERROR(__xludf.DUMMYFUNCTION("""COMPUTED_VALUE"""),1.2)</f>
        <v>1.2</v>
      </c>
      <c r="S102" s="47">
        <f>IFERROR(__xludf.DUMMYFUNCTION("""COMPUTED_VALUE"""),1.4)</f>
        <v>1.4</v>
      </c>
      <c r="T102" s="47">
        <f>IFERROR(__xludf.DUMMYFUNCTION("""COMPUTED_VALUE"""),56.25)</f>
        <v>56.25</v>
      </c>
      <c r="U102" s="47">
        <f>IFERROR(__xludf.DUMMYFUNCTION("""COMPUTED_VALUE"""),68.75)</f>
        <v>68.75</v>
      </c>
      <c r="V102" s="47">
        <f>IFERROR(__xludf.DUMMYFUNCTION("""COMPUTED_VALUE"""),1.4)</f>
        <v>1.4</v>
      </c>
      <c r="W102" s="46">
        <f>IFERROR(__xludf.DUMMYFUNCTION("""COMPUTED_VALUE"""),-1.1892344667369363)</f>
        <v>-1.189234467</v>
      </c>
      <c r="X102" s="46">
        <f>IFERROR(__xludf.DUMMYFUNCTION("""COMPUTED_VALUE"""),-1.3394249329228134)</f>
        <v>-1.339424933</v>
      </c>
      <c r="Y102" s="46">
        <f>IFERROR(__xludf.DUMMYFUNCTION("""COMPUTED_VALUE"""),0.4619204523423137)</f>
        <v>0.4619204523</v>
      </c>
      <c r="Z102" s="46">
        <f>IFERROR(__xludf.DUMMYFUNCTION("""COMPUTED_VALUE"""),-1.246500134901392)</f>
        <v>-1.246500135</v>
      </c>
      <c r="AA102" s="46">
        <f>IFERROR(__xludf.DUMMYFUNCTION("""COMPUTED_VALUE"""),0.44772912964166556)</f>
        <v>0.4477291296</v>
      </c>
      <c r="AB102" s="46">
        <f>IFERROR(__xludf.DUMMYFUNCTION("""COMPUTED_VALUE"""),0.9174599998400302)</f>
        <v>0.9174599998</v>
      </c>
      <c r="AC102" s="46">
        <f>IFERROR(__xludf.DUMMYFUNCTION("""COMPUTED_VALUE"""),0.531520624849965)</f>
        <v>0.5315206248</v>
      </c>
      <c r="AD102" s="46">
        <f>IFERROR(__xludf.DUMMYFUNCTION("""COMPUTED_VALUE"""),-0.4074202359044341)</f>
        <v>-0.4074202359</v>
      </c>
      <c r="AE102" s="46">
        <f>IFERROR(__xludf.DUMMYFUNCTION("""COMPUTED_VALUE"""),0.18462172773959373)</f>
        <v>0.1846217277</v>
      </c>
    </row>
    <row r="103">
      <c r="A103" s="6" t="str">
        <f>IF(VLOOKUP(H103,'Paste #BBall'!$B$2:$N1001,3,)="BRO","BKN",IF(VLOOKUP(H103,'Paste #BBall'!$B$2:$N1001,3,)="OKL","OKC",VLOOKUP(H103,'Paste #BBall'!$B$2:$N1001,3,)))</f>
        <v>NO</v>
      </c>
      <c r="B103" s="42">
        <f>VLOOKUP($A103,Schedule!$C$2:$G$31,2,0)</f>
        <v>3</v>
      </c>
      <c r="C103" s="42">
        <f>VLOOKUP($A103,Schedule!$C$2:$G$31,3,0)</f>
        <v>3</v>
      </c>
      <c r="D103" s="42">
        <f>VLOOKUP($A103,Schedule!$C$2:$G$31,4,0)</f>
        <v>4</v>
      </c>
      <c r="E103" s="42">
        <f t="shared" si="1"/>
        <v>10</v>
      </c>
      <c r="F103" s="51">
        <v>98.0</v>
      </c>
      <c r="G103" s="45">
        <f>IFERROR(__xludf.DUMMYFUNCTION("""COMPUTED_VALUE"""),98.0)</f>
        <v>98</v>
      </c>
      <c r="H103" s="45" t="str">
        <f>IFERROR(__xludf.DUMMYFUNCTION("""COMPUTED_VALUE"""),"Trey Murphy III")</f>
        <v>Trey Murphy III</v>
      </c>
      <c r="I103" s="45">
        <f>IFERROR(__xludf.DUMMYFUNCTION("""COMPUTED_VALUE"""),60.0)</f>
        <v>60</v>
      </c>
      <c r="J103" s="46" t="str">
        <f>IFERROR(__xludf.DUMMYFUNCTION("""COMPUTED_VALUE"""),"SF,PF")</f>
        <v>SF,PF</v>
      </c>
      <c r="K103" s="46">
        <f>IFERROR(__xludf.DUMMYFUNCTION("""COMPUTED_VALUE"""),-1.7320930680873277)</f>
        <v>-1.732093068</v>
      </c>
      <c r="L103" s="46">
        <f>IFERROR(__xludf.DUMMYFUNCTION("""COMPUTED_VALUE"""),-0.2999453801888601)</f>
        <v>-0.2999453802</v>
      </c>
      <c r="M103" s="47">
        <f>IFERROR(__xludf.DUMMYFUNCTION("""COMPUTED_VALUE"""),1.4321476878984676)</f>
        <v>1.432147688</v>
      </c>
      <c r="N103" s="47">
        <f>IFERROR(__xludf.DUMMYFUNCTION("""COMPUTED_VALUE"""),13.6)</f>
        <v>13.6</v>
      </c>
      <c r="O103" s="47">
        <f>IFERROR(__xludf.DUMMYFUNCTION("""COMPUTED_VALUE"""),2.5)</f>
        <v>2.5</v>
      </c>
      <c r="P103" s="47">
        <f>IFERROR(__xludf.DUMMYFUNCTION("""COMPUTED_VALUE"""),3.9)</f>
        <v>3.9</v>
      </c>
      <c r="Q103" s="48">
        <f>IFERROR(__xludf.DUMMYFUNCTION("""COMPUTED_VALUE"""),1.4)</f>
        <v>1.4</v>
      </c>
      <c r="R103" s="47">
        <f>IFERROR(__xludf.DUMMYFUNCTION("""COMPUTED_VALUE"""),1.0)</f>
        <v>1</v>
      </c>
      <c r="S103" s="47">
        <f>IFERROR(__xludf.DUMMYFUNCTION("""COMPUTED_VALUE"""),0.5)</f>
        <v>0.5</v>
      </c>
      <c r="T103" s="47">
        <f>IFERROR(__xludf.DUMMYFUNCTION("""COMPUTED_VALUE"""),46.46464646464646)</f>
        <v>46.46464646</v>
      </c>
      <c r="U103" s="47">
        <f>IFERROR(__xludf.DUMMYFUNCTION("""COMPUTED_VALUE"""),90.9090909090909)</f>
        <v>90.90909091</v>
      </c>
      <c r="V103" s="47">
        <f>IFERROR(__xludf.DUMMYFUNCTION("""COMPUTED_VALUE"""),0.7)</f>
        <v>0.7</v>
      </c>
      <c r="W103" s="46">
        <f>IFERROR(__xludf.DUMMYFUNCTION("""COMPUTED_VALUE"""),-0.6162447850781385)</f>
        <v>-0.6162447851</v>
      </c>
      <c r="X103" s="46">
        <f>IFERROR(__xludf.DUMMYFUNCTION("""COMPUTED_VALUE"""),0.7416841557790128)</f>
        <v>0.7416841558</v>
      </c>
      <c r="Y103" s="46">
        <f>IFERROR(__xludf.DUMMYFUNCTION("""COMPUTED_VALUE"""),-0.9179867529047901)</f>
        <v>-0.9179867529</v>
      </c>
      <c r="Z103" s="46">
        <f>IFERROR(__xludf.DUMMYFUNCTION("""COMPUTED_VALUE"""),-1.246500134901392)</f>
        <v>-1.246500135</v>
      </c>
      <c r="AA103" s="46">
        <f>IFERROR(__xludf.DUMMYFUNCTION("""COMPUTED_VALUE"""),0.011629328042640127)</f>
        <v>0.01162932804</v>
      </c>
      <c r="AB103" s="46">
        <f>IFERROR(__xludf.DUMMYFUNCTION("""COMPUTED_VALUE"""),-0.2643825572058105)</f>
        <v>-0.2643825572</v>
      </c>
      <c r="AC103" s="46">
        <f>IFERROR(__xludf.DUMMYFUNCTION("""COMPUTED_VALUE"""),-0.3098937238105726)</f>
        <v>-0.3098937238</v>
      </c>
      <c r="AD103" s="46">
        <f>IFERROR(__xludf.DUMMYFUNCTION("""COMPUTED_VALUE"""),0.6533034445960959)</f>
        <v>0.6533034446</v>
      </c>
      <c r="AE103" s="46">
        <f>IFERROR(__xludf.DUMMYFUNCTION("""COMPUTED_VALUE"""),0.4019455103927031)</f>
        <v>0.4019455104</v>
      </c>
    </row>
    <row r="104">
      <c r="A104" s="6" t="str">
        <f>IF(VLOOKUP(H104,'Paste #BBall'!$B$2:$N1001,3,)="BRO","BKN",IF(VLOOKUP(H104,'Paste #BBall'!$B$2:$N1001,3,)="OKL","OKC",VLOOKUP(H104,'Paste #BBall'!$B$2:$N1001,3,)))</f>
        <v>POR</v>
      </c>
      <c r="B104" s="42">
        <f>VLOOKUP($A104,Schedule!$C$2:$G$31,2,0)</f>
        <v>4</v>
      </c>
      <c r="C104" s="42">
        <f>VLOOKUP($A104,Schedule!$C$2:$G$31,3,0)</f>
        <v>4</v>
      </c>
      <c r="D104" s="42">
        <f>VLOOKUP($A104,Schedule!$C$2:$G$31,4,0)</f>
        <v>4</v>
      </c>
      <c r="E104" s="42">
        <f t="shared" si="1"/>
        <v>12</v>
      </c>
      <c r="F104" s="51">
        <v>99.0</v>
      </c>
      <c r="G104" s="45">
        <f>IFERROR(__xludf.DUMMYFUNCTION("""COMPUTED_VALUE"""),81.0)</f>
        <v>81</v>
      </c>
      <c r="H104" s="45" t="str">
        <f>IFERROR(__xludf.DUMMYFUNCTION("""COMPUTED_VALUE"""),"Scoot Henderson")</f>
        <v>Scoot Henderson</v>
      </c>
      <c r="I104" s="45">
        <f>IFERROR(__xludf.DUMMYFUNCTION("""COMPUTED_VALUE"""),72.0)</f>
        <v>72</v>
      </c>
      <c r="J104" s="46" t="str">
        <f>IFERROR(__xludf.DUMMYFUNCTION("""COMPUTED_VALUE"""),"PG")</f>
        <v>PG</v>
      </c>
      <c r="K104" s="46">
        <f>IFERROR(__xludf.DUMMYFUNCTION("""COMPUTED_VALUE"""),-0.8958280156943389)</f>
        <v>-0.8958280157</v>
      </c>
      <c r="L104" s="46">
        <f>IFERROR(__xludf.DUMMYFUNCTION("""COMPUTED_VALUE"""),-0.3062173704575766)</f>
        <v>-0.3062173705</v>
      </c>
      <c r="M104" s="47">
        <f>IFERROR(__xludf.DUMMYFUNCTION("""COMPUTED_VALUE"""),0.5896106452367623)</f>
        <v>0.5896106452</v>
      </c>
      <c r="N104" s="47">
        <f>IFERROR(__xludf.DUMMYFUNCTION("""COMPUTED_VALUE"""),16.4)</f>
        <v>16.4</v>
      </c>
      <c r="O104" s="47">
        <f>IFERROR(__xludf.DUMMYFUNCTION("""COMPUTED_VALUE"""),1.5)</f>
        <v>1.5</v>
      </c>
      <c r="P104" s="47">
        <f>IFERROR(__xludf.DUMMYFUNCTION("""COMPUTED_VALUE"""),5.1)</f>
        <v>5.1</v>
      </c>
      <c r="Q104" s="48">
        <f>IFERROR(__xludf.DUMMYFUNCTION("""COMPUTED_VALUE"""),5.8)</f>
        <v>5.8</v>
      </c>
      <c r="R104" s="47">
        <f>IFERROR(__xludf.DUMMYFUNCTION("""COMPUTED_VALUE"""),1.1)</f>
        <v>1.1</v>
      </c>
      <c r="S104" s="47">
        <f>IFERROR(__xludf.DUMMYFUNCTION("""COMPUTED_VALUE"""),0.3)</f>
        <v>0.3</v>
      </c>
      <c r="T104" s="47">
        <f>IFERROR(__xludf.DUMMYFUNCTION("""COMPUTED_VALUE"""),44.52054794520548)</f>
        <v>44.52054795</v>
      </c>
      <c r="U104" s="47">
        <f>IFERROR(__xludf.DUMMYFUNCTION("""COMPUTED_VALUE"""),80.76923076923077)</f>
        <v>80.76923077</v>
      </c>
      <c r="V104" s="47">
        <f>IFERROR(__xludf.DUMMYFUNCTION("""COMPUTED_VALUE"""),3.4)</f>
        <v>3.4</v>
      </c>
      <c r="W104" s="46">
        <f>IFERROR(__xludf.DUMMYFUNCTION("""COMPUTED_VALUE"""),-0.14437092959442296)</f>
        <v>-0.1443709296</v>
      </c>
      <c r="X104" s="46">
        <f>IFERROR(__xludf.DUMMYFUNCTION("""COMPUTED_VALUE"""),-0.12544463118008137)</f>
        <v>-0.1254446312</v>
      </c>
      <c r="Y104" s="46">
        <f>IFERROR(__xludf.DUMMYFUNCTION("""COMPUTED_VALUE"""),-0.4162023146331162)</f>
        <v>-0.4162023146</v>
      </c>
      <c r="Z104" s="46">
        <f>IFERROR(__xludf.DUMMYFUNCTION("""COMPUTED_VALUE"""),0.997608127605205)</f>
        <v>0.9976081276</v>
      </c>
      <c r="AA104" s="46">
        <f>IFERROR(__xludf.DUMMYFUNCTION("""COMPUTED_VALUE"""),0.22967922884215308)</f>
        <v>0.2296792288</v>
      </c>
      <c r="AB104" s="46">
        <f>IFERROR(__xludf.DUMMYFUNCTION("""COMPUTED_VALUE"""),-0.5270142365493308)</f>
        <v>-0.5270142365</v>
      </c>
      <c r="AC104" s="46">
        <f>IFERROR(__xludf.DUMMYFUNCTION("""COMPUTED_VALUE"""),-0.7405312221978371)</f>
        <v>-0.7405312222</v>
      </c>
      <c r="AD104" s="46">
        <f>IFERROR(__xludf.DUMMYFUNCTION("""COMPUTED_VALUE"""),0.11583075060702093)</f>
        <v>0.1158307506</v>
      </c>
      <c r="AE104" s="46">
        <f>IFERROR(__xludf.DUMMYFUNCTION("""COMPUTED_VALUE"""),-0.4363033655550045)</f>
        <v>-0.4363033656</v>
      </c>
    </row>
    <row r="105">
      <c r="A105" s="6" t="str">
        <f>IF(VLOOKUP(H105,'Paste #BBall'!$B$2:$N1001,3,)="BRO","BKN",IF(VLOOKUP(H105,'Paste #BBall'!$B$2:$N1001,3,)="OKL","OKC",VLOOKUP(H105,'Paste #BBall'!$B$2:$N1001,3,)))</f>
        <v>BKN</v>
      </c>
      <c r="B105" s="42">
        <f>VLOOKUP($A105,Schedule!$C$2:$G$31,2,0)</f>
        <v>5</v>
      </c>
      <c r="C105" s="42">
        <f>VLOOKUP($A105,Schedule!$C$2:$G$31,3,0)</f>
        <v>3</v>
      </c>
      <c r="D105" s="42">
        <f>VLOOKUP($A105,Schedule!$C$2:$G$31,4,0)</f>
        <v>3</v>
      </c>
      <c r="E105" s="42">
        <f t="shared" si="1"/>
        <v>11</v>
      </c>
      <c r="F105" s="43">
        <v>100.0</v>
      </c>
      <c r="G105" s="45">
        <f>IFERROR(__xludf.DUMMYFUNCTION("""COMPUTED_VALUE"""),104.0)</f>
        <v>104</v>
      </c>
      <c r="H105" s="45" t="str">
        <f>IFERROR(__xludf.DUMMYFUNCTION("""COMPUTED_VALUE"""),"Spencer Dinwiddie")</f>
        <v>Spencer Dinwiddie</v>
      </c>
      <c r="I105" s="45">
        <f>IFERROR(__xludf.DUMMYFUNCTION("""COMPUTED_VALUE"""),73.0)</f>
        <v>73</v>
      </c>
      <c r="J105" s="46" t="str">
        <f>IFERROR(__xludf.DUMMYFUNCTION("""COMPUTED_VALUE"""),"PG")</f>
        <v>PG</v>
      </c>
      <c r="K105" s="46">
        <f>IFERROR(__xludf.DUMMYFUNCTION("""COMPUTED_VALUE"""),-1.8270215426338101)</f>
        <v>-1.827021543</v>
      </c>
      <c r="L105" s="46">
        <f>IFERROR(__xludf.DUMMYFUNCTION("""COMPUTED_VALUE"""),-0.3124183546336031)</f>
        <v>-0.3124183546</v>
      </c>
      <c r="M105" s="47">
        <f>IFERROR(__xludf.DUMMYFUNCTION("""COMPUTED_VALUE"""),1.514603188000207)</f>
        <v>1.514603188</v>
      </c>
      <c r="N105" s="47">
        <f>IFERROR(__xludf.DUMMYFUNCTION("""COMPUTED_VALUE"""),16.5)</f>
        <v>16.5</v>
      </c>
      <c r="O105" s="47">
        <f>IFERROR(__xludf.DUMMYFUNCTION("""COMPUTED_VALUE"""),2.1)</f>
        <v>2.1</v>
      </c>
      <c r="P105" s="47">
        <f>IFERROR(__xludf.DUMMYFUNCTION("""COMPUTED_VALUE"""),4.0)</f>
        <v>4</v>
      </c>
      <c r="Q105" s="48">
        <f>IFERROR(__xludf.DUMMYFUNCTION("""COMPUTED_VALUE"""),6.2)</f>
        <v>6.2</v>
      </c>
      <c r="R105" s="47">
        <f>IFERROR(__xludf.DUMMYFUNCTION("""COMPUTED_VALUE"""),0.8)</f>
        <v>0.8</v>
      </c>
      <c r="S105" s="47">
        <f>IFERROR(__xludf.DUMMYFUNCTION("""COMPUTED_VALUE"""),0.3)</f>
        <v>0.3</v>
      </c>
      <c r="T105" s="47">
        <f>IFERROR(__xludf.DUMMYFUNCTION("""COMPUTED_VALUE"""),42.96875)</f>
        <v>42.96875</v>
      </c>
      <c r="U105" s="47">
        <f>IFERROR(__xludf.DUMMYFUNCTION("""COMPUTED_VALUE"""),78.57142857142856)</f>
        <v>78.57142857</v>
      </c>
      <c r="V105" s="47">
        <f>IFERROR(__xludf.DUMMYFUNCTION("""COMPUTED_VALUE"""),1.8)</f>
        <v>1.8</v>
      </c>
      <c r="W105" s="46">
        <f>IFERROR(__xludf.DUMMYFUNCTION("""COMPUTED_VALUE"""),-0.12751829189857575)</f>
        <v>-0.1275182919</v>
      </c>
      <c r="X105" s="46">
        <f>IFERROR(__xludf.DUMMYFUNCTION("""COMPUTED_VALUE"""),0.39483264099537524)</f>
        <v>0.394832641</v>
      </c>
      <c r="Y105" s="46">
        <f>IFERROR(__xludf.DUMMYFUNCTION("""COMPUTED_VALUE"""),-0.8761713830488173)</f>
        <v>-0.876171383</v>
      </c>
      <c r="Z105" s="46">
        <f>IFERROR(__xludf.DUMMYFUNCTION("""COMPUTED_VALUE"""),1.2016179696512597)</f>
        <v>1.20161797</v>
      </c>
      <c r="AA105" s="46">
        <f>IFERROR(__xludf.DUMMYFUNCTION("""COMPUTED_VALUE"""),-0.42447047355638534)</f>
        <v>-0.4244704736</v>
      </c>
      <c r="AB105" s="46">
        <f>IFERROR(__xludf.DUMMYFUNCTION("""COMPUTED_VALUE"""),-0.5270142365493308)</f>
        <v>-0.5270142365</v>
      </c>
      <c r="AC105" s="46">
        <f>IFERROR(__xludf.DUMMYFUNCTION("""COMPUTED_VALUE"""),-0.847637549923758)</f>
        <v>-0.8476375499</v>
      </c>
      <c r="AD105" s="46">
        <f>IFERROR(__xludf.DUMMYFUNCTION("""COMPUTED_VALUE"""),-0.04266512243286221)</f>
        <v>-0.04266512243</v>
      </c>
      <c r="AE105" s="46">
        <f>IFERROR(__xludf.DUMMYFUNCTION("""COMPUTED_VALUE"""),0.06043670908067405)</f>
        <v>0.06043670908</v>
      </c>
    </row>
    <row r="106">
      <c r="A106" s="6" t="str">
        <f>IF(VLOOKUP(H106,'Paste #BBall'!$B$2:$N1001,3,)="BRO","BKN",IF(VLOOKUP(H106,'Paste #BBall'!$B$2:$N1001,3,)="OKL","OKC",VLOOKUP(H106,'Paste #BBall'!$B$2:$N1001,3,)))</f>
        <v>NY</v>
      </c>
      <c r="B106" s="42">
        <f>VLOOKUP($A106,Schedule!$C$2:$G$31,2,0)</f>
        <v>3</v>
      </c>
      <c r="C106" s="42">
        <f>VLOOKUP($A106,Schedule!$C$2:$G$31,3,0)</f>
        <v>3</v>
      </c>
      <c r="D106" s="42">
        <f>VLOOKUP($A106,Schedule!$C$2:$G$31,4,0)</f>
        <v>3</v>
      </c>
      <c r="E106" s="42">
        <f t="shared" si="1"/>
        <v>9</v>
      </c>
      <c r="F106" s="51">
        <v>101.0</v>
      </c>
      <c r="G106" s="45">
        <f>IFERROR(__xludf.DUMMYFUNCTION("""COMPUTED_VALUE"""),117.0)</f>
        <v>117</v>
      </c>
      <c r="H106" s="45" t="str">
        <f>IFERROR(__xludf.DUMMYFUNCTION("""COMPUTED_VALUE"""),"Mitchell Robinson")</f>
        <v>Mitchell Robinson</v>
      </c>
      <c r="I106" s="45">
        <f>IFERROR(__xludf.DUMMYFUNCTION("""COMPUTED_VALUE"""),68.0)</f>
        <v>68</v>
      </c>
      <c r="J106" s="46" t="str">
        <f>IFERROR(__xludf.DUMMYFUNCTION("""COMPUTED_VALUE"""),"C")</f>
        <v>C</v>
      </c>
      <c r="K106" s="46">
        <f>IFERROR(__xludf.DUMMYFUNCTION("""COMPUTED_VALUE"""),-2.1789851296091935)</f>
        <v>-2.17898513</v>
      </c>
      <c r="L106" s="46">
        <f>IFERROR(__xludf.DUMMYFUNCTION("""COMPUTED_VALUE"""),-0.3417220515245909)</f>
        <v>-0.3417220515</v>
      </c>
      <c r="M106" s="47">
        <f>IFERROR(__xludf.DUMMYFUNCTION("""COMPUTED_VALUE"""),1.8372630780846027)</f>
        <v>1.837263078</v>
      </c>
      <c r="N106" s="47">
        <f>IFERROR(__xludf.DUMMYFUNCTION("""COMPUTED_VALUE"""),8.3)</f>
        <v>8.3</v>
      </c>
      <c r="O106" s="47">
        <f>IFERROR(__xludf.DUMMYFUNCTION("""COMPUTED_VALUE"""),0.0)</f>
        <v>0</v>
      </c>
      <c r="P106" s="47">
        <f>IFERROR(__xludf.DUMMYFUNCTION("""COMPUTED_VALUE"""),9.3)</f>
        <v>9.3</v>
      </c>
      <c r="Q106" s="48">
        <f>IFERROR(__xludf.DUMMYFUNCTION("""COMPUTED_VALUE"""),0.7)</f>
        <v>0.7</v>
      </c>
      <c r="R106" s="47">
        <f>IFERROR(__xludf.DUMMYFUNCTION("""COMPUTED_VALUE"""),0.9)</f>
        <v>0.9</v>
      </c>
      <c r="S106" s="47">
        <f>IFERROR(__xludf.DUMMYFUNCTION("""COMPUTED_VALUE"""),1.9)</f>
        <v>1.9</v>
      </c>
      <c r="T106" s="47">
        <f>IFERROR(__xludf.DUMMYFUNCTION("""COMPUTED_VALUE"""),72.0)</f>
        <v>72</v>
      </c>
      <c r="U106" s="47">
        <f>IFERROR(__xludf.DUMMYFUNCTION("""COMPUTED_VALUE"""),50.0)</f>
        <v>50</v>
      </c>
      <c r="V106" s="47">
        <f>IFERROR(__xludf.DUMMYFUNCTION("""COMPUTED_VALUE"""),0.8)</f>
        <v>0.8</v>
      </c>
      <c r="W106" s="46">
        <f>IFERROR(__xludf.DUMMYFUNCTION("""COMPUTED_VALUE"""),-1.509434582958029)</f>
        <v>-1.509434583</v>
      </c>
      <c r="X106" s="46">
        <f>IFERROR(__xludf.DUMMYFUNCTION("""COMPUTED_VALUE"""),-1.4261378116187227)</f>
        <v>-1.426137812</v>
      </c>
      <c r="Y106" s="46">
        <f>IFERROR(__xludf.DUMMYFUNCTION("""COMPUTED_VALUE"""),1.3400432193177436)</f>
        <v>1.340043219</v>
      </c>
      <c r="Z106" s="46">
        <f>IFERROR(__xludf.DUMMYFUNCTION("""COMPUTED_VALUE"""),-1.603517358481987)</f>
        <v>-1.603517358</v>
      </c>
      <c r="AA106" s="46">
        <f>IFERROR(__xludf.DUMMYFUNCTION("""COMPUTED_VALUE"""),-0.2064205727568726)</f>
        <v>-0.2064205728</v>
      </c>
      <c r="AB106" s="46">
        <f>IFERROR(__xludf.DUMMYFUNCTION("""COMPUTED_VALUE"""),1.5740391981988309)</f>
        <v>1.574039198</v>
      </c>
      <c r="AC106" s="46">
        <f>IFERROR(__xludf.DUMMYFUNCTION("""COMPUTED_VALUE"""),1.1188066010464721)</f>
        <v>1.118806601</v>
      </c>
      <c r="AD106" s="46">
        <f>IFERROR(__xludf.DUMMYFUNCTION("""COMPUTED_VALUE"""),-1.731289986747137)</f>
        <v>-1.731289987</v>
      </c>
      <c r="AE106" s="46">
        <f>IFERROR(__xludf.DUMMYFUNCTION("""COMPUTED_VALUE"""),0.37089925572797316)</f>
        <v>0.3708992557</v>
      </c>
    </row>
    <row r="107">
      <c r="A107" s="6" t="str">
        <f>IF(VLOOKUP(H107,'Paste #BBall'!$B$2:$N1001,3,)="BRO","BKN",IF(VLOOKUP(H107,'Paste #BBall'!$B$2:$N1001,3,)="OKL","OKC",VLOOKUP(H107,'Paste #BBall'!$B$2:$N1001,3,)))</f>
        <v>BOS</v>
      </c>
      <c r="B107" s="42">
        <f>VLOOKUP($A107,Schedule!$C$2:$G$31,2,0)</f>
        <v>3</v>
      </c>
      <c r="C107" s="42">
        <f>VLOOKUP($A107,Schedule!$C$2:$G$31,3,0)</f>
        <v>4</v>
      </c>
      <c r="D107" s="42">
        <f>VLOOKUP($A107,Schedule!$C$2:$G$31,4,0)</f>
        <v>4</v>
      </c>
      <c r="E107" s="42">
        <f t="shared" si="1"/>
        <v>11</v>
      </c>
      <c r="F107" s="51">
        <v>102.0</v>
      </c>
      <c r="G107" s="45">
        <f>IFERROR(__xludf.DUMMYFUNCTION("""COMPUTED_VALUE"""),120.0)</f>
        <v>120</v>
      </c>
      <c r="H107" s="45" t="str">
        <f>IFERROR(__xludf.DUMMYFUNCTION("""COMPUTED_VALUE"""),"Al Horford")</f>
        <v>Al Horford</v>
      </c>
      <c r="I107" s="45">
        <f>IFERROR(__xludf.DUMMYFUNCTION("""COMPUTED_VALUE"""),58.0)</f>
        <v>58</v>
      </c>
      <c r="J107" s="46" t="str">
        <f>IFERROR(__xludf.DUMMYFUNCTION("""COMPUTED_VALUE"""),"PF,C")</f>
        <v>PF,C</v>
      </c>
      <c r="K107" s="46">
        <f>IFERROR(__xludf.DUMMYFUNCTION("""COMPUTED_VALUE"""),-2.2756513910785765)</f>
        <v>-2.275651391</v>
      </c>
      <c r="L107" s="46">
        <f>IFERROR(__xludf.DUMMYFUNCTION("""COMPUTED_VALUE"""),-0.4054452817159948)</f>
        <v>-0.4054452817</v>
      </c>
      <c r="M107" s="47">
        <f>IFERROR(__xludf.DUMMYFUNCTION("""COMPUTED_VALUE"""),1.8702061093625817)</f>
        <v>1.870206109</v>
      </c>
      <c r="N107" s="47">
        <f>IFERROR(__xludf.DUMMYFUNCTION("""COMPUTED_VALUE"""),9.4)</f>
        <v>9.4</v>
      </c>
      <c r="O107" s="47">
        <f>IFERROR(__xludf.DUMMYFUNCTION("""COMPUTED_VALUE"""),1.7)</f>
        <v>1.7</v>
      </c>
      <c r="P107" s="47">
        <f>IFERROR(__xludf.DUMMYFUNCTION("""COMPUTED_VALUE"""),6.6)</f>
        <v>6.6</v>
      </c>
      <c r="Q107" s="48">
        <f>IFERROR(__xludf.DUMMYFUNCTION("""COMPUTED_VALUE"""),3.0)</f>
        <v>3</v>
      </c>
      <c r="R107" s="47">
        <f>IFERROR(__xludf.DUMMYFUNCTION("""COMPUTED_VALUE"""),0.6)</f>
        <v>0.6</v>
      </c>
      <c r="S107" s="47">
        <f>IFERROR(__xludf.DUMMYFUNCTION("""COMPUTED_VALUE"""),1.1)</f>
        <v>1.1</v>
      </c>
      <c r="T107" s="47">
        <f>IFERROR(__xludf.DUMMYFUNCTION("""COMPUTED_VALUE"""),46.666666666666664)</f>
        <v>46.66666667</v>
      </c>
      <c r="U107" s="47">
        <f>IFERROR(__xludf.DUMMYFUNCTION("""COMPUTED_VALUE"""),74.99999999999999)</f>
        <v>75</v>
      </c>
      <c r="V107" s="47">
        <f>IFERROR(__xludf.DUMMYFUNCTION("""COMPUTED_VALUE"""),0.7)</f>
        <v>0.7</v>
      </c>
      <c r="W107" s="46">
        <f>IFERROR(__xludf.DUMMYFUNCTION("""COMPUTED_VALUE"""),-1.324055568303712)</f>
        <v>-1.324055568</v>
      </c>
      <c r="X107" s="46">
        <f>IFERROR(__xludf.DUMMYFUNCTION("""COMPUTED_VALUE"""),0.047981126211737425)</f>
        <v>0.04798112621</v>
      </c>
      <c r="Y107" s="46">
        <f>IFERROR(__xludf.DUMMYFUNCTION("""COMPUTED_VALUE"""),0.21102823320647643)</f>
        <v>0.2110282332</v>
      </c>
      <c r="Z107" s="46">
        <f>IFERROR(__xludf.DUMMYFUNCTION("""COMPUTED_VALUE"""),-0.4304607667171749)</f>
        <v>-0.4304607667</v>
      </c>
      <c r="AA107" s="46">
        <f>IFERROR(__xludf.DUMMYFUNCTION("""COMPUTED_VALUE"""),-0.860570275155411)</f>
        <v>-0.8605702752</v>
      </c>
      <c r="AB107" s="46">
        <f>IFERROR(__xludf.DUMMYFUNCTION("""COMPUTED_VALUE"""),0.5235124808247502)</f>
        <v>0.5235124808</v>
      </c>
      <c r="AC107" s="46">
        <f>IFERROR(__xludf.DUMMYFUNCTION("""COMPUTED_VALUE"""),-0.2196336539591347)</f>
        <v>-0.219633654</v>
      </c>
      <c r="AD107" s="46">
        <f>IFERROR(__xludf.DUMMYFUNCTION("""COMPUTED_VALUE"""),-0.07924793651994107)</f>
        <v>-0.07924793652</v>
      </c>
      <c r="AE107" s="46">
        <f>IFERROR(__xludf.DUMMYFUNCTION("""COMPUTED_VALUE"""),0.4019455103927031)</f>
        <v>0.4019455104</v>
      </c>
    </row>
    <row r="108">
      <c r="A108" s="6" t="str">
        <f>IF(VLOOKUP(H108,'Paste #BBall'!$B$2:$N1001,3,)="BRO","BKN",IF(VLOOKUP(H108,'Paste #BBall'!$B$2:$N1001,3,)="OKL","OKC",VLOOKUP(H108,'Paste #BBall'!$B$2:$N1001,3,)))</f>
        <v>NY</v>
      </c>
      <c r="B108" s="42">
        <f>VLOOKUP($A108,Schedule!$C$2:$G$31,2,0)</f>
        <v>3</v>
      </c>
      <c r="C108" s="42">
        <f>VLOOKUP($A108,Schedule!$C$2:$G$31,3,0)</f>
        <v>3</v>
      </c>
      <c r="D108" s="42">
        <f>VLOOKUP($A108,Schedule!$C$2:$G$31,4,0)</f>
        <v>3</v>
      </c>
      <c r="E108" s="42">
        <f t="shared" si="1"/>
        <v>9</v>
      </c>
      <c r="F108" s="43">
        <v>103.0</v>
      </c>
      <c r="G108" s="45">
        <f>IFERROR(__xludf.DUMMYFUNCTION("""COMPUTED_VALUE"""),94.0)</f>
        <v>94</v>
      </c>
      <c r="H108" s="45" t="str">
        <f>IFERROR(__xludf.DUMMYFUNCTION("""COMPUTED_VALUE"""),"Immanuel Quickley")</f>
        <v>Immanuel Quickley</v>
      </c>
      <c r="I108" s="45">
        <f>IFERROR(__xludf.DUMMYFUNCTION("""COMPUTED_VALUE"""),76.0)</f>
        <v>76</v>
      </c>
      <c r="J108" s="46" t="str">
        <f>IFERROR(__xludf.DUMMYFUNCTION("""COMPUTED_VALUE"""),"PG,SG")</f>
        <v>PG,SG</v>
      </c>
      <c r="K108" s="46">
        <f>IFERROR(__xludf.DUMMYFUNCTION("""COMPUTED_VALUE"""),-1.658979790205001)</f>
        <v>-1.65897979</v>
      </c>
      <c r="L108" s="46">
        <f>IFERROR(__xludf.DUMMYFUNCTION("""COMPUTED_VALUE"""),-0.4430140741376932)</f>
        <v>-0.4430140741</v>
      </c>
      <c r="M108" s="47">
        <f>IFERROR(__xludf.DUMMYFUNCTION("""COMPUTED_VALUE"""),1.2159657160673079)</f>
        <v>1.215965716</v>
      </c>
      <c r="N108" s="47">
        <f>IFERROR(__xludf.DUMMYFUNCTION("""COMPUTED_VALUE"""),15.2)</f>
        <v>15.2</v>
      </c>
      <c r="O108" s="47">
        <f>IFERROR(__xludf.DUMMYFUNCTION("""COMPUTED_VALUE"""),2.1)</f>
        <v>2.1</v>
      </c>
      <c r="P108" s="47">
        <f>IFERROR(__xludf.DUMMYFUNCTION("""COMPUTED_VALUE"""),4.1)</f>
        <v>4.1</v>
      </c>
      <c r="Q108" s="48">
        <f>IFERROR(__xludf.DUMMYFUNCTION("""COMPUTED_VALUE"""),3.9)</f>
        <v>3.9</v>
      </c>
      <c r="R108" s="47">
        <f>IFERROR(__xludf.DUMMYFUNCTION("""COMPUTED_VALUE"""),1.0)</f>
        <v>1</v>
      </c>
      <c r="S108" s="47">
        <f>IFERROR(__xludf.DUMMYFUNCTION("""COMPUTED_VALUE"""),0.1)</f>
        <v>0.1</v>
      </c>
      <c r="T108" s="47">
        <f>IFERROR(__xludf.DUMMYFUNCTION("""COMPUTED_VALUE"""),44.827586206896555)</f>
        <v>44.82758621</v>
      </c>
      <c r="U108" s="47">
        <f>IFERROR(__xludf.DUMMYFUNCTION("""COMPUTED_VALUE"""),87.09677419354838)</f>
        <v>87.09677419</v>
      </c>
      <c r="V108" s="47">
        <f>IFERROR(__xludf.DUMMYFUNCTION("""COMPUTED_VALUE"""),1.4)</f>
        <v>1.4</v>
      </c>
      <c r="W108" s="46">
        <f>IFERROR(__xludf.DUMMYFUNCTION("""COMPUTED_VALUE"""),-0.34660258194458676)</f>
        <v>-0.3466025819</v>
      </c>
      <c r="X108" s="46">
        <f>IFERROR(__xludf.DUMMYFUNCTION("""COMPUTED_VALUE"""),0.39483264099537524)</f>
        <v>0.394832641</v>
      </c>
      <c r="Y108" s="46">
        <f>IFERROR(__xludf.DUMMYFUNCTION("""COMPUTED_VALUE"""),-0.8343560131928446)</f>
        <v>-0.8343560132</v>
      </c>
      <c r="Z108" s="46">
        <f>IFERROR(__xludf.DUMMYFUNCTION("""COMPUTED_VALUE"""),0.02856137788644717)</f>
        <v>0.02856137789</v>
      </c>
      <c r="AA108" s="46">
        <f>IFERROR(__xludf.DUMMYFUNCTION("""COMPUTED_VALUE"""),0.011629328042640127)</f>
        <v>0.01162932804</v>
      </c>
      <c r="AB108" s="46">
        <f>IFERROR(__xludf.DUMMYFUNCTION("""COMPUTED_VALUE"""),-0.7896459158928509)</f>
        <v>-0.7896459159</v>
      </c>
      <c r="AC108" s="46">
        <f>IFERROR(__xludf.DUMMYFUNCTION("""COMPUTED_VALUE"""),-0.5527912576916125)</f>
        <v>-0.5527912577</v>
      </c>
      <c r="AD108" s="46">
        <f>IFERROR(__xludf.DUMMYFUNCTION("""COMPUTED_VALUE"""),0.6263806067273007)</f>
        <v>0.6263806067</v>
      </c>
      <c r="AE108" s="46">
        <f>IFERROR(__xludf.DUMMYFUNCTION("""COMPUTED_VALUE"""),0.18462172773959373)</f>
        <v>0.1846217277</v>
      </c>
    </row>
    <row r="109">
      <c r="A109" s="6" t="str">
        <f>IF(VLOOKUP(H109,'Paste #BBall'!$B$2:$N1001,3,)="BRO","BKN",IF(VLOOKUP(H109,'Paste #BBall'!$B$2:$N1001,3,)="OKL","OKC",VLOOKUP(H109,'Paste #BBall'!$B$2:$N1001,3,)))</f>
        <v>BKN</v>
      </c>
      <c r="B109" s="42">
        <f>VLOOKUP($A109,Schedule!$C$2:$G$31,2,0)</f>
        <v>5</v>
      </c>
      <c r="C109" s="42">
        <f>VLOOKUP($A109,Schedule!$C$2:$G$31,3,0)</f>
        <v>3</v>
      </c>
      <c r="D109" s="42">
        <f>VLOOKUP($A109,Schedule!$C$2:$G$31,4,0)</f>
        <v>3</v>
      </c>
      <c r="E109" s="42">
        <f t="shared" si="1"/>
        <v>11</v>
      </c>
      <c r="F109" s="51">
        <v>104.0</v>
      </c>
      <c r="G109" s="45">
        <f>IFERROR(__xludf.DUMMYFUNCTION("""COMPUTED_VALUE"""),116.0)</f>
        <v>116</v>
      </c>
      <c r="H109" s="45" t="str">
        <f>IFERROR(__xludf.DUMMYFUNCTION("""COMPUTED_VALUE"""),"Ben Simmons")</f>
        <v>Ben Simmons</v>
      </c>
      <c r="I109" s="45">
        <f>IFERROR(__xludf.DUMMYFUNCTION("""COMPUTED_VALUE"""),50.0)</f>
        <v>50</v>
      </c>
      <c r="J109" s="46" t="str">
        <f>IFERROR(__xludf.DUMMYFUNCTION("""COMPUTED_VALUE"""),"PG,SG,PF")</f>
        <v>PG,SG,PF</v>
      </c>
      <c r="K109" s="46">
        <f>IFERROR(__xludf.DUMMYFUNCTION("""COMPUTED_VALUE"""),-2.163826635713712)</f>
        <v>-2.163826636</v>
      </c>
      <c r="L109" s="46">
        <f>IFERROR(__xludf.DUMMYFUNCTION("""COMPUTED_VALUE"""),-0.48189603047812923)</f>
        <v>-0.4818960305</v>
      </c>
      <c r="M109" s="47">
        <f>IFERROR(__xludf.DUMMYFUNCTION("""COMPUTED_VALUE"""),1.681930605235583)</f>
        <v>1.681930605</v>
      </c>
      <c r="N109" s="47">
        <f>IFERROR(__xludf.DUMMYFUNCTION("""COMPUTED_VALUE"""),8.5)</f>
        <v>8.5</v>
      </c>
      <c r="O109" s="47">
        <f>IFERROR(__xludf.DUMMYFUNCTION("""COMPUTED_VALUE"""),0.0)</f>
        <v>0</v>
      </c>
      <c r="P109" s="47">
        <f>IFERROR(__xludf.DUMMYFUNCTION("""COMPUTED_VALUE"""),6.3)</f>
        <v>6.3</v>
      </c>
      <c r="Q109" s="48">
        <f>IFERROR(__xludf.DUMMYFUNCTION("""COMPUTED_VALUE"""),6.2)</f>
        <v>6.2</v>
      </c>
      <c r="R109" s="47">
        <f>IFERROR(__xludf.DUMMYFUNCTION("""COMPUTED_VALUE"""),1.3)</f>
        <v>1.3</v>
      </c>
      <c r="S109" s="47">
        <f>IFERROR(__xludf.DUMMYFUNCTION("""COMPUTED_VALUE"""),0.6)</f>
        <v>0.6</v>
      </c>
      <c r="T109" s="47">
        <f>IFERROR(__xludf.DUMMYFUNCTION("""COMPUTED_VALUE"""),56.33802816901409)</f>
        <v>56.33802817</v>
      </c>
      <c r="U109" s="47">
        <f>IFERROR(__xludf.DUMMYFUNCTION("""COMPUTED_VALUE"""),42.85714285714286)</f>
        <v>42.85714286</v>
      </c>
      <c r="V109" s="47">
        <f>IFERROR(__xludf.DUMMYFUNCTION("""COMPUTED_VALUE"""),2.3)</f>
        <v>2.3</v>
      </c>
      <c r="W109" s="46">
        <f>IFERROR(__xludf.DUMMYFUNCTION("""COMPUTED_VALUE"""),-1.4757293075663351)</f>
        <v>-1.475729308</v>
      </c>
      <c r="X109" s="46">
        <f>IFERROR(__xludf.DUMMYFUNCTION("""COMPUTED_VALUE"""),-1.4261378116187227)</f>
        <v>-1.426137812</v>
      </c>
      <c r="Y109" s="46">
        <f>IFERROR(__xludf.DUMMYFUNCTION("""COMPUTED_VALUE"""),0.08558212363855798)</f>
        <v>0.08558212364</v>
      </c>
      <c r="Z109" s="46">
        <f>IFERROR(__xludf.DUMMYFUNCTION("""COMPUTED_VALUE"""),1.2016179696512597)</f>
        <v>1.20161797</v>
      </c>
      <c r="AA109" s="46">
        <f>IFERROR(__xludf.DUMMYFUNCTION("""COMPUTED_VALUE"""),0.6657790304411786)</f>
        <v>0.6657790304</v>
      </c>
      <c r="AB109" s="46">
        <f>IFERROR(__xludf.DUMMYFUNCTION("""COMPUTED_VALUE"""),-0.13306671753405044)</f>
        <v>-0.1330667175</v>
      </c>
      <c r="AC109" s="46">
        <f>IFERROR(__xludf.DUMMYFUNCTION("""COMPUTED_VALUE"""),0.47796746098700477)</f>
        <v>0.477967461</v>
      </c>
      <c r="AD109" s="46">
        <f>IFERROR(__xludf.DUMMYFUNCTION("""COMPUTED_VALUE"""),-1.258843521800382)</f>
        <v>-1.258843522</v>
      </c>
      <c r="AE109" s="46">
        <f>IFERROR(__xludf.DUMMYFUNCTION("""COMPUTED_VALUE"""),-0.09479456424297544)</f>
        <v>-0.09479456424</v>
      </c>
    </row>
    <row r="110">
      <c r="A110" s="6" t="str">
        <f>IF(VLOOKUP(H110,'Paste #BBall'!$B$2:$N1001,3,)="BRO","BKN",IF(VLOOKUP(H110,'Paste #BBall'!$B$2:$N1001,3,)="OKL","OKC",VLOOKUP(H110,'Paste #BBall'!$B$2:$N1001,3,)))</f>
        <v>ORL</v>
      </c>
      <c r="B110" s="42">
        <f>VLOOKUP($A110,Schedule!$C$2:$G$31,2,0)</f>
        <v>4</v>
      </c>
      <c r="C110" s="42">
        <f>VLOOKUP($A110,Schedule!$C$2:$G$31,3,0)</f>
        <v>3</v>
      </c>
      <c r="D110" s="42">
        <f>VLOOKUP($A110,Schedule!$C$2:$G$31,4,0)</f>
        <v>3</v>
      </c>
      <c r="E110" s="42">
        <f t="shared" si="1"/>
        <v>10</v>
      </c>
      <c r="F110" s="43">
        <v>105.0</v>
      </c>
      <c r="G110" s="45">
        <f>IFERROR(__xludf.DUMMYFUNCTION("""COMPUTED_VALUE"""),103.0)</f>
        <v>103</v>
      </c>
      <c r="H110" s="45" t="str">
        <f>IFERROR(__xludf.DUMMYFUNCTION("""COMPUTED_VALUE"""),"Wendell Carter Jr.")</f>
        <v>Wendell Carter Jr.</v>
      </c>
      <c r="I110" s="45">
        <f>IFERROR(__xludf.DUMMYFUNCTION("""COMPUTED_VALUE"""),62.0)</f>
        <v>62</v>
      </c>
      <c r="J110" s="46" t="str">
        <f>IFERROR(__xludf.DUMMYFUNCTION("""COMPUTED_VALUE"""),"C")</f>
        <v>C</v>
      </c>
      <c r="K110" s="46">
        <f>IFERROR(__xludf.DUMMYFUNCTION("""COMPUTED_VALUE"""),-1.799617544115744)</f>
        <v>-1.799617544</v>
      </c>
      <c r="L110" s="46">
        <f>IFERROR(__xludf.DUMMYFUNCTION("""COMPUTED_VALUE"""),-0.500484970580122)</f>
        <v>-0.5004849706</v>
      </c>
      <c r="M110" s="47">
        <f>IFERROR(__xludf.DUMMYFUNCTION("""COMPUTED_VALUE"""),1.299132573535622)</f>
        <v>1.299132574</v>
      </c>
      <c r="N110" s="47">
        <f>IFERROR(__xludf.DUMMYFUNCTION("""COMPUTED_VALUE"""),15.4)</f>
        <v>15.4</v>
      </c>
      <c r="O110" s="47">
        <f>IFERROR(__xludf.DUMMYFUNCTION("""COMPUTED_VALUE"""),1.3)</f>
        <v>1.3</v>
      </c>
      <c r="P110" s="47">
        <f>IFERROR(__xludf.DUMMYFUNCTION("""COMPUTED_VALUE"""),8.7)</f>
        <v>8.7</v>
      </c>
      <c r="Q110" s="48">
        <f>IFERROR(__xludf.DUMMYFUNCTION("""COMPUTED_VALUE"""),2.2)</f>
        <v>2.2</v>
      </c>
      <c r="R110" s="47">
        <f>IFERROR(__xludf.DUMMYFUNCTION("""COMPUTED_VALUE"""),0.6)</f>
        <v>0.6</v>
      </c>
      <c r="S110" s="47">
        <f>IFERROR(__xludf.DUMMYFUNCTION("""COMPUTED_VALUE"""),0.7)</f>
        <v>0.7</v>
      </c>
      <c r="T110" s="47">
        <f>IFERROR(__xludf.DUMMYFUNCTION("""COMPUTED_VALUE"""),52.25225225225225)</f>
        <v>52.25225225</v>
      </c>
      <c r="U110" s="47">
        <f>IFERROR(__xludf.DUMMYFUNCTION("""COMPUTED_VALUE"""),73.52941176470588)</f>
        <v>73.52941176</v>
      </c>
      <c r="V110" s="47">
        <f>IFERROR(__xludf.DUMMYFUNCTION("""COMPUTED_VALUE"""),1.9)</f>
        <v>1.9</v>
      </c>
      <c r="W110" s="46">
        <f>IFERROR(__xludf.DUMMYFUNCTION("""COMPUTED_VALUE"""),-0.3128973065528926)</f>
        <v>-0.3128973066</v>
      </c>
      <c r="X110" s="46">
        <f>IFERROR(__xludf.DUMMYFUNCTION("""COMPUTED_VALUE"""),-0.2988703885719002)</f>
        <v>-0.2988703886</v>
      </c>
      <c r="Y110" s="46">
        <f>IFERROR(__xludf.DUMMYFUNCTION("""COMPUTED_VALUE"""),1.089151000181906)</f>
        <v>1.089151</v>
      </c>
      <c r="Z110" s="46">
        <f>IFERROR(__xludf.DUMMYFUNCTION("""COMPUTED_VALUE"""),-0.8384804508092835)</f>
        <v>-0.8384804508</v>
      </c>
      <c r="AA110" s="46">
        <f>IFERROR(__xludf.DUMMYFUNCTION("""COMPUTED_VALUE"""),-0.860570275155411)</f>
        <v>-0.8605702752</v>
      </c>
      <c r="AB110" s="46">
        <f>IFERROR(__xludf.DUMMYFUNCTION("""COMPUTED_VALUE"""),-0.0017508778622903794)</f>
        <v>-0.001750877862</v>
      </c>
      <c r="AC110" s="46">
        <f>IFERROR(__xludf.DUMMYFUNCTION("""COMPUTED_VALUE"""),0.2942385102604188)</f>
        <v>0.2942385103</v>
      </c>
      <c r="AD110" s="46">
        <f>IFERROR(__xludf.DUMMYFUNCTION("""COMPUTED_VALUE"""),-0.46126591164202435)</f>
        <v>-0.4612659116</v>
      </c>
      <c r="AE110" s="46">
        <f>IFERROR(__xludf.DUMMYFUNCTION("""COMPUTED_VALUE"""),0.029390454415944182)</f>
        <v>0.02939045442</v>
      </c>
    </row>
    <row r="111">
      <c r="A111" s="6" t="str">
        <f>IF(VLOOKUP(H111,'Paste #BBall'!$B$2:$N1001,3,)="BRO","BKN",IF(VLOOKUP(H111,'Paste #BBall'!$B$2:$N1001,3,)="OKL","OKC",VLOOKUP(H111,'Paste #BBall'!$B$2:$N1001,3,)))</f>
        <v>SAC</v>
      </c>
      <c r="B111" s="42">
        <f>VLOOKUP($A111,Schedule!$C$2:$G$31,2,0)</f>
        <v>4</v>
      </c>
      <c r="C111" s="42">
        <f>VLOOKUP($A111,Schedule!$C$2:$G$31,3,0)</f>
        <v>3</v>
      </c>
      <c r="D111" s="42">
        <f>VLOOKUP($A111,Schedule!$C$2:$G$31,4,0)</f>
        <v>4</v>
      </c>
      <c r="E111" s="42">
        <f t="shared" si="1"/>
        <v>11</v>
      </c>
      <c r="F111" s="51">
        <v>106.0</v>
      </c>
      <c r="G111" s="45">
        <f>IFERROR(__xludf.DUMMYFUNCTION("""COMPUTED_VALUE"""),114.0)</f>
        <v>114</v>
      </c>
      <c r="H111" s="45" t="str">
        <f>IFERROR(__xludf.DUMMYFUNCTION("""COMPUTED_VALUE"""),"Keegan Murray")</f>
        <v>Keegan Murray</v>
      </c>
      <c r="I111" s="45">
        <f>IFERROR(__xludf.DUMMYFUNCTION("""COMPUTED_VALUE"""),78.0)</f>
        <v>78</v>
      </c>
      <c r="J111" s="46" t="str">
        <f>IFERROR(__xludf.DUMMYFUNCTION("""COMPUTED_VALUE"""),"SF,PF")</f>
        <v>SF,PF</v>
      </c>
      <c r="K111" s="46">
        <f>IFERROR(__xludf.DUMMYFUNCTION("""COMPUTED_VALUE"""),-2.1091017990973415)</f>
        <v>-2.109101799</v>
      </c>
      <c r="L111" s="46">
        <f>IFERROR(__xludf.DUMMYFUNCTION("""COMPUTED_VALUE"""),-0.502838232288535)</f>
        <v>-0.5028382323</v>
      </c>
      <c r="M111" s="47">
        <f>IFERROR(__xludf.DUMMYFUNCTION("""COMPUTED_VALUE"""),1.6062635668088066)</f>
        <v>1.606263567</v>
      </c>
      <c r="N111" s="47">
        <f>IFERROR(__xludf.DUMMYFUNCTION("""COMPUTED_VALUE"""),14.0)</f>
        <v>14</v>
      </c>
      <c r="O111" s="47">
        <f>IFERROR(__xludf.DUMMYFUNCTION("""COMPUTED_VALUE"""),2.7)</f>
        <v>2.7</v>
      </c>
      <c r="P111" s="47">
        <f>IFERROR(__xludf.DUMMYFUNCTION("""COMPUTED_VALUE"""),4.9)</f>
        <v>4.9</v>
      </c>
      <c r="Q111" s="48">
        <f>IFERROR(__xludf.DUMMYFUNCTION("""COMPUTED_VALUE"""),1.3)</f>
        <v>1.3</v>
      </c>
      <c r="R111" s="47">
        <f>IFERROR(__xludf.DUMMYFUNCTION("""COMPUTED_VALUE"""),0.9)</f>
        <v>0.9</v>
      </c>
      <c r="S111" s="47">
        <f>IFERROR(__xludf.DUMMYFUNCTION("""COMPUTED_VALUE"""),0.6)</f>
        <v>0.6</v>
      </c>
      <c r="T111" s="47">
        <f>IFERROR(__xludf.DUMMYFUNCTION("""COMPUTED_VALUE"""),46.36363636363636)</f>
        <v>46.36363636</v>
      </c>
      <c r="U111" s="47">
        <f>IFERROR(__xludf.DUMMYFUNCTION("""COMPUTED_VALUE"""),78.57142857142858)</f>
        <v>78.57142857</v>
      </c>
      <c r="V111" s="47">
        <f>IFERROR(__xludf.DUMMYFUNCTION("""COMPUTED_VALUE"""),0.9)</f>
        <v>0.9</v>
      </c>
      <c r="W111" s="46">
        <f>IFERROR(__xludf.DUMMYFUNCTION("""COMPUTED_VALUE"""),-0.5488342342947505)</f>
        <v>-0.5488342343</v>
      </c>
      <c r="X111" s="46">
        <f>IFERROR(__xludf.DUMMYFUNCTION("""COMPUTED_VALUE"""),0.9151099131708318)</f>
        <v>0.9151099132</v>
      </c>
      <c r="Y111" s="46">
        <f>IFERROR(__xludf.DUMMYFUNCTION("""COMPUTED_VALUE"""),-0.4998330543450616)</f>
        <v>-0.4998330543</v>
      </c>
      <c r="Z111" s="46">
        <f>IFERROR(__xludf.DUMMYFUNCTION("""COMPUTED_VALUE"""),-1.2975025954129054)</f>
        <v>-1.297502595</v>
      </c>
      <c r="AA111" s="46">
        <f>IFERROR(__xludf.DUMMYFUNCTION("""COMPUTED_VALUE"""),-0.2064205727568726)</f>
        <v>-0.2064205728</v>
      </c>
      <c r="AB111" s="46">
        <f>IFERROR(__xludf.DUMMYFUNCTION("""COMPUTED_VALUE"""),-0.13306671753405044)</f>
        <v>-0.1330667175</v>
      </c>
      <c r="AC111" s="46">
        <f>IFERROR(__xludf.DUMMYFUNCTION("""COMPUTED_VALUE"""),-0.35542486011425467)</f>
        <v>-0.3554248601</v>
      </c>
      <c r="AD111" s="46">
        <f>IFERROR(__xludf.DUMMYFUNCTION("""COMPUTED_VALUE"""),-0.014221707477619961)</f>
        <v>-0.01422170748</v>
      </c>
      <c r="AE111" s="46">
        <f>IFERROR(__xludf.DUMMYFUNCTION("""COMPUTED_VALUE"""),0.33985300106324323)</f>
        <v>0.3398530011</v>
      </c>
    </row>
    <row r="112">
      <c r="A112" s="6" t="str">
        <f>IF(VLOOKUP(H112,'Paste #BBall'!$B$2:$N1001,3,)="BRO","BKN",IF(VLOOKUP(H112,'Paste #BBall'!$B$2:$N1001,3,)="OKL","OKC",VLOOKUP(H112,'Paste #BBall'!$B$2:$N1001,3,)))</f>
        <v>BOS</v>
      </c>
      <c r="B112" s="42">
        <f>VLOOKUP($A112,Schedule!$C$2:$G$31,2,0)</f>
        <v>3</v>
      </c>
      <c r="C112" s="42">
        <f>VLOOKUP($A112,Schedule!$C$2:$G$31,3,0)</f>
        <v>4</v>
      </c>
      <c r="D112" s="42">
        <f>VLOOKUP($A112,Schedule!$C$2:$G$31,4,0)</f>
        <v>4</v>
      </c>
      <c r="E112" s="42">
        <f t="shared" si="1"/>
        <v>11</v>
      </c>
      <c r="F112" s="51">
        <v>107.0</v>
      </c>
      <c r="G112" s="45">
        <f>IFERROR(__xludf.DUMMYFUNCTION("""COMPUTED_VALUE"""),99.0)</f>
        <v>99</v>
      </c>
      <c r="H112" s="45" t="str">
        <f>IFERROR(__xludf.DUMMYFUNCTION("""COMPUTED_VALUE"""),"Derrick White")</f>
        <v>Derrick White</v>
      </c>
      <c r="I112" s="45">
        <f>IFERROR(__xludf.DUMMYFUNCTION("""COMPUTED_VALUE"""),77.0)</f>
        <v>77</v>
      </c>
      <c r="J112" s="46" t="str">
        <f>IFERROR(__xludf.DUMMYFUNCTION("""COMPUTED_VALUE"""),"PG,SG")</f>
        <v>PG,SG</v>
      </c>
      <c r="K112" s="46">
        <f>IFERROR(__xludf.DUMMYFUNCTION("""COMPUTED_VALUE"""),-1.73740460519391)</f>
        <v>-1.737404605</v>
      </c>
      <c r="L112" s="46">
        <f>IFERROR(__xludf.DUMMYFUNCTION("""COMPUTED_VALUE"""),-0.509158506938362)</f>
        <v>-0.5091585069</v>
      </c>
      <c r="M112" s="47">
        <f>IFERROR(__xludf.DUMMYFUNCTION("""COMPUTED_VALUE"""),1.228246098255548)</f>
        <v>1.228246098</v>
      </c>
      <c r="N112" s="47">
        <f>IFERROR(__xludf.DUMMYFUNCTION("""COMPUTED_VALUE"""),13.0)</f>
        <v>13</v>
      </c>
      <c r="O112" s="47">
        <f>IFERROR(__xludf.DUMMYFUNCTION("""COMPUTED_VALUE"""),1.7)</f>
        <v>1.7</v>
      </c>
      <c r="P112" s="47">
        <f>IFERROR(__xludf.DUMMYFUNCTION("""COMPUTED_VALUE"""),3.6)</f>
        <v>3.6</v>
      </c>
      <c r="Q112" s="48">
        <f>IFERROR(__xludf.DUMMYFUNCTION("""COMPUTED_VALUE"""),4.0)</f>
        <v>4</v>
      </c>
      <c r="R112" s="47">
        <f>IFERROR(__xludf.DUMMYFUNCTION("""COMPUTED_VALUE"""),0.8)</f>
        <v>0.8</v>
      </c>
      <c r="S112" s="47">
        <f>IFERROR(__xludf.DUMMYFUNCTION("""COMPUTED_VALUE"""),0.9)</f>
        <v>0.9</v>
      </c>
      <c r="T112" s="47">
        <f>IFERROR(__xludf.DUMMYFUNCTION("""COMPUTED_VALUE"""),45.45454545454545)</f>
        <v>45.45454545</v>
      </c>
      <c r="U112" s="47">
        <f>IFERROR(__xludf.DUMMYFUNCTION("""COMPUTED_VALUE"""),85.71428571428572)</f>
        <v>85.71428571</v>
      </c>
      <c r="V112" s="47">
        <f>IFERROR(__xludf.DUMMYFUNCTION("""COMPUTED_VALUE"""),1.4)</f>
        <v>1.4</v>
      </c>
      <c r="W112" s="46">
        <f>IFERROR(__xludf.DUMMYFUNCTION("""COMPUTED_VALUE"""),-0.7173606112532205)</f>
        <v>-0.7173606113</v>
      </c>
      <c r="X112" s="46">
        <f>IFERROR(__xludf.DUMMYFUNCTION("""COMPUTED_VALUE"""),0.047981126211737425)</f>
        <v>0.04798112621</v>
      </c>
      <c r="Y112" s="46">
        <f>IFERROR(__xludf.DUMMYFUNCTION("""COMPUTED_VALUE"""),-1.0434328624727087)</f>
        <v>-1.043432862</v>
      </c>
      <c r="Z112" s="46">
        <f>IFERROR(__xludf.DUMMYFUNCTION("""COMPUTED_VALUE"""),0.07956383839796079)</f>
        <v>0.0795638384</v>
      </c>
      <c r="AA112" s="46">
        <f>IFERROR(__xludf.DUMMYFUNCTION("""COMPUTED_VALUE"""),-0.42447047355638534)</f>
        <v>-0.4244704736</v>
      </c>
      <c r="AB112" s="46">
        <f>IFERROR(__xludf.DUMMYFUNCTION("""COMPUTED_VALUE"""),0.2608808014812299)</f>
        <v>0.2608808015</v>
      </c>
      <c r="AC112" s="46">
        <f>IFERROR(__xludf.DUMMYFUNCTION("""COMPUTED_VALUE"""),-0.4097802267331429)</f>
        <v>-0.4097802267</v>
      </c>
      <c r="AD112" s="46">
        <f>IFERROR(__xludf.DUMMYFUNCTION("""COMPUTED_VALUE"""),0.4694053107738645)</f>
        <v>0.4694053108</v>
      </c>
      <c r="AE112" s="46">
        <f>IFERROR(__xludf.DUMMYFUNCTION("""COMPUTED_VALUE"""),0.18462172773959373)</f>
        <v>0.1846217277</v>
      </c>
    </row>
    <row r="113">
      <c r="A113" s="6" t="str">
        <f>IF(VLOOKUP(H113,'Paste #BBall'!$B$2:$N1001,3,)="BRO","BKN",IF(VLOOKUP(H113,'Paste #BBall'!$B$2:$N1001,3,)="OKL","OKC",VLOOKUP(H113,'Paste #BBall'!$B$2:$N1001,3,)))</f>
        <v>UTA</v>
      </c>
      <c r="B113" s="42">
        <f>VLOOKUP($A113,Schedule!$C$2:$G$31,2,0)</f>
        <v>3</v>
      </c>
      <c r="C113" s="42">
        <f>VLOOKUP($A113,Schedule!$C$2:$G$31,3,0)</f>
        <v>3</v>
      </c>
      <c r="D113" s="42">
        <f>VLOOKUP($A113,Schedule!$C$2:$G$31,4,0)</f>
        <v>4</v>
      </c>
      <c r="E113" s="42">
        <f t="shared" si="1"/>
        <v>10</v>
      </c>
      <c r="F113" s="43">
        <v>108.0</v>
      </c>
      <c r="G113" s="45">
        <f>IFERROR(__xludf.DUMMYFUNCTION("""COMPUTED_VALUE"""),112.0)</f>
        <v>112</v>
      </c>
      <c r="H113" s="45" t="str">
        <f>IFERROR(__xludf.DUMMYFUNCTION("""COMPUTED_VALUE"""),"John Collins")</f>
        <v>John Collins</v>
      </c>
      <c r="I113" s="45">
        <f>IFERROR(__xludf.DUMMYFUNCTION("""COMPUTED_VALUE"""),70.0)</f>
        <v>70</v>
      </c>
      <c r="J113" s="46" t="str">
        <f>IFERROR(__xludf.DUMMYFUNCTION("""COMPUTED_VALUE"""),"PF")</f>
        <v>PF</v>
      </c>
      <c r="K113" s="46">
        <f>IFERROR(__xludf.DUMMYFUNCTION("""COMPUTED_VALUE"""),-2.107465452443239)</f>
        <v>-2.107465452</v>
      </c>
      <c r="L113" s="46">
        <f>IFERROR(__xludf.DUMMYFUNCTION("""COMPUTED_VALUE"""),-0.5095793495473766)</f>
        <v>-0.5095793495</v>
      </c>
      <c r="M113" s="47">
        <f>IFERROR(__xludf.DUMMYFUNCTION("""COMPUTED_VALUE"""),1.5978861028958622)</f>
        <v>1.597886103</v>
      </c>
      <c r="N113" s="47">
        <f>IFERROR(__xludf.DUMMYFUNCTION("""COMPUTED_VALUE"""),14.4)</f>
        <v>14.4</v>
      </c>
      <c r="O113" s="47">
        <f>IFERROR(__xludf.DUMMYFUNCTION("""COMPUTED_VALUE"""),1.1)</f>
        <v>1.1</v>
      </c>
      <c r="P113" s="47">
        <f>IFERROR(__xludf.DUMMYFUNCTION("""COMPUTED_VALUE"""),7.1)</f>
        <v>7.1</v>
      </c>
      <c r="Q113" s="48">
        <f>IFERROR(__xludf.DUMMYFUNCTION("""COMPUTED_VALUE"""),1.5)</f>
        <v>1.5</v>
      </c>
      <c r="R113" s="47">
        <f>IFERROR(__xludf.DUMMYFUNCTION("""COMPUTED_VALUE"""),0.6)</f>
        <v>0.6</v>
      </c>
      <c r="S113" s="47">
        <f>IFERROR(__xludf.DUMMYFUNCTION("""COMPUTED_VALUE"""),1.0)</f>
        <v>1</v>
      </c>
      <c r="T113" s="47">
        <f>IFERROR(__xludf.DUMMYFUNCTION("""COMPUTED_VALUE"""),51.85185185185185)</f>
        <v>51.85185185</v>
      </c>
      <c r="U113" s="47">
        <f>IFERROR(__xludf.DUMMYFUNCTION("""COMPUTED_VALUE"""),78.57142857142858)</f>
        <v>78.57142857</v>
      </c>
      <c r="V113" s="47">
        <f>IFERROR(__xludf.DUMMYFUNCTION("""COMPUTED_VALUE"""),1.1)</f>
        <v>1.1</v>
      </c>
      <c r="W113" s="46">
        <f>IFERROR(__xludf.DUMMYFUNCTION("""COMPUTED_VALUE"""),-0.4814236835113625)</f>
        <v>-0.4814236835</v>
      </c>
      <c r="X113" s="46">
        <f>IFERROR(__xludf.DUMMYFUNCTION("""COMPUTED_VALUE"""),-0.472296145963719)</f>
        <v>-0.472296146</v>
      </c>
      <c r="Y113" s="46">
        <f>IFERROR(__xludf.DUMMYFUNCTION("""COMPUTED_VALUE"""),0.42010508248634065)</f>
        <v>0.4201050825</v>
      </c>
      <c r="Z113" s="46">
        <f>IFERROR(__xludf.DUMMYFUNCTION("""COMPUTED_VALUE"""),-1.1954976743898784)</f>
        <v>-1.195497674</v>
      </c>
      <c r="AA113" s="46">
        <f>IFERROR(__xludf.DUMMYFUNCTION("""COMPUTED_VALUE"""),-0.860570275155411)</f>
        <v>-0.8605702752</v>
      </c>
      <c r="AB113" s="46">
        <f>IFERROR(__xludf.DUMMYFUNCTION("""COMPUTED_VALUE"""),0.39219664115299)</f>
        <v>0.3921966412</v>
      </c>
      <c r="AC113" s="46">
        <f>IFERROR(__xludf.DUMMYFUNCTION("""COMPUTED_VALUE"""),0.24309195466524158)</f>
        <v>0.2430919547</v>
      </c>
      <c r="AD113" s="46">
        <f>IFERROR(__xludf.DUMMYFUNCTION("""COMPUTED_VALUE"""),-0.028443414955239922)</f>
        <v>-0.02844341496</v>
      </c>
      <c r="AE113" s="46">
        <f>IFERROR(__xludf.DUMMYFUNCTION("""COMPUTED_VALUE"""),0.2777604917337834)</f>
        <v>0.2777604917</v>
      </c>
    </row>
    <row r="114">
      <c r="A114" s="6" t="str">
        <f>IF(VLOOKUP(H114,'Paste #BBall'!$B$2:$N1001,3,)="BRO","BKN",IF(VLOOKUP(H114,'Paste #BBall'!$B$2:$N1001,3,)="OKL","OKC",VLOOKUP(H114,'Paste #BBall'!$B$2:$N1001,3,)))</f>
        <v>SA</v>
      </c>
      <c r="B114" s="42">
        <f>VLOOKUP($A114,Schedule!$C$2:$G$31,2,0)</f>
        <v>3</v>
      </c>
      <c r="C114" s="42">
        <f>VLOOKUP($A114,Schedule!$C$2:$G$31,3,0)</f>
        <v>4</v>
      </c>
      <c r="D114" s="42">
        <f>VLOOKUP($A114,Schedule!$C$2:$G$31,4,0)</f>
        <v>3</v>
      </c>
      <c r="E114" s="42">
        <f t="shared" si="1"/>
        <v>10</v>
      </c>
      <c r="F114" s="51">
        <v>109.0</v>
      </c>
      <c r="G114" s="45">
        <f>IFERROR(__xludf.DUMMYFUNCTION("""COMPUTED_VALUE"""),109.0)</f>
        <v>109</v>
      </c>
      <c r="H114" s="45" t="str">
        <f>IFERROR(__xludf.DUMMYFUNCTION("""COMPUTED_VALUE"""),"Tre Jones")</f>
        <v>Tre Jones</v>
      </c>
      <c r="I114" s="45">
        <f>IFERROR(__xludf.DUMMYFUNCTION("""COMPUTED_VALUE"""),69.0)</f>
        <v>69</v>
      </c>
      <c r="J114" s="46" t="str">
        <f>IFERROR(__xludf.DUMMYFUNCTION("""COMPUTED_VALUE"""),"PG")</f>
        <v>PG</v>
      </c>
      <c r="K114" s="46">
        <f>IFERROR(__xludf.DUMMYFUNCTION("""COMPUTED_VALUE"""),-1.9444019381303639)</f>
        <v>-1.944401938</v>
      </c>
      <c r="L114" s="46">
        <f>IFERROR(__xludf.DUMMYFUNCTION("""COMPUTED_VALUE"""),-0.5285562095018479)</f>
        <v>-0.5285562095</v>
      </c>
      <c r="M114" s="47">
        <f>IFERROR(__xludf.DUMMYFUNCTION("""COMPUTED_VALUE"""),1.415845728628516)</f>
        <v>1.415845729</v>
      </c>
      <c r="N114" s="47">
        <f>IFERROR(__xludf.DUMMYFUNCTION("""COMPUTED_VALUE"""),12.1)</f>
        <v>12.1</v>
      </c>
      <c r="O114" s="47">
        <f>IFERROR(__xludf.DUMMYFUNCTION("""COMPUTED_VALUE"""),0.5)</f>
        <v>0.5</v>
      </c>
      <c r="P114" s="47">
        <f>IFERROR(__xludf.DUMMYFUNCTION("""COMPUTED_VALUE"""),3.8)</f>
        <v>3.8</v>
      </c>
      <c r="Q114" s="48">
        <f>IFERROR(__xludf.DUMMYFUNCTION("""COMPUTED_VALUE"""),6.4)</f>
        <v>6.4</v>
      </c>
      <c r="R114" s="47">
        <f>IFERROR(__xludf.DUMMYFUNCTION("""COMPUTED_VALUE"""),1.2)</f>
        <v>1.2</v>
      </c>
      <c r="S114" s="47">
        <f>IFERROR(__xludf.DUMMYFUNCTION("""COMPUTED_VALUE"""),0.2)</f>
        <v>0.2</v>
      </c>
      <c r="T114" s="47">
        <f>IFERROR(__xludf.DUMMYFUNCTION("""COMPUTED_VALUE"""),47.05882352941176)</f>
        <v>47.05882353</v>
      </c>
      <c r="U114" s="47">
        <f>IFERROR(__xludf.DUMMYFUNCTION("""COMPUTED_VALUE"""),84.00000000000001)</f>
        <v>84</v>
      </c>
      <c r="V114" s="47">
        <f>IFERROR(__xludf.DUMMYFUNCTION("""COMPUTED_VALUE"""),1.5)</f>
        <v>1.5</v>
      </c>
      <c r="W114" s="46">
        <f>IFERROR(__xludf.DUMMYFUNCTION("""COMPUTED_VALUE"""),-0.8690343505158434)</f>
        <v>-0.8690343505</v>
      </c>
      <c r="X114" s="46">
        <f>IFERROR(__xludf.DUMMYFUNCTION("""COMPUTED_VALUE"""),-0.9925734181391757)</f>
        <v>-0.9925734181</v>
      </c>
      <c r="Y114" s="46">
        <f>IFERROR(__xludf.DUMMYFUNCTION("""COMPUTED_VALUE"""),-0.959802122760763)</f>
        <v>-0.9598021228</v>
      </c>
      <c r="Z114" s="46">
        <f>IFERROR(__xludf.DUMMYFUNCTION("""COMPUTED_VALUE"""),1.3036228906742866)</f>
        <v>1.303622891</v>
      </c>
      <c r="AA114" s="46">
        <f>IFERROR(__xludf.DUMMYFUNCTION("""COMPUTED_VALUE"""),0.44772912964166556)</f>
        <v>0.4477291296</v>
      </c>
      <c r="AB114" s="46">
        <f>IFERROR(__xludf.DUMMYFUNCTION("""COMPUTED_VALUE"""),-0.6583300762210907)</f>
        <v>-0.6583300762</v>
      </c>
      <c r="AC114" s="46">
        <f>IFERROR(__xludf.DUMMYFUNCTION("""COMPUTED_VALUE"""),-0.25874716821539506)</f>
        <v>-0.2587471682</v>
      </c>
      <c r="AD114" s="46">
        <f>IFERROR(__xludf.DUMMYFUNCTION("""COMPUTED_VALUE"""),0.3124300148204282)</f>
        <v>0.3124300148</v>
      </c>
      <c r="AE114" s="46">
        <f>IFERROR(__xludf.DUMMYFUNCTION("""COMPUTED_VALUE"""),0.1535754730748638)</f>
        <v>0.1535754731</v>
      </c>
    </row>
    <row r="115">
      <c r="A115" s="6" t="str">
        <f>IF(VLOOKUP(H115,'Paste #BBall'!$B$2:$N1001,3,)="BRO","BKN",IF(VLOOKUP(H115,'Paste #BBall'!$B$2:$N1001,3,)="OKL","OKC",VLOOKUP(H115,'Paste #BBall'!$B$2:$N1001,3,)))</f>
        <v>LAL</v>
      </c>
      <c r="B115" s="42">
        <f>VLOOKUP($A115,Schedule!$C$2:$G$31,2,0)</f>
        <v>4</v>
      </c>
      <c r="C115" s="42">
        <f>VLOOKUP($A115,Schedule!$C$2:$G$31,3,0)</f>
        <v>2</v>
      </c>
      <c r="D115" s="42">
        <f>VLOOKUP($A115,Schedule!$C$2:$G$31,4,0)</f>
        <v>3</v>
      </c>
      <c r="E115" s="42">
        <f t="shared" si="1"/>
        <v>9</v>
      </c>
      <c r="F115" s="51">
        <v>110.0</v>
      </c>
      <c r="G115" s="45">
        <f>IFERROR(__xludf.DUMMYFUNCTION("""COMPUTED_VALUE"""),122.0)</f>
        <v>122</v>
      </c>
      <c r="H115" s="45" t="str">
        <f>IFERROR(__xludf.DUMMYFUNCTION("""COMPUTED_VALUE"""),"Jarred Vanderbilt")</f>
        <v>Jarred Vanderbilt</v>
      </c>
      <c r="I115" s="45">
        <f>IFERROR(__xludf.DUMMYFUNCTION("""COMPUTED_VALUE"""),76.0)</f>
        <v>76</v>
      </c>
      <c r="J115" s="46" t="str">
        <f>IFERROR(__xludf.DUMMYFUNCTION("""COMPUTED_VALUE"""),"PF")</f>
        <v>PF</v>
      </c>
      <c r="K115" s="46">
        <f>IFERROR(__xludf.DUMMYFUNCTION("""COMPUTED_VALUE"""),-2.340545176727778)</f>
        <v>-2.340545177</v>
      </c>
      <c r="L115" s="46">
        <f>IFERROR(__xludf.DUMMYFUNCTION("""COMPUTED_VALUE"""),-0.5743104966322206)</f>
        <v>-0.5743104966</v>
      </c>
      <c r="M115" s="47">
        <f>IFERROR(__xludf.DUMMYFUNCTION("""COMPUTED_VALUE"""),1.7662346800955573)</f>
        <v>1.76623468</v>
      </c>
      <c r="N115" s="47">
        <f>IFERROR(__xludf.DUMMYFUNCTION("""COMPUTED_VALUE"""),8.0)</f>
        <v>8</v>
      </c>
      <c r="O115" s="47">
        <f>IFERROR(__xludf.DUMMYFUNCTION("""COMPUTED_VALUE"""),0.2)</f>
        <v>0.2</v>
      </c>
      <c r="P115" s="47">
        <f>IFERROR(__xludf.DUMMYFUNCTION("""COMPUTED_VALUE"""),8.6)</f>
        <v>8.6</v>
      </c>
      <c r="Q115" s="48">
        <f>IFERROR(__xludf.DUMMYFUNCTION("""COMPUTED_VALUE"""),2.0)</f>
        <v>2</v>
      </c>
      <c r="R115" s="47">
        <f>IFERROR(__xludf.DUMMYFUNCTION("""COMPUTED_VALUE"""),1.3)</f>
        <v>1.3</v>
      </c>
      <c r="S115" s="47">
        <f>IFERROR(__xludf.DUMMYFUNCTION("""COMPUTED_VALUE"""),0.5)</f>
        <v>0.5</v>
      </c>
      <c r="T115" s="47">
        <f>IFERROR(__xludf.DUMMYFUNCTION("""COMPUTED_VALUE"""),56.896551724137936)</f>
        <v>56.89655172</v>
      </c>
      <c r="U115" s="47">
        <f>IFERROR(__xludf.DUMMYFUNCTION("""COMPUTED_VALUE"""),68.42105263157895)</f>
        <v>68.42105263</v>
      </c>
      <c r="V115" s="47">
        <f>IFERROR(__xludf.DUMMYFUNCTION("""COMPUTED_VALUE"""),1.2)</f>
        <v>1.2</v>
      </c>
      <c r="W115" s="46">
        <f>IFERROR(__xludf.DUMMYFUNCTION("""COMPUTED_VALUE"""),-1.55999249604557)</f>
        <v>-1.559992496</v>
      </c>
      <c r="X115" s="46">
        <f>IFERROR(__xludf.DUMMYFUNCTION("""COMPUTED_VALUE"""),-1.252712054226904)</f>
        <v>-1.252712054</v>
      </c>
      <c r="Y115" s="46">
        <f>IFERROR(__xludf.DUMMYFUNCTION("""COMPUTED_VALUE"""),1.0473356303259334)</f>
        <v>1.04733563</v>
      </c>
      <c r="Z115" s="46">
        <f>IFERROR(__xludf.DUMMYFUNCTION("""COMPUTED_VALUE"""),-0.9404853718323106)</f>
        <v>-0.9404853718</v>
      </c>
      <c r="AA115" s="46">
        <f>IFERROR(__xludf.DUMMYFUNCTION("""COMPUTED_VALUE"""),0.6657790304411786)</f>
        <v>0.6657790304</v>
      </c>
      <c r="AB115" s="46">
        <f>IFERROR(__xludf.DUMMYFUNCTION("""COMPUTED_VALUE"""),-0.2643825572058105)</f>
        <v>-0.2643825572</v>
      </c>
      <c r="AC115" s="46">
        <f>IFERROR(__xludf.DUMMYFUNCTION("""COMPUTED_VALUE"""),0.42280989161218874)</f>
        <v>0.4228098916</v>
      </c>
      <c r="AD115" s="46">
        <f>IFERROR(__xludf.DUMMYFUNCTION("""COMPUTED_VALUE"""),-0.4993693028155499)</f>
        <v>-0.4993693028</v>
      </c>
      <c r="AE115" s="46">
        <f>IFERROR(__xludf.DUMMYFUNCTION("""COMPUTED_VALUE"""),0.24671423706905354)</f>
        <v>0.2467142371</v>
      </c>
    </row>
    <row r="116">
      <c r="A116" s="6" t="str">
        <f>IF(VLOOKUP(H116,'Paste #BBall'!$B$2:$N1001,3,)="BRO","BKN",IF(VLOOKUP(H116,'Paste #BBall'!$B$2:$N1001,3,)="OKL","OKC",VLOOKUP(H116,'Paste #BBall'!$B$2:$N1001,3,)))</f>
        <v>DET</v>
      </c>
      <c r="B116" s="42">
        <f>VLOOKUP($A116,Schedule!$C$2:$G$31,2,0)</f>
        <v>3</v>
      </c>
      <c r="C116" s="42">
        <f>VLOOKUP($A116,Schedule!$C$2:$G$31,3,0)</f>
        <v>4</v>
      </c>
      <c r="D116" s="42">
        <f>VLOOKUP($A116,Schedule!$C$2:$G$31,4,0)</f>
        <v>4</v>
      </c>
      <c r="E116" s="42">
        <f t="shared" si="1"/>
        <v>11</v>
      </c>
      <c r="F116" s="43">
        <v>111.0</v>
      </c>
      <c r="G116" s="45">
        <f>IFERROR(__xludf.DUMMYFUNCTION("""COMPUTED_VALUE"""),110.0)</f>
        <v>110</v>
      </c>
      <c r="H116" s="45" t="str">
        <f>IFERROR(__xludf.DUMMYFUNCTION("""COMPUTED_VALUE"""),"Bojan Bogdanovic")</f>
        <v>Bojan Bogdanovic</v>
      </c>
      <c r="I116" s="45">
        <f>IFERROR(__xludf.DUMMYFUNCTION("""COMPUTED_VALUE"""),68.0)</f>
        <v>68</v>
      </c>
      <c r="J116" s="46" t="str">
        <f>IFERROR(__xludf.DUMMYFUNCTION("""COMPUTED_VALUE"""),"SG,SF")</f>
        <v>SG,SF</v>
      </c>
      <c r="K116" s="46">
        <f>IFERROR(__xludf.DUMMYFUNCTION("""COMPUTED_VALUE"""),-2.0596146666988497)</f>
        <v>-2.059614667</v>
      </c>
      <c r="L116" s="46">
        <f>IFERROR(__xludf.DUMMYFUNCTION("""COMPUTED_VALUE"""),-0.5757214561952271)</f>
        <v>-0.5757214562</v>
      </c>
      <c r="M116" s="47">
        <f>IFERROR(__xludf.DUMMYFUNCTION("""COMPUTED_VALUE"""),1.4838932105036227)</f>
        <v>1.483893211</v>
      </c>
      <c r="N116" s="47">
        <f>IFERROR(__xludf.DUMMYFUNCTION("""COMPUTED_VALUE"""),19.9)</f>
        <v>19.9</v>
      </c>
      <c r="O116" s="47">
        <f>IFERROR(__xludf.DUMMYFUNCTION("""COMPUTED_VALUE"""),2.6)</f>
        <v>2.6</v>
      </c>
      <c r="P116" s="47">
        <f>IFERROR(__xludf.DUMMYFUNCTION("""COMPUTED_VALUE"""),4.1)</f>
        <v>4.1</v>
      </c>
      <c r="Q116" s="48">
        <f>IFERROR(__xludf.DUMMYFUNCTION("""COMPUTED_VALUE"""),2.1)</f>
        <v>2.1</v>
      </c>
      <c r="R116" s="47">
        <f>IFERROR(__xludf.DUMMYFUNCTION("""COMPUTED_VALUE"""),0.5)</f>
        <v>0.5</v>
      </c>
      <c r="S116" s="47">
        <f>IFERROR(__xludf.DUMMYFUNCTION("""COMPUTED_VALUE"""),0.1)</f>
        <v>0.1</v>
      </c>
      <c r="T116" s="47">
        <f>IFERROR(__xludf.DUMMYFUNCTION("""COMPUTED_VALUE"""),46.85314685314685)</f>
        <v>46.85314685</v>
      </c>
      <c r="U116" s="47">
        <f>IFERROR(__xludf.DUMMYFUNCTION("""COMPUTED_VALUE"""),88.63636363636363)</f>
        <v>88.63636364</v>
      </c>
      <c r="V116" s="47">
        <f>IFERROR(__xludf.DUMMYFUNCTION("""COMPUTED_VALUE"""),2.0)</f>
        <v>2</v>
      </c>
      <c r="W116" s="46">
        <f>IFERROR(__xludf.DUMMYFUNCTION("""COMPUTED_VALUE"""),0.4454713897602217)</f>
        <v>0.4454713898</v>
      </c>
      <c r="X116" s="46">
        <f>IFERROR(__xludf.DUMMYFUNCTION("""COMPUTED_VALUE"""),0.8283970344749224)</f>
        <v>0.8283970345</v>
      </c>
      <c r="Y116" s="46">
        <f>IFERROR(__xludf.DUMMYFUNCTION("""COMPUTED_VALUE"""),-0.8343560131928446)</f>
        <v>-0.8343560132</v>
      </c>
      <c r="Z116" s="46">
        <f>IFERROR(__xludf.DUMMYFUNCTION("""COMPUTED_VALUE"""),-0.8894829113207969)</f>
        <v>-0.8894829113</v>
      </c>
      <c r="AA116" s="46">
        <f>IFERROR(__xludf.DUMMYFUNCTION("""COMPUTED_VALUE"""),-1.0786201759549239)</f>
        <v>-1.078620176</v>
      </c>
      <c r="AB116" s="46">
        <f>IFERROR(__xludf.DUMMYFUNCTION("""COMPUTED_VALUE"""),-0.7896459158928509)</f>
        <v>-0.7896459159</v>
      </c>
      <c r="AC116" s="46">
        <f>IFERROR(__xludf.DUMMYFUNCTION("""COMPUTED_VALUE"""),-0.39213176610273137)</f>
        <v>-0.3921317661</v>
      </c>
      <c r="AD116" s="46">
        <f>IFERROR(__xludf.DUMMYFUNCTION("""COMPUTED_VALUE"""),1.0576825263276386)</f>
        <v>1.057682526</v>
      </c>
      <c r="AE116" s="46">
        <f>IFERROR(__xludf.DUMMYFUNCTION("""COMPUTED_VALUE"""),-0.0016558002487857576)</f>
        <v>-0.001655800249</v>
      </c>
    </row>
    <row r="117">
      <c r="A117" s="6" t="str">
        <f>IF(VLOOKUP(H117,'Paste #BBall'!$B$2:$N1001,3,)="BRO","BKN",IF(VLOOKUP(H117,'Paste #BBall'!$B$2:$N1001,3,)="OKL","OKC",VLOOKUP(H117,'Paste #BBall'!$B$2:$N1001,3,)))</f>
        <v>WAS</v>
      </c>
      <c r="B117" s="42">
        <f>VLOOKUP($A117,Schedule!$C$2:$G$31,2,0)</f>
        <v>4</v>
      </c>
      <c r="C117" s="42">
        <f>VLOOKUP($A117,Schedule!$C$2:$G$31,3,0)</f>
        <v>4</v>
      </c>
      <c r="D117" s="42">
        <f>VLOOKUP($A117,Schedule!$C$2:$G$31,4,0)</f>
        <v>3</v>
      </c>
      <c r="E117" s="42">
        <f t="shared" si="1"/>
        <v>11</v>
      </c>
      <c r="F117" s="51">
        <v>112.0</v>
      </c>
      <c r="G117" s="45">
        <f>IFERROR(__xludf.DUMMYFUNCTION("""COMPUTED_VALUE"""),124.0)</f>
        <v>124</v>
      </c>
      <c r="H117" s="45" t="str">
        <f>IFERROR(__xludf.DUMMYFUNCTION("""COMPUTED_VALUE"""),"Delon Wright")</f>
        <v>Delon Wright</v>
      </c>
      <c r="I117" s="45">
        <f>IFERROR(__xludf.DUMMYFUNCTION("""COMPUTED_VALUE"""),68.0)</f>
        <v>68</v>
      </c>
      <c r="J117" s="46" t="str">
        <f>IFERROR(__xludf.DUMMYFUNCTION("""COMPUTED_VALUE"""),"PG,SG")</f>
        <v>PG,SG</v>
      </c>
      <c r="K117" s="46">
        <f>IFERROR(__xludf.DUMMYFUNCTION("""COMPUTED_VALUE"""),-2.4322287314522715)</f>
        <v>-2.432228731</v>
      </c>
      <c r="L117" s="46">
        <f>IFERROR(__xludf.DUMMYFUNCTION("""COMPUTED_VALUE"""),-0.5902242184750528)</f>
        <v>-0.5902242185</v>
      </c>
      <c r="M117" s="47">
        <f>IFERROR(__xludf.DUMMYFUNCTION("""COMPUTED_VALUE"""),1.8420045129772187)</f>
        <v>1.842004513</v>
      </c>
      <c r="N117" s="47">
        <f>IFERROR(__xludf.DUMMYFUNCTION("""COMPUTED_VALUE"""),6.5)</f>
        <v>6.5</v>
      </c>
      <c r="O117" s="47">
        <f>IFERROR(__xludf.DUMMYFUNCTION("""COMPUTED_VALUE"""),0.8)</f>
        <v>0.8</v>
      </c>
      <c r="P117" s="47">
        <f>IFERROR(__xludf.DUMMYFUNCTION("""COMPUTED_VALUE"""),3.6)</f>
        <v>3.6</v>
      </c>
      <c r="Q117" s="48">
        <f>IFERROR(__xludf.DUMMYFUNCTION("""COMPUTED_VALUE"""),3.5)</f>
        <v>3.5</v>
      </c>
      <c r="R117" s="47">
        <f>IFERROR(__xludf.DUMMYFUNCTION("""COMPUTED_VALUE"""),1.6)</f>
        <v>1.6</v>
      </c>
      <c r="S117" s="47">
        <f>IFERROR(__xludf.DUMMYFUNCTION("""COMPUTED_VALUE"""),0.3)</f>
        <v>0.3</v>
      </c>
      <c r="T117" s="47">
        <f>IFERROR(__xludf.DUMMYFUNCTION("""COMPUTED_VALUE"""),47.05882352941176)</f>
        <v>47.05882353</v>
      </c>
      <c r="U117" s="47">
        <f>IFERROR(__xludf.DUMMYFUNCTION("""COMPUTED_VALUE"""),90.9090909090909)</f>
        <v>90.90909091</v>
      </c>
      <c r="V117" s="47">
        <f>IFERROR(__xludf.DUMMYFUNCTION("""COMPUTED_VALUE"""),0.8)</f>
        <v>0.8</v>
      </c>
      <c r="W117" s="46">
        <f>IFERROR(__xludf.DUMMYFUNCTION("""COMPUTED_VALUE"""),-1.8127820614832748)</f>
        <v>-1.812782061</v>
      </c>
      <c r="X117" s="46">
        <f>IFERROR(__xludf.DUMMYFUNCTION("""COMPUTED_VALUE"""),-0.7324347820514473)</f>
        <v>-0.7324347821</v>
      </c>
      <c r="Y117" s="46">
        <f>IFERROR(__xludf.DUMMYFUNCTION("""COMPUTED_VALUE"""),-1.0434328624727087)</f>
        <v>-1.043432862</v>
      </c>
      <c r="Z117" s="46">
        <f>IFERROR(__xludf.DUMMYFUNCTION("""COMPUTED_VALUE"""),-0.17544846415960708)</f>
        <v>-0.1754484642</v>
      </c>
      <c r="AA117" s="46">
        <f>IFERROR(__xludf.DUMMYFUNCTION("""COMPUTED_VALUE"""),1.319928732839717)</f>
        <v>1.319928733</v>
      </c>
      <c r="AB117" s="46">
        <f>IFERROR(__xludf.DUMMYFUNCTION("""COMPUTED_VALUE"""),-0.5270142365493308)</f>
        <v>-0.5270142365</v>
      </c>
      <c r="AC117" s="46">
        <f>IFERROR(__xludf.DUMMYFUNCTION("""COMPUTED_VALUE"""),-0.12937358410769753)</f>
        <v>-0.1293735841</v>
      </c>
      <c r="AD117" s="46">
        <f>IFERROR(__xludf.DUMMYFUNCTION("""COMPUTED_VALUE"""),0.32665172229804795)</f>
        <v>0.3266517223</v>
      </c>
      <c r="AE117" s="46">
        <f>IFERROR(__xludf.DUMMYFUNCTION("""COMPUTED_VALUE"""),0.37089925572797316)</f>
        <v>0.3708992557</v>
      </c>
    </row>
    <row r="118">
      <c r="A118" s="6" t="str">
        <f>IF(VLOOKUP(H118,'Paste #BBall'!$B$2:$N1001,3,)="BRO","BKN",IF(VLOOKUP(H118,'Paste #BBall'!$B$2:$N1001,3,)="OKL","OKC",VLOOKUP(H118,'Paste #BBall'!$B$2:$N1001,3,)))</f>
        <v>HOU</v>
      </c>
      <c r="B118" s="42">
        <f>VLOOKUP($A118,Schedule!$C$2:$G$31,2,0)</f>
        <v>4</v>
      </c>
      <c r="C118" s="42">
        <f>VLOOKUP($A118,Schedule!$C$2:$G$31,3,0)</f>
        <v>3</v>
      </c>
      <c r="D118" s="42">
        <f>VLOOKUP($A118,Schedule!$C$2:$G$31,4,0)</f>
        <v>3</v>
      </c>
      <c r="E118" s="42">
        <f t="shared" si="1"/>
        <v>10</v>
      </c>
      <c r="F118" s="43">
        <v>113.0</v>
      </c>
      <c r="G118" s="45">
        <f>IFERROR(__xludf.DUMMYFUNCTION("""COMPUTED_VALUE"""),111.0)</f>
        <v>111</v>
      </c>
      <c r="H118" s="45" t="str">
        <f>IFERROR(__xludf.DUMMYFUNCTION("""COMPUTED_VALUE"""),"Jabari Smith Jr.")</f>
        <v>Jabari Smith Jr.</v>
      </c>
      <c r="I118" s="45">
        <f>IFERROR(__xludf.DUMMYFUNCTION("""COMPUTED_VALUE"""),79.0)</f>
        <v>79</v>
      </c>
      <c r="J118" s="46" t="str">
        <f>IFERROR(__xludf.DUMMYFUNCTION("""COMPUTED_VALUE"""),"PF,C")</f>
        <v>PF,C</v>
      </c>
      <c r="K118" s="46">
        <f>IFERROR(__xludf.DUMMYFUNCTION("""COMPUTED_VALUE"""),-2.0949173565157095)</f>
        <v>-2.094917357</v>
      </c>
      <c r="L118" s="46">
        <f>IFERROR(__xludf.DUMMYFUNCTION("""COMPUTED_VALUE"""),-0.5933702600240438)</f>
        <v>-0.59337026</v>
      </c>
      <c r="M118" s="47">
        <f>IFERROR(__xludf.DUMMYFUNCTION("""COMPUTED_VALUE"""),1.5015470964916657)</f>
        <v>1.501547096</v>
      </c>
      <c r="N118" s="47">
        <f>IFERROR(__xludf.DUMMYFUNCTION("""COMPUTED_VALUE"""),14.8)</f>
        <v>14.8</v>
      </c>
      <c r="O118" s="47">
        <f>IFERROR(__xludf.DUMMYFUNCTION("""COMPUTED_VALUE"""),1.7)</f>
        <v>1.7</v>
      </c>
      <c r="P118" s="47">
        <f>IFERROR(__xludf.DUMMYFUNCTION("""COMPUTED_VALUE"""),8.0)</f>
        <v>8</v>
      </c>
      <c r="Q118" s="48">
        <f>IFERROR(__xludf.DUMMYFUNCTION("""COMPUTED_VALUE"""),1.4)</f>
        <v>1.4</v>
      </c>
      <c r="R118" s="47">
        <f>IFERROR(__xludf.DUMMYFUNCTION("""COMPUTED_VALUE"""),0.6)</f>
        <v>0.6</v>
      </c>
      <c r="S118" s="47">
        <f>IFERROR(__xludf.DUMMYFUNCTION("""COMPUTED_VALUE"""),1.2)</f>
        <v>1.2</v>
      </c>
      <c r="T118" s="47">
        <f>IFERROR(__xludf.DUMMYFUNCTION("""COMPUTED_VALUE"""),43.2)</f>
        <v>43.2</v>
      </c>
      <c r="U118" s="47">
        <f>IFERROR(__xludf.DUMMYFUNCTION("""COMPUTED_VALUE"""),76.66666666666666)</f>
        <v>76.66666667</v>
      </c>
      <c r="V118" s="47">
        <f>IFERROR(__xludf.DUMMYFUNCTION("""COMPUTED_VALUE"""),1.5)</f>
        <v>1.5</v>
      </c>
      <c r="W118" s="46">
        <f>IFERROR(__xludf.DUMMYFUNCTION("""COMPUTED_VALUE"""),-0.41401313272797446)</f>
        <v>-0.4140131327</v>
      </c>
      <c r="X118" s="46">
        <f>IFERROR(__xludf.DUMMYFUNCTION("""COMPUTED_VALUE"""),0.047981126211737425)</f>
        <v>0.04798112621</v>
      </c>
      <c r="Y118" s="46">
        <f>IFERROR(__xludf.DUMMYFUNCTION("""COMPUTED_VALUE"""),0.7964434111900963)</f>
        <v>0.7964434112</v>
      </c>
      <c r="Z118" s="46">
        <f>IFERROR(__xludf.DUMMYFUNCTION("""COMPUTED_VALUE"""),-1.246500134901392)</f>
        <v>-1.246500135</v>
      </c>
      <c r="AA118" s="46">
        <f>IFERROR(__xludf.DUMMYFUNCTION("""COMPUTED_VALUE"""),-0.860570275155411)</f>
        <v>-0.8605702752</v>
      </c>
      <c r="AB118" s="46">
        <f>IFERROR(__xludf.DUMMYFUNCTION("""COMPUTED_VALUE"""),0.6548283204965102)</f>
        <v>0.6548283205</v>
      </c>
      <c r="AC118" s="46">
        <f>IFERROR(__xludf.DUMMYFUNCTION("""COMPUTED_VALUE"""),-0.7988976025963637)</f>
        <v>-0.7988976026</v>
      </c>
      <c r="AD118" s="46">
        <f>IFERROR(__xludf.DUMMYFUNCTION("""COMPUTED_VALUE"""),-0.1727175805175024)</f>
        <v>-0.1727175805</v>
      </c>
      <c r="AE118" s="46">
        <f>IFERROR(__xludf.DUMMYFUNCTION("""COMPUTED_VALUE"""),0.1535754730748638)</f>
        <v>0.1535754731</v>
      </c>
    </row>
    <row r="119">
      <c r="A119" s="6" t="str">
        <f>IF(VLOOKUP(H119,'Paste #BBall'!$B$2:$N1001,3,)="BRO","BKN",IF(VLOOKUP(H119,'Paste #BBall'!$B$2:$N1001,3,)="OKL","OKC",VLOOKUP(H119,'Paste #BBall'!$B$2:$N1001,3,)))</f>
        <v>POR</v>
      </c>
      <c r="B119" s="42">
        <f>VLOOKUP($A119,Schedule!$C$2:$G$31,2,0)</f>
        <v>4</v>
      </c>
      <c r="C119" s="42">
        <f>VLOOKUP($A119,Schedule!$C$2:$G$31,3,0)</f>
        <v>4</v>
      </c>
      <c r="D119" s="42">
        <f>VLOOKUP($A119,Schedule!$C$2:$G$31,4,0)</f>
        <v>4</v>
      </c>
      <c r="E119" s="42">
        <f t="shared" si="1"/>
        <v>12</v>
      </c>
      <c r="F119" s="51">
        <v>114.0</v>
      </c>
      <c r="G119" s="45">
        <f>IFERROR(__xludf.DUMMYFUNCTION("""COMPUTED_VALUE"""),129.0)</f>
        <v>129</v>
      </c>
      <c r="H119" s="45" t="str">
        <f>IFERROR(__xludf.DUMMYFUNCTION("""COMPUTED_VALUE"""),"Robert Williams III")</f>
        <v>Robert Williams III</v>
      </c>
      <c r="I119" s="45">
        <f>IFERROR(__xludf.DUMMYFUNCTION("""COMPUTED_VALUE"""),61.0)</f>
        <v>61</v>
      </c>
      <c r="J119" s="46" t="str">
        <f>IFERROR(__xludf.DUMMYFUNCTION("""COMPUTED_VALUE"""),"C")</f>
        <v>C</v>
      </c>
      <c r="K119" s="46">
        <f>IFERROR(__xludf.DUMMYFUNCTION("""COMPUTED_VALUE"""),-2.606324538965447)</f>
        <v>-2.606324539</v>
      </c>
      <c r="L119" s="46">
        <f>IFERROR(__xludf.DUMMYFUNCTION("""COMPUTED_VALUE"""),-0.5995398136578662)</f>
        <v>-0.5995398137</v>
      </c>
      <c r="M119" s="47">
        <f>IFERROR(__xludf.DUMMYFUNCTION("""COMPUTED_VALUE"""),2.006784725307581)</f>
        <v>2.006784725</v>
      </c>
      <c r="N119" s="47">
        <f>IFERROR(__xludf.DUMMYFUNCTION("""COMPUTED_VALUE"""),7.6)</f>
        <v>7.6</v>
      </c>
      <c r="O119" s="47">
        <f>IFERROR(__xludf.DUMMYFUNCTION("""COMPUTED_VALUE"""),0.0)</f>
        <v>0</v>
      </c>
      <c r="P119" s="47">
        <f>IFERROR(__xludf.DUMMYFUNCTION("""COMPUTED_VALUE"""),7.7)</f>
        <v>7.7</v>
      </c>
      <c r="Q119" s="48">
        <f>IFERROR(__xludf.DUMMYFUNCTION("""COMPUTED_VALUE"""),2.1)</f>
        <v>2.1</v>
      </c>
      <c r="R119" s="47">
        <f>IFERROR(__xludf.DUMMYFUNCTION("""COMPUTED_VALUE"""),0.6)</f>
        <v>0.6</v>
      </c>
      <c r="S119" s="47">
        <f>IFERROR(__xludf.DUMMYFUNCTION("""COMPUTED_VALUE"""),1.4)</f>
        <v>1.4</v>
      </c>
      <c r="T119" s="47">
        <f>IFERROR(__xludf.DUMMYFUNCTION("""COMPUTED_VALUE"""),71.42857142857142)</f>
        <v>71.42857143</v>
      </c>
      <c r="U119" s="47">
        <f>IFERROR(__xludf.DUMMYFUNCTION("""COMPUTED_VALUE"""),63.636363636363626)</f>
        <v>63.63636364</v>
      </c>
      <c r="V119" s="47">
        <f>IFERROR(__xludf.DUMMYFUNCTION("""COMPUTED_VALUE"""),0.9)</f>
        <v>0.9</v>
      </c>
      <c r="W119" s="46">
        <f>IFERROR(__xludf.DUMMYFUNCTION("""COMPUTED_VALUE"""),-1.627403046828958)</f>
        <v>-1.627403047</v>
      </c>
      <c r="X119" s="46">
        <f>IFERROR(__xludf.DUMMYFUNCTION("""COMPUTED_VALUE"""),-1.4261378116187227)</f>
        <v>-1.426137812</v>
      </c>
      <c r="Y119" s="46">
        <f>IFERROR(__xludf.DUMMYFUNCTION("""COMPUTED_VALUE"""),0.6709973016221779)</f>
        <v>0.6709973016</v>
      </c>
      <c r="Z119" s="46">
        <f>IFERROR(__xludf.DUMMYFUNCTION("""COMPUTED_VALUE"""),-0.8894829113207969)</f>
        <v>-0.8894829113</v>
      </c>
      <c r="AA119" s="46">
        <f>IFERROR(__xludf.DUMMYFUNCTION("""COMPUTED_VALUE"""),-0.860570275155411)</f>
        <v>-0.8605702752</v>
      </c>
      <c r="AB119" s="46">
        <f>IFERROR(__xludf.DUMMYFUNCTION("""COMPUTED_VALUE"""),0.9174599998400302)</f>
        <v>0.9174599998</v>
      </c>
      <c r="AC119" s="46">
        <f>IFERROR(__xludf.DUMMYFUNCTION("""COMPUTED_VALUE"""),1.0684622482072228)</f>
        <v>1.068462248</v>
      </c>
      <c r="AD119" s="46">
        <f>IFERROR(__xludf.DUMMYFUNCTION("""COMPUTED_VALUE"""),-0.4201213662956096)</f>
        <v>-0.4201213663</v>
      </c>
      <c r="AE119" s="46">
        <f>IFERROR(__xludf.DUMMYFUNCTION("""COMPUTED_VALUE"""),0.33985300106324323)</f>
        <v>0.3398530011</v>
      </c>
    </row>
    <row r="120">
      <c r="A120" s="6" t="str">
        <f>IF(VLOOKUP(H120,'Paste #BBall'!$B$2:$N1001,3,)="BRO","BKN",IF(VLOOKUP(H120,'Paste #BBall'!$B$2:$N1001,3,)="OKL","OKC",VLOOKUP(H120,'Paste #BBall'!$B$2:$N1001,3,)))</f>
        <v>PHO</v>
      </c>
      <c r="B120" s="42">
        <f>VLOOKUP($A120,Schedule!$C$2:$G$31,2,0)</f>
        <v>3</v>
      </c>
      <c r="C120" s="42">
        <f>VLOOKUP($A120,Schedule!$C$2:$G$31,3,0)</f>
        <v>4</v>
      </c>
      <c r="D120" s="42">
        <f>VLOOKUP($A120,Schedule!$C$2:$G$31,4,0)</f>
        <v>3</v>
      </c>
      <c r="E120" s="42">
        <f t="shared" si="1"/>
        <v>10</v>
      </c>
      <c r="F120" s="51">
        <v>115.0</v>
      </c>
      <c r="G120" s="45">
        <f>IFERROR(__xludf.DUMMYFUNCTION("""COMPUTED_VALUE"""),106.0)</f>
        <v>106</v>
      </c>
      <c r="H120" s="45" t="str">
        <f>IFERROR(__xludf.DUMMYFUNCTION("""COMPUTED_VALUE"""),"Jusuf Nurkic")</f>
        <v>Jusuf Nurkic</v>
      </c>
      <c r="I120" s="45">
        <f>IFERROR(__xludf.DUMMYFUNCTION("""COMPUTED_VALUE"""),54.0)</f>
        <v>54</v>
      </c>
      <c r="J120" s="46" t="str">
        <f>IFERROR(__xludf.DUMMYFUNCTION("""COMPUTED_VALUE"""),"C")</f>
        <v>C</v>
      </c>
      <c r="K120" s="46">
        <f>IFERROR(__xludf.DUMMYFUNCTION("""COMPUTED_VALUE"""),-1.8728591604980012)</f>
        <v>-1.87285916</v>
      </c>
      <c r="L120" s="46">
        <f>IFERROR(__xludf.DUMMYFUNCTION("""COMPUTED_VALUE"""),-0.6330837873749039)</f>
        <v>-0.6330837874</v>
      </c>
      <c r="M120" s="47">
        <f>IFERROR(__xludf.DUMMYFUNCTION("""COMPUTED_VALUE"""),1.2397753731230972)</f>
        <v>1.239775373</v>
      </c>
      <c r="N120" s="47">
        <f>IFERROR(__xludf.DUMMYFUNCTION("""COMPUTED_VALUE"""),13.2)</f>
        <v>13.2</v>
      </c>
      <c r="O120" s="47">
        <f>IFERROR(__xludf.DUMMYFUNCTION("""COMPUTED_VALUE"""),0.6)</f>
        <v>0.6</v>
      </c>
      <c r="P120" s="47">
        <f>IFERROR(__xludf.DUMMYFUNCTION("""COMPUTED_VALUE"""),9.1)</f>
        <v>9.1</v>
      </c>
      <c r="Q120" s="48">
        <f>IFERROR(__xludf.DUMMYFUNCTION("""COMPUTED_VALUE"""),2.5)</f>
        <v>2.5</v>
      </c>
      <c r="R120" s="47">
        <f>IFERROR(__xludf.DUMMYFUNCTION("""COMPUTED_VALUE"""),0.8)</f>
        <v>0.8</v>
      </c>
      <c r="S120" s="47">
        <f>IFERROR(__xludf.DUMMYFUNCTION("""COMPUTED_VALUE"""),0.9)</f>
        <v>0.9</v>
      </c>
      <c r="T120" s="47">
        <f>IFERROR(__xludf.DUMMYFUNCTION("""COMPUTED_VALUE"""),54.25531914893617)</f>
        <v>54.25531915</v>
      </c>
      <c r="U120" s="47">
        <f>IFERROR(__xludf.DUMMYFUNCTION("""COMPUTED_VALUE"""),69.44444444444444)</f>
        <v>69.44444444</v>
      </c>
      <c r="V120" s="47">
        <f>IFERROR(__xludf.DUMMYFUNCTION("""COMPUTED_VALUE"""),1.8)</f>
        <v>1.8</v>
      </c>
      <c r="W120" s="46">
        <f>IFERROR(__xludf.DUMMYFUNCTION("""COMPUTED_VALUE"""),-0.6836553358615266)</f>
        <v>-0.6836553359</v>
      </c>
      <c r="X120" s="46">
        <f>IFERROR(__xludf.DUMMYFUNCTION("""COMPUTED_VALUE"""),-0.9058605394432663)</f>
        <v>-0.9058605394</v>
      </c>
      <c r="Y120" s="46">
        <f>IFERROR(__xludf.DUMMYFUNCTION("""COMPUTED_VALUE"""),1.2564124796057974)</f>
        <v>1.25641248</v>
      </c>
      <c r="Z120" s="46">
        <f>IFERROR(__xludf.DUMMYFUNCTION("""COMPUTED_VALUE"""),-0.6854730692747427)</f>
        <v>-0.6854730693</v>
      </c>
      <c r="AA120" s="46">
        <f>IFERROR(__xludf.DUMMYFUNCTION("""COMPUTED_VALUE"""),-0.42447047355638534)</f>
        <v>-0.4244704736</v>
      </c>
      <c r="AB120" s="46">
        <f>IFERROR(__xludf.DUMMYFUNCTION("""COMPUTED_VALUE"""),0.2608808014812299)</f>
        <v>0.2608808015</v>
      </c>
      <c r="AC120" s="46">
        <f>IFERROR(__xludf.DUMMYFUNCTION("""COMPUTED_VALUE"""),0.4372495412188882)</f>
        <v>0.4372495412</v>
      </c>
      <c r="AD120" s="46">
        <f>IFERROR(__xludf.DUMMYFUNCTION("""COMPUTED_VALUE"""),-0.8544644400688388)</f>
        <v>-0.8544644401</v>
      </c>
      <c r="AE120" s="46">
        <f>IFERROR(__xludf.DUMMYFUNCTION("""COMPUTED_VALUE"""),0.06043670908067405)</f>
        <v>0.06043670908</v>
      </c>
    </row>
    <row r="121">
      <c r="A121" s="6" t="str">
        <f>IF(VLOOKUP(H121,'Paste #BBall'!$B$2:$N1001,3,)="BRO","BKN",IF(VLOOKUP(H121,'Paste #BBall'!$B$2:$N1001,3,)="OKL","OKC",VLOOKUP(H121,'Paste #BBall'!$B$2:$N1001,3,)))</f>
        <v>GS</v>
      </c>
      <c r="B121" s="42">
        <f>VLOOKUP($A121,Schedule!$C$2:$G$31,2,0)</f>
        <v>3</v>
      </c>
      <c r="C121" s="42">
        <f>VLOOKUP($A121,Schedule!$C$2:$G$31,3,0)</f>
        <v>3</v>
      </c>
      <c r="D121" s="42">
        <f>VLOOKUP($A121,Schedule!$C$2:$G$31,4,0)</f>
        <v>4</v>
      </c>
      <c r="E121" s="42">
        <f t="shared" si="1"/>
        <v>10</v>
      </c>
      <c r="F121" s="43">
        <v>116.0</v>
      </c>
      <c r="G121" s="45">
        <f>IFERROR(__xludf.DUMMYFUNCTION("""COMPUTED_VALUE"""),115.0)</f>
        <v>115</v>
      </c>
      <c r="H121" s="45" t="str">
        <f>IFERROR(__xludf.DUMMYFUNCTION("""COMPUTED_VALUE"""),"Andrew Wiggins")</f>
        <v>Andrew Wiggins</v>
      </c>
      <c r="I121" s="45">
        <f>IFERROR(__xludf.DUMMYFUNCTION("""COMPUTED_VALUE"""),69.0)</f>
        <v>69</v>
      </c>
      <c r="J121" s="46" t="str">
        <f>IFERROR(__xludf.DUMMYFUNCTION("""COMPUTED_VALUE"""),"SF,PF")</f>
        <v>SF,PF</v>
      </c>
      <c r="K121" s="46">
        <f>IFERROR(__xludf.DUMMYFUNCTION("""COMPUTED_VALUE"""),-2.1483555889312784)</f>
        <v>-2.148355589</v>
      </c>
      <c r="L121" s="46">
        <f>IFERROR(__xludf.DUMMYFUNCTION("""COMPUTED_VALUE"""),-0.6632908825646251)</f>
        <v>-0.6632908826</v>
      </c>
      <c r="M121" s="47">
        <f>IFERROR(__xludf.DUMMYFUNCTION("""COMPUTED_VALUE"""),1.4850647063666533)</f>
        <v>1.485064706</v>
      </c>
      <c r="N121" s="47">
        <f>IFERROR(__xludf.DUMMYFUNCTION("""COMPUTED_VALUE"""),17.6)</f>
        <v>17.6</v>
      </c>
      <c r="O121" s="47">
        <f>IFERROR(__xludf.DUMMYFUNCTION("""COMPUTED_VALUE"""),2.3)</f>
        <v>2.3</v>
      </c>
      <c r="P121" s="47">
        <f>IFERROR(__xludf.DUMMYFUNCTION("""COMPUTED_VALUE"""),4.8)</f>
        <v>4.8</v>
      </c>
      <c r="Q121" s="48">
        <f>IFERROR(__xludf.DUMMYFUNCTION("""COMPUTED_VALUE"""),2.3)</f>
        <v>2.3</v>
      </c>
      <c r="R121" s="47">
        <f>IFERROR(__xludf.DUMMYFUNCTION("""COMPUTED_VALUE"""),1.1)</f>
        <v>1.1</v>
      </c>
      <c r="S121" s="47">
        <f>IFERROR(__xludf.DUMMYFUNCTION("""COMPUTED_VALUE"""),0.7)</f>
        <v>0.7</v>
      </c>
      <c r="T121" s="47">
        <f>IFERROR(__xludf.DUMMYFUNCTION("""COMPUTED_VALUE"""),47.22222222222222)</f>
        <v>47.22222222</v>
      </c>
      <c r="U121" s="47">
        <f>IFERROR(__xludf.DUMMYFUNCTION("""COMPUTED_VALUE"""),62.06896551724138)</f>
        <v>62.06896552</v>
      </c>
      <c r="V121" s="47">
        <f>IFERROR(__xludf.DUMMYFUNCTION("""COMPUTED_VALUE"""),1.5)</f>
        <v>1.5</v>
      </c>
      <c r="W121" s="46">
        <f>IFERROR(__xludf.DUMMYFUNCTION("""COMPUTED_VALUE"""),0.0578607227557414)</f>
        <v>0.05786072276</v>
      </c>
      <c r="X121" s="46">
        <f>IFERROR(__xludf.DUMMYFUNCTION("""COMPUTED_VALUE"""),0.5682583983871938)</f>
        <v>0.5682583984</v>
      </c>
      <c r="Y121" s="46">
        <f>IFERROR(__xludf.DUMMYFUNCTION("""COMPUTED_VALUE"""),-0.5416484242010347)</f>
        <v>-0.5416484242</v>
      </c>
      <c r="Z121" s="46">
        <f>IFERROR(__xludf.DUMMYFUNCTION("""COMPUTED_VALUE"""),-0.78747799029777)</f>
        <v>-0.7874779903</v>
      </c>
      <c r="AA121" s="46">
        <f>IFERROR(__xludf.DUMMYFUNCTION("""COMPUTED_VALUE"""),0.22967922884215308)</f>
        <v>0.2296792288</v>
      </c>
      <c r="AB121" s="46">
        <f>IFERROR(__xludf.DUMMYFUNCTION("""COMPUTED_VALUE"""),-0.0017508778622903794)</f>
        <v>-0.001750877862</v>
      </c>
      <c r="AC121" s="46">
        <f>IFERROR(__xludf.DUMMYFUNCTION("""COMPUTED_VALUE"""),-0.3417874132634824)</f>
        <v>-0.3417874133</v>
      </c>
      <c r="AD121" s="46">
        <f>IFERROR(__xludf.DUMMYFUNCTION("""COMPUTED_VALUE"""),-1.2207401306268568)</f>
        <v>-1.220740131</v>
      </c>
      <c r="AE121" s="46">
        <f>IFERROR(__xludf.DUMMYFUNCTION("""COMPUTED_VALUE"""),0.1535754730748638)</f>
        <v>0.1535754731</v>
      </c>
    </row>
    <row r="122">
      <c r="A122" s="6" t="str">
        <f>IF(VLOOKUP(H122,'Paste #BBall'!$B$2:$N1001,3,)="BRO","BKN",IF(VLOOKUP(H122,'Paste #BBall'!$B$2:$N1001,3,)="OKL","OKC",VLOOKUP(H122,'Paste #BBall'!$B$2:$N1001,3,)))</f>
        <v>LAC</v>
      </c>
      <c r="B122" s="42">
        <f>VLOOKUP($A122,Schedule!$C$2:$G$31,2,0)</f>
        <v>4</v>
      </c>
      <c r="C122" s="42">
        <f>VLOOKUP($A122,Schedule!$C$2:$G$31,3,0)</f>
        <v>4</v>
      </c>
      <c r="D122" s="42">
        <f>VLOOKUP($A122,Schedule!$C$2:$G$31,4,0)</f>
        <v>3</v>
      </c>
      <c r="E122" s="42">
        <f t="shared" si="1"/>
        <v>11</v>
      </c>
      <c r="F122" s="51">
        <v>117.0</v>
      </c>
      <c r="G122" s="45">
        <f>IFERROR(__xludf.DUMMYFUNCTION("""COMPUTED_VALUE"""),128.0)</f>
        <v>128</v>
      </c>
      <c r="H122" s="45" t="str">
        <f>IFERROR(__xludf.DUMMYFUNCTION("""COMPUTED_VALUE"""),"Ivica Zubac")</f>
        <v>Ivica Zubac</v>
      </c>
      <c r="I122" s="45">
        <f>IFERROR(__xludf.DUMMYFUNCTION("""COMPUTED_VALUE"""),76.0)</f>
        <v>76</v>
      </c>
      <c r="J122" s="46" t="str">
        <f>IFERROR(__xludf.DUMMYFUNCTION("""COMPUTED_VALUE"""),"C")</f>
        <v>C</v>
      </c>
      <c r="K122" s="46">
        <f>IFERROR(__xludf.DUMMYFUNCTION("""COMPUTED_VALUE"""),-2.530785807499588)</f>
        <v>-2.530785807</v>
      </c>
      <c r="L122" s="46">
        <f>IFERROR(__xludf.DUMMYFUNCTION("""COMPUTED_VALUE"""),-0.7168792868660581)</f>
        <v>-0.7168792869</v>
      </c>
      <c r="M122" s="47">
        <f>IFERROR(__xludf.DUMMYFUNCTION("""COMPUTED_VALUE"""),1.8139065206335299)</f>
        <v>1.813906521</v>
      </c>
      <c r="N122" s="47">
        <f>IFERROR(__xludf.DUMMYFUNCTION("""COMPUTED_VALUE"""),11.1)</f>
        <v>11.1</v>
      </c>
      <c r="O122" s="47">
        <f>IFERROR(__xludf.DUMMYFUNCTION("""COMPUTED_VALUE"""),0.0)</f>
        <v>0</v>
      </c>
      <c r="P122" s="47">
        <f>IFERROR(__xludf.DUMMYFUNCTION("""COMPUTED_VALUE"""),9.7)</f>
        <v>9.7</v>
      </c>
      <c r="Q122" s="48">
        <f>IFERROR(__xludf.DUMMYFUNCTION("""COMPUTED_VALUE"""),1.4)</f>
        <v>1.4</v>
      </c>
      <c r="R122" s="47">
        <f>IFERROR(__xludf.DUMMYFUNCTION("""COMPUTED_VALUE"""),0.5)</f>
        <v>0.5</v>
      </c>
      <c r="S122" s="47">
        <f>IFERROR(__xludf.DUMMYFUNCTION("""COMPUTED_VALUE"""),1.2)</f>
        <v>1.2</v>
      </c>
      <c r="T122" s="47">
        <f>IFERROR(__xludf.DUMMYFUNCTION("""COMPUTED_VALUE"""),62.85714285714287)</f>
        <v>62.85714286</v>
      </c>
      <c r="U122" s="47">
        <f>IFERROR(__xludf.DUMMYFUNCTION("""COMPUTED_VALUE"""),71.87499999999999)</f>
        <v>71.875</v>
      </c>
      <c r="V122" s="47">
        <f>IFERROR(__xludf.DUMMYFUNCTION("""COMPUTED_VALUE"""),1.6)</f>
        <v>1.6</v>
      </c>
      <c r="W122" s="46">
        <f>IFERROR(__xludf.DUMMYFUNCTION("""COMPUTED_VALUE"""),-1.0375607274743133)</f>
        <v>-1.037560727</v>
      </c>
      <c r="X122" s="46">
        <f>IFERROR(__xludf.DUMMYFUNCTION("""COMPUTED_VALUE"""),-1.4261378116187227)</f>
        <v>-1.426137812</v>
      </c>
      <c r="Y122" s="46">
        <f>IFERROR(__xludf.DUMMYFUNCTION("""COMPUTED_VALUE"""),1.5073046987416343)</f>
        <v>1.507304699</v>
      </c>
      <c r="Z122" s="46">
        <f>IFERROR(__xludf.DUMMYFUNCTION("""COMPUTED_VALUE"""),-1.246500134901392)</f>
        <v>-1.246500135</v>
      </c>
      <c r="AA122" s="46">
        <f>IFERROR(__xludf.DUMMYFUNCTION("""COMPUTED_VALUE"""),-1.0786201759549239)</f>
        <v>-1.078620176</v>
      </c>
      <c r="AB122" s="46">
        <f>IFERROR(__xludf.DUMMYFUNCTION("""COMPUTED_VALUE"""),0.6548283204965102)</f>
        <v>0.6548283205</v>
      </c>
      <c r="AC122" s="46">
        <f>IFERROR(__xludf.DUMMYFUNCTION("""COMPUTED_VALUE"""),0.9270556227606093)</f>
        <v>0.9270556228</v>
      </c>
      <c r="AD122" s="46">
        <f>IFERROR(__xludf.DUMMYFUNCTION("""COMPUTED_VALUE"""),-0.5659161089443167)</f>
        <v>-0.5659161089</v>
      </c>
      <c r="AE122" s="46">
        <f>IFERROR(__xludf.DUMMYFUNCTION("""COMPUTED_VALUE"""),0.12252921841013387)</f>
        <v>0.1225292184</v>
      </c>
    </row>
    <row r="123">
      <c r="A123" s="6" t="str">
        <f>IF(VLOOKUP(H123,'Paste #BBall'!$B$2:$N1001,3,)="BRO","BKN",IF(VLOOKUP(H123,'Paste #BBall'!$B$2:$N1001,3,)="OKL","OKC",VLOOKUP(H123,'Paste #BBall'!$B$2:$N1001,3,)))</f>
        <v>DET</v>
      </c>
      <c r="B123" s="42">
        <f>VLOOKUP($A123,Schedule!$C$2:$G$31,2,0)</f>
        <v>3</v>
      </c>
      <c r="C123" s="42">
        <f>VLOOKUP($A123,Schedule!$C$2:$G$31,3,0)</f>
        <v>4</v>
      </c>
      <c r="D123" s="42">
        <f>VLOOKUP($A123,Schedule!$C$2:$G$31,4,0)</f>
        <v>4</v>
      </c>
      <c r="E123" s="42">
        <f t="shared" si="1"/>
        <v>11</v>
      </c>
      <c r="F123" s="51">
        <v>118.0</v>
      </c>
      <c r="G123" s="45">
        <f>IFERROR(__xludf.DUMMYFUNCTION("""COMPUTED_VALUE"""),125.0)</f>
        <v>125</v>
      </c>
      <c r="H123" s="45" t="str">
        <f>IFERROR(__xludf.DUMMYFUNCTION("""COMPUTED_VALUE"""),"Jalen Duren")</f>
        <v>Jalen Duren</v>
      </c>
      <c r="I123" s="45">
        <f>IFERROR(__xludf.DUMMYFUNCTION("""COMPUTED_VALUE"""),70.0)</f>
        <v>70</v>
      </c>
      <c r="J123" s="46" t="str">
        <f>IFERROR(__xludf.DUMMYFUNCTION("""COMPUTED_VALUE"""),"C")</f>
        <v>C</v>
      </c>
      <c r="K123" s="46">
        <f>IFERROR(__xludf.DUMMYFUNCTION("""COMPUTED_VALUE"""),-2.432608197163069)</f>
        <v>-2.432608197</v>
      </c>
      <c r="L123" s="46">
        <f>IFERROR(__xludf.DUMMYFUNCTION("""COMPUTED_VALUE"""),-0.7248289482442591)</f>
        <v>-0.7248289482</v>
      </c>
      <c r="M123" s="47">
        <f>IFERROR(__xludf.DUMMYFUNCTION("""COMPUTED_VALUE"""),1.70777924891881)</f>
        <v>1.707779249</v>
      </c>
      <c r="N123" s="47">
        <f>IFERROR(__xludf.DUMMYFUNCTION("""COMPUTED_VALUE"""),10.4)</f>
        <v>10.4</v>
      </c>
      <c r="O123" s="47">
        <f>IFERROR(__xludf.DUMMYFUNCTION("""COMPUTED_VALUE"""),0.0)</f>
        <v>0</v>
      </c>
      <c r="P123" s="47">
        <f>IFERROR(__xludf.DUMMYFUNCTION("""COMPUTED_VALUE"""),10.1)</f>
        <v>10.1</v>
      </c>
      <c r="Q123" s="48">
        <f>IFERROR(__xludf.DUMMYFUNCTION("""COMPUTED_VALUE"""),1.3)</f>
        <v>1.3</v>
      </c>
      <c r="R123" s="47">
        <f>IFERROR(__xludf.DUMMYFUNCTION("""COMPUTED_VALUE"""),0.8)</f>
        <v>0.8</v>
      </c>
      <c r="S123" s="47">
        <f>IFERROR(__xludf.DUMMYFUNCTION("""COMPUTED_VALUE"""),1.2)</f>
        <v>1.2</v>
      </c>
      <c r="T123" s="47">
        <f>IFERROR(__xludf.DUMMYFUNCTION("""COMPUTED_VALUE"""),64.70588235294117)</f>
        <v>64.70588235</v>
      </c>
      <c r="U123" s="47">
        <f>IFERROR(__xludf.DUMMYFUNCTION("""COMPUTED_VALUE"""),59.25925925925925)</f>
        <v>59.25925926</v>
      </c>
      <c r="V123" s="47">
        <f>IFERROR(__xludf.DUMMYFUNCTION("""COMPUTED_VALUE"""),1.6)</f>
        <v>1.6</v>
      </c>
      <c r="W123" s="46">
        <f>IFERROR(__xludf.DUMMYFUNCTION("""COMPUTED_VALUE"""),-1.1555291913452421)</f>
        <v>-1.155529191</v>
      </c>
      <c r="X123" s="46">
        <f>IFERROR(__xludf.DUMMYFUNCTION("""COMPUTED_VALUE"""),-1.4261378116187227)</f>
        <v>-1.426137812</v>
      </c>
      <c r="Y123" s="46">
        <f>IFERROR(__xludf.DUMMYFUNCTION("""COMPUTED_VALUE"""),1.6745661781655259)</f>
        <v>1.674566178</v>
      </c>
      <c r="Z123" s="46">
        <f>IFERROR(__xludf.DUMMYFUNCTION("""COMPUTED_VALUE"""),-1.2975025954129054)</f>
        <v>-1.297502595</v>
      </c>
      <c r="AA123" s="46">
        <f>IFERROR(__xludf.DUMMYFUNCTION("""COMPUTED_VALUE"""),-0.42447047355638534)</f>
        <v>-0.4244704736</v>
      </c>
      <c r="AB123" s="46">
        <f>IFERROR(__xludf.DUMMYFUNCTION("""COMPUTED_VALUE"""),0.6548283204965102)</f>
        <v>0.6548283205</v>
      </c>
      <c r="AC123" s="46">
        <f>IFERROR(__xludf.DUMMYFUNCTION("""COMPUTED_VALUE"""),1.0261399229272519)</f>
        <v>1.026139923</v>
      </c>
      <c r="AD123" s="46">
        <f>IFERROR(__xludf.DUMMYFUNCTION("""COMPUTED_VALUE"""),-1.3253903279291483)</f>
        <v>-1.325390328</v>
      </c>
      <c r="AE123" s="46">
        <f>IFERROR(__xludf.DUMMYFUNCTION("""COMPUTED_VALUE"""),0.12252921841013387)</f>
        <v>0.1225292184</v>
      </c>
    </row>
    <row r="124">
      <c r="A124" s="6" t="str">
        <f>IF(VLOOKUP(H124,'Paste #BBall'!$B$2:$N1001,3,)="BRO","BKN",IF(VLOOKUP(H124,'Paste #BBall'!$B$2:$N1001,3,)="OKL","OKC",VLOOKUP(H124,'Paste #BBall'!$B$2:$N1001,3,)))</f>
        <v>MIN</v>
      </c>
      <c r="B124" s="42">
        <f>VLOOKUP($A124,Schedule!$C$2:$G$31,2,0)</f>
        <v>4</v>
      </c>
      <c r="C124" s="42">
        <f>VLOOKUP($A124,Schedule!$C$2:$G$31,3,0)</f>
        <v>2</v>
      </c>
      <c r="D124" s="42">
        <f>VLOOKUP($A124,Schedule!$C$2:$G$31,4,0)</f>
        <v>4</v>
      </c>
      <c r="E124" s="42">
        <f t="shared" si="1"/>
        <v>10</v>
      </c>
      <c r="F124" s="43">
        <v>119.0</v>
      </c>
      <c r="G124" s="45">
        <f>IFERROR(__xludf.DUMMYFUNCTION("""COMPUTED_VALUE"""),121.0)</f>
        <v>121</v>
      </c>
      <c r="H124" s="45" t="str">
        <f>IFERROR(__xludf.DUMMYFUNCTION("""COMPUTED_VALUE"""),"Kyle Anderson")</f>
        <v>Kyle Anderson</v>
      </c>
      <c r="I124" s="45">
        <f>IFERROR(__xludf.DUMMYFUNCTION("""COMPUTED_VALUE"""),69.0)</f>
        <v>69</v>
      </c>
      <c r="J124" s="46" t="str">
        <f>IFERROR(__xludf.DUMMYFUNCTION("""COMPUTED_VALUE"""),"SF,PF")</f>
        <v>SF,PF</v>
      </c>
      <c r="K124" s="46">
        <f>IFERROR(__xludf.DUMMYFUNCTION("""COMPUTED_VALUE"""),-2.3226634121025014)</f>
        <v>-2.322663412</v>
      </c>
      <c r="L124" s="46">
        <f>IFERROR(__xludf.DUMMYFUNCTION("""COMPUTED_VALUE"""),-0.7330588404036176)</f>
        <v>-0.7330588404</v>
      </c>
      <c r="M124" s="47">
        <f>IFERROR(__xludf.DUMMYFUNCTION("""COMPUTED_VALUE"""),1.5896045716988838)</f>
        <v>1.589604572</v>
      </c>
      <c r="N124" s="47">
        <f>IFERROR(__xludf.DUMMYFUNCTION("""COMPUTED_VALUE"""),9.2)</f>
        <v>9.2</v>
      </c>
      <c r="O124" s="47">
        <f>IFERROR(__xludf.DUMMYFUNCTION("""COMPUTED_VALUE"""),0.6)</f>
        <v>0.6</v>
      </c>
      <c r="P124" s="47">
        <f>IFERROR(__xludf.DUMMYFUNCTION("""COMPUTED_VALUE"""),5.6)</f>
        <v>5.6</v>
      </c>
      <c r="Q124" s="48">
        <f>IFERROR(__xludf.DUMMYFUNCTION("""COMPUTED_VALUE"""),3.9)</f>
        <v>3.9</v>
      </c>
      <c r="R124" s="47">
        <f>IFERROR(__xludf.DUMMYFUNCTION("""COMPUTED_VALUE"""),1.1)</f>
        <v>1.1</v>
      </c>
      <c r="S124" s="47">
        <f>IFERROR(__xludf.DUMMYFUNCTION("""COMPUTED_VALUE"""),0.8)</f>
        <v>0.8</v>
      </c>
      <c r="T124" s="47">
        <f>IFERROR(__xludf.DUMMYFUNCTION("""COMPUTED_VALUE"""),50.68493150684932)</f>
        <v>50.68493151</v>
      </c>
      <c r="U124" s="47">
        <f>IFERROR(__xludf.DUMMYFUNCTION("""COMPUTED_VALUE"""),72.22222222222221)</f>
        <v>72.22222222</v>
      </c>
      <c r="V124" s="47">
        <f>IFERROR(__xludf.DUMMYFUNCTION("""COMPUTED_VALUE"""),1.3)</f>
        <v>1.3</v>
      </c>
      <c r="W124" s="46">
        <f>IFERROR(__xludf.DUMMYFUNCTION("""COMPUTED_VALUE"""),-1.3577608436954063)</f>
        <v>-1.357760844</v>
      </c>
      <c r="X124" s="46">
        <f>IFERROR(__xludf.DUMMYFUNCTION("""COMPUTED_VALUE"""),-0.9058605394432663)</f>
        <v>-0.9058605394</v>
      </c>
      <c r="Y124" s="46">
        <f>IFERROR(__xludf.DUMMYFUNCTION("""COMPUTED_VALUE"""),-0.207125465353252)</f>
        <v>-0.2071254654</v>
      </c>
      <c r="Z124" s="46">
        <f>IFERROR(__xludf.DUMMYFUNCTION("""COMPUTED_VALUE"""),0.02856137788644717)</f>
        <v>0.02856137789</v>
      </c>
      <c r="AA124" s="46">
        <f>IFERROR(__xludf.DUMMYFUNCTION("""COMPUTED_VALUE"""),0.22967922884215308)</f>
        <v>0.2296792288</v>
      </c>
      <c r="AB124" s="46">
        <f>IFERROR(__xludf.DUMMYFUNCTION("""COMPUTED_VALUE"""),0.12956496180946983)</f>
        <v>0.1295649618</v>
      </c>
      <c r="AC124" s="46">
        <f>IFERROR(__xludf.DUMMYFUNCTION("""COMPUTED_VALUE"""),0.07922365205264975)</f>
        <v>0.07922365205</v>
      </c>
      <c r="AD124" s="46">
        <f>IFERROR(__xludf.DUMMYFUNCTION("""COMPUTED_VALUE"""),-0.3027700386021432)</f>
        <v>-0.3027700386</v>
      </c>
      <c r="AE124" s="46">
        <f>IFERROR(__xludf.DUMMYFUNCTION("""COMPUTED_VALUE"""),0.2156679824043236)</f>
        <v>0.2156679824</v>
      </c>
    </row>
    <row r="125">
      <c r="A125" s="6" t="str">
        <f>IF(VLOOKUP(H125,'Paste #BBall'!$B$2:$N1001,3,)="BRO","BKN",IF(VLOOKUP(H125,'Paste #BBall'!$B$2:$N1001,3,)="OKL","OKC",VLOOKUP(H125,'Paste #BBall'!$B$2:$N1001,3,)))</f>
        <v>SA</v>
      </c>
      <c r="B125" s="42">
        <f>VLOOKUP($A125,Schedule!$C$2:$G$31,2,0)</f>
        <v>3</v>
      </c>
      <c r="C125" s="42">
        <f>VLOOKUP($A125,Schedule!$C$2:$G$31,3,0)</f>
        <v>4</v>
      </c>
      <c r="D125" s="42">
        <f>VLOOKUP($A125,Schedule!$C$2:$G$31,4,0)</f>
        <v>3</v>
      </c>
      <c r="E125" s="42">
        <f t="shared" si="1"/>
        <v>10</v>
      </c>
      <c r="F125" s="51">
        <v>120.0</v>
      </c>
      <c r="G125" s="45">
        <f>IFERROR(__xludf.DUMMYFUNCTION("""COMPUTED_VALUE"""),92.0)</f>
        <v>92</v>
      </c>
      <c r="H125" s="45" t="str">
        <f>IFERROR(__xludf.DUMMYFUNCTION("""COMPUTED_VALUE"""),"Zach Collins")</f>
        <v>Zach Collins</v>
      </c>
      <c r="I125" s="45">
        <f>IFERROR(__xludf.DUMMYFUNCTION("""COMPUTED_VALUE"""),66.0)</f>
        <v>66</v>
      </c>
      <c r="J125" s="46" t="str">
        <f>IFERROR(__xludf.DUMMYFUNCTION("""COMPUTED_VALUE"""),"PF,C")</f>
        <v>PF,C</v>
      </c>
      <c r="K125" s="46">
        <f>IFERROR(__xludf.DUMMYFUNCTION("""COMPUTED_VALUE"""),-1.5043847881998529)</f>
        <v>-1.504384788</v>
      </c>
      <c r="L125" s="46">
        <f>IFERROR(__xludf.DUMMYFUNCTION("""COMPUTED_VALUE"""),-0.782509955340769)</f>
        <v>-0.7825099553</v>
      </c>
      <c r="M125" s="47">
        <f>IFERROR(__xludf.DUMMYFUNCTION("""COMPUTED_VALUE"""),0.7218748328590839)</f>
        <v>0.7218748329</v>
      </c>
      <c r="N125" s="47">
        <f>IFERROR(__xludf.DUMMYFUNCTION("""COMPUTED_VALUE"""),13.2)</f>
        <v>13.2</v>
      </c>
      <c r="O125" s="47">
        <f>IFERROR(__xludf.DUMMYFUNCTION("""COMPUTED_VALUE"""),1.0)</f>
        <v>1</v>
      </c>
      <c r="P125" s="47">
        <f>IFERROR(__xludf.DUMMYFUNCTION("""COMPUTED_VALUE"""),7.4)</f>
        <v>7.4</v>
      </c>
      <c r="Q125" s="48">
        <f>IFERROR(__xludf.DUMMYFUNCTION("""COMPUTED_VALUE"""),3.4)</f>
        <v>3.4</v>
      </c>
      <c r="R125" s="47">
        <f>IFERROR(__xludf.DUMMYFUNCTION("""COMPUTED_VALUE"""),0.7)</f>
        <v>0.7</v>
      </c>
      <c r="S125" s="47">
        <f>IFERROR(__xludf.DUMMYFUNCTION("""COMPUTED_VALUE"""),1.0)</f>
        <v>1</v>
      </c>
      <c r="T125" s="47">
        <f>IFERROR(__xludf.DUMMYFUNCTION("""COMPUTED_VALUE"""),50.505050505050505)</f>
        <v>50.50505051</v>
      </c>
      <c r="U125" s="47">
        <f>IFERROR(__xludf.DUMMYFUNCTION("""COMPUTED_VALUE"""),75.86206896551725)</f>
        <v>75.86206897</v>
      </c>
      <c r="V125" s="47">
        <f>IFERROR(__xludf.DUMMYFUNCTION("""COMPUTED_VALUE"""),2.5)</f>
        <v>2.5</v>
      </c>
      <c r="W125" s="46">
        <f>IFERROR(__xludf.DUMMYFUNCTION("""COMPUTED_VALUE"""),-0.6836553358615266)</f>
        <v>-0.6836553359</v>
      </c>
      <c r="X125" s="46">
        <f>IFERROR(__xludf.DUMMYFUNCTION("""COMPUTED_VALUE"""),-0.5590090246596284)</f>
        <v>-0.5590090247</v>
      </c>
      <c r="Y125" s="46">
        <f>IFERROR(__xludf.DUMMYFUNCTION("""COMPUTED_VALUE"""),0.5455511920542595)</f>
        <v>0.5455511921</v>
      </c>
      <c r="Z125" s="46">
        <f>IFERROR(__xludf.DUMMYFUNCTION("""COMPUTED_VALUE"""),-0.22645092467112066)</f>
        <v>-0.2264509247</v>
      </c>
      <c r="AA125" s="46">
        <f>IFERROR(__xludf.DUMMYFUNCTION("""COMPUTED_VALUE"""),-0.6425203743558983)</f>
        <v>-0.6425203744</v>
      </c>
      <c r="AB125" s="46">
        <f>IFERROR(__xludf.DUMMYFUNCTION("""COMPUTED_VALUE"""),0.39219664115299)</f>
        <v>0.3921966412</v>
      </c>
      <c r="AC125" s="46">
        <f>IFERROR(__xludf.DUMMYFUNCTION("""COMPUTED_VALUE"""),0.08965228787971105)</f>
        <v>0.08965228788</v>
      </c>
      <c r="AD125" s="46">
        <f>IFERROR(__xludf.DUMMYFUNCTION("""COMPUTED_VALUE"""),-0.22504267916864695)</f>
        <v>-0.2250426792</v>
      </c>
      <c r="AE125" s="46">
        <f>IFERROR(__xludf.DUMMYFUNCTION("""COMPUTED_VALUE"""),-0.1568870735724353)</f>
        <v>-0.1568870736</v>
      </c>
    </row>
    <row r="126">
      <c r="A126" s="6" t="str">
        <f>IF(VLOOKUP(H126,'Paste #BBall'!$B$2:$N1001,3,)="BRO","BKN",IF(VLOOKUP(H126,'Paste #BBall'!$B$2:$N1001,3,)="OKL","OKC",VLOOKUP(H126,'Paste #BBall'!$B$2:$N1001,3,)))</f>
        <v>IND</v>
      </c>
      <c r="B126" s="42">
        <f>VLOOKUP($A126,Schedule!$C$2:$G$31,2,0)</f>
        <v>3</v>
      </c>
      <c r="C126" s="42">
        <f>VLOOKUP($A126,Schedule!$C$2:$G$31,3,0)</f>
        <v>3</v>
      </c>
      <c r="D126" s="42">
        <f>VLOOKUP($A126,Schedule!$C$2:$G$31,4,0)</f>
        <v>4</v>
      </c>
      <c r="E126" s="42">
        <f t="shared" si="1"/>
        <v>10</v>
      </c>
      <c r="F126" s="43">
        <v>121.0</v>
      </c>
      <c r="G126" s="45">
        <f>IFERROR(__xludf.DUMMYFUNCTION("""COMPUTED_VALUE"""),101.0)</f>
        <v>101</v>
      </c>
      <c r="H126" s="45" t="str">
        <f>IFERROR(__xludf.DUMMYFUNCTION("""COMPUTED_VALUE"""),"Bruce Brown")</f>
        <v>Bruce Brown</v>
      </c>
      <c r="I126" s="45">
        <f>IFERROR(__xludf.DUMMYFUNCTION("""COMPUTED_VALUE"""),70.0)</f>
        <v>70</v>
      </c>
      <c r="J126" s="46" t="str">
        <f>IFERROR(__xludf.DUMMYFUNCTION("""COMPUTED_VALUE"""),"PG,SG,SF")</f>
        <v>PG,SG,SF</v>
      </c>
      <c r="K126" s="46">
        <f>IFERROR(__xludf.DUMMYFUNCTION("""COMPUTED_VALUE"""),-1.7871755968902712)</f>
        <v>-1.787175597</v>
      </c>
      <c r="L126" s="46">
        <f>IFERROR(__xludf.DUMMYFUNCTION("""COMPUTED_VALUE"""),-0.8115006575415916)</f>
        <v>-0.8115006575</v>
      </c>
      <c r="M126" s="47">
        <f>IFERROR(__xludf.DUMMYFUNCTION("""COMPUTED_VALUE"""),0.9756749393486795)</f>
        <v>0.9756749393</v>
      </c>
      <c r="N126" s="47">
        <f>IFERROR(__xludf.DUMMYFUNCTION("""COMPUTED_VALUE"""),11.7)</f>
        <v>11.7</v>
      </c>
      <c r="O126" s="47">
        <f>IFERROR(__xludf.DUMMYFUNCTION("""COMPUTED_VALUE"""),1.0)</f>
        <v>1</v>
      </c>
      <c r="P126" s="47">
        <f>IFERROR(__xludf.DUMMYFUNCTION("""COMPUTED_VALUE"""),5.0)</f>
        <v>5</v>
      </c>
      <c r="Q126" s="48">
        <f>IFERROR(__xludf.DUMMYFUNCTION("""COMPUTED_VALUE"""),3.1)</f>
        <v>3.1</v>
      </c>
      <c r="R126" s="47">
        <f>IFERROR(__xludf.DUMMYFUNCTION("""COMPUTED_VALUE"""),1.2)</f>
        <v>1.2</v>
      </c>
      <c r="S126" s="47">
        <f>IFERROR(__xludf.DUMMYFUNCTION("""COMPUTED_VALUE"""),0.8)</f>
        <v>0.8</v>
      </c>
      <c r="T126" s="47">
        <f>IFERROR(__xludf.DUMMYFUNCTION("""COMPUTED_VALUE"""),48.93617021276595)</f>
        <v>48.93617021</v>
      </c>
      <c r="U126" s="47">
        <f>IFERROR(__xludf.DUMMYFUNCTION("""COMPUTED_VALUE"""),76.19047619047619)</f>
        <v>76.19047619</v>
      </c>
      <c r="V126" s="47">
        <f>IFERROR(__xludf.DUMMYFUNCTION("""COMPUTED_VALUE"""),1.3)</f>
        <v>1.3</v>
      </c>
      <c r="W126" s="46">
        <f>IFERROR(__xludf.DUMMYFUNCTION("""COMPUTED_VALUE"""),-0.9364449012992314)</f>
        <v>-0.9364449013</v>
      </c>
      <c r="X126" s="46">
        <f>IFERROR(__xludf.DUMMYFUNCTION("""COMPUTED_VALUE"""),-0.5590090246596284)</f>
        <v>-0.5590090247</v>
      </c>
      <c r="Y126" s="46">
        <f>IFERROR(__xludf.DUMMYFUNCTION("""COMPUTED_VALUE"""),-0.45801768448908886)</f>
        <v>-0.4580176845</v>
      </c>
      <c r="Z126" s="46">
        <f>IFERROR(__xludf.DUMMYFUNCTION("""COMPUTED_VALUE"""),-0.37945830620566134)</f>
        <v>-0.3794583062</v>
      </c>
      <c r="AA126" s="46">
        <f>IFERROR(__xludf.DUMMYFUNCTION("""COMPUTED_VALUE"""),0.44772912964166556)</f>
        <v>0.4477291296</v>
      </c>
      <c r="AB126" s="46">
        <f>IFERROR(__xludf.DUMMYFUNCTION("""COMPUTED_VALUE"""),0.12956496180946983)</f>
        <v>0.1295649618</v>
      </c>
      <c r="AC126" s="46">
        <f>IFERROR(__xludf.DUMMYFUNCTION("""COMPUTED_VALUE"""),-0.06218297339396541)</f>
        <v>-0.06218297339</v>
      </c>
      <c r="AD126" s="46">
        <f>IFERROR(__xludf.DUMMYFUNCTION("""COMPUTED_VALUE"""),-0.14579474264870684)</f>
        <v>-0.1457947426</v>
      </c>
      <c r="AE126" s="46">
        <f>IFERROR(__xludf.DUMMYFUNCTION("""COMPUTED_VALUE"""),0.2156679824043236)</f>
        <v>0.2156679824</v>
      </c>
    </row>
    <row r="127">
      <c r="A127" s="6" t="str">
        <f>IF(VLOOKUP(H127,'Paste #BBall'!$B$2:$N1001,3,)="BRO","BKN",IF(VLOOKUP(H127,'Paste #BBall'!$B$2:$N1001,3,)="OKL","OKC",VLOOKUP(H127,'Paste #BBall'!$B$2:$N1001,3,)))</f>
        <v>MEM</v>
      </c>
      <c r="B127" s="42">
        <f>VLOOKUP($A127,Schedule!$C$2:$G$31,2,0)</f>
        <v>4</v>
      </c>
      <c r="C127" s="42">
        <f>VLOOKUP($A127,Schedule!$C$2:$G$31,3,0)</f>
        <v>3</v>
      </c>
      <c r="D127" s="42">
        <f>VLOOKUP($A127,Schedule!$C$2:$G$31,4,0)</f>
        <v>3</v>
      </c>
      <c r="E127" s="42">
        <f t="shared" si="1"/>
        <v>10</v>
      </c>
      <c r="F127" s="51">
        <v>122.0</v>
      </c>
      <c r="G127" s="45">
        <f>IFERROR(__xludf.DUMMYFUNCTION("""COMPUTED_VALUE"""),154.0)</f>
        <v>154</v>
      </c>
      <c r="H127" s="45" t="str">
        <f>IFERROR(__xludf.DUMMYFUNCTION("""COMPUTED_VALUE"""),"Steven Adams")</f>
        <v>Steven Adams</v>
      </c>
      <c r="I127" s="45">
        <f>IFERROR(__xludf.DUMMYFUNCTION("""COMPUTED_VALUE"""),68.0)</f>
        <v>68</v>
      </c>
      <c r="J127" s="46" t="str">
        <f>IFERROR(__xludf.DUMMYFUNCTION("""COMPUTED_VALUE"""),"C")</f>
        <v>C</v>
      </c>
      <c r="K127" s="46">
        <f>IFERROR(__xludf.DUMMYFUNCTION("""COMPUTED_VALUE"""),-3.7512489818044825)</f>
        <v>-3.751248982</v>
      </c>
      <c r="L127" s="46">
        <f>IFERROR(__xludf.DUMMYFUNCTION("""COMPUTED_VALUE"""),-0.8299806511496657)</f>
        <v>-0.8299806511</v>
      </c>
      <c r="M127" s="47">
        <f>IFERROR(__xludf.DUMMYFUNCTION("""COMPUTED_VALUE"""),2.921268330654817)</f>
        <v>2.921268331</v>
      </c>
      <c r="N127" s="47">
        <f>IFERROR(__xludf.DUMMYFUNCTION("""COMPUTED_VALUE"""),7.8)</f>
        <v>7.8</v>
      </c>
      <c r="O127" s="47">
        <f>IFERROR(__xludf.DUMMYFUNCTION("""COMPUTED_VALUE"""),0.0)</f>
        <v>0</v>
      </c>
      <c r="P127" s="47">
        <f>IFERROR(__xludf.DUMMYFUNCTION("""COMPUTED_VALUE"""),11.0)</f>
        <v>11</v>
      </c>
      <c r="Q127" s="48">
        <f>IFERROR(__xludf.DUMMYFUNCTION("""COMPUTED_VALUE"""),3.1)</f>
        <v>3.1</v>
      </c>
      <c r="R127" s="47">
        <f>IFERROR(__xludf.DUMMYFUNCTION("""COMPUTED_VALUE"""),0.9)</f>
        <v>0.9</v>
      </c>
      <c r="S127" s="47">
        <f>IFERROR(__xludf.DUMMYFUNCTION("""COMPUTED_VALUE"""),0.9)</f>
        <v>0.9</v>
      </c>
      <c r="T127" s="47">
        <f>IFERROR(__xludf.DUMMYFUNCTION("""COMPUTED_VALUE"""),56.14035087719298)</f>
        <v>56.14035088</v>
      </c>
      <c r="U127" s="47">
        <f>IFERROR(__xludf.DUMMYFUNCTION("""COMPUTED_VALUE"""),48.275862068965516)</f>
        <v>48.27586207</v>
      </c>
      <c r="V127" s="47">
        <f>IFERROR(__xludf.DUMMYFUNCTION("""COMPUTED_VALUE"""),1.7)</f>
        <v>1.7</v>
      </c>
      <c r="W127" s="46">
        <f>IFERROR(__xludf.DUMMYFUNCTION("""COMPUTED_VALUE"""),-1.5936977714372638)</f>
        <v>-1.593697771</v>
      </c>
      <c r="X127" s="46">
        <f>IFERROR(__xludf.DUMMYFUNCTION("""COMPUTED_VALUE"""),-1.4261378116187227)</f>
        <v>-1.426137812</v>
      </c>
      <c r="Y127" s="46">
        <f>IFERROR(__xludf.DUMMYFUNCTION("""COMPUTED_VALUE"""),2.0509045068692817)</f>
        <v>2.050904507</v>
      </c>
      <c r="Z127" s="46">
        <f>IFERROR(__xludf.DUMMYFUNCTION("""COMPUTED_VALUE"""),-0.37945830620566134)</f>
        <v>-0.3794583062</v>
      </c>
      <c r="AA127" s="46">
        <f>IFERROR(__xludf.DUMMYFUNCTION("""COMPUTED_VALUE"""),-0.2064205727568726)</f>
        <v>-0.2064205728</v>
      </c>
      <c r="AB127" s="46">
        <f>IFERROR(__xludf.DUMMYFUNCTION("""COMPUTED_VALUE"""),0.2608808014812299)</f>
        <v>0.2608808015</v>
      </c>
      <c r="AC127" s="46">
        <f>IFERROR(__xludf.DUMMYFUNCTION("""COMPUTED_VALUE"""),0.3724655387729392)</f>
        <v>0.3724655388</v>
      </c>
      <c r="AD127" s="46">
        <f>IFERROR(__xludf.DUMMYFUNCTION("""COMPUTED_VALUE"""),-2.216437582085067)</f>
        <v>-2.216437582</v>
      </c>
      <c r="AE127" s="46">
        <f>IFERROR(__xludf.DUMMYFUNCTION("""COMPUTED_VALUE"""),0.09148296374540399)</f>
        <v>0.09148296375</v>
      </c>
    </row>
    <row r="128">
      <c r="A128" s="6" t="str">
        <f>IF(VLOOKUP(H128,'Paste #BBall'!$B$2:$N1001,3,)="BRO","BKN",IF(VLOOKUP(H128,'Paste #BBall'!$B$2:$N1001,3,)="OKL","OKC",VLOOKUP(H128,'Paste #BBall'!$B$2:$N1001,3,)))</f>
        <v>NO</v>
      </c>
      <c r="B128" s="42">
        <f>VLOOKUP($A128,Schedule!$C$2:$G$31,2,0)</f>
        <v>3</v>
      </c>
      <c r="C128" s="42">
        <f>VLOOKUP($A128,Schedule!$C$2:$G$31,3,0)</f>
        <v>3</v>
      </c>
      <c r="D128" s="42">
        <f>VLOOKUP($A128,Schedule!$C$2:$G$31,4,0)</f>
        <v>4</v>
      </c>
      <c r="E128" s="42">
        <f t="shared" si="1"/>
        <v>10</v>
      </c>
      <c r="F128" s="51">
        <v>123.0</v>
      </c>
      <c r="G128" s="45">
        <f>IFERROR(__xludf.DUMMYFUNCTION("""COMPUTED_VALUE"""),95.0)</f>
        <v>95</v>
      </c>
      <c r="H128" s="45" t="str">
        <f>IFERROR(__xludf.DUMMYFUNCTION("""COMPUTED_VALUE"""),"Herbert Jones")</f>
        <v>Herbert Jones</v>
      </c>
      <c r="I128" s="45">
        <f>IFERROR(__xludf.DUMMYFUNCTION("""COMPUTED_VALUE"""),69.0)</f>
        <v>69</v>
      </c>
      <c r="J128" s="46" t="str">
        <f>IFERROR(__xludf.DUMMYFUNCTION("""COMPUTED_VALUE"""),"SF,PF")</f>
        <v>SF,PF</v>
      </c>
      <c r="K128" s="46">
        <f>IFERROR(__xludf.DUMMYFUNCTION("""COMPUTED_VALUE"""),-1.7074407326278478)</f>
        <v>-1.707440733</v>
      </c>
      <c r="L128" s="46">
        <f>IFERROR(__xludf.DUMMYFUNCTION("""COMPUTED_VALUE"""),-0.8546222636830723)</f>
        <v>-0.8546222637</v>
      </c>
      <c r="M128" s="47">
        <f>IFERROR(__xludf.DUMMYFUNCTION("""COMPUTED_VALUE"""),0.8528184689447755)</f>
        <v>0.8528184689</v>
      </c>
      <c r="N128" s="47">
        <f>IFERROR(__xludf.DUMMYFUNCTION("""COMPUTED_VALUE"""),9.8)</f>
        <v>9.8</v>
      </c>
      <c r="O128" s="47">
        <f>IFERROR(__xludf.DUMMYFUNCTION("""COMPUTED_VALUE"""),0.8)</f>
        <v>0.8</v>
      </c>
      <c r="P128" s="47">
        <f>IFERROR(__xludf.DUMMYFUNCTION("""COMPUTED_VALUE"""),4.0)</f>
        <v>4</v>
      </c>
      <c r="Q128" s="48">
        <f>IFERROR(__xludf.DUMMYFUNCTION("""COMPUTED_VALUE"""),2.3)</f>
        <v>2.3</v>
      </c>
      <c r="R128" s="47">
        <f>IFERROR(__xludf.DUMMYFUNCTION("""COMPUTED_VALUE"""),1.7)</f>
        <v>1.7</v>
      </c>
      <c r="S128" s="47">
        <f>IFERROR(__xludf.DUMMYFUNCTION("""COMPUTED_VALUE"""),0.7)</f>
        <v>0.7</v>
      </c>
      <c r="T128" s="47">
        <f>IFERROR(__xludf.DUMMYFUNCTION("""COMPUTED_VALUE"""),47.36842105263158)</f>
        <v>47.36842105</v>
      </c>
      <c r="U128" s="47">
        <f>IFERROR(__xludf.DUMMYFUNCTION("""COMPUTED_VALUE"""),78.26086956521739)</f>
        <v>78.26086957</v>
      </c>
      <c r="V128" s="47">
        <f>IFERROR(__xludf.DUMMYFUNCTION("""COMPUTED_VALUE"""),1.3)</f>
        <v>1.3</v>
      </c>
      <c r="W128" s="46">
        <f>IFERROR(__xludf.DUMMYFUNCTION("""COMPUTED_VALUE"""),-1.256645017520324)</f>
        <v>-1.256645018</v>
      </c>
      <c r="X128" s="46">
        <f>IFERROR(__xludf.DUMMYFUNCTION("""COMPUTED_VALUE"""),-0.7324347820514473)</f>
        <v>-0.7324347821</v>
      </c>
      <c r="Y128" s="46">
        <f>IFERROR(__xludf.DUMMYFUNCTION("""COMPUTED_VALUE"""),-0.8761713830488173)</f>
        <v>-0.876171383</v>
      </c>
      <c r="Z128" s="46">
        <f>IFERROR(__xludf.DUMMYFUNCTION("""COMPUTED_VALUE"""),-0.78747799029777)</f>
        <v>-0.7874779903</v>
      </c>
      <c r="AA128" s="46">
        <f>IFERROR(__xludf.DUMMYFUNCTION("""COMPUTED_VALUE"""),1.5379786336392296)</f>
        <v>1.537978634</v>
      </c>
      <c r="AB128" s="46">
        <f>IFERROR(__xludf.DUMMYFUNCTION("""COMPUTED_VALUE"""),-0.0017508778622903794)</f>
        <v>-0.001750877862</v>
      </c>
      <c r="AC128" s="46">
        <f>IFERROR(__xludf.DUMMYFUNCTION("""COMPUTED_VALUE"""),-0.16928930111988527)</f>
        <v>-0.1692893011</v>
      </c>
      <c r="AD128" s="46">
        <f>IFERROR(__xludf.DUMMYFUNCTION("""COMPUTED_VALUE"""),-0.041144545346415456)</f>
        <v>-0.04114454535</v>
      </c>
      <c r="AE128" s="46">
        <f>IFERROR(__xludf.DUMMYFUNCTION("""COMPUTED_VALUE"""),0.2156679824043236)</f>
        <v>0.2156679824</v>
      </c>
    </row>
    <row r="129">
      <c r="A129" s="6" t="str">
        <f>IF(VLOOKUP(H129,'Paste #BBall'!$B$2:$N1001,3,)="BRO","BKN",IF(VLOOKUP(H129,'Paste #BBall'!$B$2:$N1001,3,)="OKL","OKC",VLOOKUP(H129,'Paste #BBall'!$B$2:$N1001,3,)))</f>
        <v>IND</v>
      </c>
      <c r="B129" s="42">
        <f>VLOOKUP($A129,Schedule!$C$2:$G$31,2,0)</f>
        <v>3</v>
      </c>
      <c r="C129" s="42">
        <f>VLOOKUP($A129,Schedule!$C$2:$G$31,3,0)</f>
        <v>3</v>
      </c>
      <c r="D129" s="42">
        <f>VLOOKUP($A129,Schedule!$C$2:$G$31,4,0)</f>
        <v>4</v>
      </c>
      <c r="E129" s="42">
        <f t="shared" si="1"/>
        <v>10</v>
      </c>
      <c r="F129" s="43">
        <v>124.0</v>
      </c>
      <c r="G129" s="45">
        <f>IFERROR(__xludf.DUMMYFUNCTION("""COMPUTED_VALUE"""),108.0)</f>
        <v>108</v>
      </c>
      <c r="H129" s="45" t="str">
        <f>IFERROR(__xludf.DUMMYFUNCTION("""COMPUTED_VALUE"""),"Buddy Hield")</f>
        <v>Buddy Hield</v>
      </c>
      <c r="I129" s="45">
        <f>IFERROR(__xludf.DUMMYFUNCTION("""COMPUTED_VALUE"""),76.0)</f>
        <v>76</v>
      </c>
      <c r="J129" s="46" t="str">
        <f>IFERROR(__xludf.DUMMYFUNCTION("""COMPUTED_VALUE"""),"SG,SF")</f>
        <v>SG,SF</v>
      </c>
      <c r="K129" s="46">
        <f>IFERROR(__xludf.DUMMYFUNCTION("""COMPUTED_VALUE"""),-1.9395513970525247)</f>
        <v>-1.939551397</v>
      </c>
      <c r="L129" s="46">
        <f>IFERROR(__xludf.DUMMYFUNCTION("""COMPUTED_VALUE"""),-0.9236892194036986)</f>
        <v>-0.9236892194</v>
      </c>
      <c r="M129" s="47">
        <f>IFERROR(__xludf.DUMMYFUNCTION("""COMPUTED_VALUE"""),1.0158621776488261)</f>
        <v>1.015862178</v>
      </c>
      <c r="N129" s="47">
        <f>IFERROR(__xludf.DUMMYFUNCTION("""COMPUTED_VALUE"""),15.2)</f>
        <v>15.2</v>
      </c>
      <c r="O129" s="47">
        <f>IFERROR(__xludf.DUMMYFUNCTION("""COMPUTED_VALUE"""),3.1)</f>
        <v>3.1</v>
      </c>
      <c r="P129" s="47">
        <f>IFERROR(__xludf.DUMMYFUNCTION("""COMPUTED_VALUE"""),4.3)</f>
        <v>4.3</v>
      </c>
      <c r="Q129" s="48">
        <f>IFERROR(__xludf.DUMMYFUNCTION("""COMPUTED_VALUE"""),2.6)</f>
        <v>2.6</v>
      </c>
      <c r="R129" s="47">
        <f>IFERROR(__xludf.DUMMYFUNCTION("""COMPUTED_VALUE"""),0.9)</f>
        <v>0.9</v>
      </c>
      <c r="S129" s="47">
        <f>IFERROR(__xludf.DUMMYFUNCTION("""COMPUTED_VALUE"""),0.3)</f>
        <v>0.3</v>
      </c>
      <c r="T129" s="47">
        <f>IFERROR(__xludf.DUMMYFUNCTION("""COMPUTED_VALUE"""),44.62809917355373)</f>
        <v>44.62809917</v>
      </c>
      <c r="U129" s="47">
        <f>IFERROR(__xludf.DUMMYFUNCTION("""COMPUTED_VALUE"""),80.0)</f>
        <v>80</v>
      </c>
      <c r="V129" s="47">
        <f>IFERROR(__xludf.DUMMYFUNCTION("""COMPUTED_VALUE"""),1.7)</f>
        <v>1.7</v>
      </c>
      <c r="W129" s="46">
        <f>IFERROR(__xludf.DUMMYFUNCTION("""COMPUTED_VALUE"""),-0.34660258194458676)</f>
        <v>-0.3466025819</v>
      </c>
      <c r="X129" s="46">
        <f>IFERROR(__xludf.DUMMYFUNCTION("""COMPUTED_VALUE"""),1.2619614279544695)</f>
        <v>1.261961428</v>
      </c>
      <c r="Y129" s="46">
        <f>IFERROR(__xludf.DUMMYFUNCTION("""COMPUTED_VALUE"""),-0.7507252734808988)</f>
        <v>-0.7507252735</v>
      </c>
      <c r="Z129" s="46">
        <f>IFERROR(__xludf.DUMMYFUNCTION("""COMPUTED_VALUE"""),-0.6344706087632292)</f>
        <v>-0.6344706088</v>
      </c>
      <c r="AA129" s="46">
        <f>IFERROR(__xludf.DUMMYFUNCTION("""COMPUTED_VALUE"""),-0.2064205727568726)</f>
        <v>-0.2064205728</v>
      </c>
      <c r="AB129" s="46">
        <f>IFERROR(__xludf.DUMMYFUNCTION("""COMPUTED_VALUE"""),-0.5270142365493308)</f>
        <v>-0.5270142365</v>
      </c>
      <c r="AC129" s="46">
        <f>IFERROR(__xludf.DUMMYFUNCTION("""COMPUTED_VALUE"""),-0.6007290022630776)</f>
        <v>-0.6007290023</v>
      </c>
      <c r="AD129" s="46">
        <f>IFERROR(__xludf.DUMMYFUNCTION("""COMPUTED_VALUE"""),0.038103391173524945)</f>
        <v>0.03810339117</v>
      </c>
      <c r="AE129" s="46">
        <f>IFERROR(__xludf.DUMMYFUNCTION("""COMPUTED_VALUE"""),0.09148296374540399)</f>
        <v>0.09148296375</v>
      </c>
    </row>
    <row r="130">
      <c r="A130" s="6" t="str">
        <f>IF(VLOOKUP(H130,'Paste #BBall'!$B$2:$N1001,3,)="BRO","BKN",IF(VLOOKUP(H130,'Paste #BBall'!$B$2:$N1001,3,)="OKL","OKC",VLOOKUP(H130,'Paste #BBall'!$B$2:$N1001,3,)))</f>
        <v>PHI</v>
      </c>
      <c r="B130" s="42">
        <f>VLOOKUP($A130,Schedule!$C$2:$G$31,2,0)</f>
        <v>4</v>
      </c>
      <c r="C130" s="42">
        <f>VLOOKUP($A130,Schedule!$C$2:$G$31,3,0)</f>
        <v>3</v>
      </c>
      <c r="D130" s="42">
        <f>VLOOKUP($A130,Schedule!$C$2:$G$31,4,0)</f>
        <v>4</v>
      </c>
      <c r="E130" s="42">
        <f t="shared" si="1"/>
        <v>11</v>
      </c>
      <c r="F130" s="51">
        <v>125.0</v>
      </c>
      <c r="G130" s="45">
        <f>IFERROR(__xludf.DUMMYFUNCTION("""COMPUTED_VALUE"""),107.0)</f>
        <v>107</v>
      </c>
      <c r="H130" s="45" t="str">
        <f>IFERROR(__xludf.DUMMYFUNCTION("""COMPUTED_VALUE"""),"Tobias Harris")</f>
        <v>Tobias Harris</v>
      </c>
      <c r="I130" s="45">
        <f>IFERROR(__xludf.DUMMYFUNCTION("""COMPUTED_VALUE"""),73.0)</f>
        <v>73</v>
      </c>
      <c r="J130" s="46" t="str">
        <f>IFERROR(__xludf.DUMMYFUNCTION("""COMPUTED_VALUE"""),"SF,PF")</f>
        <v>SF,PF</v>
      </c>
      <c r="K130" s="46">
        <f>IFERROR(__xludf.DUMMYFUNCTION("""COMPUTED_VALUE"""),-1.9122182201274909)</f>
        <v>-1.91221822</v>
      </c>
      <c r="L130" s="46">
        <f>IFERROR(__xludf.DUMMYFUNCTION("""COMPUTED_VALUE"""),-0.9309380161951345)</f>
        <v>-0.9309380162</v>
      </c>
      <c r="M130" s="47">
        <f>IFERROR(__xludf.DUMMYFUNCTION("""COMPUTED_VALUE"""),0.9812802039323564)</f>
        <v>0.9812802039</v>
      </c>
      <c r="N130" s="47">
        <f>IFERROR(__xludf.DUMMYFUNCTION("""COMPUTED_VALUE"""),15.2)</f>
        <v>15.2</v>
      </c>
      <c r="O130" s="47">
        <f>IFERROR(__xludf.DUMMYFUNCTION("""COMPUTED_VALUE"""),1.5)</f>
        <v>1.5</v>
      </c>
      <c r="P130" s="47">
        <f>IFERROR(__xludf.DUMMYFUNCTION("""COMPUTED_VALUE"""),6.0)</f>
        <v>6</v>
      </c>
      <c r="Q130" s="48">
        <f>IFERROR(__xludf.DUMMYFUNCTION("""COMPUTED_VALUE"""),2.8)</f>
        <v>2.8</v>
      </c>
      <c r="R130" s="47">
        <f>IFERROR(__xludf.DUMMYFUNCTION("""COMPUTED_VALUE"""),0.8)</f>
        <v>0.8</v>
      </c>
      <c r="S130" s="47">
        <f>IFERROR(__xludf.DUMMYFUNCTION("""COMPUTED_VALUE"""),0.5)</f>
        <v>0.5</v>
      </c>
      <c r="T130" s="47">
        <f>IFERROR(__xludf.DUMMYFUNCTION("""COMPUTED_VALUE"""),48.7603305785124)</f>
        <v>48.76033058</v>
      </c>
      <c r="U130" s="47">
        <f>IFERROR(__xludf.DUMMYFUNCTION("""COMPUTED_VALUE"""),81.81818181818181)</f>
        <v>81.81818182</v>
      </c>
      <c r="V130" s="47">
        <f>IFERROR(__xludf.DUMMYFUNCTION("""COMPUTED_VALUE"""),1.3)</f>
        <v>1.3</v>
      </c>
      <c r="W130" s="46">
        <f>IFERROR(__xludf.DUMMYFUNCTION("""COMPUTED_VALUE"""),-0.34660258194458676)</f>
        <v>-0.3466025819</v>
      </c>
      <c r="X130" s="46">
        <f>IFERROR(__xludf.DUMMYFUNCTION("""COMPUTED_VALUE"""),-0.12544463118008137)</f>
        <v>-0.1254446312</v>
      </c>
      <c r="Y130" s="46">
        <f>IFERROR(__xludf.DUMMYFUNCTION("""COMPUTED_VALUE"""),-0.03986398592936047)</f>
        <v>-0.03986398593</v>
      </c>
      <c r="Z130" s="46">
        <f>IFERROR(__xludf.DUMMYFUNCTION("""COMPUTED_VALUE"""),-0.5324656877402022)</f>
        <v>-0.5324656877</v>
      </c>
      <c r="AA130" s="46">
        <f>IFERROR(__xludf.DUMMYFUNCTION("""COMPUTED_VALUE"""),-0.42447047355638534)</f>
        <v>-0.4244704736</v>
      </c>
      <c r="AB130" s="46">
        <f>IFERROR(__xludf.DUMMYFUNCTION("""COMPUTED_VALUE"""),-0.2643825572058105)</f>
        <v>-0.2643825572</v>
      </c>
      <c r="AC130" s="46">
        <f>IFERROR(__xludf.DUMMYFUNCTION("""COMPUTED_VALUE"""),-0.10129648765022448)</f>
        <v>-0.1012964877</v>
      </c>
      <c r="AD130" s="46">
        <f>IFERROR(__xludf.DUMMYFUNCTION("""COMPUTED_VALUE"""),0.15545471886699092)</f>
        <v>0.1554547189</v>
      </c>
      <c r="AE130" s="46">
        <f>IFERROR(__xludf.DUMMYFUNCTION("""COMPUTED_VALUE"""),0.2156679824043236)</f>
        <v>0.2156679824</v>
      </c>
    </row>
    <row r="131">
      <c r="A131" s="6" t="str">
        <f>IF(VLOOKUP(H131,'Paste #BBall'!$B$2:$N1001,3,)="BRO","BKN",IF(VLOOKUP(H131,'Paste #BBall'!$B$2:$N1001,3,)="OKL","OKC",VLOOKUP(H131,'Paste #BBall'!$B$2:$N1001,3,)))</f>
        <v>UTA</v>
      </c>
      <c r="B131" s="42">
        <f>VLOOKUP($A131,Schedule!$C$2:$G$31,2,0)</f>
        <v>3</v>
      </c>
      <c r="C131" s="42">
        <f>VLOOKUP($A131,Schedule!$C$2:$G$31,3,0)</f>
        <v>3</v>
      </c>
      <c r="D131" s="42">
        <f>VLOOKUP($A131,Schedule!$C$2:$G$31,4,0)</f>
        <v>4</v>
      </c>
      <c r="E131" s="42">
        <f t="shared" si="1"/>
        <v>10</v>
      </c>
      <c r="F131" s="51">
        <v>126.0</v>
      </c>
      <c r="G131" s="45">
        <f>IFERROR(__xludf.DUMMYFUNCTION("""COMPUTED_VALUE"""),123.0)</f>
        <v>123</v>
      </c>
      <c r="H131" s="45" t="str">
        <f>IFERROR(__xludf.DUMMYFUNCTION("""COMPUTED_VALUE"""),"Jordan Clarkson")</f>
        <v>Jordan Clarkson</v>
      </c>
      <c r="I131" s="45">
        <f>IFERROR(__xludf.DUMMYFUNCTION("""COMPUTED_VALUE"""),68.0)</f>
        <v>68</v>
      </c>
      <c r="J131" s="46" t="str">
        <f>IFERROR(__xludf.DUMMYFUNCTION("""COMPUTED_VALUE"""),"PG,SG")</f>
        <v>PG,SG</v>
      </c>
      <c r="K131" s="46">
        <f>IFERROR(__xludf.DUMMYFUNCTION("""COMPUTED_VALUE"""),-2.35401160618496)</f>
        <v>-2.354011606</v>
      </c>
      <c r="L131" s="46">
        <f>IFERROR(__xludf.DUMMYFUNCTION("""COMPUTED_VALUE"""),-0.9653196457360216)</f>
        <v>-0.9653196457</v>
      </c>
      <c r="M131" s="47">
        <f>IFERROR(__xludf.DUMMYFUNCTION("""COMPUTED_VALUE"""),1.3886919604489383)</f>
        <v>1.38869196</v>
      </c>
      <c r="N131" s="47">
        <f>IFERROR(__xludf.DUMMYFUNCTION("""COMPUTED_VALUE"""),19.2)</f>
        <v>19.2</v>
      </c>
      <c r="O131" s="47">
        <f>IFERROR(__xludf.DUMMYFUNCTION("""COMPUTED_VALUE"""),2.6)</f>
        <v>2.6</v>
      </c>
      <c r="P131" s="47">
        <f>IFERROR(__xludf.DUMMYFUNCTION("""COMPUTED_VALUE"""),3.9)</f>
        <v>3.9</v>
      </c>
      <c r="Q131" s="48">
        <f>IFERROR(__xludf.DUMMYFUNCTION("""COMPUTED_VALUE"""),3.5)</f>
        <v>3.5</v>
      </c>
      <c r="R131" s="47">
        <f>IFERROR(__xludf.DUMMYFUNCTION("""COMPUTED_VALUE"""),0.8)</f>
        <v>0.8</v>
      </c>
      <c r="S131" s="47">
        <f>IFERROR(__xludf.DUMMYFUNCTION("""COMPUTED_VALUE"""),0.2)</f>
        <v>0.2</v>
      </c>
      <c r="T131" s="47">
        <f>IFERROR(__xludf.DUMMYFUNCTION("""COMPUTED_VALUE"""),42.94478527607362)</f>
        <v>42.94478528</v>
      </c>
      <c r="U131" s="47">
        <f>IFERROR(__xludf.DUMMYFUNCTION("""COMPUTED_VALUE"""),81.25)</f>
        <v>81.25</v>
      </c>
      <c r="V131" s="47">
        <f>IFERROR(__xludf.DUMMYFUNCTION("""COMPUTED_VALUE"""),2.4)</f>
        <v>2.4</v>
      </c>
      <c r="W131" s="46">
        <f>IFERROR(__xludf.DUMMYFUNCTION("""COMPUTED_VALUE"""),0.3275029258892929)</f>
        <v>0.3275029259</v>
      </c>
      <c r="X131" s="46">
        <f>IFERROR(__xludf.DUMMYFUNCTION("""COMPUTED_VALUE"""),0.8283970344749224)</f>
        <v>0.8283970345</v>
      </c>
      <c r="Y131" s="46">
        <f>IFERROR(__xludf.DUMMYFUNCTION("""COMPUTED_VALUE"""),-0.9179867529047901)</f>
        <v>-0.9179867529</v>
      </c>
      <c r="Z131" s="46">
        <f>IFERROR(__xludf.DUMMYFUNCTION("""COMPUTED_VALUE"""),-0.17544846415960708)</f>
        <v>-0.1754484642</v>
      </c>
      <c r="AA131" s="46">
        <f>IFERROR(__xludf.DUMMYFUNCTION("""COMPUTED_VALUE"""),-0.42447047355638534)</f>
        <v>-0.4244704736</v>
      </c>
      <c r="AB131" s="46">
        <f>IFERROR(__xludf.DUMMYFUNCTION("""COMPUTED_VALUE"""),-0.6583300762210907)</f>
        <v>-0.6583300762</v>
      </c>
      <c r="AC131" s="46">
        <f>IFERROR(__xludf.DUMMYFUNCTION("""COMPUTED_VALUE"""),-1.083315259001449)</f>
        <v>-1.083315259</v>
      </c>
      <c r="AD131" s="46">
        <f>IFERROR(__xludf.DUMMYFUNCTION("""COMPUTED_VALUE"""),0.1808569796493414)</f>
        <v>0.1808569796</v>
      </c>
      <c r="AE131" s="46">
        <f>IFERROR(__xludf.DUMMYFUNCTION("""COMPUTED_VALUE"""),-0.12584081890770538)</f>
        <v>-0.1258408189</v>
      </c>
    </row>
    <row r="132">
      <c r="A132" s="6" t="str">
        <f>IF(VLOOKUP(H132,'Paste #BBall'!$B$2:$N1001,3,)="BRO","BKN",IF(VLOOKUP(H132,'Paste #BBall'!$B$2:$N1001,3,)="OKL","OKC",VLOOKUP(H132,'Paste #BBall'!$B$2:$N1001,3,)))</f>
        <v>HOU</v>
      </c>
      <c r="B132" s="42">
        <f>VLOOKUP($A132,Schedule!$C$2:$G$31,2,0)</f>
        <v>4</v>
      </c>
      <c r="C132" s="42">
        <f>VLOOKUP($A132,Schedule!$C$2:$G$31,3,0)</f>
        <v>3</v>
      </c>
      <c r="D132" s="42">
        <f>VLOOKUP($A132,Schedule!$C$2:$G$31,4,0)</f>
        <v>3</v>
      </c>
      <c r="E132" s="42">
        <f t="shared" si="1"/>
        <v>10</v>
      </c>
      <c r="F132" s="43">
        <v>127.0</v>
      </c>
      <c r="G132" s="45">
        <f>IFERROR(__xludf.DUMMYFUNCTION("""COMPUTED_VALUE"""),119.0)</f>
        <v>119</v>
      </c>
      <c r="H132" s="45" t="str">
        <f>IFERROR(__xludf.DUMMYFUNCTION("""COMPUTED_VALUE"""),"Tari Eason")</f>
        <v>Tari Eason</v>
      </c>
      <c r="I132" s="45">
        <f>IFERROR(__xludf.DUMMYFUNCTION("""COMPUTED_VALUE"""),78.0)</f>
        <v>78</v>
      </c>
      <c r="J132" s="46" t="str">
        <f>IFERROR(__xludf.DUMMYFUNCTION("""COMPUTED_VALUE"""),"SF,PF")</f>
        <v>SF,PF</v>
      </c>
      <c r="K132" s="46">
        <f>IFERROR(__xludf.DUMMYFUNCTION("""COMPUTED_VALUE"""),-2.218113609497684)</f>
        <v>-2.218113609</v>
      </c>
      <c r="L132" s="46">
        <f>IFERROR(__xludf.DUMMYFUNCTION("""COMPUTED_VALUE"""),-0.9722019835462339)</f>
        <v>-0.9722019835</v>
      </c>
      <c r="M132" s="47">
        <f>IFERROR(__xludf.DUMMYFUNCTION("""COMPUTED_VALUE"""),1.2459116259514502)</f>
        <v>1.245911626</v>
      </c>
      <c r="N132" s="47">
        <f>IFERROR(__xludf.DUMMYFUNCTION("""COMPUTED_VALUE"""),11.4)</f>
        <v>11.4</v>
      </c>
      <c r="O132" s="47">
        <f>IFERROR(__xludf.DUMMYFUNCTION("""COMPUTED_VALUE"""),0.9)</f>
        <v>0.9</v>
      </c>
      <c r="P132" s="47">
        <f>IFERROR(__xludf.DUMMYFUNCTION("""COMPUTED_VALUE"""),7.4)</f>
        <v>7.4</v>
      </c>
      <c r="Q132" s="48">
        <f>IFERROR(__xludf.DUMMYFUNCTION("""COMPUTED_VALUE"""),1.3)</f>
        <v>1.3</v>
      </c>
      <c r="R132" s="47">
        <f>IFERROR(__xludf.DUMMYFUNCTION("""COMPUTED_VALUE"""),1.3)</f>
        <v>1.3</v>
      </c>
      <c r="S132" s="47">
        <f>IFERROR(__xludf.DUMMYFUNCTION("""COMPUTED_VALUE"""),0.7)</f>
        <v>0.7</v>
      </c>
      <c r="T132" s="47">
        <f>IFERROR(__xludf.DUMMYFUNCTION("""COMPUTED_VALUE"""),45.91836734693877)</f>
        <v>45.91836735</v>
      </c>
      <c r="U132" s="47">
        <f>IFERROR(__xludf.DUMMYFUNCTION("""COMPUTED_VALUE"""),72.72727272727273)</f>
        <v>72.72727273</v>
      </c>
      <c r="V132" s="47">
        <f>IFERROR(__xludf.DUMMYFUNCTION("""COMPUTED_VALUE"""),1.5)</f>
        <v>1.5</v>
      </c>
      <c r="W132" s="46">
        <f>IFERROR(__xludf.DUMMYFUNCTION("""COMPUTED_VALUE"""),-0.9870028143867723)</f>
        <v>-0.9870028144</v>
      </c>
      <c r="X132" s="46">
        <f>IFERROR(__xludf.DUMMYFUNCTION("""COMPUTED_VALUE"""),-0.6457219033555379)</f>
        <v>-0.6457219034</v>
      </c>
      <c r="Y132" s="46">
        <f>IFERROR(__xludf.DUMMYFUNCTION("""COMPUTED_VALUE"""),0.5455511920542595)</f>
        <v>0.5455511921</v>
      </c>
      <c r="Z132" s="46">
        <f>IFERROR(__xludf.DUMMYFUNCTION("""COMPUTED_VALUE"""),-1.2975025954129054)</f>
        <v>-1.297502595</v>
      </c>
      <c r="AA132" s="46">
        <f>IFERROR(__xludf.DUMMYFUNCTION("""COMPUTED_VALUE"""),0.6657790304411786)</f>
        <v>0.6657790304</v>
      </c>
      <c r="AB132" s="46">
        <f>IFERROR(__xludf.DUMMYFUNCTION("""COMPUTED_VALUE"""),-0.0017508778622903794)</f>
        <v>-0.001750877862</v>
      </c>
      <c r="AC132" s="46">
        <f>IFERROR(__xludf.DUMMYFUNCTION("""COMPUTED_VALUE"""),-0.3602380766498217)</f>
        <v>-0.3602380766</v>
      </c>
      <c r="AD132" s="46">
        <f>IFERROR(__xludf.DUMMYFUNCTION("""COMPUTED_VALUE"""),-0.3423940068621134)</f>
        <v>-0.3423940069</v>
      </c>
      <c r="AE132" s="46">
        <f>IFERROR(__xludf.DUMMYFUNCTION("""COMPUTED_VALUE"""),0.1535754730748638)</f>
        <v>0.1535754731</v>
      </c>
    </row>
    <row r="133">
      <c r="A133" s="6" t="str">
        <f>IF(VLOOKUP(H133,'Paste #BBall'!$B$2:$N1001,3,)="BRO","BKN",IF(VLOOKUP(H133,'Paste #BBall'!$B$2:$N1001,3,)="OKL","OKC",VLOOKUP(H133,'Paste #BBall'!$B$2:$N1001,3,)))</f>
        <v>SAC</v>
      </c>
      <c r="B133" s="42">
        <f>VLOOKUP($A133,Schedule!$C$2:$G$31,2,0)</f>
        <v>4</v>
      </c>
      <c r="C133" s="42">
        <f>VLOOKUP($A133,Schedule!$C$2:$G$31,3,0)</f>
        <v>3</v>
      </c>
      <c r="D133" s="42">
        <f>VLOOKUP($A133,Schedule!$C$2:$G$31,4,0)</f>
        <v>4</v>
      </c>
      <c r="E133" s="42">
        <f t="shared" si="1"/>
        <v>11</v>
      </c>
      <c r="F133" s="51">
        <v>128.0</v>
      </c>
      <c r="G133" s="45">
        <f>IFERROR(__xludf.DUMMYFUNCTION("""COMPUTED_VALUE"""),126.0)</f>
        <v>126</v>
      </c>
      <c r="H133" s="45" t="str">
        <f>IFERROR(__xludf.DUMMYFUNCTION("""COMPUTED_VALUE"""),"Kevin Huerter")</f>
        <v>Kevin Huerter</v>
      </c>
      <c r="I133" s="45">
        <f>IFERROR(__xludf.DUMMYFUNCTION("""COMPUTED_VALUE"""),74.0)</f>
        <v>74</v>
      </c>
      <c r="J133" s="46" t="str">
        <f>IFERROR(__xludf.DUMMYFUNCTION("""COMPUTED_VALUE"""),"SG,SF")</f>
        <v>SG,SF</v>
      </c>
      <c r="K133" s="46">
        <f>IFERROR(__xludf.DUMMYFUNCTION("""COMPUTED_VALUE"""),-2.474076439014353)</f>
        <v>-2.474076439</v>
      </c>
      <c r="L133" s="46">
        <f>IFERROR(__xludf.DUMMYFUNCTION("""COMPUTED_VALUE"""),-0.9963472535390678)</f>
        <v>-0.9963472535</v>
      </c>
      <c r="M133" s="47">
        <f>IFERROR(__xludf.DUMMYFUNCTION("""COMPUTED_VALUE"""),1.4777291854752852)</f>
        <v>1.477729185</v>
      </c>
      <c r="N133" s="47">
        <f>IFERROR(__xludf.DUMMYFUNCTION("""COMPUTED_VALUE"""),14.0)</f>
        <v>14</v>
      </c>
      <c r="O133" s="47">
        <f>IFERROR(__xludf.DUMMYFUNCTION("""COMPUTED_VALUE"""),2.5)</f>
        <v>2.5</v>
      </c>
      <c r="P133" s="47">
        <f>IFERROR(__xludf.DUMMYFUNCTION("""COMPUTED_VALUE"""),3.5)</f>
        <v>3.5</v>
      </c>
      <c r="Q133" s="48">
        <f>IFERROR(__xludf.DUMMYFUNCTION("""COMPUTED_VALUE"""),2.9)</f>
        <v>2.9</v>
      </c>
      <c r="R133" s="47">
        <f>IFERROR(__xludf.DUMMYFUNCTION("""COMPUTED_VALUE"""),0.9)</f>
        <v>0.9</v>
      </c>
      <c r="S133" s="47">
        <f>IFERROR(__xludf.DUMMYFUNCTION("""COMPUTED_VALUE"""),0.4)</f>
        <v>0.4</v>
      </c>
      <c r="T133" s="47">
        <f>IFERROR(__xludf.DUMMYFUNCTION("""COMPUTED_VALUE"""),47.32142857142858)</f>
        <v>47.32142857</v>
      </c>
      <c r="U133" s="47">
        <f>IFERROR(__xludf.DUMMYFUNCTION("""COMPUTED_VALUE"""),76.92307692307692)</f>
        <v>76.92307692</v>
      </c>
      <c r="V133" s="47">
        <f>IFERROR(__xludf.DUMMYFUNCTION("""COMPUTED_VALUE"""),1.3)</f>
        <v>1.3</v>
      </c>
      <c r="W133" s="46">
        <f>IFERROR(__xludf.DUMMYFUNCTION("""COMPUTED_VALUE"""),-0.5488342342947505)</f>
        <v>-0.5488342343</v>
      </c>
      <c r="X133" s="46">
        <f>IFERROR(__xludf.DUMMYFUNCTION("""COMPUTED_VALUE"""),0.7416841557790128)</f>
        <v>0.7416841558</v>
      </c>
      <c r="Y133" s="46">
        <f>IFERROR(__xludf.DUMMYFUNCTION("""COMPUTED_VALUE"""),-1.0852482323286814)</f>
        <v>-1.085248232</v>
      </c>
      <c r="Z133" s="46">
        <f>IFERROR(__xludf.DUMMYFUNCTION("""COMPUTED_VALUE"""),-0.48146322722868856)</f>
        <v>-0.4814632272</v>
      </c>
      <c r="AA133" s="46">
        <f>IFERROR(__xludf.DUMMYFUNCTION("""COMPUTED_VALUE"""),-0.2064205727568726)</f>
        <v>-0.2064205728</v>
      </c>
      <c r="AB133" s="46">
        <f>IFERROR(__xludf.DUMMYFUNCTION("""COMPUTED_VALUE"""),-0.39569839687757064)</f>
        <v>-0.3956983969</v>
      </c>
      <c r="AC133" s="46">
        <f>IFERROR(__xludf.DUMMYFUNCTION("""COMPUTED_VALUE"""),-0.2547361544357556)</f>
        <v>-0.2547361544</v>
      </c>
      <c r="AD133" s="46">
        <f>IFERROR(__xludf.DUMMYFUNCTION("""COMPUTED_VALUE"""),-0.066546806128766)</f>
        <v>-0.06654680613</v>
      </c>
      <c r="AE133" s="46">
        <f>IFERROR(__xludf.DUMMYFUNCTION("""COMPUTED_VALUE"""),0.2156679824043236)</f>
        <v>0.2156679824</v>
      </c>
    </row>
    <row r="134">
      <c r="A134" s="6" t="str">
        <f>IF(VLOOKUP(H134,'Paste #BBall'!$B$2:$N1001,3,)="BRO","BKN",IF(VLOOKUP(H134,'Paste #BBall'!$B$2:$N1001,3,)="OKL","OKC",VLOOKUP(H134,'Paste #BBall'!$B$2:$N1001,3,)))</f>
        <v>DEN</v>
      </c>
      <c r="B134" s="42">
        <f>VLOOKUP($A134,Schedule!$C$2:$G$31,2,0)</f>
        <v>3</v>
      </c>
      <c r="C134" s="42">
        <f>VLOOKUP($A134,Schedule!$C$2:$G$31,3,0)</f>
        <v>4</v>
      </c>
      <c r="D134" s="42">
        <f>VLOOKUP($A134,Schedule!$C$2:$G$31,4,0)</f>
        <v>3</v>
      </c>
      <c r="E134" s="42">
        <f t="shared" si="1"/>
        <v>10</v>
      </c>
      <c r="F134" s="43">
        <v>129.0</v>
      </c>
      <c r="G134" s="45">
        <f>IFERROR(__xludf.DUMMYFUNCTION("""COMPUTED_VALUE"""),118.0)</f>
        <v>118</v>
      </c>
      <c r="H134" s="45" t="str">
        <f>IFERROR(__xludf.DUMMYFUNCTION("""COMPUTED_VALUE"""),"Kentavious Caldwell-Pope")</f>
        <v>Kentavious Caldwell-Pope</v>
      </c>
      <c r="I134" s="45">
        <f>IFERROR(__xludf.DUMMYFUNCTION("""COMPUTED_VALUE"""),76.0)</f>
        <v>76</v>
      </c>
      <c r="J134" s="46" t="str">
        <f>IFERROR(__xludf.DUMMYFUNCTION("""COMPUTED_VALUE"""),"SG,SF")</f>
        <v>SG,SF</v>
      </c>
      <c r="K134" s="46">
        <f>IFERROR(__xludf.DUMMYFUNCTION("""COMPUTED_VALUE"""),-2.1837576445018496)</f>
        <v>-2.183757645</v>
      </c>
      <c r="L134" s="46">
        <f>IFERROR(__xludf.DUMMYFUNCTION("""COMPUTED_VALUE"""),-1.0011546686962687)</f>
        <v>-1.001154669</v>
      </c>
      <c r="M134" s="47">
        <f>IFERROR(__xludf.DUMMYFUNCTION("""COMPUTED_VALUE"""),1.182602975805581)</f>
        <v>1.182602976</v>
      </c>
      <c r="N134" s="47">
        <f>IFERROR(__xludf.DUMMYFUNCTION("""COMPUTED_VALUE"""),12.1)</f>
        <v>12.1</v>
      </c>
      <c r="O134" s="47">
        <f>IFERROR(__xludf.DUMMYFUNCTION("""COMPUTED_VALUE"""),1.8)</f>
        <v>1.8</v>
      </c>
      <c r="P134" s="47">
        <f>IFERROR(__xludf.DUMMYFUNCTION("""COMPUTED_VALUE"""),3.1)</f>
        <v>3.1</v>
      </c>
      <c r="Q134" s="48">
        <f>IFERROR(__xludf.DUMMYFUNCTION("""COMPUTED_VALUE"""),2.2)</f>
        <v>2.2</v>
      </c>
      <c r="R134" s="47">
        <f>IFERROR(__xludf.DUMMYFUNCTION("""COMPUTED_VALUE"""),1.4)</f>
        <v>1.4</v>
      </c>
      <c r="S134" s="47">
        <f>IFERROR(__xludf.DUMMYFUNCTION("""COMPUTED_VALUE"""),0.4)</f>
        <v>0.4</v>
      </c>
      <c r="T134" s="47">
        <f>IFERROR(__xludf.DUMMYFUNCTION("""COMPUTED_VALUE"""),45.36082474226804)</f>
        <v>45.36082474</v>
      </c>
      <c r="U134" s="47">
        <f>IFERROR(__xludf.DUMMYFUNCTION("""COMPUTED_VALUE"""),84.21052631578948)</f>
        <v>84.21052632</v>
      </c>
      <c r="V134" s="47">
        <f>IFERROR(__xludf.DUMMYFUNCTION("""COMPUTED_VALUE"""),1.2)</f>
        <v>1.2</v>
      </c>
      <c r="W134" s="46">
        <f>IFERROR(__xludf.DUMMYFUNCTION("""COMPUTED_VALUE"""),-0.8690343505158434)</f>
        <v>-0.8690343505</v>
      </c>
      <c r="X134" s="46">
        <f>IFERROR(__xludf.DUMMYFUNCTION("""COMPUTED_VALUE"""),0.13469400490764694)</f>
        <v>0.1346940049</v>
      </c>
      <c r="Y134" s="46">
        <f>IFERROR(__xludf.DUMMYFUNCTION("""COMPUTED_VALUE"""),-1.2525097117525728)</f>
        <v>-1.252509712</v>
      </c>
      <c r="Z134" s="46">
        <f>IFERROR(__xludf.DUMMYFUNCTION("""COMPUTED_VALUE"""),-0.8384804508092835)</f>
        <v>-0.8384804508</v>
      </c>
      <c r="AA134" s="46">
        <f>IFERROR(__xludf.DUMMYFUNCTION("""COMPUTED_VALUE"""),0.883828931240691)</f>
        <v>0.8838289312</v>
      </c>
      <c r="AB134" s="46">
        <f>IFERROR(__xludf.DUMMYFUNCTION("""COMPUTED_VALUE"""),-0.39569839687757064)</f>
        <v>-0.3956983969</v>
      </c>
      <c r="AC134" s="46">
        <f>IFERROR(__xludf.DUMMYFUNCTION("""COMPUTED_VALUE"""),-0.41058242948907)</f>
        <v>-0.4105824295</v>
      </c>
      <c r="AD134" s="46">
        <f>IFERROR(__xludf.DUMMYFUNCTION("""COMPUTED_VALUE"""),0.2474037857781074)</f>
        <v>0.2474037858</v>
      </c>
      <c r="AE134" s="46">
        <f>IFERROR(__xludf.DUMMYFUNCTION("""COMPUTED_VALUE"""),0.24671423706905354)</f>
        <v>0.2467142371</v>
      </c>
    </row>
    <row r="135">
      <c r="A135" s="6" t="str">
        <f>IF(VLOOKUP(H135,'Paste #BBall'!$B$2:$N1001,3,)="BRO","BKN",IF(VLOOKUP(H135,'Paste #BBall'!$B$2:$N1001,3,)="OKL","OKC",VLOOKUP(H135,'Paste #BBall'!$B$2:$N1001,3,)))</f>
        <v>CHI</v>
      </c>
      <c r="B135" s="42">
        <f>VLOOKUP($A135,Schedule!$C$2:$G$31,2,0)</f>
        <v>4</v>
      </c>
      <c r="C135" s="42">
        <f>VLOOKUP($A135,Schedule!$C$2:$G$31,3,0)</f>
        <v>4</v>
      </c>
      <c r="D135" s="42">
        <f>VLOOKUP($A135,Schedule!$C$2:$G$31,4,0)</f>
        <v>3</v>
      </c>
      <c r="E135" s="42">
        <f t="shared" si="1"/>
        <v>11</v>
      </c>
      <c r="F135" s="51">
        <v>130.0</v>
      </c>
      <c r="G135" s="45">
        <f>IFERROR(__xludf.DUMMYFUNCTION("""COMPUTED_VALUE"""),133.0)</f>
        <v>133</v>
      </c>
      <c r="H135" s="45" t="str">
        <f>IFERROR(__xludf.DUMMYFUNCTION("""COMPUTED_VALUE"""),"Alex Caruso")</f>
        <v>Alex Caruso</v>
      </c>
      <c r="I135" s="45">
        <f>IFERROR(__xludf.DUMMYFUNCTION("""COMPUTED_VALUE"""),64.0)</f>
        <v>64</v>
      </c>
      <c r="J135" s="46" t="str">
        <f>IFERROR(__xludf.DUMMYFUNCTION("""COMPUTED_VALUE"""),"PG,SG")</f>
        <v>PG,SG</v>
      </c>
      <c r="K135" s="46">
        <f>IFERROR(__xludf.DUMMYFUNCTION("""COMPUTED_VALUE"""),-2.714859213349329)</f>
        <v>-2.714859213</v>
      </c>
      <c r="L135" s="46">
        <f>IFERROR(__xludf.DUMMYFUNCTION("""COMPUTED_VALUE"""),-1.0747079301552402)</f>
        <v>-1.07470793</v>
      </c>
      <c r="M135" s="47">
        <f>IFERROR(__xludf.DUMMYFUNCTION("""COMPUTED_VALUE"""),1.6401512831940888)</f>
        <v>1.640151283</v>
      </c>
      <c r="N135" s="47">
        <f>IFERROR(__xludf.DUMMYFUNCTION("""COMPUTED_VALUE"""),6.3)</f>
        <v>6.3</v>
      </c>
      <c r="O135" s="47">
        <f>IFERROR(__xludf.DUMMYFUNCTION("""COMPUTED_VALUE"""),0.9)</f>
        <v>0.9</v>
      </c>
      <c r="P135" s="47">
        <f>IFERROR(__xludf.DUMMYFUNCTION("""COMPUTED_VALUE"""),3.2)</f>
        <v>3.2</v>
      </c>
      <c r="Q135" s="48">
        <f>IFERROR(__xludf.DUMMYFUNCTION("""COMPUTED_VALUE"""),3.3)</f>
        <v>3.3</v>
      </c>
      <c r="R135" s="47">
        <f>IFERROR(__xludf.DUMMYFUNCTION("""COMPUTED_VALUE"""),1.6)</f>
        <v>1.6</v>
      </c>
      <c r="S135" s="47">
        <f>IFERROR(__xludf.DUMMYFUNCTION("""COMPUTED_VALUE"""),0.6)</f>
        <v>0.6</v>
      </c>
      <c r="T135" s="47">
        <f>IFERROR(__xludf.DUMMYFUNCTION("""COMPUTED_VALUE"""),43.137254901960794)</f>
        <v>43.1372549</v>
      </c>
      <c r="U135" s="47">
        <f>IFERROR(__xludf.DUMMYFUNCTION("""COMPUTED_VALUE"""),78.57142857142858)</f>
        <v>78.57142857</v>
      </c>
      <c r="V135" s="47">
        <f>IFERROR(__xludf.DUMMYFUNCTION("""COMPUTED_VALUE"""),1.3)</f>
        <v>1.3</v>
      </c>
      <c r="W135" s="46">
        <f>IFERROR(__xludf.DUMMYFUNCTION("""COMPUTED_VALUE"""),-1.8464873368749688)</f>
        <v>-1.846487337</v>
      </c>
      <c r="X135" s="46">
        <f>IFERROR(__xludf.DUMMYFUNCTION("""COMPUTED_VALUE"""),-0.6457219033555379)</f>
        <v>-0.6457219034</v>
      </c>
      <c r="Y135" s="46">
        <f>IFERROR(__xludf.DUMMYFUNCTION("""COMPUTED_VALUE"""),-1.2106943418965999)</f>
        <v>-1.210694342</v>
      </c>
      <c r="Z135" s="46">
        <f>IFERROR(__xludf.DUMMYFUNCTION("""COMPUTED_VALUE"""),-0.27745338518263435)</f>
        <v>-0.2774533852</v>
      </c>
      <c r="AA135" s="46">
        <f>IFERROR(__xludf.DUMMYFUNCTION("""COMPUTED_VALUE"""),1.319928732839717)</f>
        <v>1.319928733</v>
      </c>
      <c r="AB135" s="46">
        <f>IFERROR(__xludf.DUMMYFUNCTION("""COMPUTED_VALUE"""),-0.13306671753405044)</f>
        <v>-0.1330667175</v>
      </c>
      <c r="AC135" s="46">
        <f>IFERROR(__xludf.DUMMYFUNCTION("""COMPUTED_VALUE"""),-0.32914658995283846)</f>
        <v>-0.32914659</v>
      </c>
      <c r="AD135" s="46">
        <f>IFERROR(__xludf.DUMMYFUNCTION("""COMPUTED_VALUE"""),-0.014221707477619961)</f>
        <v>-0.01422170748</v>
      </c>
      <c r="AE135" s="46">
        <f>IFERROR(__xludf.DUMMYFUNCTION("""COMPUTED_VALUE"""),0.2156679824043236)</f>
        <v>0.2156679824</v>
      </c>
    </row>
    <row r="136">
      <c r="A136" s="6" t="str">
        <f>IF(VLOOKUP(H136,'Paste #BBall'!$B$2:$N1001,3,)="BRO","BKN",IF(VLOOKUP(H136,'Paste #BBall'!$B$2:$N1001,3,)="OKL","OKC",VLOOKUP(H136,'Paste #BBall'!$B$2:$N1001,3,)))</f>
        <v>HOU</v>
      </c>
      <c r="B136" s="42">
        <f>VLOOKUP($A136,Schedule!$C$2:$G$31,2,0)</f>
        <v>4</v>
      </c>
      <c r="C136" s="42">
        <f>VLOOKUP($A136,Schedule!$C$2:$G$31,3,0)</f>
        <v>3</v>
      </c>
      <c r="D136" s="42">
        <f>VLOOKUP($A136,Schedule!$C$2:$G$31,4,0)</f>
        <v>3</v>
      </c>
      <c r="E136" s="42">
        <f t="shared" si="1"/>
        <v>10</v>
      </c>
      <c r="F136" s="51">
        <v>131.0</v>
      </c>
      <c r="G136" s="45">
        <f>IFERROR(__xludf.DUMMYFUNCTION("""COMPUTED_VALUE"""),131.0)</f>
        <v>131</v>
      </c>
      <c r="H136" s="45" t="str">
        <f>IFERROR(__xludf.DUMMYFUNCTION("""COMPUTED_VALUE"""),"Jalen Green")</f>
        <v>Jalen Green</v>
      </c>
      <c r="I136" s="45">
        <f>IFERROR(__xludf.DUMMYFUNCTION("""COMPUTED_VALUE"""),74.0)</f>
        <v>74</v>
      </c>
      <c r="J136" s="46" t="str">
        <f>IFERROR(__xludf.DUMMYFUNCTION("""COMPUTED_VALUE"""),"PG,SG")</f>
        <v>PG,SG</v>
      </c>
      <c r="K136" s="46">
        <f>IFERROR(__xludf.DUMMYFUNCTION("""COMPUTED_VALUE"""),-2.6636434519862915)</f>
        <v>-2.663643452</v>
      </c>
      <c r="L136" s="46">
        <f>IFERROR(__xludf.DUMMYFUNCTION("""COMPUTED_VALUE"""),-1.104007720008436)</f>
        <v>-1.10400772</v>
      </c>
      <c r="M136" s="47">
        <f>IFERROR(__xludf.DUMMYFUNCTION("""COMPUTED_VALUE"""),1.5596357319778555)</f>
        <v>1.559635732</v>
      </c>
      <c r="N136" s="47">
        <f>IFERROR(__xludf.DUMMYFUNCTION("""COMPUTED_VALUE"""),20.7)</f>
        <v>20.7</v>
      </c>
      <c r="O136" s="47">
        <f>IFERROR(__xludf.DUMMYFUNCTION("""COMPUTED_VALUE"""),2.5)</f>
        <v>2.5</v>
      </c>
      <c r="P136" s="47">
        <f>IFERROR(__xludf.DUMMYFUNCTION("""COMPUTED_VALUE"""),3.7)</f>
        <v>3.7</v>
      </c>
      <c r="Q136" s="48">
        <f>IFERROR(__xludf.DUMMYFUNCTION("""COMPUTED_VALUE"""),3.3)</f>
        <v>3.3</v>
      </c>
      <c r="R136" s="47">
        <f>IFERROR(__xludf.DUMMYFUNCTION("""COMPUTED_VALUE"""),0.8)</f>
        <v>0.8</v>
      </c>
      <c r="S136" s="47">
        <f>IFERROR(__xludf.DUMMYFUNCTION("""COMPUTED_VALUE"""),0.3)</f>
        <v>0.3</v>
      </c>
      <c r="T136" s="47">
        <f>IFERROR(__xludf.DUMMYFUNCTION("""COMPUTED_VALUE"""),42.26190476190476)</f>
        <v>42.26190476</v>
      </c>
      <c r="U136" s="47">
        <f>IFERROR(__xludf.DUMMYFUNCTION("""COMPUTED_VALUE"""),78.43137254901961)</f>
        <v>78.43137255</v>
      </c>
      <c r="V136" s="47">
        <f>IFERROR(__xludf.DUMMYFUNCTION("""COMPUTED_VALUE"""),2.4)</f>
        <v>2.4</v>
      </c>
      <c r="W136" s="46">
        <f>IFERROR(__xludf.DUMMYFUNCTION("""COMPUTED_VALUE"""),0.5802924913269978)</f>
        <v>0.5802924913</v>
      </c>
      <c r="X136" s="46">
        <f>IFERROR(__xludf.DUMMYFUNCTION("""COMPUTED_VALUE"""),0.7416841557790128)</f>
        <v>0.7416841558</v>
      </c>
      <c r="Y136" s="46">
        <f>IFERROR(__xludf.DUMMYFUNCTION("""COMPUTED_VALUE"""),-1.0016174926167358)</f>
        <v>-1.001617493</v>
      </c>
      <c r="Z136" s="46">
        <f>IFERROR(__xludf.DUMMYFUNCTION("""COMPUTED_VALUE"""),-0.27745338518263435)</f>
        <v>-0.2774533852</v>
      </c>
      <c r="AA136" s="46">
        <f>IFERROR(__xludf.DUMMYFUNCTION("""COMPUTED_VALUE"""),-0.42447047355638534)</f>
        <v>-0.4244704736</v>
      </c>
      <c r="AB136" s="46">
        <f>IFERROR(__xludf.DUMMYFUNCTION("""COMPUTED_VALUE"""),-0.5270142365493308)</f>
        <v>-0.5270142365</v>
      </c>
      <c r="AC136" s="46">
        <f>IFERROR(__xludf.DUMMYFUNCTION("""COMPUTED_VALUE"""),-1.231139506495486)</f>
        <v>-1.231139506</v>
      </c>
      <c r="AD136" s="46">
        <f>IFERROR(__xludf.DUMMYFUNCTION("""COMPUTED_VALUE"""),-0.06958796030165497)</f>
        <v>-0.0695879603</v>
      </c>
      <c r="AE136" s="46">
        <f>IFERROR(__xludf.DUMMYFUNCTION("""COMPUTED_VALUE"""),-0.12584081890770538)</f>
        <v>-0.1258408189</v>
      </c>
    </row>
    <row r="137">
      <c r="A137" s="6" t="str">
        <f>IF(VLOOKUP(H137,'Paste #BBall'!$B$2:$N1001,3,)="BRO","BKN",IF(VLOOKUP(H137,'Paste #BBall'!$B$2:$N1001,3,)="OKL","OKC",VLOOKUP(H137,'Paste #BBall'!$B$2:$N1001,3,)))</f>
        <v>DEN</v>
      </c>
      <c r="B137" s="42">
        <f>VLOOKUP($A137,Schedule!$C$2:$G$31,2,0)</f>
        <v>3</v>
      </c>
      <c r="C137" s="42">
        <f>VLOOKUP($A137,Schedule!$C$2:$G$31,3,0)</f>
        <v>4</v>
      </c>
      <c r="D137" s="42">
        <f>VLOOKUP($A137,Schedule!$C$2:$G$31,4,0)</f>
        <v>3</v>
      </c>
      <c r="E137" s="42">
        <f t="shared" si="1"/>
        <v>10</v>
      </c>
      <c r="F137" s="43">
        <v>132.0</v>
      </c>
      <c r="G137" s="45">
        <f>IFERROR(__xludf.DUMMYFUNCTION("""COMPUTED_VALUE"""),139.0)</f>
        <v>139</v>
      </c>
      <c r="H137" s="45" t="str">
        <f>IFERROR(__xludf.DUMMYFUNCTION("""COMPUTED_VALUE"""),"Aaron Gordon")</f>
        <v>Aaron Gordon</v>
      </c>
      <c r="I137" s="45">
        <f>IFERROR(__xludf.DUMMYFUNCTION("""COMPUTED_VALUE"""),70.0)</f>
        <v>70</v>
      </c>
      <c r="J137" s="46" t="str">
        <f>IFERROR(__xludf.DUMMYFUNCTION("""COMPUTED_VALUE"""),"PF")</f>
        <v>PF</v>
      </c>
      <c r="K137" s="46">
        <f>IFERROR(__xludf.DUMMYFUNCTION("""COMPUTED_VALUE"""),-2.9438612180778287)</f>
        <v>-2.943861218</v>
      </c>
      <c r="L137" s="46">
        <f>IFERROR(__xludf.DUMMYFUNCTION("""COMPUTED_VALUE"""),-1.1385914072152208)</f>
        <v>-1.138591407</v>
      </c>
      <c r="M137" s="47">
        <f>IFERROR(__xludf.DUMMYFUNCTION("""COMPUTED_VALUE"""),1.805269810862608)</f>
        <v>1.805269811</v>
      </c>
      <c r="N137" s="47">
        <f>IFERROR(__xludf.DUMMYFUNCTION("""COMPUTED_VALUE"""),16.0)</f>
        <v>16</v>
      </c>
      <c r="O137" s="47">
        <f>IFERROR(__xludf.DUMMYFUNCTION("""COMPUTED_VALUE"""),1.1)</f>
        <v>1.1</v>
      </c>
      <c r="P137" s="47">
        <f>IFERROR(__xludf.DUMMYFUNCTION("""COMPUTED_VALUE"""),6.3)</f>
        <v>6.3</v>
      </c>
      <c r="Q137" s="48">
        <f>IFERROR(__xludf.DUMMYFUNCTION("""COMPUTED_VALUE"""),2.8)</f>
        <v>2.8</v>
      </c>
      <c r="R137" s="47">
        <f>IFERROR(__xludf.DUMMYFUNCTION("""COMPUTED_VALUE"""),0.7)</f>
        <v>0.7</v>
      </c>
      <c r="S137" s="47">
        <f>IFERROR(__xludf.DUMMYFUNCTION("""COMPUTED_VALUE"""),0.7)</f>
        <v>0.7</v>
      </c>
      <c r="T137" s="47">
        <f>IFERROR(__xludf.DUMMYFUNCTION("""COMPUTED_VALUE"""),54.385964912280706)</f>
        <v>54.38596491</v>
      </c>
      <c r="U137" s="47">
        <f>IFERROR(__xludf.DUMMYFUNCTION("""COMPUTED_VALUE"""),66.66666666666667)</f>
        <v>66.66666667</v>
      </c>
      <c r="V137" s="47">
        <f>IFERROR(__xludf.DUMMYFUNCTION("""COMPUTED_VALUE"""),1.7)</f>
        <v>1.7</v>
      </c>
      <c r="W137" s="46">
        <f>IFERROR(__xludf.DUMMYFUNCTION("""COMPUTED_VALUE"""),-0.2117814803778107)</f>
        <v>-0.2117814804</v>
      </c>
      <c r="X137" s="46">
        <f>IFERROR(__xludf.DUMMYFUNCTION("""COMPUTED_VALUE"""),-0.472296145963719)</f>
        <v>-0.472296146</v>
      </c>
      <c r="Y137" s="46">
        <f>IFERROR(__xludf.DUMMYFUNCTION("""COMPUTED_VALUE"""),0.08558212363855798)</f>
        <v>0.08558212364</v>
      </c>
      <c r="Z137" s="46">
        <f>IFERROR(__xludf.DUMMYFUNCTION("""COMPUTED_VALUE"""),-0.5324656877402022)</f>
        <v>-0.5324656877</v>
      </c>
      <c r="AA137" s="46">
        <f>IFERROR(__xludf.DUMMYFUNCTION("""COMPUTED_VALUE"""),-0.6425203743558983)</f>
        <v>-0.6425203744</v>
      </c>
      <c r="AB137" s="46">
        <f>IFERROR(__xludf.DUMMYFUNCTION("""COMPUTED_VALUE"""),-0.0017508778622903794)</f>
        <v>-0.001750877862</v>
      </c>
      <c r="AC137" s="46">
        <f>IFERROR(__xludf.DUMMYFUNCTION("""COMPUTED_VALUE"""),0.5451580717007376)</f>
        <v>0.5451580717</v>
      </c>
      <c r="AD137" s="46">
        <f>IFERROR(__xludf.DUMMYFUNCTION("""COMPUTED_VALUE"""),-1.1953378698445063)</f>
        <v>-1.19533787</v>
      </c>
      <c r="AE137" s="46">
        <f>IFERROR(__xludf.DUMMYFUNCTION("""COMPUTED_VALUE"""),0.09148296374540399)</f>
        <v>0.09148296375</v>
      </c>
    </row>
    <row r="138">
      <c r="A138" s="6" t="str">
        <f>IF(VLOOKUP(H138,'Paste #BBall'!$B$2:$N1001,3,)="BRO","BKN",IF(VLOOKUP(H138,'Paste #BBall'!$B$2:$N1001,3,)="OKL","OKC",VLOOKUP(H138,'Paste #BBall'!$B$2:$N1001,3,)))</f>
        <v>NY</v>
      </c>
      <c r="B138" s="42">
        <f>VLOOKUP($A138,Schedule!$C$2:$G$31,2,0)</f>
        <v>3</v>
      </c>
      <c r="C138" s="42">
        <f>VLOOKUP($A138,Schedule!$C$2:$G$31,3,0)</f>
        <v>3</v>
      </c>
      <c r="D138" s="42">
        <f>VLOOKUP($A138,Schedule!$C$2:$G$31,4,0)</f>
        <v>3</v>
      </c>
      <c r="E138" s="42">
        <f t="shared" si="1"/>
        <v>9</v>
      </c>
      <c r="F138" s="51">
        <v>133.0</v>
      </c>
      <c r="G138" s="45">
        <f>IFERROR(__xludf.DUMMYFUNCTION("""COMPUTED_VALUE"""),130.0)</f>
        <v>130</v>
      </c>
      <c r="H138" s="45" t="str">
        <f>IFERROR(__xludf.DUMMYFUNCTION("""COMPUTED_VALUE"""),"Donte DiVincenzo")</f>
        <v>Donte DiVincenzo</v>
      </c>
      <c r="I138" s="45">
        <f>IFERROR(__xludf.DUMMYFUNCTION("""COMPUTED_VALUE"""),70.0)</f>
        <v>70</v>
      </c>
      <c r="J138" s="46" t="str">
        <f>IFERROR(__xludf.DUMMYFUNCTION("""COMPUTED_VALUE"""),"SG,SF")</f>
        <v>SG,SF</v>
      </c>
      <c r="K138" s="46">
        <f>IFERROR(__xludf.DUMMYFUNCTION("""COMPUTED_VALUE"""),-2.632893921995699)</f>
        <v>-2.632893922</v>
      </c>
      <c r="L138" s="46">
        <f>IFERROR(__xludf.DUMMYFUNCTION("""COMPUTED_VALUE"""),-1.175400257205753)</f>
        <v>-1.175400257</v>
      </c>
      <c r="M138" s="47">
        <f>IFERROR(__xludf.DUMMYFUNCTION("""COMPUTED_VALUE"""),1.4574936647899461)</f>
        <v>1.457493665</v>
      </c>
      <c r="N138" s="47">
        <f>IFERROR(__xludf.DUMMYFUNCTION("""COMPUTED_VALUE"""),9.3)</f>
        <v>9.3</v>
      </c>
      <c r="O138" s="47">
        <f>IFERROR(__xludf.DUMMYFUNCTION("""COMPUTED_VALUE"""),2.0)</f>
        <v>2</v>
      </c>
      <c r="P138" s="47">
        <f>IFERROR(__xludf.DUMMYFUNCTION("""COMPUTED_VALUE"""),4.3)</f>
        <v>4.3</v>
      </c>
      <c r="Q138" s="48">
        <f>IFERROR(__xludf.DUMMYFUNCTION("""COMPUTED_VALUE"""),3.2)</f>
        <v>3.2</v>
      </c>
      <c r="R138" s="47">
        <f>IFERROR(__xludf.DUMMYFUNCTION("""COMPUTED_VALUE"""),1.3)</f>
        <v>1.3</v>
      </c>
      <c r="S138" s="47">
        <f>IFERROR(__xludf.DUMMYFUNCTION("""COMPUTED_VALUE"""),0.2)</f>
        <v>0.2</v>
      </c>
      <c r="T138" s="47">
        <f>IFERROR(__xludf.DUMMYFUNCTION("""COMPUTED_VALUE"""),42.465753424657535)</f>
        <v>42.46575342</v>
      </c>
      <c r="U138" s="47">
        <f>IFERROR(__xludf.DUMMYFUNCTION("""COMPUTED_VALUE"""),78.57142857142858)</f>
        <v>78.57142857</v>
      </c>
      <c r="V138" s="47">
        <f>IFERROR(__xludf.DUMMYFUNCTION("""COMPUTED_VALUE"""),1.6)</f>
        <v>1.6</v>
      </c>
      <c r="W138" s="46">
        <f>IFERROR(__xludf.DUMMYFUNCTION("""COMPUTED_VALUE"""),-1.340908205999559)</f>
        <v>-1.340908206</v>
      </c>
      <c r="X138" s="46">
        <f>IFERROR(__xludf.DUMMYFUNCTION("""COMPUTED_VALUE"""),0.30811976229946575)</f>
        <v>0.3081197623</v>
      </c>
      <c r="Y138" s="46">
        <f>IFERROR(__xludf.DUMMYFUNCTION("""COMPUTED_VALUE"""),-0.7507252734808988)</f>
        <v>-0.7507252735</v>
      </c>
      <c r="Z138" s="46">
        <f>IFERROR(__xludf.DUMMYFUNCTION("""COMPUTED_VALUE"""),-0.32845584569414765)</f>
        <v>-0.3284558457</v>
      </c>
      <c r="AA138" s="46">
        <f>IFERROR(__xludf.DUMMYFUNCTION("""COMPUTED_VALUE"""),0.6657790304411786)</f>
        <v>0.6657790304</v>
      </c>
      <c r="AB138" s="46">
        <f>IFERROR(__xludf.DUMMYFUNCTION("""COMPUTED_VALUE"""),-0.6583300762210907)</f>
        <v>-0.6583300762</v>
      </c>
      <c r="AC138" s="46">
        <f>IFERROR(__xludf.DUMMYFUNCTION("""COMPUTED_VALUE"""),-0.5200953654827745)</f>
        <v>-0.5200953655</v>
      </c>
      <c r="AD138" s="46">
        <f>IFERROR(__xludf.DUMMYFUNCTION("""COMPUTED_VALUE"""),-0.014221707477619961)</f>
        <v>-0.01422170748</v>
      </c>
      <c r="AE138" s="46">
        <f>IFERROR(__xludf.DUMMYFUNCTION("""COMPUTED_VALUE"""),0.12252921841013387)</f>
        <v>0.1225292184</v>
      </c>
    </row>
    <row r="139">
      <c r="A139" s="6" t="str">
        <f>IF(VLOOKUP(H139,'Paste #BBall'!$B$2:$N1001,3,)="BRO","BKN",IF(VLOOKUP(H139,'Paste #BBall'!$B$2:$N1001,3,)="OKL","OKC",VLOOKUP(H139,'Paste #BBall'!$B$2:$N1001,3,)))</f>
        <v>CHI</v>
      </c>
      <c r="B139" s="42">
        <f>VLOOKUP($A139,Schedule!$C$2:$G$31,2,0)</f>
        <v>4</v>
      </c>
      <c r="C139" s="42">
        <f>VLOOKUP($A139,Schedule!$C$2:$G$31,3,0)</f>
        <v>4</v>
      </c>
      <c r="D139" s="42">
        <f>VLOOKUP($A139,Schedule!$C$2:$G$31,4,0)</f>
        <v>3</v>
      </c>
      <c r="E139" s="42">
        <f t="shared" si="1"/>
        <v>11</v>
      </c>
      <c r="F139" s="51">
        <v>134.0</v>
      </c>
      <c r="G139" s="45">
        <f>IFERROR(__xludf.DUMMYFUNCTION("""COMPUTED_VALUE"""),134.0)</f>
        <v>134</v>
      </c>
      <c r="H139" s="45" t="str">
        <f>IFERROR(__xludf.DUMMYFUNCTION("""COMPUTED_VALUE"""),"Jevon Carter")</f>
        <v>Jevon Carter</v>
      </c>
      <c r="I139" s="45">
        <f>IFERROR(__xludf.DUMMYFUNCTION("""COMPUTED_VALUE"""),72.0)</f>
        <v>72</v>
      </c>
      <c r="J139" s="46" t="str">
        <f>IFERROR(__xludf.DUMMYFUNCTION("""COMPUTED_VALUE"""),"PG,SG")</f>
        <v>PG,SG</v>
      </c>
      <c r="K139" s="46">
        <f>IFERROR(__xludf.DUMMYFUNCTION("""COMPUTED_VALUE"""),-2.7845449307762387)</f>
        <v>-2.784544931</v>
      </c>
      <c r="L139" s="46">
        <f>IFERROR(__xludf.DUMMYFUNCTION("""COMPUTED_VALUE"""),-1.215611597056734)</f>
        <v>-1.215611597</v>
      </c>
      <c r="M139" s="47">
        <f>IFERROR(__xludf.DUMMYFUNCTION("""COMPUTED_VALUE"""),1.5689333337195046)</f>
        <v>1.568933334</v>
      </c>
      <c r="N139" s="47">
        <f>IFERROR(__xludf.DUMMYFUNCTION("""COMPUTED_VALUE"""),10.0)</f>
        <v>10</v>
      </c>
      <c r="O139" s="47">
        <f>IFERROR(__xludf.DUMMYFUNCTION("""COMPUTED_VALUE"""),2.2)</f>
        <v>2.2</v>
      </c>
      <c r="P139" s="47">
        <f>IFERROR(__xludf.DUMMYFUNCTION("""COMPUTED_VALUE"""),3.3)</f>
        <v>3.3</v>
      </c>
      <c r="Q139" s="48">
        <f>IFERROR(__xludf.DUMMYFUNCTION("""COMPUTED_VALUE"""),3.8)</f>
        <v>3.8</v>
      </c>
      <c r="R139" s="47">
        <f>IFERROR(__xludf.DUMMYFUNCTION("""COMPUTED_VALUE"""),1.0)</f>
        <v>1</v>
      </c>
      <c r="S139" s="47">
        <f>IFERROR(__xludf.DUMMYFUNCTION("""COMPUTED_VALUE"""),0.5)</f>
        <v>0.5</v>
      </c>
      <c r="T139" s="47">
        <f>IFERROR(__xludf.DUMMYFUNCTION("""COMPUTED_VALUE"""),43.02325581395349)</f>
        <v>43.02325581</v>
      </c>
      <c r="U139" s="47">
        <f>IFERROR(__xludf.DUMMYFUNCTION("""COMPUTED_VALUE"""),83.33333333333334)</f>
        <v>83.33333333</v>
      </c>
      <c r="V139" s="47">
        <f>IFERROR(__xludf.DUMMYFUNCTION("""COMPUTED_VALUE"""),1.2)</f>
        <v>1.2</v>
      </c>
      <c r="W139" s="46">
        <f>IFERROR(__xludf.DUMMYFUNCTION("""COMPUTED_VALUE"""),-1.22293974212863)</f>
        <v>-1.222939742</v>
      </c>
      <c r="X139" s="46">
        <f>IFERROR(__xludf.DUMMYFUNCTION("""COMPUTED_VALUE"""),0.48154551969128473)</f>
        <v>0.4815455197</v>
      </c>
      <c r="Y139" s="46">
        <f>IFERROR(__xludf.DUMMYFUNCTION("""COMPUTED_VALUE"""),-1.1688789720406272)</f>
        <v>-1.168878972</v>
      </c>
      <c r="Z139" s="46">
        <f>IFERROR(__xludf.DUMMYFUNCTION("""COMPUTED_VALUE"""),-0.022441082625066444)</f>
        <v>-0.02244108263</v>
      </c>
      <c r="AA139" s="46">
        <f>IFERROR(__xludf.DUMMYFUNCTION("""COMPUTED_VALUE"""),0.011629328042640127)</f>
        <v>0.01162932804</v>
      </c>
      <c r="AB139" s="46">
        <f>IFERROR(__xludf.DUMMYFUNCTION("""COMPUTED_VALUE"""),-0.2643825572058105)</f>
        <v>-0.2643825572</v>
      </c>
      <c r="AC139" s="46">
        <f>IFERROR(__xludf.DUMMYFUNCTION("""COMPUTED_VALUE"""),-0.564824299030529)</f>
        <v>-0.564824299</v>
      </c>
      <c r="AD139" s="46">
        <f>IFERROR(__xludf.DUMMYFUNCTION("""COMPUTED_VALUE"""),0.0650262290423206)</f>
        <v>0.06502622904</v>
      </c>
      <c r="AE139" s="46">
        <f>IFERROR(__xludf.DUMMYFUNCTION("""COMPUTED_VALUE"""),0.24671423706905354)</f>
        <v>0.2467142371</v>
      </c>
    </row>
    <row r="140">
      <c r="A140" s="6" t="str">
        <f>IF(VLOOKUP(H140,'Paste #BBall'!$B$2:$N1001,3,)="BRO","BKN",IF(VLOOKUP(H140,'Paste #BBall'!$B$2:$N1001,3,)="OKL","OKC",VLOOKUP(H140,'Paste #BBall'!$B$2:$N1001,3,)))</f>
        <v>MIA</v>
      </c>
      <c r="B140" s="42">
        <f>VLOOKUP($A140,Schedule!$C$2:$G$31,2,0)</f>
        <v>4</v>
      </c>
      <c r="C140" s="42">
        <f>VLOOKUP($A140,Schedule!$C$2:$G$31,3,0)</f>
        <v>3</v>
      </c>
      <c r="D140" s="42">
        <f>VLOOKUP($A140,Schedule!$C$2:$G$31,4,0)</f>
        <v>4</v>
      </c>
      <c r="E140" s="42">
        <f t="shared" si="1"/>
        <v>11</v>
      </c>
      <c r="F140" s="43">
        <v>135.0</v>
      </c>
      <c r="G140" s="45">
        <f>IFERROR(__xludf.DUMMYFUNCTION("""COMPUTED_VALUE"""),135.0)</f>
        <v>135</v>
      </c>
      <c r="H140" s="45" t="str">
        <f>IFERROR(__xludf.DUMMYFUNCTION("""COMPUTED_VALUE"""),"Kyle Lowry")</f>
        <v>Kyle Lowry</v>
      </c>
      <c r="I140" s="45">
        <f>IFERROR(__xludf.DUMMYFUNCTION("""COMPUTED_VALUE"""),60.0)</f>
        <v>60</v>
      </c>
      <c r="J140" s="46" t="str">
        <f>IFERROR(__xludf.DUMMYFUNCTION("""COMPUTED_VALUE"""),"PG")</f>
        <v>PG</v>
      </c>
      <c r="K140" s="46">
        <f>IFERROR(__xludf.DUMMYFUNCTION("""COMPUTED_VALUE"""),-2.809951972590873)</f>
        <v>-2.809951973</v>
      </c>
      <c r="L140" s="46">
        <f>IFERROR(__xludf.DUMMYFUNCTION("""COMPUTED_VALUE"""),-1.2161550733616007)</f>
        <v>-1.216155073</v>
      </c>
      <c r="M140" s="47">
        <f>IFERROR(__xludf.DUMMYFUNCTION("""COMPUTED_VALUE"""),1.5937968992292724)</f>
        <v>1.593796899</v>
      </c>
      <c r="N140" s="47">
        <f>IFERROR(__xludf.DUMMYFUNCTION("""COMPUTED_VALUE"""),10.0)</f>
        <v>10</v>
      </c>
      <c r="O140" s="47">
        <f>IFERROR(__xludf.DUMMYFUNCTION("""COMPUTED_VALUE"""),1.7)</f>
        <v>1.7</v>
      </c>
      <c r="P140" s="47">
        <f>IFERROR(__xludf.DUMMYFUNCTION("""COMPUTED_VALUE"""),3.5)</f>
        <v>3.5</v>
      </c>
      <c r="Q140" s="48">
        <f>IFERROR(__xludf.DUMMYFUNCTION("""COMPUTED_VALUE"""),5.2)</f>
        <v>5.2</v>
      </c>
      <c r="R140" s="47">
        <f>IFERROR(__xludf.DUMMYFUNCTION("""COMPUTED_VALUE"""),0.9)</f>
        <v>0.9</v>
      </c>
      <c r="S140" s="47">
        <f>IFERROR(__xludf.DUMMYFUNCTION("""COMPUTED_VALUE"""),0.3)</f>
        <v>0.3</v>
      </c>
      <c r="T140" s="47">
        <f>IFERROR(__xludf.DUMMYFUNCTION("""COMPUTED_VALUE"""),42.857142857142854)</f>
        <v>42.85714286</v>
      </c>
      <c r="U140" s="47">
        <f>IFERROR(__xludf.DUMMYFUNCTION("""COMPUTED_VALUE"""),85.71428571428571)</f>
        <v>85.71428571</v>
      </c>
      <c r="V140" s="47">
        <f>IFERROR(__xludf.DUMMYFUNCTION("""COMPUTED_VALUE"""),1.9)</f>
        <v>1.9</v>
      </c>
      <c r="W140" s="46">
        <f>IFERROR(__xludf.DUMMYFUNCTION("""COMPUTED_VALUE"""),-1.22293974212863)</f>
        <v>-1.222939742</v>
      </c>
      <c r="X140" s="46">
        <f>IFERROR(__xludf.DUMMYFUNCTION("""COMPUTED_VALUE"""),0.047981126211737425)</f>
        <v>0.04798112621</v>
      </c>
      <c r="Y140" s="46">
        <f>IFERROR(__xludf.DUMMYFUNCTION("""COMPUTED_VALUE"""),-1.0852482323286814)</f>
        <v>-1.085248232</v>
      </c>
      <c r="Z140" s="46">
        <f>IFERROR(__xludf.DUMMYFUNCTION("""COMPUTED_VALUE"""),0.6915933645361237)</f>
        <v>0.6915933645</v>
      </c>
      <c r="AA140" s="46">
        <f>IFERROR(__xludf.DUMMYFUNCTION("""COMPUTED_VALUE"""),-0.2064205727568726)</f>
        <v>-0.2064205728</v>
      </c>
      <c r="AB140" s="46">
        <f>IFERROR(__xludf.DUMMYFUNCTION("""COMPUTED_VALUE"""),-0.5270142365493308)</f>
        <v>-0.5270142365</v>
      </c>
      <c r="AC140" s="46">
        <f>IFERROR(__xludf.DUMMYFUNCTION("""COMPUTED_VALUE"""),-0.5184909599709192)</f>
        <v>-0.51849096</v>
      </c>
      <c r="AD140" s="46">
        <f>IFERROR(__xludf.DUMMYFUNCTION("""COMPUTED_VALUE"""),0.3520539830803979)</f>
        <v>0.3520539831</v>
      </c>
      <c r="AE140" s="46">
        <f>IFERROR(__xludf.DUMMYFUNCTION("""COMPUTED_VALUE"""),0.029390454415944182)</f>
        <v>0.02939045442</v>
      </c>
    </row>
    <row r="141">
      <c r="A141" s="6" t="str">
        <f>IF(VLOOKUP(H141,'Paste #BBall'!$B$2:$N1001,3,)="BRO","BKN",IF(VLOOKUP(H141,'Paste #BBall'!$B$2:$N1001,3,)="OKL","OKC",VLOOKUP(H141,'Paste #BBall'!$B$2:$N1001,3,)))</f>
        <v>LAC</v>
      </c>
      <c r="B141" s="42">
        <f>VLOOKUP($A141,Schedule!$C$2:$G$31,2,0)</f>
        <v>4</v>
      </c>
      <c r="C141" s="42">
        <f>VLOOKUP($A141,Schedule!$C$2:$G$31,3,0)</f>
        <v>4</v>
      </c>
      <c r="D141" s="42">
        <f>VLOOKUP($A141,Schedule!$C$2:$G$31,4,0)</f>
        <v>3</v>
      </c>
      <c r="E141" s="42">
        <f t="shared" si="1"/>
        <v>11</v>
      </c>
      <c r="F141" s="51">
        <v>136.0</v>
      </c>
      <c r="G141" s="45">
        <f>IFERROR(__xludf.DUMMYFUNCTION("""COMPUTED_VALUE"""),143.0)</f>
        <v>143</v>
      </c>
      <c r="H141" s="45" t="str">
        <f>IFERROR(__xludf.DUMMYFUNCTION("""COMPUTED_VALUE"""),"Russell Westbrook")</f>
        <v>Russell Westbrook</v>
      </c>
      <c r="I141" s="45">
        <f>IFERROR(__xludf.DUMMYFUNCTION("""COMPUTED_VALUE"""),74.0)</f>
        <v>74</v>
      </c>
      <c r="J141" s="46" t="str">
        <f>IFERROR(__xludf.DUMMYFUNCTION("""COMPUTED_VALUE"""),"PG")</f>
        <v>PG</v>
      </c>
      <c r="K141" s="46">
        <f>IFERROR(__xludf.DUMMYFUNCTION("""COMPUTED_VALUE"""),-3.188079076564099)</f>
        <v>-3.188079077</v>
      </c>
      <c r="L141" s="46">
        <f>IFERROR(__xludf.DUMMYFUNCTION("""COMPUTED_VALUE"""),-1.243341897436531)</f>
        <v>-1.243341897</v>
      </c>
      <c r="M141" s="47">
        <f>IFERROR(__xludf.DUMMYFUNCTION("""COMPUTED_VALUE"""),1.9447371791275683)</f>
        <v>1.944737179</v>
      </c>
      <c r="N141" s="47">
        <f>IFERROR(__xludf.DUMMYFUNCTION("""COMPUTED_VALUE"""),15.9)</f>
        <v>15.9</v>
      </c>
      <c r="O141" s="47">
        <f>IFERROR(__xludf.DUMMYFUNCTION("""COMPUTED_VALUE"""),1.0)</f>
        <v>1</v>
      </c>
      <c r="P141" s="47">
        <f>IFERROR(__xludf.DUMMYFUNCTION("""COMPUTED_VALUE"""),6.1)</f>
        <v>6.1</v>
      </c>
      <c r="Q141" s="48">
        <f>IFERROR(__xludf.DUMMYFUNCTION("""COMPUTED_VALUE"""),6.7)</f>
        <v>6.7</v>
      </c>
      <c r="R141" s="47">
        <f>IFERROR(__xludf.DUMMYFUNCTION("""COMPUTED_VALUE"""),0.9)</f>
        <v>0.9</v>
      </c>
      <c r="S141" s="47">
        <f>IFERROR(__xludf.DUMMYFUNCTION("""COMPUTED_VALUE"""),0.3)</f>
        <v>0.3</v>
      </c>
      <c r="T141" s="47">
        <f>IFERROR(__xludf.DUMMYFUNCTION("""COMPUTED_VALUE"""),44.11764705882353)</f>
        <v>44.11764706</v>
      </c>
      <c r="U141" s="47">
        <f>IFERROR(__xludf.DUMMYFUNCTION("""COMPUTED_VALUE"""),65.9090909090909)</f>
        <v>65.90909091</v>
      </c>
      <c r="V141" s="47">
        <f>IFERROR(__xludf.DUMMYFUNCTION("""COMPUTED_VALUE"""),3.4)</f>
        <v>3.4</v>
      </c>
      <c r="W141" s="46">
        <f>IFERROR(__xludf.DUMMYFUNCTION("""COMPUTED_VALUE"""),-0.22863411807365763)</f>
        <v>-0.2286341181</v>
      </c>
      <c r="X141" s="46">
        <f>IFERROR(__xludf.DUMMYFUNCTION("""COMPUTED_VALUE"""),-0.5590090246596284)</f>
        <v>-0.5590090247</v>
      </c>
      <c r="Y141" s="46">
        <f>IFERROR(__xludf.DUMMYFUNCTION("""COMPUTED_VALUE"""),0.0019513839266122224)</f>
        <v>0.001951383927</v>
      </c>
      <c r="Z141" s="46">
        <f>IFERROR(__xludf.DUMMYFUNCTION("""COMPUTED_VALUE"""),1.4566302722088273)</f>
        <v>1.456630272</v>
      </c>
      <c r="AA141" s="46">
        <f>IFERROR(__xludf.DUMMYFUNCTION("""COMPUTED_VALUE"""),-0.2064205727568726)</f>
        <v>-0.2064205728</v>
      </c>
      <c r="AB141" s="46">
        <f>IFERROR(__xludf.DUMMYFUNCTION("""COMPUTED_VALUE"""),-0.5270142365493308)</f>
        <v>-0.5270142365</v>
      </c>
      <c r="AC141" s="46">
        <f>IFERROR(__xludf.DUMMYFUNCTION("""COMPUTED_VALUE"""),-0.7445422359774764)</f>
        <v>-0.744542236</v>
      </c>
      <c r="AD141" s="46">
        <f>IFERROR(__xludf.DUMMYFUNCTION("""COMPUTED_VALUE"""),-1.4315611023178847)</f>
        <v>-1.431561102</v>
      </c>
      <c r="AE141" s="46">
        <f>IFERROR(__xludf.DUMMYFUNCTION("""COMPUTED_VALUE"""),-0.4363033655550045)</f>
        <v>-0.4363033656</v>
      </c>
    </row>
    <row r="142">
      <c r="A142" s="6" t="str">
        <f>IF(VLOOKUP(H142,'Paste #BBall'!$B$2:$N1001,3,)="BRO","BKN",IF(VLOOKUP(H142,'Paste #BBall'!$B$2:$N1001,3,)="OKL","OKC",VLOOKUP(H142,'Paste #BBall'!$B$2:$N1001,3,)))</f>
        <v>POR</v>
      </c>
      <c r="B142" s="42">
        <f>VLOOKUP($A142,Schedule!$C$2:$G$31,2,0)</f>
        <v>4</v>
      </c>
      <c r="C142" s="42">
        <f>VLOOKUP($A142,Schedule!$C$2:$G$31,3,0)</f>
        <v>4</v>
      </c>
      <c r="D142" s="42">
        <f>VLOOKUP($A142,Schedule!$C$2:$G$31,4,0)</f>
        <v>4</v>
      </c>
      <c r="E142" s="42">
        <f t="shared" si="1"/>
        <v>12</v>
      </c>
      <c r="F142" s="43">
        <v>137.0</v>
      </c>
      <c r="G142" s="45">
        <f>IFERROR(__xludf.DUMMYFUNCTION("""COMPUTED_VALUE"""),132.0)</f>
        <v>132</v>
      </c>
      <c r="H142" s="45" t="str">
        <f>IFERROR(__xludf.DUMMYFUNCTION("""COMPUTED_VALUE"""),"Matisse Thybulle")</f>
        <v>Matisse Thybulle</v>
      </c>
      <c r="I142" s="45">
        <f>IFERROR(__xludf.DUMMYFUNCTION("""COMPUTED_VALUE"""),72.0)</f>
        <v>72</v>
      </c>
      <c r="J142" s="46" t="str">
        <f>IFERROR(__xludf.DUMMYFUNCTION("""COMPUTED_VALUE"""),"SG,SF")</f>
        <v>SG,SF</v>
      </c>
      <c r="K142" s="46">
        <f>IFERROR(__xludf.DUMMYFUNCTION("""COMPUTED_VALUE"""),-2.7101049994070276)</f>
        <v>-2.710104999</v>
      </c>
      <c r="L142" s="46">
        <f>IFERROR(__xludf.DUMMYFUNCTION("""COMPUTED_VALUE"""),-1.2758113693128297)</f>
        <v>-1.275811369</v>
      </c>
      <c r="M142" s="47">
        <f>IFERROR(__xludf.DUMMYFUNCTION("""COMPUTED_VALUE"""),1.434293630094198)</f>
        <v>1.43429363</v>
      </c>
      <c r="N142" s="47">
        <f>IFERROR(__xludf.DUMMYFUNCTION("""COMPUTED_VALUE"""),6.8)</f>
        <v>6.8</v>
      </c>
      <c r="O142" s="47">
        <f>IFERROR(__xludf.DUMMYFUNCTION("""COMPUTED_VALUE"""),1.2)</f>
        <v>1.2</v>
      </c>
      <c r="P142" s="47">
        <f>IFERROR(__xludf.DUMMYFUNCTION("""COMPUTED_VALUE"""),2.8)</f>
        <v>2.8</v>
      </c>
      <c r="Q142" s="48">
        <f>IFERROR(__xludf.DUMMYFUNCTION("""COMPUTED_VALUE"""),1.2)</f>
        <v>1.2</v>
      </c>
      <c r="R142" s="47">
        <f>IFERROR(__xludf.DUMMYFUNCTION("""COMPUTED_VALUE"""),1.6)</f>
        <v>1.6</v>
      </c>
      <c r="S142" s="47">
        <f>IFERROR(__xludf.DUMMYFUNCTION("""COMPUTED_VALUE"""),1.0)</f>
        <v>1</v>
      </c>
      <c r="T142" s="47">
        <f>IFERROR(__xludf.DUMMYFUNCTION("""COMPUTED_VALUE"""),46.42857142857144)</f>
        <v>46.42857143</v>
      </c>
      <c r="U142" s="47">
        <f>IFERROR(__xludf.DUMMYFUNCTION("""COMPUTED_VALUE"""),71.42857142857143)</f>
        <v>71.42857143</v>
      </c>
      <c r="V142" s="47">
        <f>IFERROR(__xludf.DUMMYFUNCTION("""COMPUTED_VALUE"""),0.6)</f>
        <v>0.6</v>
      </c>
      <c r="W142" s="46">
        <f>IFERROR(__xludf.DUMMYFUNCTION("""COMPUTED_VALUE"""),-1.7622241483957337)</f>
        <v>-1.762224148</v>
      </c>
      <c r="X142" s="46">
        <f>IFERROR(__xludf.DUMMYFUNCTION("""COMPUTED_VALUE"""),-0.38558326726780967)</f>
        <v>-0.3855832673</v>
      </c>
      <c r="Y142" s="46">
        <f>IFERROR(__xludf.DUMMYFUNCTION("""COMPUTED_VALUE"""),-1.3779558213204914)</f>
        <v>-1.377955821</v>
      </c>
      <c r="Z142" s="46">
        <f>IFERROR(__xludf.DUMMYFUNCTION("""COMPUTED_VALUE"""),-1.3485050559244194)</f>
        <v>-1.348505056</v>
      </c>
      <c r="AA142" s="46">
        <f>IFERROR(__xludf.DUMMYFUNCTION("""COMPUTED_VALUE"""),1.319928732839717)</f>
        <v>1.319928733</v>
      </c>
      <c r="AB142" s="46">
        <f>IFERROR(__xludf.DUMMYFUNCTION("""COMPUTED_VALUE"""),0.39219664115299)</f>
        <v>0.3921966412</v>
      </c>
      <c r="AC142" s="46">
        <f>IFERROR(__xludf.DUMMYFUNCTION("""COMPUTED_VALUE"""),-0.17731132867916297)</f>
        <v>-0.1773113287</v>
      </c>
      <c r="AD142" s="46">
        <f>IFERROR(__xludf.DUMMYFUNCTION("""COMPUTED_VALUE"""),-0.13157303517108632)</f>
        <v>-0.1315730352</v>
      </c>
      <c r="AE142" s="46">
        <f>IFERROR(__xludf.DUMMYFUNCTION("""COMPUTED_VALUE"""),0.43299176505743303)</f>
        <v>0.4329917651</v>
      </c>
    </row>
    <row r="143">
      <c r="A143" s="6" t="str">
        <f>IF(VLOOKUP(H143,'Paste #BBall'!$B$2:$N1001,3,)="BRO","BKN",IF(VLOOKUP(H143,'Paste #BBall'!$B$2:$N1001,3,)="OKL","OKC",VLOOKUP(H143,'Paste #BBall'!$B$2:$N1001,3,)))</f>
        <v>LAC</v>
      </c>
      <c r="B143" s="42">
        <f>VLOOKUP($A143,Schedule!$C$2:$G$31,2,0)</f>
        <v>4</v>
      </c>
      <c r="C143" s="42">
        <f>VLOOKUP($A143,Schedule!$C$2:$G$31,3,0)</f>
        <v>4</v>
      </c>
      <c r="D143" s="42">
        <f>VLOOKUP($A143,Schedule!$C$2:$G$31,4,0)</f>
        <v>3</v>
      </c>
      <c r="E143" s="42">
        <f t="shared" si="1"/>
        <v>11</v>
      </c>
      <c r="F143" s="51">
        <v>138.0</v>
      </c>
      <c r="G143" s="45">
        <f>IFERROR(__xludf.DUMMYFUNCTION("""COMPUTED_VALUE"""),138.0)</f>
        <v>138</v>
      </c>
      <c r="H143" s="45" t="str">
        <f>IFERROR(__xludf.DUMMYFUNCTION("""COMPUTED_VALUE"""),"Norman Powell")</f>
        <v>Norman Powell</v>
      </c>
      <c r="I143" s="45">
        <f>IFERROR(__xludf.DUMMYFUNCTION("""COMPUTED_VALUE"""),60.0)</f>
        <v>60</v>
      </c>
      <c r="J143" s="46" t="str">
        <f>IFERROR(__xludf.DUMMYFUNCTION("""COMPUTED_VALUE"""),"SG,SF")</f>
        <v>SG,SF</v>
      </c>
      <c r="K143" s="46">
        <f>IFERROR(__xludf.DUMMYFUNCTION("""COMPUTED_VALUE"""),-2.9260261052431127)</f>
        <v>-2.926026105</v>
      </c>
      <c r="L143" s="46">
        <f>IFERROR(__xludf.DUMMYFUNCTION("""COMPUTED_VALUE"""),-1.2795286320378136)</f>
        <v>-1.279528632</v>
      </c>
      <c r="M143" s="47">
        <f>IFERROR(__xludf.DUMMYFUNCTION("""COMPUTED_VALUE"""),1.646497473205299)</f>
        <v>1.646497473</v>
      </c>
      <c r="N143" s="47">
        <f>IFERROR(__xludf.DUMMYFUNCTION("""COMPUTED_VALUE"""),17.0)</f>
        <v>17</v>
      </c>
      <c r="O143" s="47">
        <f>IFERROR(__xludf.DUMMYFUNCTION("""COMPUTED_VALUE"""),2.0)</f>
        <v>2</v>
      </c>
      <c r="P143" s="47">
        <f>IFERROR(__xludf.DUMMYFUNCTION("""COMPUTED_VALUE"""),2.9)</f>
        <v>2.9</v>
      </c>
      <c r="Q143" s="48">
        <f>IFERROR(__xludf.DUMMYFUNCTION("""COMPUTED_VALUE"""),1.9)</f>
        <v>1.9</v>
      </c>
      <c r="R143" s="47">
        <f>IFERROR(__xludf.DUMMYFUNCTION("""COMPUTED_VALUE"""),0.8)</f>
        <v>0.8</v>
      </c>
      <c r="S143" s="47">
        <f>IFERROR(__xludf.DUMMYFUNCTION("""COMPUTED_VALUE"""),0.4)</f>
        <v>0.4</v>
      </c>
      <c r="T143" s="47">
        <f>IFERROR(__xludf.DUMMYFUNCTION("""COMPUTED_VALUE"""),47.05882352941176)</f>
        <v>47.05882353</v>
      </c>
      <c r="U143" s="47">
        <f>IFERROR(__xludf.DUMMYFUNCTION("""COMPUTED_VALUE"""),82.6086956521739)</f>
        <v>82.60869565</v>
      </c>
      <c r="V143" s="47">
        <f>IFERROR(__xludf.DUMMYFUNCTION("""COMPUTED_VALUE"""),1.5)</f>
        <v>1.5</v>
      </c>
      <c r="W143" s="46">
        <f>IFERROR(__xludf.DUMMYFUNCTION("""COMPUTED_VALUE"""),-0.04325510341934079)</f>
        <v>-0.04325510342</v>
      </c>
      <c r="X143" s="46">
        <f>IFERROR(__xludf.DUMMYFUNCTION("""COMPUTED_VALUE"""),0.30811976229946575)</f>
        <v>0.3081197623</v>
      </c>
      <c r="Y143" s="46">
        <f>IFERROR(__xludf.DUMMYFUNCTION("""COMPUTED_VALUE"""),-1.3361404514645185)</f>
        <v>-1.336140451</v>
      </c>
      <c r="Z143" s="46">
        <f>IFERROR(__xludf.DUMMYFUNCTION("""COMPUTED_VALUE"""),-0.9914878323438243)</f>
        <v>-0.9914878323</v>
      </c>
      <c r="AA143" s="46">
        <f>IFERROR(__xludf.DUMMYFUNCTION("""COMPUTED_VALUE"""),-0.42447047355638534)</f>
        <v>-0.4244704736</v>
      </c>
      <c r="AB143" s="46">
        <f>IFERROR(__xludf.DUMMYFUNCTION("""COMPUTED_VALUE"""),-0.39569839687757064)</f>
        <v>-0.3956983969</v>
      </c>
      <c r="AC143" s="46">
        <f>IFERROR(__xludf.DUMMYFUNCTION("""COMPUTED_VALUE"""),-0.30187169625129495)</f>
        <v>-0.3018716963</v>
      </c>
      <c r="AD143" s="46">
        <f>IFERROR(__xludf.DUMMYFUNCTION("""COMPUTED_VALUE"""),0.41555963503627347)</f>
        <v>0.415559635</v>
      </c>
      <c r="AE143" s="46">
        <f>IFERROR(__xludf.DUMMYFUNCTION("""COMPUTED_VALUE"""),0.1535754730748638)</f>
        <v>0.1535754731</v>
      </c>
    </row>
    <row r="144">
      <c r="A144" s="6" t="str">
        <f>IF(VLOOKUP(H144,'Paste #BBall'!$B$2:$N1001,3,)="BRO","BKN",IF(VLOOKUP(H144,'Paste #BBall'!$B$2:$N1001,3,)="OKL","OKC",VLOOKUP(H144,'Paste #BBall'!$B$2:$N1001,3,)))</f>
        <v>ATL</v>
      </c>
      <c r="B144" s="42">
        <f>VLOOKUP($A144,Schedule!$C$2:$G$31,2,0)</f>
        <v>4</v>
      </c>
      <c r="C144" s="42">
        <f>VLOOKUP($A144,Schedule!$C$2:$G$31,3,0)</f>
        <v>3</v>
      </c>
      <c r="D144" s="42">
        <f>VLOOKUP($A144,Schedule!$C$2:$G$31,4,0)</f>
        <v>3</v>
      </c>
      <c r="E144" s="42">
        <f t="shared" si="1"/>
        <v>10</v>
      </c>
      <c r="F144" s="51">
        <v>139.0</v>
      </c>
      <c r="G144" s="45">
        <f>IFERROR(__xludf.DUMMYFUNCTION("""COMPUTED_VALUE"""),140.0)</f>
        <v>140</v>
      </c>
      <c r="H144" s="45" t="str">
        <f>IFERROR(__xludf.DUMMYFUNCTION("""COMPUTED_VALUE"""),"Bogdan Bogdanovic")</f>
        <v>Bogdan Bogdanovic</v>
      </c>
      <c r="I144" s="45">
        <f>IFERROR(__xludf.DUMMYFUNCTION("""COMPUTED_VALUE"""),52.0)</f>
        <v>52</v>
      </c>
      <c r="J144" s="46" t="str">
        <f>IFERROR(__xludf.DUMMYFUNCTION("""COMPUTED_VALUE"""),"SG,SF,PF")</f>
        <v>SG,SF,PF</v>
      </c>
      <c r="K144" s="46">
        <f>IFERROR(__xludf.DUMMYFUNCTION("""COMPUTED_VALUE"""),-2.9753397373542674)</f>
        <v>-2.975339737</v>
      </c>
      <c r="L144" s="46">
        <f>IFERROR(__xludf.DUMMYFUNCTION("""COMPUTED_VALUE"""),-1.3425046826821734)</f>
        <v>-1.342504683</v>
      </c>
      <c r="M144" s="47">
        <f>IFERROR(__xludf.DUMMYFUNCTION("""COMPUTED_VALUE"""),1.632835054672094)</f>
        <v>1.632835055</v>
      </c>
      <c r="N144" s="47">
        <f>IFERROR(__xludf.DUMMYFUNCTION("""COMPUTED_VALUE"""),13.8)</f>
        <v>13.8</v>
      </c>
      <c r="O144" s="47">
        <f>IFERROR(__xludf.DUMMYFUNCTION("""COMPUTED_VALUE"""),2.5)</f>
        <v>2.5</v>
      </c>
      <c r="P144" s="47">
        <f>IFERROR(__xludf.DUMMYFUNCTION("""COMPUTED_VALUE"""),3.4)</f>
        <v>3.4</v>
      </c>
      <c r="Q144" s="48">
        <f>IFERROR(__xludf.DUMMYFUNCTION("""COMPUTED_VALUE"""),2.8)</f>
        <v>2.8</v>
      </c>
      <c r="R144" s="47">
        <f>IFERROR(__xludf.DUMMYFUNCTION("""COMPUTED_VALUE"""),0.9)</f>
        <v>0.9</v>
      </c>
      <c r="S144" s="47">
        <f>IFERROR(__xludf.DUMMYFUNCTION("""COMPUTED_VALUE"""),0.3)</f>
        <v>0.3</v>
      </c>
      <c r="T144" s="47">
        <f>IFERROR(__xludf.DUMMYFUNCTION("""COMPUTED_VALUE"""),44.24778761061947)</f>
        <v>44.24778761</v>
      </c>
      <c r="U144" s="47">
        <f>IFERROR(__xludf.DUMMYFUNCTION("""COMPUTED_VALUE"""),81.25)</f>
        <v>81.25</v>
      </c>
      <c r="V144" s="47">
        <f>IFERROR(__xludf.DUMMYFUNCTION("""COMPUTED_VALUE"""),1.1)</f>
        <v>1.1</v>
      </c>
      <c r="W144" s="46">
        <f>IFERROR(__xludf.DUMMYFUNCTION("""COMPUTED_VALUE"""),-0.5825395096864444)</f>
        <v>-0.5825395097</v>
      </c>
      <c r="X144" s="46">
        <f>IFERROR(__xludf.DUMMYFUNCTION("""COMPUTED_VALUE"""),0.7416841557790128)</f>
        <v>0.7416841558</v>
      </c>
      <c r="Y144" s="46">
        <f>IFERROR(__xludf.DUMMYFUNCTION("""COMPUTED_VALUE"""),-1.1270636021846543)</f>
        <v>-1.127063602</v>
      </c>
      <c r="Z144" s="46">
        <f>IFERROR(__xludf.DUMMYFUNCTION("""COMPUTED_VALUE"""),-0.5324656877402022)</f>
        <v>-0.5324656877</v>
      </c>
      <c r="AA144" s="46">
        <f>IFERROR(__xludf.DUMMYFUNCTION("""COMPUTED_VALUE"""),-0.2064205727568726)</f>
        <v>-0.2064205728</v>
      </c>
      <c r="AB144" s="46">
        <f>IFERROR(__xludf.DUMMYFUNCTION("""COMPUTED_VALUE"""),-0.5270142365493308)</f>
        <v>-0.5270142365</v>
      </c>
      <c r="AC144" s="46">
        <f>IFERROR(__xludf.DUMMYFUNCTION("""COMPUTED_VALUE"""),-0.6039378132867901)</f>
        <v>-0.6039378133</v>
      </c>
      <c r="AD144" s="46">
        <f>IFERROR(__xludf.DUMMYFUNCTION("""COMPUTED_VALUE"""),0.0904284898246707)</f>
        <v>0.09042848982</v>
      </c>
      <c r="AE144" s="46">
        <f>IFERROR(__xludf.DUMMYFUNCTION("""COMPUTED_VALUE"""),0.2777604917337834)</f>
        <v>0.2777604917</v>
      </c>
    </row>
    <row r="145">
      <c r="A145" s="6" t="str">
        <f>IF(VLOOKUP(H145,'Paste #BBall'!$B$2:$N1001,3,)="BRO","BKN",IF(VLOOKUP(H145,'Paste #BBall'!$B$2:$N1001,3,)="OKL","OKC",VLOOKUP(H145,'Paste #BBall'!$B$2:$N1001,3,)))</f>
        <v>DET</v>
      </c>
      <c r="B145" s="42">
        <f>VLOOKUP($A145,Schedule!$C$2:$G$31,2,0)</f>
        <v>3</v>
      </c>
      <c r="C145" s="42">
        <f>VLOOKUP($A145,Schedule!$C$2:$G$31,3,0)</f>
        <v>4</v>
      </c>
      <c r="D145" s="42">
        <f>VLOOKUP($A145,Schedule!$C$2:$G$31,4,0)</f>
        <v>4</v>
      </c>
      <c r="E145" s="42">
        <f t="shared" si="1"/>
        <v>11</v>
      </c>
      <c r="F145" s="43">
        <v>140.0</v>
      </c>
      <c r="G145" s="45">
        <f>IFERROR(__xludf.DUMMYFUNCTION("""COMPUTED_VALUE"""),127.0)</f>
        <v>127</v>
      </c>
      <c r="H145" s="45" t="str">
        <f>IFERROR(__xludf.DUMMYFUNCTION("""COMPUTED_VALUE"""),"Jaden Ivey")</f>
        <v>Jaden Ivey</v>
      </c>
      <c r="I145" s="45">
        <f>IFERROR(__xludf.DUMMYFUNCTION("""COMPUTED_VALUE"""),74.0)</f>
        <v>74</v>
      </c>
      <c r="J145" s="46" t="str">
        <f>IFERROR(__xludf.DUMMYFUNCTION("""COMPUTED_VALUE"""),"PG,SG")</f>
        <v>PG,SG</v>
      </c>
      <c r="K145" s="46">
        <f>IFERROR(__xludf.DUMMYFUNCTION("""COMPUTED_VALUE"""),-2.5127592060520727)</f>
        <v>-2.512759206</v>
      </c>
      <c r="L145" s="46">
        <f>IFERROR(__xludf.DUMMYFUNCTION("""COMPUTED_VALUE"""),-1.3475891408109772)</f>
        <v>-1.347589141</v>
      </c>
      <c r="M145" s="47">
        <f>IFERROR(__xludf.DUMMYFUNCTION("""COMPUTED_VALUE"""),1.1651700652410955)</f>
        <v>1.165170065</v>
      </c>
      <c r="N145" s="47">
        <f>IFERROR(__xludf.DUMMYFUNCTION("""COMPUTED_VALUE"""),17.7)</f>
        <v>17.7</v>
      </c>
      <c r="O145" s="47">
        <f>IFERROR(__xludf.DUMMYFUNCTION("""COMPUTED_VALUE"""),1.8)</f>
        <v>1.8</v>
      </c>
      <c r="P145" s="47">
        <f>IFERROR(__xludf.DUMMYFUNCTION("""COMPUTED_VALUE"""),4.1)</f>
        <v>4.1</v>
      </c>
      <c r="Q145" s="48">
        <f>IFERROR(__xludf.DUMMYFUNCTION("""COMPUTED_VALUE"""),5.5)</f>
        <v>5.5</v>
      </c>
      <c r="R145" s="47">
        <f>IFERROR(__xludf.DUMMYFUNCTION("""COMPUTED_VALUE"""),0.9)</f>
        <v>0.9</v>
      </c>
      <c r="S145" s="47">
        <f>IFERROR(__xludf.DUMMYFUNCTION("""COMPUTED_VALUE"""),0.2)</f>
        <v>0.2</v>
      </c>
      <c r="T145" s="47">
        <f>IFERROR(__xludf.DUMMYFUNCTION("""COMPUTED_VALUE"""),42.5531914893617)</f>
        <v>42.55319149</v>
      </c>
      <c r="U145" s="47">
        <f>IFERROR(__xludf.DUMMYFUNCTION("""COMPUTED_VALUE"""),76.92307692307692)</f>
        <v>76.92307692</v>
      </c>
      <c r="V145" s="47">
        <f>IFERROR(__xludf.DUMMYFUNCTION("""COMPUTED_VALUE"""),3.4)</f>
        <v>3.4</v>
      </c>
      <c r="W145" s="46">
        <f>IFERROR(__xludf.DUMMYFUNCTION("""COMPUTED_VALUE"""),0.07471336045158804)</f>
        <v>0.07471336045</v>
      </c>
      <c r="X145" s="46">
        <f>IFERROR(__xludf.DUMMYFUNCTION("""COMPUTED_VALUE"""),0.13469400490764694)</f>
        <v>0.1346940049</v>
      </c>
      <c r="Y145" s="46">
        <f>IFERROR(__xludf.DUMMYFUNCTION("""COMPUTED_VALUE"""),-0.8343560131928446)</f>
        <v>-0.8343560132</v>
      </c>
      <c r="Z145" s="46">
        <f>IFERROR(__xludf.DUMMYFUNCTION("""COMPUTED_VALUE"""),0.8446007460706644)</f>
        <v>0.8446007461</v>
      </c>
      <c r="AA145" s="46">
        <f>IFERROR(__xludf.DUMMYFUNCTION("""COMPUTED_VALUE"""),-0.2064205727568726)</f>
        <v>-0.2064205728</v>
      </c>
      <c r="AB145" s="46">
        <f>IFERROR(__xludf.DUMMYFUNCTION("""COMPUTED_VALUE"""),-0.6583300762210907)</f>
        <v>-0.6583300762</v>
      </c>
      <c r="AC145" s="46">
        <f>IFERROR(__xludf.DUMMYFUNCTION("""COMPUTED_VALUE"""),-0.9922529863940834)</f>
        <v>-0.9922529864</v>
      </c>
      <c r="AD145" s="46">
        <f>IFERROR(__xludf.DUMMYFUNCTION("""COMPUTED_VALUE"""),-0.266187224515064)</f>
        <v>-0.2661872245</v>
      </c>
      <c r="AE145" s="46">
        <f>IFERROR(__xludf.DUMMYFUNCTION("""COMPUTED_VALUE"""),-0.4363033655550045)</f>
        <v>-0.4363033656</v>
      </c>
    </row>
    <row r="146">
      <c r="A146" s="6" t="str">
        <f>IF(VLOOKUP(H146,'Paste #BBall'!$B$2:$N1001,3,)="BRO","BKN",IF(VLOOKUP(H146,'Paste #BBall'!$B$2:$N1001,3,)="OKL","OKC",VLOOKUP(H146,'Paste #BBall'!$B$2:$N1001,3,)))</f>
        <v>GS</v>
      </c>
      <c r="B146" s="42">
        <f>VLOOKUP($A146,Schedule!$C$2:$G$31,2,0)</f>
        <v>3</v>
      </c>
      <c r="C146" s="42">
        <f>VLOOKUP($A146,Schedule!$C$2:$G$31,3,0)</f>
        <v>3</v>
      </c>
      <c r="D146" s="42">
        <f>VLOOKUP($A146,Schedule!$C$2:$G$31,4,0)</f>
        <v>4</v>
      </c>
      <c r="E146" s="42">
        <f t="shared" si="1"/>
        <v>10</v>
      </c>
      <c r="F146" s="51">
        <v>141.0</v>
      </c>
      <c r="G146" s="45">
        <f>IFERROR(__xludf.DUMMYFUNCTION("""COMPUTED_VALUE"""),159.0)</f>
        <v>159</v>
      </c>
      <c r="H146" s="45" t="str">
        <f>IFERROR(__xludf.DUMMYFUNCTION("""COMPUTED_VALUE"""),"Kevon Looney")</f>
        <v>Kevon Looney</v>
      </c>
      <c r="I146" s="45">
        <f>IFERROR(__xludf.DUMMYFUNCTION("""COMPUTED_VALUE"""),80.0)</f>
        <v>80</v>
      </c>
      <c r="J146" s="46" t="str">
        <f>IFERROR(__xludf.DUMMYFUNCTION("""COMPUTED_VALUE"""),"PF")</f>
        <v>PF</v>
      </c>
      <c r="K146" s="46">
        <f>IFERROR(__xludf.DUMMYFUNCTION("""COMPUTED_VALUE"""),-4.05694823964966)</f>
        <v>-4.05694824</v>
      </c>
      <c r="L146" s="46">
        <f>IFERROR(__xludf.DUMMYFUNCTION("""COMPUTED_VALUE"""),-1.4219310042175186)</f>
        <v>-1.421931004</v>
      </c>
      <c r="M146" s="47">
        <f>IFERROR(__xludf.DUMMYFUNCTION("""COMPUTED_VALUE"""),2.6350172354321417)</f>
        <v>2.635017235</v>
      </c>
      <c r="N146" s="47">
        <f>IFERROR(__xludf.DUMMYFUNCTION("""COMPUTED_VALUE"""),7.0)</f>
        <v>7</v>
      </c>
      <c r="O146" s="47">
        <f>IFERROR(__xludf.DUMMYFUNCTION("""COMPUTED_VALUE"""),0.0)</f>
        <v>0</v>
      </c>
      <c r="P146" s="47">
        <f>IFERROR(__xludf.DUMMYFUNCTION("""COMPUTED_VALUE"""),9.0)</f>
        <v>9</v>
      </c>
      <c r="Q146" s="48">
        <f>IFERROR(__xludf.DUMMYFUNCTION("""COMPUTED_VALUE"""),2.4)</f>
        <v>2.4</v>
      </c>
      <c r="R146" s="47">
        <f>IFERROR(__xludf.DUMMYFUNCTION("""COMPUTED_VALUE"""),0.7)</f>
        <v>0.7</v>
      </c>
      <c r="S146" s="47">
        <f>IFERROR(__xludf.DUMMYFUNCTION("""COMPUTED_VALUE"""),0.7)</f>
        <v>0.7</v>
      </c>
      <c r="T146" s="47">
        <f>IFERROR(__xludf.DUMMYFUNCTION("""COMPUTED_VALUE"""),61.22448979591836)</f>
        <v>61.2244898</v>
      </c>
      <c r="U146" s="47">
        <f>IFERROR(__xludf.DUMMYFUNCTION("""COMPUTED_VALUE"""),61.111111111111114)</f>
        <v>61.11111111</v>
      </c>
      <c r="V146" s="47">
        <f>IFERROR(__xludf.DUMMYFUNCTION("""COMPUTED_VALUE"""),0.7)</f>
        <v>0.7</v>
      </c>
      <c r="W146" s="46">
        <f>IFERROR(__xludf.DUMMYFUNCTION("""COMPUTED_VALUE"""),-1.72851887300404)</f>
        <v>-1.728518873</v>
      </c>
      <c r="X146" s="46">
        <f>IFERROR(__xludf.DUMMYFUNCTION("""COMPUTED_VALUE"""),-1.4261378116187227)</f>
        <v>-1.426137812</v>
      </c>
      <c r="Y146" s="46">
        <f>IFERROR(__xludf.DUMMYFUNCTION("""COMPUTED_VALUE"""),1.2145971097498247)</f>
        <v>1.21459711</v>
      </c>
      <c r="Z146" s="46">
        <f>IFERROR(__xludf.DUMMYFUNCTION("""COMPUTED_VALUE"""),-0.7364755297862564)</f>
        <v>-0.7364755298</v>
      </c>
      <c r="AA146" s="46">
        <f>IFERROR(__xludf.DUMMYFUNCTION("""COMPUTED_VALUE"""),-0.6425203743558983)</f>
        <v>-0.6425203744</v>
      </c>
      <c r="AB146" s="46">
        <f>IFERROR(__xludf.DUMMYFUNCTION("""COMPUTED_VALUE"""),-0.0017508778622903794)</f>
        <v>-0.001750877862</v>
      </c>
      <c r="AC146" s="46">
        <f>IFERROR(__xludf.DUMMYFUNCTION("""COMPUTED_VALUE"""),0.5690297335943691)</f>
        <v>0.5690297336</v>
      </c>
      <c r="AD146" s="46">
        <f>IFERROR(__xludf.DUMMYFUNCTION("""COMPUTED_VALUE"""),-0.8006187643312477)</f>
        <v>-0.8006187643</v>
      </c>
      <c r="AE146" s="46">
        <f>IFERROR(__xludf.DUMMYFUNCTION("""COMPUTED_VALUE"""),0.4019455103927031)</f>
        <v>0.4019455104</v>
      </c>
    </row>
    <row r="147">
      <c r="A147" s="6" t="str">
        <f>IF(VLOOKUP(H147,'Paste #BBall'!$B$2:$N1001,3,)="BRO","BKN",IF(VLOOKUP(H147,'Paste #BBall'!$B$2:$N1001,3,)="OKL","OKC",VLOOKUP(H147,'Paste #BBall'!$B$2:$N1001,3,)))</f>
        <v>ATL</v>
      </c>
      <c r="B147" s="42">
        <f>VLOOKUP($A147,Schedule!$C$2:$G$31,2,0)</f>
        <v>4</v>
      </c>
      <c r="C147" s="42">
        <f>VLOOKUP($A147,Schedule!$C$2:$G$31,3,0)</f>
        <v>3</v>
      </c>
      <c r="D147" s="42">
        <f>VLOOKUP($A147,Schedule!$C$2:$G$31,4,0)</f>
        <v>3</v>
      </c>
      <c r="E147" s="42">
        <f t="shared" si="1"/>
        <v>10</v>
      </c>
      <c r="F147" s="51">
        <v>142.0</v>
      </c>
      <c r="G147" s="45">
        <f>IFERROR(__xludf.DUMMYFUNCTION("""COMPUTED_VALUE"""),141.0)</f>
        <v>141</v>
      </c>
      <c r="H147" s="45" t="str">
        <f>IFERROR(__xludf.DUMMYFUNCTION("""COMPUTED_VALUE"""),"Saddiq Bey")</f>
        <v>Saddiq Bey</v>
      </c>
      <c r="I147" s="45">
        <f>IFERROR(__xludf.DUMMYFUNCTION("""COMPUTED_VALUE"""),78.0)</f>
        <v>78</v>
      </c>
      <c r="J147" s="46" t="str">
        <f>IFERROR(__xludf.DUMMYFUNCTION("""COMPUTED_VALUE"""),"SF,PF")</f>
        <v>SF,PF</v>
      </c>
      <c r="K147" s="46">
        <f>IFERROR(__xludf.DUMMYFUNCTION("""COMPUTED_VALUE"""),-2.9857932276445696)</f>
        <v>-2.985793228</v>
      </c>
      <c r="L147" s="46">
        <f>IFERROR(__xludf.DUMMYFUNCTION("""COMPUTED_VALUE"""),-1.4683331475911607)</f>
        <v>-1.468333148</v>
      </c>
      <c r="M147" s="47">
        <f>IFERROR(__xludf.DUMMYFUNCTION("""COMPUTED_VALUE"""),1.5174600800534088)</f>
        <v>1.51746008</v>
      </c>
      <c r="N147" s="47">
        <f>IFERROR(__xludf.DUMMYFUNCTION("""COMPUTED_VALUE"""),15.3)</f>
        <v>15.3</v>
      </c>
      <c r="O147" s="47">
        <f>IFERROR(__xludf.DUMMYFUNCTION("""COMPUTED_VALUE"""),2.2)</f>
        <v>2.2</v>
      </c>
      <c r="P147" s="47">
        <f>IFERROR(__xludf.DUMMYFUNCTION("""COMPUTED_VALUE"""),4.9)</f>
        <v>4.9</v>
      </c>
      <c r="Q147" s="48">
        <f>IFERROR(__xludf.DUMMYFUNCTION("""COMPUTED_VALUE"""),2.1)</f>
        <v>2.1</v>
      </c>
      <c r="R147" s="47">
        <f>IFERROR(__xludf.DUMMYFUNCTION("""COMPUTED_VALUE"""),0.9)</f>
        <v>0.9</v>
      </c>
      <c r="S147" s="47">
        <f>IFERROR(__xludf.DUMMYFUNCTION("""COMPUTED_VALUE"""),0.2)</f>
        <v>0.2</v>
      </c>
      <c r="T147" s="47">
        <f>IFERROR(__xludf.DUMMYFUNCTION("""COMPUTED_VALUE"""),42.06349206349206)</f>
        <v>42.06349206</v>
      </c>
      <c r="U147" s="47">
        <f>IFERROR(__xludf.DUMMYFUNCTION("""COMPUTED_VALUE"""),83.33333333333334)</f>
        <v>83.33333333</v>
      </c>
      <c r="V147" s="47">
        <f>IFERROR(__xludf.DUMMYFUNCTION("""COMPUTED_VALUE"""),1.0)</f>
        <v>1</v>
      </c>
      <c r="W147" s="46">
        <f>IFERROR(__xludf.DUMMYFUNCTION("""COMPUTED_VALUE"""),-0.32974994424873955)</f>
        <v>-0.3297499442</v>
      </c>
      <c r="X147" s="46">
        <f>IFERROR(__xludf.DUMMYFUNCTION("""COMPUTED_VALUE"""),0.48154551969128473)</f>
        <v>0.4815455197</v>
      </c>
      <c r="Y147" s="46">
        <f>IFERROR(__xludf.DUMMYFUNCTION("""COMPUTED_VALUE"""),-0.4998330543450616)</f>
        <v>-0.4998330543</v>
      </c>
      <c r="Z147" s="46">
        <f>IFERROR(__xludf.DUMMYFUNCTION("""COMPUTED_VALUE"""),-0.8894829113207969)</f>
        <v>-0.8894829113</v>
      </c>
      <c r="AA147" s="46">
        <f>IFERROR(__xludf.DUMMYFUNCTION("""COMPUTED_VALUE"""),-0.2064205727568726)</f>
        <v>-0.2064205728</v>
      </c>
      <c r="AB147" s="46">
        <f>IFERROR(__xludf.DUMMYFUNCTION("""COMPUTED_VALUE"""),-0.6583300762210907)</f>
        <v>-0.6583300762</v>
      </c>
      <c r="AC147" s="46">
        <f>IFERROR(__xludf.DUMMYFUNCTION("""COMPUTED_VALUE"""),-0.9483262556022563)</f>
        <v>-0.9483262556</v>
      </c>
      <c r="AD147" s="46">
        <f>IFERROR(__xludf.DUMMYFUNCTION("""COMPUTED_VALUE"""),0.325131145211603)</f>
        <v>0.3251311452</v>
      </c>
      <c r="AE147" s="46">
        <f>IFERROR(__xludf.DUMMYFUNCTION("""COMPUTED_VALUE"""),0.30880674639851335)</f>
        <v>0.3088067464</v>
      </c>
    </row>
    <row r="148">
      <c r="A148" s="6" t="str">
        <f>IF(VLOOKUP(H148,'Paste #BBall'!$B$2:$N1001,3,)="BRO","BKN",IF(VLOOKUP(H148,'Paste #BBall'!$B$2:$N1001,3,)="OKL","OKC",VLOOKUP(H148,'Paste #BBall'!$B$2:$N1001,3,)))</f>
        <v>MIA</v>
      </c>
      <c r="B148" s="42">
        <f>VLOOKUP($A148,Schedule!$C$2:$G$31,2,0)</f>
        <v>4</v>
      </c>
      <c r="C148" s="42">
        <f>VLOOKUP($A148,Schedule!$C$2:$G$31,3,0)</f>
        <v>3</v>
      </c>
      <c r="D148" s="42">
        <f>VLOOKUP($A148,Schedule!$C$2:$G$31,4,0)</f>
        <v>4</v>
      </c>
      <c r="E148" s="42">
        <f t="shared" si="1"/>
        <v>11</v>
      </c>
      <c r="F148" s="43">
        <v>143.0</v>
      </c>
      <c r="G148" s="45">
        <f>IFERROR(__xludf.DUMMYFUNCTION("""COMPUTED_VALUE"""),137.0)</f>
        <v>137</v>
      </c>
      <c r="H148" s="45" t="str">
        <f>IFERROR(__xludf.DUMMYFUNCTION("""COMPUTED_VALUE"""),"Josh Richardson")</f>
        <v>Josh Richardson</v>
      </c>
      <c r="I148" s="45">
        <f>IFERROR(__xludf.DUMMYFUNCTION("""COMPUTED_VALUE"""),65.0)</f>
        <v>65</v>
      </c>
      <c r="J148" s="46" t="str">
        <f>IFERROR(__xludf.DUMMYFUNCTION("""COMPUTED_VALUE"""),"SG")</f>
        <v>SG</v>
      </c>
      <c r="K148" s="46">
        <f>IFERROR(__xludf.DUMMYFUNCTION("""COMPUTED_VALUE"""),-2.9036685640614994)</f>
        <v>-2.903668564</v>
      </c>
      <c r="L148" s="46">
        <f>IFERROR(__xludf.DUMMYFUNCTION("""COMPUTED_VALUE"""),-1.5495835507485711)</f>
        <v>-1.549583551</v>
      </c>
      <c r="M148" s="47">
        <f>IFERROR(__xludf.DUMMYFUNCTION("""COMPUTED_VALUE"""),1.3540850133129283)</f>
        <v>1.354085013</v>
      </c>
      <c r="N148" s="47">
        <f>IFERROR(__xludf.DUMMYFUNCTION("""COMPUTED_VALUE"""),11.7)</f>
        <v>11.7</v>
      </c>
      <c r="O148" s="47">
        <f>IFERROR(__xludf.DUMMYFUNCTION("""COMPUTED_VALUE"""),1.9)</f>
        <v>1.9</v>
      </c>
      <c r="P148" s="47">
        <f>IFERROR(__xludf.DUMMYFUNCTION("""COMPUTED_VALUE"""),3.2)</f>
        <v>3.2</v>
      </c>
      <c r="Q148" s="48">
        <f>IFERROR(__xludf.DUMMYFUNCTION("""COMPUTED_VALUE"""),2.6)</f>
        <v>2.6</v>
      </c>
      <c r="R148" s="47">
        <f>IFERROR(__xludf.DUMMYFUNCTION("""COMPUTED_VALUE"""),1.1)</f>
        <v>1.1</v>
      </c>
      <c r="S148" s="47">
        <f>IFERROR(__xludf.DUMMYFUNCTION("""COMPUTED_VALUE"""),0.4)</f>
        <v>0.4</v>
      </c>
      <c r="T148" s="47">
        <f>IFERROR(__xludf.DUMMYFUNCTION("""COMPUTED_VALUE"""),43.29896907216496)</f>
        <v>43.29896907</v>
      </c>
      <c r="U148" s="47">
        <f>IFERROR(__xludf.DUMMYFUNCTION("""COMPUTED_VALUE"""),88.23529411764706)</f>
        <v>88.23529412</v>
      </c>
      <c r="V148" s="47">
        <f>IFERROR(__xludf.DUMMYFUNCTION("""COMPUTED_VALUE"""),1.4)</f>
        <v>1.4</v>
      </c>
      <c r="W148" s="46">
        <f>IFERROR(__xludf.DUMMYFUNCTION("""COMPUTED_VALUE"""),-0.9364449012992314)</f>
        <v>-0.9364449013</v>
      </c>
      <c r="X148" s="46">
        <f>IFERROR(__xludf.DUMMYFUNCTION("""COMPUTED_VALUE"""),0.2214068836035562)</f>
        <v>0.2214068836</v>
      </c>
      <c r="Y148" s="46">
        <f>IFERROR(__xludf.DUMMYFUNCTION("""COMPUTED_VALUE"""),-1.2106943418965999)</f>
        <v>-1.210694342</v>
      </c>
      <c r="Z148" s="46">
        <f>IFERROR(__xludf.DUMMYFUNCTION("""COMPUTED_VALUE"""),-0.6344706087632292)</f>
        <v>-0.6344706088</v>
      </c>
      <c r="AA148" s="46">
        <f>IFERROR(__xludf.DUMMYFUNCTION("""COMPUTED_VALUE"""),0.22967922884215308)</f>
        <v>0.2296792288</v>
      </c>
      <c r="AB148" s="46">
        <f>IFERROR(__xludf.DUMMYFUNCTION("""COMPUTED_VALUE"""),-0.39569839687757064)</f>
        <v>-0.3956983969</v>
      </c>
      <c r="AC148" s="46">
        <f>IFERROR(__xludf.DUMMYFUNCTION("""COMPUTED_VALUE"""),-0.6103554353342111)</f>
        <v>-0.6103554353</v>
      </c>
      <c r="AD148" s="46">
        <f>IFERROR(__xludf.DUMMYFUNCTION("""COMPUTED_VALUE"""),0.3916779513403684)</f>
        <v>0.3916779513</v>
      </c>
      <c r="AE148" s="46">
        <f>IFERROR(__xludf.DUMMYFUNCTION("""COMPUTED_VALUE"""),0.18462172773959373)</f>
        <v>0.1846217277</v>
      </c>
    </row>
    <row r="149">
      <c r="A149" s="6" t="str">
        <f>IF(VLOOKUP(H149,'Paste #BBall'!$B$2:$N1001,3,)="BRO","BKN",IF(VLOOKUP(H149,'Paste #BBall'!$B$2:$N1001,3,)="OKL","OKC",VLOOKUP(H149,'Paste #BBall'!$B$2:$N1001,3,)))</f>
        <v>IND</v>
      </c>
      <c r="B149" s="42">
        <f>VLOOKUP($A149,Schedule!$C$2:$G$31,2,0)</f>
        <v>3</v>
      </c>
      <c r="C149" s="42">
        <f>VLOOKUP($A149,Schedule!$C$2:$G$31,3,0)</f>
        <v>3</v>
      </c>
      <c r="D149" s="42">
        <f>VLOOKUP($A149,Schedule!$C$2:$G$31,4,0)</f>
        <v>4</v>
      </c>
      <c r="E149" s="42">
        <f t="shared" si="1"/>
        <v>10</v>
      </c>
      <c r="F149" s="51">
        <v>144.0</v>
      </c>
      <c r="G149" s="45">
        <f>IFERROR(__xludf.DUMMYFUNCTION("""COMPUTED_VALUE"""),147.0)</f>
        <v>147</v>
      </c>
      <c r="H149" s="45" t="str">
        <f>IFERROR(__xludf.DUMMYFUNCTION("""COMPUTED_VALUE"""),"Obi Toppin")</f>
        <v>Obi Toppin</v>
      </c>
      <c r="I149" s="45">
        <f>IFERROR(__xludf.DUMMYFUNCTION("""COMPUTED_VALUE"""),70.0)</f>
        <v>70</v>
      </c>
      <c r="J149" s="46" t="str">
        <f>IFERROR(__xludf.DUMMYFUNCTION("""COMPUTED_VALUE"""),"PF")</f>
        <v>PF</v>
      </c>
      <c r="K149" s="46">
        <f>IFERROR(__xludf.DUMMYFUNCTION("""COMPUTED_VALUE"""),-3.3328217391908406)</f>
        <v>-3.332821739</v>
      </c>
      <c r="L149" s="46">
        <f>IFERROR(__xludf.DUMMYFUNCTION("""COMPUTED_VALUE"""),-1.6092141956904407)</f>
        <v>-1.609214196</v>
      </c>
      <c r="M149" s="47">
        <f>IFERROR(__xludf.DUMMYFUNCTION("""COMPUTED_VALUE"""),1.7236075435004)</f>
        <v>1.723607544</v>
      </c>
      <c r="N149" s="47">
        <f>IFERROR(__xludf.DUMMYFUNCTION("""COMPUTED_VALUE"""),14.7)</f>
        <v>14.7</v>
      </c>
      <c r="O149" s="47">
        <f>IFERROR(__xludf.DUMMYFUNCTION("""COMPUTED_VALUE"""),1.5)</f>
        <v>1.5</v>
      </c>
      <c r="P149" s="47">
        <f>IFERROR(__xludf.DUMMYFUNCTION("""COMPUTED_VALUE"""),5.6)</f>
        <v>5.6</v>
      </c>
      <c r="Q149" s="48">
        <f>IFERROR(__xludf.DUMMYFUNCTION("""COMPUTED_VALUE"""),1.6)</f>
        <v>1.6</v>
      </c>
      <c r="R149" s="47">
        <f>IFERROR(__xludf.DUMMYFUNCTION("""COMPUTED_VALUE"""),0.6)</f>
        <v>0.6</v>
      </c>
      <c r="S149" s="47">
        <f>IFERROR(__xludf.DUMMYFUNCTION("""COMPUTED_VALUE"""),0.6)</f>
        <v>0.6</v>
      </c>
      <c r="T149" s="47">
        <f>IFERROR(__xludf.DUMMYFUNCTION("""COMPUTED_VALUE"""),47.89915966386555)</f>
        <v>47.89915966</v>
      </c>
      <c r="U149" s="47">
        <f>IFERROR(__xludf.DUMMYFUNCTION("""COMPUTED_VALUE"""),80.95238095238095)</f>
        <v>80.95238095</v>
      </c>
      <c r="V149" s="47">
        <f>IFERROR(__xludf.DUMMYFUNCTION("""COMPUTED_VALUE"""),1.2)</f>
        <v>1.2</v>
      </c>
      <c r="W149" s="46">
        <f>IFERROR(__xludf.DUMMYFUNCTION("""COMPUTED_VALUE"""),-0.4308657704238217)</f>
        <v>-0.4308657704</v>
      </c>
      <c r="X149" s="46">
        <f>IFERROR(__xludf.DUMMYFUNCTION("""COMPUTED_VALUE"""),-0.12544463118008137)</f>
        <v>-0.1254446312</v>
      </c>
      <c r="Y149" s="46">
        <f>IFERROR(__xludf.DUMMYFUNCTION("""COMPUTED_VALUE"""),-0.207125465353252)</f>
        <v>-0.2071254654</v>
      </c>
      <c r="Z149" s="46">
        <f>IFERROR(__xludf.DUMMYFUNCTION("""COMPUTED_VALUE"""),-1.144495213878365)</f>
        <v>-1.144495214</v>
      </c>
      <c r="AA149" s="46">
        <f>IFERROR(__xludf.DUMMYFUNCTION("""COMPUTED_VALUE"""),-0.860570275155411)</f>
        <v>-0.8605702752</v>
      </c>
      <c r="AB149" s="46">
        <f>IFERROR(__xludf.DUMMYFUNCTION("""COMPUTED_VALUE"""),-0.13306671753405044)</f>
        <v>-0.1330667175</v>
      </c>
      <c r="AC149" s="46">
        <f>IFERROR(__xludf.DUMMYFUNCTION("""COMPUTED_VALUE"""),-0.20198519332872325)</f>
        <v>-0.2019851933</v>
      </c>
      <c r="AD149" s="46">
        <f>IFERROR(__xludf.DUMMYFUNCTION("""COMPUTED_VALUE"""),0.10312962021584522)</f>
        <v>0.1031296202</v>
      </c>
      <c r="AE149" s="46">
        <f>IFERROR(__xludf.DUMMYFUNCTION("""COMPUTED_VALUE"""),0.24671423706905354)</f>
        <v>0.2467142371</v>
      </c>
    </row>
    <row r="150">
      <c r="A150" s="6" t="str">
        <f>IF(VLOOKUP(H150,'Paste #BBall'!$B$2:$N1001,3,)="BRO","BKN",IF(VLOOKUP(H150,'Paste #BBall'!$B$2:$N1001,3,)="OKL","OKC",VLOOKUP(H150,'Paste #BBall'!$B$2:$N1001,3,)))</f>
        <v>MIL</v>
      </c>
      <c r="B150" s="42">
        <f>VLOOKUP($A150,Schedule!$C$2:$G$31,2,0)</f>
        <v>4</v>
      </c>
      <c r="C150" s="42">
        <f>VLOOKUP($A150,Schedule!$C$2:$G$31,3,0)</f>
        <v>3</v>
      </c>
      <c r="D150" s="42">
        <f>VLOOKUP($A150,Schedule!$C$2:$G$31,4,0)</f>
        <v>3</v>
      </c>
      <c r="E150" s="42">
        <f t="shared" si="1"/>
        <v>10</v>
      </c>
      <c r="F150" s="43">
        <v>145.0</v>
      </c>
      <c r="G150" s="45">
        <f>IFERROR(__xludf.DUMMYFUNCTION("""COMPUTED_VALUE"""),148.0)</f>
        <v>148</v>
      </c>
      <c r="H150" s="45" t="str">
        <f>IFERROR(__xludf.DUMMYFUNCTION("""COMPUTED_VALUE"""),"Malik Beasley")</f>
        <v>Malik Beasley</v>
      </c>
      <c r="I150" s="45">
        <f>IFERROR(__xludf.DUMMYFUNCTION("""COMPUTED_VALUE"""),72.0)</f>
        <v>72</v>
      </c>
      <c r="J150" s="46" t="str">
        <f>IFERROR(__xludf.DUMMYFUNCTION("""COMPUTED_VALUE"""),"SG,SF")</f>
        <v>SG,SF</v>
      </c>
      <c r="K150" s="46">
        <f>IFERROR(__xludf.DUMMYFUNCTION("""COMPUTED_VALUE"""),-3.3836989961989508)</f>
        <v>-3.383698996</v>
      </c>
      <c r="L150" s="46">
        <f>IFERROR(__xludf.DUMMYFUNCTION("""COMPUTED_VALUE"""),-1.6790989020602969)</f>
        <v>-1.679098902</v>
      </c>
      <c r="M150" s="47">
        <f>IFERROR(__xludf.DUMMYFUNCTION("""COMPUTED_VALUE"""),1.7046000941386539)</f>
        <v>1.704600094</v>
      </c>
      <c r="N150" s="47">
        <f>IFERROR(__xludf.DUMMYFUNCTION("""COMPUTED_VALUE"""),14.3)</f>
        <v>14.3</v>
      </c>
      <c r="O150" s="47">
        <f>IFERROR(__xludf.DUMMYFUNCTION("""COMPUTED_VALUE"""),3.4)</f>
        <v>3.4</v>
      </c>
      <c r="P150" s="47">
        <f>IFERROR(__xludf.DUMMYFUNCTION("""COMPUTED_VALUE"""),3.7)</f>
        <v>3.7</v>
      </c>
      <c r="Q150" s="48">
        <f>IFERROR(__xludf.DUMMYFUNCTION("""COMPUTED_VALUE"""),1.7)</f>
        <v>1.7</v>
      </c>
      <c r="R150" s="47">
        <f>IFERROR(__xludf.DUMMYFUNCTION("""COMPUTED_VALUE"""),0.8)</f>
        <v>0.8</v>
      </c>
      <c r="S150" s="47">
        <f>IFERROR(__xludf.DUMMYFUNCTION("""COMPUTED_VALUE"""),0.2)</f>
        <v>0.2</v>
      </c>
      <c r="T150" s="47">
        <f>IFERROR(__xludf.DUMMYFUNCTION("""COMPUTED_VALUE"""),42.14876033057851)</f>
        <v>42.14876033</v>
      </c>
      <c r="U150" s="47">
        <f>IFERROR(__xludf.DUMMYFUNCTION("""COMPUTED_VALUE"""),77.77777777777777)</f>
        <v>77.77777778</v>
      </c>
      <c r="V150" s="47">
        <f>IFERROR(__xludf.DUMMYFUNCTION("""COMPUTED_VALUE"""),1.0)</f>
        <v>1</v>
      </c>
      <c r="W150" s="46">
        <f>IFERROR(__xludf.DUMMYFUNCTION("""COMPUTED_VALUE"""),-0.49827632120720944)</f>
        <v>-0.4982763212</v>
      </c>
      <c r="X150" s="46">
        <f>IFERROR(__xludf.DUMMYFUNCTION("""COMPUTED_VALUE"""),1.5221000640421976)</f>
        <v>1.522100064</v>
      </c>
      <c r="Y150" s="46">
        <f>IFERROR(__xludf.DUMMYFUNCTION("""COMPUTED_VALUE"""),-1.0016174926167358)</f>
        <v>-1.001617493</v>
      </c>
      <c r="Z150" s="46">
        <f>IFERROR(__xludf.DUMMYFUNCTION("""COMPUTED_VALUE"""),-1.0934927533668515)</f>
        <v>-1.093492753</v>
      </c>
      <c r="AA150" s="46">
        <f>IFERROR(__xludf.DUMMYFUNCTION("""COMPUTED_VALUE"""),-0.42447047355638534)</f>
        <v>-0.4244704736</v>
      </c>
      <c r="AB150" s="46">
        <f>IFERROR(__xludf.DUMMYFUNCTION("""COMPUTED_VALUE"""),-0.6583300762210907)</f>
        <v>-0.6583300762</v>
      </c>
      <c r="AC150" s="46">
        <f>IFERROR(__xludf.DUMMYFUNCTION("""COMPUTED_VALUE"""),-0.9003885110307909)</f>
        <v>-0.900388511</v>
      </c>
      <c r="AD150" s="46">
        <f>IFERROR(__xludf.DUMMYFUNCTION("""COMPUTED_VALUE"""),-0.026922837868795582)</f>
        <v>-0.02692283787</v>
      </c>
      <c r="AE150" s="46">
        <f>IFERROR(__xludf.DUMMYFUNCTION("""COMPUTED_VALUE"""),0.30880674639851335)</f>
        <v>0.3088067464</v>
      </c>
    </row>
    <row r="151">
      <c r="A151" s="6" t="str">
        <f>IF(VLOOKUP(H151,'Paste #BBall'!$B$2:$N1001,3,)="BRO","BKN",IF(VLOOKUP(H151,'Paste #BBall'!$B$2:$N1001,3,)="OKL","OKC",VLOOKUP(H151,'Paste #BBall'!$B$2:$N1001,3,)))</f>
        <v>WAS</v>
      </c>
      <c r="B151" s="42">
        <f>VLOOKUP($A151,Schedule!$C$2:$G$31,2,0)</f>
        <v>4</v>
      </c>
      <c r="C151" s="42">
        <f>VLOOKUP($A151,Schedule!$C$2:$G$31,3,0)</f>
        <v>4</v>
      </c>
      <c r="D151" s="42">
        <f>VLOOKUP($A151,Schedule!$C$2:$G$31,4,0)</f>
        <v>3</v>
      </c>
      <c r="E151" s="42">
        <f t="shared" si="1"/>
        <v>11</v>
      </c>
      <c r="F151" s="51">
        <v>146.0</v>
      </c>
      <c r="G151" s="45">
        <f>IFERROR(__xludf.DUMMYFUNCTION("""COMPUTED_VALUE"""),144.0)</f>
        <v>144</v>
      </c>
      <c r="H151" s="45" t="str">
        <f>IFERROR(__xludf.DUMMYFUNCTION("""COMPUTED_VALUE"""),"Deni Avdija")</f>
        <v>Deni Avdija</v>
      </c>
      <c r="I151" s="45">
        <f>IFERROR(__xludf.DUMMYFUNCTION("""COMPUTED_VALUE"""),78.0)</f>
        <v>78</v>
      </c>
      <c r="J151" s="46" t="str">
        <f>IFERROR(__xludf.DUMMYFUNCTION("""COMPUTED_VALUE"""),"SF,PF")</f>
        <v>SF,PF</v>
      </c>
      <c r="K151" s="46">
        <f>IFERROR(__xludf.DUMMYFUNCTION("""COMPUTED_VALUE"""),-3.238928745944762)</f>
        <v>-3.238928746</v>
      </c>
      <c r="L151" s="46">
        <f>IFERROR(__xludf.DUMMYFUNCTION("""COMPUTED_VALUE"""),-1.6883341067843707)</f>
        <v>-1.688334107</v>
      </c>
      <c r="M151" s="47">
        <f>IFERROR(__xludf.DUMMYFUNCTION("""COMPUTED_VALUE"""),1.5505946391603913)</f>
        <v>1.550594639</v>
      </c>
      <c r="N151" s="47">
        <f>IFERROR(__xludf.DUMMYFUNCTION("""COMPUTED_VALUE"""),10.5)</f>
        <v>10.5</v>
      </c>
      <c r="O151" s="47">
        <f>IFERROR(__xludf.DUMMYFUNCTION("""COMPUTED_VALUE"""),1.1)</f>
        <v>1.1</v>
      </c>
      <c r="P151" s="47">
        <f>IFERROR(__xludf.DUMMYFUNCTION("""COMPUTED_VALUE"""),6.9)</f>
        <v>6.9</v>
      </c>
      <c r="Q151" s="48">
        <f>IFERROR(__xludf.DUMMYFUNCTION("""COMPUTED_VALUE"""),2.9)</f>
        <v>2.9</v>
      </c>
      <c r="R151" s="47">
        <f>IFERROR(__xludf.DUMMYFUNCTION("""COMPUTED_VALUE"""),0.9)</f>
        <v>0.9</v>
      </c>
      <c r="S151" s="47">
        <f>IFERROR(__xludf.DUMMYFUNCTION("""COMPUTED_VALUE"""),0.6)</f>
        <v>0.6</v>
      </c>
      <c r="T151" s="47">
        <f>IFERROR(__xludf.DUMMYFUNCTION("""COMPUTED_VALUE"""),43.18181818181818)</f>
        <v>43.18181818</v>
      </c>
      <c r="U151" s="47">
        <f>IFERROR(__xludf.DUMMYFUNCTION("""COMPUTED_VALUE"""),73.91304347826087)</f>
        <v>73.91304348</v>
      </c>
      <c r="V151" s="47">
        <f>IFERROR(__xludf.DUMMYFUNCTION("""COMPUTED_VALUE"""),1.6)</f>
        <v>1.6</v>
      </c>
      <c r="W151" s="46">
        <f>IFERROR(__xludf.DUMMYFUNCTION("""COMPUTED_VALUE"""),-1.1386765536493952)</f>
        <v>-1.138676554</v>
      </c>
      <c r="X151" s="46">
        <f>IFERROR(__xludf.DUMMYFUNCTION("""COMPUTED_VALUE"""),-0.472296145963719)</f>
        <v>-0.472296146</v>
      </c>
      <c r="Y151" s="46">
        <f>IFERROR(__xludf.DUMMYFUNCTION("""COMPUTED_VALUE"""),0.33647434277439525)</f>
        <v>0.3364743428</v>
      </c>
      <c r="Z151" s="46">
        <f>IFERROR(__xludf.DUMMYFUNCTION("""COMPUTED_VALUE"""),-0.48146322722868856)</f>
        <v>-0.4814632272</v>
      </c>
      <c r="AA151" s="46">
        <f>IFERROR(__xludf.DUMMYFUNCTION("""COMPUTED_VALUE"""),-0.2064205727568726)</f>
        <v>-0.2064205728</v>
      </c>
      <c r="AB151" s="46">
        <f>IFERROR(__xludf.DUMMYFUNCTION("""COMPUTED_VALUE"""),-0.13306671753405044)</f>
        <v>-0.1330667175</v>
      </c>
      <c r="AC151" s="46">
        <f>IFERROR(__xludf.DUMMYFUNCTION("""COMPUTED_VALUE"""),-0.5640220962746021)</f>
        <v>-0.5640220963</v>
      </c>
      <c r="AD151" s="46">
        <f>IFERROR(__xludf.DUMMYFUNCTION("""COMPUTED_VALUE"""),-0.29006890821096765)</f>
        <v>-0.2900689082</v>
      </c>
      <c r="AE151" s="46">
        <f>IFERROR(__xludf.DUMMYFUNCTION("""COMPUTED_VALUE"""),0.12252921841013387)</f>
        <v>0.1225292184</v>
      </c>
    </row>
    <row r="152">
      <c r="A152" s="6" t="str">
        <f>IF(VLOOKUP(H152,'Paste #BBall'!$B$2:$N1001,3,)="BRO","BKN",IF(VLOOKUP(H152,'Paste #BBall'!$B$2:$N1001,3,)="OKL","OKC",VLOOKUP(H152,'Paste #BBall'!$B$2:$N1001,3,)))</f>
        <v>MIN</v>
      </c>
      <c r="B152" s="42">
        <f>VLOOKUP($A152,Schedule!$C$2:$G$31,2,0)</f>
        <v>4</v>
      </c>
      <c r="C152" s="42">
        <f>VLOOKUP($A152,Schedule!$C$2:$G$31,3,0)</f>
        <v>2</v>
      </c>
      <c r="D152" s="42">
        <f>VLOOKUP($A152,Schedule!$C$2:$G$31,4,0)</f>
        <v>4</v>
      </c>
      <c r="E152" s="42">
        <f t="shared" si="1"/>
        <v>10</v>
      </c>
      <c r="F152" s="51">
        <v>147.0</v>
      </c>
      <c r="G152" s="45">
        <f>IFERROR(__xludf.DUMMYFUNCTION("""COMPUTED_VALUE"""),136.0)</f>
        <v>136</v>
      </c>
      <c r="H152" s="45" t="str">
        <f>IFERROR(__xludf.DUMMYFUNCTION("""COMPUTED_VALUE"""),"Jaden McDaniels")</f>
        <v>Jaden McDaniels</v>
      </c>
      <c r="I152" s="45">
        <f>IFERROR(__xludf.DUMMYFUNCTION("""COMPUTED_VALUE"""),74.0)</f>
        <v>74</v>
      </c>
      <c r="J152" s="46" t="str">
        <f>IFERROR(__xludf.DUMMYFUNCTION("""COMPUTED_VALUE"""),"SF,PF")</f>
        <v>SF,PF</v>
      </c>
      <c r="K152" s="46">
        <f>IFERROR(__xludf.DUMMYFUNCTION("""COMPUTED_VALUE"""),-2.86013470553657)</f>
        <v>-2.860134706</v>
      </c>
      <c r="L152" s="46">
        <f>IFERROR(__xludf.DUMMYFUNCTION("""COMPUTED_VALUE"""),-1.6909407274024368)</f>
        <v>-1.690940727</v>
      </c>
      <c r="M152" s="47">
        <f>IFERROR(__xludf.DUMMYFUNCTION("""COMPUTED_VALUE"""),1.1691939781341332)</f>
        <v>1.169193978</v>
      </c>
      <c r="N152" s="47">
        <f>IFERROR(__xludf.DUMMYFUNCTION("""COMPUTED_VALUE"""),11.8)</f>
        <v>11.8</v>
      </c>
      <c r="O152" s="47">
        <f>IFERROR(__xludf.DUMMYFUNCTION("""COMPUTED_VALUE"""),1.4)</f>
        <v>1.4</v>
      </c>
      <c r="P152" s="47">
        <f>IFERROR(__xludf.DUMMYFUNCTION("""COMPUTED_VALUE"""),4.4)</f>
        <v>4.4</v>
      </c>
      <c r="Q152" s="48">
        <f>IFERROR(__xludf.DUMMYFUNCTION("""COMPUTED_VALUE"""),1.7)</f>
        <v>1.7</v>
      </c>
      <c r="R152" s="47">
        <f>IFERROR(__xludf.DUMMYFUNCTION("""COMPUTED_VALUE"""),0.9)</f>
        <v>0.9</v>
      </c>
      <c r="S152" s="47">
        <f>IFERROR(__xludf.DUMMYFUNCTION("""COMPUTED_VALUE"""),1.0)</f>
        <v>1</v>
      </c>
      <c r="T152" s="47">
        <f>IFERROR(__xludf.DUMMYFUNCTION("""COMPUTED_VALUE"""),48.93617021276595)</f>
        <v>48.93617021</v>
      </c>
      <c r="U152" s="47">
        <f>IFERROR(__xludf.DUMMYFUNCTION("""COMPUTED_VALUE"""),74.99999999999999)</f>
        <v>75</v>
      </c>
      <c r="V152" s="47">
        <f>IFERROR(__xludf.DUMMYFUNCTION("""COMPUTED_VALUE"""),1.4)</f>
        <v>1.4</v>
      </c>
      <c r="W152" s="46">
        <f>IFERROR(__xludf.DUMMYFUNCTION("""COMPUTED_VALUE"""),-0.9195922636033842)</f>
        <v>-0.9195922636</v>
      </c>
      <c r="X152" s="46">
        <f>IFERROR(__xludf.DUMMYFUNCTION("""COMPUTED_VALUE"""),-0.21215750987599089)</f>
        <v>-0.2121575099</v>
      </c>
      <c r="Y152" s="46">
        <f>IFERROR(__xludf.DUMMYFUNCTION("""COMPUTED_VALUE"""),-0.7089099036249258)</f>
        <v>-0.7089099036</v>
      </c>
      <c r="Z152" s="46">
        <f>IFERROR(__xludf.DUMMYFUNCTION("""COMPUTED_VALUE"""),-1.0934927533668515)</f>
        <v>-1.093492753</v>
      </c>
      <c r="AA152" s="46">
        <f>IFERROR(__xludf.DUMMYFUNCTION("""COMPUTED_VALUE"""),-0.2064205727568726)</f>
        <v>-0.2064205728</v>
      </c>
      <c r="AB152" s="46">
        <f>IFERROR(__xludf.DUMMYFUNCTION("""COMPUTED_VALUE"""),0.39219664115299)</f>
        <v>0.3921966412</v>
      </c>
      <c r="AC152" s="46">
        <f>IFERROR(__xludf.DUMMYFUNCTION("""COMPUTED_VALUE"""),-0.06218297339396541)</f>
        <v>-0.06218297339</v>
      </c>
      <c r="AD152" s="46">
        <f>IFERROR(__xludf.DUMMYFUNCTION("""COMPUTED_VALUE"""),-0.15849587303988213)</f>
        <v>-0.158495873</v>
      </c>
      <c r="AE152" s="46">
        <f>IFERROR(__xludf.DUMMYFUNCTION("""COMPUTED_VALUE"""),0.18462172773959373)</f>
        <v>0.1846217277</v>
      </c>
    </row>
    <row r="153">
      <c r="A153" s="6" t="str">
        <f>IF(VLOOKUP(H153,'Paste #BBall'!$B$2:$N1001,3,)="BRO","BKN",IF(VLOOKUP(H153,'Paste #BBall'!$B$2:$N1001,3,)="OKL","OKC",VLOOKUP(H153,'Paste #BBall'!$B$2:$N1001,3,)))</f>
        <v>MIA</v>
      </c>
      <c r="B153" s="42">
        <f>VLOOKUP($A153,Schedule!$C$2:$G$31,2,0)</f>
        <v>4</v>
      </c>
      <c r="C153" s="42">
        <f>VLOOKUP($A153,Schedule!$C$2:$G$31,3,0)</f>
        <v>3</v>
      </c>
      <c r="D153" s="42">
        <f>VLOOKUP($A153,Schedule!$C$2:$G$31,4,0)</f>
        <v>4</v>
      </c>
      <c r="E153" s="42">
        <f t="shared" si="1"/>
        <v>11</v>
      </c>
      <c r="F153" s="43">
        <v>148.0</v>
      </c>
      <c r="G153" s="45">
        <f>IFERROR(__xludf.DUMMYFUNCTION("""COMPUTED_VALUE"""),142.0)</f>
        <v>142</v>
      </c>
      <c r="H153" s="45" t="str">
        <f>IFERROR(__xludf.DUMMYFUNCTION("""COMPUTED_VALUE"""),"Caleb Martin")</f>
        <v>Caleb Martin</v>
      </c>
      <c r="I153" s="45">
        <f>IFERROR(__xludf.DUMMYFUNCTION("""COMPUTED_VALUE"""),70.0)</f>
        <v>70</v>
      </c>
      <c r="J153" s="46" t="str">
        <f>IFERROR(__xludf.DUMMYFUNCTION("""COMPUTED_VALUE"""),"SG,SF")</f>
        <v>SG,SF</v>
      </c>
      <c r="K153" s="46">
        <f>IFERROR(__xludf.DUMMYFUNCTION("""COMPUTED_VALUE"""),-3.181887689213369)</f>
        <v>-3.181887689</v>
      </c>
      <c r="L153" s="46">
        <f>IFERROR(__xludf.DUMMYFUNCTION("""COMPUTED_VALUE"""),-1.789186203699009)</f>
        <v>-1.789186204</v>
      </c>
      <c r="M153" s="47">
        <f>IFERROR(__xludf.DUMMYFUNCTION("""COMPUTED_VALUE"""),1.3927014855143602)</f>
        <v>1.392701486</v>
      </c>
      <c r="N153" s="47">
        <f>IFERROR(__xludf.DUMMYFUNCTION("""COMPUTED_VALUE"""),10.7)</f>
        <v>10.7</v>
      </c>
      <c r="O153" s="47">
        <f>IFERROR(__xludf.DUMMYFUNCTION("""COMPUTED_VALUE"""),1.3)</f>
        <v>1.3</v>
      </c>
      <c r="P153" s="47">
        <f>IFERROR(__xludf.DUMMYFUNCTION("""COMPUTED_VALUE"""),5.0)</f>
        <v>5</v>
      </c>
      <c r="Q153" s="48">
        <f>IFERROR(__xludf.DUMMYFUNCTION("""COMPUTED_VALUE"""),1.6)</f>
        <v>1.6</v>
      </c>
      <c r="R153" s="47">
        <f>IFERROR(__xludf.DUMMYFUNCTION("""COMPUTED_VALUE"""),1.1)</f>
        <v>1.1</v>
      </c>
      <c r="S153" s="47">
        <f>IFERROR(__xludf.DUMMYFUNCTION("""COMPUTED_VALUE"""),0.5)</f>
        <v>0.5</v>
      </c>
      <c r="T153" s="47">
        <f>IFERROR(__xludf.DUMMYFUNCTION("""COMPUTED_VALUE"""),48.192771084337345)</f>
        <v>48.19277108</v>
      </c>
      <c r="U153" s="47">
        <f>IFERROR(__xludf.DUMMYFUNCTION("""COMPUTED_VALUE"""),77.77777777777777)</f>
        <v>77.77777778</v>
      </c>
      <c r="V153" s="47">
        <f>IFERROR(__xludf.DUMMYFUNCTION("""COMPUTED_VALUE"""),1.1)</f>
        <v>1.1</v>
      </c>
      <c r="W153" s="46">
        <f>IFERROR(__xludf.DUMMYFUNCTION("""COMPUTED_VALUE"""),-1.1049712782577013)</f>
        <v>-1.104971278</v>
      </c>
      <c r="X153" s="46">
        <f>IFERROR(__xludf.DUMMYFUNCTION("""COMPUTED_VALUE"""),-0.2988703885719002)</f>
        <v>-0.2988703886</v>
      </c>
      <c r="Y153" s="46">
        <f>IFERROR(__xludf.DUMMYFUNCTION("""COMPUTED_VALUE"""),-0.45801768448908886)</f>
        <v>-0.4580176845</v>
      </c>
      <c r="Z153" s="46">
        <f>IFERROR(__xludf.DUMMYFUNCTION("""COMPUTED_VALUE"""),-1.144495213878365)</f>
        <v>-1.144495214</v>
      </c>
      <c r="AA153" s="46">
        <f>IFERROR(__xludf.DUMMYFUNCTION("""COMPUTED_VALUE"""),0.22967922884215308)</f>
        <v>0.2296792288</v>
      </c>
      <c r="AB153" s="46">
        <f>IFERROR(__xludf.DUMMYFUNCTION("""COMPUTED_VALUE"""),-0.2643825572058105)</f>
        <v>-0.2643825572</v>
      </c>
      <c r="AC153" s="46">
        <f>IFERROR(__xludf.DUMMYFUNCTION("""COMPUTED_VALUE"""),-0.11653834001285343)</f>
        <v>-0.11653834</v>
      </c>
      <c r="AD153" s="46">
        <f>IFERROR(__xludf.DUMMYFUNCTION("""COMPUTED_VALUE"""),-0.053845675737591164)</f>
        <v>-0.05384567574</v>
      </c>
      <c r="AE153" s="46">
        <f>IFERROR(__xludf.DUMMYFUNCTION("""COMPUTED_VALUE"""),0.2777604917337834)</f>
        <v>0.2777604917</v>
      </c>
    </row>
    <row r="154">
      <c r="A154" s="6" t="str">
        <f>IF(VLOOKUP(H154,'Paste #BBall'!$B$2:$N1001,3,)="BRO","BKN",IF(VLOOKUP(H154,'Paste #BBall'!$B$2:$N1001,3,)="OKL","OKC",VLOOKUP(H154,'Paste #BBall'!$B$2:$N1001,3,)))</f>
        <v>SAC</v>
      </c>
      <c r="B154" s="42">
        <f>VLOOKUP($A154,Schedule!$C$2:$G$31,2,0)</f>
        <v>4</v>
      </c>
      <c r="C154" s="42">
        <f>VLOOKUP($A154,Schedule!$C$2:$G$31,3,0)</f>
        <v>3</v>
      </c>
      <c r="D154" s="42">
        <f>VLOOKUP($A154,Schedule!$C$2:$G$31,4,0)</f>
        <v>4</v>
      </c>
      <c r="E154" s="42">
        <f t="shared" si="1"/>
        <v>11</v>
      </c>
      <c r="F154" s="51">
        <v>149.0</v>
      </c>
      <c r="G154" s="45">
        <f>IFERROR(__xludf.DUMMYFUNCTION("""COMPUTED_VALUE"""),153.0)</f>
        <v>153</v>
      </c>
      <c r="H154" s="45" t="str">
        <f>IFERROR(__xludf.DUMMYFUNCTION("""COMPUTED_VALUE"""),"Harrison Barnes")</f>
        <v>Harrison Barnes</v>
      </c>
      <c r="I154" s="45">
        <f>IFERROR(__xludf.DUMMYFUNCTION("""COMPUTED_VALUE"""),78.0)</f>
        <v>78</v>
      </c>
      <c r="J154" s="46" t="str">
        <f>IFERROR(__xludf.DUMMYFUNCTION("""COMPUTED_VALUE"""),"SF,PF")</f>
        <v>SF,PF</v>
      </c>
      <c r="K154" s="46">
        <f>IFERROR(__xludf.DUMMYFUNCTION("""COMPUTED_VALUE"""),-3.633176139811357)</f>
        <v>-3.63317614</v>
      </c>
      <c r="L154" s="46">
        <f>IFERROR(__xludf.DUMMYFUNCTION("""COMPUTED_VALUE"""),-1.8012672175512512)</f>
        <v>-1.801267218</v>
      </c>
      <c r="M154" s="47">
        <f>IFERROR(__xludf.DUMMYFUNCTION("""COMPUTED_VALUE"""),1.8319089222601057)</f>
        <v>1.831908922</v>
      </c>
      <c r="N154" s="47">
        <f>IFERROR(__xludf.DUMMYFUNCTION("""COMPUTED_VALUE"""),14.9)</f>
        <v>14.9</v>
      </c>
      <c r="O154" s="47">
        <f>IFERROR(__xludf.DUMMYFUNCTION("""COMPUTED_VALUE"""),1.6)</f>
        <v>1.6</v>
      </c>
      <c r="P154" s="47">
        <f>IFERROR(__xludf.DUMMYFUNCTION("""COMPUTED_VALUE"""),4.8)</f>
        <v>4.8</v>
      </c>
      <c r="Q154" s="48">
        <f>IFERROR(__xludf.DUMMYFUNCTION("""COMPUTED_VALUE"""),1.5)</f>
        <v>1.5</v>
      </c>
      <c r="R154" s="47">
        <f>IFERROR(__xludf.DUMMYFUNCTION("""COMPUTED_VALUE"""),0.7)</f>
        <v>0.7</v>
      </c>
      <c r="S154" s="47">
        <f>IFERROR(__xludf.DUMMYFUNCTION("""COMPUTED_VALUE"""),0.1)</f>
        <v>0.1</v>
      </c>
      <c r="T154" s="47">
        <f>IFERROR(__xludf.DUMMYFUNCTION("""COMPUTED_VALUE"""),47.42268041237113)</f>
        <v>47.42268041</v>
      </c>
      <c r="U154" s="47">
        <f>IFERROR(__xludf.DUMMYFUNCTION("""COMPUTED_VALUE"""),83.67346938775509)</f>
        <v>83.67346939</v>
      </c>
      <c r="V154" s="47">
        <f>IFERROR(__xludf.DUMMYFUNCTION("""COMPUTED_VALUE"""),1.2)</f>
        <v>1.2</v>
      </c>
      <c r="W154" s="46">
        <f>IFERROR(__xludf.DUMMYFUNCTION("""COMPUTED_VALUE"""),-0.3971604950321275)</f>
        <v>-0.397160495</v>
      </c>
      <c r="X154" s="46">
        <f>IFERROR(__xludf.DUMMYFUNCTION("""COMPUTED_VALUE"""),-0.03873175248417188)</f>
        <v>-0.03873175248</v>
      </c>
      <c r="Y154" s="46">
        <f>IFERROR(__xludf.DUMMYFUNCTION("""COMPUTED_VALUE"""),-0.5416484242010347)</f>
        <v>-0.5416484242</v>
      </c>
      <c r="Z154" s="46">
        <f>IFERROR(__xludf.DUMMYFUNCTION("""COMPUTED_VALUE"""),-1.1954976743898784)</f>
        <v>-1.195497674</v>
      </c>
      <c r="AA154" s="46">
        <f>IFERROR(__xludf.DUMMYFUNCTION("""COMPUTED_VALUE"""),-0.6425203743558983)</f>
        <v>-0.6425203744</v>
      </c>
      <c r="AB154" s="46">
        <f>IFERROR(__xludf.DUMMYFUNCTION("""COMPUTED_VALUE"""),-0.7896459158928509)</f>
        <v>-0.7896459159</v>
      </c>
      <c r="AC154" s="46">
        <f>IFERROR(__xludf.DUMMYFUNCTION("""COMPUTED_VALUE"""),-0.21080942364392927)</f>
        <v>-0.2108094236</v>
      </c>
      <c r="AD154" s="46">
        <f>IFERROR(__xludf.DUMMYFUNCTION("""COMPUTED_VALUE"""),0.5725349309897076)</f>
        <v>0.572534931</v>
      </c>
      <c r="AE154" s="46">
        <f>IFERROR(__xludf.DUMMYFUNCTION("""COMPUTED_VALUE"""),0.24671423706905354)</f>
        <v>0.2467142371</v>
      </c>
    </row>
    <row r="155">
      <c r="A155" s="6" t="str">
        <f>IF(VLOOKUP(H155,'Paste #BBall'!$B$2:$N1001,3,)="BRO","BKN",IF(VLOOKUP(H155,'Paste #BBall'!$B$2:$N1001,3,)="OKL","OKC",VLOOKUP(H155,'Paste #BBall'!$B$2:$N1001,3,)))</f>
        <v>CHA</v>
      </c>
      <c r="B155" s="42">
        <f>VLOOKUP($A155,Schedule!$C$2:$G$31,2,0)</f>
        <v>3</v>
      </c>
      <c r="C155" s="42">
        <f>VLOOKUP($A155,Schedule!$C$2:$G$31,3,0)</f>
        <v>4</v>
      </c>
      <c r="D155" s="42">
        <f>VLOOKUP($A155,Schedule!$C$2:$G$31,4,0)</f>
        <v>2</v>
      </c>
      <c r="E155" s="42">
        <f t="shared" si="1"/>
        <v>9</v>
      </c>
      <c r="F155" s="51">
        <v>150.0</v>
      </c>
      <c r="G155" s="45">
        <f>IFERROR(__xludf.DUMMYFUNCTION("""COMPUTED_VALUE"""),145.0)</f>
        <v>145</v>
      </c>
      <c r="H155" s="45" t="str">
        <f>IFERROR(__xludf.DUMMYFUNCTION("""COMPUTED_VALUE"""),"Brandon Miller")</f>
        <v>Brandon Miller</v>
      </c>
      <c r="I155" s="45">
        <f>IFERROR(__xludf.DUMMYFUNCTION("""COMPUTED_VALUE"""),72.0)</f>
        <v>72</v>
      </c>
      <c r="J155" s="46" t="str">
        <f>IFERROR(__xludf.DUMMYFUNCTION("""COMPUTED_VALUE"""),"SF")</f>
        <v>SF</v>
      </c>
      <c r="K155" s="46">
        <f>IFERROR(__xludf.DUMMYFUNCTION("""COMPUTED_VALUE"""),-3.284142341760976)</f>
        <v>-3.284142342</v>
      </c>
      <c r="L155" s="46">
        <f>IFERROR(__xludf.DUMMYFUNCTION("""COMPUTED_VALUE"""),-1.8479336793737016)</f>
        <v>-1.847933679</v>
      </c>
      <c r="M155" s="47">
        <f>IFERROR(__xludf.DUMMYFUNCTION("""COMPUTED_VALUE"""),1.4362086623872745)</f>
        <v>1.436208662</v>
      </c>
      <c r="N155" s="47">
        <f>IFERROR(__xludf.DUMMYFUNCTION("""COMPUTED_VALUE"""),15.0)</f>
        <v>15</v>
      </c>
      <c r="O155" s="47">
        <f>IFERROR(__xludf.DUMMYFUNCTION("""COMPUTED_VALUE"""),2.2)</f>
        <v>2.2</v>
      </c>
      <c r="P155" s="47">
        <f>IFERROR(__xludf.DUMMYFUNCTION("""COMPUTED_VALUE"""),4.8)</f>
        <v>4.8</v>
      </c>
      <c r="Q155" s="48">
        <f>IFERROR(__xludf.DUMMYFUNCTION("""COMPUTED_VALUE"""),2.0)</f>
        <v>2</v>
      </c>
      <c r="R155" s="47">
        <f>IFERROR(__xludf.DUMMYFUNCTION("""COMPUTED_VALUE"""),0.8)</f>
        <v>0.8</v>
      </c>
      <c r="S155" s="47">
        <f>IFERROR(__xludf.DUMMYFUNCTION("""COMPUTED_VALUE"""),0.3)</f>
        <v>0.3</v>
      </c>
      <c r="T155" s="47">
        <f>IFERROR(__xludf.DUMMYFUNCTION("""COMPUTED_VALUE"""),42.85714285714286)</f>
        <v>42.85714286</v>
      </c>
      <c r="U155" s="47">
        <f>IFERROR(__xludf.DUMMYFUNCTION("""COMPUTED_VALUE"""),82.6086956521739)</f>
        <v>82.60869565</v>
      </c>
      <c r="V155" s="47">
        <f>IFERROR(__xludf.DUMMYFUNCTION("""COMPUTED_VALUE"""),1.4)</f>
        <v>1.4</v>
      </c>
      <c r="W155" s="46">
        <f>IFERROR(__xludf.DUMMYFUNCTION("""COMPUTED_VALUE"""),-0.3803078573362806)</f>
        <v>-0.3803078573</v>
      </c>
      <c r="X155" s="46">
        <f>IFERROR(__xludf.DUMMYFUNCTION("""COMPUTED_VALUE"""),0.48154551969128473)</f>
        <v>0.4815455197</v>
      </c>
      <c r="Y155" s="46">
        <f>IFERROR(__xludf.DUMMYFUNCTION("""COMPUTED_VALUE"""),-0.5416484242010347)</f>
        <v>-0.5416484242</v>
      </c>
      <c r="Z155" s="46">
        <f>IFERROR(__xludf.DUMMYFUNCTION("""COMPUTED_VALUE"""),-0.9404853718323106)</f>
        <v>-0.9404853718</v>
      </c>
      <c r="AA155" s="46">
        <f>IFERROR(__xludf.DUMMYFUNCTION("""COMPUTED_VALUE"""),-0.42447047355638534)</f>
        <v>-0.4244704736</v>
      </c>
      <c r="AB155" s="46">
        <f>IFERROR(__xludf.DUMMYFUNCTION("""COMPUTED_VALUE"""),-0.5270142365493308)</f>
        <v>-0.5270142365</v>
      </c>
      <c r="AC155" s="46">
        <f>IFERROR(__xludf.DUMMYFUNCTION("""COMPUTED_VALUE"""),-0.8484397526796853)</f>
        <v>-0.8484397527</v>
      </c>
      <c r="AD155" s="46">
        <f>IFERROR(__xludf.DUMMYFUNCTION("""COMPUTED_VALUE"""),0.20777981751813673)</f>
        <v>0.2077798175</v>
      </c>
      <c r="AE155" s="46">
        <f>IFERROR(__xludf.DUMMYFUNCTION("""COMPUTED_VALUE"""),0.18462172773959373)</f>
        <v>0.1846217277</v>
      </c>
    </row>
    <row r="156">
      <c r="A156" s="6" t="str">
        <f>IF(VLOOKUP(H156,'Paste #BBall'!$B$2:$N1001,3,)="BRO","BKN",IF(VLOOKUP(H156,'Paste #BBall'!$B$2:$N1001,3,)="OKL","OKC",VLOOKUP(H156,'Paste #BBall'!$B$2:$N1001,3,)))</f>
        <v>CHI</v>
      </c>
      <c r="B156" s="42">
        <f>VLOOKUP($A156,Schedule!$C$2:$G$31,2,0)</f>
        <v>4</v>
      </c>
      <c r="C156" s="42">
        <f>VLOOKUP($A156,Schedule!$C$2:$G$31,3,0)</f>
        <v>4</v>
      </c>
      <c r="D156" s="42">
        <f>VLOOKUP($A156,Schedule!$C$2:$G$31,4,0)</f>
        <v>3</v>
      </c>
      <c r="E156" s="42">
        <f t="shared" si="1"/>
        <v>11</v>
      </c>
      <c r="F156" s="43">
        <v>151.0</v>
      </c>
      <c r="G156" s="45">
        <f>IFERROR(__xludf.DUMMYFUNCTION("""COMPUTED_VALUE"""),146.0)</f>
        <v>146</v>
      </c>
      <c r="H156" s="45" t="str">
        <f>IFERROR(__xludf.DUMMYFUNCTION("""COMPUTED_VALUE"""),"Patrick Williams")</f>
        <v>Patrick Williams</v>
      </c>
      <c r="I156" s="45">
        <f>IFERROR(__xludf.DUMMYFUNCTION("""COMPUTED_VALUE"""),72.0)</f>
        <v>72</v>
      </c>
      <c r="J156" s="46" t="str">
        <f>IFERROR(__xludf.DUMMYFUNCTION("""COMPUTED_VALUE"""),"PF")</f>
        <v>PF</v>
      </c>
      <c r="K156" s="46">
        <f>IFERROR(__xludf.DUMMYFUNCTION("""COMPUTED_VALUE"""),-3.3110387443262144)</f>
        <v>-3.311038744</v>
      </c>
      <c r="L156" s="46">
        <f>IFERROR(__xludf.DUMMYFUNCTION("""COMPUTED_VALUE"""),-1.8733778507574141)</f>
        <v>-1.873377851</v>
      </c>
      <c r="M156" s="47">
        <f>IFERROR(__xludf.DUMMYFUNCTION("""COMPUTED_VALUE"""),1.4376608935688002)</f>
        <v>1.437660894</v>
      </c>
      <c r="N156" s="47">
        <f>IFERROR(__xludf.DUMMYFUNCTION("""COMPUTED_VALUE"""),10.7)</f>
        <v>10.7</v>
      </c>
      <c r="O156" s="47">
        <f>IFERROR(__xludf.DUMMYFUNCTION("""COMPUTED_VALUE"""),1.4)</f>
        <v>1.4</v>
      </c>
      <c r="P156" s="47">
        <f>IFERROR(__xludf.DUMMYFUNCTION("""COMPUTED_VALUE"""),4.3)</f>
        <v>4.3</v>
      </c>
      <c r="Q156" s="48">
        <f>IFERROR(__xludf.DUMMYFUNCTION("""COMPUTED_VALUE"""),1.2)</f>
        <v>1.2</v>
      </c>
      <c r="R156" s="47">
        <f>IFERROR(__xludf.DUMMYFUNCTION("""COMPUTED_VALUE"""),0.9)</f>
        <v>0.9</v>
      </c>
      <c r="S156" s="47">
        <f>IFERROR(__xludf.DUMMYFUNCTION("""COMPUTED_VALUE"""),0.9)</f>
        <v>0.9</v>
      </c>
      <c r="T156" s="47">
        <f>IFERROR(__xludf.DUMMYFUNCTION("""COMPUTED_VALUE"""),47.61904761904761)</f>
        <v>47.61904762</v>
      </c>
      <c r="U156" s="47">
        <f>IFERROR(__xludf.DUMMYFUNCTION("""COMPUTED_VALUE"""),81.25)</f>
        <v>81.25</v>
      </c>
      <c r="V156" s="47">
        <f>IFERROR(__xludf.DUMMYFUNCTION("""COMPUTED_VALUE"""),1.3)</f>
        <v>1.3</v>
      </c>
      <c r="W156" s="46">
        <f>IFERROR(__xludf.DUMMYFUNCTION("""COMPUTED_VALUE"""),-1.1049712782577013)</f>
        <v>-1.104971278</v>
      </c>
      <c r="X156" s="46">
        <f>IFERROR(__xludf.DUMMYFUNCTION("""COMPUTED_VALUE"""),-0.21215750987599089)</f>
        <v>-0.2121575099</v>
      </c>
      <c r="Y156" s="46">
        <f>IFERROR(__xludf.DUMMYFUNCTION("""COMPUTED_VALUE"""),-0.7507252734808988)</f>
        <v>-0.7507252735</v>
      </c>
      <c r="Z156" s="46">
        <f>IFERROR(__xludf.DUMMYFUNCTION("""COMPUTED_VALUE"""),-1.3485050559244194)</f>
        <v>-1.348505056</v>
      </c>
      <c r="AA156" s="46">
        <f>IFERROR(__xludf.DUMMYFUNCTION("""COMPUTED_VALUE"""),-0.2064205727568726)</f>
        <v>-0.2064205728</v>
      </c>
      <c r="AB156" s="46">
        <f>IFERROR(__xludf.DUMMYFUNCTION("""COMPUTED_VALUE"""),0.2608808014812299)</f>
        <v>0.2608808015</v>
      </c>
      <c r="AC156" s="46">
        <f>IFERROR(__xludf.DUMMYFUNCTION("""COMPUTED_VALUE"""),-0.1660804900961746)</f>
        <v>-0.1660804901</v>
      </c>
      <c r="AD156" s="46">
        <f>IFERROR(__xludf.DUMMYFUNCTION("""COMPUTED_VALUE"""),0.0904284898246707)</f>
        <v>0.09042848982</v>
      </c>
      <c r="AE156" s="46">
        <f>IFERROR(__xludf.DUMMYFUNCTION("""COMPUTED_VALUE"""),0.2156679824043236)</f>
        <v>0.2156679824</v>
      </c>
    </row>
    <row r="157">
      <c r="A157" s="6" t="str">
        <f>IF(VLOOKUP(H157,'Paste #BBall'!$B$2:$N1001,3,)="BRO","BKN",IF(VLOOKUP(H157,'Paste #BBall'!$B$2:$N1001,3,)="OKL","OKC",VLOOKUP(H157,'Paste #BBall'!$B$2:$N1001,3,)))</f>
        <v>POR</v>
      </c>
      <c r="B157" s="42">
        <f>VLOOKUP($A157,Schedule!$C$2:$G$31,2,0)</f>
        <v>4</v>
      </c>
      <c r="C157" s="42">
        <f>VLOOKUP($A157,Schedule!$C$2:$G$31,3,0)</f>
        <v>4</v>
      </c>
      <c r="D157" s="42">
        <f>VLOOKUP($A157,Schedule!$C$2:$G$31,4,0)</f>
        <v>4</v>
      </c>
      <c r="E157" s="42">
        <f t="shared" si="1"/>
        <v>12</v>
      </c>
      <c r="F157" s="51">
        <v>152.0</v>
      </c>
      <c r="G157" s="45">
        <f>IFERROR(__xludf.DUMMYFUNCTION("""COMPUTED_VALUE"""),152.0)</f>
        <v>152</v>
      </c>
      <c r="H157" s="45" t="str">
        <f>IFERROR(__xludf.DUMMYFUNCTION("""COMPUTED_VALUE"""),"Malcolm Brogdon")</f>
        <v>Malcolm Brogdon</v>
      </c>
      <c r="I157" s="45">
        <f>IFERROR(__xludf.DUMMYFUNCTION("""COMPUTED_VALUE"""),61.0)</f>
        <v>61</v>
      </c>
      <c r="J157" s="46" t="str">
        <f>IFERROR(__xludf.DUMMYFUNCTION("""COMPUTED_VALUE"""),"PG,SG")</f>
        <v>PG,SG</v>
      </c>
      <c r="K157" s="46">
        <f>IFERROR(__xludf.DUMMYFUNCTION("""COMPUTED_VALUE"""),-3.604830984555451)</f>
        <v>-3.604830985</v>
      </c>
      <c r="L157" s="46">
        <f>IFERROR(__xludf.DUMMYFUNCTION("""COMPUTED_VALUE"""),-1.9098001771564599)</f>
        <v>-1.909800177</v>
      </c>
      <c r="M157" s="47">
        <f>IFERROR(__xludf.DUMMYFUNCTION("""COMPUTED_VALUE"""),1.6950308073989913)</f>
        <v>1.695030807</v>
      </c>
      <c r="N157" s="47">
        <f>IFERROR(__xludf.DUMMYFUNCTION("""COMPUTED_VALUE"""),13.3)</f>
        <v>13.3</v>
      </c>
      <c r="O157" s="47">
        <f>IFERROR(__xludf.DUMMYFUNCTION("""COMPUTED_VALUE"""),1.5)</f>
        <v>1.5</v>
      </c>
      <c r="P157" s="47">
        <f>IFERROR(__xludf.DUMMYFUNCTION("""COMPUTED_VALUE"""),3.7)</f>
        <v>3.7</v>
      </c>
      <c r="Q157" s="48">
        <f>IFERROR(__xludf.DUMMYFUNCTION("""COMPUTED_VALUE"""),3.6)</f>
        <v>3.6</v>
      </c>
      <c r="R157" s="47">
        <f>IFERROR(__xludf.DUMMYFUNCTION("""COMPUTED_VALUE"""),0.6)</f>
        <v>0.6</v>
      </c>
      <c r="S157" s="47">
        <f>IFERROR(__xludf.DUMMYFUNCTION("""COMPUTED_VALUE"""),0.3)</f>
        <v>0.3</v>
      </c>
      <c r="T157" s="47">
        <f>IFERROR(__xludf.DUMMYFUNCTION("""COMPUTED_VALUE"""),47.0)</f>
        <v>47</v>
      </c>
      <c r="U157" s="47">
        <f>IFERROR(__xludf.DUMMYFUNCTION("""COMPUTED_VALUE"""),85.71428571428572)</f>
        <v>85.71428571</v>
      </c>
      <c r="V157" s="47">
        <f>IFERROR(__xludf.DUMMYFUNCTION("""COMPUTED_VALUE"""),1.4)</f>
        <v>1.4</v>
      </c>
      <c r="W157" s="46">
        <f>IFERROR(__xludf.DUMMYFUNCTION("""COMPUTED_VALUE"""),-0.6668026981656794)</f>
        <v>-0.6668026982</v>
      </c>
      <c r="X157" s="46">
        <f>IFERROR(__xludf.DUMMYFUNCTION("""COMPUTED_VALUE"""),-0.12544463118008137)</f>
        <v>-0.1254446312</v>
      </c>
      <c r="Y157" s="46">
        <f>IFERROR(__xludf.DUMMYFUNCTION("""COMPUTED_VALUE"""),-1.0016174926167358)</f>
        <v>-1.001617493</v>
      </c>
      <c r="Z157" s="46">
        <f>IFERROR(__xludf.DUMMYFUNCTION("""COMPUTED_VALUE"""),-0.12444600364809345)</f>
        <v>-0.1244460036</v>
      </c>
      <c r="AA157" s="46">
        <f>IFERROR(__xludf.DUMMYFUNCTION("""COMPUTED_VALUE"""),-0.860570275155411)</f>
        <v>-0.8605702752</v>
      </c>
      <c r="AB157" s="46">
        <f>IFERROR(__xludf.DUMMYFUNCTION("""COMPUTED_VALUE"""),-0.5270142365493308)</f>
        <v>-0.5270142365</v>
      </c>
      <c r="AC157" s="46">
        <f>IFERROR(__xludf.DUMMYFUNCTION("""COMPUTED_VALUE"""),-0.25954937097132247)</f>
        <v>-0.259549371</v>
      </c>
      <c r="AD157" s="46">
        <f>IFERROR(__xludf.DUMMYFUNCTION("""COMPUTED_VALUE"""),0.4694053107738645)</f>
        <v>0.4694053108</v>
      </c>
      <c r="AE157" s="46">
        <f>IFERROR(__xludf.DUMMYFUNCTION("""COMPUTED_VALUE"""),0.18462172773959373)</f>
        <v>0.1846217277</v>
      </c>
    </row>
    <row r="158">
      <c r="A158" s="6" t="str">
        <f>IF(VLOOKUP(H158,'Paste #BBall'!$B$2:$N1001,3,)="BRO","BKN",IF(VLOOKUP(H158,'Paste #BBall'!$B$2:$N1001,3,)="OKL","OKC",VLOOKUP(H158,'Paste #BBall'!$B$2:$N1001,3,)))</f>
        <v>TOR</v>
      </c>
      <c r="B158" s="42">
        <f>VLOOKUP($A158,Schedule!$C$2:$G$31,2,0)</f>
        <v>3</v>
      </c>
      <c r="C158" s="42">
        <f>VLOOKUP($A158,Schedule!$C$2:$G$31,3,0)</f>
        <v>4</v>
      </c>
      <c r="D158" s="42">
        <f>VLOOKUP($A158,Schedule!$C$2:$G$31,4,0)</f>
        <v>3</v>
      </c>
      <c r="E158" s="42">
        <f t="shared" si="1"/>
        <v>10</v>
      </c>
      <c r="F158" s="43">
        <v>153.0</v>
      </c>
      <c r="G158" s="45">
        <f>IFERROR(__xludf.DUMMYFUNCTION("""COMPUTED_VALUE"""),155.0)</f>
        <v>155</v>
      </c>
      <c r="H158" s="45" t="str">
        <f>IFERROR(__xludf.DUMMYFUNCTION("""COMPUTED_VALUE"""),"Dennis Schröder")</f>
        <v>Dennis Schröder</v>
      </c>
      <c r="I158" s="45">
        <f>IFERROR(__xludf.DUMMYFUNCTION("""COMPUTED_VALUE"""),70.0)</f>
        <v>70</v>
      </c>
      <c r="J158" s="46" t="str">
        <f>IFERROR(__xludf.DUMMYFUNCTION("""COMPUTED_VALUE"""),"PG")</f>
        <v>PG</v>
      </c>
      <c r="K158" s="46">
        <f>IFERROR(__xludf.DUMMYFUNCTION("""COMPUTED_VALUE"""),-3.7584097202728755)</f>
        <v>-3.75840972</v>
      </c>
      <c r="L158" s="46">
        <f>IFERROR(__xludf.DUMMYFUNCTION("""COMPUTED_VALUE"""),-1.929717525241809)</f>
        <v>-1.929717525</v>
      </c>
      <c r="M158" s="47">
        <f>IFERROR(__xludf.DUMMYFUNCTION("""COMPUTED_VALUE"""),1.8286921950310664)</f>
        <v>1.828692195</v>
      </c>
      <c r="N158" s="47">
        <f>IFERROR(__xludf.DUMMYFUNCTION("""COMPUTED_VALUE"""),13.5)</f>
        <v>13.5</v>
      </c>
      <c r="O158" s="47">
        <f>IFERROR(__xludf.DUMMYFUNCTION("""COMPUTED_VALUE"""),1.3)</f>
        <v>1.3</v>
      </c>
      <c r="P158" s="47">
        <f>IFERROR(__xludf.DUMMYFUNCTION("""COMPUTED_VALUE"""),3.0)</f>
        <v>3</v>
      </c>
      <c r="Q158" s="48">
        <f>IFERROR(__xludf.DUMMYFUNCTION("""COMPUTED_VALUE"""),4.7)</f>
        <v>4.7</v>
      </c>
      <c r="R158" s="47">
        <f>IFERROR(__xludf.DUMMYFUNCTION("""COMPUTED_VALUE"""),0.8)</f>
        <v>0.8</v>
      </c>
      <c r="S158" s="47">
        <f>IFERROR(__xludf.DUMMYFUNCTION("""COMPUTED_VALUE"""),0.1)</f>
        <v>0.1</v>
      </c>
      <c r="T158" s="47">
        <f>IFERROR(__xludf.DUMMYFUNCTION("""COMPUTED_VALUE"""),42.20183486238532)</f>
        <v>42.20183486</v>
      </c>
      <c r="U158" s="47">
        <f>IFERROR(__xludf.DUMMYFUNCTION("""COMPUTED_VALUE"""),85.71428571428571)</f>
        <v>85.71428571</v>
      </c>
      <c r="V158" s="47">
        <f>IFERROR(__xludf.DUMMYFUNCTION("""COMPUTED_VALUE"""),2.0)</f>
        <v>2</v>
      </c>
      <c r="W158" s="46">
        <f>IFERROR(__xludf.DUMMYFUNCTION("""COMPUTED_VALUE"""),-0.6330974227739855)</f>
        <v>-0.6330974228</v>
      </c>
      <c r="X158" s="46">
        <f>IFERROR(__xludf.DUMMYFUNCTION("""COMPUTED_VALUE"""),-0.2988703885719002)</f>
        <v>-0.2988703886</v>
      </c>
      <c r="Y158" s="46">
        <f>IFERROR(__xludf.DUMMYFUNCTION("""COMPUTED_VALUE"""),-1.2943250816085456)</f>
        <v>-1.294325082</v>
      </c>
      <c r="Z158" s="46">
        <f>IFERROR(__xludf.DUMMYFUNCTION("""COMPUTED_VALUE"""),0.4365810619785559)</f>
        <v>0.436581062</v>
      </c>
      <c r="AA158" s="46">
        <f>IFERROR(__xludf.DUMMYFUNCTION("""COMPUTED_VALUE"""),-0.42447047355638534)</f>
        <v>-0.4244704736</v>
      </c>
      <c r="AB158" s="46">
        <f>IFERROR(__xludf.DUMMYFUNCTION("""COMPUTED_VALUE"""),-0.7896459158928509)</f>
        <v>-0.7896459159</v>
      </c>
      <c r="AC158" s="46">
        <f>IFERROR(__xludf.DUMMYFUNCTION("""COMPUTED_VALUE"""),-0.805315224643787)</f>
        <v>-0.8053152246</v>
      </c>
      <c r="AD158" s="46">
        <f>IFERROR(__xludf.DUMMYFUNCTION("""COMPUTED_VALUE"""),0.5867566384673297)</f>
        <v>0.5867566385</v>
      </c>
      <c r="AE158" s="46">
        <f>IFERROR(__xludf.DUMMYFUNCTION("""COMPUTED_VALUE"""),-0.0016558002487857576)</f>
        <v>-0.001655800249</v>
      </c>
    </row>
    <row r="159">
      <c r="A159" s="6" t="str">
        <f>IF(VLOOKUP(H159,'Paste #BBall'!$B$2:$N1001,3,)="BRO","BKN",IF(VLOOKUP(H159,'Paste #BBall'!$B$2:$N1001,3,)="OKL","OKC",VLOOKUP(H159,'Paste #BBall'!$B$2:$N1001,3,)))</f>
        <v>ORL</v>
      </c>
      <c r="B159" s="42">
        <f>VLOOKUP($A159,Schedule!$C$2:$G$31,2,0)</f>
        <v>4</v>
      </c>
      <c r="C159" s="42">
        <f>VLOOKUP($A159,Schedule!$C$2:$G$31,3,0)</f>
        <v>3</v>
      </c>
      <c r="D159" s="42">
        <f>VLOOKUP($A159,Schedule!$C$2:$G$31,4,0)</f>
        <v>3</v>
      </c>
      <c r="E159" s="42">
        <f t="shared" si="1"/>
        <v>10</v>
      </c>
      <c r="F159" s="51">
        <v>154.0</v>
      </c>
      <c r="G159" s="45">
        <f>IFERROR(__xludf.DUMMYFUNCTION("""COMPUTED_VALUE"""),149.0)</f>
        <v>149</v>
      </c>
      <c r="H159" s="45" t="str">
        <f>IFERROR(__xludf.DUMMYFUNCTION("""COMPUTED_VALUE"""),"Cole Anthony")</f>
        <v>Cole Anthony</v>
      </c>
      <c r="I159" s="45">
        <f>IFERROR(__xludf.DUMMYFUNCTION("""COMPUTED_VALUE"""),64.0)</f>
        <v>64</v>
      </c>
      <c r="J159" s="46" t="str">
        <f>IFERROR(__xludf.DUMMYFUNCTION("""COMPUTED_VALUE"""),"PG")</f>
        <v>PG</v>
      </c>
      <c r="K159" s="46">
        <f>IFERROR(__xludf.DUMMYFUNCTION("""COMPUTED_VALUE"""),-3.4094441802618674)</f>
        <v>-3.40944418</v>
      </c>
      <c r="L159" s="46">
        <f>IFERROR(__xludf.DUMMYFUNCTION("""COMPUTED_VALUE"""),-1.9484616247149984)</f>
        <v>-1.948461625</v>
      </c>
      <c r="M159" s="47">
        <f>IFERROR(__xludf.DUMMYFUNCTION("""COMPUTED_VALUE"""),1.460982555546869)</f>
        <v>1.460982556</v>
      </c>
      <c r="N159" s="47">
        <f>IFERROR(__xludf.DUMMYFUNCTION("""COMPUTED_VALUE"""),12.9)</f>
        <v>12.9</v>
      </c>
      <c r="O159" s="47">
        <f>IFERROR(__xludf.DUMMYFUNCTION("""COMPUTED_VALUE"""),1.5)</f>
        <v>1.5</v>
      </c>
      <c r="P159" s="47">
        <f>IFERROR(__xludf.DUMMYFUNCTION("""COMPUTED_VALUE"""),4.5)</f>
        <v>4.5</v>
      </c>
      <c r="Q159" s="48">
        <f>IFERROR(__xludf.DUMMYFUNCTION("""COMPUTED_VALUE"""),4.0)</f>
        <v>4</v>
      </c>
      <c r="R159" s="47">
        <f>IFERROR(__xludf.DUMMYFUNCTION("""COMPUTED_VALUE"""),0.6)</f>
        <v>0.6</v>
      </c>
      <c r="S159" s="47">
        <f>IFERROR(__xludf.DUMMYFUNCTION("""COMPUTED_VALUE"""),0.3)</f>
        <v>0.3</v>
      </c>
      <c r="T159" s="47">
        <f>IFERROR(__xludf.DUMMYFUNCTION("""COMPUTED_VALUE"""),43.56435643564357)</f>
        <v>43.56435644</v>
      </c>
      <c r="U159" s="47">
        <f>IFERROR(__xludf.DUMMYFUNCTION("""COMPUTED_VALUE"""),86.66666666666667)</f>
        <v>86.66666667</v>
      </c>
      <c r="V159" s="47">
        <f>IFERROR(__xludf.DUMMYFUNCTION("""COMPUTED_VALUE"""),1.8)</f>
        <v>1.8</v>
      </c>
      <c r="W159" s="46">
        <f>IFERROR(__xludf.DUMMYFUNCTION("""COMPUTED_VALUE"""),-0.7342132489490674)</f>
        <v>-0.7342132489</v>
      </c>
      <c r="X159" s="46">
        <f>IFERROR(__xludf.DUMMYFUNCTION("""COMPUTED_VALUE"""),-0.12544463118008137)</f>
        <v>-0.1254446312</v>
      </c>
      <c r="Y159" s="46">
        <f>IFERROR(__xludf.DUMMYFUNCTION("""COMPUTED_VALUE"""),-0.6670945337689531)</f>
        <v>-0.6670945338</v>
      </c>
      <c r="Z159" s="46">
        <f>IFERROR(__xludf.DUMMYFUNCTION("""COMPUTED_VALUE"""),0.07956383839796079)</f>
        <v>0.0795638384</v>
      </c>
      <c r="AA159" s="46">
        <f>IFERROR(__xludf.DUMMYFUNCTION("""COMPUTED_VALUE"""),-0.860570275155411)</f>
        <v>-0.8605702752</v>
      </c>
      <c r="AB159" s="46">
        <f>IFERROR(__xludf.DUMMYFUNCTION("""COMPUTED_VALUE"""),-0.5270142365493308)</f>
        <v>-0.5270142365</v>
      </c>
      <c r="AC159" s="46">
        <f>IFERROR(__xludf.DUMMYFUNCTION("""COMPUTED_VALUE"""),-0.6087510298223557)</f>
        <v>-0.6087510298</v>
      </c>
      <c r="AD159" s="46">
        <f>IFERROR(__xludf.DUMMYFUNCTION("""COMPUTED_VALUE"""),0.5740555080761552)</f>
        <v>0.5740555081</v>
      </c>
      <c r="AE159" s="46">
        <f>IFERROR(__xludf.DUMMYFUNCTION("""COMPUTED_VALUE"""),0.06043670908067405)</f>
        <v>0.06043670908</v>
      </c>
    </row>
    <row r="160">
      <c r="A160" s="6" t="str">
        <f>IF(VLOOKUP(H160,'Paste #BBall'!$B$2:$N1001,3,)="BRO","BKN",IF(VLOOKUP(H160,'Paste #BBall'!$B$2:$N1001,3,)="OKL","OKC",VLOOKUP(H160,'Paste #BBall'!$B$2:$N1001,3,)))</f>
        <v>MIL</v>
      </c>
      <c r="B160" s="42">
        <f>VLOOKUP($A160,Schedule!$C$2:$G$31,2,0)</f>
        <v>4</v>
      </c>
      <c r="C160" s="42">
        <f>VLOOKUP($A160,Schedule!$C$2:$G$31,3,0)</f>
        <v>3</v>
      </c>
      <c r="D160" s="42">
        <f>VLOOKUP($A160,Schedule!$C$2:$G$31,4,0)</f>
        <v>3</v>
      </c>
      <c r="E160" s="42">
        <f t="shared" si="1"/>
        <v>10</v>
      </c>
      <c r="F160" s="51">
        <v>155.0</v>
      </c>
      <c r="G160" s="45">
        <f>IFERROR(__xludf.DUMMYFUNCTION("""COMPUTED_VALUE"""),157.0)</f>
        <v>157</v>
      </c>
      <c r="H160" s="45" t="str">
        <f>IFERROR(__xludf.DUMMYFUNCTION("""COMPUTED_VALUE"""),"Jae Crowder")</f>
        <v>Jae Crowder</v>
      </c>
      <c r="I160" s="45">
        <f>IFERROR(__xludf.DUMMYFUNCTION("""COMPUTED_VALUE"""),67.0)</f>
        <v>67</v>
      </c>
      <c r="J160" s="46" t="str">
        <f>IFERROR(__xludf.DUMMYFUNCTION("""COMPUTED_VALUE"""),"SF,PF")</f>
        <v>SF,PF</v>
      </c>
      <c r="K160" s="46">
        <f>IFERROR(__xludf.DUMMYFUNCTION("""COMPUTED_VALUE"""),-3.8563669142530457)</f>
        <v>-3.856366914</v>
      </c>
      <c r="L160" s="46">
        <f>IFERROR(__xludf.DUMMYFUNCTION("""COMPUTED_VALUE"""),-1.9515564889413473)</f>
        <v>-1.951556489</v>
      </c>
      <c r="M160" s="47">
        <f>IFERROR(__xludf.DUMMYFUNCTION("""COMPUTED_VALUE"""),1.9048104253116984)</f>
        <v>1.904810425</v>
      </c>
      <c r="N160" s="47">
        <f>IFERROR(__xludf.DUMMYFUNCTION("""COMPUTED_VALUE"""),8.3)</f>
        <v>8.3</v>
      </c>
      <c r="O160" s="47">
        <f>IFERROR(__xludf.DUMMYFUNCTION("""COMPUTED_VALUE"""),1.6)</f>
        <v>1.6</v>
      </c>
      <c r="P160" s="47">
        <f>IFERROR(__xludf.DUMMYFUNCTION("""COMPUTED_VALUE"""),4.4)</f>
        <v>4.4</v>
      </c>
      <c r="Q160" s="48">
        <f>IFERROR(__xludf.DUMMYFUNCTION("""COMPUTED_VALUE"""),1.6)</f>
        <v>1.6</v>
      </c>
      <c r="R160" s="47">
        <f>IFERROR(__xludf.DUMMYFUNCTION("""COMPUTED_VALUE"""),1.1)</f>
        <v>1.1</v>
      </c>
      <c r="S160" s="47">
        <f>IFERROR(__xludf.DUMMYFUNCTION("""COMPUTED_VALUE"""),0.4)</f>
        <v>0.4</v>
      </c>
      <c r="T160" s="47">
        <f>IFERROR(__xludf.DUMMYFUNCTION("""COMPUTED_VALUE"""),43.93939393939394)</f>
        <v>43.93939394</v>
      </c>
      <c r="U160" s="47">
        <f>IFERROR(__xludf.DUMMYFUNCTION("""COMPUTED_VALUE"""),81.81818181818181)</f>
        <v>81.81818182</v>
      </c>
      <c r="V160" s="47">
        <f>IFERROR(__xludf.DUMMYFUNCTION("""COMPUTED_VALUE"""),0.7)</f>
        <v>0.7</v>
      </c>
      <c r="W160" s="46">
        <f>IFERROR(__xludf.DUMMYFUNCTION("""COMPUTED_VALUE"""),-1.509434582958029)</f>
        <v>-1.509434583</v>
      </c>
      <c r="X160" s="46">
        <f>IFERROR(__xludf.DUMMYFUNCTION("""COMPUTED_VALUE"""),-0.03873175248417188)</f>
        <v>-0.03873175248</v>
      </c>
      <c r="Y160" s="46">
        <f>IFERROR(__xludf.DUMMYFUNCTION("""COMPUTED_VALUE"""),-0.7089099036249258)</f>
        <v>-0.7089099036</v>
      </c>
      <c r="Z160" s="46">
        <f>IFERROR(__xludf.DUMMYFUNCTION("""COMPUTED_VALUE"""),-1.144495213878365)</f>
        <v>-1.144495214</v>
      </c>
      <c r="AA160" s="46">
        <f>IFERROR(__xludf.DUMMYFUNCTION("""COMPUTED_VALUE"""),0.22967922884215308)</f>
        <v>0.2296792288</v>
      </c>
      <c r="AB160" s="46">
        <f>IFERROR(__xludf.DUMMYFUNCTION("""COMPUTED_VALUE"""),-0.39569839687757064)</f>
        <v>-0.3956983969</v>
      </c>
      <c r="AC160" s="46">
        <f>IFERROR(__xludf.DUMMYFUNCTION("""COMPUTED_VALUE"""),-0.37307332074466587)</f>
        <v>-0.3730733207</v>
      </c>
      <c r="AD160" s="46">
        <f>IFERROR(__xludf.DUMMYFUNCTION("""COMPUTED_VALUE"""),0.07772735943349546)</f>
        <v>0.07772735943</v>
      </c>
      <c r="AE160" s="46">
        <f>IFERROR(__xludf.DUMMYFUNCTION("""COMPUTED_VALUE"""),0.4019455103927031)</f>
        <v>0.4019455104</v>
      </c>
    </row>
    <row r="161">
      <c r="A161" s="6" t="str">
        <f>IF(VLOOKUP(H161,'Paste #BBall'!$B$2:$N1001,3,)="BRO","BKN",IF(VLOOKUP(H161,'Paste #BBall'!$B$2:$N1001,3,)="OKL","OKC",VLOOKUP(H161,'Paste #BBall'!$B$2:$N1001,3,)))</f>
        <v>LAC</v>
      </c>
      <c r="B161" s="42">
        <f>VLOOKUP($A161,Schedule!$C$2:$G$31,2,0)</f>
        <v>4</v>
      </c>
      <c r="C161" s="42">
        <f>VLOOKUP($A161,Schedule!$C$2:$G$31,3,0)</f>
        <v>4</v>
      </c>
      <c r="D161" s="42">
        <f>VLOOKUP($A161,Schedule!$C$2:$G$31,4,0)</f>
        <v>3</v>
      </c>
      <c r="E161" s="42">
        <f t="shared" si="1"/>
        <v>11</v>
      </c>
      <c r="F161" s="43">
        <v>156.0</v>
      </c>
      <c r="G161" s="45">
        <f>IFERROR(__xludf.DUMMYFUNCTION("""COMPUTED_VALUE"""),160.0)</f>
        <v>160</v>
      </c>
      <c r="H161" s="45" t="str">
        <f>IFERROR(__xludf.DUMMYFUNCTION("""COMPUTED_VALUE"""),"Nicolas Batum")</f>
        <v>Nicolas Batum</v>
      </c>
      <c r="I161" s="45">
        <f>IFERROR(__xludf.DUMMYFUNCTION("""COMPUTED_VALUE"""),67.0)</f>
        <v>67</v>
      </c>
      <c r="J161" s="46" t="str">
        <f>IFERROR(__xludf.DUMMYFUNCTION("""COMPUTED_VALUE"""),"SF,PF")</f>
        <v>SF,PF</v>
      </c>
      <c r="K161" s="46">
        <f>IFERROR(__xludf.DUMMYFUNCTION("""COMPUTED_VALUE"""),-4.063412442057047)</f>
        <v>-4.063412442</v>
      </c>
      <c r="L161" s="46">
        <f>IFERROR(__xludf.DUMMYFUNCTION("""COMPUTED_VALUE"""),-1.9732607762667775)</f>
        <v>-1.973260776</v>
      </c>
      <c r="M161" s="47">
        <f>IFERROR(__xludf.DUMMYFUNCTION("""COMPUTED_VALUE"""),2.0901516657902697)</f>
        <v>2.090151666</v>
      </c>
      <c r="N161" s="47">
        <f>IFERROR(__xludf.DUMMYFUNCTION("""COMPUTED_VALUE"""),7.5)</f>
        <v>7.5</v>
      </c>
      <c r="O161" s="47">
        <f>IFERROR(__xludf.DUMMYFUNCTION("""COMPUTED_VALUE"""),1.8)</f>
        <v>1.8</v>
      </c>
      <c r="P161" s="47">
        <f>IFERROR(__xludf.DUMMYFUNCTION("""COMPUTED_VALUE"""),4.3)</f>
        <v>4.3</v>
      </c>
      <c r="Q161" s="48">
        <f>IFERROR(__xludf.DUMMYFUNCTION("""COMPUTED_VALUE"""),1.7)</f>
        <v>1.7</v>
      </c>
      <c r="R161" s="47">
        <f>IFERROR(__xludf.DUMMYFUNCTION("""COMPUTED_VALUE"""),0.9)</f>
        <v>0.9</v>
      </c>
      <c r="S161" s="47">
        <f>IFERROR(__xludf.DUMMYFUNCTION("""COMPUTED_VALUE"""),0.7)</f>
        <v>0.7</v>
      </c>
      <c r="T161" s="47">
        <f>IFERROR(__xludf.DUMMYFUNCTION("""COMPUTED_VALUE"""),44.06779661016949)</f>
        <v>44.06779661</v>
      </c>
      <c r="U161" s="47">
        <f>IFERROR(__xludf.DUMMYFUNCTION("""COMPUTED_VALUE"""),71.42857142857143)</f>
        <v>71.42857143</v>
      </c>
      <c r="V161" s="47">
        <f>IFERROR(__xludf.DUMMYFUNCTION("""COMPUTED_VALUE"""),0.7)</f>
        <v>0.7</v>
      </c>
      <c r="W161" s="46">
        <f>IFERROR(__xludf.DUMMYFUNCTION("""COMPUTED_VALUE"""),-1.6442556845248049)</f>
        <v>-1.644255685</v>
      </c>
      <c r="X161" s="46">
        <f>IFERROR(__xludf.DUMMYFUNCTION("""COMPUTED_VALUE"""),0.13469400490764694)</f>
        <v>0.1346940049</v>
      </c>
      <c r="Y161" s="46">
        <f>IFERROR(__xludf.DUMMYFUNCTION("""COMPUTED_VALUE"""),-0.7507252734808988)</f>
        <v>-0.7507252735</v>
      </c>
      <c r="Z161" s="46">
        <f>IFERROR(__xludf.DUMMYFUNCTION("""COMPUTED_VALUE"""),-1.0934927533668515)</f>
        <v>-1.093492753</v>
      </c>
      <c r="AA161" s="46">
        <f>IFERROR(__xludf.DUMMYFUNCTION("""COMPUTED_VALUE"""),-0.2064205727568726)</f>
        <v>-0.2064205728</v>
      </c>
      <c r="AB161" s="46">
        <f>IFERROR(__xludf.DUMMYFUNCTION("""COMPUTED_VALUE"""),-0.0017508778622903794)</f>
        <v>-0.001750877862</v>
      </c>
      <c r="AC161" s="46">
        <f>IFERROR(__xludf.DUMMYFUNCTION("""COMPUTED_VALUE"""),-0.32593777892912784)</f>
        <v>-0.3259377789</v>
      </c>
      <c r="AD161" s="46">
        <f>IFERROR(__xludf.DUMMYFUNCTION("""COMPUTED_VALUE"""),-0.13157303517108632)</f>
        <v>-0.1315730352</v>
      </c>
      <c r="AE161" s="46">
        <f>IFERROR(__xludf.DUMMYFUNCTION("""COMPUTED_VALUE"""),0.4019455103927031)</f>
        <v>0.4019455104</v>
      </c>
    </row>
    <row r="162">
      <c r="A162" s="6" t="str">
        <f>IF(VLOOKUP(H162,'Paste #BBall'!$B$2:$N1001,3,)="BRO","BKN",IF(VLOOKUP(H162,'Paste #BBall'!$B$2:$N1001,3,)="OKL","OKC",VLOOKUP(H162,'Paste #BBall'!$B$2:$N1001,3,)))</f>
        <v>SA</v>
      </c>
      <c r="B162" s="42">
        <f>VLOOKUP($A162,Schedule!$C$2:$G$31,2,0)</f>
        <v>3</v>
      </c>
      <c r="C162" s="42">
        <f>VLOOKUP($A162,Schedule!$C$2:$G$31,3,0)</f>
        <v>4</v>
      </c>
      <c r="D162" s="42">
        <f>VLOOKUP($A162,Schedule!$C$2:$G$31,4,0)</f>
        <v>3</v>
      </c>
      <c r="E162" s="42">
        <f t="shared" si="1"/>
        <v>10</v>
      </c>
      <c r="F162" s="51">
        <v>157.0</v>
      </c>
      <c r="G162" s="45">
        <f>IFERROR(__xludf.DUMMYFUNCTION("""COMPUTED_VALUE"""),151.0)</f>
        <v>151</v>
      </c>
      <c r="H162" s="45" t="str">
        <f>IFERROR(__xludf.DUMMYFUNCTION("""COMPUTED_VALUE"""),"Keldon Johnson")</f>
        <v>Keldon Johnson</v>
      </c>
      <c r="I162" s="45">
        <f>IFERROR(__xludf.DUMMYFUNCTION("""COMPUTED_VALUE"""),70.0)</f>
        <v>70</v>
      </c>
      <c r="J162" s="46" t="str">
        <f>IFERROR(__xludf.DUMMYFUNCTION("""COMPUTED_VALUE"""),"SG,SF")</f>
        <v>SG,SF</v>
      </c>
      <c r="K162" s="46">
        <f>IFERROR(__xludf.DUMMYFUNCTION("""COMPUTED_VALUE"""),-3.509398029439534)</f>
        <v>-3.509398029</v>
      </c>
      <c r="L162" s="46">
        <f>IFERROR(__xludf.DUMMYFUNCTION("""COMPUTED_VALUE"""),-1.9948715106839248)</f>
        <v>-1.994871511</v>
      </c>
      <c r="M162" s="47">
        <f>IFERROR(__xludf.DUMMYFUNCTION("""COMPUTED_VALUE"""),1.5145265187556092)</f>
        <v>1.514526519</v>
      </c>
      <c r="N162" s="47">
        <f>IFERROR(__xludf.DUMMYFUNCTION("""COMPUTED_VALUE"""),18.0)</f>
        <v>18</v>
      </c>
      <c r="O162" s="47">
        <f>IFERROR(__xludf.DUMMYFUNCTION("""COMPUTED_VALUE"""),1.9)</f>
        <v>1.9</v>
      </c>
      <c r="P162" s="47">
        <f>IFERROR(__xludf.DUMMYFUNCTION("""COMPUTED_VALUE"""),4.9)</f>
        <v>4.9</v>
      </c>
      <c r="Q162" s="48">
        <f>IFERROR(__xludf.DUMMYFUNCTION("""COMPUTED_VALUE"""),2.3)</f>
        <v>2.3</v>
      </c>
      <c r="R162" s="47">
        <f>IFERROR(__xludf.DUMMYFUNCTION("""COMPUTED_VALUE"""),0.7)</f>
        <v>0.7</v>
      </c>
      <c r="S162" s="47">
        <f>IFERROR(__xludf.DUMMYFUNCTION("""COMPUTED_VALUE"""),0.2)</f>
        <v>0.2</v>
      </c>
      <c r="T162" s="47">
        <f>IFERROR(__xludf.DUMMYFUNCTION("""COMPUTED_VALUE"""),46.478873239436616)</f>
        <v>46.47887324</v>
      </c>
      <c r="U162" s="47">
        <f>IFERROR(__xludf.DUMMYFUNCTION("""COMPUTED_VALUE"""),76.31578947368422)</f>
        <v>76.31578947</v>
      </c>
      <c r="V162" s="47">
        <f>IFERROR(__xludf.DUMMYFUNCTION("""COMPUTED_VALUE"""),1.5)</f>
        <v>1.5</v>
      </c>
      <c r="W162" s="46">
        <f>IFERROR(__xludf.DUMMYFUNCTION("""COMPUTED_VALUE"""),0.12527127353912912)</f>
        <v>0.1252712735</v>
      </c>
      <c r="X162" s="46">
        <f>IFERROR(__xludf.DUMMYFUNCTION("""COMPUTED_VALUE"""),0.2214068836035562)</f>
        <v>0.2214068836</v>
      </c>
      <c r="Y162" s="46">
        <f>IFERROR(__xludf.DUMMYFUNCTION("""COMPUTED_VALUE"""),-0.4998330543450616)</f>
        <v>-0.4998330543</v>
      </c>
      <c r="Z162" s="46">
        <f>IFERROR(__xludf.DUMMYFUNCTION("""COMPUTED_VALUE"""),-0.78747799029777)</f>
        <v>-0.7874779903</v>
      </c>
      <c r="AA162" s="46">
        <f>IFERROR(__xludf.DUMMYFUNCTION("""COMPUTED_VALUE"""),-0.6425203743558983)</f>
        <v>-0.6425203744</v>
      </c>
      <c r="AB162" s="46">
        <f>IFERROR(__xludf.DUMMYFUNCTION("""COMPUTED_VALUE"""),-0.6583300762210907)</f>
        <v>-0.6583300762</v>
      </c>
      <c r="AC162" s="46">
        <f>IFERROR(__xludf.DUMMYFUNCTION("""COMPUTED_VALUE"""),-0.4424761189419808)</f>
        <v>-0.4424761189</v>
      </c>
      <c r="AD162" s="46">
        <f>IFERROR(__xludf.DUMMYFUNCTION("""COMPUTED_VALUE"""),-0.2519655170374424)</f>
        <v>-0.251965517</v>
      </c>
      <c r="AE162" s="46">
        <f>IFERROR(__xludf.DUMMYFUNCTION("""COMPUTED_VALUE"""),0.1535754730748638)</f>
        <v>0.1535754731</v>
      </c>
    </row>
    <row r="163">
      <c r="A163" s="6" t="str">
        <f>IF(VLOOKUP(H163,'Paste #BBall'!$B$2:$N1001,3,)="BRO","BKN",IF(VLOOKUP(H163,'Paste #BBall'!$B$2:$N1001,3,)="OKL","OKC",VLOOKUP(H163,'Paste #BBall'!$B$2:$N1001,3,)))</f>
        <v>NY</v>
      </c>
      <c r="B163" s="42">
        <f>VLOOKUP($A163,Schedule!$C$2:$G$31,2,0)</f>
        <v>3</v>
      </c>
      <c r="C163" s="42">
        <f>VLOOKUP($A163,Schedule!$C$2:$G$31,3,0)</f>
        <v>3</v>
      </c>
      <c r="D163" s="42">
        <f>VLOOKUP($A163,Schedule!$C$2:$G$31,4,0)</f>
        <v>3</v>
      </c>
      <c r="E163" s="42">
        <f t="shared" si="1"/>
        <v>9</v>
      </c>
      <c r="F163" s="51">
        <v>158.0</v>
      </c>
      <c r="G163" s="45">
        <f>IFERROR(__xludf.DUMMYFUNCTION("""COMPUTED_VALUE"""),163.0)</f>
        <v>163</v>
      </c>
      <c r="H163" s="45" t="str">
        <f>IFERROR(__xludf.DUMMYFUNCTION("""COMPUTED_VALUE"""),"Isaiah Hartenstein")</f>
        <v>Isaiah Hartenstein</v>
      </c>
      <c r="I163" s="45">
        <f>IFERROR(__xludf.DUMMYFUNCTION("""COMPUTED_VALUE"""),76.0)</f>
        <v>76</v>
      </c>
      <c r="J163" s="46" t="str">
        <f>IFERROR(__xludf.DUMMYFUNCTION("""COMPUTED_VALUE"""),"C")</f>
        <v>C</v>
      </c>
      <c r="K163" s="46">
        <f>IFERROR(__xludf.DUMMYFUNCTION("""COMPUTED_VALUE"""),-4.201942648878362)</f>
        <v>-4.201942649</v>
      </c>
      <c r="L163" s="46">
        <f>IFERROR(__xludf.DUMMYFUNCTION("""COMPUTED_VALUE"""),-2.008814583783615)</f>
        <v>-2.008814584</v>
      </c>
      <c r="M163" s="47">
        <f>IFERROR(__xludf.DUMMYFUNCTION("""COMPUTED_VALUE"""),2.1931280650947476)</f>
        <v>2.193128065</v>
      </c>
      <c r="N163" s="47">
        <f>IFERROR(__xludf.DUMMYFUNCTION("""COMPUTED_VALUE"""),6.9)</f>
        <v>6.9</v>
      </c>
      <c r="O163" s="47">
        <f>IFERROR(__xludf.DUMMYFUNCTION("""COMPUTED_VALUE"""),0.2)</f>
        <v>0.2</v>
      </c>
      <c r="P163" s="47">
        <f>IFERROR(__xludf.DUMMYFUNCTION("""COMPUTED_VALUE"""),6.1)</f>
        <v>6.1</v>
      </c>
      <c r="Q163" s="48">
        <f>IFERROR(__xludf.DUMMYFUNCTION("""COMPUTED_VALUE"""),1.9)</f>
        <v>1.9</v>
      </c>
      <c r="R163" s="47">
        <f>IFERROR(__xludf.DUMMYFUNCTION("""COMPUTED_VALUE"""),0.7)</f>
        <v>0.7</v>
      </c>
      <c r="S163" s="47">
        <f>IFERROR(__xludf.DUMMYFUNCTION("""COMPUTED_VALUE"""),1.0)</f>
        <v>1</v>
      </c>
      <c r="T163" s="47">
        <f>IFERROR(__xludf.DUMMYFUNCTION("""COMPUTED_VALUE"""),59.183673469387756)</f>
        <v>59.18367347</v>
      </c>
      <c r="U163" s="47">
        <f>IFERROR(__xludf.DUMMYFUNCTION("""COMPUTED_VALUE"""),71.42857142857143)</f>
        <v>71.42857143</v>
      </c>
      <c r="V163" s="47">
        <f>IFERROR(__xludf.DUMMYFUNCTION("""COMPUTED_VALUE"""),1.1)</f>
        <v>1.1</v>
      </c>
      <c r="W163" s="46">
        <f>IFERROR(__xludf.DUMMYFUNCTION("""COMPUTED_VALUE"""),-1.7453715106998868)</f>
        <v>-1.745371511</v>
      </c>
      <c r="X163" s="46">
        <f>IFERROR(__xludf.DUMMYFUNCTION("""COMPUTED_VALUE"""),-1.252712054226904)</f>
        <v>-1.252712054</v>
      </c>
      <c r="Y163" s="46">
        <f>IFERROR(__xludf.DUMMYFUNCTION("""COMPUTED_VALUE"""),0.0019513839266122224)</f>
        <v>0.001951383927</v>
      </c>
      <c r="Z163" s="46">
        <f>IFERROR(__xludf.DUMMYFUNCTION("""COMPUTED_VALUE"""),-0.9914878323438243)</f>
        <v>-0.9914878323</v>
      </c>
      <c r="AA163" s="46">
        <f>IFERROR(__xludf.DUMMYFUNCTION("""COMPUTED_VALUE"""),-0.6425203743558983)</f>
        <v>-0.6425203744</v>
      </c>
      <c r="AB163" s="46">
        <f>IFERROR(__xludf.DUMMYFUNCTION("""COMPUTED_VALUE"""),0.39219664115299)</f>
        <v>0.3921966412</v>
      </c>
      <c r="AC163" s="46">
        <f>IFERROR(__xludf.DUMMYFUNCTION("""COMPUTED_VALUE"""),0.46914323067179886)</f>
        <v>0.4691432307</v>
      </c>
      <c r="AD163" s="46">
        <f>IFERROR(__xludf.DUMMYFUNCTION("""COMPUTED_VALUE"""),-0.26314607034217263)</f>
        <v>-0.2631460703</v>
      </c>
      <c r="AE163" s="46">
        <f>IFERROR(__xludf.DUMMYFUNCTION("""COMPUTED_VALUE"""),0.2777604917337834)</f>
        <v>0.2777604917</v>
      </c>
    </row>
    <row r="164">
      <c r="A164" s="6" t="str">
        <f>IF(VLOOKUP(H164,'Paste #BBall'!$B$2:$N1001,3,)="BRO","BKN",IF(VLOOKUP(H164,'Paste #BBall'!$B$2:$N1001,3,)="OKL","OKC",VLOOKUP(H164,'Paste #BBall'!$B$2:$N1001,3,)))</f>
        <v>TOR</v>
      </c>
      <c r="B164" s="42">
        <f>VLOOKUP($A164,Schedule!$C$2:$G$31,2,0)</f>
        <v>3</v>
      </c>
      <c r="C164" s="42">
        <f>VLOOKUP($A164,Schedule!$C$2:$G$31,3,0)</f>
        <v>4</v>
      </c>
      <c r="D164" s="42">
        <f>VLOOKUP($A164,Schedule!$C$2:$G$31,4,0)</f>
        <v>3</v>
      </c>
      <c r="E164" s="42">
        <f t="shared" si="1"/>
        <v>10</v>
      </c>
      <c r="F164" s="43">
        <v>159.0</v>
      </c>
      <c r="G164" s="45">
        <f>IFERROR(__xludf.DUMMYFUNCTION("""COMPUTED_VALUE"""),168.0)</f>
        <v>168</v>
      </c>
      <c r="H164" s="45" t="str">
        <f>IFERROR(__xludf.DUMMYFUNCTION("""COMPUTED_VALUE"""),"Gary Trent Jr.")</f>
        <v>Gary Trent Jr.</v>
      </c>
      <c r="I164" s="45">
        <f>IFERROR(__xludf.DUMMYFUNCTION("""COMPUTED_VALUE"""),65.0)</f>
        <v>65</v>
      </c>
      <c r="J164" s="46" t="str">
        <f>IFERROR(__xludf.DUMMYFUNCTION("""COMPUTED_VALUE"""),"PG,SG")</f>
        <v>PG,SG</v>
      </c>
      <c r="K164" s="46">
        <f>IFERROR(__xludf.DUMMYFUNCTION("""COMPUTED_VALUE"""),-4.327926048515049)</f>
        <v>-4.327926049</v>
      </c>
      <c r="L164" s="46">
        <f>IFERROR(__xludf.DUMMYFUNCTION("""COMPUTED_VALUE"""),-2.1829142267819517)</f>
        <v>-2.182914227</v>
      </c>
      <c r="M164" s="47">
        <f>IFERROR(__xludf.DUMMYFUNCTION("""COMPUTED_VALUE"""),2.145011821733097)</f>
        <v>2.145011822</v>
      </c>
      <c r="N164" s="47">
        <f>IFERROR(__xludf.DUMMYFUNCTION("""COMPUTED_VALUE"""),12.9)</f>
        <v>12.9</v>
      </c>
      <c r="O164" s="47">
        <f>IFERROR(__xludf.DUMMYFUNCTION("""COMPUTED_VALUE"""),2.0)</f>
        <v>2</v>
      </c>
      <c r="P164" s="47">
        <f>IFERROR(__xludf.DUMMYFUNCTION("""COMPUTED_VALUE"""),1.9)</f>
        <v>1.9</v>
      </c>
      <c r="Q164" s="48">
        <f>IFERROR(__xludf.DUMMYFUNCTION("""COMPUTED_VALUE"""),1.3)</f>
        <v>1.3</v>
      </c>
      <c r="R164" s="47">
        <f>IFERROR(__xludf.DUMMYFUNCTION("""COMPUTED_VALUE"""),1.2)</f>
        <v>1.2</v>
      </c>
      <c r="S164" s="47">
        <f>IFERROR(__xludf.DUMMYFUNCTION("""COMPUTED_VALUE"""),0.2)</f>
        <v>0.2</v>
      </c>
      <c r="T164" s="47">
        <f>IFERROR(__xludf.DUMMYFUNCTION("""COMPUTED_VALUE"""),42.056074766355145)</f>
        <v>42.05607477</v>
      </c>
      <c r="U164" s="47">
        <f>IFERROR(__xludf.DUMMYFUNCTION("""COMPUTED_VALUE"""),81.81818181818181)</f>
        <v>81.81818182</v>
      </c>
      <c r="V164" s="47">
        <f>IFERROR(__xludf.DUMMYFUNCTION("""COMPUTED_VALUE"""),0.7)</f>
        <v>0.7</v>
      </c>
      <c r="W164" s="46">
        <f>IFERROR(__xludf.DUMMYFUNCTION("""COMPUTED_VALUE"""),-0.7342132489490674)</f>
        <v>-0.7342132489</v>
      </c>
      <c r="X164" s="46">
        <f>IFERROR(__xludf.DUMMYFUNCTION("""COMPUTED_VALUE"""),0.30811976229946575)</f>
        <v>0.3081197623</v>
      </c>
      <c r="Y164" s="46">
        <f>IFERROR(__xludf.DUMMYFUNCTION("""COMPUTED_VALUE"""),-1.7542941500242468)</f>
        <v>-1.75429415</v>
      </c>
      <c r="Z164" s="46">
        <f>IFERROR(__xludf.DUMMYFUNCTION("""COMPUTED_VALUE"""),-1.2975025954129054)</f>
        <v>-1.297502595</v>
      </c>
      <c r="AA164" s="46">
        <f>IFERROR(__xludf.DUMMYFUNCTION("""COMPUTED_VALUE"""),0.44772912964166556)</f>
        <v>0.4477291296</v>
      </c>
      <c r="AB164" s="46">
        <f>IFERROR(__xludf.DUMMYFUNCTION("""COMPUTED_VALUE"""),-0.6583300762210907)</f>
        <v>-0.6583300762</v>
      </c>
      <c r="AC164" s="46">
        <f>IFERROR(__xludf.DUMMYFUNCTION("""COMPUTED_VALUE"""),-0.8061174273997138)</f>
        <v>-0.8061174274</v>
      </c>
      <c r="AD164" s="46">
        <f>IFERROR(__xludf.DUMMYFUNCTION("""COMPUTED_VALUE"""),0.15545471886699092)</f>
        <v>0.1554547189</v>
      </c>
      <c r="AE164" s="46">
        <f>IFERROR(__xludf.DUMMYFUNCTION("""COMPUTED_VALUE"""),0.4019455103927031)</f>
        <v>0.4019455104</v>
      </c>
    </row>
    <row r="165">
      <c r="A165" s="6" t="str">
        <f>IF(VLOOKUP(H165,'Paste #BBall'!$B$2:$N1001,3,)="BRO","BKN",IF(VLOOKUP(H165,'Paste #BBall'!$B$2:$N1001,3,)="OKL","OKC",VLOOKUP(H165,'Paste #BBall'!$B$2:$N1001,3,)))</f>
        <v>CHA</v>
      </c>
      <c r="B165" s="42">
        <f>VLOOKUP($A165,Schedule!$C$2:$G$31,2,0)</f>
        <v>3</v>
      </c>
      <c r="C165" s="42">
        <f>VLOOKUP($A165,Schedule!$C$2:$G$31,3,0)</f>
        <v>4</v>
      </c>
      <c r="D165" s="42">
        <f>VLOOKUP($A165,Schedule!$C$2:$G$31,4,0)</f>
        <v>2</v>
      </c>
      <c r="E165" s="42">
        <f t="shared" si="1"/>
        <v>9</v>
      </c>
      <c r="F165" s="51">
        <v>160.0</v>
      </c>
      <c r="G165" s="45">
        <f>IFERROR(__xludf.DUMMYFUNCTION("""COMPUTED_VALUE"""),150.0)</f>
        <v>150</v>
      </c>
      <c r="H165" s="45" t="str">
        <f>IFERROR(__xludf.DUMMYFUNCTION("""COMPUTED_VALUE"""),"P.J. Washington")</f>
        <v>P.J. Washington</v>
      </c>
      <c r="I165" s="45">
        <f>IFERROR(__xludf.DUMMYFUNCTION("""COMPUTED_VALUE"""),72.0)</f>
        <v>72</v>
      </c>
      <c r="J165" s="46" t="str">
        <f>IFERROR(__xludf.DUMMYFUNCTION("""COMPUTED_VALUE"""),"PF")</f>
        <v>PF</v>
      </c>
      <c r="K165" s="46">
        <f>IFERROR(__xludf.DUMMYFUNCTION("""COMPUTED_VALUE"""),-3.4544012677059204)</f>
        <v>-3.454401268</v>
      </c>
      <c r="L165" s="46">
        <f>IFERROR(__xludf.DUMMYFUNCTION("""COMPUTED_VALUE"""),-2.2255242296535176)</f>
        <v>-2.22552423</v>
      </c>
      <c r="M165" s="47">
        <f>IFERROR(__xludf.DUMMYFUNCTION("""COMPUTED_VALUE"""),1.2288770380524028)</f>
        <v>1.228877038</v>
      </c>
      <c r="N165" s="47">
        <f>IFERROR(__xludf.DUMMYFUNCTION("""COMPUTED_VALUE"""),12.0)</f>
        <v>12</v>
      </c>
      <c r="O165" s="47">
        <f>IFERROR(__xludf.DUMMYFUNCTION("""COMPUTED_VALUE"""),1.7)</f>
        <v>1.7</v>
      </c>
      <c r="P165" s="47">
        <f>IFERROR(__xludf.DUMMYFUNCTION("""COMPUTED_VALUE"""),4.6)</f>
        <v>4.6</v>
      </c>
      <c r="Q165" s="48">
        <f>IFERROR(__xludf.DUMMYFUNCTION("""COMPUTED_VALUE"""),2.1)</f>
        <v>2.1</v>
      </c>
      <c r="R165" s="47">
        <f>IFERROR(__xludf.DUMMYFUNCTION("""COMPUTED_VALUE"""),0.8)</f>
        <v>0.8</v>
      </c>
      <c r="S165" s="47">
        <f>IFERROR(__xludf.DUMMYFUNCTION("""COMPUTED_VALUE"""),0.9)</f>
        <v>0.9</v>
      </c>
      <c r="T165" s="47">
        <f>IFERROR(__xludf.DUMMYFUNCTION("""COMPUTED_VALUE"""),45.0)</f>
        <v>45</v>
      </c>
      <c r="U165" s="47">
        <f>IFERROR(__xludf.DUMMYFUNCTION("""COMPUTED_VALUE"""),70.58823529411765)</f>
        <v>70.58823529</v>
      </c>
      <c r="V165" s="47">
        <f>IFERROR(__xludf.DUMMYFUNCTION("""COMPUTED_VALUE"""),1.3)</f>
        <v>1.3</v>
      </c>
      <c r="W165" s="46">
        <f>IFERROR(__xludf.DUMMYFUNCTION("""COMPUTED_VALUE"""),-0.8858869882116903)</f>
        <v>-0.8858869882</v>
      </c>
      <c r="X165" s="46">
        <f>IFERROR(__xludf.DUMMYFUNCTION("""COMPUTED_VALUE"""),0.047981126211737425)</f>
        <v>0.04798112621</v>
      </c>
      <c r="Y165" s="46">
        <f>IFERROR(__xludf.DUMMYFUNCTION("""COMPUTED_VALUE"""),-0.6252791639129804)</f>
        <v>-0.6252791639</v>
      </c>
      <c r="Z165" s="46">
        <f>IFERROR(__xludf.DUMMYFUNCTION("""COMPUTED_VALUE"""),-0.8894829113207969)</f>
        <v>-0.8894829113</v>
      </c>
      <c r="AA165" s="46">
        <f>IFERROR(__xludf.DUMMYFUNCTION("""COMPUTED_VALUE"""),-0.42447047355638534)</f>
        <v>-0.4244704736</v>
      </c>
      <c r="AB165" s="46">
        <f>IFERROR(__xludf.DUMMYFUNCTION("""COMPUTED_VALUE"""),0.2608808014812299)</f>
        <v>0.2608808015</v>
      </c>
      <c r="AC165" s="46">
        <f>IFERROR(__xludf.DUMMYFUNCTION("""COMPUTED_VALUE"""),-0.45932237681646404)</f>
        <v>-0.4593223768</v>
      </c>
      <c r="AD165" s="46">
        <f>IFERROR(__xludf.DUMMYFUNCTION("""COMPUTED_VALUE"""),-0.3550951372532883)</f>
        <v>-0.3550951373</v>
      </c>
      <c r="AE165" s="46">
        <f>IFERROR(__xludf.DUMMYFUNCTION("""COMPUTED_VALUE"""),0.2156679824043236)</f>
        <v>0.2156679824</v>
      </c>
    </row>
    <row r="166">
      <c r="A166" s="6" t="str">
        <f>IF(VLOOKUP(H166,'Paste #BBall'!$B$2:$N1001,3,)="BRO","BKN",IF(VLOOKUP(H166,'Paste #BBall'!$B$2:$N1001,3,)="OKL","OKC",VLOOKUP(H166,'Paste #BBall'!$B$2:$N1001,3,)))</f>
        <v>DET</v>
      </c>
      <c r="B166" s="42">
        <f>VLOOKUP($A166,Schedule!$C$2:$G$31,2,0)</f>
        <v>3</v>
      </c>
      <c r="C166" s="42">
        <f>VLOOKUP($A166,Schedule!$C$2:$G$31,3,0)</f>
        <v>4</v>
      </c>
      <c r="D166" s="42">
        <f>VLOOKUP($A166,Schedule!$C$2:$G$31,4,0)</f>
        <v>4</v>
      </c>
      <c r="E166" s="42">
        <f t="shared" si="1"/>
        <v>11</v>
      </c>
      <c r="F166" s="43">
        <v>161.0</v>
      </c>
      <c r="G166" s="45">
        <f>IFERROR(__xludf.DUMMYFUNCTION("""COMPUTED_VALUE"""),170.0)</f>
        <v>170</v>
      </c>
      <c r="H166" s="45" t="str">
        <f>IFERROR(__xludf.DUMMYFUNCTION("""COMPUTED_VALUE"""),"Isaiah Stewart")</f>
        <v>Isaiah Stewart</v>
      </c>
      <c r="I166" s="45">
        <f>IFERROR(__xludf.DUMMYFUNCTION("""COMPUTED_VALUE"""),70.0)</f>
        <v>70</v>
      </c>
      <c r="J166" s="46" t="str">
        <f>IFERROR(__xludf.DUMMYFUNCTION("""COMPUTED_VALUE"""),"PF,C")</f>
        <v>PF,C</v>
      </c>
      <c r="K166" s="46">
        <f>IFERROR(__xludf.DUMMYFUNCTION("""COMPUTED_VALUE"""),-4.366861838211637)</f>
        <v>-4.366861838</v>
      </c>
      <c r="L166" s="46">
        <f>IFERROR(__xludf.DUMMYFUNCTION("""COMPUTED_VALUE"""),-2.2909886765437593)</f>
        <v>-2.290988677</v>
      </c>
      <c r="M166" s="47">
        <f>IFERROR(__xludf.DUMMYFUNCTION("""COMPUTED_VALUE"""),2.075873161667878)</f>
        <v>2.075873162</v>
      </c>
      <c r="N166" s="47">
        <f>IFERROR(__xludf.DUMMYFUNCTION("""COMPUTED_VALUE"""),10.8)</f>
        <v>10.8</v>
      </c>
      <c r="O166" s="47">
        <f>IFERROR(__xludf.DUMMYFUNCTION("""COMPUTED_VALUE"""),1.4)</f>
        <v>1.4</v>
      </c>
      <c r="P166" s="47">
        <f>IFERROR(__xludf.DUMMYFUNCTION("""COMPUTED_VALUE"""),8.2)</f>
        <v>8.2</v>
      </c>
      <c r="Q166" s="48">
        <f>IFERROR(__xludf.DUMMYFUNCTION("""COMPUTED_VALUE"""),1.3)</f>
        <v>1.3</v>
      </c>
      <c r="R166" s="47">
        <f>IFERROR(__xludf.DUMMYFUNCTION("""COMPUTED_VALUE"""),0.4)</f>
        <v>0.4</v>
      </c>
      <c r="S166" s="47">
        <f>IFERROR(__xludf.DUMMYFUNCTION("""COMPUTED_VALUE"""),0.7)</f>
        <v>0.7</v>
      </c>
      <c r="T166" s="47">
        <f>IFERROR(__xludf.DUMMYFUNCTION("""COMPUTED_VALUE"""),44.827586206896555)</f>
        <v>44.82758621</v>
      </c>
      <c r="U166" s="47">
        <f>IFERROR(__xludf.DUMMYFUNCTION("""COMPUTED_VALUE"""),72.72727272727273)</f>
        <v>72.72727273</v>
      </c>
      <c r="V166" s="47">
        <f>IFERROR(__xludf.DUMMYFUNCTION("""COMPUTED_VALUE"""),1.4)</f>
        <v>1.4</v>
      </c>
      <c r="W166" s="46">
        <f>IFERROR(__xludf.DUMMYFUNCTION("""COMPUTED_VALUE"""),-1.0881186405618541)</f>
        <v>-1.088118641</v>
      </c>
      <c r="X166" s="46">
        <f>IFERROR(__xludf.DUMMYFUNCTION("""COMPUTED_VALUE"""),-0.21215750987599089)</f>
        <v>-0.2121575099</v>
      </c>
      <c r="Y166" s="46">
        <f>IFERROR(__xludf.DUMMYFUNCTION("""COMPUTED_VALUE"""),0.8800741509020418)</f>
        <v>0.8800741509</v>
      </c>
      <c r="Z166" s="46">
        <f>IFERROR(__xludf.DUMMYFUNCTION("""COMPUTED_VALUE"""),-1.2975025954129054)</f>
        <v>-1.297502595</v>
      </c>
      <c r="AA166" s="46">
        <f>IFERROR(__xludf.DUMMYFUNCTION("""COMPUTED_VALUE"""),-1.2966700767544366)</f>
        <v>-1.296670077</v>
      </c>
      <c r="AB166" s="46">
        <f>IFERROR(__xludf.DUMMYFUNCTION("""COMPUTED_VALUE"""),-0.0017508778622903794)</f>
        <v>-0.001750877862</v>
      </c>
      <c r="AC166" s="46">
        <f>IFERROR(__xludf.DUMMYFUNCTION("""COMPUTED_VALUE"""),-0.41459344326870934)</f>
        <v>-0.4145934433</v>
      </c>
      <c r="AD166" s="46">
        <f>IFERROR(__xludf.DUMMYFUNCTION("""COMPUTED_VALUE"""),-0.3423940068621134)</f>
        <v>-0.3423940069</v>
      </c>
      <c r="AE166" s="46">
        <f>IFERROR(__xludf.DUMMYFUNCTION("""COMPUTED_VALUE"""),0.18462172773959373)</f>
        <v>0.1846217277</v>
      </c>
    </row>
    <row r="167">
      <c r="A167" s="6" t="str">
        <f>IF(VLOOKUP(H167,'Paste #BBall'!$B$2:$N1001,3,)="BRO","BKN",IF(VLOOKUP(H167,'Paste #BBall'!$B$2:$N1001,3,)="OKL","OKC",VLOOKUP(H167,'Paste #BBall'!$B$2:$N1001,3,)))</f>
        <v>UTA</v>
      </c>
      <c r="B167" s="42">
        <f>VLOOKUP($A167,Schedule!$C$2:$G$31,2,0)</f>
        <v>3</v>
      </c>
      <c r="C167" s="42">
        <f>VLOOKUP($A167,Schedule!$C$2:$G$31,3,0)</f>
        <v>3</v>
      </c>
      <c r="D167" s="42">
        <f>VLOOKUP($A167,Schedule!$C$2:$G$31,4,0)</f>
        <v>4</v>
      </c>
      <c r="E167" s="42">
        <f t="shared" si="1"/>
        <v>10</v>
      </c>
      <c r="F167" s="51">
        <v>162.0</v>
      </c>
      <c r="G167" s="45">
        <f>IFERROR(__xludf.DUMMYFUNCTION("""COMPUTED_VALUE"""),169.0)</f>
        <v>169</v>
      </c>
      <c r="H167" s="45" t="str">
        <f>IFERROR(__xludf.DUMMYFUNCTION("""COMPUTED_VALUE"""),"Kris Dunn")</f>
        <v>Kris Dunn</v>
      </c>
      <c r="I167" s="45">
        <f>IFERROR(__xludf.DUMMYFUNCTION("""COMPUTED_VALUE"""),60.0)</f>
        <v>60</v>
      </c>
      <c r="J167" s="46" t="str">
        <f>IFERROR(__xludf.DUMMYFUNCTION("""COMPUTED_VALUE"""),"PG")</f>
        <v>PG</v>
      </c>
      <c r="K167" s="46">
        <f>IFERROR(__xludf.DUMMYFUNCTION("""COMPUTED_VALUE"""),-4.349191009885977)</f>
        <v>-4.34919101</v>
      </c>
      <c r="L167" s="46">
        <f>IFERROR(__xludf.DUMMYFUNCTION("""COMPUTED_VALUE"""),-2.313435116724631)</f>
        <v>-2.313435117</v>
      </c>
      <c r="M167" s="47">
        <f>IFERROR(__xludf.DUMMYFUNCTION("""COMPUTED_VALUE"""),2.0357558931613458)</f>
        <v>2.035755893</v>
      </c>
      <c r="N167" s="47">
        <f>IFERROR(__xludf.DUMMYFUNCTION("""COMPUTED_VALUE"""),8.0)</f>
        <v>8</v>
      </c>
      <c r="O167" s="47">
        <f>IFERROR(__xludf.DUMMYFUNCTION("""COMPUTED_VALUE"""),0.4)</f>
        <v>0.4</v>
      </c>
      <c r="P167" s="47">
        <f>IFERROR(__xludf.DUMMYFUNCTION("""COMPUTED_VALUE"""),3.0)</f>
        <v>3</v>
      </c>
      <c r="Q167" s="48">
        <f>IFERROR(__xludf.DUMMYFUNCTION("""COMPUTED_VALUE"""),4.1)</f>
        <v>4.1</v>
      </c>
      <c r="R167" s="47">
        <f>IFERROR(__xludf.DUMMYFUNCTION("""COMPUTED_VALUE"""),1.0)</f>
        <v>1</v>
      </c>
      <c r="S167" s="47">
        <f>IFERROR(__xludf.DUMMYFUNCTION("""COMPUTED_VALUE"""),0.3)</f>
        <v>0.3</v>
      </c>
      <c r="T167" s="47">
        <f>IFERROR(__xludf.DUMMYFUNCTION("""COMPUTED_VALUE"""),50.0)</f>
        <v>50</v>
      </c>
      <c r="U167" s="47">
        <f>IFERROR(__xludf.DUMMYFUNCTION("""COMPUTED_VALUE"""),85.71428571428572)</f>
        <v>85.71428571</v>
      </c>
      <c r="V167" s="47">
        <f>IFERROR(__xludf.DUMMYFUNCTION("""COMPUTED_VALUE"""),1.4)</f>
        <v>1.4</v>
      </c>
      <c r="W167" s="46">
        <f>IFERROR(__xludf.DUMMYFUNCTION("""COMPUTED_VALUE"""),-1.55999249604557)</f>
        <v>-1.559992496</v>
      </c>
      <c r="X167" s="46">
        <f>IFERROR(__xludf.DUMMYFUNCTION("""COMPUTED_VALUE"""),-1.079286296835085)</f>
        <v>-1.079286297</v>
      </c>
      <c r="Y167" s="46">
        <f>IFERROR(__xludf.DUMMYFUNCTION("""COMPUTED_VALUE"""),-1.2943250816085456)</f>
        <v>-1.294325082</v>
      </c>
      <c r="Z167" s="46">
        <f>IFERROR(__xludf.DUMMYFUNCTION("""COMPUTED_VALUE"""),0.1305662989094742)</f>
        <v>0.1305662989</v>
      </c>
      <c r="AA167" s="46">
        <f>IFERROR(__xludf.DUMMYFUNCTION("""COMPUTED_VALUE"""),0.011629328042640127)</f>
        <v>0.01162932804</v>
      </c>
      <c r="AB167" s="46">
        <f>IFERROR(__xludf.DUMMYFUNCTION("""COMPUTED_VALUE"""),-0.5270142365493308)</f>
        <v>-0.5270142365</v>
      </c>
      <c r="AC167" s="46">
        <f>IFERROR(__xludf.DUMMYFUNCTION("""COMPUTED_VALUE"""),0.025670488189689155)</f>
        <v>0.02567048819</v>
      </c>
      <c r="AD167" s="46">
        <f>IFERROR(__xludf.DUMMYFUNCTION("""COMPUTED_VALUE"""),0.23470265538693225)</f>
        <v>0.2347026554</v>
      </c>
      <c r="AE167" s="46">
        <f>IFERROR(__xludf.DUMMYFUNCTION("""COMPUTED_VALUE"""),0.18462172773959373)</f>
        <v>0.1846217277</v>
      </c>
    </row>
    <row r="168">
      <c r="A168" s="6" t="str">
        <f>IF(VLOOKUP(H168,'Paste #BBall'!$B$2:$N1001,3,)="BRO","BKN",IF(VLOOKUP(H168,'Paste #BBall'!$B$2:$N1001,3,)="OKL","OKC",VLOOKUP(H168,'Paste #BBall'!$B$2:$N1001,3,)))</f>
        <v>UTA</v>
      </c>
      <c r="B168" s="42">
        <f>VLOOKUP($A168,Schedule!$C$2:$G$31,2,0)</f>
        <v>3</v>
      </c>
      <c r="C168" s="42">
        <f>VLOOKUP($A168,Schedule!$C$2:$G$31,3,0)</f>
        <v>3</v>
      </c>
      <c r="D168" s="42">
        <f>VLOOKUP($A168,Schedule!$C$2:$G$31,4,0)</f>
        <v>4</v>
      </c>
      <c r="E168" s="42">
        <f t="shared" si="1"/>
        <v>10</v>
      </c>
      <c r="F168" s="51">
        <v>163.0</v>
      </c>
      <c r="G168" s="45">
        <f>IFERROR(__xludf.DUMMYFUNCTION("""COMPUTED_VALUE"""),167.0)</f>
        <v>167</v>
      </c>
      <c r="H168" s="45" t="str">
        <f>IFERROR(__xludf.DUMMYFUNCTION("""COMPUTED_VALUE"""),"Collin Sexton")</f>
        <v>Collin Sexton</v>
      </c>
      <c r="I168" s="45">
        <f>IFERROR(__xludf.DUMMYFUNCTION("""COMPUTED_VALUE"""),62.0)</f>
        <v>62</v>
      </c>
      <c r="J168" s="46" t="str">
        <f>IFERROR(__xludf.DUMMYFUNCTION("""COMPUTED_VALUE"""),"PG,SG")</f>
        <v>PG,SG</v>
      </c>
      <c r="K168" s="46">
        <f>IFERROR(__xludf.DUMMYFUNCTION("""COMPUTED_VALUE"""),-4.278482372265818)</f>
        <v>-4.278482372</v>
      </c>
      <c r="L168" s="46">
        <f>IFERROR(__xludf.DUMMYFUNCTION("""COMPUTED_VALUE"""),-2.3266011338984374)</f>
        <v>-2.326601134</v>
      </c>
      <c r="M168" s="47">
        <f>IFERROR(__xludf.DUMMYFUNCTION("""COMPUTED_VALUE"""),1.9518812383673803)</f>
        <v>1.951881238</v>
      </c>
      <c r="N168" s="47">
        <f>IFERROR(__xludf.DUMMYFUNCTION("""COMPUTED_VALUE"""),16.7)</f>
        <v>16.7</v>
      </c>
      <c r="O168" s="47">
        <f>IFERROR(__xludf.DUMMYFUNCTION("""COMPUTED_VALUE"""),1.1)</f>
        <v>1.1</v>
      </c>
      <c r="P168" s="47">
        <f>IFERROR(__xludf.DUMMYFUNCTION("""COMPUTED_VALUE"""),2.7)</f>
        <v>2.7</v>
      </c>
      <c r="Q168" s="48">
        <f>IFERROR(__xludf.DUMMYFUNCTION("""COMPUTED_VALUE"""),3.1)</f>
        <v>3.1</v>
      </c>
      <c r="R168" s="47">
        <f>IFERROR(__xludf.DUMMYFUNCTION("""COMPUTED_VALUE"""),0.7)</f>
        <v>0.7</v>
      </c>
      <c r="S168" s="47">
        <f>IFERROR(__xludf.DUMMYFUNCTION("""COMPUTED_VALUE"""),0.1)</f>
        <v>0.1</v>
      </c>
      <c r="T168" s="47">
        <f>IFERROR(__xludf.DUMMYFUNCTION("""COMPUTED_VALUE"""),49.16666666666667)</f>
        <v>49.16666667</v>
      </c>
      <c r="U168" s="47">
        <f>IFERROR(__xludf.DUMMYFUNCTION("""COMPUTED_VALUE"""),80.43478260869567)</f>
        <v>80.43478261</v>
      </c>
      <c r="V168" s="47">
        <f>IFERROR(__xludf.DUMMYFUNCTION("""COMPUTED_VALUE"""),2.2)</f>
        <v>2.2</v>
      </c>
      <c r="W168" s="46">
        <f>IFERROR(__xludf.DUMMYFUNCTION("""COMPUTED_VALUE"""),-0.09381301650688188)</f>
        <v>-0.09381301651</v>
      </c>
      <c r="X168" s="46">
        <f>IFERROR(__xludf.DUMMYFUNCTION("""COMPUTED_VALUE"""),-0.472296145963719)</f>
        <v>-0.472296146</v>
      </c>
      <c r="Y168" s="46">
        <f>IFERROR(__xludf.DUMMYFUNCTION("""COMPUTED_VALUE"""),-1.419771191176464)</f>
        <v>-1.419771191</v>
      </c>
      <c r="Z168" s="46">
        <f>IFERROR(__xludf.DUMMYFUNCTION("""COMPUTED_VALUE"""),-0.37945830620566134)</f>
        <v>-0.3794583062</v>
      </c>
      <c r="AA168" s="46">
        <f>IFERROR(__xludf.DUMMYFUNCTION("""COMPUTED_VALUE"""),-0.6425203743558983)</f>
        <v>-0.6425203744</v>
      </c>
      <c r="AB168" s="46">
        <f>IFERROR(__xludf.DUMMYFUNCTION("""COMPUTED_VALUE"""),-0.7896459158928509)</f>
        <v>-0.7896459159</v>
      </c>
      <c r="AC168" s="46">
        <f>IFERROR(__xludf.DUMMYFUNCTION("""COMPUTED_VALUE"""),-0.05175433756690318)</f>
        <v>-0.05175433757</v>
      </c>
      <c r="AD168" s="46">
        <f>IFERROR(__xludf.DUMMYFUNCTION("""COMPUTED_VALUE"""),0.16663527217172258)</f>
        <v>0.1666352722</v>
      </c>
      <c r="AE168" s="46">
        <f>IFERROR(__xludf.DUMMYFUNCTION("""COMPUTED_VALUE"""),-0.06374830957824563)</f>
        <v>-0.06374830958</v>
      </c>
    </row>
    <row r="169">
      <c r="A169" s="6" t="str">
        <f>IF(VLOOKUP(H169,'Paste #BBall'!$B$2:$N1001,3,)="BRO","BKN",IF(VLOOKUP(H169,'Paste #BBall'!$B$2:$N1001,3,)="OKL","OKC",VLOOKUP(H169,'Paste #BBall'!$B$2:$N1001,3,)))</f>
        <v>OKC</v>
      </c>
      <c r="B169" s="42">
        <f>VLOOKUP($A169,Schedule!$C$2:$G$31,2,0)</f>
        <v>4</v>
      </c>
      <c r="C169" s="42">
        <f>VLOOKUP($A169,Schedule!$C$2:$G$31,3,0)</f>
        <v>3</v>
      </c>
      <c r="D169" s="42">
        <f>VLOOKUP($A169,Schedule!$C$2:$G$31,4,0)</f>
        <v>3</v>
      </c>
      <c r="E169" s="42">
        <f t="shared" si="1"/>
        <v>10</v>
      </c>
      <c r="F169" s="43">
        <v>164.0</v>
      </c>
      <c r="G169" s="45">
        <f>IFERROR(__xludf.DUMMYFUNCTION("""COMPUTED_VALUE"""),158.0)</f>
        <v>158</v>
      </c>
      <c r="H169" s="45" t="str">
        <f>IFERROR(__xludf.DUMMYFUNCTION("""COMPUTED_VALUE"""),"Luguentz Dort")</f>
        <v>Luguentz Dort</v>
      </c>
      <c r="I169" s="45">
        <f>IFERROR(__xludf.DUMMYFUNCTION("""COMPUTED_VALUE"""),72.0)</f>
        <v>72</v>
      </c>
      <c r="J169" s="46" t="str">
        <f>IFERROR(__xludf.DUMMYFUNCTION("""COMPUTED_VALUE"""),"SG,SF")</f>
        <v>SG,SF</v>
      </c>
      <c r="K169" s="46">
        <f>IFERROR(__xludf.DUMMYFUNCTION("""COMPUTED_VALUE"""),-4.043418077351909)</f>
        <v>-4.043418077</v>
      </c>
      <c r="L169" s="46">
        <f>IFERROR(__xludf.DUMMYFUNCTION("""COMPUTED_VALUE"""),-2.3585695581691573)</f>
        <v>-2.358569558</v>
      </c>
      <c r="M169" s="47">
        <f>IFERROR(__xludf.DUMMYFUNCTION("""COMPUTED_VALUE"""),1.6848485191827516)</f>
        <v>1.684848519</v>
      </c>
      <c r="N169" s="47">
        <f>IFERROR(__xludf.DUMMYFUNCTION("""COMPUTED_VALUE"""),14.5)</f>
        <v>14.5</v>
      </c>
      <c r="O169" s="47">
        <f>IFERROR(__xludf.DUMMYFUNCTION("""COMPUTED_VALUE"""),2.0)</f>
        <v>2</v>
      </c>
      <c r="P169" s="47">
        <f>IFERROR(__xludf.DUMMYFUNCTION("""COMPUTED_VALUE"""),4.3)</f>
        <v>4.3</v>
      </c>
      <c r="Q169" s="48">
        <f>IFERROR(__xludf.DUMMYFUNCTION("""COMPUTED_VALUE"""),1.9)</f>
        <v>1.9</v>
      </c>
      <c r="R169" s="47">
        <f>IFERROR(__xludf.DUMMYFUNCTION("""COMPUTED_VALUE"""),0.9)</f>
        <v>0.9</v>
      </c>
      <c r="S169" s="47">
        <f>IFERROR(__xludf.DUMMYFUNCTION("""COMPUTED_VALUE"""),0.3)</f>
        <v>0.3</v>
      </c>
      <c r="T169" s="47">
        <f>IFERROR(__xludf.DUMMYFUNCTION("""COMPUTED_VALUE"""),39.83739837398374)</f>
        <v>39.83739837</v>
      </c>
      <c r="U169" s="47">
        <f>IFERROR(__xludf.DUMMYFUNCTION("""COMPUTED_VALUE"""),80.0)</f>
        <v>80</v>
      </c>
      <c r="V169" s="47">
        <f>IFERROR(__xludf.DUMMYFUNCTION("""COMPUTED_VALUE"""),1.4)</f>
        <v>1.4</v>
      </c>
      <c r="W169" s="46">
        <f>IFERROR(__xludf.DUMMYFUNCTION("""COMPUTED_VALUE"""),-0.46457104581551556)</f>
        <v>-0.4645710458</v>
      </c>
      <c r="X169" s="46">
        <f>IFERROR(__xludf.DUMMYFUNCTION("""COMPUTED_VALUE"""),0.30811976229946575)</f>
        <v>0.3081197623</v>
      </c>
      <c r="Y169" s="46">
        <f>IFERROR(__xludf.DUMMYFUNCTION("""COMPUTED_VALUE"""),-0.7507252734808988)</f>
        <v>-0.7507252735</v>
      </c>
      <c r="Z169" s="46">
        <f>IFERROR(__xludf.DUMMYFUNCTION("""COMPUTED_VALUE"""),-0.9914878323438243)</f>
        <v>-0.9914878323</v>
      </c>
      <c r="AA169" s="46">
        <f>IFERROR(__xludf.DUMMYFUNCTION("""COMPUTED_VALUE"""),-0.2064205727568726)</f>
        <v>-0.2064205728</v>
      </c>
      <c r="AB169" s="46">
        <f>IFERROR(__xludf.DUMMYFUNCTION("""COMPUTED_VALUE"""),-0.5270142365493308)</f>
        <v>-0.5270142365</v>
      </c>
      <c r="AC169" s="46">
        <f>IFERROR(__xludf.DUMMYFUNCTION("""COMPUTED_VALUE"""),-1.1992458170425748)</f>
        <v>-1.199245817</v>
      </c>
      <c r="AD169" s="46">
        <f>IFERROR(__xludf.DUMMYFUNCTION("""COMPUTED_VALUE"""),0.08890791273822488)</f>
        <v>0.08890791274</v>
      </c>
      <c r="AE169" s="46">
        <f>IFERROR(__xludf.DUMMYFUNCTION("""COMPUTED_VALUE"""),0.18462172773959373)</f>
        <v>0.1846217277</v>
      </c>
    </row>
    <row r="170">
      <c r="A170" s="6" t="str">
        <f>IF(VLOOKUP(H170,'Paste #BBall'!$B$2:$N1001,3,)="BRO","BKN",IF(VLOOKUP(H170,'Paste #BBall'!$B$2:$N1001,3,)="OKL","OKC",VLOOKUP(H170,'Paste #BBall'!$B$2:$N1001,3,)))</f>
        <v>POR</v>
      </c>
      <c r="B170" s="42">
        <f>VLOOKUP($A170,Schedule!$C$2:$G$31,2,0)</f>
        <v>4</v>
      </c>
      <c r="C170" s="42">
        <f>VLOOKUP($A170,Schedule!$C$2:$G$31,3,0)</f>
        <v>4</v>
      </c>
      <c r="D170" s="42">
        <f>VLOOKUP($A170,Schedule!$C$2:$G$31,4,0)</f>
        <v>4</v>
      </c>
      <c r="E170" s="42">
        <f t="shared" si="1"/>
        <v>12</v>
      </c>
      <c r="F170" s="51">
        <v>165.0</v>
      </c>
      <c r="G170" s="45">
        <f>IFERROR(__xludf.DUMMYFUNCTION("""COMPUTED_VALUE"""),161.0)</f>
        <v>161</v>
      </c>
      <c r="H170" s="45" t="str">
        <f>IFERROR(__xludf.DUMMYFUNCTION("""COMPUTED_VALUE"""),"Shaedon Sharpe")</f>
        <v>Shaedon Sharpe</v>
      </c>
      <c r="I170" s="45">
        <f>IFERROR(__xludf.DUMMYFUNCTION("""COMPUTED_VALUE"""),78.0)</f>
        <v>78</v>
      </c>
      <c r="J170" s="46" t="str">
        <f>IFERROR(__xludf.DUMMYFUNCTION("""COMPUTED_VALUE"""),"SG,SF")</f>
        <v>SG,SF</v>
      </c>
      <c r="K170" s="46">
        <f>IFERROR(__xludf.DUMMYFUNCTION("""COMPUTED_VALUE"""),-4.091875327816657)</f>
        <v>-4.091875328</v>
      </c>
      <c r="L170" s="46">
        <f>IFERROR(__xludf.DUMMYFUNCTION("""COMPUTED_VALUE"""),-2.389671454238441)</f>
        <v>-2.389671454</v>
      </c>
      <c r="M170" s="47">
        <f>IFERROR(__xludf.DUMMYFUNCTION("""COMPUTED_VALUE"""),1.7022038735782163)</f>
        <v>1.702203874</v>
      </c>
      <c r="N170" s="47">
        <f>IFERROR(__xludf.DUMMYFUNCTION("""COMPUTED_VALUE"""),15.8)</f>
        <v>15.8</v>
      </c>
      <c r="O170" s="47">
        <f>IFERROR(__xludf.DUMMYFUNCTION("""COMPUTED_VALUE"""),1.9)</f>
        <v>1.9</v>
      </c>
      <c r="P170" s="47">
        <f>IFERROR(__xludf.DUMMYFUNCTION("""COMPUTED_VALUE"""),4.3)</f>
        <v>4.3</v>
      </c>
      <c r="Q170" s="48">
        <f>IFERROR(__xludf.DUMMYFUNCTION("""COMPUTED_VALUE"""),1.7)</f>
        <v>1.7</v>
      </c>
      <c r="R170" s="47">
        <f>IFERROR(__xludf.DUMMYFUNCTION("""COMPUTED_VALUE"""),0.7)</f>
        <v>0.7</v>
      </c>
      <c r="S170" s="47">
        <f>IFERROR(__xludf.DUMMYFUNCTION("""COMPUTED_VALUE"""),0.4)</f>
        <v>0.4</v>
      </c>
      <c r="T170" s="47">
        <f>IFERROR(__xludf.DUMMYFUNCTION("""COMPUTED_VALUE"""),46.875)</f>
        <v>46.875</v>
      </c>
      <c r="U170" s="47">
        <f>IFERROR(__xludf.DUMMYFUNCTION("""COMPUTED_VALUE"""),73.07692307692307)</f>
        <v>73.07692308</v>
      </c>
      <c r="V170" s="47">
        <f>IFERROR(__xludf.DUMMYFUNCTION("""COMPUTED_VALUE"""),1.5)</f>
        <v>1.5</v>
      </c>
      <c r="W170" s="46">
        <f>IFERROR(__xludf.DUMMYFUNCTION("""COMPUTED_VALUE"""),-0.24548675576950457)</f>
        <v>-0.2454867558</v>
      </c>
      <c r="X170" s="46">
        <f>IFERROR(__xludf.DUMMYFUNCTION("""COMPUTED_VALUE"""),0.2214068836035562)</f>
        <v>0.2214068836</v>
      </c>
      <c r="Y170" s="46">
        <f>IFERROR(__xludf.DUMMYFUNCTION("""COMPUTED_VALUE"""),-0.7507252734808988)</f>
        <v>-0.7507252735</v>
      </c>
      <c r="Z170" s="46">
        <f>IFERROR(__xludf.DUMMYFUNCTION("""COMPUTED_VALUE"""),-1.0934927533668515)</f>
        <v>-1.093492753</v>
      </c>
      <c r="AA170" s="46">
        <f>IFERROR(__xludf.DUMMYFUNCTION("""COMPUTED_VALUE"""),-0.6425203743558983)</f>
        <v>-0.6425203744</v>
      </c>
      <c r="AB170" s="46">
        <f>IFERROR(__xludf.DUMMYFUNCTION("""COMPUTED_VALUE"""),-0.39569839687757064)</f>
        <v>-0.3956983969</v>
      </c>
      <c r="AC170" s="46">
        <f>IFERROR(__xludf.DUMMYFUNCTION("""COMPUTED_VALUE"""),-0.3482050353109045)</f>
        <v>-0.3482050353</v>
      </c>
      <c r="AD170" s="46">
        <f>IFERROR(__xludf.DUMMYFUNCTION("""COMPUTED_VALUE"""),-0.3820179751220842)</f>
        <v>-0.3820179751</v>
      </c>
      <c r="AE170" s="46">
        <f>IFERROR(__xludf.DUMMYFUNCTION("""COMPUTED_VALUE"""),0.1535754730748638)</f>
        <v>0.1535754731</v>
      </c>
    </row>
    <row r="171">
      <c r="A171" s="6" t="str">
        <f>IF(VLOOKUP(H171,'Paste #BBall'!$B$2:$N1001,3,)="BRO","BKN",IF(VLOOKUP(H171,'Paste #BBall'!$B$2:$N1001,3,)="OKL","OKC",VLOOKUP(H171,'Paste #BBall'!$B$2:$N1001,3,)))</f>
        <v>LAC</v>
      </c>
      <c r="B171" s="42">
        <f>VLOOKUP($A171,Schedule!$C$2:$G$31,2,0)</f>
        <v>4</v>
      </c>
      <c r="C171" s="42">
        <f>VLOOKUP($A171,Schedule!$C$2:$G$31,3,0)</f>
        <v>4</v>
      </c>
      <c r="D171" s="42">
        <f>VLOOKUP($A171,Schedule!$C$2:$G$31,4,0)</f>
        <v>3</v>
      </c>
      <c r="E171" s="42">
        <f t="shared" si="1"/>
        <v>11</v>
      </c>
      <c r="F171" s="51">
        <v>166.0</v>
      </c>
      <c r="G171" s="45">
        <f>IFERROR(__xludf.DUMMYFUNCTION("""COMPUTED_VALUE"""),205.0)</f>
        <v>205</v>
      </c>
      <c r="H171" s="45" t="str">
        <f>IFERROR(__xludf.DUMMYFUNCTION("""COMPUTED_VALUE"""),"Mason Plumlee")</f>
        <v>Mason Plumlee</v>
      </c>
      <c r="I171" s="45">
        <f>IFERROR(__xludf.DUMMYFUNCTION("""COMPUTED_VALUE"""),75.0)</f>
        <v>75</v>
      </c>
      <c r="J171" s="46" t="str">
        <f>IFERROR(__xludf.DUMMYFUNCTION("""COMPUTED_VALUE"""),"C")</f>
        <v>C</v>
      </c>
      <c r="K171" s="46">
        <f>IFERROR(__xludf.DUMMYFUNCTION("""COMPUTED_VALUE"""),-5.372522401839436)</f>
        <v>-5.372522402</v>
      </c>
      <c r="L171" s="46">
        <f>IFERROR(__xludf.DUMMYFUNCTION("""COMPUTED_VALUE"""),-2.4123054551466803)</f>
        <v>-2.412305455</v>
      </c>
      <c r="M171" s="47">
        <f>IFERROR(__xludf.DUMMYFUNCTION("""COMPUTED_VALUE"""),2.960216946692756)</f>
        <v>2.960216947</v>
      </c>
      <c r="N171" s="47">
        <f>IFERROR(__xludf.DUMMYFUNCTION("""COMPUTED_VALUE"""),8.2)</f>
        <v>8.2</v>
      </c>
      <c r="O171" s="47">
        <f>IFERROR(__xludf.DUMMYFUNCTION("""COMPUTED_VALUE"""),0.0)</f>
        <v>0</v>
      </c>
      <c r="P171" s="47">
        <f>IFERROR(__xludf.DUMMYFUNCTION("""COMPUTED_VALUE"""),7.8)</f>
        <v>7.8</v>
      </c>
      <c r="Q171" s="48">
        <f>IFERROR(__xludf.DUMMYFUNCTION("""COMPUTED_VALUE"""),2.9)</f>
        <v>2.9</v>
      </c>
      <c r="R171" s="47">
        <f>IFERROR(__xludf.DUMMYFUNCTION("""COMPUTED_VALUE"""),0.7)</f>
        <v>0.7</v>
      </c>
      <c r="S171" s="47">
        <f>IFERROR(__xludf.DUMMYFUNCTION("""COMPUTED_VALUE"""),0.6)</f>
        <v>0.6</v>
      </c>
      <c r="T171" s="47">
        <f>IFERROR(__xludf.DUMMYFUNCTION("""COMPUTED_VALUE"""),67.3469387755102)</f>
        <v>67.34693878</v>
      </c>
      <c r="U171" s="47">
        <f>IFERROR(__xludf.DUMMYFUNCTION("""COMPUTED_VALUE"""),53.333333333333336)</f>
        <v>53.33333333</v>
      </c>
      <c r="V171" s="47">
        <f>IFERROR(__xludf.DUMMYFUNCTION("""COMPUTED_VALUE"""),1.3)</f>
        <v>1.3</v>
      </c>
      <c r="W171" s="46">
        <f>IFERROR(__xludf.DUMMYFUNCTION("""COMPUTED_VALUE"""),-1.5262872206538762)</f>
        <v>-1.526287221</v>
      </c>
      <c r="X171" s="46">
        <f>IFERROR(__xludf.DUMMYFUNCTION("""COMPUTED_VALUE"""),-1.4261378116187227)</f>
        <v>-1.426137812</v>
      </c>
      <c r="Y171" s="46">
        <f>IFERROR(__xludf.DUMMYFUNCTION("""COMPUTED_VALUE"""),0.7128126714781506)</f>
        <v>0.7128126715</v>
      </c>
      <c r="Z171" s="46">
        <f>IFERROR(__xludf.DUMMYFUNCTION("""COMPUTED_VALUE"""),-0.48146322722868856)</f>
        <v>-0.4814632272</v>
      </c>
      <c r="AA171" s="46">
        <f>IFERROR(__xludf.DUMMYFUNCTION("""COMPUTED_VALUE"""),-0.6425203743558983)</f>
        <v>-0.6425203744</v>
      </c>
      <c r="AB171" s="46">
        <f>IFERROR(__xludf.DUMMYFUNCTION("""COMPUTED_VALUE"""),-0.13306671753405044)</f>
        <v>-0.1330667175</v>
      </c>
      <c r="AC171" s="46">
        <f>IFERROR(__xludf.DUMMYFUNCTION("""COMPUTED_VALUE"""),0.868689242362081)</f>
        <v>0.8686892424</v>
      </c>
      <c r="AD171" s="46">
        <f>IFERROR(__xludf.DUMMYFUNCTION("""COMPUTED_VALUE"""),-1.9151881205693684)</f>
        <v>-1.915188121</v>
      </c>
      <c r="AE171" s="46">
        <f>IFERROR(__xludf.DUMMYFUNCTION("""COMPUTED_VALUE"""),0.2156679824043236)</f>
        <v>0.2156679824</v>
      </c>
    </row>
    <row r="172">
      <c r="A172" s="6" t="str">
        <f>IF(VLOOKUP(H172,'Paste #BBall'!$B$2:$N1001,3,)="BRO","BKN",IF(VLOOKUP(H172,'Paste #BBall'!$B$2:$N1001,3,)="OKL","OKC",VLOOKUP(H172,'Paste #BBall'!$B$2:$N1001,3,)))</f>
        <v>CLE</v>
      </c>
      <c r="B172" s="42">
        <f>VLOOKUP($A172,Schedule!$C$2:$G$31,2,0)</f>
        <v>4</v>
      </c>
      <c r="C172" s="42">
        <f>VLOOKUP($A172,Schedule!$C$2:$G$31,3,0)</f>
        <v>3</v>
      </c>
      <c r="D172" s="42">
        <f>VLOOKUP($A172,Schedule!$C$2:$G$31,4,0)</f>
        <v>4</v>
      </c>
      <c r="E172" s="42">
        <f t="shared" si="1"/>
        <v>11</v>
      </c>
      <c r="F172" s="43">
        <v>167.0</v>
      </c>
      <c r="G172" s="45">
        <f>IFERROR(__xludf.DUMMYFUNCTION("""COMPUTED_VALUE"""),166.0)</f>
        <v>166</v>
      </c>
      <c r="H172" s="45" t="str">
        <f>IFERROR(__xludf.DUMMYFUNCTION("""COMPUTED_VALUE"""),"Max Strus")</f>
        <v>Max Strus</v>
      </c>
      <c r="I172" s="45">
        <f>IFERROR(__xludf.DUMMYFUNCTION("""COMPUTED_VALUE"""),73.0)</f>
        <v>73</v>
      </c>
      <c r="J172" s="46" t="str">
        <f>IFERROR(__xludf.DUMMYFUNCTION("""COMPUTED_VALUE"""),"SG,SF")</f>
        <v>SG,SF</v>
      </c>
      <c r="K172" s="46">
        <f>IFERROR(__xludf.DUMMYFUNCTION("""COMPUTED_VALUE"""),-4.260412445270027)</f>
        <v>-4.260412445</v>
      </c>
      <c r="L172" s="46">
        <f>IFERROR(__xludf.DUMMYFUNCTION("""COMPUTED_VALUE"""),-2.4318508325703814)</f>
        <v>-2.431850833</v>
      </c>
      <c r="M172" s="47">
        <f>IFERROR(__xludf.DUMMYFUNCTION("""COMPUTED_VALUE"""),1.8285616126996453)</f>
        <v>1.828561613</v>
      </c>
      <c r="N172" s="47">
        <f>IFERROR(__xludf.DUMMYFUNCTION("""COMPUTED_VALUE"""),12.7)</f>
        <v>12.7</v>
      </c>
      <c r="O172" s="47">
        <f>IFERROR(__xludf.DUMMYFUNCTION("""COMPUTED_VALUE"""),2.7)</f>
        <v>2.7</v>
      </c>
      <c r="P172" s="47">
        <f>IFERROR(__xludf.DUMMYFUNCTION("""COMPUTED_VALUE"""),3.6)</f>
        <v>3.6</v>
      </c>
      <c r="Q172" s="48">
        <f>IFERROR(__xludf.DUMMYFUNCTION("""COMPUTED_VALUE"""),2.1)</f>
        <v>2.1</v>
      </c>
      <c r="R172" s="47">
        <f>IFERROR(__xludf.DUMMYFUNCTION("""COMPUTED_VALUE"""),0.6)</f>
        <v>0.6</v>
      </c>
      <c r="S172" s="47">
        <f>IFERROR(__xludf.DUMMYFUNCTION("""COMPUTED_VALUE"""),0.2)</f>
        <v>0.2</v>
      </c>
      <c r="T172" s="47">
        <f>IFERROR(__xludf.DUMMYFUNCTION("""COMPUTED_VALUE"""),42.056074766355145)</f>
        <v>42.05607477</v>
      </c>
      <c r="U172" s="47">
        <f>IFERROR(__xludf.DUMMYFUNCTION("""COMPUTED_VALUE"""),90.9090909090909)</f>
        <v>90.90909091</v>
      </c>
      <c r="V172" s="47">
        <f>IFERROR(__xludf.DUMMYFUNCTION("""COMPUTED_VALUE"""),1.0)</f>
        <v>1</v>
      </c>
      <c r="W172" s="46">
        <f>IFERROR(__xludf.DUMMYFUNCTION("""COMPUTED_VALUE"""),-0.7679185243407616)</f>
        <v>-0.7679185243</v>
      </c>
      <c r="X172" s="46">
        <f>IFERROR(__xludf.DUMMYFUNCTION("""COMPUTED_VALUE"""),0.9151099131708318)</f>
        <v>0.9151099132</v>
      </c>
      <c r="Y172" s="46">
        <f>IFERROR(__xludf.DUMMYFUNCTION("""COMPUTED_VALUE"""),-1.0434328624727087)</f>
        <v>-1.043432862</v>
      </c>
      <c r="Z172" s="46">
        <f>IFERROR(__xludf.DUMMYFUNCTION("""COMPUTED_VALUE"""),-0.8894829113207969)</f>
        <v>-0.8894829113</v>
      </c>
      <c r="AA172" s="46">
        <f>IFERROR(__xludf.DUMMYFUNCTION("""COMPUTED_VALUE"""),-0.860570275155411)</f>
        <v>-0.8605702752</v>
      </c>
      <c r="AB172" s="46">
        <f>IFERROR(__xludf.DUMMYFUNCTION("""COMPUTED_VALUE"""),-0.6583300762210907)</f>
        <v>-0.6583300762</v>
      </c>
      <c r="AC172" s="46">
        <f>IFERROR(__xludf.DUMMYFUNCTION("""COMPUTED_VALUE"""),-0.8061174273997138)</f>
        <v>-0.8061174274</v>
      </c>
      <c r="AD172" s="46">
        <f>IFERROR(__xludf.DUMMYFUNCTION("""COMPUTED_VALUE"""),0.32665172229804795)</f>
        <v>0.3266517223</v>
      </c>
      <c r="AE172" s="46">
        <f>IFERROR(__xludf.DUMMYFUNCTION("""COMPUTED_VALUE"""),0.30880674639851335)</f>
        <v>0.3088067464</v>
      </c>
    </row>
    <row r="173">
      <c r="A173" s="6" t="str">
        <f>IF(VLOOKUP(H173,'Paste #BBall'!$B$2:$N1001,3,)="BRO","BKN",IF(VLOOKUP(H173,'Paste #BBall'!$B$2:$N1001,3,)="OKL","OKC",VLOOKUP(H173,'Paste #BBall'!$B$2:$N1001,3,)))</f>
        <v>BKN</v>
      </c>
      <c r="B173" s="42">
        <f>VLOOKUP($A173,Schedule!$C$2:$G$31,2,0)</f>
        <v>5</v>
      </c>
      <c r="C173" s="42">
        <f>VLOOKUP($A173,Schedule!$C$2:$G$31,3,0)</f>
        <v>3</v>
      </c>
      <c r="D173" s="42">
        <f>VLOOKUP($A173,Schedule!$C$2:$G$31,4,0)</f>
        <v>3</v>
      </c>
      <c r="E173" s="42">
        <f t="shared" si="1"/>
        <v>11</v>
      </c>
      <c r="F173" s="51">
        <v>168.0</v>
      </c>
      <c r="G173" s="45">
        <f>IFERROR(__xludf.DUMMYFUNCTION("""COMPUTED_VALUE"""),186.0)</f>
        <v>186</v>
      </c>
      <c r="H173" s="45" t="str">
        <f>IFERROR(__xludf.DUMMYFUNCTION("""COMPUTED_VALUE"""),"Royce O'Neale")</f>
        <v>Royce O'Neale</v>
      </c>
      <c r="I173" s="45">
        <f>IFERROR(__xludf.DUMMYFUNCTION("""COMPUTED_VALUE"""),76.0)</f>
        <v>76</v>
      </c>
      <c r="J173" s="46" t="str">
        <f>IFERROR(__xludf.DUMMYFUNCTION("""COMPUTED_VALUE"""),"SG,SF")</f>
        <v>SG,SF</v>
      </c>
      <c r="K173" s="46">
        <f>IFERROR(__xludf.DUMMYFUNCTION("""COMPUTED_VALUE"""),-4.7803103766241275)</f>
        <v>-4.780310377</v>
      </c>
      <c r="L173" s="46">
        <f>IFERROR(__xludf.DUMMYFUNCTION("""COMPUTED_VALUE"""),-2.4350350633913984)</f>
        <v>-2.435035063</v>
      </c>
      <c r="M173" s="47">
        <f>IFERROR(__xludf.DUMMYFUNCTION("""COMPUTED_VALUE"""),2.345275313232729)</f>
        <v>2.345275313</v>
      </c>
      <c r="N173" s="47">
        <f>IFERROR(__xludf.DUMMYFUNCTION("""COMPUTED_VALUE"""),6.9)</f>
        <v>6.9</v>
      </c>
      <c r="O173" s="47">
        <f>IFERROR(__xludf.DUMMYFUNCTION("""COMPUTED_VALUE"""),1.6)</f>
        <v>1.6</v>
      </c>
      <c r="P173" s="47">
        <f>IFERROR(__xludf.DUMMYFUNCTION("""COMPUTED_VALUE"""),4.2)</f>
        <v>4.2</v>
      </c>
      <c r="Q173" s="48">
        <f>IFERROR(__xludf.DUMMYFUNCTION("""COMPUTED_VALUE"""),2.6)</f>
        <v>2.6</v>
      </c>
      <c r="R173" s="47">
        <f>IFERROR(__xludf.DUMMYFUNCTION("""COMPUTED_VALUE"""),0.8)</f>
        <v>0.8</v>
      </c>
      <c r="S173" s="47">
        <f>IFERROR(__xludf.DUMMYFUNCTION("""COMPUTED_VALUE"""),0.5)</f>
        <v>0.5</v>
      </c>
      <c r="T173" s="47">
        <f>IFERROR(__xludf.DUMMYFUNCTION("""COMPUTED_VALUE"""),42.10526315789473)</f>
        <v>42.10526316</v>
      </c>
      <c r="U173" s="47">
        <f>IFERROR(__xludf.DUMMYFUNCTION("""COMPUTED_VALUE"""),71.42857142857143)</f>
        <v>71.42857143</v>
      </c>
      <c r="V173" s="47">
        <f>IFERROR(__xludf.DUMMYFUNCTION("""COMPUTED_VALUE"""),1.1)</f>
        <v>1.1</v>
      </c>
      <c r="W173" s="46">
        <f>IFERROR(__xludf.DUMMYFUNCTION("""COMPUTED_VALUE"""),-1.7453715106998868)</f>
        <v>-1.745371511</v>
      </c>
      <c r="X173" s="46">
        <f>IFERROR(__xludf.DUMMYFUNCTION("""COMPUTED_VALUE"""),-0.03873175248417188)</f>
        <v>-0.03873175248</v>
      </c>
      <c r="Y173" s="46">
        <f>IFERROR(__xludf.DUMMYFUNCTION("""COMPUTED_VALUE"""),-0.7925406433368716)</f>
        <v>-0.7925406433</v>
      </c>
      <c r="Z173" s="46">
        <f>IFERROR(__xludf.DUMMYFUNCTION("""COMPUTED_VALUE"""),-0.6344706087632292)</f>
        <v>-0.6344706088</v>
      </c>
      <c r="AA173" s="46">
        <f>IFERROR(__xludf.DUMMYFUNCTION("""COMPUTED_VALUE"""),-0.42447047355638534)</f>
        <v>-0.4244704736</v>
      </c>
      <c r="AB173" s="46">
        <f>IFERROR(__xludf.DUMMYFUNCTION("""COMPUTED_VALUE"""),-0.2643825572058105)</f>
        <v>-0.2643825572</v>
      </c>
      <c r="AC173" s="46">
        <f>IFERROR(__xludf.DUMMYFUNCTION("""COMPUTED_VALUE"""),-0.42662648460762637)</f>
        <v>-0.4266264846</v>
      </c>
      <c r="AD173" s="46">
        <f>IFERROR(__xludf.DUMMYFUNCTION("""COMPUTED_VALUE"""),-0.13157303517108632)</f>
        <v>-0.1315730352</v>
      </c>
      <c r="AE173" s="46">
        <f>IFERROR(__xludf.DUMMYFUNCTION("""COMPUTED_VALUE"""),0.2777604917337834)</f>
        <v>0.2777604917</v>
      </c>
    </row>
    <row r="174">
      <c r="A174" s="6" t="str">
        <f>IF(VLOOKUP(H174,'Paste #BBall'!$B$2:$N1001,3,)="BRO","BKN",IF(VLOOKUP(H174,'Paste #BBall'!$B$2:$N1001,3,)="OKL","OKC",VLOOKUP(H174,'Paste #BBall'!$B$2:$N1001,3,)))</f>
        <v>PHI</v>
      </c>
      <c r="B174" s="42">
        <f>VLOOKUP($A174,Schedule!$C$2:$G$31,2,0)</f>
        <v>4</v>
      </c>
      <c r="C174" s="42">
        <f>VLOOKUP($A174,Schedule!$C$2:$G$31,3,0)</f>
        <v>3</v>
      </c>
      <c r="D174" s="42">
        <f>VLOOKUP($A174,Schedule!$C$2:$G$31,4,0)</f>
        <v>4</v>
      </c>
      <c r="E174" s="42">
        <f t="shared" si="1"/>
        <v>11</v>
      </c>
      <c r="F174" s="43">
        <v>169.0</v>
      </c>
      <c r="G174" s="45">
        <f>IFERROR(__xludf.DUMMYFUNCTION("""COMPUTED_VALUE"""),183.0)</f>
        <v>183</v>
      </c>
      <c r="H174" s="45" t="str">
        <f>IFERROR(__xludf.DUMMYFUNCTION("""COMPUTED_VALUE"""),"Patrick Beverley")</f>
        <v>Patrick Beverley</v>
      </c>
      <c r="I174" s="45">
        <f>IFERROR(__xludf.DUMMYFUNCTION("""COMPUTED_VALUE"""),64.0)</f>
        <v>64</v>
      </c>
      <c r="J174" s="46" t="str">
        <f>IFERROR(__xludf.DUMMYFUNCTION("""COMPUTED_VALUE"""),"PG")</f>
        <v>PG</v>
      </c>
      <c r="K174" s="46">
        <f>IFERROR(__xludf.DUMMYFUNCTION("""COMPUTED_VALUE"""),-4.731291711063643)</f>
        <v>-4.731291711</v>
      </c>
      <c r="L174" s="47">
        <f>IFERROR(__xludf.DUMMYFUNCTION("""COMPUTED_VALUE"""),-2.435848336443953)</f>
        <v>-2.435848336</v>
      </c>
      <c r="M174" s="47">
        <f>IFERROR(__xludf.DUMMYFUNCTION("""COMPUTED_VALUE"""),2.29544337461969)</f>
        <v>2.295443375</v>
      </c>
      <c r="N174" s="47">
        <f>IFERROR(__xludf.DUMMYFUNCTION("""COMPUTED_VALUE"""),6.9)</f>
        <v>6.9</v>
      </c>
      <c r="O174" s="47">
        <f>IFERROR(__xludf.DUMMYFUNCTION("""COMPUTED_VALUE"""),1.2)</f>
        <v>1.2</v>
      </c>
      <c r="P174" s="47">
        <f>IFERROR(__xludf.DUMMYFUNCTION("""COMPUTED_VALUE"""),3.5)</f>
        <v>3.5</v>
      </c>
      <c r="Q174" s="48">
        <f>IFERROR(__xludf.DUMMYFUNCTION("""COMPUTED_VALUE"""),3.4)</f>
        <v>3.4</v>
      </c>
      <c r="R174" s="47">
        <f>IFERROR(__xludf.DUMMYFUNCTION("""COMPUTED_VALUE"""),0.9)</f>
        <v>0.9</v>
      </c>
      <c r="S174" s="47">
        <f>IFERROR(__xludf.DUMMYFUNCTION("""COMPUTED_VALUE"""),0.7)</f>
        <v>0.7</v>
      </c>
      <c r="T174" s="47">
        <f>IFERROR(__xludf.DUMMYFUNCTION("""COMPUTED_VALUE"""),39.655172413793096)</f>
        <v>39.65517241</v>
      </c>
      <c r="U174" s="47">
        <f>IFERROR(__xludf.DUMMYFUNCTION("""COMPUTED_VALUE"""),71.42857142857143)</f>
        <v>71.42857143</v>
      </c>
      <c r="V174" s="47">
        <f>IFERROR(__xludf.DUMMYFUNCTION("""COMPUTED_VALUE"""),1.0)</f>
        <v>1</v>
      </c>
      <c r="W174" s="46">
        <f>IFERROR(__xludf.DUMMYFUNCTION("""COMPUTED_VALUE"""),-1.7453715106998868)</f>
        <v>-1.745371511</v>
      </c>
      <c r="X174" s="46">
        <f>IFERROR(__xludf.DUMMYFUNCTION("""COMPUTED_VALUE"""),-0.38558326726780967)</f>
        <v>-0.3855832673</v>
      </c>
      <c r="Y174" s="46">
        <f>IFERROR(__xludf.DUMMYFUNCTION("""COMPUTED_VALUE"""),-1.0852482323286814)</f>
        <v>-1.085248232</v>
      </c>
      <c r="Z174" s="46">
        <f>IFERROR(__xludf.DUMMYFUNCTION("""COMPUTED_VALUE"""),-0.22645092467112066)</f>
        <v>-0.2264509247</v>
      </c>
      <c r="AA174" s="46">
        <f>IFERROR(__xludf.DUMMYFUNCTION("""COMPUTED_VALUE"""),-0.2064205727568726)</f>
        <v>-0.2064205728</v>
      </c>
      <c r="AB174" s="46">
        <f>IFERROR(__xludf.DUMMYFUNCTION("""COMPUTED_VALUE"""),-0.0017508778622903794)</f>
        <v>-0.001750877862</v>
      </c>
      <c r="AC174" s="46">
        <f>IFERROR(__xludf.DUMMYFUNCTION("""COMPUTED_VALUE"""),-0.5760551376135187)</f>
        <v>-0.5760551376</v>
      </c>
      <c r="AD174" s="46">
        <f>IFERROR(__xludf.DUMMYFUNCTION("""COMPUTED_VALUE"""),-0.26314607034217263)</f>
        <v>-0.2631460703</v>
      </c>
      <c r="AE174" s="46">
        <f>IFERROR(__xludf.DUMMYFUNCTION("""COMPUTED_VALUE"""),0.30880674639851335)</f>
        <v>0.3088067464</v>
      </c>
    </row>
    <row r="175">
      <c r="A175" s="6" t="str">
        <f>IF(VLOOKUP(H175,'Paste #BBall'!$B$2:$N1001,3,)="BRO","BKN",IF(VLOOKUP(H175,'Paste #BBall'!$B$2:$N1001,3,)="OKL","OKC",VLOOKUP(H175,'Paste #BBall'!$B$2:$N1001,3,)))</f>
        <v>SAC</v>
      </c>
      <c r="B175" s="42">
        <f>VLOOKUP($A175,Schedule!$C$2:$G$31,2,0)</f>
        <v>4</v>
      </c>
      <c r="C175" s="42">
        <f>VLOOKUP($A175,Schedule!$C$2:$G$31,3,0)</f>
        <v>3</v>
      </c>
      <c r="D175" s="42">
        <f>VLOOKUP($A175,Schedule!$C$2:$G$31,4,0)</f>
        <v>4</v>
      </c>
      <c r="E175" s="42">
        <f t="shared" si="1"/>
        <v>11</v>
      </c>
      <c r="F175" s="51">
        <v>170.0</v>
      </c>
      <c r="G175" s="45">
        <f>IFERROR(__xludf.DUMMYFUNCTION("""COMPUTED_VALUE"""),178.0)</f>
        <v>178</v>
      </c>
      <c r="H175" s="45" t="str">
        <f>IFERROR(__xludf.DUMMYFUNCTION("""COMPUTED_VALUE"""),"Malik Monk")</f>
        <v>Malik Monk</v>
      </c>
      <c r="I175" s="45">
        <f>IFERROR(__xludf.DUMMYFUNCTION("""COMPUTED_VALUE"""),76.0)</f>
        <v>76</v>
      </c>
      <c r="J175" s="46" t="str">
        <f>IFERROR(__xludf.DUMMYFUNCTION("""COMPUTED_VALUE"""),"SG,SF")</f>
        <v>SG,SF</v>
      </c>
      <c r="K175" s="46">
        <f>IFERROR(__xludf.DUMMYFUNCTION("""COMPUTED_VALUE"""),-4.609150738437021)</f>
        <v>-4.609150738</v>
      </c>
      <c r="L175" s="47">
        <f>IFERROR(__xludf.DUMMYFUNCTION("""COMPUTED_VALUE"""),-2.4805593349513453)</f>
        <v>-2.480559335</v>
      </c>
      <c r="M175" s="47">
        <f>IFERROR(__xludf.DUMMYFUNCTION("""COMPUTED_VALUE"""),2.128591403485676)</f>
        <v>2.128591403</v>
      </c>
      <c r="N175" s="47">
        <f>IFERROR(__xludf.DUMMYFUNCTION("""COMPUTED_VALUE"""),12.0)</f>
        <v>12</v>
      </c>
      <c r="O175" s="47">
        <f>IFERROR(__xludf.DUMMYFUNCTION("""COMPUTED_VALUE"""),1.8)</f>
        <v>1.8</v>
      </c>
      <c r="P175" s="47">
        <f>IFERROR(__xludf.DUMMYFUNCTION("""COMPUTED_VALUE"""),2.6)</f>
        <v>2.6</v>
      </c>
      <c r="Q175" s="48">
        <f>IFERROR(__xludf.DUMMYFUNCTION("""COMPUTED_VALUE"""),3.0)</f>
        <v>3</v>
      </c>
      <c r="R175" s="47">
        <f>IFERROR(__xludf.DUMMYFUNCTION("""COMPUTED_VALUE"""),0.6)</f>
        <v>0.6</v>
      </c>
      <c r="S175" s="47">
        <f>IFERROR(__xludf.DUMMYFUNCTION("""COMPUTED_VALUE"""),0.3)</f>
        <v>0.3</v>
      </c>
      <c r="T175" s="47">
        <f>IFERROR(__xludf.DUMMYFUNCTION("""COMPUTED_VALUE"""),46.23655913978494)</f>
        <v>46.23655914</v>
      </c>
      <c r="U175" s="47">
        <f>IFERROR(__xludf.DUMMYFUNCTION("""COMPUTED_VALUE"""),84.21052631578948)</f>
        <v>84.21052632</v>
      </c>
      <c r="V175" s="47">
        <f>IFERROR(__xludf.DUMMYFUNCTION("""COMPUTED_VALUE"""),1.5)</f>
        <v>1.5</v>
      </c>
      <c r="W175" s="46">
        <f>IFERROR(__xludf.DUMMYFUNCTION("""COMPUTED_VALUE"""),-0.8858869882116903)</f>
        <v>-0.8858869882</v>
      </c>
      <c r="X175" s="46">
        <f>IFERROR(__xludf.DUMMYFUNCTION("""COMPUTED_VALUE"""),0.13469400490764694)</f>
        <v>0.1346940049</v>
      </c>
      <c r="Y175" s="46">
        <f>IFERROR(__xludf.DUMMYFUNCTION("""COMPUTED_VALUE"""),-1.461586561032437)</f>
        <v>-1.461586561</v>
      </c>
      <c r="Z175" s="46">
        <f>IFERROR(__xludf.DUMMYFUNCTION("""COMPUTED_VALUE"""),-0.4304607667171749)</f>
        <v>-0.4304607667</v>
      </c>
      <c r="AA175" s="46">
        <f>IFERROR(__xludf.DUMMYFUNCTION("""COMPUTED_VALUE"""),-0.860570275155411)</f>
        <v>-0.8605702752</v>
      </c>
      <c r="AB175" s="46">
        <f>IFERROR(__xludf.DUMMYFUNCTION("""COMPUTED_VALUE"""),-0.5270142365493308)</f>
        <v>-0.5270142365</v>
      </c>
      <c r="AC175" s="46">
        <f>IFERROR(__xludf.DUMMYFUNCTION("""COMPUTED_VALUE"""),-0.31230033207835617)</f>
        <v>-0.3123003321</v>
      </c>
      <c r="AD175" s="46">
        <f>IFERROR(__xludf.DUMMYFUNCTION("""COMPUTED_VALUE"""),0.2474037857781074)</f>
        <v>0.2474037858</v>
      </c>
      <c r="AE175" s="46">
        <f>IFERROR(__xludf.DUMMYFUNCTION("""COMPUTED_VALUE"""),0.1535754730748638)</f>
        <v>0.1535754731</v>
      </c>
    </row>
    <row r="176">
      <c r="A176" s="6" t="str">
        <f>IF(VLOOKUP(H176,'Paste #BBall'!$B$2:$N1001,3,)="BRO","BKN",IF(VLOOKUP(H176,'Paste #BBall'!$B$2:$N1001,3,)="OKL","OKC",VLOOKUP(H176,'Paste #BBall'!$B$2:$N1001,3,)))</f>
        <v>GS</v>
      </c>
      <c r="B176" s="42">
        <f>VLOOKUP($A176,Schedule!$C$2:$G$31,2,0)</f>
        <v>3</v>
      </c>
      <c r="C176" s="42">
        <f>VLOOKUP($A176,Schedule!$C$2:$G$31,3,0)</f>
        <v>3</v>
      </c>
      <c r="D176" s="42">
        <f>VLOOKUP($A176,Schedule!$C$2:$G$31,4,0)</f>
        <v>4</v>
      </c>
      <c r="E176" s="42">
        <f t="shared" si="1"/>
        <v>10</v>
      </c>
      <c r="F176" s="51">
        <v>171.0</v>
      </c>
      <c r="G176" s="45">
        <f>IFERROR(__xludf.DUMMYFUNCTION("""COMPUTED_VALUE"""),176.0)</f>
        <v>176</v>
      </c>
      <c r="H176" s="45" t="str">
        <f>IFERROR(__xludf.DUMMYFUNCTION("""COMPUTED_VALUE"""),"Gary Payton II")</f>
        <v>Gary Payton II</v>
      </c>
      <c r="I176" s="45">
        <f>IFERROR(__xludf.DUMMYFUNCTION("""COMPUTED_VALUE"""),70.0)</f>
        <v>70</v>
      </c>
      <c r="J176" s="46" t="str">
        <f>IFERROR(__xludf.DUMMYFUNCTION("""COMPUTED_VALUE"""),"PG,SG,SF")</f>
        <v>PG,SG,SF</v>
      </c>
      <c r="K176" s="46">
        <f>IFERROR(__xludf.DUMMYFUNCTION("""COMPUTED_VALUE"""),-4.5802872832872925)</f>
        <v>-4.580287283</v>
      </c>
      <c r="L176" s="47">
        <f>IFERROR(__xludf.DUMMYFUNCTION("""COMPUTED_VALUE"""),-2.4835520469420063)</f>
        <v>-2.483552047</v>
      </c>
      <c r="M176" s="47">
        <f>IFERROR(__xludf.DUMMYFUNCTION("""COMPUTED_VALUE"""),2.0967352363452862)</f>
        <v>2.096735236</v>
      </c>
      <c r="N176" s="47">
        <f>IFERROR(__xludf.DUMMYFUNCTION("""COMPUTED_VALUE"""),6.7)</f>
        <v>6.7</v>
      </c>
      <c r="O176" s="47">
        <f>IFERROR(__xludf.DUMMYFUNCTION("""COMPUTED_VALUE"""),0.6)</f>
        <v>0.6</v>
      </c>
      <c r="P176" s="47">
        <f>IFERROR(__xludf.DUMMYFUNCTION("""COMPUTED_VALUE"""),3.5)</f>
        <v>3.5</v>
      </c>
      <c r="Q176" s="48">
        <f>IFERROR(__xludf.DUMMYFUNCTION("""COMPUTED_VALUE"""),1.0)</f>
        <v>1</v>
      </c>
      <c r="R176" s="47">
        <f>IFERROR(__xludf.DUMMYFUNCTION("""COMPUTED_VALUE"""),1.3)</f>
        <v>1.3</v>
      </c>
      <c r="S176" s="47">
        <f>IFERROR(__xludf.DUMMYFUNCTION("""COMPUTED_VALUE"""),0.3)</f>
        <v>0.3</v>
      </c>
      <c r="T176" s="47">
        <f>IFERROR(__xludf.DUMMYFUNCTION("""COMPUTED_VALUE"""),60.86956521739131)</f>
        <v>60.86956522</v>
      </c>
      <c r="U176" s="47">
        <f>IFERROR(__xludf.DUMMYFUNCTION("""COMPUTED_VALUE"""),71.42857142857143)</f>
        <v>71.42857143</v>
      </c>
      <c r="V176" s="47">
        <f>IFERROR(__xludf.DUMMYFUNCTION("""COMPUTED_VALUE"""),0.6)</f>
        <v>0.6</v>
      </c>
      <c r="W176" s="46">
        <f>IFERROR(__xludf.DUMMYFUNCTION("""COMPUTED_VALUE"""),-1.779076786091581)</f>
        <v>-1.779076786</v>
      </c>
      <c r="X176" s="46">
        <f>IFERROR(__xludf.DUMMYFUNCTION("""COMPUTED_VALUE"""),-0.9058605394432663)</f>
        <v>-0.9058605394</v>
      </c>
      <c r="Y176" s="46">
        <f>IFERROR(__xludf.DUMMYFUNCTION("""COMPUTED_VALUE"""),-1.0852482323286814)</f>
        <v>-1.085248232</v>
      </c>
      <c r="Z176" s="46">
        <f>IFERROR(__xludf.DUMMYFUNCTION("""COMPUTED_VALUE"""),-1.4505099769474463)</f>
        <v>-1.450509977</v>
      </c>
      <c r="AA176" s="46">
        <f>IFERROR(__xludf.DUMMYFUNCTION("""COMPUTED_VALUE"""),0.6657790304411786)</f>
        <v>0.6657790304</v>
      </c>
      <c r="AB176" s="46">
        <f>IFERROR(__xludf.DUMMYFUNCTION("""COMPUTED_VALUE"""),-0.5270142365493308)</f>
        <v>-0.5270142365</v>
      </c>
      <c r="AC176" s="46">
        <f>IFERROR(__xludf.DUMMYFUNCTION("""COMPUTED_VALUE"""),0.5178831779991927)</f>
        <v>0.517883178</v>
      </c>
      <c r="AD176" s="46">
        <f>IFERROR(__xludf.DUMMYFUNCTION("""COMPUTED_VALUE"""),-0.13157303517108632)</f>
        <v>-0.1315730352</v>
      </c>
      <c r="AE176" s="46">
        <f>IFERROR(__xludf.DUMMYFUNCTION("""COMPUTED_VALUE"""),0.43299176505743303)</f>
        <v>0.4329917651</v>
      </c>
    </row>
    <row r="177">
      <c r="A177" s="6" t="str">
        <f>IF(VLOOKUP(H177,'Paste #BBall'!$B$2:$N1001,3,)="BRO","BKN",IF(VLOOKUP(H177,'Paste #BBall'!$B$2:$N1001,3,)="OKL","OKC",VLOOKUP(H177,'Paste #BBall'!$B$2:$N1001,3,)))</f>
        <v>NY</v>
      </c>
      <c r="B177" s="42">
        <f>VLOOKUP($A177,Schedule!$C$2:$G$31,2,0)</f>
        <v>3</v>
      </c>
      <c r="C177" s="42">
        <f>VLOOKUP($A177,Schedule!$C$2:$G$31,3,0)</f>
        <v>3</v>
      </c>
      <c r="D177" s="42">
        <f>VLOOKUP($A177,Schedule!$C$2:$G$31,4,0)</f>
        <v>3</v>
      </c>
      <c r="E177" s="42">
        <f t="shared" si="1"/>
        <v>9</v>
      </c>
      <c r="F177" s="43">
        <v>172.0</v>
      </c>
      <c r="G177" s="45">
        <f>IFERROR(__xludf.DUMMYFUNCTION("""COMPUTED_VALUE"""),165.0)</f>
        <v>165</v>
      </c>
      <c r="H177" s="45" t="str">
        <f>IFERROR(__xludf.DUMMYFUNCTION("""COMPUTED_VALUE"""),"Quentin Grimes")</f>
        <v>Quentin Grimes</v>
      </c>
      <c r="I177" s="45">
        <f>IFERROR(__xludf.DUMMYFUNCTION("""COMPUTED_VALUE"""),70.0)</f>
        <v>70</v>
      </c>
      <c r="J177" s="46" t="str">
        <f>IFERROR(__xludf.DUMMYFUNCTION("""COMPUTED_VALUE"""),"SG,SF")</f>
        <v>SG,SF</v>
      </c>
      <c r="K177" s="46">
        <f>IFERROR(__xludf.DUMMYFUNCTION("""COMPUTED_VALUE"""),-4.245543869827849)</f>
        <v>-4.24554387</v>
      </c>
      <c r="L177" s="47">
        <f>IFERROR(__xludf.DUMMYFUNCTION("""COMPUTED_VALUE"""),-2.489122651151116)</f>
        <v>-2.489122651</v>
      </c>
      <c r="M177" s="47">
        <f>IFERROR(__xludf.DUMMYFUNCTION("""COMPUTED_VALUE"""),1.7564212186767332)</f>
        <v>1.756421219</v>
      </c>
      <c r="N177" s="47">
        <f>IFERROR(__xludf.DUMMYFUNCTION("""COMPUTED_VALUE"""),10.9)</f>
        <v>10.9</v>
      </c>
      <c r="O177" s="47">
        <f>IFERROR(__xludf.DUMMYFUNCTION("""COMPUTED_VALUE"""),2.3)</f>
        <v>2.3</v>
      </c>
      <c r="P177" s="47">
        <f>IFERROR(__xludf.DUMMYFUNCTION("""COMPUTED_VALUE"""),3.3)</f>
        <v>3.3</v>
      </c>
      <c r="Q177" s="48">
        <f>IFERROR(__xludf.DUMMYFUNCTION("""COMPUTED_VALUE"""),2.0)</f>
        <v>2</v>
      </c>
      <c r="R177" s="47">
        <f>IFERROR(__xludf.DUMMYFUNCTION("""COMPUTED_VALUE"""),0.8)</f>
        <v>0.8</v>
      </c>
      <c r="S177" s="47">
        <f>IFERROR(__xludf.DUMMYFUNCTION("""COMPUTED_VALUE"""),0.4)</f>
        <v>0.4</v>
      </c>
      <c r="T177" s="47">
        <f>IFERROR(__xludf.DUMMYFUNCTION("""COMPUTED_VALUE"""),44.705882352941174)</f>
        <v>44.70588235</v>
      </c>
      <c r="U177" s="47">
        <f>IFERROR(__xludf.DUMMYFUNCTION("""COMPUTED_VALUE"""),75.0)</f>
        <v>75</v>
      </c>
      <c r="V177" s="47">
        <f>IFERROR(__xludf.DUMMYFUNCTION("""COMPUTED_VALUE"""),1.0)</f>
        <v>1</v>
      </c>
      <c r="W177" s="46">
        <f>IFERROR(__xludf.DUMMYFUNCTION("""COMPUTED_VALUE"""),-1.0712660028660073)</f>
        <v>-1.071266003</v>
      </c>
      <c r="X177" s="46">
        <f>IFERROR(__xludf.DUMMYFUNCTION("""COMPUTED_VALUE"""),0.5682583983871938)</f>
        <v>0.5682583984</v>
      </c>
      <c r="Y177" s="46">
        <f>IFERROR(__xludf.DUMMYFUNCTION("""COMPUTED_VALUE"""),-1.1688789720406272)</f>
        <v>-1.168878972</v>
      </c>
      <c r="Z177" s="46">
        <f>IFERROR(__xludf.DUMMYFUNCTION("""COMPUTED_VALUE"""),-0.9404853718323106)</f>
        <v>-0.9404853718</v>
      </c>
      <c r="AA177" s="46">
        <f>IFERROR(__xludf.DUMMYFUNCTION("""COMPUTED_VALUE"""),-0.42447047355638534)</f>
        <v>-0.4244704736</v>
      </c>
      <c r="AB177" s="46">
        <f>IFERROR(__xludf.DUMMYFUNCTION("""COMPUTED_VALUE"""),-0.39569839687757064)</f>
        <v>-0.3956983969</v>
      </c>
      <c r="AC177" s="46">
        <f>IFERROR(__xludf.DUMMYFUNCTION("""COMPUTED_VALUE"""),-0.4153956460246376)</f>
        <v>-0.415395646</v>
      </c>
      <c r="AD177" s="46">
        <f>IFERROR(__xludf.DUMMYFUNCTION("""COMPUTED_VALUE"""),-0.11887190477991126)</f>
        <v>-0.1188719048</v>
      </c>
      <c r="AE177" s="46">
        <f>IFERROR(__xludf.DUMMYFUNCTION("""COMPUTED_VALUE"""),0.30880674639851335)</f>
        <v>0.3088067464</v>
      </c>
    </row>
    <row r="178">
      <c r="A178" s="6" t="str">
        <f>IF(VLOOKUP(H178,'Paste #BBall'!$B$2:$N1001,3,)="BRO","BKN",IF(VLOOKUP(H178,'Paste #BBall'!$B$2:$N1001,3,)="OKL","OKC",VLOOKUP(H178,'Paste #BBall'!$B$2:$N1001,3,)))</f>
        <v>CLE</v>
      </c>
      <c r="B178" s="42">
        <f>VLOOKUP($A178,Schedule!$C$2:$G$31,2,0)</f>
        <v>4</v>
      </c>
      <c r="C178" s="42">
        <f>VLOOKUP($A178,Schedule!$C$2:$G$31,3,0)</f>
        <v>3</v>
      </c>
      <c r="D178" s="42">
        <f>VLOOKUP($A178,Schedule!$C$2:$G$31,4,0)</f>
        <v>4</v>
      </c>
      <c r="E178" s="42">
        <f t="shared" si="1"/>
        <v>11</v>
      </c>
      <c r="F178" s="51">
        <v>173.0</v>
      </c>
      <c r="G178" s="45">
        <f>IFERROR(__xludf.DUMMYFUNCTION("""COMPUTED_VALUE"""),164.0)</f>
        <v>164</v>
      </c>
      <c r="H178" s="45" t="str">
        <f>IFERROR(__xludf.DUMMYFUNCTION("""COMPUTED_VALUE"""),"Caris LeVert")</f>
        <v>Caris LeVert</v>
      </c>
      <c r="I178" s="45">
        <f>IFERROR(__xludf.DUMMYFUNCTION("""COMPUTED_VALUE"""),67.0)</f>
        <v>67</v>
      </c>
      <c r="J178" s="46" t="str">
        <f>IFERROR(__xludf.DUMMYFUNCTION("""COMPUTED_VALUE"""),"SG,SF")</f>
        <v>SG,SF</v>
      </c>
      <c r="K178" s="46">
        <f>IFERROR(__xludf.DUMMYFUNCTION("""COMPUTED_VALUE"""),-4.230941190028098)</f>
        <v>-4.23094119</v>
      </c>
      <c r="L178" s="47">
        <f>IFERROR(__xludf.DUMMYFUNCTION("""COMPUTED_VALUE"""),-2.497059729934905)</f>
        <v>-2.49705973</v>
      </c>
      <c r="M178" s="47">
        <f>IFERROR(__xludf.DUMMYFUNCTION("""COMPUTED_VALUE"""),1.7338814600931927)</f>
        <v>1.73388146</v>
      </c>
      <c r="N178" s="47">
        <f>IFERROR(__xludf.DUMMYFUNCTION("""COMPUTED_VALUE"""),13.1)</f>
        <v>13.1</v>
      </c>
      <c r="O178" s="47">
        <f>IFERROR(__xludf.DUMMYFUNCTION("""COMPUTED_VALUE"""),1.5)</f>
        <v>1.5</v>
      </c>
      <c r="P178" s="47">
        <f>IFERROR(__xludf.DUMMYFUNCTION("""COMPUTED_VALUE"""),3.4)</f>
        <v>3.4</v>
      </c>
      <c r="Q178" s="48">
        <f>IFERROR(__xludf.DUMMYFUNCTION("""COMPUTED_VALUE"""),3.7)</f>
        <v>3.7</v>
      </c>
      <c r="R178" s="47">
        <f>IFERROR(__xludf.DUMMYFUNCTION("""COMPUTED_VALUE"""),0.9)</f>
        <v>0.9</v>
      </c>
      <c r="S178" s="47">
        <f>IFERROR(__xludf.DUMMYFUNCTION("""COMPUTED_VALUE"""),0.3)</f>
        <v>0.3</v>
      </c>
      <c r="T178" s="47">
        <f>IFERROR(__xludf.DUMMYFUNCTION("""COMPUTED_VALUE"""),44.14414414414415)</f>
        <v>44.14414414</v>
      </c>
      <c r="U178" s="47">
        <f>IFERROR(__xludf.DUMMYFUNCTION("""COMPUTED_VALUE"""),73.07692307692307)</f>
        <v>73.07692308</v>
      </c>
      <c r="V178" s="47">
        <f>IFERROR(__xludf.DUMMYFUNCTION("""COMPUTED_VALUE"""),1.6)</f>
        <v>1.6</v>
      </c>
      <c r="W178" s="46">
        <f>IFERROR(__xludf.DUMMYFUNCTION("""COMPUTED_VALUE"""),-0.7005079735573735)</f>
        <v>-0.7005079736</v>
      </c>
      <c r="X178" s="46">
        <f>IFERROR(__xludf.DUMMYFUNCTION("""COMPUTED_VALUE"""),-0.12544463118008137)</f>
        <v>-0.1254446312</v>
      </c>
      <c r="Y178" s="46">
        <f>IFERROR(__xludf.DUMMYFUNCTION("""COMPUTED_VALUE"""),-1.1270636021846543)</f>
        <v>-1.127063602</v>
      </c>
      <c r="Z178" s="46">
        <f>IFERROR(__xludf.DUMMYFUNCTION("""COMPUTED_VALUE"""),-0.07344354313657983)</f>
        <v>-0.07344354314</v>
      </c>
      <c r="AA178" s="46">
        <f>IFERROR(__xludf.DUMMYFUNCTION("""COMPUTED_VALUE"""),-0.2064205727568726)</f>
        <v>-0.2064205728</v>
      </c>
      <c r="AB178" s="46">
        <f>IFERROR(__xludf.DUMMYFUNCTION("""COMPUTED_VALUE"""),-0.5270142365493308)</f>
        <v>-0.5270142365</v>
      </c>
      <c r="AC178" s="46">
        <f>IFERROR(__xludf.DUMMYFUNCTION("""COMPUTED_VALUE"""),-0.6047400160427169)</f>
        <v>-0.604740016</v>
      </c>
      <c r="AD178" s="46">
        <f>IFERROR(__xludf.DUMMYFUNCTION("""COMPUTED_VALUE"""),-0.3820179751220842)</f>
        <v>-0.3820179751</v>
      </c>
      <c r="AE178" s="46">
        <f>IFERROR(__xludf.DUMMYFUNCTION("""COMPUTED_VALUE"""),0.12252921841013387)</f>
        <v>0.1225292184</v>
      </c>
    </row>
    <row r="179">
      <c r="A179" s="6" t="str">
        <f>IF(VLOOKUP(H179,'Paste #BBall'!$B$2:$N1001,3,)="BRO","BKN",IF(VLOOKUP(H179,'Paste #BBall'!$B$2:$N1001,3,)="OKL","OKC",VLOOKUP(H179,'Paste #BBall'!$B$2:$N1001,3,)))</f>
        <v>LAL</v>
      </c>
      <c r="B179" s="42">
        <f>VLOOKUP($A179,Schedule!$C$2:$G$31,2,0)</f>
        <v>4</v>
      </c>
      <c r="C179" s="42">
        <f>VLOOKUP($A179,Schedule!$C$2:$G$31,3,0)</f>
        <v>2</v>
      </c>
      <c r="D179" s="42">
        <f>VLOOKUP($A179,Schedule!$C$2:$G$31,4,0)</f>
        <v>3</v>
      </c>
      <c r="E179" s="42">
        <f t="shared" si="1"/>
        <v>9</v>
      </c>
      <c r="F179" s="51">
        <v>174.0</v>
      </c>
      <c r="G179" s="45">
        <f>IFERROR(__xludf.DUMMYFUNCTION("""COMPUTED_VALUE"""),175.0)</f>
        <v>175</v>
      </c>
      <c r="H179" s="45" t="str">
        <f>IFERROR(__xludf.DUMMYFUNCTION("""COMPUTED_VALUE"""),"Gabe Vincent")</f>
        <v>Gabe Vincent</v>
      </c>
      <c r="I179" s="45">
        <f>IFERROR(__xludf.DUMMYFUNCTION("""COMPUTED_VALUE"""),70.0)</f>
        <v>70</v>
      </c>
      <c r="J179" s="46" t="str">
        <f>IFERROR(__xludf.DUMMYFUNCTION("""COMPUTED_VALUE"""),"PG,SG")</f>
        <v>PG,SG</v>
      </c>
      <c r="K179" s="46">
        <f>IFERROR(__xludf.DUMMYFUNCTION("""COMPUTED_VALUE"""),-4.577718388803501)</f>
        <v>-4.577718389</v>
      </c>
      <c r="L179" s="47">
        <f>IFERROR(__xludf.DUMMYFUNCTION("""COMPUTED_VALUE"""),-2.5334708218061675)</f>
        <v>-2.533470822</v>
      </c>
      <c r="M179" s="47">
        <f>IFERROR(__xludf.DUMMYFUNCTION("""COMPUTED_VALUE"""),2.044247566997334)</f>
        <v>2.044247567</v>
      </c>
      <c r="N179" s="47">
        <f>IFERROR(__xludf.DUMMYFUNCTION("""COMPUTED_VALUE"""),10.3)</f>
        <v>10.3</v>
      </c>
      <c r="O179" s="47">
        <f>IFERROR(__xludf.DUMMYFUNCTION("""COMPUTED_VALUE"""),2.0)</f>
        <v>2</v>
      </c>
      <c r="P179" s="47">
        <f>IFERROR(__xludf.DUMMYFUNCTION("""COMPUTED_VALUE"""),2.3)</f>
        <v>2.3</v>
      </c>
      <c r="Q179" s="48">
        <f>IFERROR(__xludf.DUMMYFUNCTION("""COMPUTED_VALUE"""),3.2)</f>
        <v>3.2</v>
      </c>
      <c r="R179" s="47">
        <f>IFERROR(__xludf.DUMMYFUNCTION("""COMPUTED_VALUE"""),1.0)</f>
        <v>1</v>
      </c>
      <c r="S179" s="47">
        <f>IFERROR(__xludf.DUMMYFUNCTION("""COMPUTED_VALUE"""),0.1)</f>
        <v>0.1</v>
      </c>
      <c r="T179" s="47">
        <f>IFERROR(__xludf.DUMMYFUNCTION("""COMPUTED_VALUE"""),41.111111111111114)</f>
        <v>41.11111111</v>
      </c>
      <c r="U179" s="47">
        <f>IFERROR(__xludf.DUMMYFUNCTION("""COMPUTED_VALUE"""),81.81818181818181)</f>
        <v>81.81818182</v>
      </c>
      <c r="V179" s="47">
        <f>IFERROR(__xludf.DUMMYFUNCTION("""COMPUTED_VALUE"""),1.6)</f>
        <v>1.6</v>
      </c>
      <c r="W179" s="46">
        <f>IFERROR(__xludf.DUMMYFUNCTION("""COMPUTED_VALUE"""),-1.172381829041089)</f>
        <v>-1.172381829</v>
      </c>
      <c r="X179" s="46">
        <f>IFERROR(__xludf.DUMMYFUNCTION("""COMPUTED_VALUE"""),0.30811976229946575)</f>
        <v>0.3081197623</v>
      </c>
      <c r="Y179" s="46">
        <f>IFERROR(__xludf.DUMMYFUNCTION("""COMPUTED_VALUE"""),-1.5870326706003557)</f>
        <v>-1.587032671</v>
      </c>
      <c r="Z179" s="46">
        <f>IFERROR(__xludf.DUMMYFUNCTION("""COMPUTED_VALUE"""),-0.32845584569414765)</f>
        <v>-0.3284558457</v>
      </c>
      <c r="AA179" s="46">
        <f>IFERROR(__xludf.DUMMYFUNCTION("""COMPUTED_VALUE"""),0.011629328042640127)</f>
        <v>0.01162932804</v>
      </c>
      <c r="AB179" s="46">
        <f>IFERROR(__xludf.DUMMYFUNCTION("""COMPUTED_VALUE"""),-0.7896459158928509)</f>
        <v>-0.7896459159</v>
      </c>
      <c r="AC179" s="46">
        <f>IFERROR(__xludf.DUMMYFUNCTION("""COMPUTED_VALUE"""),-0.7629928993638149)</f>
        <v>-0.7629928994</v>
      </c>
      <c r="AD179" s="46">
        <f>IFERROR(__xludf.DUMMYFUNCTION("""COMPUTED_VALUE"""),0.07772735943349546)</f>
        <v>0.07772735943</v>
      </c>
      <c r="AE179" s="46">
        <f>IFERROR(__xludf.DUMMYFUNCTION("""COMPUTED_VALUE"""),0.12252921841013387)</f>
        <v>0.1225292184</v>
      </c>
    </row>
    <row r="180">
      <c r="A180" s="6" t="str">
        <f>IF(VLOOKUP(H180,'Paste #BBall'!$B$2:$N1001,3,)="BRO","BKN",IF(VLOOKUP(H180,'Paste #BBall'!$B$2:$N1001,3,)="OKL","OKC",VLOOKUP(H180,'Paste #BBall'!$B$2:$N1001,3,)))</f>
        <v>IND</v>
      </c>
      <c r="B180" s="42">
        <f>VLOOKUP($A180,Schedule!$C$2:$G$31,2,0)</f>
        <v>3</v>
      </c>
      <c r="C180" s="42">
        <f>VLOOKUP($A180,Schedule!$C$2:$G$31,3,0)</f>
        <v>3</v>
      </c>
      <c r="D180" s="42">
        <f>VLOOKUP($A180,Schedule!$C$2:$G$31,4,0)</f>
        <v>4</v>
      </c>
      <c r="E180" s="42">
        <f t="shared" si="1"/>
        <v>10</v>
      </c>
      <c r="F180" s="43">
        <v>175.0</v>
      </c>
      <c r="G180" s="45">
        <f>IFERROR(__xludf.DUMMYFUNCTION("""COMPUTED_VALUE"""),162.0)</f>
        <v>162</v>
      </c>
      <c r="H180" s="45" t="str">
        <f>IFERROR(__xludf.DUMMYFUNCTION("""COMPUTED_VALUE"""),"Bennedict Mathurin")</f>
        <v>Bennedict Mathurin</v>
      </c>
      <c r="I180" s="45">
        <f>IFERROR(__xludf.DUMMYFUNCTION("""COMPUTED_VALUE"""),74.0)</f>
        <v>74</v>
      </c>
      <c r="J180" s="46" t="str">
        <f>IFERROR(__xludf.DUMMYFUNCTION("""COMPUTED_VALUE"""),"SG,SF")</f>
        <v>SG,SF</v>
      </c>
      <c r="K180" s="46">
        <f>IFERROR(__xludf.DUMMYFUNCTION("""COMPUTED_VALUE"""),-4.102140830279408)</f>
        <v>-4.10214083</v>
      </c>
      <c r="L180" s="47">
        <f>IFERROR(__xludf.DUMMYFUNCTION("""COMPUTED_VALUE"""),-2.5457165130068455)</f>
        <v>-2.545716513</v>
      </c>
      <c r="M180" s="47">
        <f>IFERROR(__xludf.DUMMYFUNCTION("""COMPUTED_VALUE"""),1.5564243172725627)</f>
        <v>1.556424317</v>
      </c>
      <c r="N180" s="47">
        <f>IFERROR(__xludf.DUMMYFUNCTION("""COMPUTED_VALUE"""),17.8)</f>
        <v>17.8</v>
      </c>
      <c r="O180" s="47">
        <f>IFERROR(__xludf.DUMMYFUNCTION("""COMPUTED_VALUE"""),1.4)</f>
        <v>1.4</v>
      </c>
      <c r="P180" s="47">
        <f>IFERROR(__xludf.DUMMYFUNCTION("""COMPUTED_VALUE"""),4.3)</f>
        <v>4.3</v>
      </c>
      <c r="Q180" s="48">
        <f>IFERROR(__xludf.DUMMYFUNCTION("""COMPUTED_VALUE"""),1.6)</f>
        <v>1.6</v>
      </c>
      <c r="R180" s="47">
        <f>IFERROR(__xludf.DUMMYFUNCTION("""COMPUTED_VALUE"""),0.7)</f>
        <v>0.7</v>
      </c>
      <c r="S180" s="47">
        <f>IFERROR(__xludf.DUMMYFUNCTION("""COMPUTED_VALUE"""),0.2)</f>
        <v>0.2</v>
      </c>
      <c r="T180" s="47">
        <f>IFERROR(__xludf.DUMMYFUNCTION("""COMPUTED_VALUE"""),43.07692307692307)</f>
        <v>43.07692308</v>
      </c>
      <c r="U180" s="47">
        <f>IFERROR(__xludf.DUMMYFUNCTION("""COMPUTED_VALUE"""),82.25806451612902)</f>
        <v>82.25806452</v>
      </c>
      <c r="V180" s="47">
        <f>IFERROR(__xludf.DUMMYFUNCTION("""COMPUTED_VALUE"""),2.1)</f>
        <v>2.1</v>
      </c>
      <c r="W180" s="46">
        <f>IFERROR(__xludf.DUMMYFUNCTION("""COMPUTED_VALUE"""),0.09156599814743527)</f>
        <v>0.09156599815</v>
      </c>
      <c r="X180" s="46">
        <f>IFERROR(__xludf.DUMMYFUNCTION("""COMPUTED_VALUE"""),-0.21215750987599089)</f>
        <v>-0.2121575099</v>
      </c>
      <c r="Y180" s="46">
        <f>IFERROR(__xludf.DUMMYFUNCTION("""COMPUTED_VALUE"""),-0.7507252734808988)</f>
        <v>-0.7507252735</v>
      </c>
      <c r="Z180" s="46">
        <f>IFERROR(__xludf.DUMMYFUNCTION("""COMPUTED_VALUE"""),-1.144495213878365)</f>
        <v>-1.144495214</v>
      </c>
      <c r="AA180" s="46">
        <f>IFERROR(__xludf.DUMMYFUNCTION("""COMPUTED_VALUE"""),-0.6425203743558983)</f>
        <v>-0.6425203744</v>
      </c>
      <c r="AB180" s="46">
        <f>IFERROR(__xludf.DUMMYFUNCTION("""COMPUTED_VALUE"""),-0.6583300762210907)</f>
        <v>-0.6583300762</v>
      </c>
      <c r="AC180" s="46">
        <f>IFERROR(__xludf.DUMMYFUNCTION("""COMPUTED_VALUE"""),-0.8468353471678306)</f>
        <v>-0.8468353472</v>
      </c>
      <c r="AD180" s="46">
        <f>IFERROR(__xludf.DUMMYFUNCTION("""COMPUTED_VALUE"""),0.5059881248609431)</f>
        <v>0.5059881249</v>
      </c>
      <c r="AE180" s="46">
        <f>IFERROR(__xludf.DUMMYFUNCTION("""COMPUTED_VALUE"""),-0.032702054913515695)</f>
        <v>-0.03270205491</v>
      </c>
    </row>
    <row r="181">
      <c r="A181" s="6" t="str">
        <f>IF(VLOOKUP(H181,'Paste #BBall'!$B$2:$N1001,3,)="BRO","BKN",IF(VLOOKUP(H181,'Paste #BBall'!$B$2:$N1001,3,)="OKL","OKC",VLOOKUP(H181,'Paste #BBall'!$B$2:$N1001,3,)))</f>
        <v>DAL</v>
      </c>
      <c r="B181" s="42">
        <f>VLOOKUP($A181,Schedule!$C$2:$G$31,2,0)</f>
        <v>3</v>
      </c>
      <c r="C181" s="42">
        <f>VLOOKUP($A181,Schedule!$C$2:$G$31,3,0)</f>
        <v>4</v>
      </c>
      <c r="D181" s="42">
        <f>VLOOKUP($A181,Schedule!$C$2:$G$31,4,0)</f>
        <v>2</v>
      </c>
      <c r="E181" s="42">
        <f t="shared" si="1"/>
        <v>9</v>
      </c>
      <c r="F181" s="51">
        <v>176.0</v>
      </c>
      <c r="G181" s="45">
        <f>IFERROR(__xludf.DUMMYFUNCTION("""COMPUTED_VALUE"""),185.0)</f>
        <v>185</v>
      </c>
      <c r="H181" s="45" t="str">
        <f>IFERROR(__xludf.DUMMYFUNCTION("""COMPUTED_VALUE"""),"Richaun Holmes")</f>
        <v>Richaun Holmes</v>
      </c>
      <c r="I181" s="45">
        <f>IFERROR(__xludf.DUMMYFUNCTION("""COMPUTED_VALUE"""),70.0)</f>
        <v>70</v>
      </c>
      <c r="J181" s="46" t="str">
        <f>IFERROR(__xludf.DUMMYFUNCTION("""COMPUTED_VALUE"""),"PF,C")</f>
        <v>PF,C</v>
      </c>
      <c r="K181" s="46">
        <f>IFERROR(__xludf.DUMMYFUNCTION("""COMPUTED_VALUE"""),-4.7718115101725855)</f>
        <v>-4.77181151</v>
      </c>
      <c r="L181" s="47">
        <f>IFERROR(__xludf.DUMMYFUNCTION("""COMPUTED_VALUE"""),-2.549971147246077)</f>
        <v>-2.549971147</v>
      </c>
      <c r="M181" s="47">
        <f>IFERROR(__xludf.DUMMYFUNCTION("""COMPUTED_VALUE"""),2.2218403629265087)</f>
        <v>2.221840363</v>
      </c>
      <c r="N181" s="47">
        <f>IFERROR(__xludf.DUMMYFUNCTION("""COMPUTED_VALUE"""),9.8)</f>
        <v>9.8</v>
      </c>
      <c r="O181" s="47">
        <f>IFERROR(__xludf.DUMMYFUNCTION("""COMPUTED_VALUE"""),0.1)</f>
        <v>0.1</v>
      </c>
      <c r="P181" s="47">
        <f>IFERROR(__xludf.DUMMYFUNCTION("""COMPUTED_VALUE"""),6.5)</f>
        <v>6.5</v>
      </c>
      <c r="Q181" s="48">
        <f>IFERROR(__xludf.DUMMYFUNCTION("""COMPUTED_VALUE"""),0.9)</f>
        <v>0.9</v>
      </c>
      <c r="R181" s="47">
        <f>IFERROR(__xludf.DUMMYFUNCTION("""COMPUTED_VALUE"""),0.3)</f>
        <v>0.3</v>
      </c>
      <c r="S181" s="47">
        <f>IFERROR(__xludf.DUMMYFUNCTION("""COMPUTED_VALUE"""),0.9)</f>
        <v>0.9</v>
      </c>
      <c r="T181" s="47">
        <f>IFERROR(__xludf.DUMMYFUNCTION("""COMPUTED_VALUE"""),64.06249999999999)</f>
        <v>64.0625</v>
      </c>
      <c r="U181" s="47">
        <f>IFERROR(__xludf.DUMMYFUNCTION("""COMPUTED_VALUE"""),77.77777777777777)</f>
        <v>77.77777778</v>
      </c>
      <c r="V181" s="47">
        <f>IFERROR(__xludf.DUMMYFUNCTION("""COMPUTED_VALUE"""),1.2)</f>
        <v>1.2</v>
      </c>
      <c r="W181" s="46">
        <f>IFERROR(__xludf.DUMMYFUNCTION("""COMPUTED_VALUE"""),-1.256645017520324)</f>
        <v>-1.256645018</v>
      </c>
      <c r="X181" s="46">
        <f>IFERROR(__xludf.DUMMYFUNCTION("""COMPUTED_VALUE"""),-1.3394249329228134)</f>
        <v>-1.339424933</v>
      </c>
      <c r="Y181" s="46">
        <f>IFERROR(__xludf.DUMMYFUNCTION("""COMPUTED_VALUE"""),0.16921286335050373)</f>
        <v>0.1692128634</v>
      </c>
      <c r="Z181" s="46">
        <f>IFERROR(__xludf.DUMMYFUNCTION("""COMPUTED_VALUE"""),-1.5015124374589601)</f>
        <v>-1.501512437</v>
      </c>
      <c r="AA181" s="46">
        <f>IFERROR(__xludf.DUMMYFUNCTION("""COMPUTED_VALUE"""),-1.5147199775539493)</f>
        <v>-1.514719978</v>
      </c>
      <c r="AB181" s="46">
        <f>IFERROR(__xludf.DUMMYFUNCTION("""COMPUTED_VALUE"""),0.2608808014812299)</f>
        <v>0.2608808015</v>
      </c>
      <c r="AC181" s="46">
        <f>IFERROR(__xludf.DUMMYFUNCTION("""COMPUTED_VALUE"""),0.9246490144928248)</f>
        <v>0.9246490145</v>
      </c>
      <c r="AD181" s="46">
        <f>IFERROR(__xludf.DUMMYFUNCTION("""COMPUTED_VALUE"""),-0.053845675737591164)</f>
        <v>-0.05384567574</v>
      </c>
      <c r="AE181" s="46">
        <f>IFERROR(__xludf.DUMMYFUNCTION("""COMPUTED_VALUE"""),0.24671423706905354)</f>
        <v>0.2467142371</v>
      </c>
    </row>
    <row r="182">
      <c r="A182" s="6" t="str">
        <f>IF(VLOOKUP(H182,'Paste #BBall'!$B$2:$N1001,3,)="BRO","BKN",IF(VLOOKUP(H182,'Paste #BBall'!$B$2:$N1001,3,)="OKL","OKC",VLOOKUP(H182,'Paste #BBall'!$B$2:$N1001,3,)))</f>
        <v>MIL</v>
      </c>
      <c r="B182" s="42">
        <f>VLOOKUP($A182,Schedule!$C$2:$G$31,2,0)</f>
        <v>4</v>
      </c>
      <c r="C182" s="42">
        <f>VLOOKUP($A182,Schedule!$C$2:$G$31,3,0)</f>
        <v>3</v>
      </c>
      <c r="D182" s="42">
        <f>VLOOKUP($A182,Schedule!$C$2:$G$31,4,0)</f>
        <v>3</v>
      </c>
      <c r="E182" s="42">
        <f t="shared" si="1"/>
        <v>10</v>
      </c>
      <c r="F182" s="43">
        <v>177.0</v>
      </c>
      <c r="G182" s="45">
        <f>IFERROR(__xludf.DUMMYFUNCTION("""COMPUTED_VALUE"""),179.0)</f>
        <v>179</v>
      </c>
      <c r="H182" s="45" t="str">
        <f>IFERROR(__xludf.DUMMYFUNCTION("""COMPUTED_VALUE"""),"Pat Connaughton")</f>
        <v>Pat Connaughton</v>
      </c>
      <c r="I182" s="45">
        <f>IFERROR(__xludf.DUMMYFUNCTION("""COMPUTED_VALUE"""),64.0)</f>
        <v>64</v>
      </c>
      <c r="J182" s="46" t="str">
        <f>IFERROR(__xludf.DUMMYFUNCTION("""COMPUTED_VALUE"""),"SG,SF")</f>
        <v>SG,SF</v>
      </c>
      <c r="K182" s="46">
        <f>IFERROR(__xludf.DUMMYFUNCTION("""COMPUTED_VALUE"""),-4.634405021944236)</f>
        <v>-4.634405022</v>
      </c>
      <c r="L182" s="47">
        <f>IFERROR(__xludf.DUMMYFUNCTION("""COMPUTED_VALUE"""),-2.5533485178661177)</f>
        <v>-2.553348518</v>
      </c>
      <c r="M182" s="47">
        <f>IFERROR(__xludf.DUMMYFUNCTION("""COMPUTED_VALUE"""),2.081056504078118)</f>
        <v>2.081056504</v>
      </c>
      <c r="N182" s="47">
        <f>IFERROR(__xludf.DUMMYFUNCTION("""COMPUTED_VALUE"""),9.7)</f>
        <v>9.7</v>
      </c>
      <c r="O182" s="47">
        <f>IFERROR(__xludf.DUMMYFUNCTION("""COMPUTED_VALUE"""),2.2)</f>
        <v>2.2</v>
      </c>
      <c r="P182" s="47">
        <f>IFERROR(__xludf.DUMMYFUNCTION("""COMPUTED_VALUE"""),4.8)</f>
        <v>4.8</v>
      </c>
      <c r="Q182" s="48">
        <f>IFERROR(__xludf.DUMMYFUNCTION("""COMPUTED_VALUE"""),1.4)</f>
        <v>1.4</v>
      </c>
      <c r="R182" s="47">
        <f>IFERROR(__xludf.DUMMYFUNCTION("""COMPUTED_VALUE"""),0.8)</f>
        <v>0.8</v>
      </c>
      <c r="S182" s="47">
        <f>IFERROR(__xludf.DUMMYFUNCTION("""COMPUTED_VALUE"""),0.2)</f>
        <v>0.2</v>
      </c>
      <c r="T182" s="47">
        <f>IFERROR(__xludf.DUMMYFUNCTION("""COMPUTED_VALUE"""),43.0379746835443)</f>
        <v>43.03797468</v>
      </c>
      <c r="U182" s="47">
        <f>IFERROR(__xludf.DUMMYFUNCTION("""COMPUTED_VALUE"""),74.99999999999999)</f>
        <v>75</v>
      </c>
      <c r="V182" s="47">
        <f>IFERROR(__xludf.DUMMYFUNCTION("""COMPUTED_VALUE"""),0.6)</f>
        <v>0.6</v>
      </c>
      <c r="W182" s="46">
        <f>IFERROR(__xludf.DUMMYFUNCTION("""COMPUTED_VALUE"""),-1.2734976552161712)</f>
        <v>-1.273497655</v>
      </c>
      <c r="X182" s="46">
        <f>IFERROR(__xludf.DUMMYFUNCTION("""COMPUTED_VALUE"""),0.48154551969128473)</f>
        <v>0.4815455197</v>
      </c>
      <c r="Y182" s="46">
        <f>IFERROR(__xludf.DUMMYFUNCTION("""COMPUTED_VALUE"""),-0.5416484242010347)</f>
        <v>-0.5416484242</v>
      </c>
      <c r="Z182" s="46">
        <f>IFERROR(__xludf.DUMMYFUNCTION("""COMPUTED_VALUE"""),-1.246500134901392)</f>
        <v>-1.246500135</v>
      </c>
      <c r="AA182" s="46">
        <f>IFERROR(__xludf.DUMMYFUNCTION("""COMPUTED_VALUE"""),-0.42447047355638534)</f>
        <v>-0.4244704736</v>
      </c>
      <c r="AB182" s="46">
        <f>IFERROR(__xludf.DUMMYFUNCTION("""COMPUTED_VALUE"""),-0.6583300762210907)</f>
        <v>-0.6583300762</v>
      </c>
      <c r="AC182" s="46">
        <f>IFERROR(__xludf.DUMMYFUNCTION("""COMPUTED_VALUE"""),-0.5176887572149916)</f>
        <v>-0.5176887572</v>
      </c>
      <c r="AD182" s="46">
        <f>IFERROR(__xludf.DUMMYFUNCTION("""COMPUTED_VALUE"""),-0.07924793651994107)</f>
        <v>-0.07924793652</v>
      </c>
      <c r="AE182" s="46">
        <f>IFERROR(__xludf.DUMMYFUNCTION("""COMPUTED_VALUE"""),0.43299176505743303)</f>
        <v>0.4329917651</v>
      </c>
    </row>
    <row r="183">
      <c r="A183" s="6" t="str">
        <f>IF(VLOOKUP(H183,'Paste #BBall'!$B$2:$N1001,3,)="BRO","BKN",IF(VLOOKUP(H183,'Paste #BBall'!$B$2:$N1001,3,)="OKL","OKC",VLOOKUP(H183,'Paste #BBall'!$B$2:$N1001,3,)))</f>
        <v>ORL</v>
      </c>
      <c r="B183" s="42">
        <f>VLOOKUP($A183,Schedule!$C$2:$G$31,2,0)</f>
        <v>4</v>
      </c>
      <c r="C183" s="42">
        <f>VLOOKUP($A183,Schedule!$C$2:$G$31,3,0)</f>
        <v>3</v>
      </c>
      <c r="D183" s="42">
        <f>VLOOKUP($A183,Schedule!$C$2:$G$31,4,0)</f>
        <v>3</v>
      </c>
      <c r="E183" s="42">
        <f t="shared" si="1"/>
        <v>10</v>
      </c>
      <c r="F183" s="51">
        <v>178.0</v>
      </c>
      <c r="G183" s="45">
        <f>IFERROR(__xludf.DUMMYFUNCTION("""COMPUTED_VALUE"""),174.0)</f>
        <v>174</v>
      </c>
      <c r="H183" s="45" t="str">
        <f>IFERROR(__xludf.DUMMYFUNCTION("""COMPUTED_VALUE"""),"Jonathan Isaac")</f>
        <v>Jonathan Isaac</v>
      </c>
      <c r="I183" s="45">
        <f>IFERROR(__xludf.DUMMYFUNCTION("""COMPUTED_VALUE"""),30.0)</f>
        <v>30</v>
      </c>
      <c r="J183" s="46" t="str">
        <f>IFERROR(__xludf.DUMMYFUNCTION("""COMPUTED_VALUE"""),"SF,PF")</f>
        <v>SF,PF</v>
      </c>
      <c r="K183" s="46">
        <f>IFERROR(__xludf.DUMMYFUNCTION("""COMPUTED_VALUE"""),-4.549397208318661)</f>
        <v>-4.549397208</v>
      </c>
      <c r="L183" s="47">
        <f>IFERROR(__xludf.DUMMYFUNCTION("""COMPUTED_VALUE"""),-2.5539967170451083)</f>
        <v>-2.553996717</v>
      </c>
      <c r="M183" s="47">
        <f>IFERROR(__xludf.DUMMYFUNCTION("""COMPUTED_VALUE"""),1.9954004912735526)</f>
        <v>1.995400491</v>
      </c>
      <c r="N183" s="47">
        <f>IFERROR(__xludf.DUMMYFUNCTION("""COMPUTED_VALUE"""),7.6)</f>
        <v>7.6</v>
      </c>
      <c r="O183" s="47">
        <f>IFERROR(__xludf.DUMMYFUNCTION("""COMPUTED_VALUE"""),0.8)</f>
        <v>0.8</v>
      </c>
      <c r="P183" s="47">
        <f>IFERROR(__xludf.DUMMYFUNCTION("""COMPUTED_VALUE"""),6.1)</f>
        <v>6.1</v>
      </c>
      <c r="Q183" s="48">
        <f>IFERROR(__xludf.DUMMYFUNCTION("""COMPUTED_VALUE"""),0.8)</f>
        <v>0.8</v>
      </c>
      <c r="R183" s="47">
        <f>IFERROR(__xludf.DUMMYFUNCTION("""COMPUTED_VALUE"""),1.3)</f>
        <v>1.3</v>
      </c>
      <c r="S183" s="47">
        <f>IFERROR(__xludf.DUMMYFUNCTION("""COMPUTED_VALUE"""),0.6)</f>
        <v>0.6</v>
      </c>
      <c r="T183" s="47">
        <f>IFERROR(__xludf.DUMMYFUNCTION("""COMPUTED_VALUE"""),41.09589041095891)</f>
        <v>41.09589041</v>
      </c>
      <c r="U183" s="47">
        <f>IFERROR(__xludf.DUMMYFUNCTION("""COMPUTED_VALUE"""),58.333333333333336)</f>
        <v>58.33333333</v>
      </c>
      <c r="V183" s="47">
        <f>IFERROR(__xludf.DUMMYFUNCTION("""COMPUTED_VALUE"""),0.6)</f>
        <v>0.6</v>
      </c>
      <c r="W183" s="46">
        <f>IFERROR(__xludf.DUMMYFUNCTION("""COMPUTED_VALUE"""),-1.627403046828958)</f>
        <v>-1.627403047</v>
      </c>
      <c r="X183" s="46">
        <f>IFERROR(__xludf.DUMMYFUNCTION("""COMPUTED_VALUE"""),-0.7324347820514473)</f>
        <v>-0.7324347821</v>
      </c>
      <c r="Y183" s="46">
        <f>IFERROR(__xludf.DUMMYFUNCTION("""COMPUTED_VALUE"""),0.0019513839266122224)</f>
        <v>0.001951383927</v>
      </c>
      <c r="Z183" s="46">
        <f>IFERROR(__xludf.DUMMYFUNCTION("""COMPUTED_VALUE"""),-1.5525148979704735)</f>
        <v>-1.552514898</v>
      </c>
      <c r="AA183" s="46">
        <f>IFERROR(__xludf.DUMMYFUNCTION("""COMPUTED_VALUE"""),0.6657790304411786)</f>
        <v>0.6657790304</v>
      </c>
      <c r="AB183" s="46">
        <f>IFERROR(__xludf.DUMMYFUNCTION("""COMPUTED_VALUE"""),-0.13306671753405044)</f>
        <v>-0.1330667175</v>
      </c>
      <c r="AC183" s="46">
        <f>IFERROR(__xludf.DUMMYFUNCTION("""COMPUTED_VALUE"""),-0.6199818684053451)</f>
        <v>-0.6199818684</v>
      </c>
      <c r="AD183" s="46">
        <f>IFERROR(__xludf.DUMMYFUNCTION("""COMPUTED_VALUE"""),-0.6167206305090159)</f>
        <v>-0.6167206305</v>
      </c>
      <c r="AE183" s="46">
        <f>IFERROR(__xludf.DUMMYFUNCTION("""COMPUTED_VALUE"""),0.43299176505743303)</f>
        <v>0.4329917651</v>
      </c>
    </row>
    <row r="184">
      <c r="A184" s="6" t="str">
        <f>IF(VLOOKUP(H184,'Paste #BBall'!$B$2:$N1001,3,)="BRO","BKN",IF(VLOOKUP(H184,'Paste #BBall'!$B$2:$N1001,3,)="OKL","OKC",VLOOKUP(H184,'Paste #BBall'!$B$2:$N1001,3,)))</f>
        <v>NO</v>
      </c>
      <c r="B184" s="42">
        <f>VLOOKUP($A184,Schedule!$C$2:$G$31,2,0)</f>
        <v>3</v>
      </c>
      <c r="C184" s="42">
        <f>VLOOKUP($A184,Schedule!$C$2:$G$31,3,0)</f>
        <v>3</v>
      </c>
      <c r="D184" s="42">
        <f>VLOOKUP($A184,Schedule!$C$2:$G$31,4,0)</f>
        <v>4</v>
      </c>
      <c r="E184" s="42">
        <f t="shared" si="1"/>
        <v>10</v>
      </c>
      <c r="F184" s="51">
        <v>179.0</v>
      </c>
      <c r="G184" s="45">
        <f>IFERROR(__xludf.DUMMYFUNCTION("""COMPUTED_VALUE"""),172.0)</f>
        <v>172</v>
      </c>
      <c r="H184" s="45" t="str">
        <f>IFERROR(__xludf.DUMMYFUNCTION("""COMPUTED_VALUE"""),"Jose Alvarado")</f>
        <v>Jose Alvarado</v>
      </c>
      <c r="I184" s="45">
        <f>IFERROR(__xludf.DUMMYFUNCTION("""COMPUTED_VALUE"""),67.0)</f>
        <v>67</v>
      </c>
      <c r="J184" s="46" t="str">
        <f>IFERROR(__xludf.DUMMYFUNCTION("""COMPUTED_VALUE"""),"PG")</f>
        <v>PG</v>
      </c>
      <c r="K184" s="46">
        <f>IFERROR(__xludf.DUMMYFUNCTION("""COMPUTED_VALUE"""),-4.489300371367199)</f>
        <v>-4.489300371</v>
      </c>
      <c r="L184" s="47">
        <f>IFERROR(__xludf.DUMMYFUNCTION("""COMPUTED_VALUE"""),-2.55715561627916)</f>
        <v>-2.557155616</v>
      </c>
      <c r="M184" s="47">
        <f>IFERROR(__xludf.DUMMYFUNCTION("""COMPUTED_VALUE"""),1.9321447550880393)</f>
        <v>1.932144755</v>
      </c>
      <c r="N184" s="47">
        <f>IFERROR(__xludf.DUMMYFUNCTION("""COMPUTED_VALUE"""),8.5)</f>
        <v>8.5</v>
      </c>
      <c r="O184" s="47">
        <f>IFERROR(__xludf.DUMMYFUNCTION("""COMPUTED_VALUE"""),1.1)</f>
        <v>1.1</v>
      </c>
      <c r="P184" s="47">
        <f>IFERROR(__xludf.DUMMYFUNCTION("""COMPUTED_VALUE"""),2.3)</f>
        <v>2.3</v>
      </c>
      <c r="Q184" s="48">
        <f>IFERROR(__xludf.DUMMYFUNCTION("""COMPUTED_VALUE"""),3.3)</f>
        <v>3.3</v>
      </c>
      <c r="R184" s="47">
        <f>IFERROR(__xludf.DUMMYFUNCTION("""COMPUTED_VALUE"""),1.3)</f>
        <v>1.3</v>
      </c>
      <c r="S184" s="47">
        <f>IFERROR(__xludf.DUMMYFUNCTION("""COMPUTED_VALUE"""),0.2)</f>
        <v>0.2</v>
      </c>
      <c r="T184" s="47">
        <f>IFERROR(__xludf.DUMMYFUNCTION("""COMPUTED_VALUE"""),42.66666666666667)</f>
        <v>42.66666667</v>
      </c>
      <c r="U184" s="47">
        <f>IFERROR(__xludf.DUMMYFUNCTION("""COMPUTED_VALUE"""),76.92307692307692)</f>
        <v>76.92307692</v>
      </c>
      <c r="V184" s="47">
        <f>IFERROR(__xludf.DUMMYFUNCTION("""COMPUTED_VALUE"""),1.2)</f>
        <v>1.2</v>
      </c>
      <c r="W184" s="46">
        <f>IFERROR(__xludf.DUMMYFUNCTION("""COMPUTED_VALUE"""),-1.4757293075663351)</f>
        <v>-1.475729308</v>
      </c>
      <c r="X184" s="46">
        <f>IFERROR(__xludf.DUMMYFUNCTION("""COMPUTED_VALUE"""),-0.472296145963719)</f>
        <v>-0.472296146</v>
      </c>
      <c r="Y184" s="46">
        <f>IFERROR(__xludf.DUMMYFUNCTION("""COMPUTED_VALUE"""),-1.5870326706003557)</f>
        <v>-1.587032671</v>
      </c>
      <c r="Z184" s="46">
        <f>IFERROR(__xludf.DUMMYFUNCTION("""COMPUTED_VALUE"""),-0.27745338518263435)</f>
        <v>-0.2774533852</v>
      </c>
      <c r="AA184" s="46">
        <f>IFERROR(__xludf.DUMMYFUNCTION("""COMPUTED_VALUE"""),0.6657790304411786)</f>
        <v>0.6657790304</v>
      </c>
      <c r="AB184" s="46">
        <f>IFERROR(__xludf.DUMMYFUNCTION("""COMPUTED_VALUE"""),-0.6583300762210907)</f>
        <v>-0.6583300762</v>
      </c>
      <c r="AC184" s="46">
        <f>IFERROR(__xludf.DUMMYFUNCTION("""COMPUTED_VALUE"""),-0.5192931627268467)</f>
        <v>-0.5192931627</v>
      </c>
      <c r="AD184" s="46">
        <f>IFERROR(__xludf.DUMMYFUNCTION("""COMPUTED_VALUE"""),-0.066546806128766)</f>
        <v>-0.06654680613</v>
      </c>
      <c r="AE184" s="46">
        <f>IFERROR(__xludf.DUMMYFUNCTION("""COMPUTED_VALUE"""),0.24671423706905354)</f>
        <v>0.2467142371</v>
      </c>
    </row>
    <row r="185">
      <c r="A185" s="6" t="str">
        <f>IF(VLOOKUP(H185,'Paste #BBall'!$B$2:$N1001,3,)="BRO","BKN",IF(VLOOKUP(H185,'Paste #BBall'!$B$2:$N1001,3,)="OKL","OKC",VLOOKUP(H185,'Paste #BBall'!$B$2:$N1001,3,)))</f>
        <v>NO</v>
      </c>
      <c r="B185" s="42">
        <f>VLOOKUP($A185,Schedule!$C$2:$G$31,2,0)</f>
        <v>3</v>
      </c>
      <c r="C185" s="42">
        <f>VLOOKUP($A185,Schedule!$C$2:$G$31,3,0)</f>
        <v>3</v>
      </c>
      <c r="D185" s="42">
        <f>VLOOKUP($A185,Schedule!$C$2:$G$31,4,0)</f>
        <v>4</v>
      </c>
      <c r="E185" s="42">
        <f t="shared" si="1"/>
        <v>10</v>
      </c>
      <c r="F185" s="43">
        <v>180.0</v>
      </c>
      <c r="G185" s="45">
        <f>IFERROR(__xludf.DUMMYFUNCTION("""COMPUTED_VALUE"""),197.0)</f>
        <v>197</v>
      </c>
      <c r="H185" s="45" t="str">
        <f>IFERROR(__xludf.DUMMYFUNCTION("""COMPUTED_VALUE"""),"Larry Nance Jr.")</f>
        <v>Larry Nance Jr.</v>
      </c>
      <c r="I185" s="45">
        <f>IFERROR(__xludf.DUMMYFUNCTION("""COMPUTED_VALUE"""),65.0)</f>
        <v>65</v>
      </c>
      <c r="J185" s="46" t="str">
        <f>IFERROR(__xludf.DUMMYFUNCTION("""COMPUTED_VALUE"""),"PF,C")</f>
        <v>PF,C</v>
      </c>
      <c r="K185" s="46">
        <f>IFERROR(__xludf.DUMMYFUNCTION("""COMPUTED_VALUE"""),-5.060104792293665)</f>
        <v>-5.060104792</v>
      </c>
      <c r="L185" s="47">
        <f>IFERROR(__xludf.DUMMYFUNCTION("""COMPUTED_VALUE"""),-2.6084582027727183)</f>
        <v>-2.608458203</v>
      </c>
      <c r="M185" s="47">
        <f>IFERROR(__xludf.DUMMYFUNCTION("""COMPUTED_VALUE"""),2.451646589520947)</f>
        <v>2.45164659</v>
      </c>
      <c r="N185" s="47">
        <f>IFERROR(__xludf.DUMMYFUNCTION("""COMPUTED_VALUE"""),6.8)</f>
        <v>6.8</v>
      </c>
      <c r="O185" s="47">
        <f>IFERROR(__xludf.DUMMYFUNCTION("""COMPUTED_VALUE"""),0.3)</f>
        <v>0.3</v>
      </c>
      <c r="P185" s="47">
        <f>IFERROR(__xludf.DUMMYFUNCTION("""COMPUTED_VALUE"""),5.3)</f>
        <v>5.3</v>
      </c>
      <c r="Q185" s="48">
        <f>IFERROR(__xludf.DUMMYFUNCTION("""COMPUTED_VALUE"""),1.8)</f>
        <v>1.8</v>
      </c>
      <c r="R185" s="47">
        <f>IFERROR(__xludf.DUMMYFUNCTION("""COMPUTED_VALUE"""),0.9)</f>
        <v>0.9</v>
      </c>
      <c r="S185" s="47">
        <f>IFERROR(__xludf.DUMMYFUNCTION("""COMPUTED_VALUE"""),0.5)</f>
        <v>0.5</v>
      </c>
      <c r="T185" s="47">
        <f>IFERROR(__xludf.DUMMYFUNCTION("""COMPUTED_VALUE"""),57.14285714285714)</f>
        <v>57.14285714</v>
      </c>
      <c r="U185" s="47">
        <f>IFERROR(__xludf.DUMMYFUNCTION("""COMPUTED_VALUE"""),66.66666666666667)</f>
        <v>66.66666667</v>
      </c>
      <c r="V185" s="47">
        <f>IFERROR(__xludf.DUMMYFUNCTION("""COMPUTED_VALUE"""),0.7)</f>
        <v>0.7</v>
      </c>
      <c r="W185" s="46">
        <f>IFERROR(__xludf.DUMMYFUNCTION("""COMPUTED_VALUE"""),-1.7622241483957337)</f>
        <v>-1.762224148</v>
      </c>
      <c r="X185" s="46">
        <f>IFERROR(__xludf.DUMMYFUNCTION("""COMPUTED_VALUE"""),-1.1659991755309944)</f>
        <v>-1.165999176</v>
      </c>
      <c r="Y185" s="46">
        <f>IFERROR(__xludf.DUMMYFUNCTION("""COMPUTED_VALUE"""),-0.33257157492117045)</f>
        <v>-0.3325715749</v>
      </c>
      <c r="Z185" s="46">
        <f>IFERROR(__xludf.DUMMYFUNCTION("""COMPUTED_VALUE"""),-1.0424902928553377)</f>
        <v>-1.042490293</v>
      </c>
      <c r="AA185" s="46">
        <f>IFERROR(__xludf.DUMMYFUNCTION("""COMPUTED_VALUE"""),-0.2064205727568726)</f>
        <v>-0.2064205728</v>
      </c>
      <c r="AB185" s="46">
        <f>IFERROR(__xludf.DUMMYFUNCTION("""COMPUTED_VALUE"""),-0.2643825572058105)</f>
        <v>-0.2643825572</v>
      </c>
      <c r="AC185" s="46">
        <f>IFERROR(__xludf.DUMMYFUNCTION("""COMPUTED_VALUE"""),0.369256727749228)</f>
        <v>0.3692567277</v>
      </c>
      <c r="AD185" s="46">
        <f>IFERROR(__xludf.DUMMYFUNCTION("""COMPUTED_VALUE"""),-0.36779626764446344)</f>
        <v>-0.3677962676</v>
      </c>
      <c r="AE185" s="46">
        <f>IFERROR(__xludf.DUMMYFUNCTION("""COMPUTED_VALUE"""),0.4019455103927031)</f>
        <v>0.4019455104</v>
      </c>
    </row>
    <row r="186">
      <c r="A186" s="6" t="str">
        <f>IF(VLOOKUP(H186,'Paste #BBall'!$B$2:$N1001,3,)="BRO","BKN",IF(VLOOKUP(H186,'Paste #BBall'!$B$2:$N1001,3,)="OKL","OKC",VLOOKUP(H186,'Paste #BBall'!$B$2:$N1001,3,)))</f>
        <v>SA</v>
      </c>
      <c r="B186" s="42">
        <f>VLOOKUP($A186,Schedule!$C$2:$G$31,2,0)</f>
        <v>3</v>
      </c>
      <c r="C186" s="42">
        <f>VLOOKUP($A186,Schedule!$C$2:$G$31,3,0)</f>
        <v>4</v>
      </c>
      <c r="D186" s="42">
        <f>VLOOKUP($A186,Schedule!$C$2:$G$31,4,0)</f>
        <v>3</v>
      </c>
      <c r="E186" s="42">
        <f t="shared" si="1"/>
        <v>10</v>
      </c>
      <c r="F186" s="51">
        <v>181.0</v>
      </c>
      <c r="G186" s="45">
        <f>IFERROR(__xludf.DUMMYFUNCTION("""COMPUTED_VALUE"""),156.0)</f>
        <v>156</v>
      </c>
      <c r="H186" s="45" t="str">
        <f>IFERROR(__xludf.DUMMYFUNCTION("""COMPUTED_VALUE"""),"Jeremy Sochan")</f>
        <v>Jeremy Sochan</v>
      </c>
      <c r="I186" s="45">
        <f>IFERROR(__xludf.DUMMYFUNCTION("""COMPUTED_VALUE"""),66.0)</f>
        <v>66</v>
      </c>
      <c r="J186" s="46" t="str">
        <f>IFERROR(__xludf.DUMMYFUNCTION("""COMPUTED_VALUE"""),"PF")</f>
        <v>PF</v>
      </c>
      <c r="K186" s="46">
        <f>IFERROR(__xludf.DUMMYFUNCTION("""COMPUTED_VALUE"""),-3.785654727326651)</f>
        <v>-3.785654727</v>
      </c>
      <c r="L186" s="47">
        <f>IFERROR(__xludf.DUMMYFUNCTION("""COMPUTED_VALUE"""),-2.624780685514337)</f>
        <v>-2.624780686</v>
      </c>
      <c r="M186" s="47">
        <f>IFERROR(__xludf.DUMMYFUNCTION("""COMPUTED_VALUE"""),1.1608740418123138)</f>
        <v>1.160874042</v>
      </c>
      <c r="N186" s="47">
        <f>IFERROR(__xludf.DUMMYFUNCTION("""COMPUTED_VALUE"""),12.8)</f>
        <v>12.8</v>
      </c>
      <c r="O186" s="47">
        <f>IFERROR(__xludf.DUMMYFUNCTION("""COMPUTED_VALUE"""),0.8)</f>
        <v>0.8</v>
      </c>
      <c r="P186" s="47">
        <f>IFERROR(__xludf.DUMMYFUNCTION("""COMPUTED_VALUE"""),6.1)</f>
        <v>6.1</v>
      </c>
      <c r="Q186" s="48">
        <f>IFERROR(__xludf.DUMMYFUNCTION("""COMPUTED_VALUE"""),2.9)</f>
        <v>2.9</v>
      </c>
      <c r="R186" s="47">
        <f>IFERROR(__xludf.DUMMYFUNCTION("""COMPUTED_VALUE"""),0.9)</f>
        <v>0.9</v>
      </c>
      <c r="S186" s="47">
        <f>IFERROR(__xludf.DUMMYFUNCTION("""COMPUTED_VALUE"""),0.5)</f>
        <v>0.5</v>
      </c>
      <c r="T186" s="47">
        <f>IFERROR(__xludf.DUMMYFUNCTION("""COMPUTED_VALUE"""),45.614035087719294)</f>
        <v>45.61403509</v>
      </c>
      <c r="U186" s="47">
        <f>IFERROR(__xludf.DUMMYFUNCTION("""COMPUTED_VALUE"""),70.83333333333334)</f>
        <v>70.83333333</v>
      </c>
      <c r="V186" s="47">
        <f>IFERROR(__xludf.DUMMYFUNCTION("""COMPUTED_VALUE"""),2.0)</f>
        <v>2</v>
      </c>
      <c r="W186" s="46">
        <f>IFERROR(__xludf.DUMMYFUNCTION("""COMPUTED_VALUE"""),-0.7510658866449142)</f>
        <v>-0.7510658866</v>
      </c>
      <c r="X186" s="46">
        <f>IFERROR(__xludf.DUMMYFUNCTION("""COMPUTED_VALUE"""),-0.7324347820514473)</f>
        <v>-0.7324347821</v>
      </c>
      <c r="Y186" s="46">
        <f>IFERROR(__xludf.DUMMYFUNCTION("""COMPUTED_VALUE"""),0.0019513839266122224)</f>
        <v>0.001951383927</v>
      </c>
      <c r="Z186" s="46">
        <f>IFERROR(__xludf.DUMMYFUNCTION("""COMPUTED_VALUE"""),-0.48146322722868856)</f>
        <v>-0.4814632272</v>
      </c>
      <c r="AA186" s="46">
        <f>IFERROR(__xludf.DUMMYFUNCTION("""COMPUTED_VALUE"""),-0.2064205727568726)</f>
        <v>-0.2064205728</v>
      </c>
      <c r="AB186" s="46">
        <f>IFERROR(__xludf.DUMMYFUNCTION("""COMPUTED_VALUE"""),-0.2643825572058105)</f>
        <v>-0.2643825572</v>
      </c>
      <c r="AC186" s="46">
        <f>IFERROR(__xludf.DUMMYFUNCTION("""COMPUTED_VALUE"""),-0.4537069575249699)</f>
        <v>-0.4537069575</v>
      </c>
      <c r="AD186" s="46">
        <f>IFERROR(__xludf.DUMMYFUNCTION("""COMPUTED_VALUE"""),-0.48666817242437466)</f>
        <v>-0.4866681724</v>
      </c>
      <c r="AE186" s="46">
        <f>IFERROR(__xludf.DUMMYFUNCTION("""COMPUTED_VALUE"""),-0.0016558002487857576)</f>
        <v>-0.001655800249</v>
      </c>
    </row>
    <row r="187">
      <c r="A187" s="6" t="str">
        <f>IF(VLOOKUP(H187,'Paste #BBall'!$B$2:$N1001,3,)="BRO","BKN",IF(VLOOKUP(H187,'Paste #BBall'!$B$2:$N1001,3,)="OKL","OKC",VLOOKUP(H187,'Paste #BBall'!$B$2:$N1001,3,)))</f>
        <v>MEM</v>
      </c>
      <c r="B187" s="42">
        <f>VLOOKUP($A187,Schedule!$C$2:$G$31,2,0)</f>
        <v>4</v>
      </c>
      <c r="C187" s="42">
        <f>VLOOKUP($A187,Schedule!$C$2:$G$31,3,0)</f>
        <v>3</v>
      </c>
      <c r="D187" s="42">
        <f>VLOOKUP($A187,Schedule!$C$2:$G$31,4,0)</f>
        <v>3</v>
      </c>
      <c r="E187" s="42">
        <f t="shared" si="1"/>
        <v>10</v>
      </c>
      <c r="F187" s="51">
        <v>182.0</v>
      </c>
      <c r="G187" s="45">
        <f>IFERROR(__xludf.DUMMYFUNCTION("""COMPUTED_VALUE"""),188.0)</f>
        <v>188</v>
      </c>
      <c r="H187" s="45" t="str">
        <f>IFERROR(__xludf.DUMMYFUNCTION("""COMPUTED_VALUE"""),"Luke Kennard")</f>
        <v>Luke Kennard</v>
      </c>
      <c r="I187" s="45">
        <f>IFERROR(__xludf.DUMMYFUNCTION("""COMPUTED_VALUE"""),64.0)</f>
        <v>64</v>
      </c>
      <c r="J187" s="46" t="str">
        <f>IFERROR(__xludf.DUMMYFUNCTION("""COMPUTED_VALUE"""),"PG,SG")</f>
        <v>PG,SG</v>
      </c>
      <c r="K187" s="46">
        <f>IFERROR(__xludf.DUMMYFUNCTION("""COMPUTED_VALUE"""),-4.8451258172452265)</f>
        <v>-4.845125817</v>
      </c>
      <c r="L187" s="47">
        <f>IFERROR(__xludf.DUMMYFUNCTION("""COMPUTED_VALUE"""),-2.6811220741058372)</f>
        <v>-2.681122074</v>
      </c>
      <c r="M187" s="47">
        <f>IFERROR(__xludf.DUMMYFUNCTION("""COMPUTED_VALUE"""),2.1640037431393893)</f>
        <v>2.164003743</v>
      </c>
      <c r="N187" s="47">
        <f>IFERROR(__xludf.DUMMYFUNCTION("""COMPUTED_VALUE"""),10.7)</f>
        <v>10.7</v>
      </c>
      <c r="O187" s="47">
        <f>IFERROR(__xludf.DUMMYFUNCTION("""COMPUTED_VALUE"""),2.5)</f>
        <v>2.5</v>
      </c>
      <c r="P187" s="47">
        <f>IFERROR(__xludf.DUMMYFUNCTION("""COMPUTED_VALUE"""),3.0)</f>
        <v>3</v>
      </c>
      <c r="Q187" s="48">
        <f>IFERROR(__xludf.DUMMYFUNCTION("""COMPUTED_VALUE"""),1.8)</f>
        <v>1.8</v>
      </c>
      <c r="R187" s="47">
        <f>IFERROR(__xludf.DUMMYFUNCTION("""COMPUTED_VALUE"""),0.6)</f>
        <v>0.6</v>
      </c>
      <c r="S187" s="47">
        <f>IFERROR(__xludf.DUMMYFUNCTION("""COMPUTED_VALUE"""),0.1)</f>
        <v>0.1</v>
      </c>
      <c r="T187" s="47">
        <f>IFERROR(__xludf.DUMMYFUNCTION("""COMPUTED_VALUE"""),46.835443037974684)</f>
        <v>46.83544304</v>
      </c>
      <c r="U187" s="47">
        <f>IFERROR(__xludf.DUMMYFUNCTION("""COMPUTED_VALUE"""),88.8888888888889)</f>
        <v>88.88888889</v>
      </c>
      <c r="V187" s="47">
        <f>IFERROR(__xludf.DUMMYFUNCTION("""COMPUTED_VALUE"""),0.8)</f>
        <v>0.8</v>
      </c>
      <c r="W187" s="46">
        <f>IFERROR(__xludf.DUMMYFUNCTION("""COMPUTED_VALUE"""),-1.1049712782577013)</f>
        <v>-1.104971278</v>
      </c>
      <c r="X187" s="46">
        <f>IFERROR(__xludf.DUMMYFUNCTION("""COMPUTED_VALUE"""),0.7416841557790128)</f>
        <v>0.7416841558</v>
      </c>
      <c r="Y187" s="46">
        <f>IFERROR(__xludf.DUMMYFUNCTION("""COMPUTED_VALUE"""),-1.2943250816085456)</f>
        <v>-1.294325082</v>
      </c>
      <c r="Z187" s="46">
        <f>IFERROR(__xludf.DUMMYFUNCTION("""COMPUTED_VALUE"""),-1.0424902928553377)</f>
        <v>-1.042490293</v>
      </c>
      <c r="AA187" s="46">
        <f>IFERROR(__xludf.DUMMYFUNCTION("""COMPUTED_VALUE"""),-0.860570275155411)</f>
        <v>-0.8605702752</v>
      </c>
      <c r="AB187" s="46">
        <f>IFERROR(__xludf.DUMMYFUNCTION("""COMPUTED_VALUE"""),-0.7896459158928509)</f>
        <v>-0.7896459159</v>
      </c>
      <c r="AC187" s="46">
        <f>IFERROR(__xludf.DUMMYFUNCTION("""COMPUTED_VALUE"""),-0.21802924844727922)</f>
        <v>-0.2180292484</v>
      </c>
      <c r="AD187" s="46">
        <f>IFERROR(__xludf.DUMMYFUNCTION("""COMPUTED_VALUE"""),0.22200152499575718)</f>
        <v>0.222001525</v>
      </c>
      <c r="AE187" s="46">
        <f>IFERROR(__xludf.DUMMYFUNCTION("""COMPUTED_VALUE"""),0.37089925572797316)</f>
        <v>0.3708992557</v>
      </c>
    </row>
    <row r="188">
      <c r="A188" s="6" t="str">
        <f>IF(VLOOKUP(H188,'Paste #BBall'!$B$2:$N1001,3,)="BRO","BKN",IF(VLOOKUP(H188,'Paste #BBall'!$B$2:$N1001,3,)="OKL","OKC",VLOOKUP(H188,'Paste #BBall'!$B$2:$N1001,3,)))</f>
        <v>DAL</v>
      </c>
      <c r="B188" s="42">
        <f>VLOOKUP($A188,Schedule!$C$2:$G$31,2,0)</f>
        <v>3</v>
      </c>
      <c r="C188" s="42">
        <f>VLOOKUP($A188,Schedule!$C$2:$G$31,3,0)</f>
        <v>4</v>
      </c>
      <c r="D188" s="42">
        <f>VLOOKUP($A188,Schedule!$C$2:$G$31,4,0)</f>
        <v>2</v>
      </c>
      <c r="E188" s="42">
        <f t="shared" si="1"/>
        <v>9</v>
      </c>
      <c r="F188" s="43">
        <v>183.0</v>
      </c>
      <c r="G188" s="45">
        <f>IFERROR(__xludf.DUMMYFUNCTION("""COMPUTED_VALUE"""),193.0)</f>
        <v>193</v>
      </c>
      <c r="H188" s="45" t="str">
        <f>IFERROR(__xludf.DUMMYFUNCTION("""COMPUTED_VALUE"""),"Maxi Kleber")</f>
        <v>Maxi Kleber</v>
      </c>
      <c r="I188" s="45">
        <f>IFERROR(__xludf.DUMMYFUNCTION("""COMPUTED_VALUE"""),60.0)</f>
        <v>60</v>
      </c>
      <c r="J188" s="46" t="str">
        <f>IFERROR(__xludf.DUMMYFUNCTION("""COMPUTED_VALUE"""),"PF,C")</f>
        <v>PF,C</v>
      </c>
      <c r="K188" s="46">
        <f>IFERROR(__xludf.DUMMYFUNCTION("""COMPUTED_VALUE"""),-5.007013478956876)</f>
        <v>-5.007013479</v>
      </c>
      <c r="L188" s="47">
        <f>IFERROR(__xludf.DUMMYFUNCTION("""COMPUTED_VALUE"""),-2.692061470256799)</f>
        <v>-2.69206147</v>
      </c>
      <c r="M188" s="47">
        <f>IFERROR(__xludf.DUMMYFUNCTION("""COMPUTED_VALUE"""),2.3149520087000766)</f>
        <v>2.314952009</v>
      </c>
      <c r="N188" s="47">
        <f>IFERROR(__xludf.DUMMYFUNCTION("""COMPUTED_VALUE"""),7.4)</f>
        <v>7.4</v>
      </c>
      <c r="O188" s="47">
        <f>IFERROR(__xludf.DUMMYFUNCTION("""COMPUTED_VALUE"""),1.3)</f>
        <v>1.3</v>
      </c>
      <c r="P188" s="47">
        <f>IFERROR(__xludf.DUMMYFUNCTION("""COMPUTED_VALUE"""),5.3)</f>
        <v>5.3</v>
      </c>
      <c r="Q188" s="48">
        <f>IFERROR(__xludf.DUMMYFUNCTION("""COMPUTED_VALUE"""),1.3)</f>
        <v>1.3</v>
      </c>
      <c r="R188" s="47">
        <f>IFERROR(__xludf.DUMMYFUNCTION("""COMPUTED_VALUE"""),0.5)</f>
        <v>0.5</v>
      </c>
      <c r="S188" s="47">
        <f>IFERROR(__xludf.DUMMYFUNCTION("""COMPUTED_VALUE"""),1.0)</f>
        <v>1</v>
      </c>
      <c r="T188" s="47">
        <f>IFERROR(__xludf.DUMMYFUNCTION("""COMPUTED_VALUE"""),44.827586206896555)</f>
        <v>44.82758621</v>
      </c>
      <c r="U188" s="47">
        <f>IFERROR(__xludf.DUMMYFUNCTION("""COMPUTED_VALUE"""),72.72727272727273)</f>
        <v>72.72727273</v>
      </c>
      <c r="V188" s="47">
        <f>IFERROR(__xludf.DUMMYFUNCTION("""COMPUTED_VALUE"""),0.8)</f>
        <v>0.8</v>
      </c>
      <c r="W188" s="46">
        <f>IFERROR(__xludf.DUMMYFUNCTION("""COMPUTED_VALUE"""),-1.661108322220652)</f>
        <v>-1.661108322</v>
      </c>
      <c r="X188" s="46">
        <f>IFERROR(__xludf.DUMMYFUNCTION("""COMPUTED_VALUE"""),-0.2988703885719002)</f>
        <v>-0.2988703886</v>
      </c>
      <c r="Y188" s="46">
        <f>IFERROR(__xludf.DUMMYFUNCTION("""COMPUTED_VALUE"""),-0.33257157492117045)</f>
        <v>-0.3325715749</v>
      </c>
      <c r="Z188" s="46">
        <f>IFERROR(__xludf.DUMMYFUNCTION("""COMPUTED_VALUE"""),-1.2975025954129054)</f>
        <v>-1.297502595</v>
      </c>
      <c r="AA188" s="46">
        <f>IFERROR(__xludf.DUMMYFUNCTION("""COMPUTED_VALUE"""),-1.0786201759549239)</f>
        <v>-1.078620176</v>
      </c>
      <c r="AB188" s="46">
        <f>IFERROR(__xludf.DUMMYFUNCTION("""COMPUTED_VALUE"""),0.39219664115299)</f>
        <v>0.3921966412</v>
      </c>
      <c r="AC188" s="46">
        <f>IFERROR(__xludf.DUMMYFUNCTION("""COMPUTED_VALUE"""),-0.27639562884580626)</f>
        <v>-0.2763956288</v>
      </c>
      <c r="AD188" s="46">
        <f>IFERROR(__xludf.DUMMYFUNCTION("""COMPUTED_VALUE"""),-0.1711970034310567)</f>
        <v>-0.1711970034</v>
      </c>
      <c r="AE188" s="46">
        <f>IFERROR(__xludf.DUMMYFUNCTION("""COMPUTED_VALUE"""),0.37089925572797316)</f>
        <v>0.3708992557</v>
      </c>
    </row>
    <row r="189">
      <c r="A189" s="6" t="str">
        <f>IF(VLOOKUP(H189,'Paste #BBall'!$B$2:$N1001,3,)="BRO","BKN",IF(VLOOKUP(H189,'Paste #BBall'!$B$2:$N1001,3,)="OKL","OKC",VLOOKUP(H189,'Paste #BBall'!$B$2:$N1001,3,)))</f>
        <v>NY</v>
      </c>
      <c r="B189" s="42">
        <f>VLOOKUP($A189,Schedule!$C$2:$G$31,2,0)</f>
        <v>3</v>
      </c>
      <c r="C189" s="42">
        <f>VLOOKUP($A189,Schedule!$C$2:$G$31,3,0)</f>
        <v>3</v>
      </c>
      <c r="D189" s="42">
        <f>VLOOKUP($A189,Schedule!$C$2:$G$31,4,0)</f>
        <v>3</v>
      </c>
      <c r="E189" s="42">
        <f t="shared" si="1"/>
        <v>9</v>
      </c>
      <c r="F189" s="51">
        <v>184.0</v>
      </c>
      <c r="G189" s="45">
        <f>IFERROR(__xludf.DUMMYFUNCTION("""COMPUTED_VALUE"""),181.0)</f>
        <v>181</v>
      </c>
      <c r="H189" s="45" t="str">
        <f>IFERROR(__xludf.DUMMYFUNCTION("""COMPUTED_VALUE"""),"RJ Barrett")</f>
        <v>RJ Barrett</v>
      </c>
      <c r="I189" s="45">
        <f>IFERROR(__xludf.DUMMYFUNCTION("""COMPUTED_VALUE"""),72.0)</f>
        <v>72</v>
      </c>
      <c r="J189" s="46" t="str">
        <f>IFERROR(__xludf.DUMMYFUNCTION("""COMPUTED_VALUE"""),"SG,SF")</f>
        <v>SG,SF</v>
      </c>
      <c r="K189" s="46">
        <f>IFERROR(__xludf.DUMMYFUNCTION("""COMPUTED_VALUE"""),-4.668507619739407)</f>
        <v>-4.66850762</v>
      </c>
      <c r="L189" s="47">
        <f>IFERROR(__xludf.DUMMYFUNCTION("""COMPUTED_VALUE"""),-2.692801223944493)</f>
        <v>-2.692801224</v>
      </c>
      <c r="M189" s="47">
        <f>IFERROR(__xludf.DUMMYFUNCTION("""COMPUTED_VALUE"""),1.9757063957949144)</f>
        <v>1.975706396</v>
      </c>
      <c r="N189" s="47">
        <f>IFERROR(__xludf.DUMMYFUNCTION("""COMPUTED_VALUE"""),19.7)</f>
        <v>19.7</v>
      </c>
      <c r="O189" s="47">
        <f>IFERROR(__xludf.DUMMYFUNCTION("""COMPUTED_VALUE"""),1.8)</f>
        <v>1.8</v>
      </c>
      <c r="P189" s="47">
        <f>IFERROR(__xludf.DUMMYFUNCTION("""COMPUTED_VALUE"""),5.4)</f>
        <v>5.4</v>
      </c>
      <c r="Q189" s="48">
        <f>IFERROR(__xludf.DUMMYFUNCTION("""COMPUTED_VALUE"""),2.8)</f>
        <v>2.8</v>
      </c>
      <c r="R189" s="47">
        <f>IFERROR(__xludf.DUMMYFUNCTION("""COMPUTED_VALUE"""),0.5)</f>
        <v>0.5</v>
      </c>
      <c r="S189" s="47">
        <f>IFERROR(__xludf.DUMMYFUNCTION("""COMPUTED_VALUE"""),0.2)</f>
        <v>0.2</v>
      </c>
      <c r="T189" s="47">
        <f>IFERROR(__xludf.DUMMYFUNCTION("""COMPUTED_VALUE"""),43.125)</f>
        <v>43.125</v>
      </c>
      <c r="U189" s="47">
        <f>IFERROR(__xludf.DUMMYFUNCTION("""COMPUTED_VALUE"""),74.07407407407408)</f>
        <v>74.07407407</v>
      </c>
      <c r="V189" s="47">
        <f>IFERROR(__xludf.DUMMYFUNCTION("""COMPUTED_VALUE"""),2.2)</f>
        <v>2.2</v>
      </c>
      <c r="W189" s="46">
        <f>IFERROR(__xludf.DUMMYFUNCTION("""COMPUTED_VALUE"""),0.41176611436852784)</f>
        <v>0.4117661144</v>
      </c>
      <c r="X189" s="46">
        <f>IFERROR(__xludf.DUMMYFUNCTION("""COMPUTED_VALUE"""),0.13469400490764694)</f>
        <v>0.1346940049</v>
      </c>
      <c r="Y189" s="46">
        <f>IFERROR(__xludf.DUMMYFUNCTION("""COMPUTED_VALUE"""),-0.2907562050651974)</f>
        <v>-0.2907562051</v>
      </c>
      <c r="Z189" s="46">
        <f>IFERROR(__xludf.DUMMYFUNCTION("""COMPUTED_VALUE"""),-0.5324656877402022)</f>
        <v>-0.5324656877</v>
      </c>
      <c r="AA189" s="46">
        <f>IFERROR(__xludf.DUMMYFUNCTION("""COMPUTED_VALUE"""),-1.0786201759549239)</f>
        <v>-1.078620176</v>
      </c>
      <c r="AB189" s="46">
        <f>IFERROR(__xludf.DUMMYFUNCTION("""COMPUTED_VALUE"""),-0.6583300762210907)</f>
        <v>-0.6583300762</v>
      </c>
      <c r="AC189" s="46">
        <f>IFERROR(__xludf.DUMMYFUNCTION("""COMPUTED_VALUE"""),-1.0345753116740544)</f>
        <v>-1.034575312</v>
      </c>
      <c r="AD189" s="46">
        <f>IFERROR(__xludf.DUMMYFUNCTION("""COMPUTED_VALUE"""),-0.6593857529418776)</f>
        <v>-0.6593857529</v>
      </c>
      <c r="AE189" s="46">
        <f>IFERROR(__xludf.DUMMYFUNCTION("""COMPUTED_VALUE"""),-0.06374830957824563)</f>
        <v>-0.06374830958</v>
      </c>
    </row>
    <row r="190">
      <c r="A190" s="6" t="str">
        <f>IF(VLOOKUP(H190,'Paste #BBall'!$B$2:$N1001,3,)="BRO","BKN",IF(VLOOKUP(H190,'Paste #BBall'!$B$2:$N1001,3,)="OKL","OKC",VLOOKUP(H190,'Paste #BBall'!$B$2:$N1001,3,)))</f>
        <v>HOU</v>
      </c>
      <c r="B190" s="42">
        <f>VLOOKUP($A190,Schedule!$C$2:$G$31,2,0)</f>
        <v>4</v>
      </c>
      <c r="C190" s="42">
        <f>VLOOKUP($A190,Schedule!$C$2:$G$31,3,0)</f>
        <v>3</v>
      </c>
      <c r="D190" s="42">
        <f>VLOOKUP($A190,Schedule!$C$2:$G$31,4,0)</f>
        <v>3</v>
      </c>
      <c r="E190" s="42">
        <f t="shared" si="1"/>
        <v>10</v>
      </c>
      <c r="F190" s="43">
        <v>185.0</v>
      </c>
      <c r="G190" s="45">
        <f>IFERROR(__xludf.DUMMYFUNCTION("""COMPUTED_VALUE"""),177.0)</f>
        <v>177</v>
      </c>
      <c r="H190" s="45" t="str">
        <f>IFERROR(__xludf.DUMMYFUNCTION("""COMPUTED_VALUE"""),"Dillon Brooks")</f>
        <v>Dillon Brooks</v>
      </c>
      <c r="I190" s="45">
        <f>IFERROR(__xludf.DUMMYFUNCTION("""COMPUTED_VALUE"""),70.0)</f>
        <v>70</v>
      </c>
      <c r="J190" s="46" t="str">
        <f>IFERROR(__xludf.DUMMYFUNCTION("""COMPUTED_VALUE"""),"SG,SF")</f>
        <v>SG,SF</v>
      </c>
      <c r="K190" s="46">
        <f>IFERROR(__xludf.DUMMYFUNCTION("""COMPUTED_VALUE"""),-4.586222253769518)</f>
        <v>-4.586222254</v>
      </c>
      <c r="L190" s="47">
        <f>IFERROR(__xludf.DUMMYFUNCTION("""COMPUTED_VALUE"""),-2.7260218956304083)</f>
        <v>-2.726021896</v>
      </c>
      <c r="M190" s="47">
        <f>IFERROR(__xludf.DUMMYFUNCTION("""COMPUTED_VALUE"""),1.8602003581391093)</f>
        <v>1.860200358</v>
      </c>
      <c r="N190" s="47">
        <f>IFERROR(__xludf.DUMMYFUNCTION("""COMPUTED_VALUE"""),15.2)</f>
        <v>15.2</v>
      </c>
      <c r="O190" s="47">
        <f>IFERROR(__xludf.DUMMYFUNCTION("""COMPUTED_VALUE"""),1.8)</f>
        <v>1.8</v>
      </c>
      <c r="P190" s="47">
        <f>IFERROR(__xludf.DUMMYFUNCTION("""COMPUTED_VALUE"""),3.2)</f>
        <v>3.2</v>
      </c>
      <c r="Q190" s="48">
        <f>IFERROR(__xludf.DUMMYFUNCTION("""COMPUTED_VALUE"""),2.6)</f>
        <v>2.6</v>
      </c>
      <c r="R190" s="47">
        <f>IFERROR(__xludf.DUMMYFUNCTION("""COMPUTED_VALUE"""),0.9)</f>
        <v>0.9</v>
      </c>
      <c r="S190" s="47">
        <f>IFERROR(__xludf.DUMMYFUNCTION("""COMPUTED_VALUE"""),0.2)</f>
        <v>0.2</v>
      </c>
      <c r="T190" s="47">
        <f>IFERROR(__xludf.DUMMYFUNCTION("""COMPUTED_VALUE"""),40.714285714285715)</f>
        <v>40.71428571</v>
      </c>
      <c r="U190" s="47">
        <f>IFERROR(__xludf.DUMMYFUNCTION("""COMPUTED_VALUE"""),79.16666666666666)</f>
        <v>79.16666667</v>
      </c>
      <c r="V190" s="47">
        <f>IFERROR(__xludf.DUMMYFUNCTION("""COMPUTED_VALUE"""),1.4)</f>
        <v>1.4</v>
      </c>
      <c r="W190" s="46">
        <f>IFERROR(__xludf.DUMMYFUNCTION("""COMPUTED_VALUE"""),-0.34660258194458676)</f>
        <v>-0.3466025819</v>
      </c>
      <c r="X190" s="46">
        <f>IFERROR(__xludf.DUMMYFUNCTION("""COMPUTED_VALUE"""),0.13469400490764694)</f>
        <v>0.1346940049</v>
      </c>
      <c r="Y190" s="46">
        <f>IFERROR(__xludf.DUMMYFUNCTION("""COMPUTED_VALUE"""),-1.2106943418965999)</f>
        <v>-1.210694342</v>
      </c>
      <c r="Z190" s="46">
        <f>IFERROR(__xludf.DUMMYFUNCTION("""COMPUTED_VALUE"""),-0.6344706087632292)</f>
        <v>-0.6344706088</v>
      </c>
      <c r="AA190" s="46">
        <f>IFERROR(__xludf.DUMMYFUNCTION("""COMPUTED_VALUE"""),-0.2064205727568726)</f>
        <v>-0.2064205728</v>
      </c>
      <c r="AB190" s="46">
        <f>IFERROR(__xludf.DUMMYFUNCTION("""COMPUTED_VALUE"""),-0.6583300762210907)</f>
        <v>-0.6583300762</v>
      </c>
      <c r="AC190" s="46">
        <f>IFERROR(__xludf.DUMMYFUNCTION("""COMPUTED_VALUE"""),-1.2423703450784742)</f>
        <v>-1.242370345</v>
      </c>
      <c r="AD190" s="46">
        <f>IFERROR(__xludf.DUMMYFUNCTION("""COMPUTED_VALUE"""),0.011180553304729612)</f>
        <v>0.0111805533</v>
      </c>
      <c r="AE190" s="46">
        <f>IFERROR(__xludf.DUMMYFUNCTION("""COMPUTED_VALUE"""),0.18462172773959373)</f>
        <v>0.1846217277</v>
      </c>
    </row>
    <row r="191">
      <c r="A191" s="6" t="str">
        <f>IF(VLOOKUP(H191,'Paste #BBall'!$B$2:$N1001,3,)="BRO","BKN",IF(VLOOKUP(H191,'Paste #BBall'!$B$2:$N1001,3,)="OKL","OKC",VLOOKUP(H191,'Paste #BBall'!$B$2:$N1001,3,)))</f>
        <v>DAL</v>
      </c>
      <c r="B191" s="42">
        <f>VLOOKUP($A191,Schedule!$C$2:$G$31,2,0)</f>
        <v>3</v>
      </c>
      <c r="C191" s="42">
        <f>VLOOKUP($A191,Schedule!$C$2:$G$31,3,0)</f>
        <v>4</v>
      </c>
      <c r="D191" s="42">
        <f>VLOOKUP($A191,Schedule!$C$2:$G$31,4,0)</f>
        <v>2</v>
      </c>
      <c r="E191" s="42">
        <f t="shared" si="1"/>
        <v>9</v>
      </c>
      <c r="F191" s="51">
        <v>186.0</v>
      </c>
      <c r="G191" s="45">
        <f>IFERROR(__xludf.DUMMYFUNCTION("""COMPUTED_VALUE"""),184.0)</f>
        <v>184</v>
      </c>
      <c r="H191" s="45" t="str">
        <f>IFERROR(__xludf.DUMMYFUNCTION("""COMPUTED_VALUE"""),"Grant Williams")</f>
        <v>Grant Williams</v>
      </c>
      <c r="I191" s="45">
        <f>IFERROR(__xludf.DUMMYFUNCTION("""COMPUTED_VALUE"""),72.0)</f>
        <v>72</v>
      </c>
      <c r="J191" s="46" t="str">
        <f>IFERROR(__xludf.DUMMYFUNCTION("""COMPUTED_VALUE"""),"PF")</f>
        <v>PF</v>
      </c>
      <c r="K191" s="46">
        <f>IFERROR(__xludf.DUMMYFUNCTION("""COMPUTED_VALUE"""),-4.756583345703391)</f>
        <v>-4.756583346</v>
      </c>
      <c r="L191" s="47">
        <f>IFERROR(__xludf.DUMMYFUNCTION("""COMPUTED_VALUE"""),-2.7270971650754032)</f>
        <v>-2.727097165</v>
      </c>
      <c r="M191" s="47">
        <f>IFERROR(__xludf.DUMMYFUNCTION("""COMPUTED_VALUE"""),2.029486180627988)</f>
        <v>2.029486181</v>
      </c>
      <c r="N191" s="47">
        <f>IFERROR(__xludf.DUMMYFUNCTION("""COMPUTED_VALUE"""),9.0)</f>
        <v>9</v>
      </c>
      <c r="O191" s="47">
        <f>IFERROR(__xludf.DUMMYFUNCTION("""COMPUTED_VALUE"""),1.6)</f>
        <v>1.6</v>
      </c>
      <c r="P191" s="47">
        <f>IFERROR(__xludf.DUMMYFUNCTION("""COMPUTED_VALUE"""),4.6)</f>
        <v>4.6</v>
      </c>
      <c r="Q191" s="48">
        <f>IFERROR(__xludf.DUMMYFUNCTION("""COMPUTED_VALUE"""),1.5)</f>
        <v>1.5</v>
      </c>
      <c r="R191" s="47">
        <f>IFERROR(__xludf.DUMMYFUNCTION("""COMPUTED_VALUE"""),0.6)</f>
        <v>0.6</v>
      </c>
      <c r="S191" s="47">
        <f>IFERROR(__xludf.DUMMYFUNCTION("""COMPUTED_VALUE"""),0.6)</f>
        <v>0.6</v>
      </c>
      <c r="T191" s="47">
        <f>IFERROR(__xludf.DUMMYFUNCTION("""COMPUTED_VALUE"""),45.45454545454546)</f>
        <v>45.45454545</v>
      </c>
      <c r="U191" s="47">
        <f>IFERROR(__xludf.DUMMYFUNCTION("""COMPUTED_VALUE"""),81.25)</f>
        <v>81.25</v>
      </c>
      <c r="V191" s="47">
        <f>IFERROR(__xludf.DUMMYFUNCTION("""COMPUTED_VALUE"""),1.0)</f>
        <v>1</v>
      </c>
      <c r="W191" s="46">
        <f>IFERROR(__xludf.DUMMYFUNCTION("""COMPUTED_VALUE"""),-1.3914661190871)</f>
        <v>-1.391466119</v>
      </c>
      <c r="X191" s="46">
        <f>IFERROR(__xludf.DUMMYFUNCTION("""COMPUTED_VALUE"""),-0.03873175248417188)</f>
        <v>-0.03873175248</v>
      </c>
      <c r="Y191" s="46">
        <f>IFERROR(__xludf.DUMMYFUNCTION("""COMPUTED_VALUE"""),-0.6252791639129804)</f>
        <v>-0.6252791639</v>
      </c>
      <c r="Z191" s="46">
        <f>IFERROR(__xludf.DUMMYFUNCTION("""COMPUTED_VALUE"""),-1.1954976743898784)</f>
        <v>-1.195497674</v>
      </c>
      <c r="AA191" s="46">
        <f>IFERROR(__xludf.DUMMYFUNCTION("""COMPUTED_VALUE"""),-0.860570275155411)</f>
        <v>-0.8605702752</v>
      </c>
      <c r="AB191" s="46">
        <f>IFERROR(__xludf.DUMMYFUNCTION("""COMPUTED_VALUE"""),-0.13306671753405044)</f>
        <v>-0.1330667175</v>
      </c>
      <c r="AC191" s="46">
        <f>IFERROR(__xludf.DUMMYFUNCTION("""COMPUTED_VALUE"""),-0.27318681782209486)</f>
        <v>-0.2731868178</v>
      </c>
      <c r="AD191" s="46">
        <f>IFERROR(__xludf.DUMMYFUNCTION("""COMPUTED_VALUE"""),0.0904284898246707)</f>
        <v>0.09042848982</v>
      </c>
      <c r="AE191" s="46">
        <f>IFERROR(__xludf.DUMMYFUNCTION("""COMPUTED_VALUE"""),0.30880674639851335)</f>
        <v>0.3088067464</v>
      </c>
    </row>
    <row r="192">
      <c r="A192" s="6" t="str">
        <f>IF(VLOOKUP(H192,'Paste #BBall'!$B$2:$N1001,3,)="BRO","BKN",IF(VLOOKUP(H192,'Paste #BBall'!$B$2:$N1001,3,)="OKL","OKC",VLOOKUP(H192,'Paste #BBall'!$B$2:$N1001,3,)))</f>
        <v>WAS</v>
      </c>
      <c r="B192" s="42">
        <f>VLOOKUP($A192,Schedule!$C$2:$G$31,2,0)</f>
        <v>4</v>
      </c>
      <c r="C192" s="42">
        <f>VLOOKUP($A192,Schedule!$C$2:$G$31,3,0)</f>
        <v>4</v>
      </c>
      <c r="D192" s="42">
        <f>VLOOKUP($A192,Schedule!$C$2:$G$31,4,0)</f>
        <v>3</v>
      </c>
      <c r="E192" s="42">
        <f t="shared" si="1"/>
        <v>11</v>
      </c>
      <c r="F192" s="51">
        <v>187.0</v>
      </c>
      <c r="G192" s="45">
        <f>IFERROR(__xludf.DUMMYFUNCTION("""COMPUTED_VALUE"""),191.0)</f>
        <v>191</v>
      </c>
      <c r="H192" s="45" t="str">
        <f>IFERROR(__xludf.DUMMYFUNCTION("""COMPUTED_VALUE"""),"Corey Kispert")</f>
        <v>Corey Kispert</v>
      </c>
      <c r="I192" s="45">
        <f>IFERROR(__xludf.DUMMYFUNCTION("""COMPUTED_VALUE"""),74.0)</f>
        <v>74</v>
      </c>
      <c r="J192" s="46" t="str">
        <f>IFERROR(__xludf.DUMMYFUNCTION("""COMPUTED_VALUE"""),"SG,SF")</f>
        <v>SG,SF</v>
      </c>
      <c r="K192" s="46">
        <f>IFERROR(__xludf.DUMMYFUNCTION("""COMPUTED_VALUE"""),-4.913803622955488)</f>
        <v>-4.913803623</v>
      </c>
      <c r="L192" s="47">
        <f>IFERROR(__xludf.DUMMYFUNCTION("""COMPUTED_VALUE"""),-2.7618127171400486)</f>
        <v>-2.761812717</v>
      </c>
      <c r="M192" s="47">
        <f>IFERROR(__xludf.DUMMYFUNCTION("""COMPUTED_VALUE"""),2.151990905815439)</f>
        <v>2.151990906</v>
      </c>
      <c r="N192" s="47">
        <f>IFERROR(__xludf.DUMMYFUNCTION("""COMPUTED_VALUE"""),11.2)</f>
        <v>11.2</v>
      </c>
      <c r="O192" s="47">
        <f>IFERROR(__xludf.DUMMYFUNCTION("""COMPUTED_VALUE"""),2.3)</f>
        <v>2.3</v>
      </c>
      <c r="P192" s="47">
        <f>IFERROR(__xludf.DUMMYFUNCTION("""COMPUTED_VALUE"""),3.1)</f>
        <v>3.1</v>
      </c>
      <c r="Q192" s="48">
        <f>IFERROR(__xludf.DUMMYFUNCTION("""COMPUTED_VALUE"""),1.3)</f>
        <v>1.3</v>
      </c>
      <c r="R192" s="47">
        <f>IFERROR(__xludf.DUMMYFUNCTION("""COMPUTED_VALUE"""),0.5)</f>
        <v>0.5</v>
      </c>
      <c r="S192" s="47">
        <f>IFERROR(__xludf.DUMMYFUNCTION("""COMPUTED_VALUE"""),0.2)</f>
        <v>0.2</v>
      </c>
      <c r="T192" s="47">
        <f>IFERROR(__xludf.DUMMYFUNCTION("""COMPUTED_VALUE"""),49.38271604938272)</f>
        <v>49.38271605</v>
      </c>
      <c r="U192" s="47">
        <f>IFERROR(__xludf.DUMMYFUNCTION("""COMPUTED_VALUE"""),90.9090909090909)</f>
        <v>90.90909091</v>
      </c>
      <c r="V192" s="47">
        <f>IFERROR(__xludf.DUMMYFUNCTION("""COMPUTED_VALUE"""),0.8)</f>
        <v>0.8</v>
      </c>
      <c r="W192" s="46">
        <f>IFERROR(__xludf.DUMMYFUNCTION("""COMPUTED_VALUE"""),-1.0207080897784664)</f>
        <v>-1.02070809</v>
      </c>
      <c r="X192" s="46">
        <f>IFERROR(__xludf.DUMMYFUNCTION("""COMPUTED_VALUE"""),0.5682583983871938)</f>
        <v>0.5682583984</v>
      </c>
      <c r="Y192" s="46">
        <f>IFERROR(__xludf.DUMMYFUNCTION("""COMPUTED_VALUE"""),-1.2525097117525728)</f>
        <v>-1.252509712</v>
      </c>
      <c r="Z192" s="46">
        <f>IFERROR(__xludf.DUMMYFUNCTION("""COMPUTED_VALUE"""),-1.2975025954129054)</f>
        <v>-1.297502595</v>
      </c>
      <c r="AA192" s="46">
        <f>IFERROR(__xludf.DUMMYFUNCTION("""COMPUTED_VALUE"""),-1.0786201759549239)</f>
        <v>-1.078620176</v>
      </c>
      <c r="AB192" s="46">
        <f>IFERROR(__xludf.DUMMYFUNCTION("""COMPUTED_VALUE"""),-0.6583300762210907)</f>
        <v>-0.6583300762</v>
      </c>
      <c r="AC192" s="46">
        <f>IFERROR(__xludf.DUMMYFUNCTION("""COMPUTED_VALUE"""),-0.017454039846209784)</f>
        <v>-0.01745403985</v>
      </c>
      <c r="AD192" s="46">
        <f>IFERROR(__xludf.DUMMYFUNCTION("""COMPUTED_VALUE"""),0.32665172229804795)</f>
        <v>0.3266517223</v>
      </c>
      <c r="AE192" s="46">
        <f>IFERROR(__xludf.DUMMYFUNCTION("""COMPUTED_VALUE"""),0.37089925572797316)</f>
        <v>0.3708992557</v>
      </c>
    </row>
    <row r="193">
      <c r="A193" s="6" t="str">
        <f>IF(VLOOKUP(H193,'Paste #BBall'!$B$2:$N1001,3,)="BRO","BKN",IF(VLOOKUP(H193,'Paste #BBall'!$B$2:$N1001,3,)="OKL","OKC",VLOOKUP(H193,'Paste #BBall'!$B$2:$N1001,3,)))</f>
        <v>IND</v>
      </c>
      <c r="B193" s="42">
        <f>VLOOKUP($A193,Schedule!$C$2:$G$31,2,0)</f>
        <v>3</v>
      </c>
      <c r="C193" s="42">
        <f>VLOOKUP($A193,Schedule!$C$2:$G$31,3,0)</f>
        <v>3</v>
      </c>
      <c r="D193" s="42">
        <f>VLOOKUP($A193,Schedule!$C$2:$G$31,4,0)</f>
        <v>4</v>
      </c>
      <c r="E193" s="42">
        <f t="shared" si="1"/>
        <v>10</v>
      </c>
      <c r="F193" s="43">
        <v>188.0</v>
      </c>
      <c r="G193" s="45">
        <f>IFERROR(__xludf.DUMMYFUNCTION("""COMPUTED_VALUE"""),189.0)</f>
        <v>189</v>
      </c>
      <c r="H193" s="45" t="str">
        <f>IFERROR(__xludf.DUMMYFUNCTION("""COMPUTED_VALUE"""),"Andrew Nembhard")</f>
        <v>Andrew Nembhard</v>
      </c>
      <c r="I193" s="45">
        <f>IFERROR(__xludf.DUMMYFUNCTION("""COMPUTED_VALUE"""),72.0)</f>
        <v>72</v>
      </c>
      <c r="J193" s="46" t="str">
        <f>IFERROR(__xludf.DUMMYFUNCTION("""COMPUTED_VALUE"""),"PG,SG")</f>
        <v>PG,SG</v>
      </c>
      <c r="K193" s="46">
        <f>IFERROR(__xludf.DUMMYFUNCTION("""COMPUTED_VALUE"""),-4.901445224490809)</f>
        <v>-4.901445224</v>
      </c>
      <c r="L193" s="47">
        <f>IFERROR(__xludf.DUMMYFUNCTION("""COMPUTED_VALUE"""),-2.764634636922632)</f>
        <v>-2.764634637</v>
      </c>
      <c r="M193" s="47">
        <f>IFERROR(__xludf.DUMMYFUNCTION("""COMPUTED_VALUE"""),2.136810587568177)</f>
        <v>2.136810588</v>
      </c>
      <c r="N193" s="47">
        <f>IFERROR(__xludf.DUMMYFUNCTION("""COMPUTED_VALUE"""),9.1)</f>
        <v>9.1</v>
      </c>
      <c r="O193" s="47">
        <f>IFERROR(__xludf.DUMMYFUNCTION("""COMPUTED_VALUE"""),1.2)</f>
        <v>1.2</v>
      </c>
      <c r="P193" s="47">
        <f>IFERROR(__xludf.DUMMYFUNCTION("""COMPUTED_VALUE"""),2.5)</f>
        <v>2.5</v>
      </c>
      <c r="Q193" s="48">
        <f>IFERROR(__xludf.DUMMYFUNCTION("""COMPUTED_VALUE"""),4.4)</f>
        <v>4.4</v>
      </c>
      <c r="R193" s="47">
        <f>IFERROR(__xludf.DUMMYFUNCTION("""COMPUTED_VALUE"""),0.9)</f>
        <v>0.9</v>
      </c>
      <c r="S193" s="47">
        <f>IFERROR(__xludf.DUMMYFUNCTION("""COMPUTED_VALUE"""),0.2)</f>
        <v>0.2</v>
      </c>
      <c r="T193" s="47">
        <f>IFERROR(__xludf.DUMMYFUNCTION("""COMPUTED_VALUE"""),43.90243902439025)</f>
        <v>43.90243902</v>
      </c>
      <c r="U193" s="47">
        <f>IFERROR(__xludf.DUMMYFUNCTION("""COMPUTED_VALUE"""),74.99999999999999)</f>
        <v>75</v>
      </c>
      <c r="V193" s="47">
        <f>IFERROR(__xludf.DUMMYFUNCTION("""COMPUTED_VALUE"""),1.6)</f>
        <v>1.6</v>
      </c>
      <c r="W193" s="46">
        <f>IFERROR(__xludf.DUMMYFUNCTION("""COMPUTED_VALUE"""),-1.3746134813912532)</f>
        <v>-1.374613481</v>
      </c>
      <c r="X193" s="46">
        <f>IFERROR(__xludf.DUMMYFUNCTION("""COMPUTED_VALUE"""),-0.38558326726780967)</f>
        <v>-0.3855832673</v>
      </c>
      <c r="Y193" s="46">
        <f>IFERROR(__xludf.DUMMYFUNCTION("""COMPUTED_VALUE"""),-1.50340193088841)</f>
        <v>-1.503401931</v>
      </c>
      <c r="Z193" s="46">
        <f>IFERROR(__xludf.DUMMYFUNCTION("""COMPUTED_VALUE"""),0.28357368044401526)</f>
        <v>0.2835736804</v>
      </c>
      <c r="AA193" s="46">
        <f>IFERROR(__xludf.DUMMYFUNCTION("""COMPUTED_VALUE"""),-0.2064205727568726)</f>
        <v>-0.2064205728</v>
      </c>
      <c r="AB193" s="46">
        <f>IFERROR(__xludf.DUMMYFUNCTION("""COMPUTED_VALUE"""),-0.6583300762210907)</f>
        <v>-0.6583300762</v>
      </c>
      <c r="AC193" s="46">
        <f>IFERROR(__xludf.DUMMYFUNCTION("""COMPUTED_VALUE"""),-0.4665422016198138)</f>
        <v>-0.4665422016</v>
      </c>
      <c r="AD193" s="46">
        <f>IFERROR(__xludf.DUMMYFUNCTION("""COMPUTED_VALUE"""),-0.07924793651994107)</f>
        <v>-0.07924793652</v>
      </c>
      <c r="AE193" s="46">
        <f>IFERROR(__xludf.DUMMYFUNCTION("""COMPUTED_VALUE"""),0.12252921841013387)</f>
        <v>0.1225292184</v>
      </c>
    </row>
    <row r="194">
      <c r="A194" s="6" t="str">
        <f>IF(VLOOKUP(H194,'Paste #BBall'!$B$2:$N1001,3,)="BRO","BKN",IF(VLOOKUP(H194,'Paste #BBall'!$B$2:$N1001,3,)="OKL","OKC",VLOOKUP(H194,'Paste #BBall'!$B$2:$N1001,3,)))</f>
        <v>DAL</v>
      </c>
      <c r="B194" s="42">
        <f>VLOOKUP($A194,Schedule!$C$2:$G$31,2,0)</f>
        <v>3</v>
      </c>
      <c r="C194" s="42">
        <f>VLOOKUP($A194,Schedule!$C$2:$G$31,3,0)</f>
        <v>4</v>
      </c>
      <c r="D194" s="42">
        <f>VLOOKUP($A194,Schedule!$C$2:$G$31,4,0)</f>
        <v>2</v>
      </c>
      <c r="E194" s="42">
        <f t="shared" si="1"/>
        <v>9</v>
      </c>
      <c r="F194" s="51">
        <v>189.0</v>
      </c>
      <c r="G194" s="45">
        <f>IFERROR(__xludf.DUMMYFUNCTION("""COMPUTED_VALUE"""),180.0)</f>
        <v>180</v>
      </c>
      <c r="H194" s="45" t="str">
        <f>IFERROR(__xludf.DUMMYFUNCTION("""COMPUTED_VALUE"""),"Josh Green")</f>
        <v>Josh Green</v>
      </c>
      <c r="I194" s="45">
        <f>IFERROR(__xludf.DUMMYFUNCTION("""COMPUTED_VALUE"""),67.0)</f>
        <v>67</v>
      </c>
      <c r="J194" s="46" t="str">
        <f>IFERROR(__xludf.DUMMYFUNCTION("""COMPUTED_VALUE"""),"SG,SF")</f>
        <v>SG,SF</v>
      </c>
      <c r="K194" s="46">
        <f>IFERROR(__xludf.DUMMYFUNCTION("""COMPUTED_VALUE"""),-4.648139571210821)</f>
        <v>-4.648139571</v>
      </c>
      <c r="L194" s="47">
        <f>IFERROR(__xludf.DUMMYFUNCTION("""COMPUTED_VALUE"""),-2.8134847563047507)</f>
        <v>-2.813484756</v>
      </c>
      <c r="M194" s="47">
        <f>IFERROR(__xludf.DUMMYFUNCTION("""COMPUTED_VALUE"""),1.8346548149060706)</f>
        <v>1.834654815</v>
      </c>
      <c r="N194" s="47">
        <f>IFERROR(__xludf.DUMMYFUNCTION("""COMPUTED_VALUE"""),9.5)</f>
        <v>9.5</v>
      </c>
      <c r="O194" s="47">
        <f>IFERROR(__xludf.DUMMYFUNCTION("""COMPUTED_VALUE"""),1.2)</f>
        <v>1.2</v>
      </c>
      <c r="P194" s="47">
        <f>IFERROR(__xludf.DUMMYFUNCTION("""COMPUTED_VALUE"""),3.7)</f>
        <v>3.7</v>
      </c>
      <c r="Q194" s="48">
        <f>IFERROR(__xludf.DUMMYFUNCTION("""COMPUTED_VALUE"""),2.0)</f>
        <v>2</v>
      </c>
      <c r="R194" s="47">
        <f>IFERROR(__xludf.DUMMYFUNCTION("""COMPUTED_VALUE"""),0.9)</f>
        <v>0.9</v>
      </c>
      <c r="S194" s="47">
        <f>IFERROR(__xludf.DUMMYFUNCTION("""COMPUTED_VALUE"""),0.2)</f>
        <v>0.2</v>
      </c>
      <c r="T194" s="47">
        <f>IFERROR(__xludf.DUMMYFUNCTION("""COMPUTED_VALUE"""),52.17391304347826)</f>
        <v>52.17391304</v>
      </c>
      <c r="U194" s="47">
        <f>IFERROR(__xludf.DUMMYFUNCTION("""COMPUTED_VALUE"""),78.57142857142858)</f>
        <v>78.57142857</v>
      </c>
      <c r="V194" s="47">
        <f>IFERROR(__xludf.DUMMYFUNCTION("""COMPUTED_VALUE"""),1.3)</f>
        <v>1.3</v>
      </c>
      <c r="W194" s="46">
        <f>IFERROR(__xludf.DUMMYFUNCTION("""COMPUTED_VALUE"""),-1.3072029306078652)</f>
        <v>-1.307202931</v>
      </c>
      <c r="X194" s="46">
        <f>IFERROR(__xludf.DUMMYFUNCTION("""COMPUTED_VALUE"""),-0.38558326726780967)</f>
        <v>-0.3855832673</v>
      </c>
      <c r="Y194" s="46">
        <f>IFERROR(__xludf.DUMMYFUNCTION("""COMPUTED_VALUE"""),-1.0016174926167358)</f>
        <v>-1.001617493</v>
      </c>
      <c r="Z194" s="46">
        <f>IFERROR(__xludf.DUMMYFUNCTION("""COMPUTED_VALUE"""),-0.9404853718323106)</f>
        <v>-0.9404853718</v>
      </c>
      <c r="AA194" s="46">
        <f>IFERROR(__xludf.DUMMYFUNCTION("""COMPUTED_VALUE"""),-0.2064205727568726)</f>
        <v>-0.2064205728</v>
      </c>
      <c r="AB194" s="46">
        <f>IFERROR(__xludf.DUMMYFUNCTION("""COMPUTED_VALUE"""),-0.6583300762210907)</f>
        <v>-0.6583300762</v>
      </c>
      <c r="AC194" s="46">
        <f>IFERROR(__xludf.DUMMYFUNCTION("""COMPUTED_VALUE"""),0.1775057494633646)</f>
        <v>0.1775057495</v>
      </c>
      <c r="AD194" s="46">
        <f>IFERROR(__xludf.DUMMYFUNCTION("""COMPUTED_VALUE"""),-0.014221707477619961)</f>
        <v>-0.01422170748</v>
      </c>
      <c r="AE194" s="46">
        <f>IFERROR(__xludf.DUMMYFUNCTION("""COMPUTED_VALUE"""),0.2156679824043236)</f>
        <v>0.2156679824</v>
      </c>
    </row>
    <row r="195">
      <c r="A195" s="6" t="str">
        <f>IF(VLOOKUP(H195,'Paste #BBall'!$B$2:$N1001,3,)="BRO","BKN",IF(VLOOKUP(H195,'Paste #BBall'!$B$2:$N1001,3,)="OKL","OKC",VLOOKUP(H195,'Paste #BBall'!$B$2:$N1001,3,)))</f>
        <v>UTA</v>
      </c>
      <c r="B195" s="42">
        <f>VLOOKUP($A195,Schedule!$C$2:$G$31,2,0)</f>
        <v>3</v>
      </c>
      <c r="C195" s="42">
        <f>VLOOKUP($A195,Schedule!$C$2:$G$31,3,0)</f>
        <v>3</v>
      </c>
      <c r="D195" s="42">
        <f>VLOOKUP($A195,Schedule!$C$2:$G$31,4,0)</f>
        <v>4</v>
      </c>
      <c r="E195" s="42">
        <f t="shared" si="1"/>
        <v>10</v>
      </c>
      <c r="F195" s="51">
        <v>190.0</v>
      </c>
      <c r="G195" s="45">
        <f>IFERROR(__xludf.DUMMYFUNCTION("""COMPUTED_VALUE"""),190.0)</f>
        <v>190</v>
      </c>
      <c r="H195" s="45" t="str">
        <f>IFERROR(__xludf.DUMMYFUNCTION("""COMPUTED_VALUE"""),"Kelly Olynyk")</f>
        <v>Kelly Olynyk</v>
      </c>
      <c r="I195" s="45">
        <f>IFERROR(__xludf.DUMMYFUNCTION("""COMPUTED_VALUE"""),66.0)</f>
        <v>66</v>
      </c>
      <c r="J195" s="46" t="str">
        <f>IFERROR(__xludf.DUMMYFUNCTION("""COMPUTED_VALUE"""),"PF,C")</f>
        <v>PF,C</v>
      </c>
      <c r="K195" s="46">
        <f>IFERROR(__xludf.DUMMYFUNCTION("""COMPUTED_VALUE"""),-4.903870055016824)</f>
        <v>-4.903870055</v>
      </c>
      <c r="L195" s="47">
        <f>IFERROR(__xludf.DUMMYFUNCTION("""COMPUTED_VALUE"""),-2.90028525165734)</f>
        <v>-2.900285252</v>
      </c>
      <c r="M195" s="47">
        <f>IFERROR(__xludf.DUMMYFUNCTION("""COMPUTED_VALUE"""),2.0035848033594843)</f>
        <v>2.003584803</v>
      </c>
      <c r="N195" s="47">
        <f>IFERROR(__xludf.DUMMYFUNCTION("""COMPUTED_VALUE"""),9.0)</f>
        <v>9</v>
      </c>
      <c r="O195" s="47">
        <f>IFERROR(__xludf.DUMMYFUNCTION("""COMPUTED_VALUE"""),1.1)</f>
        <v>1.1</v>
      </c>
      <c r="P195" s="47">
        <f>IFERROR(__xludf.DUMMYFUNCTION("""COMPUTED_VALUE"""),4.2)</f>
        <v>4.2</v>
      </c>
      <c r="Q195" s="48">
        <f>IFERROR(__xludf.DUMMYFUNCTION("""COMPUTED_VALUE"""),2.6)</f>
        <v>2.6</v>
      </c>
      <c r="R195" s="47">
        <f>IFERROR(__xludf.DUMMYFUNCTION("""COMPUTED_VALUE"""),0.6)</f>
        <v>0.6</v>
      </c>
      <c r="S195" s="47">
        <f>IFERROR(__xludf.DUMMYFUNCTION("""COMPUTED_VALUE"""),0.4)</f>
        <v>0.4</v>
      </c>
      <c r="T195" s="47">
        <f>IFERROR(__xludf.DUMMYFUNCTION("""COMPUTED_VALUE"""),48.387096774193544)</f>
        <v>48.38709677</v>
      </c>
      <c r="U195" s="47">
        <f>IFERROR(__xludf.DUMMYFUNCTION("""COMPUTED_VALUE"""),82.6086956521739)</f>
        <v>82.60869565</v>
      </c>
      <c r="V195" s="47">
        <f>IFERROR(__xludf.DUMMYFUNCTION("""COMPUTED_VALUE"""),1.6)</f>
        <v>1.6</v>
      </c>
      <c r="W195" s="46">
        <f>IFERROR(__xludf.DUMMYFUNCTION("""COMPUTED_VALUE"""),-1.3914661190871)</f>
        <v>-1.391466119</v>
      </c>
      <c r="X195" s="46">
        <f>IFERROR(__xludf.DUMMYFUNCTION("""COMPUTED_VALUE"""),-0.472296145963719)</f>
        <v>-0.472296146</v>
      </c>
      <c r="Y195" s="46">
        <f>IFERROR(__xludf.DUMMYFUNCTION("""COMPUTED_VALUE"""),-0.7925406433368716)</f>
        <v>-0.7925406433</v>
      </c>
      <c r="Z195" s="46">
        <f>IFERROR(__xludf.DUMMYFUNCTION("""COMPUTED_VALUE"""),-0.6344706087632292)</f>
        <v>-0.6344706088</v>
      </c>
      <c r="AA195" s="46">
        <f>IFERROR(__xludf.DUMMYFUNCTION("""COMPUTED_VALUE"""),-0.860570275155411)</f>
        <v>-0.8605702752</v>
      </c>
      <c r="AB195" s="46">
        <f>IFERROR(__xludf.DUMMYFUNCTION("""COMPUTED_VALUE"""),-0.39569839687757064)</f>
        <v>-0.3956983969</v>
      </c>
      <c r="AC195" s="46">
        <f>IFERROR(__xludf.DUMMYFUNCTION("""COMPUTED_VALUE"""),-0.07501821748880959)</f>
        <v>-0.07501821749</v>
      </c>
      <c r="AD195" s="46">
        <f>IFERROR(__xludf.DUMMYFUNCTION("""COMPUTED_VALUE"""),0.20777981751813673)</f>
        <v>0.2077798175</v>
      </c>
      <c r="AE195" s="46">
        <f>IFERROR(__xludf.DUMMYFUNCTION("""COMPUTED_VALUE"""),0.12252921841013387)</f>
        <v>0.1225292184</v>
      </c>
    </row>
    <row r="196">
      <c r="A196" s="6" t="str">
        <f>IF(VLOOKUP(H196,'Paste #BBall'!$B$2:$N1001,3,)="BRO","BKN",IF(VLOOKUP(H196,'Paste #BBall'!$B$2:$N1001,3,)="OKL","OKC",VLOOKUP(H196,'Paste #BBall'!$B$2:$N1001,3,)))</f>
        <v>HOU</v>
      </c>
      <c r="B196" s="42">
        <f>VLOOKUP($A196,Schedule!$C$2:$G$31,2,0)</f>
        <v>4</v>
      </c>
      <c r="C196" s="42">
        <f>VLOOKUP($A196,Schedule!$C$2:$G$31,3,0)</f>
        <v>3</v>
      </c>
      <c r="D196" s="42">
        <f>VLOOKUP($A196,Schedule!$C$2:$G$31,4,0)</f>
        <v>3</v>
      </c>
      <c r="E196" s="42">
        <f t="shared" si="1"/>
        <v>10</v>
      </c>
      <c r="F196" s="43">
        <v>191.0</v>
      </c>
      <c r="G196" s="45">
        <f>IFERROR(__xludf.DUMMYFUNCTION("""COMPUTED_VALUE"""),182.0)</f>
        <v>182</v>
      </c>
      <c r="H196" s="45" t="str">
        <f>IFERROR(__xludf.DUMMYFUNCTION("""COMPUTED_VALUE"""),"Kevin Porter Jr.")</f>
        <v>Kevin Porter Jr.</v>
      </c>
      <c r="I196" s="45">
        <f>IFERROR(__xludf.DUMMYFUNCTION("""COMPUTED_VALUE"""),30.0)</f>
        <v>30</v>
      </c>
      <c r="J196" s="46" t="str">
        <f>IFERROR(__xludf.DUMMYFUNCTION("""COMPUTED_VALUE"""),"PG,SG")</f>
        <v>PG,SG</v>
      </c>
      <c r="K196" s="46">
        <f>IFERROR(__xludf.DUMMYFUNCTION("""COMPUTED_VALUE"""),-4.72396405388682)</f>
        <v>-4.723964054</v>
      </c>
      <c r="L196" s="47">
        <f>IFERROR(__xludf.DUMMYFUNCTION("""COMPUTED_VALUE"""),-2.925389388785185)</f>
        <v>-2.925389389</v>
      </c>
      <c r="M196" s="47">
        <f>IFERROR(__xludf.DUMMYFUNCTION("""COMPUTED_VALUE"""),1.798574665101635)</f>
        <v>1.798574665</v>
      </c>
      <c r="N196" s="47">
        <f>IFERROR(__xludf.DUMMYFUNCTION("""COMPUTED_VALUE"""),10.9)</f>
        <v>10.9</v>
      </c>
      <c r="O196" s="47">
        <f>IFERROR(__xludf.DUMMYFUNCTION("""COMPUTED_VALUE"""),1.6)</f>
        <v>1.6</v>
      </c>
      <c r="P196" s="47">
        <f>IFERROR(__xludf.DUMMYFUNCTION("""COMPUTED_VALUE"""),3.1)</f>
        <v>3.1</v>
      </c>
      <c r="Q196" s="48">
        <f>IFERROR(__xludf.DUMMYFUNCTION("""COMPUTED_VALUE"""),3.7)</f>
        <v>3.7</v>
      </c>
      <c r="R196" s="47">
        <f>IFERROR(__xludf.DUMMYFUNCTION("""COMPUTED_VALUE"""),0.8)</f>
        <v>0.8</v>
      </c>
      <c r="S196" s="47">
        <f>IFERROR(__xludf.DUMMYFUNCTION("""COMPUTED_VALUE"""),0.2)</f>
        <v>0.2</v>
      </c>
      <c r="T196" s="47">
        <f>IFERROR(__xludf.DUMMYFUNCTION("""COMPUTED_VALUE"""),43.18181818181818)</f>
        <v>43.18181818</v>
      </c>
      <c r="U196" s="47">
        <f>IFERROR(__xludf.DUMMYFUNCTION("""COMPUTED_VALUE"""),77.27272727272727)</f>
        <v>77.27272727</v>
      </c>
      <c r="V196" s="47">
        <f>IFERROR(__xludf.DUMMYFUNCTION("""COMPUTED_VALUE"""),2.0)</f>
        <v>2</v>
      </c>
      <c r="W196" s="46">
        <f>IFERROR(__xludf.DUMMYFUNCTION("""COMPUTED_VALUE"""),-1.0712660028660073)</f>
        <v>-1.071266003</v>
      </c>
      <c r="X196" s="46">
        <f>IFERROR(__xludf.DUMMYFUNCTION("""COMPUTED_VALUE"""),-0.03873175248417188)</f>
        <v>-0.03873175248</v>
      </c>
      <c r="Y196" s="46">
        <f>IFERROR(__xludf.DUMMYFUNCTION("""COMPUTED_VALUE"""),-1.2525097117525728)</f>
        <v>-1.252509712</v>
      </c>
      <c r="Z196" s="46">
        <f>IFERROR(__xludf.DUMMYFUNCTION("""COMPUTED_VALUE"""),-0.07344354313657983)</f>
        <v>-0.07344354314</v>
      </c>
      <c r="AA196" s="46">
        <f>IFERROR(__xludf.DUMMYFUNCTION("""COMPUTED_VALUE"""),-0.42447047355638534)</f>
        <v>-0.4244704736</v>
      </c>
      <c r="AB196" s="46">
        <f>IFERROR(__xludf.DUMMYFUNCTION("""COMPUTED_VALUE"""),-0.6583300762210907)</f>
        <v>-0.6583300762</v>
      </c>
      <c r="AC196" s="46">
        <f>IFERROR(__xludf.DUMMYFUNCTION("""COMPUTED_VALUE"""),-0.5640220962746021)</f>
        <v>-0.5640220963</v>
      </c>
      <c r="AD196" s="46">
        <f>IFERROR(__xludf.DUMMYFUNCTION("""COMPUTED_VALUE"""),-0.09346964399756186)</f>
        <v>-0.093469644</v>
      </c>
      <c r="AE196" s="46">
        <f>IFERROR(__xludf.DUMMYFUNCTION("""COMPUTED_VALUE"""),-0.0016558002487857576)</f>
        <v>-0.001655800249</v>
      </c>
    </row>
    <row r="197">
      <c r="A197" s="6" t="str">
        <f>IF(VLOOKUP(H197,'Paste #BBall'!$B$2:$N1001,3,)="BRO","BKN",IF(VLOOKUP(H197,'Paste #BBall'!$B$2:$N1001,3,)="OKL","OKC",VLOOKUP(H197,'Paste #BBall'!$B$2:$N1001,3,)))</f>
        <v>DET</v>
      </c>
      <c r="B197" s="42">
        <f>VLOOKUP($A197,Schedule!$C$2:$G$31,2,0)</f>
        <v>3</v>
      </c>
      <c r="C197" s="42">
        <f>VLOOKUP($A197,Schedule!$C$2:$G$31,3,0)</f>
        <v>4</v>
      </c>
      <c r="D197" s="42">
        <f>VLOOKUP($A197,Schedule!$C$2:$G$31,4,0)</f>
        <v>4</v>
      </c>
      <c r="E197" s="42">
        <f t="shared" si="1"/>
        <v>11</v>
      </c>
      <c r="F197" s="51">
        <v>192.0</v>
      </c>
      <c r="G197" s="45">
        <f>IFERROR(__xludf.DUMMYFUNCTION("""COMPUTED_VALUE"""),210.0)</f>
        <v>210</v>
      </c>
      <c r="H197" s="45" t="str">
        <f>IFERROR(__xludf.DUMMYFUNCTION("""COMPUTED_VALUE"""),"Marvin Bagley III")</f>
        <v>Marvin Bagley III</v>
      </c>
      <c r="I197" s="45">
        <f>IFERROR(__xludf.DUMMYFUNCTION("""COMPUTED_VALUE"""),46.0)</f>
        <v>46</v>
      </c>
      <c r="J197" s="46" t="str">
        <f>IFERROR(__xludf.DUMMYFUNCTION("""COMPUTED_VALUE"""),"PF,C")</f>
        <v>PF,C</v>
      </c>
      <c r="K197" s="46">
        <f>IFERROR(__xludf.DUMMYFUNCTION("""COMPUTED_VALUE"""),-5.5132403975503355)</f>
        <v>-5.513240398</v>
      </c>
      <c r="L197" s="47">
        <f>IFERROR(__xludf.DUMMYFUNCTION("""COMPUTED_VALUE"""),-2.9668672355383867)</f>
        <v>-2.966867236</v>
      </c>
      <c r="M197" s="47">
        <f>IFERROR(__xludf.DUMMYFUNCTION("""COMPUTED_VALUE"""),2.5463731620119487)</f>
        <v>2.546373162</v>
      </c>
      <c r="N197" s="47">
        <f>IFERROR(__xludf.DUMMYFUNCTION("""COMPUTED_VALUE"""),11.3)</f>
        <v>11.3</v>
      </c>
      <c r="O197" s="47">
        <f>IFERROR(__xludf.DUMMYFUNCTION("""COMPUTED_VALUE"""),0.5)</f>
        <v>0.5</v>
      </c>
      <c r="P197" s="47">
        <f>IFERROR(__xludf.DUMMYFUNCTION("""COMPUTED_VALUE"""),6.6)</f>
        <v>6.6</v>
      </c>
      <c r="Q197" s="48">
        <f>IFERROR(__xludf.DUMMYFUNCTION("""COMPUTED_VALUE"""),0.8)</f>
        <v>0.8</v>
      </c>
      <c r="R197" s="47">
        <f>IFERROR(__xludf.DUMMYFUNCTION("""COMPUTED_VALUE"""),0.4)</f>
        <v>0.4</v>
      </c>
      <c r="S197" s="47">
        <f>IFERROR(__xludf.DUMMYFUNCTION("""COMPUTED_VALUE"""),0.5)</f>
        <v>0.5</v>
      </c>
      <c r="T197" s="47">
        <f>IFERROR(__xludf.DUMMYFUNCTION("""COMPUTED_VALUE"""),51.685393258426956)</f>
        <v>51.68539326</v>
      </c>
      <c r="U197" s="47">
        <f>IFERROR(__xludf.DUMMYFUNCTION("""COMPUTED_VALUE"""),76.19047619047619)</f>
        <v>76.19047619</v>
      </c>
      <c r="V197" s="47">
        <f>IFERROR(__xludf.DUMMYFUNCTION("""COMPUTED_VALUE"""),0.9)</f>
        <v>0.9</v>
      </c>
      <c r="W197" s="46">
        <f>IFERROR(__xludf.DUMMYFUNCTION("""COMPUTED_VALUE"""),-1.003855452082619)</f>
        <v>-1.003855452</v>
      </c>
      <c r="X197" s="46">
        <f>IFERROR(__xludf.DUMMYFUNCTION("""COMPUTED_VALUE"""),-0.9925734181391757)</f>
        <v>-0.9925734181</v>
      </c>
      <c r="Y197" s="46">
        <f>IFERROR(__xludf.DUMMYFUNCTION("""COMPUTED_VALUE"""),0.21102823320647643)</f>
        <v>0.2110282332</v>
      </c>
      <c r="Z197" s="46">
        <f>IFERROR(__xludf.DUMMYFUNCTION("""COMPUTED_VALUE"""),-1.5525148979704735)</f>
        <v>-1.552514898</v>
      </c>
      <c r="AA197" s="46">
        <f>IFERROR(__xludf.DUMMYFUNCTION("""COMPUTED_VALUE"""),-1.2966700767544366)</f>
        <v>-1.296670077</v>
      </c>
      <c r="AB197" s="46">
        <f>IFERROR(__xludf.DUMMYFUNCTION("""COMPUTED_VALUE"""),-0.2643825572058105)</f>
        <v>-0.2643825572</v>
      </c>
      <c r="AC197" s="46">
        <f>IFERROR(__xludf.DUMMYFUNCTION("""COMPUTED_VALUE"""),0.1855277770226419)</f>
        <v>0.185527777</v>
      </c>
      <c r="AD197" s="46">
        <f>IFERROR(__xludf.DUMMYFUNCTION("""COMPUTED_VALUE"""),-0.14579474264870684)</f>
        <v>-0.1457947426</v>
      </c>
      <c r="AE197" s="46">
        <f>IFERROR(__xludf.DUMMYFUNCTION("""COMPUTED_VALUE"""),0.33985300106324323)</f>
        <v>0.3398530011</v>
      </c>
    </row>
    <row r="198">
      <c r="A198" s="6" t="str">
        <f>IF(VLOOKUP(H198,'Paste #BBall'!$B$2:$N1001,3,)="BRO","BKN",IF(VLOOKUP(H198,'Paste #BBall'!$B$2:$N1001,3,)="OKL","OKC",VLOOKUP(H198,'Paste #BBall'!$B$2:$N1001,3,)))</f>
        <v>LAC</v>
      </c>
      <c r="B198" s="42">
        <f>VLOOKUP($A198,Schedule!$C$2:$G$31,2,0)</f>
        <v>4</v>
      </c>
      <c r="C198" s="42">
        <f>VLOOKUP($A198,Schedule!$C$2:$G$31,3,0)</f>
        <v>4</v>
      </c>
      <c r="D198" s="42">
        <f>VLOOKUP($A198,Schedule!$C$2:$G$31,4,0)</f>
        <v>3</v>
      </c>
      <c r="E198" s="42">
        <f t="shared" si="1"/>
        <v>11</v>
      </c>
      <c r="F198" s="43">
        <v>193.0</v>
      </c>
      <c r="G198" s="45">
        <f>IFERROR(__xludf.DUMMYFUNCTION("""COMPUTED_VALUE"""),198.0)</f>
        <v>198</v>
      </c>
      <c r="H198" s="45" t="str">
        <f>IFERROR(__xludf.DUMMYFUNCTION("""COMPUTED_VALUE"""),"Terance Mann")</f>
        <v>Terance Mann</v>
      </c>
      <c r="I198" s="45">
        <f>IFERROR(__xludf.DUMMYFUNCTION("""COMPUTED_VALUE"""),80.0)</f>
        <v>80</v>
      </c>
      <c r="J198" s="46" t="str">
        <f>IFERROR(__xludf.DUMMYFUNCTION("""COMPUTED_VALUE"""),"SG,SF")</f>
        <v>SG,SF</v>
      </c>
      <c r="K198" s="46">
        <f>IFERROR(__xludf.DUMMYFUNCTION("""COMPUTED_VALUE"""),-5.078627739070822)</f>
        <v>-5.078627739</v>
      </c>
      <c r="L198" s="47">
        <f>IFERROR(__xludf.DUMMYFUNCTION("""COMPUTED_VALUE"""),-2.9688188551819508)</f>
        <v>-2.968818855</v>
      </c>
      <c r="M198" s="47">
        <f>IFERROR(__xludf.DUMMYFUNCTION("""COMPUTED_VALUE"""),2.1098088838888716)</f>
        <v>2.109808884</v>
      </c>
      <c r="N198" s="47">
        <f>IFERROR(__xludf.DUMMYFUNCTION("""COMPUTED_VALUE"""),10.1)</f>
        <v>10.1</v>
      </c>
      <c r="O198" s="47">
        <f>IFERROR(__xludf.DUMMYFUNCTION("""COMPUTED_VALUE"""),1.1)</f>
        <v>1.1</v>
      </c>
      <c r="P198" s="47">
        <f>IFERROR(__xludf.DUMMYFUNCTION("""COMPUTED_VALUE"""),4.4)</f>
        <v>4.4</v>
      </c>
      <c r="Q198" s="48">
        <f>IFERROR(__xludf.DUMMYFUNCTION("""COMPUTED_VALUE"""),2.5)</f>
        <v>2.5</v>
      </c>
      <c r="R198" s="47">
        <f>IFERROR(__xludf.DUMMYFUNCTION("""COMPUTED_VALUE"""),0.6)</f>
        <v>0.6</v>
      </c>
      <c r="S198" s="47">
        <f>IFERROR(__xludf.DUMMYFUNCTION("""COMPUTED_VALUE"""),0.3)</f>
        <v>0.3</v>
      </c>
      <c r="T198" s="47">
        <f>IFERROR(__xludf.DUMMYFUNCTION("""COMPUTED_VALUE"""),50.0)</f>
        <v>50</v>
      </c>
      <c r="U198" s="47">
        <f>IFERROR(__xludf.DUMMYFUNCTION("""COMPUTED_VALUE"""),77.77777777777777)</f>
        <v>77.77777778</v>
      </c>
      <c r="V198" s="47">
        <f>IFERROR(__xludf.DUMMYFUNCTION("""COMPUTED_VALUE"""),1.0)</f>
        <v>1</v>
      </c>
      <c r="W198" s="46">
        <f>IFERROR(__xludf.DUMMYFUNCTION("""COMPUTED_VALUE"""),-1.2060871044327832)</f>
        <v>-1.206087104</v>
      </c>
      <c r="X198" s="46">
        <f>IFERROR(__xludf.DUMMYFUNCTION("""COMPUTED_VALUE"""),-0.472296145963719)</f>
        <v>-0.472296146</v>
      </c>
      <c r="Y198" s="46">
        <f>IFERROR(__xludf.DUMMYFUNCTION("""COMPUTED_VALUE"""),-0.7089099036249258)</f>
        <v>-0.7089099036</v>
      </c>
      <c r="Z198" s="46">
        <f>IFERROR(__xludf.DUMMYFUNCTION("""COMPUTED_VALUE"""),-0.6854730692747427)</f>
        <v>-0.6854730693</v>
      </c>
      <c r="AA198" s="46">
        <f>IFERROR(__xludf.DUMMYFUNCTION("""COMPUTED_VALUE"""),-0.860570275155411)</f>
        <v>-0.8605702752</v>
      </c>
      <c r="AB198" s="46">
        <f>IFERROR(__xludf.DUMMYFUNCTION("""COMPUTED_VALUE"""),-0.5270142365493308)</f>
        <v>-0.5270142365</v>
      </c>
      <c r="AC198" s="46">
        <f>IFERROR(__xludf.DUMMYFUNCTION("""COMPUTED_VALUE"""),0.03048370472525587)</f>
        <v>0.03048370473</v>
      </c>
      <c r="AD198" s="46">
        <f>IFERROR(__xludf.DUMMYFUNCTION("""COMPUTED_VALUE"""),-0.053845675737591164)</f>
        <v>-0.05384567574</v>
      </c>
      <c r="AE198" s="46">
        <f>IFERROR(__xludf.DUMMYFUNCTION("""COMPUTED_VALUE"""),0.30880674639851335)</f>
        <v>0.3088067464</v>
      </c>
    </row>
    <row r="199">
      <c r="A199" s="6" t="str">
        <f>IF(VLOOKUP(H199,'Paste #BBall'!$B$2:$N1001,3,)="BRO","BKN",IF(VLOOKUP(H199,'Paste #BBall'!$B$2:$N1001,3,)="OKL","OKC",VLOOKUP(H199,'Paste #BBall'!$B$2:$N1001,3,)))</f>
        <v>ORL</v>
      </c>
      <c r="B199" s="42">
        <f>VLOOKUP($A199,Schedule!$C$2:$G$31,2,0)</f>
        <v>4</v>
      </c>
      <c r="C199" s="42">
        <f>VLOOKUP($A199,Schedule!$C$2:$G$31,3,0)</f>
        <v>3</v>
      </c>
      <c r="D199" s="42">
        <f>VLOOKUP($A199,Schedule!$C$2:$G$31,4,0)</f>
        <v>3</v>
      </c>
      <c r="E199" s="42">
        <f t="shared" si="1"/>
        <v>10</v>
      </c>
      <c r="F199" s="51">
        <v>194.0</v>
      </c>
      <c r="G199" s="45">
        <f>IFERROR(__xludf.DUMMYFUNCTION("""COMPUTED_VALUE"""),201.0)</f>
        <v>201</v>
      </c>
      <c r="H199" s="45" t="str">
        <f>IFERROR(__xludf.DUMMYFUNCTION("""COMPUTED_VALUE"""),"Gary Harris")</f>
        <v>Gary Harris</v>
      </c>
      <c r="I199" s="45">
        <f>IFERROR(__xludf.DUMMYFUNCTION("""COMPUTED_VALUE"""),60.0)</f>
        <v>60</v>
      </c>
      <c r="J199" s="46" t="str">
        <f>IFERROR(__xludf.DUMMYFUNCTION("""COMPUTED_VALUE"""),"SG,SF")</f>
        <v>SG,SF</v>
      </c>
      <c r="K199" s="46">
        <f>IFERROR(__xludf.DUMMYFUNCTION("""COMPUTED_VALUE"""),-5.308556597380669)</f>
        <v>-5.308556597</v>
      </c>
      <c r="L199" s="47">
        <f>IFERROR(__xludf.DUMMYFUNCTION("""COMPUTED_VALUE"""),-2.971465568542162)</f>
        <v>-2.971465569</v>
      </c>
      <c r="M199" s="47">
        <f>IFERROR(__xludf.DUMMYFUNCTION("""COMPUTED_VALUE"""),2.3370910288385067)</f>
        <v>2.337091029</v>
      </c>
      <c r="N199" s="47">
        <f>IFERROR(__xludf.DUMMYFUNCTION("""COMPUTED_VALUE"""),9.4)</f>
        <v>9.4</v>
      </c>
      <c r="O199" s="47">
        <f>IFERROR(__xludf.DUMMYFUNCTION("""COMPUTED_VALUE"""),1.8)</f>
        <v>1.8</v>
      </c>
      <c r="P199" s="47">
        <f>IFERROR(__xludf.DUMMYFUNCTION("""COMPUTED_VALUE"""),1.9)</f>
        <v>1.9</v>
      </c>
      <c r="Q199" s="48">
        <f>IFERROR(__xludf.DUMMYFUNCTION("""COMPUTED_VALUE"""),1.5)</f>
        <v>1.5</v>
      </c>
      <c r="R199" s="47">
        <f>IFERROR(__xludf.DUMMYFUNCTION("""COMPUTED_VALUE"""),0.9)</f>
        <v>0.9</v>
      </c>
      <c r="S199" s="47">
        <f>IFERROR(__xludf.DUMMYFUNCTION("""COMPUTED_VALUE"""),0.2)</f>
        <v>0.2</v>
      </c>
      <c r="T199" s="47">
        <f>IFERROR(__xludf.DUMMYFUNCTION("""COMPUTED_VALUE"""),44.0)</f>
        <v>44</v>
      </c>
      <c r="U199" s="47">
        <f>IFERROR(__xludf.DUMMYFUNCTION("""COMPUTED_VALUE"""),90.9090909090909)</f>
        <v>90.90909091</v>
      </c>
      <c r="V199" s="47">
        <f>IFERROR(__xludf.DUMMYFUNCTION("""COMPUTED_VALUE"""),0.8)</f>
        <v>0.8</v>
      </c>
      <c r="W199" s="46">
        <f>IFERROR(__xludf.DUMMYFUNCTION("""COMPUTED_VALUE"""),-1.324055568303712)</f>
        <v>-1.324055568</v>
      </c>
      <c r="X199" s="46">
        <f>IFERROR(__xludf.DUMMYFUNCTION("""COMPUTED_VALUE"""),0.13469400490764694)</f>
        <v>0.1346940049</v>
      </c>
      <c r="Y199" s="46">
        <f>IFERROR(__xludf.DUMMYFUNCTION("""COMPUTED_VALUE"""),-1.7542941500242468)</f>
        <v>-1.75429415</v>
      </c>
      <c r="Z199" s="46">
        <f>IFERROR(__xludf.DUMMYFUNCTION("""COMPUTED_VALUE"""),-1.1954976743898784)</f>
        <v>-1.195497674</v>
      </c>
      <c r="AA199" s="46">
        <f>IFERROR(__xludf.DUMMYFUNCTION("""COMPUTED_VALUE"""),-0.2064205727568726)</f>
        <v>-0.2064205728</v>
      </c>
      <c r="AB199" s="46">
        <f>IFERROR(__xludf.DUMMYFUNCTION("""COMPUTED_VALUE"""),-0.6583300762210907)</f>
        <v>-0.6583300762</v>
      </c>
      <c r="AC199" s="46">
        <f>IFERROR(__xludf.DUMMYFUNCTION("""COMPUTED_VALUE"""),-0.41940665980427616)</f>
        <v>-0.4194066598</v>
      </c>
      <c r="AD199" s="46">
        <f>IFERROR(__xludf.DUMMYFUNCTION("""COMPUTED_VALUE"""),0.32665172229804795)</f>
        <v>0.3266517223</v>
      </c>
      <c r="AE199" s="46">
        <f>IFERROR(__xludf.DUMMYFUNCTION("""COMPUTED_VALUE"""),0.37089925572797316)</f>
        <v>0.3708992557</v>
      </c>
    </row>
    <row r="200">
      <c r="A200" s="6" t="str">
        <f>IF(VLOOKUP(H200,'Paste #BBall'!$B$2:$N1001,3,)="BRO","BKN",IF(VLOOKUP(H200,'Paste #BBall'!$B$2:$N1001,3,)="OKL","OKC",VLOOKUP(H200,'Paste #BBall'!$B$2:$N1001,3,)))</f>
        <v>DAL</v>
      </c>
      <c r="B200" s="42">
        <f>VLOOKUP($A200,Schedule!$C$2:$G$31,2,0)</f>
        <v>3</v>
      </c>
      <c r="C200" s="42">
        <f>VLOOKUP($A200,Schedule!$C$2:$G$31,3,0)</f>
        <v>4</v>
      </c>
      <c r="D200" s="42">
        <f>VLOOKUP($A200,Schedule!$C$2:$G$31,4,0)</f>
        <v>2</v>
      </c>
      <c r="E200" s="42">
        <f t="shared" si="1"/>
        <v>9</v>
      </c>
      <c r="F200" s="51">
        <v>195.0</v>
      </c>
      <c r="G200" s="45">
        <f>IFERROR(__xludf.DUMMYFUNCTION("""COMPUTED_VALUE"""),194.0)</f>
        <v>194</v>
      </c>
      <c r="H200" s="45" t="str">
        <f>IFERROR(__xludf.DUMMYFUNCTION("""COMPUTED_VALUE"""),"Tim Hardaway Jr.")</f>
        <v>Tim Hardaway Jr.</v>
      </c>
      <c r="I200" s="45">
        <f>IFERROR(__xludf.DUMMYFUNCTION("""COMPUTED_VALUE"""),69.0)</f>
        <v>69</v>
      </c>
      <c r="J200" s="46" t="str">
        <f>IFERROR(__xludf.DUMMYFUNCTION("""COMPUTED_VALUE"""),"SG,SF")</f>
        <v>SG,SF</v>
      </c>
      <c r="K200" s="46">
        <f>IFERROR(__xludf.DUMMYFUNCTION("""COMPUTED_VALUE"""),-5.025926645645079)</f>
        <v>-5.025926646</v>
      </c>
      <c r="L200" s="47">
        <f>IFERROR(__xludf.DUMMYFUNCTION("""COMPUTED_VALUE"""),-2.9749976109048406)</f>
        <v>-2.974997611</v>
      </c>
      <c r="M200" s="47">
        <f>IFERROR(__xludf.DUMMYFUNCTION("""COMPUTED_VALUE"""),2.0509290347402382)</f>
        <v>2.050929035</v>
      </c>
      <c r="N200" s="47">
        <f>IFERROR(__xludf.DUMMYFUNCTION("""COMPUTED_VALUE"""),13.2)</f>
        <v>13.2</v>
      </c>
      <c r="O200" s="47">
        <f>IFERROR(__xludf.DUMMYFUNCTION("""COMPUTED_VALUE"""),2.6)</f>
        <v>2.6</v>
      </c>
      <c r="P200" s="47">
        <f>IFERROR(__xludf.DUMMYFUNCTION("""COMPUTED_VALUE"""),3.3)</f>
        <v>3.3</v>
      </c>
      <c r="Q200" s="48">
        <f>IFERROR(__xludf.DUMMYFUNCTION("""COMPUTED_VALUE"""),1.8)</f>
        <v>1.8</v>
      </c>
      <c r="R200" s="47">
        <f>IFERROR(__xludf.DUMMYFUNCTION("""COMPUTED_VALUE"""),0.7)</f>
        <v>0.7</v>
      </c>
      <c r="S200" s="47">
        <f>IFERROR(__xludf.DUMMYFUNCTION("""COMPUTED_VALUE"""),0.2)</f>
        <v>0.2</v>
      </c>
      <c r="T200" s="47">
        <f>IFERROR(__xludf.DUMMYFUNCTION("""COMPUTED_VALUE"""),40.17857142857143)</f>
        <v>40.17857143</v>
      </c>
      <c r="U200" s="47">
        <f>IFERROR(__xludf.DUMMYFUNCTION("""COMPUTED_VALUE"""),77.27272727272727)</f>
        <v>77.27272727</v>
      </c>
      <c r="V200" s="47">
        <f>IFERROR(__xludf.DUMMYFUNCTION("""COMPUTED_VALUE"""),0.8)</f>
        <v>0.8</v>
      </c>
      <c r="W200" s="46">
        <f>IFERROR(__xludf.DUMMYFUNCTION("""COMPUTED_VALUE"""),-0.6836553358615266)</f>
        <v>-0.6836553359</v>
      </c>
      <c r="X200" s="46">
        <f>IFERROR(__xludf.DUMMYFUNCTION("""COMPUTED_VALUE"""),0.8283970344749224)</f>
        <v>0.8283970345</v>
      </c>
      <c r="Y200" s="46">
        <f>IFERROR(__xludf.DUMMYFUNCTION("""COMPUTED_VALUE"""),-1.1688789720406272)</f>
        <v>-1.168878972</v>
      </c>
      <c r="Z200" s="46">
        <f>IFERROR(__xludf.DUMMYFUNCTION("""COMPUTED_VALUE"""),-1.0424902928553377)</f>
        <v>-1.042490293</v>
      </c>
      <c r="AA200" s="46">
        <f>IFERROR(__xludf.DUMMYFUNCTION("""COMPUTED_VALUE"""),-0.6425203743558983)</f>
        <v>-0.6425203744</v>
      </c>
      <c r="AB200" s="46">
        <f>IFERROR(__xludf.DUMMYFUNCTION("""COMPUTED_VALUE"""),-0.6583300762210907)</f>
        <v>-0.6583300762</v>
      </c>
      <c r="AC200" s="46">
        <f>IFERROR(__xludf.DUMMYFUNCTION("""COMPUTED_VALUE"""),-1.0538281778163214)</f>
        <v>-1.053828178</v>
      </c>
      <c r="AD200" s="46">
        <f>IFERROR(__xludf.DUMMYFUNCTION("""COMPUTED_VALUE"""),-0.09346964399756186)</f>
        <v>-0.093469644</v>
      </c>
      <c r="AE200" s="46">
        <f>IFERROR(__xludf.DUMMYFUNCTION("""COMPUTED_VALUE"""),0.37089925572797316)</f>
        <v>0.3708992557</v>
      </c>
    </row>
    <row r="201">
      <c r="A201" s="6" t="str">
        <f>IF(VLOOKUP(H201,'Paste #BBall'!$B$2:$N1001,3,)="BRO","BKN",IF(VLOOKUP(H201,'Paste #BBall'!$B$2:$N1001,3,)="OKL","OKC",VLOOKUP(H201,'Paste #BBall'!$B$2:$N1001,3,)))</f>
        <v>ATL</v>
      </c>
      <c r="B201" s="42">
        <f>VLOOKUP($A201,Schedule!$C$2:$G$31,2,0)</f>
        <v>4</v>
      </c>
      <c r="C201" s="42">
        <f>VLOOKUP($A201,Schedule!$C$2:$G$31,3,0)</f>
        <v>3</v>
      </c>
      <c r="D201" s="42">
        <f>VLOOKUP($A201,Schedule!$C$2:$G$31,4,0)</f>
        <v>3</v>
      </c>
      <c r="E201" s="42">
        <f t="shared" si="1"/>
        <v>10</v>
      </c>
      <c r="F201" s="43">
        <v>196.0</v>
      </c>
      <c r="G201" s="45">
        <f>IFERROR(__xludf.DUMMYFUNCTION("""COMPUTED_VALUE"""),192.0)</f>
        <v>192</v>
      </c>
      <c r="H201" s="45" t="str">
        <f>IFERROR(__xludf.DUMMYFUNCTION("""COMPUTED_VALUE"""),"De'Andre Hunter")</f>
        <v>De'Andre Hunter</v>
      </c>
      <c r="I201" s="45">
        <f>IFERROR(__xludf.DUMMYFUNCTION("""COMPUTED_VALUE"""),68.0)</f>
        <v>68</v>
      </c>
      <c r="J201" s="46" t="str">
        <f>IFERROR(__xludf.DUMMYFUNCTION("""COMPUTED_VALUE"""),"SF,PF")</f>
        <v>SF,PF</v>
      </c>
      <c r="K201" s="46">
        <f>IFERROR(__xludf.DUMMYFUNCTION("""COMPUTED_VALUE"""),-4.956334311633028)</f>
        <v>-4.956334312</v>
      </c>
      <c r="L201" s="47">
        <f>IFERROR(__xludf.DUMMYFUNCTION("""COMPUTED_VALUE"""),-2.9828382809478327)</f>
        <v>-2.982838281</v>
      </c>
      <c r="M201" s="47">
        <f>IFERROR(__xludf.DUMMYFUNCTION("""COMPUTED_VALUE"""),1.9734960306851952)</f>
        <v>1.973496031</v>
      </c>
      <c r="N201" s="47">
        <f>IFERROR(__xludf.DUMMYFUNCTION("""COMPUTED_VALUE"""),14.9)</f>
        <v>14.9</v>
      </c>
      <c r="O201" s="47">
        <f>IFERROR(__xludf.DUMMYFUNCTION("""COMPUTED_VALUE"""),1.5)</f>
        <v>1.5</v>
      </c>
      <c r="P201" s="47">
        <f>IFERROR(__xludf.DUMMYFUNCTION("""COMPUTED_VALUE"""),3.9)</f>
        <v>3.9</v>
      </c>
      <c r="Q201" s="48">
        <f>IFERROR(__xludf.DUMMYFUNCTION("""COMPUTED_VALUE"""),1.4)</f>
        <v>1.4</v>
      </c>
      <c r="R201" s="47">
        <f>IFERROR(__xludf.DUMMYFUNCTION("""COMPUTED_VALUE"""),0.6)</f>
        <v>0.6</v>
      </c>
      <c r="S201" s="47">
        <f>IFERROR(__xludf.DUMMYFUNCTION("""COMPUTED_VALUE"""),0.3)</f>
        <v>0.3</v>
      </c>
      <c r="T201" s="47">
        <f>IFERROR(__xludf.DUMMYFUNCTION("""COMPUTED_VALUE"""),45.0)</f>
        <v>45</v>
      </c>
      <c r="U201" s="47">
        <f>IFERROR(__xludf.DUMMYFUNCTION("""COMPUTED_VALUE"""),81.25)</f>
        <v>81.25</v>
      </c>
      <c r="V201" s="47">
        <f>IFERROR(__xludf.DUMMYFUNCTION("""COMPUTED_VALUE"""),1.3)</f>
        <v>1.3</v>
      </c>
      <c r="W201" s="46">
        <f>IFERROR(__xludf.DUMMYFUNCTION("""COMPUTED_VALUE"""),-0.3971604950321275)</f>
        <v>-0.397160495</v>
      </c>
      <c r="X201" s="46">
        <f>IFERROR(__xludf.DUMMYFUNCTION("""COMPUTED_VALUE"""),-0.12544463118008137)</f>
        <v>-0.1254446312</v>
      </c>
      <c r="Y201" s="46">
        <f>IFERROR(__xludf.DUMMYFUNCTION("""COMPUTED_VALUE"""),-0.9179867529047901)</f>
        <v>-0.9179867529</v>
      </c>
      <c r="Z201" s="46">
        <f>IFERROR(__xludf.DUMMYFUNCTION("""COMPUTED_VALUE"""),-1.246500134901392)</f>
        <v>-1.246500135</v>
      </c>
      <c r="AA201" s="46">
        <f>IFERROR(__xludf.DUMMYFUNCTION("""COMPUTED_VALUE"""),-0.860570275155411)</f>
        <v>-0.8605702752</v>
      </c>
      <c r="AB201" s="46">
        <f>IFERROR(__xludf.DUMMYFUNCTION("""COMPUTED_VALUE"""),-0.5270142365493308)</f>
        <v>-0.5270142365</v>
      </c>
      <c r="AC201" s="46">
        <f>IFERROR(__xludf.DUMMYFUNCTION("""COMPUTED_VALUE"""),-0.5511868521797569)</f>
        <v>-0.5511868522</v>
      </c>
      <c r="AD201" s="46">
        <f>IFERROR(__xludf.DUMMYFUNCTION("""COMPUTED_VALUE"""),0.1808569796493414)</f>
        <v>0.1808569796</v>
      </c>
      <c r="AE201" s="46">
        <f>IFERROR(__xludf.DUMMYFUNCTION("""COMPUTED_VALUE"""),0.2156679824043236)</f>
        <v>0.2156679824</v>
      </c>
    </row>
    <row r="202">
      <c r="A202" s="6" t="str">
        <f>IF(VLOOKUP(H202,'Paste #BBall'!$B$2:$N1001,3,)="BRO","BKN",IF(VLOOKUP(H202,'Paste #BBall'!$B$2:$N1001,3,)="OKL","OKC",VLOOKUP(H202,'Paste #BBall'!$B$2:$N1001,3,)))</f>
        <v>MEM</v>
      </c>
      <c r="B202" s="42">
        <f>VLOOKUP($A202,Schedule!$C$2:$G$31,2,0)</f>
        <v>4</v>
      </c>
      <c r="C202" s="42">
        <f>VLOOKUP($A202,Schedule!$C$2:$G$31,3,0)</f>
        <v>3</v>
      </c>
      <c r="D202" s="42">
        <f>VLOOKUP($A202,Schedule!$C$2:$G$31,4,0)</f>
        <v>3</v>
      </c>
      <c r="E202" s="42">
        <f t="shared" si="1"/>
        <v>10</v>
      </c>
      <c r="F202" s="51">
        <v>197.0</v>
      </c>
      <c r="G202" s="45">
        <f>IFERROR(__xludf.DUMMYFUNCTION("""COMPUTED_VALUE"""),199.0)</f>
        <v>199</v>
      </c>
      <c r="H202" s="45" t="str">
        <f>IFERROR(__xludf.DUMMYFUNCTION("""COMPUTED_VALUE"""),"Brandon Clarke")</f>
        <v>Brandon Clarke</v>
      </c>
      <c r="I202" s="45">
        <f>IFERROR(__xludf.DUMMYFUNCTION("""COMPUTED_VALUE"""),8.0)</f>
        <v>8</v>
      </c>
      <c r="J202" s="46" t="str">
        <f>IFERROR(__xludf.DUMMYFUNCTION("""COMPUTED_VALUE"""),"PF,C")</f>
        <v>PF,C</v>
      </c>
      <c r="K202" s="46">
        <f>IFERROR(__xludf.DUMMYFUNCTION("""COMPUTED_VALUE"""),-5.1320823997383815)</f>
        <v>-5.1320824</v>
      </c>
      <c r="L202" s="47">
        <f>IFERROR(__xludf.DUMMYFUNCTION("""COMPUTED_VALUE"""),-2.994947497139531)</f>
        <v>-2.994947497</v>
      </c>
      <c r="M202" s="47">
        <f>IFERROR(__xludf.DUMMYFUNCTION("""COMPUTED_VALUE"""),2.1371349025988504)</f>
        <v>2.137134903</v>
      </c>
      <c r="N202" s="47">
        <f>IFERROR(__xludf.DUMMYFUNCTION("""COMPUTED_VALUE"""),9.6)</f>
        <v>9.6</v>
      </c>
      <c r="O202" s="47">
        <f>IFERROR(__xludf.DUMMYFUNCTION("""COMPUTED_VALUE"""),0.1)</f>
        <v>0.1</v>
      </c>
      <c r="P202" s="47">
        <f>IFERROR(__xludf.DUMMYFUNCTION("""COMPUTED_VALUE"""),5.1)</f>
        <v>5.1</v>
      </c>
      <c r="Q202" s="48">
        <f>IFERROR(__xludf.DUMMYFUNCTION("""COMPUTED_VALUE"""),1.2)</f>
        <v>1.2</v>
      </c>
      <c r="R202" s="47">
        <f>IFERROR(__xludf.DUMMYFUNCTION("""COMPUTED_VALUE"""),0.6)</f>
        <v>0.6</v>
      </c>
      <c r="S202" s="47">
        <f>IFERROR(__xludf.DUMMYFUNCTION("""COMPUTED_VALUE"""),0.8)</f>
        <v>0.8</v>
      </c>
      <c r="T202" s="47">
        <f>IFERROR(__xludf.DUMMYFUNCTION("""COMPUTED_VALUE"""),66.12903225806451)</f>
        <v>66.12903226</v>
      </c>
      <c r="U202" s="47">
        <f>IFERROR(__xludf.DUMMYFUNCTION("""COMPUTED_VALUE"""),66.66666666666666)</f>
        <v>66.66666667</v>
      </c>
      <c r="V202" s="47">
        <f>IFERROR(__xludf.DUMMYFUNCTION("""COMPUTED_VALUE"""),0.7)</f>
        <v>0.7</v>
      </c>
      <c r="W202" s="46">
        <f>IFERROR(__xludf.DUMMYFUNCTION("""COMPUTED_VALUE"""),-1.2903502929120183)</f>
        <v>-1.290350293</v>
      </c>
      <c r="X202" s="46">
        <f>IFERROR(__xludf.DUMMYFUNCTION("""COMPUTED_VALUE"""),-1.3394249329228134)</f>
        <v>-1.339424933</v>
      </c>
      <c r="Y202" s="46">
        <f>IFERROR(__xludf.DUMMYFUNCTION("""COMPUTED_VALUE"""),-0.4162023146331162)</f>
        <v>-0.4162023146</v>
      </c>
      <c r="Z202" s="46">
        <f>IFERROR(__xludf.DUMMYFUNCTION("""COMPUTED_VALUE"""),-1.3485050559244194)</f>
        <v>-1.348505056</v>
      </c>
      <c r="AA202" s="46">
        <f>IFERROR(__xludf.DUMMYFUNCTION("""COMPUTED_VALUE"""),-0.860570275155411)</f>
        <v>-0.8605702752</v>
      </c>
      <c r="AB202" s="46">
        <f>IFERROR(__xludf.DUMMYFUNCTION("""COMPUTED_VALUE"""),0.12956496180946983)</f>
        <v>0.1295649618</v>
      </c>
      <c r="AC202" s="46">
        <f>IFERROR(__xludf.DUMMYFUNCTION("""COMPUTED_VALUE"""),1.0237333146594683)</f>
        <v>1.023733315</v>
      </c>
      <c r="AD202" s="46">
        <f>IFERROR(__xludf.DUMMYFUNCTION("""COMPUTED_VALUE"""),-0.6436434683778116)</f>
        <v>-0.6436434684</v>
      </c>
      <c r="AE202" s="46">
        <f>IFERROR(__xludf.DUMMYFUNCTION("""COMPUTED_VALUE"""),0.4019455103927031)</f>
        <v>0.4019455104</v>
      </c>
    </row>
    <row r="203">
      <c r="A203" s="6" t="str">
        <f>IF(VLOOKUP(H203,'Paste #BBall'!$B$2:$N1001,3,)="BRO","BKN",IF(VLOOKUP(H203,'Paste #BBall'!$B$2:$N1001,3,)="OKL","OKC",VLOOKUP(H203,'Paste #BBall'!$B$2:$N1001,3,)))</f>
        <v>CHA</v>
      </c>
      <c r="B203" s="42">
        <f>VLOOKUP($A203,Schedule!$C$2:$G$31,2,0)</f>
        <v>3</v>
      </c>
      <c r="C203" s="42">
        <f>VLOOKUP($A203,Schedule!$C$2:$G$31,3,0)</f>
        <v>4</v>
      </c>
      <c r="D203" s="42">
        <f>VLOOKUP($A203,Schedule!$C$2:$G$31,4,0)</f>
        <v>2</v>
      </c>
      <c r="E203" s="42">
        <f t="shared" si="1"/>
        <v>9</v>
      </c>
      <c r="F203" s="51">
        <v>198.0</v>
      </c>
      <c r="G203" s="45">
        <f>IFERROR(__xludf.DUMMYFUNCTION("""COMPUTED_VALUE"""),203.0)</f>
        <v>203</v>
      </c>
      <c r="H203" s="45" t="str">
        <f>IFERROR(__xludf.DUMMYFUNCTION("""COMPUTED_VALUE"""),"Nick Richards")</f>
        <v>Nick Richards</v>
      </c>
      <c r="I203" s="45">
        <f>IFERROR(__xludf.DUMMYFUNCTION("""COMPUTED_VALUE"""),70.0)</f>
        <v>70</v>
      </c>
      <c r="J203" s="46" t="str">
        <f>IFERROR(__xludf.DUMMYFUNCTION("""COMPUTED_VALUE"""),"C")</f>
        <v>C</v>
      </c>
      <c r="K203" s="46">
        <f>IFERROR(__xludf.DUMMYFUNCTION("""COMPUTED_VALUE"""),-5.322726013352122)</f>
        <v>-5.322726013</v>
      </c>
      <c r="L203" s="47">
        <f>IFERROR(__xludf.DUMMYFUNCTION("""COMPUTED_VALUE"""),-3.0272576154602486)</f>
        <v>-3.027257615</v>
      </c>
      <c r="M203" s="47">
        <f>IFERROR(__xludf.DUMMYFUNCTION("""COMPUTED_VALUE"""),2.2954683978918737)</f>
        <v>2.295468398</v>
      </c>
      <c r="N203" s="47">
        <f>IFERROR(__xludf.DUMMYFUNCTION("""COMPUTED_VALUE"""),8.7)</f>
        <v>8.7</v>
      </c>
      <c r="O203" s="47">
        <f>IFERROR(__xludf.DUMMYFUNCTION("""COMPUTED_VALUE"""),0.0)</f>
        <v>0</v>
      </c>
      <c r="P203" s="47">
        <f>IFERROR(__xludf.DUMMYFUNCTION("""COMPUTED_VALUE"""),6.4)</f>
        <v>6.4</v>
      </c>
      <c r="Q203" s="48">
        <f>IFERROR(__xludf.DUMMYFUNCTION("""COMPUTED_VALUE"""),0.7)</f>
        <v>0.7</v>
      </c>
      <c r="R203" s="47">
        <f>IFERROR(__xludf.DUMMYFUNCTION("""COMPUTED_VALUE"""),0.3)</f>
        <v>0.3</v>
      </c>
      <c r="S203" s="47">
        <f>IFERROR(__xludf.DUMMYFUNCTION("""COMPUTED_VALUE"""),1.2)</f>
        <v>1.2</v>
      </c>
      <c r="T203" s="47">
        <f>IFERROR(__xludf.DUMMYFUNCTION("""COMPUTED_VALUE"""),64.70588235294117)</f>
        <v>64.70588235</v>
      </c>
      <c r="U203" s="47">
        <f>IFERROR(__xludf.DUMMYFUNCTION("""COMPUTED_VALUE"""),72.41379310344827)</f>
        <v>72.4137931</v>
      </c>
      <c r="V203" s="47">
        <f>IFERROR(__xludf.DUMMYFUNCTION("""COMPUTED_VALUE"""),1.1)</f>
        <v>1.1</v>
      </c>
      <c r="W203" s="46">
        <f>IFERROR(__xludf.DUMMYFUNCTION("""COMPUTED_VALUE"""),-1.4420240321746411)</f>
        <v>-1.442024032</v>
      </c>
      <c r="X203" s="46">
        <f>IFERROR(__xludf.DUMMYFUNCTION("""COMPUTED_VALUE"""),-1.4261378116187227)</f>
        <v>-1.426137812</v>
      </c>
      <c r="Y203" s="46">
        <f>IFERROR(__xludf.DUMMYFUNCTION("""COMPUTED_VALUE"""),0.12739749349453106)</f>
        <v>0.1273974935</v>
      </c>
      <c r="Z203" s="46">
        <f>IFERROR(__xludf.DUMMYFUNCTION("""COMPUTED_VALUE"""),-1.603517358481987)</f>
        <v>-1.603517358</v>
      </c>
      <c r="AA203" s="46">
        <f>IFERROR(__xludf.DUMMYFUNCTION("""COMPUTED_VALUE"""),-1.5147199775539493)</f>
        <v>-1.514719978</v>
      </c>
      <c r="AB203" s="46">
        <f>IFERROR(__xludf.DUMMYFUNCTION("""COMPUTED_VALUE"""),0.6548283204965102)</f>
        <v>0.6548283205</v>
      </c>
      <c r="AC203" s="46">
        <f>IFERROR(__xludf.DUMMYFUNCTION("""COMPUTED_VALUE"""),0.769604942195439)</f>
        <v>0.7696049422</v>
      </c>
      <c r="AD203" s="46">
        <f>IFERROR(__xludf.DUMMYFUNCTION("""COMPUTED_VALUE"""),-0.4739670420331997)</f>
        <v>-0.473967042</v>
      </c>
      <c r="AE203" s="46">
        <f>IFERROR(__xludf.DUMMYFUNCTION("""COMPUTED_VALUE"""),0.2777604917337834)</f>
        <v>0.2777604917</v>
      </c>
    </row>
    <row r="204">
      <c r="A204" s="6" t="str">
        <f>IF(VLOOKUP(H204,'Paste #BBall'!$B$2:$N1001,3,)="BRO","BKN",IF(VLOOKUP(H204,'Paste #BBall'!$B$2:$N1001,3,)="OKL","OKC",VLOOKUP(H204,'Paste #BBall'!$B$2:$N1001,3,)))</f>
        <v>HOU</v>
      </c>
      <c r="B204" s="42">
        <f>VLOOKUP($A204,Schedule!$C$2:$G$31,2,0)</f>
        <v>4</v>
      </c>
      <c r="C204" s="42">
        <f>VLOOKUP($A204,Schedule!$C$2:$G$31,3,0)</f>
        <v>3</v>
      </c>
      <c r="D204" s="42">
        <f>VLOOKUP($A204,Schedule!$C$2:$G$31,4,0)</f>
        <v>3</v>
      </c>
      <c r="E204" s="42">
        <f t="shared" si="1"/>
        <v>10</v>
      </c>
      <c r="F204" s="43">
        <v>199.0</v>
      </c>
      <c r="G204" s="45">
        <f>IFERROR(__xludf.DUMMYFUNCTION("""COMPUTED_VALUE"""),171.0)</f>
        <v>171</v>
      </c>
      <c r="H204" s="45" t="str">
        <f>IFERROR(__xludf.DUMMYFUNCTION("""COMPUTED_VALUE"""),"Amen Thompson")</f>
        <v>Amen Thompson</v>
      </c>
      <c r="I204" s="45">
        <f>IFERROR(__xludf.DUMMYFUNCTION("""COMPUTED_VALUE"""),70.0)</f>
        <v>70</v>
      </c>
      <c r="J204" s="46" t="str">
        <f>IFERROR(__xludf.DUMMYFUNCTION("""COMPUTED_VALUE"""),"SF")</f>
        <v>SF</v>
      </c>
      <c r="K204" s="46">
        <f>IFERROR(__xludf.DUMMYFUNCTION("""COMPUTED_VALUE"""),-4.441815567539933)</f>
        <v>-4.441815568</v>
      </c>
      <c r="L204" s="47">
        <f>IFERROR(__xludf.DUMMYFUNCTION("""COMPUTED_VALUE"""),-3.0343227175887475)</f>
        <v>-3.034322718</v>
      </c>
      <c r="M204" s="47">
        <f>IFERROR(__xludf.DUMMYFUNCTION("""COMPUTED_VALUE"""),1.4074928499511858)</f>
        <v>1.40749285</v>
      </c>
      <c r="N204" s="47">
        <f>IFERROR(__xludf.DUMMYFUNCTION("""COMPUTED_VALUE"""),12.2)</f>
        <v>12.2</v>
      </c>
      <c r="O204" s="47">
        <f>IFERROR(__xludf.DUMMYFUNCTION("""COMPUTED_VALUE"""),0.5)</f>
        <v>0.5</v>
      </c>
      <c r="P204" s="47">
        <f>IFERROR(__xludf.DUMMYFUNCTION("""COMPUTED_VALUE"""),3.7)</f>
        <v>3.7</v>
      </c>
      <c r="Q204" s="48">
        <f>IFERROR(__xludf.DUMMYFUNCTION("""COMPUTED_VALUE"""),4.4)</f>
        <v>4.4</v>
      </c>
      <c r="R204" s="47">
        <f>IFERROR(__xludf.DUMMYFUNCTION("""COMPUTED_VALUE"""),1.1)</f>
        <v>1.1</v>
      </c>
      <c r="S204" s="47">
        <f>IFERROR(__xludf.DUMMYFUNCTION("""COMPUTED_VALUE"""),0.5)</f>
        <v>0.5</v>
      </c>
      <c r="T204" s="47">
        <f>IFERROR(__xludf.DUMMYFUNCTION("""COMPUTED_VALUE"""),45.0)</f>
        <v>45</v>
      </c>
      <c r="U204" s="47">
        <f>IFERROR(__xludf.DUMMYFUNCTION("""COMPUTED_VALUE"""),69.23076923076924)</f>
        <v>69.23076923</v>
      </c>
      <c r="V204" s="47">
        <f>IFERROR(__xludf.DUMMYFUNCTION("""COMPUTED_VALUE"""),2.1)</f>
        <v>2.1</v>
      </c>
      <c r="W204" s="46">
        <f>IFERROR(__xludf.DUMMYFUNCTION("""COMPUTED_VALUE"""),-0.8521817128199964)</f>
        <v>-0.8521817128</v>
      </c>
      <c r="X204" s="46">
        <f>IFERROR(__xludf.DUMMYFUNCTION("""COMPUTED_VALUE"""),-0.9925734181391757)</f>
        <v>-0.9925734181</v>
      </c>
      <c r="Y204" s="46">
        <f>IFERROR(__xludf.DUMMYFUNCTION("""COMPUTED_VALUE"""),-1.0016174926167358)</f>
        <v>-1.001617493</v>
      </c>
      <c r="Z204" s="46">
        <f>IFERROR(__xludf.DUMMYFUNCTION("""COMPUTED_VALUE"""),0.28357368044401526)</f>
        <v>0.2835736804</v>
      </c>
      <c r="AA204" s="46">
        <f>IFERROR(__xludf.DUMMYFUNCTION("""COMPUTED_VALUE"""),0.22967922884215308)</f>
        <v>0.2296792288</v>
      </c>
      <c r="AB204" s="46">
        <f>IFERROR(__xludf.DUMMYFUNCTION("""COMPUTED_VALUE"""),-0.2643825572058105)</f>
        <v>-0.2643825572</v>
      </c>
      <c r="AC204" s="46">
        <f>IFERROR(__xludf.DUMMYFUNCTION("""COMPUTED_VALUE"""),-0.45932237681646404)</f>
        <v>-0.4593223768</v>
      </c>
      <c r="AD204" s="46">
        <f>IFERROR(__xludf.DUMMYFUNCTION("""COMPUTED_VALUE"""),-0.9464135069799536)</f>
        <v>-0.946413507</v>
      </c>
      <c r="AE204" s="46">
        <f>IFERROR(__xludf.DUMMYFUNCTION("""COMPUTED_VALUE"""),-0.032702054913515695)</f>
        <v>-0.03270205491</v>
      </c>
    </row>
    <row r="205">
      <c r="A205" s="6" t="str">
        <f>IF(VLOOKUP(H205,'Paste #BBall'!$B$2:$N1001,3,)="BRO","BKN",IF(VLOOKUP(H205,'Paste #BBall'!$B$2:$N1001,3,)="OKL","OKC",VLOOKUP(H205,'Paste #BBall'!$B$2:$N1001,3,)))</f>
        <v>CHI</v>
      </c>
      <c r="B205" s="42">
        <f>VLOOKUP($A205,Schedule!$C$2:$G$31,2,0)</f>
        <v>4</v>
      </c>
      <c r="C205" s="42">
        <f>VLOOKUP($A205,Schedule!$C$2:$G$31,3,0)</f>
        <v>4</v>
      </c>
      <c r="D205" s="42">
        <f>VLOOKUP($A205,Schedule!$C$2:$G$31,4,0)</f>
        <v>3</v>
      </c>
      <c r="E205" s="42">
        <f t="shared" si="1"/>
        <v>11</v>
      </c>
      <c r="F205" s="51">
        <v>200.0</v>
      </c>
      <c r="G205" s="45">
        <f>IFERROR(__xludf.DUMMYFUNCTION("""COMPUTED_VALUE"""),195.0)</f>
        <v>195</v>
      </c>
      <c r="H205" s="45" t="str">
        <f>IFERROR(__xludf.DUMMYFUNCTION("""COMPUTED_VALUE"""),"Ayo Dosunmu")</f>
        <v>Ayo Dosunmu</v>
      </c>
      <c r="I205" s="45">
        <f>IFERROR(__xludf.DUMMYFUNCTION("""COMPUTED_VALUE"""),76.0)</f>
        <v>76</v>
      </c>
      <c r="J205" s="46" t="str">
        <f>IFERROR(__xludf.DUMMYFUNCTION("""COMPUTED_VALUE"""),"SG")</f>
        <v>SG</v>
      </c>
      <c r="K205" s="46">
        <f>IFERROR(__xludf.DUMMYFUNCTION("""COMPUTED_VALUE"""),-5.050694115420449)</f>
        <v>-5.050694115</v>
      </c>
      <c r="L205" s="47">
        <f>IFERROR(__xludf.DUMMYFUNCTION("""COMPUTED_VALUE"""),-3.0387455994718495)</f>
        <v>-3.038745599</v>
      </c>
      <c r="M205" s="47">
        <f>IFERROR(__xludf.DUMMYFUNCTION("""COMPUTED_VALUE"""),2.0119485159485997)</f>
        <v>2.011948516</v>
      </c>
      <c r="N205" s="47">
        <f>IFERROR(__xludf.DUMMYFUNCTION("""COMPUTED_VALUE"""),8.8)</f>
        <v>8.8</v>
      </c>
      <c r="O205" s="47">
        <f>IFERROR(__xludf.DUMMYFUNCTION("""COMPUTED_VALUE"""),0.8)</f>
        <v>0.8</v>
      </c>
      <c r="P205" s="47">
        <f>IFERROR(__xludf.DUMMYFUNCTION("""COMPUTED_VALUE"""),2.8)</f>
        <v>2.8</v>
      </c>
      <c r="Q205" s="48">
        <f>IFERROR(__xludf.DUMMYFUNCTION("""COMPUTED_VALUE"""),3.0)</f>
        <v>3</v>
      </c>
      <c r="R205" s="47">
        <f>IFERROR(__xludf.DUMMYFUNCTION("""COMPUTED_VALUE"""),0.8)</f>
        <v>0.8</v>
      </c>
      <c r="S205" s="47">
        <f>IFERROR(__xludf.DUMMYFUNCTION("""COMPUTED_VALUE"""),0.4)</f>
        <v>0.4</v>
      </c>
      <c r="T205" s="47">
        <f>IFERROR(__xludf.DUMMYFUNCTION("""COMPUTED_VALUE"""),50.0)</f>
        <v>50</v>
      </c>
      <c r="U205" s="47">
        <f>IFERROR(__xludf.DUMMYFUNCTION("""COMPUTED_VALUE"""),81.81818181818181)</f>
        <v>81.81818182</v>
      </c>
      <c r="V205" s="47">
        <f>IFERROR(__xludf.DUMMYFUNCTION("""COMPUTED_VALUE"""),1.3)</f>
        <v>1.3</v>
      </c>
      <c r="W205" s="46">
        <f>IFERROR(__xludf.DUMMYFUNCTION("""COMPUTED_VALUE"""),-1.425171394478794)</f>
        <v>-1.425171394</v>
      </c>
      <c r="X205" s="46">
        <f>IFERROR(__xludf.DUMMYFUNCTION("""COMPUTED_VALUE"""),-0.7324347820514473)</f>
        <v>-0.7324347821</v>
      </c>
      <c r="Y205" s="46">
        <f>IFERROR(__xludf.DUMMYFUNCTION("""COMPUTED_VALUE"""),-1.3779558213204914)</f>
        <v>-1.377955821</v>
      </c>
      <c r="Z205" s="46">
        <f>IFERROR(__xludf.DUMMYFUNCTION("""COMPUTED_VALUE"""),-0.4304607667171749)</f>
        <v>-0.4304607667</v>
      </c>
      <c r="AA205" s="46">
        <f>IFERROR(__xludf.DUMMYFUNCTION("""COMPUTED_VALUE"""),-0.42447047355638534)</f>
        <v>-0.4244704736</v>
      </c>
      <c r="AB205" s="46">
        <f>IFERROR(__xludf.DUMMYFUNCTION("""COMPUTED_VALUE"""),-0.39569839687757064)</f>
        <v>-0.3956983969</v>
      </c>
      <c r="AC205" s="46">
        <f>IFERROR(__xludf.DUMMYFUNCTION("""COMPUTED_VALUE"""),0.0288792992134003)</f>
        <v>0.02887929921</v>
      </c>
      <c r="AD205" s="46">
        <f>IFERROR(__xludf.DUMMYFUNCTION("""COMPUTED_VALUE"""),0.07772735943349546)</f>
        <v>0.07772735943</v>
      </c>
      <c r="AE205" s="46">
        <f>IFERROR(__xludf.DUMMYFUNCTION("""COMPUTED_VALUE"""),0.2156679824043236)</f>
        <v>0.2156679824</v>
      </c>
    </row>
    <row r="206">
      <c r="A206" s="6" t="str">
        <f>IF(VLOOKUP(H206,'Paste #BBall'!$B$2:$N1001,3,)="BRO","BKN",IF(VLOOKUP(H206,'Paste #BBall'!$B$2:$N1001,3,)="OKL","OKC",VLOOKUP(H206,'Paste #BBall'!$B$2:$N1001,3,)))</f>
        <v>LAC</v>
      </c>
      <c r="B206" s="42">
        <f>VLOOKUP($A206,Schedule!$C$2:$G$31,2,0)</f>
        <v>4</v>
      </c>
      <c r="C206" s="42">
        <f>VLOOKUP($A206,Schedule!$C$2:$G$31,3,0)</f>
        <v>4</v>
      </c>
      <c r="D206" s="42">
        <f>VLOOKUP($A206,Schedule!$C$2:$G$31,4,0)</f>
        <v>3</v>
      </c>
      <c r="E206" s="42">
        <f t="shared" si="1"/>
        <v>11</v>
      </c>
      <c r="F206" s="51"/>
      <c r="G206" s="45">
        <f>IFERROR(__xludf.DUMMYFUNCTION("""COMPUTED_VALUE"""),204.0)</f>
        <v>204</v>
      </c>
      <c r="H206" s="45" t="str">
        <f>IFERROR(__xludf.DUMMYFUNCTION("""COMPUTED_VALUE"""),"Bones Hyland")</f>
        <v>Bones Hyland</v>
      </c>
      <c r="I206" s="45">
        <f>IFERROR(__xludf.DUMMYFUNCTION("""COMPUTED_VALUE"""),67.0)</f>
        <v>67</v>
      </c>
      <c r="J206" s="46" t="str">
        <f>IFERROR(__xludf.DUMMYFUNCTION("""COMPUTED_VALUE"""),"PG,SG")</f>
        <v>PG,SG</v>
      </c>
      <c r="K206" s="46">
        <f>IFERROR(__xludf.DUMMYFUNCTION("""COMPUTED_VALUE"""),-5.359066511451706)</f>
        <v>-5.359066511</v>
      </c>
      <c r="L206" s="47">
        <f>IFERROR(__xludf.DUMMYFUNCTION("""COMPUTED_VALUE"""),-3.1180319876467664)</f>
        <v>-3.118031988</v>
      </c>
      <c r="M206" s="47">
        <f>IFERROR(__xludf.DUMMYFUNCTION("""COMPUTED_VALUE"""),2.24103452380494)</f>
        <v>2.241034524</v>
      </c>
      <c r="N206" s="47">
        <f>IFERROR(__xludf.DUMMYFUNCTION("""COMPUTED_VALUE"""),10.7)</f>
        <v>10.7</v>
      </c>
      <c r="O206" s="47">
        <f>IFERROR(__xludf.DUMMYFUNCTION("""COMPUTED_VALUE"""),2.0)</f>
        <v>2</v>
      </c>
      <c r="P206" s="47">
        <f>IFERROR(__xludf.DUMMYFUNCTION("""COMPUTED_VALUE"""),2.6)</f>
        <v>2.6</v>
      </c>
      <c r="Q206" s="48">
        <f>IFERROR(__xludf.DUMMYFUNCTION("""COMPUTED_VALUE"""),2.9)</f>
        <v>2.9</v>
      </c>
      <c r="R206" s="47">
        <f>IFERROR(__xludf.DUMMYFUNCTION("""COMPUTED_VALUE"""),0.6)</f>
        <v>0.6</v>
      </c>
      <c r="S206" s="47">
        <f>IFERROR(__xludf.DUMMYFUNCTION("""COMPUTED_VALUE"""),0.3)</f>
        <v>0.3</v>
      </c>
      <c r="T206" s="47">
        <f>IFERROR(__xludf.DUMMYFUNCTION("""COMPUTED_VALUE"""),40.0)</f>
        <v>40</v>
      </c>
      <c r="U206" s="47">
        <f>IFERROR(__xludf.DUMMYFUNCTION("""COMPUTED_VALUE"""),83.33333333333333)</f>
        <v>83.33333333</v>
      </c>
      <c r="V206" s="47">
        <f>IFERROR(__xludf.DUMMYFUNCTION("""COMPUTED_VALUE"""),1.3)</f>
        <v>1.3</v>
      </c>
      <c r="W206" s="46">
        <f>IFERROR(__xludf.DUMMYFUNCTION("""COMPUTED_VALUE"""),-1.1049712782577013)</f>
        <v>-1.104971278</v>
      </c>
      <c r="X206" s="46">
        <f>IFERROR(__xludf.DUMMYFUNCTION("""COMPUTED_VALUE"""),0.30811976229946575)</f>
        <v>0.3081197623</v>
      </c>
      <c r="Y206" s="46">
        <f>IFERROR(__xludf.DUMMYFUNCTION("""COMPUTED_VALUE"""),-1.461586561032437)</f>
        <v>-1.461586561</v>
      </c>
      <c r="Z206" s="46">
        <f>IFERROR(__xludf.DUMMYFUNCTION("""COMPUTED_VALUE"""),-0.48146322722868856)</f>
        <v>-0.4814632272</v>
      </c>
      <c r="AA206" s="46">
        <f>IFERROR(__xludf.DUMMYFUNCTION("""COMPUTED_VALUE"""),-0.860570275155411)</f>
        <v>-0.8605702752</v>
      </c>
      <c r="AB206" s="46">
        <f>IFERROR(__xludf.DUMMYFUNCTION("""COMPUTED_VALUE"""),-0.5270142365493308)</f>
        <v>-0.5270142365</v>
      </c>
      <c r="AC206" s="46">
        <f>IFERROR(__xludf.DUMMYFUNCTION("""COMPUTED_VALUE"""),-0.8628794022863856)</f>
        <v>-0.8628794023</v>
      </c>
      <c r="AD206" s="46">
        <f>IFERROR(__xludf.DUMMYFUNCTION("""COMPUTED_VALUE"""),0.19507868712696136)</f>
        <v>0.1950786871</v>
      </c>
      <c r="AE206" s="46">
        <f>IFERROR(__xludf.DUMMYFUNCTION("""COMPUTED_VALUE"""),0.2156679824043236)</f>
        <v>0.2156679824</v>
      </c>
    </row>
    <row r="207">
      <c r="A207" s="6" t="str">
        <f>IF(VLOOKUP(H207,'Paste #BBall'!$B$2:$N1001,3,)="BRO","BKN",IF(VLOOKUP(H207,'Paste #BBall'!$B$2:$N1001,3,)="OKL","OKC",VLOOKUP(H207,'Paste #BBall'!$B$2:$N1001,3,)))</f>
        <v>MEM</v>
      </c>
      <c r="B207" s="42">
        <f>VLOOKUP($A207,Schedule!$C$2:$G$31,2,0)</f>
        <v>4</v>
      </c>
      <c r="C207" s="42">
        <f>VLOOKUP($A207,Schedule!$C$2:$G$31,3,0)</f>
        <v>3</v>
      </c>
      <c r="D207" s="42">
        <f>VLOOKUP($A207,Schedule!$C$2:$G$31,4,0)</f>
        <v>3</v>
      </c>
      <c r="E207" s="42">
        <f t="shared" si="1"/>
        <v>10</v>
      </c>
      <c r="F207" s="6">
        <v>201.0</v>
      </c>
      <c r="G207" s="45">
        <f>IFERROR(__xludf.DUMMYFUNCTION("""COMPUTED_VALUE"""),200.0)</f>
        <v>200</v>
      </c>
      <c r="H207" s="45" t="str">
        <f>IFERROR(__xludf.DUMMYFUNCTION("""COMPUTED_VALUE"""),"Santi Aldama")</f>
        <v>Santi Aldama</v>
      </c>
      <c r="I207" s="45">
        <f>IFERROR(__xludf.DUMMYFUNCTION("""COMPUTED_VALUE"""),75.0)</f>
        <v>75</v>
      </c>
      <c r="J207" s="46" t="str">
        <f>IFERROR(__xludf.DUMMYFUNCTION("""COMPUTED_VALUE"""),"PF,C")</f>
        <v>PF,C</v>
      </c>
      <c r="K207" s="46">
        <f>IFERROR(__xludf.DUMMYFUNCTION("""COMPUTED_VALUE"""),-5.1741048713336015)</f>
        <v>-5.174104871</v>
      </c>
      <c r="L207" s="47">
        <f>IFERROR(__xludf.DUMMYFUNCTION("""COMPUTED_VALUE"""),-3.13329137577827)</f>
        <v>-3.133291376</v>
      </c>
      <c r="M207" s="47">
        <f>IFERROR(__xludf.DUMMYFUNCTION("""COMPUTED_VALUE"""),2.0408134955553314)</f>
        <v>2.040813496</v>
      </c>
      <c r="N207" s="47">
        <f>IFERROR(__xludf.DUMMYFUNCTION("""COMPUTED_VALUE"""),9.5)</f>
        <v>9.5</v>
      </c>
      <c r="O207" s="47">
        <f>IFERROR(__xludf.DUMMYFUNCTION("""COMPUTED_VALUE"""),1.1)</f>
        <v>1.1</v>
      </c>
      <c r="P207" s="47">
        <f>IFERROR(__xludf.DUMMYFUNCTION("""COMPUTED_VALUE"""),5.2)</f>
        <v>5.2</v>
      </c>
      <c r="Q207" s="48">
        <f>IFERROR(__xludf.DUMMYFUNCTION("""COMPUTED_VALUE"""),1.4)</f>
        <v>1.4</v>
      </c>
      <c r="R207" s="47">
        <f>IFERROR(__xludf.DUMMYFUNCTION("""COMPUTED_VALUE"""),0.6)</f>
        <v>0.6</v>
      </c>
      <c r="S207" s="47">
        <f>IFERROR(__xludf.DUMMYFUNCTION("""COMPUTED_VALUE"""),0.7)</f>
        <v>0.7</v>
      </c>
      <c r="T207" s="47">
        <f>IFERROR(__xludf.DUMMYFUNCTION("""COMPUTED_VALUE"""),45.33333333333333)</f>
        <v>45.33333333</v>
      </c>
      <c r="U207" s="47">
        <f>IFERROR(__xludf.DUMMYFUNCTION("""COMPUTED_VALUE"""),75.0)</f>
        <v>75</v>
      </c>
      <c r="V207" s="47">
        <f>IFERROR(__xludf.DUMMYFUNCTION("""COMPUTED_VALUE"""),0.9)</f>
        <v>0.9</v>
      </c>
      <c r="W207" s="46">
        <f>IFERROR(__xludf.DUMMYFUNCTION("""COMPUTED_VALUE"""),-1.3072029306078652)</f>
        <v>-1.307202931</v>
      </c>
      <c r="X207" s="46">
        <f>IFERROR(__xludf.DUMMYFUNCTION("""COMPUTED_VALUE"""),-0.472296145963719)</f>
        <v>-0.472296146</v>
      </c>
      <c r="Y207" s="46">
        <f>IFERROR(__xludf.DUMMYFUNCTION("""COMPUTED_VALUE"""),-0.3743869447771431)</f>
        <v>-0.3743869448</v>
      </c>
      <c r="Z207" s="46">
        <f>IFERROR(__xludf.DUMMYFUNCTION("""COMPUTED_VALUE"""),-1.246500134901392)</f>
        <v>-1.246500135</v>
      </c>
      <c r="AA207" s="46">
        <f>IFERROR(__xludf.DUMMYFUNCTION("""COMPUTED_VALUE"""),-0.860570275155411)</f>
        <v>-0.8605702752</v>
      </c>
      <c r="AB207" s="46">
        <f>IFERROR(__xludf.DUMMYFUNCTION("""COMPUTED_VALUE"""),-0.0017508778622903794)</f>
        <v>-0.001750877862</v>
      </c>
      <c r="AC207" s="46">
        <f>IFERROR(__xludf.DUMMYFUNCTION("""COMPUTED_VALUE"""),-0.31952015688170565)</f>
        <v>-0.3195201569</v>
      </c>
      <c r="AD207" s="46">
        <f>IFERROR(__xludf.DUMMYFUNCTION("""COMPUTED_VALUE"""),-0.1981198412998521)</f>
        <v>-0.1981198413</v>
      </c>
      <c r="AE207" s="46">
        <f>IFERROR(__xludf.DUMMYFUNCTION("""COMPUTED_VALUE"""),0.33985300106324323)</f>
        <v>0.3398530011</v>
      </c>
    </row>
    <row r="208">
      <c r="A208" s="6" t="str">
        <f>IF(VLOOKUP(H208,'Paste #BBall'!$B$2:$N1001,3,)="BRO","BKN",IF(VLOOKUP(H208,'Paste #BBall'!$B$2:$N1001,3,)="OKL","OKC",VLOOKUP(H208,'Paste #BBall'!$B$2:$N1001,3,)))</f>
        <v>OKC</v>
      </c>
      <c r="B208" s="42">
        <f>VLOOKUP($A208,Schedule!$C$2:$G$31,2,0)</f>
        <v>4</v>
      </c>
      <c r="C208" s="42">
        <f>VLOOKUP($A208,Schedule!$C$2:$G$31,3,0)</f>
        <v>3</v>
      </c>
      <c r="D208" s="42">
        <f>VLOOKUP($A208,Schedule!$C$2:$G$31,4,0)</f>
        <v>3</v>
      </c>
      <c r="E208" s="42">
        <f t="shared" si="1"/>
        <v>10</v>
      </c>
      <c r="F208" s="6">
        <v>202.0</v>
      </c>
      <c r="G208" s="45">
        <f>IFERROR(__xludf.DUMMYFUNCTION("""COMPUTED_VALUE"""),214.0)</f>
        <v>214</v>
      </c>
      <c r="H208" s="45" t="str">
        <f>IFERROR(__xludf.DUMMYFUNCTION("""COMPUTED_VALUE"""),"Kenrich Williams")</f>
        <v>Kenrich Williams</v>
      </c>
      <c r="I208" s="45">
        <f>IFERROR(__xludf.DUMMYFUNCTION("""COMPUTED_VALUE"""),50.0)</f>
        <v>50</v>
      </c>
      <c r="J208" s="46" t="str">
        <f>IFERROR(__xludf.DUMMYFUNCTION("""COMPUTED_VALUE"""),"SF,PF")</f>
        <v>SF,PF</v>
      </c>
      <c r="K208" s="46">
        <f>IFERROR(__xludf.DUMMYFUNCTION("""COMPUTED_VALUE"""),-5.621097768710472)</f>
        <v>-5.621097769</v>
      </c>
      <c r="L208" s="47">
        <f>IFERROR(__xludf.DUMMYFUNCTION("""COMPUTED_VALUE"""),-3.161163227474865)</f>
        <v>-3.161163227</v>
      </c>
      <c r="M208" s="47">
        <f>IFERROR(__xludf.DUMMYFUNCTION("""COMPUTED_VALUE"""),2.459934541235607)</f>
        <v>2.459934541</v>
      </c>
      <c r="N208" s="47">
        <f>IFERROR(__xludf.DUMMYFUNCTION("""COMPUTED_VALUE"""),7.8)</f>
        <v>7.8</v>
      </c>
      <c r="O208" s="47">
        <f>IFERROR(__xludf.DUMMYFUNCTION("""COMPUTED_VALUE"""),0.9)</f>
        <v>0.9</v>
      </c>
      <c r="P208" s="47">
        <f>IFERROR(__xludf.DUMMYFUNCTION("""COMPUTED_VALUE"""),4.7)</f>
        <v>4.7</v>
      </c>
      <c r="Q208" s="48">
        <f>IFERROR(__xludf.DUMMYFUNCTION("""COMPUTED_VALUE"""),2.1)</f>
        <v>2.1</v>
      </c>
      <c r="R208" s="47">
        <f>IFERROR(__xludf.DUMMYFUNCTION("""COMPUTED_VALUE"""),0.9)</f>
        <v>0.9</v>
      </c>
      <c r="S208" s="47">
        <f>IFERROR(__xludf.DUMMYFUNCTION("""COMPUTED_VALUE"""),0.2)</f>
        <v>0.2</v>
      </c>
      <c r="T208" s="47">
        <f>IFERROR(__xludf.DUMMYFUNCTION("""COMPUTED_VALUE"""),49.23076923076923)</f>
        <v>49.23076923</v>
      </c>
      <c r="U208" s="47">
        <f>IFERROR(__xludf.DUMMYFUNCTION("""COMPUTED_VALUE"""),55.55555555555556)</f>
        <v>55.55555556</v>
      </c>
      <c r="V208" s="47">
        <f>IFERROR(__xludf.DUMMYFUNCTION("""COMPUTED_VALUE"""),0.8)</f>
        <v>0.8</v>
      </c>
      <c r="W208" s="46">
        <f>IFERROR(__xludf.DUMMYFUNCTION("""COMPUTED_VALUE"""),-1.5936977714372638)</f>
        <v>-1.593697771</v>
      </c>
      <c r="X208" s="46">
        <f>IFERROR(__xludf.DUMMYFUNCTION("""COMPUTED_VALUE"""),-0.6457219033555379)</f>
        <v>-0.6457219034</v>
      </c>
      <c r="Y208" s="46">
        <f>IFERROR(__xludf.DUMMYFUNCTION("""COMPUTED_VALUE"""),-0.5834637940570073)</f>
        <v>-0.5834637941</v>
      </c>
      <c r="Z208" s="46">
        <f>IFERROR(__xludf.DUMMYFUNCTION("""COMPUTED_VALUE"""),-0.8894829113207969)</f>
        <v>-0.8894829113</v>
      </c>
      <c r="AA208" s="46">
        <f>IFERROR(__xludf.DUMMYFUNCTION("""COMPUTED_VALUE"""),-0.2064205727568726)</f>
        <v>-0.2064205728</v>
      </c>
      <c r="AB208" s="46">
        <f>IFERROR(__xludf.DUMMYFUNCTION("""COMPUTED_VALUE"""),-0.6583300762210907)</f>
        <v>-0.6583300762</v>
      </c>
      <c r="AC208" s="46">
        <f>IFERROR(__xludf.DUMMYFUNCTION("""COMPUTED_VALUE"""),-0.02387166189363212)</f>
        <v>-0.02387166189</v>
      </c>
      <c r="AD208" s="46">
        <f>IFERROR(__xludf.DUMMYFUNCTION("""COMPUTED_VALUE"""),-0.5247715635979)</f>
        <v>-0.5247715636</v>
      </c>
      <c r="AE208" s="46">
        <f>IFERROR(__xludf.DUMMYFUNCTION("""COMPUTED_VALUE"""),0.37089925572797316)</f>
        <v>0.3708992557</v>
      </c>
    </row>
    <row r="209">
      <c r="A209" s="6" t="str">
        <f>IF(VLOOKUP(H209,'Paste #BBall'!$B$2:$N1001,3,)="BRO","BKN",IF(VLOOKUP(H209,'Paste #BBall'!$B$2:$N1001,3,)="OKL","OKC",VLOOKUP(H209,'Paste #BBall'!$B$2:$N1001,3,)))</f>
        <v>ORL</v>
      </c>
      <c r="B209" s="42">
        <f>VLOOKUP($A209,Schedule!$C$2:$G$31,2,0)</f>
        <v>4</v>
      </c>
      <c r="C209" s="42">
        <f>VLOOKUP($A209,Schedule!$C$2:$G$31,3,0)</f>
        <v>3</v>
      </c>
      <c r="D209" s="42">
        <f>VLOOKUP($A209,Schedule!$C$2:$G$31,4,0)</f>
        <v>3</v>
      </c>
      <c r="E209" s="42">
        <f t="shared" si="1"/>
        <v>10</v>
      </c>
      <c r="F209" s="6">
        <v>203.0</v>
      </c>
      <c r="G209" s="45">
        <f>IFERROR(__xludf.DUMMYFUNCTION("""COMPUTED_VALUE"""),173.0)</f>
        <v>173</v>
      </c>
      <c r="H209" s="45" t="str">
        <f>IFERROR(__xludf.DUMMYFUNCTION("""COMPUTED_VALUE"""),"Jalen Suggs")</f>
        <v>Jalen Suggs</v>
      </c>
      <c r="I209" s="45">
        <f>IFERROR(__xludf.DUMMYFUNCTION("""COMPUTED_VALUE"""),56.0)</f>
        <v>56</v>
      </c>
      <c r="J209" s="46" t="str">
        <f>IFERROR(__xludf.DUMMYFUNCTION("""COMPUTED_VALUE"""),"PG,SG")</f>
        <v>PG,SG</v>
      </c>
      <c r="K209" s="46">
        <f>IFERROR(__xludf.DUMMYFUNCTION("""COMPUTED_VALUE"""),-4.548418525061675)</f>
        <v>-4.548418525</v>
      </c>
      <c r="L209" s="47">
        <f>IFERROR(__xludf.DUMMYFUNCTION("""COMPUTED_VALUE"""),-3.162131633943314)</f>
        <v>-3.162131634</v>
      </c>
      <c r="M209" s="47">
        <f>IFERROR(__xludf.DUMMYFUNCTION("""COMPUTED_VALUE"""),1.386286891118361)</f>
        <v>1.386286891</v>
      </c>
      <c r="N209" s="47">
        <f>IFERROR(__xludf.DUMMYFUNCTION("""COMPUTED_VALUE"""),10.3)</f>
        <v>10.3</v>
      </c>
      <c r="O209" s="47">
        <f>IFERROR(__xludf.DUMMYFUNCTION("""COMPUTED_VALUE"""),1.0)</f>
        <v>1</v>
      </c>
      <c r="P209" s="47">
        <f>IFERROR(__xludf.DUMMYFUNCTION("""COMPUTED_VALUE"""),3.1)</f>
        <v>3.1</v>
      </c>
      <c r="Q209" s="48">
        <f>IFERROR(__xludf.DUMMYFUNCTION("""COMPUTED_VALUE"""),3.4)</f>
        <v>3.4</v>
      </c>
      <c r="R209" s="47">
        <f>IFERROR(__xludf.DUMMYFUNCTION("""COMPUTED_VALUE"""),1.2)</f>
        <v>1.2</v>
      </c>
      <c r="S209" s="47">
        <f>IFERROR(__xludf.DUMMYFUNCTION("""COMPUTED_VALUE"""),0.4)</f>
        <v>0.4</v>
      </c>
      <c r="T209" s="47">
        <f>IFERROR(__xludf.DUMMYFUNCTION("""COMPUTED_VALUE"""),40.0)</f>
        <v>40</v>
      </c>
      <c r="U209" s="47">
        <f>IFERROR(__xludf.DUMMYFUNCTION("""COMPUTED_VALUE"""),74.07407407407408)</f>
        <v>74.07407407</v>
      </c>
      <c r="V209" s="47">
        <f>IFERROR(__xludf.DUMMYFUNCTION("""COMPUTED_VALUE"""),2.2)</f>
        <v>2.2</v>
      </c>
      <c r="W209" s="46">
        <f>IFERROR(__xludf.DUMMYFUNCTION("""COMPUTED_VALUE"""),-1.172381829041089)</f>
        <v>-1.172381829</v>
      </c>
      <c r="X209" s="46">
        <f>IFERROR(__xludf.DUMMYFUNCTION("""COMPUTED_VALUE"""),-0.5590090246596284)</f>
        <v>-0.5590090247</v>
      </c>
      <c r="Y209" s="46">
        <f>IFERROR(__xludf.DUMMYFUNCTION("""COMPUTED_VALUE"""),-1.2525097117525728)</f>
        <v>-1.252509712</v>
      </c>
      <c r="Z209" s="46">
        <f>IFERROR(__xludf.DUMMYFUNCTION("""COMPUTED_VALUE"""),-0.22645092467112066)</f>
        <v>-0.2264509247</v>
      </c>
      <c r="AA209" s="46">
        <f>IFERROR(__xludf.DUMMYFUNCTION("""COMPUTED_VALUE"""),0.44772912964166556)</f>
        <v>0.4477291296</v>
      </c>
      <c r="AB209" s="46">
        <f>IFERROR(__xludf.DUMMYFUNCTION("""COMPUTED_VALUE"""),-0.39569839687757064)</f>
        <v>-0.3956983969</v>
      </c>
      <c r="AC209" s="46">
        <f>IFERROR(__xludf.DUMMYFUNCTION("""COMPUTED_VALUE"""),-0.8628794022863856)</f>
        <v>-0.8628794023</v>
      </c>
      <c r="AD209" s="46">
        <f>IFERROR(__xludf.DUMMYFUNCTION("""COMPUTED_VALUE"""),-0.3296928764709388)</f>
        <v>-0.3296928765</v>
      </c>
      <c r="AE209" s="46">
        <f>IFERROR(__xludf.DUMMYFUNCTION("""COMPUTED_VALUE"""),-0.06374830957824563)</f>
        <v>-0.06374830958</v>
      </c>
    </row>
    <row r="210">
      <c r="A210" s="6" t="str">
        <f>IF(VLOOKUP(H210,'Paste #BBall'!$B$2:$N1001,3,)="BRO","BKN",IF(VLOOKUP(H210,'Paste #BBall'!$B$2:$N1001,3,)="OKL","OKC",VLOOKUP(H210,'Paste #BBall'!$B$2:$N1001,3,)))</f>
        <v>BKN</v>
      </c>
      <c r="B210" s="42">
        <f>VLOOKUP($A210,Schedule!$C$2:$G$31,2,0)</f>
        <v>5</v>
      </c>
      <c r="C210" s="42">
        <f>VLOOKUP($A210,Schedule!$C$2:$G$31,3,0)</f>
        <v>3</v>
      </c>
      <c r="D210" s="42">
        <f>VLOOKUP($A210,Schedule!$C$2:$G$31,4,0)</f>
        <v>3</v>
      </c>
      <c r="E210" s="42">
        <f t="shared" si="1"/>
        <v>11</v>
      </c>
      <c r="F210" s="6">
        <v>204.0</v>
      </c>
      <c r="G210" s="45">
        <f>IFERROR(__xludf.DUMMYFUNCTION("""COMPUTED_VALUE"""),207.0)</f>
        <v>207</v>
      </c>
      <c r="H210" s="45" t="str">
        <f>IFERROR(__xludf.DUMMYFUNCTION("""COMPUTED_VALUE"""),"Dorian Finney-Smith")</f>
        <v>Dorian Finney-Smith</v>
      </c>
      <c r="I210" s="45">
        <f>IFERROR(__xludf.DUMMYFUNCTION("""COMPUTED_VALUE"""),69.0)</f>
        <v>69</v>
      </c>
      <c r="J210" s="46" t="str">
        <f>IFERROR(__xludf.DUMMYFUNCTION("""COMPUTED_VALUE"""),"SF,PF")</f>
        <v>SF,PF</v>
      </c>
      <c r="K210" s="46">
        <f>IFERROR(__xludf.DUMMYFUNCTION("""COMPUTED_VALUE"""),-5.470910932870927)</f>
        <v>-5.470910933</v>
      </c>
      <c r="L210" s="47">
        <f>IFERROR(__xludf.DUMMYFUNCTION("""COMPUTED_VALUE"""),-3.196969234956166)</f>
        <v>-3.196969235</v>
      </c>
      <c r="M210" s="47">
        <f>IFERROR(__xludf.DUMMYFUNCTION("""COMPUTED_VALUE"""),2.2739416979147613)</f>
        <v>2.273941698</v>
      </c>
      <c r="N210" s="47">
        <f>IFERROR(__xludf.DUMMYFUNCTION("""COMPUTED_VALUE"""),7.8)</f>
        <v>7.8</v>
      </c>
      <c r="O210" s="47">
        <f>IFERROR(__xludf.DUMMYFUNCTION("""COMPUTED_VALUE"""),1.6)</f>
        <v>1.6</v>
      </c>
      <c r="P210" s="47">
        <f>IFERROR(__xludf.DUMMYFUNCTION("""COMPUTED_VALUE"""),3.8)</f>
        <v>3.8</v>
      </c>
      <c r="Q210" s="48">
        <f>IFERROR(__xludf.DUMMYFUNCTION("""COMPUTED_VALUE"""),1.4)</f>
        <v>1.4</v>
      </c>
      <c r="R210" s="47">
        <f>IFERROR(__xludf.DUMMYFUNCTION("""COMPUTED_VALUE"""),0.8)</f>
        <v>0.8</v>
      </c>
      <c r="S210" s="47">
        <f>IFERROR(__xludf.DUMMYFUNCTION("""COMPUTED_VALUE"""),0.4)</f>
        <v>0.4</v>
      </c>
      <c r="T210" s="47">
        <f>IFERROR(__xludf.DUMMYFUNCTION("""COMPUTED_VALUE"""),43.07692307692307)</f>
        <v>43.07692308</v>
      </c>
      <c r="U210" s="47">
        <f>IFERROR(__xludf.DUMMYFUNCTION("""COMPUTED_VALUE"""),74.99999999999999)</f>
        <v>75</v>
      </c>
      <c r="V210" s="47">
        <f>IFERROR(__xludf.DUMMYFUNCTION("""COMPUTED_VALUE"""),0.8)</f>
        <v>0.8</v>
      </c>
      <c r="W210" s="46">
        <f>IFERROR(__xludf.DUMMYFUNCTION("""COMPUTED_VALUE"""),-1.5936977714372638)</f>
        <v>-1.593697771</v>
      </c>
      <c r="X210" s="46">
        <f>IFERROR(__xludf.DUMMYFUNCTION("""COMPUTED_VALUE"""),-0.03873175248417188)</f>
        <v>-0.03873175248</v>
      </c>
      <c r="Y210" s="46">
        <f>IFERROR(__xludf.DUMMYFUNCTION("""COMPUTED_VALUE"""),-0.959802122760763)</f>
        <v>-0.9598021228</v>
      </c>
      <c r="Z210" s="46">
        <f>IFERROR(__xludf.DUMMYFUNCTION("""COMPUTED_VALUE"""),-1.246500134901392)</f>
        <v>-1.246500135</v>
      </c>
      <c r="AA210" s="46">
        <f>IFERROR(__xludf.DUMMYFUNCTION("""COMPUTED_VALUE"""),-0.42447047355638534)</f>
        <v>-0.4244704736</v>
      </c>
      <c r="AB210" s="46">
        <f>IFERROR(__xludf.DUMMYFUNCTION("""COMPUTED_VALUE"""),-0.39569839687757064)</f>
        <v>-0.3956983969</v>
      </c>
      <c r="AC210" s="46">
        <f>IFERROR(__xludf.DUMMYFUNCTION("""COMPUTED_VALUE"""),-0.4234176735839153)</f>
        <v>-0.4234176736</v>
      </c>
      <c r="AD210" s="46">
        <f>IFERROR(__xludf.DUMMYFUNCTION("""COMPUTED_VALUE"""),-0.07924793651994107)</f>
        <v>-0.07924793652</v>
      </c>
      <c r="AE210" s="46">
        <f>IFERROR(__xludf.DUMMYFUNCTION("""COMPUTED_VALUE"""),0.37089925572797316)</f>
        <v>0.3708992557</v>
      </c>
    </row>
    <row r="211">
      <c r="A211" s="6" t="str">
        <f>IF(VLOOKUP(H211,'Paste #BBall'!$B$2:$N1001,3,)="BRO","BKN",IF(VLOOKUP(H211,'Paste #BBall'!$B$2:$N1001,3,)="OKL","OKC",VLOOKUP(H211,'Paste #BBall'!$B$2:$N1001,3,)))</f>
        <v>CHA</v>
      </c>
      <c r="B211" s="42">
        <f>VLOOKUP($A211,Schedule!$C$2:$G$31,2,0)</f>
        <v>3</v>
      </c>
      <c r="C211" s="42">
        <f>VLOOKUP($A211,Schedule!$C$2:$G$31,3,0)</f>
        <v>4</v>
      </c>
      <c r="D211" s="42">
        <f>VLOOKUP($A211,Schedule!$C$2:$G$31,4,0)</f>
        <v>2</v>
      </c>
      <c r="E211" s="42">
        <f t="shared" si="1"/>
        <v>9</v>
      </c>
      <c r="F211" s="6">
        <v>205.0</v>
      </c>
      <c r="G211" s="45">
        <f>IFERROR(__xludf.DUMMYFUNCTION("""COMPUTED_VALUE"""),215.0)</f>
        <v>215</v>
      </c>
      <c r="H211" s="45" t="str">
        <f>IFERROR(__xludf.DUMMYFUNCTION("""COMPUTED_VALUE"""),"Cody Martin")</f>
        <v>Cody Martin</v>
      </c>
      <c r="I211" s="45">
        <f>IFERROR(__xludf.DUMMYFUNCTION("""COMPUTED_VALUE"""),65.0)</f>
        <v>65</v>
      </c>
      <c r="J211" s="46" t="str">
        <f>IFERROR(__xludf.DUMMYFUNCTION("""COMPUTED_VALUE"""),"SG,SF")</f>
        <v>SG,SF</v>
      </c>
      <c r="K211" s="46">
        <f>IFERROR(__xludf.DUMMYFUNCTION("""COMPUTED_VALUE"""),-5.6943162916924654)</f>
        <v>-5.694316292</v>
      </c>
      <c r="L211" s="47">
        <f>IFERROR(__xludf.DUMMYFUNCTION("""COMPUTED_VALUE"""),-3.20922540478938)</f>
        <v>-3.209225405</v>
      </c>
      <c r="M211" s="47">
        <f>IFERROR(__xludf.DUMMYFUNCTION("""COMPUTED_VALUE"""),2.4850908869030857)</f>
        <v>2.485090887</v>
      </c>
      <c r="N211" s="47">
        <f>IFERROR(__xludf.DUMMYFUNCTION("""COMPUTED_VALUE"""),6.2)</f>
        <v>6.2</v>
      </c>
      <c r="O211" s="47">
        <f>IFERROR(__xludf.DUMMYFUNCTION("""COMPUTED_VALUE"""),0.7)</f>
        <v>0.7</v>
      </c>
      <c r="P211" s="47">
        <f>IFERROR(__xludf.DUMMYFUNCTION("""COMPUTED_VALUE"""),3.3)</f>
        <v>3.3</v>
      </c>
      <c r="Q211" s="48">
        <f>IFERROR(__xludf.DUMMYFUNCTION("""COMPUTED_VALUE"""),2.0)</f>
        <v>2</v>
      </c>
      <c r="R211" s="47">
        <f>IFERROR(__xludf.DUMMYFUNCTION("""COMPUTED_VALUE"""),1.0)</f>
        <v>1</v>
      </c>
      <c r="S211" s="47">
        <f>IFERROR(__xludf.DUMMYFUNCTION("""COMPUTED_VALUE"""),0.4)</f>
        <v>0.4</v>
      </c>
      <c r="T211" s="47">
        <f>IFERROR(__xludf.DUMMYFUNCTION("""COMPUTED_VALUE"""),46.0)</f>
        <v>46</v>
      </c>
      <c r="U211" s="47">
        <f>IFERROR(__xludf.DUMMYFUNCTION("""COMPUTED_VALUE"""),75.0)</f>
        <v>75</v>
      </c>
      <c r="V211" s="47">
        <f>IFERROR(__xludf.DUMMYFUNCTION("""COMPUTED_VALUE"""),0.7)</f>
        <v>0.7</v>
      </c>
      <c r="W211" s="46">
        <f>IFERROR(__xludf.DUMMYFUNCTION("""COMPUTED_VALUE"""),-1.863339974570816)</f>
        <v>-1.863339975</v>
      </c>
      <c r="X211" s="46">
        <f>IFERROR(__xludf.DUMMYFUNCTION("""COMPUTED_VALUE"""),-0.8191476607473568)</f>
        <v>-0.8191476607</v>
      </c>
      <c r="Y211" s="46">
        <f>IFERROR(__xludf.DUMMYFUNCTION("""COMPUTED_VALUE"""),-1.1688789720406272)</f>
        <v>-1.168878972</v>
      </c>
      <c r="Z211" s="46">
        <f>IFERROR(__xludf.DUMMYFUNCTION("""COMPUTED_VALUE"""),-0.9404853718323106)</f>
        <v>-0.9404853718</v>
      </c>
      <c r="AA211" s="46">
        <f>IFERROR(__xludf.DUMMYFUNCTION("""COMPUTED_VALUE"""),0.011629328042640127)</f>
        <v>0.01162932804</v>
      </c>
      <c r="AB211" s="46">
        <f>IFERROR(__xludf.DUMMYFUNCTION("""COMPUTED_VALUE"""),-0.39569839687757064)</f>
        <v>-0.3956983969</v>
      </c>
      <c r="AC211" s="46">
        <f>IFERROR(__xludf.DUMMYFUNCTION("""COMPUTED_VALUE"""),-0.1797179369469469)</f>
        <v>-0.1797179369</v>
      </c>
      <c r="AD211" s="46">
        <f>IFERROR(__xludf.DUMMYFUNCTION("""COMPUTED_VALUE"""),-0.11887190477991126)</f>
        <v>-0.1188719048</v>
      </c>
      <c r="AE211" s="46">
        <f>IFERROR(__xludf.DUMMYFUNCTION("""COMPUTED_VALUE"""),0.4019455103927031)</f>
        <v>0.4019455104</v>
      </c>
    </row>
    <row r="212">
      <c r="A212" s="6" t="str">
        <f>IF(VLOOKUP(H212,'Paste #BBall'!$B$2:$N1001,3,)="BRO","BKN",IF(VLOOKUP(H212,'Paste #BBall'!$B$2:$N1001,3,)="OKL","OKC",VLOOKUP(H212,'Paste #BBall'!$B$2:$N1001,3,)))</f>
        <v>PHO</v>
      </c>
      <c r="B212" s="42">
        <f>VLOOKUP($A212,Schedule!$C$2:$G$31,2,0)</f>
        <v>3</v>
      </c>
      <c r="C212" s="42">
        <f>VLOOKUP($A212,Schedule!$C$2:$G$31,3,0)</f>
        <v>4</v>
      </c>
      <c r="D212" s="42">
        <f>VLOOKUP($A212,Schedule!$C$2:$G$31,4,0)</f>
        <v>3</v>
      </c>
      <c r="E212" s="42">
        <f t="shared" si="1"/>
        <v>10</v>
      </c>
      <c r="F212" s="6">
        <v>206.0</v>
      </c>
      <c r="G212" s="45">
        <f>IFERROR(__xludf.DUMMYFUNCTION("""COMPUTED_VALUE"""),196.0)</f>
        <v>196</v>
      </c>
      <c r="H212" s="45" t="str">
        <f>IFERROR(__xludf.DUMMYFUNCTION("""COMPUTED_VALUE"""),"Josh Okogie")</f>
        <v>Josh Okogie</v>
      </c>
      <c r="I212" s="45">
        <f>IFERROR(__xludf.DUMMYFUNCTION("""COMPUTED_VALUE"""),70.0)</f>
        <v>70</v>
      </c>
      <c r="J212" s="46" t="str">
        <f>IFERROR(__xludf.DUMMYFUNCTION("""COMPUTED_VALUE"""),"SG,SF")</f>
        <v>SG,SF</v>
      </c>
      <c r="K212" s="46">
        <f>IFERROR(__xludf.DUMMYFUNCTION("""COMPUTED_VALUE"""),-5.052536702741552)</f>
        <v>-5.052536703</v>
      </c>
      <c r="L212" s="47">
        <f>IFERROR(__xludf.DUMMYFUNCTION("""COMPUTED_VALUE"""),-3.2218032753263213)</f>
        <v>-3.221803275</v>
      </c>
      <c r="M212" s="47">
        <f>IFERROR(__xludf.DUMMYFUNCTION("""COMPUTED_VALUE"""),1.8307334274152307)</f>
        <v>1.830733427</v>
      </c>
      <c r="N212" s="47">
        <f>IFERROR(__xludf.DUMMYFUNCTION("""COMPUTED_VALUE"""),8.8)</f>
        <v>8.8</v>
      </c>
      <c r="O212" s="47">
        <f>IFERROR(__xludf.DUMMYFUNCTION("""COMPUTED_VALUE"""),1.1)</f>
        <v>1.1</v>
      </c>
      <c r="P212" s="47">
        <f>IFERROR(__xludf.DUMMYFUNCTION("""COMPUTED_VALUE"""),4.2)</f>
        <v>4.2</v>
      </c>
      <c r="Q212" s="48">
        <f>IFERROR(__xludf.DUMMYFUNCTION("""COMPUTED_VALUE"""),1.7)</f>
        <v>1.7</v>
      </c>
      <c r="R212" s="47">
        <f>IFERROR(__xludf.DUMMYFUNCTION("""COMPUTED_VALUE"""),1.1)</f>
        <v>1.1</v>
      </c>
      <c r="S212" s="47">
        <f>IFERROR(__xludf.DUMMYFUNCTION("""COMPUTED_VALUE"""),0.6)</f>
        <v>0.6</v>
      </c>
      <c r="T212" s="47">
        <f>IFERROR(__xludf.DUMMYFUNCTION("""COMPUTED_VALUE"""),39.70588235294118)</f>
        <v>39.70588235</v>
      </c>
      <c r="U212" s="47">
        <f>IFERROR(__xludf.DUMMYFUNCTION("""COMPUTED_VALUE"""),71.87499999999999)</f>
        <v>71.875</v>
      </c>
      <c r="V212" s="47">
        <f>IFERROR(__xludf.DUMMYFUNCTION("""COMPUTED_VALUE"""),1.1)</f>
        <v>1.1</v>
      </c>
      <c r="W212" s="46">
        <f>IFERROR(__xludf.DUMMYFUNCTION("""COMPUTED_VALUE"""),-1.425171394478794)</f>
        <v>-1.425171394</v>
      </c>
      <c r="X212" s="46">
        <f>IFERROR(__xludf.DUMMYFUNCTION("""COMPUTED_VALUE"""),-0.472296145963719)</f>
        <v>-0.472296146</v>
      </c>
      <c r="Y212" s="46">
        <f>IFERROR(__xludf.DUMMYFUNCTION("""COMPUTED_VALUE"""),-0.7925406433368716)</f>
        <v>-0.7925406433</v>
      </c>
      <c r="Z212" s="46">
        <f>IFERROR(__xludf.DUMMYFUNCTION("""COMPUTED_VALUE"""),-1.0934927533668515)</f>
        <v>-1.093492753</v>
      </c>
      <c r="AA212" s="46">
        <f>IFERROR(__xludf.DUMMYFUNCTION("""COMPUTED_VALUE"""),0.22967922884215308)</f>
        <v>0.2296792288</v>
      </c>
      <c r="AB212" s="46">
        <f>IFERROR(__xludf.DUMMYFUNCTION("""COMPUTED_VALUE"""),-0.13306671753405044)</f>
        <v>-0.1330667175</v>
      </c>
      <c r="AC212" s="46">
        <f>IFERROR(__xludf.DUMMYFUNCTION("""COMPUTED_VALUE"""),-0.6719306267564499)</f>
        <v>-0.6719306268</v>
      </c>
      <c r="AD212" s="46">
        <f>IFERROR(__xludf.DUMMYFUNCTION("""COMPUTED_VALUE"""),-0.5659161089443167)</f>
        <v>-0.5659161089</v>
      </c>
      <c r="AE212" s="46">
        <f>IFERROR(__xludf.DUMMYFUNCTION("""COMPUTED_VALUE"""),0.2777604917337834)</f>
        <v>0.2777604917</v>
      </c>
    </row>
    <row r="213">
      <c r="A213" s="6" t="str">
        <f>IF(VLOOKUP(H213,'Paste #BBall'!$B$2:$N1001,3,)="BRO","BKN",IF(VLOOKUP(H213,'Paste #BBall'!$B$2:$N1001,3,)="OKL","OKC",VLOOKUP(H213,'Paste #BBall'!$B$2:$N1001,3,)))</f>
        <v>MIA</v>
      </c>
      <c r="B213" s="42">
        <f>VLOOKUP($A213,Schedule!$C$2:$G$31,2,0)</f>
        <v>4</v>
      </c>
      <c r="C213" s="42">
        <f>VLOOKUP($A213,Schedule!$C$2:$G$31,3,0)</f>
        <v>3</v>
      </c>
      <c r="D213" s="42">
        <f>VLOOKUP($A213,Schedule!$C$2:$G$31,4,0)</f>
        <v>4</v>
      </c>
      <c r="E213" s="42">
        <f t="shared" si="1"/>
        <v>11</v>
      </c>
      <c r="F213" s="6">
        <v>207.0</v>
      </c>
      <c r="G213" s="45">
        <f>IFERROR(__xludf.DUMMYFUNCTION("""COMPUTED_VALUE"""),224.0)</f>
        <v>224</v>
      </c>
      <c r="H213" s="45" t="str">
        <f>IFERROR(__xludf.DUMMYFUNCTION("""COMPUTED_VALUE"""),"Kevin Love")</f>
        <v>Kevin Love</v>
      </c>
      <c r="I213" s="45">
        <f>IFERROR(__xludf.DUMMYFUNCTION("""COMPUTED_VALUE"""),62.0)</f>
        <v>62</v>
      </c>
      <c r="J213" s="46" t="str">
        <f>IFERROR(__xludf.DUMMYFUNCTION("""COMPUTED_VALUE"""),"PF,C")</f>
        <v>PF,C</v>
      </c>
      <c r="K213" s="46">
        <f>IFERROR(__xludf.DUMMYFUNCTION("""COMPUTED_VALUE"""),-5.900020220729021)</f>
        <v>-5.900020221</v>
      </c>
      <c r="L213" s="47">
        <f>IFERROR(__xludf.DUMMYFUNCTION("""COMPUTED_VALUE"""),-3.239443561057004)</f>
        <v>-3.239443561</v>
      </c>
      <c r="M213" s="47">
        <f>IFERROR(__xludf.DUMMYFUNCTION("""COMPUTED_VALUE"""),2.6605766596720173)</f>
        <v>2.66057666</v>
      </c>
      <c r="N213" s="47">
        <f>IFERROR(__xludf.DUMMYFUNCTION("""COMPUTED_VALUE"""),9.3)</f>
        <v>9.3</v>
      </c>
      <c r="O213" s="47">
        <f>IFERROR(__xludf.DUMMYFUNCTION("""COMPUTED_VALUE"""),1.8)</f>
        <v>1.8</v>
      </c>
      <c r="P213" s="47">
        <f>IFERROR(__xludf.DUMMYFUNCTION("""COMPUTED_VALUE"""),5.7)</f>
        <v>5.7</v>
      </c>
      <c r="Q213" s="48">
        <f>IFERROR(__xludf.DUMMYFUNCTION("""COMPUTED_VALUE"""),1.7)</f>
        <v>1.7</v>
      </c>
      <c r="R213" s="47">
        <f>IFERROR(__xludf.DUMMYFUNCTION("""COMPUTED_VALUE"""),0.3)</f>
        <v>0.3</v>
      </c>
      <c r="S213" s="47">
        <f>IFERROR(__xludf.DUMMYFUNCTION("""COMPUTED_VALUE"""),0.2)</f>
        <v>0.2</v>
      </c>
      <c r="T213" s="47">
        <f>IFERROR(__xludf.DUMMYFUNCTION("""COMPUTED_VALUE"""),41.09589041095891)</f>
        <v>41.09589041</v>
      </c>
      <c r="U213" s="47">
        <f>IFERROR(__xludf.DUMMYFUNCTION("""COMPUTED_VALUE"""),83.33333333333333)</f>
        <v>83.33333333</v>
      </c>
      <c r="V213" s="47">
        <f>IFERROR(__xludf.DUMMYFUNCTION("""COMPUTED_VALUE"""),1.0)</f>
        <v>1</v>
      </c>
      <c r="W213" s="46">
        <f>IFERROR(__xludf.DUMMYFUNCTION("""COMPUTED_VALUE"""),-1.340908205999559)</f>
        <v>-1.340908206</v>
      </c>
      <c r="X213" s="46">
        <f>IFERROR(__xludf.DUMMYFUNCTION("""COMPUTED_VALUE"""),0.13469400490764694)</f>
        <v>0.1346940049</v>
      </c>
      <c r="Y213" s="46">
        <f>IFERROR(__xludf.DUMMYFUNCTION("""COMPUTED_VALUE"""),-0.16531009549727893)</f>
        <v>-0.1653100955</v>
      </c>
      <c r="Z213" s="46">
        <f>IFERROR(__xludf.DUMMYFUNCTION("""COMPUTED_VALUE"""),-1.0934927533668515)</f>
        <v>-1.093492753</v>
      </c>
      <c r="AA213" s="46">
        <f>IFERROR(__xludf.DUMMYFUNCTION("""COMPUTED_VALUE"""),-1.5147199775539493)</f>
        <v>-1.514719978</v>
      </c>
      <c r="AB213" s="46">
        <f>IFERROR(__xludf.DUMMYFUNCTION("""COMPUTED_VALUE"""),-0.6583300762210907)</f>
        <v>-0.6583300762</v>
      </c>
      <c r="AC213" s="46">
        <f>IFERROR(__xludf.DUMMYFUNCTION("""COMPUTED_VALUE"""),-0.6199818684053451)</f>
        <v>-0.6199818684</v>
      </c>
      <c r="AD213" s="46">
        <f>IFERROR(__xludf.DUMMYFUNCTION("""COMPUTED_VALUE"""),0.19507868712696136)</f>
        <v>0.1950786871</v>
      </c>
      <c r="AE213" s="46">
        <f>IFERROR(__xludf.DUMMYFUNCTION("""COMPUTED_VALUE"""),0.30880674639851335)</f>
        <v>0.3088067464</v>
      </c>
    </row>
    <row r="214">
      <c r="A214" s="6" t="str">
        <f>IF(VLOOKUP(H214,'Paste #BBall'!$B$2:$N1001,3,)="BRO","BKN",IF(VLOOKUP(H214,'Paste #BBall'!$B$2:$N1001,3,)="OKL","OKC",VLOOKUP(H214,'Paste #BBall'!$B$2:$N1001,3,)))</f>
        <v>PHO</v>
      </c>
      <c r="B214" s="42">
        <f>VLOOKUP($A214,Schedule!$C$2:$G$31,2,0)</f>
        <v>3</v>
      </c>
      <c r="C214" s="42">
        <f>VLOOKUP($A214,Schedule!$C$2:$G$31,3,0)</f>
        <v>4</v>
      </c>
      <c r="D214" s="42">
        <f>VLOOKUP($A214,Schedule!$C$2:$G$31,4,0)</f>
        <v>3</v>
      </c>
      <c r="E214" s="42">
        <f t="shared" si="1"/>
        <v>10</v>
      </c>
      <c r="F214" s="6">
        <v>208.0</v>
      </c>
      <c r="G214" s="45">
        <f>IFERROR(__xludf.DUMMYFUNCTION("""COMPUTED_VALUE"""),221.0)</f>
        <v>221</v>
      </c>
      <c r="H214" s="45" t="str">
        <f>IFERROR(__xludf.DUMMYFUNCTION("""COMPUTED_VALUE"""),"Eric Gordon")</f>
        <v>Eric Gordon</v>
      </c>
      <c r="I214" s="45">
        <f>IFERROR(__xludf.DUMMYFUNCTION("""COMPUTED_VALUE"""),60.0)</f>
        <v>60</v>
      </c>
      <c r="J214" s="46" t="str">
        <f>IFERROR(__xludf.DUMMYFUNCTION("""COMPUTED_VALUE"""),"SG,SF")</f>
        <v>SG,SF</v>
      </c>
      <c r="K214" s="46">
        <f>IFERROR(__xludf.DUMMYFUNCTION("""COMPUTED_VALUE"""),-5.825022836354156)</f>
        <v>-5.825022836</v>
      </c>
      <c r="L214" s="47">
        <f>IFERROR(__xludf.DUMMYFUNCTION("""COMPUTED_VALUE"""),-3.2545024386927928)</f>
        <v>-3.254502439</v>
      </c>
      <c r="M214" s="47">
        <f>IFERROR(__xludf.DUMMYFUNCTION("""COMPUTED_VALUE"""),2.5705203976613635)</f>
        <v>2.570520398</v>
      </c>
      <c r="N214" s="47">
        <f>IFERROR(__xludf.DUMMYFUNCTION("""COMPUTED_VALUE"""),11.9)</f>
        <v>11.9</v>
      </c>
      <c r="O214" s="47">
        <f>IFERROR(__xludf.DUMMYFUNCTION("""COMPUTED_VALUE"""),1.9)</f>
        <v>1.9</v>
      </c>
      <c r="P214" s="47">
        <f>IFERROR(__xludf.DUMMYFUNCTION("""COMPUTED_VALUE"""),1.8)</f>
        <v>1.8</v>
      </c>
      <c r="Q214" s="48">
        <f>IFERROR(__xludf.DUMMYFUNCTION("""COMPUTED_VALUE"""),2.5)</f>
        <v>2.5</v>
      </c>
      <c r="R214" s="47">
        <f>IFERROR(__xludf.DUMMYFUNCTION("""COMPUTED_VALUE"""),0.5)</f>
        <v>0.5</v>
      </c>
      <c r="S214" s="47">
        <f>IFERROR(__xludf.DUMMYFUNCTION("""COMPUTED_VALUE"""),0.3)</f>
        <v>0.3</v>
      </c>
      <c r="T214" s="47">
        <f>IFERROR(__xludf.DUMMYFUNCTION("""COMPUTED_VALUE"""),45.55555555555555)</f>
        <v>45.55555556</v>
      </c>
      <c r="U214" s="47">
        <f>IFERROR(__xludf.DUMMYFUNCTION("""COMPUTED_VALUE"""),78.26086956521739)</f>
        <v>78.26086957</v>
      </c>
      <c r="V214" s="47">
        <f>IFERROR(__xludf.DUMMYFUNCTION("""COMPUTED_VALUE"""),1.6)</f>
        <v>1.6</v>
      </c>
      <c r="W214" s="46">
        <f>IFERROR(__xludf.DUMMYFUNCTION("""COMPUTED_VALUE"""),-0.9027396259075373)</f>
        <v>-0.9027396259</v>
      </c>
      <c r="X214" s="46">
        <f>IFERROR(__xludf.DUMMYFUNCTION("""COMPUTED_VALUE"""),0.2214068836035562)</f>
        <v>0.2214068836</v>
      </c>
      <c r="Y214" s="46">
        <f>IFERROR(__xludf.DUMMYFUNCTION("""COMPUTED_VALUE"""),-1.79610951988022)</f>
        <v>-1.79610952</v>
      </c>
      <c r="Z214" s="46">
        <f>IFERROR(__xludf.DUMMYFUNCTION("""COMPUTED_VALUE"""),-0.6854730692747427)</f>
        <v>-0.6854730693</v>
      </c>
      <c r="AA214" s="46">
        <f>IFERROR(__xludf.DUMMYFUNCTION("""COMPUTED_VALUE"""),-1.0786201759549239)</f>
        <v>-1.078620176</v>
      </c>
      <c r="AB214" s="46">
        <f>IFERROR(__xludf.DUMMYFUNCTION("""COMPUTED_VALUE"""),-0.5270142365493308)</f>
        <v>-0.5270142365</v>
      </c>
      <c r="AC214" s="46">
        <f>IFERROR(__xludf.DUMMYFUNCTION("""COMPUTED_VALUE"""),-0.36344688767353306)</f>
        <v>-0.3634468877</v>
      </c>
      <c r="AD214" s="46">
        <f>IFERROR(__xludf.DUMMYFUNCTION("""COMPUTED_VALUE"""),-0.041144545346415456)</f>
        <v>-0.04114454535</v>
      </c>
      <c r="AE214" s="46">
        <f>IFERROR(__xludf.DUMMYFUNCTION("""COMPUTED_VALUE"""),0.12252921841013387)</f>
        <v>0.1225292184</v>
      </c>
    </row>
    <row r="215">
      <c r="A215" s="6" t="str">
        <f>IF(VLOOKUP(H215,'Paste #BBall'!$B$2:$N1001,3,)="BRO","BKN",IF(VLOOKUP(H215,'Paste #BBall'!$B$2:$N1001,3,)="OKL","OKC",VLOOKUP(H215,'Paste #BBall'!$B$2:$N1001,3,)))</f>
        <v>TOR</v>
      </c>
      <c r="B215" s="42">
        <f>VLOOKUP($A215,Schedule!$C$2:$G$31,2,0)</f>
        <v>3</v>
      </c>
      <c r="C215" s="42">
        <f>VLOOKUP($A215,Schedule!$C$2:$G$31,3,0)</f>
        <v>4</v>
      </c>
      <c r="D215" s="42">
        <f>VLOOKUP($A215,Schedule!$C$2:$G$31,4,0)</f>
        <v>3</v>
      </c>
      <c r="E215" s="42">
        <f t="shared" si="1"/>
        <v>10</v>
      </c>
      <c r="F215" s="6">
        <v>209.0</v>
      </c>
      <c r="G215" s="45">
        <f>IFERROR(__xludf.DUMMYFUNCTION("""COMPUTED_VALUE"""),222.0)</f>
        <v>222</v>
      </c>
      <c r="H215" s="45" t="str">
        <f>IFERROR(__xludf.DUMMYFUNCTION("""COMPUTED_VALUE"""),"Chris Boucher")</f>
        <v>Chris Boucher</v>
      </c>
      <c r="I215" s="45">
        <f>IFERROR(__xludf.DUMMYFUNCTION("""COMPUTED_VALUE"""),72.0)</f>
        <v>72</v>
      </c>
      <c r="J215" s="46" t="str">
        <f>IFERROR(__xludf.DUMMYFUNCTION("""COMPUTED_VALUE"""),"PF")</f>
        <v>PF</v>
      </c>
      <c r="K215" s="46">
        <f>IFERROR(__xludf.DUMMYFUNCTION("""COMPUTED_VALUE"""),-5.867880060689355)</f>
        <v>-5.867880061</v>
      </c>
      <c r="L215" s="47">
        <f>IFERROR(__xludf.DUMMYFUNCTION("""COMPUTED_VALUE"""),-3.26174222891325)</f>
        <v>-3.261742229</v>
      </c>
      <c r="M215" s="47">
        <f>IFERROR(__xludf.DUMMYFUNCTION("""COMPUTED_VALUE"""),2.6061378317761053)</f>
        <v>2.606137832</v>
      </c>
      <c r="N215" s="47">
        <f>IFERROR(__xludf.DUMMYFUNCTION("""COMPUTED_VALUE"""),8.3)</f>
        <v>8.3</v>
      </c>
      <c r="O215" s="47">
        <f>IFERROR(__xludf.DUMMYFUNCTION("""COMPUTED_VALUE"""),0.7)</f>
        <v>0.7</v>
      </c>
      <c r="P215" s="47">
        <f>IFERROR(__xludf.DUMMYFUNCTION("""COMPUTED_VALUE"""),5.2)</f>
        <v>5.2</v>
      </c>
      <c r="Q215" s="48">
        <f>IFERROR(__xludf.DUMMYFUNCTION("""COMPUTED_VALUE"""),0.3)</f>
        <v>0.3</v>
      </c>
      <c r="R215" s="47">
        <f>IFERROR(__xludf.DUMMYFUNCTION("""COMPUTED_VALUE"""),0.5)</f>
        <v>0.5</v>
      </c>
      <c r="S215" s="47">
        <f>IFERROR(__xludf.DUMMYFUNCTION("""COMPUTED_VALUE"""),0.8)</f>
        <v>0.8</v>
      </c>
      <c r="T215" s="47">
        <f>IFERROR(__xludf.DUMMYFUNCTION("""COMPUTED_VALUE"""),47.61904761904762)</f>
        <v>47.61904762</v>
      </c>
      <c r="U215" s="47">
        <f>IFERROR(__xludf.DUMMYFUNCTION("""COMPUTED_VALUE"""),80.0)</f>
        <v>80</v>
      </c>
      <c r="V215" s="47">
        <f>IFERROR(__xludf.DUMMYFUNCTION("""COMPUTED_VALUE"""),0.5)</f>
        <v>0.5</v>
      </c>
      <c r="W215" s="46">
        <f>IFERROR(__xludf.DUMMYFUNCTION("""COMPUTED_VALUE"""),-1.509434582958029)</f>
        <v>-1.509434583</v>
      </c>
      <c r="X215" s="46">
        <f>IFERROR(__xludf.DUMMYFUNCTION("""COMPUTED_VALUE"""),-0.8191476607473568)</f>
        <v>-0.8191476607</v>
      </c>
      <c r="Y215" s="46">
        <f>IFERROR(__xludf.DUMMYFUNCTION("""COMPUTED_VALUE"""),-0.3743869447771431)</f>
        <v>-0.3743869448</v>
      </c>
      <c r="Z215" s="46">
        <f>IFERROR(__xludf.DUMMYFUNCTION("""COMPUTED_VALUE"""),-1.8075272005280414)</f>
        <v>-1.807527201</v>
      </c>
      <c r="AA215" s="46">
        <f>IFERROR(__xludf.DUMMYFUNCTION("""COMPUTED_VALUE"""),-1.0786201759549239)</f>
        <v>-1.078620176</v>
      </c>
      <c r="AB215" s="46">
        <f>IFERROR(__xludf.DUMMYFUNCTION("""COMPUTED_VALUE"""),0.12956496180946983)</f>
        <v>0.1295649618</v>
      </c>
      <c r="AC215" s="46">
        <f>IFERROR(__xludf.DUMMYFUNCTION("""COMPUTED_VALUE"""),-0.12456036757213061)</f>
        <v>-0.1245603676</v>
      </c>
      <c r="AD215" s="46">
        <f>IFERROR(__xludf.DUMMYFUNCTION("""COMPUTED_VALUE"""),0.05080452156470048)</f>
        <v>0.05080452156</v>
      </c>
      <c r="AE215" s="46">
        <f>IFERROR(__xludf.DUMMYFUNCTION("""COMPUTED_VALUE"""),0.4640380197221629)</f>
        <v>0.4640380197</v>
      </c>
    </row>
    <row r="216">
      <c r="A216" s="6" t="str">
        <f>IF(VLOOKUP(H216,'Paste #BBall'!$B$2:$N1001,3,)="BRO","BKN",IF(VLOOKUP(H216,'Paste #BBall'!$B$2:$N1001,3,)="OKL","OKC",VLOOKUP(H216,'Paste #BBall'!$B$2:$N1001,3,)))</f>
        <v>ATL</v>
      </c>
      <c r="B216" s="42">
        <f>VLOOKUP($A216,Schedule!$C$2:$G$31,2,0)</f>
        <v>4</v>
      </c>
      <c r="C216" s="42">
        <f>VLOOKUP($A216,Schedule!$C$2:$G$31,3,0)</f>
        <v>3</v>
      </c>
      <c r="D216" s="42">
        <f>VLOOKUP($A216,Schedule!$C$2:$G$31,4,0)</f>
        <v>3</v>
      </c>
      <c r="E216" s="42">
        <f t="shared" si="1"/>
        <v>10</v>
      </c>
      <c r="F216" s="6">
        <v>210.0</v>
      </c>
      <c r="G216" s="45">
        <f>IFERROR(__xludf.DUMMYFUNCTION("""COMPUTED_VALUE"""),213.0)</f>
        <v>213</v>
      </c>
      <c r="H216" s="45" t="str">
        <f>IFERROR(__xludf.DUMMYFUNCTION("""COMPUTED_VALUE"""),"Jalen Johnson")</f>
        <v>Jalen Johnson</v>
      </c>
      <c r="I216" s="45">
        <f>IFERROR(__xludf.DUMMYFUNCTION("""COMPUTED_VALUE"""),72.0)</f>
        <v>72</v>
      </c>
      <c r="J216" s="46" t="str">
        <f>IFERROR(__xludf.DUMMYFUNCTION("""COMPUTED_VALUE"""),"SF,PF")</f>
        <v>SF,PF</v>
      </c>
      <c r="K216" s="46">
        <f>IFERROR(__xludf.DUMMYFUNCTION("""COMPUTED_VALUE"""),-5.615069580308344)</f>
        <v>-5.61506958</v>
      </c>
      <c r="L216" s="47">
        <f>IFERROR(__xludf.DUMMYFUNCTION("""COMPUTED_VALUE"""),-3.2619233560909375)</f>
        <v>-3.261923356</v>
      </c>
      <c r="M216" s="47">
        <f>IFERROR(__xludf.DUMMYFUNCTION("""COMPUTED_VALUE"""),2.353146224217406)</f>
        <v>2.353146224</v>
      </c>
      <c r="N216" s="47">
        <f>IFERROR(__xludf.DUMMYFUNCTION("""COMPUTED_VALUE"""),7.9)</f>
        <v>7.9</v>
      </c>
      <c r="O216" s="47">
        <f>IFERROR(__xludf.DUMMYFUNCTION("""COMPUTED_VALUE"""),0.6)</f>
        <v>0.6</v>
      </c>
      <c r="P216" s="47">
        <f>IFERROR(__xludf.DUMMYFUNCTION("""COMPUTED_VALUE"""),5.4)</f>
        <v>5.4</v>
      </c>
      <c r="Q216" s="48">
        <f>IFERROR(__xludf.DUMMYFUNCTION("""COMPUTED_VALUE"""),1.5)</f>
        <v>1.5</v>
      </c>
      <c r="R216" s="47">
        <f>IFERROR(__xludf.DUMMYFUNCTION("""COMPUTED_VALUE"""),0.7)</f>
        <v>0.7</v>
      </c>
      <c r="S216" s="47">
        <f>IFERROR(__xludf.DUMMYFUNCTION("""COMPUTED_VALUE"""),0.6)</f>
        <v>0.6</v>
      </c>
      <c r="T216" s="47">
        <f>IFERROR(__xludf.DUMMYFUNCTION("""COMPUTED_VALUE"""),50.0)</f>
        <v>50</v>
      </c>
      <c r="U216" s="47">
        <f>IFERROR(__xludf.DUMMYFUNCTION("""COMPUTED_VALUE"""),66.66666666666666)</f>
        <v>66.66666667</v>
      </c>
      <c r="V216" s="47">
        <f>IFERROR(__xludf.DUMMYFUNCTION("""COMPUTED_VALUE"""),0.9)</f>
        <v>0.9</v>
      </c>
      <c r="W216" s="46">
        <f>IFERROR(__xludf.DUMMYFUNCTION("""COMPUTED_VALUE"""),-1.5768451337414169)</f>
        <v>-1.576845134</v>
      </c>
      <c r="X216" s="46">
        <f>IFERROR(__xludf.DUMMYFUNCTION("""COMPUTED_VALUE"""),-0.9058605394432663)</f>
        <v>-0.9058605394</v>
      </c>
      <c r="Y216" s="46">
        <f>IFERROR(__xludf.DUMMYFUNCTION("""COMPUTED_VALUE"""),-0.2907562050651974)</f>
        <v>-0.2907562051</v>
      </c>
      <c r="Z216" s="46">
        <f>IFERROR(__xludf.DUMMYFUNCTION("""COMPUTED_VALUE"""),-1.1954976743898784)</f>
        <v>-1.195497674</v>
      </c>
      <c r="AA216" s="46">
        <f>IFERROR(__xludf.DUMMYFUNCTION("""COMPUTED_VALUE"""),-0.6425203743558983)</f>
        <v>-0.6425203744</v>
      </c>
      <c r="AB216" s="46">
        <f>IFERROR(__xludf.DUMMYFUNCTION("""COMPUTED_VALUE"""),-0.13306671753405044)</f>
        <v>-0.1330667175</v>
      </c>
      <c r="AC216" s="46">
        <f>IFERROR(__xludf.DUMMYFUNCTION("""COMPUTED_VALUE"""),0.025670488189689155)</f>
        <v>0.02567048819</v>
      </c>
      <c r="AD216" s="46">
        <f>IFERROR(__xludf.DUMMYFUNCTION("""COMPUTED_VALUE"""),-0.45974533455557964)</f>
        <v>-0.4597453346</v>
      </c>
      <c r="AE216" s="46">
        <f>IFERROR(__xludf.DUMMYFUNCTION("""COMPUTED_VALUE"""),0.33985300106324323)</f>
        <v>0.3398530011</v>
      </c>
    </row>
    <row r="217">
      <c r="A217" s="6" t="str">
        <f>IF(VLOOKUP(H217,'Paste #BBall'!$B$2:$N1001,3,)="BRO","BKN",IF(VLOOKUP(H217,'Paste #BBall'!$B$2:$N1001,3,)="OKL","OKC",VLOOKUP(H217,'Paste #BBall'!$B$2:$N1001,3,)))</f>
        <v>PHO</v>
      </c>
      <c r="B217" s="42">
        <f>VLOOKUP($A217,Schedule!$C$2:$G$31,2,0)</f>
        <v>3</v>
      </c>
      <c r="C217" s="42">
        <f>VLOOKUP($A217,Schedule!$C$2:$G$31,3,0)</f>
        <v>4</v>
      </c>
      <c r="D217" s="42">
        <f>VLOOKUP($A217,Schedule!$C$2:$G$31,4,0)</f>
        <v>3</v>
      </c>
      <c r="E217" s="42">
        <f t="shared" si="1"/>
        <v>10</v>
      </c>
      <c r="F217" s="6">
        <v>211.0</v>
      </c>
      <c r="G217" s="45">
        <f>IFERROR(__xludf.DUMMYFUNCTION("""COMPUTED_VALUE"""),208.0)</f>
        <v>208</v>
      </c>
      <c r="H217" s="45" t="str">
        <f>IFERROR(__xludf.DUMMYFUNCTION("""COMPUTED_VALUE"""),"Grayson Allen")</f>
        <v>Grayson Allen</v>
      </c>
      <c r="I217" s="45">
        <f>IFERROR(__xludf.DUMMYFUNCTION("""COMPUTED_VALUE"""),70.0)</f>
        <v>70</v>
      </c>
      <c r="J217" s="46" t="str">
        <f>IFERROR(__xludf.DUMMYFUNCTION("""COMPUTED_VALUE"""),"SG,SF")</f>
        <v>SG,SF</v>
      </c>
      <c r="K217" s="46">
        <f>IFERROR(__xludf.DUMMYFUNCTION("""COMPUTED_VALUE"""),-5.47478167581223)</f>
        <v>-5.474781676</v>
      </c>
      <c r="L217" s="47">
        <f>IFERROR(__xludf.DUMMYFUNCTION("""COMPUTED_VALUE"""),-3.2675808742798127)</f>
        <v>-3.267580874</v>
      </c>
      <c r="M217" s="47">
        <f>IFERROR(__xludf.DUMMYFUNCTION("""COMPUTED_VALUE"""),2.2072008015324176)</f>
        <v>2.207200802</v>
      </c>
      <c r="N217" s="47">
        <f>IFERROR(__xludf.DUMMYFUNCTION("""COMPUTED_VALUE"""),9.1)</f>
        <v>9.1</v>
      </c>
      <c r="O217" s="47">
        <f>IFERROR(__xludf.DUMMYFUNCTION("""COMPUTED_VALUE"""),2.0)</f>
        <v>2</v>
      </c>
      <c r="P217" s="47">
        <f>IFERROR(__xludf.DUMMYFUNCTION("""COMPUTED_VALUE"""),3.0)</f>
        <v>3</v>
      </c>
      <c r="Q217" s="48">
        <f>IFERROR(__xludf.DUMMYFUNCTION("""COMPUTED_VALUE"""),1.7)</f>
        <v>1.7</v>
      </c>
      <c r="R217" s="47">
        <f>IFERROR(__xludf.DUMMYFUNCTION("""COMPUTED_VALUE"""),0.7)</f>
        <v>0.7</v>
      </c>
      <c r="S217" s="47">
        <f>IFERROR(__xludf.DUMMYFUNCTION("""COMPUTED_VALUE"""),0.2)</f>
        <v>0.2</v>
      </c>
      <c r="T217" s="47">
        <f>IFERROR(__xludf.DUMMYFUNCTION("""COMPUTED_VALUE"""),42.857142857142854)</f>
        <v>42.85714286</v>
      </c>
      <c r="U217" s="47">
        <f>IFERROR(__xludf.DUMMYFUNCTION("""COMPUTED_VALUE"""),84.61538461538461)</f>
        <v>84.61538462</v>
      </c>
      <c r="V217" s="47">
        <f>IFERROR(__xludf.DUMMYFUNCTION("""COMPUTED_VALUE"""),0.7)</f>
        <v>0.7</v>
      </c>
      <c r="W217" s="46">
        <f>IFERROR(__xludf.DUMMYFUNCTION("""COMPUTED_VALUE"""),-1.3746134813912532)</f>
        <v>-1.374613481</v>
      </c>
      <c r="X217" s="46">
        <f>IFERROR(__xludf.DUMMYFUNCTION("""COMPUTED_VALUE"""),0.30811976229946575)</f>
        <v>0.3081197623</v>
      </c>
      <c r="Y217" s="46">
        <f>IFERROR(__xludf.DUMMYFUNCTION("""COMPUTED_VALUE"""),-1.2943250816085456)</f>
        <v>-1.294325082</v>
      </c>
      <c r="Z217" s="46">
        <f>IFERROR(__xludf.DUMMYFUNCTION("""COMPUTED_VALUE"""),-1.0934927533668515)</f>
        <v>-1.093492753</v>
      </c>
      <c r="AA217" s="46">
        <f>IFERROR(__xludf.DUMMYFUNCTION("""COMPUTED_VALUE"""),-0.6425203743558983)</f>
        <v>-0.6425203744</v>
      </c>
      <c r="AB217" s="46">
        <f>IFERROR(__xludf.DUMMYFUNCTION("""COMPUTED_VALUE"""),-0.6583300762210907)</f>
        <v>-0.6583300762</v>
      </c>
      <c r="AC217" s="46">
        <f>IFERROR(__xludf.DUMMYFUNCTION("""COMPUTED_VALUE"""),-0.4713554181553811)</f>
        <v>-0.4713554182</v>
      </c>
      <c r="AD217" s="46">
        <f>IFERROR(__xludf.DUMMYFUNCTION("""COMPUTED_VALUE"""),0.18237755673578657)</f>
        <v>0.1823775567</v>
      </c>
      <c r="AE217" s="46">
        <f>IFERROR(__xludf.DUMMYFUNCTION("""COMPUTED_VALUE"""),0.4019455103927031)</f>
        <v>0.4019455104</v>
      </c>
    </row>
    <row r="218">
      <c r="A218" s="6" t="str">
        <f>IF(VLOOKUP(H218,'Paste #BBall'!$B$2:$N1001,3,)="BRO","BKN",IF(VLOOKUP(H218,'Paste #BBall'!$B$2:$N1001,3,)="OKL","OKC",VLOOKUP(H218,'Paste #BBall'!$B$2:$N1001,3,)))</f>
        <v>DEN</v>
      </c>
      <c r="B218" s="42">
        <f>VLOOKUP($A218,Schedule!$C$2:$G$31,2,0)</f>
        <v>3</v>
      </c>
      <c r="C218" s="42">
        <f>VLOOKUP($A218,Schedule!$C$2:$G$31,3,0)</f>
        <v>4</v>
      </c>
      <c r="D218" s="42">
        <f>VLOOKUP($A218,Schedule!$C$2:$G$31,4,0)</f>
        <v>3</v>
      </c>
      <c r="E218" s="42">
        <f t="shared" si="1"/>
        <v>10</v>
      </c>
      <c r="F218" s="6">
        <v>212.0</v>
      </c>
      <c r="G218" s="45">
        <f>IFERROR(__xludf.DUMMYFUNCTION("""COMPUTED_VALUE"""),206.0)</f>
        <v>206</v>
      </c>
      <c r="H218" s="45" t="str">
        <f>IFERROR(__xludf.DUMMYFUNCTION("""COMPUTED_VALUE"""),"Christian Braun")</f>
        <v>Christian Braun</v>
      </c>
      <c r="I218" s="45">
        <f>IFERROR(__xludf.DUMMYFUNCTION("""COMPUTED_VALUE"""),76.0)</f>
        <v>76</v>
      </c>
      <c r="J218" s="46" t="str">
        <f>IFERROR(__xludf.DUMMYFUNCTION("""COMPUTED_VALUE"""),"SG")</f>
        <v>SG</v>
      </c>
      <c r="K218" s="46">
        <f>IFERROR(__xludf.DUMMYFUNCTION("""COMPUTED_VALUE"""),-5.460054979113717)</f>
        <v>-5.460054979</v>
      </c>
      <c r="L218" s="47">
        <f>IFERROR(__xludf.DUMMYFUNCTION("""COMPUTED_VALUE"""),-3.288091177876213)</f>
        <v>-3.288091178</v>
      </c>
      <c r="M218" s="47">
        <f>IFERROR(__xludf.DUMMYFUNCTION("""COMPUTED_VALUE"""),2.1719638012375038)</f>
        <v>2.171963801</v>
      </c>
      <c r="N218" s="47">
        <f>IFERROR(__xludf.DUMMYFUNCTION("""COMPUTED_VALUE"""),8.2)</f>
        <v>8.2</v>
      </c>
      <c r="O218" s="47">
        <f>IFERROR(__xludf.DUMMYFUNCTION("""COMPUTED_VALUE"""),0.9)</f>
        <v>0.9</v>
      </c>
      <c r="P218" s="47">
        <f>IFERROR(__xludf.DUMMYFUNCTION("""COMPUTED_VALUE"""),4.0)</f>
        <v>4</v>
      </c>
      <c r="Q218" s="48">
        <f>IFERROR(__xludf.DUMMYFUNCTION("""COMPUTED_VALUE"""),1.3)</f>
        <v>1.3</v>
      </c>
      <c r="R218" s="47">
        <f>IFERROR(__xludf.DUMMYFUNCTION("""COMPUTED_VALUE"""),0.9)</f>
        <v>0.9</v>
      </c>
      <c r="S218" s="47">
        <f>IFERROR(__xludf.DUMMYFUNCTION("""COMPUTED_VALUE"""),0.4)</f>
        <v>0.4</v>
      </c>
      <c r="T218" s="47">
        <f>IFERROR(__xludf.DUMMYFUNCTION("""COMPUTED_VALUE"""),50.0)</f>
        <v>50</v>
      </c>
      <c r="U218" s="47">
        <f>IFERROR(__xludf.DUMMYFUNCTION("""COMPUTED_VALUE"""),71.42857142857143)</f>
        <v>71.42857143</v>
      </c>
      <c r="V218" s="47">
        <f>IFERROR(__xludf.DUMMYFUNCTION("""COMPUTED_VALUE"""),0.8)</f>
        <v>0.8</v>
      </c>
      <c r="W218" s="46">
        <f>IFERROR(__xludf.DUMMYFUNCTION("""COMPUTED_VALUE"""),-1.5262872206538762)</f>
        <v>-1.526287221</v>
      </c>
      <c r="X218" s="46">
        <f>IFERROR(__xludf.DUMMYFUNCTION("""COMPUTED_VALUE"""),-0.6457219033555379)</f>
        <v>-0.6457219034</v>
      </c>
      <c r="Y218" s="46">
        <f>IFERROR(__xludf.DUMMYFUNCTION("""COMPUTED_VALUE"""),-0.8761713830488173)</f>
        <v>-0.876171383</v>
      </c>
      <c r="Z218" s="46">
        <f>IFERROR(__xludf.DUMMYFUNCTION("""COMPUTED_VALUE"""),-1.2975025954129054)</f>
        <v>-1.297502595</v>
      </c>
      <c r="AA218" s="46">
        <f>IFERROR(__xludf.DUMMYFUNCTION("""COMPUTED_VALUE"""),-0.2064205727568726)</f>
        <v>-0.2064205728</v>
      </c>
      <c r="AB218" s="46">
        <f>IFERROR(__xludf.DUMMYFUNCTION("""COMPUTED_VALUE"""),-0.39569839687757064)</f>
        <v>-0.3956983969</v>
      </c>
      <c r="AC218" s="46">
        <f>IFERROR(__xludf.DUMMYFUNCTION("""COMPUTED_VALUE"""),0.025670488189689155)</f>
        <v>0.02567048819</v>
      </c>
      <c r="AD218" s="46">
        <f>IFERROR(__xludf.DUMMYFUNCTION("""COMPUTED_VALUE"""),-0.26314607034217263)</f>
        <v>-0.2631460703</v>
      </c>
      <c r="AE218" s="46">
        <f>IFERROR(__xludf.DUMMYFUNCTION("""COMPUTED_VALUE"""),0.37089925572797316)</f>
        <v>0.3708992557</v>
      </c>
    </row>
    <row r="219">
      <c r="A219" s="6" t="str">
        <f>IF(VLOOKUP(H219,'Paste #BBall'!$B$2:$N1001,3,)="BRO","BKN",IF(VLOOKUP(H219,'Paste #BBall'!$B$2:$N1001,3,)="OKL","OKC",VLOOKUP(H219,'Paste #BBall'!$B$2:$N1001,3,)))</f>
        <v>DET</v>
      </c>
      <c r="B219" s="42">
        <f>VLOOKUP($A219,Schedule!$C$2:$G$31,2,0)</f>
        <v>3</v>
      </c>
      <c r="C219" s="42">
        <f>VLOOKUP($A219,Schedule!$C$2:$G$31,3,0)</f>
        <v>4</v>
      </c>
      <c r="D219" s="42">
        <f>VLOOKUP($A219,Schedule!$C$2:$G$31,4,0)</f>
        <v>4</v>
      </c>
      <c r="E219" s="42">
        <f t="shared" si="1"/>
        <v>11</v>
      </c>
      <c r="F219" s="6">
        <v>213.0</v>
      </c>
      <c r="G219" s="45">
        <f>IFERROR(__xludf.DUMMYFUNCTION("""COMPUTED_VALUE"""),225.0)</f>
        <v>225</v>
      </c>
      <c r="H219" s="45" t="str">
        <f>IFERROR(__xludf.DUMMYFUNCTION("""COMPUTED_VALUE"""),"James Wiseman")</f>
        <v>James Wiseman</v>
      </c>
      <c r="I219" s="45">
        <f>IFERROR(__xludf.DUMMYFUNCTION("""COMPUTED_VALUE"""),56.0)</f>
        <v>56</v>
      </c>
      <c r="J219" s="46" t="str">
        <f>IFERROR(__xludf.DUMMYFUNCTION("""COMPUTED_VALUE"""),"C")</f>
        <v>C</v>
      </c>
      <c r="K219" s="46">
        <f>IFERROR(__xludf.DUMMYFUNCTION("""COMPUTED_VALUE"""),-5.96761020647626)</f>
        <v>-5.967610206</v>
      </c>
      <c r="L219" s="47">
        <f>IFERROR(__xludf.DUMMYFUNCTION("""COMPUTED_VALUE"""),-3.291745737188503)</f>
        <v>-3.291745737</v>
      </c>
      <c r="M219" s="47">
        <f>IFERROR(__xludf.DUMMYFUNCTION("""COMPUTED_VALUE"""),2.675864469287757)</f>
        <v>2.675864469</v>
      </c>
      <c r="N219" s="47">
        <f>IFERROR(__xludf.DUMMYFUNCTION("""COMPUTED_VALUE"""),10.9)</f>
        <v>10.9</v>
      </c>
      <c r="O219" s="47">
        <f>IFERROR(__xludf.DUMMYFUNCTION("""COMPUTED_VALUE"""),0.1)</f>
        <v>0.1</v>
      </c>
      <c r="P219" s="47">
        <f>IFERROR(__xludf.DUMMYFUNCTION("""COMPUTED_VALUE"""),6.5)</f>
        <v>6.5</v>
      </c>
      <c r="Q219" s="48">
        <f>IFERROR(__xludf.DUMMYFUNCTION("""COMPUTED_VALUE"""),0.7)</f>
        <v>0.7</v>
      </c>
      <c r="R219" s="47">
        <f>IFERROR(__xludf.DUMMYFUNCTION("""COMPUTED_VALUE"""),0.2)</f>
        <v>0.2</v>
      </c>
      <c r="S219" s="47">
        <f>IFERROR(__xludf.DUMMYFUNCTION("""COMPUTED_VALUE"""),0.9)</f>
        <v>0.9</v>
      </c>
      <c r="T219" s="47">
        <f>IFERROR(__xludf.DUMMYFUNCTION("""COMPUTED_VALUE"""),56.09756097560976)</f>
        <v>56.09756098</v>
      </c>
      <c r="U219" s="47">
        <f>IFERROR(__xludf.DUMMYFUNCTION("""COMPUTED_VALUE"""),70.83333333333334)</f>
        <v>70.83333333</v>
      </c>
      <c r="V219" s="47">
        <f>IFERROR(__xludf.DUMMYFUNCTION("""COMPUTED_VALUE"""),1.2)</f>
        <v>1.2</v>
      </c>
      <c r="W219" s="46">
        <f>IFERROR(__xludf.DUMMYFUNCTION("""COMPUTED_VALUE"""),-1.0712660028660073)</f>
        <v>-1.071266003</v>
      </c>
      <c r="X219" s="46">
        <f>IFERROR(__xludf.DUMMYFUNCTION("""COMPUTED_VALUE"""),-1.3394249329228134)</f>
        <v>-1.339424933</v>
      </c>
      <c r="Y219" s="46">
        <f>IFERROR(__xludf.DUMMYFUNCTION("""COMPUTED_VALUE"""),0.16921286335050373)</f>
        <v>0.1692128634</v>
      </c>
      <c r="Z219" s="46">
        <f>IFERROR(__xludf.DUMMYFUNCTION("""COMPUTED_VALUE"""),-1.603517358481987)</f>
        <v>-1.603517358</v>
      </c>
      <c r="AA219" s="46">
        <f>IFERROR(__xludf.DUMMYFUNCTION("""COMPUTED_VALUE"""),-1.732769878353462)</f>
        <v>-1.732769878</v>
      </c>
      <c r="AB219" s="46">
        <f>IFERROR(__xludf.DUMMYFUNCTION("""COMPUTED_VALUE"""),0.2608808014812299)</f>
        <v>0.2608808015</v>
      </c>
      <c r="AC219" s="46">
        <f>IFERROR(__xludf.DUMMYFUNCTION("""COMPUTED_VALUE"""),0.5323228276058931)</f>
        <v>0.5323228276</v>
      </c>
      <c r="AD219" s="46">
        <f>IFERROR(__xludf.DUMMYFUNCTION("""COMPUTED_VALUE"""),-0.48666817242437466)</f>
        <v>-0.4866681724</v>
      </c>
      <c r="AE219" s="46">
        <f>IFERROR(__xludf.DUMMYFUNCTION("""COMPUTED_VALUE"""),0.24671423706905354)</f>
        <v>0.2467142371</v>
      </c>
    </row>
    <row r="220">
      <c r="A220" s="6" t="str">
        <f>IF(VLOOKUP(H220,'Paste #BBall'!$B$2:$N1001,3,)="BRO","BKN",IF(VLOOKUP(H220,'Paste #BBall'!$B$2:$N1001,3,)="OKL","OKC",VLOOKUP(H220,'Paste #BBall'!$B$2:$N1001,3,)))</f>
        <v>PHI</v>
      </c>
      <c r="B220" s="42">
        <f>VLOOKUP($A220,Schedule!$C$2:$G$31,2,0)</f>
        <v>4</v>
      </c>
      <c r="C220" s="42">
        <f>VLOOKUP($A220,Schedule!$C$2:$G$31,3,0)</f>
        <v>3</v>
      </c>
      <c r="D220" s="42">
        <f>VLOOKUP($A220,Schedule!$C$2:$G$31,4,0)</f>
        <v>4</v>
      </c>
      <c r="E220" s="42">
        <f t="shared" si="1"/>
        <v>11</v>
      </c>
      <c r="F220" s="6">
        <v>214.0</v>
      </c>
      <c r="G220" s="45">
        <f>IFERROR(__xludf.DUMMYFUNCTION("""COMPUTED_VALUE"""),209.0)</f>
        <v>209</v>
      </c>
      <c r="H220" s="45" t="str">
        <f>IFERROR(__xludf.DUMMYFUNCTION("""COMPUTED_VALUE"""),"Kelly Oubre Jr.")</f>
        <v>Kelly Oubre Jr.</v>
      </c>
      <c r="I220" s="45">
        <f>IFERROR(__xludf.DUMMYFUNCTION("""COMPUTED_VALUE"""),68.0)</f>
        <v>68</v>
      </c>
      <c r="J220" s="46" t="str">
        <f>IFERROR(__xludf.DUMMYFUNCTION("""COMPUTED_VALUE"""),"SF")</f>
        <v>SF</v>
      </c>
      <c r="K220" s="46">
        <f>IFERROR(__xludf.DUMMYFUNCTION("""COMPUTED_VALUE"""),-5.504656209819849)</f>
        <v>-5.50465621</v>
      </c>
      <c r="L220" s="47">
        <f>IFERROR(__xludf.DUMMYFUNCTION("""COMPUTED_VALUE"""),-3.361677438448026)</f>
        <v>-3.361677438</v>
      </c>
      <c r="M220" s="47">
        <f>IFERROR(__xludf.DUMMYFUNCTION("""COMPUTED_VALUE"""),2.142978771371823)</f>
        <v>2.142978771</v>
      </c>
      <c r="N220" s="47">
        <f>IFERROR(__xludf.DUMMYFUNCTION("""COMPUTED_VALUE"""),11.4)</f>
        <v>11.4</v>
      </c>
      <c r="O220" s="47">
        <f>IFERROR(__xludf.DUMMYFUNCTION("""COMPUTED_VALUE"""),1.4)</f>
        <v>1.4</v>
      </c>
      <c r="P220" s="47">
        <f>IFERROR(__xludf.DUMMYFUNCTION("""COMPUTED_VALUE"""),3.0)</f>
        <v>3</v>
      </c>
      <c r="Q220" s="48">
        <f>IFERROR(__xludf.DUMMYFUNCTION("""COMPUTED_VALUE"""),0.9)</f>
        <v>0.9</v>
      </c>
      <c r="R220" s="47">
        <f>IFERROR(__xludf.DUMMYFUNCTION("""COMPUTED_VALUE"""),0.9)</f>
        <v>0.9</v>
      </c>
      <c r="S220" s="47">
        <f>IFERROR(__xludf.DUMMYFUNCTION("""COMPUTED_VALUE"""),0.3)</f>
        <v>0.3</v>
      </c>
      <c r="T220" s="47">
        <f>IFERROR(__xludf.DUMMYFUNCTION("""COMPUTED_VALUE"""),45.16129032258064)</f>
        <v>45.16129032</v>
      </c>
      <c r="U220" s="47">
        <f>IFERROR(__xludf.DUMMYFUNCTION("""COMPUTED_VALUE"""),77.27272727272727)</f>
        <v>77.27272727</v>
      </c>
      <c r="V220" s="47">
        <f>IFERROR(__xludf.DUMMYFUNCTION("""COMPUTED_VALUE"""),0.8)</f>
        <v>0.8</v>
      </c>
      <c r="W220" s="46">
        <f>IFERROR(__xludf.DUMMYFUNCTION("""COMPUTED_VALUE"""),-0.9870028143867723)</f>
        <v>-0.9870028144</v>
      </c>
      <c r="X220" s="46">
        <f>IFERROR(__xludf.DUMMYFUNCTION("""COMPUTED_VALUE"""),-0.21215750987599089)</f>
        <v>-0.2121575099</v>
      </c>
      <c r="Y220" s="46">
        <f>IFERROR(__xludf.DUMMYFUNCTION("""COMPUTED_VALUE"""),-1.2943250816085456)</f>
        <v>-1.294325082</v>
      </c>
      <c r="Z220" s="46">
        <f>IFERROR(__xludf.DUMMYFUNCTION("""COMPUTED_VALUE"""),-1.5015124374589601)</f>
        <v>-1.501512437</v>
      </c>
      <c r="AA220" s="46">
        <f>IFERROR(__xludf.DUMMYFUNCTION("""COMPUTED_VALUE"""),-0.2064205727568726)</f>
        <v>-0.2064205728</v>
      </c>
      <c r="AB220" s="46">
        <f>IFERROR(__xludf.DUMMYFUNCTION("""COMPUTED_VALUE"""),-0.5270142365493308)</f>
        <v>-0.5270142365</v>
      </c>
      <c r="AC220" s="46">
        <f>IFERROR(__xludf.DUMMYFUNCTION("""COMPUTED_VALUE"""),-0.4121868350009262)</f>
        <v>-0.412186835</v>
      </c>
      <c r="AD220" s="46">
        <f>IFERROR(__xludf.DUMMYFUNCTION("""COMPUTED_VALUE"""),-0.09346964399756186)</f>
        <v>-0.093469644</v>
      </c>
      <c r="AE220" s="46">
        <f>IFERROR(__xludf.DUMMYFUNCTION("""COMPUTED_VALUE"""),0.37089925572797316)</f>
        <v>0.3708992557</v>
      </c>
    </row>
    <row r="221">
      <c r="A221" s="6" t="str">
        <f>IF(VLOOKUP(H221,'Paste #BBall'!$B$2:$N1001,3,)="BRO","BKN",IF(VLOOKUP(H221,'Paste #BBall'!$B$2:$N1001,3,)="OKL","OKC",VLOOKUP(H221,'Paste #BBall'!$B$2:$N1001,3,)))</f>
        <v>DET</v>
      </c>
      <c r="B221" s="42">
        <f>VLOOKUP($A221,Schedule!$C$2:$G$31,2,0)</f>
        <v>3</v>
      </c>
      <c r="C221" s="42">
        <f>VLOOKUP($A221,Schedule!$C$2:$G$31,3,0)</f>
        <v>4</v>
      </c>
      <c r="D221" s="42">
        <f>VLOOKUP($A221,Schedule!$C$2:$G$31,4,0)</f>
        <v>4</v>
      </c>
      <c r="E221" s="42">
        <f t="shared" si="1"/>
        <v>11</v>
      </c>
      <c r="F221" s="6">
        <v>215.0</v>
      </c>
      <c r="G221" s="45">
        <f>IFERROR(__xludf.DUMMYFUNCTION("""COMPUTED_VALUE"""),187.0)</f>
        <v>187</v>
      </c>
      <c r="H221" s="45" t="str">
        <f>IFERROR(__xludf.DUMMYFUNCTION("""COMPUTED_VALUE"""),"Ausar Thompson")</f>
        <v>Ausar Thompson</v>
      </c>
      <c r="I221" s="45">
        <f>IFERROR(__xludf.DUMMYFUNCTION("""COMPUTED_VALUE"""),72.0)</f>
        <v>72</v>
      </c>
      <c r="J221" s="46" t="str">
        <f>IFERROR(__xludf.DUMMYFUNCTION("""COMPUTED_VALUE"""),"SG,SF")</f>
        <v>SG,SF</v>
      </c>
      <c r="K221" s="46">
        <f>IFERROR(__xludf.DUMMYFUNCTION("""COMPUTED_VALUE"""),-4.836565963930004)</f>
        <v>-4.836565964</v>
      </c>
      <c r="L221" s="47">
        <f>IFERROR(__xludf.DUMMYFUNCTION("""COMPUTED_VALUE"""),-3.376272358114009)</f>
        <v>-3.376272358</v>
      </c>
      <c r="M221" s="47">
        <f>IFERROR(__xludf.DUMMYFUNCTION("""COMPUTED_VALUE"""),1.4602936058159948)</f>
        <v>1.460293606</v>
      </c>
      <c r="N221" s="47">
        <f>IFERROR(__xludf.DUMMYFUNCTION("""COMPUTED_VALUE"""),12.8)</f>
        <v>12.8</v>
      </c>
      <c r="O221" s="47">
        <f>IFERROR(__xludf.DUMMYFUNCTION("""COMPUTED_VALUE"""),0.7)</f>
        <v>0.7</v>
      </c>
      <c r="P221" s="47">
        <f>IFERROR(__xludf.DUMMYFUNCTION("""COMPUTED_VALUE"""),4.1)</f>
        <v>4.1</v>
      </c>
      <c r="Q221" s="48">
        <f>IFERROR(__xludf.DUMMYFUNCTION("""COMPUTED_VALUE"""),3.5)</f>
        <v>3.5</v>
      </c>
      <c r="R221" s="47">
        <f>IFERROR(__xludf.DUMMYFUNCTION("""COMPUTED_VALUE"""),1.0)</f>
        <v>1</v>
      </c>
      <c r="S221" s="47">
        <f>IFERROR(__xludf.DUMMYFUNCTION("""COMPUTED_VALUE"""),0.5)</f>
        <v>0.5</v>
      </c>
      <c r="T221" s="47">
        <f>IFERROR(__xludf.DUMMYFUNCTION("""COMPUTED_VALUE"""),44.24778761061947)</f>
        <v>44.24778761</v>
      </c>
      <c r="U221" s="47">
        <f>IFERROR(__xludf.DUMMYFUNCTION("""COMPUTED_VALUE"""),66.66666666666666)</f>
        <v>66.66666667</v>
      </c>
      <c r="V221" s="47">
        <f>IFERROR(__xludf.DUMMYFUNCTION("""COMPUTED_VALUE"""),1.8)</f>
        <v>1.8</v>
      </c>
      <c r="W221" s="46">
        <f>IFERROR(__xludf.DUMMYFUNCTION("""COMPUTED_VALUE"""),-0.7510658866449142)</f>
        <v>-0.7510658866</v>
      </c>
      <c r="X221" s="46">
        <f>IFERROR(__xludf.DUMMYFUNCTION("""COMPUTED_VALUE"""),-0.8191476607473568)</f>
        <v>-0.8191476607</v>
      </c>
      <c r="Y221" s="46">
        <f>IFERROR(__xludf.DUMMYFUNCTION("""COMPUTED_VALUE"""),-0.8343560131928446)</f>
        <v>-0.8343560132</v>
      </c>
      <c r="Z221" s="46">
        <f>IFERROR(__xludf.DUMMYFUNCTION("""COMPUTED_VALUE"""),-0.17544846415960708)</f>
        <v>-0.1754484642</v>
      </c>
      <c r="AA221" s="46">
        <f>IFERROR(__xludf.DUMMYFUNCTION("""COMPUTED_VALUE"""),0.011629328042640127)</f>
        <v>0.01162932804</v>
      </c>
      <c r="AB221" s="46">
        <f>IFERROR(__xludf.DUMMYFUNCTION("""COMPUTED_VALUE"""),-0.2643825572058105)</f>
        <v>-0.2643825572</v>
      </c>
      <c r="AC221" s="46">
        <f>IFERROR(__xludf.DUMMYFUNCTION("""COMPUTED_VALUE"""),-0.6039378132867901)</f>
        <v>-0.6039378133</v>
      </c>
      <c r="AD221" s="46">
        <f>IFERROR(__xludf.DUMMYFUNCTION("""COMPUTED_VALUE"""),-0.9194906691111593)</f>
        <v>-0.9194906691</v>
      </c>
      <c r="AE221" s="46">
        <f>IFERROR(__xludf.DUMMYFUNCTION("""COMPUTED_VALUE"""),0.06043670908067405)</f>
        <v>0.06043670908</v>
      </c>
    </row>
    <row r="222">
      <c r="A222" s="6" t="str">
        <f>IF(VLOOKUP(H222,'Paste #BBall'!$B$2:$N1001,3,)="BRO","BKN",IF(VLOOKUP(H222,'Paste #BBall'!$B$2:$N1001,3,)="OKL","OKC",VLOOKUP(H222,'Paste #BBall'!$B$2:$N1001,3,)))</f>
        <v>SA</v>
      </c>
      <c r="B222" s="42">
        <f>VLOOKUP($A222,Schedule!$C$2:$G$31,2,0)</f>
        <v>3</v>
      </c>
      <c r="C222" s="42">
        <f>VLOOKUP($A222,Schedule!$C$2:$G$31,3,0)</f>
        <v>4</v>
      </c>
      <c r="D222" s="42">
        <f>VLOOKUP($A222,Schedule!$C$2:$G$31,4,0)</f>
        <v>3</v>
      </c>
      <c r="E222" s="42">
        <f t="shared" si="1"/>
        <v>10</v>
      </c>
      <c r="F222" s="6">
        <v>216.0</v>
      </c>
      <c r="G222" s="45">
        <f>IFERROR(__xludf.DUMMYFUNCTION("""COMPUTED_VALUE"""),233.0)</f>
        <v>233</v>
      </c>
      <c r="H222" s="45" t="str">
        <f>IFERROR(__xludf.DUMMYFUNCTION("""COMPUTED_VALUE"""),"Julian Champagnie")</f>
        <v>Julian Champagnie</v>
      </c>
      <c r="I222" s="45">
        <f>IFERROR(__xludf.DUMMYFUNCTION("""COMPUTED_VALUE"""),68.0)</f>
        <v>68</v>
      </c>
      <c r="J222" s="46" t="str">
        <f>IFERROR(__xludf.DUMMYFUNCTION("""COMPUTED_VALUE"""),"SF,PF")</f>
        <v>SF,PF</v>
      </c>
      <c r="K222" s="46">
        <f>IFERROR(__xludf.DUMMYFUNCTION("""COMPUTED_VALUE"""),-6.0962366322269395)</f>
        <v>-6.096236632</v>
      </c>
      <c r="L222" s="47">
        <f>IFERROR(__xludf.DUMMYFUNCTION("""COMPUTED_VALUE"""),-3.4311658152854414)</f>
        <v>-3.431165815</v>
      </c>
      <c r="M222" s="47">
        <f>IFERROR(__xludf.DUMMYFUNCTION("""COMPUTED_VALUE"""),2.665070816941498)</f>
        <v>2.665070817</v>
      </c>
      <c r="N222" s="47">
        <f>IFERROR(__xludf.DUMMYFUNCTION("""COMPUTED_VALUE"""),10.4)</f>
        <v>10.4</v>
      </c>
      <c r="O222" s="47">
        <f>IFERROR(__xludf.DUMMYFUNCTION("""COMPUTED_VALUE"""),2.1)</f>
        <v>2.1</v>
      </c>
      <c r="P222" s="47">
        <f>IFERROR(__xludf.DUMMYFUNCTION("""COMPUTED_VALUE"""),3.8)</f>
        <v>3.8</v>
      </c>
      <c r="Q222" s="48">
        <f>IFERROR(__xludf.DUMMYFUNCTION("""COMPUTED_VALUE"""),0.6)</f>
        <v>0.6</v>
      </c>
      <c r="R222" s="47">
        <f>IFERROR(__xludf.DUMMYFUNCTION("""COMPUTED_VALUE"""),0.4)</f>
        <v>0.4</v>
      </c>
      <c r="S222" s="47">
        <f>IFERROR(__xludf.DUMMYFUNCTION("""COMPUTED_VALUE"""),0.3)</f>
        <v>0.3</v>
      </c>
      <c r="T222" s="47">
        <f>IFERROR(__xludf.DUMMYFUNCTION("""COMPUTED_VALUE"""),45.121951219512205)</f>
        <v>45.12195122</v>
      </c>
      <c r="U222" s="47">
        <f>IFERROR(__xludf.DUMMYFUNCTION("""COMPUTED_VALUE"""),81.81818181818181)</f>
        <v>81.81818182</v>
      </c>
      <c r="V222" s="47">
        <f>IFERROR(__xludf.DUMMYFUNCTION("""COMPUTED_VALUE"""),0.7)</f>
        <v>0.7</v>
      </c>
      <c r="W222" s="46">
        <f>IFERROR(__xludf.DUMMYFUNCTION("""COMPUTED_VALUE"""),-1.1555291913452421)</f>
        <v>-1.155529191</v>
      </c>
      <c r="X222" s="46">
        <f>IFERROR(__xludf.DUMMYFUNCTION("""COMPUTED_VALUE"""),0.39483264099537524)</f>
        <v>0.394832641</v>
      </c>
      <c r="Y222" s="46">
        <f>IFERROR(__xludf.DUMMYFUNCTION("""COMPUTED_VALUE"""),-0.959802122760763)</f>
        <v>-0.9598021228</v>
      </c>
      <c r="Z222" s="46">
        <f>IFERROR(__xludf.DUMMYFUNCTION("""COMPUTED_VALUE"""),-1.6545198189935006)</f>
        <v>-1.654519819</v>
      </c>
      <c r="AA222" s="46">
        <f>IFERROR(__xludf.DUMMYFUNCTION("""COMPUTED_VALUE"""),-1.2966700767544366)</f>
        <v>-1.296670077</v>
      </c>
      <c r="AB222" s="46">
        <f>IFERROR(__xludf.DUMMYFUNCTION("""COMPUTED_VALUE"""),-0.5270142365493308)</f>
        <v>-0.5270142365</v>
      </c>
      <c r="AC222" s="46">
        <f>IFERROR(__xludf.DUMMYFUNCTION("""COMPUTED_VALUE"""),-0.36665569869724296)</f>
        <v>-0.3666556987</v>
      </c>
      <c r="AD222" s="46">
        <f>IFERROR(__xludf.DUMMYFUNCTION("""COMPUTED_VALUE"""),0.07772735943349546)</f>
        <v>0.07772735943</v>
      </c>
      <c r="AE222" s="46">
        <f>IFERROR(__xludf.DUMMYFUNCTION("""COMPUTED_VALUE"""),0.4019455103927031)</f>
        <v>0.4019455104</v>
      </c>
    </row>
    <row r="223">
      <c r="A223" s="6" t="str">
        <f>IF(VLOOKUP(H223,'Paste #BBall'!$B$2:$N1001,3,)="BRO","BKN",IF(VLOOKUP(H223,'Paste #BBall'!$B$2:$N1001,3,)="OKL","OKC",VLOOKUP(H223,'Paste #BBall'!$B$2:$N1001,3,)))</f>
        <v>CHI</v>
      </c>
      <c r="B223" s="42">
        <f>VLOOKUP($A223,Schedule!$C$2:$G$31,2,0)</f>
        <v>4</v>
      </c>
      <c r="C223" s="42">
        <f>VLOOKUP($A223,Schedule!$C$2:$G$31,3,0)</f>
        <v>4</v>
      </c>
      <c r="D223" s="42">
        <f>VLOOKUP($A223,Schedule!$C$2:$G$31,4,0)</f>
        <v>3</v>
      </c>
      <c r="E223" s="42">
        <f t="shared" si="1"/>
        <v>11</v>
      </c>
      <c r="F223" s="6">
        <v>217.0</v>
      </c>
      <c r="G223" s="45">
        <f>IFERROR(__xludf.DUMMYFUNCTION("""COMPUTED_VALUE"""),228.0)</f>
        <v>228</v>
      </c>
      <c r="H223" s="45" t="str">
        <f>IFERROR(__xludf.DUMMYFUNCTION("""COMPUTED_VALUE"""),"Andre Drummond")</f>
        <v>Andre Drummond</v>
      </c>
      <c r="I223" s="45">
        <f>IFERROR(__xludf.DUMMYFUNCTION("""COMPUTED_VALUE"""),70.0)</f>
        <v>70</v>
      </c>
      <c r="J223" s="46" t="str">
        <f>IFERROR(__xludf.DUMMYFUNCTION("""COMPUTED_VALUE"""),"C")</f>
        <v>C</v>
      </c>
      <c r="K223" s="46">
        <f>IFERROR(__xludf.DUMMYFUNCTION("""COMPUTED_VALUE"""),-6.050007098552985)</f>
        <v>-6.050007099</v>
      </c>
      <c r="L223" s="47">
        <f>IFERROR(__xludf.DUMMYFUNCTION("""COMPUTED_VALUE"""),-3.44152968483229)</f>
        <v>-3.441529685</v>
      </c>
      <c r="M223" s="47">
        <f>IFERROR(__xludf.DUMMYFUNCTION("""COMPUTED_VALUE"""),2.608477413720695)</f>
        <v>2.608477414</v>
      </c>
      <c r="N223" s="47">
        <f>IFERROR(__xludf.DUMMYFUNCTION("""COMPUTED_VALUE"""),6.1)</f>
        <v>6.1</v>
      </c>
      <c r="O223" s="47">
        <f>IFERROR(__xludf.DUMMYFUNCTION("""COMPUTED_VALUE"""),0.0)</f>
        <v>0</v>
      </c>
      <c r="P223" s="47">
        <f>IFERROR(__xludf.DUMMYFUNCTION("""COMPUTED_VALUE"""),7.0)</f>
        <v>7</v>
      </c>
      <c r="Q223" s="48">
        <f>IFERROR(__xludf.DUMMYFUNCTION("""COMPUTED_VALUE"""),1.0)</f>
        <v>1</v>
      </c>
      <c r="R223" s="47">
        <f>IFERROR(__xludf.DUMMYFUNCTION("""COMPUTED_VALUE"""),0.8)</f>
        <v>0.8</v>
      </c>
      <c r="S223" s="47">
        <f>IFERROR(__xludf.DUMMYFUNCTION("""COMPUTED_VALUE"""),0.6)</f>
        <v>0.6</v>
      </c>
      <c r="T223" s="47">
        <f>IFERROR(__xludf.DUMMYFUNCTION("""COMPUTED_VALUE"""),59.09090909090908)</f>
        <v>59.09090909</v>
      </c>
      <c r="U223" s="47">
        <f>IFERROR(__xludf.DUMMYFUNCTION("""COMPUTED_VALUE"""),55.55555555555556)</f>
        <v>55.55555556</v>
      </c>
      <c r="V223" s="47">
        <f>IFERROR(__xludf.DUMMYFUNCTION("""COMPUTED_VALUE"""),1.2)</f>
        <v>1.2</v>
      </c>
      <c r="W223" s="46">
        <f>IFERROR(__xludf.DUMMYFUNCTION("""COMPUTED_VALUE"""),-1.8801926122666628)</f>
        <v>-1.880192612</v>
      </c>
      <c r="X223" s="46">
        <f>IFERROR(__xludf.DUMMYFUNCTION("""COMPUTED_VALUE"""),-1.4261378116187227)</f>
        <v>-1.426137812</v>
      </c>
      <c r="Y223" s="46">
        <f>IFERROR(__xludf.DUMMYFUNCTION("""COMPUTED_VALUE"""),0.3782897126303679)</f>
        <v>0.3782897126</v>
      </c>
      <c r="Z223" s="46">
        <f>IFERROR(__xludf.DUMMYFUNCTION("""COMPUTED_VALUE"""),-1.4505099769474463)</f>
        <v>-1.450509977</v>
      </c>
      <c r="AA223" s="46">
        <f>IFERROR(__xludf.DUMMYFUNCTION("""COMPUTED_VALUE"""),-0.42447047355638534)</f>
        <v>-0.4244704736</v>
      </c>
      <c r="AB223" s="46">
        <f>IFERROR(__xludf.DUMMYFUNCTION("""COMPUTED_VALUE"""),-0.13306671753405044)</f>
        <v>-0.1330667175</v>
      </c>
      <c r="AC223" s="46">
        <f>IFERROR(__xludf.DUMMYFUNCTION("""COMPUTED_VALUE"""),0.41719447232069373)</f>
        <v>0.4171944723</v>
      </c>
      <c r="AD223" s="46">
        <f>IFERROR(__xludf.DUMMYFUNCTION("""COMPUTED_VALUE"""),-1.0495431271958)</f>
        <v>-1.049543127</v>
      </c>
      <c r="AE223" s="46">
        <f>IFERROR(__xludf.DUMMYFUNCTION("""COMPUTED_VALUE"""),0.24671423706905354)</f>
        <v>0.2467142371</v>
      </c>
    </row>
    <row r="224">
      <c r="A224" s="6" t="str">
        <f>IF(VLOOKUP(H224,'Paste #BBall'!$B$2:$N1001,3,)="BRO","BKN",IF(VLOOKUP(H224,'Paste #BBall'!$B$2:$N1001,3,)="OKL","OKC",VLOOKUP(H224,'Paste #BBall'!$B$2:$N1001,3,)))</f>
        <v>CHA</v>
      </c>
      <c r="B224" s="42">
        <f>VLOOKUP($A224,Schedule!$C$2:$G$31,2,0)</f>
        <v>3</v>
      </c>
      <c r="C224" s="42">
        <f>VLOOKUP($A224,Schedule!$C$2:$G$31,3,0)</f>
        <v>4</v>
      </c>
      <c r="D224" s="42">
        <f>VLOOKUP($A224,Schedule!$C$2:$G$31,4,0)</f>
        <v>2</v>
      </c>
      <c r="E224" s="42">
        <f t="shared" si="1"/>
        <v>9</v>
      </c>
      <c r="F224" s="6">
        <v>218.0</v>
      </c>
      <c r="G224" s="45">
        <f>IFERROR(__xludf.DUMMYFUNCTION("""COMPUTED_VALUE"""),202.0)</f>
        <v>202</v>
      </c>
      <c r="H224" s="45" t="str">
        <f>IFERROR(__xludf.DUMMYFUNCTION("""COMPUTED_VALUE"""),"Gordon Hayward")</f>
        <v>Gordon Hayward</v>
      </c>
      <c r="I224" s="45">
        <f>IFERROR(__xludf.DUMMYFUNCTION("""COMPUTED_VALUE"""),50.0)</f>
        <v>50</v>
      </c>
      <c r="J224" s="46" t="str">
        <f>IFERROR(__xludf.DUMMYFUNCTION("""COMPUTED_VALUE"""),"SF")</f>
        <v>SF</v>
      </c>
      <c r="K224" s="46">
        <f>IFERROR(__xludf.DUMMYFUNCTION("""COMPUTED_VALUE"""),-5.30918393800586)</f>
        <v>-5.309183938</v>
      </c>
      <c r="L224" s="47">
        <f>IFERROR(__xludf.DUMMYFUNCTION("""COMPUTED_VALUE"""),-3.450880141663572)</f>
        <v>-3.450880142</v>
      </c>
      <c r="M224" s="47">
        <f>IFERROR(__xludf.DUMMYFUNCTION("""COMPUTED_VALUE"""),1.8583037963422875)</f>
        <v>1.858303796</v>
      </c>
      <c r="N224" s="47">
        <f>IFERROR(__xludf.DUMMYFUNCTION("""COMPUTED_VALUE"""),12.0)</f>
        <v>12</v>
      </c>
      <c r="O224" s="47">
        <f>IFERROR(__xludf.DUMMYFUNCTION("""COMPUTED_VALUE"""),1.0)</f>
        <v>1</v>
      </c>
      <c r="P224" s="47">
        <f>IFERROR(__xludf.DUMMYFUNCTION("""COMPUTED_VALUE"""),3.5)</f>
        <v>3.5</v>
      </c>
      <c r="Q224" s="48">
        <f>IFERROR(__xludf.DUMMYFUNCTION("""COMPUTED_VALUE"""),3.0)</f>
        <v>3</v>
      </c>
      <c r="R224" s="47">
        <f>IFERROR(__xludf.DUMMYFUNCTION("""COMPUTED_VALUE"""),0.6)</f>
        <v>0.6</v>
      </c>
      <c r="S224" s="47">
        <f>IFERROR(__xludf.DUMMYFUNCTION("""COMPUTED_VALUE"""),0.2)</f>
        <v>0.2</v>
      </c>
      <c r="T224" s="47">
        <f>IFERROR(__xludf.DUMMYFUNCTION("""COMPUTED_VALUE"""),47.368421052631575)</f>
        <v>47.36842105</v>
      </c>
      <c r="U224" s="47">
        <f>IFERROR(__xludf.DUMMYFUNCTION("""COMPUTED_VALUE"""),80.0)</f>
        <v>80</v>
      </c>
      <c r="V224" s="47">
        <f>IFERROR(__xludf.DUMMYFUNCTION("""COMPUTED_VALUE"""),1.7)</f>
        <v>1.7</v>
      </c>
      <c r="W224" s="46">
        <f>IFERROR(__xludf.DUMMYFUNCTION("""COMPUTED_VALUE"""),-0.8858869882116903)</f>
        <v>-0.8858869882</v>
      </c>
      <c r="X224" s="46">
        <f>IFERROR(__xludf.DUMMYFUNCTION("""COMPUTED_VALUE"""),-0.5590090246596284)</f>
        <v>-0.5590090247</v>
      </c>
      <c r="Y224" s="46">
        <f>IFERROR(__xludf.DUMMYFUNCTION("""COMPUTED_VALUE"""),-1.0852482323286814)</f>
        <v>-1.085248232</v>
      </c>
      <c r="Z224" s="46">
        <f>IFERROR(__xludf.DUMMYFUNCTION("""COMPUTED_VALUE"""),-0.4304607667171749)</f>
        <v>-0.4304607667</v>
      </c>
      <c r="AA224" s="46">
        <f>IFERROR(__xludf.DUMMYFUNCTION("""COMPUTED_VALUE"""),-0.860570275155411)</f>
        <v>-0.8605702752</v>
      </c>
      <c r="AB224" s="46">
        <f>IFERROR(__xludf.DUMMYFUNCTION("""COMPUTED_VALUE"""),-0.6583300762210907)</f>
        <v>-0.6583300762</v>
      </c>
      <c r="AC224" s="46">
        <f>IFERROR(__xludf.DUMMYFUNCTION("""COMPUTED_VALUE"""),-0.21161162639985714)</f>
        <v>-0.2116116264</v>
      </c>
      <c r="AD224" s="46">
        <f>IFERROR(__xludf.DUMMYFUNCTION("""COMPUTED_VALUE"""),0.06350565195587558)</f>
        <v>0.06350565196</v>
      </c>
      <c r="AE224" s="46">
        <f>IFERROR(__xludf.DUMMYFUNCTION("""COMPUTED_VALUE"""),0.09148296374540399)</f>
        <v>0.09148296375</v>
      </c>
    </row>
    <row r="225">
      <c r="A225" s="6" t="str">
        <f>IF(VLOOKUP(H225,'Paste #BBall'!$B$2:$N1001,3,)="BRO","BKN",IF(VLOOKUP(H225,'Paste #BBall'!$B$2:$N1001,3,)="OKL","OKC",VLOOKUP(H225,'Paste #BBall'!$B$2:$N1001,3,)))</f>
        <v>CLE</v>
      </c>
      <c r="B225" s="42">
        <f>VLOOKUP($A225,Schedule!$C$2:$G$31,2,0)</f>
        <v>4</v>
      </c>
      <c r="C225" s="42">
        <f>VLOOKUP($A225,Schedule!$C$2:$G$31,3,0)</f>
        <v>3</v>
      </c>
      <c r="D225" s="42">
        <f>VLOOKUP($A225,Schedule!$C$2:$G$31,4,0)</f>
        <v>4</v>
      </c>
      <c r="E225" s="42">
        <f t="shared" si="1"/>
        <v>11</v>
      </c>
      <c r="F225" s="6">
        <v>219.0</v>
      </c>
      <c r="G225" s="45">
        <f>IFERROR(__xludf.DUMMYFUNCTION("""COMPUTED_VALUE"""),220.0)</f>
        <v>220</v>
      </c>
      <c r="H225" s="45" t="str">
        <f>IFERROR(__xludf.DUMMYFUNCTION("""COMPUTED_VALUE"""),"Ricky Rubio")</f>
        <v>Ricky Rubio</v>
      </c>
      <c r="I225" s="45">
        <f>IFERROR(__xludf.DUMMYFUNCTION("""COMPUTED_VALUE"""),38.0)</f>
        <v>38</v>
      </c>
      <c r="J225" s="46" t="str">
        <f>IFERROR(__xludf.DUMMYFUNCTION("""COMPUTED_VALUE"""),"PG,SG")</f>
        <v>PG,SG</v>
      </c>
      <c r="K225" s="46">
        <f>IFERROR(__xludf.DUMMYFUNCTION("""COMPUTED_VALUE"""),-5.798882925126724)</f>
        <v>-5.798882925</v>
      </c>
      <c r="L225" s="47">
        <f>IFERROR(__xludf.DUMMYFUNCTION("""COMPUTED_VALUE"""),-3.4787809570614296)</f>
        <v>-3.478780957</v>
      </c>
      <c r="M225" s="47">
        <f>IFERROR(__xludf.DUMMYFUNCTION("""COMPUTED_VALUE"""),2.320101968065295)</f>
        <v>2.320101968</v>
      </c>
      <c r="N225" s="47">
        <f>IFERROR(__xludf.DUMMYFUNCTION("""COMPUTED_VALUE"""),7.5)</f>
        <v>7.5</v>
      </c>
      <c r="O225" s="47">
        <f>IFERROR(__xludf.DUMMYFUNCTION("""COMPUTED_VALUE"""),1.0)</f>
        <v>1</v>
      </c>
      <c r="P225" s="47">
        <f>IFERROR(__xludf.DUMMYFUNCTION("""COMPUTED_VALUE"""),2.6)</f>
        <v>2.6</v>
      </c>
      <c r="Q225" s="48">
        <f>IFERROR(__xludf.DUMMYFUNCTION("""COMPUTED_VALUE"""),4.1)</f>
        <v>4.1</v>
      </c>
      <c r="R225" s="47">
        <f>IFERROR(__xludf.DUMMYFUNCTION("""COMPUTED_VALUE"""),0.9)</f>
        <v>0.9</v>
      </c>
      <c r="S225" s="47">
        <f>IFERROR(__xludf.DUMMYFUNCTION("""COMPUTED_VALUE"""),0.2)</f>
        <v>0.2</v>
      </c>
      <c r="T225" s="47">
        <f>IFERROR(__xludf.DUMMYFUNCTION("""COMPUTED_VALUE"""),35.21126760563381)</f>
        <v>35.21126761</v>
      </c>
      <c r="U225" s="47">
        <f>IFERROR(__xludf.DUMMYFUNCTION("""COMPUTED_VALUE"""),82.35294117647058)</f>
        <v>82.35294118</v>
      </c>
      <c r="V225" s="47">
        <f>IFERROR(__xludf.DUMMYFUNCTION("""COMPUTED_VALUE"""),1.5)</f>
        <v>1.5</v>
      </c>
      <c r="W225" s="46">
        <f>IFERROR(__xludf.DUMMYFUNCTION("""COMPUTED_VALUE"""),-1.6442556845248049)</f>
        <v>-1.644255685</v>
      </c>
      <c r="X225" s="46">
        <f>IFERROR(__xludf.DUMMYFUNCTION("""COMPUTED_VALUE"""),-0.5590090246596284)</f>
        <v>-0.5590090247</v>
      </c>
      <c r="Y225" s="46">
        <f>IFERROR(__xludf.DUMMYFUNCTION("""COMPUTED_VALUE"""),-1.461586561032437)</f>
        <v>-1.461586561</v>
      </c>
      <c r="Z225" s="46">
        <f>IFERROR(__xludf.DUMMYFUNCTION("""COMPUTED_VALUE"""),0.1305662989094742)</f>
        <v>0.1305662989</v>
      </c>
      <c r="AA225" s="46">
        <f>IFERROR(__xludf.DUMMYFUNCTION("""COMPUTED_VALUE"""),-0.2064205727568726)</f>
        <v>-0.2064205728</v>
      </c>
      <c r="AB225" s="46">
        <f>IFERROR(__xludf.DUMMYFUNCTION("""COMPUTED_VALUE"""),-0.6583300762210907)</f>
        <v>-0.6583300762</v>
      </c>
      <c r="AC225" s="46">
        <f>IFERROR(__xludf.DUMMYFUNCTION("""COMPUTED_VALUE"""),-1.0203300828515556)</f>
        <v>-1.020330083</v>
      </c>
      <c r="AD225" s="46">
        <f>IFERROR(__xludf.DUMMYFUNCTION("""COMPUTED_VALUE"""),0.14275358847581598)</f>
        <v>0.1427535885</v>
      </c>
      <c r="AE225" s="46">
        <f>IFERROR(__xludf.DUMMYFUNCTION("""COMPUTED_VALUE"""),0.1535754730748638)</f>
        <v>0.1535754731</v>
      </c>
    </row>
    <row r="226">
      <c r="A226" s="6" t="str">
        <f>IF(VLOOKUP(H226,'Paste #BBall'!$B$2:$N1001,3,)="BRO","BKN",IF(VLOOKUP(H226,'Paste #BBall'!$B$2:$N1001,3,)="OKL","OKC",VLOOKUP(H226,'Paste #BBall'!$B$2:$N1001,3,)))</f>
        <v>OKC</v>
      </c>
      <c r="B226" s="42">
        <f>VLOOKUP($A226,Schedule!$C$2:$G$31,2,0)</f>
        <v>4</v>
      </c>
      <c r="C226" s="42">
        <f>VLOOKUP($A226,Schedule!$C$2:$G$31,3,0)</f>
        <v>3</v>
      </c>
      <c r="D226" s="42">
        <f>VLOOKUP($A226,Schedule!$C$2:$G$31,4,0)</f>
        <v>3</v>
      </c>
      <c r="E226" s="42">
        <f t="shared" si="1"/>
        <v>10</v>
      </c>
      <c r="F226" s="6">
        <v>220.0</v>
      </c>
      <c r="G226" s="45">
        <f>IFERROR(__xludf.DUMMYFUNCTION("""COMPUTED_VALUE"""),229.0)</f>
        <v>229</v>
      </c>
      <c r="H226" s="45" t="str">
        <f>IFERROR(__xludf.DUMMYFUNCTION("""COMPUTED_VALUE"""),"Isaiah Joe")</f>
        <v>Isaiah Joe</v>
      </c>
      <c r="I226" s="45">
        <f>IFERROR(__xludf.DUMMYFUNCTION("""COMPUTED_VALUE"""),70.0)</f>
        <v>70</v>
      </c>
      <c r="J226" s="46" t="str">
        <f>IFERROR(__xludf.DUMMYFUNCTION("""COMPUTED_VALUE"""),"PG,SG")</f>
        <v>PG,SG</v>
      </c>
      <c r="K226" s="46">
        <f>IFERROR(__xludf.DUMMYFUNCTION("""COMPUTED_VALUE"""),-6.055021868289014)</f>
        <v>-6.055021868</v>
      </c>
      <c r="L226" s="47">
        <f>IFERROR(__xludf.DUMMYFUNCTION("""COMPUTED_VALUE"""),-3.5069820788084956)</f>
        <v>-3.506982079</v>
      </c>
      <c r="M226" s="47">
        <f>IFERROR(__xludf.DUMMYFUNCTION("""COMPUTED_VALUE"""),2.5480397894805185)</f>
        <v>2.548039789</v>
      </c>
      <c r="N226" s="47">
        <f>IFERROR(__xludf.DUMMYFUNCTION("""COMPUTED_VALUE"""),10.0)</f>
        <v>10</v>
      </c>
      <c r="O226" s="47">
        <f>IFERROR(__xludf.DUMMYFUNCTION("""COMPUTED_VALUE"""),2.3)</f>
        <v>2.3</v>
      </c>
      <c r="P226" s="47">
        <f>IFERROR(__xludf.DUMMYFUNCTION("""COMPUTED_VALUE"""),2.3)</f>
        <v>2.3</v>
      </c>
      <c r="Q226" s="48">
        <f>IFERROR(__xludf.DUMMYFUNCTION("""COMPUTED_VALUE"""),1.2)</f>
        <v>1.2</v>
      </c>
      <c r="R226" s="47">
        <f>IFERROR(__xludf.DUMMYFUNCTION("""COMPUTED_VALUE"""),0.6)</f>
        <v>0.6</v>
      </c>
      <c r="S226" s="47">
        <f>IFERROR(__xludf.DUMMYFUNCTION("""COMPUTED_VALUE"""),0.1)</f>
        <v>0.1</v>
      </c>
      <c r="T226" s="47">
        <f>IFERROR(__xludf.DUMMYFUNCTION("""COMPUTED_VALUE"""),43.42105263157895)</f>
        <v>43.42105263</v>
      </c>
      <c r="U226" s="47">
        <f>IFERROR(__xludf.DUMMYFUNCTION("""COMPUTED_VALUE"""),84.61538461538461)</f>
        <v>84.61538462</v>
      </c>
      <c r="V226" s="47">
        <f>IFERROR(__xludf.DUMMYFUNCTION("""COMPUTED_VALUE"""),0.6)</f>
        <v>0.6</v>
      </c>
      <c r="W226" s="46">
        <f>IFERROR(__xludf.DUMMYFUNCTION("""COMPUTED_VALUE"""),-1.22293974212863)</f>
        <v>-1.222939742</v>
      </c>
      <c r="X226" s="46">
        <f>IFERROR(__xludf.DUMMYFUNCTION("""COMPUTED_VALUE"""),0.5682583983871938)</f>
        <v>0.5682583984</v>
      </c>
      <c r="Y226" s="46">
        <f>IFERROR(__xludf.DUMMYFUNCTION("""COMPUTED_VALUE"""),-1.5870326706003557)</f>
        <v>-1.587032671</v>
      </c>
      <c r="Z226" s="46">
        <f>IFERROR(__xludf.DUMMYFUNCTION("""COMPUTED_VALUE"""),-1.3485050559244194)</f>
        <v>-1.348505056</v>
      </c>
      <c r="AA226" s="46">
        <f>IFERROR(__xludf.DUMMYFUNCTION("""COMPUTED_VALUE"""),-0.860570275155411)</f>
        <v>-0.8605702752</v>
      </c>
      <c r="AB226" s="46">
        <f>IFERROR(__xludf.DUMMYFUNCTION("""COMPUTED_VALUE"""),-0.7896459158928509)</f>
        <v>-0.7896459159</v>
      </c>
      <c r="AC226" s="46">
        <f>IFERROR(__xludf.DUMMYFUNCTION("""COMPUTED_VALUE"""),-0.4689488098875975)</f>
        <v>-0.4689488099</v>
      </c>
      <c r="AD226" s="46">
        <f>IFERROR(__xludf.DUMMYFUNCTION("""COMPUTED_VALUE"""),0.18237755673578657)</f>
        <v>0.1823775567</v>
      </c>
      <c r="AE226" s="46">
        <f>IFERROR(__xludf.DUMMYFUNCTION("""COMPUTED_VALUE"""),0.43299176505743303)</f>
        <v>0.4329917651</v>
      </c>
    </row>
    <row r="227">
      <c r="A227" s="6" t="str">
        <f>IF(VLOOKUP(H227,'Paste #BBall'!$B$2:$N1001,3,)="BRO","BKN",IF(VLOOKUP(H227,'Paste #BBall'!$B$2:$N1001,3,)="OKL","OKC",VLOOKUP(H227,'Paste #BBall'!$B$2:$N1001,3,)))</f>
        <v>MIN</v>
      </c>
      <c r="B227" s="42">
        <f>VLOOKUP($A227,Schedule!$C$2:$G$31,2,0)</f>
        <v>4</v>
      </c>
      <c r="C227" s="42">
        <f>VLOOKUP($A227,Schedule!$C$2:$G$31,3,0)</f>
        <v>2</v>
      </c>
      <c r="D227" s="42">
        <f>VLOOKUP($A227,Schedule!$C$2:$G$31,4,0)</f>
        <v>4</v>
      </c>
      <c r="E227" s="42">
        <f t="shared" si="1"/>
        <v>10</v>
      </c>
      <c r="F227" s="6">
        <v>221.0</v>
      </c>
      <c r="G227" s="45">
        <f>IFERROR(__xludf.DUMMYFUNCTION("""COMPUTED_VALUE"""),211.0)</f>
        <v>211</v>
      </c>
      <c r="H227" s="45" t="str">
        <f>IFERROR(__xludf.DUMMYFUNCTION("""COMPUTED_VALUE"""),"Naz Reid")</f>
        <v>Naz Reid</v>
      </c>
      <c r="I227" s="45">
        <f>IFERROR(__xludf.DUMMYFUNCTION("""COMPUTED_VALUE"""),72.0)</f>
        <v>72</v>
      </c>
      <c r="J227" s="46" t="str">
        <f>IFERROR(__xludf.DUMMYFUNCTION("""COMPUTED_VALUE"""),"PF,C")</f>
        <v>PF,C</v>
      </c>
      <c r="K227" s="46">
        <f>IFERROR(__xludf.DUMMYFUNCTION("""COMPUTED_VALUE"""),-5.564427405572533)</f>
        <v>-5.564427406</v>
      </c>
      <c r="L227" s="47">
        <f>IFERROR(__xludf.DUMMYFUNCTION("""COMPUTED_VALUE"""),-3.5090025343174465)</f>
        <v>-3.509002534</v>
      </c>
      <c r="M227" s="47">
        <f>IFERROR(__xludf.DUMMYFUNCTION("""COMPUTED_VALUE"""),2.0554248712550867)</f>
        <v>2.055424871</v>
      </c>
      <c r="N227" s="47">
        <f>IFERROR(__xludf.DUMMYFUNCTION("""COMPUTED_VALUE"""),9.5)</f>
        <v>9.5</v>
      </c>
      <c r="O227" s="47">
        <f>IFERROR(__xludf.DUMMYFUNCTION("""COMPUTED_VALUE"""),0.9)</f>
        <v>0.9</v>
      </c>
      <c r="P227" s="47">
        <f>IFERROR(__xludf.DUMMYFUNCTION("""COMPUTED_VALUE"""),4.3)</f>
        <v>4.3</v>
      </c>
      <c r="Q227" s="48">
        <f>IFERROR(__xludf.DUMMYFUNCTION("""COMPUTED_VALUE"""),1.0)</f>
        <v>1</v>
      </c>
      <c r="R227" s="47">
        <f>IFERROR(__xludf.DUMMYFUNCTION("""COMPUTED_VALUE"""),0.6)</f>
        <v>0.6</v>
      </c>
      <c r="S227" s="47">
        <f>IFERROR(__xludf.DUMMYFUNCTION("""COMPUTED_VALUE"""),0.8)</f>
        <v>0.8</v>
      </c>
      <c r="T227" s="47">
        <f>IFERROR(__xludf.DUMMYFUNCTION("""COMPUTED_VALUE"""),52.11267605633804)</f>
        <v>52.11267606</v>
      </c>
      <c r="U227" s="47">
        <f>IFERROR(__xludf.DUMMYFUNCTION("""COMPUTED_VALUE"""),68.42105263157895)</f>
        <v>68.42105263</v>
      </c>
      <c r="V227" s="47">
        <f>IFERROR(__xludf.DUMMYFUNCTION("""COMPUTED_VALUE"""),1.2)</f>
        <v>1.2</v>
      </c>
      <c r="W227" s="46">
        <f>IFERROR(__xludf.DUMMYFUNCTION("""COMPUTED_VALUE"""),-1.3072029306078652)</f>
        <v>-1.307202931</v>
      </c>
      <c r="X227" s="46">
        <f>IFERROR(__xludf.DUMMYFUNCTION("""COMPUTED_VALUE"""),-0.6457219033555379)</f>
        <v>-0.6457219034</v>
      </c>
      <c r="Y227" s="46">
        <f>IFERROR(__xludf.DUMMYFUNCTION("""COMPUTED_VALUE"""),-0.7507252734808988)</f>
        <v>-0.7507252735</v>
      </c>
      <c r="Z227" s="46">
        <f>IFERROR(__xludf.DUMMYFUNCTION("""COMPUTED_VALUE"""),-1.4505099769474463)</f>
        <v>-1.450509977</v>
      </c>
      <c r="AA227" s="46">
        <f>IFERROR(__xludf.DUMMYFUNCTION("""COMPUTED_VALUE"""),-0.860570275155411)</f>
        <v>-0.8605702752</v>
      </c>
      <c r="AB227" s="46">
        <f>IFERROR(__xludf.DUMMYFUNCTION("""COMPUTED_VALUE"""),0.12956496180946983)</f>
        <v>0.1295649618</v>
      </c>
      <c r="AC227" s="46">
        <f>IFERROR(__xludf.DUMMYFUNCTION("""COMPUTED_VALUE"""),0.17830795221929305)</f>
        <v>0.1783079522</v>
      </c>
      <c r="AD227" s="46">
        <f>IFERROR(__xludf.DUMMYFUNCTION("""COMPUTED_VALUE"""),-0.4993693028155499)</f>
        <v>-0.4993693028</v>
      </c>
      <c r="AE227" s="46">
        <f>IFERROR(__xludf.DUMMYFUNCTION("""COMPUTED_VALUE"""),0.24671423706905354)</f>
        <v>0.2467142371</v>
      </c>
    </row>
    <row r="228">
      <c r="A228" s="6" t="str">
        <f>IF(VLOOKUP(H228,'Paste #BBall'!$B$2:$N1001,3,)="BRO","BKN",IF(VLOOKUP(H228,'Paste #BBall'!$B$2:$N1001,3,)="OKL","OKC",VLOOKUP(H228,'Paste #BBall'!$B$2:$N1001,3,)))</f>
        <v>IND</v>
      </c>
      <c r="B228" s="42">
        <f>VLOOKUP($A228,Schedule!$C$2:$G$31,2,0)</f>
        <v>3</v>
      </c>
      <c r="C228" s="42">
        <f>VLOOKUP($A228,Schedule!$C$2:$G$31,3,0)</f>
        <v>3</v>
      </c>
      <c r="D228" s="42">
        <f>VLOOKUP($A228,Schedule!$C$2:$G$31,4,0)</f>
        <v>4</v>
      </c>
      <c r="E228" s="42">
        <f t="shared" si="1"/>
        <v>10</v>
      </c>
      <c r="F228" s="6">
        <v>222.0</v>
      </c>
      <c r="G228" s="45">
        <f>IFERROR(__xludf.DUMMYFUNCTION("""COMPUTED_VALUE"""),218.0)</f>
        <v>218</v>
      </c>
      <c r="H228" s="45" t="str">
        <f>IFERROR(__xludf.DUMMYFUNCTION("""COMPUTED_VALUE"""),"Jarace Walker")</f>
        <v>Jarace Walker</v>
      </c>
      <c r="I228" s="45">
        <f>IFERROR(__xludf.DUMMYFUNCTION("""COMPUTED_VALUE"""),70.0)</f>
        <v>70</v>
      </c>
      <c r="J228" s="46" t="str">
        <f>IFERROR(__xludf.DUMMYFUNCTION("""COMPUTED_VALUE"""),"PF")</f>
        <v>PF</v>
      </c>
      <c r="K228" s="46">
        <f>IFERROR(__xludf.DUMMYFUNCTION("""COMPUTED_VALUE"""),-5.764376961890281)</f>
        <v>-5.764376962</v>
      </c>
      <c r="L228" s="47">
        <f>IFERROR(__xludf.DUMMYFUNCTION("""COMPUTED_VALUE"""),-3.5296674585835515)</f>
        <v>-3.529667459</v>
      </c>
      <c r="M228" s="47">
        <f>IFERROR(__xludf.DUMMYFUNCTION("""COMPUTED_VALUE"""),2.2347095033067292)</f>
        <v>2.234709503</v>
      </c>
      <c r="N228" s="47">
        <f>IFERROR(__xludf.DUMMYFUNCTION("""COMPUTED_VALUE"""),10.4)</f>
        <v>10.4</v>
      </c>
      <c r="O228" s="47">
        <f>IFERROR(__xludf.DUMMYFUNCTION("""COMPUTED_VALUE"""),0.9)</f>
        <v>0.9</v>
      </c>
      <c r="P228" s="47">
        <f>IFERROR(__xludf.DUMMYFUNCTION("""COMPUTED_VALUE"""),6.7)</f>
        <v>6.7</v>
      </c>
      <c r="Q228" s="48">
        <f>IFERROR(__xludf.DUMMYFUNCTION("""COMPUTED_VALUE"""),1.1)</f>
        <v>1.1</v>
      </c>
      <c r="R228" s="47">
        <f>IFERROR(__xludf.DUMMYFUNCTION("""COMPUTED_VALUE"""),0.4)</f>
        <v>0.4</v>
      </c>
      <c r="S228" s="47">
        <f>IFERROR(__xludf.DUMMYFUNCTION("""COMPUTED_VALUE"""),0.8)</f>
        <v>0.8</v>
      </c>
      <c r="T228" s="47">
        <f>IFERROR(__xludf.DUMMYFUNCTION("""COMPUTED_VALUE"""),45.88235294117647)</f>
        <v>45.88235294</v>
      </c>
      <c r="U228" s="47">
        <f>IFERROR(__xludf.DUMMYFUNCTION("""COMPUTED_VALUE"""),68.0)</f>
        <v>68</v>
      </c>
      <c r="V228" s="47">
        <f>IFERROR(__xludf.DUMMYFUNCTION("""COMPUTED_VALUE"""),1.4)</f>
        <v>1.4</v>
      </c>
      <c r="W228" s="46">
        <f>IFERROR(__xludf.DUMMYFUNCTION("""COMPUTED_VALUE"""),-1.1555291913452421)</f>
        <v>-1.155529191</v>
      </c>
      <c r="X228" s="46">
        <f>IFERROR(__xludf.DUMMYFUNCTION("""COMPUTED_VALUE"""),-0.6457219033555379)</f>
        <v>-0.6457219034</v>
      </c>
      <c r="Y228" s="46">
        <f>IFERROR(__xludf.DUMMYFUNCTION("""COMPUTED_VALUE"""),0.2528436030624495)</f>
        <v>0.2528436031</v>
      </c>
      <c r="Z228" s="46">
        <f>IFERROR(__xludf.DUMMYFUNCTION("""COMPUTED_VALUE"""),-1.3995075164359327)</f>
        <v>-1.399507516</v>
      </c>
      <c r="AA228" s="46">
        <f>IFERROR(__xludf.DUMMYFUNCTION("""COMPUTED_VALUE"""),-1.2966700767544366)</f>
        <v>-1.296670077</v>
      </c>
      <c r="AB228" s="46">
        <f>IFERROR(__xludf.DUMMYFUNCTION("""COMPUTED_VALUE"""),0.12956496180946983)</f>
        <v>0.1295649618</v>
      </c>
      <c r="AC228" s="46">
        <f>IFERROR(__xludf.DUMMYFUNCTION("""COMPUTED_VALUE"""),-0.31550914310206674)</f>
        <v>-0.3155091431</v>
      </c>
      <c r="AD228" s="46">
        <f>IFERROR(__xludf.DUMMYFUNCTION("""COMPUTED_VALUE"""),-0.6832674366377822)</f>
        <v>-0.6832674366</v>
      </c>
      <c r="AE228" s="46">
        <f>IFERROR(__xludf.DUMMYFUNCTION("""COMPUTED_VALUE"""),0.18462172773959373)</f>
        <v>0.1846217277</v>
      </c>
    </row>
    <row r="229">
      <c r="A229" s="6" t="str">
        <f>IF(VLOOKUP(H229,'Paste #BBall'!$B$2:$N1001,3,)="BRO","BKN",IF(VLOOKUP(H229,'Paste #BBall'!$B$2:$N1001,3,)="OKL","OKC",VLOOKUP(H229,'Paste #BBall'!$B$2:$N1001,3,)))</f>
        <v>MEM</v>
      </c>
      <c r="B229" s="42">
        <f>VLOOKUP($A229,Schedule!$C$2:$G$31,2,0)</f>
        <v>4</v>
      </c>
      <c r="C229" s="42">
        <f>VLOOKUP($A229,Schedule!$C$2:$G$31,3,0)</f>
        <v>3</v>
      </c>
      <c r="D229" s="42">
        <f>VLOOKUP($A229,Schedule!$C$2:$G$31,4,0)</f>
        <v>3</v>
      </c>
      <c r="E229" s="42">
        <f t="shared" si="1"/>
        <v>10</v>
      </c>
      <c r="F229" s="6">
        <v>223.0</v>
      </c>
      <c r="G229" s="45">
        <f>IFERROR(__xludf.DUMMYFUNCTION("""COMPUTED_VALUE"""),251.0)</f>
        <v>251</v>
      </c>
      <c r="H229" s="45" t="str">
        <f>IFERROR(__xludf.DUMMYFUNCTION("""COMPUTED_VALUE"""),"John Konchar")</f>
        <v>John Konchar</v>
      </c>
      <c r="I229" s="45">
        <f>IFERROR(__xludf.DUMMYFUNCTION("""COMPUTED_VALUE"""),72.0)</f>
        <v>72</v>
      </c>
      <c r="J229" s="46" t="str">
        <f>IFERROR(__xludf.DUMMYFUNCTION("""COMPUTED_VALUE"""),"SG,SF")</f>
        <v>SG,SF</v>
      </c>
      <c r="K229" s="46">
        <f>IFERROR(__xludf.DUMMYFUNCTION("""COMPUTED_VALUE"""),-6.635202342252557)</f>
        <v>-6.635202342</v>
      </c>
      <c r="L229" s="47">
        <f>IFERROR(__xludf.DUMMYFUNCTION("""COMPUTED_VALUE"""),-3.5831316590866185)</f>
        <v>-3.583131659</v>
      </c>
      <c r="M229" s="47">
        <f>IFERROR(__xludf.DUMMYFUNCTION("""COMPUTED_VALUE"""),3.052070683165938)</f>
        <v>3.052070683</v>
      </c>
      <c r="N229" s="47">
        <f>IFERROR(__xludf.DUMMYFUNCTION("""COMPUTED_VALUE"""),4.7)</f>
        <v>4.7</v>
      </c>
      <c r="O229" s="47">
        <f>IFERROR(__xludf.DUMMYFUNCTION("""COMPUTED_VALUE"""),0.7)</f>
        <v>0.7</v>
      </c>
      <c r="P229" s="47">
        <f>IFERROR(__xludf.DUMMYFUNCTION("""COMPUTED_VALUE"""),4.2)</f>
        <v>4.2</v>
      </c>
      <c r="Q229" s="48">
        <f>IFERROR(__xludf.DUMMYFUNCTION("""COMPUTED_VALUE"""),1.4)</f>
        <v>1.4</v>
      </c>
      <c r="R229" s="47">
        <f>IFERROR(__xludf.DUMMYFUNCTION("""COMPUTED_VALUE"""),0.8)</f>
        <v>0.8</v>
      </c>
      <c r="S229" s="47">
        <f>IFERROR(__xludf.DUMMYFUNCTION("""COMPUTED_VALUE"""),0.3)</f>
        <v>0.3</v>
      </c>
      <c r="T229" s="47">
        <f>IFERROR(__xludf.DUMMYFUNCTION("""COMPUTED_VALUE"""),47.36842105263158)</f>
        <v>47.36842105</v>
      </c>
      <c r="U229" s="47">
        <f>IFERROR(__xludf.DUMMYFUNCTION("""COMPUTED_VALUE"""),66.66666666666667)</f>
        <v>66.66666667</v>
      </c>
      <c r="V229" s="47">
        <f>IFERROR(__xludf.DUMMYFUNCTION("""COMPUTED_VALUE"""),0.4)</f>
        <v>0.4</v>
      </c>
      <c r="W229" s="46">
        <f>IFERROR(__xludf.DUMMYFUNCTION("""COMPUTED_VALUE"""),-2.116129540008521)</f>
        <v>-2.11612954</v>
      </c>
      <c r="X229" s="46">
        <f>IFERROR(__xludf.DUMMYFUNCTION("""COMPUTED_VALUE"""),-0.8191476607473568)</f>
        <v>-0.8191476607</v>
      </c>
      <c r="Y229" s="46">
        <f>IFERROR(__xludf.DUMMYFUNCTION("""COMPUTED_VALUE"""),-0.7925406433368716)</f>
        <v>-0.7925406433</v>
      </c>
      <c r="Z229" s="46">
        <f>IFERROR(__xludf.DUMMYFUNCTION("""COMPUTED_VALUE"""),-1.246500134901392)</f>
        <v>-1.246500135</v>
      </c>
      <c r="AA229" s="46">
        <f>IFERROR(__xludf.DUMMYFUNCTION("""COMPUTED_VALUE"""),-0.42447047355638534)</f>
        <v>-0.4244704736</v>
      </c>
      <c r="AB229" s="46">
        <f>IFERROR(__xludf.DUMMYFUNCTION("""COMPUTED_VALUE"""),-0.5270142365493308)</f>
        <v>-0.5270142365</v>
      </c>
      <c r="AC229" s="46">
        <f>IFERROR(__xludf.DUMMYFUNCTION("""COMPUTED_VALUE"""),-0.08464465055994264)</f>
        <v>-0.08464465056</v>
      </c>
      <c r="AD229" s="46">
        <f>IFERROR(__xludf.DUMMYFUNCTION("""COMPUTED_VALUE"""),-0.18389813382223172)</f>
        <v>-0.1838981338</v>
      </c>
      <c r="AE229" s="46">
        <f>IFERROR(__xludf.DUMMYFUNCTION("""COMPUTED_VALUE"""),0.4950842743868928)</f>
        <v>0.4950842744</v>
      </c>
    </row>
    <row r="230">
      <c r="A230" s="6" t="str">
        <f>IF(VLOOKUP(H230,'Paste #BBall'!$B$2:$N1001,3,)="BRO","BKN",IF(VLOOKUP(H230,'Paste #BBall'!$B$2:$N1001,3,)="OKL","OKC",VLOOKUP(H230,'Paste #BBall'!$B$2:$N1001,3,)))</f>
        <v>PHO</v>
      </c>
      <c r="B230" s="42">
        <f>VLOOKUP($A230,Schedule!$C$2:$G$31,2,0)</f>
        <v>3</v>
      </c>
      <c r="C230" s="42">
        <f>VLOOKUP($A230,Schedule!$C$2:$G$31,3,0)</f>
        <v>4</v>
      </c>
      <c r="D230" s="42">
        <f>VLOOKUP($A230,Schedule!$C$2:$G$31,4,0)</f>
        <v>3</v>
      </c>
      <c r="E230" s="42">
        <f t="shared" si="1"/>
        <v>10</v>
      </c>
      <c r="F230" s="6">
        <v>224.0</v>
      </c>
      <c r="G230" s="45">
        <f>IFERROR(__xludf.DUMMYFUNCTION("""COMPUTED_VALUE"""),236.0)</f>
        <v>236</v>
      </c>
      <c r="H230" s="45" t="str">
        <f>IFERROR(__xludf.DUMMYFUNCTION("""COMPUTED_VALUE"""),"Jordan Goodwin")</f>
        <v>Jordan Goodwin</v>
      </c>
      <c r="I230" s="45">
        <f>IFERROR(__xludf.DUMMYFUNCTION("""COMPUTED_VALUE"""),72.0)</f>
        <v>72</v>
      </c>
      <c r="J230" s="46" t="str">
        <f>IFERROR(__xludf.DUMMYFUNCTION("""COMPUTED_VALUE"""),"PG")</f>
        <v>PG</v>
      </c>
      <c r="K230" s="46">
        <f>IFERROR(__xludf.DUMMYFUNCTION("""COMPUTED_VALUE"""),-6.2957609453132095)</f>
        <v>-6.295760945</v>
      </c>
      <c r="L230" s="47">
        <f>IFERROR(__xludf.DUMMYFUNCTION("""COMPUTED_VALUE"""),-3.5897885917919687)</f>
        <v>-3.589788592</v>
      </c>
      <c r="M230" s="47">
        <f>IFERROR(__xludf.DUMMYFUNCTION("""COMPUTED_VALUE"""),2.7059723535212408)</f>
        <v>2.705972354</v>
      </c>
      <c r="N230" s="47">
        <f>IFERROR(__xludf.DUMMYFUNCTION("""COMPUTED_VALUE"""),5.8)</f>
        <v>5.8</v>
      </c>
      <c r="O230" s="47">
        <f>IFERROR(__xludf.DUMMYFUNCTION("""COMPUTED_VALUE"""),0.6)</f>
        <v>0.6</v>
      </c>
      <c r="P230" s="47">
        <f>IFERROR(__xludf.DUMMYFUNCTION("""COMPUTED_VALUE"""),3.0)</f>
        <v>3</v>
      </c>
      <c r="Q230" s="48">
        <f>IFERROR(__xludf.DUMMYFUNCTION("""COMPUTED_VALUE"""),2.4)</f>
        <v>2.4</v>
      </c>
      <c r="R230" s="47">
        <f>IFERROR(__xludf.DUMMYFUNCTION("""COMPUTED_VALUE"""),0.8)</f>
        <v>0.8</v>
      </c>
      <c r="S230" s="47">
        <f>IFERROR(__xludf.DUMMYFUNCTION("""COMPUTED_VALUE"""),0.4)</f>
        <v>0.4</v>
      </c>
      <c r="T230" s="47">
        <f>IFERROR(__xludf.DUMMYFUNCTION("""COMPUTED_VALUE"""),45.09803921568628)</f>
        <v>45.09803922</v>
      </c>
      <c r="U230" s="47">
        <f>IFERROR(__xludf.DUMMYFUNCTION("""COMPUTED_VALUE"""),80.0)</f>
        <v>80</v>
      </c>
      <c r="V230" s="47">
        <f>IFERROR(__xludf.DUMMYFUNCTION("""COMPUTED_VALUE"""),0.8)</f>
        <v>0.8</v>
      </c>
      <c r="W230" s="46">
        <f>IFERROR(__xludf.DUMMYFUNCTION("""COMPUTED_VALUE"""),-1.9307505253542037)</f>
        <v>-1.930750525</v>
      </c>
      <c r="X230" s="46">
        <f>IFERROR(__xludf.DUMMYFUNCTION("""COMPUTED_VALUE"""),-0.9058605394432663)</f>
        <v>-0.9058605394</v>
      </c>
      <c r="Y230" s="46">
        <f>IFERROR(__xludf.DUMMYFUNCTION("""COMPUTED_VALUE"""),-1.2943250816085456)</f>
        <v>-1.294325082</v>
      </c>
      <c r="Z230" s="46">
        <f>IFERROR(__xludf.DUMMYFUNCTION("""COMPUTED_VALUE"""),-0.7364755297862564)</f>
        <v>-0.7364755298</v>
      </c>
      <c r="AA230" s="46">
        <f>IFERROR(__xludf.DUMMYFUNCTION("""COMPUTED_VALUE"""),-0.42447047355638534)</f>
        <v>-0.4244704736</v>
      </c>
      <c r="AB230" s="46">
        <f>IFERROR(__xludf.DUMMYFUNCTION("""COMPUTED_VALUE"""),-0.39569839687757064)</f>
        <v>-0.3956983969</v>
      </c>
      <c r="AC230" s="46">
        <f>IFERROR(__xludf.DUMMYFUNCTION("""COMPUTED_VALUE"""),-0.22926008703026818)</f>
        <v>-0.229260087</v>
      </c>
      <c r="AD230" s="46">
        <f>IFERROR(__xludf.DUMMYFUNCTION("""COMPUTED_VALUE"""),0.02540226078235024)</f>
        <v>0.02540226078</v>
      </c>
      <c r="AE230" s="46">
        <f>IFERROR(__xludf.DUMMYFUNCTION("""COMPUTED_VALUE"""),0.37089925572797316)</f>
        <v>0.3708992557</v>
      </c>
    </row>
    <row r="231">
      <c r="A231" s="6" t="str">
        <f>IF(VLOOKUP(H231,'Paste #BBall'!$B$2:$N1001,3,)="BRO","BKN",IF(VLOOKUP(H231,'Paste #BBall'!$B$2:$N1001,3,)="OKL","OKC",VLOOKUP(H231,'Paste #BBall'!$B$2:$N1001,3,)))</f>
        <v>UTA</v>
      </c>
      <c r="B231" s="42">
        <f>VLOOKUP($A231,Schedule!$C$2:$G$31,2,0)</f>
        <v>3</v>
      </c>
      <c r="C231" s="42">
        <f>VLOOKUP($A231,Schedule!$C$2:$G$31,3,0)</f>
        <v>3</v>
      </c>
      <c r="D231" s="42">
        <f>VLOOKUP($A231,Schedule!$C$2:$G$31,4,0)</f>
        <v>4</v>
      </c>
      <c r="E231" s="42">
        <f t="shared" si="1"/>
        <v>10</v>
      </c>
      <c r="F231" s="6">
        <v>225.0</v>
      </c>
      <c r="G231" s="45">
        <f>IFERROR(__xludf.DUMMYFUNCTION("""COMPUTED_VALUE"""),219.0)</f>
        <v>219</v>
      </c>
      <c r="H231" s="45" t="str">
        <f>IFERROR(__xludf.DUMMYFUNCTION("""COMPUTED_VALUE"""),"Keyonte George")</f>
        <v>Keyonte George</v>
      </c>
      <c r="I231" s="45">
        <f>IFERROR(__xludf.DUMMYFUNCTION("""COMPUTED_VALUE"""),72.0)</f>
        <v>72</v>
      </c>
      <c r="J231" s="46" t="str">
        <f>IFERROR(__xludf.DUMMYFUNCTION("""COMPUTED_VALUE"""),"SG")</f>
        <v>SG</v>
      </c>
      <c r="K231" s="46">
        <f>IFERROR(__xludf.DUMMYFUNCTION("""COMPUTED_VALUE"""),-5.776012953003108)</f>
        <v>-5.776012953</v>
      </c>
      <c r="L231" s="47">
        <f>IFERROR(__xludf.DUMMYFUNCTION("""COMPUTED_VALUE"""),-3.601689286419962)</f>
        <v>-3.601689286</v>
      </c>
      <c r="M231" s="47">
        <f>IFERROR(__xludf.DUMMYFUNCTION("""COMPUTED_VALUE"""),2.1743236665831462)</f>
        <v>2.174323667</v>
      </c>
      <c r="N231" s="47">
        <f>IFERROR(__xludf.DUMMYFUNCTION("""COMPUTED_VALUE"""),13.0)</f>
        <v>13</v>
      </c>
      <c r="O231" s="47">
        <f>IFERROR(__xludf.DUMMYFUNCTION("""COMPUTED_VALUE"""),1.5)</f>
        <v>1.5</v>
      </c>
      <c r="P231" s="47">
        <f>IFERROR(__xludf.DUMMYFUNCTION("""COMPUTED_VALUE"""),2.7)</f>
        <v>2.7</v>
      </c>
      <c r="Q231" s="48">
        <f>IFERROR(__xludf.DUMMYFUNCTION("""COMPUTED_VALUE"""),2.6)</f>
        <v>2.6</v>
      </c>
      <c r="R231" s="47">
        <f>IFERROR(__xludf.DUMMYFUNCTION("""COMPUTED_VALUE"""),0.6)</f>
        <v>0.6</v>
      </c>
      <c r="S231" s="47">
        <f>IFERROR(__xludf.DUMMYFUNCTION("""COMPUTED_VALUE"""),0.2)</f>
        <v>0.2</v>
      </c>
      <c r="T231" s="47">
        <f>IFERROR(__xludf.DUMMYFUNCTION("""COMPUTED_VALUE"""),42.24137931034483)</f>
        <v>42.24137931</v>
      </c>
      <c r="U231" s="47">
        <f>IFERROR(__xludf.DUMMYFUNCTION("""COMPUTED_VALUE"""),81.81818181818181)</f>
        <v>81.81818182</v>
      </c>
      <c r="V231" s="47">
        <f>IFERROR(__xludf.DUMMYFUNCTION("""COMPUTED_VALUE"""),1.7)</f>
        <v>1.7</v>
      </c>
      <c r="W231" s="46">
        <f>IFERROR(__xludf.DUMMYFUNCTION("""COMPUTED_VALUE"""),-0.7173606112532205)</f>
        <v>-0.7173606113</v>
      </c>
      <c r="X231" s="46">
        <f>IFERROR(__xludf.DUMMYFUNCTION("""COMPUTED_VALUE"""),-0.12544463118008137)</f>
        <v>-0.1254446312</v>
      </c>
      <c r="Y231" s="46">
        <f>IFERROR(__xludf.DUMMYFUNCTION("""COMPUTED_VALUE"""),-1.419771191176464)</f>
        <v>-1.419771191</v>
      </c>
      <c r="Z231" s="46">
        <f>IFERROR(__xludf.DUMMYFUNCTION("""COMPUTED_VALUE"""),-0.6344706087632292)</f>
        <v>-0.6344706088</v>
      </c>
      <c r="AA231" s="46">
        <f>IFERROR(__xludf.DUMMYFUNCTION("""COMPUTED_VALUE"""),-0.860570275155411)</f>
        <v>-0.8605702752</v>
      </c>
      <c r="AB231" s="46">
        <f>IFERROR(__xludf.DUMMYFUNCTION("""COMPUTED_VALUE"""),-0.6583300762210907)</f>
        <v>-0.6583300762</v>
      </c>
      <c r="AC231" s="46">
        <f>IFERROR(__xludf.DUMMYFUNCTION("""COMPUTED_VALUE"""),-0.8524507664593238)</f>
        <v>-0.8524507665</v>
      </c>
      <c r="AD231" s="46">
        <f>IFERROR(__xludf.DUMMYFUNCTION("""COMPUTED_VALUE"""),0.15545471886699092)</f>
        <v>0.1554547189</v>
      </c>
      <c r="AE231" s="46">
        <f>IFERROR(__xludf.DUMMYFUNCTION("""COMPUTED_VALUE"""),0.09148296374540399)</f>
        <v>0.09148296375</v>
      </c>
    </row>
    <row r="232">
      <c r="A232" s="6" t="str">
        <f>IF(VLOOKUP(H232,'Paste #BBall'!$B$2:$N1001,3,)="BRO","BKN",IF(VLOOKUP(H232,'Paste #BBall'!$B$2:$N1001,3,)="OKL","OKC",VLOOKUP(H232,'Paste #BBall'!$B$2:$N1001,3,)))</f>
        <v>LAL</v>
      </c>
      <c r="B232" s="42">
        <f>VLOOKUP($A232,Schedule!$C$2:$G$31,2,0)</f>
        <v>4</v>
      </c>
      <c r="C232" s="42">
        <f>VLOOKUP($A232,Schedule!$C$2:$G$31,3,0)</f>
        <v>2</v>
      </c>
      <c r="D232" s="42">
        <f>VLOOKUP($A232,Schedule!$C$2:$G$31,4,0)</f>
        <v>3</v>
      </c>
      <c r="E232" s="42">
        <f t="shared" si="1"/>
        <v>9</v>
      </c>
      <c r="F232" s="6">
        <v>226.0</v>
      </c>
      <c r="G232" s="45">
        <f>IFERROR(__xludf.DUMMYFUNCTION("""COMPUTED_VALUE"""),231.0)</f>
        <v>231</v>
      </c>
      <c r="H232" s="45" t="str">
        <f>IFERROR(__xludf.DUMMYFUNCTION("""COMPUTED_VALUE"""),"Rui Hachimura")</f>
        <v>Rui Hachimura</v>
      </c>
      <c r="I232" s="45">
        <f>IFERROR(__xludf.DUMMYFUNCTION("""COMPUTED_VALUE"""),65.0)</f>
        <v>65</v>
      </c>
      <c r="J232" s="46" t="str">
        <f>IFERROR(__xludf.DUMMYFUNCTION("""COMPUTED_VALUE"""),"SF,PF")</f>
        <v>SF,PF</v>
      </c>
      <c r="K232" s="46">
        <f>IFERROR(__xludf.DUMMYFUNCTION("""COMPUTED_VALUE"""),-6.071657539102529)</f>
        <v>-6.071657539</v>
      </c>
      <c r="L232" s="47">
        <f>IFERROR(__xludf.DUMMYFUNCTION("""COMPUTED_VALUE"""),-3.612493800342638)</f>
        <v>-3.6124938</v>
      </c>
      <c r="M232" s="47">
        <f>IFERROR(__xludf.DUMMYFUNCTION("""COMPUTED_VALUE"""),2.459163738759891)</f>
        <v>2.459163739</v>
      </c>
      <c r="N232" s="47">
        <f>IFERROR(__xludf.DUMMYFUNCTION("""COMPUTED_VALUE"""),12.2)</f>
        <v>12.2</v>
      </c>
      <c r="O232" s="47">
        <f>IFERROR(__xludf.DUMMYFUNCTION("""COMPUTED_VALUE"""),1.1)</f>
        <v>1.1</v>
      </c>
      <c r="P232" s="47">
        <f>IFERROR(__xludf.DUMMYFUNCTION("""COMPUTED_VALUE"""),4.6)</f>
        <v>4.6</v>
      </c>
      <c r="Q232" s="48">
        <f>IFERROR(__xludf.DUMMYFUNCTION("""COMPUTED_VALUE"""),1.1)</f>
        <v>1.1</v>
      </c>
      <c r="R232" s="47">
        <f>IFERROR(__xludf.DUMMYFUNCTION("""COMPUTED_VALUE"""),0.4)</f>
        <v>0.4</v>
      </c>
      <c r="S232" s="47">
        <f>IFERROR(__xludf.DUMMYFUNCTION("""COMPUTED_VALUE"""),0.4)</f>
        <v>0.4</v>
      </c>
      <c r="T232" s="47">
        <f>IFERROR(__xludf.DUMMYFUNCTION("""COMPUTED_VALUE"""),49.00000000000001)</f>
        <v>49</v>
      </c>
      <c r="U232" s="47">
        <f>IFERROR(__xludf.DUMMYFUNCTION("""COMPUTED_VALUE"""),73.68421052631578)</f>
        <v>73.68421053</v>
      </c>
      <c r="V232" s="47">
        <f>IFERROR(__xludf.DUMMYFUNCTION("""COMPUTED_VALUE"""),0.9)</f>
        <v>0.9</v>
      </c>
      <c r="W232" s="46">
        <f>IFERROR(__xludf.DUMMYFUNCTION("""COMPUTED_VALUE"""),-0.8521817128199964)</f>
        <v>-0.8521817128</v>
      </c>
      <c r="X232" s="46">
        <f>IFERROR(__xludf.DUMMYFUNCTION("""COMPUTED_VALUE"""),-0.472296145963719)</f>
        <v>-0.472296146</v>
      </c>
      <c r="Y232" s="46">
        <f>IFERROR(__xludf.DUMMYFUNCTION("""COMPUTED_VALUE"""),-0.6252791639129804)</f>
        <v>-0.6252791639</v>
      </c>
      <c r="Z232" s="46">
        <f>IFERROR(__xludf.DUMMYFUNCTION("""COMPUTED_VALUE"""),-1.3995075164359327)</f>
        <v>-1.399507516</v>
      </c>
      <c r="AA232" s="46">
        <f>IFERROR(__xludf.DUMMYFUNCTION("""COMPUTED_VALUE"""),-1.2966700767544366)</f>
        <v>-1.296670077</v>
      </c>
      <c r="AB232" s="46">
        <f>IFERROR(__xludf.DUMMYFUNCTION("""COMPUTED_VALUE"""),-0.39569839687757064)</f>
        <v>-0.3956983969</v>
      </c>
      <c r="AC232" s="46">
        <f>IFERROR(__xludf.DUMMYFUNCTION("""COMPUTED_VALUE"""),-0.059776365126180925)</f>
        <v>-0.05977636513</v>
      </c>
      <c r="AD232" s="46">
        <f>IFERROR(__xludf.DUMMYFUNCTION("""COMPUTED_VALUE"""),-0.25044493995099776)</f>
        <v>-0.25044494</v>
      </c>
      <c r="AE232" s="46">
        <f>IFERROR(__xludf.DUMMYFUNCTION("""COMPUTED_VALUE"""),0.33985300106324323)</f>
        <v>0.3398530011</v>
      </c>
    </row>
    <row r="233">
      <c r="A233" s="6" t="str">
        <f>IF(VLOOKUP(H233,'Paste #BBall'!$B$2:$N1001,3,)="BRO","BKN",IF(VLOOKUP(H233,'Paste #BBall'!$B$2:$N1001,3,)="OKL","OKC",VLOOKUP(H233,'Paste #BBall'!$B$2:$N1001,3,)))</f>
        <v>CHI</v>
      </c>
      <c r="B233" s="42">
        <f>VLOOKUP($A233,Schedule!$C$2:$G$31,2,0)</f>
        <v>4</v>
      </c>
      <c r="C233" s="42">
        <f>VLOOKUP($A233,Schedule!$C$2:$G$31,3,0)</f>
        <v>4</v>
      </c>
      <c r="D233" s="42">
        <f>VLOOKUP($A233,Schedule!$C$2:$G$31,4,0)</f>
        <v>3</v>
      </c>
      <c r="E233" s="42">
        <f t="shared" si="1"/>
        <v>11</v>
      </c>
      <c r="F233" s="6">
        <v>227.0</v>
      </c>
      <c r="G233" s="45">
        <f>IFERROR(__xludf.DUMMYFUNCTION("""COMPUTED_VALUE"""),230.0)</f>
        <v>230</v>
      </c>
      <c r="H233" s="45" t="str">
        <f>IFERROR(__xludf.DUMMYFUNCTION("""COMPUTED_VALUE"""),"Coby White")</f>
        <v>Coby White</v>
      </c>
      <c r="I233" s="45">
        <f>IFERROR(__xludf.DUMMYFUNCTION("""COMPUTED_VALUE"""),72.0)</f>
        <v>72</v>
      </c>
      <c r="J233" s="46" t="str">
        <f>IFERROR(__xludf.DUMMYFUNCTION("""COMPUTED_VALUE"""),"PG,SG")</f>
        <v>PG,SG</v>
      </c>
      <c r="K233" s="46">
        <f>IFERROR(__xludf.DUMMYFUNCTION("""COMPUTED_VALUE"""),-6.066749278027251)</f>
        <v>-6.066749278</v>
      </c>
      <c r="L233" s="47">
        <f>IFERROR(__xludf.DUMMYFUNCTION("""COMPUTED_VALUE"""),-3.6243612474193956)</f>
        <v>-3.624361247</v>
      </c>
      <c r="M233" s="47">
        <f>IFERROR(__xludf.DUMMYFUNCTION("""COMPUTED_VALUE"""),2.442388030607855)</f>
        <v>2.442388031</v>
      </c>
      <c r="N233" s="47">
        <f>IFERROR(__xludf.DUMMYFUNCTION("""COMPUTED_VALUE"""),9.8)</f>
        <v>9.8</v>
      </c>
      <c r="O233" s="47">
        <f>IFERROR(__xludf.DUMMYFUNCTION("""COMPUTED_VALUE"""),1.7)</f>
        <v>1.7</v>
      </c>
      <c r="P233" s="47">
        <f>IFERROR(__xludf.DUMMYFUNCTION("""COMPUTED_VALUE"""),2.6)</f>
        <v>2.6</v>
      </c>
      <c r="Q233" s="48">
        <f>IFERROR(__xludf.DUMMYFUNCTION("""COMPUTED_VALUE"""),2.5)</f>
        <v>2.5</v>
      </c>
      <c r="R233" s="47">
        <f>IFERROR(__xludf.DUMMYFUNCTION("""COMPUTED_VALUE"""),0.6)</f>
        <v>0.6</v>
      </c>
      <c r="S233" s="47">
        <f>IFERROR(__xludf.DUMMYFUNCTION("""COMPUTED_VALUE"""),0.1)</f>
        <v>0.1</v>
      </c>
      <c r="T233" s="47">
        <f>IFERROR(__xludf.DUMMYFUNCTION("""COMPUTED_VALUE"""),43.90243902439025)</f>
        <v>43.90243902</v>
      </c>
      <c r="U233" s="47">
        <f>IFERROR(__xludf.DUMMYFUNCTION("""COMPUTED_VALUE"""),81.81818181818181)</f>
        <v>81.81818182</v>
      </c>
      <c r="V233" s="47">
        <f>IFERROR(__xludf.DUMMYFUNCTION("""COMPUTED_VALUE"""),1.0)</f>
        <v>1</v>
      </c>
      <c r="W233" s="46">
        <f>IFERROR(__xludf.DUMMYFUNCTION("""COMPUTED_VALUE"""),-1.256645017520324)</f>
        <v>-1.256645018</v>
      </c>
      <c r="X233" s="46">
        <f>IFERROR(__xludf.DUMMYFUNCTION("""COMPUTED_VALUE"""),0.047981126211737425)</f>
        <v>0.04798112621</v>
      </c>
      <c r="Y233" s="46">
        <f>IFERROR(__xludf.DUMMYFUNCTION("""COMPUTED_VALUE"""),-1.461586561032437)</f>
        <v>-1.461586561</v>
      </c>
      <c r="Z233" s="46">
        <f>IFERROR(__xludf.DUMMYFUNCTION("""COMPUTED_VALUE"""),-0.6854730692747427)</f>
        <v>-0.6854730693</v>
      </c>
      <c r="AA233" s="46">
        <f>IFERROR(__xludf.DUMMYFUNCTION("""COMPUTED_VALUE"""),-0.860570275155411)</f>
        <v>-0.8605702752</v>
      </c>
      <c r="AB233" s="46">
        <f>IFERROR(__xludf.DUMMYFUNCTION("""COMPUTED_VALUE"""),-0.7896459158928509)</f>
        <v>-0.7896459159</v>
      </c>
      <c r="AC233" s="46">
        <f>IFERROR(__xludf.DUMMYFUNCTION("""COMPUTED_VALUE"""),-0.4665422016198138)</f>
        <v>-0.4665422016</v>
      </c>
      <c r="AD233" s="46">
        <f>IFERROR(__xludf.DUMMYFUNCTION("""COMPUTED_VALUE"""),0.07772735943349546)</f>
        <v>0.07772735943</v>
      </c>
      <c r="AE233" s="46">
        <f>IFERROR(__xludf.DUMMYFUNCTION("""COMPUTED_VALUE"""),0.30880674639851335)</f>
        <v>0.3088067464</v>
      </c>
    </row>
    <row r="234">
      <c r="A234" s="6" t="str">
        <f>IF(VLOOKUP(H234,'Paste #BBall'!$B$2:$N1001,3,)="BRO","BKN",IF(VLOOKUP(H234,'Paste #BBall'!$B$2:$N1001,3,)="OKL","OKC",VLOOKUP(H234,'Paste #BBall'!$B$2:$N1001,3,)))</f>
        <v>SA</v>
      </c>
      <c r="B234" s="42">
        <f>VLOOKUP($A234,Schedule!$C$2:$G$31,2,0)</f>
        <v>3</v>
      </c>
      <c r="C234" s="42">
        <f>VLOOKUP($A234,Schedule!$C$2:$G$31,3,0)</f>
        <v>4</v>
      </c>
      <c r="D234" s="42">
        <f>VLOOKUP($A234,Schedule!$C$2:$G$31,4,0)</f>
        <v>3</v>
      </c>
      <c r="E234" s="42">
        <f t="shared" si="1"/>
        <v>10</v>
      </c>
      <c r="F234" s="6">
        <v>228.0</v>
      </c>
      <c r="G234" s="45">
        <f>IFERROR(__xludf.DUMMYFUNCTION("""COMPUTED_VALUE"""),240.0)</f>
        <v>240</v>
      </c>
      <c r="H234" s="45" t="str">
        <f>IFERROR(__xludf.DUMMYFUNCTION("""COMPUTED_VALUE"""),"Charles Bassey")</f>
        <v>Charles Bassey</v>
      </c>
      <c r="I234" s="45">
        <f>IFERROR(__xludf.DUMMYFUNCTION("""COMPUTED_VALUE"""),60.0)</f>
        <v>60</v>
      </c>
      <c r="J234" s="46" t="str">
        <f>IFERROR(__xludf.DUMMYFUNCTION("""COMPUTED_VALUE"""),"C")</f>
        <v>C</v>
      </c>
      <c r="K234" s="46">
        <f>IFERROR(__xludf.DUMMYFUNCTION("""COMPUTED_VALUE"""),-6.385212080663985)</f>
        <v>-6.385212081</v>
      </c>
      <c r="L234" s="47">
        <f>IFERROR(__xludf.DUMMYFUNCTION("""COMPUTED_VALUE"""),-3.6249428114541224)</f>
        <v>-3.624942811</v>
      </c>
      <c r="M234" s="47">
        <f>IFERROR(__xludf.DUMMYFUNCTION("""COMPUTED_VALUE"""),2.7602692692098625)</f>
        <v>2.760269269</v>
      </c>
      <c r="N234" s="47">
        <f>IFERROR(__xludf.DUMMYFUNCTION("""COMPUTED_VALUE"""),5.5)</f>
        <v>5.5</v>
      </c>
      <c r="O234" s="47">
        <f>IFERROR(__xludf.DUMMYFUNCTION("""COMPUTED_VALUE"""),0.1)</f>
        <v>0.1</v>
      </c>
      <c r="P234" s="47">
        <f>IFERROR(__xludf.DUMMYFUNCTION("""COMPUTED_VALUE"""),5.3)</f>
        <v>5.3</v>
      </c>
      <c r="Q234" s="48">
        <f>IFERROR(__xludf.DUMMYFUNCTION("""COMPUTED_VALUE"""),1.1)</f>
        <v>1.1</v>
      </c>
      <c r="R234" s="47">
        <f>IFERROR(__xludf.DUMMYFUNCTION("""COMPUTED_VALUE"""),0.4)</f>
        <v>0.4</v>
      </c>
      <c r="S234" s="47">
        <f>IFERROR(__xludf.DUMMYFUNCTION("""COMPUTED_VALUE"""),1.0)</f>
        <v>1</v>
      </c>
      <c r="T234" s="47">
        <f>IFERROR(__xludf.DUMMYFUNCTION("""COMPUTED_VALUE"""),63.1578947368421)</f>
        <v>63.15789474</v>
      </c>
      <c r="U234" s="47">
        <f>IFERROR(__xludf.DUMMYFUNCTION("""COMPUTED_VALUE"""),60.0)</f>
        <v>60</v>
      </c>
      <c r="V234" s="47">
        <f>IFERROR(__xludf.DUMMYFUNCTION("""COMPUTED_VALUE"""),1.0)</f>
        <v>1</v>
      </c>
      <c r="W234" s="46">
        <f>IFERROR(__xludf.DUMMYFUNCTION("""COMPUTED_VALUE"""),-1.9813084384417448)</f>
        <v>-1.981308438</v>
      </c>
      <c r="X234" s="46">
        <f>IFERROR(__xludf.DUMMYFUNCTION("""COMPUTED_VALUE"""),-1.3394249329228134)</f>
        <v>-1.339424933</v>
      </c>
      <c r="Y234" s="46">
        <f>IFERROR(__xludf.DUMMYFUNCTION("""COMPUTED_VALUE"""),-0.33257157492117045)</f>
        <v>-0.3325715749</v>
      </c>
      <c r="Z234" s="46">
        <f>IFERROR(__xludf.DUMMYFUNCTION("""COMPUTED_VALUE"""),-1.3995075164359327)</f>
        <v>-1.399507516</v>
      </c>
      <c r="AA234" s="46">
        <f>IFERROR(__xludf.DUMMYFUNCTION("""COMPUTED_VALUE"""),-1.2966700767544366)</f>
        <v>-1.296670077</v>
      </c>
      <c r="AB234" s="46">
        <f>IFERROR(__xludf.DUMMYFUNCTION("""COMPUTED_VALUE"""),0.39219664115299)</f>
        <v>0.3921966412</v>
      </c>
      <c r="AC234" s="46">
        <f>IFERROR(__xludf.DUMMYFUNCTION("""COMPUTED_VALUE"""),0.5146743669754813)</f>
        <v>0.514674367</v>
      </c>
      <c r="AD234" s="46">
        <f>IFERROR(__xludf.DUMMYFUNCTION("""COMPUTED_VALUE"""),-0.4724464649467546)</f>
        <v>-0.4724464649</v>
      </c>
      <c r="AE234" s="46">
        <f>IFERROR(__xludf.DUMMYFUNCTION("""COMPUTED_VALUE"""),0.30880674639851335)</f>
        <v>0.3088067464</v>
      </c>
    </row>
    <row r="235">
      <c r="A235" s="6" t="str">
        <f>IF(VLOOKUP(H235,'Paste #BBall'!$B$2:$N1001,3,)="BRO","BKN",IF(VLOOKUP(H235,'Paste #BBall'!$B$2:$N1001,3,)="OKL","OKC",VLOOKUP(H235,'Paste #BBall'!$B$2:$N1001,3,)))</f>
        <v>OKC</v>
      </c>
      <c r="B235" s="42">
        <f>VLOOKUP($A235,Schedule!$C$2:$G$31,2,0)</f>
        <v>4</v>
      </c>
      <c r="C235" s="42">
        <f>VLOOKUP($A235,Schedule!$C$2:$G$31,3,0)</f>
        <v>3</v>
      </c>
      <c r="D235" s="42">
        <f>VLOOKUP($A235,Schedule!$C$2:$G$31,4,0)</f>
        <v>3</v>
      </c>
      <c r="E235" s="42">
        <f t="shared" si="1"/>
        <v>10</v>
      </c>
      <c r="F235" s="6">
        <v>229.0</v>
      </c>
      <c r="G235" s="45">
        <f>IFERROR(__xludf.DUMMYFUNCTION("""COMPUTED_VALUE"""),247.0)</f>
        <v>247</v>
      </c>
      <c r="H235" s="45" t="str">
        <f>IFERROR(__xludf.DUMMYFUNCTION("""COMPUTED_VALUE"""),"Jaylin Williams")</f>
        <v>Jaylin Williams</v>
      </c>
      <c r="I235" s="45">
        <f>IFERROR(__xludf.DUMMYFUNCTION("""COMPUTED_VALUE"""),70.0)</f>
        <v>70</v>
      </c>
      <c r="J235" s="46" t="str">
        <f>IFERROR(__xludf.DUMMYFUNCTION("""COMPUTED_VALUE"""),"PF,C")</f>
        <v>PF,C</v>
      </c>
      <c r="K235" s="46">
        <f>IFERROR(__xludf.DUMMYFUNCTION("""COMPUTED_VALUE"""),-6.524457046086121)</f>
        <v>-6.524457046</v>
      </c>
      <c r="L235" s="47">
        <f>IFERROR(__xludf.DUMMYFUNCTION("""COMPUTED_VALUE"""),-3.6298108250603516)</f>
        <v>-3.629810825</v>
      </c>
      <c r="M235" s="47">
        <f>IFERROR(__xludf.DUMMYFUNCTION("""COMPUTED_VALUE"""),2.894646221025769)</f>
        <v>2.894646221</v>
      </c>
      <c r="N235" s="47">
        <f>IFERROR(__xludf.DUMMYFUNCTION("""COMPUTED_VALUE"""),6.0)</f>
        <v>6</v>
      </c>
      <c r="O235" s="47">
        <f>IFERROR(__xludf.DUMMYFUNCTION("""COMPUTED_VALUE"""),1.0)</f>
        <v>1</v>
      </c>
      <c r="P235" s="47">
        <f>IFERROR(__xludf.DUMMYFUNCTION("""COMPUTED_VALUE"""),5.0)</f>
        <v>5</v>
      </c>
      <c r="Q235" s="48">
        <f>IFERROR(__xludf.DUMMYFUNCTION("""COMPUTED_VALUE"""),1.6)</f>
        <v>1.6</v>
      </c>
      <c r="R235" s="47">
        <f>IFERROR(__xludf.DUMMYFUNCTION("""COMPUTED_VALUE"""),0.6)</f>
        <v>0.6</v>
      </c>
      <c r="S235" s="47">
        <f>IFERROR(__xludf.DUMMYFUNCTION("""COMPUTED_VALUE"""),0.3)</f>
        <v>0.3</v>
      </c>
      <c r="T235" s="47">
        <f>IFERROR(__xludf.DUMMYFUNCTION("""COMPUTED_VALUE"""),43.75000000000001)</f>
        <v>43.75</v>
      </c>
      <c r="U235" s="47">
        <f>IFERROR(__xludf.DUMMYFUNCTION("""COMPUTED_VALUE"""),72.72727272727273)</f>
        <v>72.72727273</v>
      </c>
      <c r="V235" s="47">
        <f>IFERROR(__xludf.DUMMYFUNCTION("""COMPUTED_VALUE"""),0.8)</f>
        <v>0.8</v>
      </c>
      <c r="W235" s="46">
        <f>IFERROR(__xludf.DUMMYFUNCTION("""COMPUTED_VALUE"""),-1.89704524996251)</f>
        <v>-1.89704525</v>
      </c>
      <c r="X235" s="46">
        <f>IFERROR(__xludf.DUMMYFUNCTION("""COMPUTED_VALUE"""),-0.5590090246596284)</f>
        <v>-0.5590090247</v>
      </c>
      <c r="Y235" s="46">
        <f>IFERROR(__xludf.DUMMYFUNCTION("""COMPUTED_VALUE"""),-0.45801768448908886)</f>
        <v>-0.4580176845</v>
      </c>
      <c r="Z235" s="46">
        <f>IFERROR(__xludf.DUMMYFUNCTION("""COMPUTED_VALUE"""),-1.144495213878365)</f>
        <v>-1.144495214</v>
      </c>
      <c r="AA235" s="46">
        <f>IFERROR(__xludf.DUMMYFUNCTION("""COMPUTED_VALUE"""),-0.860570275155411)</f>
        <v>-0.8605702752</v>
      </c>
      <c r="AB235" s="46">
        <f>IFERROR(__xludf.DUMMYFUNCTION("""COMPUTED_VALUE"""),-0.5270142365493308)</f>
        <v>-0.5270142365</v>
      </c>
      <c r="AC235" s="46">
        <f>IFERROR(__xludf.DUMMYFUNCTION("""COMPUTED_VALUE"""),-0.28040664262544496)</f>
        <v>-0.2804066426</v>
      </c>
      <c r="AD235" s="46">
        <f>IFERROR(__xludf.DUMMYFUNCTION("""COMPUTED_VALUE"""),-0.1711970034310567)</f>
        <v>-0.1711970034</v>
      </c>
      <c r="AE235" s="46">
        <f>IFERROR(__xludf.DUMMYFUNCTION("""COMPUTED_VALUE"""),0.37089925572797316)</f>
        <v>0.3708992557</v>
      </c>
    </row>
    <row r="236">
      <c r="A236" s="6" t="str">
        <f>IF(VLOOKUP(H236,'Paste #BBall'!$B$2:$N1001,3,)="BRO","BKN",IF(VLOOKUP(H236,'Paste #BBall'!$B$2:$N1001,3,)="OKL","OKC",VLOOKUP(H236,'Paste #BBall'!$B$2:$N1001,3,)))</f>
        <v>IND</v>
      </c>
      <c r="B236" s="42">
        <f>VLOOKUP($A236,Schedule!$C$2:$G$31,2,0)</f>
        <v>3</v>
      </c>
      <c r="C236" s="42">
        <f>VLOOKUP($A236,Schedule!$C$2:$G$31,3,0)</f>
        <v>3</v>
      </c>
      <c r="D236" s="42">
        <f>VLOOKUP($A236,Schedule!$C$2:$G$31,4,0)</f>
        <v>4</v>
      </c>
      <c r="E236" s="42">
        <f t="shared" si="1"/>
        <v>10</v>
      </c>
      <c r="F236" s="6">
        <v>230.0</v>
      </c>
      <c r="G236" s="45">
        <f>IFERROR(__xludf.DUMMYFUNCTION("""COMPUTED_VALUE"""),217.0)</f>
        <v>217</v>
      </c>
      <c r="H236" s="45" t="str">
        <f>IFERROR(__xludf.DUMMYFUNCTION("""COMPUTED_VALUE"""),"Isaiah Jackson")</f>
        <v>Isaiah Jackson</v>
      </c>
      <c r="I236" s="45">
        <f>IFERROR(__xludf.DUMMYFUNCTION("""COMPUTED_VALUE"""),67.0)</f>
        <v>67</v>
      </c>
      <c r="J236" s="46" t="str">
        <f>IFERROR(__xludf.DUMMYFUNCTION("""COMPUTED_VALUE"""),"PF,C")</f>
        <v>PF,C</v>
      </c>
      <c r="K236" s="46">
        <f>IFERROR(__xludf.DUMMYFUNCTION("""COMPUTED_VALUE"""),-5.7197139145369995)</f>
        <v>-5.719713915</v>
      </c>
      <c r="L236" s="47">
        <f>IFERROR(__xludf.DUMMYFUNCTION("""COMPUTED_VALUE"""),-3.646880753163613)</f>
        <v>-3.646880753</v>
      </c>
      <c r="M236" s="47">
        <f>IFERROR(__xludf.DUMMYFUNCTION("""COMPUTED_VALUE"""),2.0728331613733864)</f>
        <v>2.072833161</v>
      </c>
      <c r="N236" s="47">
        <f>IFERROR(__xludf.DUMMYFUNCTION("""COMPUTED_VALUE"""),7.9)</f>
        <v>7.9</v>
      </c>
      <c r="O236" s="47">
        <f>IFERROR(__xludf.DUMMYFUNCTION("""COMPUTED_VALUE"""),0.1)</f>
        <v>0.1</v>
      </c>
      <c r="P236" s="47">
        <f>IFERROR(__xludf.DUMMYFUNCTION("""COMPUTED_VALUE"""),4.5)</f>
        <v>4.5</v>
      </c>
      <c r="Q236" s="48">
        <f>IFERROR(__xludf.DUMMYFUNCTION("""COMPUTED_VALUE"""),0.6)</f>
        <v>0.6</v>
      </c>
      <c r="R236" s="47">
        <f>IFERROR(__xludf.DUMMYFUNCTION("""COMPUTED_VALUE"""),0.6)</f>
        <v>0.6</v>
      </c>
      <c r="S236" s="47">
        <f>IFERROR(__xludf.DUMMYFUNCTION("""COMPUTED_VALUE"""),1.5)</f>
        <v>1.5</v>
      </c>
      <c r="T236" s="47">
        <f>IFERROR(__xludf.DUMMYFUNCTION("""COMPUTED_VALUE"""),56.36363636363636)</f>
        <v>56.36363636</v>
      </c>
      <c r="U236" s="47">
        <f>IFERROR(__xludf.DUMMYFUNCTION("""COMPUTED_VALUE"""),64.0)</f>
        <v>64</v>
      </c>
      <c r="V236" s="47">
        <f>IFERROR(__xludf.DUMMYFUNCTION("""COMPUTED_VALUE"""),1.0)</f>
        <v>1</v>
      </c>
      <c r="W236" s="46">
        <f>IFERROR(__xludf.DUMMYFUNCTION("""COMPUTED_VALUE"""),-1.5768451337414169)</f>
        <v>-1.576845134</v>
      </c>
      <c r="X236" s="46">
        <f>IFERROR(__xludf.DUMMYFUNCTION("""COMPUTED_VALUE"""),-1.3394249329228134)</f>
        <v>-1.339424933</v>
      </c>
      <c r="Y236" s="46">
        <f>IFERROR(__xludf.DUMMYFUNCTION("""COMPUTED_VALUE"""),-0.6670945337689531)</f>
        <v>-0.6670945338</v>
      </c>
      <c r="Z236" s="46">
        <f>IFERROR(__xludf.DUMMYFUNCTION("""COMPUTED_VALUE"""),-1.6545198189935006)</f>
        <v>-1.654519819</v>
      </c>
      <c r="AA236" s="46">
        <f>IFERROR(__xludf.DUMMYFUNCTION("""COMPUTED_VALUE"""),-0.860570275155411)</f>
        <v>-0.8605702752</v>
      </c>
      <c r="AB236" s="46">
        <f>IFERROR(__xludf.DUMMYFUNCTION("""COMPUTED_VALUE"""),1.0487758395117905)</f>
        <v>1.04877584</v>
      </c>
      <c r="AC236" s="46">
        <f>IFERROR(__xludf.DUMMYFUNCTION("""COMPUTED_VALUE"""),0.3716633360170114)</f>
        <v>0.371663336</v>
      </c>
      <c r="AD236" s="46">
        <f>IFERROR(__xludf.DUMMYFUNCTION("""COMPUTED_VALUE"""),-0.9321917995023341)</f>
        <v>-0.9321917995</v>
      </c>
      <c r="AE236" s="46">
        <f>IFERROR(__xludf.DUMMYFUNCTION("""COMPUTED_VALUE"""),0.30880674639851335)</f>
        <v>0.3088067464</v>
      </c>
    </row>
    <row r="237">
      <c r="A237" s="6" t="str">
        <f>IF(VLOOKUP(H237,'Paste #BBall'!$B$2:$N1001,3,)="BRO","BKN",IF(VLOOKUP(H237,'Paste #BBall'!$B$2:$N1001,3,)="OKL","OKC",VLOOKUP(H237,'Paste #BBall'!$B$2:$N1001,3,)))</f>
        <v>LAL</v>
      </c>
      <c r="B237" s="42">
        <f>VLOOKUP($A237,Schedule!$C$2:$G$31,2,0)</f>
        <v>4</v>
      </c>
      <c r="C237" s="42">
        <f>VLOOKUP($A237,Schedule!$C$2:$G$31,3,0)</f>
        <v>2</v>
      </c>
      <c r="D237" s="42">
        <f>VLOOKUP($A237,Schedule!$C$2:$G$31,4,0)</f>
        <v>3</v>
      </c>
      <c r="E237" s="42">
        <f t="shared" si="1"/>
        <v>9</v>
      </c>
      <c r="F237" s="6">
        <v>231.0</v>
      </c>
      <c r="G237" s="45">
        <f>IFERROR(__xludf.DUMMYFUNCTION("""COMPUTED_VALUE"""),226.0)</f>
        <v>226</v>
      </c>
      <c r="H237" s="45" t="str">
        <f>IFERROR(__xludf.DUMMYFUNCTION("""COMPUTED_VALUE"""),"Max Christie")</f>
        <v>Max Christie</v>
      </c>
      <c r="I237" s="45">
        <f>IFERROR(__xludf.DUMMYFUNCTION("""COMPUTED_VALUE"""),70.0)</f>
        <v>70</v>
      </c>
      <c r="J237" s="46" t="str">
        <f>IFERROR(__xludf.DUMMYFUNCTION("""COMPUTED_VALUE"""),"SG,SF")</f>
        <v>SG,SF</v>
      </c>
      <c r="K237" s="46">
        <f>IFERROR(__xludf.DUMMYFUNCTION("""COMPUTED_VALUE"""),-6.02112834370223)</f>
        <v>-6.021128344</v>
      </c>
      <c r="L237" s="47">
        <f>IFERROR(__xludf.DUMMYFUNCTION("""COMPUTED_VALUE"""),-3.6614665709329146)</f>
        <v>-3.661466571</v>
      </c>
      <c r="M237" s="47">
        <f>IFERROR(__xludf.DUMMYFUNCTION("""COMPUTED_VALUE"""),2.3596617727693157)</f>
        <v>2.359661773</v>
      </c>
      <c r="N237" s="47">
        <f>IFERROR(__xludf.DUMMYFUNCTION("""COMPUTED_VALUE"""),7.4)</f>
        <v>7.4</v>
      </c>
      <c r="O237" s="47">
        <f>IFERROR(__xludf.DUMMYFUNCTION("""COMPUTED_VALUE"""),1.4)</f>
        <v>1.4</v>
      </c>
      <c r="P237" s="47">
        <f>IFERROR(__xludf.DUMMYFUNCTION("""COMPUTED_VALUE"""),3.9)</f>
        <v>3.9</v>
      </c>
      <c r="Q237" s="48">
        <f>IFERROR(__xludf.DUMMYFUNCTION("""COMPUTED_VALUE"""),1.1)</f>
        <v>1.1</v>
      </c>
      <c r="R237" s="47">
        <f>IFERROR(__xludf.DUMMYFUNCTION("""COMPUTED_VALUE"""),0.7)</f>
        <v>0.7</v>
      </c>
      <c r="S237" s="47">
        <f>IFERROR(__xludf.DUMMYFUNCTION("""COMPUTED_VALUE"""),0.4)</f>
        <v>0.4</v>
      </c>
      <c r="T237" s="47">
        <f>IFERROR(__xludf.DUMMYFUNCTION("""COMPUTED_VALUE"""),43.333333333333336)</f>
        <v>43.33333333</v>
      </c>
      <c r="U237" s="47">
        <f>IFERROR(__xludf.DUMMYFUNCTION("""COMPUTED_VALUE"""),77.77777777777777)</f>
        <v>77.77777778</v>
      </c>
      <c r="V237" s="47">
        <f>IFERROR(__xludf.DUMMYFUNCTION("""COMPUTED_VALUE"""),1.0)</f>
        <v>1</v>
      </c>
      <c r="W237" s="46">
        <f>IFERROR(__xludf.DUMMYFUNCTION("""COMPUTED_VALUE"""),-1.661108322220652)</f>
        <v>-1.661108322</v>
      </c>
      <c r="X237" s="46">
        <f>IFERROR(__xludf.DUMMYFUNCTION("""COMPUTED_VALUE"""),-0.21215750987599089)</f>
        <v>-0.2121575099</v>
      </c>
      <c r="Y237" s="46">
        <f>IFERROR(__xludf.DUMMYFUNCTION("""COMPUTED_VALUE"""),-0.9179867529047901)</f>
        <v>-0.9179867529</v>
      </c>
      <c r="Z237" s="46">
        <f>IFERROR(__xludf.DUMMYFUNCTION("""COMPUTED_VALUE"""),-1.3995075164359327)</f>
        <v>-1.399507516</v>
      </c>
      <c r="AA237" s="46">
        <f>IFERROR(__xludf.DUMMYFUNCTION("""COMPUTED_VALUE"""),-0.6425203743558983)</f>
        <v>-0.6425203744</v>
      </c>
      <c r="AB237" s="46">
        <f>IFERROR(__xludf.DUMMYFUNCTION("""COMPUTED_VALUE"""),-0.39569839687757064)</f>
        <v>-0.3956983969</v>
      </c>
      <c r="AC237" s="46">
        <f>IFERROR(__xludf.DUMMYFUNCTION("""COMPUTED_VALUE"""),-0.37547992901244914)</f>
        <v>-0.375479929</v>
      </c>
      <c r="AD237" s="46">
        <f>IFERROR(__xludf.DUMMYFUNCTION("""COMPUTED_VALUE"""),-0.026922837868795582)</f>
        <v>-0.02692283787</v>
      </c>
      <c r="AE237" s="46">
        <f>IFERROR(__xludf.DUMMYFUNCTION("""COMPUTED_VALUE"""),0.30880674639851335)</f>
        <v>0.3088067464</v>
      </c>
    </row>
    <row r="238">
      <c r="A238" s="6" t="str">
        <f>IF(VLOOKUP(H238,'Paste #BBall'!$B$2:$N1001,3,)="BRO","BKN",IF(VLOOKUP(H238,'Paste #BBall'!$B$2:$N1001,3,)="OKL","OKC",VLOOKUP(H238,'Paste #BBall'!$B$2:$N1001,3,)))</f>
        <v>OKC</v>
      </c>
      <c r="B238" s="42">
        <f>VLOOKUP($A238,Schedule!$C$2:$G$31,2,0)</f>
        <v>4</v>
      </c>
      <c r="C238" s="42">
        <f>VLOOKUP($A238,Schedule!$C$2:$G$31,3,0)</f>
        <v>3</v>
      </c>
      <c r="D238" s="42">
        <f>VLOOKUP($A238,Schedule!$C$2:$G$31,4,0)</f>
        <v>3</v>
      </c>
      <c r="E238" s="42">
        <f t="shared" si="1"/>
        <v>10</v>
      </c>
      <c r="F238" s="6">
        <v>232.0</v>
      </c>
      <c r="G238" s="45">
        <f>IFERROR(__xludf.DUMMYFUNCTION("""COMPUTED_VALUE"""),227.0)</f>
        <v>227</v>
      </c>
      <c r="H238" s="45" t="str">
        <f>IFERROR(__xludf.DUMMYFUNCTION("""COMPUTED_VALUE"""),"Aleksej Pokusevski")</f>
        <v>Aleksej Pokusevski</v>
      </c>
      <c r="I238" s="45">
        <f>IFERROR(__xludf.DUMMYFUNCTION("""COMPUTED_VALUE"""),50.0)</f>
        <v>50</v>
      </c>
      <c r="J238" s="46" t="str">
        <f>IFERROR(__xludf.DUMMYFUNCTION("""COMPUTED_VALUE"""),"PF,C")</f>
        <v>PF,C</v>
      </c>
      <c r="K238" s="46">
        <f>IFERROR(__xludf.DUMMYFUNCTION("""COMPUTED_VALUE"""),-6.040820230525804)</f>
        <v>-6.040820231</v>
      </c>
      <c r="L238" s="47">
        <f>IFERROR(__xludf.DUMMYFUNCTION("""COMPUTED_VALUE"""),-3.671776183973175)</f>
        <v>-3.671776184</v>
      </c>
      <c r="M238" s="47">
        <f>IFERROR(__xludf.DUMMYFUNCTION("""COMPUTED_VALUE"""),2.369044046552629)</f>
        <v>2.369044047</v>
      </c>
      <c r="N238" s="47">
        <f>IFERROR(__xludf.DUMMYFUNCTION("""COMPUTED_VALUE"""),7.0)</f>
        <v>7</v>
      </c>
      <c r="O238" s="47">
        <f>IFERROR(__xludf.DUMMYFUNCTION("""COMPUTED_VALUE"""),0.9)</f>
        <v>0.9</v>
      </c>
      <c r="P238" s="47">
        <f>IFERROR(__xludf.DUMMYFUNCTION("""COMPUTED_VALUE"""),4.5)</f>
        <v>4.5</v>
      </c>
      <c r="Q238" s="48">
        <f>IFERROR(__xludf.DUMMYFUNCTION("""COMPUTED_VALUE"""),1.8)</f>
        <v>1.8</v>
      </c>
      <c r="R238" s="47">
        <f>IFERROR(__xludf.DUMMYFUNCTION("""COMPUTED_VALUE"""),0.6)</f>
        <v>0.6</v>
      </c>
      <c r="S238" s="47">
        <f>IFERROR(__xludf.DUMMYFUNCTION("""COMPUTED_VALUE"""),0.8)</f>
        <v>0.8</v>
      </c>
      <c r="T238" s="47">
        <f>IFERROR(__xludf.DUMMYFUNCTION("""COMPUTED_VALUE"""),42.42424242424242)</f>
        <v>42.42424242</v>
      </c>
      <c r="U238" s="47">
        <f>IFERROR(__xludf.DUMMYFUNCTION("""COMPUTED_VALUE"""),62.5)</f>
        <v>62.5</v>
      </c>
      <c r="V238" s="47">
        <f>IFERROR(__xludf.DUMMYFUNCTION("""COMPUTED_VALUE"""),1.3)</f>
        <v>1.3</v>
      </c>
      <c r="W238" s="46">
        <f>IFERROR(__xludf.DUMMYFUNCTION("""COMPUTED_VALUE"""),-1.72851887300404)</f>
        <v>-1.728518873</v>
      </c>
      <c r="X238" s="46">
        <f>IFERROR(__xludf.DUMMYFUNCTION("""COMPUTED_VALUE"""),-0.6457219033555379)</f>
        <v>-0.6457219034</v>
      </c>
      <c r="Y238" s="46">
        <f>IFERROR(__xludf.DUMMYFUNCTION("""COMPUTED_VALUE"""),-0.6670945337689531)</f>
        <v>-0.6670945338</v>
      </c>
      <c r="Z238" s="46">
        <f>IFERROR(__xludf.DUMMYFUNCTION("""COMPUTED_VALUE"""),-1.0424902928553377)</f>
        <v>-1.042490293</v>
      </c>
      <c r="AA238" s="46">
        <f>IFERROR(__xludf.DUMMYFUNCTION("""COMPUTED_VALUE"""),-0.860570275155411)</f>
        <v>-0.8605702752</v>
      </c>
      <c r="AB238" s="46">
        <f>IFERROR(__xludf.DUMMYFUNCTION("""COMPUTED_VALUE"""),0.12956496180946983)</f>
        <v>0.1295649618</v>
      </c>
      <c r="AC238" s="46">
        <f>IFERROR(__xludf.DUMMYFUNCTION("""COMPUTED_VALUE"""),-0.47295982366723643)</f>
        <v>-0.4729598237</v>
      </c>
      <c r="AD238" s="46">
        <f>IFERROR(__xludf.DUMMYFUNCTION("""COMPUTED_VALUE"""),-0.32817229938449327)</f>
        <v>-0.3281722994</v>
      </c>
      <c r="AE238" s="46">
        <f>IFERROR(__xludf.DUMMYFUNCTION("""COMPUTED_VALUE"""),0.2156679824043236)</f>
        <v>0.2156679824</v>
      </c>
    </row>
    <row r="239">
      <c r="A239" s="6" t="str">
        <f>IF(VLOOKUP(H239,'Paste #BBall'!$B$2:$N1001,3,)="BRO","BKN",IF(VLOOKUP(H239,'Paste #BBall'!$B$2:$N1001,3,)="OKL","OKC",VLOOKUP(H239,'Paste #BBall'!$B$2:$N1001,3,)))</f>
        <v>BOS</v>
      </c>
      <c r="B239" s="42">
        <f>VLOOKUP($A239,Schedule!$C$2:$G$31,2,0)</f>
        <v>3</v>
      </c>
      <c r="C239" s="42">
        <f>VLOOKUP($A239,Schedule!$C$2:$G$31,3,0)</f>
        <v>4</v>
      </c>
      <c r="D239" s="42">
        <f>VLOOKUP($A239,Schedule!$C$2:$G$31,4,0)</f>
        <v>4</v>
      </c>
      <c r="E239" s="42">
        <f t="shared" si="1"/>
        <v>11</v>
      </c>
      <c r="F239" s="6">
        <v>233.0</v>
      </c>
      <c r="G239" s="45">
        <f>IFERROR(__xludf.DUMMYFUNCTION("""COMPUTED_VALUE"""),244.0)</f>
        <v>244</v>
      </c>
      <c r="H239" s="45" t="str">
        <f>IFERROR(__xludf.DUMMYFUNCTION("""COMPUTED_VALUE"""),"Sam Hauser")</f>
        <v>Sam Hauser</v>
      </c>
      <c r="I239" s="45">
        <f>IFERROR(__xludf.DUMMYFUNCTION("""COMPUTED_VALUE"""),76.0)</f>
        <v>76</v>
      </c>
      <c r="J239" s="46" t="str">
        <f>IFERROR(__xludf.DUMMYFUNCTION("""COMPUTED_VALUE"""),"SF,PF")</f>
        <v>SF,PF</v>
      </c>
      <c r="K239" s="46">
        <f>IFERROR(__xludf.DUMMYFUNCTION("""COMPUTED_VALUE"""),-6.4427292012079675)</f>
        <v>-6.442729201</v>
      </c>
      <c r="L239" s="47">
        <f>IFERROR(__xludf.DUMMYFUNCTION("""COMPUTED_VALUE"""),-3.6994589245869216)</f>
        <v>-3.699458925</v>
      </c>
      <c r="M239" s="47">
        <f>IFERROR(__xludf.DUMMYFUNCTION("""COMPUTED_VALUE"""),2.743270276621046)</f>
        <v>2.743270277</v>
      </c>
      <c r="N239" s="47">
        <f>IFERROR(__xludf.DUMMYFUNCTION("""COMPUTED_VALUE"""),7.5)</f>
        <v>7.5</v>
      </c>
      <c r="O239" s="47">
        <f>IFERROR(__xludf.DUMMYFUNCTION("""COMPUTED_VALUE"""),2.1)</f>
        <v>2.1</v>
      </c>
      <c r="P239" s="47">
        <f>IFERROR(__xludf.DUMMYFUNCTION("""COMPUTED_VALUE"""),3.0)</f>
        <v>3</v>
      </c>
      <c r="Q239" s="48">
        <f>IFERROR(__xludf.DUMMYFUNCTION("""COMPUTED_VALUE"""),1.1)</f>
        <v>1.1</v>
      </c>
      <c r="R239" s="47">
        <f>IFERROR(__xludf.DUMMYFUNCTION("""COMPUTED_VALUE"""),0.4)</f>
        <v>0.4</v>
      </c>
      <c r="S239" s="47">
        <f>IFERROR(__xludf.DUMMYFUNCTION("""COMPUTED_VALUE"""),0.3)</f>
        <v>0.3</v>
      </c>
      <c r="T239" s="47">
        <f>IFERROR(__xludf.DUMMYFUNCTION("""COMPUTED_VALUE"""),46.55172413793104)</f>
        <v>46.55172414</v>
      </c>
      <c r="U239" s="47">
        <f>IFERROR(__xludf.DUMMYFUNCTION("""COMPUTED_VALUE"""),100.0)</f>
        <v>100</v>
      </c>
      <c r="V239" s="47">
        <f>IFERROR(__xludf.DUMMYFUNCTION("""COMPUTED_VALUE"""),0.4)</f>
        <v>0.4</v>
      </c>
      <c r="W239" s="46">
        <f>IFERROR(__xludf.DUMMYFUNCTION("""COMPUTED_VALUE"""),-1.6442556845248049)</f>
        <v>-1.644255685</v>
      </c>
      <c r="X239" s="46">
        <f>IFERROR(__xludf.DUMMYFUNCTION("""COMPUTED_VALUE"""),0.39483264099537524)</f>
        <v>0.394832641</v>
      </c>
      <c r="Y239" s="46">
        <f>IFERROR(__xludf.DUMMYFUNCTION("""COMPUTED_VALUE"""),-1.2943250816085456)</f>
        <v>-1.294325082</v>
      </c>
      <c r="Z239" s="46">
        <f>IFERROR(__xludf.DUMMYFUNCTION("""COMPUTED_VALUE"""),-1.3995075164359327)</f>
        <v>-1.399507516</v>
      </c>
      <c r="AA239" s="46">
        <f>IFERROR(__xludf.DUMMYFUNCTION("""COMPUTED_VALUE"""),-1.2966700767544366)</f>
        <v>-1.296670077</v>
      </c>
      <c r="AB239" s="46">
        <f>IFERROR(__xludf.DUMMYFUNCTION("""COMPUTED_VALUE"""),-0.5270142365493308)</f>
        <v>-0.5270142365</v>
      </c>
      <c r="AC239" s="46">
        <f>IFERROR(__xludf.DUMMYFUNCTION("""COMPUTED_VALUE"""),-0.17650912592323537)</f>
        <v>-0.1765091259</v>
      </c>
      <c r="AD239" s="46">
        <f>IFERROR(__xludf.DUMMYFUNCTION("""COMPUTED_VALUE"""),0.10465019730229097)</f>
        <v>0.1046501973</v>
      </c>
      <c r="AE239" s="46">
        <f>IFERROR(__xludf.DUMMYFUNCTION("""COMPUTED_VALUE"""),0.4950842743868928)</f>
        <v>0.4950842744</v>
      </c>
    </row>
    <row r="240">
      <c r="A240" s="6" t="str">
        <f>IF(VLOOKUP(H240,'Paste #BBall'!$B$2:$N1001,3,)="BRO","BKN",IF(VLOOKUP(H240,'Paste #BBall'!$B$2:$N1001,3,)="OKL","OKC",VLOOKUP(H240,'Paste #BBall'!$B$2:$N1001,3,)))</f>
        <v>UTA</v>
      </c>
      <c r="B240" s="42">
        <f>VLOOKUP($A240,Schedule!$C$2:$G$31,2,0)</f>
        <v>3</v>
      </c>
      <c r="C240" s="42">
        <f>VLOOKUP($A240,Schedule!$C$2:$G$31,3,0)</f>
        <v>3</v>
      </c>
      <c r="D240" s="42">
        <f>VLOOKUP($A240,Schedule!$C$2:$G$31,4,0)</f>
        <v>4</v>
      </c>
      <c r="E240" s="42">
        <f t="shared" si="1"/>
        <v>10</v>
      </c>
      <c r="F240" s="6">
        <v>234.0</v>
      </c>
      <c r="G240" s="45">
        <f>IFERROR(__xludf.DUMMYFUNCTION("""COMPUTED_VALUE"""),232.0)</f>
        <v>232</v>
      </c>
      <c r="H240" s="45" t="str">
        <f>IFERROR(__xludf.DUMMYFUNCTION("""COMPUTED_VALUE"""),"Taylor Hendricks")</f>
        <v>Taylor Hendricks</v>
      </c>
      <c r="I240" s="45">
        <f>IFERROR(__xludf.DUMMYFUNCTION("""COMPUTED_VALUE"""),72.0)</f>
        <v>72</v>
      </c>
      <c r="J240" s="46" t="str">
        <f>IFERROR(__xludf.DUMMYFUNCTION("""COMPUTED_VALUE"""),"PF")</f>
        <v>PF</v>
      </c>
      <c r="K240" s="46">
        <f>IFERROR(__xludf.DUMMYFUNCTION("""COMPUTED_VALUE"""),-6.096119437566361)</f>
        <v>-6.096119438</v>
      </c>
      <c r="L240" s="47">
        <f>IFERROR(__xludf.DUMMYFUNCTION("""COMPUTED_VALUE"""),-3.6994851280800427)</f>
        <v>-3.699485128</v>
      </c>
      <c r="M240" s="47">
        <f>IFERROR(__xludf.DUMMYFUNCTION("""COMPUTED_VALUE"""),2.396634309486318)</f>
        <v>2.396634309</v>
      </c>
      <c r="N240" s="47">
        <f>IFERROR(__xludf.DUMMYFUNCTION("""COMPUTED_VALUE"""),8.8)</f>
        <v>8.8</v>
      </c>
      <c r="O240" s="47">
        <f>IFERROR(__xludf.DUMMYFUNCTION("""COMPUTED_VALUE"""),0.8)</f>
        <v>0.8</v>
      </c>
      <c r="P240" s="47">
        <f>IFERROR(__xludf.DUMMYFUNCTION("""COMPUTED_VALUE"""),5.6)</f>
        <v>5.6</v>
      </c>
      <c r="Q240" s="48">
        <f>IFERROR(__xludf.DUMMYFUNCTION("""COMPUTED_VALUE"""),1.7)</f>
        <v>1.7</v>
      </c>
      <c r="R240" s="47">
        <f>IFERROR(__xludf.DUMMYFUNCTION("""COMPUTED_VALUE"""),0.4)</f>
        <v>0.4</v>
      </c>
      <c r="S240" s="47">
        <f>IFERROR(__xludf.DUMMYFUNCTION("""COMPUTED_VALUE"""),0.4)</f>
        <v>0.4</v>
      </c>
      <c r="T240" s="47">
        <f>IFERROR(__xludf.DUMMYFUNCTION("""COMPUTED_VALUE"""),45.714285714285715)</f>
        <v>45.71428571</v>
      </c>
      <c r="U240" s="47">
        <f>IFERROR(__xludf.DUMMYFUNCTION("""COMPUTED_VALUE"""),80.0)</f>
        <v>80</v>
      </c>
      <c r="V240" s="47">
        <f>IFERROR(__xludf.DUMMYFUNCTION("""COMPUTED_VALUE"""),1.2)</f>
        <v>1.2</v>
      </c>
      <c r="W240" s="46">
        <f>IFERROR(__xludf.DUMMYFUNCTION("""COMPUTED_VALUE"""),-1.425171394478794)</f>
        <v>-1.425171394</v>
      </c>
      <c r="X240" s="46">
        <f>IFERROR(__xludf.DUMMYFUNCTION("""COMPUTED_VALUE"""),-0.7324347820514473)</f>
        <v>-0.7324347821</v>
      </c>
      <c r="Y240" s="46">
        <f>IFERROR(__xludf.DUMMYFUNCTION("""COMPUTED_VALUE"""),-0.207125465353252)</f>
        <v>-0.2071254654</v>
      </c>
      <c r="Z240" s="46">
        <f>IFERROR(__xludf.DUMMYFUNCTION("""COMPUTED_VALUE"""),-1.0934927533668515)</f>
        <v>-1.093492753</v>
      </c>
      <c r="AA240" s="46">
        <f>IFERROR(__xludf.DUMMYFUNCTION("""COMPUTED_VALUE"""),-1.2966700767544366)</f>
        <v>-1.296670077</v>
      </c>
      <c r="AB240" s="46">
        <f>IFERROR(__xludf.DUMMYFUNCTION("""COMPUTED_VALUE"""),-0.39569839687757064)</f>
        <v>-0.3956983969</v>
      </c>
      <c r="AC240" s="46">
        <f>IFERROR(__xludf.DUMMYFUNCTION("""COMPUTED_VALUE"""),-0.2715824123102393)</f>
        <v>-0.2715824123</v>
      </c>
      <c r="AD240" s="46">
        <f>IFERROR(__xludf.DUMMYFUNCTION("""COMPUTED_VALUE"""),0.05080452156470048)</f>
        <v>0.05080452156</v>
      </c>
      <c r="AE240" s="46">
        <f>IFERROR(__xludf.DUMMYFUNCTION("""COMPUTED_VALUE"""),0.24671423706905354)</f>
        <v>0.2467142371</v>
      </c>
    </row>
    <row r="241">
      <c r="A241" s="6" t="str">
        <f>IF(VLOOKUP(H241,'Paste #BBall'!$B$2:$N1001,3,)="BRO","BKN",IF(VLOOKUP(H241,'Paste #BBall'!$B$2:$N1001,3,)="OKL","OKC",VLOOKUP(H241,'Paste #BBall'!$B$2:$N1001,3,)))</f>
        <v>PHO</v>
      </c>
      <c r="B241" s="42">
        <f>VLOOKUP($A241,Schedule!$C$2:$G$31,2,0)</f>
        <v>3</v>
      </c>
      <c r="C241" s="42">
        <f>VLOOKUP($A241,Schedule!$C$2:$G$31,3,0)</f>
        <v>4</v>
      </c>
      <c r="D241" s="42">
        <f>VLOOKUP($A241,Schedule!$C$2:$G$31,4,0)</f>
        <v>3</v>
      </c>
      <c r="E241" s="42">
        <f t="shared" si="1"/>
        <v>10</v>
      </c>
      <c r="F241" s="6">
        <v>235.0</v>
      </c>
      <c r="G241" s="45">
        <f>IFERROR(__xludf.DUMMYFUNCTION("""COMPUTED_VALUE"""),239.0)</f>
        <v>239</v>
      </c>
      <c r="H241" s="45" t="str">
        <f>IFERROR(__xludf.DUMMYFUNCTION("""COMPUTED_VALUE"""),"Drew Eubanks")</f>
        <v>Drew Eubanks</v>
      </c>
      <c r="I241" s="45">
        <f>IFERROR(__xludf.DUMMYFUNCTION("""COMPUTED_VALUE"""),70.0)</f>
        <v>70</v>
      </c>
      <c r="J241" s="46" t="str">
        <f>IFERROR(__xludf.DUMMYFUNCTION("""COMPUTED_VALUE"""),"C")</f>
        <v>C</v>
      </c>
      <c r="K241" s="46">
        <f>IFERROR(__xludf.DUMMYFUNCTION("""COMPUTED_VALUE"""),-6.382550563569917)</f>
        <v>-6.382550564</v>
      </c>
      <c r="L241" s="47">
        <f>IFERROR(__xludf.DUMMYFUNCTION("""COMPUTED_VALUE"""),-3.732223208207454)</f>
        <v>-3.732223208</v>
      </c>
      <c r="M241" s="47">
        <f>IFERROR(__xludf.DUMMYFUNCTION("""COMPUTED_VALUE"""),2.6503273553624633)</f>
        <v>2.650327355</v>
      </c>
      <c r="N241" s="47">
        <f>IFERROR(__xludf.DUMMYFUNCTION("""COMPUTED_VALUE"""),6.6)</f>
        <v>6.6</v>
      </c>
      <c r="O241" s="47">
        <f>IFERROR(__xludf.DUMMYFUNCTION("""COMPUTED_VALUE"""),0.1)</f>
        <v>0.1</v>
      </c>
      <c r="P241" s="47">
        <f>IFERROR(__xludf.DUMMYFUNCTION("""COMPUTED_VALUE"""),5.0)</f>
        <v>5</v>
      </c>
      <c r="Q241" s="48">
        <f>IFERROR(__xludf.DUMMYFUNCTION("""COMPUTED_VALUE"""),1.2)</f>
        <v>1.2</v>
      </c>
      <c r="R241" s="47">
        <f>IFERROR(__xludf.DUMMYFUNCTION("""COMPUTED_VALUE"""),0.4)</f>
        <v>0.4</v>
      </c>
      <c r="S241" s="47">
        <f>IFERROR(__xludf.DUMMYFUNCTION("""COMPUTED_VALUE"""),0.9)</f>
        <v>0.9</v>
      </c>
      <c r="T241" s="47">
        <f>IFERROR(__xludf.DUMMYFUNCTION("""COMPUTED_VALUE"""),61.36363636363637)</f>
        <v>61.36363636</v>
      </c>
      <c r="U241" s="47">
        <f>IFERROR(__xludf.DUMMYFUNCTION("""COMPUTED_VALUE"""),68.75)</f>
        <v>68.75</v>
      </c>
      <c r="V241" s="47">
        <f>IFERROR(__xludf.DUMMYFUNCTION("""COMPUTED_VALUE"""),0.9)</f>
        <v>0.9</v>
      </c>
      <c r="W241" s="46">
        <f>IFERROR(__xludf.DUMMYFUNCTION("""COMPUTED_VALUE"""),-1.795929423787428)</f>
        <v>-1.795929424</v>
      </c>
      <c r="X241" s="46">
        <f>IFERROR(__xludf.DUMMYFUNCTION("""COMPUTED_VALUE"""),-1.3394249329228134)</f>
        <v>-1.339424933</v>
      </c>
      <c r="Y241" s="46">
        <f>IFERROR(__xludf.DUMMYFUNCTION("""COMPUTED_VALUE"""),-0.45801768448908886)</f>
        <v>-0.4580176845</v>
      </c>
      <c r="Z241" s="46">
        <f>IFERROR(__xludf.DUMMYFUNCTION("""COMPUTED_VALUE"""),-1.3485050559244194)</f>
        <v>-1.348505056</v>
      </c>
      <c r="AA241" s="46">
        <f>IFERROR(__xludf.DUMMYFUNCTION("""COMPUTED_VALUE"""),-1.2966700767544366)</f>
        <v>-1.296670077</v>
      </c>
      <c r="AB241" s="46">
        <f>IFERROR(__xludf.DUMMYFUNCTION("""COMPUTED_VALUE"""),0.2608808014812299)</f>
        <v>0.2608808015</v>
      </c>
      <c r="AC241" s="46">
        <f>IFERROR(__xludf.DUMMYFUNCTION("""COMPUTED_VALUE"""),0.5170809752432649)</f>
        <v>0.5170809752</v>
      </c>
      <c r="AD241" s="46">
        <f>IFERROR(__xludf.DUMMYFUNCTION("""COMPUTED_VALUE"""),-0.4074202359044341)</f>
        <v>-0.4074202359</v>
      </c>
      <c r="AE241" s="46">
        <f>IFERROR(__xludf.DUMMYFUNCTION("""COMPUTED_VALUE"""),0.33985300106324323)</f>
        <v>0.3398530011</v>
      </c>
    </row>
    <row r="242">
      <c r="A242" s="6" t="str">
        <f>IF(VLOOKUP(H242,'Paste #BBall'!$B$2:$N1001,3,)="BRO","BKN",IF(VLOOKUP(H242,'Paste #BBall'!$B$2:$N1001,3,)="OKL","OKC",VLOOKUP(H242,'Paste #BBall'!$B$2:$N1001,3,)))</f>
        <v>GS</v>
      </c>
      <c r="B242" s="42">
        <f>VLOOKUP($A242,Schedule!$C$2:$G$31,2,0)</f>
        <v>3</v>
      </c>
      <c r="C242" s="42">
        <f>VLOOKUP($A242,Schedule!$C$2:$G$31,3,0)</f>
        <v>3</v>
      </c>
      <c r="D242" s="42">
        <f>VLOOKUP($A242,Schedule!$C$2:$G$31,4,0)</f>
        <v>4</v>
      </c>
      <c r="E242" s="42">
        <f t="shared" si="1"/>
        <v>10</v>
      </c>
      <c r="F242" s="6">
        <v>236.0</v>
      </c>
      <c r="G242" s="45">
        <f>IFERROR(__xludf.DUMMYFUNCTION("""COMPUTED_VALUE"""),212.0)</f>
        <v>212</v>
      </c>
      <c r="H242" s="45" t="str">
        <f>IFERROR(__xludf.DUMMYFUNCTION("""COMPUTED_VALUE"""),"Jonathan Kuminga")</f>
        <v>Jonathan Kuminga</v>
      </c>
      <c r="I242" s="45">
        <f>IFERROR(__xludf.DUMMYFUNCTION("""COMPUTED_VALUE"""),72.0)</f>
        <v>72</v>
      </c>
      <c r="J242" s="46" t="str">
        <f>IFERROR(__xludf.DUMMYFUNCTION("""COMPUTED_VALUE"""),"PF")</f>
        <v>PF</v>
      </c>
      <c r="K242" s="46">
        <f>IFERROR(__xludf.DUMMYFUNCTION("""COMPUTED_VALUE"""),-5.59147485339879)</f>
        <v>-5.591474853</v>
      </c>
      <c r="L242" s="47">
        <f>IFERROR(__xludf.DUMMYFUNCTION("""COMPUTED_VALUE"""),-3.7795525758479145)</f>
        <v>-3.779552576</v>
      </c>
      <c r="M242" s="47">
        <f>IFERROR(__xludf.DUMMYFUNCTION("""COMPUTED_VALUE"""),1.8119222775508752)</f>
        <v>1.811922278</v>
      </c>
      <c r="N242" s="47">
        <f>IFERROR(__xludf.DUMMYFUNCTION("""COMPUTED_VALUE"""),11.9)</f>
        <v>11.9</v>
      </c>
      <c r="O242" s="47">
        <f>IFERROR(__xludf.DUMMYFUNCTION("""COMPUTED_VALUE"""),0.9)</f>
        <v>0.9</v>
      </c>
      <c r="P242" s="47">
        <f>IFERROR(__xludf.DUMMYFUNCTION("""COMPUTED_VALUE"""),4.2)</f>
        <v>4.2</v>
      </c>
      <c r="Q242" s="48">
        <f>IFERROR(__xludf.DUMMYFUNCTION("""COMPUTED_VALUE"""),1.7)</f>
        <v>1.7</v>
      </c>
      <c r="R242" s="47">
        <f>IFERROR(__xludf.DUMMYFUNCTION("""COMPUTED_VALUE"""),0.7)</f>
        <v>0.7</v>
      </c>
      <c r="S242" s="47">
        <f>IFERROR(__xludf.DUMMYFUNCTION("""COMPUTED_VALUE"""),0.5)</f>
        <v>0.5</v>
      </c>
      <c r="T242" s="47">
        <f>IFERROR(__xludf.DUMMYFUNCTION("""COMPUTED_VALUE"""),52.32558139534884)</f>
        <v>52.3255814</v>
      </c>
      <c r="U242" s="47">
        <f>IFERROR(__xludf.DUMMYFUNCTION("""COMPUTED_VALUE"""),66.66666666666666)</f>
        <v>66.66666667</v>
      </c>
      <c r="V242" s="47">
        <f>IFERROR(__xludf.DUMMYFUNCTION("""COMPUTED_VALUE"""),1.5)</f>
        <v>1.5</v>
      </c>
      <c r="W242" s="46">
        <f>IFERROR(__xludf.DUMMYFUNCTION("""COMPUTED_VALUE"""),-0.9027396259075373)</f>
        <v>-0.9027396259</v>
      </c>
      <c r="X242" s="46">
        <f>IFERROR(__xludf.DUMMYFUNCTION("""COMPUTED_VALUE"""),-0.6457219033555379)</f>
        <v>-0.6457219034</v>
      </c>
      <c r="Y242" s="46">
        <f>IFERROR(__xludf.DUMMYFUNCTION("""COMPUTED_VALUE"""),-0.7925406433368716)</f>
        <v>-0.7925406433</v>
      </c>
      <c r="Z242" s="46">
        <f>IFERROR(__xludf.DUMMYFUNCTION("""COMPUTED_VALUE"""),-1.0934927533668515)</f>
        <v>-1.093492753</v>
      </c>
      <c r="AA242" s="46">
        <f>IFERROR(__xludf.DUMMYFUNCTION("""COMPUTED_VALUE"""),-0.6425203743558983)</f>
        <v>-0.6425203744</v>
      </c>
      <c r="AB242" s="46">
        <f>IFERROR(__xludf.DUMMYFUNCTION("""COMPUTED_VALUE"""),-0.2643825572058105)</f>
        <v>-0.2643825572</v>
      </c>
      <c r="AC242" s="46">
        <f>IFERROR(__xludf.DUMMYFUNCTION("""COMPUTED_VALUE"""),0.2342677243500365)</f>
        <v>0.2342677244</v>
      </c>
      <c r="AD242" s="46">
        <f>IFERROR(__xludf.DUMMYFUNCTION("""COMPUTED_VALUE"""),-0.9194906691111593)</f>
        <v>-0.9194906691</v>
      </c>
      <c r="AE242" s="46">
        <f>IFERROR(__xludf.DUMMYFUNCTION("""COMPUTED_VALUE"""),0.1535754730748638)</f>
        <v>0.1535754731</v>
      </c>
    </row>
    <row r="243">
      <c r="A243" s="6" t="str">
        <f>IF(VLOOKUP(H243,'Paste #BBall'!$B$2:$N1001,3,)="BRO","BKN",IF(VLOOKUP(H243,'Paste #BBall'!$B$2:$N1001,3,)="OKL","OKC",VLOOKUP(H243,'Paste #BBall'!$B$2:$N1001,3,)))</f>
        <v>PHI</v>
      </c>
      <c r="B243" s="42">
        <f>VLOOKUP($A243,Schedule!$C$2:$G$31,2,0)</f>
        <v>4</v>
      </c>
      <c r="C243" s="42">
        <f>VLOOKUP($A243,Schedule!$C$2:$G$31,3,0)</f>
        <v>3</v>
      </c>
      <c r="D243" s="42">
        <f>VLOOKUP($A243,Schedule!$C$2:$G$31,4,0)</f>
        <v>4</v>
      </c>
      <c r="E243" s="42">
        <f t="shared" si="1"/>
        <v>11</v>
      </c>
      <c r="F243" s="6">
        <v>237.0</v>
      </c>
      <c r="G243" s="45">
        <f>IFERROR(__xludf.DUMMYFUNCTION("""COMPUTED_VALUE"""),258.0)</f>
        <v>258</v>
      </c>
      <c r="H243" s="45" t="str">
        <f>IFERROR(__xludf.DUMMYFUNCTION("""COMPUTED_VALUE"""),"P.J. Tucker")</f>
        <v>P.J. Tucker</v>
      </c>
      <c r="I243" s="45">
        <f>IFERROR(__xludf.DUMMYFUNCTION("""COMPUTED_VALUE"""),73.0)</f>
        <v>73</v>
      </c>
      <c r="J243" s="46" t="str">
        <f>IFERROR(__xludf.DUMMYFUNCTION("""COMPUTED_VALUE"""),"SF")</f>
        <v>SF</v>
      </c>
      <c r="K243" s="46">
        <f>IFERROR(__xludf.DUMMYFUNCTION("""COMPUTED_VALUE"""),-6.837675148256737)</f>
        <v>-6.837675148</v>
      </c>
      <c r="L243" s="47">
        <f>IFERROR(__xludf.DUMMYFUNCTION("""COMPUTED_VALUE"""),-3.788425897522566)</f>
        <v>-3.788425898</v>
      </c>
      <c r="M243" s="47">
        <f>IFERROR(__xludf.DUMMYFUNCTION("""COMPUTED_VALUE"""),3.0492492507341704)</f>
        <v>3.049249251</v>
      </c>
      <c r="N243" s="47">
        <f>IFERROR(__xludf.DUMMYFUNCTION("""COMPUTED_VALUE"""),5.2)</f>
        <v>5.2</v>
      </c>
      <c r="O243" s="47">
        <f>IFERROR(__xludf.DUMMYFUNCTION("""COMPUTED_VALUE"""),0.9)</f>
        <v>0.9</v>
      </c>
      <c r="P243" s="47">
        <f>IFERROR(__xludf.DUMMYFUNCTION("""COMPUTED_VALUE"""),4.4)</f>
        <v>4.4</v>
      </c>
      <c r="Q243" s="48">
        <f>IFERROR(__xludf.DUMMYFUNCTION("""COMPUTED_VALUE"""),1.4)</f>
        <v>1.4</v>
      </c>
      <c r="R243" s="47">
        <f>IFERROR(__xludf.DUMMYFUNCTION("""COMPUTED_VALUE"""),0.6)</f>
        <v>0.6</v>
      </c>
      <c r="S243" s="47">
        <f>IFERROR(__xludf.DUMMYFUNCTION("""COMPUTED_VALUE"""),0.2)</f>
        <v>0.2</v>
      </c>
      <c r="T243" s="47">
        <f>IFERROR(__xludf.DUMMYFUNCTION("""COMPUTED_VALUE"""),47.61904761904761)</f>
        <v>47.61904762</v>
      </c>
      <c r="U243" s="47">
        <f>IFERROR(__xludf.DUMMYFUNCTION("""COMPUTED_VALUE"""),80.0)</f>
        <v>80</v>
      </c>
      <c r="V243" s="47">
        <f>IFERROR(__xludf.DUMMYFUNCTION("""COMPUTED_VALUE"""),0.7)</f>
        <v>0.7</v>
      </c>
      <c r="W243" s="46">
        <f>IFERROR(__xludf.DUMMYFUNCTION("""COMPUTED_VALUE"""),-2.031866351529286)</f>
        <v>-2.031866352</v>
      </c>
      <c r="X243" s="46">
        <f>IFERROR(__xludf.DUMMYFUNCTION("""COMPUTED_VALUE"""),-0.6457219033555379)</f>
        <v>-0.6457219034</v>
      </c>
      <c r="Y243" s="46">
        <f>IFERROR(__xludf.DUMMYFUNCTION("""COMPUTED_VALUE"""),-0.7089099036249258)</f>
        <v>-0.7089099036</v>
      </c>
      <c r="Z243" s="46">
        <f>IFERROR(__xludf.DUMMYFUNCTION("""COMPUTED_VALUE"""),-1.246500134901392)</f>
        <v>-1.246500135</v>
      </c>
      <c r="AA243" s="46">
        <f>IFERROR(__xludf.DUMMYFUNCTION("""COMPUTED_VALUE"""),-0.860570275155411)</f>
        <v>-0.8605702752</v>
      </c>
      <c r="AB243" s="46">
        <f>IFERROR(__xludf.DUMMYFUNCTION("""COMPUTED_VALUE"""),-0.6583300762210907)</f>
        <v>-0.6583300762</v>
      </c>
      <c r="AC243" s="46">
        <f>IFERROR(__xludf.DUMMYFUNCTION("""COMPUTED_VALUE"""),-0.0830402450480873)</f>
        <v>-0.08304024505</v>
      </c>
      <c r="AD243" s="46">
        <f>IFERROR(__xludf.DUMMYFUNCTION("""COMPUTED_VALUE"""),0.01270113039117512)</f>
        <v>0.01270113039</v>
      </c>
      <c r="AE243" s="46">
        <f>IFERROR(__xludf.DUMMYFUNCTION("""COMPUTED_VALUE"""),0.4019455103927031)</f>
        <v>0.4019455104</v>
      </c>
    </row>
    <row r="244">
      <c r="A244" s="6" t="str">
        <f>IF(VLOOKUP(H244,'Paste #BBall'!$B$2:$N1001,3,)="BRO","BKN",IF(VLOOKUP(H244,'Paste #BBall'!$B$2:$N1001,3,)="OKL","OKC",VLOOKUP(H244,'Paste #BBall'!$B$2:$N1001,3,)))</f>
        <v>DAL</v>
      </c>
      <c r="B244" s="42">
        <f>VLOOKUP($A244,Schedule!$C$2:$G$31,2,0)</f>
        <v>3</v>
      </c>
      <c r="C244" s="42">
        <f>VLOOKUP($A244,Schedule!$C$2:$G$31,3,0)</f>
        <v>4</v>
      </c>
      <c r="D244" s="42">
        <f>VLOOKUP($A244,Schedule!$C$2:$G$31,4,0)</f>
        <v>2</v>
      </c>
      <c r="E244" s="42">
        <f t="shared" si="1"/>
        <v>9</v>
      </c>
      <c r="F244" s="6">
        <v>238.0</v>
      </c>
      <c r="G244" s="45">
        <f>IFERROR(__xludf.DUMMYFUNCTION("""COMPUTED_VALUE"""),235.0)</f>
        <v>235</v>
      </c>
      <c r="H244" s="45" t="str">
        <f>IFERROR(__xludf.DUMMYFUNCTION("""COMPUTED_VALUE"""),"Jaden Hardy")</f>
        <v>Jaden Hardy</v>
      </c>
      <c r="I244" s="45">
        <f>IFERROR(__xludf.DUMMYFUNCTION("""COMPUTED_VALUE"""),69.0)</f>
        <v>69</v>
      </c>
      <c r="J244" s="46" t="str">
        <f>IFERROR(__xludf.DUMMYFUNCTION("""COMPUTED_VALUE"""),"PG,SG")</f>
        <v>PG,SG</v>
      </c>
      <c r="K244" s="46">
        <f>IFERROR(__xludf.DUMMYFUNCTION("""COMPUTED_VALUE"""),-6.211627545993098)</f>
        <v>-6.211627546</v>
      </c>
      <c r="L244" s="47">
        <f>IFERROR(__xludf.DUMMYFUNCTION("""COMPUTED_VALUE"""),-3.7938202848353293)</f>
        <v>-3.793820285</v>
      </c>
      <c r="M244" s="47">
        <f>IFERROR(__xludf.DUMMYFUNCTION("""COMPUTED_VALUE"""),2.4178072611577686)</f>
        <v>2.417807261</v>
      </c>
      <c r="N244" s="47">
        <f>IFERROR(__xludf.DUMMYFUNCTION("""COMPUTED_VALUE"""),11.5)</f>
        <v>11.5</v>
      </c>
      <c r="O244" s="47">
        <f>IFERROR(__xludf.DUMMYFUNCTION("""COMPUTED_VALUE"""),1.7)</f>
        <v>1.7</v>
      </c>
      <c r="P244" s="47">
        <f>IFERROR(__xludf.DUMMYFUNCTION("""COMPUTED_VALUE"""),2.4)</f>
        <v>2.4</v>
      </c>
      <c r="Q244" s="48">
        <f>IFERROR(__xludf.DUMMYFUNCTION("""COMPUTED_VALUE"""),1.8)</f>
        <v>1.8</v>
      </c>
      <c r="R244" s="47">
        <f>IFERROR(__xludf.DUMMYFUNCTION("""COMPUTED_VALUE"""),0.5)</f>
        <v>0.5</v>
      </c>
      <c r="S244" s="47">
        <f>IFERROR(__xludf.DUMMYFUNCTION("""COMPUTED_VALUE"""),0.2)</f>
        <v>0.2</v>
      </c>
      <c r="T244" s="47">
        <f>IFERROR(__xludf.DUMMYFUNCTION("""COMPUTED_VALUE"""),44.44444444444444)</f>
        <v>44.44444444</v>
      </c>
      <c r="U244" s="47">
        <f>IFERROR(__xludf.DUMMYFUNCTION("""COMPUTED_VALUE"""),81.81818181818181)</f>
        <v>81.81818182</v>
      </c>
      <c r="V244" s="47">
        <f>IFERROR(__xludf.DUMMYFUNCTION("""COMPUTED_VALUE"""),1.3)</f>
        <v>1.3</v>
      </c>
      <c r="W244" s="46">
        <f>IFERROR(__xludf.DUMMYFUNCTION("""COMPUTED_VALUE"""),-0.9701501766909253)</f>
        <v>-0.9701501767</v>
      </c>
      <c r="X244" s="46">
        <f>IFERROR(__xludf.DUMMYFUNCTION("""COMPUTED_VALUE"""),0.047981126211737425)</f>
        <v>0.04798112621</v>
      </c>
      <c r="Y244" s="46">
        <f>IFERROR(__xludf.DUMMYFUNCTION("""COMPUTED_VALUE"""),-1.5452173007443828)</f>
        <v>-1.545217301</v>
      </c>
      <c r="Z244" s="46">
        <f>IFERROR(__xludf.DUMMYFUNCTION("""COMPUTED_VALUE"""),-1.0424902928553377)</f>
        <v>-1.042490293</v>
      </c>
      <c r="AA244" s="46">
        <f>IFERROR(__xludf.DUMMYFUNCTION("""COMPUTED_VALUE"""),-1.0786201759549239)</f>
        <v>-1.078620176</v>
      </c>
      <c r="AB244" s="46">
        <f>IFERROR(__xludf.DUMMYFUNCTION("""COMPUTED_VALUE"""),-0.6583300762210907)</f>
        <v>-0.6583300762</v>
      </c>
      <c r="AC244" s="46">
        <f>IFERROR(__xludf.DUMMYFUNCTION("""COMPUTED_VALUE"""),-0.4633333905961034)</f>
        <v>-0.4633333906</v>
      </c>
      <c r="AD244" s="46">
        <f>IFERROR(__xludf.DUMMYFUNCTION("""COMPUTED_VALUE"""),0.15545471886699092)</f>
        <v>0.1554547189</v>
      </c>
      <c r="AE244" s="46">
        <f>IFERROR(__xludf.DUMMYFUNCTION("""COMPUTED_VALUE"""),0.2156679824043236)</f>
        <v>0.2156679824</v>
      </c>
    </row>
    <row r="245">
      <c r="A245" s="6" t="str">
        <f>IF(VLOOKUP(H245,'Paste #BBall'!$B$2:$N1001,3,)="BRO","BKN",IF(VLOOKUP(H245,'Paste #BBall'!$B$2:$N1001,3,)="OKL","OKC",VLOOKUP(H245,'Paste #BBall'!$B$2:$N1001,3,)))</f>
        <v>MEM</v>
      </c>
      <c r="B245" s="42">
        <f>VLOOKUP($A245,Schedule!$C$2:$G$31,2,0)</f>
        <v>4</v>
      </c>
      <c r="C245" s="42">
        <f>VLOOKUP($A245,Schedule!$C$2:$G$31,3,0)</f>
        <v>3</v>
      </c>
      <c r="D245" s="42">
        <f>VLOOKUP($A245,Schedule!$C$2:$G$31,4,0)</f>
        <v>3</v>
      </c>
      <c r="E245" s="42">
        <f t="shared" si="1"/>
        <v>10</v>
      </c>
      <c r="F245" s="6">
        <v>239.0</v>
      </c>
      <c r="G245" s="45">
        <f>IFERROR(__xludf.DUMMYFUNCTION("""COMPUTED_VALUE"""),243.0)</f>
        <v>243</v>
      </c>
      <c r="H245" s="45" t="str">
        <f>IFERROR(__xludf.DUMMYFUNCTION("""COMPUTED_VALUE"""),"Xavier Tillman Sr.")</f>
        <v>Xavier Tillman Sr.</v>
      </c>
      <c r="I245" s="45">
        <f>IFERROR(__xludf.DUMMYFUNCTION("""COMPUTED_VALUE"""),68.0)</f>
        <v>68</v>
      </c>
      <c r="J245" s="46" t="str">
        <f>IFERROR(__xludf.DUMMYFUNCTION("""COMPUTED_VALUE"""),"PF,C")</f>
        <v>PF,C</v>
      </c>
      <c r="K245" s="46">
        <f>IFERROR(__xludf.DUMMYFUNCTION("""COMPUTED_VALUE"""),-6.413410790895785)</f>
        <v>-6.413410791</v>
      </c>
      <c r="L245" s="47">
        <f>IFERROR(__xludf.DUMMYFUNCTION("""COMPUTED_VALUE"""),-3.8006909449527067)</f>
        <v>-3.800690945</v>
      </c>
      <c r="M245" s="47">
        <f>IFERROR(__xludf.DUMMYFUNCTION("""COMPUTED_VALUE"""),2.6127198459430785)</f>
        <v>2.612719846</v>
      </c>
      <c r="N245" s="47">
        <f>IFERROR(__xludf.DUMMYFUNCTION("""COMPUTED_VALUE"""),6.2)</f>
        <v>6.2</v>
      </c>
      <c r="O245" s="47">
        <f>IFERROR(__xludf.DUMMYFUNCTION("""COMPUTED_VALUE"""),0.1)</f>
        <v>0.1</v>
      </c>
      <c r="P245" s="47">
        <f>IFERROR(__xludf.DUMMYFUNCTION("""COMPUTED_VALUE"""),4.2)</f>
        <v>4.2</v>
      </c>
      <c r="Q245" s="48">
        <f>IFERROR(__xludf.DUMMYFUNCTION("""COMPUTED_VALUE"""),1.4)</f>
        <v>1.4</v>
      </c>
      <c r="R245" s="47">
        <f>IFERROR(__xludf.DUMMYFUNCTION("""COMPUTED_VALUE"""),1.0)</f>
        <v>1</v>
      </c>
      <c r="S245" s="47">
        <f>IFERROR(__xludf.DUMMYFUNCTION("""COMPUTED_VALUE"""),0.4)</f>
        <v>0.4</v>
      </c>
      <c r="T245" s="47">
        <f>IFERROR(__xludf.DUMMYFUNCTION("""COMPUTED_VALUE"""),55.319148936170215)</f>
        <v>55.31914894</v>
      </c>
      <c r="U245" s="47">
        <f>IFERROR(__xludf.DUMMYFUNCTION("""COMPUTED_VALUE"""),60.0)</f>
        <v>60</v>
      </c>
      <c r="V245" s="47">
        <f>IFERROR(__xludf.DUMMYFUNCTION("""COMPUTED_VALUE"""),0.7)</f>
        <v>0.7</v>
      </c>
      <c r="W245" s="46">
        <f>IFERROR(__xludf.DUMMYFUNCTION("""COMPUTED_VALUE"""),-1.863339974570816)</f>
        <v>-1.863339975</v>
      </c>
      <c r="X245" s="46">
        <f>IFERROR(__xludf.DUMMYFUNCTION("""COMPUTED_VALUE"""),-1.3394249329228134)</f>
        <v>-1.339424933</v>
      </c>
      <c r="Y245" s="46">
        <f>IFERROR(__xludf.DUMMYFUNCTION("""COMPUTED_VALUE"""),-0.7925406433368716)</f>
        <v>-0.7925406433</v>
      </c>
      <c r="Z245" s="46">
        <f>IFERROR(__xludf.DUMMYFUNCTION("""COMPUTED_VALUE"""),-1.246500134901392)</f>
        <v>-1.246500135</v>
      </c>
      <c r="AA245" s="46">
        <f>IFERROR(__xludf.DUMMYFUNCTION("""COMPUTED_VALUE"""),0.011629328042640127)</f>
        <v>0.01162932804</v>
      </c>
      <c r="AB245" s="46">
        <f>IFERROR(__xludf.DUMMYFUNCTION("""COMPUTED_VALUE"""),-0.39569839687757064)</f>
        <v>-0.3956983969</v>
      </c>
      <c r="AC245" s="46">
        <f>IFERROR(__xludf.DUMMYFUNCTION("""COMPUTED_VALUE"""),0.26856802207072983)</f>
        <v>0.2685680221</v>
      </c>
      <c r="AD245" s="46">
        <f>IFERROR(__xludf.DUMMYFUNCTION("""COMPUTED_VALUE"""),-0.708669697420132)</f>
        <v>-0.7086696974</v>
      </c>
      <c r="AE245" s="46">
        <f>IFERROR(__xludf.DUMMYFUNCTION("""COMPUTED_VALUE"""),0.4019455103927031)</f>
        <v>0.4019455104</v>
      </c>
    </row>
    <row r="246">
      <c r="A246" s="6" t="str">
        <f>IF(VLOOKUP(H246,'Paste #BBall'!$B$2:$N1001,3,)="BRO","BKN",IF(VLOOKUP(H246,'Paste #BBall'!$B$2:$N1001,3,)="OKL","OKC",VLOOKUP(H246,'Paste #BBall'!$B$2:$N1001,3,)))</f>
        <v>LAC</v>
      </c>
      <c r="B246" s="42">
        <f>VLOOKUP($A246,Schedule!$C$2:$G$31,2,0)</f>
        <v>4</v>
      </c>
      <c r="C246" s="42">
        <f>VLOOKUP($A246,Schedule!$C$2:$G$31,3,0)</f>
        <v>4</v>
      </c>
      <c r="D246" s="42">
        <f>VLOOKUP($A246,Schedule!$C$2:$G$31,4,0)</f>
        <v>3</v>
      </c>
      <c r="E246" s="42">
        <f t="shared" si="1"/>
        <v>11</v>
      </c>
      <c r="F246" s="6">
        <v>240.0</v>
      </c>
      <c r="G246" s="45">
        <f>IFERROR(__xludf.DUMMYFUNCTION("""COMPUTED_VALUE"""),223.0)</f>
        <v>223</v>
      </c>
      <c r="H246" s="45" t="str">
        <f>IFERROR(__xludf.DUMMYFUNCTION("""COMPUTED_VALUE"""),"Marcus Morris Sr.")</f>
        <v>Marcus Morris Sr.</v>
      </c>
      <c r="I246" s="45">
        <f>IFERROR(__xludf.DUMMYFUNCTION("""COMPUTED_VALUE"""),60.0)</f>
        <v>60</v>
      </c>
      <c r="J246" s="46" t="str">
        <f>IFERROR(__xludf.DUMMYFUNCTION("""COMPUTED_VALUE"""),"PF,C")</f>
        <v>PF,C</v>
      </c>
      <c r="K246" s="46">
        <f>IFERROR(__xludf.DUMMYFUNCTION("""COMPUTED_VALUE"""),-5.874280908976764)</f>
        <v>-5.874280909</v>
      </c>
      <c r="L246" s="47">
        <f>IFERROR(__xludf.DUMMYFUNCTION("""COMPUTED_VALUE"""),-3.8102774678704097)</f>
        <v>-3.810277468</v>
      </c>
      <c r="M246" s="47">
        <f>IFERROR(__xludf.DUMMYFUNCTION("""COMPUTED_VALUE"""),2.064003441106354)</f>
        <v>2.064003441</v>
      </c>
      <c r="N246" s="47">
        <f>IFERROR(__xludf.DUMMYFUNCTION("""COMPUTED_VALUE"""),11.4)</f>
        <v>11.4</v>
      </c>
      <c r="O246" s="47">
        <f>IFERROR(__xludf.DUMMYFUNCTION("""COMPUTED_VALUE"""),1.6)</f>
        <v>1.6</v>
      </c>
      <c r="P246" s="47">
        <f>IFERROR(__xludf.DUMMYFUNCTION("""COMPUTED_VALUE"""),3.7)</f>
        <v>3.7</v>
      </c>
      <c r="Q246" s="48">
        <f>IFERROR(__xludf.DUMMYFUNCTION("""COMPUTED_VALUE"""),1.7)</f>
        <v>1.7</v>
      </c>
      <c r="R246" s="47">
        <f>IFERROR(__xludf.DUMMYFUNCTION("""COMPUTED_VALUE"""),0.5)</f>
        <v>0.5</v>
      </c>
      <c r="S246" s="47">
        <f>IFERROR(__xludf.DUMMYFUNCTION("""COMPUTED_VALUE"""),0.3)</f>
        <v>0.3</v>
      </c>
      <c r="T246" s="47">
        <f>IFERROR(__xludf.DUMMYFUNCTION("""COMPUTED_VALUE"""),42.857142857142854)</f>
        <v>42.85714286</v>
      </c>
      <c r="U246" s="47">
        <f>IFERROR(__xludf.DUMMYFUNCTION("""COMPUTED_VALUE"""),82.35294117647058)</f>
        <v>82.35294118</v>
      </c>
      <c r="V246" s="47">
        <f>IFERROR(__xludf.DUMMYFUNCTION("""COMPUTED_VALUE"""),0.9)</f>
        <v>0.9</v>
      </c>
      <c r="W246" s="46">
        <f>IFERROR(__xludf.DUMMYFUNCTION("""COMPUTED_VALUE"""),-0.9870028143867723)</f>
        <v>-0.9870028144</v>
      </c>
      <c r="X246" s="46">
        <f>IFERROR(__xludf.DUMMYFUNCTION("""COMPUTED_VALUE"""),-0.03873175248417188)</f>
        <v>-0.03873175248</v>
      </c>
      <c r="Y246" s="46">
        <f>IFERROR(__xludf.DUMMYFUNCTION("""COMPUTED_VALUE"""),-1.0016174926167358)</f>
        <v>-1.001617493</v>
      </c>
      <c r="Z246" s="46">
        <f>IFERROR(__xludf.DUMMYFUNCTION("""COMPUTED_VALUE"""),-1.0934927533668515)</f>
        <v>-1.093492753</v>
      </c>
      <c r="AA246" s="46">
        <f>IFERROR(__xludf.DUMMYFUNCTION("""COMPUTED_VALUE"""),-1.0786201759549239)</f>
        <v>-1.078620176</v>
      </c>
      <c r="AB246" s="46">
        <f>IFERROR(__xludf.DUMMYFUNCTION("""COMPUTED_VALUE"""),-0.5270142365493308)</f>
        <v>-0.5270142365</v>
      </c>
      <c r="AC246" s="46">
        <f>IFERROR(__xludf.DUMMYFUNCTION("""COMPUTED_VALUE"""),-0.6598975854175337)</f>
        <v>-0.6598975854</v>
      </c>
      <c r="AD246" s="46">
        <f>IFERROR(__xludf.DUMMYFUNCTION("""COMPUTED_VALUE"""),0.14275358847581598)</f>
        <v>0.1427535885</v>
      </c>
      <c r="AE246" s="46">
        <f>IFERROR(__xludf.DUMMYFUNCTION("""COMPUTED_VALUE"""),0.33985300106324323)</f>
        <v>0.3398530011</v>
      </c>
    </row>
    <row r="247">
      <c r="A247" s="6" t="str">
        <f>IF(VLOOKUP(H247,'Paste #BBall'!$B$2:$N1001,3,)="BRO","BKN",IF(VLOOKUP(H247,'Paste #BBall'!$B$2:$N1001,3,)="OKL","OKC",VLOOKUP(H247,'Paste #BBall'!$B$2:$N1001,3,)))</f>
        <v>ORL</v>
      </c>
      <c r="B247" s="42">
        <f>VLOOKUP($A247,Schedule!$C$2:$G$31,2,0)</f>
        <v>4</v>
      </c>
      <c r="C247" s="42">
        <f>VLOOKUP($A247,Schedule!$C$2:$G$31,3,0)</f>
        <v>3</v>
      </c>
      <c r="D247" s="42">
        <f>VLOOKUP($A247,Schedule!$C$2:$G$31,4,0)</f>
        <v>3</v>
      </c>
      <c r="E247" s="42">
        <f t="shared" si="1"/>
        <v>10</v>
      </c>
      <c r="F247" s="6">
        <v>241.0</v>
      </c>
      <c r="G247" s="45">
        <f>IFERROR(__xludf.DUMMYFUNCTION("""COMPUTED_VALUE"""),234.0)</f>
        <v>234</v>
      </c>
      <c r="H247" s="45" t="str">
        <f>IFERROR(__xludf.DUMMYFUNCTION("""COMPUTED_VALUE"""),"Moritz Wagner")</f>
        <v>Moritz Wagner</v>
      </c>
      <c r="I247" s="45">
        <f>IFERROR(__xludf.DUMMYFUNCTION("""COMPUTED_VALUE"""),60.0)</f>
        <v>60</v>
      </c>
      <c r="J247" s="46" t="str">
        <f>IFERROR(__xludf.DUMMYFUNCTION("""COMPUTED_VALUE"""),"C")</f>
        <v>C</v>
      </c>
      <c r="K247" s="46">
        <f>IFERROR(__xludf.DUMMYFUNCTION("""COMPUTED_VALUE"""),-6.113174893605977)</f>
        <v>-6.113174894</v>
      </c>
      <c r="L247" s="47">
        <f>IFERROR(__xludf.DUMMYFUNCTION("""COMPUTED_VALUE"""),-3.8584364240731306)</f>
        <v>-3.858436424</v>
      </c>
      <c r="M247" s="47">
        <f>IFERROR(__xludf.DUMMYFUNCTION("""COMPUTED_VALUE"""),2.254738469532846)</f>
        <v>2.25473847</v>
      </c>
      <c r="N247" s="47">
        <f>IFERROR(__xludf.DUMMYFUNCTION("""COMPUTED_VALUE"""),9.4)</f>
        <v>9.4</v>
      </c>
      <c r="O247" s="47">
        <f>IFERROR(__xludf.DUMMYFUNCTION("""COMPUTED_VALUE"""),0.9)</f>
        <v>0.9</v>
      </c>
      <c r="P247" s="47">
        <f>IFERROR(__xludf.DUMMYFUNCTION("""COMPUTED_VALUE"""),4.0)</f>
        <v>4</v>
      </c>
      <c r="Q247" s="48">
        <f>IFERROR(__xludf.DUMMYFUNCTION("""COMPUTED_VALUE"""),1.4)</f>
        <v>1.4</v>
      </c>
      <c r="R247" s="47">
        <f>IFERROR(__xludf.DUMMYFUNCTION("""COMPUTED_VALUE"""),0.5)</f>
        <v>0.5</v>
      </c>
      <c r="S247" s="47">
        <f>IFERROR(__xludf.DUMMYFUNCTION("""COMPUTED_VALUE"""),0.2)</f>
        <v>0.2</v>
      </c>
      <c r="T247" s="47">
        <f>IFERROR(__xludf.DUMMYFUNCTION("""COMPUTED_VALUE"""),50.0)</f>
        <v>50</v>
      </c>
      <c r="U247" s="47">
        <f>IFERROR(__xludf.DUMMYFUNCTION("""COMPUTED_VALUE"""),84.00000000000001)</f>
        <v>84</v>
      </c>
      <c r="V247" s="47">
        <f>IFERROR(__xludf.DUMMYFUNCTION("""COMPUTED_VALUE"""),1.0)</f>
        <v>1</v>
      </c>
      <c r="W247" s="46">
        <f>IFERROR(__xludf.DUMMYFUNCTION("""COMPUTED_VALUE"""),-1.324055568303712)</f>
        <v>-1.324055568</v>
      </c>
      <c r="X247" s="46">
        <f>IFERROR(__xludf.DUMMYFUNCTION("""COMPUTED_VALUE"""),-0.6457219033555379)</f>
        <v>-0.6457219034</v>
      </c>
      <c r="Y247" s="46">
        <f>IFERROR(__xludf.DUMMYFUNCTION("""COMPUTED_VALUE"""),-0.8761713830488173)</f>
        <v>-0.876171383</v>
      </c>
      <c r="Z247" s="46">
        <f>IFERROR(__xludf.DUMMYFUNCTION("""COMPUTED_VALUE"""),-1.246500134901392)</f>
        <v>-1.246500135</v>
      </c>
      <c r="AA247" s="46">
        <f>IFERROR(__xludf.DUMMYFUNCTION("""COMPUTED_VALUE"""),-1.0786201759549239)</f>
        <v>-1.078620176</v>
      </c>
      <c r="AB247" s="46">
        <f>IFERROR(__xludf.DUMMYFUNCTION("""COMPUTED_VALUE"""),-0.6583300762210907)</f>
        <v>-0.6583300762</v>
      </c>
      <c r="AC247" s="46">
        <f>IFERROR(__xludf.DUMMYFUNCTION("""COMPUTED_VALUE"""),0.025670488189689155)</f>
        <v>0.02567048819</v>
      </c>
      <c r="AD247" s="46">
        <f>IFERROR(__xludf.DUMMYFUNCTION("""COMPUTED_VALUE"""),0.3124300148204282)</f>
        <v>0.3124300148</v>
      </c>
      <c r="AE247" s="46">
        <f>IFERROR(__xludf.DUMMYFUNCTION("""COMPUTED_VALUE"""),0.30880674639851335)</f>
        <v>0.3088067464</v>
      </c>
    </row>
    <row r="248">
      <c r="A248" s="6" t="str">
        <f>IF(VLOOKUP(H248,'Paste #BBall'!$B$2:$N1001,3,)="BRO","BKN",IF(VLOOKUP(H248,'Paste #BBall'!$B$2:$N1001,3,)="OKL","OKC",VLOOKUP(H248,'Paste #BBall'!$B$2:$N1001,3,)))</f>
        <v>ORL</v>
      </c>
      <c r="B248" s="42">
        <f>VLOOKUP($A248,Schedule!$C$2:$G$31,2,0)</f>
        <v>4</v>
      </c>
      <c r="C248" s="42">
        <f>VLOOKUP($A248,Schedule!$C$2:$G$31,3,0)</f>
        <v>3</v>
      </c>
      <c r="D248" s="42">
        <f>VLOOKUP($A248,Schedule!$C$2:$G$31,4,0)</f>
        <v>3</v>
      </c>
      <c r="E248" s="42">
        <f t="shared" si="1"/>
        <v>10</v>
      </c>
      <c r="F248" s="6">
        <v>242.0</v>
      </c>
      <c r="G248" s="45">
        <f>IFERROR(__xludf.DUMMYFUNCTION("""COMPUTED_VALUE"""),216.0)</f>
        <v>216</v>
      </c>
      <c r="H248" s="45" t="str">
        <f>IFERROR(__xludf.DUMMYFUNCTION("""COMPUTED_VALUE"""),"Anthony Black")</f>
        <v>Anthony Black</v>
      </c>
      <c r="I248" s="45">
        <f>IFERROR(__xludf.DUMMYFUNCTION("""COMPUTED_VALUE"""),72.0)</f>
        <v>72</v>
      </c>
      <c r="J248" s="46" t="str">
        <f>IFERROR(__xludf.DUMMYFUNCTION("""COMPUTED_VALUE"""),"PG,SG")</f>
        <v>PG,SG</v>
      </c>
      <c r="K248" s="46">
        <f>IFERROR(__xludf.DUMMYFUNCTION("""COMPUTED_VALUE"""),-5.707982436439755)</f>
        <v>-5.707982436</v>
      </c>
      <c r="L248" s="47">
        <f>IFERROR(__xludf.DUMMYFUNCTION("""COMPUTED_VALUE"""),-3.8670090578846352)</f>
        <v>-3.867009058</v>
      </c>
      <c r="M248" s="47">
        <f>IFERROR(__xludf.DUMMYFUNCTION("""COMPUTED_VALUE"""),1.8409733785551197)</f>
        <v>1.840973379</v>
      </c>
      <c r="N248" s="47">
        <f>IFERROR(__xludf.DUMMYFUNCTION("""COMPUTED_VALUE"""),9.7)</f>
        <v>9.7</v>
      </c>
      <c r="O248" s="47">
        <f>IFERROR(__xludf.DUMMYFUNCTION("""COMPUTED_VALUE"""),0.3)</f>
        <v>0.3</v>
      </c>
      <c r="P248" s="47">
        <f>IFERROR(__xludf.DUMMYFUNCTION("""COMPUTED_VALUE"""),2.8)</f>
        <v>2.8</v>
      </c>
      <c r="Q248" s="48">
        <f>IFERROR(__xludf.DUMMYFUNCTION("""COMPUTED_VALUE"""),3.3)</f>
        <v>3.3</v>
      </c>
      <c r="R248" s="47">
        <f>IFERROR(__xludf.DUMMYFUNCTION("""COMPUTED_VALUE"""),1.1)</f>
        <v>1.1</v>
      </c>
      <c r="S248" s="47">
        <f>IFERROR(__xludf.DUMMYFUNCTION("""COMPUTED_VALUE"""),0.3)</f>
        <v>0.3</v>
      </c>
      <c r="T248" s="47">
        <f>IFERROR(__xludf.DUMMYFUNCTION("""COMPUTED_VALUE"""),44.9438202247191)</f>
        <v>44.94382022</v>
      </c>
      <c r="U248" s="47">
        <f>IFERROR(__xludf.DUMMYFUNCTION("""COMPUTED_VALUE"""),68.42105263157895)</f>
        <v>68.42105263</v>
      </c>
      <c r="V248" s="47">
        <f>IFERROR(__xludf.DUMMYFUNCTION("""COMPUTED_VALUE"""),1.8)</f>
        <v>1.8</v>
      </c>
      <c r="W248" s="46">
        <f>IFERROR(__xludf.DUMMYFUNCTION("""COMPUTED_VALUE"""),-1.2734976552161712)</f>
        <v>-1.273497655</v>
      </c>
      <c r="X248" s="46">
        <f>IFERROR(__xludf.DUMMYFUNCTION("""COMPUTED_VALUE"""),-1.1659991755309944)</f>
        <v>-1.165999176</v>
      </c>
      <c r="Y248" s="46">
        <f>IFERROR(__xludf.DUMMYFUNCTION("""COMPUTED_VALUE"""),-1.3779558213204914)</f>
        <v>-1.377955821</v>
      </c>
      <c r="Z248" s="46">
        <f>IFERROR(__xludf.DUMMYFUNCTION("""COMPUTED_VALUE"""),-0.27745338518263435)</f>
        <v>-0.2774533852</v>
      </c>
      <c r="AA248" s="46">
        <f>IFERROR(__xludf.DUMMYFUNCTION("""COMPUTED_VALUE"""),0.22967922884215308)</f>
        <v>0.2296792288</v>
      </c>
      <c r="AB248" s="46">
        <f>IFERROR(__xludf.DUMMYFUNCTION("""COMPUTED_VALUE"""),-0.5270142365493308)</f>
        <v>-0.5270142365</v>
      </c>
      <c r="AC248" s="46">
        <f>IFERROR(__xludf.DUMMYFUNCTION("""COMPUTED_VALUE"""),-0.4137912405127818)</f>
        <v>-0.4137912405</v>
      </c>
      <c r="AD248" s="46">
        <f>IFERROR(__xludf.DUMMYFUNCTION("""COMPUTED_VALUE"""),-0.4993693028155499)</f>
        <v>-0.4993693028</v>
      </c>
      <c r="AE248" s="46">
        <f>IFERROR(__xludf.DUMMYFUNCTION("""COMPUTED_VALUE"""),0.06043670908067405)</f>
        <v>0.06043670908</v>
      </c>
    </row>
    <row r="249">
      <c r="A249" s="6" t="str">
        <f>IF(VLOOKUP(H249,'Paste #BBall'!$B$2:$N1001,3,)="BRO","BKN",IF(VLOOKUP(H249,'Paste #BBall'!$B$2:$N1001,3,)="OKL","OKC",VLOOKUP(H249,'Paste #BBall'!$B$2:$N1001,3,)))</f>
        <v>GS</v>
      </c>
      <c r="B249" s="42">
        <f>VLOOKUP($A249,Schedule!$C$2:$G$31,2,0)</f>
        <v>3</v>
      </c>
      <c r="C249" s="42">
        <f>VLOOKUP($A249,Schedule!$C$2:$G$31,3,0)</f>
        <v>3</v>
      </c>
      <c r="D249" s="42">
        <f>VLOOKUP($A249,Schedule!$C$2:$G$31,4,0)</f>
        <v>4</v>
      </c>
      <c r="E249" s="42">
        <f t="shared" si="1"/>
        <v>10</v>
      </c>
      <c r="F249" s="6">
        <v>243.0</v>
      </c>
      <c r="G249" s="45">
        <f>IFERROR(__xludf.DUMMYFUNCTION("""COMPUTED_VALUE"""),241.0)</f>
        <v>241</v>
      </c>
      <c r="H249" s="45" t="str">
        <f>IFERROR(__xludf.DUMMYFUNCTION("""COMPUTED_VALUE"""),"Dario Saric")</f>
        <v>Dario Saric</v>
      </c>
      <c r="I249" s="45">
        <f>IFERROR(__xludf.DUMMYFUNCTION("""COMPUTED_VALUE"""),67.0)</f>
        <v>67</v>
      </c>
      <c r="J249" s="46" t="str">
        <f>IFERROR(__xludf.DUMMYFUNCTION("""COMPUTED_VALUE"""),"PF,C")</f>
        <v>PF,C</v>
      </c>
      <c r="K249" s="46">
        <f>IFERROR(__xludf.DUMMYFUNCTION("""COMPUTED_VALUE"""),-6.391863581011984)</f>
        <v>-6.391863581</v>
      </c>
      <c r="L249" s="47">
        <f>IFERROR(__xludf.DUMMYFUNCTION("""COMPUTED_VALUE"""),-3.9000545919045573)</f>
        <v>-3.900054592</v>
      </c>
      <c r="M249" s="47">
        <f>IFERROR(__xludf.DUMMYFUNCTION("""COMPUTED_VALUE"""),2.491808989107427)</f>
        <v>2.491808989</v>
      </c>
      <c r="N249" s="47">
        <f>IFERROR(__xludf.DUMMYFUNCTION("""COMPUTED_VALUE"""),8.1)</f>
        <v>8.1</v>
      </c>
      <c r="O249" s="47">
        <f>IFERROR(__xludf.DUMMYFUNCTION("""COMPUTED_VALUE"""),1.0)</f>
        <v>1</v>
      </c>
      <c r="P249" s="47">
        <f>IFERROR(__xludf.DUMMYFUNCTION("""COMPUTED_VALUE"""),4.6)</f>
        <v>4.6</v>
      </c>
      <c r="Q249" s="48">
        <f>IFERROR(__xludf.DUMMYFUNCTION("""COMPUTED_VALUE"""),1.7)</f>
        <v>1.7</v>
      </c>
      <c r="R249" s="47">
        <f>IFERROR(__xludf.DUMMYFUNCTION("""COMPUTED_VALUE"""),0.5)</f>
        <v>0.5</v>
      </c>
      <c r="S249" s="47">
        <f>IFERROR(__xludf.DUMMYFUNCTION("""COMPUTED_VALUE"""),0.2)</f>
        <v>0.2</v>
      </c>
      <c r="T249" s="47">
        <f>IFERROR(__xludf.DUMMYFUNCTION("""COMPUTED_VALUE"""),45.16129032258064)</f>
        <v>45.16129032</v>
      </c>
      <c r="U249" s="47">
        <f>IFERROR(__xludf.DUMMYFUNCTION("""COMPUTED_VALUE"""),82.35294117647058)</f>
        <v>82.35294118</v>
      </c>
      <c r="V249" s="47">
        <f>IFERROR(__xludf.DUMMYFUNCTION("""COMPUTED_VALUE"""),1.2)</f>
        <v>1.2</v>
      </c>
      <c r="W249" s="46">
        <f>IFERROR(__xludf.DUMMYFUNCTION("""COMPUTED_VALUE"""),-1.5431398583497231)</f>
        <v>-1.543139858</v>
      </c>
      <c r="X249" s="46">
        <f>IFERROR(__xludf.DUMMYFUNCTION("""COMPUTED_VALUE"""),-0.5590090246596284)</f>
        <v>-0.5590090247</v>
      </c>
      <c r="Y249" s="46">
        <f>IFERROR(__xludf.DUMMYFUNCTION("""COMPUTED_VALUE"""),-0.6252791639129804)</f>
        <v>-0.6252791639</v>
      </c>
      <c r="Z249" s="46">
        <f>IFERROR(__xludf.DUMMYFUNCTION("""COMPUTED_VALUE"""),-1.0934927533668515)</f>
        <v>-1.093492753</v>
      </c>
      <c r="AA249" s="46">
        <f>IFERROR(__xludf.DUMMYFUNCTION("""COMPUTED_VALUE"""),-1.0786201759549239)</f>
        <v>-1.078620176</v>
      </c>
      <c r="AB249" s="46">
        <f>IFERROR(__xludf.DUMMYFUNCTION("""COMPUTED_VALUE"""),-0.6583300762210907)</f>
        <v>-0.6583300762</v>
      </c>
      <c r="AC249" s="46">
        <f>IFERROR(__xludf.DUMMYFUNCTION("""COMPUTED_VALUE"""),-0.2747912233339511)</f>
        <v>-0.2747912233</v>
      </c>
      <c r="AD249" s="46">
        <f>IFERROR(__xludf.DUMMYFUNCTION("""COMPUTED_VALUE"""),0.14275358847581598)</f>
        <v>0.1427535885</v>
      </c>
      <c r="AE249" s="46">
        <f>IFERROR(__xludf.DUMMYFUNCTION("""COMPUTED_VALUE"""),0.24671423706905354)</f>
        <v>0.2467142371</v>
      </c>
    </row>
    <row r="250">
      <c r="A250" s="6" t="str">
        <f>IF(VLOOKUP(H250,'Paste #BBall'!$B$2:$N1001,3,)="BRO","BKN",IF(VLOOKUP(H250,'Paste #BBall'!$B$2:$N1001,3,)="OKL","OKC",VLOOKUP(H250,'Paste #BBall'!$B$2:$N1001,3,)))</f>
        <v>SA</v>
      </c>
      <c r="B250" s="42">
        <f>VLOOKUP($A250,Schedule!$C$2:$G$31,2,0)</f>
        <v>3</v>
      </c>
      <c r="C250" s="42">
        <f>VLOOKUP($A250,Schedule!$C$2:$G$31,3,0)</f>
        <v>4</v>
      </c>
      <c r="D250" s="42">
        <f>VLOOKUP($A250,Schedule!$C$2:$G$31,4,0)</f>
        <v>3</v>
      </c>
      <c r="E250" s="42">
        <f t="shared" si="1"/>
        <v>10</v>
      </c>
      <c r="F250" s="6">
        <v>244.0</v>
      </c>
      <c r="G250" s="45">
        <f>IFERROR(__xludf.DUMMYFUNCTION("""COMPUTED_VALUE"""),252.0)</f>
        <v>252</v>
      </c>
      <c r="H250" s="45" t="str">
        <f>IFERROR(__xludf.DUMMYFUNCTION("""COMPUTED_VALUE"""),"Dominick Barlow")</f>
        <v>Dominick Barlow</v>
      </c>
      <c r="I250" s="45">
        <f>IFERROR(__xludf.DUMMYFUNCTION("""COMPUTED_VALUE"""),60.0)</f>
        <v>60</v>
      </c>
      <c r="J250" s="46" t="str">
        <f>IFERROR(__xludf.DUMMYFUNCTION("""COMPUTED_VALUE"""),"SF")</f>
        <v>SF</v>
      </c>
      <c r="K250" s="46">
        <f>IFERROR(__xludf.DUMMYFUNCTION("""COMPUTED_VALUE"""),-6.644123176604762)</f>
        <v>-6.644123177</v>
      </c>
      <c r="L250" s="47">
        <f>IFERROR(__xludf.DUMMYFUNCTION("""COMPUTED_VALUE"""),-3.9209209119294055)</f>
        <v>-3.920920912</v>
      </c>
      <c r="M250" s="47">
        <f>IFERROR(__xludf.DUMMYFUNCTION("""COMPUTED_VALUE"""),2.723202264675357)</f>
        <v>2.723202265</v>
      </c>
      <c r="N250" s="47">
        <f>IFERROR(__xludf.DUMMYFUNCTION("""COMPUTED_VALUE"""),5.6)</f>
        <v>5.6</v>
      </c>
      <c r="O250" s="47">
        <f>IFERROR(__xludf.DUMMYFUNCTION("""COMPUTED_VALUE"""),0.1)</f>
        <v>0.1</v>
      </c>
      <c r="P250" s="47">
        <f>IFERROR(__xludf.DUMMYFUNCTION("""COMPUTED_VALUE"""),4.1)</f>
        <v>4.1</v>
      </c>
      <c r="Q250" s="48">
        <f>IFERROR(__xludf.DUMMYFUNCTION("""COMPUTED_VALUE"""),1.2)</f>
        <v>1.2</v>
      </c>
      <c r="R250" s="47">
        <f>IFERROR(__xludf.DUMMYFUNCTION("""COMPUTED_VALUE"""),0.5)</f>
        <v>0.5</v>
      </c>
      <c r="S250" s="47">
        <f>IFERROR(__xludf.DUMMYFUNCTION("""COMPUTED_VALUE"""),0.9)</f>
        <v>0.9</v>
      </c>
      <c r="T250" s="47">
        <f>IFERROR(__xludf.DUMMYFUNCTION("""COMPUTED_VALUE"""),53.48837209302325)</f>
        <v>53.48837209</v>
      </c>
      <c r="U250" s="47">
        <f>IFERROR(__xludf.DUMMYFUNCTION("""COMPUTED_VALUE"""),75.0)</f>
        <v>75</v>
      </c>
      <c r="V250" s="47">
        <f>IFERROR(__xludf.DUMMYFUNCTION("""COMPUTED_VALUE"""),0.8)</f>
        <v>0.8</v>
      </c>
      <c r="W250" s="46">
        <f>IFERROR(__xludf.DUMMYFUNCTION("""COMPUTED_VALUE"""),-1.9644558007458979)</f>
        <v>-1.964455801</v>
      </c>
      <c r="X250" s="46">
        <f>IFERROR(__xludf.DUMMYFUNCTION("""COMPUTED_VALUE"""),-1.3394249329228134)</f>
        <v>-1.339424933</v>
      </c>
      <c r="Y250" s="46">
        <f>IFERROR(__xludf.DUMMYFUNCTION("""COMPUTED_VALUE"""),-0.8343560131928446)</f>
        <v>-0.8343560132</v>
      </c>
      <c r="Z250" s="46">
        <f>IFERROR(__xludf.DUMMYFUNCTION("""COMPUTED_VALUE"""),-1.3485050559244194)</f>
        <v>-1.348505056</v>
      </c>
      <c r="AA250" s="46">
        <f>IFERROR(__xludf.DUMMYFUNCTION("""COMPUTED_VALUE"""),-1.0786201759549239)</f>
        <v>-1.078620176</v>
      </c>
      <c r="AB250" s="46">
        <f>IFERROR(__xludf.DUMMYFUNCTION("""COMPUTED_VALUE"""),0.2608808014812299)</f>
        <v>0.2608808015</v>
      </c>
      <c r="AC250" s="46">
        <f>IFERROR(__xludf.DUMMYFUNCTION("""COMPUTED_VALUE"""),0.16707711363630323)</f>
        <v>0.1670771136</v>
      </c>
      <c r="AD250" s="46">
        <f>IFERROR(__xludf.DUMMYFUNCTION("""COMPUTED_VALUE"""),-0.11887190477991126)</f>
        <v>-0.1188719048</v>
      </c>
      <c r="AE250" s="46">
        <f>IFERROR(__xludf.DUMMYFUNCTION("""COMPUTED_VALUE"""),0.37089925572797316)</f>
        <v>0.3708992557</v>
      </c>
    </row>
    <row r="251">
      <c r="A251" s="6" t="str">
        <f>IF(VLOOKUP(H251,'Paste #BBall'!$B$2:$N1001,3,)="BRO","BKN",IF(VLOOKUP(H251,'Paste #BBall'!$B$2:$N1001,3,)="OKL","OKC",VLOOKUP(H251,'Paste #BBall'!$B$2:$N1001,3,)))</f>
        <v>DEN</v>
      </c>
      <c r="B251" s="42">
        <f>VLOOKUP($A251,Schedule!$C$2:$G$31,2,0)</f>
        <v>3</v>
      </c>
      <c r="C251" s="42">
        <f>VLOOKUP($A251,Schedule!$C$2:$G$31,3,0)</f>
        <v>4</v>
      </c>
      <c r="D251" s="42">
        <f>VLOOKUP($A251,Schedule!$C$2:$G$31,4,0)</f>
        <v>3</v>
      </c>
      <c r="E251" s="42">
        <f t="shared" si="1"/>
        <v>10</v>
      </c>
      <c r="F251" s="6">
        <v>245.0</v>
      </c>
      <c r="G251" s="45">
        <f>IFERROR(__xludf.DUMMYFUNCTION("""COMPUTED_VALUE"""),246.0)</f>
        <v>246</v>
      </c>
      <c r="H251" s="45" t="str">
        <f>IFERROR(__xludf.DUMMYFUNCTION("""COMPUTED_VALUE"""),"Reggie Jackson")</f>
        <v>Reggie Jackson</v>
      </c>
      <c r="I251" s="45">
        <f>IFERROR(__xludf.DUMMYFUNCTION("""COMPUTED_VALUE"""),69.0)</f>
        <v>69</v>
      </c>
      <c r="J251" s="46" t="str">
        <f>IFERROR(__xludf.DUMMYFUNCTION("""COMPUTED_VALUE"""),"PG")</f>
        <v>PG</v>
      </c>
      <c r="K251" s="46">
        <f>IFERROR(__xludf.DUMMYFUNCTION("""COMPUTED_VALUE"""),-6.496614352269944)</f>
        <v>-6.496614352</v>
      </c>
      <c r="L251" s="47">
        <f>IFERROR(__xludf.DUMMYFUNCTION("""COMPUTED_VALUE"""),-3.9523079618864623)</f>
        <v>-3.952307962</v>
      </c>
      <c r="M251" s="47">
        <f>IFERROR(__xludf.DUMMYFUNCTION("""COMPUTED_VALUE"""),2.5443063903834817)</f>
        <v>2.54430639</v>
      </c>
      <c r="N251" s="47">
        <f>IFERROR(__xludf.DUMMYFUNCTION("""COMPUTED_VALUE"""),10.5)</f>
        <v>10.5</v>
      </c>
      <c r="O251" s="47">
        <f>IFERROR(__xludf.DUMMYFUNCTION("""COMPUTED_VALUE"""),1.4)</f>
        <v>1.4</v>
      </c>
      <c r="P251" s="47">
        <f>IFERROR(__xludf.DUMMYFUNCTION("""COMPUTED_VALUE"""),2.2)</f>
        <v>2.2</v>
      </c>
      <c r="Q251" s="48">
        <f>IFERROR(__xludf.DUMMYFUNCTION("""COMPUTED_VALUE"""),3.2)</f>
        <v>3.2</v>
      </c>
      <c r="R251" s="47">
        <f>IFERROR(__xludf.DUMMYFUNCTION("""COMPUTED_VALUE"""),0.6)</f>
        <v>0.6</v>
      </c>
      <c r="S251" s="47">
        <f>IFERROR(__xludf.DUMMYFUNCTION("""COMPUTED_VALUE"""),0.1)</f>
        <v>0.1</v>
      </c>
      <c r="T251" s="47">
        <f>IFERROR(__xludf.DUMMYFUNCTION("""COMPUTED_VALUE"""),40.0)</f>
        <v>40</v>
      </c>
      <c r="U251" s="47">
        <f>IFERROR(__xludf.DUMMYFUNCTION("""COMPUTED_VALUE"""),84.61538461538461)</f>
        <v>84.61538462</v>
      </c>
      <c r="V251" s="47">
        <f>IFERROR(__xludf.DUMMYFUNCTION("""COMPUTED_VALUE"""),1.5)</f>
        <v>1.5</v>
      </c>
      <c r="W251" s="46">
        <f>IFERROR(__xludf.DUMMYFUNCTION("""COMPUTED_VALUE"""),-1.1386765536493952)</f>
        <v>-1.138676554</v>
      </c>
      <c r="X251" s="46">
        <f>IFERROR(__xludf.DUMMYFUNCTION("""COMPUTED_VALUE"""),-0.21215750987599089)</f>
        <v>-0.2121575099</v>
      </c>
      <c r="Y251" s="46">
        <f>IFERROR(__xludf.DUMMYFUNCTION("""COMPUTED_VALUE"""),-1.6288480404563284)</f>
        <v>-1.62884804</v>
      </c>
      <c r="Z251" s="46">
        <f>IFERROR(__xludf.DUMMYFUNCTION("""COMPUTED_VALUE"""),-0.32845584569414765)</f>
        <v>-0.3284558457</v>
      </c>
      <c r="AA251" s="46">
        <f>IFERROR(__xludf.DUMMYFUNCTION("""COMPUTED_VALUE"""),-0.860570275155411)</f>
        <v>-0.8605702752</v>
      </c>
      <c r="AB251" s="46">
        <f>IFERROR(__xludf.DUMMYFUNCTION("""COMPUTED_VALUE"""),-0.7896459158928509)</f>
        <v>-0.7896459159</v>
      </c>
      <c r="AC251" s="46">
        <f>IFERROR(__xludf.DUMMYFUNCTION("""COMPUTED_VALUE"""),-0.9587548914293174)</f>
        <v>-0.9587548914</v>
      </c>
      <c r="AD251" s="46">
        <f>IFERROR(__xludf.DUMMYFUNCTION("""COMPUTED_VALUE"""),0.18237755673578657)</f>
        <v>0.1823775567</v>
      </c>
      <c r="AE251" s="46">
        <f>IFERROR(__xludf.DUMMYFUNCTION("""COMPUTED_VALUE"""),0.1535754730748638)</f>
        <v>0.1535754731</v>
      </c>
    </row>
    <row r="252">
      <c r="A252" s="6" t="str">
        <f>IF(VLOOKUP(H252,'Paste #BBall'!$B$2:$N1001,3,)="BRO","BKN",IF(VLOOKUP(H252,'Paste #BBall'!$B$2:$N1001,3,)="OKL","OKC",VLOOKUP(H252,'Paste #BBall'!$B$2:$N1001,3,)))</f>
        <v>PHO</v>
      </c>
      <c r="B252" s="42">
        <f>VLOOKUP($A252,Schedule!$C$2:$G$31,2,0)</f>
        <v>3</v>
      </c>
      <c r="C252" s="42">
        <f>VLOOKUP($A252,Schedule!$C$2:$G$31,3,0)</f>
        <v>4</v>
      </c>
      <c r="D252" s="42">
        <f>VLOOKUP($A252,Schedule!$C$2:$G$31,4,0)</f>
        <v>3</v>
      </c>
      <c r="E252" s="42">
        <f t="shared" si="1"/>
        <v>10</v>
      </c>
      <c r="F252" s="6">
        <v>246.0</v>
      </c>
      <c r="G252" s="45">
        <f>IFERROR(__xludf.DUMMYFUNCTION("""COMPUTED_VALUE"""),242.0)</f>
        <v>242</v>
      </c>
      <c r="H252" s="45" t="str">
        <f>IFERROR(__xludf.DUMMYFUNCTION("""COMPUTED_VALUE"""),"Nassir Little")</f>
        <v>Nassir Little</v>
      </c>
      <c r="I252" s="45">
        <f>IFERROR(__xludf.DUMMYFUNCTION("""COMPUTED_VALUE"""),58.0)</f>
        <v>58</v>
      </c>
      <c r="J252" s="46" t="str">
        <f>IFERROR(__xludf.DUMMYFUNCTION("""COMPUTED_VALUE"""),"SF,PF")</f>
        <v>SF,PF</v>
      </c>
      <c r="K252" s="46">
        <f>IFERROR(__xludf.DUMMYFUNCTION("""COMPUTED_VALUE"""),-6.397591242210698)</f>
        <v>-6.397591242</v>
      </c>
      <c r="L252" s="47">
        <f>IFERROR(__xludf.DUMMYFUNCTION("""COMPUTED_VALUE"""),-3.993784374254031)</f>
        <v>-3.993784374</v>
      </c>
      <c r="M252" s="47">
        <f>IFERROR(__xludf.DUMMYFUNCTION("""COMPUTED_VALUE"""),2.403806867956667)</f>
        <v>2.403806868</v>
      </c>
      <c r="N252" s="47">
        <f>IFERROR(__xludf.DUMMYFUNCTION("""COMPUTED_VALUE"""),8.3)</f>
        <v>8.3</v>
      </c>
      <c r="O252" s="47">
        <f>IFERROR(__xludf.DUMMYFUNCTION("""COMPUTED_VALUE"""),1.2)</f>
        <v>1.2</v>
      </c>
      <c r="P252" s="47">
        <f>IFERROR(__xludf.DUMMYFUNCTION("""COMPUTED_VALUE"""),4.1)</f>
        <v>4.1</v>
      </c>
      <c r="Q252" s="48">
        <f>IFERROR(__xludf.DUMMYFUNCTION("""COMPUTED_VALUE"""),1.1)</f>
        <v>1.1</v>
      </c>
      <c r="R252" s="47">
        <f>IFERROR(__xludf.DUMMYFUNCTION("""COMPUTED_VALUE"""),0.5)</f>
        <v>0.5</v>
      </c>
      <c r="S252" s="47">
        <f>IFERROR(__xludf.DUMMYFUNCTION("""COMPUTED_VALUE"""),0.6)</f>
        <v>0.6</v>
      </c>
      <c r="T252" s="47">
        <f>IFERROR(__xludf.DUMMYFUNCTION("""COMPUTED_VALUE"""),44.776119402985074)</f>
        <v>44.7761194</v>
      </c>
      <c r="U252" s="47">
        <f>IFERROR(__xludf.DUMMYFUNCTION("""COMPUTED_VALUE"""),73.33333333333334)</f>
        <v>73.33333333</v>
      </c>
      <c r="V252" s="47">
        <f>IFERROR(__xludf.DUMMYFUNCTION("""COMPUTED_VALUE"""),0.8)</f>
        <v>0.8</v>
      </c>
      <c r="W252" s="46">
        <f>IFERROR(__xludf.DUMMYFUNCTION("""COMPUTED_VALUE"""),-1.509434582958029)</f>
        <v>-1.509434583</v>
      </c>
      <c r="X252" s="46">
        <f>IFERROR(__xludf.DUMMYFUNCTION("""COMPUTED_VALUE"""),-0.38558326726780967)</f>
        <v>-0.3855832673</v>
      </c>
      <c r="Y252" s="46">
        <f>IFERROR(__xludf.DUMMYFUNCTION("""COMPUTED_VALUE"""),-0.8343560131928446)</f>
        <v>-0.8343560132</v>
      </c>
      <c r="Z252" s="46">
        <f>IFERROR(__xludf.DUMMYFUNCTION("""COMPUTED_VALUE"""),-1.3995075164359327)</f>
        <v>-1.399507516</v>
      </c>
      <c r="AA252" s="46">
        <f>IFERROR(__xludf.DUMMYFUNCTION("""COMPUTED_VALUE"""),-1.0786201759549239)</f>
        <v>-1.078620176</v>
      </c>
      <c r="AB252" s="46">
        <f>IFERROR(__xludf.DUMMYFUNCTION("""COMPUTED_VALUE"""),-0.13306671753405044)</f>
        <v>-0.1330667175</v>
      </c>
      <c r="AC252" s="46">
        <f>IFERROR(__xludf.DUMMYFUNCTION("""COMPUTED_VALUE"""),-0.3227289679054165)</f>
        <v>-0.3227289679</v>
      </c>
      <c r="AD252" s="46">
        <f>IFERROR(__xludf.DUMMYFUNCTION("""COMPUTED_VALUE"""),-0.21082097169102695)</f>
        <v>-0.2108209717</v>
      </c>
      <c r="AE252" s="46">
        <f>IFERROR(__xludf.DUMMYFUNCTION("""COMPUTED_VALUE"""),0.37089925572797316)</f>
        <v>0.3708992557</v>
      </c>
    </row>
    <row r="253">
      <c r="A253" s="6" t="str">
        <f>IF(VLOOKUP(H253,'Paste #BBall'!$B$2:$N1001,3,)="BRO","BKN",IF(VLOOKUP(H253,'Paste #BBall'!$B$2:$N1001,3,)="OKL","OKC",VLOOKUP(H253,'Paste #BBall'!$B$2:$N1001,3,)))</f>
        <v>LAL</v>
      </c>
      <c r="B253" s="42">
        <f>VLOOKUP($A253,Schedule!$C$2:$G$31,2,0)</f>
        <v>4</v>
      </c>
      <c r="C253" s="42">
        <f>VLOOKUP($A253,Schedule!$C$2:$G$31,3,0)</f>
        <v>2</v>
      </c>
      <c r="D253" s="42">
        <f>VLOOKUP($A253,Schedule!$C$2:$G$31,4,0)</f>
        <v>3</v>
      </c>
      <c r="E253" s="42">
        <f t="shared" si="1"/>
        <v>9</v>
      </c>
      <c r="F253" s="6">
        <v>247.0</v>
      </c>
      <c r="G253" s="45">
        <f>IFERROR(__xludf.DUMMYFUNCTION("""COMPUTED_VALUE"""),238.0)</f>
        <v>238</v>
      </c>
      <c r="H253" s="45" t="str">
        <f>IFERROR(__xludf.DUMMYFUNCTION("""COMPUTED_VALUE"""),"Christian Wood")</f>
        <v>Christian Wood</v>
      </c>
      <c r="I253" s="45">
        <f>IFERROR(__xludf.DUMMYFUNCTION("""COMPUTED_VALUE"""),69.0)</f>
        <v>69</v>
      </c>
      <c r="J253" s="46" t="str">
        <f>IFERROR(__xludf.DUMMYFUNCTION("""COMPUTED_VALUE"""),"PF")</f>
        <v>PF</v>
      </c>
      <c r="K253" s="46">
        <f>IFERROR(__xludf.DUMMYFUNCTION("""COMPUTED_VALUE"""),-6.361659811063627)</f>
        <v>-6.361659811</v>
      </c>
      <c r="L253" s="47">
        <f>IFERROR(__xludf.DUMMYFUNCTION("""COMPUTED_VALUE"""),-4.028513270752909)</f>
        <v>-4.028513271</v>
      </c>
      <c r="M253" s="47">
        <f>IFERROR(__xludf.DUMMYFUNCTION("""COMPUTED_VALUE"""),2.333146540310718)</f>
        <v>2.33314654</v>
      </c>
      <c r="N253" s="47">
        <f>IFERROR(__xludf.DUMMYFUNCTION("""COMPUTED_VALUE"""),9.8)</f>
        <v>9.8</v>
      </c>
      <c r="O253" s="47">
        <f>IFERROR(__xludf.DUMMYFUNCTION("""COMPUTED_VALUE"""),1.0)</f>
        <v>1</v>
      </c>
      <c r="P253" s="47">
        <f>IFERROR(__xludf.DUMMYFUNCTION("""COMPUTED_VALUE"""),5.0)</f>
        <v>5</v>
      </c>
      <c r="Q253" s="48">
        <f>IFERROR(__xludf.DUMMYFUNCTION("""COMPUTED_VALUE"""),1.2)</f>
        <v>1.2</v>
      </c>
      <c r="R253" s="47">
        <f>IFERROR(__xludf.DUMMYFUNCTION("""COMPUTED_VALUE"""),0.4)</f>
        <v>0.4</v>
      </c>
      <c r="S253" s="47">
        <f>IFERROR(__xludf.DUMMYFUNCTION("""COMPUTED_VALUE"""),0.6)</f>
        <v>0.6</v>
      </c>
      <c r="T253" s="47">
        <f>IFERROR(__xludf.DUMMYFUNCTION("""COMPUTED_VALUE"""),50.0)</f>
        <v>50</v>
      </c>
      <c r="U253" s="47">
        <f>IFERROR(__xludf.DUMMYFUNCTION("""COMPUTED_VALUE"""),69.23076923076923)</f>
        <v>69.23076923</v>
      </c>
      <c r="V253" s="47">
        <f>IFERROR(__xludf.DUMMYFUNCTION("""COMPUTED_VALUE"""),1.1)</f>
        <v>1.1</v>
      </c>
      <c r="W253" s="46">
        <f>IFERROR(__xludf.DUMMYFUNCTION("""COMPUTED_VALUE"""),-1.256645017520324)</f>
        <v>-1.256645018</v>
      </c>
      <c r="X253" s="46">
        <f>IFERROR(__xludf.DUMMYFUNCTION("""COMPUTED_VALUE"""),-0.5590090246596284)</f>
        <v>-0.5590090247</v>
      </c>
      <c r="Y253" s="46">
        <f>IFERROR(__xludf.DUMMYFUNCTION("""COMPUTED_VALUE"""),-0.45801768448908886)</f>
        <v>-0.4580176845</v>
      </c>
      <c r="Z253" s="46">
        <f>IFERROR(__xludf.DUMMYFUNCTION("""COMPUTED_VALUE"""),-1.3485050559244194)</f>
        <v>-1.348505056</v>
      </c>
      <c r="AA253" s="46">
        <f>IFERROR(__xludf.DUMMYFUNCTION("""COMPUTED_VALUE"""),-1.2966700767544366)</f>
        <v>-1.296670077</v>
      </c>
      <c r="AB253" s="46">
        <f>IFERROR(__xludf.DUMMYFUNCTION("""COMPUTED_VALUE"""),-0.13306671753405044)</f>
        <v>-0.1330667175</v>
      </c>
      <c r="AC253" s="46">
        <f>IFERROR(__xludf.DUMMYFUNCTION("""COMPUTED_VALUE"""),0.02807709645747251)</f>
        <v>0.02807709646</v>
      </c>
      <c r="AD253" s="46">
        <f>IFERROR(__xludf.DUMMYFUNCTION("""COMPUTED_VALUE"""),-0.6309423379866366)</f>
        <v>-0.630942338</v>
      </c>
      <c r="AE253" s="46">
        <f>IFERROR(__xludf.DUMMYFUNCTION("""COMPUTED_VALUE"""),0.2777604917337834)</f>
        <v>0.2777604917</v>
      </c>
    </row>
    <row r="254">
      <c r="A254" s="6" t="str">
        <f>IF(VLOOKUP(H254,'Paste #BBall'!$B$2:$N1001,3,)="BRO","BKN",IF(VLOOKUP(H254,'Paste #BBall'!$B$2:$N1001,3,)="OKL","OKC",VLOOKUP(H254,'Paste #BBall'!$B$2:$N1001,3,)))</f>
        <v>ORL</v>
      </c>
      <c r="B254" s="42">
        <f>VLOOKUP($A254,Schedule!$C$2:$G$31,2,0)</f>
        <v>4</v>
      </c>
      <c r="C254" s="42">
        <f>VLOOKUP($A254,Schedule!$C$2:$G$31,3,0)</f>
        <v>3</v>
      </c>
      <c r="D254" s="42">
        <f>VLOOKUP($A254,Schedule!$C$2:$G$31,4,0)</f>
        <v>3</v>
      </c>
      <c r="E254" s="42">
        <f t="shared" si="1"/>
        <v>10</v>
      </c>
      <c r="F254" s="6">
        <v>248.0</v>
      </c>
      <c r="G254" s="45">
        <f>IFERROR(__xludf.DUMMYFUNCTION("""COMPUTED_VALUE"""),259.0)</f>
        <v>259</v>
      </c>
      <c r="H254" s="45" t="str">
        <f>IFERROR(__xludf.DUMMYFUNCTION("""COMPUTED_VALUE"""),"Chuma Okeke")</f>
        <v>Chuma Okeke</v>
      </c>
      <c r="I254" s="45">
        <f>IFERROR(__xludf.DUMMYFUNCTION("""COMPUTED_VALUE"""),50.0)</f>
        <v>50</v>
      </c>
      <c r="J254" s="46" t="str">
        <f>IFERROR(__xludf.DUMMYFUNCTION("""COMPUTED_VALUE"""),"SF,PF")</f>
        <v>SF,PF</v>
      </c>
      <c r="K254" s="46">
        <f>IFERROR(__xludf.DUMMYFUNCTION("""COMPUTED_VALUE"""),-6.8531223928367115)</f>
        <v>-6.853122393</v>
      </c>
      <c r="L254" s="47">
        <f>IFERROR(__xludf.DUMMYFUNCTION("""COMPUTED_VALUE"""),-4.039579453298863)</f>
        <v>-4.039579453</v>
      </c>
      <c r="M254" s="47">
        <f>IFERROR(__xludf.DUMMYFUNCTION("""COMPUTED_VALUE"""),2.8135429395378484)</f>
        <v>2.81354294</v>
      </c>
      <c r="N254" s="47">
        <f>IFERROR(__xludf.DUMMYFUNCTION("""COMPUTED_VALUE"""),5.3)</f>
        <v>5.3</v>
      </c>
      <c r="O254" s="47">
        <f>IFERROR(__xludf.DUMMYFUNCTION("""COMPUTED_VALUE"""),1.0)</f>
        <v>1</v>
      </c>
      <c r="P254" s="47">
        <f>IFERROR(__xludf.DUMMYFUNCTION("""COMPUTED_VALUE"""),3.2)</f>
        <v>3.2</v>
      </c>
      <c r="Q254" s="48">
        <f>IFERROR(__xludf.DUMMYFUNCTION("""COMPUTED_VALUE"""),1.1)</f>
        <v>1.1</v>
      </c>
      <c r="R254" s="47">
        <f>IFERROR(__xludf.DUMMYFUNCTION("""COMPUTED_VALUE"""),0.8)</f>
        <v>0.8</v>
      </c>
      <c r="S254" s="47">
        <f>IFERROR(__xludf.DUMMYFUNCTION("""COMPUTED_VALUE"""),0.4)</f>
        <v>0.4</v>
      </c>
      <c r="T254" s="47">
        <f>IFERROR(__xludf.DUMMYFUNCTION("""COMPUTED_VALUE"""),38.0)</f>
        <v>38</v>
      </c>
      <c r="U254" s="47">
        <f>IFERROR(__xludf.DUMMYFUNCTION("""COMPUTED_VALUE"""),83.33333333333334)</f>
        <v>83.33333333</v>
      </c>
      <c r="V254" s="47">
        <f>IFERROR(__xludf.DUMMYFUNCTION("""COMPUTED_VALUE"""),0.5)</f>
        <v>0.5</v>
      </c>
      <c r="W254" s="46">
        <f>IFERROR(__xludf.DUMMYFUNCTION("""COMPUTED_VALUE"""),-2.0150137138334387)</f>
        <v>-2.015013714</v>
      </c>
      <c r="X254" s="46">
        <f>IFERROR(__xludf.DUMMYFUNCTION("""COMPUTED_VALUE"""),-0.5590090246596284)</f>
        <v>-0.5590090247</v>
      </c>
      <c r="Y254" s="46">
        <f>IFERROR(__xludf.DUMMYFUNCTION("""COMPUTED_VALUE"""),-1.2106943418965999)</f>
        <v>-1.210694342</v>
      </c>
      <c r="Z254" s="46">
        <f>IFERROR(__xludf.DUMMYFUNCTION("""COMPUTED_VALUE"""),-1.3995075164359327)</f>
        <v>-1.399507516</v>
      </c>
      <c r="AA254" s="46">
        <f>IFERROR(__xludf.DUMMYFUNCTION("""COMPUTED_VALUE"""),-0.42447047355638534)</f>
        <v>-0.4244704736</v>
      </c>
      <c r="AB254" s="46">
        <f>IFERROR(__xludf.DUMMYFUNCTION("""COMPUTED_VALUE"""),-0.39569839687757064)</f>
        <v>-0.3956983969</v>
      </c>
      <c r="AC254" s="46">
        <f>IFERROR(__xludf.DUMMYFUNCTION("""COMPUTED_VALUE"""),-0.5792639486372296)</f>
        <v>-0.5792639486</v>
      </c>
      <c r="AD254" s="46">
        <f>IFERROR(__xludf.DUMMYFUNCTION("""COMPUTED_VALUE"""),0.0650262290423206)</f>
        <v>0.06502622904</v>
      </c>
      <c r="AE254" s="46">
        <f>IFERROR(__xludf.DUMMYFUNCTION("""COMPUTED_VALUE"""),0.4640380197221629)</f>
        <v>0.4640380197</v>
      </c>
    </row>
    <row r="255">
      <c r="A255" s="6" t="str">
        <f>IF(VLOOKUP(H255,'Paste #BBall'!$B$2:$N1001,3,)="BRO","BKN",IF(VLOOKUP(H255,'Paste #BBall'!$B$2:$N1001,3,)="OKL","OKC",VLOOKUP(H255,'Paste #BBall'!$B$2:$N1001,3,)))</f>
        <v>DAL</v>
      </c>
      <c r="B255" s="42">
        <f>VLOOKUP($A255,Schedule!$C$2:$G$31,2,0)</f>
        <v>3</v>
      </c>
      <c r="C255" s="42">
        <f>VLOOKUP($A255,Schedule!$C$2:$G$31,3,0)</f>
        <v>4</v>
      </c>
      <c r="D255" s="42">
        <f>VLOOKUP($A255,Schedule!$C$2:$G$31,4,0)</f>
        <v>2</v>
      </c>
      <c r="E255" s="42">
        <f t="shared" si="1"/>
        <v>9</v>
      </c>
      <c r="F255" s="6">
        <v>249.0</v>
      </c>
      <c r="G255" s="45">
        <f>IFERROR(__xludf.DUMMYFUNCTION("""COMPUTED_VALUE"""),267.0)</f>
        <v>267</v>
      </c>
      <c r="H255" s="45" t="str">
        <f>IFERROR(__xludf.DUMMYFUNCTION("""COMPUTED_VALUE"""),"Dereck Lively II")</f>
        <v>Dereck Lively II</v>
      </c>
      <c r="I255" s="45">
        <f>IFERROR(__xludf.DUMMYFUNCTION("""COMPUTED_VALUE"""),50.0)</f>
        <v>50</v>
      </c>
      <c r="J255" s="46" t="str">
        <f>IFERROR(__xludf.DUMMYFUNCTION("""COMPUTED_VALUE"""),"C")</f>
        <v>C</v>
      </c>
      <c r="K255" s="46">
        <f>IFERROR(__xludf.DUMMYFUNCTION("""COMPUTED_VALUE"""),-7.156435798149133)</f>
        <v>-7.156435798</v>
      </c>
      <c r="L255" s="47">
        <f>IFERROR(__xludf.DUMMYFUNCTION("""COMPUTED_VALUE"""),-4.040471712141073)</f>
        <v>-4.040471712</v>
      </c>
      <c r="M255" s="47">
        <f>IFERROR(__xludf.DUMMYFUNCTION("""COMPUTED_VALUE"""),3.1159640860080593)</f>
        <v>3.115964086</v>
      </c>
      <c r="N255" s="47">
        <f>IFERROR(__xludf.DUMMYFUNCTION("""COMPUTED_VALUE"""),4.5)</f>
        <v>4.5</v>
      </c>
      <c r="O255" s="47">
        <f>IFERROR(__xludf.DUMMYFUNCTION("""COMPUTED_VALUE"""),0.0)</f>
        <v>0</v>
      </c>
      <c r="P255" s="47">
        <f>IFERROR(__xludf.DUMMYFUNCTION("""COMPUTED_VALUE"""),4.6)</f>
        <v>4.6</v>
      </c>
      <c r="Q255" s="48">
        <f>IFERROR(__xludf.DUMMYFUNCTION("""COMPUTED_VALUE"""),0.9)</f>
        <v>0.9</v>
      </c>
      <c r="R255" s="47">
        <f>IFERROR(__xludf.DUMMYFUNCTION("""COMPUTED_VALUE"""),0.4)</f>
        <v>0.4</v>
      </c>
      <c r="S255" s="47">
        <f>IFERROR(__xludf.DUMMYFUNCTION("""COMPUTED_VALUE"""),0.9)</f>
        <v>0.9</v>
      </c>
      <c r="T255" s="47">
        <f>IFERROR(__xludf.DUMMYFUNCTION("""COMPUTED_VALUE"""),62.5)</f>
        <v>62.5</v>
      </c>
      <c r="U255" s="47">
        <f>IFERROR(__xludf.DUMMYFUNCTION("""COMPUTED_VALUE"""),62.5)</f>
        <v>62.5</v>
      </c>
      <c r="V255" s="47">
        <f>IFERROR(__xludf.DUMMYFUNCTION("""COMPUTED_VALUE"""),0.5)</f>
        <v>0.5</v>
      </c>
      <c r="W255" s="46">
        <f>IFERROR(__xludf.DUMMYFUNCTION("""COMPUTED_VALUE"""),-2.1498348154002147)</f>
        <v>-2.149834815</v>
      </c>
      <c r="X255" s="46">
        <f>IFERROR(__xludf.DUMMYFUNCTION("""COMPUTED_VALUE"""),-1.4261378116187227)</f>
        <v>-1.426137812</v>
      </c>
      <c r="Y255" s="46">
        <f>IFERROR(__xludf.DUMMYFUNCTION("""COMPUTED_VALUE"""),-0.6252791639129804)</f>
        <v>-0.6252791639</v>
      </c>
      <c r="Z255" s="46">
        <f>IFERROR(__xludf.DUMMYFUNCTION("""COMPUTED_VALUE"""),-1.5015124374589601)</f>
        <v>-1.501512437</v>
      </c>
      <c r="AA255" s="46">
        <f>IFERROR(__xludf.DUMMYFUNCTION("""COMPUTED_VALUE"""),-1.2966700767544366)</f>
        <v>-1.296670077</v>
      </c>
      <c r="AB255" s="46">
        <f>IFERROR(__xludf.DUMMYFUNCTION("""COMPUTED_VALUE"""),0.2608808014812299)</f>
        <v>0.2608808015</v>
      </c>
      <c r="AC255" s="46">
        <f>IFERROR(__xludf.DUMMYFUNCTION("""COMPUTED_VALUE"""),0.4123812557851274)</f>
        <v>0.4123812558</v>
      </c>
      <c r="AD255" s="46">
        <f>IFERROR(__xludf.DUMMYFUNCTION("""COMPUTED_VALUE"""),-0.32817229938449327)</f>
        <v>-0.3281722994</v>
      </c>
      <c r="AE255" s="46">
        <f>IFERROR(__xludf.DUMMYFUNCTION("""COMPUTED_VALUE"""),0.4640380197221629)</f>
        <v>0.4640380197</v>
      </c>
    </row>
    <row r="256">
      <c r="A256" s="6" t="str">
        <f>IF(VLOOKUP(H256,'Paste #BBall'!$B$2:$N1001,3,)="BRO","BKN",IF(VLOOKUP(H256,'Paste #BBall'!$B$2:$N1001,3,)="OKL","OKC",VLOOKUP(H256,'Paste #BBall'!$B$2:$N1001,3,)))</f>
        <v>NO</v>
      </c>
      <c r="B256" s="42">
        <f>VLOOKUP($A256,Schedule!$C$2:$G$31,2,0)</f>
        <v>3</v>
      </c>
      <c r="C256" s="42">
        <f>VLOOKUP($A256,Schedule!$C$2:$G$31,3,0)</f>
        <v>3</v>
      </c>
      <c r="D256" s="42">
        <f>VLOOKUP($A256,Schedule!$C$2:$G$31,4,0)</f>
        <v>4</v>
      </c>
      <c r="E256" s="42">
        <f t="shared" si="1"/>
        <v>10</v>
      </c>
      <c r="F256" s="6">
        <v>250.0</v>
      </c>
      <c r="G256" s="45">
        <f>IFERROR(__xludf.DUMMYFUNCTION("""COMPUTED_VALUE"""),266.0)</f>
        <v>266</v>
      </c>
      <c r="H256" s="45" t="str">
        <f>IFERROR(__xludf.DUMMYFUNCTION("""COMPUTED_VALUE"""),"Dyson Daniels")</f>
        <v>Dyson Daniels</v>
      </c>
      <c r="I256" s="45">
        <f>IFERROR(__xludf.DUMMYFUNCTION("""COMPUTED_VALUE"""),69.0)</f>
        <v>69</v>
      </c>
      <c r="J256" s="46" t="str">
        <f>IFERROR(__xludf.DUMMYFUNCTION("""COMPUTED_VALUE"""),"PG,SG")</f>
        <v>PG,SG</v>
      </c>
      <c r="K256" s="46">
        <f>IFERROR(__xludf.DUMMYFUNCTION("""COMPUTED_VALUE"""),-7.144035371198093)</f>
        <v>-7.144035371</v>
      </c>
      <c r="L256" s="47">
        <f>IFERROR(__xludf.DUMMYFUNCTION("""COMPUTED_VALUE"""),-4.0460970450652205)</f>
        <v>-4.046097045</v>
      </c>
      <c r="M256" s="47">
        <f>IFERROR(__xludf.DUMMYFUNCTION("""COMPUTED_VALUE"""),3.097938326132873)</f>
        <v>3.097938326</v>
      </c>
      <c r="N256" s="47">
        <f>IFERROR(__xludf.DUMMYFUNCTION("""COMPUTED_VALUE"""),4.1)</f>
        <v>4.1</v>
      </c>
      <c r="O256" s="47">
        <f>IFERROR(__xludf.DUMMYFUNCTION("""COMPUTED_VALUE"""),0.5)</f>
        <v>0.5</v>
      </c>
      <c r="P256" s="47">
        <f>IFERROR(__xludf.DUMMYFUNCTION("""COMPUTED_VALUE"""),3.4)</f>
        <v>3.4</v>
      </c>
      <c r="Q256" s="48">
        <f>IFERROR(__xludf.DUMMYFUNCTION("""COMPUTED_VALUE"""),2.4)</f>
        <v>2.4</v>
      </c>
      <c r="R256" s="47">
        <f>IFERROR(__xludf.DUMMYFUNCTION("""COMPUTED_VALUE"""),0.8)</f>
        <v>0.8</v>
      </c>
      <c r="S256" s="47">
        <f>IFERROR(__xludf.DUMMYFUNCTION("""COMPUTED_VALUE"""),0.2)</f>
        <v>0.2</v>
      </c>
      <c r="T256" s="47">
        <f>IFERROR(__xludf.DUMMYFUNCTION("""COMPUTED_VALUE"""),42.10526315789474)</f>
        <v>42.10526316</v>
      </c>
      <c r="U256" s="47">
        <f>IFERROR(__xludf.DUMMYFUNCTION("""COMPUTED_VALUE"""),71.42857142857143)</f>
        <v>71.42857143</v>
      </c>
      <c r="V256" s="47">
        <f>IFERROR(__xludf.DUMMYFUNCTION("""COMPUTED_VALUE"""),1.0)</f>
        <v>1</v>
      </c>
      <c r="W256" s="46">
        <f>IFERROR(__xludf.DUMMYFUNCTION("""COMPUTED_VALUE"""),-2.2172453661836027)</f>
        <v>-2.217245366</v>
      </c>
      <c r="X256" s="46">
        <f>IFERROR(__xludf.DUMMYFUNCTION("""COMPUTED_VALUE"""),-0.9925734181391757)</f>
        <v>-0.9925734181</v>
      </c>
      <c r="Y256" s="46">
        <f>IFERROR(__xludf.DUMMYFUNCTION("""COMPUTED_VALUE"""),-1.1270636021846543)</f>
        <v>-1.127063602</v>
      </c>
      <c r="Z256" s="46">
        <f>IFERROR(__xludf.DUMMYFUNCTION("""COMPUTED_VALUE"""),-0.7364755297862564)</f>
        <v>-0.7364755298</v>
      </c>
      <c r="AA256" s="46">
        <f>IFERROR(__xludf.DUMMYFUNCTION("""COMPUTED_VALUE"""),-0.42447047355638534)</f>
        <v>-0.4244704736</v>
      </c>
      <c r="AB256" s="46">
        <f>IFERROR(__xludf.DUMMYFUNCTION("""COMPUTED_VALUE"""),-0.6583300762210907)</f>
        <v>-0.6583300762</v>
      </c>
      <c r="AC256" s="46">
        <f>IFERROR(__xludf.DUMMYFUNCTION("""COMPUTED_VALUE"""),-0.28441765640508404)</f>
        <v>-0.2844176564</v>
      </c>
      <c r="AD256" s="46">
        <f>IFERROR(__xludf.DUMMYFUNCTION("""COMPUTED_VALUE"""),-0.13157303517108632)</f>
        <v>-0.1315730352</v>
      </c>
      <c r="AE256" s="46">
        <f>IFERROR(__xludf.DUMMYFUNCTION("""COMPUTED_VALUE"""),0.30880674639851335)</f>
        <v>0.3088067464</v>
      </c>
    </row>
    <row r="257">
      <c r="A257" s="6" t="str">
        <f>IF(VLOOKUP(H257,'Paste #BBall'!$B$2:$N1001,3,)="BRO","BKN",IF(VLOOKUP(H257,'Paste #BBall'!$B$2:$N1001,3,)="OKL","OKC",VLOOKUP(H257,'Paste #BBall'!$B$2:$N1001,3,)))</f>
        <v>PHO</v>
      </c>
      <c r="B257" s="42">
        <f>VLOOKUP($A257,Schedule!$C$2:$G$31,2,0)</f>
        <v>3</v>
      </c>
      <c r="C257" s="42">
        <f>VLOOKUP($A257,Schedule!$C$2:$G$31,3,0)</f>
        <v>4</v>
      </c>
      <c r="D257" s="42">
        <f>VLOOKUP($A257,Schedule!$C$2:$G$31,4,0)</f>
        <v>3</v>
      </c>
      <c r="E257" s="42">
        <f t="shared" si="1"/>
        <v>10</v>
      </c>
      <c r="F257" s="6">
        <v>251.0</v>
      </c>
      <c r="G257" s="45">
        <f>IFERROR(__xludf.DUMMYFUNCTION("""COMPUTED_VALUE"""),245.0)</f>
        <v>245</v>
      </c>
      <c r="H257" s="45" t="str">
        <f>IFERROR(__xludf.DUMMYFUNCTION("""COMPUTED_VALUE"""),"Keita Bates-Diop")</f>
        <v>Keita Bates-Diop</v>
      </c>
      <c r="I257" s="45">
        <f>IFERROR(__xludf.DUMMYFUNCTION("""COMPUTED_VALUE"""),69.0)</f>
        <v>69</v>
      </c>
      <c r="J257" s="46" t="str">
        <f>IFERROR(__xludf.DUMMYFUNCTION("""COMPUTED_VALUE"""),"SF,PF")</f>
        <v>SF,PF</v>
      </c>
      <c r="K257" s="46">
        <f>IFERROR(__xludf.DUMMYFUNCTION("""COMPUTED_VALUE"""),-6.470317607466147)</f>
        <v>-6.470317607</v>
      </c>
      <c r="L257" s="47">
        <f>IFERROR(__xludf.DUMMYFUNCTION("""COMPUTED_VALUE"""),-4.065544006583288)</f>
        <v>-4.065544007</v>
      </c>
      <c r="M257" s="47">
        <f>IFERROR(__xludf.DUMMYFUNCTION("""COMPUTED_VALUE"""),2.4047736008828595)</f>
        <v>2.404773601</v>
      </c>
      <c r="N257" s="47">
        <f>IFERROR(__xludf.DUMMYFUNCTION("""COMPUTED_VALUE"""),8.4)</f>
        <v>8.4</v>
      </c>
      <c r="O257" s="47">
        <f>IFERROR(__xludf.DUMMYFUNCTION("""COMPUTED_VALUE"""),0.6)</f>
        <v>0.6</v>
      </c>
      <c r="P257" s="47">
        <f>IFERROR(__xludf.DUMMYFUNCTION("""COMPUTED_VALUE"""),4.1)</f>
        <v>4.1</v>
      </c>
      <c r="Q257" s="48">
        <f>IFERROR(__xludf.DUMMYFUNCTION("""COMPUTED_VALUE"""),1.2)</f>
        <v>1.2</v>
      </c>
      <c r="R257" s="47">
        <f>IFERROR(__xludf.DUMMYFUNCTION("""COMPUTED_VALUE"""),0.6)</f>
        <v>0.6</v>
      </c>
      <c r="S257" s="47">
        <f>IFERROR(__xludf.DUMMYFUNCTION("""COMPUTED_VALUE"""),0.3)</f>
        <v>0.3</v>
      </c>
      <c r="T257" s="47">
        <f>IFERROR(__xludf.DUMMYFUNCTION("""COMPUTED_VALUE"""),51.61290322580645)</f>
        <v>51.61290323</v>
      </c>
      <c r="U257" s="47">
        <f>IFERROR(__xludf.DUMMYFUNCTION("""COMPUTED_VALUE"""),77.77777777777777)</f>
        <v>77.77777778</v>
      </c>
      <c r="V257" s="47">
        <f>IFERROR(__xludf.DUMMYFUNCTION("""COMPUTED_VALUE"""),0.9)</f>
        <v>0.9</v>
      </c>
      <c r="W257" s="46">
        <f>IFERROR(__xludf.DUMMYFUNCTION("""COMPUTED_VALUE"""),-1.492581945262182)</f>
        <v>-1.492581945</v>
      </c>
      <c r="X257" s="46">
        <f>IFERROR(__xludf.DUMMYFUNCTION("""COMPUTED_VALUE"""),-0.9058605394432663)</f>
        <v>-0.9058605394</v>
      </c>
      <c r="Y257" s="46">
        <f>IFERROR(__xludf.DUMMYFUNCTION("""COMPUTED_VALUE"""),-0.8343560131928446)</f>
        <v>-0.8343560132</v>
      </c>
      <c r="Z257" s="46">
        <f>IFERROR(__xludf.DUMMYFUNCTION("""COMPUTED_VALUE"""),-1.3485050559244194)</f>
        <v>-1.348505056</v>
      </c>
      <c r="AA257" s="46">
        <f>IFERROR(__xludf.DUMMYFUNCTION("""COMPUTED_VALUE"""),-0.860570275155411)</f>
        <v>-0.8605702752</v>
      </c>
      <c r="AB257" s="46">
        <f>IFERROR(__xludf.DUMMYFUNCTION("""COMPUTED_VALUE"""),-0.5270142365493308)</f>
        <v>-0.5270142365</v>
      </c>
      <c r="AC257" s="46">
        <f>IFERROR(__xludf.DUMMYFUNCTION("""COMPUTED_VALUE"""),0.12475478835633198)</f>
        <v>0.1247547884</v>
      </c>
      <c r="AD257" s="46">
        <f>IFERROR(__xludf.DUMMYFUNCTION("""COMPUTED_VALUE"""),-0.053845675737591164)</f>
        <v>-0.05384567574</v>
      </c>
      <c r="AE257" s="46">
        <f>IFERROR(__xludf.DUMMYFUNCTION("""COMPUTED_VALUE"""),0.33985300106324323)</f>
        <v>0.3398530011</v>
      </c>
    </row>
    <row r="258">
      <c r="A258" s="6" t="str">
        <f>IF(VLOOKUP(H258,'Paste #BBall'!$B$2:$N1001,3,)="BRO","BKN",IF(VLOOKUP(H258,'Paste #BBall'!$B$2:$N1001,3,)="OKL","OKC",VLOOKUP(H258,'Paste #BBall'!$B$2:$N1001,3,)))</f>
        <v>PHI</v>
      </c>
      <c r="B258" s="42">
        <f>VLOOKUP($A258,Schedule!$C$2:$G$31,2,0)</f>
        <v>4</v>
      </c>
      <c r="C258" s="42">
        <f>VLOOKUP($A258,Schedule!$C$2:$G$31,3,0)</f>
        <v>3</v>
      </c>
      <c r="D258" s="42">
        <f>VLOOKUP($A258,Schedule!$C$2:$G$31,4,0)</f>
        <v>4</v>
      </c>
      <c r="E258" s="42">
        <f t="shared" si="1"/>
        <v>11</v>
      </c>
      <c r="F258" s="6">
        <v>252.0</v>
      </c>
      <c r="G258" s="45">
        <f>IFERROR(__xludf.DUMMYFUNCTION("""COMPUTED_VALUE"""),249.0)</f>
        <v>249</v>
      </c>
      <c r="H258" s="45" t="str">
        <f>IFERROR(__xludf.DUMMYFUNCTION("""COMPUTED_VALUE"""),"Jaden Springer")</f>
        <v>Jaden Springer</v>
      </c>
      <c r="I258" s="45">
        <f>IFERROR(__xludf.DUMMYFUNCTION("""COMPUTED_VALUE"""),58.0)</f>
        <v>58</v>
      </c>
      <c r="J258" s="46" t="str">
        <f>IFERROR(__xludf.DUMMYFUNCTION("""COMPUTED_VALUE"""),"PG,SG")</f>
        <v>PG,SG</v>
      </c>
      <c r="K258" s="46">
        <f>IFERROR(__xludf.DUMMYFUNCTION("""COMPUTED_VALUE"""),-6.604193269511994)</f>
        <v>-6.60419327</v>
      </c>
      <c r="L258" s="47">
        <f>IFERROR(__xludf.DUMMYFUNCTION("""COMPUTED_VALUE"""),-4.0827055203816975)</f>
        <v>-4.08270552</v>
      </c>
      <c r="M258" s="47">
        <f>IFERROR(__xludf.DUMMYFUNCTION("""COMPUTED_VALUE"""),2.521487749130296)</f>
        <v>2.521487749</v>
      </c>
      <c r="N258" s="47">
        <f>IFERROR(__xludf.DUMMYFUNCTION("""COMPUTED_VALUE"""),5.8)</f>
        <v>5.8</v>
      </c>
      <c r="O258" s="47">
        <f>IFERROR(__xludf.DUMMYFUNCTION("""COMPUTED_VALUE"""),0.3)</f>
        <v>0.3</v>
      </c>
      <c r="P258" s="47">
        <f>IFERROR(__xludf.DUMMYFUNCTION("""COMPUTED_VALUE"""),2.1)</f>
        <v>2.1</v>
      </c>
      <c r="Q258" s="48">
        <f>IFERROR(__xludf.DUMMYFUNCTION("""COMPUTED_VALUE"""),1.1)</f>
        <v>1.1</v>
      </c>
      <c r="R258" s="47">
        <f>IFERROR(__xludf.DUMMYFUNCTION("""COMPUTED_VALUE"""),0.9)</f>
        <v>0.9</v>
      </c>
      <c r="S258" s="47">
        <f>IFERROR(__xludf.DUMMYFUNCTION("""COMPUTED_VALUE"""),0.7)</f>
        <v>0.7</v>
      </c>
      <c r="T258" s="47">
        <f>IFERROR(__xludf.DUMMYFUNCTION("""COMPUTED_VALUE"""),51.06382978723404)</f>
        <v>51.06382979</v>
      </c>
      <c r="U258" s="47">
        <f>IFERROR(__xludf.DUMMYFUNCTION("""COMPUTED_VALUE"""),72.72727272727273)</f>
        <v>72.72727273</v>
      </c>
      <c r="V258" s="47">
        <f>IFERROR(__xludf.DUMMYFUNCTION("""COMPUTED_VALUE"""),0.5)</f>
        <v>0.5</v>
      </c>
      <c r="W258" s="46">
        <f>IFERROR(__xludf.DUMMYFUNCTION("""COMPUTED_VALUE"""),-1.9307505253542037)</f>
        <v>-1.930750525</v>
      </c>
      <c r="X258" s="46">
        <f>IFERROR(__xludf.DUMMYFUNCTION("""COMPUTED_VALUE"""),-1.1659991755309944)</f>
        <v>-1.165999176</v>
      </c>
      <c r="Y258" s="46">
        <f>IFERROR(__xludf.DUMMYFUNCTION("""COMPUTED_VALUE"""),-1.6706634103123013)</f>
        <v>-1.67066341</v>
      </c>
      <c r="Z258" s="46">
        <f>IFERROR(__xludf.DUMMYFUNCTION("""COMPUTED_VALUE"""),-1.3995075164359327)</f>
        <v>-1.399507516</v>
      </c>
      <c r="AA258" s="46">
        <f>IFERROR(__xludf.DUMMYFUNCTION("""COMPUTED_VALUE"""),-0.2064205727568726)</f>
        <v>-0.2064205728</v>
      </c>
      <c r="AB258" s="46">
        <f>IFERROR(__xludf.DUMMYFUNCTION("""COMPUTED_VALUE"""),-0.0017508778622903794)</f>
        <v>-0.001750877862</v>
      </c>
      <c r="AC258" s="46">
        <f>IFERROR(__xludf.DUMMYFUNCTION("""COMPUTED_VALUE"""),0.06879501622558813)</f>
        <v>0.06879501623</v>
      </c>
      <c r="AD258" s="46">
        <f>IFERROR(__xludf.DUMMYFUNCTION("""COMPUTED_VALUE"""),-0.1711970034310567)</f>
        <v>-0.1711970034</v>
      </c>
      <c r="AE258" s="46">
        <f>IFERROR(__xludf.DUMMYFUNCTION("""COMPUTED_VALUE"""),0.4640380197221629)</f>
        <v>0.4640380197</v>
      </c>
    </row>
    <row r="259">
      <c r="A259" s="6" t="str">
        <f>IF(VLOOKUP(H259,'Paste #BBall'!$B$2:$N1001,3,)="BRO","BKN",IF(VLOOKUP(H259,'Paste #BBall'!$B$2:$N1001,3,)="OKL","OKC",VLOOKUP(H259,'Paste #BBall'!$B$2:$N1001,3,)))</f>
        <v>ATL</v>
      </c>
      <c r="B259" s="42">
        <f>VLOOKUP($A259,Schedule!$C$2:$G$31,2,0)</f>
        <v>4</v>
      </c>
      <c r="C259" s="42">
        <f>VLOOKUP($A259,Schedule!$C$2:$G$31,3,0)</f>
        <v>3</v>
      </c>
      <c r="D259" s="42">
        <f>VLOOKUP($A259,Schedule!$C$2:$G$31,4,0)</f>
        <v>3</v>
      </c>
      <c r="E259" s="42">
        <f t="shared" si="1"/>
        <v>10</v>
      </c>
      <c r="F259" s="6">
        <v>253.0</v>
      </c>
      <c r="G259" s="45">
        <f>IFERROR(__xludf.DUMMYFUNCTION("""COMPUTED_VALUE"""),254.0)</f>
        <v>254</v>
      </c>
      <c r="H259" s="45" t="str">
        <f>IFERROR(__xludf.DUMMYFUNCTION("""COMPUTED_VALUE"""),"AJ Griffin")</f>
        <v>AJ Griffin</v>
      </c>
      <c r="I259" s="45">
        <f>IFERROR(__xludf.DUMMYFUNCTION("""COMPUTED_VALUE"""),72.0)</f>
        <v>72</v>
      </c>
      <c r="J259" s="46" t="str">
        <f>IFERROR(__xludf.DUMMYFUNCTION("""COMPUTED_VALUE"""),"SG,SF")</f>
        <v>SG,SF</v>
      </c>
      <c r="K259" s="46">
        <f>IFERROR(__xludf.DUMMYFUNCTION("""COMPUTED_VALUE"""),-6.702780105910719)</f>
        <v>-6.702780106</v>
      </c>
      <c r="L259" s="47">
        <f>IFERROR(__xludf.DUMMYFUNCTION("""COMPUTED_VALUE"""),-4.102791213527704)</f>
        <v>-4.102791214</v>
      </c>
      <c r="M259" s="47">
        <f>IFERROR(__xludf.DUMMYFUNCTION("""COMPUTED_VALUE"""),2.5999888923830152)</f>
        <v>2.599988892</v>
      </c>
      <c r="N259" s="47">
        <f>IFERROR(__xludf.DUMMYFUNCTION("""COMPUTED_VALUE"""),9.3)</f>
        <v>9.3</v>
      </c>
      <c r="O259" s="47">
        <f>IFERROR(__xludf.DUMMYFUNCTION("""COMPUTED_VALUE"""),1.5)</f>
        <v>1.5</v>
      </c>
      <c r="P259" s="47">
        <f>IFERROR(__xludf.DUMMYFUNCTION("""COMPUTED_VALUE"""),2.2)</f>
        <v>2.2</v>
      </c>
      <c r="Q259" s="48">
        <f>IFERROR(__xludf.DUMMYFUNCTION("""COMPUTED_VALUE"""),1.1)</f>
        <v>1.1</v>
      </c>
      <c r="R259" s="47">
        <f>IFERROR(__xludf.DUMMYFUNCTION("""COMPUTED_VALUE"""),0.6)</f>
        <v>0.6</v>
      </c>
      <c r="S259" s="47">
        <f>IFERROR(__xludf.DUMMYFUNCTION("""COMPUTED_VALUE"""),0.2)</f>
        <v>0.2</v>
      </c>
      <c r="T259" s="47">
        <f>IFERROR(__xludf.DUMMYFUNCTION("""COMPUTED_VALUE"""),46.15384615384615)</f>
        <v>46.15384615</v>
      </c>
      <c r="U259" s="47">
        <f>IFERROR(__xludf.DUMMYFUNCTION("""COMPUTED_VALUE"""),85.71428571428572)</f>
        <v>85.71428571</v>
      </c>
      <c r="V259" s="47">
        <f>IFERROR(__xludf.DUMMYFUNCTION("""COMPUTED_VALUE"""),0.6)</f>
        <v>0.6</v>
      </c>
      <c r="W259" s="46">
        <f>IFERROR(__xludf.DUMMYFUNCTION("""COMPUTED_VALUE"""),-1.340908205999559)</f>
        <v>-1.340908206</v>
      </c>
      <c r="X259" s="46">
        <f>IFERROR(__xludf.DUMMYFUNCTION("""COMPUTED_VALUE"""),-0.12544463118008137)</f>
        <v>-0.1254446312</v>
      </c>
      <c r="Y259" s="46">
        <f>IFERROR(__xludf.DUMMYFUNCTION("""COMPUTED_VALUE"""),-1.6288480404563284)</f>
        <v>-1.62884804</v>
      </c>
      <c r="Z259" s="46">
        <f>IFERROR(__xludf.DUMMYFUNCTION("""COMPUTED_VALUE"""),-1.3995075164359327)</f>
        <v>-1.399507516</v>
      </c>
      <c r="AA259" s="46">
        <f>IFERROR(__xludf.DUMMYFUNCTION("""COMPUTED_VALUE"""),-0.860570275155411)</f>
        <v>-0.8605702752</v>
      </c>
      <c r="AB259" s="46">
        <f>IFERROR(__xludf.DUMMYFUNCTION("""COMPUTED_VALUE"""),-0.6583300762210907)</f>
        <v>-0.6583300762</v>
      </c>
      <c r="AC259" s="46">
        <f>IFERROR(__xludf.DUMMYFUNCTION("""COMPUTED_VALUE"""),-0.26837360128652826)</f>
        <v>-0.2683736013</v>
      </c>
      <c r="AD259" s="46">
        <f>IFERROR(__xludf.DUMMYFUNCTION("""COMPUTED_VALUE"""),0.11735132769346612)</f>
        <v>0.1173513277</v>
      </c>
      <c r="AE259" s="46">
        <f>IFERROR(__xludf.DUMMYFUNCTION("""COMPUTED_VALUE"""),0.43299176505743303)</f>
        <v>0.4329917651</v>
      </c>
    </row>
    <row r="260">
      <c r="A260" s="6" t="str">
        <f>IF(VLOOKUP(H260,'Paste #BBall'!$B$2:$N1001,3,)="BRO","BKN",IF(VLOOKUP(H260,'Paste #BBall'!$B$2:$N1001,3,)="OKL","OKC",VLOOKUP(H260,'Paste #BBall'!$B$2:$N1001,3,)))</f>
        <v>TOR</v>
      </c>
      <c r="B260" s="42">
        <f>VLOOKUP($A260,Schedule!$C$2:$G$31,2,0)</f>
        <v>3</v>
      </c>
      <c r="C260" s="42">
        <f>VLOOKUP($A260,Schedule!$C$2:$G$31,3,0)</f>
        <v>4</v>
      </c>
      <c r="D260" s="42">
        <f>VLOOKUP($A260,Schedule!$C$2:$G$31,4,0)</f>
        <v>3</v>
      </c>
      <c r="E260" s="42">
        <f t="shared" si="1"/>
        <v>10</v>
      </c>
      <c r="F260" s="6">
        <v>254.0</v>
      </c>
      <c r="G260" s="45">
        <f>IFERROR(__xludf.DUMMYFUNCTION("""COMPUTED_VALUE"""),256.0)</f>
        <v>256</v>
      </c>
      <c r="H260" s="45" t="str">
        <f>IFERROR(__xludf.DUMMYFUNCTION("""COMPUTED_VALUE"""),"Gradey Dick")</f>
        <v>Gradey Dick</v>
      </c>
      <c r="I260" s="45">
        <f>IFERROR(__xludf.DUMMYFUNCTION("""COMPUTED_VALUE"""),72.0)</f>
        <v>72</v>
      </c>
      <c r="J260" s="46" t="str">
        <f>IFERROR(__xludf.DUMMYFUNCTION("""COMPUTED_VALUE"""),"SG")</f>
        <v>SG</v>
      </c>
      <c r="K260" s="46">
        <f>IFERROR(__xludf.DUMMYFUNCTION("""COMPUTED_VALUE"""),-6.754111417793734)</f>
        <v>-6.754111418</v>
      </c>
      <c r="L260" s="47">
        <f>IFERROR(__xludf.DUMMYFUNCTION("""COMPUTED_VALUE"""),-4.123807797036139)</f>
        <v>-4.123807797</v>
      </c>
      <c r="M260" s="47">
        <f>IFERROR(__xludf.DUMMYFUNCTION("""COMPUTED_VALUE"""),2.630303620757595)</f>
        <v>2.630303621</v>
      </c>
      <c r="N260" s="47">
        <f>IFERROR(__xludf.DUMMYFUNCTION("""COMPUTED_VALUE"""),8.5)</f>
        <v>8.5</v>
      </c>
      <c r="O260" s="47">
        <f>IFERROR(__xludf.DUMMYFUNCTION("""COMPUTED_VALUE"""),2.0)</f>
        <v>2</v>
      </c>
      <c r="P260" s="47">
        <f>IFERROR(__xludf.DUMMYFUNCTION("""COMPUTED_VALUE"""),2.2)</f>
        <v>2.2</v>
      </c>
      <c r="Q260" s="48">
        <f>IFERROR(__xludf.DUMMYFUNCTION("""COMPUTED_VALUE"""),1.2)</f>
        <v>1.2</v>
      </c>
      <c r="R260" s="47">
        <f>IFERROR(__xludf.DUMMYFUNCTION("""COMPUTED_VALUE"""),0.6)</f>
        <v>0.6</v>
      </c>
      <c r="S260" s="47">
        <f>IFERROR(__xludf.DUMMYFUNCTION("""COMPUTED_VALUE"""),0.1)</f>
        <v>0.1</v>
      </c>
      <c r="T260" s="47">
        <f>IFERROR(__xludf.DUMMYFUNCTION("""COMPUTED_VALUE"""),40.909090909090914)</f>
        <v>40.90909091</v>
      </c>
      <c r="U260" s="47">
        <f>IFERROR(__xludf.DUMMYFUNCTION("""COMPUTED_VALUE"""),84.61538461538461)</f>
        <v>84.61538462</v>
      </c>
      <c r="V260" s="47">
        <f>IFERROR(__xludf.DUMMYFUNCTION("""COMPUTED_VALUE"""),0.6)</f>
        <v>0.6</v>
      </c>
      <c r="W260" s="46">
        <f>IFERROR(__xludf.DUMMYFUNCTION("""COMPUTED_VALUE"""),-1.4757293075663351)</f>
        <v>-1.475729308</v>
      </c>
      <c r="X260" s="46">
        <f>IFERROR(__xludf.DUMMYFUNCTION("""COMPUTED_VALUE"""),0.30811976229946575)</f>
        <v>0.3081197623</v>
      </c>
      <c r="Y260" s="46">
        <f>IFERROR(__xludf.DUMMYFUNCTION("""COMPUTED_VALUE"""),-1.6288480404563284)</f>
        <v>-1.62884804</v>
      </c>
      <c r="Z260" s="46">
        <f>IFERROR(__xludf.DUMMYFUNCTION("""COMPUTED_VALUE"""),-1.3485050559244194)</f>
        <v>-1.348505056</v>
      </c>
      <c r="AA260" s="46">
        <f>IFERROR(__xludf.DUMMYFUNCTION("""COMPUTED_VALUE"""),-0.860570275155411)</f>
        <v>-0.8605702752</v>
      </c>
      <c r="AB260" s="46">
        <f>IFERROR(__xludf.DUMMYFUNCTION("""COMPUTED_VALUE"""),-0.7896459158928509)</f>
        <v>-0.7896459159</v>
      </c>
      <c r="AC260" s="46">
        <f>IFERROR(__xludf.DUMMYFUNCTION("""COMPUTED_VALUE"""),-0.5728463265898072)</f>
        <v>-0.5728463266</v>
      </c>
      <c r="AD260" s="46">
        <f>IFERROR(__xludf.DUMMYFUNCTION("""COMPUTED_VALUE"""),0.18237755673578657)</f>
        <v>0.1823775567</v>
      </c>
      <c r="AE260" s="46">
        <f>IFERROR(__xludf.DUMMYFUNCTION("""COMPUTED_VALUE"""),0.43299176505743303)</f>
        <v>0.4329917651</v>
      </c>
    </row>
    <row r="261">
      <c r="A261" s="6" t="str">
        <f>IF(VLOOKUP(H261,'Paste #BBall'!$B$2:$N1001,3,)="BRO","BKN",IF(VLOOKUP(H261,'Paste #BBall'!$B$2:$N1001,3,)="OKL","OKC",VLOOKUP(H261,'Paste #BBall'!$B$2:$N1001,3,)))</f>
        <v>MIN</v>
      </c>
      <c r="B261" s="42">
        <f>VLOOKUP($A261,Schedule!$C$2:$G$31,2,0)</f>
        <v>4</v>
      </c>
      <c r="C261" s="42">
        <f>VLOOKUP($A261,Schedule!$C$2:$G$31,3,0)</f>
        <v>2</v>
      </c>
      <c r="D261" s="42">
        <f>VLOOKUP($A261,Schedule!$C$2:$G$31,4,0)</f>
        <v>4</v>
      </c>
      <c r="E261" s="42">
        <f t="shared" si="1"/>
        <v>10</v>
      </c>
      <c r="F261" s="6">
        <v>255.0</v>
      </c>
      <c r="G261" s="45">
        <f>IFERROR(__xludf.DUMMYFUNCTION("""COMPUTED_VALUE"""),237.0)</f>
        <v>237</v>
      </c>
      <c r="H261" s="45" t="str">
        <f>IFERROR(__xludf.DUMMYFUNCTION("""COMPUTED_VALUE"""),"Nickeil Alexander-Walker")</f>
        <v>Nickeil Alexander-Walker</v>
      </c>
      <c r="I261" s="45">
        <f>IFERROR(__xludf.DUMMYFUNCTION("""COMPUTED_VALUE"""),67.0)</f>
        <v>67</v>
      </c>
      <c r="J261" s="46" t="str">
        <f>IFERROR(__xludf.DUMMYFUNCTION("""COMPUTED_VALUE"""),"SG,SF")</f>
        <v>SG,SF</v>
      </c>
      <c r="K261" s="46">
        <f>IFERROR(__xludf.DUMMYFUNCTION("""COMPUTED_VALUE"""),-6.3222319354296355)</f>
        <v>-6.322231935</v>
      </c>
      <c r="L261" s="47">
        <f>IFERROR(__xludf.DUMMYFUNCTION("""COMPUTED_VALUE"""),-4.129912224188893)</f>
        <v>-4.129912224</v>
      </c>
      <c r="M261" s="47">
        <f>IFERROR(__xludf.DUMMYFUNCTION("""COMPUTED_VALUE"""),2.192319711240742)</f>
        <v>2.192319711</v>
      </c>
      <c r="N261" s="47">
        <f>IFERROR(__xludf.DUMMYFUNCTION("""COMPUTED_VALUE"""),9.6)</f>
        <v>9.6</v>
      </c>
      <c r="O261" s="47">
        <f>IFERROR(__xludf.DUMMYFUNCTION("""COMPUTED_VALUE"""),1.5)</f>
        <v>1.5</v>
      </c>
      <c r="P261" s="47">
        <f>IFERROR(__xludf.DUMMYFUNCTION("""COMPUTED_VALUE"""),2.6)</f>
        <v>2.6</v>
      </c>
      <c r="Q261" s="48">
        <f>IFERROR(__xludf.DUMMYFUNCTION("""COMPUTED_VALUE"""),2.4)</f>
        <v>2.4</v>
      </c>
      <c r="R261" s="47">
        <f>IFERROR(__xludf.DUMMYFUNCTION("""COMPUTED_VALUE"""),0.7)</f>
        <v>0.7</v>
      </c>
      <c r="S261" s="47">
        <f>IFERROR(__xludf.DUMMYFUNCTION("""COMPUTED_VALUE"""),0.4)</f>
        <v>0.4</v>
      </c>
      <c r="T261" s="47">
        <f>IFERROR(__xludf.DUMMYFUNCTION("""COMPUTED_VALUE"""),39.32584269662921)</f>
        <v>39.3258427</v>
      </c>
      <c r="U261" s="47">
        <f>IFERROR(__xludf.DUMMYFUNCTION("""COMPUTED_VALUE"""),73.33333333333334)</f>
        <v>73.33333333</v>
      </c>
      <c r="V261" s="47">
        <f>IFERROR(__xludf.DUMMYFUNCTION("""COMPUTED_VALUE"""),1.4)</f>
        <v>1.4</v>
      </c>
      <c r="W261" s="46">
        <f>IFERROR(__xludf.DUMMYFUNCTION("""COMPUTED_VALUE"""),-1.2903502929120183)</f>
        <v>-1.290350293</v>
      </c>
      <c r="X261" s="46">
        <f>IFERROR(__xludf.DUMMYFUNCTION("""COMPUTED_VALUE"""),-0.12544463118008137)</f>
        <v>-0.1254446312</v>
      </c>
      <c r="Y261" s="46">
        <f>IFERROR(__xludf.DUMMYFUNCTION("""COMPUTED_VALUE"""),-1.461586561032437)</f>
        <v>-1.461586561</v>
      </c>
      <c r="Z261" s="46">
        <f>IFERROR(__xludf.DUMMYFUNCTION("""COMPUTED_VALUE"""),-0.7364755297862564)</f>
        <v>-0.7364755298</v>
      </c>
      <c r="AA261" s="46">
        <f>IFERROR(__xludf.DUMMYFUNCTION("""COMPUTED_VALUE"""),-0.6425203743558983)</f>
        <v>-0.6425203744</v>
      </c>
      <c r="AB261" s="46">
        <f>IFERROR(__xludf.DUMMYFUNCTION("""COMPUTED_VALUE"""),-0.39569839687757064)</f>
        <v>-0.3956983969</v>
      </c>
      <c r="AC261" s="46">
        <f>IFERROR(__xludf.DUMMYFUNCTION("""COMPUTED_VALUE"""),-0.9132237551256356)</f>
        <v>-0.9132237551</v>
      </c>
      <c r="AD261" s="46">
        <f>IFERROR(__xludf.DUMMYFUNCTION("""COMPUTED_VALUE"""),-0.21082097169102695)</f>
        <v>-0.2108209717</v>
      </c>
      <c r="AE261" s="46">
        <f>IFERROR(__xludf.DUMMYFUNCTION("""COMPUTED_VALUE"""),0.18462172773959373)</f>
        <v>0.1846217277</v>
      </c>
    </row>
    <row r="262">
      <c r="A262" s="6" t="str">
        <f>IF(VLOOKUP(H262,'Paste #BBall'!$B$2:$N1001,3,)="BRO","BKN",IF(VLOOKUP(H262,'Paste #BBall'!$B$2:$N1001,3,)="OKL","OKC",VLOOKUP(H262,'Paste #BBall'!$B$2:$N1001,3,)))</f>
        <v>TOR</v>
      </c>
      <c r="B262" s="42">
        <f>VLOOKUP($A262,Schedule!$C$2:$G$31,2,0)</f>
        <v>3</v>
      </c>
      <c r="C262" s="42">
        <f>VLOOKUP($A262,Schedule!$C$2:$G$31,3,0)</f>
        <v>4</v>
      </c>
      <c r="D262" s="42">
        <f>VLOOKUP($A262,Schedule!$C$2:$G$31,4,0)</f>
        <v>3</v>
      </c>
      <c r="E262" s="42">
        <f t="shared" si="1"/>
        <v>10</v>
      </c>
      <c r="F262" s="6">
        <v>256.0</v>
      </c>
      <c r="G262" s="45">
        <f>IFERROR(__xludf.DUMMYFUNCTION("""COMPUTED_VALUE"""),253.0)</f>
        <v>253</v>
      </c>
      <c r="H262" s="45" t="str">
        <f>IFERROR(__xludf.DUMMYFUNCTION("""COMPUTED_VALUE"""),"Jalen McDaniels")</f>
        <v>Jalen McDaniels</v>
      </c>
      <c r="I262" s="45">
        <f>IFERROR(__xludf.DUMMYFUNCTION("""COMPUTED_VALUE"""),70.0)</f>
        <v>70</v>
      </c>
      <c r="J262" s="46" t="str">
        <f>IFERROR(__xludf.DUMMYFUNCTION("""COMPUTED_VALUE"""),"SF,PF")</f>
        <v>SF,PF</v>
      </c>
      <c r="K262" s="46">
        <f>IFERROR(__xludf.DUMMYFUNCTION("""COMPUTED_VALUE"""),-6.673281547439346)</f>
        <v>-6.673281547</v>
      </c>
      <c r="L262" s="47">
        <f>IFERROR(__xludf.DUMMYFUNCTION("""COMPUTED_VALUE"""),-4.158213511762094)</f>
        <v>-4.158213512</v>
      </c>
      <c r="M262" s="47">
        <f>IFERROR(__xludf.DUMMYFUNCTION("""COMPUTED_VALUE"""),2.5150680356772517)</f>
        <v>2.515068036</v>
      </c>
      <c r="N262" s="47">
        <f>IFERROR(__xludf.DUMMYFUNCTION("""COMPUTED_VALUE"""),7.1)</f>
        <v>7.1</v>
      </c>
      <c r="O262" s="47">
        <f>IFERROR(__xludf.DUMMYFUNCTION("""COMPUTED_VALUE"""),0.8)</f>
        <v>0.8</v>
      </c>
      <c r="P262" s="47">
        <f>IFERROR(__xludf.DUMMYFUNCTION("""COMPUTED_VALUE"""),3.3)</f>
        <v>3.3</v>
      </c>
      <c r="Q262" s="48">
        <f>IFERROR(__xludf.DUMMYFUNCTION("""COMPUTED_VALUE"""),1.2)</f>
        <v>1.2</v>
      </c>
      <c r="R262" s="47">
        <f>IFERROR(__xludf.DUMMYFUNCTION("""COMPUTED_VALUE"""),0.7)</f>
        <v>0.7</v>
      </c>
      <c r="S262" s="47">
        <f>IFERROR(__xludf.DUMMYFUNCTION("""COMPUTED_VALUE"""),0.4)</f>
        <v>0.4</v>
      </c>
      <c r="T262" s="47">
        <f>IFERROR(__xludf.DUMMYFUNCTION("""COMPUTED_VALUE"""),45.614035087719294)</f>
        <v>45.61403509</v>
      </c>
      <c r="U262" s="47">
        <f>IFERROR(__xludf.DUMMYFUNCTION("""COMPUTED_VALUE"""),78.57142857142858)</f>
        <v>78.57142857</v>
      </c>
      <c r="V262" s="47">
        <f>IFERROR(__xludf.DUMMYFUNCTION("""COMPUTED_VALUE"""),0.8)</f>
        <v>0.8</v>
      </c>
      <c r="W262" s="46">
        <f>IFERROR(__xludf.DUMMYFUNCTION("""COMPUTED_VALUE"""),-1.711666235308193)</f>
        <v>-1.711666235</v>
      </c>
      <c r="X262" s="46">
        <f>IFERROR(__xludf.DUMMYFUNCTION("""COMPUTED_VALUE"""),-0.7324347820514473)</f>
        <v>-0.7324347821</v>
      </c>
      <c r="Y262" s="46">
        <f>IFERROR(__xludf.DUMMYFUNCTION("""COMPUTED_VALUE"""),-1.1688789720406272)</f>
        <v>-1.168878972</v>
      </c>
      <c r="Z262" s="46">
        <f>IFERROR(__xludf.DUMMYFUNCTION("""COMPUTED_VALUE"""),-1.3485050559244194)</f>
        <v>-1.348505056</v>
      </c>
      <c r="AA262" s="46">
        <f>IFERROR(__xludf.DUMMYFUNCTION("""COMPUTED_VALUE"""),-0.6425203743558983)</f>
        <v>-0.6425203744</v>
      </c>
      <c r="AB262" s="46">
        <f>IFERROR(__xludf.DUMMYFUNCTION("""COMPUTED_VALUE"""),-0.39569839687757064)</f>
        <v>-0.3956983969</v>
      </c>
      <c r="AC262" s="46">
        <f>IFERROR(__xludf.DUMMYFUNCTION("""COMPUTED_VALUE"""),-0.22685347876248496)</f>
        <v>-0.2268534788</v>
      </c>
      <c r="AD262" s="46">
        <f>IFERROR(__xludf.DUMMYFUNCTION("""COMPUTED_VALUE"""),-0.014221707477619961)</f>
        <v>-0.01422170748</v>
      </c>
      <c r="AE262" s="46">
        <f>IFERROR(__xludf.DUMMYFUNCTION("""COMPUTED_VALUE"""),0.37089925572797316)</f>
        <v>0.3708992557</v>
      </c>
    </row>
    <row r="263">
      <c r="A263" s="6" t="str">
        <f>IF(VLOOKUP(H263,'Paste #BBall'!$B$2:$N1001,3,)="BRO","BKN",IF(VLOOKUP(H263,'Paste #BBall'!$B$2:$N1001,3,)="OKL","OKC",VLOOKUP(H263,'Paste #BBall'!$B$2:$N1001,3,)))</f>
        <v>MIN</v>
      </c>
      <c r="B263" s="42">
        <f>VLOOKUP($A263,Schedule!$C$2:$G$31,2,0)</f>
        <v>4</v>
      </c>
      <c r="C263" s="42">
        <f>VLOOKUP($A263,Schedule!$C$2:$G$31,3,0)</f>
        <v>2</v>
      </c>
      <c r="D263" s="42">
        <f>VLOOKUP($A263,Schedule!$C$2:$G$31,4,0)</f>
        <v>4</v>
      </c>
      <c r="E263" s="42">
        <f t="shared" si="1"/>
        <v>10</v>
      </c>
      <c r="F263" s="6">
        <v>257.0</v>
      </c>
      <c r="G263" s="45">
        <f>IFERROR(__xludf.DUMMYFUNCTION("""COMPUTED_VALUE"""),265.0)</f>
        <v>265</v>
      </c>
      <c r="H263" s="45" t="str">
        <f>IFERROR(__xludf.DUMMYFUNCTION("""COMPUTED_VALUE"""),"Troy Brown Jr.")</f>
        <v>Troy Brown Jr.</v>
      </c>
      <c r="I263" s="45">
        <f>IFERROR(__xludf.DUMMYFUNCTION("""COMPUTED_VALUE"""),60.0)</f>
        <v>60</v>
      </c>
      <c r="J263" s="46" t="str">
        <f>IFERROR(__xludf.DUMMYFUNCTION("""COMPUTED_VALUE"""),"SF,PF")</f>
        <v>SF,PF</v>
      </c>
      <c r="K263" s="46">
        <f>IFERROR(__xludf.DUMMYFUNCTION("""COMPUTED_VALUE"""),-7.094042427942186)</f>
        <v>-7.094042428</v>
      </c>
      <c r="L263" s="47">
        <f>IFERROR(__xludf.DUMMYFUNCTION("""COMPUTED_VALUE"""),-4.160654137984073)</f>
        <v>-4.160654138</v>
      </c>
      <c r="M263" s="47">
        <f>IFERROR(__xludf.DUMMYFUNCTION("""COMPUTED_VALUE"""),2.9333882899581125)</f>
        <v>2.93338829</v>
      </c>
      <c r="N263" s="47">
        <f>IFERROR(__xludf.DUMMYFUNCTION("""COMPUTED_VALUE"""),5.7)</f>
        <v>5.7</v>
      </c>
      <c r="O263" s="47">
        <f>IFERROR(__xludf.DUMMYFUNCTION("""COMPUTED_VALUE"""),1.1)</f>
        <v>1.1</v>
      </c>
      <c r="P263" s="47">
        <f>IFERROR(__xludf.DUMMYFUNCTION("""COMPUTED_VALUE"""),3.5)</f>
        <v>3.5</v>
      </c>
      <c r="Q263" s="48">
        <f>IFERROR(__xludf.DUMMYFUNCTION("""COMPUTED_VALUE"""),1.1)</f>
        <v>1.1</v>
      </c>
      <c r="R263" s="47">
        <f>IFERROR(__xludf.DUMMYFUNCTION("""COMPUTED_VALUE"""),0.7)</f>
        <v>0.7</v>
      </c>
      <c r="S263" s="47">
        <f>IFERROR(__xludf.DUMMYFUNCTION("""COMPUTED_VALUE"""),0.2)</f>
        <v>0.2</v>
      </c>
      <c r="T263" s="47">
        <f>IFERROR(__xludf.DUMMYFUNCTION("""COMPUTED_VALUE"""),42.00000000000001)</f>
        <v>42</v>
      </c>
      <c r="U263" s="47">
        <f>IFERROR(__xludf.DUMMYFUNCTION("""COMPUTED_VALUE"""),80.0)</f>
        <v>80</v>
      </c>
      <c r="V263" s="47">
        <f>IFERROR(__xludf.DUMMYFUNCTION("""COMPUTED_VALUE"""),0.5)</f>
        <v>0.5</v>
      </c>
      <c r="W263" s="46">
        <f>IFERROR(__xludf.DUMMYFUNCTION("""COMPUTED_VALUE"""),-1.947603163050051)</f>
        <v>-1.947603163</v>
      </c>
      <c r="X263" s="46">
        <f>IFERROR(__xludf.DUMMYFUNCTION("""COMPUTED_VALUE"""),-0.472296145963719)</f>
        <v>-0.472296146</v>
      </c>
      <c r="Y263" s="46">
        <f>IFERROR(__xludf.DUMMYFUNCTION("""COMPUTED_VALUE"""),-1.0852482323286814)</f>
        <v>-1.085248232</v>
      </c>
      <c r="Z263" s="46">
        <f>IFERROR(__xludf.DUMMYFUNCTION("""COMPUTED_VALUE"""),-1.3995075164359327)</f>
        <v>-1.399507516</v>
      </c>
      <c r="AA263" s="46">
        <f>IFERROR(__xludf.DUMMYFUNCTION("""COMPUTED_VALUE"""),-0.6425203743558983)</f>
        <v>-0.6425203744</v>
      </c>
      <c r="AB263" s="46">
        <f>IFERROR(__xludf.DUMMYFUNCTION("""COMPUTED_VALUE"""),-0.6583300762210907)</f>
        <v>-0.6583300762</v>
      </c>
      <c r="AC263" s="46">
        <f>IFERROR(__xludf.DUMMYFUNCTION("""COMPUTED_VALUE"""),-0.3794909427920879)</f>
        <v>-0.3794909428</v>
      </c>
      <c r="AD263" s="46">
        <f>IFERROR(__xludf.DUMMYFUNCTION("""COMPUTED_VALUE"""),0.01270113039117512)</f>
        <v>0.01270113039</v>
      </c>
      <c r="AE263" s="46">
        <f>IFERROR(__xludf.DUMMYFUNCTION("""COMPUTED_VALUE"""),0.4640380197221629)</f>
        <v>0.4640380197</v>
      </c>
    </row>
    <row r="264">
      <c r="A264" s="6" t="str">
        <f>IF(VLOOKUP(H264,'Paste #BBall'!$B$2:$N1001,3,)="BRO","BKN",IF(VLOOKUP(H264,'Paste #BBall'!$B$2:$N1001,3,)="OKL","OKC",VLOOKUP(H264,'Paste #BBall'!$B$2:$N1001,3,)))</f>
        <v>ORL</v>
      </c>
      <c r="B264" s="42">
        <f>VLOOKUP($A264,Schedule!$C$2:$G$31,2,0)</f>
        <v>4</v>
      </c>
      <c r="C264" s="42">
        <f>VLOOKUP($A264,Schedule!$C$2:$G$31,3,0)</f>
        <v>3</v>
      </c>
      <c r="D264" s="42">
        <f>VLOOKUP($A264,Schedule!$C$2:$G$31,4,0)</f>
        <v>3</v>
      </c>
      <c r="E264" s="42">
        <f t="shared" si="1"/>
        <v>10</v>
      </c>
      <c r="F264" s="6">
        <v>258.0</v>
      </c>
      <c r="G264" s="45">
        <f>IFERROR(__xludf.DUMMYFUNCTION("""COMPUTED_VALUE"""),260.0)</f>
        <v>260</v>
      </c>
      <c r="H264" s="45" t="str">
        <f>IFERROR(__xludf.DUMMYFUNCTION("""COMPUTED_VALUE"""),"Jett Howard")</f>
        <v>Jett Howard</v>
      </c>
      <c r="I264" s="45">
        <f>IFERROR(__xludf.DUMMYFUNCTION("""COMPUTED_VALUE"""),60.0)</f>
        <v>60</v>
      </c>
      <c r="J264" s="46" t="str">
        <f>IFERROR(__xludf.DUMMYFUNCTION("""COMPUTED_VALUE"""),"SG,SF")</f>
        <v>SG,SF</v>
      </c>
      <c r="K264" s="46">
        <f>IFERROR(__xludf.DUMMYFUNCTION("""COMPUTED_VALUE"""),-6.924060701748349)</f>
        <v>-6.924060702</v>
      </c>
      <c r="L264" s="47">
        <f>IFERROR(__xludf.DUMMYFUNCTION("""COMPUTED_VALUE"""),-4.2192409212151745)</f>
        <v>-4.219240921</v>
      </c>
      <c r="M264" s="47">
        <f>IFERROR(__xludf.DUMMYFUNCTION("""COMPUTED_VALUE"""),2.7048197805331746)</f>
        <v>2.704819781</v>
      </c>
      <c r="N264" s="47">
        <f>IFERROR(__xludf.DUMMYFUNCTION("""COMPUTED_VALUE"""),8.0)</f>
        <v>8</v>
      </c>
      <c r="O264" s="47">
        <f>IFERROR(__xludf.DUMMYFUNCTION("""COMPUTED_VALUE"""),1.9)</f>
        <v>1.9</v>
      </c>
      <c r="P264" s="47">
        <f>IFERROR(__xludf.DUMMYFUNCTION("""COMPUTED_VALUE"""),2.1)</f>
        <v>2.1</v>
      </c>
      <c r="Q264" s="48">
        <f>IFERROR(__xludf.DUMMYFUNCTION("""COMPUTED_VALUE"""),1.1)</f>
        <v>1.1</v>
      </c>
      <c r="R264" s="47">
        <f>IFERROR(__xludf.DUMMYFUNCTION("""COMPUTED_VALUE"""),0.6)</f>
        <v>0.6</v>
      </c>
      <c r="S264" s="47">
        <f>IFERROR(__xludf.DUMMYFUNCTION("""COMPUTED_VALUE"""),0.1)</f>
        <v>0.1</v>
      </c>
      <c r="T264" s="47">
        <f>IFERROR(__xludf.DUMMYFUNCTION("""COMPUTED_VALUE"""),42.622950819672134)</f>
        <v>42.62295082</v>
      </c>
      <c r="U264" s="47">
        <f>IFERROR(__xludf.DUMMYFUNCTION("""COMPUTED_VALUE"""),83.33333333333334)</f>
        <v>83.33333333</v>
      </c>
      <c r="V264" s="47">
        <f>IFERROR(__xludf.DUMMYFUNCTION("""COMPUTED_VALUE"""),0.5)</f>
        <v>0.5</v>
      </c>
      <c r="W264" s="46">
        <f>IFERROR(__xludf.DUMMYFUNCTION("""COMPUTED_VALUE"""),-1.55999249604557)</f>
        <v>-1.559992496</v>
      </c>
      <c r="X264" s="46">
        <f>IFERROR(__xludf.DUMMYFUNCTION("""COMPUTED_VALUE"""),0.2214068836035562)</f>
        <v>0.2214068836</v>
      </c>
      <c r="Y264" s="46">
        <f>IFERROR(__xludf.DUMMYFUNCTION("""COMPUTED_VALUE"""),-1.6706634103123013)</f>
        <v>-1.67066341</v>
      </c>
      <c r="Z264" s="46">
        <f>IFERROR(__xludf.DUMMYFUNCTION("""COMPUTED_VALUE"""),-1.3995075164359327)</f>
        <v>-1.399507516</v>
      </c>
      <c r="AA264" s="46">
        <f>IFERROR(__xludf.DUMMYFUNCTION("""COMPUTED_VALUE"""),-0.860570275155411)</f>
        <v>-0.8605702752</v>
      </c>
      <c r="AB264" s="46">
        <f>IFERROR(__xludf.DUMMYFUNCTION("""COMPUTED_VALUE"""),-0.7896459158928509)</f>
        <v>-0.7896459159</v>
      </c>
      <c r="AC264" s="46">
        <f>IFERROR(__xludf.DUMMYFUNCTION("""COMPUTED_VALUE"""),-0.42502207909577044)</f>
        <v>-0.4250220791</v>
      </c>
      <c r="AD264" s="46">
        <f>IFERROR(__xludf.DUMMYFUNCTION("""COMPUTED_VALUE"""),0.1300524580846412)</f>
        <v>0.1300524581</v>
      </c>
      <c r="AE264" s="46">
        <f>IFERROR(__xludf.DUMMYFUNCTION("""COMPUTED_VALUE"""),0.4640380197221629)</f>
        <v>0.4640380197</v>
      </c>
    </row>
    <row r="265">
      <c r="A265" s="6" t="str">
        <f>IF(VLOOKUP(H265,'Paste #BBall'!$B$2:$N1001,3,)="BRO","BKN",IF(VLOOKUP(H265,'Paste #BBall'!$B$2:$N1001,3,)="OKL","OKC",VLOOKUP(H265,'Paste #BBall'!$B$2:$N1001,3,)))</f>
        <v>NO</v>
      </c>
      <c r="B265" s="42">
        <f>VLOOKUP($A265,Schedule!$C$2:$G$31,2,0)</f>
        <v>3</v>
      </c>
      <c r="C265" s="42">
        <f>VLOOKUP($A265,Schedule!$C$2:$G$31,3,0)</f>
        <v>3</v>
      </c>
      <c r="D265" s="42">
        <f>VLOOKUP($A265,Schedule!$C$2:$G$31,4,0)</f>
        <v>4</v>
      </c>
      <c r="E265" s="42">
        <f t="shared" si="1"/>
        <v>10</v>
      </c>
      <c r="F265" s="6">
        <v>259.0</v>
      </c>
      <c r="G265" s="45">
        <f>IFERROR(__xludf.DUMMYFUNCTION("""COMPUTED_VALUE"""),250.0)</f>
        <v>250</v>
      </c>
      <c r="H265" s="45" t="str">
        <f>IFERROR(__xludf.DUMMYFUNCTION("""COMPUTED_VALUE"""),"Naji Marshall")</f>
        <v>Naji Marshall</v>
      </c>
      <c r="I265" s="45">
        <f>IFERROR(__xludf.DUMMYFUNCTION("""COMPUTED_VALUE"""),72.0)</f>
        <v>72</v>
      </c>
      <c r="J265" s="46" t="str">
        <f>IFERROR(__xludf.DUMMYFUNCTION("""COMPUTED_VALUE"""),"SG,SF")</f>
        <v>SG,SF</v>
      </c>
      <c r="K265" s="46">
        <f>IFERROR(__xludf.DUMMYFUNCTION("""COMPUTED_VALUE"""),-6.6343727363303575)</f>
        <v>-6.634372736</v>
      </c>
      <c r="L265" s="47">
        <f>IFERROR(__xludf.DUMMYFUNCTION("""COMPUTED_VALUE"""),-4.229272444219671)</f>
        <v>-4.229272444</v>
      </c>
      <c r="M265" s="47">
        <f>IFERROR(__xludf.DUMMYFUNCTION("""COMPUTED_VALUE"""),2.4051002921106868)</f>
        <v>2.405100292</v>
      </c>
      <c r="N265" s="47">
        <f>IFERROR(__xludf.DUMMYFUNCTION("""COMPUTED_VALUE"""),8.1)</f>
        <v>8.1</v>
      </c>
      <c r="O265" s="47">
        <f>IFERROR(__xludf.DUMMYFUNCTION("""COMPUTED_VALUE"""),0.7)</f>
        <v>0.7</v>
      </c>
      <c r="P265" s="47">
        <f>IFERROR(__xludf.DUMMYFUNCTION("""COMPUTED_VALUE"""),3.4)</f>
        <v>3.4</v>
      </c>
      <c r="Q265" s="48">
        <f>IFERROR(__xludf.DUMMYFUNCTION("""COMPUTED_VALUE"""),2.0)</f>
        <v>2</v>
      </c>
      <c r="R265" s="47">
        <f>IFERROR(__xludf.DUMMYFUNCTION("""COMPUTED_VALUE"""),0.7)</f>
        <v>0.7</v>
      </c>
      <c r="S265" s="47">
        <f>IFERROR(__xludf.DUMMYFUNCTION("""COMPUTED_VALUE"""),0.2)</f>
        <v>0.2</v>
      </c>
      <c r="T265" s="47">
        <f>IFERROR(__xludf.DUMMYFUNCTION("""COMPUTED_VALUE"""),43.28358208955223)</f>
        <v>43.28358209</v>
      </c>
      <c r="U265" s="47">
        <f>IFERROR(__xludf.DUMMYFUNCTION("""COMPUTED_VALUE"""),80.95238095238095)</f>
        <v>80.95238095</v>
      </c>
      <c r="V265" s="47">
        <f>IFERROR(__xludf.DUMMYFUNCTION("""COMPUTED_VALUE"""),1.1)</f>
        <v>1.1</v>
      </c>
      <c r="W265" s="46">
        <f>IFERROR(__xludf.DUMMYFUNCTION("""COMPUTED_VALUE"""),-1.5431398583497231)</f>
        <v>-1.543139858</v>
      </c>
      <c r="X265" s="46">
        <f>IFERROR(__xludf.DUMMYFUNCTION("""COMPUTED_VALUE"""),-0.8191476607473568)</f>
        <v>-0.8191476607</v>
      </c>
      <c r="Y265" s="46">
        <f>IFERROR(__xludf.DUMMYFUNCTION("""COMPUTED_VALUE"""),-1.1270636021846543)</f>
        <v>-1.127063602</v>
      </c>
      <c r="Z265" s="46">
        <f>IFERROR(__xludf.DUMMYFUNCTION("""COMPUTED_VALUE"""),-0.9404853718323106)</f>
        <v>-0.9404853718</v>
      </c>
      <c r="AA265" s="46">
        <f>IFERROR(__xludf.DUMMYFUNCTION("""COMPUTED_VALUE"""),-0.6425203743558983)</f>
        <v>-0.6425203744</v>
      </c>
      <c r="AB265" s="46">
        <f>IFERROR(__xludf.DUMMYFUNCTION("""COMPUTED_VALUE"""),-0.6583300762210907)</f>
        <v>-0.6583300762</v>
      </c>
      <c r="AC265" s="46">
        <f>IFERROR(__xludf.DUMMYFUNCTION("""COMPUTED_VALUE"""),-0.42261547082798756)</f>
        <v>-0.4226154708</v>
      </c>
      <c r="AD265" s="46">
        <f>IFERROR(__xludf.DUMMYFUNCTION("""COMPUTED_VALUE"""),0.10312962021584522)</f>
        <v>0.1031296202</v>
      </c>
      <c r="AE265" s="46">
        <f>IFERROR(__xludf.DUMMYFUNCTION("""COMPUTED_VALUE"""),0.2777604917337834)</f>
        <v>0.2777604917</v>
      </c>
    </row>
    <row r="266">
      <c r="A266" s="6" t="str">
        <f>IF(VLOOKUP(H266,'Paste #BBall'!$B$2:$N1001,3,)="BRO","BKN",IF(VLOOKUP(H266,'Paste #BBall'!$B$2:$N1001,3,)="OKL","OKC",VLOOKUP(H266,'Paste #BBall'!$B$2:$N1001,3,)))</f>
        <v>PHO</v>
      </c>
      <c r="B266" s="42">
        <f>VLOOKUP($A266,Schedule!$C$2:$G$31,2,0)</f>
        <v>3</v>
      </c>
      <c r="C266" s="42">
        <f>VLOOKUP($A266,Schedule!$C$2:$G$31,3,0)</f>
        <v>4</v>
      </c>
      <c r="D266" s="42">
        <f>VLOOKUP($A266,Schedule!$C$2:$G$31,4,0)</f>
        <v>3</v>
      </c>
      <c r="E266" s="42">
        <f t="shared" si="1"/>
        <v>10</v>
      </c>
      <c r="F266" s="6">
        <v>260.0</v>
      </c>
      <c r="G266" s="45">
        <f>IFERROR(__xludf.DUMMYFUNCTION("""COMPUTED_VALUE"""),257.0)</f>
        <v>257</v>
      </c>
      <c r="H266" s="45" t="str">
        <f>IFERROR(__xludf.DUMMYFUNCTION("""COMPUTED_VALUE"""),"Damion Lee")</f>
        <v>Damion Lee</v>
      </c>
      <c r="I266" s="45">
        <f>IFERROR(__xludf.DUMMYFUNCTION("""COMPUTED_VALUE"""),69.0)</f>
        <v>69</v>
      </c>
      <c r="J266" s="46" t="str">
        <f>IFERROR(__xludf.DUMMYFUNCTION("""COMPUTED_VALUE"""),"SG,SF")</f>
        <v>SG,SF</v>
      </c>
      <c r="K266" s="46">
        <f>IFERROR(__xludf.DUMMYFUNCTION("""COMPUTED_VALUE"""),-6.763826476434801)</f>
        <v>-6.763826476</v>
      </c>
      <c r="L266" s="47">
        <f>IFERROR(__xludf.DUMMYFUNCTION("""COMPUTED_VALUE"""),-4.229972180911063)</f>
        <v>-4.229972181</v>
      </c>
      <c r="M266" s="47">
        <f>IFERROR(__xludf.DUMMYFUNCTION("""COMPUTED_VALUE"""),2.5338542955237378)</f>
        <v>2.533854296</v>
      </c>
      <c r="N266" s="47">
        <f>IFERROR(__xludf.DUMMYFUNCTION("""COMPUTED_VALUE"""),8.0)</f>
        <v>8</v>
      </c>
      <c r="O266" s="47">
        <f>IFERROR(__xludf.DUMMYFUNCTION("""COMPUTED_VALUE"""),1.3)</f>
        <v>1.3</v>
      </c>
      <c r="P266" s="47">
        <f>IFERROR(__xludf.DUMMYFUNCTION("""COMPUTED_VALUE"""),3.2)</f>
        <v>3.2</v>
      </c>
      <c r="Q266" s="48">
        <f>IFERROR(__xludf.DUMMYFUNCTION("""COMPUTED_VALUE"""),1.2)</f>
        <v>1.2</v>
      </c>
      <c r="R266" s="47">
        <f>IFERROR(__xludf.DUMMYFUNCTION("""COMPUTED_VALUE"""),0.5)</f>
        <v>0.5</v>
      </c>
      <c r="S266" s="47">
        <f>IFERROR(__xludf.DUMMYFUNCTION("""COMPUTED_VALUE"""),0.1)</f>
        <v>0.1</v>
      </c>
      <c r="T266" s="47">
        <f>IFERROR(__xludf.DUMMYFUNCTION("""COMPUTED_VALUE"""),45.16129032258064)</f>
        <v>45.16129032</v>
      </c>
      <c r="U266" s="47">
        <f>IFERROR(__xludf.DUMMYFUNCTION("""COMPUTED_VALUE"""),92.3076923076923)</f>
        <v>92.30769231</v>
      </c>
      <c r="V266" s="47">
        <f>IFERROR(__xludf.DUMMYFUNCTION("""COMPUTED_VALUE"""),0.9)</f>
        <v>0.9</v>
      </c>
      <c r="W266" s="46">
        <f>IFERROR(__xludf.DUMMYFUNCTION("""COMPUTED_VALUE"""),-1.55999249604557)</f>
        <v>-1.559992496</v>
      </c>
      <c r="X266" s="46">
        <f>IFERROR(__xludf.DUMMYFUNCTION("""COMPUTED_VALUE"""),-0.2988703885719002)</f>
        <v>-0.2988703886</v>
      </c>
      <c r="Y266" s="46">
        <f>IFERROR(__xludf.DUMMYFUNCTION("""COMPUTED_VALUE"""),-1.2106943418965999)</f>
        <v>-1.210694342</v>
      </c>
      <c r="Z266" s="46">
        <f>IFERROR(__xludf.DUMMYFUNCTION("""COMPUTED_VALUE"""),-1.3485050559244194)</f>
        <v>-1.348505056</v>
      </c>
      <c r="AA266" s="46">
        <f>IFERROR(__xludf.DUMMYFUNCTION("""COMPUTED_VALUE"""),-1.0786201759549239)</f>
        <v>-1.078620176</v>
      </c>
      <c r="AB266" s="46">
        <f>IFERROR(__xludf.DUMMYFUNCTION("""COMPUTED_VALUE"""),-0.7896459158928509)</f>
        <v>-0.7896459159</v>
      </c>
      <c r="AC266" s="46">
        <f>IFERROR(__xludf.DUMMYFUNCTION("""COMPUTED_VALUE"""),-0.2747912233339511)</f>
        <v>-0.2747912233</v>
      </c>
      <c r="AD266" s="46">
        <f>IFERROR(__xludf.DUMMYFUNCTION("""COMPUTED_VALUE"""),0.43130191960033876)</f>
        <v>0.4313019196</v>
      </c>
      <c r="AE266" s="46">
        <f>IFERROR(__xludf.DUMMYFUNCTION("""COMPUTED_VALUE"""),0.33985300106324323)</f>
        <v>0.3398530011</v>
      </c>
    </row>
    <row r="267">
      <c r="A267" s="6" t="str">
        <f>IF(VLOOKUP(H267,'Paste #BBall'!$B$2:$N1001,3,)="BRO","BKN",IF(VLOOKUP(H267,'Paste #BBall'!$B$2:$N1001,3,)="OKL","OKC",VLOOKUP(H267,'Paste #BBall'!$B$2:$N1001,3,)))</f>
        <v>SA</v>
      </c>
      <c r="B267" s="42">
        <f>VLOOKUP($A267,Schedule!$C$2:$G$31,2,0)</f>
        <v>3</v>
      </c>
      <c r="C267" s="42">
        <f>VLOOKUP($A267,Schedule!$C$2:$G$31,3,0)</f>
        <v>4</v>
      </c>
      <c r="D267" s="42">
        <f>VLOOKUP($A267,Schedule!$C$2:$G$31,4,0)</f>
        <v>3</v>
      </c>
      <c r="E267" s="42">
        <f t="shared" si="1"/>
        <v>10</v>
      </c>
      <c r="F267" s="6">
        <v>261.0</v>
      </c>
      <c r="G267" s="45">
        <f>IFERROR(__xludf.DUMMYFUNCTION("""COMPUTED_VALUE"""),261.0)</f>
        <v>261</v>
      </c>
      <c r="H267" s="45" t="str">
        <f>IFERROR(__xludf.DUMMYFUNCTION("""COMPUTED_VALUE"""),"Cameron Payne")</f>
        <v>Cameron Payne</v>
      </c>
      <c r="I267" s="45">
        <f>IFERROR(__xludf.DUMMYFUNCTION("""COMPUTED_VALUE"""),68.0)</f>
        <v>68</v>
      </c>
      <c r="J267" s="46" t="str">
        <f>IFERROR(__xludf.DUMMYFUNCTION("""COMPUTED_VALUE"""),"PG")</f>
        <v>PG</v>
      </c>
      <c r="K267" s="46">
        <f>IFERROR(__xludf.DUMMYFUNCTION("""COMPUTED_VALUE"""),-6.939270362876297)</f>
        <v>-6.939270363</v>
      </c>
      <c r="L267" s="47">
        <f>IFERROR(__xludf.DUMMYFUNCTION("""COMPUTED_VALUE"""),-4.2348657786506525)</f>
        <v>-4.234865779</v>
      </c>
      <c r="M267" s="47">
        <f>IFERROR(__xludf.DUMMYFUNCTION("""COMPUTED_VALUE"""),2.704404584225644)</f>
        <v>2.704404584</v>
      </c>
      <c r="N267" s="47">
        <f>IFERROR(__xludf.DUMMYFUNCTION("""COMPUTED_VALUE"""),8.3)</f>
        <v>8.3</v>
      </c>
      <c r="O267" s="47">
        <f>IFERROR(__xludf.DUMMYFUNCTION("""COMPUTED_VALUE"""),1.0)</f>
        <v>1</v>
      </c>
      <c r="P267" s="47">
        <f>IFERROR(__xludf.DUMMYFUNCTION("""COMPUTED_VALUE"""),2.1)</f>
        <v>2.1</v>
      </c>
      <c r="Q267" s="48">
        <f>IFERROR(__xludf.DUMMYFUNCTION("""COMPUTED_VALUE"""),3.7)</f>
        <v>3.7</v>
      </c>
      <c r="R267" s="47">
        <f>IFERROR(__xludf.DUMMYFUNCTION("""COMPUTED_VALUE"""),0.5)</f>
        <v>0.5</v>
      </c>
      <c r="S267" s="47">
        <f>IFERROR(__xludf.DUMMYFUNCTION("""COMPUTED_VALUE"""),0.2)</f>
        <v>0.2</v>
      </c>
      <c r="T267" s="47">
        <f>IFERROR(__xludf.DUMMYFUNCTION("""COMPUTED_VALUE"""),41.55844155844156)</f>
        <v>41.55844156</v>
      </c>
      <c r="U267" s="47">
        <f>IFERROR(__xludf.DUMMYFUNCTION("""COMPUTED_VALUE"""),81.81818181818181)</f>
        <v>81.81818182</v>
      </c>
      <c r="V267" s="47">
        <f>IFERROR(__xludf.DUMMYFUNCTION("""COMPUTED_VALUE"""),1.4)</f>
        <v>1.4</v>
      </c>
      <c r="W267" s="46">
        <f>IFERROR(__xludf.DUMMYFUNCTION("""COMPUTED_VALUE"""),-1.509434582958029)</f>
        <v>-1.509434583</v>
      </c>
      <c r="X267" s="46">
        <f>IFERROR(__xludf.DUMMYFUNCTION("""COMPUTED_VALUE"""),-0.5590090246596284)</f>
        <v>-0.5590090247</v>
      </c>
      <c r="Y267" s="46">
        <f>IFERROR(__xludf.DUMMYFUNCTION("""COMPUTED_VALUE"""),-1.6706634103123013)</f>
        <v>-1.67066341</v>
      </c>
      <c r="Z267" s="46">
        <f>IFERROR(__xludf.DUMMYFUNCTION("""COMPUTED_VALUE"""),-0.07344354313657983)</f>
        <v>-0.07344354314</v>
      </c>
      <c r="AA267" s="46">
        <f>IFERROR(__xludf.DUMMYFUNCTION("""COMPUTED_VALUE"""),-1.0786201759549239)</f>
        <v>-1.078620176</v>
      </c>
      <c r="AB267" s="46">
        <f>IFERROR(__xludf.DUMMYFUNCTION("""COMPUTED_VALUE"""),-0.6583300762210907)</f>
        <v>-0.6583300762</v>
      </c>
      <c r="AC267" s="46">
        <f>IFERROR(__xludf.DUMMYFUNCTION("""COMPUTED_VALUE"""),-0.6183774628934896)</f>
        <v>-0.6183774629</v>
      </c>
      <c r="AD267" s="46">
        <f>IFERROR(__xludf.DUMMYFUNCTION("""COMPUTED_VALUE"""),0.07772735943349546)</f>
        <v>0.07772735943</v>
      </c>
      <c r="AE267" s="46">
        <f>IFERROR(__xludf.DUMMYFUNCTION("""COMPUTED_VALUE"""),0.18462172773959373)</f>
        <v>0.1846217277</v>
      </c>
    </row>
    <row r="268">
      <c r="A268" s="6" t="str">
        <f>IF(VLOOKUP(H268,'Paste #BBall'!$B$2:$N1001,3,)="BRO","BKN",IF(VLOOKUP(H268,'Paste #BBall'!$B$2:$N1001,3,)="OKL","OKC",VLOOKUP(H268,'Paste #BBall'!$B$2:$N1001,3,)))</f>
        <v>MIA</v>
      </c>
      <c r="B268" s="42">
        <f>VLOOKUP($A268,Schedule!$C$2:$G$31,2,0)</f>
        <v>4</v>
      </c>
      <c r="C268" s="42">
        <f>VLOOKUP($A268,Schedule!$C$2:$G$31,3,0)</f>
        <v>3</v>
      </c>
      <c r="D268" s="42">
        <f>VLOOKUP($A268,Schedule!$C$2:$G$31,4,0)</f>
        <v>4</v>
      </c>
      <c r="E268" s="42">
        <f t="shared" si="1"/>
        <v>11</v>
      </c>
      <c r="F268" s="6">
        <v>262.0</v>
      </c>
      <c r="G268" s="45">
        <f>IFERROR(__xludf.DUMMYFUNCTION("""COMPUTED_VALUE"""),277.0)</f>
        <v>277</v>
      </c>
      <c r="H268" s="45" t="str">
        <f>IFERROR(__xludf.DUMMYFUNCTION("""COMPUTED_VALUE"""),"Orlando Robinson")</f>
        <v>Orlando Robinson</v>
      </c>
      <c r="I268" s="45">
        <f>IFERROR(__xludf.DUMMYFUNCTION("""COMPUTED_VALUE"""),65.0)</f>
        <v>65</v>
      </c>
      <c r="J268" s="46" t="str">
        <f>IFERROR(__xludf.DUMMYFUNCTION("""COMPUTED_VALUE"""),"C")</f>
        <v>C</v>
      </c>
      <c r="K268" s="46">
        <f>IFERROR(__xludf.DUMMYFUNCTION("""COMPUTED_VALUE"""),-7.434379019943087)</f>
        <v>-7.43437902</v>
      </c>
      <c r="L268" s="47">
        <f>IFERROR(__xludf.DUMMYFUNCTION("""COMPUTED_VALUE"""),-4.249222193409199)</f>
        <v>-4.249222193</v>
      </c>
      <c r="M268" s="47">
        <f>IFERROR(__xludf.DUMMYFUNCTION("""COMPUTED_VALUE"""),3.1851568265338877)</f>
        <v>3.185156827</v>
      </c>
      <c r="N268" s="47">
        <f>IFERROR(__xludf.DUMMYFUNCTION("""COMPUTED_VALUE"""),4.6)</f>
        <v>4.6</v>
      </c>
      <c r="O268" s="47">
        <f>IFERROR(__xludf.DUMMYFUNCTION("""COMPUTED_VALUE"""),0.0)</f>
        <v>0</v>
      </c>
      <c r="P268" s="47">
        <f>IFERROR(__xludf.DUMMYFUNCTION("""COMPUTED_VALUE"""),5.0)</f>
        <v>5</v>
      </c>
      <c r="Q268" s="48">
        <f>IFERROR(__xludf.DUMMYFUNCTION("""COMPUTED_VALUE"""),1.0)</f>
        <v>1</v>
      </c>
      <c r="R268" s="47">
        <f>IFERROR(__xludf.DUMMYFUNCTION("""COMPUTED_VALUE"""),0.5)</f>
        <v>0.5</v>
      </c>
      <c r="S268" s="47">
        <f>IFERROR(__xludf.DUMMYFUNCTION("""COMPUTED_VALUE"""),0.5)</f>
        <v>0.5</v>
      </c>
      <c r="T268" s="47">
        <f>IFERROR(__xludf.DUMMYFUNCTION("""COMPUTED_VALUE"""),52.77777777777778)</f>
        <v>52.77777778</v>
      </c>
      <c r="U268" s="47">
        <f>IFERROR(__xludf.DUMMYFUNCTION("""COMPUTED_VALUE"""),75.0)</f>
        <v>75</v>
      </c>
      <c r="V268" s="47">
        <f>IFERROR(__xludf.DUMMYFUNCTION("""COMPUTED_VALUE"""),0.6)</f>
        <v>0.6</v>
      </c>
      <c r="W268" s="46">
        <f>IFERROR(__xludf.DUMMYFUNCTION("""COMPUTED_VALUE"""),-2.132982177704368)</f>
        <v>-2.132982178</v>
      </c>
      <c r="X268" s="46">
        <f>IFERROR(__xludf.DUMMYFUNCTION("""COMPUTED_VALUE"""),-1.4261378116187227)</f>
        <v>-1.426137812</v>
      </c>
      <c r="Y268" s="46">
        <f>IFERROR(__xludf.DUMMYFUNCTION("""COMPUTED_VALUE"""),-0.45801768448908886)</f>
        <v>-0.4580176845</v>
      </c>
      <c r="Z268" s="46">
        <f>IFERROR(__xludf.DUMMYFUNCTION("""COMPUTED_VALUE"""),-1.4505099769474463)</f>
        <v>-1.450509977</v>
      </c>
      <c r="AA268" s="46">
        <f>IFERROR(__xludf.DUMMYFUNCTION("""COMPUTED_VALUE"""),-1.0786201759549239)</f>
        <v>-1.078620176</v>
      </c>
      <c r="AB268" s="46">
        <f>IFERROR(__xludf.DUMMYFUNCTION("""COMPUTED_VALUE"""),-0.2643825572058105)</f>
        <v>-0.2643825572</v>
      </c>
      <c r="AC268" s="46">
        <f>IFERROR(__xludf.DUMMYFUNCTION("""COMPUTED_VALUE"""),0.11432615252927089)</f>
        <v>0.1143261525</v>
      </c>
      <c r="AD268" s="46">
        <f>IFERROR(__xludf.DUMMYFUNCTION("""COMPUTED_VALUE"""),-0.11887190477991126)</f>
        <v>-0.1188719048</v>
      </c>
      <c r="AE268" s="46">
        <f>IFERROR(__xludf.DUMMYFUNCTION("""COMPUTED_VALUE"""),0.43299176505743303)</f>
        <v>0.4329917651</v>
      </c>
    </row>
    <row r="269">
      <c r="A269" s="6" t="str">
        <f>IF(VLOOKUP(H269,'Paste #BBall'!$B$2:$N1001,3,)="BRO","BKN",IF(VLOOKUP(H269,'Paste #BBall'!$B$2:$N1001,3,)="OKL","OKC",VLOOKUP(H269,'Paste #BBall'!$B$2:$N1001,3,)))</f>
        <v>OKC</v>
      </c>
      <c r="B269" s="42">
        <f>VLOOKUP($A269,Schedule!$C$2:$G$31,2,0)</f>
        <v>4</v>
      </c>
      <c r="C269" s="42">
        <f>VLOOKUP($A269,Schedule!$C$2:$G$31,3,0)</f>
        <v>3</v>
      </c>
      <c r="D269" s="42">
        <f>VLOOKUP($A269,Schedule!$C$2:$G$31,4,0)</f>
        <v>3</v>
      </c>
      <c r="E269" s="42">
        <f t="shared" si="1"/>
        <v>10</v>
      </c>
      <c r="F269" s="6">
        <v>263.0</v>
      </c>
      <c r="G269" s="45">
        <f>IFERROR(__xludf.DUMMYFUNCTION("""COMPUTED_VALUE"""),262.0)</f>
        <v>262</v>
      </c>
      <c r="H269" s="45" t="str">
        <f>IFERROR(__xludf.DUMMYFUNCTION("""COMPUTED_VALUE"""),"Cason Wallace")</f>
        <v>Cason Wallace</v>
      </c>
      <c r="I269" s="45">
        <f>IFERROR(__xludf.DUMMYFUNCTION("""COMPUTED_VALUE"""),66.0)</f>
        <v>66</v>
      </c>
      <c r="J269" s="46" t="str">
        <f>IFERROR(__xludf.DUMMYFUNCTION("""COMPUTED_VALUE"""),"SG")</f>
        <v>SG</v>
      </c>
      <c r="K269" s="46">
        <f>IFERROR(__xludf.DUMMYFUNCTION("""COMPUTED_VALUE"""),-6.9771843551074255)</f>
        <v>-6.977184355</v>
      </c>
      <c r="L269" s="47">
        <f>IFERROR(__xludf.DUMMYFUNCTION("""COMPUTED_VALUE"""),-4.295447172678191)</f>
        <v>-4.295447173</v>
      </c>
      <c r="M269" s="47">
        <f>IFERROR(__xludf.DUMMYFUNCTION("""COMPUTED_VALUE"""),2.6817371824292344)</f>
        <v>2.681737182</v>
      </c>
      <c r="N269" s="47">
        <f>IFERROR(__xludf.DUMMYFUNCTION("""COMPUTED_VALUE"""),7.4)</f>
        <v>7.4</v>
      </c>
      <c r="O269" s="47">
        <f>IFERROR(__xludf.DUMMYFUNCTION("""COMPUTED_VALUE"""),0.8)</f>
        <v>0.8</v>
      </c>
      <c r="P269" s="47">
        <f>IFERROR(__xludf.DUMMYFUNCTION("""COMPUTED_VALUE"""),1.8)</f>
        <v>1.8</v>
      </c>
      <c r="Q269" s="48">
        <f>IFERROR(__xludf.DUMMYFUNCTION("""COMPUTED_VALUE"""),2.7)</f>
        <v>2.7</v>
      </c>
      <c r="R269" s="47">
        <f>IFERROR(__xludf.DUMMYFUNCTION("""COMPUTED_VALUE"""),0.7)</f>
        <v>0.7</v>
      </c>
      <c r="S269" s="47">
        <f>IFERROR(__xludf.DUMMYFUNCTION("""COMPUTED_VALUE"""),0.2)</f>
        <v>0.2</v>
      </c>
      <c r="T269" s="47">
        <f>IFERROR(__xludf.DUMMYFUNCTION("""COMPUTED_VALUE"""),43.93939393939394)</f>
        <v>43.93939394</v>
      </c>
      <c r="U269" s="47">
        <f>IFERROR(__xludf.DUMMYFUNCTION("""COMPUTED_VALUE"""),81.81818181818181)</f>
        <v>81.81818182</v>
      </c>
      <c r="V269" s="47">
        <f>IFERROR(__xludf.DUMMYFUNCTION("""COMPUTED_VALUE"""),1.1)</f>
        <v>1.1</v>
      </c>
      <c r="W269" s="46">
        <f>IFERROR(__xludf.DUMMYFUNCTION("""COMPUTED_VALUE"""),-1.661108322220652)</f>
        <v>-1.661108322</v>
      </c>
      <c r="X269" s="46">
        <f>IFERROR(__xludf.DUMMYFUNCTION("""COMPUTED_VALUE"""),-0.7324347820514473)</f>
        <v>-0.7324347821</v>
      </c>
      <c r="Y269" s="46">
        <f>IFERROR(__xludf.DUMMYFUNCTION("""COMPUTED_VALUE"""),-1.79610951988022)</f>
        <v>-1.79610952</v>
      </c>
      <c r="Z269" s="46">
        <f>IFERROR(__xludf.DUMMYFUNCTION("""COMPUTED_VALUE"""),-0.5834681482517156)</f>
        <v>-0.5834681483</v>
      </c>
      <c r="AA269" s="46">
        <f>IFERROR(__xludf.DUMMYFUNCTION("""COMPUTED_VALUE"""),-0.6425203743558983)</f>
        <v>-0.6425203744</v>
      </c>
      <c r="AB269" s="46">
        <f>IFERROR(__xludf.DUMMYFUNCTION("""COMPUTED_VALUE"""),-0.6583300762210907)</f>
        <v>-0.6583300762</v>
      </c>
      <c r="AC269" s="46">
        <f>IFERROR(__xludf.DUMMYFUNCTION("""COMPUTED_VALUE"""),-0.37307332074466587)</f>
        <v>-0.3730733207</v>
      </c>
      <c r="AD269" s="46">
        <f>IFERROR(__xludf.DUMMYFUNCTION("""COMPUTED_VALUE"""),0.07772735943349546)</f>
        <v>0.07772735943</v>
      </c>
      <c r="AE269" s="46">
        <f>IFERROR(__xludf.DUMMYFUNCTION("""COMPUTED_VALUE"""),0.2777604917337834)</f>
        <v>0.2777604917</v>
      </c>
    </row>
    <row r="270">
      <c r="A270" s="6" t="str">
        <f>IF(VLOOKUP(H270,'Paste #BBall'!$B$2:$N1001,3,)="BRO","BKN",IF(VLOOKUP(H270,'Paste #BBall'!$B$2:$N1001,3,)="OKL","OKC",VLOOKUP(H270,'Paste #BBall'!$B$2:$N1001,3,)))</f>
        <v>LAL</v>
      </c>
      <c r="B270" s="42">
        <f>VLOOKUP($A270,Schedule!$C$2:$G$31,2,0)</f>
        <v>4</v>
      </c>
      <c r="C270" s="42">
        <f>VLOOKUP($A270,Schedule!$C$2:$G$31,3,0)</f>
        <v>2</v>
      </c>
      <c r="D270" s="42">
        <f>VLOOKUP($A270,Schedule!$C$2:$G$31,4,0)</f>
        <v>3</v>
      </c>
      <c r="E270" s="42">
        <f t="shared" si="1"/>
        <v>9</v>
      </c>
      <c r="F270" s="6">
        <v>264.0</v>
      </c>
      <c r="G270" s="45">
        <f>IFERROR(__xludf.DUMMYFUNCTION("""COMPUTED_VALUE"""),255.0)</f>
        <v>255</v>
      </c>
      <c r="H270" s="45" t="str">
        <f>IFERROR(__xludf.DUMMYFUNCTION("""COMPUTED_VALUE"""),"Cam Reddish")</f>
        <v>Cam Reddish</v>
      </c>
      <c r="I270" s="45">
        <f>IFERROR(__xludf.DUMMYFUNCTION("""COMPUTED_VALUE"""),68.0)</f>
        <v>68</v>
      </c>
      <c r="J270" s="46" t="str">
        <f>IFERROR(__xludf.DUMMYFUNCTION("""COMPUTED_VALUE"""),"SF,PF")</f>
        <v>SF,PF</v>
      </c>
      <c r="K270" s="46">
        <f>IFERROR(__xludf.DUMMYFUNCTION("""COMPUTED_VALUE"""),-6.712387493649247)</f>
        <v>-6.712387494</v>
      </c>
      <c r="L270" s="47">
        <f>IFERROR(__xludf.DUMMYFUNCTION("""COMPUTED_VALUE"""),-4.309308208378343)</f>
        <v>-4.309308208</v>
      </c>
      <c r="M270" s="47">
        <f>IFERROR(__xludf.DUMMYFUNCTION("""COMPUTED_VALUE"""),2.4030792852709046)</f>
        <v>2.403079285</v>
      </c>
      <c r="N270" s="47">
        <f>IFERROR(__xludf.DUMMYFUNCTION("""COMPUTED_VALUE"""),8.2)</f>
        <v>8.2</v>
      </c>
      <c r="O270" s="47">
        <f>IFERROR(__xludf.DUMMYFUNCTION("""COMPUTED_VALUE"""),1.0)</f>
        <v>1</v>
      </c>
      <c r="P270" s="47">
        <f>IFERROR(__xludf.DUMMYFUNCTION("""COMPUTED_VALUE"""),1.8)</f>
        <v>1.8</v>
      </c>
      <c r="Q270" s="48">
        <f>IFERROR(__xludf.DUMMYFUNCTION("""COMPUTED_VALUE"""),1.0)</f>
        <v>1</v>
      </c>
      <c r="R270" s="47">
        <f>IFERROR(__xludf.DUMMYFUNCTION("""COMPUTED_VALUE"""),0.8)</f>
        <v>0.8</v>
      </c>
      <c r="S270" s="47">
        <f>IFERROR(__xludf.DUMMYFUNCTION("""COMPUTED_VALUE"""),0.3)</f>
        <v>0.3</v>
      </c>
      <c r="T270" s="47">
        <f>IFERROR(__xludf.DUMMYFUNCTION("""COMPUTED_VALUE"""),41.7910447761194)</f>
        <v>41.79104478</v>
      </c>
      <c r="U270" s="47">
        <f>IFERROR(__xludf.DUMMYFUNCTION("""COMPUTED_VALUE"""),88.23529411764706)</f>
        <v>88.23529412</v>
      </c>
      <c r="V270" s="47">
        <f>IFERROR(__xludf.DUMMYFUNCTION("""COMPUTED_VALUE"""),1.0)</f>
        <v>1</v>
      </c>
      <c r="W270" s="46">
        <f>IFERROR(__xludf.DUMMYFUNCTION("""COMPUTED_VALUE"""),-1.5262872206538762)</f>
        <v>-1.526287221</v>
      </c>
      <c r="X270" s="46">
        <f>IFERROR(__xludf.DUMMYFUNCTION("""COMPUTED_VALUE"""),-0.5590090246596284)</f>
        <v>-0.5590090247</v>
      </c>
      <c r="Y270" s="46">
        <f>IFERROR(__xludf.DUMMYFUNCTION("""COMPUTED_VALUE"""),-1.79610951988022)</f>
        <v>-1.79610952</v>
      </c>
      <c r="Z270" s="46">
        <f>IFERROR(__xludf.DUMMYFUNCTION("""COMPUTED_VALUE"""),-1.4505099769474463)</f>
        <v>-1.450509977</v>
      </c>
      <c r="AA270" s="46">
        <f>IFERROR(__xludf.DUMMYFUNCTION("""COMPUTED_VALUE"""),-0.42447047355638534)</f>
        <v>-0.4244704736</v>
      </c>
      <c r="AB270" s="46">
        <f>IFERROR(__xludf.DUMMYFUNCTION("""COMPUTED_VALUE"""),-0.5270142365493308)</f>
        <v>-0.5270142365</v>
      </c>
      <c r="AC270" s="46">
        <f>IFERROR(__xludf.DUMMYFUNCTION("""COMPUTED_VALUE"""),-0.5225019737505582)</f>
        <v>-0.5225019738</v>
      </c>
      <c r="AD270" s="46">
        <f>IFERROR(__xludf.DUMMYFUNCTION("""COMPUTED_VALUE"""),0.3916779513403684)</f>
        <v>0.3916779513</v>
      </c>
      <c r="AE270" s="46">
        <f>IFERROR(__xludf.DUMMYFUNCTION("""COMPUTED_VALUE"""),0.30880674639851335)</f>
        <v>0.3088067464</v>
      </c>
    </row>
    <row r="271">
      <c r="A271" s="6" t="str">
        <f>IF(VLOOKUP(H271,'Paste #BBall'!$B$2:$N1001,3,)="BRO","BKN",IF(VLOOKUP(H271,'Paste #BBall'!$B$2:$N1001,3,)="OKL","OKC",VLOOKUP(H271,'Paste #BBall'!$B$2:$N1001,3,)))</f>
        <v>DET</v>
      </c>
      <c r="B271" s="42">
        <f>VLOOKUP($A271,Schedule!$C$2:$G$31,2,0)</f>
        <v>3</v>
      </c>
      <c r="C271" s="42">
        <f>VLOOKUP($A271,Schedule!$C$2:$G$31,3,0)</f>
        <v>4</v>
      </c>
      <c r="D271" s="42">
        <f>VLOOKUP($A271,Schedule!$C$2:$G$31,4,0)</f>
        <v>4</v>
      </c>
      <c r="E271" s="42">
        <f t="shared" si="1"/>
        <v>11</v>
      </c>
      <c r="F271" s="6">
        <v>265.0</v>
      </c>
      <c r="G271" s="45">
        <f>IFERROR(__xludf.DUMMYFUNCTION("""COMPUTED_VALUE"""),264.0)</f>
        <v>264</v>
      </c>
      <c r="H271" s="45" t="str">
        <f>IFERROR(__xludf.DUMMYFUNCTION("""COMPUTED_VALUE"""),"Alec Burks")</f>
        <v>Alec Burks</v>
      </c>
      <c r="I271" s="45">
        <f>IFERROR(__xludf.DUMMYFUNCTION("""COMPUTED_VALUE"""),64.0)</f>
        <v>64</v>
      </c>
      <c r="J271" s="46" t="str">
        <f>IFERROR(__xludf.DUMMYFUNCTION("""COMPUTED_VALUE"""),"PG,SG,SF")</f>
        <v>PG,SG,SF</v>
      </c>
      <c r="K271" s="46">
        <f>IFERROR(__xludf.DUMMYFUNCTION("""COMPUTED_VALUE"""),-7.051300495566489)</f>
        <v>-7.051300496</v>
      </c>
      <c r="L271" s="47">
        <f>IFERROR(__xludf.DUMMYFUNCTION("""COMPUTED_VALUE"""),-4.365650137404522)</f>
        <v>-4.365650137</v>
      </c>
      <c r="M271" s="47">
        <f>IFERROR(__xludf.DUMMYFUNCTION("""COMPUTED_VALUE"""),2.6856503581619666)</f>
        <v>2.685650358</v>
      </c>
      <c r="N271" s="47">
        <f>IFERROR(__xludf.DUMMYFUNCTION("""COMPUTED_VALUE"""),7.1)</f>
        <v>7.1</v>
      </c>
      <c r="O271" s="47">
        <f>IFERROR(__xludf.DUMMYFUNCTION("""COMPUTED_VALUE"""),1.1)</f>
        <v>1.1</v>
      </c>
      <c r="P271" s="47">
        <f>IFERROR(__xludf.DUMMYFUNCTION("""COMPUTED_VALUE"""),2.5)</f>
        <v>2.5</v>
      </c>
      <c r="Q271" s="48">
        <f>IFERROR(__xludf.DUMMYFUNCTION("""COMPUTED_VALUE"""),1.6)</f>
        <v>1.6</v>
      </c>
      <c r="R271" s="47">
        <f>IFERROR(__xludf.DUMMYFUNCTION("""COMPUTED_VALUE"""),0.6)</f>
        <v>0.6</v>
      </c>
      <c r="S271" s="47">
        <f>IFERROR(__xludf.DUMMYFUNCTION("""COMPUTED_VALUE"""),0.2)</f>
        <v>0.2</v>
      </c>
      <c r="T271" s="47">
        <f>IFERROR(__xludf.DUMMYFUNCTION("""COMPUTED_VALUE"""),41.50943396226416)</f>
        <v>41.50943396</v>
      </c>
      <c r="U271" s="47">
        <f>IFERROR(__xludf.DUMMYFUNCTION("""COMPUTED_VALUE"""),85.0)</f>
        <v>85</v>
      </c>
      <c r="V271" s="47">
        <f>IFERROR(__xludf.DUMMYFUNCTION("""COMPUTED_VALUE"""),0.7)</f>
        <v>0.7</v>
      </c>
      <c r="W271" s="46">
        <f>IFERROR(__xludf.DUMMYFUNCTION("""COMPUTED_VALUE"""),-1.711666235308193)</f>
        <v>-1.711666235</v>
      </c>
      <c r="X271" s="46">
        <f>IFERROR(__xludf.DUMMYFUNCTION("""COMPUTED_VALUE"""),-0.472296145963719)</f>
        <v>-0.472296146</v>
      </c>
      <c r="Y271" s="46">
        <f>IFERROR(__xludf.DUMMYFUNCTION("""COMPUTED_VALUE"""),-1.50340193088841)</f>
        <v>-1.503401931</v>
      </c>
      <c r="Z271" s="46">
        <f>IFERROR(__xludf.DUMMYFUNCTION("""COMPUTED_VALUE"""),-1.144495213878365)</f>
        <v>-1.144495214</v>
      </c>
      <c r="AA271" s="46">
        <f>IFERROR(__xludf.DUMMYFUNCTION("""COMPUTED_VALUE"""),-0.860570275155411)</f>
        <v>-0.8605702752</v>
      </c>
      <c r="AB271" s="46">
        <f>IFERROR(__xludf.DUMMYFUNCTION("""COMPUTED_VALUE"""),-0.6583300762210907)</f>
        <v>-0.6583300762</v>
      </c>
      <c r="AC271" s="46">
        <f>IFERROR(__xludf.DUMMYFUNCTION("""COMPUTED_VALUE"""),-0.42823089011948146)</f>
        <v>-0.4282308901</v>
      </c>
      <c r="AD271" s="46">
        <f>IFERROR(__xludf.DUMMYFUNCTION("""COMPUTED_VALUE"""),0.2997288844292525)</f>
        <v>0.2997288844</v>
      </c>
      <c r="AE271" s="46">
        <f>IFERROR(__xludf.DUMMYFUNCTION("""COMPUTED_VALUE"""),0.4019455103927031)</f>
        <v>0.4019455104</v>
      </c>
    </row>
    <row r="272">
      <c r="A272" s="6" t="str">
        <f>IF(VLOOKUP(H272,'Paste #BBall'!$B$2:$N1001,3,)="BRO","BKN",IF(VLOOKUP(H272,'Paste #BBall'!$B$2:$N1001,3,)="OKL","OKC",VLOOKUP(H272,'Paste #BBall'!$B$2:$N1001,3,)))</f>
        <v>DAL</v>
      </c>
      <c r="B272" s="42">
        <f>VLOOKUP($A272,Schedule!$C$2:$G$31,2,0)</f>
        <v>3</v>
      </c>
      <c r="C272" s="42">
        <f>VLOOKUP($A272,Schedule!$C$2:$G$31,3,0)</f>
        <v>4</v>
      </c>
      <c r="D272" s="42">
        <f>VLOOKUP($A272,Schedule!$C$2:$G$31,4,0)</f>
        <v>2</v>
      </c>
      <c r="E272" s="42">
        <f t="shared" si="1"/>
        <v>9</v>
      </c>
      <c r="F272" s="6">
        <v>266.0</v>
      </c>
      <c r="G272" s="45">
        <f>IFERROR(__xludf.DUMMYFUNCTION("""COMPUTED_VALUE"""),271.0)</f>
        <v>271</v>
      </c>
      <c r="H272" s="45" t="str">
        <f>IFERROR(__xludf.DUMMYFUNCTION("""COMPUTED_VALUE"""),"Seth Curry")</f>
        <v>Seth Curry</v>
      </c>
      <c r="I272" s="45">
        <f>IFERROR(__xludf.DUMMYFUNCTION("""COMPUTED_VALUE"""),60.0)</f>
        <v>60</v>
      </c>
      <c r="J272" s="46" t="str">
        <f>IFERROR(__xludf.DUMMYFUNCTION("""COMPUTED_VALUE"""),"PG,SG")</f>
        <v>PG,SG</v>
      </c>
      <c r="K272" s="46">
        <f>IFERROR(__xludf.DUMMYFUNCTION("""COMPUTED_VALUE"""),-7.322957525939845)</f>
        <v>-7.322957526</v>
      </c>
      <c r="L272" s="47">
        <f>IFERROR(__xludf.DUMMYFUNCTION("""COMPUTED_VALUE"""),-4.371916902944169)</f>
        <v>-4.371916903</v>
      </c>
      <c r="M272" s="47">
        <f>IFERROR(__xludf.DUMMYFUNCTION("""COMPUTED_VALUE"""),2.9510406229956763)</f>
        <v>2.951040623</v>
      </c>
      <c r="N272" s="47">
        <f>IFERROR(__xludf.DUMMYFUNCTION("""COMPUTED_VALUE"""),7.9)</f>
        <v>7.9</v>
      </c>
      <c r="O272" s="47">
        <f>IFERROR(__xludf.DUMMYFUNCTION("""COMPUTED_VALUE"""),1.3)</f>
        <v>1.3</v>
      </c>
      <c r="P272" s="47">
        <f>IFERROR(__xludf.DUMMYFUNCTION("""COMPUTED_VALUE"""),1.6)</f>
        <v>1.6</v>
      </c>
      <c r="Q272" s="48">
        <f>IFERROR(__xludf.DUMMYFUNCTION("""COMPUTED_VALUE"""),1.7)</f>
        <v>1.7</v>
      </c>
      <c r="R272" s="47">
        <f>IFERROR(__xludf.DUMMYFUNCTION("""COMPUTED_VALUE"""),0.5)</f>
        <v>0.5</v>
      </c>
      <c r="S272" s="47">
        <f>IFERROR(__xludf.DUMMYFUNCTION("""COMPUTED_VALUE"""),0.1)</f>
        <v>0.1</v>
      </c>
      <c r="T272" s="47">
        <f>IFERROR(__xludf.DUMMYFUNCTION("""COMPUTED_VALUE"""),48.387096774193544)</f>
        <v>48.38709677</v>
      </c>
      <c r="U272" s="47">
        <f>IFERROR(__xludf.DUMMYFUNCTION("""COMPUTED_VALUE"""),87.49999999999999)</f>
        <v>87.5</v>
      </c>
      <c r="V272" s="47">
        <f>IFERROR(__xludf.DUMMYFUNCTION("""COMPUTED_VALUE"""),0.8)</f>
        <v>0.8</v>
      </c>
      <c r="W272" s="46">
        <f>IFERROR(__xludf.DUMMYFUNCTION("""COMPUTED_VALUE"""),-1.5768451337414169)</f>
        <v>-1.576845134</v>
      </c>
      <c r="X272" s="46">
        <f>IFERROR(__xludf.DUMMYFUNCTION("""COMPUTED_VALUE"""),-0.2988703885719002)</f>
        <v>-0.2988703886</v>
      </c>
      <c r="Y272" s="46">
        <f>IFERROR(__xludf.DUMMYFUNCTION("""COMPUTED_VALUE"""),-1.8797402595921657)</f>
        <v>-1.87974026</v>
      </c>
      <c r="Z272" s="46">
        <f>IFERROR(__xludf.DUMMYFUNCTION("""COMPUTED_VALUE"""),-1.0934927533668515)</f>
        <v>-1.093492753</v>
      </c>
      <c r="AA272" s="46">
        <f>IFERROR(__xludf.DUMMYFUNCTION("""COMPUTED_VALUE"""),-1.0786201759549239)</f>
        <v>-1.078620176</v>
      </c>
      <c r="AB272" s="46">
        <f>IFERROR(__xludf.DUMMYFUNCTION("""COMPUTED_VALUE"""),-0.7896459158928509)</f>
        <v>-0.7896459159</v>
      </c>
      <c r="AC272" s="46">
        <f>IFERROR(__xludf.DUMMYFUNCTION("""COMPUTED_VALUE"""),-0.07501821748880959)</f>
        <v>-0.07501821749</v>
      </c>
      <c r="AD272" s="46">
        <f>IFERROR(__xludf.DUMMYFUNCTION("""COMPUTED_VALUE"""),0.16967642634461133)</f>
        <v>0.1696764263</v>
      </c>
      <c r="AE272" s="46">
        <f>IFERROR(__xludf.DUMMYFUNCTION("""COMPUTED_VALUE"""),0.37089925572797316)</f>
        <v>0.3708992557</v>
      </c>
    </row>
    <row r="273">
      <c r="A273" s="6" t="str">
        <f>IF(VLOOKUP(H273,'Paste #BBall'!$B$2:$N1001,3,)="BRO","BKN",IF(VLOOKUP(H273,'Paste #BBall'!$B$2:$N1001,3,)="OKL","OKC",VLOOKUP(H273,'Paste #BBall'!$B$2:$N1001,3,)))</f>
        <v>MIL</v>
      </c>
      <c r="B273" s="42">
        <f>VLOOKUP($A273,Schedule!$C$2:$G$31,2,0)</f>
        <v>4</v>
      </c>
      <c r="C273" s="42">
        <f>VLOOKUP($A273,Schedule!$C$2:$G$31,3,0)</f>
        <v>3</v>
      </c>
      <c r="D273" s="42">
        <f>VLOOKUP($A273,Schedule!$C$2:$G$31,4,0)</f>
        <v>3</v>
      </c>
      <c r="E273" s="42">
        <f t="shared" si="1"/>
        <v>10</v>
      </c>
      <c r="F273" s="6">
        <v>267.0</v>
      </c>
      <c r="G273" s="45">
        <f>IFERROR(__xludf.DUMMYFUNCTION("""COMPUTED_VALUE"""),248.0)</f>
        <v>248</v>
      </c>
      <c r="H273" s="45" t="str">
        <f>IFERROR(__xludf.DUMMYFUNCTION("""COMPUTED_VALUE"""),"MarJon Beauchamp")</f>
        <v>MarJon Beauchamp</v>
      </c>
      <c r="I273" s="45">
        <f>IFERROR(__xludf.DUMMYFUNCTION("""COMPUTED_VALUE"""),72.0)</f>
        <v>72</v>
      </c>
      <c r="J273" s="46" t="str">
        <f>IFERROR(__xludf.DUMMYFUNCTION("""COMPUTED_VALUE"""),"SG,SF")</f>
        <v>SG,SF</v>
      </c>
      <c r="K273" s="46">
        <f>IFERROR(__xludf.DUMMYFUNCTION("""COMPUTED_VALUE"""),-6.601678331994694)</f>
        <v>-6.601678332</v>
      </c>
      <c r="L273" s="47">
        <f>IFERROR(__xludf.DUMMYFUNCTION("""COMPUTED_VALUE"""),-4.381652136255402)</f>
        <v>-4.381652136</v>
      </c>
      <c r="M273" s="47">
        <f>IFERROR(__xludf.DUMMYFUNCTION("""COMPUTED_VALUE"""),2.2200261957392913)</f>
        <v>2.220026196</v>
      </c>
      <c r="N273" s="47">
        <f>IFERROR(__xludf.DUMMYFUNCTION("""COMPUTED_VALUE"""),8.4)</f>
        <v>8.4</v>
      </c>
      <c r="O273" s="47">
        <f>IFERROR(__xludf.DUMMYFUNCTION("""COMPUTED_VALUE"""),1.5)</f>
        <v>1.5</v>
      </c>
      <c r="P273" s="47">
        <f>IFERROR(__xludf.DUMMYFUNCTION("""COMPUTED_VALUE"""),3.7)</f>
        <v>3.7</v>
      </c>
      <c r="Q273" s="48">
        <f>IFERROR(__xludf.DUMMYFUNCTION("""COMPUTED_VALUE"""),1.1)</f>
        <v>1.1</v>
      </c>
      <c r="R273" s="47">
        <f>IFERROR(__xludf.DUMMYFUNCTION("""COMPUTED_VALUE"""),0.7)</f>
        <v>0.7</v>
      </c>
      <c r="S273" s="47">
        <f>IFERROR(__xludf.DUMMYFUNCTION("""COMPUTED_VALUE"""),0.2)</f>
        <v>0.2</v>
      </c>
      <c r="T273" s="47">
        <f>IFERROR(__xludf.DUMMYFUNCTION("""COMPUTED_VALUE"""),41.09589041095891)</f>
        <v>41.09589041</v>
      </c>
      <c r="U273" s="47">
        <f>IFERROR(__xludf.DUMMYFUNCTION("""COMPUTED_VALUE"""),75.0)</f>
        <v>75</v>
      </c>
      <c r="V273" s="47">
        <f>IFERROR(__xludf.DUMMYFUNCTION("""COMPUTED_VALUE"""),1.4)</f>
        <v>1.4</v>
      </c>
      <c r="W273" s="46">
        <f>IFERROR(__xludf.DUMMYFUNCTION("""COMPUTED_VALUE"""),-1.492581945262182)</f>
        <v>-1.492581945</v>
      </c>
      <c r="X273" s="46">
        <f>IFERROR(__xludf.DUMMYFUNCTION("""COMPUTED_VALUE"""),-0.12544463118008137)</f>
        <v>-0.1254446312</v>
      </c>
      <c r="Y273" s="46">
        <f>IFERROR(__xludf.DUMMYFUNCTION("""COMPUTED_VALUE"""),-1.0016174926167358)</f>
        <v>-1.001617493</v>
      </c>
      <c r="Z273" s="46">
        <f>IFERROR(__xludf.DUMMYFUNCTION("""COMPUTED_VALUE"""),-1.3995075164359327)</f>
        <v>-1.399507516</v>
      </c>
      <c r="AA273" s="46">
        <f>IFERROR(__xludf.DUMMYFUNCTION("""COMPUTED_VALUE"""),-0.6425203743558983)</f>
        <v>-0.6425203744</v>
      </c>
      <c r="AB273" s="46">
        <f>IFERROR(__xludf.DUMMYFUNCTION("""COMPUTED_VALUE"""),-0.6583300762210907)</f>
        <v>-0.6583300762</v>
      </c>
      <c r="AC273" s="46">
        <f>IFERROR(__xludf.DUMMYFUNCTION("""COMPUTED_VALUE"""),-0.6199818684053451)</f>
        <v>-0.6199818684</v>
      </c>
      <c r="AD273" s="46">
        <f>IFERROR(__xludf.DUMMYFUNCTION("""COMPUTED_VALUE"""),-0.11887190477991126)</f>
        <v>-0.1188719048</v>
      </c>
      <c r="AE273" s="46">
        <f>IFERROR(__xludf.DUMMYFUNCTION("""COMPUTED_VALUE"""),0.18462172773959373)</f>
        <v>0.1846217277</v>
      </c>
    </row>
    <row r="274">
      <c r="A274" s="6" t="str">
        <f>IF(VLOOKUP(H274,'Paste #BBall'!$B$2:$N1001,3,)="BRO","BKN",IF(VLOOKUP(H274,'Paste #BBall'!$B$2:$N1001,3,)="OKL","OKC",VLOOKUP(H274,'Paste #BBall'!$B$2:$N1001,3,)))</f>
        <v>MIA</v>
      </c>
      <c r="B274" s="42">
        <f>VLOOKUP($A274,Schedule!$C$2:$G$31,2,0)</f>
        <v>4</v>
      </c>
      <c r="C274" s="42">
        <f>VLOOKUP($A274,Schedule!$C$2:$G$31,3,0)</f>
        <v>3</v>
      </c>
      <c r="D274" s="42">
        <f>VLOOKUP($A274,Schedule!$C$2:$G$31,4,0)</f>
        <v>4</v>
      </c>
      <c r="E274" s="42">
        <f t="shared" si="1"/>
        <v>11</v>
      </c>
      <c r="F274" s="6">
        <v>268.0</v>
      </c>
      <c r="G274" s="45">
        <f>IFERROR(__xludf.DUMMYFUNCTION("""COMPUTED_VALUE"""),273.0)</f>
        <v>273</v>
      </c>
      <c r="H274" s="45" t="str">
        <f>IFERROR(__xludf.DUMMYFUNCTION("""COMPUTED_VALUE"""),"Thomas Bryant")</f>
        <v>Thomas Bryant</v>
      </c>
      <c r="I274" s="45">
        <f>IFERROR(__xludf.DUMMYFUNCTION("""COMPUTED_VALUE"""),60.0)</f>
        <v>60</v>
      </c>
      <c r="J274" s="46" t="str">
        <f>IFERROR(__xludf.DUMMYFUNCTION("""COMPUTED_VALUE"""),"C")</f>
        <v>C</v>
      </c>
      <c r="K274" s="46">
        <f>IFERROR(__xludf.DUMMYFUNCTION("""COMPUTED_VALUE"""),-7.354944203760401)</f>
        <v>-7.354944204</v>
      </c>
      <c r="L274" s="47">
        <f>IFERROR(__xludf.DUMMYFUNCTION("""COMPUTED_VALUE"""),-4.395017563609093)</f>
        <v>-4.395017564</v>
      </c>
      <c r="M274" s="47">
        <f>IFERROR(__xludf.DUMMYFUNCTION("""COMPUTED_VALUE"""),2.9599266401513082)</f>
        <v>2.95992664</v>
      </c>
      <c r="N274" s="47">
        <f>IFERROR(__xludf.DUMMYFUNCTION("""COMPUTED_VALUE"""),7.9)</f>
        <v>7.9</v>
      </c>
      <c r="O274" s="47">
        <f>IFERROR(__xludf.DUMMYFUNCTION("""COMPUTED_VALUE"""),0.4)</f>
        <v>0.4</v>
      </c>
      <c r="P274" s="47">
        <f>IFERROR(__xludf.DUMMYFUNCTION("""COMPUTED_VALUE"""),4.5)</f>
        <v>4.5</v>
      </c>
      <c r="Q274" s="48">
        <f>IFERROR(__xludf.DUMMYFUNCTION("""COMPUTED_VALUE"""),0.6)</f>
        <v>0.6</v>
      </c>
      <c r="R274" s="47">
        <f>IFERROR(__xludf.DUMMYFUNCTION("""COMPUTED_VALUE"""),0.2)</f>
        <v>0.2</v>
      </c>
      <c r="S274" s="47">
        <f>IFERROR(__xludf.DUMMYFUNCTION("""COMPUTED_VALUE"""),0.5)</f>
        <v>0.5</v>
      </c>
      <c r="T274" s="47">
        <f>IFERROR(__xludf.DUMMYFUNCTION("""COMPUTED_VALUE"""),59.61538461538461)</f>
        <v>59.61538462</v>
      </c>
      <c r="U274" s="47">
        <f>IFERROR(__xludf.DUMMYFUNCTION("""COMPUTED_VALUE"""),76.47058823529413)</f>
        <v>76.47058824</v>
      </c>
      <c r="V274" s="47">
        <f>IFERROR(__xludf.DUMMYFUNCTION("""COMPUTED_VALUE"""),0.6)</f>
        <v>0.6</v>
      </c>
      <c r="W274" s="46">
        <f>IFERROR(__xludf.DUMMYFUNCTION("""COMPUTED_VALUE"""),-1.5768451337414169)</f>
        <v>-1.576845134</v>
      </c>
      <c r="X274" s="46">
        <f>IFERROR(__xludf.DUMMYFUNCTION("""COMPUTED_VALUE"""),-1.079286296835085)</f>
        <v>-1.079286297</v>
      </c>
      <c r="Y274" s="46">
        <f>IFERROR(__xludf.DUMMYFUNCTION("""COMPUTED_VALUE"""),-0.6670945337689531)</f>
        <v>-0.6670945338</v>
      </c>
      <c r="Z274" s="46">
        <f>IFERROR(__xludf.DUMMYFUNCTION("""COMPUTED_VALUE"""),-1.6545198189935006)</f>
        <v>-1.654519819</v>
      </c>
      <c r="AA274" s="46">
        <f>IFERROR(__xludf.DUMMYFUNCTION("""COMPUTED_VALUE"""),-1.732769878353462)</f>
        <v>-1.732769878</v>
      </c>
      <c r="AB274" s="46">
        <f>IFERROR(__xludf.DUMMYFUNCTION("""COMPUTED_VALUE"""),-0.2643825572058105)</f>
        <v>-0.2643825572</v>
      </c>
      <c r="AC274" s="46">
        <f>IFERROR(__xludf.DUMMYFUNCTION("""COMPUTED_VALUE"""),0.5202897862669759)</f>
        <v>0.5202897863</v>
      </c>
      <c r="AD274" s="46">
        <f>IFERROR(__xludf.DUMMYFUNCTION("""COMPUTED_VALUE"""),-0.10617077438873597)</f>
        <v>-0.1061707744</v>
      </c>
      <c r="AE274" s="46">
        <f>IFERROR(__xludf.DUMMYFUNCTION("""COMPUTED_VALUE"""),0.43299176505743303)</f>
        <v>0.4329917651</v>
      </c>
    </row>
    <row r="275">
      <c r="A275" s="6" t="str">
        <f>IF(VLOOKUP(H275,'Paste #BBall'!$B$2:$N1001,3,)="BRO","BKN",IF(VLOOKUP(H275,'Paste #BBall'!$B$2:$N1001,3,)="OKL","OKC",VLOOKUP(H275,'Paste #BBall'!$B$2:$N1001,3,)))</f>
        <v>CLE</v>
      </c>
      <c r="B275" s="42">
        <f>VLOOKUP($A275,Schedule!$C$2:$G$31,2,0)</f>
        <v>4</v>
      </c>
      <c r="C275" s="42">
        <f>VLOOKUP($A275,Schedule!$C$2:$G$31,3,0)</f>
        <v>3</v>
      </c>
      <c r="D275" s="42">
        <f>VLOOKUP($A275,Schedule!$C$2:$G$31,4,0)</f>
        <v>4</v>
      </c>
      <c r="E275" s="42">
        <f t="shared" si="1"/>
        <v>11</v>
      </c>
      <c r="F275" s="6">
        <v>269.0</v>
      </c>
      <c r="G275" s="45">
        <f>IFERROR(__xludf.DUMMYFUNCTION("""COMPUTED_VALUE"""),268.0)</f>
        <v>268</v>
      </c>
      <c r="H275" s="45" t="str">
        <f>IFERROR(__xludf.DUMMYFUNCTION("""COMPUTED_VALUE"""),"Isaac Okoro")</f>
        <v>Isaac Okoro</v>
      </c>
      <c r="I275" s="45">
        <f>IFERROR(__xludf.DUMMYFUNCTION("""COMPUTED_VALUE"""),70.0)</f>
        <v>70</v>
      </c>
      <c r="J275" s="46" t="str">
        <f>IFERROR(__xludf.DUMMYFUNCTION("""COMPUTED_VALUE"""),"SG,SF")</f>
        <v>SG,SF</v>
      </c>
      <c r="K275" s="46">
        <f>IFERROR(__xludf.DUMMYFUNCTION("""COMPUTED_VALUE"""),-7.28321651922548)</f>
        <v>-7.283216519</v>
      </c>
      <c r="L275" s="47">
        <f>IFERROR(__xludf.DUMMYFUNCTION("""COMPUTED_VALUE"""),-4.534560681482635)</f>
        <v>-4.534560681</v>
      </c>
      <c r="M275" s="47">
        <f>IFERROR(__xludf.DUMMYFUNCTION("""COMPUTED_VALUE"""),2.748655837742845)</f>
        <v>2.748655838</v>
      </c>
      <c r="N275" s="47">
        <f>IFERROR(__xludf.DUMMYFUNCTION("""COMPUTED_VALUE"""),6.3)</f>
        <v>6.3</v>
      </c>
      <c r="O275" s="47">
        <f>IFERROR(__xludf.DUMMYFUNCTION("""COMPUTED_VALUE"""),0.7)</f>
        <v>0.7</v>
      </c>
      <c r="P275" s="47">
        <f>IFERROR(__xludf.DUMMYFUNCTION("""COMPUTED_VALUE"""),2.3)</f>
        <v>2.3</v>
      </c>
      <c r="Q275" s="48">
        <f>IFERROR(__xludf.DUMMYFUNCTION("""COMPUTED_VALUE"""),1.2)</f>
        <v>1.2</v>
      </c>
      <c r="R275" s="47">
        <f>IFERROR(__xludf.DUMMYFUNCTION("""COMPUTED_VALUE"""),0.7)</f>
        <v>0.7</v>
      </c>
      <c r="S275" s="47">
        <f>IFERROR(__xludf.DUMMYFUNCTION("""COMPUTED_VALUE"""),0.3)</f>
        <v>0.3</v>
      </c>
      <c r="T275" s="47">
        <f>IFERROR(__xludf.DUMMYFUNCTION("""COMPUTED_VALUE"""),47.82608695652175)</f>
        <v>47.82608696</v>
      </c>
      <c r="U275" s="47">
        <f>IFERROR(__xludf.DUMMYFUNCTION("""COMPUTED_VALUE"""),80.0)</f>
        <v>80</v>
      </c>
      <c r="V275" s="47">
        <f>IFERROR(__xludf.DUMMYFUNCTION("""COMPUTED_VALUE"""),0.6)</f>
        <v>0.6</v>
      </c>
      <c r="W275" s="46">
        <f>IFERROR(__xludf.DUMMYFUNCTION("""COMPUTED_VALUE"""),-1.8464873368749688)</f>
        <v>-1.846487337</v>
      </c>
      <c r="X275" s="46">
        <f>IFERROR(__xludf.DUMMYFUNCTION("""COMPUTED_VALUE"""),-0.8191476607473568)</f>
        <v>-0.8191476607</v>
      </c>
      <c r="Y275" s="46">
        <f>IFERROR(__xludf.DUMMYFUNCTION("""COMPUTED_VALUE"""),-1.5870326706003557)</f>
        <v>-1.587032671</v>
      </c>
      <c r="Z275" s="46">
        <f>IFERROR(__xludf.DUMMYFUNCTION("""COMPUTED_VALUE"""),-1.3485050559244194)</f>
        <v>-1.348505056</v>
      </c>
      <c r="AA275" s="46">
        <f>IFERROR(__xludf.DUMMYFUNCTION("""COMPUTED_VALUE"""),-0.6425203743558983)</f>
        <v>-0.6425203744</v>
      </c>
      <c r="AB275" s="46">
        <f>IFERROR(__xludf.DUMMYFUNCTION("""COMPUTED_VALUE"""),-0.5270142365493308)</f>
        <v>-0.5270142365</v>
      </c>
      <c r="AC275" s="46">
        <f>IFERROR(__xludf.DUMMYFUNCTION("""COMPUTED_VALUE"""),-0.08143583953623129)</f>
        <v>-0.08143583954</v>
      </c>
      <c r="AD275" s="46">
        <f>IFERROR(__xludf.DUMMYFUNCTION("""COMPUTED_VALUE"""),0.038103391173524945)</f>
        <v>0.03810339117</v>
      </c>
      <c r="AE275" s="46">
        <f>IFERROR(__xludf.DUMMYFUNCTION("""COMPUTED_VALUE"""),0.43299176505743303)</f>
        <v>0.4329917651</v>
      </c>
    </row>
    <row r="276">
      <c r="A276" s="6" t="str">
        <f>IF(VLOOKUP(H276,'Paste #BBall'!$B$2:$N1001,3,)="BRO","BKN",IF(VLOOKUP(H276,'Paste #BBall'!$B$2:$N1001,3,)="OKL","OKC",VLOOKUP(H276,'Paste #BBall'!$B$2:$N1001,3,)))</f>
        <v>SA</v>
      </c>
      <c r="B276" s="42">
        <f>VLOOKUP($A276,Schedule!$C$2:$G$31,2,0)</f>
        <v>3</v>
      </c>
      <c r="C276" s="42">
        <f>VLOOKUP($A276,Schedule!$C$2:$G$31,3,0)</f>
        <v>4</v>
      </c>
      <c r="D276" s="42">
        <f>VLOOKUP($A276,Schedule!$C$2:$G$31,4,0)</f>
        <v>3</v>
      </c>
      <c r="E276" s="42">
        <f t="shared" si="1"/>
        <v>10</v>
      </c>
      <c r="F276" s="6">
        <v>270.0</v>
      </c>
      <c r="G276" s="45">
        <f>IFERROR(__xludf.DUMMYFUNCTION("""COMPUTED_VALUE"""),263.0)</f>
        <v>263</v>
      </c>
      <c r="H276" s="45" t="str">
        <f>IFERROR(__xludf.DUMMYFUNCTION("""COMPUTED_VALUE"""),"Malaki Branham")</f>
        <v>Malaki Branham</v>
      </c>
      <c r="I276" s="45">
        <f>IFERROR(__xludf.DUMMYFUNCTION("""COMPUTED_VALUE"""),70.0)</f>
        <v>70</v>
      </c>
      <c r="J276" s="46" t="str">
        <f>IFERROR(__xludf.DUMMYFUNCTION("""COMPUTED_VALUE"""),"PG,SG,SF")</f>
        <v>PG,SG,SF</v>
      </c>
      <c r="K276" s="46">
        <f>IFERROR(__xludf.DUMMYFUNCTION("""COMPUTED_VALUE"""),-6.994963162147068)</f>
        <v>-6.994963162</v>
      </c>
      <c r="L276" s="47">
        <f>IFERROR(__xludf.DUMMYFUNCTION("""COMPUTED_VALUE"""),-4.569382973345631)</f>
        <v>-4.569382973</v>
      </c>
      <c r="M276" s="47">
        <f>IFERROR(__xludf.DUMMYFUNCTION("""COMPUTED_VALUE"""),2.4255801888014368)</f>
        <v>2.425580189</v>
      </c>
      <c r="N276" s="47">
        <f>IFERROR(__xludf.DUMMYFUNCTION("""COMPUTED_VALUE"""),10.5)</f>
        <v>10.5</v>
      </c>
      <c r="O276" s="47">
        <f>IFERROR(__xludf.DUMMYFUNCTION("""COMPUTED_VALUE"""),1.2)</f>
        <v>1.2</v>
      </c>
      <c r="P276" s="47">
        <f>IFERROR(__xludf.DUMMYFUNCTION("""COMPUTED_VALUE"""),2.8)</f>
        <v>2.8</v>
      </c>
      <c r="Q276" s="48">
        <f>IFERROR(__xludf.DUMMYFUNCTION("""COMPUTED_VALUE"""),2.0)</f>
        <v>2</v>
      </c>
      <c r="R276" s="47">
        <f>IFERROR(__xludf.DUMMYFUNCTION("""COMPUTED_VALUE"""),0.5)</f>
        <v>0.5</v>
      </c>
      <c r="S276" s="47">
        <f>IFERROR(__xludf.DUMMYFUNCTION("""COMPUTED_VALUE"""),0.1)</f>
        <v>0.1</v>
      </c>
      <c r="T276" s="47">
        <f>IFERROR(__xludf.DUMMYFUNCTION("""COMPUTED_VALUE"""),43.75000000000001)</f>
        <v>43.75</v>
      </c>
      <c r="U276" s="47">
        <f>IFERROR(__xludf.DUMMYFUNCTION("""COMPUTED_VALUE"""),81.81818181818181)</f>
        <v>81.81818182</v>
      </c>
      <c r="V276" s="47">
        <f>IFERROR(__xludf.DUMMYFUNCTION("""COMPUTED_VALUE"""),1.2)</f>
        <v>1.2</v>
      </c>
      <c r="W276" s="46">
        <f>IFERROR(__xludf.DUMMYFUNCTION("""COMPUTED_VALUE"""),-1.1386765536493952)</f>
        <v>-1.138676554</v>
      </c>
      <c r="X276" s="46">
        <f>IFERROR(__xludf.DUMMYFUNCTION("""COMPUTED_VALUE"""),-0.38558326726780967)</f>
        <v>-0.3855832673</v>
      </c>
      <c r="Y276" s="46">
        <f>IFERROR(__xludf.DUMMYFUNCTION("""COMPUTED_VALUE"""),-1.3779558213204914)</f>
        <v>-1.377955821</v>
      </c>
      <c r="Z276" s="46">
        <f>IFERROR(__xludf.DUMMYFUNCTION("""COMPUTED_VALUE"""),-0.9404853718323106)</f>
        <v>-0.9404853718</v>
      </c>
      <c r="AA276" s="46">
        <f>IFERROR(__xludf.DUMMYFUNCTION("""COMPUTED_VALUE"""),-1.0786201759549239)</f>
        <v>-1.078620176</v>
      </c>
      <c r="AB276" s="46">
        <f>IFERROR(__xludf.DUMMYFUNCTION("""COMPUTED_VALUE"""),-0.7896459158928509)</f>
        <v>-0.7896459159</v>
      </c>
      <c r="AC276" s="46">
        <f>IFERROR(__xludf.DUMMYFUNCTION("""COMPUTED_VALUE"""),-0.5608132852508899)</f>
        <v>-0.5608132853</v>
      </c>
      <c r="AD276" s="46">
        <f>IFERROR(__xludf.DUMMYFUNCTION("""COMPUTED_VALUE"""),0.07772735943349546)</f>
        <v>0.07772735943</v>
      </c>
      <c r="AE276" s="46">
        <f>IFERROR(__xludf.DUMMYFUNCTION("""COMPUTED_VALUE"""),0.24671423706905354)</f>
        <v>0.2467142371</v>
      </c>
    </row>
    <row r="277">
      <c r="A277" s="6" t="str">
        <f>IF(VLOOKUP(H277,'Paste #BBall'!$B$2:$N1001,3,)="BRO","BKN",IF(VLOOKUP(H277,'Paste #BBall'!$B$2:$N1001,3,)="OKL","OKC",VLOOKUP(H277,'Paste #BBall'!$B$2:$N1001,3,)))</f>
        <v>DET</v>
      </c>
      <c r="B277" s="42">
        <f>VLOOKUP($A277,Schedule!$C$2:$G$31,2,0)</f>
        <v>3</v>
      </c>
      <c r="C277" s="42">
        <f>VLOOKUP($A277,Schedule!$C$2:$G$31,3,0)</f>
        <v>4</v>
      </c>
      <c r="D277" s="42">
        <f>VLOOKUP($A277,Schedule!$C$2:$G$31,4,0)</f>
        <v>4</v>
      </c>
      <c r="E277" s="42">
        <f t="shared" si="1"/>
        <v>11</v>
      </c>
      <c r="F277" s="6">
        <v>271.0</v>
      </c>
      <c r="G277" s="45">
        <f>IFERROR(__xludf.DUMMYFUNCTION("""COMPUTED_VALUE"""),285.0)</f>
        <v>285</v>
      </c>
      <c r="H277" s="45" t="str">
        <f>IFERROR(__xludf.DUMMYFUNCTION("""COMPUTED_VALUE"""),"Monte Morris")</f>
        <v>Monte Morris</v>
      </c>
      <c r="I277" s="45">
        <f>IFERROR(__xludf.DUMMYFUNCTION("""COMPUTED_VALUE"""),68.0)</f>
        <v>68</v>
      </c>
      <c r="J277" s="46" t="str">
        <f>IFERROR(__xludf.DUMMYFUNCTION("""COMPUTED_VALUE"""),"PG")</f>
        <v>PG</v>
      </c>
      <c r="K277" s="46">
        <f>IFERROR(__xludf.DUMMYFUNCTION("""COMPUTED_VALUE"""),-7.714248620321445)</f>
        <v>-7.71424862</v>
      </c>
      <c r="L277" s="47">
        <f>IFERROR(__xludf.DUMMYFUNCTION("""COMPUTED_VALUE"""),-4.588316943292075)</f>
        <v>-4.588316943</v>
      </c>
      <c r="M277" s="47">
        <f>IFERROR(__xludf.DUMMYFUNCTION("""COMPUTED_VALUE"""),3.12593167702937)</f>
        <v>3.125931677</v>
      </c>
      <c r="N277" s="47">
        <f>IFERROR(__xludf.DUMMYFUNCTION("""COMPUTED_VALUE"""),6.6)</f>
        <v>6.6</v>
      </c>
      <c r="O277" s="47">
        <f>IFERROR(__xludf.DUMMYFUNCTION("""COMPUTED_VALUE"""),0.9)</f>
        <v>0.9</v>
      </c>
      <c r="P277" s="47">
        <f>IFERROR(__xludf.DUMMYFUNCTION("""COMPUTED_VALUE"""),1.8)</f>
        <v>1.8</v>
      </c>
      <c r="Q277" s="48">
        <f>IFERROR(__xludf.DUMMYFUNCTION("""COMPUTED_VALUE"""),2.8)</f>
        <v>2.8</v>
      </c>
      <c r="R277" s="47">
        <f>IFERROR(__xludf.DUMMYFUNCTION("""COMPUTED_VALUE"""),0.4)</f>
        <v>0.4</v>
      </c>
      <c r="S277" s="47">
        <f>IFERROR(__xludf.DUMMYFUNCTION("""COMPUTED_VALUE"""),0.1)</f>
        <v>0.1</v>
      </c>
      <c r="T277" s="47">
        <f>IFERROR(__xludf.DUMMYFUNCTION("""COMPUTED_VALUE"""),48.148148148148145)</f>
        <v>48.14814815</v>
      </c>
      <c r="U277" s="47">
        <f>IFERROR(__xludf.DUMMYFUNCTION("""COMPUTED_VALUE"""),85.71428571428572)</f>
        <v>85.71428571</v>
      </c>
      <c r="V277" s="47">
        <f>IFERROR(__xludf.DUMMYFUNCTION("""COMPUTED_VALUE"""),0.6)</f>
        <v>0.6</v>
      </c>
      <c r="W277" s="46">
        <f>IFERROR(__xludf.DUMMYFUNCTION("""COMPUTED_VALUE"""),-1.795929423787428)</f>
        <v>-1.795929424</v>
      </c>
      <c r="X277" s="46">
        <f>IFERROR(__xludf.DUMMYFUNCTION("""COMPUTED_VALUE"""),-0.6457219033555379)</f>
        <v>-0.6457219034</v>
      </c>
      <c r="Y277" s="46">
        <f>IFERROR(__xludf.DUMMYFUNCTION("""COMPUTED_VALUE"""),-1.79610951988022)</f>
        <v>-1.79610952</v>
      </c>
      <c r="Z277" s="46">
        <f>IFERROR(__xludf.DUMMYFUNCTION("""COMPUTED_VALUE"""),-0.5324656877402022)</f>
        <v>-0.5324656877</v>
      </c>
      <c r="AA277" s="46">
        <f>IFERROR(__xludf.DUMMYFUNCTION("""COMPUTED_VALUE"""),-1.2966700767544366)</f>
        <v>-1.296670077</v>
      </c>
      <c r="AB277" s="46">
        <f>IFERROR(__xludf.DUMMYFUNCTION("""COMPUTED_VALUE"""),-0.7896459158928509)</f>
        <v>-0.7896459159</v>
      </c>
      <c r="AC277" s="46">
        <f>IFERROR(__xludf.DUMMYFUNCTION("""COMPUTED_VALUE"""),-0.07822702851252061)</f>
        <v>-0.07822702851</v>
      </c>
      <c r="AD277" s="46">
        <f>IFERROR(__xludf.DUMMYFUNCTION("""COMPUTED_VALUE"""),0.11735132769346612)</f>
        <v>0.1173513277</v>
      </c>
      <c r="AE277" s="46">
        <f>IFERROR(__xludf.DUMMYFUNCTION("""COMPUTED_VALUE"""),0.43299176505743303)</f>
        <v>0.4329917651</v>
      </c>
    </row>
    <row r="278">
      <c r="A278" s="6" t="str">
        <f>IF(VLOOKUP(H278,'Paste #BBall'!$B$2:$N1001,3,)="BRO","BKN",IF(VLOOKUP(H278,'Paste #BBall'!$B$2:$N1001,3,)="OKL","OKC",VLOOKUP(H278,'Paste #BBall'!$B$2:$N1001,3,)))</f>
        <v>ORL</v>
      </c>
      <c r="B278" s="42">
        <f>VLOOKUP($A278,Schedule!$C$2:$G$31,2,0)</f>
        <v>4</v>
      </c>
      <c r="C278" s="42">
        <f>VLOOKUP($A278,Schedule!$C$2:$G$31,3,0)</f>
        <v>3</v>
      </c>
      <c r="D278" s="42">
        <f>VLOOKUP($A278,Schedule!$C$2:$G$31,4,0)</f>
        <v>3</v>
      </c>
      <c r="E278" s="42">
        <f t="shared" si="1"/>
        <v>10</v>
      </c>
      <c r="F278" s="6">
        <v>272.0</v>
      </c>
      <c r="G278" s="45">
        <f>IFERROR(__xludf.DUMMYFUNCTION("""COMPUTED_VALUE"""),292.0)</f>
        <v>292</v>
      </c>
      <c r="H278" s="45" t="str">
        <f>IFERROR(__xludf.DUMMYFUNCTION("""COMPUTED_VALUE"""),"Joe Ingles")</f>
        <v>Joe Ingles</v>
      </c>
      <c r="I278" s="45">
        <f>IFERROR(__xludf.DUMMYFUNCTION("""COMPUTED_VALUE"""),60.0)</f>
        <v>60</v>
      </c>
      <c r="J278" s="46" t="str">
        <f>IFERROR(__xludf.DUMMYFUNCTION("""COMPUTED_VALUE"""),"SF,PF")</f>
        <v>SF,PF</v>
      </c>
      <c r="K278" s="46">
        <f>IFERROR(__xludf.DUMMYFUNCTION("""COMPUTED_VALUE"""),-7.878121069072864)</f>
        <v>-7.878121069</v>
      </c>
      <c r="L278" s="47">
        <f>IFERROR(__xludf.DUMMYFUNCTION("""COMPUTED_VALUE"""),-4.589079390385537)</f>
        <v>-4.58907939</v>
      </c>
      <c r="M278" s="47">
        <f>IFERROR(__xludf.DUMMYFUNCTION("""COMPUTED_VALUE"""),3.289041678687327)</f>
        <v>3.289041679</v>
      </c>
      <c r="N278" s="47">
        <f>IFERROR(__xludf.DUMMYFUNCTION("""COMPUTED_VALUE"""),5.0)</f>
        <v>5</v>
      </c>
      <c r="O278" s="47">
        <f>IFERROR(__xludf.DUMMYFUNCTION("""COMPUTED_VALUE"""),1.3)</f>
        <v>1.3</v>
      </c>
      <c r="P278" s="47">
        <f>IFERROR(__xludf.DUMMYFUNCTION("""COMPUTED_VALUE"""),2.0)</f>
        <v>2</v>
      </c>
      <c r="Q278" s="48">
        <f>IFERROR(__xludf.DUMMYFUNCTION("""COMPUTED_VALUE"""),2.4)</f>
        <v>2.4</v>
      </c>
      <c r="R278" s="47">
        <f>IFERROR(__xludf.DUMMYFUNCTION("""COMPUTED_VALUE"""),0.4)</f>
        <v>0.4</v>
      </c>
      <c r="S278" s="47">
        <f>IFERROR(__xludf.DUMMYFUNCTION("""COMPUTED_VALUE"""),0.1)</f>
        <v>0.1</v>
      </c>
      <c r="T278" s="47">
        <f>IFERROR(__xludf.DUMMYFUNCTION("""COMPUTED_VALUE"""),42.857142857142854)</f>
        <v>42.85714286</v>
      </c>
      <c r="U278" s="47">
        <f>IFERROR(__xludf.DUMMYFUNCTION("""COMPUTED_VALUE"""),100.0)</f>
        <v>100</v>
      </c>
      <c r="V278" s="47">
        <f>IFERROR(__xludf.DUMMYFUNCTION("""COMPUTED_VALUE"""),0.8)</f>
        <v>0.8</v>
      </c>
      <c r="W278" s="46">
        <f>IFERROR(__xludf.DUMMYFUNCTION("""COMPUTED_VALUE"""),-2.06557162692098)</f>
        <v>-2.065571627</v>
      </c>
      <c r="X278" s="46">
        <f>IFERROR(__xludf.DUMMYFUNCTION("""COMPUTED_VALUE"""),-0.2988703885719002)</f>
        <v>-0.2988703886</v>
      </c>
      <c r="Y278" s="46">
        <f>IFERROR(__xludf.DUMMYFUNCTION("""COMPUTED_VALUE"""),-1.7124787801682742)</f>
        <v>-1.71247878</v>
      </c>
      <c r="Z278" s="46">
        <f>IFERROR(__xludf.DUMMYFUNCTION("""COMPUTED_VALUE"""),-0.7364755297862564)</f>
        <v>-0.7364755298</v>
      </c>
      <c r="AA278" s="46">
        <f>IFERROR(__xludf.DUMMYFUNCTION("""COMPUTED_VALUE"""),-1.2966700767544366)</f>
        <v>-1.296670077</v>
      </c>
      <c r="AB278" s="46">
        <f>IFERROR(__xludf.DUMMYFUNCTION("""COMPUTED_VALUE"""),-0.7896459158928509)</f>
        <v>-0.7896459159</v>
      </c>
      <c r="AC278" s="46">
        <f>IFERROR(__xludf.DUMMYFUNCTION("""COMPUTED_VALUE"""),-0.2828132508932287)</f>
        <v>-0.2828132509</v>
      </c>
      <c r="AD278" s="46">
        <f>IFERROR(__xludf.DUMMYFUNCTION("""COMPUTED_VALUE"""),0.15697529595343646)</f>
        <v>0.156975296</v>
      </c>
      <c r="AE278" s="46">
        <f>IFERROR(__xludf.DUMMYFUNCTION("""COMPUTED_VALUE"""),0.37089925572797316)</f>
        <v>0.3708992557</v>
      </c>
    </row>
    <row r="279">
      <c r="A279" s="6" t="str">
        <f>IF(VLOOKUP(H279,'Paste #BBall'!$B$2:$N1001,3,)="BRO","BKN",IF(VLOOKUP(H279,'Paste #BBall'!$B$2:$N1001,3,)="OKL","OKC",VLOOKUP(H279,'Paste #BBall'!$B$2:$N1001,3,)))</f>
        <v>LAC</v>
      </c>
      <c r="B279" s="42">
        <f>VLOOKUP($A279,Schedule!$C$2:$G$31,2,0)</f>
        <v>4</v>
      </c>
      <c r="C279" s="42">
        <f>VLOOKUP($A279,Schedule!$C$2:$G$31,3,0)</f>
        <v>4</v>
      </c>
      <c r="D279" s="42">
        <f>VLOOKUP($A279,Schedule!$C$2:$G$31,4,0)</f>
        <v>3</v>
      </c>
      <c r="E279" s="42">
        <f t="shared" si="1"/>
        <v>11</v>
      </c>
      <c r="F279" s="6">
        <v>273.0</v>
      </c>
      <c r="G279" s="45">
        <f>IFERROR(__xludf.DUMMYFUNCTION("""COMPUTED_VALUE"""),282.0)</f>
        <v>282</v>
      </c>
      <c r="H279" s="45" t="str">
        <f>IFERROR(__xludf.DUMMYFUNCTION("""COMPUTED_VALUE"""),"Robert Covington")</f>
        <v>Robert Covington</v>
      </c>
      <c r="I279" s="45">
        <f>IFERROR(__xludf.DUMMYFUNCTION("""COMPUTED_VALUE"""),33.0)</f>
        <v>33</v>
      </c>
      <c r="J279" s="46" t="str">
        <f>IFERROR(__xludf.DUMMYFUNCTION("""COMPUTED_VALUE"""),"SF,PF")</f>
        <v>SF,PF</v>
      </c>
      <c r="K279" s="46">
        <f>IFERROR(__xludf.DUMMYFUNCTION("""COMPUTED_VALUE"""),-7.658567237470805)</f>
        <v>-7.658567237</v>
      </c>
      <c r="L279" s="47">
        <f>IFERROR(__xludf.DUMMYFUNCTION("""COMPUTED_VALUE"""),-4.592731825831586)</f>
        <v>-4.592731826</v>
      </c>
      <c r="M279" s="47">
        <f>IFERROR(__xludf.DUMMYFUNCTION("""COMPUTED_VALUE"""),3.0658354116392195)</f>
        <v>3.065835412</v>
      </c>
      <c r="N279" s="47">
        <f>IFERROR(__xludf.DUMMYFUNCTION("""COMPUTED_VALUE"""),4.1)</f>
        <v>4.1</v>
      </c>
      <c r="O279" s="47">
        <f>IFERROR(__xludf.DUMMYFUNCTION("""COMPUTED_VALUE"""),0.8)</f>
        <v>0.8</v>
      </c>
      <c r="P279" s="47">
        <f>IFERROR(__xludf.DUMMYFUNCTION("""COMPUTED_VALUE"""),2.5)</f>
        <v>2.5</v>
      </c>
      <c r="Q279" s="48">
        <f>IFERROR(__xludf.DUMMYFUNCTION("""COMPUTED_VALUE"""),0.7)</f>
        <v>0.7</v>
      </c>
      <c r="R279" s="47">
        <f>IFERROR(__xludf.DUMMYFUNCTION("""COMPUTED_VALUE"""),0.6)</f>
        <v>0.6</v>
      </c>
      <c r="S279" s="47">
        <f>IFERROR(__xludf.DUMMYFUNCTION("""COMPUTED_VALUE"""),0.6)</f>
        <v>0.6</v>
      </c>
      <c r="T279" s="47">
        <f>IFERROR(__xludf.DUMMYFUNCTION("""COMPUTED_VALUE"""),42.42424242424242)</f>
        <v>42.42424242</v>
      </c>
      <c r="U279" s="47">
        <f>IFERROR(__xludf.DUMMYFUNCTION("""COMPUTED_VALUE"""),80.0)</f>
        <v>80</v>
      </c>
      <c r="V279" s="47">
        <f>IFERROR(__xludf.DUMMYFUNCTION("""COMPUTED_VALUE"""),0.5)</f>
        <v>0.5</v>
      </c>
      <c r="W279" s="46">
        <f>IFERROR(__xludf.DUMMYFUNCTION("""COMPUTED_VALUE"""),-2.2172453661836027)</f>
        <v>-2.217245366</v>
      </c>
      <c r="X279" s="46">
        <f>IFERROR(__xludf.DUMMYFUNCTION("""COMPUTED_VALUE"""),-0.7324347820514473)</f>
        <v>-0.7324347821</v>
      </c>
      <c r="Y279" s="46">
        <f>IFERROR(__xludf.DUMMYFUNCTION("""COMPUTED_VALUE"""),-1.50340193088841)</f>
        <v>-1.503401931</v>
      </c>
      <c r="Z279" s="46">
        <f>IFERROR(__xludf.DUMMYFUNCTION("""COMPUTED_VALUE"""),-1.603517358481987)</f>
        <v>-1.603517358</v>
      </c>
      <c r="AA279" s="46">
        <f>IFERROR(__xludf.DUMMYFUNCTION("""COMPUTED_VALUE"""),-0.860570275155411)</f>
        <v>-0.8605702752</v>
      </c>
      <c r="AB279" s="46">
        <f>IFERROR(__xludf.DUMMYFUNCTION("""COMPUTED_VALUE"""),-0.13306671753405044)</f>
        <v>-0.1330667175</v>
      </c>
      <c r="AC279" s="46">
        <f>IFERROR(__xludf.DUMMYFUNCTION("""COMPUTED_VALUE"""),-0.23647991183361822)</f>
        <v>-0.2364799118</v>
      </c>
      <c r="AD279" s="46">
        <f>IFERROR(__xludf.DUMMYFUNCTION("""COMPUTED_VALUE"""),0.01270113039117512)</f>
        <v>0.01270113039</v>
      </c>
      <c r="AE279" s="46">
        <f>IFERROR(__xludf.DUMMYFUNCTION("""COMPUTED_VALUE"""),0.4640380197221629)</f>
        <v>0.4640380197</v>
      </c>
    </row>
    <row r="280">
      <c r="A280" s="6" t="str">
        <f>IF(VLOOKUP(H280,'Paste #BBall'!$B$2:$N1001,3,)="BRO","BKN",IF(VLOOKUP(H280,'Paste #BBall'!$B$2:$N1001,3,)="OKL","OKC",VLOOKUP(H280,'Paste #BBall'!$B$2:$N1001,3,)))</f>
        <v>IND</v>
      </c>
      <c r="B280" s="42">
        <f>VLOOKUP($A280,Schedule!$C$2:$G$31,2,0)</f>
        <v>3</v>
      </c>
      <c r="C280" s="42">
        <f>VLOOKUP($A280,Schedule!$C$2:$G$31,3,0)</f>
        <v>3</v>
      </c>
      <c r="D280" s="42">
        <f>VLOOKUP($A280,Schedule!$C$2:$G$31,4,0)</f>
        <v>4</v>
      </c>
      <c r="E280" s="42">
        <f t="shared" si="1"/>
        <v>10</v>
      </c>
      <c r="F280" s="6">
        <v>274.0</v>
      </c>
      <c r="G280" s="45">
        <f>IFERROR(__xludf.DUMMYFUNCTION("""COMPUTED_VALUE"""),289.0)</f>
        <v>289</v>
      </c>
      <c r="H280" s="45" t="str">
        <f>IFERROR(__xludf.DUMMYFUNCTION("""COMPUTED_VALUE"""),"T.J. McConnell")</f>
        <v>T.J. McConnell</v>
      </c>
      <c r="I280" s="45">
        <f>IFERROR(__xludf.DUMMYFUNCTION("""COMPUTED_VALUE"""),58.0)</f>
        <v>58</v>
      </c>
      <c r="J280" s="46" t="str">
        <f>IFERROR(__xludf.DUMMYFUNCTION("""COMPUTED_VALUE"""),"PG")</f>
        <v>PG</v>
      </c>
      <c r="K280" s="46">
        <f>IFERROR(__xludf.DUMMYFUNCTION("""COMPUTED_VALUE"""),-7.818589424244623)</f>
        <v>-7.818589424</v>
      </c>
      <c r="L280" s="47">
        <f>IFERROR(__xludf.DUMMYFUNCTION("""COMPUTED_VALUE"""),-4.641715744202496)</f>
        <v>-4.641715744</v>
      </c>
      <c r="M280" s="47">
        <f>IFERROR(__xludf.DUMMYFUNCTION("""COMPUTED_VALUE"""),3.176873680042127)</f>
        <v>3.17687368</v>
      </c>
      <c r="N280" s="47">
        <f>IFERROR(__xludf.DUMMYFUNCTION("""COMPUTED_VALUE"""),4.9)</f>
        <v>4.9</v>
      </c>
      <c r="O280" s="47">
        <f>IFERROR(__xludf.DUMMYFUNCTION("""COMPUTED_VALUE"""),0.2)</f>
        <v>0.2</v>
      </c>
      <c r="P280" s="47">
        <f>IFERROR(__xludf.DUMMYFUNCTION("""COMPUTED_VALUE"""),1.8)</f>
        <v>1.8</v>
      </c>
      <c r="Q280" s="48">
        <f>IFERROR(__xludf.DUMMYFUNCTION("""COMPUTED_VALUE"""),3.0)</f>
        <v>3</v>
      </c>
      <c r="R280" s="47">
        <f>IFERROR(__xludf.DUMMYFUNCTION("""COMPUTED_VALUE"""),0.6)</f>
        <v>0.6</v>
      </c>
      <c r="S280" s="47">
        <f>IFERROR(__xludf.DUMMYFUNCTION("""COMPUTED_VALUE"""),0.1)</f>
        <v>0.1</v>
      </c>
      <c r="T280" s="47">
        <f>IFERROR(__xludf.DUMMYFUNCTION("""COMPUTED_VALUE"""),53.658536585365866)</f>
        <v>53.65853659</v>
      </c>
      <c r="U280" s="47">
        <f>IFERROR(__xludf.DUMMYFUNCTION("""COMPUTED_VALUE"""),80.0)</f>
        <v>80</v>
      </c>
      <c r="V280" s="47">
        <f>IFERROR(__xludf.DUMMYFUNCTION("""COMPUTED_VALUE"""),1.0)</f>
        <v>1</v>
      </c>
      <c r="W280" s="46">
        <f>IFERROR(__xludf.DUMMYFUNCTION("""COMPUTED_VALUE"""),-2.0824242646168267)</f>
        <v>-2.082424265</v>
      </c>
      <c r="X280" s="46">
        <f>IFERROR(__xludf.DUMMYFUNCTION("""COMPUTED_VALUE"""),-1.252712054226904)</f>
        <v>-1.252712054</v>
      </c>
      <c r="Y280" s="46">
        <f>IFERROR(__xludf.DUMMYFUNCTION("""COMPUTED_VALUE"""),-1.79610951988022)</f>
        <v>-1.79610952</v>
      </c>
      <c r="Z280" s="46">
        <f>IFERROR(__xludf.DUMMYFUNCTION("""COMPUTED_VALUE"""),-0.4304607667171749)</f>
        <v>-0.4304607667</v>
      </c>
      <c r="AA280" s="46">
        <f>IFERROR(__xludf.DUMMYFUNCTION("""COMPUTED_VALUE"""),-0.860570275155411)</f>
        <v>-0.8605702752</v>
      </c>
      <c r="AB280" s="46">
        <f>IFERROR(__xludf.DUMMYFUNCTION("""COMPUTED_VALUE"""),-0.7896459158928509)</f>
        <v>-0.7896459159</v>
      </c>
      <c r="AC280" s="46">
        <f>IFERROR(__xludf.DUMMYFUNCTION("""COMPUTED_VALUE"""),0.16627491088037621)</f>
        <v>0.1662749109</v>
      </c>
      <c r="AD280" s="46">
        <f>IFERROR(__xludf.DUMMYFUNCTION("""COMPUTED_VALUE"""),0.01270113039117512)</f>
        <v>0.01270113039</v>
      </c>
      <c r="AE280" s="46">
        <f>IFERROR(__xludf.DUMMYFUNCTION("""COMPUTED_VALUE"""),0.30880674639851335)</f>
        <v>0.3088067464</v>
      </c>
    </row>
    <row r="281">
      <c r="A281" s="6" t="str">
        <f>IF(VLOOKUP(H281,'Paste #BBall'!$B$2:$N1001,3,)="BRO","BKN",IF(VLOOKUP(H281,'Paste #BBall'!$B$2:$N1001,3,)="OKL","OKC",VLOOKUP(H281,'Paste #BBall'!$B$2:$N1001,3,)))</f>
        <v>CHI</v>
      </c>
      <c r="B281" s="42">
        <f>VLOOKUP($A281,Schedule!$C$2:$G$31,2,0)</f>
        <v>4</v>
      </c>
      <c r="C281" s="42">
        <f>VLOOKUP($A281,Schedule!$C$2:$G$31,3,0)</f>
        <v>4</v>
      </c>
      <c r="D281" s="42">
        <f>VLOOKUP($A281,Schedule!$C$2:$G$31,4,0)</f>
        <v>3</v>
      </c>
      <c r="E281" s="42">
        <f t="shared" si="1"/>
        <v>11</v>
      </c>
      <c r="F281" s="6">
        <v>275.0</v>
      </c>
      <c r="G281" s="45">
        <f>IFERROR(__xludf.DUMMYFUNCTION("""COMPUTED_VALUE"""),286.0)</f>
        <v>286</v>
      </c>
      <c r="H281" s="45" t="str">
        <f>IFERROR(__xludf.DUMMYFUNCTION("""COMPUTED_VALUE"""),"Torrey Craig")</f>
        <v>Torrey Craig</v>
      </c>
      <c r="I281" s="45">
        <f>IFERROR(__xludf.DUMMYFUNCTION("""COMPUTED_VALUE"""),70.0)</f>
        <v>70</v>
      </c>
      <c r="J281" s="46" t="str">
        <f>IFERROR(__xludf.DUMMYFUNCTION("""COMPUTED_VALUE"""),"SF,PF")</f>
        <v>SF,PF</v>
      </c>
      <c r="K281" s="46">
        <f>IFERROR(__xludf.DUMMYFUNCTION("""COMPUTED_VALUE"""),-7.7244594289726125)</f>
        <v>-7.724459429</v>
      </c>
      <c r="L281" s="47">
        <f>IFERROR(__xludf.DUMMYFUNCTION("""COMPUTED_VALUE"""),-4.669413361639687)</f>
        <v>-4.669413362</v>
      </c>
      <c r="M281" s="47">
        <f>IFERROR(__xludf.DUMMYFUNCTION("""COMPUTED_VALUE"""),3.055046067332926)</f>
        <v>3.055046067</v>
      </c>
      <c r="N281" s="47">
        <f>IFERROR(__xludf.DUMMYFUNCTION("""COMPUTED_VALUE"""),5.1)</f>
        <v>5.1</v>
      </c>
      <c r="O281" s="47">
        <f>IFERROR(__xludf.DUMMYFUNCTION("""COMPUTED_VALUE"""),0.8)</f>
        <v>0.8</v>
      </c>
      <c r="P281" s="47">
        <f>IFERROR(__xludf.DUMMYFUNCTION("""COMPUTED_VALUE"""),3.4)</f>
        <v>3.4</v>
      </c>
      <c r="Q281" s="48">
        <f>IFERROR(__xludf.DUMMYFUNCTION("""COMPUTED_VALUE"""),1.0)</f>
        <v>1</v>
      </c>
      <c r="R281" s="47">
        <f>IFERROR(__xludf.DUMMYFUNCTION("""COMPUTED_VALUE"""),0.5)</f>
        <v>0.5</v>
      </c>
      <c r="S281" s="47">
        <f>IFERROR(__xludf.DUMMYFUNCTION("""COMPUTED_VALUE"""),0.5)</f>
        <v>0.5</v>
      </c>
      <c r="T281" s="47">
        <f>IFERROR(__xludf.DUMMYFUNCTION("""COMPUTED_VALUE"""),45.45454545454545)</f>
        <v>45.45454545</v>
      </c>
      <c r="U281" s="47">
        <f>IFERROR(__xludf.DUMMYFUNCTION("""COMPUTED_VALUE"""),60.0)</f>
        <v>60</v>
      </c>
      <c r="V281" s="47">
        <f>IFERROR(__xludf.DUMMYFUNCTION("""COMPUTED_VALUE"""),0.7)</f>
        <v>0.7</v>
      </c>
      <c r="W281" s="46">
        <f>IFERROR(__xludf.DUMMYFUNCTION("""COMPUTED_VALUE"""),-2.048718989225133)</f>
        <v>-2.048718989</v>
      </c>
      <c r="X281" s="46">
        <f>IFERROR(__xludf.DUMMYFUNCTION("""COMPUTED_VALUE"""),-0.7324347820514473)</f>
        <v>-0.7324347821</v>
      </c>
      <c r="Y281" s="46">
        <f>IFERROR(__xludf.DUMMYFUNCTION("""COMPUTED_VALUE"""),-1.1270636021846543)</f>
        <v>-1.127063602</v>
      </c>
      <c r="Z281" s="46">
        <f>IFERROR(__xludf.DUMMYFUNCTION("""COMPUTED_VALUE"""),-1.4505099769474463)</f>
        <v>-1.450509977</v>
      </c>
      <c r="AA281" s="46">
        <f>IFERROR(__xludf.DUMMYFUNCTION("""COMPUTED_VALUE"""),-1.0786201759549239)</f>
        <v>-1.078620176</v>
      </c>
      <c r="AB281" s="46">
        <f>IFERROR(__xludf.DUMMYFUNCTION("""COMPUTED_VALUE"""),-0.2643825572058105)</f>
        <v>-0.2643825572</v>
      </c>
      <c r="AC281" s="46">
        <f>IFERROR(__xludf.DUMMYFUNCTION("""COMPUTED_VALUE"""),-0.1821245452147302)</f>
        <v>-0.1821245452</v>
      </c>
      <c r="AD281" s="46">
        <f>IFERROR(__xludf.DUMMYFUNCTION("""COMPUTED_VALUE"""),-0.2362232324733773)</f>
        <v>-0.2362232325</v>
      </c>
      <c r="AE281" s="46">
        <f>IFERROR(__xludf.DUMMYFUNCTION("""COMPUTED_VALUE"""),0.4019455103927031)</f>
        <v>0.4019455104</v>
      </c>
    </row>
    <row r="282">
      <c r="A282" s="6" t="str">
        <f>IF(VLOOKUP(H282,'Paste #BBall'!$B$2:$N1001,3,)="BRO","BKN",IF(VLOOKUP(H282,'Paste #BBall'!$B$2:$N1001,3,)="OKL","OKC",VLOOKUP(H282,'Paste #BBall'!$B$2:$N1001,3,)))</f>
        <v>UTA</v>
      </c>
      <c r="B282" s="42">
        <f>VLOOKUP($A282,Schedule!$C$2:$G$31,2,0)</f>
        <v>3</v>
      </c>
      <c r="C282" s="42">
        <f>VLOOKUP($A282,Schedule!$C$2:$G$31,3,0)</f>
        <v>3</v>
      </c>
      <c r="D282" s="42">
        <f>VLOOKUP($A282,Schedule!$C$2:$G$31,4,0)</f>
        <v>4</v>
      </c>
      <c r="E282" s="42">
        <f t="shared" si="1"/>
        <v>10</v>
      </c>
      <c r="F282" s="6">
        <v>276.0</v>
      </c>
      <c r="G282" s="45">
        <f>IFERROR(__xludf.DUMMYFUNCTION("""COMPUTED_VALUE"""),276.0)</f>
        <v>276</v>
      </c>
      <c r="H282" s="45" t="str">
        <f>IFERROR(__xludf.DUMMYFUNCTION("""COMPUTED_VALUE"""),"Ochai Agbaji")</f>
        <v>Ochai Agbaji</v>
      </c>
      <c r="I282" s="45">
        <f>IFERROR(__xludf.DUMMYFUNCTION("""COMPUTED_VALUE"""),68.0)</f>
        <v>68</v>
      </c>
      <c r="J282" s="46" t="str">
        <f>IFERROR(__xludf.DUMMYFUNCTION("""COMPUTED_VALUE"""),"PG,SG")</f>
        <v>PG,SG</v>
      </c>
      <c r="K282" s="46">
        <f>IFERROR(__xludf.DUMMYFUNCTION("""COMPUTED_VALUE"""),-7.411818670926026)</f>
        <v>-7.411818671</v>
      </c>
      <c r="L282" s="47">
        <f>IFERROR(__xludf.DUMMYFUNCTION("""COMPUTED_VALUE"""),-4.685908881267222)</f>
        <v>-4.685908881</v>
      </c>
      <c r="M282" s="47">
        <f>IFERROR(__xludf.DUMMYFUNCTION("""COMPUTED_VALUE"""),2.725909789658804)</f>
        <v>2.72590979</v>
      </c>
      <c r="N282" s="47">
        <f>IFERROR(__xludf.DUMMYFUNCTION("""COMPUTED_VALUE"""),9.0)</f>
        <v>9</v>
      </c>
      <c r="O282" s="47">
        <f>IFERROR(__xludf.DUMMYFUNCTION("""COMPUTED_VALUE"""),1.6)</f>
        <v>1.6</v>
      </c>
      <c r="P282" s="47">
        <f>IFERROR(__xludf.DUMMYFUNCTION("""COMPUTED_VALUE"""),2.3)</f>
        <v>2.3</v>
      </c>
      <c r="Q282" s="48">
        <f>IFERROR(__xludf.DUMMYFUNCTION("""COMPUTED_VALUE"""),1.3)</f>
        <v>1.3</v>
      </c>
      <c r="R282" s="47">
        <f>IFERROR(__xludf.DUMMYFUNCTION("""COMPUTED_VALUE"""),0.3)</f>
        <v>0.3</v>
      </c>
      <c r="S282" s="47">
        <f>IFERROR(__xludf.DUMMYFUNCTION("""COMPUTED_VALUE"""),0.3)</f>
        <v>0.3</v>
      </c>
      <c r="T282" s="47">
        <f>IFERROR(__xludf.DUMMYFUNCTION("""COMPUTED_VALUE"""),43.24324324324324)</f>
        <v>43.24324324</v>
      </c>
      <c r="U282" s="47">
        <f>IFERROR(__xludf.DUMMYFUNCTION("""COMPUTED_VALUE"""),84.61538461538461)</f>
        <v>84.61538462</v>
      </c>
      <c r="V282" s="47">
        <f>IFERROR(__xludf.DUMMYFUNCTION("""COMPUTED_VALUE"""),0.8)</f>
        <v>0.8</v>
      </c>
      <c r="W282" s="46">
        <f>IFERROR(__xludf.DUMMYFUNCTION("""COMPUTED_VALUE"""),-1.3914661190871)</f>
        <v>-1.391466119</v>
      </c>
      <c r="X282" s="46">
        <f>IFERROR(__xludf.DUMMYFUNCTION("""COMPUTED_VALUE"""),-0.03873175248417188)</f>
        <v>-0.03873175248</v>
      </c>
      <c r="Y282" s="46">
        <f>IFERROR(__xludf.DUMMYFUNCTION("""COMPUTED_VALUE"""),-1.5870326706003557)</f>
        <v>-1.587032671</v>
      </c>
      <c r="Z282" s="46">
        <f>IFERROR(__xludf.DUMMYFUNCTION("""COMPUTED_VALUE"""),-1.2975025954129054)</f>
        <v>-1.297502595</v>
      </c>
      <c r="AA282" s="46">
        <f>IFERROR(__xludf.DUMMYFUNCTION("""COMPUTED_VALUE"""),-1.5147199775539493)</f>
        <v>-1.514719978</v>
      </c>
      <c r="AB282" s="46">
        <f>IFERROR(__xludf.DUMMYFUNCTION("""COMPUTED_VALUE"""),-0.5270142365493308)</f>
        <v>-0.5270142365</v>
      </c>
      <c r="AC282" s="46">
        <f>IFERROR(__xludf.DUMMYFUNCTION("""COMPUTED_VALUE"""),-0.46975101264352526)</f>
        <v>-0.4697510126</v>
      </c>
      <c r="AD282" s="46">
        <f>IFERROR(__xludf.DUMMYFUNCTION("""COMPUTED_VALUE"""),0.18237755673578657)</f>
        <v>0.1823775567</v>
      </c>
      <c r="AE282" s="46">
        <f>IFERROR(__xludf.DUMMYFUNCTION("""COMPUTED_VALUE"""),0.37089925572797316)</f>
        <v>0.3708992557</v>
      </c>
    </row>
    <row r="283">
      <c r="A283" s="6" t="str">
        <f>IF(VLOOKUP(H283,'Paste #BBall'!$B$2:$N1001,3,)="BRO","BKN",IF(VLOOKUP(H283,'Paste #BBall'!$B$2:$N1001,3,)="OKL","OKC",VLOOKUP(H283,'Paste #BBall'!$B$2:$N1001,3,)))</f>
        <v>IND</v>
      </c>
      <c r="B283" s="42">
        <f>VLOOKUP($A283,Schedule!$C$2:$G$31,2,0)</f>
        <v>3</v>
      </c>
      <c r="C283" s="42">
        <f>VLOOKUP($A283,Schedule!$C$2:$G$31,3,0)</f>
        <v>3</v>
      </c>
      <c r="D283" s="42">
        <f>VLOOKUP($A283,Schedule!$C$2:$G$31,4,0)</f>
        <v>4</v>
      </c>
      <c r="E283" s="42">
        <f t="shared" si="1"/>
        <v>10</v>
      </c>
      <c r="F283" s="6">
        <v>277.0</v>
      </c>
      <c r="G283" s="45">
        <f>IFERROR(__xludf.DUMMYFUNCTION("""COMPUTED_VALUE"""),270.0)</f>
        <v>270</v>
      </c>
      <c r="H283" s="45" t="str">
        <f>IFERROR(__xludf.DUMMYFUNCTION("""COMPUTED_VALUE"""),"Aaron Nesmith")</f>
        <v>Aaron Nesmith</v>
      </c>
      <c r="I283" s="45">
        <f>IFERROR(__xludf.DUMMYFUNCTION("""COMPUTED_VALUE"""),47.0)</f>
        <v>47</v>
      </c>
      <c r="J283" s="46" t="str">
        <f>IFERROR(__xludf.DUMMYFUNCTION("""COMPUTED_VALUE"""),"SF,PF")</f>
        <v>SF,PF</v>
      </c>
      <c r="K283" s="46">
        <f>IFERROR(__xludf.DUMMYFUNCTION("""COMPUTED_VALUE"""),-7.3214427694742374)</f>
        <v>-7.321442769</v>
      </c>
      <c r="L283" s="47">
        <f>IFERROR(__xludf.DUMMYFUNCTION("""COMPUTED_VALUE"""),-4.704056108531072)</f>
        <v>-4.704056109</v>
      </c>
      <c r="M283" s="47">
        <f>IFERROR(__xludf.DUMMYFUNCTION("""COMPUTED_VALUE"""),2.6173866609431657)</f>
        <v>2.617386661</v>
      </c>
      <c r="N283" s="47">
        <f>IFERROR(__xludf.DUMMYFUNCTION("""COMPUTED_VALUE"""),7.0)</f>
        <v>7</v>
      </c>
      <c r="O283" s="47">
        <f>IFERROR(__xludf.DUMMYFUNCTION("""COMPUTED_VALUE"""),1.1)</f>
        <v>1.1</v>
      </c>
      <c r="P283" s="47">
        <f>IFERROR(__xludf.DUMMYFUNCTION("""COMPUTED_VALUE"""),2.7)</f>
        <v>2.7</v>
      </c>
      <c r="Q283" s="48">
        <f>IFERROR(__xludf.DUMMYFUNCTION("""COMPUTED_VALUE"""),0.9)</f>
        <v>0.9</v>
      </c>
      <c r="R283" s="47">
        <f>IFERROR(__xludf.DUMMYFUNCTION("""COMPUTED_VALUE"""),0.6)</f>
        <v>0.6</v>
      </c>
      <c r="S283" s="47">
        <f>IFERROR(__xludf.DUMMYFUNCTION("""COMPUTED_VALUE"""),0.3)</f>
        <v>0.3</v>
      </c>
      <c r="T283" s="47">
        <f>IFERROR(__xludf.DUMMYFUNCTION("""COMPUTED_VALUE"""),41.37931034482759)</f>
        <v>41.37931034</v>
      </c>
      <c r="U283" s="47">
        <f>IFERROR(__xludf.DUMMYFUNCTION("""COMPUTED_VALUE"""),84.61538461538461)</f>
        <v>84.61538462</v>
      </c>
      <c r="V283" s="47">
        <f>IFERROR(__xludf.DUMMYFUNCTION("""COMPUTED_VALUE"""),0.8)</f>
        <v>0.8</v>
      </c>
      <c r="W283" s="46">
        <f>IFERROR(__xludf.DUMMYFUNCTION("""COMPUTED_VALUE"""),-1.72851887300404)</f>
        <v>-1.728518873</v>
      </c>
      <c r="X283" s="46">
        <f>IFERROR(__xludf.DUMMYFUNCTION("""COMPUTED_VALUE"""),-0.472296145963719)</f>
        <v>-0.472296146</v>
      </c>
      <c r="Y283" s="46">
        <f>IFERROR(__xludf.DUMMYFUNCTION("""COMPUTED_VALUE"""),-1.419771191176464)</f>
        <v>-1.419771191</v>
      </c>
      <c r="Z283" s="46">
        <f>IFERROR(__xludf.DUMMYFUNCTION("""COMPUTED_VALUE"""),-1.5015124374589601)</f>
        <v>-1.501512437</v>
      </c>
      <c r="AA283" s="46">
        <f>IFERROR(__xludf.DUMMYFUNCTION("""COMPUTED_VALUE"""),-0.860570275155411)</f>
        <v>-0.8605702752</v>
      </c>
      <c r="AB283" s="46">
        <f>IFERROR(__xludf.DUMMYFUNCTION("""COMPUTED_VALUE"""),-0.5270142365493308)</f>
        <v>-0.5270142365</v>
      </c>
      <c r="AC283" s="46">
        <f>IFERROR(__xludf.DUMMYFUNCTION("""COMPUTED_VALUE"""),-0.47616863469094767)</f>
        <v>-0.4761686347</v>
      </c>
      <c r="AD283" s="46">
        <f>IFERROR(__xludf.DUMMYFUNCTION("""COMPUTED_VALUE"""),0.18237755673578657)</f>
        <v>0.1823775567</v>
      </c>
      <c r="AE283" s="46">
        <f>IFERROR(__xludf.DUMMYFUNCTION("""COMPUTED_VALUE"""),0.37089925572797316)</f>
        <v>0.3708992557</v>
      </c>
    </row>
    <row r="284">
      <c r="A284" s="6" t="str">
        <f>IF(VLOOKUP(H284,'Paste #BBall'!$B$2:$N1001,3,)="BRO","BKN",IF(VLOOKUP(H284,'Paste #BBall'!$B$2:$N1001,3,)="OKL","OKC",VLOOKUP(H284,'Paste #BBall'!$B$2:$N1001,3,)))</f>
        <v>MIN</v>
      </c>
      <c r="B284" s="42">
        <f>VLOOKUP($A284,Schedule!$C$2:$G$31,2,0)</f>
        <v>4</v>
      </c>
      <c r="C284" s="42">
        <f>VLOOKUP($A284,Schedule!$C$2:$G$31,3,0)</f>
        <v>2</v>
      </c>
      <c r="D284" s="42">
        <f>VLOOKUP($A284,Schedule!$C$2:$G$31,4,0)</f>
        <v>4</v>
      </c>
      <c r="E284" s="42">
        <f t="shared" si="1"/>
        <v>10</v>
      </c>
      <c r="F284" s="6">
        <v>278.0</v>
      </c>
      <c r="G284" s="45">
        <f>IFERROR(__xludf.DUMMYFUNCTION("""COMPUTED_VALUE"""),278.0)</f>
        <v>278</v>
      </c>
      <c r="H284" s="45" t="str">
        <f>IFERROR(__xludf.DUMMYFUNCTION("""COMPUTED_VALUE"""),"Shake Milton")</f>
        <v>Shake Milton</v>
      </c>
      <c r="I284" s="45">
        <f>IFERROR(__xludf.DUMMYFUNCTION("""COMPUTED_VALUE"""),69.0)</f>
        <v>69</v>
      </c>
      <c r="J284" s="46" t="str">
        <f>IFERROR(__xludf.DUMMYFUNCTION("""COMPUTED_VALUE"""),"PG,SG")</f>
        <v>PG,SG</v>
      </c>
      <c r="K284" s="46">
        <f>IFERROR(__xludf.DUMMYFUNCTION("""COMPUTED_VALUE"""),-7.532514712268907)</f>
        <v>-7.532514712</v>
      </c>
      <c r="L284" s="47">
        <f>IFERROR(__xludf.DUMMYFUNCTION("""COMPUTED_VALUE"""),-4.728913660446871)</f>
        <v>-4.72891366</v>
      </c>
      <c r="M284" s="47">
        <f>IFERROR(__xludf.DUMMYFUNCTION("""COMPUTED_VALUE"""),2.803601051822036)</f>
        <v>2.803601052</v>
      </c>
      <c r="N284" s="47">
        <f>IFERROR(__xludf.DUMMYFUNCTION("""COMPUTED_VALUE"""),7.5)</f>
        <v>7.5</v>
      </c>
      <c r="O284" s="47">
        <f>IFERROR(__xludf.DUMMYFUNCTION("""COMPUTED_VALUE"""),0.7)</f>
        <v>0.7</v>
      </c>
      <c r="P284" s="47">
        <f>IFERROR(__xludf.DUMMYFUNCTION("""COMPUTED_VALUE"""),2.3)</f>
        <v>2.3</v>
      </c>
      <c r="Q284" s="48">
        <f>IFERROR(__xludf.DUMMYFUNCTION("""COMPUTED_VALUE"""),2.6)</f>
        <v>2.6</v>
      </c>
      <c r="R284" s="47">
        <f>IFERROR(__xludf.DUMMYFUNCTION("""COMPUTED_VALUE"""),0.4)</f>
        <v>0.4</v>
      </c>
      <c r="S284" s="47">
        <f>IFERROR(__xludf.DUMMYFUNCTION("""COMPUTED_VALUE"""),0.2)</f>
        <v>0.2</v>
      </c>
      <c r="T284" s="47">
        <f>IFERROR(__xludf.DUMMYFUNCTION("""COMPUTED_VALUE"""),46.03174603174603)</f>
        <v>46.03174603</v>
      </c>
      <c r="U284" s="47">
        <f>IFERROR(__xludf.DUMMYFUNCTION("""COMPUTED_VALUE"""),84.61538461538461)</f>
        <v>84.61538462</v>
      </c>
      <c r="V284" s="47">
        <f>IFERROR(__xludf.DUMMYFUNCTION("""COMPUTED_VALUE"""),1.0)</f>
        <v>1</v>
      </c>
      <c r="W284" s="46">
        <f>IFERROR(__xludf.DUMMYFUNCTION("""COMPUTED_VALUE"""),-1.6442556845248049)</f>
        <v>-1.644255685</v>
      </c>
      <c r="X284" s="46">
        <f>IFERROR(__xludf.DUMMYFUNCTION("""COMPUTED_VALUE"""),-0.8191476607473568)</f>
        <v>-0.8191476607</v>
      </c>
      <c r="Y284" s="46">
        <f>IFERROR(__xludf.DUMMYFUNCTION("""COMPUTED_VALUE"""),-1.5870326706003557)</f>
        <v>-1.587032671</v>
      </c>
      <c r="Z284" s="46">
        <f>IFERROR(__xludf.DUMMYFUNCTION("""COMPUTED_VALUE"""),-0.6344706087632292)</f>
        <v>-0.6344706088</v>
      </c>
      <c r="AA284" s="46">
        <f>IFERROR(__xludf.DUMMYFUNCTION("""COMPUTED_VALUE"""),-1.2966700767544366)</f>
        <v>-1.296670077</v>
      </c>
      <c r="AB284" s="46">
        <f>IFERROR(__xludf.DUMMYFUNCTION("""COMPUTED_VALUE"""),-0.6583300762210907)</f>
        <v>-0.6583300762</v>
      </c>
      <c r="AC284" s="46">
        <f>IFERROR(__xludf.DUMMYFUNCTION("""COMPUTED_VALUE"""),-0.22444687049470163)</f>
        <v>-0.2244468705</v>
      </c>
      <c r="AD284" s="46">
        <f>IFERROR(__xludf.DUMMYFUNCTION("""COMPUTED_VALUE"""),0.18237755673578657)</f>
        <v>0.1823775567</v>
      </c>
      <c r="AE284" s="46">
        <f>IFERROR(__xludf.DUMMYFUNCTION("""COMPUTED_VALUE"""),0.30880674639851335)</f>
        <v>0.3088067464</v>
      </c>
    </row>
    <row r="285">
      <c r="A285" s="6" t="str">
        <f>IF(VLOOKUP(H285,'Paste #BBall'!$B$2:$N1001,3,)="BRO","BKN",IF(VLOOKUP(H285,'Paste #BBall'!$B$2:$N1001,3,)="OKL","OKC",VLOOKUP(H285,'Paste #BBall'!$B$2:$N1001,3,)))</f>
        <v>LAC</v>
      </c>
      <c r="B285" s="42">
        <f>VLOOKUP($A285,Schedule!$C$2:$G$31,2,0)</f>
        <v>4</v>
      </c>
      <c r="C285" s="42">
        <f>VLOOKUP($A285,Schedule!$C$2:$G$31,3,0)</f>
        <v>4</v>
      </c>
      <c r="D285" s="42">
        <f>VLOOKUP($A285,Schedule!$C$2:$G$31,4,0)</f>
        <v>3</v>
      </c>
      <c r="E285" s="42">
        <f t="shared" si="1"/>
        <v>11</v>
      </c>
      <c r="F285" s="6">
        <v>279.0</v>
      </c>
      <c r="G285" s="45">
        <f>IFERROR(__xludf.DUMMYFUNCTION("""COMPUTED_VALUE"""),269.0)</f>
        <v>269</v>
      </c>
      <c r="H285" s="45" t="str">
        <f>IFERROR(__xludf.DUMMYFUNCTION("""COMPUTED_VALUE"""),"Kenyon Martin Jr.")</f>
        <v>Kenyon Martin Jr.</v>
      </c>
      <c r="I285" s="45">
        <f>IFERROR(__xludf.DUMMYFUNCTION("""COMPUTED_VALUE"""),72.0)</f>
        <v>72</v>
      </c>
      <c r="J285" s="46" t="str">
        <f>IFERROR(__xludf.DUMMYFUNCTION("""COMPUTED_VALUE"""),"SF")</f>
        <v>SF</v>
      </c>
      <c r="K285" s="46">
        <f>IFERROR(__xludf.DUMMYFUNCTION("""COMPUTED_VALUE"""),-7.287886393281333)</f>
        <v>-7.287886393</v>
      </c>
      <c r="L285" s="47">
        <f>IFERROR(__xludf.DUMMYFUNCTION("""COMPUTED_VALUE"""),-4.729513580827291)</f>
        <v>-4.729513581</v>
      </c>
      <c r="M285" s="47">
        <f>IFERROR(__xludf.DUMMYFUNCTION("""COMPUTED_VALUE"""),2.558372812454042)</f>
        <v>2.558372812</v>
      </c>
      <c r="N285" s="47">
        <f>IFERROR(__xludf.DUMMYFUNCTION("""COMPUTED_VALUE"""),9.3)</f>
        <v>9.3</v>
      </c>
      <c r="O285" s="47">
        <f>IFERROR(__xludf.DUMMYFUNCTION("""COMPUTED_VALUE"""),0.7)</f>
        <v>0.7</v>
      </c>
      <c r="P285" s="47">
        <f>IFERROR(__xludf.DUMMYFUNCTION("""COMPUTED_VALUE"""),4.0)</f>
        <v>4</v>
      </c>
      <c r="Q285" s="48">
        <f>IFERROR(__xludf.DUMMYFUNCTION("""COMPUTED_VALUE"""),1.2)</f>
        <v>1.2</v>
      </c>
      <c r="R285" s="47">
        <f>IFERROR(__xludf.DUMMYFUNCTION("""COMPUTED_VALUE"""),0.4)</f>
        <v>0.4</v>
      </c>
      <c r="S285" s="47">
        <f>IFERROR(__xludf.DUMMYFUNCTION("""COMPUTED_VALUE"""),0.4)</f>
        <v>0.4</v>
      </c>
      <c r="T285" s="47">
        <f>IFERROR(__xludf.DUMMYFUNCTION("""COMPUTED_VALUE"""),55.223880597014926)</f>
        <v>55.2238806</v>
      </c>
      <c r="U285" s="47">
        <f>IFERROR(__xludf.DUMMYFUNCTION("""COMPUTED_VALUE"""),63.1578947368421)</f>
        <v>63.15789474</v>
      </c>
      <c r="V285" s="47">
        <f>IFERROR(__xludf.DUMMYFUNCTION("""COMPUTED_VALUE"""),0.8)</f>
        <v>0.8</v>
      </c>
      <c r="W285" s="46">
        <f>IFERROR(__xludf.DUMMYFUNCTION("""COMPUTED_VALUE"""),-1.340908205999559)</f>
        <v>-1.340908206</v>
      </c>
      <c r="X285" s="46">
        <f>IFERROR(__xludf.DUMMYFUNCTION("""COMPUTED_VALUE"""),-0.8191476607473568)</f>
        <v>-0.8191476607</v>
      </c>
      <c r="Y285" s="46">
        <f>IFERROR(__xludf.DUMMYFUNCTION("""COMPUTED_VALUE"""),-0.8761713830488173)</f>
        <v>-0.876171383</v>
      </c>
      <c r="Z285" s="46">
        <f>IFERROR(__xludf.DUMMYFUNCTION("""COMPUTED_VALUE"""),-1.3485050559244194)</f>
        <v>-1.348505056</v>
      </c>
      <c r="AA285" s="46">
        <f>IFERROR(__xludf.DUMMYFUNCTION("""COMPUTED_VALUE"""),-1.2966700767544366)</f>
        <v>-1.296670077</v>
      </c>
      <c r="AB285" s="46">
        <f>IFERROR(__xludf.DUMMYFUNCTION("""COMPUTED_VALUE"""),-0.39569839687757064)</f>
        <v>-0.3956983969</v>
      </c>
      <c r="AC285" s="46">
        <f>IFERROR(__xludf.DUMMYFUNCTION("""COMPUTED_VALUE"""),0.37647655255257856)</f>
        <v>0.3764765526</v>
      </c>
      <c r="AD285" s="46">
        <f>IFERROR(__xludf.DUMMYFUNCTION("""COMPUTED_VALUE"""),-0.7482936656801025)</f>
        <v>-0.7482936657</v>
      </c>
      <c r="AE285" s="46">
        <f>IFERROR(__xludf.DUMMYFUNCTION("""COMPUTED_VALUE"""),0.37089925572797316)</f>
        <v>0.3708992557</v>
      </c>
    </row>
    <row r="286">
      <c r="A286" s="6" t="str">
        <f>IF(VLOOKUP(H286,'Paste #BBall'!$B$2:$N1001,3,)="BRO","BKN",IF(VLOOKUP(H286,'Paste #BBall'!$B$2:$N1001,3,)="OKL","OKC",VLOOKUP(H286,'Paste #BBall'!$B$2:$N1001,3,)))</f>
        <v>MIN</v>
      </c>
      <c r="B286" s="42">
        <f>VLOOKUP($A286,Schedule!$C$2:$G$31,2,0)</f>
        <v>4</v>
      </c>
      <c r="C286" s="42">
        <f>VLOOKUP($A286,Schedule!$C$2:$G$31,3,0)</f>
        <v>2</v>
      </c>
      <c r="D286" s="42">
        <f>VLOOKUP($A286,Schedule!$C$2:$G$31,4,0)</f>
        <v>4</v>
      </c>
      <c r="E286" s="42">
        <f t="shared" si="1"/>
        <v>10</v>
      </c>
      <c r="F286" s="6">
        <v>280.0</v>
      </c>
      <c r="G286" s="45">
        <f>IFERROR(__xludf.DUMMYFUNCTION("""COMPUTED_VALUE"""),280.0)</f>
        <v>280</v>
      </c>
      <c r="H286" s="45" t="str">
        <f>IFERROR(__xludf.DUMMYFUNCTION("""COMPUTED_VALUE"""),"Leonard Miller")</f>
        <v>Leonard Miller</v>
      </c>
      <c r="I286" s="45">
        <f>IFERROR(__xludf.DUMMYFUNCTION("""COMPUTED_VALUE"""),68.0)</f>
        <v>68</v>
      </c>
      <c r="J286" s="46" t="str">
        <f>IFERROR(__xludf.DUMMYFUNCTION("""COMPUTED_VALUE"""),"SF")</f>
        <v>SF</v>
      </c>
      <c r="K286" s="46">
        <f>IFERROR(__xludf.DUMMYFUNCTION("""COMPUTED_VALUE"""),-7.616325774146711)</f>
        <v>-7.616325774</v>
      </c>
      <c r="L286" s="47">
        <f>IFERROR(__xludf.DUMMYFUNCTION("""COMPUTED_VALUE"""),-4.759644931718326)</f>
        <v>-4.759644932</v>
      </c>
      <c r="M286" s="47">
        <f>IFERROR(__xludf.DUMMYFUNCTION("""COMPUTED_VALUE"""),2.8566808424283847)</f>
        <v>2.856680842</v>
      </c>
      <c r="N286" s="47">
        <f>IFERROR(__xludf.DUMMYFUNCTION("""COMPUTED_VALUE"""),7.5)</f>
        <v>7.5</v>
      </c>
      <c r="O286" s="47">
        <f>IFERROR(__xludf.DUMMYFUNCTION("""COMPUTED_VALUE"""),0.6)</f>
        <v>0.6</v>
      </c>
      <c r="P286" s="47">
        <f>IFERROR(__xludf.DUMMYFUNCTION("""COMPUTED_VALUE"""),4.8)</f>
        <v>4.8</v>
      </c>
      <c r="Q286" s="48">
        <f>IFERROR(__xludf.DUMMYFUNCTION("""COMPUTED_VALUE"""),1.3)</f>
        <v>1.3</v>
      </c>
      <c r="R286" s="47">
        <f>IFERROR(__xludf.DUMMYFUNCTION("""COMPUTED_VALUE"""),0.4)</f>
        <v>0.4</v>
      </c>
      <c r="S286" s="47">
        <f>IFERROR(__xludf.DUMMYFUNCTION("""COMPUTED_VALUE"""),0.3)</f>
        <v>0.3</v>
      </c>
      <c r="T286" s="47">
        <f>IFERROR(__xludf.DUMMYFUNCTION("""COMPUTED_VALUE"""),46.666666666666664)</f>
        <v>46.66666667</v>
      </c>
      <c r="U286" s="47">
        <f>IFERROR(__xludf.DUMMYFUNCTION("""COMPUTED_VALUE"""),70.58823529411765)</f>
        <v>70.58823529</v>
      </c>
      <c r="V286" s="47">
        <f>IFERROR(__xludf.DUMMYFUNCTION("""COMPUTED_VALUE"""),0.9)</f>
        <v>0.9</v>
      </c>
      <c r="W286" s="46">
        <f>IFERROR(__xludf.DUMMYFUNCTION("""COMPUTED_VALUE"""),-1.6442556845248049)</f>
        <v>-1.644255685</v>
      </c>
      <c r="X286" s="46">
        <f>IFERROR(__xludf.DUMMYFUNCTION("""COMPUTED_VALUE"""),-0.9058605394432663)</f>
        <v>-0.9058605394</v>
      </c>
      <c r="Y286" s="46">
        <f>IFERROR(__xludf.DUMMYFUNCTION("""COMPUTED_VALUE"""),-0.5416484242010347)</f>
        <v>-0.5416484242</v>
      </c>
      <c r="Z286" s="46">
        <f>IFERROR(__xludf.DUMMYFUNCTION("""COMPUTED_VALUE"""),-1.2975025954129054)</f>
        <v>-1.297502595</v>
      </c>
      <c r="AA286" s="46">
        <f>IFERROR(__xludf.DUMMYFUNCTION("""COMPUTED_VALUE"""),-1.2966700767544366)</f>
        <v>-1.296670077</v>
      </c>
      <c r="AB286" s="46">
        <f>IFERROR(__xludf.DUMMYFUNCTION("""COMPUTED_VALUE"""),-0.5270142365493308)</f>
        <v>-0.5270142365</v>
      </c>
      <c r="AC286" s="46">
        <f>IFERROR(__xludf.DUMMYFUNCTION("""COMPUTED_VALUE"""),-0.1757069231673081)</f>
        <v>-0.1757069232</v>
      </c>
      <c r="AD286" s="46">
        <f>IFERROR(__xludf.DUMMYFUNCTION("""COMPUTED_VALUE"""),-0.3550951372532883)</f>
        <v>-0.3550951373</v>
      </c>
      <c r="AE286" s="46">
        <f>IFERROR(__xludf.DUMMYFUNCTION("""COMPUTED_VALUE"""),0.33985300106324323)</f>
        <v>0.3398530011</v>
      </c>
    </row>
    <row r="287">
      <c r="A287" s="6" t="str">
        <f>IF(VLOOKUP(H287,'Paste #BBall'!$B$2:$N1001,3,)="BRO","BKN",IF(VLOOKUP(H287,'Paste #BBall'!$B$2:$N1001,3,)="OKL","OKC",VLOOKUP(H287,'Paste #BBall'!$B$2:$N1001,3,)))</f>
        <v>LAL</v>
      </c>
      <c r="B287" s="42">
        <f>VLOOKUP($A287,Schedule!$C$2:$G$31,2,0)</f>
        <v>4</v>
      </c>
      <c r="C287" s="42">
        <f>VLOOKUP($A287,Schedule!$C$2:$G$31,3,0)</f>
        <v>2</v>
      </c>
      <c r="D287" s="42">
        <f>VLOOKUP($A287,Schedule!$C$2:$G$31,4,0)</f>
        <v>3</v>
      </c>
      <c r="E287" s="42">
        <f t="shared" si="1"/>
        <v>9</v>
      </c>
      <c r="F287" s="6">
        <v>281.0</v>
      </c>
      <c r="G287" s="45">
        <f>IFERROR(__xludf.DUMMYFUNCTION("""COMPUTED_VALUE"""),272.0)</f>
        <v>272</v>
      </c>
      <c r="H287" s="45" t="str">
        <f>IFERROR(__xludf.DUMMYFUNCTION("""COMPUTED_VALUE"""),"Taurean Prince")</f>
        <v>Taurean Prince</v>
      </c>
      <c r="I287" s="45">
        <f>IFERROR(__xludf.DUMMYFUNCTION("""COMPUTED_VALUE"""),65.0)</f>
        <v>65</v>
      </c>
      <c r="J287" s="46" t="str">
        <f>IFERROR(__xludf.DUMMYFUNCTION("""COMPUTED_VALUE"""),"SF,PF")</f>
        <v>SF,PF</v>
      </c>
      <c r="K287" s="46">
        <f>IFERROR(__xludf.DUMMYFUNCTION("""COMPUTED_VALUE"""),-7.331759295708824)</f>
        <v>-7.331759296</v>
      </c>
      <c r="L287" s="47">
        <f>IFERROR(__xludf.DUMMYFUNCTION("""COMPUTED_VALUE"""),-4.765580348487992)</f>
        <v>-4.765580348</v>
      </c>
      <c r="M287" s="47">
        <f>IFERROR(__xludf.DUMMYFUNCTION("""COMPUTED_VALUE"""),2.5661789472208314)</f>
        <v>2.566178947</v>
      </c>
      <c r="N287" s="47">
        <f>IFERROR(__xludf.DUMMYFUNCTION("""COMPUTED_VALUE"""),7.4)</f>
        <v>7.4</v>
      </c>
      <c r="O287" s="47">
        <f>IFERROR(__xludf.DUMMYFUNCTION("""COMPUTED_VALUE"""),1.2)</f>
        <v>1.2</v>
      </c>
      <c r="P287" s="47">
        <f>IFERROR(__xludf.DUMMYFUNCTION("""COMPUTED_VALUE"""),2.3)</f>
        <v>2.3</v>
      </c>
      <c r="Q287" s="48">
        <f>IFERROR(__xludf.DUMMYFUNCTION("""COMPUTED_VALUE"""),1.1)</f>
        <v>1.1</v>
      </c>
      <c r="R287" s="47">
        <f>IFERROR(__xludf.DUMMYFUNCTION("""COMPUTED_VALUE"""),0.6)</f>
        <v>0.6</v>
      </c>
      <c r="S287" s="47">
        <f>IFERROR(__xludf.DUMMYFUNCTION("""COMPUTED_VALUE"""),0.3)</f>
        <v>0.3</v>
      </c>
      <c r="T287" s="47">
        <f>IFERROR(__xludf.DUMMYFUNCTION("""COMPUTED_VALUE"""),45.614035087719294)</f>
        <v>45.61403509</v>
      </c>
      <c r="U287" s="47">
        <f>IFERROR(__xludf.DUMMYFUNCTION("""COMPUTED_VALUE"""),75.0)</f>
        <v>75</v>
      </c>
      <c r="V287" s="47">
        <f>IFERROR(__xludf.DUMMYFUNCTION("""COMPUTED_VALUE"""),0.9)</f>
        <v>0.9</v>
      </c>
      <c r="W287" s="46">
        <f>IFERROR(__xludf.DUMMYFUNCTION("""COMPUTED_VALUE"""),-1.661108322220652)</f>
        <v>-1.661108322</v>
      </c>
      <c r="X287" s="46">
        <f>IFERROR(__xludf.DUMMYFUNCTION("""COMPUTED_VALUE"""),-0.38558326726780967)</f>
        <v>-0.3855832673</v>
      </c>
      <c r="Y287" s="46">
        <f>IFERROR(__xludf.DUMMYFUNCTION("""COMPUTED_VALUE"""),-1.5870326706003557)</f>
        <v>-1.587032671</v>
      </c>
      <c r="Z287" s="46">
        <f>IFERROR(__xludf.DUMMYFUNCTION("""COMPUTED_VALUE"""),-1.3995075164359327)</f>
        <v>-1.399507516</v>
      </c>
      <c r="AA287" s="46">
        <f>IFERROR(__xludf.DUMMYFUNCTION("""COMPUTED_VALUE"""),-0.860570275155411)</f>
        <v>-0.8605702752</v>
      </c>
      <c r="AB287" s="46">
        <f>IFERROR(__xludf.DUMMYFUNCTION("""COMPUTED_VALUE"""),-0.5270142365493308)</f>
        <v>-0.5270142365</v>
      </c>
      <c r="AC287" s="46">
        <f>IFERROR(__xludf.DUMMYFUNCTION("""COMPUTED_VALUE"""),-0.22685347876248496)</f>
        <v>-0.2268534788</v>
      </c>
      <c r="AD287" s="46">
        <f>IFERROR(__xludf.DUMMYFUNCTION("""COMPUTED_VALUE"""),-0.11887190477991126)</f>
        <v>-0.1188719048</v>
      </c>
      <c r="AE287" s="46">
        <f>IFERROR(__xludf.DUMMYFUNCTION("""COMPUTED_VALUE"""),0.33985300106324323)</f>
        <v>0.3398530011</v>
      </c>
    </row>
    <row r="288">
      <c r="A288" s="6" t="str">
        <f>IF(VLOOKUP(H288,'Paste #BBall'!$B$2:$N1001,3,)="BRO","BKN",IF(VLOOKUP(H288,'Paste #BBall'!$B$2:$N1001,3,)="OKL","OKC",VLOOKUP(H288,'Paste #BBall'!$B$2:$N1001,3,)))</f>
        <v>BKN</v>
      </c>
      <c r="B288" s="42">
        <f>VLOOKUP($A288,Schedule!$C$2:$G$31,2,0)</f>
        <v>5</v>
      </c>
      <c r="C288" s="42">
        <f>VLOOKUP($A288,Schedule!$C$2:$G$31,3,0)</f>
        <v>3</v>
      </c>
      <c r="D288" s="42">
        <f>VLOOKUP($A288,Schedule!$C$2:$G$31,4,0)</f>
        <v>3</v>
      </c>
      <c r="E288" s="42">
        <f t="shared" si="1"/>
        <v>11</v>
      </c>
      <c r="F288" s="6">
        <v>282.0</v>
      </c>
      <c r="G288" s="45">
        <f>IFERROR(__xludf.DUMMYFUNCTION("""COMPUTED_VALUE"""),274.0)</f>
        <v>274</v>
      </c>
      <c r="H288" s="45" t="str">
        <f>IFERROR(__xludf.DUMMYFUNCTION("""COMPUTED_VALUE"""),"Cam Thomas")</f>
        <v>Cam Thomas</v>
      </c>
      <c r="I288" s="45">
        <f>IFERROR(__xludf.DUMMYFUNCTION("""COMPUTED_VALUE"""),68.0)</f>
        <v>68</v>
      </c>
      <c r="J288" s="46" t="str">
        <f>IFERROR(__xludf.DUMMYFUNCTION("""COMPUTED_VALUE"""),"SG,SF")</f>
        <v>SG,SF</v>
      </c>
      <c r="K288" s="46">
        <f>IFERROR(__xludf.DUMMYFUNCTION("""COMPUTED_VALUE"""),-7.371371539063416)</f>
        <v>-7.371371539</v>
      </c>
      <c r="L288" s="47">
        <f>IFERROR(__xludf.DUMMYFUNCTION("""COMPUTED_VALUE"""),-4.773911973307847)</f>
        <v>-4.773911973</v>
      </c>
      <c r="M288" s="47">
        <f>IFERROR(__xludf.DUMMYFUNCTION("""COMPUTED_VALUE"""),2.5974595657555692)</f>
        <v>2.597459566</v>
      </c>
      <c r="N288" s="47">
        <f>IFERROR(__xludf.DUMMYFUNCTION("""COMPUTED_VALUE"""),10.5)</f>
        <v>10.5</v>
      </c>
      <c r="O288" s="47">
        <f>IFERROR(__xludf.DUMMYFUNCTION("""COMPUTED_VALUE"""),0.9)</f>
        <v>0.9</v>
      </c>
      <c r="P288" s="47">
        <f>IFERROR(__xludf.DUMMYFUNCTION("""COMPUTED_VALUE"""),2.3)</f>
        <v>2.3</v>
      </c>
      <c r="Q288" s="48">
        <f>IFERROR(__xludf.DUMMYFUNCTION("""COMPUTED_VALUE"""),1.4)</f>
        <v>1.4</v>
      </c>
      <c r="R288" s="47">
        <f>IFERROR(__xludf.DUMMYFUNCTION("""COMPUTED_VALUE"""),0.5)</f>
        <v>0.5</v>
      </c>
      <c r="S288" s="47">
        <f>IFERROR(__xludf.DUMMYFUNCTION("""COMPUTED_VALUE"""),0.1)</f>
        <v>0.1</v>
      </c>
      <c r="T288" s="47">
        <f>IFERROR(__xludf.DUMMYFUNCTION("""COMPUTED_VALUE"""),44.18604651162791)</f>
        <v>44.18604651</v>
      </c>
      <c r="U288" s="47">
        <f>IFERROR(__xludf.DUMMYFUNCTION("""COMPUTED_VALUE"""),84.00000000000001)</f>
        <v>84</v>
      </c>
      <c r="V288" s="47">
        <f>IFERROR(__xludf.DUMMYFUNCTION("""COMPUTED_VALUE"""),1.1)</f>
        <v>1.1</v>
      </c>
      <c r="W288" s="46">
        <f>IFERROR(__xludf.DUMMYFUNCTION("""COMPUTED_VALUE"""),-1.1386765536493952)</f>
        <v>-1.138676554</v>
      </c>
      <c r="X288" s="46">
        <f>IFERROR(__xludf.DUMMYFUNCTION("""COMPUTED_VALUE"""),-0.6457219033555379)</f>
        <v>-0.6457219034</v>
      </c>
      <c r="Y288" s="46">
        <f>IFERROR(__xludf.DUMMYFUNCTION("""COMPUTED_VALUE"""),-1.5870326706003557)</f>
        <v>-1.587032671</v>
      </c>
      <c r="Z288" s="46">
        <f>IFERROR(__xludf.DUMMYFUNCTION("""COMPUTED_VALUE"""),-1.246500134901392)</f>
        <v>-1.246500135</v>
      </c>
      <c r="AA288" s="46">
        <f>IFERROR(__xludf.DUMMYFUNCTION("""COMPUTED_VALUE"""),-1.0786201759549239)</f>
        <v>-1.078620176</v>
      </c>
      <c r="AB288" s="46">
        <f>IFERROR(__xludf.DUMMYFUNCTION("""COMPUTED_VALUE"""),-0.7896459158928509)</f>
        <v>-0.7896459159</v>
      </c>
      <c r="AC288" s="46">
        <f>IFERROR(__xludf.DUMMYFUNCTION("""COMPUTED_VALUE"""),-0.4649377961079587)</f>
        <v>-0.4649377961</v>
      </c>
      <c r="AD288" s="46">
        <f>IFERROR(__xludf.DUMMYFUNCTION("""COMPUTED_VALUE"""),0.3124300148204282)</f>
        <v>0.3124300148</v>
      </c>
      <c r="AE288" s="46">
        <f>IFERROR(__xludf.DUMMYFUNCTION("""COMPUTED_VALUE"""),0.2777604917337834)</f>
        <v>0.2777604917</v>
      </c>
    </row>
    <row r="289">
      <c r="A289" s="6" t="str">
        <f>IF(VLOOKUP(H289,'Paste #BBall'!$B$2:$N1001,3,)="BRO","BKN",IF(VLOOKUP(H289,'Paste #BBall'!$B$2:$N1001,3,)="OKL","OKC",VLOOKUP(H289,'Paste #BBall'!$B$2:$N1001,3,)))</f>
        <v>NO</v>
      </c>
      <c r="B289" s="42">
        <f>VLOOKUP($A289,Schedule!$C$2:$G$31,2,0)</f>
        <v>3</v>
      </c>
      <c r="C289" s="42">
        <f>VLOOKUP($A289,Schedule!$C$2:$G$31,3,0)</f>
        <v>3</v>
      </c>
      <c r="D289" s="42">
        <f>VLOOKUP($A289,Schedule!$C$2:$G$31,4,0)</f>
        <v>4</v>
      </c>
      <c r="E289" s="42">
        <f t="shared" si="1"/>
        <v>10</v>
      </c>
      <c r="F289" s="6">
        <v>283.0</v>
      </c>
      <c r="G289" s="45">
        <f>IFERROR(__xludf.DUMMYFUNCTION("""COMPUTED_VALUE"""),284.0)</f>
        <v>284</v>
      </c>
      <c r="H289" s="45" t="str">
        <f>IFERROR(__xludf.DUMMYFUNCTION("""COMPUTED_VALUE"""),"Jordan Hawkins")</f>
        <v>Jordan Hawkins</v>
      </c>
      <c r="I289" s="45">
        <f>IFERROR(__xludf.DUMMYFUNCTION("""COMPUTED_VALUE"""),72.0)</f>
        <v>72</v>
      </c>
      <c r="J289" s="46" t="str">
        <f>IFERROR(__xludf.DUMMYFUNCTION("""COMPUTED_VALUE"""),"SG")</f>
        <v>SG</v>
      </c>
      <c r="K289" s="46">
        <f>IFERROR(__xludf.DUMMYFUNCTION("""COMPUTED_VALUE"""),-7.688363135478406)</f>
        <v>-7.688363135</v>
      </c>
      <c r="L289" s="47">
        <f>IFERROR(__xludf.DUMMYFUNCTION("""COMPUTED_VALUE"""),-4.784074857868627)</f>
        <v>-4.784074858</v>
      </c>
      <c r="M289" s="47">
        <f>IFERROR(__xludf.DUMMYFUNCTION("""COMPUTED_VALUE"""),2.904288277609779)</f>
        <v>2.904288278</v>
      </c>
      <c r="N289" s="47">
        <f>IFERROR(__xludf.DUMMYFUNCTION("""COMPUTED_VALUE"""),7.3)</f>
        <v>7.3</v>
      </c>
      <c r="O289" s="47">
        <f>IFERROR(__xludf.DUMMYFUNCTION("""COMPUTED_VALUE"""),1.7)</f>
        <v>1.7</v>
      </c>
      <c r="P289" s="47">
        <f>IFERROR(__xludf.DUMMYFUNCTION("""COMPUTED_VALUE"""),1.9)</f>
        <v>1.9</v>
      </c>
      <c r="Q289" s="48">
        <f>IFERROR(__xludf.DUMMYFUNCTION("""COMPUTED_VALUE"""),1.0)</f>
        <v>1</v>
      </c>
      <c r="R289" s="47">
        <f>IFERROR(__xludf.DUMMYFUNCTION("""COMPUTED_VALUE"""),0.5)</f>
        <v>0.5</v>
      </c>
      <c r="S289" s="47">
        <f>IFERROR(__xludf.DUMMYFUNCTION("""COMPUTED_VALUE"""),0.1)</f>
        <v>0.1</v>
      </c>
      <c r="T289" s="47">
        <f>IFERROR(__xludf.DUMMYFUNCTION("""COMPUTED_VALUE"""),42.85714285714286)</f>
        <v>42.85714286</v>
      </c>
      <c r="U289" s="47">
        <f>IFERROR(__xludf.DUMMYFUNCTION("""COMPUTED_VALUE"""),81.81818181818181)</f>
        <v>81.81818182</v>
      </c>
      <c r="V289" s="47">
        <f>IFERROR(__xludf.DUMMYFUNCTION("""COMPUTED_VALUE"""),0.5)</f>
        <v>0.5</v>
      </c>
      <c r="W289" s="46">
        <f>IFERROR(__xludf.DUMMYFUNCTION("""COMPUTED_VALUE"""),-1.6779609599164989)</f>
        <v>-1.67796096</v>
      </c>
      <c r="X289" s="46">
        <f>IFERROR(__xludf.DUMMYFUNCTION("""COMPUTED_VALUE"""),0.047981126211737425)</f>
        <v>0.04798112621</v>
      </c>
      <c r="Y289" s="46">
        <f>IFERROR(__xludf.DUMMYFUNCTION("""COMPUTED_VALUE"""),-1.7542941500242468)</f>
        <v>-1.75429415</v>
      </c>
      <c r="Z289" s="46">
        <f>IFERROR(__xludf.DUMMYFUNCTION("""COMPUTED_VALUE"""),-1.4505099769474463)</f>
        <v>-1.450509977</v>
      </c>
      <c r="AA289" s="46">
        <f>IFERROR(__xludf.DUMMYFUNCTION("""COMPUTED_VALUE"""),-1.0786201759549239)</f>
        <v>-1.078620176</v>
      </c>
      <c r="AB289" s="46">
        <f>IFERROR(__xludf.DUMMYFUNCTION("""COMPUTED_VALUE"""),-0.7896459158928509)</f>
        <v>-0.7896459159</v>
      </c>
      <c r="AC289" s="46">
        <f>IFERROR(__xludf.DUMMYFUNCTION("""COMPUTED_VALUE"""),-0.3770843345243046)</f>
        <v>-0.3770843345</v>
      </c>
      <c r="AD289" s="46">
        <f>IFERROR(__xludf.DUMMYFUNCTION("""COMPUTED_VALUE"""),0.07772735943349546)</f>
        <v>0.07772735943</v>
      </c>
      <c r="AE289" s="46">
        <f>IFERROR(__xludf.DUMMYFUNCTION("""COMPUTED_VALUE"""),0.4640380197221629)</f>
        <v>0.4640380197</v>
      </c>
    </row>
    <row r="290">
      <c r="A290" s="6" t="str">
        <f>IF(VLOOKUP(H290,'Paste #BBall'!$B$2:$N1001,3,)="BRO","BKN",IF(VLOOKUP(H290,'Paste #BBall'!$B$2:$N1001,3,)="OKL","OKC",VLOOKUP(H290,'Paste #BBall'!$B$2:$N1001,3,)))</f>
        <v>BOS</v>
      </c>
      <c r="B290" s="42">
        <f>VLOOKUP($A290,Schedule!$C$2:$G$31,2,0)</f>
        <v>3</v>
      </c>
      <c r="C290" s="42">
        <f>VLOOKUP($A290,Schedule!$C$2:$G$31,3,0)</f>
        <v>4</v>
      </c>
      <c r="D290" s="42">
        <f>VLOOKUP($A290,Schedule!$C$2:$G$31,4,0)</f>
        <v>4</v>
      </c>
      <c r="E290" s="42">
        <f t="shared" si="1"/>
        <v>11</v>
      </c>
      <c r="F290" s="6">
        <v>284.0</v>
      </c>
      <c r="G290" s="45">
        <f>IFERROR(__xludf.DUMMYFUNCTION("""COMPUTED_VALUE"""),287.0)</f>
        <v>287</v>
      </c>
      <c r="H290" s="45" t="str">
        <f>IFERROR(__xludf.DUMMYFUNCTION("""COMPUTED_VALUE"""),"Payton Pritchard")</f>
        <v>Payton Pritchard</v>
      </c>
      <c r="I290" s="45">
        <f>IFERROR(__xludf.DUMMYFUNCTION("""COMPUTED_VALUE"""),70.0)</f>
        <v>70</v>
      </c>
      <c r="J290" s="46" t="str">
        <f>IFERROR(__xludf.DUMMYFUNCTION("""COMPUTED_VALUE"""),"PG,SG")</f>
        <v>PG,SG</v>
      </c>
      <c r="K290" s="46">
        <f>IFERROR(__xludf.DUMMYFUNCTION("""COMPUTED_VALUE"""),-7.749445351145228)</f>
        <v>-7.749445351</v>
      </c>
      <c r="L290" s="47">
        <f>IFERROR(__xludf.DUMMYFUNCTION("""COMPUTED_VALUE"""),-4.786667638619672)</f>
        <v>-4.786667639</v>
      </c>
      <c r="M290" s="47">
        <f>IFERROR(__xludf.DUMMYFUNCTION("""COMPUTED_VALUE"""),2.962777712525556)</f>
        <v>2.962777713</v>
      </c>
      <c r="N290" s="47">
        <f>IFERROR(__xludf.DUMMYFUNCTION("""COMPUTED_VALUE"""),7.1)</f>
        <v>7.1</v>
      </c>
      <c r="O290" s="47">
        <f>IFERROR(__xludf.DUMMYFUNCTION("""COMPUTED_VALUE"""),1.6)</f>
        <v>1.6</v>
      </c>
      <c r="P290" s="47">
        <f>IFERROR(__xludf.DUMMYFUNCTION("""COMPUTED_VALUE"""),2.2)</f>
        <v>2.2</v>
      </c>
      <c r="Q290" s="48">
        <f>IFERROR(__xludf.DUMMYFUNCTION("""COMPUTED_VALUE"""),2.1)</f>
        <v>2.1</v>
      </c>
      <c r="R290" s="47">
        <f>IFERROR(__xludf.DUMMYFUNCTION("""COMPUTED_VALUE"""),0.4)</f>
        <v>0.4</v>
      </c>
      <c r="S290" s="47">
        <f>IFERROR(__xludf.DUMMYFUNCTION("""COMPUTED_VALUE"""),0.1)</f>
        <v>0.1</v>
      </c>
      <c r="T290" s="47">
        <f>IFERROR(__xludf.DUMMYFUNCTION("""COMPUTED_VALUE"""),41.935483870967744)</f>
        <v>41.93548387</v>
      </c>
      <c r="U290" s="47">
        <f>IFERROR(__xludf.DUMMYFUNCTION("""COMPUTED_VALUE"""),74.99999999999999)</f>
        <v>75</v>
      </c>
      <c r="V290" s="47">
        <f>IFERROR(__xludf.DUMMYFUNCTION("""COMPUTED_VALUE"""),0.8)</f>
        <v>0.8</v>
      </c>
      <c r="W290" s="46">
        <f>IFERROR(__xludf.DUMMYFUNCTION("""COMPUTED_VALUE"""),-1.711666235308193)</f>
        <v>-1.711666235</v>
      </c>
      <c r="X290" s="46">
        <f>IFERROR(__xludf.DUMMYFUNCTION("""COMPUTED_VALUE"""),-0.03873175248417188)</f>
        <v>-0.03873175248</v>
      </c>
      <c r="Y290" s="46">
        <f>IFERROR(__xludf.DUMMYFUNCTION("""COMPUTED_VALUE"""),-1.6288480404563284)</f>
        <v>-1.62884804</v>
      </c>
      <c r="Z290" s="46">
        <f>IFERROR(__xludf.DUMMYFUNCTION("""COMPUTED_VALUE"""),-0.8894829113207969)</f>
        <v>-0.8894829113</v>
      </c>
      <c r="AA290" s="46">
        <f>IFERROR(__xludf.DUMMYFUNCTION("""COMPUTED_VALUE"""),-1.2966700767544366)</f>
        <v>-1.296670077</v>
      </c>
      <c r="AB290" s="46">
        <f>IFERROR(__xludf.DUMMYFUNCTION("""COMPUTED_VALUE"""),-0.7896459158928509)</f>
        <v>-0.7896459159</v>
      </c>
      <c r="AC290" s="46">
        <f>IFERROR(__xludf.DUMMYFUNCTION("""COMPUTED_VALUE"""),-0.47456422917909197)</f>
        <v>-0.4745642292</v>
      </c>
      <c r="AD290" s="46">
        <f>IFERROR(__xludf.DUMMYFUNCTION("""COMPUTED_VALUE"""),-0.039623968259970534)</f>
        <v>-0.03962396826</v>
      </c>
      <c r="AE290" s="46">
        <f>IFERROR(__xludf.DUMMYFUNCTION("""COMPUTED_VALUE"""),0.37089925572797316)</f>
        <v>0.3708992557</v>
      </c>
    </row>
    <row r="291">
      <c r="A291" s="6" t="str">
        <f>IF(VLOOKUP(H291,'Paste #BBall'!$B$2:$N1001,3,)="BRO","BKN",IF(VLOOKUP(H291,'Paste #BBall'!$B$2:$N1001,3,)="OKL","OKC",VLOOKUP(H291,'Paste #BBall'!$B$2:$N1001,3,)))</f>
        <v>CLE</v>
      </c>
      <c r="B291" s="42">
        <f>VLOOKUP($A291,Schedule!$C$2:$G$31,2,0)</f>
        <v>4</v>
      </c>
      <c r="C291" s="42">
        <f>VLOOKUP($A291,Schedule!$C$2:$G$31,3,0)</f>
        <v>3</v>
      </c>
      <c r="D291" s="42">
        <f>VLOOKUP($A291,Schedule!$C$2:$G$31,4,0)</f>
        <v>4</v>
      </c>
      <c r="E291" s="42">
        <f t="shared" si="1"/>
        <v>11</v>
      </c>
      <c r="F291" s="6">
        <v>285.0</v>
      </c>
      <c r="G291" s="45">
        <f>IFERROR(__xludf.DUMMYFUNCTION("""COMPUTED_VALUE"""),303.0)</f>
        <v>303</v>
      </c>
      <c r="H291" s="45" t="str">
        <f>IFERROR(__xludf.DUMMYFUNCTION("""COMPUTED_VALUE"""),"Dean Wade")</f>
        <v>Dean Wade</v>
      </c>
      <c r="I291" s="45">
        <f>IFERROR(__xludf.DUMMYFUNCTION("""COMPUTED_VALUE"""),58.0)</f>
        <v>58</v>
      </c>
      <c r="J291" s="46" t="str">
        <f>IFERROR(__xludf.DUMMYFUNCTION("""COMPUTED_VALUE"""),"SF,PF")</f>
        <v>SF,PF</v>
      </c>
      <c r="K291" s="46">
        <f>IFERROR(__xludf.DUMMYFUNCTION("""COMPUTED_VALUE"""),-8.089226794603748)</f>
        <v>-8.089226795</v>
      </c>
      <c r="L291" s="47">
        <f>IFERROR(__xludf.DUMMYFUNCTION("""COMPUTED_VALUE"""),-4.815125310971347)</f>
        <v>-4.815125311</v>
      </c>
      <c r="M291" s="47">
        <f>IFERROR(__xludf.DUMMYFUNCTION("""COMPUTED_VALUE"""),3.2741014836324007)</f>
        <v>3.274101484</v>
      </c>
      <c r="N291" s="47">
        <f>IFERROR(__xludf.DUMMYFUNCTION("""COMPUTED_VALUE"""),4.6)</f>
        <v>4.6</v>
      </c>
      <c r="O291" s="47">
        <f>IFERROR(__xludf.DUMMYFUNCTION("""COMPUTED_VALUE"""),0.9)</f>
        <v>0.9</v>
      </c>
      <c r="P291" s="47">
        <f>IFERROR(__xludf.DUMMYFUNCTION("""COMPUTED_VALUE"""),2.9)</f>
        <v>2.9</v>
      </c>
      <c r="Q291" s="48">
        <f>IFERROR(__xludf.DUMMYFUNCTION("""COMPUTED_VALUE"""),0.9)</f>
        <v>0.9</v>
      </c>
      <c r="R291" s="47">
        <f>IFERROR(__xludf.DUMMYFUNCTION("""COMPUTED_VALUE"""),0.6)</f>
        <v>0.6</v>
      </c>
      <c r="S291" s="47">
        <f>IFERROR(__xludf.DUMMYFUNCTION("""COMPUTED_VALUE"""),0.3)</f>
        <v>0.3</v>
      </c>
      <c r="T291" s="47">
        <f>IFERROR(__xludf.DUMMYFUNCTION("""COMPUTED_VALUE"""),43.58974358974359)</f>
        <v>43.58974359</v>
      </c>
      <c r="U291" s="47">
        <f>IFERROR(__xludf.DUMMYFUNCTION("""COMPUTED_VALUE"""),60.0)</f>
        <v>60</v>
      </c>
      <c r="V291" s="47">
        <f>IFERROR(__xludf.DUMMYFUNCTION("""COMPUTED_VALUE"""),0.3)</f>
        <v>0.3</v>
      </c>
      <c r="W291" s="46">
        <f>IFERROR(__xludf.DUMMYFUNCTION("""COMPUTED_VALUE"""),-2.132982177704368)</f>
        <v>-2.132982178</v>
      </c>
      <c r="X291" s="46">
        <f>IFERROR(__xludf.DUMMYFUNCTION("""COMPUTED_VALUE"""),-0.6457219033555379)</f>
        <v>-0.6457219034</v>
      </c>
      <c r="Y291" s="46">
        <f>IFERROR(__xludf.DUMMYFUNCTION("""COMPUTED_VALUE"""),-1.3361404514645185)</f>
        <v>-1.336140451</v>
      </c>
      <c r="Z291" s="46">
        <f>IFERROR(__xludf.DUMMYFUNCTION("""COMPUTED_VALUE"""),-1.5015124374589601)</f>
        <v>-1.501512437</v>
      </c>
      <c r="AA291" s="46">
        <f>IFERROR(__xludf.DUMMYFUNCTION("""COMPUTED_VALUE"""),-0.860570275155411)</f>
        <v>-0.8605702752</v>
      </c>
      <c r="AB291" s="46">
        <f>IFERROR(__xludf.DUMMYFUNCTION("""COMPUTED_VALUE"""),-0.5270142365493308)</f>
        <v>-0.5270142365</v>
      </c>
      <c r="AC291" s="46">
        <f>IFERROR(__xludf.DUMMYFUNCTION("""COMPUTED_VALUE"""),-0.23407330356583486)</f>
        <v>-0.2340733036</v>
      </c>
      <c r="AD291" s="46">
        <f>IFERROR(__xludf.DUMMYFUNCTION("""COMPUTED_VALUE"""),-0.2362232324733773)</f>
        <v>-0.2362232325</v>
      </c>
      <c r="AE291" s="46">
        <f>IFERROR(__xludf.DUMMYFUNCTION("""COMPUTED_VALUE"""),0.5261305290516227)</f>
        <v>0.5261305291</v>
      </c>
    </row>
    <row r="292">
      <c r="A292" s="6" t="str">
        <f>IF(VLOOKUP(H292,'Paste #BBall'!$B$2:$N1001,3,)="BRO","BKN",IF(VLOOKUP(H292,'Paste #BBall'!$B$2:$N1001,3,)="OKL","OKC",VLOOKUP(H292,'Paste #BBall'!$B$2:$N1001,3,)))</f>
        <v>MIN</v>
      </c>
      <c r="B292" s="42">
        <f>VLOOKUP($A292,Schedule!$C$2:$G$31,2,0)</f>
        <v>4</v>
      </c>
      <c r="C292" s="42">
        <f>VLOOKUP($A292,Schedule!$C$2:$G$31,3,0)</f>
        <v>2</v>
      </c>
      <c r="D292" s="42">
        <f>VLOOKUP($A292,Schedule!$C$2:$G$31,4,0)</f>
        <v>4</v>
      </c>
      <c r="E292" s="42">
        <f t="shared" si="1"/>
        <v>10</v>
      </c>
      <c r="F292" s="6">
        <v>286.0</v>
      </c>
      <c r="G292" s="45">
        <f>IFERROR(__xludf.DUMMYFUNCTION("""COMPUTED_VALUE"""),309.0)</f>
        <v>309</v>
      </c>
      <c r="H292" s="45" t="str">
        <f>IFERROR(__xludf.DUMMYFUNCTION("""COMPUTED_VALUE"""),"Jordan McLaughlin")</f>
        <v>Jordan McLaughlin</v>
      </c>
      <c r="I292" s="45">
        <f>IFERROR(__xludf.DUMMYFUNCTION("""COMPUTED_VALUE"""),38.0)</f>
        <v>38</v>
      </c>
      <c r="J292" s="46" t="str">
        <f>IFERROR(__xludf.DUMMYFUNCTION("""COMPUTED_VALUE"""),"PG")</f>
        <v>PG</v>
      </c>
      <c r="K292" s="46">
        <f>IFERROR(__xludf.DUMMYFUNCTION("""COMPUTED_VALUE"""),-8.343304787590956)</f>
        <v>-8.343304788</v>
      </c>
      <c r="L292" s="47">
        <f>IFERROR(__xludf.DUMMYFUNCTION("""COMPUTED_VALUE"""),-4.8429563763091785)</f>
        <v>-4.842956376</v>
      </c>
      <c r="M292" s="47">
        <f>IFERROR(__xludf.DUMMYFUNCTION("""COMPUTED_VALUE"""),3.5003484112817773)</f>
        <v>3.500348411</v>
      </c>
      <c r="N292" s="47">
        <f>IFERROR(__xludf.DUMMYFUNCTION("""COMPUTED_VALUE"""),3.2)</f>
        <v>3.2</v>
      </c>
      <c r="O292" s="47">
        <f>IFERROR(__xludf.DUMMYFUNCTION("""COMPUTED_VALUE"""),0.4)</f>
        <v>0.4</v>
      </c>
      <c r="P292" s="47">
        <f>IFERROR(__xludf.DUMMYFUNCTION("""COMPUTED_VALUE"""),1.3)</f>
        <v>1.3</v>
      </c>
      <c r="Q292" s="48">
        <f>IFERROR(__xludf.DUMMYFUNCTION("""COMPUTED_VALUE"""),2.7)</f>
        <v>2.7</v>
      </c>
      <c r="R292" s="47">
        <f>IFERROR(__xludf.DUMMYFUNCTION("""COMPUTED_VALUE"""),0.7)</f>
        <v>0.7</v>
      </c>
      <c r="S292" s="47">
        <f>IFERROR(__xludf.DUMMYFUNCTION("""COMPUTED_VALUE"""),0.1)</f>
        <v>0.1</v>
      </c>
      <c r="T292" s="47">
        <f>IFERROR(__xludf.DUMMYFUNCTION("""COMPUTED_VALUE"""),42.85714285714286)</f>
        <v>42.85714286</v>
      </c>
      <c r="U292" s="47">
        <f>IFERROR(__xludf.DUMMYFUNCTION("""COMPUTED_VALUE"""),80.0)</f>
        <v>80</v>
      </c>
      <c r="V292" s="47">
        <f>IFERROR(__xludf.DUMMYFUNCTION("""COMPUTED_VALUE"""),0.6)</f>
        <v>0.6</v>
      </c>
      <c r="W292" s="46">
        <f>IFERROR(__xludf.DUMMYFUNCTION("""COMPUTED_VALUE"""),-2.3689191054462255)</f>
        <v>-2.368919105</v>
      </c>
      <c r="X292" s="46">
        <f>IFERROR(__xludf.DUMMYFUNCTION("""COMPUTED_VALUE"""),-1.079286296835085)</f>
        <v>-1.079286297</v>
      </c>
      <c r="Y292" s="46">
        <f>IFERROR(__xludf.DUMMYFUNCTION("""COMPUTED_VALUE"""),-2.005186369160084)</f>
        <v>-2.005186369</v>
      </c>
      <c r="Z292" s="46">
        <f>IFERROR(__xludf.DUMMYFUNCTION("""COMPUTED_VALUE"""),-0.5834681482517156)</f>
        <v>-0.5834681483</v>
      </c>
      <c r="AA292" s="46">
        <f>IFERROR(__xludf.DUMMYFUNCTION("""COMPUTED_VALUE"""),-0.6425203743558983)</f>
        <v>-0.6425203744</v>
      </c>
      <c r="AB292" s="46">
        <f>IFERROR(__xludf.DUMMYFUNCTION("""COMPUTED_VALUE"""),-0.7896459158928509)</f>
        <v>-0.7896459159</v>
      </c>
      <c r="AC292" s="46">
        <f>IFERROR(__xludf.DUMMYFUNCTION("""COMPUTED_VALUE"""),-0.1885421672621523)</f>
        <v>-0.1885421673</v>
      </c>
      <c r="AD292" s="46">
        <f>IFERROR(__xludf.DUMMYFUNCTION("""COMPUTED_VALUE"""),0.01270113039117512)</f>
        <v>0.01270113039</v>
      </c>
      <c r="AE292" s="46">
        <f>IFERROR(__xludf.DUMMYFUNCTION("""COMPUTED_VALUE"""),0.43299176505743303)</f>
        <v>0.4329917651</v>
      </c>
    </row>
    <row r="293">
      <c r="A293" s="6" t="str">
        <f>IF(VLOOKUP(H293,'Paste #BBall'!$B$2:$N1001,3,)="BRO","BKN",IF(VLOOKUP(H293,'Paste #BBall'!$B$2:$N1001,3,)="OKL","OKC",VLOOKUP(H293,'Paste #BBall'!$B$2:$N1001,3,)))</f>
        <v>WAS</v>
      </c>
      <c r="B293" s="42">
        <f>VLOOKUP($A293,Schedule!$C$2:$G$31,2,0)</f>
        <v>4</v>
      </c>
      <c r="C293" s="42">
        <f>VLOOKUP($A293,Schedule!$C$2:$G$31,3,0)</f>
        <v>4</v>
      </c>
      <c r="D293" s="42">
        <f>VLOOKUP($A293,Schedule!$C$2:$G$31,4,0)</f>
        <v>3</v>
      </c>
      <c r="E293" s="42">
        <f t="shared" si="1"/>
        <v>11</v>
      </c>
      <c r="F293" s="6">
        <v>287.0</v>
      </c>
      <c r="G293" s="45">
        <f>IFERROR(__xludf.DUMMYFUNCTION("""COMPUTED_VALUE"""),290.0)</f>
        <v>290</v>
      </c>
      <c r="H293" s="45" t="str">
        <f>IFERROR(__xludf.DUMMYFUNCTION("""COMPUTED_VALUE"""),"Danilo Gallinari")</f>
        <v>Danilo Gallinari</v>
      </c>
      <c r="I293" s="45">
        <f>IFERROR(__xludf.DUMMYFUNCTION("""COMPUTED_VALUE"""),40.0)</f>
        <v>40</v>
      </c>
      <c r="J293" s="46" t="str">
        <f>IFERROR(__xludf.DUMMYFUNCTION("""COMPUTED_VALUE"""),"SF")</f>
        <v>SF</v>
      </c>
      <c r="K293" s="46">
        <f>IFERROR(__xludf.DUMMYFUNCTION("""COMPUTED_VALUE"""),-7.825723257107793)</f>
        <v>-7.825723257</v>
      </c>
      <c r="L293" s="47">
        <f>IFERROR(__xludf.DUMMYFUNCTION("""COMPUTED_VALUE"""),-4.859016058218016)</f>
        <v>-4.859016058</v>
      </c>
      <c r="M293" s="47">
        <f>IFERROR(__xludf.DUMMYFUNCTION("""COMPUTED_VALUE"""),2.966707198889777)</f>
        <v>2.966707199</v>
      </c>
      <c r="N293" s="47">
        <f>IFERROR(__xludf.DUMMYFUNCTION("""COMPUTED_VALUE"""),7.4)</f>
        <v>7.4</v>
      </c>
      <c r="O293" s="47">
        <f>IFERROR(__xludf.DUMMYFUNCTION("""COMPUTED_VALUE"""),1.1)</f>
        <v>1.1</v>
      </c>
      <c r="P293" s="47">
        <f>IFERROR(__xludf.DUMMYFUNCTION("""COMPUTED_VALUE"""),2.9)</f>
        <v>2.9</v>
      </c>
      <c r="Q293" s="48">
        <f>IFERROR(__xludf.DUMMYFUNCTION("""COMPUTED_VALUE"""),1.0)</f>
        <v>1</v>
      </c>
      <c r="R293" s="47">
        <f>IFERROR(__xludf.DUMMYFUNCTION("""COMPUTED_VALUE"""),0.3)</f>
        <v>0.3</v>
      </c>
      <c r="S293" s="47">
        <f>IFERROR(__xludf.DUMMYFUNCTION("""COMPUTED_VALUE"""),0.1)</f>
        <v>0.1</v>
      </c>
      <c r="T293" s="47">
        <f>IFERROR(__xludf.DUMMYFUNCTION("""COMPUTED_VALUE"""),43.859649122807014)</f>
        <v>43.85964912</v>
      </c>
      <c r="U293" s="47">
        <f>IFERROR(__xludf.DUMMYFUNCTION("""COMPUTED_VALUE"""),93.33333333333333)</f>
        <v>93.33333333</v>
      </c>
      <c r="V293" s="47">
        <f>IFERROR(__xludf.DUMMYFUNCTION("""COMPUTED_VALUE"""),0.4)</f>
        <v>0.4</v>
      </c>
      <c r="W293" s="46">
        <f>IFERROR(__xludf.DUMMYFUNCTION("""COMPUTED_VALUE"""),-1.661108322220652)</f>
        <v>-1.661108322</v>
      </c>
      <c r="X293" s="46">
        <f>IFERROR(__xludf.DUMMYFUNCTION("""COMPUTED_VALUE"""),-0.472296145963719)</f>
        <v>-0.472296146</v>
      </c>
      <c r="Y293" s="46">
        <f>IFERROR(__xludf.DUMMYFUNCTION("""COMPUTED_VALUE"""),-1.3361404514645185)</f>
        <v>-1.336140451</v>
      </c>
      <c r="Z293" s="46">
        <f>IFERROR(__xludf.DUMMYFUNCTION("""COMPUTED_VALUE"""),-1.4505099769474463)</f>
        <v>-1.450509977</v>
      </c>
      <c r="AA293" s="46">
        <f>IFERROR(__xludf.DUMMYFUNCTION("""COMPUTED_VALUE"""),-1.5147199775539493)</f>
        <v>-1.514719978</v>
      </c>
      <c r="AB293" s="46">
        <f>IFERROR(__xludf.DUMMYFUNCTION("""COMPUTED_VALUE"""),-0.7896459158928509)</f>
        <v>-0.7896459159</v>
      </c>
      <c r="AC293" s="46">
        <f>IFERROR(__xludf.DUMMYFUNCTION("""COMPUTED_VALUE"""),-0.3267399816850557)</f>
        <v>-0.3267399817</v>
      </c>
      <c r="AD293" s="46">
        <f>IFERROR(__xludf.DUMMYFUNCTION("""COMPUTED_VALUE"""),0.5359521169026296)</f>
        <v>0.5359521169</v>
      </c>
      <c r="AE293" s="46">
        <f>IFERROR(__xludf.DUMMYFUNCTION("""COMPUTED_VALUE"""),0.4950842743868928)</f>
        <v>0.4950842744</v>
      </c>
    </row>
    <row r="294">
      <c r="A294" s="6" t="str">
        <f>IF(VLOOKUP(H294,'Paste #BBall'!$B$2:$N1001,3,)="BRO","BKN",IF(VLOOKUP(H294,'Paste #BBall'!$B$2:$N1001,3,)="OKL","OKC",VLOOKUP(H294,'Paste #BBall'!$B$2:$N1001,3,)))</f>
        <v>DET</v>
      </c>
      <c r="B294" s="42">
        <f>VLOOKUP($A294,Schedule!$C$2:$G$31,2,0)</f>
        <v>3</v>
      </c>
      <c r="C294" s="42">
        <f>VLOOKUP($A294,Schedule!$C$2:$G$31,3,0)</f>
        <v>4</v>
      </c>
      <c r="D294" s="42">
        <f>VLOOKUP($A294,Schedule!$C$2:$G$31,4,0)</f>
        <v>4</v>
      </c>
      <c r="E294" s="42">
        <f t="shared" si="1"/>
        <v>11</v>
      </c>
      <c r="F294" s="6">
        <v>288.0</v>
      </c>
      <c r="G294" s="45">
        <f>IFERROR(__xludf.DUMMYFUNCTION("""COMPUTED_VALUE"""),294.0)</f>
        <v>294</v>
      </c>
      <c r="H294" s="45" t="str">
        <f>IFERROR(__xludf.DUMMYFUNCTION("""COMPUTED_VALUE"""),"Killian Hayes")</f>
        <v>Killian Hayes</v>
      </c>
      <c r="I294" s="45">
        <f>IFERROR(__xludf.DUMMYFUNCTION("""COMPUTED_VALUE"""),65.0)</f>
        <v>65</v>
      </c>
      <c r="J294" s="46" t="str">
        <f>IFERROR(__xludf.DUMMYFUNCTION("""COMPUTED_VALUE"""),"PG,SG")</f>
        <v>PG,SG</v>
      </c>
      <c r="K294" s="46">
        <f>IFERROR(__xludf.DUMMYFUNCTION("""COMPUTED_VALUE"""),-7.9389754421302365)</f>
        <v>-7.938975442</v>
      </c>
      <c r="L294" s="47">
        <f>IFERROR(__xludf.DUMMYFUNCTION("""COMPUTED_VALUE"""),-4.89058414801444)</f>
        <v>-4.890584148</v>
      </c>
      <c r="M294" s="47">
        <f>IFERROR(__xludf.DUMMYFUNCTION("""COMPUTED_VALUE"""),3.0483912941157962)</f>
        <v>3.048391294</v>
      </c>
      <c r="N294" s="47">
        <f>IFERROR(__xludf.DUMMYFUNCTION("""COMPUTED_VALUE"""),4.7)</f>
        <v>4.7</v>
      </c>
      <c r="O294" s="47">
        <f>IFERROR(__xludf.DUMMYFUNCTION("""COMPUTED_VALUE"""),0.5)</f>
        <v>0.5</v>
      </c>
      <c r="P294" s="47">
        <f>IFERROR(__xludf.DUMMYFUNCTION("""COMPUTED_VALUE"""),1.6)</f>
        <v>1.6</v>
      </c>
      <c r="Q294" s="48">
        <f>IFERROR(__xludf.DUMMYFUNCTION("""COMPUTED_VALUE"""),2.8)</f>
        <v>2.8</v>
      </c>
      <c r="R294" s="47">
        <f>IFERROR(__xludf.DUMMYFUNCTION("""COMPUTED_VALUE"""),0.7)</f>
        <v>0.7</v>
      </c>
      <c r="S294" s="47">
        <f>IFERROR(__xludf.DUMMYFUNCTION("""COMPUTED_VALUE"""),0.2)</f>
        <v>0.2</v>
      </c>
      <c r="T294" s="47">
        <f>IFERROR(__xludf.DUMMYFUNCTION("""COMPUTED_VALUE"""),37.5)</f>
        <v>37.5</v>
      </c>
      <c r="U294" s="47">
        <f>IFERROR(__xludf.DUMMYFUNCTION("""COMPUTED_VALUE"""),85.71428571428572)</f>
        <v>85.71428571</v>
      </c>
      <c r="V294" s="47">
        <f>IFERROR(__xludf.DUMMYFUNCTION("""COMPUTED_VALUE"""),1.1)</f>
        <v>1.1</v>
      </c>
      <c r="W294" s="46">
        <f>IFERROR(__xludf.DUMMYFUNCTION("""COMPUTED_VALUE"""),-2.116129540008521)</f>
        <v>-2.11612954</v>
      </c>
      <c r="X294" s="46">
        <f>IFERROR(__xludf.DUMMYFUNCTION("""COMPUTED_VALUE"""),-0.9925734181391757)</f>
        <v>-0.9925734181</v>
      </c>
      <c r="Y294" s="46">
        <f>IFERROR(__xludf.DUMMYFUNCTION("""COMPUTED_VALUE"""),-1.8797402595921657)</f>
        <v>-1.87974026</v>
      </c>
      <c r="Z294" s="46">
        <f>IFERROR(__xludf.DUMMYFUNCTION("""COMPUTED_VALUE"""),-0.5324656877402022)</f>
        <v>-0.5324656877</v>
      </c>
      <c r="AA294" s="46">
        <f>IFERROR(__xludf.DUMMYFUNCTION("""COMPUTED_VALUE"""),-0.6425203743558983)</f>
        <v>-0.6425203744</v>
      </c>
      <c r="AB294" s="46">
        <f>IFERROR(__xludf.DUMMYFUNCTION("""COMPUTED_VALUE"""),-0.6583300762210907)</f>
        <v>-0.6583300762</v>
      </c>
      <c r="AC294" s="46">
        <f>IFERROR(__xludf.DUMMYFUNCTION("""COMPUTED_VALUE"""),-0.5800661513931573)</f>
        <v>-0.5800661514</v>
      </c>
      <c r="AD294" s="46">
        <f>IFERROR(__xludf.DUMMYFUNCTION("""COMPUTED_VALUE"""),0.11735132769346612)</f>
        <v>0.1173513277</v>
      </c>
      <c r="AE294" s="46">
        <f>IFERROR(__xludf.DUMMYFUNCTION("""COMPUTED_VALUE"""),0.2777604917337834)</f>
        <v>0.2777604917</v>
      </c>
    </row>
    <row r="295">
      <c r="A295" s="6" t="str">
        <f>IF(VLOOKUP(H295,'Paste #BBall'!$B$2:$N1001,3,)="BRO","BKN",IF(VLOOKUP(H295,'Paste #BBall'!$B$2:$N1001,3,)="OKL","OKC",VLOOKUP(H295,'Paste #BBall'!$B$2:$N1001,3,)))</f>
        <v>DET</v>
      </c>
      <c r="B295" s="42">
        <f>VLOOKUP($A295,Schedule!$C$2:$G$31,2,0)</f>
        <v>3</v>
      </c>
      <c r="C295" s="42">
        <f>VLOOKUP($A295,Schedule!$C$2:$G$31,3,0)</f>
        <v>4</v>
      </c>
      <c r="D295" s="42">
        <f>VLOOKUP($A295,Schedule!$C$2:$G$31,4,0)</f>
        <v>4</v>
      </c>
      <c r="E295" s="42">
        <f t="shared" si="1"/>
        <v>11</v>
      </c>
      <c r="F295" s="6">
        <v>289.0</v>
      </c>
      <c r="G295" s="45">
        <f>IFERROR(__xludf.DUMMYFUNCTION("""COMPUTED_VALUE"""),291.0)</f>
        <v>291</v>
      </c>
      <c r="H295" s="45" t="str">
        <f>IFERROR(__xludf.DUMMYFUNCTION("""COMPUTED_VALUE"""),"Isaiah Livers")</f>
        <v>Isaiah Livers</v>
      </c>
      <c r="I295" s="45">
        <f>IFERROR(__xludf.DUMMYFUNCTION("""COMPUTED_VALUE"""),60.0)</f>
        <v>60</v>
      </c>
      <c r="J295" s="46" t="str">
        <f>IFERROR(__xludf.DUMMYFUNCTION("""COMPUTED_VALUE"""),"SF,PF")</f>
        <v>SF,PF</v>
      </c>
      <c r="K295" s="46">
        <f>IFERROR(__xludf.DUMMYFUNCTION("""COMPUTED_VALUE"""),-7.873898082801941)</f>
        <v>-7.873898083</v>
      </c>
      <c r="L295" s="47">
        <f>IFERROR(__xludf.DUMMYFUNCTION("""COMPUTED_VALUE"""),-4.895608784454215)</f>
        <v>-4.895608784</v>
      </c>
      <c r="M295" s="47">
        <f>IFERROR(__xludf.DUMMYFUNCTION("""COMPUTED_VALUE"""),2.9782892983477263)</f>
        <v>2.978289298</v>
      </c>
      <c r="N295" s="47">
        <f>IFERROR(__xludf.DUMMYFUNCTION("""COMPUTED_VALUE"""),5.7)</f>
        <v>5.7</v>
      </c>
      <c r="O295" s="47">
        <f>IFERROR(__xludf.DUMMYFUNCTION("""COMPUTED_VALUE"""),1.2)</f>
        <v>1.2</v>
      </c>
      <c r="P295" s="47">
        <f>IFERROR(__xludf.DUMMYFUNCTION("""COMPUTED_VALUE"""),2.5)</f>
        <v>2.5</v>
      </c>
      <c r="Q295" s="48">
        <f>IFERROR(__xludf.DUMMYFUNCTION("""COMPUTED_VALUE"""),0.8)</f>
        <v>0.8</v>
      </c>
      <c r="R295" s="47">
        <f>IFERROR(__xludf.DUMMYFUNCTION("""COMPUTED_VALUE"""),0.5)</f>
        <v>0.5</v>
      </c>
      <c r="S295" s="47">
        <f>IFERROR(__xludf.DUMMYFUNCTION("""COMPUTED_VALUE"""),0.4)</f>
        <v>0.4</v>
      </c>
      <c r="T295" s="47">
        <f>IFERROR(__xludf.DUMMYFUNCTION("""COMPUTED_VALUE"""),43.47826086956522)</f>
        <v>43.47826087</v>
      </c>
      <c r="U295" s="47">
        <f>IFERROR(__xludf.DUMMYFUNCTION("""COMPUTED_VALUE"""),71.42857142857143)</f>
        <v>71.42857143</v>
      </c>
      <c r="V295" s="47">
        <f>IFERROR(__xludf.DUMMYFUNCTION("""COMPUTED_VALUE"""),0.6)</f>
        <v>0.6</v>
      </c>
      <c r="W295" s="46">
        <f>IFERROR(__xludf.DUMMYFUNCTION("""COMPUTED_VALUE"""),-1.947603163050051)</f>
        <v>-1.947603163</v>
      </c>
      <c r="X295" s="46">
        <f>IFERROR(__xludf.DUMMYFUNCTION("""COMPUTED_VALUE"""),-0.38558326726780967)</f>
        <v>-0.3855832673</v>
      </c>
      <c r="Y295" s="46">
        <f>IFERROR(__xludf.DUMMYFUNCTION("""COMPUTED_VALUE"""),-1.50340193088841)</f>
        <v>-1.503401931</v>
      </c>
      <c r="Z295" s="46">
        <f>IFERROR(__xludf.DUMMYFUNCTION("""COMPUTED_VALUE"""),-1.5525148979704735)</f>
        <v>-1.552514898</v>
      </c>
      <c r="AA295" s="46">
        <f>IFERROR(__xludf.DUMMYFUNCTION("""COMPUTED_VALUE"""),-1.0786201759549239)</f>
        <v>-1.078620176</v>
      </c>
      <c r="AB295" s="46">
        <f>IFERROR(__xludf.DUMMYFUNCTION("""COMPUTED_VALUE"""),-0.39569839687757064)</f>
        <v>-0.3956983969</v>
      </c>
      <c r="AC295" s="46">
        <f>IFERROR(__xludf.DUMMYFUNCTION("""COMPUTED_VALUE"""),-0.2812088453813728)</f>
        <v>-0.2812088454</v>
      </c>
      <c r="AD295" s="46">
        <f>IFERROR(__xludf.DUMMYFUNCTION("""COMPUTED_VALUE"""),-0.13157303517108632)</f>
        <v>-0.1315730352</v>
      </c>
      <c r="AE295" s="46">
        <f>IFERROR(__xludf.DUMMYFUNCTION("""COMPUTED_VALUE"""),0.43299176505743303)</f>
        <v>0.4329917651</v>
      </c>
    </row>
    <row r="296">
      <c r="A296" s="6" t="str">
        <f>IF(VLOOKUP(H296,'Paste #BBall'!$B$2:$N1001,3,)="BRO","BKN",IF(VLOOKUP(H296,'Paste #BBall'!$B$2:$N1001,3,)="OKL","OKC",VLOOKUP(H296,'Paste #BBall'!$B$2:$N1001,3,)))</f>
        <v>SAC</v>
      </c>
      <c r="B296" s="42">
        <f>VLOOKUP($A296,Schedule!$C$2:$G$31,2,0)</f>
        <v>4</v>
      </c>
      <c r="C296" s="42">
        <f>VLOOKUP($A296,Schedule!$C$2:$G$31,3,0)</f>
        <v>3</v>
      </c>
      <c r="D296" s="42">
        <f>VLOOKUP($A296,Schedule!$C$2:$G$31,4,0)</f>
        <v>4</v>
      </c>
      <c r="E296" s="42">
        <f t="shared" si="1"/>
        <v>11</v>
      </c>
      <c r="F296" s="6">
        <v>290.0</v>
      </c>
      <c r="G296" s="45">
        <f>IFERROR(__xludf.DUMMYFUNCTION("""COMPUTED_VALUE"""),275.0)</f>
        <v>275</v>
      </c>
      <c r="H296" s="45" t="str">
        <f>IFERROR(__xludf.DUMMYFUNCTION("""COMPUTED_VALUE"""),"Chris Duarte")</f>
        <v>Chris Duarte</v>
      </c>
      <c r="I296" s="45">
        <f>IFERROR(__xludf.DUMMYFUNCTION("""COMPUTED_VALUE"""),68.0)</f>
        <v>68</v>
      </c>
      <c r="J296" s="46" t="str">
        <f>IFERROR(__xludf.DUMMYFUNCTION("""COMPUTED_VALUE"""),"SF")</f>
        <v>SF</v>
      </c>
      <c r="K296" s="46">
        <f>IFERROR(__xludf.DUMMYFUNCTION("""COMPUTED_VALUE"""),-7.381918705261614)</f>
        <v>-7.381918705</v>
      </c>
      <c r="L296" s="47">
        <f>IFERROR(__xludf.DUMMYFUNCTION("""COMPUTED_VALUE"""),-4.907071499565708)</f>
        <v>-4.9070715</v>
      </c>
      <c r="M296" s="47">
        <f>IFERROR(__xludf.DUMMYFUNCTION("""COMPUTED_VALUE"""),2.474847205695906)</f>
        <v>2.474847206</v>
      </c>
      <c r="N296" s="47">
        <f>IFERROR(__xludf.DUMMYFUNCTION("""COMPUTED_VALUE"""),8.3)</f>
        <v>8.3</v>
      </c>
      <c r="O296" s="47">
        <f>IFERROR(__xludf.DUMMYFUNCTION("""COMPUTED_VALUE"""),1.1)</f>
        <v>1.1</v>
      </c>
      <c r="P296" s="47">
        <f>IFERROR(__xludf.DUMMYFUNCTION("""COMPUTED_VALUE"""),2.6)</f>
        <v>2.6</v>
      </c>
      <c r="Q296" s="48">
        <f>IFERROR(__xludf.DUMMYFUNCTION("""COMPUTED_VALUE"""),1.4)</f>
        <v>1.4</v>
      </c>
      <c r="R296" s="47">
        <f>IFERROR(__xludf.DUMMYFUNCTION("""COMPUTED_VALUE"""),0.6)</f>
        <v>0.6</v>
      </c>
      <c r="S296" s="47">
        <f>IFERROR(__xludf.DUMMYFUNCTION("""COMPUTED_VALUE"""),0.1)</f>
        <v>0.1</v>
      </c>
      <c r="T296" s="47">
        <f>IFERROR(__xludf.DUMMYFUNCTION("""COMPUTED_VALUE"""),41.09589041095891)</f>
        <v>41.09589041</v>
      </c>
      <c r="U296" s="47">
        <f>IFERROR(__xludf.DUMMYFUNCTION("""COMPUTED_VALUE"""),85.71428571428572)</f>
        <v>85.71428571</v>
      </c>
      <c r="V296" s="47">
        <f>IFERROR(__xludf.DUMMYFUNCTION("""COMPUTED_VALUE"""),1.0)</f>
        <v>1</v>
      </c>
      <c r="W296" s="46">
        <f>IFERROR(__xludf.DUMMYFUNCTION("""COMPUTED_VALUE"""),-1.509434582958029)</f>
        <v>-1.509434583</v>
      </c>
      <c r="X296" s="46">
        <f>IFERROR(__xludf.DUMMYFUNCTION("""COMPUTED_VALUE"""),-0.472296145963719)</f>
        <v>-0.472296146</v>
      </c>
      <c r="Y296" s="46">
        <f>IFERROR(__xludf.DUMMYFUNCTION("""COMPUTED_VALUE"""),-1.461586561032437)</f>
        <v>-1.461586561</v>
      </c>
      <c r="Z296" s="46">
        <f>IFERROR(__xludf.DUMMYFUNCTION("""COMPUTED_VALUE"""),-1.246500134901392)</f>
        <v>-1.246500135</v>
      </c>
      <c r="AA296" s="46">
        <f>IFERROR(__xludf.DUMMYFUNCTION("""COMPUTED_VALUE"""),-0.860570275155411)</f>
        <v>-0.8605702752</v>
      </c>
      <c r="AB296" s="46">
        <f>IFERROR(__xludf.DUMMYFUNCTION("""COMPUTED_VALUE"""),-0.7896459158928509)</f>
        <v>-0.7896459159</v>
      </c>
      <c r="AC296" s="46">
        <f>IFERROR(__xludf.DUMMYFUNCTION("""COMPUTED_VALUE"""),-0.6199818684053451)</f>
        <v>-0.6199818684</v>
      </c>
      <c r="AD296" s="46">
        <f>IFERROR(__xludf.DUMMYFUNCTION("""COMPUTED_VALUE"""),0.23470265538693225)</f>
        <v>0.2347026554</v>
      </c>
      <c r="AE296" s="46">
        <f>IFERROR(__xludf.DUMMYFUNCTION("""COMPUTED_VALUE"""),0.30880674639851335)</f>
        <v>0.3088067464</v>
      </c>
    </row>
    <row r="297">
      <c r="A297" s="6" t="str">
        <f>IF(VLOOKUP(H297,'Paste #BBall'!$B$2:$N1001,3,)="BRO","BKN",IF(VLOOKUP(H297,'Paste #BBall'!$B$2:$N1001,3,)="OKL","OKC",VLOOKUP(H297,'Paste #BBall'!$B$2:$N1001,3,)))</f>
        <v>PHI</v>
      </c>
      <c r="B297" s="42">
        <f>VLOOKUP($A297,Schedule!$C$2:$G$31,2,0)</f>
        <v>4</v>
      </c>
      <c r="C297" s="42">
        <f>VLOOKUP($A297,Schedule!$C$2:$G$31,3,0)</f>
        <v>3</v>
      </c>
      <c r="D297" s="42">
        <f>VLOOKUP($A297,Schedule!$C$2:$G$31,4,0)</f>
        <v>4</v>
      </c>
      <c r="E297" s="42">
        <f t="shared" si="1"/>
        <v>11</v>
      </c>
      <c r="F297" s="6">
        <v>291.0</v>
      </c>
      <c r="G297" s="45">
        <f>IFERROR(__xludf.DUMMYFUNCTION("""COMPUTED_VALUE"""),297.0)</f>
        <v>297</v>
      </c>
      <c r="H297" s="45" t="str">
        <f>IFERROR(__xludf.DUMMYFUNCTION("""COMPUTED_VALUE"""),"Danny Green")</f>
        <v>Danny Green</v>
      </c>
      <c r="I297" s="45">
        <f>IFERROR(__xludf.DUMMYFUNCTION("""COMPUTED_VALUE"""),30.0)</f>
        <v>30</v>
      </c>
      <c r="J297" s="46" t="str">
        <f>IFERROR(__xludf.DUMMYFUNCTION("""COMPUTED_VALUE"""),"SG")</f>
        <v>SG</v>
      </c>
      <c r="K297" s="46">
        <f>IFERROR(__xludf.DUMMYFUNCTION("""COMPUTED_VALUE"""),-8.015894861923323)</f>
        <v>-8.015894862</v>
      </c>
      <c r="L297" s="47">
        <f>IFERROR(__xludf.DUMMYFUNCTION("""COMPUTED_VALUE"""),-4.930586794643139)</f>
        <v>-4.930586795</v>
      </c>
      <c r="M297" s="47">
        <f>IFERROR(__xludf.DUMMYFUNCTION("""COMPUTED_VALUE"""),3.0853080672801845)</f>
        <v>3.085308067</v>
      </c>
      <c r="N297" s="47">
        <f>IFERROR(__xludf.DUMMYFUNCTION("""COMPUTED_VALUE"""),4.2)</f>
        <v>4.2</v>
      </c>
      <c r="O297" s="47">
        <f>IFERROR(__xludf.DUMMYFUNCTION("""COMPUTED_VALUE"""),1.2)</f>
        <v>1.2</v>
      </c>
      <c r="P297" s="47">
        <f>IFERROR(__xludf.DUMMYFUNCTION("""COMPUTED_VALUE"""),1.7)</f>
        <v>1.7</v>
      </c>
      <c r="Q297" s="48">
        <f>IFERROR(__xludf.DUMMYFUNCTION("""COMPUTED_VALUE"""),0.7)</f>
        <v>0.7</v>
      </c>
      <c r="R297" s="47">
        <f>IFERROR(__xludf.DUMMYFUNCTION("""COMPUTED_VALUE"""),0.7)</f>
        <v>0.7</v>
      </c>
      <c r="S297" s="47">
        <f>IFERROR(__xludf.DUMMYFUNCTION("""COMPUTED_VALUE"""),0.4)</f>
        <v>0.4</v>
      </c>
      <c r="T297" s="47">
        <f>IFERROR(__xludf.DUMMYFUNCTION("""COMPUTED_VALUE"""),38.888888888888886)</f>
        <v>38.88888889</v>
      </c>
      <c r="U297" s="47">
        <f>IFERROR(__xludf.DUMMYFUNCTION("""COMPUTED_VALUE"""),50.0)</f>
        <v>50</v>
      </c>
      <c r="V297" s="47">
        <f>IFERROR(__xludf.DUMMYFUNCTION("""COMPUTED_VALUE"""),0.5)</f>
        <v>0.5</v>
      </c>
      <c r="W297" s="46">
        <f>IFERROR(__xludf.DUMMYFUNCTION("""COMPUTED_VALUE"""),-2.200392728487756)</f>
        <v>-2.200392728</v>
      </c>
      <c r="X297" s="46">
        <f>IFERROR(__xludf.DUMMYFUNCTION("""COMPUTED_VALUE"""),-0.38558326726780967)</f>
        <v>-0.3855832673</v>
      </c>
      <c r="Y297" s="46">
        <f>IFERROR(__xludf.DUMMYFUNCTION("""COMPUTED_VALUE"""),-1.8379248897361926)</f>
        <v>-1.83792489</v>
      </c>
      <c r="Z297" s="46">
        <f>IFERROR(__xludf.DUMMYFUNCTION("""COMPUTED_VALUE"""),-1.603517358481987)</f>
        <v>-1.603517358</v>
      </c>
      <c r="AA297" s="46">
        <f>IFERROR(__xludf.DUMMYFUNCTION("""COMPUTED_VALUE"""),-0.6425203743558983)</f>
        <v>-0.6425203744</v>
      </c>
      <c r="AB297" s="46">
        <f>IFERROR(__xludf.DUMMYFUNCTION("""COMPUTED_VALUE"""),-0.39569839687757064)</f>
        <v>-0.3956983969</v>
      </c>
      <c r="AC297" s="46">
        <f>IFERROR(__xludf.DUMMYFUNCTION("""COMPUTED_VALUE"""),-0.38510636208358284)</f>
        <v>-0.3851063621</v>
      </c>
      <c r="AD297" s="46">
        <f>IFERROR(__xludf.DUMMYFUNCTION("""COMPUTED_VALUE"""),-0.14427416556226144)</f>
        <v>-0.1442741656</v>
      </c>
      <c r="AE297" s="46">
        <f>IFERROR(__xludf.DUMMYFUNCTION("""COMPUTED_VALUE"""),0.4640380197221629)</f>
        <v>0.4640380197</v>
      </c>
    </row>
    <row r="298">
      <c r="A298" s="6" t="str">
        <f>IF(VLOOKUP(H298,'Paste #BBall'!$B$2:$N1001,3,)="BRO","BKN",IF(VLOOKUP(H298,'Paste #BBall'!$B$2:$N1001,3,)="OKL","OKC",VLOOKUP(H298,'Paste #BBall'!$B$2:$N1001,3,)))</f>
        <v>MIA</v>
      </c>
      <c r="B298" s="42">
        <f>VLOOKUP($A298,Schedule!$C$2:$G$31,2,0)</f>
        <v>4</v>
      </c>
      <c r="C298" s="42">
        <f>VLOOKUP($A298,Schedule!$C$2:$G$31,3,0)</f>
        <v>3</v>
      </c>
      <c r="D298" s="42">
        <f>VLOOKUP($A298,Schedule!$C$2:$G$31,4,0)</f>
        <v>4</v>
      </c>
      <c r="E298" s="42">
        <f t="shared" si="1"/>
        <v>11</v>
      </c>
      <c r="F298" s="6">
        <v>292.0</v>
      </c>
      <c r="G298" s="45">
        <f>IFERROR(__xludf.DUMMYFUNCTION("""COMPUTED_VALUE"""),304.0)</f>
        <v>304</v>
      </c>
      <c r="H298" s="45" t="str">
        <f>IFERROR(__xludf.DUMMYFUNCTION("""COMPUTED_VALUE"""),"Haywood Highsmith")</f>
        <v>Haywood Highsmith</v>
      </c>
      <c r="I298" s="45">
        <f>IFERROR(__xludf.DUMMYFUNCTION("""COMPUTED_VALUE"""),69.0)</f>
        <v>69</v>
      </c>
      <c r="J298" s="46" t="str">
        <f>IFERROR(__xludf.DUMMYFUNCTION("""COMPUTED_VALUE"""),"SF,PF")</f>
        <v>SF,PF</v>
      </c>
      <c r="K298" s="46">
        <f>IFERROR(__xludf.DUMMYFUNCTION("""COMPUTED_VALUE"""),-8.090250422112002)</f>
        <v>-8.090250422</v>
      </c>
      <c r="L298" s="47">
        <f>IFERROR(__xludf.DUMMYFUNCTION("""COMPUTED_VALUE"""),-4.955461801777297)</f>
        <v>-4.955461802</v>
      </c>
      <c r="M298" s="47">
        <f>IFERROR(__xludf.DUMMYFUNCTION("""COMPUTED_VALUE"""),3.134788620334705)</f>
        <v>3.13478862</v>
      </c>
      <c r="N298" s="47">
        <f>IFERROR(__xludf.DUMMYFUNCTION("""COMPUTED_VALUE"""),4.6)</f>
        <v>4.6</v>
      </c>
      <c r="O298" s="47">
        <f>IFERROR(__xludf.DUMMYFUNCTION("""COMPUTED_VALUE"""),0.8)</f>
        <v>0.8</v>
      </c>
      <c r="P298" s="47">
        <f>IFERROR(__xludf.DUMMYFUNCTION("""COMPUTED_VALUE"""),3.5)</f>
        <v>3.5</v>
      </c>
      <c r="Q298" s="48">
        <f>IFERROR(__xludf.DUMMYFUNCTION("""COMPUTED_VALUE"""),0.8)</f>
        <v>0.8</v>
      </c>
      <c r="R298" s="47">
        <f>IFERROR(__xludf.DUMMYFUNCTION("""COMPUTED_VALUE"""),0.6)</f>
        <v>0.6</v>
      </c>
      <c r="S298" s="47">
        <f>IFERROR(__xludf.DUMMYFUNCTION("""COMPUTED_VALUE"""),0.3)</f>
        <v>0.3</v>
      </c>
      <c r="T298" s="47">
        <f>IFERROR(__xludf.DUMMYFUNCTION("""COMPUTED_VALUE"""),41.86046511627907)</f>
        <v>41.86046512</v>
      </c>
      <c r="U298" s="47">
        <f>IFERROR(__xludf.DUMMYFUNCTION("""COMPUTED_VALUE"""),60.0)</f>
        <v>60</v>
      </c>
      <c r="V298" s="47">
        <f>IFERROR(__xludf.DUMMYFUNCTION("""COMPUTED_VALUE"""),0.8)</f>
        <v>0.8</v>
      </c>
      <c r="W298" s="46">
        <f>IFERROR(__xludf.DUMMYFUNCTION("""COMPUTED_VALUE"""),-2.132982177704368)</f>
        <v>-2.132982178</v>
      </c>
      <c r="X298" s="46">
        <f>IFERROR(__xludf.DUMMYFUNCTION("""COMPUTED_VALUE"""),-0.7324347820514473)</f>
        <v>-0.7324347821</v>
      </c>
      <c r="Y298" s="46">
        <f>IFERROR(__xludf.DUMMYFUNCTION("""COMPUTED_VALUE"""),-1.0852482323286814)</f>
        <v>-1.085248232</v>
      </c>
      <c r="Z298" s="46">
        <f>IFERROR(__xludf.DUMMYFUNCTION("""COMPUTED_VALUE"""),-1.5525148979704735)</f>
        <v>-1.552514898</v>
      </c>
      <c r="AA298" s="46">
        <f>IFERROR(__xludf.DUMMYFUNCTION("""COMPUTED_VALUE"""),-0.860570275155411)</f>
        <v>-0.8605702752</v>
      </c>
      <c r="AB298" s="46">
        <f>IFERROR(__xludf.DUMMYFUNCTION("""COMPUTED_VALUE"""),-0.5270142365493308)</f>
        <v>-0.5270142365</v>
      </c>
      <c r="AC298" s="46">
        <f>IFERROR(__xludf.DUMMYFUNCTION("""COMPUTED_VALUE"""),-0.3323554009765499)</f>
        <v>-0.332355401</v>
      </c>
      <c r="AD298" s="46">
        <f>IFERROR(__xludf.DUMMYFUNCTION("""COMPUTED_VALUE"""),-0.2362232324733773)</f>
        <v>-0.2362232325</v>
      </c>
      <c r="AE298" s="46">
        <f>IFERROR(__xludf.DUMMYFUNCTION("""COMPUTED_VALUE"""),0.37089925572797316)</f>
        <v>0.3708992557</v>
      </c>
    </row>
    <row r="299">
      <c r="A299" s="6" t="str">
        <f>IF(VLOOKUP(H299,'Paste #BBall'!$B$2:$N1001,3,)="BRO","BKN",IF(VLOOKUP(H299,'Paste #BBall'!$B$2:$N1001,3,)="OKL","OKC",VLOOKUP(H299,'Paste #BBall'!$B$2:$N1001,3,)))</f>
        <v>CLE</v>
      </c>
      <c r="B299" s="42">
        <f>VLOOKUP($A299,Schedule!$C$2:$G$31,2,0)</f>
        <v>4</v>
      </c>
      <c r="C299" s="42">
        <f>VLOOKUP($A299,Schedule!$C$2:$G$31,3,0)</f>
        <v>3</v>
      </c>
      <c r="D299" s="42">
        <f>VLOOKUP($A299,Schedule!$C$2:$G$31,4,0)</f>
        <v>4</v>
      </c>
      <c r="E299" s="42">
        <f t="shared" si="1"/>
        <v>11</v>
      </c>
      <c r="F299" s="6">
        <v>293.0</v>
      </c>
      <c r="G299" s="45">
        <f>IFERROR(__xludf.DUMMYFUNCTION("""COMPUTED_VALUE"""),288.0)</f>
        <v>288</v>
      </c>
      <c r="H299" s="45" t="str">
        <f>IFERROR(__xludf.DUMMYFUNCTION("""COMPUTED_VALUE"""),"Georges Niang")</f>
        <v>Georges Niang</v>
      </c>
      <c r="I299" s="45">
        <f>IFERROR(__xludf.DUMMYFUNCTION("""COMPUTED_VALUE"""),73.0)</f>
        <v>73</v>
      </c>
      <c r="J299" s="46" t="str">
        <f>IFERROR(__xludf.DUMMYFUNCTION("""COMPUTED_VALUE"""),"PF")</f>
        <v>PF</v>
      </c>
      <c r="K299" s="46">
        <f>IFERROR(__xludf.DUMMYFUNCTION("""COMPUTED_VALUE"""),-7.792720062404369)</f>
        <v>-7.792720062</v>
      </c>
      <c r="L299" s="47">
        <f>IFERROR(__xludf.DUMMYFUNCTION("""COMPUTED_VALUE"""),-4.957580271686127)</f>
        <v>-4.957580272</v>
      </c>
      <c r="M299" s="47">
        <f>IFERROR(__xludf.DUMMYFUNCTION("""COMPUTED_VALUE"""),2.835139790718242)</f>
        <v>2.835139791</v>
      </c>
      <c r="N299" s="47">
        <f>IFERROR(__xludf.DUMMYFUNCTION("""COMPUTED_VALUE"""),7.7)</f>
        <v>7.7</v>
      </c>
      <c r="O299" s="47">
        <f>IFERROR(__xludf.DUMMYFUNCTION("""COMPUTED_VALUE"""),1.8)</f>
        <v>1.8</v>
      </c>
      <c r="P299" s="47">
        <f>IFERROR(__xludf.DUMMYFUNCTION("""COMPUTED_VALUE"""),2.2)</f>
        <v>2.2</v>
      </c>
      <c r="Q299" s="48">
        <f>IFERROR(__xludf.DUMMYFUNCTION("""COMPUTED_VALUE"""),1.0)</f>
        <v>1</v>
      </c>
      <c r="R299" s="47">
        <f>IFERROR(__xludf.DUMMYFUNCTION("""COMPUTED_VALUE"""),0.3)</f>
        <v>0.3</v>
      </c>
      <c r="S299" s="47">
        <f>IFERROR(__xludf.DUMMYFUNCTION("""COMPUTED_VALUE"""),0.2)</f>
        <v>0.2</v>
      </c>
      <c r="T299" s="47">
        <f>IFERROR(__xludf.DUMMYFUNCTION("""COMPUTED_VALUE"""),44.26229508196722)</f>
        <v>44.26229508</v>
      </c>
      <c r="U299" s="47">
        <f>IFERROR(__xludf.DUMMYFUNCTION("""COMPUTED_VALUE"""),83.33333333333334)</f>
        <v>83.33333333</v>
      </c>
      <c r="V299" s="47">
        <f>IFERROR(__xludf.DUMMYFUNCTION("""COMPUTED_VALUE"""),0.7)</f>
        <v>0.7</v>
      </c>
      <c r="W299" s="46">
        <f>IFERROR(__xludf.DUMMYFUNCTION("""COMPUTED_VALUE"""),-1.610550409133111)</f>
        <v>-1.610550409</v>
      </c>
      <c r="X299" s="46">
        <f>IFERROR(__xludf.DUMMYFUNCTION("""COMPUTED_VALUE"""),0.13469400490764694)</f>
        <v>0.1346940049</v>
      </c>
      <c r="Y299" s="46">
        <f>IFERROR(__xludf.DUMMYFUNCTION("""COMPUTED_VALUE"""),-1.6288480404563284)</f>
        <v>-1.62884804</v>
      </c>
      <c r="Z299" s="46">
        <f>IFERROR(__xludf.DUMMYFUNCTION("""COMPUTED_VALUE"""),-1.4505099769474463)</f>
        <v>-1.450509977</v>
      </c>
      <c r="AA299" s="46">
        <f>IFERROR(__xludf.DUMMYFUNCTION("""COMPUTED_VALUE"""),-1.5147199775539493)</f>
        <v>-1.514719978</v>
      </c>
      <c r="AB299" s="46">
        <f>IFERROR(__xludf.DUMMYFUNCTION("""COMPUTED_VALUE"""),-0.6583300762210907)</f>
        <v>-0.6583300762</v>
      </c>
      <c r="AC299" s="46">
        <f>IFERROR(__xludf.DUMMYFUNCTION("""COMPUTED_VALUE"""),-0.32513557617319966)</f>
        <v>-0.3251355762</v>
      </c>
      <c r="AD299" s="46">
        <f>IFERROR(__xludf.DUMMYFUNCTION("""COMPUTED_VALUE"""),0.0650262290423206)</f>
        <v>0.06502622904</v>
      </c>
      <c r="AE299" s="46">
        <f>IFERROR(__xludf.DUMMYFUNCTION("""COMPUTED_VALUE"""),0.4019455103927031)</f>
        <v>0.4019455104</v>
      </c>
    </row>
    <row r="300">
      <c r="A300" s="6" t="str">
        <f>IF(VLOOKUP(H300,'Paste #BBall'!$B$2:$N1001,3,)="BRO","BKN",IF(VLOOKUP(H300,'Paste #BBall'!$B$2:$N1001,3,)="OKL","OKC",VLOOKUP(H300,'Paste #BBall'!$B$2:$N1001,3,)))</f>
        <v>PHO</v>
      </c>
      <c r="B300" s="42">
        <f>VLOOKUP($A300,Schedule!$C$2:$G$31,2,0)</f>
        <v>3</v>
      </c>
      <c r="C300" s="42">
        <f>VLOOKUP($A300,Schedule!$C$2:$G$31,3,0)</f>
        <v>4</v>
      </c>
      <c r="D300" s="42">
        <f>VLOOKUP($A300,Schedule!$C$2:$G$31,4,0)</f>
        <v>3</v>
      </c>
      <c r="E300" s="42">
        <f t="shared" si="1"/>
        <v>10</v>
      </c>
      <c r="F300" s="6">
        <v>294.0</v>
      </c>
      <c r="G300" s="45">
        <f>IFERROR(__xludf.DUMMYFUNCTION("""COMPUTED_VALUE"""),305.0)</f>
        <v>305</v>
      </c>
      <c r="H300" s="45" t="str">
        <f>IFERROR(__xludf.DUMMYFUNCTION("""COMPUTED_VALUE"""),"Ish Wainright")</f>
        <v>Ish Wainright</v>
      </c>
      <c r="I300" s="45">
        <f>IFERROR(__xludf.DUMMYFUNCTION("""COMPUTED_VALUE"""),45.0)</f>
        <v>45</v>
      </c>
      <c r="J300" s="46" t="str">
        <f>IFERROR(__xludf.DUMMYFUNCTION("""COMPUTED_VALUE"""),"SF,PF")</f>
        <v>SF,PF</v>
      </c>
      <c r="K300" s="46">
        <f>IFERROR(__xludf.DUMMYFUNCTION("""COMPUTED_VALUE"""),-8.16781630971736)</f>
        <v>-8.16781631</v>
      </c>
      <c r="L300" s="47">
        <f>IFERROR(__xludf.DUMMYFUNCTION("""COMPUTED_VALUE"""),-4.973024710159726)</f>
        <v>-4.97302471</v>
      </c>
      <c r="M300" s="47">
        <f>IFERROR(__xludf.DUMMYFUNCTION("""COMPUTED_VALUE"""),3.1947915995576333)</f>
        <v>3.1947916</v>
      </c>
      <c r="N300" s="47">
        <f>IFERROR(__xludf.DUMMYFUNCTION("""COMPUTED_VALUE"""),4.1)</f>
        <v>4.1</v>
      </c>
      <c r="O300" s="47">
        <f>IFERROR(__xludf.DUMMYFUNCTION("""COMPUTED_VALUE"""),0.9)</f>
        <v>0.9</v>
      </c>
      <c r="P300" s="47">
        <f>IFERROR(__xludf.DUMMYFUNCTION("""COMPUTED_VALUE"""),2.2)</f>
        <v>2.2</v>
      </c>
      <c r="Q300" s="48">
        <f>IFERROR(__xludf.DUMMYFUNCTION("""COMPUTED_VALUE"""),0.8)</f>
        <v>0.8</v>
      </c>
      <c r="R300" s="47">
        <f>IFERROR(__xludf.DUMMYFUNCTION("""COMPUTED_VALUE"""),0.7)</f>
        <v>0.7</v>
      </c>
      <c r="S300" s="47">
        <f>IFERROR(__xludf.DUMMYFUNCTION("""COMPUTED_VALUE"""),0.3)</f>
        <v>0.3</v>
      </c>
      <c r="T300" s="47">
        <f>IFERROR(__xludf.DUMMYFUNCTION("""COMPUTED_VALUE"""),36.84210526315789)</f>
        <v>36.84210526</v>
      </c>
      <c r="U300" s="47">
        <f>IFERROR(__xludf.DUMMYFUNCTION("""COMPUTED_VALUE"""),80.0)</f>
        <v>80</v>
      </c>
      <c r="V300" s="47">
        <f>IFERROR(__xludf.DUMMYFUNCTION("""COMPUTED_VALUE"""),0.4)</f>
        <v>0.4</v>
      </c>
      <c r="W300" s="46">
        <f>IFERROR(__xludf.DUMMYFUNCTION("""COMPUTED_VALUE"""),-2.2172453661836027)</f>
        <v>-2.217245366</v>
      </c>
      <c r="X300" s="46">
        <f>IFERROR(__xludf.DUMMYFUNCTION("""COMPUTED_VALUE"""),-0.6457219033555379)</f>
        <v>-0.6457219034</v>
      </c>
      <c r="Y300" s="46">
        <f>IFERROR(__xludf.DUMMYFUNCTION("""COMPUTED_VALUE"""),-1.6288480404563284)</f>
        <v>-1.62884804</v>
      </c>
      <c r="Z300" s="46">
        <f>IFERROR(__xludf.DUMMYFUNCTION("""COMPUTED_VALUE"""),-1.5525148979704735)</f>
        <v>-1.552514898</v>
      </c>
      <c r="AA300" s="46">
        <f>IFERROR(__xludf.DUMMYFUNCTION("""COMPUTED_VALUE"""),-0.6425203743558983)</f>
        <v>-0.6425203744</v>
      </c>
      <c r="AB300" s="46">
        <f>IFERROR(__xludf.DUMMYFUNCTION("""COMPUTED_VALUE"""),-0.5270142365493308)</f>
        <v>-0.5270142365</v>
      </c>
      <c r="AC300" s="46">
        <f>IFERROR(__xludf.DUMMYFUNCTION("""COMPUTED_VALUE"""),-0.4841906622502256)</f>
        <v>-0.4841906623</v>
      </c>
      <c r="AD300" s="46">
        <f>IFERROR(__xludf.DUMMYFUNCTION("""COMPUTED_VALUE"""),0.01270113039117512)</f>
        <v>0.01270113039</v>
      </c>
      <c r="AE300" s="46">
        <f>IFERROR(__xludf.DUMMYFUNCTION("""COMPUTED_VALUE"""),0.4950842743868928)</f>
        <v>0.4950842744</v>
      </c>
    </row>
    <row r="301">
      <c r="A301" s="6" t="str">
        <f>IF(VLOOKUP(H301,'Paste #BBall'!$B$2:$N1001,3,)="BRO","BKN",IF(VLOOKUP(H301,'Paste #BBall'!$B$2:$N1001,3,)="OKL","OKC",VLOOKUP(H301,'Paste #BBall'!$B$2:$N1001,3,)))</f>
        <v>SAC</v>
      </c>
      <c r="B301" s="42">
        <f>VLOOKUP($A301,Schedule!$C$2:$G$31,2,0)</f>
        <v>4</v>
      </c>
      <c r="C301" s="42">
        <f>VLOOKUP($A301,Schedule!$C$2:$G$31,3,0)</f>
        <v>3</v>
      </c>
      <c r="D301" s="42">
        <f>VLOOKUP($A301,Schedule!$C$2:$G$31,4,0)</f>
        <v>4</v>
      </c>
      <c r="E301" s="42">
        <f t="shared" si="1"/>
        <v>11</v>
      </c>
      <c r="F301" s="6">
        <v>295.0</v>
      </c>
      <c r="G301" s="45">
        <f>IFERROR(__xludf.DUMMYFUNCTION("""COMPUTED_VALUE"""),302.0)</f>
        <v>302</v>
      </c>
      <c r="H301" s="45" t="str">
        <f>IFERROR(__xludf.DUMMYFUNCTION("""COMPUTED_VALUE"""),"Davion Mitchell")</f>
        <v>Davion Mitchell</v>
      </c>
      <c r="I301" s="45">
        <f>IFERROR(__xludf.DUMMYFUNCTION("""COMPUTED_VALUE"""),78.0)</f>
        <v>78</v>
      </c>
      <c r="J301" s="46" t="str">
        <f>IFERROR(__xludf.DUMMYFUNCTION("""COMPUTED_VALUE"""),"PG,SG")</f>
        <v>PG,SG</v>
      </c>
      <c r="K301" s="46">
        <f>IFERROR(__xludf.DUMMYFUNCTION("""COMPUTED_VALUE"""),-8.061919151333038)</f>
        <v>-8.061919151</v>
      </c>
      <c r="L301" s="47">
        <f>IFERROR(__xludf.DUMMYFUNCTION("""COMPUTED_VALUE"""),-4.975513397343167)</f>
        <v>-4.975513397</v>
      </c>
      <c r="M301" s="47">
        <f>IFERROR(__xludf.DUMMYFUNCTION("""COMPUTED_VALUE"""),3.0864057539898715)</f>
        <v>3.086405754</v>
      </c>
      <c r="N301" s="47">
        <f>IFERROR(__xludf.DUMMYFUNCTION("""COMPUTED_VALUE"""),7.1)</f>
        <v>7.1</v>
      </c>
      <c r="O301" s="47">
        <f>IFERROR(__xludf.DUMMYFUNCTION("""COMPUTED_VALUE"""),0.9)</f>
        <v>0.9</v>
      </c>
      <c r="P301" s="47">
        <f>IFERROR(__xludf.DUMMYFUNCTION("""COMPUTED_VALUE"""),1.5)</f>
        <v>1.5</v>
      </c>
      <c r="Q301" s="48">
        <f>IFERROR(__xludf.DUMMYFUNCTION("""COMPUTED_VALUE"""),2.7)</f>
        <v>2.7</v>
      </c>
      <c r="R301" s="47">
        <f>IFERROR(__xludf.DUMMYFUNCTION("""COMPUTED_VALUE"""),0.5)</f>
        <v>0.5</v>
      </c>
      <c r="S301" s="47">
        <f>IFERROR(__xludf.DUMMYFUNCTION("""COMPUTED_VALUE"""),0.2)</f>
        <v>0.2</v>
      </c>
      <c r="T301" s="47">
        <f>IFERROR(__xludf.DUMMYFUNCTION("""COMPUTED_VALUE"""),43.28358208955223)</f>
        <v>43.28358209</v>
      </c>
      <c r="U301" s="47">
        <f>IFERROR(__xludf.DUMMYFUNCTION("""COMPUTED_VALUE"""),66.66666666666667)</f>
        <v>66.66666667</v>
      </c>
      <c r="V301" s="47">
        <f>IFERROR(__xludf.DUMMYFUNCTION("""COMPUTED_VALUE"""),1.0)</f>
        <v>1</v>
      </c>
      <c r="W301" s="46">
        <f>IFERROR(__xludf.DUMMYFUNCTION("""COMPUTED_VALUE"""),-1.711666235308193)</f>
        <v>-1.711666235</v>
      </c>
      <c r="X301" s="46">
        <f>IFERROR(__xludf.DUMMYFUNCTION("""COMPUTED_VALUE"""),-0.6457219033555379)</f>
        <v>-0.6457219034</v>
      </c>
      <c r="Y301" s="46">
        <f>IFERROR(__xludf.DUMMYFUNCTION("""COMPUTED_VALUE"""),-1.9215556294481384)</f>
        <v>-1.921555629</v>
      </c>
      <c r="Z301" s="46">
        <f>IFERROR(__xludf.DUMMYFUNCTION("""COMPUTED_VALUE"""),-0.5834681482517156)</f>
        <v>-0.5834681483</v>
      </c>
      <c r="AA301" s="46">
        <f>IFERROR(__xludf.DUMMYFUNCTION("""COMPUTED_VALUE"""),-1.0786201759549239)</f>
        <v>-1.078620176</v>
      </c>
      <c r="AB301" s="46">
        <f>IFERROR(__xludf.DUMMYFUNCTION("""COMPUTED_VALUE"""),-0.6583300762210907)</f>
        <v>-0.6583300762</v>
      </c>
      <c r="AC301" s="46">
        <f>IFERROR(__xludf.DUMMYFUNCTION("""COMPUTED_VALUE"""),-0.42261547082798756)</f>
        <v>-0.4226154708</v>
      </c>
      <c r="AD301" s="46">
        <f>IFERROR(__xludf.DUMMYFUNCTION("""COMPUTED_VALUE"""),-0.18389813382223172)</f>
        <v>-0.1838981338</v>
      </c>
      <c r="AE301" s="46">
        <f>IFERROR(__xludf.DUMMYFUNCTION("""COMPUTED_VALUE"""),0.30880674639851335)</f>
        <v>0.3088067464</v>
      </c>
    </row>
    <row r="302">
      <c r="A302" s="6" t="str">
        <f>IF(VLOOKUP(H302,'Paste #BBall'!$B$2:$N1001,3,)="BRO","BKN",IF(VLOOKUP(H302,'Paste #BBall'!$B$2:$N1001,3,)="OKL","OKC",VLOOKUP(H302,'Paste #BBall'!$B$2:$N1001,3,)))</f>
        <v>UTA</v>
      </c>
      <c r="B302" s="42">
        <f>VLOOKUP($A302,Schedule!$C$2:$G$31,2,0)</f>
        <v>3</v>
      </c>
      <c r="C302" s="42">
        <f>VLOOKUP($A302,Schedule!$C$2:$G$31,3,0)</f>
        <v>3</v>
      </c>
      <c r="D302" s="42">
        <f>VLOOKUP($A302,Schedule!$C$2:$G$31,4,0)</f>
        <v>4</v>
      </c>
      <c r="E302" s="42">
        <f t="shared" si="1"/>
        <v>10</v>
      </c>
      <c r="F302" s="6">
        <v>296.0</v>
      </c>
      <c r="G302" s="45">
        <f>IFERROR(__xludf.DUMMYFUNCTION("""COMPUTED_VALUE"""),279.0)</f>
        <v>279</v>
      </c>
      <c r="H302" s="45" t="str">
        <f>IFERROR(__xludf.DUMMYFUNCTION("""COMPUTED_VALUE"""),"Talen Horton-Tucker")</f>
        <v>Talen Horton-Tucker</v>
      </c>
      <c r="I302" s="45">
        <f>IFERROR(__xludf.DUMMYFUNCTION("""COMPUTED_VALUE"""),60.0)</f>
        <v>60</v>
      </c>
      <c r="J302" s="46" t="str">
        <f>IFERROR(__xludf.DUMMYFUNCTION("""COMPUTED_VALUE"""),"SG,SF")</f>
        <v>SG,SF</v>
      </c>
      <c r="K302" s="46">
        <f>IFERROR(__xludf.DUMMYFUNCTION("""COMPUTED_VALUE"""),-7.611029756723778)</f>
        <v>-7.611029757</v>
      </c>
      <c r="L302" s="47">
        <f>IFERROR(__xludf.DUMMYFUNCTION("""COMPUTED_VALUE"""),-5.000372073033052)</f>
        <v>-5.000372073</v>
      </c>
      <c r="M302" s="47">
        <f>IFERROR(__xludf.DUMMYFUNCTION("""COMPUTED_VALUE"""),2.610657683690726)</f>
        <v>2.610657684</v>
      </c>
      <c r="N302" s="47">
        <f>IFERROR(__xludf.DUMMYFUNCTION("""COMPUTED_VALUE"""),7.4)</f>
        <v>7.4</v>
      </c>
      <c r="O302" s="47">
        <f>IFERROR(__xludf.DUMMYFUNCTION("""COMPUTED_VALUE"""),0.6)</f>
        <v>0.6</v>
      </c>
      <c r="P302" s="47">
        <f>IFERROR(__xludf.DUMMYFUNCTION("""COMPUTED_VALUE"""),2.3)</f>
        <v>2.3</v>
      </c>
      <c r="Q302" s="48">
        <f>IFERROR(__xludf.DUMMYFUNCTION("""COMPUTED_VALUE"""),2.3)</f>
        <v>2.3</v>
      </c>
      <c r="R302" s="47">
        <f>IFERROR(__xludf.DUMMYFUNCTION("""COMPUTED_VALUE"""),0.6)</f>
        <v>0.6</v>
      </c>
      <c r="S302" s="47">
        <f>IFERROR(__xludf.DUMMYFUNCTION("""COMPUTED_VALUE"""),0.3)</f>
        <v>0.3</v>
      </c>
      <c r="T302" s="47">
        <f>IFERROR(__xludf.DUMMYFUNCTION("""COMPUTED_VALUE"""),42.42424242424242)</f>
        <v>42.42424242</v>
      </c>
      <c r="U302" s="47">
        <f>IFERROR(__xludf.DUMMYFUNCTION("""COMPUTED_VALUE"""),76.47058823529413)</f>
        <v>76.47058824</v>
      </c>
      <c r="V302" s="47">
        <f>IFERROR(__xludf.DUMMYFUNCTION("""COMPUTED_VALUE"""),1.2)</f>
        <v>1.2</v>
      </c>
      <c r="W302" s="46">
        <f>IFERROR(__xludf.DUMMYFUNCTION("""COMPUTED_VALUE"""),-1.661108322220652)</f>
        <v>-1.661108322</v>
      </c>
      <c r="X302" s="46">
        <f>IFERROR(__xludf.DUMMYFUNCTION("""COMPUTED_VALUE"""),-0.9058605394432663)</f>
        <v>-0.9058605394</v>
      </c>
      <c r="Y302" s="46">
        <f>IFERROR(__xludf.DUMMYFUNCTION("""COMPUTED_VALUE"""),-1.5870326706003557)</f>
        <v>-1.587032671</v>
      </c>
      <c r="Z302" s="46">
        <f>IFERROR(__xludf.DUMMYFUNCTION("""COMPUTED_VALUE"""),-0.78747799029777)</f>
        <v>-0.7874779903</v>
      </c>
      <c r="AA302" s="46">
        <f>IFERROR(__xludf.DUMMYFUNCTION("""COMPUTED_VALUE"""),-0.860570275155411)</f>
        <v>-0.8605702752</v>
      </c>
      <c r="AB302" s="46">
        <f>IFERROR(__xludf.DUMMYFUNCTION("""COMPUTED_VALUE"""),-0.5270142365493308)</f>
        <v>-0.5270142365</v>
      </c>
      <c r="AC302" s="46">
        <f>IFERROR(__xludf.DUMMYFUNCTION("""COMPUTED_VALUE"""),-0.47295982366723643)</f>
        <v>-0.4729598237</v>
      </c>
      <c r="AD302" s="46">
        <f>IFERROR(__xludf.DUMMYFUNCTION("""COMPUTED_VALUE"""),-0.10617077438873597)</f>
        <v>-0.1061707744</v>
      </c>
      <c r="AE302" s="46">
        <f>IFERROR(__xludf.DUMMYFUNCTION("""COMPUTED_VALUE"""),0.24671423706905354)</f>
        <v>0.2467142371</v>
      </c>
    </row>
    <row r="303">
      <c r="A303" s="6" t="str">
        <f>IF(VLOOKUP(H303,'Paste #BBall'!$B$2:$N1001,3,)="BRO","BKN",IF(VLOOKUP(H303,'Paste #BBall'!$B$2:$N1001,3,)="OKL","OKC",VLOOKUP(H303,'Paste #BBall'!$B$2:$N1001,3,)))</f>
        <v>MIA</v>
      </c>
      <c r="B303" s="42">
        <f>VLOOKUP($A303,Schedule!$C$2:$G$31,2,0)</f>
        <v>4</v>
      </c>
      <c r="C303" s="42">
        <f>VLOOKUP($A303,Schedule!$C$2:$G$31,3,0)</f>
        <v>3</v>
      </c>
      <c r="D303" s="42">
        <f>VLOOKUP($A303,Schedule!$C$2:$G$31,4,0)</f>
        <v>4</v>
      </c>
      <c r="E303" s="42">
        <f t="shared" si="1"/>
        <v>11</v>
      </c>
      <c r="F303" s="6">
        <v>297.0</v>
      </c>
      <c r="G303" s="45">
        <f>IFERROR(__xludf.DUMMYFUNCTION("""COMPUTED_VALUE"""),299.0)</f>
        <v>299</v>
      </c>
      <c r="H303" s="45" t="str">
        <f>IFERROR(__xludf.DUMMYFUNCTION("""COMPUTED_VALUE"""),"Duncan Robinson")</f>
        <v>Duncan Robinson</v>
      </c>
      <c r="I303" s="45">
        <f>IFERROR(__xludf.DUMMYFUNCTION("""COMPUTED_VALUE"""),59.0)</f>
        <v>59</v>
      </c>
      <c r="J303" s="46" t="str">
        <f>IFERROR(__xludf.DUMMYFUNCTION("""COMPUTED_VALUE"""),"SG,SF")</f>
        <v>SG,SF</v>
      </c>
      <c r="K303" s="46">
        <f>IFERROR(__xludf.DUMMYFUNCTION("""COMPUTED_VALUE"""),-8.02961793727113)</f>
        <v>-8.029617937</v>
      </c>
      <c r="L303" s="47">
        <f>IFERROR(__xludf.DUMMYFUNCTION("""COMPUTED_VALUE"""),-5.0004973752740325)</f>
        <v>-5.000497375</v>
      </c>
      <c r="M303" s="47">
        <f>IFERROR(__xludf.DUMMYFUNCTION("""COMPUTED_VALUE"""),3.0291205619970976)</f>
        <v>3.029120562</v>
      </c>
      <c r="N303" s="47">
        <f>IFERROR(__xludf.DUMMYFUNCTION("""COMPUTED_VALUE"""),7.4)</f>
        <v>7.4</v>
      </c>
      <c r="O303" s="47">
        <f>IFERROR(__xludf.DUMMYFUNCTION("""COMPUTED_VALUE"""),1.9)</f>
        <v>1.9</v>
      </c>
      <c r="P303" s="47">
        <f>IFERROR(__xludf.DUMMYFUNCTION("""COMPUTED_VALUE"""),1.8)</f>
        <v>1.8</v>
      </c>
      <c r="Q303" s="48">
        <f>IFERROR(__xludf.DUMMYFUNCTION("""COMPUTED_VALUE"""),1.2)</f>
        <v>1.2</v>
      </c>
      <c r="R303" s="47">
        <f>IFERROR(__xludf.DUMMYFUNCTION("""COMPUTED_VALUE"""),0.4)</f>
        <v>0.4</v>
      </c>
      <c r="S303" s="47">
        <f>IFERROR(__xludf.DUMMYFUNCTION("""COMPUTED_VALUE"""),0.1)</f>
        <v>0.1</v>
      </c>
      <c r="T303" s="47">
        <f>IFERROR(__xludf.DUMMYFUNCTION("""COMPUTED_VALUE"""),39.682539682539684)</f>
        <v>39.68253968</v>
      </c>
      <c r="U303" s="47">
        <f>IFERROR(__xludf.DUMMYFUNCTION("""COMPUTED_VALUE"""),83.33333333333334)</f>
        <v>83.33333333</v>
      </c>
      <c r="V303" s="47">
        <f>IFERROR(__xludf.DUMMYFUNCTION("""COMPUTED_VALUE"""),0.6)</f>
        <v>0.6</v>
      </c>
      <c r="W303" s="46">
        <f>IFERROR(__xludf.DUMMYFUNCTION("""COMPUTED_VALUE"""),-1.661108322220652)</f>
        <v>-1.661108322</v>
      </c>
      <c r="X303" s="46">
        <f>IFERROR(__xludf.DUMMYFUNCTION("""COMPUTED_VALUE"""),0.2214068836035562)</f>
        <v>0.2214068836</v>
      </c>
      <c r="Y303" s="46">
        <f>IFERROR(__xludf.DUMMYFUNCTION("""COMPUTED_VALUE"""),-1.79610951988022)</f>
        <v>-1.79610952</v>
      </c>
      <c r="Z303" s="46">
        <f>IFERROR(__xludf.DUMMYFUNCTION("""COMPUTED_VALUE"""),-1.3485050559244194)</f>
        <v>-1.348505056</v>
      </c>
      <c r="AA303" s="46">
        <f>IFERROR(__xludf.DUMMYFUNCTION("""COMPUTED_VALUE"""),-1.2966700767544366)</f>
        <v>-1.296670077</v>
      </c>
      <c r="AB303" s="46">
        <f>IFERROR(__xludf.DUMMYFUNCTION("""COMPUTED_VALUE"""),-0.7896459158928509)</f>
        <v>-0.7896459159</v>
      </c>
      <c r="AC303" s="46">
        <f>IFERROR(__xludf.DUMMYFUNCTION("""COMPUTED_VALUE"""),-0.623992882184984)</f>
        <v>-0.6239928822</v>
      </c>
      <c r="AD303" s="46">
        <f>IFERROR(__xludf.DUMMYFUNCTION("""COMPUTED_VALUE"""),0.0650262290423206)</f>
        <v>0.06502622904</v>
      </c>
      <c r="AE303" s="46">
        <f>IFERROR(__xludf.DUMMYFUNCTION("""COMPUTED_VALUE"""),0.43299176505743303)</f>
        <v>0.4329917651</v>
      </c>
    </row>
    <row r="304">
      <c r="A304" s="6" t="str">
        <f>IF(VLOOKUP(H304,'Paste #BBall'!$B$2:$N1001,3,)="BRO","BKN",IF(VLOOKUP(H304,'Paste #BBall'!$B$2:$N1001,3,)="OKL","OKC",VLOOKUP(H304,'Paste #BBall'!$B$2:$N1001,3,)))</f>
        <v>MIA</v>
      </c>
      <c r="B304" s="42">
        <f>VLOOKUP($A304,Schedule!$C$2:$G$31,2,0)</f>
        <v>4</v>
      </c>
      <c r="C304" s="42">
        <f>VLOOKUP($A304,Schedule!$C$2:$G$31,3,0)</f>
        <v>3</v>
      </c>
      <c r="D304" s="42">
        <f>VLOOKUP($A304,Schedule!$C$2:$G$31,4,0)</f>
        <v>4</v>
      </c>
      <c r="E304" s="42">
        <f t="shared" si="1"/>
        <v>11</v>
      </c>
      <c r="F304" s="6">
        <v>298.0</v>
      </c>
      <c r="G304" s="45">
        <f>IFERROR(__xludf.DUMMYFUNCTION("""COMPUTED_VALUE"""),283.0)</f>
        <v>283</v>
      </c>
      <c r="H304" s="45" t="str">
        <f>IFERROR(__xludf.DUMMYFUNCTION("""COMPUTED_VALUE"""),"Nikola Jovic")</f>
        <v>Nikola Jovic</v>
      </c>
      <c r="I304" s="45">
        <f>IFERROR(__xludf.DUMMYFUNCTION("""COMPUTED_VALUE"""),64.0)</f>
        <v>64</v>
      </c>
      <c r="J304" s="46" t="str">
        <f>IFERROR(__xludf.DUMMYFUNCTION("""COMPUTED_VALUE"""),"PF,C")</f>
        <v>PF,C</v>
      </c>
      <c r="K304" s="46">
        <f>IFERROR(__xludf.DUMMYFUNCTION("""COMPUTED_VALUE"""),-7.6659363144966175)</f>
        <v>-7.665936314</v>
      </c>
      <c r="L304" s="47">
        <f>IFERROR(__xludf.DUMMYFUNCTION("""COMPUTED_VALUE"""),-5.016198748666053)</f>
        <v>-5.016198749</v>
      </c>
      <c r="M304" s="47">
        <f>IFERROR(__xludf.DUMMYFUNCTION("""COMPUTED_VALUE"""),2.6497375658305646)</f>
        <v>2.649737566</v>
      </c>
      <c r="N304" s="47">
        <f>IFERROR(__xludf.DUMMYFUNCTION("""COMPUTED_VALUE"""),7.0)</f>
        <v>7</v>
      </c>
      <c r="O304" s="47">
        <f>IFERROR(__xludf.DUMMYFUNCTION("""COMPUTED_VALUE"""),0.7)</f>
        <v>0.7</v>
      </c>
      <c r="P304" s="47">
        <f>IFERROR(__xludf.DUMMYFUNCTION("""COMPUTED_VALUE"""),2.6)</f>
        <v>2.6</v>
      </c>
      <c r="Q304" s="48">
        <f>IFERROR(__xludf.DUMMYFUNCTION("""COMPUTED_VALUE"""),0.8)</f>
        <v>0.8</v>
      </c>
      <c r="R304" s="47">
        <f>IFERROR(__xludf.DUMMYFUNCTION("""COMPUTED_VALUE"""),0.6)</f>
        <v>0.6</v>
      </c>
      <c r="S304" s="47">
        <f>IFERROR(__xludf.DUMMYFUNCTION("""COMPUTED_VALUE"""),0.2)</f>
        <v>0.2</v>
      </c>
      <c r="T304" s="47">
        <f>IFERROR(__xludf.DUMMYFUNCTION("""COMPUTED_VALUE"""),42.10526315789473)</f>
        <v>42.10526316</v>
      </c>
      <c r="U304" s="47">
        <f>IFERROR(__xludf.DUMMYFUNCTION("""COMPUTED_VALUE"""),88.23529411764706)</f>
        <v>88.23529412</v>
      </c>
      <c r="V304" s="47">
        <f>IFERROR(__xludf.DUMMYFUNCTION("""COMPUTED_VALUE"""),0.8)</f>
        <v>0.8</v>
      </c>
      <c r="W304" s="46">
        <f>IFERROR(__xludf.DUMMYFUNCTION("""COMPUTED_VALUE"""),-1.72851887300404)</f>
        <v>-1.728518873</v>
      </c>
      <c r="X304" s="46">
        <f>IFERROR(__xludf.DUMMYFUNCTION("""COMPUTED_VALUE"""),-0.8191476607473568)</f>
        <v>-0.8191476607</v>
      </c>
      <c r="Y304" s="46">
        <f>IFERROR(__xludf.DUMMYFUNCTION("""COMPUTED_VALUE"""),-1.461586561032437)</f>
        <v>-1.461586561</v>
      </c>
      <c r="Z304" s="46">
        <f>IFERROR(__xludf.DUMMYFUNCTION("""COMPUTED_VALUE"""),-1.5525148979704735)</f>
        <v>-1.552514898</v>
      </c>
      <c r="AA304" s="46">
        <f>IFERROR(__xludf.DUMMYFUNCTION("""COMPUTED_VALUE"""),-0.860570275155411)</f>
        <v>-0.8605702752</v>
      </c>
      <c r="AB304" s="46">
        <f>IFERROR(__xludf.DUMMYFUNCTION("""COMPUTED_VALUE"""),-0.6583300762210907)</f>
        <v>-0.6583300762</v>
      </c>
      <c r="AC304" s="46">
        <f>IFERROR(__xludf.DUMMYFUNCTION("""COMPUTED_VALUE"""),-0.42662648460762637)</f>
        <v>-0.4266264846</v>
      </c>
      <c r="AD304" s="46">
        <f>IFERROR(__xludf.DUMMYFUNCTION("""COMPUTED_VALUE"""),0.3916779513403684)</f>
        <v>0.3916779513</v>
      </c>
      <c r="AE304" s="46">
        <f>IFERROR(__xludf.DUMMYFUNCTION("""COMPUTED_VALUE"""),0.37089925572797316)</f>
        <v>0.3708992557</v>
      </c>
    </row>
    <row r="305">
      <c r="A305" s="6" t="str">
        <f>IF(VLOOKUP(H305,'Paste #BBall'!$B$2:$N1001,3,)="BRO","BKN",IF(VLOOKUP(H305,'Paste #BBall'!$B$2:$N1001,3,)="OKL","OKC",VLOOKUP(H305,'Paste #BBall'!$B$2:$N1001,3,)))</f>
        <v>OKC</v>
      </c>
      <c r="B305" s="42">
        <f>VLOOKUP($A305,Schedule!$C$2:$G$31,2,0)</f>
        <v>4</v>
      </c>
      <c r="C305" s="42">
        <f>VLOOKUP($A305,Schedule!$C$2:$G$31,3,0)</f>
        <v>3</v>
      </c>
      <c r="D305" s="42">
        <f>VLOOKUP($A305,Schedule!$C$2:$G$31,4,0)</f>
        <v>3</v>
      </c>
      <c r="E305" s="42">
        <f t="shared" si="1"/>
        <v>10</v>
      </c>
      <c r="F305" s="6">
        <v>299.0</v>
      </c>
      <c r="G305" s="45">
        <f>IFERROR(__xludf.DUMMYFUNCTION("""COMPUTED_VALUE"""),298.0)</f>
        <v>298</v>
      </c>
      <c r="H305" s="45" t="str">
        <f>IFERROR(__xludf.DUMMYFUNCTION("""COMPUTED_VALUE"""),"Ousmane Dieng")</f>
        <v>Ousmane Dieng</v>
      </c>
      <c r="I305" s="45">
        <f>IFERROR(__xludf.DUMMYFUNCTION("""COMPUTED_VALUE"""),64.0)</f>
        <v>64</v>
      </c>
      <c r="J305" s="46" t="str">
        <f>IFERROR(__xludf.DUMMYFUNCTION("""COMPUTED_VALUE"""),"SF,PF")</f>
        <v>SF,PF</v>
      </c>
      <c r="K305" s="46">
        <f>IFERROR(__xludf.DUMMYFUNCTION("""COMPUTED_VALUE"""),-8.018108051367301)</f>
        <v>-8.018108051</v>
      </c>
      <c r="L305" s="47">
        <f>IFERROR(__xludf.DUMMYFUNCTION("""COMPUTED_VALUE"""),-5.0202597419527795)</f>
        <v>-5.020259742</v>
      </c>
      <c r="M305" s="47">
        <f>IFERROR(__xludf.DUMMYFUNCTION("""COMPUTED_VALUE"""),2.997848309414522)</f>
        <v>2.997848309</v>
      </c>
      <c r="N305" s="47">
        <f>IFERROR(__xludf.DUMMYFUNCTION("""COMPUTED_VALUE"""),6.4)</f>
        <v>6.4</v>
      </c>
      <c r="O305" s="47">
        <f>IFERROR(__xludf.DUMMYFUNCTION("""COMPUTED_VALUE"""),0.8)</f>
        <v>0.8</v>
      </c>
      <c r="P305" s="47">
        <f>IFERROR(__xludf.DUMMYFUNCTION("""COMPUTED_VALUE"""),3.3)</f>
        <v>3.3</v>
      </c>
      <c r="Q305" s="48">
        <f>IFERROR(__xludf.DUMMYFUNCTION("""COMPUTED_VALUE"""),1.5)</f>
        <v>1.5</v>
      </c>
      <c r="R305" s="47">
        <f>IFERROR(__xludf.DUMMYFUNCTION("""COMPUTED_VALUE"""),0.5)</f>
        <v>0.5</v>
      </c>
      <c r="S305" s="47">
        <f>IFERROR(__xludf.DUMMYFUNCTION("""COMPUTED_VALUE"""),0.2)</f>
        <v>0.2</v>
      </c>
      <c r="T305" s="47">
        <f>IFERROR(__xludf.DUMMYFUNCTION("""COMPUTED_VALUE"""),42.3728813559322)</f>
        <v>42.37288136</v>
      </c>
      <c r="U305" s="47">
        <f>IFERROR(__xludf.DUMMYFUNCTION("""COMPUTED_VALUE"""),71.42857142857143)</f>
        <v>71.42857143</v>
      </c>
      <c r="V305" s="47">
        <f>IFERROR(__xludf.DUMMYFUNCTION("""COMPUTED_VALUE"""),0.8)</f>
        <v>0.8</v>
      </c>
      <c r="W305" s="46">
        <f>IFERROR(__xludf.DUMMYFUNCTION("""COMPUTED_VALUE"""),-1.8296346991791217)</f>
        <v>-1.829634699</v>
      </c>
      <c r="X305" s="46">
        <f>IFERROR(__xludf.DUMMYFUNCTION("""COMPUTED_VALUE"""),-0.7324347820514473)</f>
        <v>-0.7324347821</v>
      </c>
      <c r="Y305" s="46">
        <f>IFERROR(__xludf.DUMMYFUNCTION("""COMPUTED_VALUE"""),-1.1688789720406272)</f>
        <v>-1.168878972</v>
      </c>
      <c r="Z305" s="46">
        <f>IFERROR(__xludf.DUMMYFUNCTION("""COMPUTED_VALUE"""),-1.1954976743898784)</f>
        <v>-1.195497674</v>
      </c>
      <c r="AA305" s="46">
        <f>IFERROR(__xludf.DUMMYFUNCTION("""COMPUTED_VALUE"""),-1.0786201759549239)</f>
        <v>-1.078620176</v>
      </c>
      <c r="AB305" s="46">
        <f>IFERROR(__xludf.DUMMYFUNCTION("""COMPUTED_VALUE"""),-0.6583300762210907)</f>
        <v>-0.6583300762</v>
      </c>
      <c r="AC305" s="46">
        <f>IFERROR(__xludf.DUMMYFUNCTION("""COMPUTED_VALUE"""),-0.4258242818516986)</f>
        <v>-0.4258242819</v>
      </c>
      <c r="AD305" s="46">
        <f>IFERROR(__xludf.DUMMYFUNCTION("""COMPUTED_VALUE"""),-0.13157303517108632)</f>
        <v>-0.1315730352</v>
      </c>
      <c r="AE305" s="46">
        <f>IFERROR(__xludf.DUMMYFUNCTION("""COMPUTED_VALUE"""),0.37089925572797316)</f>
        <v>0.3708992557</v>
      </c>
    </row>
    <row r="306">
      <c r="A306" s="6" t="str">
        <f>IF(VLOOKUP(H306,'Paste #BBall'!$B$2:$N1001,3,)="BRO","BKN",IF(VLOOKUP(H306,'Paste #BBall'!$B$2:$N1001,3,)="OKL","OKC",VLOOKUP(H306,'Paste #BBall'!$B$2:$N1001,3,)))</f>
        <v>SAC</v>
      </c>
      <c r="B306" s="42">
        <f>VLOOKUP($A306,Schedule!$C$2:$G$31,2,0)</f>
        <v>4</v>
      </c>
      <c r="C306" s="42">
        <f>VLOOKUP($A306,Schedule!$C$2:$G$31,3,0)</f>
        <v>3</v>
      </c>
      <c r="D306" s="42">
        <f>VLOOKUP($A306,Schedule!$C$2:$G$31,4,0)</f>
        <v>4</v>
      </c>
      <c r="E306" s="42">
        <f t="shared" si="1"/>
        <v>11</v>
      </c>
      <c r="F306" s="6">
        <v>300.0</v>
      </c>
      <c r="G306" s="45">
        <f>IFERROR(__xludf.DUMMYFUNCTION("""COMPUTED_VALUE"""),296.0)</f>
        <v>296</v>
      </c>
      <c r="H306" s="45" t="str">
        <f>IFERROR(__xludf.DUMMYFUNCTION("""COMPUTED_VALUE"""),"Trey Lyles")</f>
        <v>Trey Lyles</v>
      </c>
      <c r="I306" s="45">
        <f>IFERROR(__xludf.DUMMYFUNCTION("""COMPUTED_VALUE"""),74.0)</f>
        <v>74</v>
      </c>
      <c r="J306" s="46" t="str">
        <f>IFERROR(__xludf.DUMMYFUNCTION("""COMPUTED_VALUE"""),"PF,C")</f>
        <v>PF,C</v>
      </c>
      <c r="K306" s="46">
        <f>IFERROR(__xludf.DUMMYFUNCTION("""COMPUTED_VALUE"""),-7.973677465964903)</f>
        <v>-7.973677466</v>
      </c>
      <c r="L306" s="47">
        <f>IFERROR(__xludf.DUMMYFUNCTION("""COMPUTED_VALUE"""),-5.054467088975552)</f>
        <v>-5.054467089</v>
      </c>
      <c r="M306" s="47">
        <f>IFERROR(__xludf.DUMMYFUNCTION("""COMPUTED_VALUE"""),2.9192103769893505)</f>
        <v>2.919210377</v>
      </c>
      <c r="N306" s="47">
        <f>IFERROR(__xludf.DUMMYFUNCTION("""COMPUTED_VALUE"""),7.2)</f>
        <v>7.2</v>
      </c>
      <c r="O306" s="47">
        <f>IFERROR(__xludf.DUMMYFUNCTION("""COMPUTED_VALUE"""),0.8)</f>
        <v>0.8</v>
      </c>
      <c r="P306" s="47">
        <f>IFERROR(__xludf.DUMMYFUNCTION("""COMPUTED_VALUE"""),3.7)</f>
        <v>3.7</v>
      </c>
      <c r="Q306" s="48">
        <f>IFERROR(__xludf.DUMMYFUNCTION("""COMPUTED_VALUE"""),0.8)</f>
        <v>0.8</v>
      </c>
      <c r="R306" s="47">
        <f>IFERROR(__xludf.DUMMYFUNCTION("""COMPUTED_VALUE"""),0.3)</f>
        <v>0.3</v>
      </c>
      <c r="S306" s="47">
        <f>IFERROR(__xludf.DUMMYFUNCTION("""COMPUTED_VALUE"""),0.3)</f>
        <v>0.3</v>
      </c>
      <c r="T306" s="47">
        <f>IFERROR(__xludf.DUMMYFUNCTION("""COMPUTED_VALUE"""),46.15384615384615)</f>
        <v>46.15384615</v>
      </c>
      <c r="U306" s="47">
        <f>IFERROR(__xludf.DUMMYFUNCTION("""COMPUTED_VALUE"""),80.0)</f>
        <v>80</v>
      </c>
      <c r="V306" s="47">
        <f>IFERROR(__xludf.DUMMYFUNCTION("""COMPUTED_VALUE"""),0.7)</f>
        <v>0.7</v>
      </c>
      <c r="W306" s="46">
        <f>IFERROR(__xludf.DUMMYFUNCTION("""COMPUTED_VALUE"""),-1.694813597612346)</f>
        <v>-1.694813598</v>
      </c>
      <c r="X306" s="46">
        <f>IFERROR(__xludf.DUMMYFUNCTION("""COMPUTED_VALUE"""),-0.7324347820514473)</f>
        <v>-0.7324347821</v>
      </c>
      <c r="Y306" s="46">
        <f>IFERROR(__xludf.DUMMYFUNCTION("""COMPUTED_VALUE"""),-1.0016174926167358)</f>
        <v>-1.001617493</v>
      </c>
      <c r="Z306" s="46">
        <f>IFERROR(__xludf.DUMMYFUNCTION("""COMPUTED_VALUE"""),-1.5525148979704735)</f>
        <v>-1.552514898</v>
      </c>
      <c r="AA306" s="46">
        <f>IFERROR(__xludf.DUMMYFUNCTION("""COMPUTED_VALUE"""),-1.5147199775539493)</f>
        <v>-1.514719978</v>
      </c>
      <c r="AB306" s="46">
        <f>IFERROR(__xludf.DUMMYFUNCTION("""COMPUTED_VALUE"""),-0.5270142365493308)</f>
        <v>-0.5270142365</v>
      </c>
      <c r="AC306" s="46">
        <f>IFERROR(__xludf.DUMMYFUNCTION("""COMPUTED_VALUE"""),-0.1789157341910191)</f>
        <v>-0.1789157342</v>
      </c>
      <c r="AD306" s="46">
        <f>IFERROR(__xludf.DUMMYFUNCTION("""COMPUTED_VALUE"""),0.05080452156470048)</f>
        <v>0.05080452156</v>
      </c>
      <c r="AE306" s="46">
        <f>IFERROR(__xludf.DUMMYFUNCTION("""COMPUTED_VALUE"""),0.4019455103927031)</f>
        <v>0.4019455104</v>
      </c>
    </row>
    <row r="307">
      <c r="A307" s="6" t="str">
        <f>IF(VLOOKUP(H307,'Paste #BBall'!$B$2:$N1001,3,)="BRO","BKN",IF(VLOOKUP(H307,'Paste #BBall'!$B$2:$N1001,3,)="OKL","OKC",VLOOKUP(H307,'Paste #BBall'!$B$2:$N1001,3,)))</f>
        <v>TOR</v>
      </c>
      <c r="B307" s="42">
        <f>VLOOKUP($A307,Schedule!$C$2:$G$31,2,0)</f>
        <v>3</v>
      </c>
      <c r="C307" s="42">
        <f>VLOOKUP($A307,Schedule!$C$2:$G$31,3,0)</f>
        <v>4</v>
      </c>
      <c r="D307" s="42">
        <f>VLOOKUP($A307,Schedule!$C$2:$G$31,4,0)</f>
        <v>3</v>
      </c>
      <c r="E307" s="42">
        <f t="shared" si="1"/>
        <v>10</v>
      </c>
      <c r="F307" s="6">
        <v>301.0</v>
      </c>
      <c r="G307" s="45">
        <f>IFERROR(__xludf.DUMMYFUNCTION("""COMPUTED_VALUE"""),311.0)</f>
        <v>311</v>
      </c>
      <c r="H307" s="45" t="str">
        <f>IFERROR(__xludf.DUMMYFUNCTION("""COMPUTED_VALUE"""),"Christian Koloko")</f>
        <v>Christian Koloko</v>
      </c>
      <c r="I307" s="45">
        <f>IFERROR(__xludf.DUMMYFUNCTION("""COMPUTED_VALUE"""),60.0)</f>
        <v>60</v>
      </c>
      <c r="J307" s="46" t="str">
        <f>IFERROR(__xludf.DUMMYFUNCTION("""COMPUTED_VALUE"""),"C")</f>
        <v>C</v>
      </c>
      <c r="K307" s="46">
        <f>IFERROR(__xludf.DUMMYFUNCTION("""COMPUTED_VALUE"""),-8.36278351968239)</f>
        <v>-8.36278352</v>
      </c>
      <c r="L307" s="47">
        <f>IFERROR(__xludf.DUMMYFUNCTION("""COMPUTED_VALUE"""),-5.078202324686808)</f>
        <v>-5.078202325</v>
      </c>
      <c r="M307" s="47">
        <f>IFERROR(__xludf.DUMMYFUNCTION("""COMPUTED_VALUE"""),3.2845811949955817)</f>
        <v>3.284581195</v>
      </c>
      <c r="N307" s="47">
        <f>IFERROR(__xludf.DUMMYFUNCTION("""COMPUTED_VALUE"""),3.4)</f>
        <v>3.4</v>
      </c>
      <c r="O307" s="47">
        <f>IFERROR(__xludf.DUMMYFUNCTION("""COMPUTED_VALUE"""),0.0)</f>
        <v>0</v>
      </c>
      <c r="P307" s="47">
        <f>IFERROR(__xludf.DUMMYFUNCTION("""COMPUTED_VALUE"""),3.2)</f>
        <v>3.2</v>
      </c>
      <c r="Q307" s="48">
        <f>IFERROR(__xludf.DUMMYFUNCTION("""COMPUTED_VALUE"""),0.6)</f>
        <v>0.6</v>
      </c>
      <c r="R307" s="47">
        <f>IFERROR(__xludf.DUMMYFUNCTION("""COMPUTED_VALUE"""),0.4)</f>
        <v>0.4</v>
      </c>
      <c r="S307" s="47">
        <f>IFERROR(__xludf.DUMMYFUNCTION("""COMPUTED_VALUE"""),1.1)</f>
        <v>1.1</v>
      </c>
      <c r="T307" s="47">
        <f>IFERROR(__xludf.DUMMYFUNCTION("""COMPUTED_VALUE"""),46.42857142857144)</f>
        <v>46.42857143</v>
      </c>
      <c r="U307" s="47">
        <f>IFERROR(__xludf.DUMMYFUNCTION("""COMPUTED_VALUE"""),63.636363636363626)</f>
        <v>63.63636364</v>
      </c>
      <c r="V307" s="47">
        <f>IFERROR(__xludf.DUMMYFUNCTION("""COMPUTED_VALUE"""),0.4)</f>
        <v>0.4</v>
      </c>
      <c r="W307" s="46">
        <f>IFERROR(__xludf.DUMMYFUNCTION("""COMPUTED_VALUE"""),-2.3352138300545318)</f>
        <v>-2.33521383</v>
      </c>
      <c r="X307" s="46">
        <f>IFERROR(__xludf.DUMMYFUNCTION("""COMPUTED_VALUE"""),-1.4261378116187227)</f>
        <v>-1.426137812</v>
      </c>
      <c r="Y307" s="46">
        <f>IFERROR(__xludf.DUMMYFUNCTION("""COMPUTED_VALUE"""),-1.2106943418965999)</f>
        <v>-1.210694342</v>
      </c>
      <c r="Z307" s="46">
        <f>IFERROR(__xludf.DUMMYFUNCTION("""COMPUTED_VALUE"""),-1.6545198189935006)</f>
        <v>-1.654519819</v>
      </c>
      <c r="AA307" s="46">
        <f>IFERROR(__xludf.DUMMYFUNCTION("""COMPUTED_VALUE"""),-1.2966700767544366)</f>
        <v>-1.296670077</v>
      </c>
      <c r="AB307" s="46">
        <f>IFERROR(__xludf.DUMMYFUNCTION("""COMPUTED_VALUE"""),0.5235124808247502)</f>
        <v>0.5235124808</v>
      </c>
      <c r="AC307" s="46">
        <f>IFERROR(__xludf.DUMMYFUNCTION("""COMPUTED_VALUE"""),-0.08865566433958148)</f>
        <v>-0.08865566434</v>
      </c>
      <c r="AD307" s="46">
        <f>IFERROR(__xludf.DUMMYFUNCTION("""COMPUTED_VALUE"""),-0.4201213662956096)</f>
        <v>-0.4201213663</v>
      </c>
      <c r="AE307" s="46">
        <f>IFERROR(__xludf.DUMMYFUNCTION("""COMPUTED_VALUE"""),0.4950842743868928)</f>
        <v>0.4950842744</v>
      </c>
    </row>
    <row r="308">
      <c r="A308" s="6" t="str">
        <f>IF(VLOOKUP(H308,'Paste #BBall'!$B$2:$N1001,3,)="BRO","BKN",IF(VLOOKUP(H308,'Paste #BBall'!$B$2:$N1001,3,)="OKL","OKC",VLOOKUP(H308,'Paste #BBall'!$B$2:$N1001,3,)))</f>
        <v>WAS</v>
      </c>
      <c r="B308" s="42">
        <f>VLOOKUP($A308,Schedule!$C$2:$G$31,2,0)</f>
        <v>4</v>
      </c>
      <c r="C308" s="42">
        <f>VLOOKUP($A308,Schedule!$C$2:$G$31,3,0)</f>
        <v>4</v>
      </c>
      <c r="D308" s="42">
        <f>VLOOKUP($A308,Schedule!$C$2:$G$31,4,0)</f>
        <v>3</v>
      </c>
      <c r="E308" s="42">
        <f t="shared" si="1"/>
        <v>11</v>
      </c>
      <c r="F308" s="6">
        <v>302.0</v>
      </c>
      <c r="G308" s="45">
        <f>IFERROR(__xludf.DUMMYFUNCTION("""COMPUTED_VALUE"""),281.0)</f>
        <v>281</v>
      </c>
      <c r="H308" s="45" t="str">
        <f>IFERROR(__xludf.DUMMYFUNCTION("""COMPUTED_VALUE"""),"Bilal Coulibaly")</f>
        <v>Bilal Coulibaly</v>
      </c>
      <c r="I308" s="45">
        <f>IFERROR(__xludf.DUMMYFUNCTION("""COMPUTED_VALUE"""),70.0)</f>
        <v>70</v>
      </c>
      <c r="J308" s="46" t="str">
        <f>IFERROR(__xludf.DUMMYFUNCTION("""COMPUTED_VALUE"""),"SF")</f>
        <v>SF</v>
      </c>
      <c r="K308" s="46">
        <f>IFERROR(__xludf.DUMMYFUNCTION("""COMPUTED_VALUE"""),-7.643128956000749)</f>
        <v>-7.643128956</v>
      </c>
      <c r="L308" s="47">
        <f>IFERROR(__xludf.DUMMYFUNCTION("""COMPUTED_VALUE"""),-5.086037561295426)</f>
        <v>-5.086037561</v>
      </c>
      <c r="M308" s="47">
        <f>IFERROR(__xludf.DUMMYFUNCTION("""COMPUTED_VALUE"""),2.5570913947053224)</f>
        <v>2.557091395</v>
      </c>
      <c r="N308" s="47">
        <f>IFERROR(__xludf.DUMMYFUNCTION("""COMPUTED_VALUE"""),8.4)</f>
        <v>8.4</v>
      </c>
      <c r="O308" s="47">
        <f>IFERROR(__xludf.DUMMYFUNCTION("""COMPUTED_VALUE"""),0.6)</f>
        <v>0.6</v>
      </c>
      <c r="P308" s="47">
        <f>IFERROR(__xludf.DUMMYFUNCTION("""COMPUTED_VALUE"""),3.8)</f>
        <v>3.8</v>
      </c>
      <c r="Q308" s="48">
        <f>IFERROR(__xludf.DUMMYFUNCTION("""COMPUTED_VALUE"""),1.8)</f>
        <v>1.8</v>
      </c>
      <c r="R308" s="47">
        <f>IFERROR(__xludf.DUMMYFUNCTION("""COMPUTED_VALUE"""),0.6)</f>
        <v>0.6</v>
      </c>
      <c r="S308" s="47">
        <f>IFERROR(__xludf.DUMMYFUNCTION("""COMPUTED_VALUE"""),0.2)</f>
        <v>0.2</v>
      </c>
      <c r="T308" s="47">
        <f>IFERROR(__xludf.DUMMYFUNCTION("""COMPUTED_VALUE"""),42.857142857142854)</f>
        <v>42.85714286</v>
      </c>
      <c r="U308" s="47">
        <f>IFERROR(__xludf.DUMMYFUNCTION("""COMPUTED_VALUE"""),72.0)</f>
        <v>72</v>
      </c>
      <c r="V308" s="47">
        <f>IFERROR(__xludf.DUMMYFUNCTION("""COMPUTED_VALUE"""),1.2)</f>
        <v>1.2</v>
      </c>
      <c r="W308" s="46">
        <f>IFERROR(__xludf.DUMMYFUNCTION("""COMPUTED_VALUE"""),-1.492581945262182)</f>
        <v>-1.492581945</v>
      </c>
      <c r="X308" s="46">
        <f>IFERROR(__xludf.DUMMYFUNCTION("""COMPUTED_VALUE"""),-0.9058605394432663)</f>
        <v>-0.9058605394</v>
      </c>
      <c r="Y308" s="46">
        <f>IFERROR(__xludf.DUMMYFUNCTION("""COMPUTED_VALUE"""),-0.959802122760763)</f>
        <v>-0.9598021228</v>
      </c>
      <c r="Z308" s="46">
        <f>IFERROR(__xludf.DUMMYFUNCTION("""COMPUTED_VALUE"""),-1.0424902928553377)</f>
        <v>-1.042490293</v>
      </c>
      <c r="AA308" s="46">
        <f>IFERROR(__xludf.DUMMYFUNCTION("""COMPUTED_VALUE"""),-0.860570275155411)</f>
        <v>-0.8605702752</v>
      </c>
      <c r="AB308" s="46">
        <f>IFERROR(__xludf.DUMMYFUNCTION("""COMPUTED_VALUE"""),-0.6583300762210907)</f>
        <v>-0.6583300762</v>
      </c>
      <c r="AC308" s="46">
        <f>IFERROR(__xludf.DUMMYFUNCTION("""COMPUTED_VALUE"""),-0.4713554181553811)</f>
        <v>-0.4713554182</v>
      </c>
      <c r="AD308" s="46">
        <f>IFERROR(__xludf.DUMMYFUNCTION("""COMPUTED_VALUE"""),-0.43434307377322956)</f>
        <v>-0.4343430738</v>
      </c>
      <c r="AE308" s="46">
        <f>IFERROR(__xludf.DUMMYFUNCTION("""COMPUTED_VALUE"""),0.24671423706905354)</f>
        <v>0.2467142371</v>
      </c>
    </row>
    <row r="309">
      <c r="A309" s="6" t="str">
        <f>IF(VLOOKUP(H309,'Paste #BBall'!$B$2:$N1001,3,)="BRO","BKN",IF(VLOOKUP(H309,'Paste #BBall'!$B$2:$N1001,3,)="OKL","OKC",VLOOKUP(H309,'Paste #BBall'!$B$2:$N1001,3,)))</f>
        <v>GS</v>
      </c>
      <c r="B309" s="42">
        <f>VLOOKUP($A309,Schedule!$C$2:$G$31,2,0)</f>
        <v>3</v>
      </c>
      <c r="C309" s="42">
        <f>VLOOKUP($A309,Schedule!$C$2:$G$31,3,0)</f>
        <v>3</v>
      </c>
      <c r="D309" s="42">
        <f>VLOOKUP($A309,Schedule!$C$2:$G$31,4,0)</f>
        <v>4</v>
      </c>
      <c r="E309" s="42">
        <f t="shared" si="1"/>
        <v>10</v>
      </c>
      <c r="F309" s="6">
        <v>303.0</v>
      </c>
      <c r="G309" s="45">
        <f>IFERROR(__xludf.DUMMYFUNCTION("""COMPUTED_VALUE"""),314.0)</f>
        <v>314</v>
      </c>
      <c r="H309" s="45" t="str">
        <f>IFERROR(__xludf.DUMMYFUNCTION("""COMPUTED_VALUE"""),"Cory Joseph")</f>
        <v>Cory Joseph</v>
      </c>
      <c r="I309" s="45">
        <f>IFERROR(__xludf.DUMMYFUNCTION("""COMPUTED_VALUE"""),68.0)</f>
        <v>68</v>
      </c>
      <c r="J309" s="46" t="str">
        <f>IFERROR(__xludf.DUMMYFUNCTION("""COMPUTED_VALUE"""),"PG,SG")</f>
        <v>PG,SG</v>
      </c>
      <c r="K309" s="46">
        <f>IFERROR(__xludf.DUMMYFUNCTION("""COMPUTED_VALUE"""),-8.400329272394579)</f>
        <v>-8.400329272</v>
      </c>
      <c r="L309" s="47">
        <f>IFERROR(__xludf.DUMMYFUNCTION("""COMPUTED_VALUE"""),-5.100537573552556)</f>
        <v>-5.100537574</v>
      </c>
      <c r="M309" s="47">
        <f>IFERROR(__xludf.DUMMYFUNCTION("""COMPUTED_VALUE"""),3.2997916988420233)</f>
        <v>3.299791699</v>
      </c>
      <c r="N309" s="47">
        <f>IFERROR(__xludf.DUMMYFUNCTION("""COMPUTED_VALUE"""),5.1)</f>
        <v>5.1</v>
      </c>
      <c r="O309" s="47">
        <f>IFERROR(__xludf.DUMMYFUNCTION("""COMPUTED_VALUE"""),0.7)</f>
        <v>0.7</v>
      </c>
      <c r="P309" s="47">
        <f>IFERROR(__xludf.DUMMYFUNCTION("""COMPUTED_VALUE"""),1.5)</f>
        <v>1.5</v>
      </c>
      <c r="Q309" s="48">
        <f>IFERROR(__xludf.DUMMYFUNCTION("""COMPUTED_VALUE"""),2.5)</f>
        <v>2.5</v>
      </c>
      <c r="R309" s="47">
        <f>IFERROR(__xludf.DUMMYFUNCTION("""COMPUTED_VALUE"""),0.4)</f>
        <v>0.4</v>
      </c>
      <c r="S309" s="47">
        <f>IFERROR(__xludf.DUMMYFUNCTION("""COMPUTED_VALUE"""),0.1)</f>
        <v>0.1</v>
      </c>
      <c r="T309" s="47">
        <f>IFERROR(__xludf.DUMMYFUNCTION("""COMPUTED_VALUE"""),43.90243902439025)</f>
        <v>43.90243902</v>
      </c>
      <c r="U309" s="47">
        <f>IFERROR(__xludf.DUMMYFUNCTION("""COMPUTED_VALUE"""),90.0)</f>
        <v>90</v>
      </c>
      <c r="V309" s="47">
        <f>IFERROR(__xludf.DUMMYFUNCTION("""COMPUTED_VALUE"""),0.8)</f>
        <v>0.8</v>
      </c>
      <c r="W309" s="46">
        <f>IFERROR(__xludf.DUMMYFUNCTION("""COMPUTED_VALUE"""),-2.048718989225133)</f>
        <v>-2.048718989</v>
      </c>
      <c r="X309" s="46">
        <f>IFERROR(__xludf.DUMMYFUNCTION("""COMPUTED_VALUE"""),-0.8191476607473568)</f>
        <v>-0.8191476607</v>
      </c>
      <c r="Y309" s="46">
        <f>IFERROR(__xludf.DUMMYFUNCTION("""COMPUTED_VALUE"""),-1.9215556294481384)</f>
        <v>-1.921555629</v>
      </c>
      <c r="Z309" s="46">
        <f>IFERROR(__xludf.DUMMYFUNCTION("""COMPUTED_VALUE"""),-0.6854730692747427)</f>
        <v>-0.6854730693</v>
      </c>
      <c r="AA309" s="46">
        <f>IFERROR(__xludf.DUMMYFUNCTION("""COMPUTED_VALUE"""),-1.2966700767544366)</f>
        <v>-1.296670077</v>
      </c>
      <c r="AB309" s="46">
        <f>IFERROR(__xludf.DUMMYFUNCTION("""COMPUTED_VALUE"""),-0.7896459158928509)</f>
        <v>-0.7896459159</v>
      </c>
      <c r="AC309" s="46">
        <f>IFERROR(__xludf.DUMMYFUNCTION("""COMPUTED_VALUE"""),-0.2332711008099069)</f>
        <v>-0.2332711008</v>
      </c>
      <c r="AD309" s="46">
        <f>IFERROR(__xludf.DUMMYFUNCTION("""COMPUTED_VALUE"""),0.2743266236469026)</f>
        <v>0.2743266236</v>
      </c>
      <c r="AE309" s="46">
        <f>IFERROR(__xludf.DUMMYFUNCTION("""COMPUTED_VALUE"""),0.37089925572797316)</f>
        <v>0.3708992557</v>
      </c>
    </row>
    <row r="310">
      <c r="A310" s="6" t="str">
        <f>IF(VLOOKUP(H310,'Paste #BBall'!$B$2:$N1001,3,)="BRO","BKN",IF(VLOOKUP(H310,'Paste #BBall'!$B$2:$N1001,3,)="OKL","OKC",VLOOKUP(H310,'Paste #BBall'!$B$2:$N1001,3,)))</f>
        <v>LAL</v>
      </c>
      <c r="B310" s="42">
        <f>VLOOKUP($A310,Schedule!$C$2:$G$31,2,0)</f>
        <v>4</v>
      </c>
      <c r="C310" s="42">
        <f>VLOOKUP($A310,Schedule!$C$2:$G$31,3,0)</f>
        <v>2</v>
      </c>
      <c r="D310" s="42">
        <f>VLOOKUP($A310,Schedule!$C$2:$G$31,4,0)</f>
        <v>3</v>
      </c>
      <c r="E310" s="42">
        <f t="shared" si="1"/>
        <v>9</v>
      </c>
      <c r="F310" s="6">
        <v>304.0</v>
      </c>
      <c r="G310" s="45">
        <f>IFERROR(__xludf.DUMMYFUNCTION("""COMPUTED_VALUE"""),310.0)</f>
        <v>310</v>
      </c>
      <c r="H310" s="45" t="str">
        <f>IFERROR(__xludf.DUMMYFUNCTION("""COMPUTED_VALUE"""),"Jalen Hood-Schifino")</f>
        <v>Jalen Hood-Schifino</v>
      </c>
      <c r="I310" s="45">
        <f>IFERROR(__xludf.DUMMYFUNCTION("""COMPUTED_VALUE"""),50.0)</f>
        <v>50</v>
      </c>
      <c r="J310" s="46" t="str">
        <f>IFERROR(__xludf.DUMMYFUNCTION("""COMPUTED_VALUE"""),"PG,SG")</f>
        <v>PG,SG</v>
      </c>
      <c r="K310" s="46">
        <f>IFERROR(__xludf.DUMMYFUNCTION("""COMPUTED_VALUE"""),-8.348311447107696)</f>
        <v>-8.348311447</v>
      </c>
      <c r="L310" s="47">
        <f>IFERROR(__xludf.DUMMYFUNCTION("""COMPUTED_VALUE"""),-5.125334698283603)</f>
        <v>-5.125334698</v>
      </c>
      <c r="M310" s="47">
        <f>IFERROR(__xludf.DUMMYFUNCTION("""COMPUTED_VALUE"""),3.2229767488240926)</f>
        <v>3.222976749</v>
      </c>
      <c r="N310" s="47">
        <f>IFERROR(__xludf.DUMMYFUNCTION("""COMPUTED_VALUE"""),6.6)</f>
        <v>6.6</v>
      </c>
      <c r="O310" s="47">
        <f>IFERROR(__xludf.DUMMYFUNCTION("""COMPUTED_VALUE"""),1.0)</f>
        <v>1</v>
      </c>
      <c r="P310" s="47">
        <f>IFERROR(__xludf.DUMMYFUNCTION("""COMPUTED_VALUE"""),1.3)</f>
        <v>1.3</v>
      </c>
      <c r="Q310" s="48">
        <f>IFERROR(__xludf.DUMMYFUNCTION("""COMPUTED_VALUE"""),2.7)</f>
        <v>2.7</v>
      </c>
      <c r="R310" s="47">
        <f>IFERROR(__xludf.DUMMYFUNCTION("""COMPUTED_VALUE"""),0.4)</f>
        <v>0.4</v>
      </c>
      <c r="S310" s="47">
        <f>IFERROR(__xludf.DUMMYFUNCTION("""COMPUTED_VALUE"""),0.2)</f>
        <v>0.2</v>
      </c>
      <c r="T310" s="47">
        <f>IFERROR(__xludf.DUMMYFUNCTION("""COMPUTED_VALUE"""),40.35087719298245)</f>
        <v>40.35087719</v>
      </c>
      <c r="U310" s="47">
        <f>IFERROR(__xludf.DUMMYFUNCTION("""COMPUTED_VALUE"""),78.57142857142858)</f>
        <v>78.57142857</v>
      </c>
      <c r="V310" s="47">
        <f>IFERROR(__xludf.DUMMYFUNCTION("""COMPUTED_VALUE"""),1.0)</f>
        <v>1</v>
      </c>
      <c r="W310" s="46">
        <f>IFERROR(__xludf.DUMMYFUNCTION("""COMPUTED_VALUE"""),-1.795929423787428)</f>
        <v>-1.795929424</v>
      </c>
      <c r="X310" s="46">
        <f>IFERROR(__xludf.DUMMYFUNCTION("""COMPUTED_VALUE"""),-0.5590090246596284)</f>
        <v>-0.5590090247</v>
      </c>
      <c r="Y310" s="46">
        <f>IFERROR(__xludf.DUMMYFUNCTION("""COMPUTED_VALUE"""),-2.005186369160084)</f>
        <v>-2.005186369</v>
      </c>
      <c r="Z310" s="46">
        <f>IFERROR(__xludf.DUMMYFUNCTION("""COMPUTED_VALUE"""),-0.5834681482517156)</f>
        <v>-0.5834681483</v>
      </c>
      <c r="AA310" s="46">
        <f>IFERROR(__xludf.DUMMYFUNCTION("""COMPUTED_VALUE"""),-1.2966700767544366)</f>
        <v>-1.296670077</v>
      </c>
      <c r="AB310" s="46">
        <f>IFERROR(__xludf.DUMMYFUNCTION("""COMPUTED_VALUE"""),-0.6583300762210907)</f>
        <v>-0.6583300762</v>
      </c>
      <c r="AC310" s="46">
        <f>IFERROR(__xludf.DUMMYFUNCTION("""COMPUTED_VALUE"""),-0.526512987530197)</f>
        <v>-0.5265129875</v>
      </c>
      <c r="AD310" s="46">
        <f>IFERROR(__xludf.DUMMYFUNCTION("""COMPUTED_VALUE"""),-0.014221707477619961)</f>
        <v>-0.01422170748</v>
      </c>
      <c r="AE310" s="46">
        <f>IFERROR(__xludf.DUMMYFUNCTION("""COMPUTED_VALUE"""),0.30880674639851335)</f>
        <v>0.3088067464</v>
      </c>
    </row>
    <row r="311">
      <c r="A311" s="6" t="str">
        <f>IF(VLOOKUP(H311,'Paste #BBall'!$B$2:$N1001,3,)="BRO","BKN",IF(VLOOKUP(H311,'Paste #BBall'!$B$2:$N1001,3,)="OKL","OKC",VLOOKUP(H311,'Paste #BBall'!$B$2:$N1001,3,)))</f>
        <v>MEM</v>
      </c>
      <c r="B311" s="42">
        <f>VLOOKUP($A311,Schedule!$C$2:$G$31,2,0)</f>
        <v>4</v>
      </c>
      <c r="C311" s="42">
        <f>VLOOKUP($A311,Schedule!$C$2:$G$31,3,0)</f>
        <v>3</v>
      </c>
      <c r="D311" s="42">
        <f>VLOOKUP($A311,Schedule!$C$2:$G$31,4,0)</f>
        <v>3</v>
      </c>
      <c r="E311" s="42">
        <f t="shared" si="1"/>
        <v>10</v>
      </c>
      <c r="F311" s="6">
        <v>305.0</v>
      </c>
      <c r="G311" s="45">
        <f>IFERROR(__xludf.DUMMYFUNCTION("""COMPUTED_VALUE"""),312.0)</f>
        <v>312</v>
      </c>
      <c r="H311" s="45" t="str">
        <f>IFERROR(__xludf.DUMMYFUNCTION("""COMPUTED_VALUE"""),"Jake LaRavia")</f>
        <v>Jake LaRavia</v>
      </c>
      <c r="I311" s="45">
        <f>IFERROR(__xludf.DUMMYFUNCTION("""COMPUTED_VALUE"""),68.0)</f>
        <v>68</v>
      </c>
      <c r="J311" s="46" t="str">
        <f>IFERROR(__xludf.DUMMYFUNCTION("""COMPUTED_VALUE"""),"SF,PF")</f>
        <v>SF,PF</v>
      </c>
      <c r="K311" s="46">
        <f>IFERROR(__xludf.DUMMYFUNCTION("""COMPUTED_VALUE"""),-8.371670095868414)</f>
        <v>-8.371670096</v>
      </c>
      <c r="L311" s="47">
        <f>IFERROR(__xludf.DUMMYFUNCTION("""COMPUTED_VALUE"""),-5.130810036760145)</f>
        <v>-5.130810037</v>
      </c>
      <c r="M311" s="47">
        <f>IFERROR(__xludf.DUMMYFUNCTION("""COMPUTED_VALUE"""),3.240860059108269)</f>
        <v>3.240860059</v>
      </c>
      <c r="N311" s="47">
        <f>IFERROR(__xludf.DUMMYFUNCTION("""COMPUTED_VALUE"""),4.6)</f>
        <v>4.6</v>
      </c>
      <c r="O311" s="47">
        <f>IFERROR(__xludf.DUMMYFUNCTION("""COMPUTED_VALUE"""),1.0)</f>
        <v>1</v>
      </c>
      <c r="P311" s="47">
        <f>IFERROR(__xludf.DUMMYFUNCTION("""COMPUTED_VALUE"""),2.6)</f>
        <v>2.6</v>
      </c>
      <c r="Q311" s="48">
        <f>IFERROR(__xludf.DUMMYFUNCTION("""COMPUTED_VALUE"""),0.9)</f>
        <v>0.9</v>
      </c>
      <c r="R311" s="47">
        <f>IFERROR(__xludf.DUMMYFUNCTION("""COMPUTED_VALUE"""),0.5)</f>
        <v>0.5</v>
      </c>
      <c r="S311" s="47">
        <f>IFERROR(__xludf.DUMMYFUNCTION("""COMPUTED_VALUE"""),0.2)</f>
        <v>0.2</v>
      </c>
      <c r="T311" s="47">
        <f>IFERROR(__xludf.DUMMYFUNCTION("""COMPUTED_VALUE"""),43.58974358974359)</f>
        <v>43.58974359</v>
      </c>
      <c r="U311" s="47">
        <f>IFERROR(__xludf.DUMMYFUNCTION("""COMPUTED_VALUE"""),74.99999999999999)</f>
        <v>75</v>
      </c>
      <c r="V311" s="47">
        <f>IFERROR(__xludf.DUMMYFUNCTION("""COMPUTED_VALUE"""),0.7)</f>
        <v>0.7</v>
      </c>
      <c r="W311" s="46">
        <f>IFERROR(__xludf.DUMMYFUNCTION("""COMPUTED_VALUE"""),-2.132982177704368)</f>
        <v>-2.132982178</v>
      </c>
      <c r="X311" s="46">
        <f>IFERROR(__xludf.DUMMYFUNCTION("""COMPUTED_VALUE"""),-0.5590090246596284)</f>
        <v>-0.5590090247</v>
      </c>
      <c r="Y311" s="46">
        <f>IFERROR(__xludf.DUMMYFUNCTION("""COMPUTED_VALUE"""),-1.461586561032437)</f>
        <v>-1.461586561</v>
      </c>
      <c r="Z311" s="46">
        <f>IFERROR(__xludf.DUMMYFUNCTION("""COMPUTED_VALUE"""),-1.5015124374589601)</f>
        <v>-1.501512437</v>
      </c>
      <c r="AA311" s="46">
        <f>IFERROR(__xludf.DUMMYFUNCTION("""COMPUTED_VALUE"""),-1.0786201759549239)</f>
        <v>-1.078620176</v>
      </c>
      <c r="AB311" s="46">
        <f>IFERROR(__xludf.DUMMYFUNCTION("""COMPUTED_VALUE"""),-0.6583300762210907)</f>
        <v>-0.6583300762</v>
      </c>
      <c r="AC311" s="46">
        <f>IFERROR(__xludf.DUMMYFUNCTION("""COMPUTED_VALUE"""),-0.23407330356583486)</f>
        <v>-0.2340733036</v>
      </c>
      <c r="AD311" s="46">
        <f>IFERROR(__xludf.DUMMYFUNCTION("""COMPUTED_VALUE"""),-0.039623968259970534)</f>
        <v>-0.03962396826</v>
      </c>
      <c r="AE311" s="46">
        <f>IFERROR(__xludf.DUMMYFUNCTION("""COMPUTED_VALUE"""),0.4019455103927031)</f>
        <v>0.4019455104</v>
      </c>
    </row>
    <row r="312">
      <c r="A312" s="6" t="str">
        <f>IF(VLOOKUP(H312,'Paste #BBall'!$B$2:$N1001,3,)="BRO","BKN",IF(VLOOKUP(H312,'Paste #BBall'!$B$2:$N1001,3,)="OKL","OKC",VLOOKUP(H312,'Paste #BBall'!$B$2:$N1001,3,)))</f>
        <v>BKN</v>
      </c>
      <c r="B312" s="42">
        <f>VLOOKUP($A312,Schedule!$C$2:$G$31,2,0)</f>
        <v>5</v>
      </c>
      <c r="C312" s="42">
        <f>VLOOKUP($A312,Schedule!$C$2:$G$31,3,0)</f>
        <v>3</v>
      </c>
      <c r="D312" s="42">
        <f>VLOOKUP($A312,Schedule!$C$2:$G$31,4,0)</f>
        <v>3</v>
      </c>
      <c r="E312" s="42">
        <f t="shared" si="1"/>
        <v>11</v>
      </c>
      <c r="F312" s="6">
        <v>306.0</v>
      </c>
      <c r="G312" s="45">
        <f>IFERROR(__xludf.DUMMYFUNCTION("""COMPUTED_VALUE"""),306.0)</f>
        <v>306</v>
      </c>
      <c r="H312" s="45" t="str">
        <f>IFERROR(__xludf.DUMMYFUNCTION("""COMPUTED_VALUE"""),"Lonnie Walker IV")</f>
        <v>Lonnie Walker IV</v>
      </c>
      <c r="I312" s="45">
        <f>IFERROR(__xludf.DUMMYFUNCTION("""COMPUTED_VALUE"""),67.0)</f>
        <v>67</v>
      </c>
      <c r="J312" s="46" t="str">
        <f>IFERROR(__xludf.DUMMYFUNCTION("""COMPUTED_VALUE"""),"SG,SF")</f>
        <v>SG,SF</v>
      </c>
      <c r="K312" s="46">
        <f>IFERROR(__xludf.DUMMYFUNCTION("""COMPUTED_VALUE"""),-8.210143113898889)</f>
        <v>-8.210143114</v>
      </c>
      <c r="L312" s="47">
        <f>IFERROR(__xludf.DUMMYFUNCTION("""COMPUTED_VALUE"""),-5.159354308991502)</f>
        <v>-5.159354309</v>
      </c>
      <c r="M312" s="47">
        <f>IFERROR(__xludf.DUMMYFUNCTION("""COMPUTED_VALUE"""),3.050788804907387)</f>
        <v>3.050788805</v>
      </c>
      <c r="N312" s="47">
        <f>IFERROR(__xludf.DUMMYFUNCTION("""COMPUTED_VALUE"""),8.7)</f>
        <v>8.7</v>
      </c>
      <c r="O312" s="47">
        <f>IFERROR(__xludf.DUMMYFUNCTION("""COMPUTED_VALUE"""),1.2)</f>
        <v>1.2</v>
      </c>
      <c r="P312" s="47">
        <f>IFERROR(__xludf.DUMMYFUNCTION("""COMPUTED_VALUE"""),1.7)</f>
        <v>1.7</v>
      </c>
      <c r="Q312" s="48">
        <f>IFERROR(__xludf.DUMMYFUNCTION("""COMPUTED_VALUE"""),1.3)</f>
        <v>1.3</v>
      </c>
      <c r="R312" s="47">
        <f>IFERROR(__xludf.DUMMYFUNCTION("""COMPUTED_VALUE"""),0.4)</f>
        <v>0.4</v>
      </c>
      <c r="S312" s="47">
        <f>IFERROR(__xludf.DUMMYFUNCTION("""COMPUTED_VALUE"""),0.2)</f>
        <v>0.2</v>
      </c>
      <c r="T312" s="47">
        <f>IFERROR(__xludf.DUMMYFUNCTION("""COMPUTED_VALUE"""),42.66666666666667)</f>
        <v>42.66666667</v>
      </c>
      <c r="U312" s="47">
        <f>IFERROR(__xludf.DUMMYFUNCTION("""COMPUTED_VALUE"""),80.0)</f>
        <v>80</v>
      </c>
      <c r="V312" s="47">
        <f>IFERROR(__xludf.DUMMYFUNCTION("""COMPUTED_VALUE"""),0.7)</f>
        <v>0.7</v>
      </c>
      <c r="W312" s="46">
        <f>IFERROR(__xludf.DUMMYFUNCTION("""COMPUTED_VALUE"""),-1.4420240321746411)</f>
        <v>-1.442024032</v>
      </c>
      <c r="X312" s="46">
        <f>IFERROR(__xludf.DUMMYFUNCTION("""COMPUTED_VALUE"""),-0.38558326726780967)</f>
        <v>-0.3855832673</v>
      </c>
      <c r="Y312" s="46">
        <f>IFERROR(__xludf.DUMMYFUNCTION("""COMPUTED_VALUE"""),-1.8379248897361926)</f>
        <v>-1.83792489</v>
      </c>
      <c r="Z312" s="46">
        <f>IFERROR(__xludf.DUMMYFUNCTION("""COMPUTED_VALUE"""),-1.2975025954129054)</f>
        <v>-1.297502595</v>
      </c>
      <c r="AA312" s="46">
        <f>IFERROR(__xludf.DUMMYFUNCTION("""COMPUTED_VALUE"""),-1.2966700767544366)</f>
        <v>-1.296670077</v>
      </c>
      <c r="AB312" s="46">
        <f>IFERROR(__xludf.DUMMYFUNCTION("""COMPUTED_VALUE"""),-0.6583300762210907)</f>
        <v>-0.6583300762</v>
      </c>
      <c r="AC312" s="46">
        <f>IFERROR(__xludf.DUMMYFUNCTION("""COMPUTED_VALUE"""),-0.5192931627268467)</f>
        <v>-0.5192931627</v>
      </c>
      <c r="AD312" s="46">
        <f>IFERROR(__xludf.DUMMYFUNCTION("""COMPUTED_VALUE"""),0.038103391173524945)</f>
        <v>0.03810339117</v>
      </c>
      <c r="AE312" s="46">
        <f>IFERROR(__xludf.DUMMYFUNCTION("""COMPUTED_VALUE"""),0.4019455103927031)</f>
        <v>0.4019455104</v>
      </c>
    </row>
    <row r="313">
      <c r="A313" s="6" t="str">
        <f>IF(VLOOKUP(H313,'Paste #BBall'!$B$2:$N1001,3,)="BRO","BKN",IF(VLOOKUP(H313,'Paste #BBall'!$B$2:$N1001,3,)="OKL","OKC",VLOOKUP(H313,'Paste #BBall'!$B$2:$N1001,3,)))</f>
        <v>PHO</v>
      </c>
      <c r="B313" s="42">
        <f>VLOOKUP($A313,Schedule!$C$2:$G$31,2,0)</f>
        <v>3</v>
      </c>
      <c r="C313" s="42">
        <f>VLOOKUP($A313,Schedule!$C$2:$G$31,3,0)</f>
        <v>4</v>
      </c>
      <c r="D313" s="42">
        <f>VLOOKUP($A313,Schedule!$C$2:$G$31,4,0)</f>
        <v>3</v>
      </c>
      <c r="E313" s="42">
        <f t="shared" si="1"/>
        <v>10</v>
      </c>
      <c r="F313" s="6">
        <v>307.0</v>
      </c>
      <c r="G313" s="45">
        <f>IFERROR(__xludf.DUMMYFUNCTION("""COMPUTED_VALUE"""),308.0)</f>
        <v>308</v>
      </c>
      <c r="H313" s="45" t="str">
        <f>IFERROR(__xludf.DUMMYFUNCTION("""COMPUTED_VALUE"""),"Yuta Watanabe")</f>
        <v>Yuta Watanabe</v>
      </c>
      <c r="I313" s="45">
        <f>IFERROR(__xludf.DUMMYFUNCTION("""COMPUTED_VALUE"""),58.0)</f>
        <v>58</v>
      </c>
      <c r="J313" s="46" t="str">
        <f>IFERROR(__xludf.DUMMYFUNCTION("""COMPUTED_VALUE"""),"SF,PF")</f>
        <v>SF,PF</v>
      </c>
      <c r="K313" s="46">
        <f>IFERROR(__xludf.DUMMYFUNCTION("""COMPUTED_VALUE"""),-8.333901765940162)</f>
        <v>-8.333901766</v>
      </c>
      <c r="L313" s="47">
        <f>IFERROR(__xludf.DUMMYFUNCTION("""COMPUTED_VALUE"""),-5.16607441776927)</f>
        <v>-5.166074418</v>
      </c>
      <c r="M313" s="47">
        <f>IFERROR(__xludf.DUMMYFUNCTION("""COMPUTED_VALUE"""),3.167827348170892)</f>
        <v>3.167827348</v>
      </c>
      <c r="N313" s="47">
        <f>IFERROR(__xludf.DUMMYFUNCTION("""COMPUTED_VALUE"""),5.5)</f>
        <v>5.5</v>
      </c>
      <c r="O313" s="47">
        <f>IFERROR(__xludf.DUMMYFUNCTION("""COMPUTED_VALUE"""),1.0)</f>
        <v>1</v>
      </c>
      <c r="P313" s="47">
        <f>IFERROR(__xludf.DUMMYFUNCTION("""COMPUTED_VALUE"""),2.7)</f>
        <v>2.7</v>
      </c>
      <c r="Q313" s="48">
        <f>IFERROR(__xludf.DUMMYFUNCTION("""COMPUTED_VALUE"""),0.8)</f>
        <v>0.8</v>
      </c>
      <c r="R313" s="47">
        <f>IFERROR(__xludf.DUMMYFUNCTION("""COMPUTED_VALUE"""),0.4)</f>
        <v>0.4</v>
      </c>
      <c r="S313" s="47">
        <f>IFERROR(__xludf.DUMMYFUNCTION("""COMPUTED_VALUE"""),0.4)</f>
        <v>0.4</v>
      </c>
      <c r="T313" s="47">
        <f>IFERROR(__xludf.DUMMYFUNCTION("""COMPUTED_VALUE"""),45.238095238095234)</f>
        <v>45.23809524</v>
      </c>
      <c r="U313" s="47">
        <f>IFERROR(__xludf.DUMMYFUNCTION("""COMPUTED_VALUE"""),70.0)</f>
        <v>70</v>
      </c>
      <c r="V313" s="47">
        <f>IFERROR(__xludf.DUMMYFUNCTION("""COMPUTED_VALUE"""),0.5)</f>
        <v>0.5</v>
      </c>
      <c r="W313" s="46">
        <f>IFERROR(__xludf.DUMMYFUNCTION("""COMPUTED_VALUE"""),-1.9813084384417448)</f>
        <v>-1.981308438</v>
      </c>
      <c r="X313" s="46">
        <f>IFERROR(__xludf.DUMMYFUNCTION("""COMPUTED_VALUE"""),-0.5590090246596284)</f>
        <v>-0.5590090247</v>
      </c>
      <c r="Y313" s="46">
        <f>IFERROR(__xludf.DUMMYFUNCTION("""COMPUTED_VALUE"""),-1.419771191176464)</f>
        <v>-1.419771191</v>
      </c>
      <c r="Z313" s="46">
        <f>IFERROR(__xludf.DUMMYFUNCTION("""COMPUTED_VALUE"""),-1.5525148979704735)</f>
        <v>-1.552514898</v>
      </c>
      <c r="AA313" s="46">
        <f>IFERROR(__xludf.DUMMYFUNCTION("""COMPUTED_VALUE"""),-1.2966700767544366)</f>
        <v>-1.296670077</v>
      </c>
      <c r="AB313" s="46">
        <f>IFERROR(__xludf.DUMMYFUNCTION("""COMPUTED_VALUE"""),-0.39569839687757064)</f>
        <v>-0.3956983969</v>
      </c>
      <c r="AC313" s="46">
        <f>IFERROR(__xludf.DUMMYFUNCTION("""COMPUTED_VALUE"""),-0.18292674797065814)</f>
        <v>-0.182926748</v>
      </c>
      <c r="AD313" s="46">
        <f>IFERROR(__xludf.DUMMYFUNCTION("""COMPUTED_VALUE"""),-0.22352210208220238)</f>
        <v>-0.2235221021</v>
      </c>
      <c r="AE313" s="46">
        <f>IFERROR(__xludf.DUMMYFUNCTION("""COMPUTED_VALUE"""),0.4640380197221629)</f>
        <v>0.4640380197</v>
      </c>
    </row>
    <row r="314">
      <c r="A314" s="6" t="str">
        <f>IF(VLOOKUP(H314,'Paste #BBall'!$B$2:$N1001,3,)="BRO","BKN",IF(VLOOKUP(H314,'Paste #BBall'!$B$2:$N1001,3,)="OKL","OKC",VLOOKUP(H314,'Paste #BBall'!$B$2:$N1001,3,)))</f>
        <v>OKC</v>
      </c>
      <c r="B314" s="42">
        <f>VLOOKUP($A314,Schedule!$C$2:$G$31,2,0)</f>
        <v>4</v>
      </c>
      <c r="C314" s="42">
        <f>VLOOKUP($A314,Schedule!$C$2:$G$31,3,0)</f>
        <v>3</v>
      </c>
      <c r="D314" s="42">
        <f>VLOOKUP($A314,Schedule!$C$2:$G$31,4,0)</f>
        <v>3</v>
      </c>
      <c r="E314" s="42">
        <f t="shared" si="1"/>
        <v>10</v>
      </c>
      <c r="F314" s="6">
        <v>308.0</v>
      </c>
      <c r="G314" s="45">
        <f>IFERROR(__xludf.DUMMYFUNCTION("""COMPUTED_VALUE"""),329.0)</f>
        <v>329</v>
      </c>
      <c r="H314" s="45" t="str">
        <f>IFERROR(__xludf.DUMMYFUNCTION("""COMPUTED_VALUE"""),"Usman Garuba")</f>
        <v>Usman Garuba</v>
      </c>
      <c r="I314" s="45">
        <f>IFERROR(__xludf.DUMMYFUNCTION("""COMPUTED_VALUE"""),26.0)</f>
        <v>26</v>
      </c>
      <c r="J314" s="46" t="str">
        <f>IFERROR(__xludf.DUMMYFUNCTION("""COMPUTED_VALUE"""),"PF,C")</f>
        <v>PF,C</v>
      </c>
      <c r="K314" s="46">
        <f>IFERROR(__xludf.DUMMYFUNCTION("""COMPUTED_VALUE"""),-8.832574738061043)</f>
        <v>-8.832574738</v>
      </c>
      <c r="L314" s="47">
        <f>IFERROR(__xludf.DUMMYFUNCTION("""COMPUTED_VALUE"""),-5.185406247061316)</f>
        <v>-5.185406247</v>
      </c>
      <c r="M314" s="47">
        <f>IFERROR(__xludf.DUMMYFUNCTION("""COMPUTED_VALUE"""),3.647168490999727)</f>
        <v>3.647168491</v>
      </c>
      <c r="N314" s="47">
        <f>IFERROR(__xludf.DUMMYFUNCTION("""COMPUTED_VALUE"""),2.4)</f>
        <v>2.4</v>
      </c>
      <c r="O314" s="47">
        <f>IFERROR(__xludf.DUMMYFUNCTION("""COMPUTED_VALUE"""),0.3)</f>
        <v>0.3</v>
      </c>
      <c r="P314" s="47">
        <f>IFERROR(__xludf.DUMMYFUNCTION("""COMPUTED_VALUE"""),3.4)</f>
        <v>3.4</v>
      </c>
      <c r="Q314" s="48">
        <f>IFERROR(__xludf.DUMMYFUNCTION("""COMPUTED_VALUE"""),0.7)</f>
        <v>0.7</v>
      </c>
      <c r="R314" s="47">
        <f>IFERROR(__xludf.DUMMYFUNCTION("""COMPUTED_VALUE"""),0.5)</f>
        <v>0.5</v>
      </c>
      <c r="S314" s="47">
        <f>IFERROR(__xludf.DUMMYFUNCTION("""COMPUTED_VALUE"""),0.4)</f>
        <v>0.4</v>
      </c>
      <c r="T314" s="47">
        <f>IFERROR(__xludf.DUMMYFUNCTION("""COMPUTED_VALUE"""),47.36842105263158)</f>
        <v>47.36842105</v>
      </c>
      <c r="U314" s="47">
        <f>IFERROR(__xludf.DUMMYFUNCTION("""COMPUTED_VALUE"""),60.0)</f>
        <v>60</v>
      </c>
      <c r="V314" s="47">
        <f>IFERROR(__xludf.DUMMYFUNCTION("""COMPUTED_VALUE"""),0.5)</f>
        <v>0.5</v>
      </c>
      <c r="W314" s="46">
        <f>IFERROR(__xludf.DUMMYFUNCTION("""COMPUTED_VALUE"""),-2.5037402070130015)</f>
        <v>-2.503740207</v>
      </c>
      <c r="X314" s="46">
        <f>IFERROR(__xludf.DUMMYFUNCTION("""COMPUTED_VALUE"""),-1.1659991755309944)</f>
        <v>-1.165999176</v>
      </c>
      <c r="Y314" s="46">
        <f>IFERROR(__xludf.DUMMYFUNCTION("""COMPUTED_VALUE"""),-1.1270636021846543)</f>
        <v>-1.127063602</v>
      </c>
      <c r="Z314" s="46">
        <f>IFERROR(__xludf.DUMMYFUNCTION("""COMPUTED_VALUE"""),-1.603517358481987)</f>
        <v>-1.603517358</v>
      </c>
      <c r="AA314" s="46">
        <f>IFERROR(__xludf.DUMMYFUNCTION("""COMPUTED_VALUE"""),-1.0786201759549239)</f>
        <v>-1.078620176</v>
      </c>
      <c r="AB314" s="46">
        <f>IFERROR(__xludf.DUMMYFUNCTION("""COMPUTED_VALUE"""),-0.39569839687757064)</f>
        <v>-0.3956983969</v>
      </c>
      <c r="AC314" s="46">
        <f>IFERROR(__xludf.DUMMYFUNCTION("""COMPUTED_VALUE"""),-0.04232232527997132)</f>
        <v>-0.04232232528</v>
      </c>
      <c r="AD314" s="46">
        <f>IFERROR(__xludf.DUMMYFUNCTION("""COMPUTED_VALUE"""),-0.2362232324733773)</f>
        <v>-0.2362232325</v>
      </c>
      <c r="AE314" s="46">
        <f>IFERROR(__xludf.DUMMYFUNCTION("""COMPUTED_VALUE"""),0.4640380197221629)</f>
        <v>0.4640380197</v>
      </c>
    </row>
    <row r="315">
      <c r="A315" s="6" t="str">
        <f>IF(VLOOKUP(H315,'Paste #BBall'!$B$2:$N1001,3,)="BRO","BKN",IF(VLOOKUP(H315,'Paste #BBall'!$B$2:$N1001,3,)="OKL","OKC",VLOOKUP(H315,'Paste #BBall'!$B$2:$N1001,3,)))</f>
        <v>HOU</v>
      </c>
      <c r="B315" s="42">
        <f>VLOOKUP($A315,Schedule!$C$2:$G$31,2,0)</f>
        <v>4</v>
      </c>
      <c r="C315" s="42">
        <f>VLOOKUP($A315,Schedule!$C$2:$G$31,3,0)</f>
        <v>3</v>
      </c>
      <c r="D315" s="42">
        <f>VLOOKUP($A315,Schedule!$C$2:$G$31,4,0)</f>
        <v>3</v>
      </c>
      <c r="E315" s="42">
        <f t="shared" si="1"/>
        <v>10</v>
      </c>
      <c r="F315" s="6">
        <v>309.0</v>
      </c>
      <c r="G315" s="45">
        <f>IFERROR(__xludf.DUMMYFUNCTION("""COMPUTED_VALUE"""),300.0)</f>
        <v>300</v>
      </c>
      <c r="H315" s="45" t="str">
        <f>IFERROR(__xludf.DUMMYFUNCTION("""COMPUTED_VALUE"""),"Jae'Sean Tate")</f>
        <v>Jae'Sean Tate</v>
      </c>
      <c r="I315" s="45">
        <f>IFERROR(__xludf.DUMMYFUNCTION("""COMPUTED_VALUE"""),64.0)</f>
        <v>64</v>
      </c>
      <c r="J315" s="46" t="str">
        <f>IFERROR(__xludf.DUMMYFUNCTION("""COMPUTED_VALUE"""),"SF,PF")</f>
        <v>SF,PF</v>
      </c>
      <c r="K315" s="46">
        <f>IFERROR(__xludf.DUMMYFUNCTION("""COMPUTED_VALUE"""),-8.044232532363397)</f>
        <v>-8.044232532</v>
      </c>
      <c r="L315" s="47">
        <f>IFERROR(__xludf.DUMMYFUNCTION("""COMPUTED_VALUE"""),-5.189788232442316)</f>
        <v>-5.189788232</v>
      </c>
      <c r="M315" s="47">
        <f>IFERROR(__xludf.DUMMYFUNCTION("""COMPUTED_VALUE"""),2.854444299921081)</f>
        <v>2.8544443</v>
      </c>
      <c r="N315" s="47">
        <f>IFERROR(__xludf.DUMMYFUNCTION("""COMPUTED_VALUE"""),6.9)</f>
        <v>6.9</v>
      </c>
      <c r="O315" s="47">
        <f>IFERROR(__xludf.DUMMYFUNCTION("""COMPUTED_VALUE"""),0.4)</f>
        <v>0.4</v>
      </c>
      <c r="P315" s="47">
        <f>IFERROR(__xludf.DUMMYFUNCTION("""COMPUTED_VALUE"""),3.1)</f>
        <v>3.1</v>
      </c>
      <c r="Q315" s="48">
        <f>IFERROR(__xludf.DUMMYFUNCTION("""COMPUTED_VALUE"""),1.8)</f>
        <v>1.8</v>
      </c>
      <c r="R315" s="47">
        <f>IFERROR(__xludf.DUMMYFUNCTION("""COMPUTED_VALUE"""),0.5)</f>
        <v>0.5</v>
      </c>
      <c r="S315" s="47">
        <f>IFERROR(__xludf.DUMMYFUNCTION("""COMPUTED_VALUE"""),0.3)</f>
        <v>0.3</v>
      </c>
      <c r="T315" s="47">
        <f>IFERROR(__xludf.DUMMYFUNCTION("""COMPUTED_VALUE"""),49.09090909090909)</f>
        <v>49.09090909</v>
      </c>
      <c r="U315" s="47">
        <f>IFERROR(__xludf.DUMMYFUNCTION("""COMPUTED_VALUE"""),66.66666666666666)</f>
        <v>66.66666667</v>
      </c>
      <c r="V315" s="47">
        <f>IFERROR(__xludf.DUMMYFUNCTION("""COMPUTED_VALUE"""),1.1)</f>
        <v>1.1</v>
      </c>
      <c r="W315" s="46">
        <f>IFERROR(__xludf.DUMMYFUNCTION("""COMPUTED_VALUE"""),-1.7453715106998868)</f>
        <v>-1.745371511</v>
      </c>
      <c r="X315" s="46">
        <f>IFERROR(__xludf.DUMMYFUNCTION("""COMPUTED_VALUE"""),-1.079286296835085)</f>
        <v>-1.079286297</v>
      </c>
      <c r="Y315" s="46">
        <f>IFERROR(__xludf.DUMMYFUNCTION("""COMPUTED_VALUE"""),-1.2525097117525728)</f>
        <v>-1.252509712</v>
      </c>
      <c r="Z315" s="46">
        <f>IFERROR(__xludf.DUMMYFUNCTION("""COMPUTED_VALUE"""),-1.0424902928553377)</f>
        <v>-1.042490293</v>
      </c>
      <c r="AA315" s="46">
        <f>IFERROR(__xludf.DUMMYFUNCTION("""COMPUTED_VALUE"""),-1.0786201759549239)</f>
        <v>-1.078620176</v>
      </c>
      <c r="AB315" s="46">
        <f>IFERROR(__xludf.DUMMYFUNCTION("""COMPUTED_VALUE"""),-0.5270142365493308)</f>
        <v>-0.5270142365</v>
      </c>
      <c r="AC315" s="46">
        <f>IFERROR(__xludf.DUMMYFUNCTION("""COMPUTED_VALUE"""),-0.02788267567327094)</f>
        <v>-0.02788267567</v>
      </c>
      <c r="AD315" s="46">
        <f>IFERROR(__xludf.DUMMYFUNCTION("""COMPUTED_VALUE"""),-0.45974533455557964)</f>
        <v>-0.4597453346</v>
      </c>
      <c r="AE315" s="46">
        <f>IFERROR(__xludf.DUMMYFUNCTION("""COMPUTED_VALUE"""),0.2777604917337834)</f>
        <v>0.2777604917</v>
      </c>
    </row>
    <row r="316">
      <c r="A316" s="6" t="str">
        <f>IF(VLOOKUP(H316,'Paste #BBall'!$B$2:$N1001,3,)="BRO","BKN",IF(VLOOKUP(H316,'Paste #BBall'!$B$2:$N1001,3,)="OKL","OKC",VLOOKUP(H316,'Paste #BBall'!$B$2:$N1001,3,)))</f>
        <v>MIA</v>
      </c>
      <c r="B316" s="42">
        <f>VLOOKUP($A316,Schedule!$C$2:$G$31,2,0)</f>
        <v>4</v>
      </c>
      <c r="C316" s="42">
        <f>VLOOKUP($A316,Schedule!$C$2:$G$31,3,0)</f>
        <v>3</v>
      </c>
      <c r="D316" s="42">
        <f>VLOOKUP($A316,Schedule!$C$2:$G$31,4,0)</f>
        <v>4</v>
      </c>
      <c r="E316" s="42">
        <f t="shared" si="1"/>
        <v>11</v>
      </c>
      <c r="F316" s="6">
        <v>310.0</v>
      </c>
      <c r="G316" s="45">
        <f>IFERROR(__xludf.DUMMYFUNCTION("""COMPUTED_VALUE"""),295.0)</f>
        <v>295</v>
      </c>
      <c r="H316" s="45" t="str">
        <f>IFERROR(__xludf.DUMMYFUNCTION("""COMPUTED_VALUE"""),"Jaime Jaquez Jr.")</f>
        <v>Jaime Jaquez Jr.</v>
      </c>
      <c r="I316" s="45">
        <f>IFERROR(__xludf.DUMMYFUNCTION("""COMPUTED_VALUE"""),70.0)</f>
        <v>70</v>
      </c>
      <c r="J316" s="46" t="str">
        <f>IFERROR(__xludf.DUMMYFUNCTION("""COMPUTED_VALUE"""),"SF")</f>
        <v>SF</v>
      </c>
      <c r="K316" s="46">
        <f>IFERROR(__xludf.DUMMYFUNCTION("""COMPUTED_VALUE"""),-7.945359238974773)</f>
        <v>-7.945359239</v>
      </c>
      <c r="L316" s="47">
        <f>IFERROR(__xludf.DUMMYFUNCTION("""COMPUTED_VALUE"""),-5.203301000938227)</f>
        <v>-5.203301001</v>
      </c>
      <c r="M316" s="47">
        <f>IFERROR(__xludf.DUMMYFUNCTION("""COMPUTED_VALUE"""),2.742058238036546)</f>
        <v>2.742058238</v>
      </c>
      <c r="N316" s="47">
        <f>IFERROR(__xludf.DUMMYFUNCTION("""COMPUTED_VALUE"""),7.3)</f>
        <v>7.3</v>
      </c>
      <c r="O316" s="47">
        <f>IFERROR(__xludf.DUMMYFUNCTION("""COMPUTED_VALUE"""),0.4)</f>
        <v>0.4</v>
      </c>
      <c r="P316" s="47">
        <f>IFERROR(__xludf.DUMMYFUNCTION("""COMPUTED_VALUE"""),2.5)</f>
        <v>2.5</v>
      </c>
      <c r="Q316" s="48">
        <f>IFERROR(__xludf.DUMMYFUNCTION("""COMPUTED_VALUE"""),1.5)</f>
        <v>1.5</v>
      </c>
      <c r="R316" s="47">
        <f>IFERROR(__xludf.DUMMYFUNCTION("""COMPUTED_VALUE"""),0.6)</f>
        <v>0.6</v>
      </c>
      <c r="S316" s="47">
        <f>IFERROR(__xludf.DUMMYFUNCTION("""COMPUTED_VALUE"""),0.2)</f>
        <v>0.2</v>
      </c>
      <c r="T316" s="47">
        <f>IFERROR(__xludf.DUMMYFUNCTION("""COMPUTED_VALUE"""),45.0)</f>
        <v>45</v>
      </c>
      <c r="U316" s="47">
        <f>IFERROR(__xludf.DUMMYFUNCTION("""COMPUTED_VALUE"""),78.94736842105263)</f>
        <v>78.94736842</v>
      </c>
      <c r="V316" s="47">
        <f>IFERROR(__xludf.DUMMYFUNCTION("""COMPUTED_VALUE"""),0.8)</f>
        <v>0.8</v>
      </c>
      <c r="W316" s="46">
        <f>IFERROR(__xludf.DUMMYFUNCTION("""COMPUTED_VALUE"""),-1.6779609599164989)</f>
        <v>-1.67796096</v>
      </c>
      <c r="X316" s="46">
        <f>IFERROR(__xludf.DUMMYFUNCTION("""COMPUTED_VALUE"""),-1.079286296835085)</f>
        <v>-1.079286297</v>
      </c>
      <c r="Y316" s="46">
        <f>IFERROR(__xludf.DUMMYFUNCTION("""COMPUTED_VALUE"""),-1.50340193088841)</f>
        <v>-1.503401931</v>
      </c>
      <c r="Z316" s="46">
        <f>IFERROR(__xludf.DUMMYFUNCTION("""COMPUTED_VALUE"""),-1.1954976743898784)</f>
        <v>-1.195497674</v>
      </c>
      <c r="AA316" s="46">
        <f>IFERROR(__xludf.DUMMYFUNCTION("""COMPUTED_VALUE"""),-0.860570275155411)</f>
        <v>-0.8605702752</v>
      </c>
      <c r="AB316" s="46">
        <f>IFERROR(__xludf.DUMMYFUNCTION("""COMPUTED_VALUE"""),-0.6583300762210907)</f>
        <v>-0.6583300762</v>
      </c>
      <c r="AC316" s="46">
        <f>IFERROR(__xludf.DUMMYFUNCTION("""COMPUTED_VALUE"""),-0.27559342608987847)</f>
        <v>-0.2755934261</v>
      </c>
      <c r="AD316" s="46">
        <f>IFERROR(__xludf.DUMMYFUNCTION("""COMPUTED_VALUE"""),-0.0015205770864451739)</f>
        <v>-0.001520577086</v>
      </c>
      <c r="AE316" s="46">
        <f>IFERROR(__xludf.DUMMYFUNCTION("""COMPUTED_VALUE"""),0.37089925572797316)</f>
        <v>0.3708992557</v>
      </c>
    </row>
    <row r="317">
      <c r="A317" s="6" t="str">
        <f>IF(VLOOKUP(H317,'Paste #BBall'!$B$2:$N1001,3,)="BRO","BKN",IF(VLOOKUP(H317,'Paste #BBall'!$B$2:$N1001,3,)="OKL","OKC",VLOOKUP(H317,'Paste #BBall'!$B$2:$N1001,3,)))</f>
        <v>TOR</v>
      </c>
      <c r="B317" s="42">
        <f>VLOOKUP($A317,Schedule!$C$2:$G$31,2,0)</f>
        <v>3</v>
      </c>
      <c r="C317" s="42">
        <f>VLOOKUP($A317,Schedule!$C$2:$G$31,3,0)</f>
        <v>4</v>
      </c>
      <c r="D317" s="42">
        <f>VLOOKUP($A317,Schedule!$C$2:$G$31,4,0)</f>
        <v>3</v>
      </c>
      <c r="E317" s="42">
        <f t="shared" si="1"/>
        <v>10</v>
      </c>
      <c r="F317" s="6">
        <v>311.0</v>
      </c>
      <c r="G317" s="45">
        <f>IFERROR(__xludf.DUMMYFUNCTION("""COMPUTED_VALUE"""),326.0)</f>
        <v>326</v>
      </c>
      <c r="H317" s="45" t="str">
        <f>IFERROR(__xludf.DUMMYFUNCTION("""COMPUTED_VALUE"""),"Otto Porter Jr.")</f>
        <v>Otto Porter Jr.</v>
      </c>
      <c r="I317" s="45">
        <f>IFERROR(__xludf.DUMMYFUNCTION("""COMPUTED_VALUE"""),30.0)</f>
        <v>30</v>
      </c>
      <c r="J317" s="46" t="str">
        <f>IFERROR(__xludf.DUMMYFUNCTION("""COMPUTED_VALUE"""),"SG,SF")</f>
        <v>SG,SF</v>
      </c>
      <c r="K317" s="46">
        <f>IFERROR(__xludf.DUMMYFUNCTION("""COMPUTED_VALUE"""),-8.756740651396335)</f>
        <v>-8.756740651</v>
      </c>
      <c r="L317" s="47">
        <f>IFERROR(__xludf.DUMMYFUNCTION("""COMPUTED_VALUE"""),-5.256936513274562)</f>
        <v>-5.256936513</v>
      </c>
      <c r="M317" s="47">
        <f>IFERROR(__xludf.DUMMYFUNCTION("""COMPUTED_VALUE"""),3.499804138121773)</f>
        <v>3.499804138</v>
      </c>
      <c r="N317" s="47">
        <f>IFERROR(__xludf.DUMMYFUNCTION("""COMPUTED_VALUE"""),3.8)</f>
        <v>3.8</v>
      </c>
      <c r="O317" s="47">
        <f>IFERROR(__xludf.DUMMYFUNCTION("""COMPUTED_VALUE"""),0.6)</f>
        <v>0.6</v>
      </c>
      <c r="P317" s="47">
        <f>IFERROR(__xludf.DUMMYFUNCTION("""COMPUTED_VALUE"""),2.6)</f>
        <v>2.6</v>
      </c>
      <c r="Q317" s="48">
        <f>IFERROR(__xludf.DUMMYFUNCTION("""COMPUTED_VALUE"""),0.7)</f>
        <v>0.7</v>
      </c>
      <c r="R317" s="47">
        <f>IFERROR(__xludf.DUMMYFUNCTION("""COMPUTED_VALUE"""),0.5)</f>
        <v>0.5</v>
      </c>
      <c r="S317" s="47">
        <f>IFERROR(__xludf.DUMMYFUNCTION("""COMPUTED_VALUE"""),0.2)</f>
        <v>0.2</v>
      </c>
      <c r="T317" s="47">
        <f>IFERROR(__xludf.DUMMYFUNCTION("""COMPUTED_VALUE"""),46.666666666666664)</f>
        <v>46.66666667</v>
      </c>
      <c r="U317" s="47">
        <f>IFERROR(__xludf.DUMMYFUNCTION("""COMPUTED_VALUE"""),80.0)</f>
        <v>80</v>
      </c>
      <c r="V317" s="47">
        <f>IFERROR(__xludf.DUMMYFUNCTION("""COMPUTED_VALUE"""),0.3)</f>
        <v>0.3</v>
      </c>
      <c r="W317" s="46">
        <f>IFERROR(__xludf.DUMMYFUNCTION("""COMPUTED_VALUE"""),-2.2678032792711433)</f>
        <v>-2.267803279</v>
      </c>
      <c r="X317" s="46">
        <f>IFERROR(__xludf.DUMMYFUNCTION("""COMPUTED_VALUE"""),-0.9058605394432663)</f>
        <v>-0.9058605394</v>
      </c>
      <c r="Y317" s="46">
        <f>IFERROR(__xludf.DUMMYFUNCTION("""COMPUTED_VALUE"""),-1.461586561032437)</f>
        <v>-1.461586561</v>
      </c>
      <c r="Z317" s="46">
        <f>IFERROR(__xludf.DUMMYFUNCTION("""COMPUTED_VALUE"""),-1.603517358481987)</f>
        <v>-1.603517358</v>
      </c>
      <c r="AA317" s="46">
        <f>IFERROR(__xludf.DUMMYFUNCTION("""COMPUTED_VALUE"""),-1.0786201759549239)</f>
        <v>-1.078620176</v>
      </c>
      <c r="AB317" s="46">
        <f>IFERROR(__xludf.DUMMYFUNCTION("""COMPUTED_VALUE"""),-0.6583300762210907)</f>
        <v>-0.6583300762</v>
      </c>
      <c r="AC317" s="46">
        <f>IFERROR(__xludf.DUMMYFUNCTION("""COMPUTED_VALUE"""),-0.08785346158365405)</f>
        <v>-0.08785346158</v>
      </c>
      <c r="AD317" s="46">
        <f>IFERROR(__xludf.DUMMYFUNCTION("""COMPUTED_VALUE"""),0.01270113039117512)</f>
        <v>0.01270113039</v>
      </c>
      <c r="AE317" s="46">
        <f>IFERROR(__xludf.DUMMYFUNCTION("""COMPUTED_VALUE"""),0.5261305290516227)</f>
        <v>0.5261305291</v>
      </c>
    </row>
    <row r="318">
      <c r="A318" s="6" t="str">
        <f>IF(VLOOKUP(H318,'Paste #BBall'!$B$2:$N1001,3,)="BRO","BKN",IF(VLOOKUP(H318,'Paste #BBall'!$B$2:$N1001,3,)="OKL","OKC",VLOOKUP(H318,'Paste #BBall'!$B$2:$N1001,3,)))</f>
        <v>PHI</v>
      </c>
      <c r="B318" s="42">
        <f>VLOOKUP($A318,Schedule!$C$2:$G$31,2,0)</f>
        <v>4</v>
      </c>
      <c r="C318" s="42">
        <f>VLOOKUP($A318,Schedule!$C$2:$G$31,3,0)</f>
        <v>3</v>
      </c>
      <c r="D318" s="42">
        <f>VLOOKUP($A318,Schedule!$C$2:$G$31,4,0)</f>
        <v>4</v>
      </c>
      <c r="E318" s="42">
        <f t="shared" si="1"/>
        <v>11</v>
      </c>
      <c r="F318" s="6">
        <v>312.0</v>
      </c>
      <c r="G318" s="45">
        <f>IFERROR(__xludf.DUMMYFUNCTION("""COMPUTED_VALUE"""),324.0)</f>
        <v>324</v>
      </c>
      <c r="H318" s="45" t="str">
        <f>IFERROR(__xludf.DUMMYFUNCTION("""COMPUTED_VALUE"""),"Mo Bamba")</f>
        <v>Mo Bamba</v>
      </c>
      <c r="I318" s="45">
        <f>IFERROR(__xludf.DUMMYFUNCTION("""COMPUTED_VALUE"""),50.0)</f>
        <v>50</v>
      </c>
      <c r="J318" s="46" t="str">
        <f>IFERROR(__xludf.DUMMYFUNCTION("""COMPUTED_VALUE"""),"C")</f>
        <v>C</v>
      </c>
      <c r="K318" s="46">
        <f>IFERROR(__xludf.DUMMYFUNCTION("""COMPUTED_VALUE"""),-8.682021881609746)</f>
        <v>-8.682021882</v>
      </c>
      <c r="L318" s="47">
        <f>IFERROR(__xludf.DUMMYFUNCTION("""COMPUTED_VALUE"""),-5.28131647972852)</f>
        <v>-5.28131648</v>
      </c>
      <c r="M318" s="47">
        <f>IFERROR(__xludf.DUMMYFUNCTION("""COMPUTED_VALUE"""),3.4007054018812255)</f>
        <v>3.400705402</v>
      </c>
      <c r="N318" s="47">
        <f>IFERROR(__xludf.DUMMYFUNCTION("""COMPUTED_VALUE"""),4.4)</f>
        <v>4.4</v>
      </c>
      <c r="O318" s="47">
        <f>IFERROR(__xludf.DUMMYFUNCTION("""COMPUTED_VALUE"""),0.6)</f>
        <v>0.6</v>
      </c>
      <c r="P318" s="47">
        <f>IFERROR(__xludf.DUMMYFUNCTION("""COMPUTED_VALUE"""),3.2)</f>
        <v>3.2</v>
      </c>
      <c r="Q318" s="48">
        <f>IFERROR(__xludf.DUMMYFUNCTION("""COMPUTED_VALUE"""),0.5)</f>
        <v>0.5</v>
      </c>
      <c r="R318" s="47">
        <f>IFERROR(__xludf.DUMMYFUNCTION("""COMPUTED_VALUE"""),0.2)</f>
        <v>0.2</v>
      </c>
      <c r="S318" s="47">
        <f>IFERROR(__xludf.DUMMYFUNCTION("""COMPUTED_VALUE"""),0.7)</f>
        <v>0.7</v>
      </c>
      <c r="T318" s="47">
        <f>IFERROR(__xludf.DUMMYFUNCTION("""COMPUTED_VALUE"""),48.57142857142857)</f>
        <v>48.57142857</v>
      </c>
      <c r="U318" s="47">
        <f>IFERROR(__xludf.DUMMYFUNCTION("""COMPUTED_VALUE"""),66.66666666666667)</f>
        <v>66.66666667</v>
      </c>
      <c r="V318" s="47">
        <f>IFERROR(__xludf.DUMMYFUNCTION("""COMPUTED_VALUE"""),0.4)</f>
        <v>0.4</v>
      </c>
      <c r="W318" s="46">
        <f>IFERROR(__xludf.DUMMYFUNCTION("""COMPUTED_VALUE"""),-2.1666874530960616)</f>
        <v>-2.166687453</v>
      </c>
      <c r="X318" s="46">
        <f>IFERROR(__xludf.DUMMYFUNCTION("""COMPUTED_VALUE"""),-0.9058605394432663)</f>
        <v>-0.9058605394</v>
      </c>
      <c r="Y318" s="46">
        <f>IFERROR(__xludf.DUMMYFUNCTION("""COMPUTED_VALUE"""),-1.2106943418965999)</f>
        <v>-1.210694342</v>
      </c>
      <c r="Z318" s="46">
        <f>IFERROR(__xludf.DUMMYFUNCTION("""COMPUTED_VALUE"""),-1.7055222795050142)</f>
        <v>-1.70552228</v>
      </c>
      <c r="AA318" s="46">
        <f>IFERROR(__xludf.DUMMYFUNCTION("""COMPUTED_VALUE"""),-1.732769878353462)</f>
        <v>-1.732769878</v>
      </c>
      <c r="AB318" s="46">
        <f>IFERROR(__xludf.DUMMYFUNCTION("""COMPUTED_VALUE"""),-0.0017508778622903794)</f>
        <v>-0.001750877862</v>
      </c>
      <c r="AC318" s="46">
        <f>IFERROR(__xludf.DUMMYFUNCTION("""COMPUTED_VALUE"""),-0.035904703232549115)</f>
        <v>-0.03590470323</v>
      </c>
      <c r="AD318" s="46">
        <f>IFERROR(__xludf.DUMMYFUNCTION("""COMPUTED_VALUE"""),-0.18389813382223172)</f>
        <v>-0.1838981338</v>
      </c>
      <c r="AE318" s="46">
        <f>IFERROR(__xludf.DUMMYFUNCTION("""COMPUTED_VALUE"""),0.4950842743868928)</f>
        <v>0.4950842744</v>
      </c>
    </row>
    <row r="319">
      <c r="A319" s="6" t="str">
        <f>IF(VLOOKUP(H319,'Paste #BBall'!$B$2:$N1001,3,)="BRO","BKN",IF(VLOOKUP(H319,'Paste #BBall'!$B$2:$N1001,3,)="OKL","OKC",VLOOKUP(H319,'Paste #BBall'!$B$2:$N1001,3,)))</f>
        <v>WAS</v>
      </c>
      <c r="B319" s="42">
        <f>VLOOKUP($A319,Schedule!$C$2:$G$31,2,0)</f>
        <v>4</v>
      </c>
      <c r="C319" s="42">
        <f>VLOOKUP($A319,Schedule!$C$2:$G$31,3,0)</f>
        <v>4</v>
      </c>
      <c r="D319" s="42">
        <f>VLOOKUP($A319,Schedule!$C$2:$G$31,4,0)</f>
        <v>3</v>
      </c>
      <c r="E319" s="42">
        <f t="shared" si="1"/>
        <v>11</v>
      </c>
      <c r="F319" s="6">
        <v>313.0</v>
      </c>
      <c r="G319" s="45">
        <f>IFERROR(__xludf.DUMMYFUNCTION("""COMPUTED_VALUE"""),293.0)</f>
        <v>293</v>
      </c>
      <c r="H319" s="45" t="str">
        <f>IFERROR(__xludf.DUMMYFUNCTION("""COMPUTED_VALUE"""),"Johnny Davis")</f>
        <v>Johnny Davis</v>
      </c>
      <c r="I319" s="45">
        <f>IFERROR(__xludf.DUMMYFUNCTION("""COMPUTED_VALUE"""),63.0)</f>
        <v>63</v>
      </c>
      <c r="J319" s="46" t="str">
        <f>IFERROR(__xludf.DUMMYFUNCTION("""COMPUTED_VALUE"""),"SG,SF")</f>
        <v>SG,SF</v>
      </c>
      <c r="K319" s="46">
        <f>IFERROR(__xludf.DUMMYFUNCTION("""COMPUTED_VALUE"""),-7.929328882408706)</f>
        <v>-7.929328882</v>
      </c>
      <c r="L319" s="47">
        <f>IFERROR(__xludf.DUMMYFUNCTION("""COMPUTED_VALUE"""),-5.289971899406874)</f>
        <v>-5.289971899</v>
      </c>
      <c r="M319" s="47">
        <f>IFERROR(__xludf.DUMMYFUNCTION("""COMPUTED_VALUE"""),2.639356983001832)</f>
        <v>2.639356983</v>
      </c>
      <c r="N319" s="47">
        <f>IFERROR(__xludf.DUMMYFUNCTION("""COMPUTED_VALUE"""),8.2)</f>
        <v>8.2</v>
      </c>
      <c r="O319" s="47">
        <f>IFERROR(__xludf.DUMMYFUNCTION("""COMPUTED_VALUE"""),1.0)</f>
        <v>1</v>
      </c>
      <c r="P319" s="47">
        <f>IFERROR(__xludf.DUMMYFUNCTION("""COMPUTED_VALUE"""),3.0)</f>
        <v>3</v>
      </c>
      <c r="Q319" s="48">
        <f>IFERROR(__xludf.DUMMYFUNCTION("""COMPUTED_VALUE"""),1.3)</f>
        <v>1.3</v>
      </c>
      <c r="R319" s="47">
        <f>IFERROR(__xludf.DUMMYFUNCTION("""COMPUTED_VALUE"""),0.5)</f>
        <v>0.5</v>
      </c>
      <c r="S319" s="47">
        <f>IFERROR(__xludf.DUMMYFUNCTION("""COMPUTED_VALUE"""),0.4)</f>
        <v>0.4</v>
      </c>
      <c r="T319" s="47">
        <f>IFERROR(__xludf.DUMMYFUNCTION("""COMPUTED_VALUE"""),41.02564102564103)</f>
        <v>41.02564103</v>
      </c>
      <c r="U319" s="47">
        <f>IFERROR(__xludf.DUMMYFUNCTION("""COMPUTED_VALUE"""),66.66666666666667)</f>
        <v>66.66666667</v>
      </c>
      <c r="V319" s="47">
        <f>IFERROR(__xludf.DUMMYFUNCTION("""COMPUTED_VALUE"""),0.8)</f>
        <v>0.8</v>
      </c>
      <c r="W319" s="46">
        <f>IFERROR(__xludf.DUMMYFUNCTION("""COMPUTED_VALUE"""),-1.5262872206538762)</f>
        <v>-1.526287221</v>
      </c>
      <c r="X319" s="46">
        <f>IFERROR(__xludf.DUMMYFUNCTION("""COMPUTED_VALUE"""),-0.5590090246596284)</f>
        <v>-0.5590090247</v>
      </c>
      <c r="Y319" s="46">
        <f>IFERROR(__xludf.DUMMYFUNCTION("""COMPUTED_VALUE"""),-1.2943250816085456)</f>
        <v>-1.294325082</v>
      </c>
      <c r="Z319" s="46">
        <f>IFERROR(__xludf.DUMMYFUNCTION("""COMPUTED_VALUE"""),-1.2975025954129054)</f>
        <v>-1.297502595</v>
      </c>
      <c r="AA319" s="46">
        <f>IFERROR(__xludf.DUMMYFUNCTION("""COMPUTED_VALUE"""),-1.0786201759549239)</f>
        <v>-1.078620176</v>
      </c>
      <c r="AB319" s="46">
        <f>IFERROR(__xludf.DUMMYFUNCTION("""COMPUTED_VALUE"""),-0.39569839687757064)</f>
        <v>-0.3956983969</v>
      </c>
      <c r="AC319" s="46">
        <f>IFERROR(__xludf.DUMMYFUNCTION("""COMPUTED_VALUE"""),-0.6679196129768109)</f>
        <v>-0.667919613</v>
      </c>
      <c r="AD319" s="46">
        <f>IFERROR(__xludf.DUMMYFUNCTION("""COMPUTED_VALUE"""),-0.36779626764446344)</f>
        <v>-0.3677962676</v>
      </c>
      <c r="AE319" s="46">
        <f>IFERROR(__xludf.DUMMYFUNCTION("""COMPUTED_VALUE"""),0.37089925572797316)</f>
        <v>0.3708992557</v>
      </c>
    </row>
    <row r="320">
      <c r="A320" s="6" t="str">
        <f>IF(VLOOKUP(H320,'Paste #BBall'!$B$2:$N1001,3,)="BRO","BKN",IF(VLOOKUP(H320,'Paste #BBall'!$B$2:$N1001,3,)="OKL","OKC",VLOOKUP(H320,'Paste #BBall'!$B$2:$N1001,3,)))</f>
        <v>BKN</v>
      </c>
      <c r="B320" s="42">
        <f>VLOOKUP($A320,Schedule!$C$2:$G$31,2,0)</f>
        <v>5</v>
      </c>
      <c r="C320" s="42">
        <f>VLOOKUP($A320,Schedule!$C$2:$G$31,3,0)</f>
        <v>3</v>
      </c>
      <c r="D320" s="42">
        <f>VLOOKUP($A320,Schedule!$C$2:$G$31,4,0)</f>
        <v>3</v>
      </c>
      <c r="E320" s="42">
        <f t="shared" si="1"/>
        <v>11</v>
      </c>
      <c r="F320" s="6">
        <v>314.0</v>
      </c>
      <c r="G320" s="45">
        <f>IFERROR(__xludf.DUMMYFUNCTION("""COMPUTED_VALUE"""),319.0)</f>
        <v>319</v>
      </c>
      <c r="H320" s="45" t="str">
        <f>IFERROR(__xludf.DUMMYFUNCTION("""COMPUTED_VALUE"""),"Day'Ron Sharpe")</f>
        <v>Day'Ron Sharpe</v>
      </c>
      <c r="I320" s="45">
        <f>IFERROR(__xludf.DUMMYFUNCTION("""COMPUTED_VALUE"""),50.0)</f>
        <v>50</v>
      </c>
      <c r="J320" s="46" t="str">
        <f>IFERROR(__xludf.DUMMYFUNCTION("""COMPUTED_VALUE"""),"C")</f>
        <v>C</v>
      </c>
      <c r="K320" s="46">
        <f>IFERROR(__xludf.DUMMYFUNCTION("""COMPUTED_VALUE"""),-8.516807447078552)</f>
        <v>-8.516807447</v>
      </c>
      <c r="L320" s="47">
        <f>IFERROR(__xludf.DUMMYFUNCTION("""COMPUTED_VALUE"""),-5.311147308516478)</f>
        <v>-5.311147309</v>
      </c>
      <c r="M320" s="47">
        <f>IFERROR(__xludf.DUMMYFUNCTION("""COMPUTED_VALUE"""),3.2056601385620738)</f>
        <v>3.205660139</v>
      </c>
      <c r="N320" s="47">
        <f>IFERROR(__xludf.DUMMYFUNCTION("""COMPUTED_VALUE"""),5.2)</f>
        <v>5.2</v>
      </c>
      <c r="O320" s="47">
        <f>IFERROR(__xludf.DUMMYFUNCTION("""COMPUTED_VALUE"""),0.1)</f>
        <v>0.1</v>
      </c>
      <c r="P320" s="47">
        <f>IFERROR(__xludf.DUMMYFUNCTION("""COMPUTED_VALUE"""),4.4)</f>
        <v>4.4</v>
      </c>
      <c r="Q320" s="48">
        <f>IFERROR(__xludf.DUMMYFUNCTION("""COMPUTED_VALUE"""),0.7)</f>
        <v>0.7</v>
      </c>
      <c r="R320" s="47">
        <f>IFERROR(__xludf.DUMMYFUNCTION("""COMPUTED_VALUE"""),0.3)</f>
        <v>0.3</v>
      </c>
      <c r="S320" s="47">
        <f>IFERROR(__xludf.DUMMYFUNCTION("""COMPUTED_VALUE"""),0.6)</f>
        <v>0.6</v>
      </c>
      <c r="T320" s="47">
        <f>IFERROR(__xludf.DUMMYFUNCTION("""COMPUTED_VALUE"""),56.41025641025642)</f>
        <v>56.41025641</v>
      </c>
      <c r="U320" s="47">
        <f>IFERROR(__xludf.DUMMYFUNCTION("""COMPUTED_VALUE"""),58.333333333333336)</f>
        <v>58.33333333</v>
      </c>
      <c r="V320" s="47">
        <f>IFERROR(__xludf.DUMMYFUNCTION("""COMPUTED_VALUE"""),0.9)</f>
        <v>0.9</v>
      </c>
      <c r="W320" s="46">
        <f>IFERROR(__xludf.DUMMYFUNCTION("""COMPUTED_VALUE"""),-2.031866351529286)</f>
        <v>-2.031866352</v>
      </c>
      <c r="X320" s="46">
        <f>IFERROR(__xludf.DUMMYFUNCTION("""COMPUTED_VALUE"""),-1.3394249329228134)</f>
        <v>-1.339424933</v>
      </c>
      <c r="Y320" s="46">
        <f>IFERROR(__xludf.DUMMYFUNCTION("""COMPUTED_VALUE"""),-0.7089099036249258)</f>
        <v>-0.7089099036</v>
      </c>
      <c r="Z320" s="46">
        <f>IFERROR(__xludf.DUMMYFUNCTION("""COMPUTED_VALUE"""),-1.603517358481987)</f>
        <v>-1.603517358</v>
      </c>
      <c r="AA320" s="46">
        <f>IFERROR(__xludf.DUMMYFUNCTION("""COMPUTED_VALUE"""),-1.5147199775539493)</f>
        <v>-1.514719978</v>
      </c>
      <c r="AB320" s="46">
        <f>IFERROR(__xludf.DUMMYFUNCTION("""COMPUTED_VALUE"""),-0.13306671753405044)</f>
        <v>-0.1330667175</v>
      </c>
      <c r="AC320" s="46">
        <f>IFERROR(__xludf.DUMMYFUNCTION("""COMPUTED_VALUE"""),0.265359211047019)</f>
        <v>0.265359211</v>
      </c>
      <c r="AD320" s="46">
        <f>IFERROR(__xludf.DUMMYFUNCTION("""COMPUTED_VALUE"""),-0.6167206305090159)</f>
        <v>-0.6167206305</v>
      </c>
      <c r="AE320" s="46">
        <f>IFERROR(__xludf.DUMMYFUNCTION("""COMPUTED_VALUE"""),0.33985300106324323)</f>
        <v>0.3398530011</v>
      </c>
    </row>
    <row r="321">
      <c r="A321" s="6" t="str">
        <f>IF(VLOOKUP(H321,'Paste #BBall'!$B$2:$N1001,3,)="BRO","BKN",IF(VLOOKUP(H321,'Paste #BBall'!$B$2:$N1001,3,)="OKL","OKC",VLOOKUP(H321,'Paste #BBall'!$B$2:$N1001,3,)))</f>
        <v>MEM</v>
      </c>
      <c r="B321" s="42">
        <f>VLOOKUP($A321,Schedule!$C$2:$G$31,2,0)</f>
        <v>4</v>
      </c>
      <c r="C321" s="42">
        <f>VLOOKUP($A321,Schedule!$C$2:$G$31,3,0)</f>
        <v>3</v>
      </c>
      <c r="D321" s="42">
        <f>VLOOKUP($A321,Schedule!$C$2:$G$31,4,0)</f>
        <v>3</v>
      </c>
      <c r="E321" s="42">
        <f t="shared" si="1"/>
        <v>10</v>
      </c>
      <c r="F321" s="6">
        <v>315.0</v>
      </c>
      <c r="G321" s="45">
        <f>IFERROR(__xludf.DUMMYFUNCTION("""COMPUTED_VALUE"""),301.0)</f>
        <v>301</v>
      </c>
      <c r="H321" s="45" t="str">
        <f>IFERROR(__xludf.DUMMYFUNCTION("""COMPUTED_VALUE"""),"Ziaire Williams")</f>
        <v>Ziaire Williams</v>
      </c>
      <c r="I321" s="45">
        <f>IFERROR(__xludf.DUMMYFUNCTION("""COMPUTED_VALUE"""),60.0)</f>
        <v>60</v>
      </c>
      <c r="J321" s="46" t="str">
        <f>IFERROR(__xludf.DUMMYFUNCTION("""COMPUTED_VALUE"""),"SF")</f>
        <v>SF</v>
      </c>
      <c r="K321" s="46">
        <f>IFERROR(__xludf.DUMMYFUNCTION("""COMPUTED_VALUE"""),-8.048247478893868)</f>
        <v>-8.048247479</v>
      </c>
      <c r="L321" s="47">
        <f>IFERROR(__xludf.DUMMYFUNCTION("""COMPUTED_VALUE"""),-5.317578962941259)</f>
        <v>-5.317578963</v>
      </c>
      <c r="M321" s="47">
        <f>IFERROR(__xludf.DUMMYFUNCTION("""COMPUTED_VALUE"""),2.730668515952609)</f>
        <v>2.730668516</v>
      </c>
      <c r="N321" s="47">
        <f>IFERROR(__xludf.DUMMYFUNCTION("""COMPUTED_VALUE"""),7.6)</f>
        <v>7.6</v>
      </c>
      <c r="O321" s="47">
        <f>IFERROR(__xludf.DUMMYFUNCTION("""COMPUTED_VALUE"""),1.1)</f>
        <v>1.1</v>
      </c>
      <c r="P321" s="47">
        <f>IFERROR(__xludf.DUMMYFUNCTION("""COMPUTED_VALUE"""),2.2)</f>
        <v>2.2</v>
      </c>
      <c r="Q321" s="48">
        <f>IFERROR(__xludf.DUMMYFUNCTION("""COMPUTED_VALUE"""),1.1)</f>
        <v>1.1</v>
      </c>
      <c r="R321" s="47">
        <f>IFERROR(__xludf.DUMMYFUNCTION("""COMPUTED_VALUE"""),0.5)</f>
        <v>0.5</v>
      </c>
      <c r="S321" s="47">
        <f>IFERROR(__xludf.DUMMYFUNCTION("""COMPUTED_VALUE"""),0.2)</f>
        <v>0.2</v>
      </c>
      <c r="T321" s="47">
        <f>IFERROR(__xludf.DUMMYFUNCTION("""COMPUTED_VALUE"""),43.93939393939394)</f>
        <v>43.93939394</v>
      </c>
      <c r="U321" s="47">
        <f>IFERROR(__xludf.DUMMYFUNCTION("""COMPUTED_VALUE"""),74.99999999999999)</f>
        <v>75</v>
      </c>
      <c r="V321" s="47">
        <f>IFERROR(__xludf.DUMMYFUNCTION("""COMPUTED_VALUE"""),0.8)</f>
        <v>0.8</v>
      </c>
      <c r="W321" s="46">
        <f>IFERROR(__xludf.DUMMYFUNCTION("""COMPUTED_VALUE"""),-1.627403046828958)</f>
        <v>-1.627403047</v>
      </c>
      <c r="X321" s="46">
        <f>IFERROR(__xludf.DUMMYFUNCTION("""COMPUTED_VALUE"""),-0.472296145963719)</f>
        <v>-0.472296146</v>
      </c>
      <c r="Y321" s="46">
        <f>IFERROR(__xludf.DUMMYFUNCTION("""COMPUTED_VALUE"""),-1.6288480404563284)</f>
        <v>-1.62884804</v>
      </c>
      <c r="Z321" s="46">
        <f>IFERROR(__xludf.DUMMYFUNCTION("""COMPUTED_VALUE"""),-1.3995075164359327)</f>
        <v>-1.399507516</v>
      </c>
      <c r="AA321" s="46">
        <f>IFERROR(__xludf.DUMMYFUNCTION("""COMPUTED_VALUE"""),-1.0786201759549239)</f>
        <v>-1.078620176</v>
      </c>
      <c r="AB321" s="46">
        <f>IFERROR(__xludf.DUMMYFUNCTION("""COMPUTED_VALUE"""),-0.6583300762210907)</f>
        <v>-0.6583300762</v>
      </c>
      <c r="AC321" s="46">
        <f>IFERROR(__xludf.DUMMYFUNCTION("""COMPUTED_VALUE"""),-0.37307332074466587)</f>
        <v>-0.3730733207</v>
      </c>
      <c r="AD321" s="46">
        <f>IFERROR(__xludf.DUMMYFUNCTION("""COMPUTED_VALUE"""),-0.07924793651994107)</f>
        <v>-0.07924793652</v>
      </c>
      <c r="AE321" s="46">
        <f>IFERROR(__xludf.DUMMYFUNCTION("""COMPUTED_VALUE"""),0.37089925572797316)</f>
        <v>0.3708992557</v>
      </c>
    </row>
    <row r="322">
      <c r="A322" s="6" t="str">
        <f>IF(VLOOKUP(H322,'Paste #BBall'!$B$2:$N1001,3,)="BRO","BKN",IF(VLOOKUP(H322,'Paste #BBall'!$B$2:$N1001,3,)="OKL","OKC",VLOOKUP(H322,'Paste #BBall'!$B$2:$N1001,3,)))</f>
        <v>TOR</v>
      </c>
      <c r="B322" s="42">
        <f>VLOOKUP($A322,Schedule!$C$2:$G$31,2,0)</f>
        <v>3</v>
      </c>
      <c r="C322" s="42">
        <f>VLOOKUP($A322,Schedule!$C$2:$G$31,3,0)</f>
        <v>4</v>
      </c>
      <c r="D322" s="42">
        <f>VLOOKUP($A322,Schedule!$C$2:$G$31,4,0)</f>
        <v>3</v>
      </c>
      <c r="E322" s="42">
        <f t="shared" si="1"/>
        <v>10</v>
      </c>
      <c r="F322" s="6">
        <v>316.0</v>
      </c>
      <c r="G322" s="45">
        <f>IFERROR(__xludf.DUMMYFUNCTION("""COMPUTED_VALUE"""),307.0)</f>
        <v>307</v>
      </c>
      <c r="H322" s="45" t="str">
        <f>IFERROR(__xludf.DUMMYFUNCTION("""COMPUTED_VALUE"""),"Precious Achiuwa")</f>
        <v>Precious Achiuwa</v>
      </c>
      <c r="I322" s="45">
        <f>IFERROR(__xludf.DUMMYFUNCTION("""COMPUTED_VALUE"""),64.0)</f>
        <v>64</v>
      </c>
      <c r="J322" s="46" t="str">
        <f>IFERROR(__xludf.DUMMYFUNCTION("""COMPUTED_VALUE"""),"PF,C")</f>
        <v>PF,C</v>
      </c>
      <c r="K322" s="46">
        <f>IFERROR(__xludf.DUMMYFUNCTION("""COMPUTED_VALUE"""),-8.333443074611132)</f>
        <v>-8.333443075</v>
      </c>
      <c r="L322" s="47">
        <f>IFERROR(__xludf.DUMMYFUNCTION("""COMPUTED_VALUE"""),-5.3235784402633595)</f>
        <v>-5.32357844</v>
      </c>
      <c r="M322" s="47">
        <f>IFERROR(__xludf.DUMMYFUNCTION("""COMPUTED_VALUE"""),3.009864634347773)</f>
        <v>3.009864634</v>
      </c>
      <c r="N322" s="47">
        <f>IFERROR(__xludf.DUMMYFUNCTION("""COMPUTED_VALUE"""),6.6)</f>
        <v>6.6</v>
      </c>
      <c r="O322" s="47">
        <f>IFERROR(__xludf.DUMMYFUNCTION("""COMPUTED_VALUE"""),0.5)</f>
        <v>0.5</v>
      </c>
      <c r="P322" s="47">
        <f>IFERROR(__xludf.DUMMYFUNCTION("""COMPUTED_VALUE"""),4.5)</f>
        <v>4.5</v>
      </c>
      <c r="Q322" s="48">
        <f>IFERROR(__xludf.DUMMYFUNCTION("""COMPUTED_VALUE"""),0.7)</f>
        <v>0.7</v>
      </c>
      <c r="R322" s="47">
        <f>IFERROR(__xludf.DUMMYFUNCTION("""COMPUTED_VALUE"""),0.4)</f>
        <v>0.4</v>
      </c>
      <c r="S322" s="47">
        <f>IFERROR(__xludf.DUMMYFUNCTION("""COMPUTED_VALUE"""),0.4)</f>
        <v>0.4</v>
      </c>
      <c r="T322" s="47">
        <f>IFERROR(__xludf.DUMMYFUNCTION("""COMPUTED_VALUE"""),45.614035087719294)</f>
        <v>45.61403509</v>
      </c>
      <c r="U322" s="47">
        <f>IFERROR(__xludf.DUMMYFUNCTION("""COMPUTED_VALUE"""),64.28571428571429)</f>
        <v>64.28571429</v>
      </c>
      <c r="V322" s="47">
        <f>IFERROR(__xludf.DUMMYFUNCTION("""COMPUTED_VALUE"""),0.8)</f>
        <v>0.8</v>
      </c>
      <c r="W322" s="46">
        <f>IFERROR(__xludf.DUMMYFUNCTION("""COMPUTED_VALUE"""),-1.795929423787428)</f>
        <v>-1.795929424</v>
      </c>
      <c r="X322" s="46">
        <f>IFERROR(__xludf.DUMMYFUNCTION("""COMPUTED_VALUE"""),-0.9925734181391757)</f>
        <v>-0.9925734181</v>
      </c>
      <c r="Y322" s="46">
        <f>IFERROR(__xludf.DUMMYFUNCTION("""COMPUTED_VALUE"""),-0.6670945337689531)</f>
        <v>-0.6670945338</v>
      </c>
      <c r="Z322" s="46">
        <f>IFERROR(__xludf.DUMMYFUNCTION("""COMPUTED_VALUE"""),-1.603517358481987)</f>
        <v>-1.603517358</v>
      </c>
      <c r="AA322" s="46">
        <f>IFERROR(__xludf.DUMMYFUNCTION("""COMPUTED_VALUE"""),-1.2966700767544366)</f>
        <v>-1.296670077</v>
      </c>
      <c r="AB322" s="46">
        <f>IFERROR(__xludf.DUMMYFUNCTION("""COMPUTED_VALUE"""),-0.39569839687757064)</f>
        <v>-0.3956983969</v>
      </c>
      <c r="AC322" s="46">
        <f>IFERROR(__xludf.DUMMYFUNCTION("""COMPUTED_VALUE"""),-0.22685347876248496)</f>
        <v>-0.2268534788</v>
      </c>
      <c r="AD322" s="46">
        <f>IFERROR(__xludf.DUMMYFUNCTION("""COMPUTED_VALUE"""),-0.5120704332067249)</f>
        <v>-0.5120704332</v>
      </c>
      <c r="AE322" s="46">
        <f>IFERROR(__xludf.DUMMYFUNCTION("""COMPUTED_VALUE"""),0.37089925572797316)</f>
        <v>0.3708992557</v>
      </c>
    </row>
    <row r="323">
      <c r="A323" s="6" t="str">
        <f>IF(VLOOKUP(H323,'Paste #BBall'!$B$2:$N1001,3,)="BRO","BKN",IF(VLOOKUP(H323,'Paste #BBall'!$B$2:$N1001,3,)="OKL","OKC",VLOOKUP(H323,'Paste #BBall'!$B$2:$N1001,3,)))</f>
        <v>HOU</v>
      </c>
      <c r="B323" s="42">
        <f>VLOOKUP($A323,Schedule!$C$2:$G$31,2,0)</f>
        <v>4</v>
      </c>
      <c r="C323" s="42">
        <f>VLOOKUP($A323,Schedule!$C$2:$G$31,3,0)</f>
        <v>3</v>
      </c>
      <c r="D323" s="42">
        <f>VLOOKUP($A323,Schedule!$C$2:$G$31,4,0)</f>
        <v>3</v>
      </c>
      <c r="E323" s="42">
        <f t="shared" si="1"/>
        <v>10</v>
      </c>
      <c r="F323" s="6">
        <v>317.0</v>
      </c>
      <c r="G323" s="45">
        <f>IFERROR(__xludf.DUMMYFUNCTION("""COMPUTED_VALUE"""),317.0)</f>
        <v>317</v>
      </c>
      <c r="H323" s="45" t="str">
        <f>IFERROR(__xludf.DUMMYFUNCTION("""COMPUTED_VALUE"""),"Jock Landale")</f>
        <v>Jock Landale</v>
      </c>
      <c r="I323" s="45">
        <f>IFERROR(__xludf.DUMMYFUNCTION("""COMPUTED_VALUE"""),68.0)</f>
        <v>68</v>
      </c>
      <c r="J323" s="46" t="str">
        <f>IFERROR(__xludf.DUMMYFUNCTION("""COMPUTED_VALUE"""),"C")</f>
        <v>C</v>
      </c>
      <c r="K323" s="46">
        <f>IFERROR(__xludf.DUMMYFUNCTION("""COMPUTED_VALUE"""),-8.472038832474938)</f>
        <v>-8.472038832</v>
      </c>
      <c r="L323" s="47">
        <f>IFERROR(__xludf.DUMMYFUNCTION("""COMPUTED_VALUE"""),-5.328549945661478)</f>
        <v>-5.328549946</v>
      </c>
      <c r="M323" s="47">
        <f>IFERROR(__xludf.DUMMYFUNCTION("""COMPUTED_VALUE"""),3.1434888868134605)</f>
        <v>3.143488887</v>
      </c>
      <c r="N323" s="47">
        <f>IFERROR(__xludf.DUMMYFUNCTION("""COMPUTED_VALUE"""),6.2)</f>
        <v>6.2</v>
      </c>
      <c r="O323" s="47">
        <f>IFERROR(__xludf.DUMMYFUNCTION("""COMPUTED_VALUE"""),0.4)</f>
        <v>0.4</v>
      </c>
      <c r="P323" s="47">
        <f>IFERROR(__xludf.DUMMYFUNCTION("""COMPUTED_VALUE"""),3.6)</f>
        <v>3.6</v>
      </c>
      <c r="Q323" s="48">
        <f>IFERROR(__xludf.DUMMYFUNCTION("""COMPUTED_VALUE"""),1.0)</f>
        <v>1</v>
      </c>
      <c r="R323" s="47">
        <f>IFERROR(__xludf.DUMMYFUNCTION("""COMPUTED_VALUE"""),0.2)</f>
        <v>0.2</v>
      </c>
      <c r="S323" s="47">
        <f>IFERROR(__xludf.DUMMYFUNCTION("""COMPUTED_VALUE"""),0.4)</f>
        <v>0.4</v>
      </c>
      <c r="T323" s="47">
        <f>IFERROR(__xludf.DUMMYFUNCTION("""COMPUTED_VALUE"""),51.06382978723404)</f>
        <v>51.06382979</v>
      </c>
      <c r="U323" s="47">
        <f>IFERROR(__xludf.DUMMYFUNCTION("""COMPUTED_VALUE"""),76.92307692307692)</f>
        <v>76.92307692</v>
      </c>
      <c r="V323" s="47">
        <f>IFERROR(__xludf.DUMMYFUNCTION("""COMPUTED_VALUE"""),0.8)</f>
        <v>0.8</v>
      </c>
      <c r="W323" s="46">
        <f>IFERROR(__xludf.DUMMYFUNCTION("""COMPUTED_VALUE"""),-1.863339974570816)</f>
        <v>-1.863339975</v>
      </c>
      <c r="X323" s="46">
        <f>IFERROR(__xludf.DUMMYFUNCTION("""COMPUTED_VALUE"""),-1.079286296835085)</f>
        <v>-1.079286297</v>
      </c>
      <c r="Y323" s="46">
        <f>IFERROR(__xludf.DUMMYFUNCTION("""COMPUTED_VALUE"""),-1.0434328624727087)</f>
        <v>-1.043432862</v>
      </c>
      <c r="Z323" s="46">
        <f>IFERROR(__xludf.DUMMYFUNCTION("""COMPUTED_VALUE"""),-1.4505099769474463)</f>
        <v>-1.450509977</v>
      </c>
      <c r="AA323" s="46">
        <f>IFERROR(__xludf.DUMMYFUNCTION("""COMPUTED_VALUE"""),-1.732769878353462)</f>
        <v>-1.732769878</v>
      </c>
      <c r="AB323" s="46">
        <f>IFERROR(__xludf.DUMMYFUNCTION("""COMPUTED_VALUE"""),-0.39569839687757064)</f>
        <v>-0.3956983969</v>
      </c>
      <c r="AC323" s="46">
        <f>IFERROR(__xludf.DUMMYFUNCTION("""COMPUTED_VALUE"""),0.06879501622558813)</f>
        <v>0.06879501623</v>
      </c>
      <c r="AD323" s="46">
        <f>IFERROR(__xludf.DUMMYFUNCTION("""COMPUTED_VALUE"""),-0.066546806128766)</f>
        <v>-0.06654680613</v>
      </c>
      <c r="AE323" s="46">
        <f>IFERROR(__xludf.DUMMYFUNCTION("""COMPUTED_VALUE"""),0.37089925572797316)</f>
        <v>0.3708992557</v>
      </c>
    </row>
    <row r="324">
      <c r="A324" s="6" t="str">
        <f>IF(VLOOKUP(H324,'Paste #BBall'!$B$2:$N1001,3,)="BRO","BKN",IF(VLOOKUP(H324,'Paste #BBall'!$B$2:$N1001,3,)="OKL","OKC",VLOOKUP(H324,'Paste #BBall'!$B$2:$N1001,3,)))</f>
        <v>IND</v>
      </c>
      <c r="B324" s="42">
        <f>VLOOKUP($A324,Schedule!$C$2:$G$31,2,0)</f>
        <v>3</v>
      </c>
      <c r="C324" s="42">
        <f>VLOOKUP($A324,Schedule!$C$2:$G$31,3,0)</f>
        <v>3</v>
      </c>
      <c r="D324" s="42">
        <f>VLOOKUP($A324,Schedule!$C$2:$G$31,4,0)</f>
        <v>4</v>
      </c>
      <c r="E324" s="42">
        <f t="shared" si="1"/>
        <v>10</v>
      </c>
      <c r="F324" s="6">
        <v>318.0</v>
      </c>
      <c r="G324" s="45">
        <f>IFERROR(__xludf.DUMMYFUNCTION("""COMPUTED_VALUE"""),315.0)</f>
        <v>315</v>
      </c>
      <c r="H324" s="45" t="str">
        <f>IFERROR(__xludf.DUMMYFUNCTION("""COMPUTED_VALUE"""),"Jalen Smith")</f>
        <v>Jalen Smith</v>
      </c>
      <c r="I324" s="45">
        <f>IFERROR(__xludf.DUMMYFUNCTION("""COMPUTED_VALUE"""),44.0)</f>
        <v>44</v>
      </c>
      <c r="J324" s="46" t="str">
        <f>IFERROR(__xludf.DUMMYFUNCTION("""COMPUTED_VALUE"""),"PF,C")</f>
        <v>PF,C</v>
      </c>
      <c r="K324" s="46">
        <f>IFERROR(__xludf.DUMMYFUNCTION("""COMPUTED_VALUE"""),-8.404061072091867)</f>
        <v>-8.404061072</v>
      </c>
      <c r="L324" s="47">
        <f>IFERROR(__xludf.DUMMYFUNCTION("""COMPUTED_VALUE"""),-5.331593520471046)</f>
        <v>-5.33159352</v>
      </c>
      <c r="M324" s="47">
        <f>IFERROR(__xludf.DUMMYFUNCTION("""COMPUTED_VALUE"""),3.0724675516208215)</f>
        <v>3.072467552</v>
      </c>
      <c r="N324" s="47">
        <f>IFERROR(__xludf.DUMMYFUNCTION("""COMPUTED_VALUE"""),6.3)</f>
        <v>6.3</v>
      </c>
      <c r="O324" s="47">
        <f>IFERROR(__xludf.DUMMYFUNCTION("""COMPUTED_VALUE"""),0.5)</f>
        <v>0.5</v>
      </c>
      <c r="P324" s="47">
        <f>IFERROR(__xludf.DUMMYFUNCTION("""COMPUTED_VALUE"""),4.0)</f>
        <v>4</v>
      </c>
      <c r="Q324" s="48">
        <f>IFERROR(__xludf.DUMMYFUNCTION("""COMPUTED_VALUE"""),0.5)</f>
        <v>0.5</v>
      </c>
      <c r="R324" s="47">
        <f>IFERROR(__xludf.DUMMYFUNCTION("""COMPUTED_VALUE"""),0.2)</f>
        <v>0.2</v>
      </c>
      <c r="S324" s="47">
        <f>IFERROR(__xludf.DUMMYFUNCTION("""COMPUTED_VALUE"""),0.6)</f>
        <v>0.6</v>
      </c>
      <c r="T324" s="47">
        <f>IFERROR(__xludf.DUMMYFUNCTION("""COMPUTED_VALUE"""),48.979591836734684)</f>
        <v>48.97959184</v>
      </c>
      <c r="U324" s="47">
        <f>IFERROR(__xludf.DUMMYFUNCTION("""COMPUTED_VALUE"""),71.42857142857143)</f>
        <v>71.42857143</v>
      </c>
      <c r="V324" s="47">
        <f>IFERROR(__xludf.DUMMYFUNCTION("""COMPUTED_VALUE"""),0.7)</f>
        <v>0.7</v>
      </c>
      <c r="W324" s="46">
        <f>IFERROR(__xludf.DUMMYFUNCTION("""COMPUTED_VALUE"""),-1.8464873368749688)</f>
        <v>-1.846487337</v>
      </c>
      <c r="X324" s="46">
        <f>IFERROR(__xludf.DUMMYFUNCTION("""COMPUTED_VALUE"""),-0.9925734181391757)</f>
        <v>-0.9925734181</v>
      </c>
      <c r="Y324" s="46">
        <f>IFERROR(__xludf.DUMMYFUNCTION("""COMPUTED_VALUE"""),-0.8761713830488173)</f>
        <v>-0.876171383</v>
      </c>
      <c r="Z324" s="46">
        <f>IFERROR(__xludf.DUMMYFUNCTION("""COMPUTED_VALUE"""),-1.7055222795050142)</f>
        <v>-1.70552228</v>
      </c>
      <c r="AA324" s="46">
        <f>IFERROR(__xludf.DUMMYFUNCTION("""COMPUTED_VALUE"""),-1.732769878353462)</f>
        <v>-1.732769878</v>
      </c>
      <c r="AB324" s="46">
        <f>IFERROR(__xludf.DUMMYFUNCTION("""COMPUTED_VALUE"""),-0.13306671753405044)</f>
        <v>-0.1330667175</v>
      </c>
      <c r="AC324" s="46">
        <f>IFERROR(__xludf.DUMMYFUNCTION("""COMPUTED_VALUE"""),-0.030289283941054918)</f>
        <v>-0.03028928394</v>
      </c>
      <c r="AD324" s="46">
        <f>IFERROR(__xludf.DUMMYFUNCTION("""COMPUTED_VALUE"""),-0.26314607034217263)</f>
        <v>-0.2631460703</v>
      </c>
      <c r="AE324" s="46">
        <f>IFERROR(__xludf.DUMMYFUNCTION("""COMPUTED_VALUE"""),0.4019455103927031)</f>
        <v>0.4019455104</v>
      </c>
    </row>
    <row r="325">
      <c r="A325" s="6" t="str">
        <f>IF(VLOOKUP(H325,'Paste #BBall'!$B$2:$N1001,3,)="BRO","BKN",IF(VLOOKUP(H325,'Paste #BBall'!$B$2:$N1001,3,)="OKL","OKC",VLOOKUP(H325,'Paste #BBall'!$B$2:$N1001,3,)))</f>
        <v>MIN</v>
      </c>
      <c r="B325" s="42">
        <f>VLOOKUP($A325,Schedule!$C$2:$G$31,2,0)</f>
        <v>4</v>
      </c>
      <c r="C325" s="42">
        <f>VLOOKUP($A325,Schedule!$C$2:$G$31,3,0)</f>
        <v>2</v>
      </c>
      <c r="D325" s="42">
        <f>VLOOKUP($A325,Schedule!$C$2:$G$31,4,0)</f>
        <v>4</v>
      </c>
      <c r="E325" s="42">
        <f t="shared" si="1"/>
        <v>10</v>
      </c>
      <c r="F325" s="6">
        <v>319.0</v>
      </c>
      <c r="G325" s="45">
        <f>IFERROR(__xludf.DUMMYFUNCTION("""COMPUTED_VALUE"""),320.0)</f>
        <v>320</v>
      </c>
      <c r="H325" s="45" t="str">
        <f>IFERROR(__xludf.DUMMYFUNCTION("""COMPUTED_VALUE"""),"Josh Minott")</f>
        <v>Josh Minott</v>
      </c>
      <c r="I325" s="45">
        <f>IFERROR(__xludf.DUMMYFUNCTION("""COMPUTED_VALUE"""),22.0)</f>
        <v>22</v>
      </c>
      <c r="J325" s="46" t="str">
        <f>IFERROR(__xludf.DUMMYFUNCTION("""COMPUTED_VALUE"""),"SF,PF")</f>
        <v>SF,PF</v>
      </c>
      <c r="K325" s="46">
        <f>IFERROR(__xludf.DUMMYFUNCTION("""COMPUTED_VALUE"""),-8.565311759571184)</f>
        <v>-8.56531176</v>
      </c>
      <c r="L325" s="47">
        <f>IFERROR(__xludf.DUMMYFUNCTION("""COMPUTED_VALUE"""),-5.34005197716691)</f>
        <v>-5.340051977</v>
      </c>
      <c r="M325" s="47">
        <f>IFERROR(__xludf.DUMMYFUNCTION("""COMPUTED_VALUE"""),3.225259782404274)</f>
        <v>3.225259782</v>
      </c>
      <c r="N325" s="47">
        <f>IFERROR(__xludf.DUMMYFUNCTION("""COMPUTED_VALUE"""),4.8)</f>
        <v>4.8</v>
      </c>
      <c r="O325" s="47">
        <f>IFERROR(__xludf.DUMMYFUNCTION("""COMPUTED_VALUE"""),0.2)</f>
        <v>0.2</v>
      </c>
      <c r="P325" s="47">
        <f>IFERROR(__xludf.DUMMYFUNCTION("""COMPUTED_VALUE"""),2.7)</f>
        <v>2.7</v>
      </c>
      <c r="Q325" s="48">
        <f>IFERROR(__xludf.DUMMYFUNCTION("""COMPUTED_VALUE"""),0.5)</f>
        <v>0.5</v>
      </c>
      <c r="R325" s="47">
        <f>IFERROR(__xludf.DUMMYFUNCTION("""COMPUTED_VALUE"""),0.4)</f>
        <v>0.4</v>
      </c>
      <c r="S325" s="47">
        <f>IFERROR(__xludf.DUMMYFUNCTION("""COMPUTED_VALUE"""),0.6)</f>
        <v>0.6</v>
      </c>
      <c r="T325" s="47">
        <f>IFERROR(__xludf.DUMMYFUNCTION("""COMPUTED_VALUE"""),47.5)</f>
        <v>47.5</v>
      </c>
      <c r="U325" s="47">
        <f>IFERROR(__xludf.DUMMYFUNCTION("""COMPUTED_VALUE"""),80.0)</f>
        <v>80</v>
      </c>
      <c r="V325" s="47">
        <f>IFERROR(__xludf.DUMMYFUNCTION("""COMPUTED_VALUE"""),0.3)</f>
        <v>0.3</v>
      </c>
      <c r="W325" s="46">
        <f>IFERROR(__xludf.DUMMYFUNCTION("""COMPUTED_VALUE"""),-2.0992769023126736)</f>
        <v>-2.099276902</v>
      </c>
      <c r="X325" s="46">
        <f>IFERROR(__xludf.DUMMYFUNCTION("""COMPUTED_VALUE"""),-1.252712054226904)</f>
        <v>-1.252712054</v>
      </c>
      <c r="Y325" s="46">
        <f>IFERROR(__xludf.DUMMYFUNCTION("""COMPUTED_VALUE"""),-1.419771191176464)</f>
        <v>-1.419771191</v>
      </c>
      <c r="Z325" s="46">
        <f>IFERROR(__xludf.DUMMYFUNCTION("""COMPUTED_VALUE"""),-1.7055222795050142)</f>
        <v>-1.70552228</v>
      </c>
      <c r="AA325" s="46">
        <f>IFERROR(__xludf.DUMMYFUNCTION("""COMPUTED_VALUE"""),-1.2966700767544366)</f>
        <v>-1.296670077</v>
      </c>
      <c r="AB325" s="46">
        <f>IFERROR(__xludf.DUMMYFUNCTION("""COMPUTED_VALUE"""),-0.13306671753405044)</f>
        <v>-0.1330667175</v>
      </c>
      <c r="AC325" s="46">
        <f>IFERROR(__xludf.DUMMYFUNCTION("""COMPUTED_VALUE"""),-0.08384244780401508)</f>
        <v>-0.0838424478</v>
      </c>
      <c r="AD325" s="46">
        <f>IFERROR(__xludf.DUMMYFUNCTION("""COMPUTED_VALUE"""),0.02540226078235024)</f>
        <v>0.02540226078</v>
      </c>
      <c r="AE325" s="46">
        <f>IFERROR(__xludf.DUMMYFUNCTION("""COMPUTED_VALUE"""),0.5261305290516227)</f>
        <v>0.5261305291</v>
      </c>
    </row>
    <row r="326">
      <c r="A326" s="6" t="str">
        <f>IF(VLOOKUP(H326,'Paste #BBall'!$B$2:$N1001,3,)="BRO","BKN",IF(VLOOKUP(H326,'Paste #BBall'!$B$2:$N1001,3,)="OKL","OKC",VLOOKUP(H326,'Paste #BBall'!$B$2:$N1001,3,)))</f>
        <v>SAC</v>
      </c>
      <c r="B326" s="42">
        <f>VLOOKUP($A326,Schedule!$C$2:$G$31,2,0)</f>
        <v>4</v>
      </c>
      <c r="C326" s="42">
        <f>VLOOKUP($A326,Schedule!$C$2:$G$31,3,0)</f>
        <v>3</v>
      </c>
      <c r="D326" s="42">
        <f>VLOOKUP($A326,Schedule!$C$2:$G$31,4,0)</f>
        <v>4</v>
      </c>
      <c r="E326" s="42">
        <f t="shared" si="1"/>
        <v>11</v>
      </c>
      <c r="F326" s="6">
        <v>320.0</v>
      </c>
      <c r="G326" s="45">
        <f>IFERROR(__xludf.DUMMYFUNCTION("""COMPUTED_VALUE"""),334.0)</f>
        <v>334</v>
      </c>
      <c r="H326" s="45" t="str">
        <f>IFERROR(__xludf.DUMMYFUNCTION("""COMPUTED_VALUE"""),"Nerlens Noel")</f>
        <v>Nerlens Noel</v>
      </c>
      <c r="I326" s="45">
        <f>IFERROR(__xludf.DUMMYFUNCTION("""COMPUTED_VALUE"""),38.0)</f>
        <v>38</v>
      </c>
      <c r="J326" s="46" t="str">
        <f>IFERROR(__xludf.DUMMYFUNCTION("""COMPUTED_VALUE"""),"C")</f>
        <v>C</v>
      </c>
      <c r="K326" s="46">
        <f>IFERROR(__xludf.DUMMYFUNCTION("""COMPUTED_VALUE"""),-8.91742050039028)</f>
        <v>-8.9174205</v>
      </c>
      <c r="L326" s="47">
        <f>IFERROR(__xludf.DUMMYFUNCTION("""COMPUTED_VALUE"""),-5.351472692493461)</f>
        <v>-5.351472692</v>
      </c>
      <c r="M326" s="47">
        <f>IFERROR(__xludf.DUMMYFUNCTION("""COMPUTED_VALUE"""),3.565947807896819)</f>
        <v>3.565947808</v>
      </c>
      <c r="N326" s="47">
        <f>IFERROR(__xludf.DUMMYFUNCTION("""COMPUTED_VALUE"""),1.7)</f>
        <v>1.7</v>
      </c>
      <c r="O326" s="47">
        <f>IFERROR(__xludf.DUMMYFUNCTION("""COMPUTED_VALUE"""),0.0)</f>
        <v>0</v>
      </c>
      <c r="P326" s="47">
        <f>IFERROR(__xludf.DUMMYFUNCTION("""COMPUTED_VALUE"""),2.6)</f>
        <v>2.6</v>
      </c>
      <c r="Q326" s="48">
        <f>IFERROR(__xludf.DUMMYFUNCTION("""COMPUTED_VALUE"""),0.5)</f>
        <v>0.5</v>
      </c>
      <c r="R326" s="47">
        <f>IFERROR(__xludf.DUMMYFUNCTION("""COMPUTED_VALUE"""),0.6)</f>
        <v>0.6</v>
      </c>
      <c r="S326" s="47">
        <f>IFERROR(__xludf.DUMMYFUNCTION("""COMPUTED_VALUE"""),0.6)</f>
        <v>0.6</v>
      </c>
      <c r="T326" s="47">
        <f>IFERROR(__xludf.DUMMYFUNCTION("""COMPUTED_VALUE"""),46.15384615384615)</f>
        <v>46.15384615</v>
      </c>
      <c r="U326" s="47">
        <f>IFERROR(__xludf.DUMMYFUNCTION("""COMPUTED_VALUE"""),66.66666666666667)</f>
        <v>66.66666667</v>
      </c>
      <c r="V326" s="47">
        <f>IFERROR(__xludf.DUMMYFUNCTION("""COMPUTED_VALUE"""),0.5)</f>
        <v>0.5</v>
      </c>
      <c r="W326" s="46">
        <f>IFERROR(__xludf.DUMMYFUNCTION("""COMPUTED_VALUE"""),-2.6217086708839306)</f>
        <v>-2.621708671</v>
      </c>
      <c r="X326" s="46">
        <f>IFERROR(__xludf.DUMMYFUNCTION("""COMPUTED_VALUE"""),-1.4261378116187227)</f>
        <v>-1.426137812</v>
      </c>
      <c r="Y326" s="46">
        <f>IFERROR(__xludf.DUMMYFUNCTION("""COMPUTED_VALUE"""),-1.461586561032437)</f>
        <v>-1.461586561</v>
      </c>
      <c r="Z326" s="46">
        <f>IFERROR(__xludf.DUMMYFUNCTION("""COMPUTED_VALUE"""),-1.7055222795050142)</f>
        <v>-1.70552228</v>
      </c>
      <c r="AA326" s="46">
        <f>IFERROR(__xludf.DUMMYFUNCTION("""COMPUTED_VALUE"""),-0.860570275155411)</f>
        <v>-0.8605702752</v>
      </c>
      <c r="AB326" s="46">
        <f>IFERROR(__xludf.DUMMYFUNCTION("""COMPUTED_VALUE"""),-0.13306671753405044)</f>
        <v>-0.1330667175</v>
      </c>
      <c r="AC326" s="46">
        <f>IFERROR(__xludf.DUMMYFUNCTION("""COMPUTED_VALUE"""),-0.04472893354775478)</f>
        <v>-0.04472893355</v>
      </c>
      <c r="AD326" s="46">
        <f>IFERROR(__xludf.DUMMYFUNCTION("""COMPUTED_VALUE"""),-0.18389813382223172)</f>
        <v>-0.1838981338</v>
      </c>
      <c r="AE326" s="46">
        <f>IFERROR(__xludf.DUMMYFUNCTION("""COMPUTED_VALUE"""),0.4640380197221629)</f>
        <v>0.4640380197</v>
      </c>
    </row>
    <row r="327">
      <c r="A327" s="6" t="str">
        <f>IF(VLOOKUP(H327,'Paste #BBall'!$B$2:$N1001,3,)="BRO","BKN",IF(VLOOKUP(H327,'Paste #BBall'!$B$2:$N1001,3,)="OKL","OKC",VLOOKUP(H327,'Paste #BBall'!$B$2:$N1001,3,)))</f>
        <v>PHI</v>
      </c>
      <c r="B327" s="42">
        <f>VLOOKUP($A327,Schedule!$C$2:$G$31,2,0)</f>
        <v>4</v>
      </c>
      <c r="C327" s="42">
        <f>VLOOKUP($A327,Schedule!$C$2:$G$31,3,0)</f>
        <v>3</v>
      </c>
      <c r="D327" s="42">
        <f>VLOOKUP($A327,Schedule!$C$2:$G$31,4,0)</f>
        <v>4</v>
      </c>
      <c r="E327" s="42">
        <f t="shared" si="1"/>
        <v>11</v>
      </c>
      <c r="F327" s="6">
        <v>321.0</v>
      </c>
      <c r="G327" s="45">
        <f>IFERROR(__xludf.DUMMYFUNCTION("""COMPUTED_VALUE"""),316.0)</f>
        <v>316</v>
      </c>
      <c r="H327" s="45" t="str">
        <f>IFERROR(__xludf.DUMMYFUNCTION("""COMPUTED_VALUE"""),"Danuel House Jr.")</f>
        <v>Danuel House Jr.</v>
      </c>
      <c r="I327" s="45">
        <f>IFERROR(__xludf.DUMMYFUNCTION("""COMPUTED_VALUE"""),68.0)</f>
        <v>68</v>
      </c>
      <c r="J327" s="46" t="str">
        <f>IFERROR(__xludf.DUMMYFUNCTION("""COMPUTED_VALUE"""),"SF")</f>
        <v>SF</v>
      </c>
      <c r="K327" s="46">
        <f>IFERROR(__xludf.DUMMYFUNCTION("""COMPUTED_VALUE"""),-8.445596165619545)</f>
        <v>-8.445596166</v>
      </c>
      <c r="L327" s="47">
        <f>IFERROR(__xludf.DUMMYFUNCTION("""COMPUTED_VALUE"""),-5.354476907913828)</f>
        <v>-5.354476908</v>
      </c>
      <c r="M327" s="47">
        <f>IFERROR(__xludf.DUMMYFUNCTION("""COMPUTED_VALUE"""),3.091119257705717)</f>
        <v>3.091119258</v>
      </c>
      <c r="N327" s="47">
        <f>IFERROR(__xludf.DUMMYFUNCTION("""COMPUTED_VALUE"""),5.8)</f>
        <v>5.8</v>
      </c>
      <c r="O327" s="47">
        <f>IFERROR(__xludf.DUMMYFUNCTION("""COMPUTED_VALUE"""),0.9)</f>
        <v>0.9</v>
      </c>
      <c r="P327" s="47">
        <f>IFERROR(__xludf.DUMMYFUNCTION("""COMPUTED_VALUE"""),2.3)</f>
        <v>2.3</v>
      </c>
      <c r="Q327" s="48">
        <f>IFERROR(__xludf.DUMMYFUNCTION("""COMPUTED_VALUE"""),1.0)</f>
        <v>1</v>
      </c>
      <c r="R327" s="47">
        <f>IFERROR(__xludf.DUMMYFUNCTION("""COMPUTED_VALUE"""),0.4)</f>
        <v>0.4</v>
      </c>
      <c r="S327" s="47">
        <f>IFERROR(__xludf.DUMMYFUNCTION("""COMPUTED_VALUE"""),0.3)</f>
        <v>0.3</v>
      </c>
      <c r="T327" s="47">
        <f>IFERROR(__xludf.DUMMYFUNCTION("""COMPUTED_VALUE"""),45.238095238095234)</f>
        <v>45.23809524</v>
      </c>
      <c r="U327" s="47">
        <f>IFERROR(__xludf.DUMMYFUNCTION("""COMPUTED_VALUE"""),76.92307692307692)</f>
        <v>76.92307692</v>
      </c>
      <c r="V327" s="47">
        <f>IFERROR(__xludf.DUMMYFUNCTION("""COMPUTED_VALUE"""),0.7)</f>
        <v>0.7</v>
      </c>
      <c r="W327" s="46">
        <f>IFERROR(__xludf.DUMMYFUNCTION("""COMPUTED_VALUE"""),-1.9307505253542037)</f>
        <v>-1.930750525</v>
      </c>
      <c r="X327" s="46">
        <f>IFERROR(__xludf.DUMMYFUNCTION("""COMPUTED_VALUE"""),-0.6457219033555379)</f>
        <v>-0.6457219034</v>
      </c>
      <c r="Y327" s="46">
        <f>IFERROR(__xludf.DUMMYFUNCTION("""COMPUTED_VALUE"""),-1.5870326706003557)</f>
        <v>-1.587032671</v>
      </c>
      <c r="Z327" s="46">
        <f>IFERROR(__xludf.DUMMYFUNCTION("""COMPUTED_VALUE"""),-1.4505099769474463)</f>
        <v>-1.450509977</v>
      </c>
      <c r="AA327" s="46">
        <f>IFERROR(__xludf.DUMMYFUNCTION("""COMPUTED_VALUE"""),-1.2966700767544366)</f>
        <v>-1.296670077</v>
      </c>
      <c r="AB327" s="46">
        <f>IFERROR(__xludf.DUMMYFUNCTION("""COMPUTED_VALUE"""),-0.5270142365493308)</f>
        <v>-0.5270142365</v>
      </c>
      <c r="AC327" s="46">
        <f>IFERROR(__xludf.DUMMYFUNCTION("""COMPUTED_VALUE"""),-0.18292674797065814)</f>
        <v>-0.182926748</v>
      </c>
      <c r="AD327" s="46">
        <f>IFERROR(__xludf.DUMMYFUNCTION("""COMPUTED_VALUE"""),-0.066546806128766)</f>
        <v>-0.06654680613</v>
      </c>
      <c r="AE327" s="46">
        <f>IFERROR(__xludf.DUMMYFUNCTION("""COMPUTED_VALUE"""),0.4019455103927031)</f>
        <v>0.4019455104</v>
      </c>
    </row>
    <row r="328">
      <c r="A328" s="6" t="str">
        <f>IF(VLOOKUP(H328,'Paste #BBall'!$B$2:$N1001,3,)="BRO","BKN",IF(VLOOKUP(H328,'Paste #BBall'!$B$2:$N1001,3,)="OKL","OKC",VLOOKUP(H328,'Paste #BBall'!$B$2:$N1001,3,)))</f>
        <v>DAL</v>
      </c>
      <c r="B328" s="42">
        <f>VLOOKUP($A328,Schedule!$C$2:$G$31,2,0)</f>
        <v>3</v>
      </c>
      <c r="C328" s="42">
        <f>VLOOKUP($A328,Schedule!$C$2:$G$31,3,0)</f>
        <v>4</v>
      </c>
      <c r="D328" s="42">
        <f>VLOOKUP($A328,Schedule!$C$2:$G$31,4,0)</f>
        <v>2</v>
      </c>
      <c r="E328" s="42">
        <f t="shared" si="1"/>
        <v>9</v>
      </c>
      <c r="F328" s="6">
        <v>322.0</v>
      </c>
      <c r="G328" s="45">
        <f>IFERROR(__xludf.DUMMYFUNCTION("""COMPUTED_VALUE"""),322.0)</f>
        <v>322</v>
      </c>
      <c r="H328" s="45" t="str">
        <f>IFERROR(__xludf.DUMMYFUNCTION("""COMPUTED_VALUE"""),"Dwight Powell")</f>
        <v>Dwight Powell</v>
      </c>
      <c r="I328" s="45">
        <f>IFERROR(__xludf.DUMMYFUNCTION("""COMPUTED_VALUE"""),74.0)</f>
        <v>74</v>
      </c>
      <c r="J328" s="46" t="str">
        <f>IFERROR(__xludf.DUMMYFUNCTION("""COMPUTED_VALUE"""),"C")</f>
        <v>C</v>
      </c>
      <c r="K328" s="46">
        <f>IFERROR(__xludf.DUMMYFUNCTION("""COMPUTED_VALUE"""),-8.62245409721713)</f>
        <v>-8.622454097</v>
      </c>
      <c r="L328" s="47">
        <f>IFERROR(__xludf.DUMMYFUNCTION("""COMPUTED_VALUE"""),-5.380231982621903)</f>
        <v>-5.380231983</v>
      </c>
      <c r="M328" s="47">
        <f>IFERROR(__xludf.DUMMYFUNCTION("""COMPUTED_VALUE"""),3.2422221145952266)</f>
        <v>3.242222115</v>
      </c>
      <c r="N328" s="47">
        <f>IFERROR(__xludf.DUMMYFUNCTION("""COMPUTED_VALUE"""),5.4)</f>
        <v>5.4</v>
      </c>
      <c r="O328" s="47">
        <f>IFERROR(__xludf.DUMMYFUNCTION("""COMPUTED_VALUE"""),0.1)</f>
        <v>0.1</v>
      </c>
      <c r="P328" s="47">
        <f>IFERROR(__xludf.DUMMYFUNCTION("""COMPUTED_VALUE"""),3.1)</f>
        <v>3.1</v>
      </c>
      <c r="Q328" s="48">
        <f>IFERROR(__xludf.DUMMYFUNCTION("""COMPUTED_VALUE"""),0.7)</f>
        <v>0.7</v>
      </c>
      <c r="R328" s="47">
        <f>IFERROR(__xludf.DUMMYFUNCTION("""COMPUTED_VALUE"""),0.4)</f>
        <v>0.4</v>
      </c>
      <c r="S328" s="47">
        <f>IFERROR(__xludf.DUMMYFUNCTION("""COMPUTED_VALUE"""),0.3)</f>
        <v>0.3</v>
      </c>
      <c r="T328" s="47">
        <f>IFERROR(__xludf.DUMMYFUNCTION("""COMPUTED_VALUE"""),68.96551724137932)</f>
        <v>68.96551724</v>
      </c>
      <c r="U328" s="47">
        <f>IFERROR(__xludf.DUMMYFUNCTION("""COMPUTED_VALUE"""),70.58823529411765)</f>
        <v>70.58823529</v>
      </c>
      <c r="V328" s="47">
        <f>IFERROR(__xludf.DUMMYFUNCTION("""COMPUTED_VALUE"""),0.6)</f>
        <v>0.6</v>
      </c>
      <c r="W328" s="46">
        <f>IFERROR(__xludf.DUMMYFUNCTION("""COMPUTED_VALUE"""),-1.9981610761375916)</f>
        <v>-1.998161076</v>
      </c>
      <c r="X328" s="46">
        <f>IFERROR(__xludf.DUMMYFUNCTION("""COMPUTED_VALUE"""),-1.3394249329228134)</f>
        <v>-1.339424933</v>
      </c>
      <c r="Y328" s="46">
        <f>IFERROR(__xludf.DUMMYFUNCTION("""COMPUTED_VALUE"""),-1.2525097117525728)</f>
        <v>-1.252509712</v>
      </c>
      <c r="Z328" s="46">
        <f>IFERROR(__xludf.DUMMYFUNCTION("""COMPUTED_VALUE"""),-1.603517358481987)</f>
        <v>-1.603517358</v>
      </c>
      <c r="AA328" s="46">
        <f>IFERROR(__xludf.DUMMYFUNCTION("""COMPUTED_VALUE"""),-1.2966700767544366)</f>
        <v>-1.296670077</v>
      </c>
      <c r="AB328" s="46">
        <f>IFERROR(__xludf.DUMMYFUNCTION("""COMPUTED_VALUE"""),-0.5270142365493308)</f>
        <v>-0.5270142365</v>
      </c>
      <c r="AC328" s="46">
        <f>IFERROR(__xludf.DUMMYFUNCTION("""COMPUTED_VALUE"""),0.5610077060350919)</f>
        <v>0.561007706</v>
      </c>
      <c r="AD328" s="46">
        <f>IFERROR(__xludf.DUMMYFUNCTION("""COMPUTED_VALUE"""),-0.3550951372532883)</f>
        <v>-0.3550951373</v>
      </c>
      <c r="AE328" s="46">
        <f>IFERROR(__xludf.DUMMYFUNCTION("""COMPUTED_VALUE"""),0.43299176505743303)</f>
        <v>0.4329917651</v>
      </c>
    </row>
    <row r="329">
      <c r="A329" s="6" t="str">
        <f>IF(VLOOKUP(H329,'Paste #BBall'!$B$2:$N1001,3,)="BRO","BKN",IF(VLOOKUP(H329,'Paste #BBall'!$B$2:$N1001,3,)="OKL","OKC",VLOOKUP(H329,'Paste #BBall'!$B$2:$N1001,3,)))</f>
        <v>BKN</v>
      </c>
      <c r="B329" s="42">
        <f>VLOOKUP($A329,Schedule!$C$2:$G$31,2,0)</f>
        <v>5</v>
      </c>
      <c r="C329" s="42">
        <f>VLOOKUP($A329,Schedule!$C$2:$G$31,3,0)</f>
        <v>3</v>
      </c>
      <c r="D329" s="42">
        <f>VLOOKUP($A329,Schedule!$C$2:$G$31,4,0)</f>
        <v>3</v>
      </c>
      <c r="E329" s="42">
        <f t="shared" si="1"/>
        <v>11</v>
      </c>
      <c r="F329" s="6">
        <v>323.0</v>
      </c>
      <c r="G329" s="45">
        <f>IFERROR(__xludf.DUMMYFUNCTION("""COMPUTED_VALUE"""),327.0)</f>
        <v>327</v>
      </c>
      <c r="H329" s="45" t="str">
        <f>IFERROR(__xludf.DUMMYFUNCTION("""COMPUTED_VALUE"""),"Dennis Smith Jr.")</f>
        <v>Dennis Smith Jr.</v>
      </c>
      <c r="I329" s="45">
        <f>IFERROR(__xludf.DUMMYFUNCTION("""COMPUTED_VALUE"""),43.0)</f>
        <v>43</v>
      </c>
      <c r="J329" s="46" t="str">
        <f>IFERROR(__xludf.DUMMYFUNCTION("""COMPUTED_VALUE"""),"PG,SG")</f>
        <v>PG,SG</v>
      </c>
      <c r="K329" s="46">
        <f>IFERROR(__xludf.DUMMYFUNCTION("""COMPUTED_VALUE"""),-8.790015837777224)</f>
        <v>-8.790015838</v>
      </c>
      <c r="L329" s="47">
        <f>IFERROR(__xludf.DUMMYFUNCTION("""COMPUTED_VALUE"""),-5.449980980148365)</f>
        <v>-5.44998098</v>
      </c>
      <c r="M329" s="47">
        <f>IFERROR(__xludf.DUMMYFUNCTION("""COMPUTED_VALUE"""),3.3400348576288588)</f>
        <v>3.340034858</v>
      </c>
      <c r="N329" s="47">
        <f>IFERROR(__xludf.DUMMYFUNCTION("""COMPUTED_VALUE"""),3.9)</f>
        <v>3.9</v>
      </c>
      <c r="O329" s="47">
        <f>IFERROR(__xludf.DUMMYFUNCTION("""COMPUTED_VALUE"""),0.2)</f>
        <v>0.2</v>
      </c>
      <c r="P329" s="47">
        <f>IFERROR(__xludf.DUMMYFUNCTION("""COMPUTED_VALUE"""),1.5)</f>
        <v>1.5</v>
      </c>
      <c r="Q329" s="48">
        <f>IFERROR(__xludf.DUMMYFUNCTION("""COMPUTED_VALUE"""),2.3)</f>
        <v>2.3</v>
      </c>
      <c r="R329" s="47">
        <f>IFERROR(__xludf.DUMMYFUNCTION("""COMPUTED_VALUE"""),0.7)</f>
        <v>0.7</v>
      </c>
      <c r="S329" s="47">
        <f>IFERROR(__xludf.DUMMYFUNCTION("""COMPUTED_VALUE"""),0.2)</f>
        <v>0.2</v>
      </c>
      <c r="T329" s="47">
        <f>IFERROR(__xludf.DUMMYFUNCTION("""COMPUTED_VALUE"""),40.54054054054054)</f>
        <v>40.54054054</v>
      </c>
      <c r="U329" s="47">
        <f>IFERROR(__xludf.DUMMYFUNCTION("""COMPUTED_VALUE"""),70.0)</f>
        <v>70</v>
      </c>
      <c r="V329" s="47">
        <f>IFERROR(__xludf.DUMMYFUNCTION("""COMPUTED_VALUE"""),0.8)</f>
        <v>0.8</v>
      </c>
      <c r="W329" s="46">
        <f>IFERROR(__xludf.DUMMYFUNCTION("""COMPUTED_VALUE"""),-2.2509506415752965)</f>
        <v>-2.250950642</v>
      </c>
      <c r="X329" s="46">
        <f>IFERROR(__xludf.DUMMYFUNCTION("""COMPUTED_VALUE"""),-1.252712054226904)</f>
        <v>-1.252712054</v>
      </c>
      <c r="Y329" s="46">
        <f>IFERROR(__xludf.DUMMYFUNCTION("""COMPUTED_VALUE"""),-1.9215556294481384)</f>
        <v>-1.921555629</v>
      </c>
      <c r="Z329" s="46">
        <f>IFERROR(__xludf.DUMMYFUNCTION("""COMPUTED_VALUE"""),-0.78747799029777)</f>
        <v>-0.7874779903</v>
      </c>
      <c r="AA329" s="46">
        <f>IFERROR(__xludf.DUMMYFUNCTION("""COMPUTED_VALUE"""),-0.6425203743558983)</f>
        <v>-0.6425203744</v>
      </c>
      <c r="AB329" s="46">
        <f>IFERROR(__xludf.DUMMYFUNCTION("""COMPUTED_VALUE"""),-0.6583300762210907)</f>
        <v>-0.6583300762</v>
      </c>
      <c r="AC329" s="46">
        <f>IFERROR(__xludf.DUMMYFUNCTION("""COMPUTED_VALUE"""),-0.3347620092443336)</f>
        <v>-0.3347620092</v>
      </c>
      <c r="AD329" s="46">
        <f>IFERROR(__xludf.DUMMYFUNCTION("""COMPUTED_VALUE"""),-0.22352210208220238)</f>
        <v>-0.2235221021</v>
      </c>
      <c r="AE329" s="46">
        <f>IFERROR(__xludf.DUMMYFUNCTION("""COMPUTED_VALUE"""),0.37089925572797316)</f>
        <v>0.3708992557</v>
      </c>
    </row>
    <row r="330">
      <c r="A330" s="6" t="str">
        <f>IF(VLOOKUP(H330,'Paste #BBall'!$B$2:$N1001,3,)="BRO","BKN",IF(VLOOKUP(H330,'Paste #BBall'!$B$2:$N1001,3,)="OKL","OKC",VLOOKUP(H330,'Paste #BBall'!$B$2:$N1001,3,)))</f>
        <v>POR</v>
      </c>
      <c r="B330" s="42">
        <f>VLOOKUP($A330,Schedule!$C$2:$G$31,2,0)</f>
        <v>4</v>
      </c>
      <c r="C330" s="42">
        <f>VLOOKUP($A330,Schedule!$C$2:$G$31,3,0)</f>
        <v>4</v>
      </c>
      <c r="D330" s="42">
        <f>VLOOKUP($A330,Schedule!$C$2:$G$31,4,0)</f>
        <v>4</v>
      </c>
      <c r="E330" s="42">
        <f t="shared" si="1"/>
        <v>12</v>
      </c>
      <c r="F330" s="6">
        <v>324.0</v>
      </c>
      <c r="G330" s="45">
        <f>IFERROR(__xludf.DUMMYFUNCTION("""COMPUTED_VALUE"""),313.0)</f>
        <v>313</v>
      </c>
      <c r="H330" s="45" t="str">
        <f>IFERROR(__xludf.DUMMYFUNCTION("""COMPUTED_VALUE"""),"Kris Murray")</f>
        <v>Kris Murray</v>
      </c>
      <c r="I330" s="45">
        <f>IFERROR(__xludf.DUMMYFUNCTION("""COMPUTED_VALUE"""),70.0)</f>
        <v>70</v>
      </c>
      <c r="J330" s="46" t="str">
        <f>IFERROR(__xludf.DUMMYFUNCTION("""COMPUTED_VALUE"""),"SF,PF")</f>
        <v>SF,PF</v>
      </c>
      <c r="K330" s="46">
        <f>IFERROR(__xludf.DUMMYFUNCTION("""COMPUTED_VALUE"""),-8.375543861487579)</f>
        <v>-8.375543861</v>
      </c>
      <c r="L330" s="47">
        <f>IFERROR(__xludf.DUMMYFUNCTION("""COMPUTED_VALUE"""),-5.462230839659531)</f>
        <v>-5.46223084</v>
      </c>
      <c r="M330" s="47">
        <f>IFERROR(__xludf.DUMMYFUNCTION("""COMPUTED_VALUE"""),2.9133130218280474)</f>
        <v>2.913313022</v>
      </c>
      <c r="N330" s="47">
        <f>IFERROR(__xludf.DUMMYFUNCTION("""COMPUTED_VALUE"""),6.8)</f>
        <v>6.8</v>
      </c>
      <c r="O330" s="47">
        <f>IFERROR(__xludf.DUMMYFUNCTION("""COMPUTED_VALUE"""),0.8)</f>
        <v>0.8</v>
      </c>
      <c r="P330" s="47">
        <f>IFERROR(__xludf.DUMMYFUNCTION("""COMPUTED_VALUE"""),2.3)</f>
        <v>2.3</v>
      </c>
      <c r="Q330" s="48">
        <f>IFERROR(__xludf.DUMMYFUNCTION("""COMPUTED_VALUE"""),0.9)</f>
        <v>0.9</v>
      </c>
      <c r="R330" s="47">
        <f>IFERROR(__xludf.DUMMYFUNCTION("""COMPUTED_VALUE"""),0.5)</f>
        <v>0.5</v>
      </c>
      <c r="S330" s="47">
        <f>IFERROR(__xludf.DUMMYFUNCTION("""COMPUTED_VALUE"""),0.3)</f>
        <v>0.3</v>
      </c>
      <c r="T330" s="47">
        <f>IFERROR(__xludf.DUMMYFUNCTION("""COMPUTED_VALUE"""),44.680851063829785)</f>
        <v>44.68085106</v>
      </c>
      <c r="U330" s="47">
        <f>IFERROR(__xludf.DUMMYFUNCTION("""COMPUTED_VALUE"""),75.0)</f>
        <v>75</v>
      </c>
      <c r="V330" s="47">
        <f>IFERROR(__xludf.DUMMYFUNCTION("""COMPUTED_VALUE"""),0.6)</f>
        <v>0.6</v>
      </c>
      <c r="W330" s="46">
        <f>IFERROR(__xludf.DUMMYFUNCTION("""COMPUTED_VALUE"""),-1.7622241483957337)</f>
        <v>-1.762224148</v>
      </c>
      <c r="X330" s="46">
        <f>IFERROR(__xludf.DUMMYFUNCTION("""COMPUTED_VALUE"""),-0.7324347820514473)</f>
        <v>-0.7324347821</v>
      </c>
      <c r="Y330" s="46">
        <f>IFERROR(__xludf.DUMMYFUNCTION("""COMPUTED_VALUE"""),-1.5870326706003557)</f>
        <v>-1.587032671</v>
      </c>
      <c r="Z330" s="46">
        <f>IFERROR(__xludf.DUMMYFUNCTION("""COMPUTED_VALUE"""),-1.5015124374589601)</f>
        <v>-1.501512437</v>
      </c>
      <c r="AA330" s="46">
        <f>IFERROR(__xludf.DUMMYFUNCTION("""COMPUTED_VALUE"""),-1.0786201759549239)</f>
        <v>-1.078620176</v>
      </c>
      <c r="AB330" s="46">
        <f>IFERROR(__xludf.DUMMYFUNCTION("""COMPUTED_VALUE"""),-0.5270142365493308)</f>
        <v>-0.5270142365</v>
      </c>
      <c r="AC330" s="46">
        <f>IFERROR(__xludf.DUMMYFUNCTION("""COMPUTED_VALUE"""),-0.23086449254212388)</f>
        <v>-0.2308644925</v>
      </c>
      <c r="AD330" s="46">
        <f>IFERROR(__xludf.DUMMYFUNCTION("""COMPUTED_VALUE"""),-0.23774380955982252)</f>
        <v>-0.2377438096</v>
      </c>
      <c r="AE330" s="46">
        <f>IFERROR(__xludf.DUMMYFUNCTION("""COMPUTED_VALUE"""),0.43299176505743303)</f>
        <v>0.4329917651</v>
      </c>
    </row>
    <row r="331">
      <c r="A331" s="6" t="str">
        <f>IF(VLOOKUP(H331,'Paste #BBall'!$B$2:$N1001,3,)="BRO","BKN",IF(VLOOKUP(H331,'Paste #BBall'!$B$2:$N1001,3,)="OKL","OKC",VLOOKUP(H331,'Paste #BBall'!$B$2:$N1001,3,)))</f>
        <v>SA</v>
      </c>
      <c r="B331" s="42">
        <f>VLOOKUP($A331,Schedule!$C$2:$G$31,2,0)</f>
        <v>3</v>
      </c>
      <c r="C331" s="42">
        <f>VLOOKUP($A331,Schedule!$C$2:$G$31,3,0)</f>
        <v>4</v>
      </c>
      <c r="D331" s="42">
        <f>VLOOKUP($A331,Schedule!$C$2:$G$31,4,0)</f>
        <v>3</v>
      </c>
      <c r="E331" s="42">
        <f t="shared" si="1"/>
        <v>10</v>
      </c>
      <c r="F331" s="6">
        <v>325.0</v>
      </c>
      <c r="G331" s="45">
        <f>IFERROR(__xludf.DUMMYFUNCTION("""COMPUTED_VALUE"""),333.0)</f>
        <v>333</v>
      </c>
      <c r="H331" s="45" t="str">
        <f>IFERROR(__xludf.DUMMYFUNCTION("""COMPUTED_VALUE"""),"Reggie Bullock")</f>
        <v>Reggie Bullock</v>
      </c>
      <c r="I331" s="45">
        <f>IFERROR(__xludf.DUMMYFUNCTION("""COMPUTED_VALUE"""),62.0)</f>
        <v>62</v>
      </c>
      <c r="J331" s="46" t="str">
        <f>IFERROR(__xludf.DUMMYFUNCTION("""COMPUTED_VALUE"""),"SF,PF")</f>
        <v>SF,PF</v>
      </c>
      <c r="K331" s="46">
        <f>IFERROR(__xludf.DUMMYFUNCTION("""COMPUTED_VALUE"""),-8.906309847521477)</f>
        <v>-8.906309848</v>
      </c>
      <c r="L331" s="47">
        <f>IFERROR(__xludf.DUMMYFUNCTION("""COMPUTED_VALUE"""),-5.470469292897485)</f>
        <v>-5.470469293</v>
      </c>
      <c r="M331" s="47">
        <f>IFERROR(__xludf.DUMMYFUNCTION("""COMPUTED_VALUE"""),3.435840554623992)</f>
        <v>3.435840555</v>
      </c>
      <c r="N331" s="47">
        <f>IFERROR(__xludf.DUMMYFUNCTION("""COMPUTED_VALUE"""),5.0)</f>
        <v>5</v>
      </c>
      <c r="O331" s="47">
        <f>IFERROR(__xludf.DUMMYFUNCTION("""COMPUTED_VALUE"""),1.3)</f>
        <v>1.3</v>
      </c>
      <c r="P331" s="47">
        <f>IFERROR(__xludf.DUMMYFUNCTION("""COMPUTED_VALUE"""),2.3)</f>
        <v>2.3</v>
      </c>
      <c r="Q331" s="48">
        <f>IFERROR(__xludf.DUMMYFUNCTION("""COMPUTED_VALUE"""),0.8)</f>
        <v>0.8</v>
      </c>
      <c r="R331" s="47">
        <f>IFERROR(__xludf.DUMMYFUNCTION("""COMPUTED_VALUE"""),0.4)</f>
        <v>0.4</v>
      </c>
      <c r="S331" s="47">
        <f>IFERROR(__xludf.DUMMYFUNCTION("""COMPUTED_VALUE"""),0.1)</f>
        <v>0.1</v>
      </c>
      <c r="T331" s="47">
        <f>IFERROR(__xludf.DUMMYFUNCTION("""COMPUTED_VALUE"""),39.53488372093023)</f>
        <v>39.53488372</v>
      </c>
      <c r="U331" s="47">
        <f>IFERROR(__xludf.DUMMYFUNCTION("""COMPUTED_VALUE"""),74.99999999999999)</f>
        <v>75</v>
      </c>
      <c r="V331" s="47">
        <f>IFERROR(__xludf.DUMMYFUNCTION("""COMPUTED_VALUE"""),0.3)</f>
        <v>0.3</v>
      </c>
      <c r="W331" s="46">
        <f>IFERROR(__xludf.DUMMYFUNCTION("""COMPUTED_VALUE"""),-2.06557162692098)</f>
        <v>-2.065571627</v>
      </c>
      <c r="X331" s="46">
        <f>IFERROR(__xludf.DUMMYFUNCTION("""COMPUTED_VALUE"""),-0.2988703885719002)</f>
        <v>-0.2988703886</v>
      </c>
      <c r="Y331" s="46">
        <f>IFERROR(__xludf.DUMMYFUNCTION("""COMPUTED_VALUE"""),-1.5870326706003557)</f>
        <v>-1.587032671</v>
      </c>
      <c r="Z331" s="46">
        <f>IFERROR(__xludf.DUMMYFUNCTION("""COMPUTED_VALUE"""),-1.5525148979704735)</f>
        <v>-1.552514898</v>
      </c>
      <c r="AA331" s="46">
        <f>IFERROR(__xludf.DUMMYFUNCTION("""COMPUTED_VALUE"""),-1.2966700767544366)</f>
        <v>-1.296670077</v>
      </c>
      <c r="AB331" s="46">
        <f>IFERROR(__xludf.DUMMYFUNCTION("""COMPUTED_VALUE"""),-0.7896459158928509)</f>
        <v>-0.7896459159</v>
      </c>
      <c r="AC331" s="46">
        <f>IFERROR(__xludf.DUMMYFUNCTION("""COMPUTED_VALUE"""),-0.4322419038991208)</f>
        <v>-0.4322419039</v>
      </c>
      <c r="AD331" s="46">
        <f>IFERROR(__xludf.DUMMYFUNCTION("""COMPUTED_VALUE"""),-0.039623968259970534)</f>
        <v>-0.03962396826</v>
      </c>
      <c r="AE331" s="46">
        <f>IFERROR(__xludf.DUMMYFUNCTION("""COMPUTED_VALUE"""),0.5261305290516227)</f>
        <v>0.5261305291</v>
      </c>
    </row>
    <row r="332">
      <c r="A332" s="6" t="str">
        <f>IF(VLOOKUP(H332,'Paste #BBall'!$B$2:$N1001,3,)="BRO","BKN",IF(VLOOKUP(H332,'Paste #BBall'!$B$2:$N1001,3,)="OKL","OKC",VLOOKUP(H332,'Paste #BBall'!$B$2:$N1001,3,)))</f>
        <v>PHO</v>
      </c>
      <c r="B332" s="42">
        <f>VLOOKUP($A332,Schedule!$C$2:$G$31,2,0)</f>
        <v>3</v>
      </c>
      <c r="C332" s="42">
        <f>VLOOKUP($A332,Schedule!$C$2:$G$31,3,0)</f>
        <v>4</v>
      </c>
      <c r="D332" s="42">
        <f>VLOOKUP($A332,Schedule!$C$2:$G$31,4,0)</f>
        <v>3</v>
      </c>
      <c r="E332" s="42">
        <f t="shared" si="1"/>
        <v>10</v>
      </c>
      <c r="F332" s="6">
        <v>326.0</v>
      </c>
      <c r="G332" s="45">
        <f>IFERROR(__xludf.DUMMYFUNCTION("""COMPUTED_VALUE"""),330.0)</f>
        <v>330</v>
      </c>
      <c r="H332" s="45" t="str">
        <f>IFERROR(__xludf.DUMMYFUNCTION("""COMPUTED_VALUE"""),"Chimezie Metu")</f>
        <v>Chimezie Metu</v>
      </c>
      <c r="I332" s="45">
        <f>IFERROR(__xludf.DUMMYFUNCTION("""COMPUTED_VALUE"""),40.0)</f>
        <v>40</v>
      </c>
      <c r="J332" s="46" t="str">
        <f>IFERROR(__xludf.DUMMYFUNCTION("""COMPUTED_VALUE"""),"PF,C")</f>
        <v>PF,C</v>
      </c>
      <c r="K332" s="46">
        <f>IFERROR(__xludf.DUMMYFUNCTION("""COMPUTED_VALUE"""),-8.841677222139433)</f>
        <v>-8.841677222</v>
      </c>
      <c r="L332" s="47">
        <f>IFERROR(__xludf.DUMMYFUNCTION("""COMPUTED_VALUE"""),-5.493078509648317)</f>
        <v>-5.49307851</v>
      </c>
      <c r="M332" s="47">
        <f>IFERROR(__xludf.DUMMYFUNCTION("""COMPUTED_VALUE"""),3.348598712491116)</f>
        <v>3.348598712</v>
      </c>
      <c r="N332" s="47">
        <f>IFERROR(__xludf.DUMMYFUNCTION("""COMPUTED_VALUE"""),4.6)</f>
        <v>4.6</v>
      </c>
      <c r="O332" s="47">
        <f>IFERROR(__xludf.DUMMYFUNCTION("""COMPUTED_VALUE"""),0.4)</f>
        <v>0.4</v>
      </c>
      <c r="P332" s="47">
        <f>IFERROR(__xludf.DUMMYFUNCTION("""COMPUTED_VALUE"""),2.9)</f>
        <v>2.9</v>
      </c>
      <c r="Q332" s="48">
        <f>IFERROR(__xludf.DUMMYFUNCTION("""COMPUTED_VALUE"""),0.5)</f>
        <v>0.5</v>
      </c>
      <c r="R332" s="47">
        <f>IFERROR(__xludf.DUMMYFUNCTION("""COMPUTED_VALUE"""),0.4)</f>
        <v>0.4</v>
      </c>
      <c r="S332" s="47">
        <f>IFERROR(__xludf.DUMMYFUNCTION("""COMPUTED_VALUE"""),0.3)</f>
        <v>0.3</v>
      </c>
      <c r="T332" s="47">
        <f>IFERROR(__xludf.DUMMYFUNCTION("""COMPUTED_VALUE"""),50.0)</f>
        <v>50</v>
      </c>
      <c r="U332" s="47">
        <f>IFERROR(__xludf.DUMMYFUNCTION("""COMPUTED_VALUE"""),77.77777777777777)</f>
        <v>77.77777778</v>
      </c>
      <c r="V332" s="47">
        <f>IFERROR(__xludf.DUMMYFUNCTION("""COMPUTED_VALUE"""),0.5)</f>
        <v>0.5</v>
      </c>
      <c r="W332" s="46">
        <f>IFERROR(__xludf.DUMMYFUNCTION("""COMPUTED_VALUE"""),-2.132982177704368)</f>
        <v>-2.132982178</v>
      </c>
      <c r="X332" s="46">
        <f>IFERROR(__xludf.DUMMYFUNCTION("""COMPUTED_VALUE"""),-1.079286296835085)</f>
        <v>-1.079286297</v>
      </c>
      <c r="Y332" s="46">
        <f>IFERROR(__xludf.DUMMYFUNCTION("""COMPUTED_VALUE"""),-1.3361404514645185)</f>
        <v>-1.336140451</v>
      </c>
      <c r="Z332" s="46">
        <f>IFERROR(__xludf.DUMMYFUNCTION("""COMPUTED_VALUE"""),-1.7055222795050142)</f>
        <v>-1.70552228</v>
      </c>
      <c r="AA332" s="46">
        <f>IFERROR(__xludf.DUMMYFUNCTION("""COMPUTED_VALUE"""),-1.2966700767544366)</f>
        <v>-1.296670077</v>
      </c>
      <c r="AB332" s="46">
        <f>IFERROR(__xludf.DUMMYFUNCTION("""COMPUTED_VALUE"""),-0.5270142365493308)</f>
        <v>-0.5270142365</v>
      </c>
      <c r="AC332" s="46">
        <f>IFERROR(__xludf.DUMMYFUNCTION("""COMPUTED_VALUE"""),0.01443964960670015)</f>
        <v>0.01443964961</v>
      </c>
      <c r="AD332" s="46">
        <f>IFERROR(__xludf.DUMMYFUNCTION("""COMPUTED_VALUE"""),-0.026922837868795582)</f>
        <v>-0.02692283787</v>
      </c>
      <c r="AE332" s="46">
        <f>IFERROR(__xludf.DUMMYFUNCTION("""COMPUTED_VALUE"""),0.4640380197221629)</f>
        <v>0.4640380197</v>
      </c>
    </row>
    <row r="333">
      <c r="A333" s="6" t="str">
        <f>IF(VLOOKUP(H333,'Paste #BBall'!$B$2:$N1001,3,)="BRO","BKN",IF(VLOOKUP(H333,'Paste #BBall'!$B$2:$N1001,3,)="OKL","OKC",VLOOKUP(H333,'Paste #BBall'!$B$2:$N1001,3,)))</f>
        <v>PHO</v>
      </c>
      <c r="B333" s="42">
        <f>VLOOKUP($A333,Schedule!$C$2:$G$31,2,0)</f>
        <v>3</v>
      </c>
      <c r="C333" s="42">
        <f>VLOOKUP($A333,Schedule!$C$2:$G$31,3,0)</f>
        <v>4</v>
      </c>
      <c r="D333" s="42">
        <f>VLOOKUP($A333,Schedule!$C$2:$G$31,4,0)</f>
        <v>3</v>
      </c>
      <c r="E333" s="42">
        <f t="shared" si="1"/>
        <v>10</v>
      </c>
      <c r="F333" s="6">
        <v>327.0</v>
      </c>
      <c r="G333" s="45">
        <f>IFERROR(__xludf.DUMMYFUNCTION("""COMPUTED_VALUE"""),328.0)</f>
        <v>328</v>
      </c>
      <c r="H333" s="45" t="str">
        <f>IFERROR(__xludf.DUMMYFUNCTION("""COMPUTED_VALUE"""),"Bol Bol")</f>
        <v>Bol Bol</v>
      </c>
      <c r="I333" s="45">
        <f>IFERROR(__xludf.DUMMYFUNCTION("""COMPUTED_VALUE"""),40.0)</f>
        <v>40</v>
      </c>
      <c r="J333" s="46" t="str">
        <f>IFERROR(__xludf.DUMMYFUNCTION("""COMPUTED_VALUE"""),"PF,C")</f>
        <v>PF,C</v>
      </c>
      <c r="K333" s="46">
        <f>IFERROR(__xludf.DUMMYFUNCTION("""COMPUTED_VALUE"""),-8.824627492695653)</f>
        <v>-8.824627493</v>
      </c>
      <c r="L333" s="47">
        <f>IFERROR(__xludf.DUMMYFUNCTION("""COMPUTED_VALUE"""),-5.550710067661818)</f>
        <v>-5.550710068</v>
      </c>
      <c r="M333" s="47">
        <f>IFERROR(__xludf.DUMMYFUNCTION("""COMPUTED_VALUE"""),3.2739174250338348)</f>
        <v>3.273917425</v>
      </c>
      <c r="N333" s="47">
        <f>IFERROR(__xludf.DUMMYFUNCTION("""COMPUTED_VALUE"""),4.4)</f>
        <v>4.4</v>
      </c>
      <c r="O333" s="47">
        <f>IFERROR(__xludf.DUMMYFUNCTION("""COMPUTED_VALUE"""),0.2)</f>
        <v>0.2</v>
      </c>
      <c r="P333" s="47">
        <f>IFERROR(__xludf.DUMMYFUNCTION("""COMPUTED_VALUE"""),2.8)</f>
        <v>2.8</v>
      </c>
      <c r="Q333" s="48">
        <f>IFERROR(__xludf.DUMMYFUNCTION("""COMPUTED_VALUE"""),0.5)</f>
        <v>0.5</v>
      </c>
      <c r="R333" s="47">
        <f>IFERROR(__xludf.DUMMYFUNCTION("""COMPUTED_VALUE"""),0.2)</f>
        <v>0.2</v>
      </c>
      <c r="S333" s="47">
        <f>IFERROR(__xludf.DUMMYFUNCTION("""COMPUTED_VALUE"""),0.6)</f>
        <v>0.6</v>
      </c>
      <c r="T333" s="47">
        <f>IFERROR(__xludf.DUMMYFUNCTION("""COMPUTED_VALUE"""),54.545454545454554)</f>
        <v>54.54545455</v>
      </c>
      <c r="U333" s="47">
        <f>IFERROR(__xludf.DUMMYFUNCTION("""COMPUTED_VALUE"""),85.71428571428572)</f>
        <v>85.71428571</v>
      </c>
      <c r="V333" s="47">
        <f>IFERROR(__xludf.DUMMYFUNCTION("""COMPUTED_VALUE"""),0.8)</f>
        <v>0.8</v>
      </c>
      <c r="W333" s="46">
        <f>IFERROR(__xludf.DUMMYFUNCTION("""COMPUTED_VALUE"""),-2.1666874530960616)</f>
        <v>-2.166687453</v>
      </c>
      <c r="X333" s="46">
        <f>IFERROR(__xludf.DUMMYFUNCTION("""COMPUTED_VALUE"""),-1.252712054226904)</f>
        <v>-1.252712054</v>
      </c>
      <c r="Y333" s="46">
        <f>IFERROR(__xludf.DUMMYFUNCTION("""COMPUTED_VALUE"""),-1.3779558213204914)</f>
        <v>-1.377955821</v>
      </c>
      <c r="Z333" s="46">
        <f>IFERROR(__xludf.DUMMYFUNCTION("""COMPUTED_VALUE"""),-1.7055222795050142)</f>
        <v>-1.70552228</v>
      </c>
      <c r="AA333" s="46">
        <f>IFERROR(__xludf.DUMMYFUNCTION("""COMPUTED_VALUE"""),-1.732769878353462)</f>
        <v>-1.732769878</v>
      </c>
      <c r="AB333" s="46">
        <f>IFERROR(__xludf.DUMMYFUNCTION("""COMPUTED_VALUE"""),-0.13306671753405044)</f>
        <v>-0.1330667175</v>
      </c>
      <c r="AC333" s="46">
        <f>IFERROR(__xludf.DUMMYFUNCTION("""COMPUTED_VALUE"""),0.1630660998566648)</f>
        <v>0.1630660999</v>
      </c>
      <c r="AD333" s="46">
        <f>IFERROR(__xludf.DUMMYFUNCTION("""COMPUTED_VALUE"""),0.11735132769346612)</f>
        <v>0.1173513277</v>
      </c>
      <c r="AE333" s="46">
        <f>IFERROR(__xludf.DUMMYFUNCTION("""COMPUTED_VALUE"""),0.37089925572797316)</f>
        <v>0.3708992557</v>
      </c>
    </row>
    <row r="334">
      <c r="A334" s="6" t="str">
        <f>IF(VLOOKUP(H334,'Paste #BBall'!$B$2:$N1001,3,)="BRO","BKN",IF(VLOOKUP(H334,'Paste #BBall'!$B$2:$N1001,3,)="OKL","OKC",VLOOKUP(H334,'Paste #BBall'!$B$2:$N1001,3,)))</f>
        <v>CHI</v>
      </c>
      <c r="B334" s="42">
        <f>VLOOKUP($A334,Schedule!$C$2:$G$31,2,0)</f>
        <v>4</v>
      </c>
      <c r="C334" s="42">
        <f>VLOOKUP($A334,Schedule!$C$2:$G$31,3,0)</f>
        <v>4</v>
      </c>
      <c r="D334" s="42">
        <f>VLOOKUP($A334,Schedule!$C$2:$G$31,4,0)</f>
        <v>3</v>
      </c>
      <c r="E334" s="42">
        <f t="shared" si="1"/>
        <v>11</v>
      </c>
      <c r="F334" s="6">
        <v>328.0</v>
      </c>
      <c r="G334" s="45">
        <f>IFERROR(__xludf.DUMMYFUNCTION("""COMPUTED_VALUE"""),335.0)</f>
        <v>335</v>
      </c>
      <c r="H334" s="45" t="str">
        <f>IFERROR(__xludf.DUMMYFUNCTION("""COMPUTED_VALUE"""),"Dalen Terry")</f>
        <v>Dalen Terry</v>
      </c>
      <c r="I334" s="45">
        <f>IFERROR(__xludf.DUMMYFUNCTION("""COMPUTED_VALUE"""),48.0)</f>
        <v>48</v>
      </c>
      <c r="J334" s="46" t="str">
        <f>IFERROR(__xludf.DUMMYFUNCTION("""COMPUTED_VALUE"""),"SG,SF")</f>
        <v>SG,SF</v>
      </c>
      <c r="K334" s="46">
        <f>IFERROR(__xludf.DUMMYFUNCTION("""COMPUTED_VALUE"""),-8.935580972376133)</f>
        <v>-8.935580972</v>
      </c>
      <c r="L334" s="47">
        <f>IFERROR(__xludf.DUMMYFUNCTION("""COMPUTED_VALUE"""),-5.576259028789732)</f>
        <v>-5.576259029</v>
      </c>
      <c r="M334" s="47">
        <f>IFERROR(__xludf.DUMMYFUNCTION("""COMPUTED_VALUE"""),3.3593219435864015)</f>
        <v>3.359321944</v>
      </c>
      <c r="N334" s="47">
        <f>IFERROR(__xludf.DUMMYFUNCTION("""COMPUTED_VALUE"""),4.2)</f>
        <v>4.2</v>
      </c>
      <c r="O334" s="47">
        <f>IFERROR(__xludf.DUMMYFUNCTION("""COMPUTED_VALUE"""),0.4)</f>
        <v>0.4</v>
      </c>
      <c r="P334" s="47">
        <f>IFERROR(__xludf.DUMMYFUNCTION("""COMPUTED_VALUE"""),1.8)</f>
        <v>1.8</v>
      </c>
      <c r="Q334" s="48">
        <f>IFERROR(__xludf.DUMMYFUNCTION("""COMPUTED_VALUE"""),1.1)</f>
        <v>1.1</v>
      </c>
      <c r="R334" s="47">
        <f>IFERROR(__xludf.DUMMYFUNCTION("""COMPUTED_VALUE"""),0.6)</f>
        <v>0.6</v>
      </c>
      <c r="S334" s="47">
        <f>IFERROR(__xludf.DUMMYFUNCTION("""COMPUTED_VALUE"""),0.3)</f>
        <v>0.3</v>
      </c>
      <c r="T334" s="47">
        <f>IFERROR(__xludf.DUMMYFUNCTION("""COMPUTED_VALUE"""),44.44444444444445)</f>
        <v>44.44444444</v>
      </c>
      <c r="U334" s="47">
        <f>IFERROR(__xludf.DUMMYFUNCTION("""COMPUTED_VALUE"""),70.0)</f>
        <v>70</v>
      </c>
      <c r="V334" s="47">
        <f>IFERROR(__xludf.DUMMYFUNCTION("""COMPUTED_VALUE"""),0.4)</f>
        <v>0.4</v>
      </c>
      <c r="W334" s="46">
        <f>IFERROR(__xludf.DUMMYFUNCTION("""COMPUTED_VALUE"""),-2.200392728487756)</f>
        <v>-2.200392728</v>
      </c>
      <c r="X334" s="46">
        <f>IFERROR(__xludf.DUMMYFUNCTION("""COMPUTED_VALUE"""),-1.079286296835085)</f>
        <v>-1.079286297</v>
      </c>
      <c r="Y334" s="46">
        <f>IFERROR(__xludf.DUMMYFUNCTION("""COMPUTED_VALUE"""),-1.79610951988022)</f>
        <v>-1.79610952</v>
      </c>
      <c r="Z334" s="46">
        <f>IFERROR(__xludf.DUMMYFUNCTION("""COMPUTED_VALUE"""),-1.3995075164359327)</f>
        <v>-1.399507516</v>
      </c>
      <c r="AA334" s="46">
        <f>IFERROR(__xludf.DUMMYFUNCTION("""COMPUTED_VALUE"""),-0.860570275155411)</f>
        <v>-0.8605702752</v>
      </c>
      <c r="AB334" s="46">
        <f>IFERROR(__xludf.DUMMYFUNCTION("""COMPUTED_VALUE"""),-0.5270142365493308)</f>
        <v>-0.5270142365</v>
      </c>
      <c r="AC334" s="46">
        <f>IFERROR(__xludf.DUMMYFUNCTION("""COMPUTED_VALUE"""),-0.18533335623844116)</f>
        <v>-0.1853333562</v>
      </c>
      <c r="AD334" s="46">
        <f>IFERROR(__xludf.DUMMYFUNCTION("""COMPUTED_VALUE"""),-0.22352210208220238)</f>
        <v>-0.2235221021</v>
      </c>
      <c r="AE334" s="46">
        <f>IFERROR(__xludf.DUMMYFUNCTION("""COMPUTED_VALUE"""),0.4950842743868928)</f>
        <v>0.4950842744</v>
      </c>
    </row>
    <row r="335">
      <c r="A335" s="6" t="str">
        <f>IF(VLOOKUP(H335,'Paste #BBall'!$B$2:$N1001,3,)="BRO","BKN",IF(VLOOKUP(H335,'Paste #BBall'!$B$2:$N1001,3,)="OKL","OKC",VLOOKUP(H335,'Paste #BBall'!$B$2:$N1001,3,)))</f>
        <v>DEN</v>
      </c>
      <c r="B335" s="42">
        <f>VLOOKUP($A335,Schedule!$C$2:$G$31,2,0)</f>
        <v>3</v>
      </c>
      <c r="C335" s="42">
        <f>VLOOKUP($A335,Schedule!$C$2:$G$31,3,0)</f>
        <v>4</v>
      </c>
      <c r="D335" s="42">
        <f>VLOOKUP($A335,Schedule!$C$2:$G$31,4,0)</f>
        <v>3</v>
      </c>
      <c r="E335" s="42">
        <f t="shared" si="1"/>
        <v>10</v>
      </c>
      <c r="F335" s="6">
        <v>329.0</v>
      </c>
      <c r="G335" s="45">
        <f>IFERROR(__xludf.DUMMYFUNCTION("""COMPUTED_VALUE"""),323.0)</f>
        <v>323</v>
      </c>
      <c r="H335" s="45" t="str">
        <f>IFERROR(__xludf.DUMMYFUNCTION("""COMPUTED_VALUE"""),"Zeke Nnaji")</f>
        <v>Zeke Nnaji</v>
      </c>
      <c r="I335" s="45">
        <f>IFERROR(__xludf.DUMMYFUNCTION("""COMPUTED_VALUE"""),63.0)</f>
        <v>63</v>
      </c>
      <c r="J335" s="46" t="str">
        <f>IFERROR(__xludf.DUMMYFUNCTION("""COMPUTED_VALUE"""),"PF,C")</f>
        <v>PF,C</v>
      </c>
      <c r="K335" s="46">
        <f>IFERROR(__xludf.DUMMYFUNCTION("""COMPUTED_VALUE"""),-8.680645654776244)</f>
        <v>-8.680645655</v>
      </c>
      <c r="L335" s="47">
        <f>IFERROR(__xludf.DUMMYFUNCTION("""COMPUTED_VALUE"""),-5.581889191019575)</f>
        <v>-5.581889191</v>
      </c>
      <c r="M335" s="47">
        <f>IFERROR(__xludf.DUMMYFUNCTION("""COMPUTED_VALUE"""),3.0987564637566694)</f>
        <v>3.098756464</v>
      </c>
      <c r="N335" s="47">
        <f>IFERROR(__xludf.DUMMYFUNCTION("""COMPUTED_VALUE"""),6.3)</f>
        <v>6.3</v>
      </c>
      <c r="O335" s="47">
        <f>IFERROR(__xludf.DUMMYFUNCTION("""COMPUTED_VALUE"""),0.6)</f>
        <v>0.6</v>
      </c>
      <c r="P335" s="47">
        <f>IFERROR(__xludf.DUMMYFUNCTION("""COMPUTED_VALUE"""),3.3)</f>
        <v>3.3</v>
      </c>
      <c r="Q335" s="48">
        <f>IFERROR(__xludf.DUMMYFUNCTION("""COMPUTED_VALUE"""),0.4)</f>
        <v>0.4</v>
      </c>
      <c r="R335" s="47">
        <f>IFERROR(__xludf.DUMMYFUNCTION("""COMPUTED_VALUE"""),0.4)</f>
        <v>0.4</v>
      </c>
      <c r="S335" s="47">
        <f>IFERROR(__xludf.DUMMYFUNCTION("""COMPUTED_VALUE"""),0.4)</f>
        <v>0.4</v>
      </c>
      <c r="T335" s="47">
        <f>IFERROR(__xludf.DUMMYFUNCTION("""COMPUTED_VALUE"""),54.54545454545454)</f>
        <v>54.54545455</v>
      </c>
      <c r="U335" s="47">
        <f>IFERROR(__xludf.DUMMYFUNCTION("""COMPUTED_VALUE"""),60.0)</f>
        <v>60</v>
      </c>
      <c r="V335" s="47">
        <f>IFERROR(__xludf.DUMMYFUNCTION("""COMPUTED_VALUE"""),0.6)</f>
        <v>0.6</v>
      </c>
      <c r="W335" s="46">
        <f>IFERROR(__xludf.DUMMYFUNCTION("""COMPUTED_VALUE"""),-1.8464873368749688)</f>
        <v>-1.846487337</v>
      </c>
      <c r="X335" s="46">
        <f>IFERROR(__xludf.DUMMYFUNCTION("""COMPUTED_VALUE"""),-0.9058605394432663)</f>
        <v>-0.9058605394</v>
      </c>
      <c r="Y335" s="46">
        <f>IFERROR(__xludf.DUMMYFUNCTION("""COMPUTED_VALUE"""),-1.1688789720406272)</f>
        <v>-1.168878972</v>
      </c>
      <c r="Z335" s="46">
        <f>IFERROR(__xludf.DUMMYFUNCTION("""COMPUTED_VALUE"""),-1.7565247400165278)</f>
        <v>-1.75652474</v>
      </c>
      <c r="AA335" s="46">
        <f>IFERROR(__xludf.DUMMYFUNCTION("""COMPUTED_VALUE"""),-1.2966700767544366)</f>
        <v>-1.296670077</v>
      </c>
      <c r="AB335" s="46">
        <f>IFERROR(__xludf.DUMMYFUNCTION("""COMPUTED_VALUE"""),-0.39569839687757064)</f>
        <v>-0.3956983969</v>
      </c>
      <c r="AC335" s="46">
        <f>IFERROR(__xludf.DUMMYFUNCTION("""COMPUTED_VALUE"""),0.2174214664755525)</f>
        <v>0.2174214665</v>
      </c>
      <c r="AD335" s="46">
        <f>IFERROR(__xludf.DUMMYFUNCTION("""COMPUTED_VALUE"""),-0.708669697420132)</f>
        <v>-0.7086696974</v>
      </c>
      <c r="AE335" s="46">
        <f>IFERROR(__xludf.DUMMYFUNCTION("""COMPUTED_VALUE"""),0.43299176505743303)</f>
        <v>0.4329917651</v>
      </c>
    </row>
    <row r="336">
      <c r="A336" s="6" t="str">
        <f>IF(VLOOKUP(H336,'Paste #BBall'!$B$2:$N1001,3,)="BRO","BKN",IF(VLOOKUP(H336,'Paste #BBall'!$B$2:$N1001,3,)="OKL","OKC",VLOOKUP(H336,'Paste #BBall'!$B$2:$N1001,3,)))</f>
        <v>CLE</v>
      </c>
      <c r="B336" s="42">
        <f>VLOOKUP($A336,Schedule!$C$2:$G$31,2,0)</f>
        <v>4</v>
      </c>
      <c r="C336" s="42">
        <f>VLOOKUP($A336,Schedule!$C$2:$G$31,3,0)</f>
        <v>3</v>
      </c>
      <c r="D336" s="42">
        <f>VLOOKUP($A336,Schedule!$C$2:$G$31,4,0)</f>
        <v>4</v>
      </c>
      <c r="E336" s="42">
        <f t="shared" si="1"/>
        <v>11</v>
      </c>
      <c r="F336" s="6">
        <v>330.0</v>
      </c>
      <c r="G336" s="45">
        <f>IFERROR(__xludf.DUMMYFUNCTION("""COMPUTED_VALUE"""),339.0)</f>
        <v>339</v>
      </c>
      <c r="H336" s="45" t="str">
        <f>IFERROR(__xludf.DUMMYFUNCTION("""COMPUTED_VALUE"""),"Isaiah Mobley")</f>
        <v>Isaiah Mobley</v>
      </c>
      <c r="I336" s="45">
        <f>IFERROR(__xludf.DUMMYFUNCTION("""COMPUTED_VALUE"""),11.0)</f>
        <v>11</v>
      </c>
      <c r="J336" s="46" t="str">
        <f>IFERROR(__xludf.DUMMYFUNCTION("""COMPUTED_VALUE"""),"PF,C")</f>
        <v>PF,C</v>
      </c>
      <c r="K336" s="46">
        <f>IFERROR(__xludf.DUMMYFUNCTION("""COMPUTED_VALUE"""),-9.103373858433185)</f>
        <v>-9.103373858</v>
      </c>
      <c r="L336" s="47">
        <f>IFERROR(__xludf.DUMMYFUNCTION("""COMPUTED_VALUE"""),-5.584832466212863)</f>
        <v>-5.584832466</v>
      </c>
      <c r="M336" s="47">
        <f>IFERROR(__xludf.DUMMYFUNCTION("""COMPUTED_VALUE"""),3.518541392220323)</f>
        <v>3.518541392</v>
      </c>
      <c r="N336" s="47">
        <f>IFERROR(__xludf.DUMMYFUNCTION("""COMPUTED_VALUE"""),3.7)</f>
        <v>3.7</v>
      </c>
      <c r="O336" s="47">
        <f>IFERROR(__xludf.DUMMYFUNCTION("""COMPUTED_VALUE"""),0.4)</f>
        <v>0.4</v>
      </c>
      <c r="P336" s="47">
        <f>IFERROR(__xludf.DUMMYFUNCTION("""COMPUTED_VALUE"""),2.4)</f>
        <v>2.4</v>
      </c>
      <c r="Q336" s="48">
        <f>IFERROR(__xludf.DUMMYFUNCTION("""COMPUTED_VALUE"""),0.4)</f>
        <v>0.4</v>
      </c>
      <c r="R336" s="47">
        <f>IFERROR(__xludf.DUMMYFUNCTION("""COMPUTED_VALUE"""),0.5)</f>
        <v>0.5</v>
      </c>
      <c r="S336" s="47">
        <f>IFERROR(__xludf.DUMMYFUNCTION("""COMPUTED_VALUE"""),0.4)</f>
        <v>0.4</v>
      </c>
      <c r="T336" s="47">
        <f>IFERROR(__xludf.DUMMYFUNCTION("""COMPUTED_VALUE"""),44.11764705882353)</f>
        <v>44.11764706</v>
      </c>
      <c r="U336" s="47">
        <f>IFERROR(__xludf.DUMMYFUNCTION("""COMPUTED_VALUE"""),71.42857142857143)</f>
        <v>71.42857143</v>
      </c>
      <c r="V336" s="47">
        <f>IFERROR(__xludf.DUMMYFUNCTION("""COMPUTED_VALUE"""),0.1)</f>
        <v>0.1</v>
      </c>
      <c r="W336" s="46">
        <f>IFERROR(__xludf.DUMMYFUNCTION("""COMPUTED_VALUE"""),-2.2846559169669907)</f>
        <v>-2.284655917</v>
      </c>
      <c r="X336" s="46">
        <f>IFERROR(__xludf.DUMMYFUNCTION("""COMPUTED_VALUE"""),-1.079286296835085)</f>
        <v>-1.079286297</v>
      </c>
      <c r="Y336" s="46">
        <f>IFERROR(__xludf.DUMMYFUNCTION("""COMPUTED_VALUE"""),-1.5452173007443828)</f>
        <v>-1.545217301</v>
      </c>
      <c r="Z336" s="46">
        <f>IFERROR(__xludf.DUMMYFUNCTION("""COMPUTED_VALUE"""),-1.7565247400165278)</f>
        <v>-1.75652474</v>
      </c>
      <c r="AA336" s="46">
        <f>IFERROR(__xludf.DUMMYFUNCTION("""COMPUTED_VALUE"""),-1.0786201759549239)</f>
        <v>-1.078620176</v>
      </c>
      <c r="AB336" s="46">
        <f>IFERROR(__xludf.DUMMYFUNCTION("""COMPUTED_VALUE"""),-0.39569839687757064)</f>
        <v>-0.3956983969</v>
      </c>
      <c r="AC336" s="46">
        <f>IFERROR(__xludf.DUMMYFUNCTION("""COMPUTED_VALUE"""),-0.1861355589943691)</f>
        <v>-0.186135559</v>
      </c>
      <c r="AD336" s="46">
        <f>IFERROR(__xludf.DUMMYFUNCTION("""COMPUTED_VALUE"""),-0.13157303517108632)</f>
        <v>-0.1315730352</v>
      </c>
      <c r="AE336" s="46">
        <f>IFERROR(__xludf.DUMMYFUNCTION("""COMPUTED_VALUE"""),0.5882230383810826)</f>
        <v>0.5882230384</v>
      </c>
    </row>
    <row r="337">
      <c r="A337" s="6" t="str">
        <f>IF(VLOOKUP(H337,'Paste #BBall'!$B$2:$N1001,3,)="BRO","BKN",IF(VLOOKUP(H337,'Paste #BBall'!$B$2:$N1001,3,)="OKL","OKC",VLOOKUP(H337,'Paste #BBall'!$B$2:$N1001,3,)))</f>
        <v>WAS</v>
      </c>
      <c r="B337" s="42">
        <f>VLOOKUP($A337,Schedule!$C$2:$G$31,2,0)</f>
        <v>4</v>
      </c>
      <c r="C337" s="42">
        <f>VLOOKUP($A337,Schedule!$C$2:$G$31,3,0)</f>
        <v>4</v>
      </c>
      <c r="D337" s="42">
        <f>VLOOKUP($A337,Schedule!$C$2:$G$31,4,0)</f>
        <v>3</v>
      </c>
      <c r="E337" s="42">
        <f t="shared" si="1"/>
        <v>11</v>
      </c>
      <c r="F337" s="6">
        <v>331.0</v>
      </c>
      <c r="G337" s="45">
        <f>IFERROR(__xludf.DUMMYFUNCTION("""COMPUTED_VALUE"""),337.0)</f>
        <v>337</v>
      </c>
      <c r="H337" s="45" t="str">
        <f>IFERROR(__xludf.DUMMYFUNCTION("""COMPUTED_VALUE"""),"Mike Muscala")</f>
        <v>Mike Muscala</v>
      </c>
      <c r="I337" s="45">
        <f>IFERROR(__xludf.DUMMYFUNCTION("""COMPUTED_VALUE"""),30.0)</f>
        <v>30</v>
      </c>
      <c r="J337" s="46" t="str">
        <f>IFERROR(__xludf.DUMMYFUNCTION("""COMPUTED_VALUE"""),"PF,C")</f>
        <v>PF,C</v>
      </c>
      <c r="K337" s="46">
        <f>IFERROR(__xludf.DUMMYFUNCTION("""COMPUTED_VALUE"""),-9.055761878809577)</f>
        <v>-9.055761879</v>
      </c>
      <c r="L337" s="47">
        <f>IFERROR(__xludf.DUMMYFUNCTION("""COMPUTED_VALUE"""),-5.602855236321895)</f>
        <v>-5.602855236</v>
      </c>
      <c r="M337" s="47">
        <f>IFERROR(__xludf.DUMMYFUNCTION("""COMPUTED_VALUE"""),3.4529066424876813)</f>
        <v>3.452906642</v>
      </c>
      <c r="N337" s="47">
        <f>IFERROR(__xludf.DUMMYFUNCTION("""COMPUTED_VALUE"""),5.0)</f>
        <v>5</v>
      </c>
      <c r="O337" s="47">
        <f>IFERROR(__xludf.DUMMYFUNCTION("""COMPUTED_VALUE"""),1.0)</f>
        <v>1</v>
      </c>
      <c r="P337" s="47">
        <f>IFERROR(__xludf.DUMMYFUNCTION("""COMPUTED_VALUE"""),2.3)</f>
        <v>2.3</v>
      </c>
      <c r="Q337" s="48">
        <f>IFERROR(__xludf.DUMMYFUNCTION("""COMPUTED_VALUE"""),0.5)</f>
        <v>0.5</v>
      </c>
      <c r="R337" s="47">
        <f>IFERROR(__xludf.DUMMYFUNCTION("""COMPUTED_VALUE"""),0.2)</f>
        <v>0.2</v>
      </c>
      <c r="S337" s="47">
        <f>IFERROR(__xludf.DUMMYFUNCTION("""COMPUTED_VALUE"""),0.3)</f>
        <v>0.3</v>
      </c>
      <c r="T337" s="47">
        <f>IFERROR(__xludf.DUMMYFUNCTION("""COMPUTED_VALUE"""),45.945945945945944)</f>
        <v>45.94594595</v>
      </c>
      <c r="U337" s="47">
        <f>IFERROR(__xludf.DUMMYFUNCTION("""COMPUTED_VALUE"""),85.71428571428572)</f>
        <v>85.71428571</v>
      </c>
      <c r="V337" s="47">
        <f>IFERROR(__xludf.DUMMYFUNCTION("""COMPUTED_VALUE"""),0.3)</f>
        <v>0.3</v>
      </c>
      <c r="W337" s="46">
        <f>IFERROR(__xludf.DUMMYFUNCTION("""COMPUTED_VALUE"""),-2.06557162692098)</f>
        <v>-2.065571627</v>
      </c>
      <c r="X337" s="46">
        <f>IFERROR(__xludf.DUMMYFUNCTION("""COMPUTED_VALUE"""),-0.5590090246596284)</f>
        <v>-0.5590090247</v>
      </c>
      <c r="Y337" s="46">
        <f>IFERROR(__xludf.DUMMYFUNCTION("""COMPUTED_VALUE"""),-1.5870326706003557)</f>
        <v>-1.587032671</v>
      </c>
      <c r="Z337" s="46">
        <f>IFERROR(__xludf.DUMMYFUNCTION("""COMPUTED_VALUE"""),-1.7055222795050142)</f>
        <v>-1.70552228</v>
      </c>
      <c r="AA337" s="46">
        <f>IFERROR(__xludf.DUMMYFUNCTION("""COMPUTED_VALUE"""),-1.732769878353462)</f>
        <v>-1.732769878</v>
      </c>
      <c r="AB337" s="46">
        <f>IFERROR(__xludf.DUMMYFUNCTION("""COMPUTED_VALUE"""),-0.5270142365493308)</f>
        <v>-0.5270142365</v>
      </c>
      <c r="AC337" s="46">
        <f>IFERROR(__xludf.DUMMYFUNCTION("""COMPUTED_VALUE"""),-0.1349890033991921)</f>
        <v>-0.1349890034</v>
      </c>
      <c r="AD337" s="46">
        <f>IFERROR(__xludf.DUMMYFUNCTION("""COMPUTED_VALUE"""),0.11735132769346612)</f>
        <v>0.1173513277</v>
      </c>
      <c r="AE337" s="46">
        <f>IFERROR(__xludf.DUMMYFUNCTION("""COMPUTED_VALUE"""),0.5261305290516227)</f>
        <v>0.5261305291</v>
      </c>
    </row>
    <row r="338">
      <c r="A338" s="6" t="str">
        <f>IF(VLOOKUP(H338,'Paste #BBall'!$B$2:$N1001,3,)="BRO","BKN",IF(VLOOKUP(H338,'Paste #BBall'!$B$2:$N1001,3,)="OKL","OKC",VLOOKUP(H338,'Paste #BBall'!$B$2:$N1001,3,)))</f>
        <v>LAL</v>
      </c>
      <c r="B338" s="42">
        <f>VLOOKUP($A338,Schedule!$C$2:$G$31,2,0)</f>
        <v>4</v>
      </c>
      <c r="C338" s="42">
        <f>VLOOKUP($A338,Schedule!$C$2:$G$31,3,0)</f>
        <v>2</v>
      </c>
      <c r="D338" s="42">
        <f>VLOOKUP($A338,Schedule!$C$2:$G$31,4,0)</f>
        <v>3</v>
      </c>
      <c r="E338" s="42">
        <f t="shared" si="1"/>
        <v>9</v>
      </c>
      <c r="F338" s="6">
        <v>332.0</v>
      </c>
      <c r="G338" s="45">
        <f>IFERROR(__xludf.DUMMYFUNCTION("""COMPUTED_VALUE"""),331.0)</f>
        <v>331</v>
      </c>
      <c r="H338" s="45" t="str">
        <f>IFERROR(__xludf.DUMMYFUNCTION("""COMPUTED_VALUE"""),"Jaxson Hayes")</f>
        <v>Jaxson Hayes</v>
      </c>
      <c r="I338" s="45">
        <f>IFERROR(__xludf.DUMMYFUNCTION("""COMPUTED_VALUE"""),67.0)</f>
        <v>67</v>
      </c>
      <c r="J338" s="46" t="str">
        <f>IFERROR(__xludf.DUMMYFUNCTION("""COMPUTED_VALUE"""),"PF,C")</f>
        <v>PF,C</v>
      </c>
      <c r="K338" s="46">
        <f>IFERROR(__xludf.DUMMYFUNCTION("""COMPUTED_VALUE"""),-8.84824415482553)</f>
        <v>-8.848244155</v>
      </c>
      <c r="L338" s="47">
        <f>IFERROR(__xludf.DUMMYFUNCTION("""COMPUTED_VALUE"""),-5.624981836063285)</f>
        <v>-5.624981836</v>
      </c>
      <c r="M338" s="47">
        <f>IFERROR(__xludf.DUMMYFUNCTION("""COMPUTED_VALUE"""),3.2232623187622442)</f>
        <v>3.223262319</v>
      </c>
      <c r="N338" s="47">
        <f>IFERROR(__xludf.DUMMYFUNCTION("""COMPUTED_VALUE"""),5.4)</f>
        <v>5.4</v>
      </c>
      <c r="O338" s="47">
        <f>IFERROR(__xludf.DUMMYFUNCTION("""COMPUTED_VALUE"""),0.1)</f>
        <v>0.1</v>
      </c>
      <c r="P338" s="47">
        <f>IFERROR(__xludf.DUMMYFUNCTION("""COMPUTED_VALUE"""),2.7)</f>
        <v>2.7</v>
      </c>
      <c r="Q338" s="48">
        <f>IFERROR(__xludf.DUMMYFUNCTION("""COMPUTED_VALUE"""),0.5)</f>
        <v>0.5</v>
      </c>
      <c r="R338" s="47">
        <f>IFERROR(__xludf.DUMMYFUNCTION("""COMPUTED_VALUE"""),0.3)</f>
        <v>0.3</v>
      </c>
      <c r="S338" s="47">
        <f>IFERROR(__xludf.DUMMYFUNCTION("""COMPUTED_VALUE"""),0.5)</f>
        <v>0.5</v>
      </c>
      <c r="T338" s="47">
        <f>IFERROR(__xludf.DUMMYFUNCTION("""COMPUTED_VALUE"""),58.82352941176471)</f>
        <v>58.82352941</v>
      </c>
      <c r="U338" s="47">
        <f>IFERROR(__xludf.DUMMYFUNCTION("""COMPUTED_VALUE"""),74.99999999999999)</f>
        <v>75</v>
      </c>
      <c r="V338" s="47">
        <f>IFERROR(__xludf.DUMMYFUNCTION("""COMPUTED_VALUE"""),0.5)</f>
        <v>0.5</v>
      </c>
      <c r="W338" s="46">
        <f>IFERROR(__xludf.DUMMYFUNCTION("""COMPUTED_VALUE"""),-1.9981610761375916)</f>
        <v>-1.998161076</v>
      </c>
      <c r="X338" s="46">
        <f>IFERROR(__xludf.DUMMYFUNCTION("""COMPUTED_VALUE"""),-1.3394249329228134)</f>
        <v>-1.339424933</v>
      </c>
      <c r="Y338" s="46">
        <f>IFERROR(__xludf.DUMMYFUNCTION("""COMPUTED_VALUE"""),-1.419771191176464)</f>
        <v>-1.419771191</v>
      </c>
      <c r="Z338" s="46">
        <f>IFERROR(__xludf.DUMMYFUNCTION("""COMPUTED_VALUE"""),-1.7055222795050142)</f>
        <v>-1.70552228</v>
      </c>
      <c r="AA338" s="46">
        <f>IFERROR(__xludf.DUMMYFUNCTION("""COMPUTED_VALUE"""),-1.5147199775539493)</f>
        <v>-1.514719978</v>
      </c>
      <c r="AB338" s="46">
        <f>IFERROR(__xludf.DUMMYFUNCTION("""COMPUTED_VALUE"""),-0.2643825572058105)</f>
        <v>-0.2643825572</v>
      </c>
      <c r="AC338" s="46">
        <f>IFERROR(__xludf.DUMMYFUNCTION("""COMPUTED_VALUE"""),0.3132969556184846)</f>
        <v>0.3132969556</v>
      </c>
      <c r="AD338" s="46">
        <f>IFERROR(__xludf.DUMMYFUNCTION("""COMPUTED_VALUE"""),-0.15849587303988213)</f>
        <v>-0.158495873</v>
      </c>
      <c r="AE338" s="46">
        <f>IFERROR(__xludf.DUMMYFUNCTION("""COMPUTED_VALUE"""),0.4640380197221629)</f>
        <v>0.4640380197</v>
      </c>
    </row>
    <row r="339">
      <c r="A339" s="6" t="str">
        <f>IF(VLOOKUP(H339,'Paste #BBall'!$B$2:$N1001,3,)="BRO","BKN",IF(VLOOKUP(H339,'Paste #BBall'!$B$2:$N1001,3,)="OKL","OKC",VLOOKUP(H339,'Paste #BBall'!$B$2:$N1001,3,)))</f>
        <v>DEN</v>
      </c>
      <c r="B339" s="42">
        <f>VLOOKUP($A339,Schedule!$C$2:$G$31,2,0)</f>
        <v>3</v>
      </c>
      <c r="C339" s="42">
        <f>VLOOKUP($A339,Schedule!$C$2:$G$31,3,0)</f>
        <v>4</v>
      </c>
      <c r="D339" s="42">
        <f>VLOOKUP($A339,Schedule!$C$2:$G$31,4,0)</f>
        <v>3</v>
      </c>
      <c r="E339" s="42">
        <f t="shared" si="1"/>
        <v>10</v>
      </c>
      <c r="F339" s="6">
        <v>333.0</v>
      </c>
      <c r="G339" s="45">
        <f>IFERROR(__xludf.DUMMYFUNCTION("""COMPUTED_VALUE"""),345.0)</f>
        <v>345</v>
      </c>
      <c r="H339" s="45" t="str">
        <f>IFERROR(__xludf.DUMMYFUNCTION("""COMPUTED_VALUE"""),"DeAndre Jordan")</f>
        <v>DeAndre Jordan</v>
      </c>
      <c r="I339" s="45">
        <f>IFERROR(__xludf.DUMMYFUNCTION("""COMPUTED_VALUE"""),33.0)</f>
        <v>33</v>
      </c>
      <c r="J339" s="46" t="str">
        <f>IFERROR(__xludf.DUMMYFUNCTION("""COMPUTED_VALUE"""),"C")</f>
        <v>C</v>
      </c>
      <c r="K339" s="46">
        <f>IFERROR(__xludf.DUMMYFUNCTION("""COMPUTED_VALUE"""),-9.297505592733183)</f>
        <v>-9.297505593</v>
      </c>
      <c r="L339" s="47">
        <f>IFERROR(__xludf.DUMMYFUNCTION("""COMPUTED_VALUE"""),-5.630062946804136)</f>
        <v>-5.630062947</v>
      </c>
      <c r="M339" s="47">
        <f>IFERROR(__xludf.DUMMYFUNCTION("""COMPUTED_VALUE"""),3.6674426459290466)</f>
        <v>3.667442646</v>
      </c>
      <c r="N339" s="47">
        <f>IFERROR(__xludf.DUMMYFUNCTION("""COMPUTED_VALUE"""),3.5)</f>
        <v>3.5</v>
      </c>
      <c r="O339" s="47">
        <f>IFERROR(__xludf.DUMMYFUNCTION("""COMPUTED_VALUE"""),0.0)</f>
        <v>0</v>
      </c>
      <c r="P339" s="47">
        <f>IFERROR(__xludf.DUMMYFUNCTION("""COMPUTED_VALUE"""),4.1)</f>
        <v>4.1</v>
      </c>
      <c r="Q339" s="48">
        <f>IFERROR(__xludf.DUMMYFUNCTION("""COMPUTED_VALUE"""),0.5)</f>
        <v>0.5</v>
      </c>
      <c r="R339" s="47">
        <f>IFERROR(__xludf.DUMMYFUNCTION("""COMPUTED_VALUE"""),0.2)</f>
        <v>0.2</v>
      </c>
      <c r="S339" s="47">
        <f>IFERROR(__xludf.DUMMYFUNCTION("""COMPUTED_VALUE"""),0.5)</f>
        <v>0.5</v>
      </c>
      <c r="T339" s="47">
        <f>IFERROR(__xludf.DUMMYFUNCTION("""COMPUTED_VALUE"""),72.72727272727273)</f>
        <v>72.72727273</v>
      </c>
      <c r="U339" s="47">
        <f>IFERROR(__xludf.DUMMYFUNCTION("""COMPUTED_VALUE"""),50.0)</f>
        <v>50</v>
      </c>
      <c r="V339" s="47">
        <f>IFERROR(__xludf.DUMMYFUNCTION("""COMPUTED_VALUE"""),0.7)</f>
        <v>0.7</v>
      </c>
      <c r="W339" s="46">
        <f>IFERROR(__xludf.DUMMYFUNCTION("""COMPUTED_VALUE"""),-2.3183611923586844)</f>
        <v>-2.318361192</v>
      </c>
      <c r="X339" s="46">
        <f>IFERROR(__xludf.DUMMYFUNCTION("""COMPUTED_VALUE"""),-1.4261378116187227)</f>
        <v>-1.426137812</v>
      </c>
      <c r="Y339" s="46">
        <f>IFERROR(__xludf.DUMMYFUNCTION("""COMPUTED_VALUE"""),-0.8343560131928446)</f>
        <v>-0.8343560132</v>
      </c>
      <c r="Z339" s="46">
        <f>IFERROR(__xludf.DUMMYFUNCTION("""COMPUTED_VALUE"""),-1.7055222795050142)</f>
        <v>-1.70552228</v>
      </c>
      <c r="AA339" s="46">
        <f>IFERROR(__xludf.DUMMYFUNCTION("""COMPUTED_VALUE"""),-1.732769878353462)</f>
        <v>-1.732769878</v>
      </c>
      <c r="AB339" s="46">
        <f>IFERROR(__xludf.DUMMYFUNCTION("""COMPUTED_VALUE"""),-0.2643825572058105)</f>
        <v>-0.2643825572</v>
      </c>
      <c r="AC339" s="46">
        <f>IFERROR(__xludf.DUMMYFUNCTION("""COMPUTED_VALUE"""),0.5082567449280592)</f>
        <v>0.5082567449</v>
      </c>
      <c r="AD339" s="46">
        <f>IFERROR(__xludf.DUMMYFUNCTION("""COMPUTED_VALUE"""),-0.5770966622490458)</f>
        <v>-0.5770966622</v>
      </c>
      <c r="AE339" s="46">
        <f>IFERROR(__xludf.DUMMYFUNCTION("""COMPUTED_VALUE"""),0.4019455103927031)</f>
        <v>0.4019455104</v>
      </c>
    </row>
    <row r="340">
      <c r="A340" s="6" t="str">
        <f>IF(VLOOKUP(H340,'Paste #BBall'!$B$2:$N1001,3,)="BRO","BKN",IF(VLOOKUP(H340,'Paste #BBall'!$B$2:$N1001,3,)="OKL","OKC",VLOOKUP(H340,'Paste #BBall'!$B$2:$N1001,3,)))</f>
        <v>PHO</v>
      </c>
      <c r="B340" s="42">
        <f>VLOOKUP($A340,Schedule!$C$2:$G$31,2,0)</f>
        <v>3</v>
      </c>
      <c r="C340" s="42">
        <f>VLOOKUP($A340,Schedule!$C$2:$G$31,3,0)</f>
        <v>4</v>
      </c>
      <c r="D340" s="42">
        <f>VLOOKUP($A340,Schedule!$C$2:$G$31,4,0)</f>
        <v>3</v>
      </c>
      <c r="E340" s="42">
        <f t="shared" si="1"/>
        <v>10</v>
      </c>
      <c r="F340" s="6">
        <v>334.0</v>
      </c>
      <c r="G340" s="45">
        <f>IFERROR(__xludf.DUMMYFUNCTION("""COMPUTED_VALUE"""),340.0)</f>
        <v>340</v>
      </c>
      <c r="H340" s="45" t="str">
        <f>IFERROR(__xludf.DUMMYFUNCTION("""COMPUTED_VALUE"""),"Saben Lee")</f>
        <v>Saben Lee</v>
      </c>
      <c r="I340" s="45">
        <f>IFERROR(__xludf.DUMMYFUNCTION("""COMPUTED_VALUE"""),10.0)</f>
        <v>10</v>
      </c>
      <c r="J340" s="46" t="str">
        <f>IFERROR(__xludf.DUMMYFUNCTION("""COMPUTED_VALUE"""),"PG")</f>
        <v>PG</v>
      </c>
      <c r="K340" s="46">
        <f>IFERROR(__xludf.DUMMYFUNCTION("""COMPUTED_VALUE"""),-9.105151318475151)</f>
        <v>-9.105151318</v>
      </c>
      <c r="L340" s="47">
        <f>IFERROR(__xludf.DUMMYFUNCTION("""COMPUTED_VALUE"""),-5.639128405320248)</f>
        <v>-5.639128405</v>
      </c>
      <c r="M340" s="47">
        <f>IFERROR(__xludf.DUMMYFUNCTION("""COMPUTED_VALUE"""),3.4660229131549034)</f>
        <v>3.466022913</v>
      </c>
      <c r="N340" s="47">
        <f>IFERROR(__xludf.DUMMYFUNCTION("""COMPUTED_VALUE"""),3.9)</f>
        <v>3.9</v>
      </c>
      <c r="O340" s="47">
        <f>IFERROR(__xludf.DUMMYFUNCTION("""COMPUTED_VALUE"""),0.3)</f>
        <v>0.3</v>
      </c>
      <c r="P340" s="47">
        <f>IFERROR(__xludf.DUMMYFUNCTION("""COMPUTED_VALUE"""),1.4)</f>
        <v>1.4</v>
      </c>
      <c r="Q340" s="48">
        <f>IFERROR(__xludf.DUMMYFUNCTION("""COMPUTED_VALUE"""),1.9)</f>
        <v>1.9</v>
      </c>
      <c r="R340" s="47">
        <f>IFERROR(__xludf.DUMMYFUNCTION("""COMPUTED_VALUE"""),0.6)</f>
        <v>0.6</v>
      </c>
      <c r="S340" s="47">
        <f>IFERROR(__xludf.DUMMYFUNCTION("""COMPUTED_VALUE"""),0.1)</f>
        <v>0.1</v>
      </c>
      <c r="T340" s="47">
        <f>IFERROR(__xludf.DUMMYFUNCTION("""COMPUTED_VALUE"""),40.625)</f>
        <v>40.625</v>
      </c>
      <c r="U340" s="47">
        <f>IFERROR(__xludf.DUMMYFUNCTION("""COMPUTED_VALUE"""),78.57142857142858)</f>
        <v>78.57142857</v>
      </c>
      <c r="V340" s="47">
        <f>IFERROR(__xludf.DUMMYFUNCTION("""COMPUTED_VALUE"""),0.6)</f>
        <v>0.6</v>
      </c>
      <c r="W340" s="46">
        <f>IFERROR(__xludf.DUMMYFUNCTION("""COMPUTED_VALUE"""),-2.2509506415752965)</f>
        <v>-2.250950642</v>
      </c>
      <c r="X340" s="46">
        <f>IFERROR(__xludf.DUMMYFUNCTION("""COMPUTED_VALUE"""),-1.1659991755309944)</f>
        <v>-1.165999176</v>
      </c>
      <c r="Y340" s="46">
        <f>IFERROR(__xludf.DUMMYFUNCTION("""COMPUTED_VALUE"""),-1.963370999304111)</f>
        <v>-1.963370999</v>
      </c>
      <c r="Z340" s="46">
        <f>IFERROR(__xludf.DUMMYFUNCTION("""COMPUTED_VALUE"""),-0.9914878323438243)</f>
        <v>-0.9914878323</v>
      </c>
      <c r="AA340" s="46">
        <f>IFERROR(__xludf.DUMMYFUNCTION("""COMPUTED_VALUE"""),-0.860570275155411)</f>
        <v>-0.8605702752</v>
      </c>
      <c r="AB340" s="46">
        <f>IFERROR(__xludf.DUMMYFUNCTION("""COMPUTED_VALUE"""),-0.7896459158928509)</f>
        <v>-0.7896459159</v>
      </c>
      <c r="AC340" s="46">
        <f>IFERROR(__xludf.DUMMYFUNCTION("""COMPUTED_VALUE"""),-0.28682426467286753)</f>
        <v>-0.2868242647</v>
      </c>
      <c r="AD340" s="46">
        <f>IFERROR(__xludf.DUMMYFUNCTION("""COMPUTED_VALUE"""),-0.014221707477619961)</f>
        <v>-0.01422170748</v>
      </c>
      <c r="AE340" s="46">
        <f>IFERROR(__xludf.DUMMYFUNCTION("""COMPUTED_VALUE"""),0.43299176505743303)</f>
        <v>0.4329917651</v>
      </c>
    </row>
    <row r="341">
      <c r="A341" s="6" t="str">
        <f>IF(VLOOKUP(H341,'Paste #BBall'!$B$2:$N1001,3,)="BRO","BKN",IF(VLOOKUP(H341,'Paste #BBall'!$B$2:$N1001,3,)="OKL","OKC",VLOOKUP(H341,'Paste #BBall'!$B$2:$N1001,3,)))</f>
        <v>DEN</v>
      </c>
      <c r="B341" s="42">
        <f>VLOOKUP($A341,Schedule!$C$2:$G$31,2,0)</f>
        <v>3</v>
      </c>
      <c r="C341" s="42">
        <f>VLOOKUP($A341,Schedule!$C$2:$G$31,3,0)</f>
        <v>4</v>
      </c>
      <c r="D341" s="42">
        <f>VLOOKUP($A341,Schedule!$C$2:$G$31,4,0)</f>
        <v>3</v>
      </c>
      <c r="E341" s="42">
        <f t="shared" si="1"/>
        <v>10</v>
      </c>
      <c r="F341" s="6">
        <v>335.0</v>
      </c>
      <c r="G341" s="45">
        <f>IFERROR(__xludf.DUMMYFUNCTION("""COMPUTED_VALUE"""),332.0)</f>
        <v>332</v>
      </c>
      <c r="H341" s="45" t="str">
        <f>IFERROR(__xludf.DUMMYFUNCTION("""COMPUTED_VALUE"""),"Justin Holiday")</f>
        <v>Justin Holiday</v>
      </c>
      <c r="I341" s="45">
        <f>IFERROR(__xludf.DUMMYFUNCTION("""COMPUTED_VALUE"""),68.0)</f>
        <v>68</v>
      </c>
      <c r="J341" s="46" t="str">
        <f>IFERROR(__xludf.DUMMYFUNCTION("""COMPUTED_VALUE"""),"SG,SF")</f>
        <v>SG,SF</v>
      </c>
      <c r="K341" s="46">
        <f>IFERROR(__xludf.DUMMYFUNCTION("""COMPUTED_VALUE"""),-8.855628759770262)</f>
        <v>-8.85562876</v>
      </c>
      <c r="L341" s="47">
        <f>IFERROR(__xludf.DUMMYFUNCTION("""COMPUTED_VALUE"""),-5.64174342521894)</f>
        <v>-5.641743425</v>
      </c>
      <c r="M341" s="47">
        <f>IFERROR(__xludf.DUMMYFUNCTION("""COMPUTED_VALUE"""),3.213885334551322)</f>
        <v>3.213885335</v>
      </c>
      <c r="N341" s="47">
        <f>IFERROR(__xludf.DUMMYFUNCTION("""COMPUTED_VALUE"""),5.4)</f>
        <v>5.4</v>
      </c>
      <c r="O341" s="47">
        <f>IFERROR(__xludf.DUMMYFUNCTION("""COMPUTED_VALUE"""),1.3)</f>
        <v>1.3</v>
      </c>
      <c r="P341" s="47">
        <f>IFERROR(__xludf.DUMMYFUNCTION("""COMPUTED_VALUE"""),1.4)</f>
        <v>1.4</v>
      </c>
      <c r="Q341" s="48">
        <f>IFERROR(__xludf.DUMMYFUNCTION("""COMPUTED_VALUE"""),1.0)</f>
        <v>1</v>
      </c>
      <c r="R341" s="47">
        <f>IFERROR(__xludf.DUMMYFUNCTION("""COMPUTED_VALUE"""),0.4)</f>
        <v>0.4</v>
      </c>
      <c r="S341" s="47">
        <f>IFERROR(__xludf.DUMMYFUNCTION("""COMPUTED_VALUE"""),0.3)</f>
        <v>0.3</v>
      </c>
      <c r="T341" s="47">
        <f>IFERROR(__xludf.DUMMYFUNCTION("""COMPUTED_VALUE"""),38.77551020408163)</f>
        <v>38.7755102</v>
      </c>
      <c r="U341" s="47">
        <f>IFERROR(__xludf.DUMMYFUNCTION("""COMPUTED_VALUE"""),74.99999999999999)</f>
        <v>75</v>
      </c>
      <c r="V341" s="47">
        <f>IFERROR(__xludf.DUMMYFUNCTION("""COMPUTED_VALUE"""),0.5)</f>
        <v>0.5</v>
      </c>
      <c r="W341" s="46">
        <f>IFERROR(__xludf.DUMMYFUNCTION("""COMPUTED_VALUE"""),-1.9981610761375916)</f>
        <v>-1.998161076</v>
      </c>
      <c r="X341" s="46">
        <f>IFERROR(__xludf.DUMMYFUNCTION("""COMPUTED_VALUE"""),-0.2988703885719002)</f>
        <v>-0.2988703886</v>
      </c>
      <c r="Y341" s="46">
        <f>IFERROR(__xludf.DUMMYFUNCTION("""COMPUTED_VALUE"""),-1.963370999304111)</f>
        <v>-1.963370999</v>
      </c>
      <c r="Z341" s="46">
        <f>IFERROR(__xludf.DUMMYFUNCTION("""COMPUTED_VALUE"""),-1.4505099769474463)</f>
        <v>-1.450509977</v>
      </c>
      <c r="AA341" s="46">
        <f>IFERROR(__xludf.DUMMYFUNCTION("""COMPUTED_VALUE"""),-1.2966700767544366)</f>
        <v>-1.296670077</v>
      </c>
      <c r="AB341" s="46">
        <f>IFERROR(__xludf.DUMMYFUNCTION("""COMPUTED_VALUE"""),-0.5270142365493308)</f>
        <v>-0.5270142365</v>
      </c>
      <c r="AC341" s="46">
        <f>IFERROR(__xludf.DUMMYFUNCTION("""COMPUTED_VALUE"""),-0.5297217985539086)</f>
        <v>-0.5297217986</v>
      </c>
      <c r="AD341" s="46">
        <f>IFERROR(__xludf.DUMMYFUNCTION("""COMPUTED_VALUE"""),-0.039623968259970534)</f>
        <v>-0.03962396826</v>
      </c>
      <c r="AE341" s="46">
        <f>IFERROR(__xludf.DUMMYFUNCTION("""COMPUTED_VALUE"""),0.4640380197221629)</f>
        <v>0.4640380197</v>
      </c>
    </row>
    <row r="342">
      <c r="A342" s="6" t="str">
        <f>IF(VLOOKUP(H342,'Paste #BBall'!$B$2:$N1001,3,)="BRO","BKN",IF(VLOOKUP(H342,'Paste #BBall'!$B$2:$N1001,3,)="OKL","OKC",VLOOKUP(H342,'Paste #BBall'!$B$2:$N1001,3,)))</f>
        <v>DEN</v>
      </c>
      <c r="B342" s="42">
        <f>VLOOKUP($A342,Schedule!$C$2:$G$31,2,0)</f>
        <v>3</v>
      </c>
      <c r="C342" s="42">
        <f>VLOOKUP($A342,Schedule!$C$2:$G$31,3,0)</f>
        <v>4</v>
      </c>
      <c r="D342" s="42">
        <f>VLOOKUP($A342,Schedule!$C$2:$G$31,4,0)</f>
        <v>3</v>
      </c>
      <c r="E342" s="42">
        <f t="shared" si="1"/>
        <v>10</v>
      </c>
      <c r="F342" s="6">
        <v>336.0</v>
      </c>
      <c r="G342" s="45">
        <f>IFERROR(__xludf.DUMMYFUNCTION("""COMPUTED_VALUE"""),325.0)</f>
        <v>325</v>
      </c>
      <c r="H342" s="45" t="str">
        <f>IFERROR(__xludf.DUMMYFUNCTION("""COMPUTED_VALUE"""),"Peyton Watson")</f>
        <v>Peyton Watson</v>
      </c>
      <c r="I342" s="45">
        <f>IFERROR(__xludf.DUMMYFUNCTION("""COMPUTED_VALUE"""),69.0)</f>
        <v>69</v>
      </c>
      <c r="J342" s="46" t="str">
        <f>IFERROR(__xludf.DUMMYFUNCTION("""COMPUTED_VALUE"""),"SG,SF")</f>
        <v>SG,SF</v>
      </c>
      <c r="K342" s="46">
        <f>IFERROR(__xludf.DUMMYFUNCTION("""COMPUTED_VALUE"""),-8.692988997161788)</f>
        <v>-8.692988997</v>
      </c>
      <c r="L342" s="47">
        <f>IFERROR(__xludf.DUMMYFUNCTION("""COMPUTED_VALUE"""),-5.6571547081417854)</f>
        <v>-5.657154708</v>
      </c>
      <c r="M342" s="47">
        <f>IFERROR(__xludf.DUMMYFUNCTION("""COMPUTED_VALUE"""),3.035834289020002)</f>
        <v>3.035834289</v>
      </c>
      <c r="N342" s="47">
        <f>IFERROR(__xludf.DUMMYFUNCTION("""COMPUTED_VALUE"""),6.5)</f>
        <v>6.5</v>
      </c>
      <c r="O342" s="47">
        <f>IFERROR(__xludf.DUMMYFUNCTION("""COMPUTED_VALUE"""),0.5)</f>
        <v>0.5</v>
      </c>
      <c r="P342" s="47">
        <f>IFERROR(__xludf.DUMMYFUNCTION("""COMPUTED_VALUE"""),3.2)</f>
        <v>3.2</v>
      </c>
      <c r="Q342" s="48">
        <f>IFERROR(__xludf.DUMMYFUNCTION("""COMPUTED_VALUE"""),0.9)</f>
        <v>0.9</v>
      </c>
      <c r="R342" s="47">
        <f>IFERROR(__xludf.DUMMYFUNCTION("""COMPUTED_VALUE"""),0.2)</f>
        <v>0.2</v>
      </c>
      <c r="S342" s="47">
        <f>IFERROR(__xludf.DUMMYFUNCTION("""COMPUTED_VALUE"""),0.9)</f>
        <v>0.9</v>
      </c>
      <c r="T342" s="47">
        <f>IFERROR(__xludf.DUMMYFUNCTION("""COMPUTED_VALUE"""),49.01960784313726)</f>
        <v>49.01960784</v>
      </c>
      <c r="U342" s="47">
        <f>IFERROR(__xludf.DUMMYFUNCTION("""COMPUTED_VALUE"""),58.82352941176471)</f>
        <v>58.82352941</v>
      </c>
      <c r="V342" s="47">
        <f>IFERROR(__xludf.DUMMYFUNCTION("""COMPUTED_VALUE"""),0.7)</f>
        <v>0.7</v>
      </c>
      <c r="W342" s="46">
        <f>IFERROR(__xludf.DUMMYFUNCTION("""COMPUTED_VALUE"""),-1.8127820614832748)</f>
        <v>-1.812782061</v>
      </c>
      <c r="X342" s="46">
        <f>IFERROR(__xludf.DUMMYFUNCTION("""COMPUTED_VALUE"""),-0.9925734181391757)</f>
        <v>-0.9925734181</v>
      </c>
      <c r="Y342" s="46">
        <f>IFERROR(__xludf.DUMMYFUNCTION("""COMPUTED_VALUE"""),-1.2106943418965999)</f>
        <v>-1.210694342</v>
      </c>
      <c r="Z342" s="46">
        <f>IFERROR(__xludf.DUMMYFUNCTION("""COMPUTED_VALUE"""),-1.5015124374589601)</f>
        <v>-1.501512437</v>
      </c>
      <c r="AA342" s="46">
        <f>IFERROR(__xludf.DUMMYFUNCTION("""COMPUTED_VALUE"""),-1.732769878353462)</f>
        <v>-1.732769878</v>
      </c>
      <c r="AB342" s="46">
        <f>IFERROR(__xludf.DUMMYFUNCTION("""COMPUTED_VALUE"""),0.2608808014812299)</f>
        <v>0.2608808015</v>
      </c>
      <c r="AC342" s="46">
        <f>IFERROR(__xludf.DUMMYFUNCTION("""COMPUTED_VALUE"""),-0.02948708118512662)</f>
        <v>-0.02948708119</v>
      </c>
      <c r="AD342" s="46">
        <f>IFERROR(__xludf.DUMMYFUNCTION("""COMPUTED_VALUE"""),-0.8529438629823933)</f>
        <v>-0.852943863</v>
      </c>
      <c r="AE342" s="46">
        <f>IFERROR(__xludf.DUMMYFUNCTION("""COMPUTED_VALUE"""),0.4019455103927031)</f>
        <v>0.4019455104</v>
      </c>
    </row>
    <row r="343">
      <c r="A343" s="6" t="str">
        <f>IF(VLOOKUP(H343,'Paste #BBall'!$B$2:$N1001,3,)="BRO","BKN",IF(VLOOKUP(H343,'Paste #BBall'!$B$2:$N1001,3,)="OKL","OKC",VLOOKUP(H343,'Paste #BBall'!$B$2:$N1001,3,)))</f>
        <v>DAL</v>
      </c>
      <c r="B343" s="42">
        <f>VLOOKUP($A343,Schedule!$C$2:$G$31,2,0)</f>
        <v>3</v>
      </c>
      <c r="C343" s="42">
        <f>VLOOKUP($A343,Schedule!$C$2:$G$31,3,0)</f>
        <v>4</v>
      </c>
      <c r="D343" s="42">
        <f>VLOOKUP($A343,Schedule!$C$2:$G$31,4,0)</f>
        <v>2</v>
      </c>
      <c r="E343" s="42">
        <f t="shared" si="1"/>
        <v>9</v>
      </c>
      <c r="F343" s="6">
        <v>337.0</v>
      </c>
      <c r="G343" s="45">
        <f>IFERROR(__xludf.DUMMYFUNCTION("""COMPUTED_VALUE"""),318.0)</f>
        <v>318</v>
      </c>
      <c r="H343" s="45" t="str">
        <f>IFERROR(__xludf.DUMMYFUNCTION("""COMPUTED_VALUE"""),"Olivier-Maxence Prosper")</f>
        <v>Olivier-Maxence Prosper</v>
      </c>
      <c r="I343" s="45">
        <f>IFERROR(__xludf.DUMMYFUNCTION("""COMPUTED_VALUE"""),61.0)</f>
        <v>61</v>
      </c>
      <c r="J343" s="46" t="str">
        <f>IFERROR(__xludf.DUMMYFUNCTION("""COMPUTED_VALUE"""),"PF")</f>
        <v>PF</v>
      </c>
      <c r="K343" s="46">
        <f>IFERROR(__xludf.DUMMYFUNCTION("""COMPUTED_VALUE"""),-8.500817176891934)</f>
        <v>-8.500817177</v>
      </c>
      <c r="L343" s="47">
        <f>IFERROR(__xludf.DUMMYFUNCTION("""COMPUTED_VALUE"""),-5.664935494987204)</f>
        <v>-5.664935495</v>
      </c>
      <c r="M343" s="47">
        <f>IFERROR(__xludf.DUMMYFUNCTION("""COMPUTED_VALUE"""),2.8358816819047297)</f>
        <v>2.835881682</v>
      </c>
      <c r="N343" s="47">
        <f>IFERROR(__xludf.DUMMYFUNCTION("""COMPUTED_VALUE"""),7.2)</f>
        <v>7.2</v>
      </c>
      <c r="O343" s="47">
        <f>IFERROR(__xludf.DUMMYFUNCTION("""COMPUTED_VALUE"""),0.5)</f>
        <v>0.5</v>
      </c>
      <c r="P343" s="47">
        <f>IFERROR(__xludf.DUMMYFUNCTION("""COMPUTED_VALUE"""),2.9)</f>
        <v>2.9</v>
      </c>
      <c r="Q343" s="48">
        <f>IFERROR(__xludf.DUMMYFUNCTION("""COMPUTED_VALUE"""),0.6)</f>
        <v>0.6</v>
      </c>
      <c r="R343" s="47">
        <f>IFERROR(__xludf.DUMMYFUNCTION("""COMPUTED_VALUE"""),0.6)</f>
        <v>0.6</v>
      </c>
      <c r="S343" s="47">
        <f>IFERROR(__xludf.DUMMYFUNCTION("""COMPUTED_VALUE"""),0.2)</f>
        <v>0.2</v>
      </c>
      <c r="T343" s="47">
        <f>IFERROR(__xludf.DUMMYFUNCTION("""COMPUTED_VALUE"""),44.11764705882353)</f>
        <v>44.11764706</v>
      </c>
      <c r="U343" s="47">
        <f>IFERROR(__xludf.DUMMYFUNCTION("""COMPUTED_VALUE"""),70.0)</f>
        <v>70</v>
      </c>
      <c r="V343" s="47">
        <f>IFERROR(__xludf.DUMMYFUNCTION("""COMPUTED_VALUE"""),0.6)</f>
        <v>0.6</v>
      </c>
      <c r="W343" s="46">
        <f>IFERROR(__xludf.DUMMYFUNCTION("""COMPUTED_VALUE"""),-1.694813597612346)</f>
        <v>-1.694813598</v>
      </c>
      <c r="X343" s="46">
        <f>IFERROR(__xludf.DUMMYFUNCTION("""COMPUTED_VALUE"""),-0.9925734181391757)</f>
        <v>-0.9925734181</v>
      </c>
      <c r="Y343" s="46">
        <f>IFERROR(__xludf.DUMMYFUNCTION("""COMPUTED_VALUE"""),-1.3361404514645185)</f>
        <v>-1.336140451</v>
      </c>
      <c r="Z343" s="46">
        <f>IFERROR(__xludf.DUMMYFUNCTION("""COMPUTED_VALUE"""),-1.6545198189935006)</f>
        <v>-1.654519819</v>
      </c>
      <c r="AA343" s="46">
        <f>IFERROR(__xludf.DUMMYFUNCTION("""COMPUTED_VALUE"""),-0.860570275155411)</f>
        <v>-0.8605702752</v>
      </c>
      <c r="AB343" s="46">
        <f>IFERROR(__xludf.DUMMYFUNCTION("""COMPUTED_VALUE"""),-0.6583300762210907)</f>
        <v>-0.6583300762</v>
      </c>
      <c r="AC343" s="46">
        <f>IFERROR(__xludf.DUMMYFUNCTION("""COMPUTED_VALUE"""),-0.3722711179887382)</f>
        <v>-0.372271118</v>
      </c>
      <c r="AD343" s="46">
        <f>IFERROR(__xludf.DUMMYFUNCTION("""COMPUTED_VALUE"""),-0.22352210208220238)</f>
        <v>-0.2235221021</v>
      </c>
      <c r="AE343" s="46">
        <f>IFERROR(__xludf.DUMMYFUNCTION("""COMPUTED_VALUE"""),0.43299176505743303)</f>
        <v>0.4329917651</v>
      </c>
    </row>
    <row r="344">
      <c r="A344" s="6" t="str">
        <f>IF(VLOOKUP(H344,'Paste #BBall'!$B$2:$N1001,3,)="BRO","BKN",IF(VLOOKUP(H344,'Paste #BBall'!$B$2:$N1001,3,)="OKL","OKC",VLOOKUP(H344,'Paste #BBall'!$B$2:$N1001,3,)))</f>
        <v>MEM</v>
      </c>
      <c r="B344" s="42">
        <f>VLOOKUP($A344,Schedule!$C$2:$G$31,2,0)</f>
        <v>4</v>
      </c>
      <c r="C344" s="42">
        <f>VLOOKUP($A344,Schedule!$C$2:$G$31,3,0)</f>
        <v>3</v>
      </c>
      <c r="D344" s="42">
        <f>VLOOKUP($A344,Schedule!$C$2:$G$31,4,0)</f>
        <v>3</v>
      </c>
      <c r="E344" s="42">
        <f t="shared" si="1"/>
        <v>10</v>
      </c>
      <c r="F344" s="6">
        <v>338.0</v>
      </c>
      <c r="G344" s="45">
        <f>IFERROR(__xludf.DUMMYFUNCTION("""COMPUTED_VALUE"""),321.0)</f>
        <v>321</v>
      </c>
      <c r="H344" s="45" t="str">
        <f>IFERROR(__xludf.DUMMYFUNCTION("""COMPUTED_VALUE"""),"David Roddy")</f>
        <v>David Roddy</v>
      </c>
      <c r="I344" s="45">
        <f>IFERROR(__xludf.DUMMYFUNCTION("""COMPUTED_VALUE"""),70.0)</f>
        <v>70</v>
      </c>
      <c r="J344" s="46" t="str">
        <f>IFERROR(__xludf.DUMMYFUNCTION("""COMPUTED_VALUE"""),"SF,PF")</f>
        <v>SF,PF</v>
      </c>
      <c r="K344" s="46">
        <f>IFERROR(__xludf.DUMMYFUNCTION("""COMPUTED_VALUE"""),-8.603362396445414)</f>
        <v>-8.603362396</v>
      </c>
      <c r="L344" s="47">
        <f>IFERROR(__xludf.DUMMYFUNCTION("""COMPUTED_VALUE"""),-5.684999844415005)</f>
        <v>-5.684999844</v>
      </c>
      <c r="M344" s="47">
        <f>IFERROR(__xludf.DUMMYFUNCTION("""COMPUTED_VALUE"""),2.918362552030409)</f>
        <v>2.918362552</v>
      </c>
      <c r="N344" s="47">
        <f>IFERROR(__xludf.DUMMYFUNCTION("""COMPUTED_VALUE"""),7.1)</f>
        <v>7.1</v>
      </c>
      <c r="O344" s="47">
        <f>IFERROR(__xludf.DUMMYFUNCTION("""COMPUTED_VALUE"""),1.0)</f>
        <v>1</v>
      </c>
      <c r="P344" s="47">
        <f>IFERROR(__xludf.DUMMYFUNCTION("""COMPUTED_VALUE"""),3.0)</f>
        <v>3</v>
      </c>
      <c r="Q344" s="48">
        <f>IFERROR(__xludf.DUMMYFUNCTION("""COMPUTED_VALUE"""),0.9)</f>
        <v>0.9</v>
      </c>
      <c r="R344" s="47">
        <f>IFERROR(__xludf.DUMMYFUNCTION("""COMPUTED_VALUE"""),0.4)</f>
        <v>0.4</v>
      </c>
      <c r="S344" s="47">
        <f>IFERROR(__xludf.DUMMYFUNCTION("""COMPUTED_VALUE"""),0.3)</f>
        <v>0.3</v>
      </c>
      <c r="T344" s="47">
        <f>IFERROR(__xludf.DUMMYFUNCTION("""COMPUTED_VALUE"""),43.74999999999999)</f>
        <v>43.75</v>
      </c>
      <c r="U344" s="47">
        <f>IFERROR(__xludf.DUMMYFUNCTION("""COMPUTED_VALUE"""),60.0)</f>
        <v>60</v>
      </c>
      <c r="V344" s="47">
        <f>IFERROR(__xludf.DUMMYFUNCTION("""COMPUTED_VALUE"""),0.9)</f>
        <v>0.9</v>
      </c>
      <c r="W344" s="46">
        <f>IFERROR(__xludf.DUMMYFUNCTION("""COMPUTED_VALUE"""),-1.711666235308193)</f>
        <v>-1.711666235</v>
      </c>
      <c r="X344" s="46">
        <f>IFERROR(__xludf.DUMMYFUNCTION("""COMPUTED_VALUE"""),-0.5590090246596284)</f>
        <v>-0.5590090247</v>
      </c>
      <c r="Y344" s="46">
        <f>IFERROR(__xludf.DUMMYFUNCTION("""COMPUTED_VALUE"""),-1.2943250816085456)</f>
        <v>-1.294325082</v>
      </c>
      <c r="Z344" s="46">
        <f>IFERROR(__xludf.DUMMYFUNCTION("""COMPUTED_VALUE"""),-1.5015124374589601)</f>
        <v>-1.501512437</v>
      </c>
      <c r="AA344" s="46">
        <f>IFERROR(__xludf.DUMMYFUNCTION("""COMPUTED_VALUE"""),-1.2966700767544366)</f>
        <v>-1.296670077</v>
      </c>
      <c r="AB344" s="46">
        <f>IFERROR(__xludf.DUMMYFUNCTION("""COMPUTED_VALUE"""),-0.5270142365493308)</f>
        <v>-0.5270142365</v>
      </c>
      <c r="AC344" s="46">
        <f>IFERROR(__xludf.DUMMYFUNCTION("""COMPUTED_VALUE"""),-0.373875523500594)</f>
        <v>-0.3738755235</v>
      </c>
      <c r="AD344" s="46">
        <f>IFERROR(__xludf.DUMMYFUNCTION("""COMPUTED_VALUE"""),-0.4724464649467546)</f>
        <v>-0.4724464649</v>
      </c>
      <c r="AE344" s="46">
        <f>IFERROR(__xludf.DUMMYFUNCTION("""COMPUTED_VALUE"""),0.33985300106324323)</f>
        <v>0.3398530011</v>
      </c>
    </row>
    <row r="345">
      <c r="A345" s="6" t="str">
        <f>IF(VLOOKUP(H345,'Paste #BBall'!$B$2:$N1001,3,)="BRO","BKN",IF(VLOOKUP(H345,'Paste #BBall'!$B$2:$N1001,3,)="OKL","OKC",VLOOKUP(H345,'Paste #BBall'!$B$2:$N1001,3,)))</f>
        <v>DET</v>
      </c>
      <c r="B345" s="42">
        <f>VLOOKUP($A345,Schedule!$C$2:$G$31,2,0)</f>
        <v>3</v>
      </c>
      <c r="C345" s="42">
        <f>VLOOKUP($A345,Schedule!$C$2:$G$31,3,0)</f>
        <v>4</v>
      </c>
      <c r="D345" s="42">
        <f>VLOOKUP($A345,Schedule!$C$2:$G$31,4,0)</f>
        <v>4</v>
      </c>
      <c r="E345" s="42">
        <f t="shared" si="1"/>
        <v>11</v>
      </c>
      <c r="F345" s="6">
        <v>339.0</v>
      </c>
      <c r="G345" s="45">
        <f>IFERROR(__xludf.DUMMYFUNCTION("""COMPUTED_VALUE"""),336.0)</f>
        <v>336</v>
      </c>
      <c r="H345" s="45" t="str">
        <f>IFERROR(__xludf.DUMMYFUNCTION("""COMPUTED_VALUE"""),"Joe Harris")</f>
        <v>Joe Harris</v>
      </c>
      <c r="I345" s="45">
        <f>IFERROR(__xludf.DUMMYFUNCTION("""COMPUTED_VALUE"""),58.0)</f>
        <v>58</v>
      </c>
      <c r="J345" s="46" t="str">
        <f>IFERROR(__xludf.DUMMYFUNCTION("""COMPUTED_VALUE"""),"SG,SF")</f>
        <v>SG,SF</v>
      </c>
      <c r="K345" s="46">
        <f>IFERROR(__xludf.DUMMYFUNCTION("""COMPUTED_VALUE"""),-9.05056497530752)</f>
        <v>-9.050564975</v>
      </c>
      <c r="L345" s="47">
        <f>IFERROR(__xludf.DUMMYFUNCTION("""COMPUTED_VALUE"""),-5.7155384730049485)</f>
        <v>-5.715538473</v>
      </c>
      <c r="M345" s="47">
        <f>IFERROR(__xludf.DUMMYFUNCTION("""COMPUTED_VALUE"""),3.335026502302571)</f>
        <v>3.335026502</v>
      </c>
      <c r="N345" s="47">
        <f>IFERROR(__xludf.DUMMYFUNCTION("""COMPUTED_VALUE"""),5.7)</f>
        <v>5.7</v>
      </c>
      <c r="O345" s="47">
        <f>IFERROR(__xludf.DUMMYFUNCTION("""COMPUTED_VALUE"""),1.4)</f>
        <v>1.4</v>
      </c>
      <c r="P345" s="47">
        <f>IFERROR(__xludf.DUMMYFUNCTION("""COMPUTED_VALUE"""),1.7)</f>
        <v>1.7</v>
      </c>
      <c r="Q345" s="48">
        <f>IFERROR(__xludf.DUMMYFUNCTION("""COMPUTED_VALUE"""),0.9)</f>
        <v>0.9</v>
      </c>
      <c r="R345" s="47">
        <f>IFERROR(__xludf.DUMMYFUNCTION("""COMPUTED_VALUE"""),0.3)</f>
        <v>0.3</v>
      </c>
      <c r="S345" s="47">
        <f>IFERROR(__xludf.DUMMYFUNCTION("""COMPUTED_VALUE"""),0.1)</f>
        <v>0.1</v>
      </c>
      <c r="T345" s="47">
        <f>IFERROR(__xludf.DUMMYFUNCTION("""COMPUTED_VALUE"""),44.44444444444444)</f>
        <v>44.44444444</v>
      </c>
      <c r="U345" s="47">
        <f>IFERROR(__xludf.DUMMYFUNCTION("""COMPUTED_VALUE"""),66.66666666666667)</f>
        <v>66.66666667</v>
      </c>
      <c r="V345" s="47">
        <f>IFERROR(__xludf.DUMMYFUNCTION("""COMPUTED_VALUE"""),0.5)</f>
        <v>0.5</v>
      </c>
      <c r="W345" s="46">
        <f>IFERROR(__xludf.DUMMYFUNCTION("""COMPUTED_VALUE"""),-1.947603163050051)</f>
        <v>-1.947603163</v>
      </c>
      <c r="X345" s="46">
        <f>IFERROR(__xludf.DUMMYFUNCTION("""COMPUTED_VALUE"""),-0.21215750987599089)</f>
        <v>-0.2121575099</v>
      </c>
      <c r="Y345" s="46">
        <f>IFERROR(__xludf.DUMMYFUNCTION("""COMPUTED_VALUE"""),-1.8379248897361926)</f>
        <v>-1.83792489</v>
      </c>
      <c r="Z345" s="46">
        <f>IFERROR(__xludf.DUMMYFUNCTION("""COMPUTED_VALUE"""),-1.5015124374589601)</f>
        <v>-1.501512437</v>
      </c>
      <c r="AA345" s="46">
        <f>IFERROR(__xludf.DUMMYFUNCTION("""COMPUTED_VALUE"""),-1.5147199775539493)</f>
        <v>-1.514719978</v>
      </c>
      <c r="AB345" s="46">
        <f>IFERROR(__xludf.DUMMYFUNCTION("""COMPUTED_VALUE"""),-0.7896459158928509)</f>
        <v>-0.7896459159</v>
      </c>
      <c r="AC345" s="46">
        <f>IFERROR(__xludf.DUMMYFUNCTION("""COMPUTED_VALUE"""),-0.2316666952980517)</f>
        <v>-0.2316666953</v>
      </c>
      <c r="AD345" s="46">
        <f>IFERROR(__xludf.DUMMYFUNCTION("""COMPUTED_VALUE"""),-0.09194906691111586)</f>
        <v>-0.09194906691</v>
      </c>
      <c r="AE345" s="46">
        <f>IFERROR(__xludf.DUMMYFUNCTION("""COMPUTED_VALUE"""),0.4640380197221629)</f>
        <v>0.4640380197</v>
      </c>
    </row>
    <row r="346">
      <c r="A346" s="6" t="str">
        <f>IF(VLOOKUP(H346,'Paste #BBall'!$B$2:$N1001,3,)="BRO","BKN",IF(VLOOKUP(H346,'Paste #BBall'!$B$2:$N1001,3,)="OKL","OKC",VLOOKUP(H346,'Paste #BBall'!$B$2:$N1001,3,)))</f>
        <v>DAL</v>
      </c>
      <c r="B346" s="42">
        <f>VLOOKUP($A346,Schedule!$C$2:$G$31,2,0)</f>
        <v>3</v>
      </c>
      <c r="C346" s="42">
        <f>VLOOKUP($A346,Schedule!$C$2:$G$31,3,0)</f>
        <v>4</v>
      </c>
      <c r="D346" s="42">
        <f>VLOOKUP($A346,Schedule!$C$2:$G$31,4,0)</f>
        <v>2</v>
      </c>
      <c r="E346" s="42">
        <f t="shared" si="1"/>
        <v>9</v>
      </c>
      <c r="F346" s="6">
        <v>340.0</v>
      </c>
      <c r="G346" s="45">
        <f>IFERROR(__xludf.DUMMYFUNCTION("""COMPUTED_VALUE"""),342.0)</f>
        <v>342</v>
      </c>
      <c r="H346" s="45" t="str">
        <f>IFERROR(__xludf.DUMMYFUNCTION("""COMPUTED_VALUE"""),"Derrick Jones Jr.")</f>
        <v>Derrick Jones Jr.</v>
      </c>
      <c r="I346" s="45">
        <f>IFERROR(__xludf.DUMMYFUNCTION("""COMPUTED_VALUE"""),54.0)</f>
        <v>54</v>
      </c>
      <c r="J346" s="46" t="str">
        <f>IFERROR(__xludf.DUMMYFUNCTION("""COMPUTED_VALUE"""),"SF")</f>
        <v>SF</v>
      </c>
      <c r="K346" s="46">
        <f>IFERROR(__xludf.DUMMYFUNCTION("""COMPUTED_VALUE"""),-9.11414328516367)</f>
        <v>-9.114143285</v>
      </c>
      <c r="L346" s="47">
        <f>IFERROR(__xludf.DUMMYFUNCTION("""COMPUTED_VALUE"""),-5.726962127586025)</f>
        <v>-5.726962128</v>
      </c>
      <c r="M346" s="47">
        <f>IFERROR(__xludf.DUMMYFUNCTION("""COMPUTED_VALUE"""),3.387181157577646)</f>
        <v>3.387181158</v>
      </c>
      <c r="N346" s="47">
        <f>IFERROR(__xludf.DUMMYFUNCTION("""COMPUTED_VALUE"""),4.1)</f>
        <v>4.1</v>
      </c>
      <c r="O346" s="47">
        <f>IFERROR(__xludf.DUMMYFUNCTION("""COMPUTED_VALUE"""),0.3)</f>
        <v>0.3</v>
      </c>
      <c r="P346" s="47">
        <f>IFERROR(__xludf.DUMMYFUNCTION("""COMPUTED_VALUE"""),2.2)</f>
        <v>2.2</v>
      </c>
      <c r="Q346" s="48">
        <f>IFERROR(__xludf.DUMMYFUNCTION("""COMPUTED_VALUE"""),0.4)</f>
        <v>0.4</v>
      </c>
      <c r="R346" s="47">
        <f>IFERROR(__xludf.DUMMYFUNCTION("""COMPUTED_VALUE"""),0.4)</f>
        <v>0.4</v>
      </c>
      <c r="S346" s="47">
        <f>IFERROR(__xludf.DUMMYFUNCTION("""COMPUTED_VALUE"""),0.5)</f>
        <v>0.5</v>
      </c>
      <c r="T346" s="47">
        <f>IFERROR(__xludf.DUMMYFUNCTION("""COMPUTED_VALUE"""),51.724137931034484)</f>
        <v>51.72413793</v>
      </c>
      <c r="U346" s="47">
        <f>IFERROR(__xludf.DUMMYFUNCTION("""COMPUTED_VALUE"""),72.72727272727273)</f>
        <v>72.72727273</v>
      </c>
      <c r="V346" s="47">
        <f>IFERROR(__xludf.DUMMYFUNCTION("""COMPUTED_VALUE"""),0.4)</f>
        <v>0.4</v>
      </c>
      <c r="W346" s="46">
        <f>IFERROR(__xludf.DUMMYFUNCTION("""COMPUTED_VALUE"""),-2.2172453661836027)</f>
        <v>-2.217245366</v>
      </c>
      <c r="X346" s="46">
        <f>IFERROR(__xludf.DUMMYFUNCTION("""COMPUTED_VALUE"""),-1.1659991755309944)</f>
        <v>-1.165999176</v>
      </c>
      <c r="Y346" s="46">
        <f>IFERROR(__xludf.DUMMYFUNCTION("""COMPUTED_VALUE"""),-1.6288480404563284)</f>
        <v>-1.62884804</v>
      </c>
      <c r="Z346" s="46">
        <f>IFERROR(__xludf.DUMMYFUNCTION("""COMPUTED_VALUE"""),-1.7565247400165278)</f>
        <v>-1.75652474</v>
      </c>
      <c r="AA346" s="46">
        <f>IFERROR(__xludf.DUMMYFUNCTION("""COMPUTED_VALUE"""),-1.2966700767544366)</f>
        <v>-1.296670077</v>
      </c>
      <c r="AB346" s="46">
        <f>IFERROR(__xludf.DUMMYFUNCTION("""COMPUTED_VALUE"""),-0.2643825572058105)</f>
        <v>-0.2643825572</v>
      </c>
      <c r="AC346" s="46">
        <f>IFERROR(__xludf.DUMMYFUNCTION("""COMPUTED_VALUE"""),0.06157519142223835)</f>
        <v>0.06157519142</v>
      </c>
      <c r="AD346" s="46">
        <f>IFERROR(__xludf.DUMMYFUNCTION("""COMPUTED_VALUE"""),-0.1711970034310567)</f>
        <v>-0.1711970034</v>
      </c>
      <c r="AE346" s="46">
        <f>IFERROR(__xludf.DUMMYFUNCTION("""COMPUTED_VALUE"""),0.4950842743868928)</f>
        <v>0.4950842744</v>
      </c>
    </row>
    <row r="347">
      <c r="A347" s="6" t="str">
        <f>IF(VLOOKUP(H347,'Paste #BBall'!$B$2:$N1001,3,)="BRO","BKN",IF(VLOOKUP(H347,'Paste #BBall'!$B$2:$N1001,3,)="OKL","OKC",VLOOKUP(H347,'Paste #BBall'!$B$2:$N1001,3,)))</f>
        <v>BOS</v>
      </c>
      <c r="B347" s="42">
        <f>VLOOKUP($A347,Schedule!$C$2:$G$31,2,0)</f>
        <v>3</v>
      </c>
      <c r="C347" s="42">
        <f>VLOOKUP($A347,Schedule!$C$2:$G$31,3,0)</f>
        <v>4</v>
      </c>
      <c r="D347" s="42">
        <f>VLOOKUP($A347,Schedule!$C$2:$G$31,4,0)</f>
        <v>4</v>
      </c>
      <c r="E347" s="42">
        <f t="shared" si="1"/>
        <v>11</v>
      </c>
      <c r="F347" s="6">
        <v>341.0</v>
      </c>
      <c r="G347" s="45">
        <f>IFERROR(__xludf.DUMMYFUNCTION("""COMPUTED_VALUE"""),356.0)</f>
        <v>356</v>
      </c>
      <c r="H347" s="45" t="str">
        <f>IFERROR(__xludf.DUMMYFUNCTION("""COMPUTED_VALUE"""),"Luke Kornet")</f>
        <v>Luke Kornet</v>
      </c>
      <c r="I347" s="45">
        <f>IFERROR(__xludf.DUMMYFUNCTION("""COMPUTED_VALUE"""),54.0)</f>
        <v>54</v>
      </c>
      <c r="J347" s="46" t="str">
        <f>IFERROR(__xludf.DUMMYFUNCTION("""COMPUTED_VALUE"""),"C")</f>
        <v>C</v>
      </c>
      <c r="K347" s="46">
        <f>IFERROR(__xludf.DUMMYFUNCTION("""COMPUTED_VALUE"""),-9.523706620199249)</f>
        <v>-9.52370662</v>
      </c>
      <c r="L347" s="47">
        <f>IFERROR(__xludf.DUMMYFUNCTION("""COMPUTED_VALUE"""),-5.7750538607179)</f>
        <v>-5.775053861</v>
      </c>
      <c r="M347" s="47">
        <f>IFERROR(__xludf.DUMMYFUNCTION("""COMPUTED_VALUE"""),3.748652759481349)</f>
        <v>3.748652759</v>
      </c>
      <c r="N347" s="47">
        <f>IFERROR(__xludf.DUMMYFUNCTION("""COMPUTED_VALUE"""),3.1)</f>
        <v>3.1</v>
      </c>
      <c r="O347" s="47">
        <f>IFERROR(__xludf.DUMMYFUNCTION("""COMPUTED_VALUE"""),0.0)</f>
        <v>0</v>
      </c>
      <c r="P347" s="47">
        <f>IFERROR(__xludf.DUMMYFUNCTION("""COMPUTED_VALUE"""),2.4)</f>
        <v>2.4</v>
      </c>
      <c r="Q347" s="48">
        <f>IFERROR(__xludf.DUMMYFUNCTION("""COMPUTED_VALUE"""),0.7)</f>
        <v>0.7</v>
      </c>
      <c r="R347" s="47">
        <f>IFERROR(__xludf.DUMMYFUNCTION("""COMPUTED_VALUE"""),0.2)</f>
        <v>0.2</v>
      </c>
      <c r="S347" s="47">
        <f>IFERROR(__xludf.DUMMYFUNCTION("""COMPUTED_VALUE"""),0.5)</f>
        <v>0.5</v>
      </c>
      <c r="T347" s="47">
        <f>IFERROR(__xludf.DUMMYFUNCTION("""COMPUTED_VALUE"""),61.904761904761905)</f>
        <v>61.9047619</v>
      </c>
      <c r="U347" s="47">
        <f>IFERROR(__xludf.DUMMYFUNCTION("""COMPUTED_VALUE"""),80.0)</f>
        <v>80</v>
      </c>
      <c r="V347" s="47">
        <f>IFERROR(__xludf.DUMMYFUNCTION("""COMPUTED_VALUE"""),0.3)</f>
        <v>0.3</v>
      </c>
      <c r="W347" s="46">
        <f>IFERROR(__xludf.DUMMYFUNCTION("""COMPUTED_VALUE"""),-2.385771743142073)</f>
        <v>-2.385771743</v>
      </c>
      <c r="X347" s="46">
        <f>IFERROR(__xludf.DUMMYFUNCTION("""COMPUTED_VALUE"""),-1.4261378116187227)</f>
        <v>-1.426137812</v>
      </c>
      <c r="Y347" s="46">
        <f>IFERROR(__xludf.DUMMYFUNCTION("""COMPUTED_VALUE"""),-1.5452173007443828)</f>
        <v>-1.545217301</v>
      </c>
      <c r="Z347" s="46">
        <f>IFERROR(__xludf.DUMMYFUNCTION("""COMPUTED_VALUE"""),-1.603517358481987)</f>
        <v>-1.603517358</v>
      </c>
      <c r="AA347" s="46">
        <f>IFERROR(__xludf.DUMMYFUNCTION("""COMPUTED_VALUE"""),-1.732769878353462)</f>
        <v>-1.732769878</v>
      </c>
      <c r="AB347" s="46">
        <f>IFERROR(__xludf.DUMMYFUNCTION("""COMPUTED_VALUE"""),-0.2643825572058105)</f>
        <v>-0.2643825572</v>
      </c>
      <c r="AC347" s="46">
        <f>IFERROR(__xludf.DUMMYFUNCTION("""COMPUTED_VALUE"""),0.25813938624366856)</f>
        <v>0.2581393862</v>
      </c>
      <c r="AD347" s="46">
        <f>IFERROR(__xludf.DUMMYFUNCTION("""COMPUTED_VALUE"""),0.01270113039117512)</f>
        <v>0.01270113039</v>
      </c>
      <c r="AE347" s="46">
        <f>IFERROR(__xludf.DUMMYFUNCTION("""COMPUTED_VALUE"""),0.5261305290516227)</f>
        <v>0.5261305291</v>
      </c>
    </row>
    <row r="348">
      <c r="A348" s="6" t="str">
        <f>IF(VLOOKUP(H348,'Paste #BBall'!$B$2:$N1001,3,)="BRO","BKN",IF(VLOOKUP(H348,'Paste #BBall'!$B$2:$N1001,3,)="OKL","OKC",VLOOKUP(H348,'Paste #BBall'!$B$2:$N1001,3,)))</f>
        <v>CLE</v>
      </c>
      <c r="B348" s="42">
        <f>VLOOKUP($A348,Schedule!$C$2:$G$31,2,0)</f>
        <v>4</v>
      </c>
      <c r="C348" s="42">
        <f>VLOOKUP($A348,Schedule!$C$2:$G$31,3,0)</f>
        <v>3</v>
      </c>
      <c r="D348" s="42">
        <f>VLOOKUP($A348,Schedule!$C$2:$G$31,4,0)</f>
        <v>4</v>
      </c>
      <c r="E348" s="42">
        <f t="shared" si="1"/>
        <v>11</v>
      </c>
      <c r="F348" s="6">
        <v>342.0</v>
      </c>
      <c r="G348" s="45">
        <f>IFERROR(__xludf.DUMMYFUNCTION("""COMPUTED_VALUE"""),348.0)</f>
        <v>348</v>
      </c>
      <c r="H348" s="45" t="str">
        <f>IFERROR(__xludf.DUMMYFUNCTION("""COMPUTED_VALUE"""),"Damian Jones")</f>
        <v>Damian Jones</v>
      </c>
      <c r="I348" s="45">
        <f>IFERROR(__xludf.DUMMYFUNCTION("""COMPUTED_VALUE"""),62.0)</f>
        <v>62</v>
      </c>
      <c r="J348" s="46" t="str">
        <f>IFERROR(__xludf.DUMMYFUNCTION("""COMPUTED_VALUE"""),"C")</f>
        <v>C</v>
      </c>
      <c r="K348" s="46">
        <f>IFERROR(__xludf.DUMMYFUNCTION("""COMPUTED_VALUE"""),-9.321820087269359)</f>
        <v>-9.321820087</v>
      </c>
      <c r="L348" s="47">
        <f>IFERROR(__xludf.DUMMYFUNCTION("""COMPUTED_VALUE"""),-5.831258692203551)</f>
        <v>-5.831258692</v>
      </c>
      <c r="M348" s="47">
        <f>IFERROR(__xludf.DUMMYFUNCTION("""COMPUTED_VALUE"""),3.490561395065807)</f>
        <v>3.490561395</v>
      </c>
      <c r="N348" s="47">
        <f>IFERROR(__xludf.DUMMYFUNCTION("""COMPUTED_VALUE"""),4.2)</f>
        <v>4.2</v>
      </c>
      <c r="O348" s="47">
        <f>IFERROR(__xludf.DUMMYFUNCTION("""COMPUTED_VALUE"""),0.1)</f>
        <v>0.1</v>
      </c>
      <c r="P348" s="47">
        <f>IFERROR(__xludf.DUMMYFUNCTION("""COMPUTED_VALUE"""),2.6)</f>
        <v>2.6</v>
      </c>
      <c r="Q348" s="48">
        <f>IFERROR(__xludf.DUMMYFUNCTION("""COMPUTED_VALUE"""),0.6)</f>
        <v>0.6</v>
      </c>
      <c r="R348" s="47">
        <f>IFERROR(__xludf.DUMMYFUNCTION("""COMPUTED_VALUE"""),0.2)</f>
        <v>0.2</v>
      </c>
      <c r="S348" s="47">
        <f>IFERROR(__xludf.DUMMYFUNCTION("""COMPUTED_VALUE"""),0.5)</f>
        <v>0.5</v>
      </c>
      <c r="T348" s="47">
        <f>IFERROR(__xludf.DUMMYFUNCTION("""COMPUTED_VALUE"""),64.0)</f>
        <v>64</v>
      </c>
      <c r="U348" s="47">
        <f>IFERROR(__xludf.DUMMYFUNCTION("""COMPUTED_VALUE"""),72.72727272727273)</f>
        <v>72.72727273</v>
      </c>
      <c r="V348" s="47">
        <f>IFERROR(__xludf.DUMMYFUNCTION("""COMPUTED_VALUE"""),0.6)</f>
        <v>0.6</v>
      </c>
      <c r="W348" s="46">
        <f>IFERROR(__xludf.DUMMYFUNCTION("""COMPUTED_VALUE"""),-2.200392728487756)</f>
        <v>-2.200392728</v>
      </c>
      <c r="X348" s="46">
        <f>IFERROR(__xludf.DUMMYFUNCTION("""COMPUTED_VALUE"""),-1.3394249329228134)</f>
        <v>-1.339424933</v>
      </c>
      <c r="Y348" s="46">
        <f>IFERROR(__xludf.DUMMYFUNCTION("""COMPUTED_VALUE"""),-1.461586561032437)</f>
        <v>-1.461586561</v>
      </c>
      <c r="Z348" s="46">
        <f>IFERROR(__xludf.DUMMYFUNCTION("""COMPUTED_VALUE"""),-1.6545198189935006)</f>
        <v>-1.654519819</v>
      </c>
      <c r="AA348" s="46">
        <f>IFERROR(__xludf.DUMMYFUNCTION("""COMPUTED_VALUE"""),-1.732769878353462)</f>
        <v>-1.732769878</v>
      </c>
      <c r="AB348" s="46">
        <f>IFERROR(__xludf.DUMMYFUNCTION("""COMPUTED_VALUE"""),-0.2643825572058105)</f>
        <v>-0.2643825572</v>
      </c>
      <c r="AC348" s="46">
        <f>IFERROR(__xludf.DUMMYFUNCTION("""COMPUTED_VALUE"""),0.35963029467809476)</f>
        <v>0.3596302947</v>
      </c>
      <c r="AD348" s="46">
        <f>IFERROR(__xludf.DUMMYFUNCTION("""COMPUTED_VALUE"""),-0.1711970034310567)</f>
        <v>-0.1711970034</v>
      </c>
      <c r="AE348" s="46">
        <f>IFERROR(__xludf.DUMMYFUNCTION("""COMPUTED_VALUE"""),0.43299176505743303)</f>
        <v>0.4329917651</v>
      </c>
    </row>
    <row r="349">
      <c r="A349" s="6" t="str">
        <f>IF(VLOOKUP(H349,'Paste #BBall'!$B$2:$N1001,3,)="BRO","BKN",IF(VLOOKUP(H349,'Paste #BBall'!$B$2:$N1001,3,)="OKL","OKC",VLOOKUP(H349,'Paste #BBall'!$B$2:$N1001,3,)))</f>
        <v>SAC</v>
      </c>
      <c r="B349" s="42">
        <f>VLOOKUP($A349,Schedule!$C$2:$G$31,2,0)</f>
        <v>4</v>
      </c>
      <c r="C349" s="42">
        <f>VLOOKUP($A349,Schedule!$C$2:$G$31,3,0)</f>
        <v>3</v>
      </c>
      <c r="D349" s="42">
        <f>VLOOKUP($A349,Schedule!$C$2:$G$31,4,0)</f>
        <v>4</v>
      </c>
      <c r="E349" s="42">
        <f t="shared" si="1"/>
        <v>11</v>
      </c>
      <c r="F349" s="6">
        <v>343.0</v>
      </c>
      <c r="G349" s="45">
        <f>IFERROR(__xludf.DUMMYFUNCTION("""COMPUTED_VALUE"""),341.0)</f>
        <v>341</v>
      </c>
      <c r="H349" s="45" t="str">
        <f>IFERROR(__xludf.DUMMYFUNCTION("""COMPUTED_VALUE"""),"Aleksandar Vezenkov")</f>
        <v>Aleksandar Vezenkov</v>
      </c>
      <c r="I349" s="45">
        <f>IFERROR(__xludf.DUMMYFUNCTION("""COMPUTED_VALUE"""),68.0)</f>
        <v>68</v>
      </c>
      <c r="J349" s="46" t="str">
        <f>IFERROR(__xludf.DUMMYFUNCTION("""COMPUTED_VALUE"""),"PF")</f>
        <v>PF</v>
      </c>
      <c r="K349" s="46">
        <f>IFERROR(__xludf.DUMMYFUNCTION("""COMPUTED_VALUE"""),-9.114045704437753)</f>
        <v>-9.114045704</v>
      </c>
      <c r="L349" s="47">
        <f>IFERROR(__xludf.DUMMYFUNCTION("""COMPUTED_VALUE"""),-5.8342647106008805)</f>
        <v>-5.834264711</v>
      </c>
      <c r="M349" s="47">
        <f>IFERROR(__xludf.DUMMYFUNCTION("""COMPUTED_VALUE"""),3.279780993836873)</f>
        <v>3.279780994</v>
      </c>
      <c r="N349" s="47">
        <f>IFERROR(__xludf.DUMMYFUNCTION("""COMPUTED_VALUE"""),5.6)</f>
        <v>5.6</v>
      </c>
      <c r="O349" s="47">
        <f>IFERROR(__xludf.DUMMYFUNCTION("""COMPUTED_VALUE"""),1.2)</f>
        <v>1.2</v>
      </c>
      <c r="P349" s="47">
        <f>IFERROR(__xludf.DUMMYFUNCTION("""COMPUTED_VALUE"""),1.6)</f>
        <v>1.6</v>
      </c>
      <c r="Q349" s="48">
        <f>IFERROR(__xludf.DUMMYFUNCTION("""COMPUTED_VALUE"""),1.0)</f>
        <v>1</v>
      </c>
      <c r="R349" s="47">
        <f>IFERROR(__xludf.DUMMYFUNCTION("""COMPUTED_VALUE"""),0.4)</f>
        <v>0.4</v>
      </c>
      <c r="S349" s="47">
        <f>IFERROR(__xludf.DUMMYFUNCTION("""COMPUTED_VALUE"""),0.1)</f>
        <v>0.1</v>
      </c>
      <c r="T349" s="47">
        <f>IFERROR(__xludf.DUMMYFUNCTION("""COMPUTED_VALUE"""),43.47826086956522)</f>
        <v>43.47826087</v>
      </c>
      <c r="U349" s="47">
        <f>IFERROR(__xludf.DUMMYFUNCTION("""COMPUTED_VALUE"""),66.66666666666667)</f>
        <v>66.66666667</v>
      </c>
      <c r="V349" s="47">
        <f>IFERROR(__xludf.DUMMYFUNCTION("""COMPUTED_VALUE"""),0.6)</f>
        <v>0.6</v>
      </c>
      <c r="W349" s="46">
        <f>IFERROR(__xludf.DUMMYFUNCTION("""COMPUTED_VALUE"""),-1.9644558007458979)</f>
        <v>-1.964455801</v>
      </c>
      <c r="X349" s="46">
        <f>IFERROR(__xludf.DUMMYFUNCTION("""COMPUTED_VALUE"""),-0.38558326726780967)</f>
        <v>-0.3855832673</v>
      </c>
      <c r="Y349" s="46">
        <f>IFERROR(__xludf.DUMMYFUNCTION("""COMPUTED_VALUE"""),-1.8797402595921657)</f>
        <v>-1.87974026</v>
      </c>
      <c r="Z349" s="46">
        <f>IFERROR(__xludf.DUMMYFUNCTION("""COMPUTED_VALUE"""),-1.4505099769474463)</f>
        <v>-1.450509977</v>
      </c>
      <c r="AA349" s="46">
        <f>IFERROR(__xludf.DUMMYFUNCTION("""COMPUTED_VALUE"""),-1.2966700767544366)</f>
        <v>-1.296670077</v>
      </c>
      <c r="AB349" s="46">
        <f>IFERROR(__xludf.DUMMYFUNCTION("""COMPUTED_VALUE"""),-0.7896459158928509)</f>
        <v>-0.7896459159</v>
      </c>
      <c r="AC349" s="46">
        <f>IFERROR(__xludf.DUMMYFUNCTION("""COMPUTED_VALUE"""),-0.2812088453813728)</f>
        <v>-0.2812088454</v>
      </c>
      <c r="AD349" s="46">
        <f>IFERROR(__xludf.DUMMYFUNCTION("""COMPUTED_VALUE"""),-0.18389813382223172)</f>
        <v>-0.1838981338</v>
      </c>
      <c r="AE349" s="46">
        <f>IFERROR(__xludf.DUMMYFUNCTION("""COMPUTED_VALUE"""),0.43299176505743303)</f>
        <v>0.4329917651</v>
      </c>
    </row>
    <row r="350">
      <c r="A350" s="6" t="str">
        <f>IF(VLOOKUP(H350,'Paste #BBall'!$B$2:$N1001,3,)="BRO","BKN",IF(VLOOKUP(H350,'Paste #BBall'!$B$2:$N1001,3,)="OKL","OKC",VLOOKUP(H350,'Paste #BBall'!$B$2:$N1001,3,)))</f>
        <v>HOU</v>
      </c>
      <c r="B350" s="42">
        <f>VLOOKUP($A350,Schedule!$C$2:$G$31,2,0)</f>
        <v>4</v>
      </c>
      <c r="C350" s="42">
        <f>VLOOKUP($A350,Schedule!$C$2:$G$31,3,0)</f>
        <v>3</v>
      </c>
      <c r="D350" s="42">
        <f>VLOOKUP($A350,Schedule!$C$2:$G$31,4,0)</f>
        <v>3</v>
      </c>
      <c r="E350" s="42">
        <f t="shared" si="1"/>
        <v>10</v>
      </c>
      <c r="F350" s="6">
        <v>344.0</v>
      </c>
      <c r="G350" s="45">
        <f>IFERROR(__xludf.DUMMYFUNCTION("""COMPUTED_VALUE"""),338.0)</f>
        <v>338</v>
      </c>
      <c r="H350" s="45" t="str">
        <f>IFERROR(__xludf.DUMMYFUNCTION("""COMPUTED_VALUE"""),"Cam Whitmore")</f>
        <v>Cam Whitmore</v>
      </c>
      <c r="I350" s="45">
        <f>IFERROR(__xludf.DUMMYFUNCTION("""COMPUTED_VALUE"""),52.0)</f>
        <v>52</v>
      </c>
      <c r="J350" s="46" t="str">
        <f>IFERROR(__xludf.DUMMYFUNCTION("""COMPUTED_VALUE"""),"SF")</f>
        <v>SF</v>
      </c>
      <c r="K350" s="46">
        <f>IFERROR(__xludf.DUMMYFUNCTION("""COMPUTED_VALUE"""),-9.07022711995427)</f>
        <v>-9.07022712</v>
      </c>
      <c r="L350" s="47">
        <f>IFERROR(__xludf.DUMMYFUNCTION("""COMPUTED_VALUE"""),-5.840051493674863)</f>
        <v>-5.840051494</v>
      </c>
      <c r="M350" s="47">
        <f>IFERROR(__xludf.DUMMYFUNCTION("""COMPUTED_VALUE"""),3.230175626279407)</f>
        <v>3.230175626</v>
      </c>
      <c r="N350" s="47">
        <f>IFERROR(__xludf.DUMMYFUNCTION("""COMPUTED_VALUE"""),6.3)</f>
        <v>6.3</v>
      </c>
      <c r="O350" s="47">
        <f>IFERROR(__xludf.DUMMYFUNCTION("""COMPUTED_VALUE"""),1.1)</f>
        <v>1.1</v>
      </c>
      <c r="P350" s="47">
        <f>IFERROR(__xludf.DUMMYFUNCTION("""COMPUTED_VALUE"""),2.4)</f>
        <v>2.4</v>
      </c>
      <c r="Q350" s="48">
        <f>IFERROR(__xludf.DUMMYFUNCTION("""COMPUTED_VALUE"""),0.5)</f>
        <v>0.5</v>
      </c>
      <c r="R350" s="47">
        <f>IFERROR(__xludf.DUMMYFUNCTION("""COMPUTED_VALUE"""),0.3)</f>
        <v>0.3</v>
      </c>
      <c r="S350" s="47">
        <f>IFERROR(__xludf.DUMMYFUNCTION("""COMPUTED_VALUE"""),0.2)</f>
        <v>0.2</v>
      </c>
      <c r="T350" s="47">
        <f>IFERROR(__xludf.DUMMYFUNCTION("""COMPUTED_VALUE"""),48.0)</f>
        <v>48</v>
      </c>
      <c r="U350" s="47">
        <f>IFERROR(__xludf.DUMMYFUNCTION("""COMPUTED_VALUE"""),62.5)</f>
        <v>62.5</v>
      </c>
      <c r="V350" s="47">
        <f>IFERROR(__xludf.DUMMYFUNCTION("""COMPUTED_VALUE"""),0.5)</f>
        <v>0.5</v>
      </c>
      <c r="W350" s="46">
        <f>IFERROR(__xludf.DUMMYFUNCTION("""COMPUTED_VALUE"""),-1.8464873368749688)</f>
        <v>-1.846487337</v>
      </c>
      <c r="X350" s="46">
        <f>IFERROR(__xludf.DUMMYFUNCTION("""COMPUTED_VALUE"""),-0.472296145963719)</f>
        <v>-0.472296146</v>
      </c>
      <c r="Y350" s="46">
        <f>IFERROR(__xludf.DUMMYFUNCTION("""COMPUTED_VALUE"""),-1.5452173007443828)</f>
        <v>-1.545217301</v>
      </c>
      <c r="Z350" s="46">
        <f>IFERROR(__xludf.DUMMYFUNCTION("""COMPUTED_VALUE"""),-1.7055222795050142)</f>
        <v>-1.70552228</v>
      </c>
      <c r="AA350" s="46">
        <f>IFERROR(__xludf.DUMMYFUNCTION("""COMPUTED_VALUE"""),-1.5147199775539493)</f>
        <v>-1.514719978</v>
      </c>
      <c r="AB350" s="46">
        <f>IFERROR(__xludf.DUMMYFUNCTION("""COMPUTED_VALUE"""),-0.6583300762210907)</f>
        <v>-0.6583300762</v>
      </c>
      <c r="AC350" s="46">
        <f>IFERROR(__xludf.DUMMYFUNCTION("""COMPUTED_VALUE"""),-0.07983143402437612)</f>
        <v>-0.07983143402</v>
      </c>
      <c r="AD350" s="46">
        <f>IFERROR(__xludf.DUMMYFUNCTION("""COMPUTED_VALUE"""),-0.32817229938449327)</f>
        <v>-0.3281722994</v>
      </c>
      <c r="AE350" s="46">
        <f>IFERROR(__xludf.DUMMYFUNCTION("""COMPUTED_VALUE"""),0.4640380197221629)</f>
        <v>0.4640380197</v>
      </c>
    </row>
    <row r="351">
      <c r="A351" s="6" t="str">
        <f>IF(VLOOKUP(H351,'Paste #BBall'!$B$2:$N1001,3,)="BRO","BKN",IF(VLOOKUP(H351,'Paste #BBall'!$B$2:$N1001,3,)="OKL","OKC",VLOOKUP(H351,'Paste #BBall'!$B$2:$N1001,3,)))</f>
        <v>BKN</v>
      </c>
      <c r="B351" s="42">
        <f>VLOOKUP($A351,Schedule!$C$2:$G$31,2,0)</f>
        <v>5</v>
      </c>
      <c r="C351" s="42">
        <f>VLOOKUP($A351,Schedule!$C$2:$G$31,3,0)</f>
        <v>3</v>
      </c>
      <c r="D351" s="42">
        <f>VLOOKUP($A351,Schedule!$C$2:$G$31,4,0)</f>
        <v>3</v>
      </c>
      <c r="E351" s="42">
        <f t="shared" si="1"/>
        <v>11</v>
      </c>
      <c r="F351" s="6">
        <v>345.0</v>
      </c>
      <c r="G351" s="45">
        <f>IFERROR(__xludf.DUMMYFUNCTION("""COMPUTED_VALUE"""),350.0)</f>
        <v>350</v>
      </c>
      <c r="H351" s="45" t="str">
        <f>IFERROR(__xludf.DUMMYFUNCTION("""COMPUTED_VALUE"""),"Trendon Watford")</f>
        <v>Trendon Watford</v>
      </c>
      <c r="I351" s="45">
        <f>IFERROR(__xludf.DUMMYFUNCTION("""COMPUTED_VALUE"""),48.0)</f>
        <v>48</v>
      </c>
      <c r="J351" s="46" t="str">
        <f>IFERROR(__xludf.DUMMYFUNCTION("""COMPUTED_VALUE"""),"PF")</f>
        <v>PF</v>
      </c>
      <c r="K351" s="46">
        <f>IFERROR(__xludf.DUMMYFUNCTION("""COMPUTED_VALUE"""),-9.37451635914644)</f>
        <v>-9.374516359</v>
      </c>
      <c r="L351" s="47">
        <f>IFERROR(__xludf.DUMMYFUNCTION("""COMPUTED_VALUE"""),-5.883854487996464)</f>
        <v>-5.883854488</v>
      </c>
      <c r="M351" s="47">
        <f>IFERROR(__xludf.DUMMYFUNCTION("""COMPUTED_VALUE"""),3.4906618711499764)</f>
        <v>3.490661871</v>
      </c>
      <c r="N351" s="47">
        <f>IFERROR(__xludf.DUMMYFUNCTION("""COMPUTED_VALUE"""),4.7)</f>
        <v>4.7</v>
      </c>
      <c r="O351" s="47">
        <f>IFERROR(__xludf.DUMMYFUNCTION("""COMPUTED_VALUE"""),0.2)</f>
        <v>0.2</v>
      </c>
      <c r="P351" s="47">
        <f>IFERROR(__xludf.DUMMYFUNCTION("""COMPUTED_VALUE"""),2.5)</f>
        <v>2.5</v>
      </c>
      <c r="Q351" s="48">
        <f>IFERROR(__xludf.DUMMYFUNCTION("""COMPUTED_VALUE"""),1.2)</f>
        <v>1.2</v>
      </c>
      <c r="R351" s="47">
        <f>IFERROR(__xludf.DUMMYFUNCTION("""COMPUTED_VALUE"""),0.3)</f>
        <v>0.3</v>
      </c>
      <c r="S351" s="47">
        <f>IFERROR(__xludf.DUMMYFUNCTION("""COMPUTED_VALUE"""),0.2)</f>
        <v>0.2</v>
      </c>
      <c r="T351" s="47">
        <f>IFERROR(__xludf.DUMMYFUNCTION("""COMPUTED_VALUE"""),54.545454545454554)</f>
        <v>54.54545455</v>
      </c>
      <c r="U351" s="47">
        <f>IFERROR(__xludf.DUMMYFUNCTION("""COMPUTED_VALUE"""),72.72727272727273)</f>
        <v>72.72727273</v>
      </c>
      <c r="V351" s="47">
        <f>IFERROR(__xludf.DUMMYFUNCTION("""COMPUTED_VALUE"""),0.7)</f>
        <v>0.7</v>
      </c>
      <c r="W351" s="46">
        <f>IFERROR(__xludf.DUMMYFUNCTION("""COMPUTED_VALUE"""),-2.116129540008521)</f>
        <v>-2.11612954</v>
      </c>
      <c r="X351" s="46">
        <f>IFERROR(__xludf.DUMMYFUNCTION("""COMPUTED_VALUE"""),-1.252712054226904)</f>
        <v>-1.252712054</v>
      </c>
      <c r="Y351" s="46">
        <f>IFERROR(__xludf.DUMMYFUNCTION("""COMPUTED_VALUE"""),-1.50340193088841)</f>
        <v>-1.503401931</v>
      </c>
      <c r="Z351" s="46">
        <f>IFERROR(__xludf.DUMMYFUNCTION("""COMPUTED_VALUE"""),-1.3485050559244194)</f>
        <v>-1.348505056</v>
      </c>
      <c r="AA351" s="46">
        <f>IFERROR(__xludf.DUMMYFUNCTION("""COMPUTED_VALUE"""),-1.5147199775539493)</f>
        <v>-1.514719978</v>
      </c>
      <c r="AB351" s="46">
        <f>IFERROR(__xludf.DUMMYFUNCTION("""COMPUTED_VALUE"""),-0.6583300762210907)</f>
        <v>-0.6583300762</v>
      </c>
      <c r="AC351" s="46">
        <f>IFERROR(__xludf.DUMMYFUNCTION("""COMPUTED_VALUE"""),0.1630660998566648)</f>
        <v>0.1630660999</v>
      </c>
      <c r="AD351" s="46">
        <f>IFERROR(__xludf.DUMMYFUNCTION("""COMPUTED_VALUE"""),-0.1711970034310567)</f>
        <v>-0.1711970034</v>
      </c>
      <c r="AE351" s="46">
        <f>IFERROR(__xludf.DUMMYFUNCTION("""COMPUTED_VALUE"""),0.4019455103927031)</f>
        <v>0.4019455104</v>
      </c>
    </row>
    <row r="352">
      <c r="A352" s="6" t="str">
        <f>IF(VLOOKUP(H352,'Paste #BBall'!$B$2:$N1001,3,)="BRO","BKN",IF(VLOOKUP(H352,'Paste #BBall'!$B$2:$N1001,3,)="OKL","OKC",VLOOKUP(H352,'Paste #BBall'!$B$2:$N1001,3,)))</f>
        <v>OKC</v>
      </c>
      <c r="B352" s="42">
        <f>VLOOKUP($A352,Schedule!$C$2:$G$31,2,0)</f>
        <v>4</v>
      </c>
      <c r="C352" s="42">
        <f>VLOOKUP($A352,Schedule!$C$2:$G$31,3,0)</f>
        <v>3</v>
      </c>
      <c r="D352" s="42">
        <f>VLOOKUP($A352,Schedule!$C$2:$G$31,4,0)</f>
        <v>3</v>
      </c>
      <c r="E352" s="42">
        <f t="shared" si="1"/>
        <v>10</v>
      </c>
      <c r="F352" s="6">
        <v>346.0</v>
      </c>
      <c r="G352" s="45">
        <f>IFERROR(__xludf.DUMMYFUNCTION("""COMPUTED_VALUE"""),346.0)</f>
        <v>346</v>
      </c>
      <c r="H352" s="45" t="str">
        <f>IFERROR(__xludf.DUMMYFUNCTION("""COMPUTED_VALUE"""),"Aaron Wiggins")</f>
        <v>Aaron Wiggins</v>
      </c>
      <c r="I352" s="45">
        <f>IFERROR(__xludf.DUMMYFUNCTION("""COMPUTED_VALUE"""),60.0)</f>
        <v>60</v>
      </c>
      <c r="J352" s="46" t="str">
        <f>IFERROR(__xludf.DUMMYFUNCTION("""COMPUTED_VALUE"""),"SG,SF")</f>
        <v>SG,SF</v>
      </c>
      <c r="K352" s="46">
        <f>IFERROR(__xludf.DUMMYFUNCTION("""COMPUTED_VALUE"""),-9.299066803883935)</f>
        <v>-9.299066804</v>
      </c>
      <c r="L352" s="47">
        <f>IFERROR(__xludf.DUMMYFUNCTION("""COMPUTED_VALUE"""),-5.938025869828643)</f>
        <v>-5.93802587</v>
      </c>
      <c r="M352" s="47">
        <f>IFERROR(__xludf.DUMMYFUNCTION("""COMPUTED_VALUE"""),3.361040934055292)</f>
        <v>3.361040934</v>
      </c>
      <c r="N352" s="47">
        <f>IFERROR(__xludf.DUMMYFUNCTION("""COMPUTED_VALUE"""),5.1)</f>
        <v>5.1</v>
      </c>
      <c r="O352" s="47">
        <f>IFERROR(__xludf.DUMMYFUNCTION("""COMPUTED_VALUE"""),0.5)</f>
        <v>0.5</v>
      </c>
      <c r="P352" s="47">
        <f>IFERROR(__xludf.DUMMYFUNCTION("""COMPUTED_VALUE"""),2.2)</f>
        <v>2.2</v>
      </c>
      <c r="Q352" s="48">
        <f>IFERROR(__xludf.DUMMYFUNCTION("""COMPUTED_VALUE"""),0.8)</f>
        <v>0.8</v>
      </c>
      <c r="R352" s="47">
        <f>IFERROR(__xludf.DUMMYFUNCTION("""COMPUTED_VALUE"""),0.4)</f>
        <v>0.4</v>
      </c>
      <c r="S352" s="47">
        <f>IFERROR(__xludf.DUMMYFUNCTION("""COMPUTED_VALUE"""),0.1)</f>
        <v>0.1</v>
      </c>
      <c r="T352" s="47">
        <f>IFERROR(__xludf.DUMMYFUNCTION("""COMPUTED_VALUE"""),47.5)</f>
        <v>47.5</v>
      </c>
      <c r="U352" s="47">
        <f>IFERROR(__xludf.DUMMYFUNCTION("""COMPUTED_VALUE"""),77.77777777777777)</f>
        <v>77.77777778</v>
      </c>
      <c r="V352" s="47">
        <f>IFERROR(__xludf.DUMMYFUNCTION("""COMPUTED_VALUE"""),0.6)</f>
        <v>0.6</v>
      </c>
      <c r="W352" s="46">
        <f>IFERROR(__xludf.DUMMYFUNCTION("""COMPUTED_VALUE"""),-2.048718989225133)</f>
        <v>-2.048718989</v>
      </c>
      <c r="X352" s="46">
        <f>IFERROR(__xludf.DUMMYFUNCTION("""COMPUTED_VALUE"""),-0.9925734181391757)</f>
        <v>-0.9925734181</v>
      </c>
      <c r="Y352" s="46">
        <f>IFERROR(__xludf.DUMMYFUNCTION("""COMPUTED_VALUE"""),-1.6288480404563284)</f>
        <v>-1.62884804</v>
      </c>
      <c r="Z352" s="46">
        <f>IFERROR(__xludf.DUMMYFUNCTION("""COMPUTED_VALUE"""),-1.5525148979704735)</f>
        <v>-1.552514898</v>
      </c>
      <c r="AA352" s="46">
        <f>IFERROR(__xludf.DUMMYFUNCTION("""COMPUTED_VALUE"""),-1.2966700767544366)</f>
        <v>-1.296670077</v>
      </c>
      <c r="AB352" s="46">
        <f>IFERROR(__xludf.DUMMYFUNCTION("""COMPUTED_VALUE"""),-0.7896459158928509)</f>
        <v>-0.7896459159</v>
      </c>
      <c r="AC352" s="46">
        <f>IFERROR(__xludf.DUMMYFUNCTION("""COMPUTED_VALUE"""),-0.08384244780401508)</f>
        <v>-0.0838424478</v>
      </c>
      <c r="AD352" s="46">
        <f>IFERROR(__xludf.DUMMYFUNCTION("""COMPUTED_VALUE"""),-0.026922837868795582)</f>
        <v>-0.02692283787</v>
      </c>
      <c r="AE352" s="46">
        <f>IFERROR(__xludf.DUMMYFUNCTION("""COMPUTED_VALUE"""),0.43299176505743303)</f>
        <v>0.4329917651</v>
      </c>
    </row>
    <row r="353">
      <c r="A353" s="6" t="str">
        <f>IF(VLOOKUP(H353,'Paste #BBall'!$B$2:$N1001,3,)="BRO","BKN",IF(VLOOKUP(H353,'Paste #BBall'!$B$2:$N1001,3,)="OKL","OKC",VLOOKUP(H353,'Paste #BBall'!$B$2:$N1001,3,)))</f>
        <v>CLE</v>
      </c>
      <c r="B353" s="42">
        <f>VLOOKUP($A353,Schedule!$C$2:$G$31,2,0)</f>
        <v>4</v>
      </c>
      <c r="C353" s="42">
        <f>VLOOKUP($A353,Schedule!$C$2:$G$31,3,0)</f>
        <v>3</v>
      </c>
      <c r="D353" s="42">
        <f>VLOOKUP($A353,Schedule!$C$2:$G$31,4,0)</f>
        <v>4</v>
      </c>
      <c r="E353" s="42">
        <f t="shared" si="1"/>
        <v>11</v>
      </c>
      <c r="F353" s="6">
        <v>347.0</v>
      </c>
      <c r="G353" s="45">
        <f>IFERROR(__xludf.DUMMYFUNCTION("""COMPUTED_VALUE"""),355.0)</f>
        <v>355</v>
      </c>
      <c r="H353" s="45" t="str">
        <f>IFERROR(__xludf.DUMMYFUNCTION("""COMPUTED_VALUE"""),"Ty Jerome")</f>
        <v>Ty Jerome</v>
      </c>
      <c r="I353" s="45">
        <f>IFERROR(__xludf.DUMMYFUNCTION("""COMPUTED_VALUE"""),40.0)</f>
        <v>40</v>
      </c>
      <c r="J353" s="46" t="str">
        <f>IFERROR(__xludf.DUMMYFUNCTION("""COMPUTED_VALUE"""),"PG,SG")</f>
        <v>PG,SG</v>
      </c>
      <c r="K353" s="46">
        <f>IFERROR(__xludf.DUMMYFUNCTION("""COMPUTED_VALUE"""),-9.52127589101392)</f>
        <v>-9.521275891</v>
      </c>
      <c r="L353" s="47">
        <f>IFERROR(__xludf.DUMMYFUNCTION("""COMPUTED_VALUE"""),-5.942069227589471)</f>
        <v>-5.942069228</v>
      </c>
      <c r="M353" s="47">
        <f>IFERROR(__xludf.DUMMYFUNCTION("""COMPUTED_VALUE"""),3.579206663424449)</f>
        <v>3.579206663</v>
      </c>
      <c r="N353" s="47">
        <f>IFERROR(__xludf.DUMMYFUNCTION("""COMPUTED_VALUE"""),4.3)</f>
        <v>4.3</v>
      </c>
      <c r="O353" s="47">
        <f>IFERROR(__xludf.DUMMYFUNCTION("""COMPUTED_VALUE"""),0.6)</f>
        <v>0.6</v>
      </c>
      <c r="P353" s="47">
        <f>IFERROR(__xludf.DUMMYFUNCTION("""COMPUTED_VALUE"""),1.0)</f>
        <v>1</v>
      </c>
      <c r="Q353" s="48">
        <f>IFERROR(__xludf.DUMMYFUNCTION("""COMPUTED_VALUE"""),1.6)</f>
        <v>1.6</v>
      </c>
      <c r="R353" s="47">
        <f>IFERROR(__xludf.DUMMYFUNCTION("""COMPUTED_VALUE"""),0.4)</f>
        <v>0.4</v>
      </c>
      <c r="S353" s="47">
        <f>IFERROR(__xludf.DUMMYFUNCTION("""COMPUTED_VALUE"""),0.1)</f>
        <v>0.1</v>
      </c>
      <c r="T353" s="47">
        <f>IFERROR(__xludf.DUMMYFUNCTION("""COMPUTED_VALUE"""),43.24324324324324)</f>
        <v>43.24324324</v>
      </c>
      <c r="U353" s="47">
        <f>IFERROR(__xludf.DUMMYFUNCTION("""COMPUTED_VALUE"""),83.33333333333334)</f>
        <v>83.33333333</v>
      </c>
      <c r="V353" s="47">
        <f>IFERROR(__xludf.DUMMYFUNCTION("""COMPUTED_VALUE"""),0.4)</f>
        <v>0.4</v>
      </c>
      <c r="W353" s="46">
        <f>IFERROR(__xludf.DUMMYFUNCTION("""COMPUTED_VALUE"""),-2.1835400907919085)</f>
        <v>-2.183540091</v>
      </c>
      <c r="X353" s="46">
        <f>IFERROR(__xludf.DUMMYFUNCTION("""COMPUTED_VALUE"""),-0.9058605394432663)</f>
        <v>-0.9058605394</v>
      </c>
      <c r="Y353" s="46">
        <f>IFERROR(__xludf.DUMMYFUNCTION("""COMPUTED_VALUE"""),-2.1306324787280024)</f>
        <v>-2.130632479</v>
      </c>
      <c r="Z353" s="46">
        <f>IFERROR(__xludf.DUMMYFUNCTION("""COMPUTED_VALUE"""),-1.144495213878365)</f>
        <v>-1.144495214</v>
      </c>
      <c r="AA353" s="46">
        <f>IFERROR(__xludf.DUMMYFUNCTION("""COMPUTED_VALUE"""),-1.2966700767544366)</f>
        <v>-1.296670077</v>
      </c>
      <c r="AB353" s="46">
        <f>IFERROR(__xludf.DUMMYFUNCTION("""COMPUTED_VALUE"""),-0.7896459158928509)</f>
        <v>-0.7896459159</v>
      </c>
      <c r="AC353" s="46">
        <f>IFERROR(__xludf.DUMMYFUNCTION("""COMPUTED_VALUE"""),-0.23487550632176263)</f>
        <v>-0.2348755063</v>
      </c>
      <c r="AD353" s="46">
        <f>IFERROR(__xludf.DUMMYFUNCTION("""COMPUTED_VALUE"""),0.0650262290423206)</f>
        <v>0.06502622904</v>
      </c>
      <c r="AE353" s="46">
        <f>IFERROR(__xludf.DUMMYFUNCTION("""COMPUTED_VALUE"""),0.4950842743868928)</f>
        <v>0.4950842744</v>
      </c>
    </row>
    <row r="354">
      <c r="A354" s="6" t="str">
        <f>IF(VLOOKUP(H354,'Paste #BBall'!$B$2:$N1001,3,)="BRO","BKN",IF(VLOOKUP(H354,'Paste #BBall'!$B$2:$N1001,3,)="OKL","OKC",VLOOKUP(H354,'Paste #BBall'!$B$2:$N1001,3,)))</f>
        <v>GS</v>
      </c>
      <c r="B354" s="42">
        <f>VLOOKUP($A354,Schedule!$C$2:$G$31,2,0)</f>
        <v>3</v>
      </c>
      <c r="C354" s="42">
        <f>VLOOKUP($A354,Schedule!$C$2:$G$31,3,0)</f>
        <v>3</v>
      </c>
      <c r="D354" s="42">
        <f>VLOOKUP($A354,Schedule!$C$2:$G$31,4,0)</f>
        <v>4</v>
      </c>
      <c r="E354" s="42">
        <f t="shared" si="1"/>
        <v>10</v>
      </c>
      <c r="F354" s="6">
        <v>348.0</v>
      </c>
      <c r="G354" s="45">
        <f>IFERROR(__xludf.DUMMYFUNCTION("""COMPUTED_VALUE"""),344.0)</f>
        <v>344</v>
      </c>
      <c r="H354" s="45" t="str">
        <f>IFERROR(__xludf.DUMMYFUNCTION("""COMPUTED_VALUE"""),"Moses Moody")</f>
        <v>Moses Moody</v>
      </c>
      <c r="I354" s="45">
        <f>IFERROR(__xludf.DUMMYFUNCTION("""COMPUTED_VALUE"""),68.0)</f>
        <v>68</v>
      </c>
      <c r="J354" s="46" t="str">
        <f>IFERROR(__xludf.DUMMYFUNCTION("""COMPUTED_VALUE"""),"SG,SF")</f>
        <v>SG,SF</v>
      </c>
      <c r="K354" s="46">
        <f>IFERROR(__xludf.DUMMYFUNCTION("""COMPUTED_VALUE"""),-9.240482928864632)</f>
        <v>-9.240482929</v>
      </c>
      <c r="L354" s="47">
        <f>IFERROR(__xludf.DUMMYFUNCTION("""COMPUTED_VALUE"""),-5.945585961619607)</f>
        <v>-5.945585962</v>
      </c>
      <c r="M354" s="47">
        <f>IFERROR(__xludf.DUMMYFUNCTION("""COMPUTED_VALUE"""),3.294896967245024)</f>
        <v>3.294896967</v>
      </c>
      <c r="N354" s="47">
        <f>IFERROR(__xludf.DUMMYFUNCTION("""COMPUTED_VALUE"""),6.0)</f>
        <v>6</v>
      </c>
      <c r="O354" s="47">
        <f>IFERROR(__xludf.DUMMYFUNCTION("""COMPUTED_VALUE"""),1.0)</f>
        <v>1</v>
      </c>
      <c r="P354" s="47">
        <f>IFERROR(__xludf.DUMMYFUNCTION("""COMPUTED_VALUE"""),2.1)</f>
        <v>2.1</v>
      </c>
      <c r="Q354" s="48">
        <f>IFERROR(__xludf.DUMMYFUNCTION("""COMPUTED_VALUE"""),0.8)</f>
        <v>0.8</v>
      </c>
      <c r="R354" s="47">
        <f>IFERROR(__xludf.DUMMYFUNCTION("""COMPUTED_VALUE"""),0.3)</f>
        <v>0.3</v>
      </c>
      <c r="S354" s="47">
        <f>IFERROR(__xludf.DUMMYFUNCTION("""COMPUTED_VALUE"""),0.2)</f>
        <v>0.2</v>
      </c>
      <c r="T354" s="47">
        <f>IFERROR(__xludf.DUMMYFUNCTION("""COMPUTED_VALUE"""),44.680851063829785)</f>
        <v>44.68085106</v>
      </c>
      <c r="U354" s="47">
        <f>IFERROR(__xludf.DUMMYFUNCTION("""COMPUTED_VALUE"""),70.0)</f>
        <v>70</v>
      </c>
      <c r="V354" s="47">
        <f>IFERROR(__xludf.DUMMYFUNCTION("""COMPUTED_VALUE"""),0.5)</f>
        <v>0.5</v>
      </c>
      <c r="W354" s="46">
        <f>IFERROR(__xludf.DUMMYFUNCTION("""COMPUTED_VALUE"""),-1.89704524996251)</f>
        <v>-1.89704525</v>
      </c>
      <c r="X354" s="46">
        <f>IFERROR(__xludf.DUMMYFUNCTION("""COMPUTED_VALUE"""),-0.5590090246596284)</f>
        <v>-0.5590090247</v>
      </c>
      <c r="Y354" s="46">
        <f>IFERROR(__xludf.DUMMYFUNCTION("""COMPUTED_VALUE"""),-1.6706634103123013)</f>
        <v>-1.67066341</v>
      </c>
      <c r="Z354" s="46">
        <f>IFERROR(__xludf.DUMMYFUNCTION("""COMPUTED_VALUE"""),-1.5525148979704735)</f>
        <v>-1.552514898</v>
      </c>
      <c r="AA354" s="46">
        <f>IFERROR(__xludf.DUMMYFUNCTION("""COMPUTED_VALUE"""),-1.5147199775539493)</f>
        <v>-1.514719978</v>
      </c>
      <c r="AB354" s="46">
        <f>IFERROR(__xludf.DUMMYFUNCTION("""COMPUTED_VALUE"""),-0.6583300762210907)</f>
        <v>-0.6583300762</v>
      </c>
      <c r="AC354" s="46">
        <f>IFERROR(__xludf.DUMMYFUNCTION("""COMPUTED_VALUE"""),-0.23086449254212388)</f>
        <v>-0.2308644925</v>
      </c>
      <c r="AD354" s="46">
        <f>IFERROR(__xludf.DUMMYFUNCTION("""COMPUTED_VALUE"""),-0.22352210208220238)</f>
        <v>-0.2235221021</v>
      </c>
      <c r="AE354" s="46">
        <f>IFERROR(__xludf.DUMMYFUNCTION("""COMPUTED_VALUE"""),0.4640380197221629)</f>
        <v>0.4640380197</v>
      </c>
    </row>
    <row r="355">
      <c r="A355" s="6" t="str">
        <f>IF(VLOOKUP(H355,'Paste #BBall'!$B$2:$N1001,3,)="BRO","BKN",IF(VLOOKUP(H355,'Paste #BBall'!$B$2:$N1001,3,)="OKL","OKC",VLOOKUP(H355,'Paste #BBall'!$B$2:$N1001,3,)))</f>
        <v>SA</v>
      </c>
      <c r="B355" s="42">
        <f>VLOOKUP($A355,Schedule!$C$2:$G$31,2,0)</f>
        <v>3</v>
      </c>
      <c r="C355" s="42">
        <f>VLOOKUP($A355,Schedule!$C$2:$G$31,3,0)</f>
        <v>4</v>
      </c>
      <c r="D355" s="42">
        <f>VLOOKUP($A355,Schedule!$C$2:$G$31,4,0)</f>
        <v>3</v>
      </c>
      <c r="E355" s="42">
        <f t="shared" si="1"/>
        <v>10</v>
      </c>
      <c r="F355" s="6">
        <v>349.0</v>
      </c>
      <c r="G355" s="45">
        <f>IFERROR(__xludf.DUMMYFUNCTION("""COMPUTED_VALUE"""),352.0)</f>
        <v>352</v>
      </c>
      <c r="H355" s="45" t="str">
        <f>IFERROR(__xludf.DUMMYFUNCTION("""COMPUTED_VALUE"""),"Devonte' Graham")</f>
        <v>Devonte' Graham</v>
      </c>
      <c r="I355" s="45">
        <f>IFERROR(__xludf.DUMMYFUNCTION("""COMPUTED_VALUE"""),20.0)</f>
        <v>20</v>
      </c>
      <c r="J355" s="46" t="str">
        <f>IFERROR(__xludf.DUMMYFUNCTION("""COMPUTED_VALUE"""),"PG,SG")</f>
        <v>PG,SG</v>
      </c>
      <c r="K355" s="46">
        <f>IFERROR(__xludf.DUMMYFUNCTION("""COMPUTED_VALUE"""),-9.468217565646272)</f>
        <v>-9.468217566</v>
      </c>
      <c r="L355" s="47">
        <f>IFERROR(__xludf.DUMMYFUNCTION("""COMPUTED_VALUE"""),-5.950762738406541)</f>
        <v>-5.950762738</v>
      </c>
      <c r="M355" s="47">
        <f>IFERROR(__xludf.DUMMYFUNCTION("""COMPUTED_VALUE"""),3.517454827239731)</f>
        <v>3.517454827</v>
      </c>
      <c r="N355" s="47">
        <f>IFERROR(__xludf.DUMMYFUNCTION("""COMPUTED_VALUE"""),4.7)</f>
        <v>4.7</v>
      </c>
      <c r="O355" s="47">
        <f>IFERROR(__xludf.DUMMYFUNCTION("""COMPUTED_VALUE"""),1.0)</f>
        <v>1</v>
      </c>
      <c r="P355" s="47">
        <f>IFERROR(__xludf.DUMMYFUNCTION("""COMPUTED_VALUE"""),1.0)</f>
        <v>1</v>
      </c>
      <c r="Q355" s="48">
        <f>IFERROR(__xludf.DUMMYFUNCTION("""COMPUTED_VALUE"""),1.7)</f>
        <v>1.7</v>
      </c>
      <c r="R355" s="47">
        <f>IFERROR(__xludf.DUMMYFUNCTION("""COMPUTED_VALUE"""),0.4)</f>
        <v>0.4</v>
      </c>
      <c r="S355" s="47">
        <f>IFERROR(__xludf.DUMMYFUNCTION("""COMPUTED_VALUE"""),0.1)</f>
        <v>0.1</v>
      </c>
      <c r="T355" s="47">
        <f>IFERROR(__xludf.DUMMYFUNCTION("""COMPUTED_VALUE"""),36.585365853658544)</f>
        <v>36.58536585</v>
      </c>
      <c r="U355" s="47">
        <f>IFERROR(__xludf.DUMMYFUNCTION("""COMPUTED_VALUE"""),77.77777777777777)</f>
        <v>77.77777778</v>
      </c>
      <c r="V355" s="47">
        <f>IFERROR(__xludf.DUMMYFUNCTION("""COMPUTED_VALUE"""),0.5)</f>
        <v>0.5</v>
      </c>
      <c r="W355" s="46">
        <f>IFERROR(__xludf.DUMMYFUNCTION("""COMPUTED_VALUE"""),-2.116129540008521)</f>
        <v>-2.11612954</v>
      </c>
      <c r="X355" s="46">
        <f>IFERROR(__xludf.DUMMYFUNCTION("""COMPUTED_VALUE"""),-0.5590090246596284)</f>
        <v>-0.5590090247</v>
      </c>
      <c r="Y355" s="46">
        <f>IFERROR(__xludf.DUMMYFUNCTION("""COMPUTED_VALUE"""),-2.1306324787280024)</f>
        <v>-2.130632479</v>
      </c>
      <c r="Z355" s="46">
        <f>IFERROR(__xludf.DUMMYFUNCTION("""COMPUTED_VALUE"""),-1.0934927533668515)</f>
        <v>-1.093492753</v>
      </c>
      <c r="AA355" s="46">
        <f>IFERROR(__xludf.DUMMYFUNCTION("""COMPUTED_VALUE"""),-1.2966700767544366)</f>
        <v>-1.296670077</v>
      </c>
      <c r="AB355" s="46">
        <f>IFERROR(__xludf.DUMMYFUNCTION("""COMPUTED_VALUE"""),-0.7896459158928509)</f>
        <v>-0.7896459159</v>
      </c>
      <c r="AC355" s="46">
        <f>IFERROR(__xludf.DUMMYFUNCTION("""COMPUTED_VALUE"""),-0.532930609577619)</f>
        <v>-0.5329306096</v>
      </c>
      <c r="AD355" s="46">
        <f>IFERROR(__xludf.DUMMYFUNCTION("""COMPUTED_VALUE"""),-0.026922837868795582)</f>
        <v>-0.02692283787</v>
      </c>
      <c r="AE355" s="46">
        <f>IFERROR(__xludf.DUMMYFUNCTION("""COMPUTED_VALUE"""),0.4640380197221629)</f>
        <v>0.4640380197</v>
      </c>
    </row>
    <row r="356">
      <c r="A356" s="6" t="str">
        <f>IF(VLOOKUP(H356,'Paste #BBall'!$B$2:$N1001,3,)="BRO","BKN",IF(VLOOKUP(H356,'Paste #BBall'!$B$2:$N1001,3,)="OKL","OKC",VLOOKUP(H356,'Paste #BBall'!$B$2:$N1001,3,)))</f>
        <v>SA</v>
      </c>
      <c r="B356" s="42">
        <f>VLOOKUP($A356,Schedule!$C$2:$G$31,2,0)</f>
        <v>3</v>
      </c>
      <c r="C356" s="42">
        <f>VLOOKUP($A356,Schedule!$C$2:$G$31,3,0)</f>
        <v>4</v>
      </c>
      <c r="D356" s="42">
        <f>VLOOKUP($A356,Schedule!$C$2:$G$31,4,0)</f>
        <v>3</v>
      </c>
      <c r="E356" s="42">
        <f t="shared" si="1"/>
        <v>10</v>
      </c>
      <c r="F356" s="6">
        <v>350.0</v>
      </c>
      <c r="G356" s="45">
        <f>IFERROR(__xludf.DUMMYFUNCTION("""COMPUTED_VALUE"""),349.0)</f>
        <v>349</v>
      </c>
      <c r="H356" s="45" t="str">
        <f>IFERROR(__xludf.DUMMYFUNCTION("""COMPUTED_VALUE"""),"Doug McDermott")</f>
        <v>Doug McDermott</v>
      </c>
      <c r="I356" s="45">
        <f>IFERROR(__xludf.DUMMYFUNCTION("""COMPUTED_VALUE"""),40.0)</f>
        <v>40</v>
      </c>
      <c r="J356" s="46" t="str">
        <f>IFERROR(__xludf.DUMMYFUNCTION("""COMPUTED_VALUE"""),"SF,PF")</f>
        <v>SF,PF</v>
      </c>
      <c r="K356" s="46">
        <f>IFERROR(__xludf.DUMMYFUNCTION("""COMPUTED_VALUE"""),-9.350288230510191)</f>
        <v>-9.350288231</v>
      </c>
      <c r="L356" s="47">
        <f>IFERROR(__xludf.DUMMYFUNCTION("""COMPUTED_VALUE"""),-5.959899604461505)</f>
        <v>-5.959899604</v>
      </c>
      <c r="M356" s="47">
        <f>IFERROR(__xludf.DUMMYFUNCTION("""COMPUTED_VALUE"""),3.3903886260486864)</f>
        <v>3.390388626</v>
      </c>
      <c r="N356" s="47">
        <f>IFERROR(__xludf.DUMMYFUNCTION("""COMPUTED_VALUE"""),7.1)</f>
        <v>7.1</v>
      </c>
      <c r="O356" s="47">
        <f>IFERROR(__xludf.DUMMYFUNCTION("""COMPUTED_VALUE"""),1.3)</f>
        <v>1.3</v>
      </c>
      <c r="P356" s="47">
        <f>IFERROR(__xludf.DUMMYFUNCTION("""COMPUTED_VALUE"""),1.5)</f>
        <v>1.5</v>
      </c>
      <c r="Q356" s="48">
        <f>IFERROR(__xludf.DUMMYFUNCTION("""COMPUTED_VALUE"""),0.9)</f>
        <v>0.9</v>
      </c>
      <c r="R356" s="47">
        <f>IFERROR(__xludf.DUMMYFUNCTION("""COMPUTED_VALUE"""),0.2)</f>
        <v>0.2</v>
      </c>
      <c r="S356" s="47">
        <f>IFERROR(__xludf.DUMMYFUNCTION("""COMPUTED_VALUE"""),0.1)</f>
        <v>0.1</v>
      </c>
      <c r="T356" s="47">
        <f>IFERROR(__xludf.DUMMYFUNCTION("""COMPUTED_VALUE"""),45.614035087719294)</f>
        <v>45.61403509</v>
      </c>
      <c r="U356" s="47">
        <f>IFERROR(__xludf.DUMMYFUNCTION("""COMPUTED_VALUE"""),71.42857142857143)</f>
        <v>71.42857143</v>
      </c>
      <c r="V356" s="47">
        <f>IFERROR(__xludf.DUMMYFUNCTION("""COMPUTED_VALUE"""),0.6)</f>
        <v>0.6</v>
      </c>
      <c r="W356" s="46">
        <f>IFERROR(__xludf.DUMMYFUNCTION("""COMPUTED_VALUE"""),-1.711666235308193)</f>
        <v>-1.711666235</v>
      </c>
      <c r="X356" s="46">
        <f>IFERROR(__xludf.DUMMYFUNCTION("""COMPUTED_VALUE"""),-0.2988703885719002)</f>
        <v>-0.2988703886</v>
      </c>
      <c r="Y356" s="46">
        <f>IFERROR(__xludf.DUMMYFUNCTION("""COMPUTED_VALUE"""),-1.9215556294481384)</f>
        <v>-1.921555629</v>
      </c>
      <c r="Z356" s="46">
        <f>IFERROR(__xludf.DUMMYFUNCTION("""COMPUTED_VALUE"""),-1.5015124374589601)</f>
        <v>-1.501512437</v>
      </c>
      <c r="AA356" s="46">
        <f>IFERROR(__xludf.DUMMYFUNCTION("""COMPUTED_VALUE"""),-1.732769878353462)</f>
        <v>-1.732769878</v>
      </c>
      <c r="AB356" s="46">
        <f>IFERROR(__xludf.DUMMYFUNCTION("""COMPUTED_VALUE"""),-0.7896459158928509)</f>
        <v>-0.7896459159</v>
      </c>
      <c r="AC356" s="46">
        <f>IFERROR(__xludf.DUMMYFUNCTION("""COMPUTED_VALUE"""),-0.22685347876248496)</f>
        <v>-0.2268534788</v>
      </c>
      <c r="AD356" s="46">
        <f>IFERROR(__xludf.DUMMYFUNCTION("""COMPUTED_VALUE"""),-0.13157303517108632)</f>
        <v>-0.1315730352</v>
      </c>
      <c r="AE356" s="46">
        <f>IFERROR(__xludf.DUMMYFUNCTION("""COMPUTED_VALUE"""),0.43299176505743303)</f>
        <v>0.4329917651</v>
      </c>
    </row>
    <row r="357">
      <c r="A357" s="6" t="str">
        <f>IF(VLOOKUP(H357,'Paste #BBall'!$B$2:$N1001,3,)="BRO","BKN",IF(VLOOKUP(H357,'Paste #BBall'!$B$2:$N1001,3,)="OKL","OKC",VLOOKUP(H357,'Paste #BBall'!$B$2:$N1001,3,)))</f>
        <v>TOR</v>
      </c>
      <c r="B357" s="42">
        <f>VLOOKUP($A357,Schedule!$C$2:$G$31,2,0)</f>
        <v>3</v>
      </c>
      <c r="C357" s="42">
        <f>VLOOKUP($A357,Schedule!$C$2:$G$31,3,0)</f>
        <v>4</v>
      </c>
      <c r="D357" s="42">
        <f>VLOOKUP($A357,Schedule!$C$2:$G$31,4,0)</f>
        <v>3</v>
      </c>
      <c r="E357" s="42">
        <f t="shared" si="1"/>
        <v>10</v>
      </c>
      <c r="F357" s="6">
        <v>351.0</v>
      </c>
      <c r="G357" s="45">
        <f>IFERROR(__xludf.DUMMYFUNCTION("""COMPUTED_VALUE"""),359.0)</f>
        <v>359</v>
      </c>
      <c r="H357" s="45" t="str">
        <f>IFERROR(__xludf.DUMMYFUNCTION("""COMPUTED_VALUE"""),"Thaddeus Young")</f>
        <v>Thaddeus Young</v>
      </c>
      <c r="I357" s="45">
        <f>IFERROR(__xludf.DUMMYFUNCTION("""COMPUTED_VALUE"""),20.0)</f>
        <v>20</v>
      </c>
      <c r="J357" s="46" t="str">
        <f>IFERROR(__xludf.DUMMYFUNCTION("""COMPUTED_VALUE"""),"PF,C")</f>
        <v>PF,C</v>
      </c>
      <c r="K357" s="46">
        <f>IFERROR(__xludf.DUMMYFUNCTION("""COMPUTED_VALUE"""),-9.623488476218844)</f>
        <v>-9.623488476</v>
      </c>
      <c r="L357" s="47">
        <f>IFERROR(__xludf.DUMMYFUNCTION("""COMPUTED_VALUE"""),-5.960445086862938)</f>
        <v>-5.960445087</v>
      </c>
      <c r="M357" s="47">
        <f>IFERROR(__xludf.DUMMYFUNCTION("""COMPUTED_VALUE"""),3.663043389355906)</f>
        <v>3.663043389</v>
      </c>
      <c r="N357" s="47">
        <f>IFERROR(__xludf.DUMMYFUNCTION("""COMPUTED_VALUE"""),2.9)</f>
        <v>2.9</v>
      </c>
      <c r="O357" s="47">
        <f>IFERROR(__xludf.DUMMYFUNCTION("""COMPUTED_VALUE"""),0.1)</f>
        <v>0.1</v>
      </c>
      <c r="P357" s="47">
        <f>IFERROR(__xludf.DUMMYFUNCTION("""COMPUTED_VALUE"""),1.9)</f>
        <v>1.9</v>
      </c>
      <c r="Q357" s="48">
        <f>IFERROR(__xludf.DUMMYFUNCTION("""COMPUTED_VALUE"""),0.9)</f>
        <v>0.9</v>
      </c>
      <c r="R357" s="47">
        <f>IFERROR(__xludf.DUMMYFUNCTION("""COMPUTED_VALUE"""),0.6)</f>
        <v>0.6</v>
      </c>
      <c r="S357" s="47">
        <f>IFERROR(__xludf.DUMMYFUNCTION("""COMPUTED_VALUE"""),0.1)</f>
        <v>0.1</v>
      </c>
      <c r="T357" s="47">
        <f>IFERROR(__xludf.DUMMYFUNCTION("""COMPUTED_VALUE"""),54.16666666666667)</f>
        <v>54.16666667</v>
      </c>
      <c r="U357" s="47">
        <f>IFERROR(__xludf.DUMMYFUNCTION("""COMPUTED_VALUE"""),50.0)</f>
        <v>50</v>
      </c>
      <c r="V357" s="47">
        <f>IFERROR(__xludf.DUMMYFUNCTION("""COMPUTED_VALUE"""),0.5)</f>
        <v>0.5</v>
      </c>
      <c r="W357" s="46">
        <f>IFERROR(__xludf.DUMMYFUNCTION("""COMPUTED_VALUE"""),-2.4194770185337666)</f>
        <v>-2.419477019</v>
      </c>
      <c r="X357" s="46">
        <f>IFERROR(__xludf.DUMMYFUNCTION("""COMPUTED_VALUE"""),-1.3394249329228134)</f>
        <v>-1.339424933</v>
      </c>
      <c r="Y357" s="46">
        <f>IFERROR(__xludf.DUMMYFUNCTION("""COMPUTED_VALUE"""),-1.7542941500242468)</f>
        <v>-1.75429415</v>
      </c>
      <c r="Z357" s="46">
        <f>IFERROR(__xludf.DUMMYFUNCTION("""COMPUTED_VALUE"""),-1.5015124374589601)</f>
        <v>-1.501512437</v>
      </c>
      <c r="AA357" s="46">
        <f>IFERROR(__xludf.DUMMYFUNCTION("""COMPUTED_VALUE"""),-0.860570275155411)</f>
        <v>-0.8605702752</v>
      </c>
      <c r="AB357" s="46">
        <f>IFERROR(__xludf.DUMMYFUNCTION("""COMPUTED_VALUE"""),-0.7896459158928509)</f>
        <v>-0.7896459159</v>
      </c>
      <c r="AC357" s="46">
        <f>IFERROR(__xludf.DUMMYFUNCTION("""COMPUTED_VALUE"""),0.1095129359937043)</f>
        <v>0.109512936</v>
      </c>
      <c r="AD357" s="46">
        <f>IFERROR(__xludf.DUMMYFUNCTION("""COMPUTED_VALUE"""),-0.2885483311245229)</f>
        <v>-0.2885483311</v>
      </c>
      <c r="AE357" s="46">
        <f>IFERROR(__xludf.DUMMYFUNCTION("""COMPUTED_VALUE"""),0.4640380197221629)</f>
        <v>0.4640380197</v>
      </c>
    </row>
    <row r="358">
      <c r="A358" s="6" t="str">
        <f>IF(VLOOKUP(H358,'Paste #BBall'!$B$2:$N1001,3,)="BRO","BKN",IF(VLOOKUP(H358,'Paste #BBall'!$B$2:$N1001,3,)="OKL","OKC",VLOOKUP(H358,'Paste #BBall'!$B$2:$N1001,3,)))</f>
        <v>NY</v>
      </c>
      <c r="B358" s="42">
        <f>VLOOKUP($A358,Schedule!$C$2:$G$31,2,0)</f>
        <v>3</v>
      </c>
      <c r="C358" s="42">
        <f>VLOOKUP($A358,Schedule!$C$2:$G$31,3,0)</f>
        <v>3</v>
      </c>
      <c r="D358" s="42">
        <f>VLOOKUP($A358,Schedule!$C$2:$G$31,4,0)</f>
        <v>3</v>
      </c>
      <c r="E358" s="42">
        <f t="shared" si="1"/>
        <v>9</v>
      </c>
      <c r="F358" s="6">
        <v>352.0</v>
      </c>
      <c r="G358" s="45">
        <f>IFERROR(__xludf.DUMMYFUNCTION("""COMPUTED_VALUE"""),373.0)</f>
        <v>373</v>
      </c>
      <c r="H358" s="45" t="str">
        <f>IFERROR(__xludf.DUMMYFUNCTION("""COMPUTED_VALUE"""),"Jericho Sims")</f>
        <v>Jericho Sims</v>
      </c>
      <c r="I358" s="45">
        <f>IFERROR(__xludf.DUMMYFUNCTION("""COMPUTED_VALUE"""),31.0)</f>
        <v>31</v>
      </c>
      <c r="J358" s="46" t="str">
        <f>IFERROR(__xludf.DUMMYFUNCTION("""COMPUTED_VALUE"""),"PF,C")</f>
        <v>PF,C</v>
      </c>
      <c r="K358" s="46">
        <f>IFERROR(__xludf.DUMMYFUNCTION("""COMPUTED_VALUE"""),-9.953543883789958)</f>
        <v>-9.953543884</v>
      </c>
      <c r="L358" s="47">
        <f>IFERROR(__xludf.DUMMYFUNCTION("""COMPUTED_VALUE"""),-5.960472147357985)</f>
        <v>-5.960472147</v>
      </c>
      <c r="M358" s="47">
        <f>IFERROR(__xludf.DUMMYFUNCTION("""COMPUTED_VALUE"""),3.9930717364319737)</f>
        <v>3.993071736</v>
      </c>
      <c r="N358" s="47">
        <f>IFERROR(__xludf.DUMMYFUNCTION("""COMPUTED_VALUE"""),2.1)</f>
        <v>2.1</v>
      </c>
      <c r="O358" s="47">
        <f>IFERROR(__xludf.DUMMYFUNCTION("""COMPUTED_VALUE"""),0.0)</f>
        <v>0</v>
      </c>
      <c r="P358" s="47">
        <f>IFERROR(__xludf.DUMMYFUNCTION("""COMPUTED_VALUE"""),3.2)</f>
        <v>3.2</v>
      </c>
      <c r="Q358" s="48">
        <f>IFERROR(__xludf.DUMMYFUNCTION("""COMPUTED_VALUE"""),0.4)</f>
        <v>0.4</v>
      </c>
      <c r="R358" s="47">
        <f>IFERROR(__xludf.DUMMYFUNCTION("""COMPUTED_VALUE"""),0.2)</f>
        <v>0.2</v>
      </c>
      <c r="S358" s="47">
        <f>IFERROR(__xludf.DUMMYFUNCTION("""COMPUTED_VALUE"""),0.4)</f>
        <v>0.4</v>
      </c>
      <c r="T358" s="47">
        <f>IFERROR(__xludf.DUMMYFUNCTION("""COMPUTED_VALUE"""),76.92307692307692)</f>
        <v>76.92307692</v>
      </c>
      <c r="U358" s="47">
        <f>IFERROR(__xludf.DUMMYFUNCTION("""COMPUTED_VALUE"""),50.0)</f>
        <v>50</v>
      </c>
      <c r="V358" s="47">
        <f>IFERROR(__xludf.DUMMYFUNCTION("""COMPUTED_VALUE"""),0.4)</f>
        <v>0.4</v>
      </c>
      <c r="W358" s="46">
        <f>IFERROR(__xludf.DUMMYFUNCTION("""COMPUTED_VALUE"""),-2.5542981201005426)</f>
        <v>-2.55429812</v>
      </c>
      <c r="X358" s="46">
        <f>IFERROR(__xludf.DUMMYFUNCTION("""COMPUTED_VALUE"""),-1.4261378116187227)</f>
        <v>-1.426137812</v>
      </c>
      <c r="Y358" s="46">
        <f>IFERROR(__xludf.DUMMYFUNCTION("""COMPUTED_VALUE"""),-1.2106943418965999)</f>
        <v>-1.210694342</v>
      </c>
      <c r="Z358" s="46">
        <f>IFERROR(__xludf.DUMMYFUNCTION("""COMPUTED_VALUE"""),-1.7565247400165278)</f>
        <v>-1.75652474</v>
      </c>
      <c r="AA358" s="46">
        <f>IFERROR(__xludf.DUMMYFUNCTION("""COMPUTED_VALUE"""),-1.732769878353462)</f>
        <v>-1.732769878</v>
      </c>
      <c r="AB358" s="46">
        <f>IFERROR(__xludf.DUMMYFUNCTION("""COMPUTED_VALUE"""),-0.39569839687757064)</f>
        <v>-0.3956983969</v>
      </c>
      <c r="AC358" s="46">
        <f>IFERROR(__xludf.DUMMYFUNCTION("""COMPUTED_VALUE"""),0.354817078142528)</f>
        <v>0.3548170781</v>
      </c>
      <c r="AD358" s="46">
        <f>IFERROR(__xludf.DUMMYFUNCTION("""COMPUTED_VALUE"""),-0.2885483311245229)</f>
        <v>-0.2885483311</v>
      </c>
      <c r="AE358" s="46">
        <f>IFERROR(__xludf.DUMMYFUNCTION("""COMPUTED_VALUE"""),0.4950842743868928)</f>
        <v>0.4950842744</v>
      </c>
    </row>
    <row r="359">
      <c r="A359" s="6" t="str">
        <f>IF(VLOOKUP(H359,'Paste #BBall'!$B$2:$N1001,3,)="BRO","BKN",IF(VLOOKUP(H359,'Paste #BBall'!$B$2:$N1001,3,)="OKL","OKC",VLOOKUP(H359,'Paste #BBall'!$B$2:$N1001,3,)))</f>
        <v>ATL</v>
      </c>
      <c r="B359" s="42">
        <f>VLOOKUP($A359,Schedule!$C$2:$G$31,2,0)</f>
        <v>4</v>
      </c>
      <c r="C359" s="42">
        <f>VLOOKUP($A359,Schedule!$C$2:$G$31,3,0)</f>
        <v>3</v>
      </c>
      <c r="D359" s="42">
        <f>VLOOKUP($A359,Schedule!$C$2:$G$31,4,0)</f>
        <v>3</v>
      </c>
      <c r="E359" s="42">
        <f t="shared" si="1"/>
        <v>10</v>
      </c>
      <c r="F359" s="6">
        <v>353.0</v>
      </c>
      <c r="G359" s="45">
        <f>IFERROR(__xludf.DUMMYFUNCTION("""COMPUTED_VALUE"""),357.0)</f>
        <v>357</v>
      </c>
      <c r="H359" s="45" t="str">
        <f>IFERROR(__xludf.DUMMYFUNCTION("""COMPUTED_VALUE"""),"Bruno Fernando")</f>
        <v>Bruno Fernando</v>
      </c>
      <c r="I359" s="45">
        <f>IFERROR(__xludf.DUMMYFUNCTION("""COMPUTED_VALUE"""),30.0)</f>
        <v>30</v>
      </c>
      <c r="J359" s="46" t="str">
        <f>IFERROR(__xludf.DUMMYFUNCTION("""COMPUTED_VALUE"""),"C")</f>
        <v>C</v>
      </c>
      <c r="K359" s="46">
        <f>IFERROR(__xludf.DUMMYFUNCTION("""COMPUTED_VALUE"""),-9.5481821120023)</f>
        <v>-9.548182112</v>
      </c>
      <c r="L359" s="47">
        <f>IFERROR(__xludf.DUMMYFUNCTION("""COMPUTED_VALUE"""),-5.967723287682988)</f>
        <v>-5.967723288</v>
      </c>
      <c r="M359" s="47">
        <f>IFERROR(__xludf.DUMMYFUNCTION("""COMPUTED_VALUE"""),3.5804588243193116)</f>
        <v>3.580458824</v>
      </c>
      <c r="N359" s="47">
        <f>IFERROR(__xludf.DUMMYFUNCTION("""COMPUTED_VALUE"""),4.0)</f>
        <v>4</v>
      </c>
      <c r="O359" s="47">
        <f>IFERROR(__xludf.DUMMYFUNCTION("""COMPUTED_VALUE"""),0.0)</f>
        <v>0</v>
      </c>
      <c r="P359" s="47">
        <f>IFERROR(__xludf.DUMMYFUNCTION("""COMPUTED_VALUE"""),3.2)</f>
        <v>3.2</v>
      </c>
      <c r="Q359" s="48">
        <f>IFERROR(__xludf.DUMMYFUNCTION("""COMPUTED_VALUE"""),0.6)</f>
        <v>0.6</v>
      </c>
      <c r="R359" s="47">
        <f>IFERROR(__xludf.DUMMYFUNCTION("""COMPUTED_VALUE"""),0.1)</f>
        <v>0.1</v>
      </c>
      <c r="S359" s="47">
        <f>IFERROR(__xludf.DUMMYFUNCTION("""COMPUTED_VALUE"""),0.7)</f>
        <v>0.7</v>
      </c>
      <c r="T359" s="47">
        <f>IFERROR(__xludf.DUMMYFUNCTION("""COMPUTED_VALUE"""),57.14285714285715)</f>
        <v>57.14285714</v>
      </c>
      <c r="U359" s="47">
        <f>IFERROR(__xludf.DUMMYFUNCTION("""COMPUTED_VALUE"""),66.66666666666667)</f>
        <v>66.66666667</v>
      </c>
      <c r="V359" s="47">
        <f>IFERROR(__xludf.DUMMYFUNCTION("""COMPUTED_VALUE"""),0.6)</f>
        <v>0.6</v>
      </c>
      <c r="W359" s="46">
        <f>IFERROR(__xludf.DUMMYFUNCTION("""COMPUTED_VALUE"""),-2.2340980038794496)</f>
        <v>-2.234098004</v>
      </c>
      <c r="X359" s="46">
        <f>IFERROR(__xludf.DUMMYFUNCTION("""COMPUTED_VALUE"""),-1.4261378116187227)</f>
        <v>-1.426137812</v>
      </c>
      <c r="Y359" s="46">
        <f>IFERROR(__xludf.DUMMYFUNCTION("""COMPUTED_VALUE"""),-1.2106943418965999)</f>
        <v>-1.210694342</v>
      </c>
      <c r="Z359" s="46">
        <f>IFERROR(__xludf.DUMMYFUNCTION("""COMPUTED_VALUE"""),-1.6545198189935006)</f>
        <v>-1.654519819</v>
      </c>
      <c r="AA359" s="46">
        <f>IFERROR(__xludf.DUMMYFUNCTION("""COMPUTED_VALUE"""),-1.9508197791529749)</f>
        <v>-1.950819779</v>
      </c>
      <c r="AB359" s="46">
        <f>IFERROR(__xludf.DUMMYFUNCTION("""COMPUTED_VALUE"""),-0.0017508778622903794)</f>
        <v>-0.001750877862</v>
      </c>
      <c r="AC359" s="46">
        <f>IFERROR(__xludf.DUMMYFUNCTION("""COMPUTED_VALUE"""),0.2110038444281306)</f>
        <v>0.2110038444</v>
      </c>
      <c r="AD359" s="46">
        <f>IFERROR(__xludf.DUMMYFUNCTION("""COMPUTED_VALUE"""),-0.36779626764446344)</f>
        <v>-0.3677962676</v>
      </c>
      <c r="AE359" s="46">
        <f>IFERROR(__xludf.DUMMYFUNCTION("""COMPUTED_VALUE"""),0.43299176505743303)</f>
        <v>0.4329917651</v>
      </c>
    </row>
    <row r="360">
      <c r="A360" s="6" t="str">
        <f>IF(VLOOKUP(H360,'Paste #BBall'!$B$2:$N1001,3,)="BRO","BKN",IF(VLOOKUP(H360,'Paste #BBall'!$B$2:$N1001,3,)="OKL","OKC",VLOOKUP(H360,'Paste #BBall'!$B$2:$N1001,3,)))</f>
        <v>CHA</v>
      </c>
      <c r="B360" s="42">
        <f>VLOOKUP($A360,Schedule!$C$2:$G$31,2,0)</f>
        <v>3</v>
      </c>
      <c r="C360" s="42">
        <f>VLOOKUP($A360,Schedule!$C$2:$G$31,3,0)</f>
        <v>4</v>
      </c>
      <c r="D360" s="42">
        <f>VLOOKUP($A360,Schedule!$C$2:$G$31,4,0)</f>
        <v>2</v>
      </c>
      <c r="E360" s="42">
        <f t="shared" si="1"/>
        <v>9</v>
      </c>
      <c r="F360" s="6">
        <v>354.0</v>
      </c>
      <c r="G360" s="45">
        <f>IFERROR(__xludf.DUMMYFUNCTION("""COMPUTED_VALUE"""),353.0)</f>
        <v>353</v>
      </c>
      <c r="H360" s="45" t="str">
        <f>IFERROR(__xludf.DUMMYFUNCTION("""COMPUTED_VALUE"""),"Kai Jones")</f>
        <v>Kai Jones</v>
      </c>
      <c r="I360" s="45">
        <f>IFERROR(__xludf.DUMMYFUNCTION("""COMPUTED_VALUE"""),40.0)</f>
        <v>40</v>
      </c>
      <c r="J360" s="46" t="str">
        <f>IFERROR(__xludf.DUMMYFUNCTION("""COMPUTED_VALUE"""),"PF,C")</f>
        <v>PF,C</v>
      </c>
      <c r="K360" s="46">
        <f>IFERROR(__xludf.DUMMYFUNCTION("""COMPUTED_VALUE"""),-9.511386671988532)</f>
        <v>-9.511386672</v>
      </c>
      <c r="L360" s="47">
        <f>IFERROR(__xludf.DUMMYFUNCTION("""COMPUTED_VALUE"""),-5.973622781826984)</f>
        <v>-5.973622782</v>
      </c>
      <c r="M360" s="47">
        <f>IFERROR(__xludf.DUMMYFUNCTION("""COMPUTED_VALUE"""),3.537763890161548)</f>
        <v>3.53776389</v>
      </c>
      <c r="N360" s="47">
        <f>IFERROR(__xludf.DUMMYFUNCTION("""COMPUTED_VALUE"""),3.1)</f>
        <v>3.1</v>
      </c>
      <c r="O360" s="47">
        <f>IFERROR(__xludf.DUMMYFUNCTION("""COMPUTED_VALUE"""),0.1)</f>
        <v>0.1</v>
      </c>
      <c r="P360" s="47">
        <f>IFERROR(__xludf.DUMMYFUNCTION("""COMPUTED_VALUE"""),2.3)</f>
        <v>2.3</v>
      </c>
      <c r="Q360" s="48">
        <f>IFERROR(__xludf.DUMMYFUNCTION("""COMPUTED_VALUE"""),0.3)</f>
        <v>0.3</v>
      </c>
      <c r="R360" s="47">
        <f>IFERROR(__xludf.DUMMYFUNCTION("""COMPUTED_VALUE"""),0.3)</f>
        <v>0.3</v>
      </c>
      <c r="S360" s="47">
        <f>IFERROR(__xludf.DUMMYFUNCTION("""COMPUTED_VALUE"""),0.6)</f>
        <v>0.6</v>
      </c>
      <c r="T360" s="47">
        <f>IFERROR(__xludf.DUMMYFUNCTION("""COMPUTED_VALUE"""),56.52173913043479)</f>
        <v>56.52173913</v>
      </c>
      <c r="U360" s="47">
        <f>IFERROR(__xludf.DUMMYFUNCTION("""COMPUTED_VALUE"""),66.66666666666667)</f>
        <v>66.66666667</v>
      </c>
      <c r="V360" s="47">
        <f>IFERROR(__xludf.DUMMYFUNCTION("""COMPUTED_VALUE"""),0.6)</f>
        <v>0.6</v>
      </c>
      <c r="W360" s="46">
        <f>IFERROR(__xludf.DUMMYFUNCTION("""COMPUTED_VALUE"""),-2.385771743142073)</f>
        <v>-2.385771743</v>
      </c>
      <c r="X360" s="46">
        <f>IFERROR(__xludf.DUMMYFUNCTION("""COMPUTED_VALUE"""),-1.3394249329228134)</f>
        <v>-1.339424933</v>
      </c>
      <c r="Y360" s="46">
        <f>IFERROR(__xludf.DUMMYFUNCTION("""COMPUTED_VALUE"""),-1.5870326706003557)</f>
        <v>-1.587032671</v>
      </c>
      <c r="Z360" s="46">
        <f>IFERROR(__xludf.DUMMYFUNCTION("""COMPUTED_VALUE"""),-1.8075272005280414)</f>
        <v>-1.807527201</v>
      </c>
      <c r="AA360" s="46">
        <f>IFERROR(__xludf.DUMMYFUNCTION("""COMPUTED_VALUE"""),-1.5147199775539493)</f>
        <v>-1.514719978</v>
      </c>
      <c r="AB360" s="46">
        <f>IFERROR(__xludf.DUMMYFUNCTION("""COMPUTED_VALUE"""),-0.13306671753405044)</f>
        <v>-0.1330667175</v>
      </c>
      <c r="AC360" s="46">
        <f>IFERROR(__xludf.DUMMYFUNCTION("""COMPUTED_VALUE"""),0.15905508607702573)</f>
        <v>0.1590550861</v>
      </c>
      <c r="AD360" s="46">
        <f>IFERROR(__xludf.DUMMYFUNCTION("""COMPUTED_VALUE"""),-0.18389813382223172)</f>
        <v>-0.1838981338</v>
      </c>
      <c r="AE360" s="46">
        <f>IFERROR(__xludf.DUMMYFUNCTION("""COMPUTED_VALUE"""),0.43299176505743303)</f>
        <v>0.4329917651</v>
      </c>
    </row>
    <row r="361">
      <c r="A361" s="6" t="str">
        <f>IF(VLOOKUP(H361,'Paste #BBall'!$B$2:$N1001,3,)="BRO","BKN",IF(VLOOKUP(H361,'Paste #BBall'!$B$2:$N1001,3,)="OKL","OKC",VLOOKUP(H361,'Paste #BBall'!$B$2:$N1001,3,)))</f>
        <v>LAC</v>
      </c>
      <c r="B361" s="42">
        <f>VLOOKUP($A361,Schedule!$C$2:$G$31,2,0)</f>
        <v>4</v>
      </c>
      <c r="C361" s="42">
        <f>VLOOKUP($A361,Schedule!$C$2:$G$31,3,0)</f>
        <v>4</v>
      </c>
      <c r="D361" s="42">
        <f>VLOOKUP($A361,Schedule!$C$2:$G$31,4,0)</f>
        <v>3</v>
      </c>
      <c r="E361" s="42">
        <f t="shared" si="1"/>
        <v>11</v>
      </c>
      <c r="F361" s="6">
        <v>355.0</v>
      </c>
      <c r="G361" s="45">
        <f>IFERROR(__xludf.DUMMYFUNCTION("""COMPUTED_VALUE"""),347.0)</f>
        <v>347</v>
      </c>
      <c r="H361" s="45" t="str">
        <f>IFERROR(__xludf.DUMMYFUNCTION("""COMPUTED_VALUE"""),"Kobe Brown")</f>
        <v>Kobe Brown</v>
      </c>
      <c r="I361" s="45">
        <f>IFERROR(__xludf.DUMMYFUNCTION("""COMPUTED_VALUE"""),30.0)</f>
        <v>30</v>
      </c>
      <c r="J361" s="46" t="str">
        <f>IFERROR(__xludf.DUMMYFUNCTION("""COMPUTED_VALUE"""),"PF")</f>
        <v>PF</v>
      </c>
      <c r="K361" s="46">
        <f>IFERROR(__xludf.DUMMYFUNCTION("""COMPUTED_VALUE"""),-9.310118751599399)</f>
        <v>-9.310118752</v>
      </c>
      <c r="L361" s="47">
        <f>IFERROR(__xludf.DUMMYFUNCTION("""COMPUTED_VALUE"""),-6.025798279333887)</f>
        <v>-6.025798279</v>
      </c>
      <c r="M361" s="47">
        <f>IFERROR(__xludf.DUMMYFUNCTION("""COMPUTED_VALUE"""),3.284320472265512)</f>
        <v>3.284320472</v>
      </c>
      <c r="N361" s="47">
        <f>IFERROR(__xludf.DUMMYFUNCTION("""COMPUTED_VALUE"""),6.0)</f>
        <v>6</v>
      </c>
      <c r="O361" s="47">
        <f>IFERROR(__xludf.DUMMYFUNCTION("""COMPUTED_VALUE"""),1.0)</f>
        <v>1</v>
      </c>
      <c r="P361" s="47">
        <f>IFERROR(__xludf.DUMMYFUNCTION("""COMPUTED_VALUE"""),2.1)</f>
        <v>2.1</v>
      </c>
      <c r="Q361" s="48">
        <f>IFERROR(__xludf.DUMMYFUNCTION("""COMPUTED_VALUE"""),0.4)</f>
        <v>0.4</v>
      </c>
      <c r="R361" s="47">
        <f>IFERROR(__xludf.DUMMYFUNCTION("""COMPUTED_VALUE"""),0.3)</f>
        <v>0.3</v>
      </c>
      <c r="S361" s="47">
        <f>IFERROR(__xludf.DUMMYFUNCTION("""COMPUTED_VALUE"""),0.2)</f>
        <v>0.2</v>
      </c>
      <c r="T361" s="47">
        <f>IFERROR(__xludf.DUMMYFUNCTION("""COMPUTED_VALUE"""),44.89795918367347)</f>
        <v>44.89795918</v>
      </c>
      <c r="U361" s="47">
        <f>IFERROR(__xludf.DUMMYFUNCTION("""COMPUTED_VALUE"""),71.42857142857143)</f>
        <v>71.42857143</v>
      </c>
      <c r="V361" s="47">
        <f>IFERROR(__xludf.DUMMYFUNCTION("""COMPUTED_VALUE"""),0.4)</f>
        <v>0.4</v>
      </c>
      <c r="W361" s="46">
        <f>IFERROR(__xludf.DUMMYFUNCTION("""COMPUTED_VALUE"""),-1.89704524996251)</f>
        <v>-1.89704525</v>
      </c>
      <c r="X361" s="46">
        <f>IFERROR(__xludf.DUMMYFUNCTION("""COMPUTED_VALUE"""),-0.5590090246596284)</f>
        <v>-0.5590090247</v>
      </c>
      <c r="Y361" s="46">
        <f>IFERROR(__xludf.DUMMYFUNCTION("""COMPUTED_VALUE"""),-1.6706634103123013)</f>
        <v>-1.67066341</v>
      </c>
      <c r="Z361" s="46">
        <f>IFERROR(__xludf.DUMMYFUNCTION("""COMPUTED_VALUE"""),-1.7565247400165278)</f>
        <v>-1.75652474</v>
      </c>
      <c r="AA361" s="46">
        <f>IFERROR(__xludf.DUMMYFUNCTION("""COMPUTED_VALUE"""),-1.5147199775539493)</f>
        <v>-1.514719978</v>
      </c>
      <c r="AB361" s="46">
        <f>IFERROR(__xludf.DUMMYFUNCTION("""COMPUTED_VALUE"""),-0.6583300762210907)</f>
        <v>-0.6583300762</v>
      </c>
      <c r="AC361" s="46">
        <f>IFERROR(__xludf.DUMMYFUNCTION("""COMPUTED_VALUE"""),-0.23006228978619597)</f>
        <v>-0.2300622898</v>
      </c>
      <c r="AD361" s="46">
        <f>IFERROR(__xludf.DUMMYFUNCTION("""COMPUTED_VALUE"""),-0.13157303517108632)</f>
        <v>-0.1315730352</v>
      </c>
      <c r="AE361" s="46">
        <f>IFERROR(__xludf.DUMMYFUNCTION("""COMPUTED_VALUE"""),0.4950842743868928)</f>
        <v>0.4950842744</v>
      </c>
    </row>
    <row r="362">
      <c r="A362" s="6" t="str">
        <f>IF(VLOOKUP(H362,'Paste #BBall'!$B$2:$N1001,3,)="BRO","BKN",IF(VLOOKUP(H362,'Paste #BBall'!$B$2:$N1001,3,)="OKL","OKC",VLOOKUP(H362,'Paste #BBall'!$B$2:$N1001,3,)))</f>
        <v>PHI</v>
      </c>
      <c r="B362" s="42">
        <f>VLOOKUP($A362,Schedule!$C$2:$G$31,2,0)</f>
        <v>4</v>
      </c>
      <c r="C362" s="42">
        <f>VLOOKUP($A362,Schedule!$C$2:$G$31,3,0)</f>
        <v>3</v>
      </c>
      <c r="D362" s="42">
        <f>VLOOKUP($A362,Schedule!$C$2:$G$31,4,0)</f>
        <v>4</v>
      </c>
      <c r="E362" s="42">
        <f t="shared" si="1"/>
        <v>11</v>
      </c>
      <c r="F362" s="6">
        <v>356.0</v>
      </c>
      <c r="G362" s="45">
        <f>IFERROR(__xludf.DUMMYFUNCTION("""COMPUTED_VALUE"""),351.0)</f>
        <v>351</v>
      </c>
      <c r="H362" s="45" t="str">
        <f>IFERROR(__xludf.DUMMYFUNCTION("""COMPUTED_VALUE"""),"Montrezl Harrell")</f>
        <v>Montrezl Harrell</v>
      </c>
      <c r="I362" s="45">
        <f>IFERROR(__xludf.DUMMYFUNCTION("""COMPUTED_VALUE"""),40.0)</f>
        <v>40</v>
      </c>
      <c r="J362" s="46" t="str">
        <f>IFERROR(__xludf.DUMMYFUNCTION("""COMPUTED_VALUE"""),"C")</f>
        <v>C</v>
      </c>
      <c r="K362" s="46">
        <f>IFERROR(__xludf.DUMMYFUNCTION("""COMPUTED_VALUE"""),-9.45504377067363)</f>
        <v>-9.455043771</v>
      </c>
      <c r="L362" s="47">
        <f>IFERROR(__xludf.DUMMYFUNCTION("""COMPUTED_VALUE"""),-6.033412223168129)</f>
        <v>-6.033412223</v>
      </c>
      <c r="M362" s="47">
        <f>IFERROR(__xludf.DUMMYFUNCTION("""COMPUTED_VALUE"""),3.421631547505501)</f>
        <v>3.421631548</v>
      </c>
      <c r="N362" s="47">
        <f>IFERROR(__xludf.DUMMYFUNCTION("""COMPUTED_VALUE"""),5.7)</f>
        <v>5.7</v>
      </c>
      <c r="O362" s="47">
        <f>IFERROR(__xludf.DUMMYFUNCTION("""COMPUTED_VALUE"""),0.0)</f>
        <v>0</v>
      </c>
      <c r="P362" s="47">
        <f>IFERROR(__xludf.DUMMYFUNCTION("""COMPUTED_VALUE"""),2.7)</f>
        <v>2.7</v>
      </c>
      <c r="Q362" s="48">
        <f>IFERROR(__xludf.DUMMYFUNCTION("""COMPUTED_VALUE"""),0.8)</f>
        <v>0.8</v>
      </c>
      <c r="R362" s="47">
        <f>IFERROR(__xludf.DUMMYFUNCTION("""COMPUTED_VALUE"""),0.2)</f>
        <v>0.2</v>
      </c>
      <c r="S362" s="47">
        <f>IFERROR(__xludf.DUMMYFUNCTION("""COMPUTED_VALUE"""),0.3)</f>
        <v>0.3</v>
      </c>
      <c r="T362" s="47">
        <f>IFERROR(__xludf.DUMMYFUNCTION("""COMPUTED_VALUE"""),62.85714285714287)</f>
        <v>62.85714286</v>
      </c>
      <c r="U362" s="47">
        <f>IFERROR(__xludf.DUMMYFUNCTION("""COMPUTED_VALUE"""),72.22222222222221)</f>
        <v>72.22222222</v>
      </c>
      <c r="V362" s="47">
        <f>IFERROR(__xludf.DUMMYFUNCTION("""COMPUTED_VALUE"""),0.5)</f>
        <v>0.5</v>
      </c>
      <c r="W362" s="46">
        <f>IFERROR(__xludf.DUMMYFUNCTION("""COMPUTED_VALUE"""),-1.947603163050051)</f>
        <v>-1.947603163</v>
      </c>
      <c r="X362" s="46">
        <f>IFERROR(__xludf.DUMMYFUNCTION("""COMPUTED_VALUE"""),-1.4261378116187227)</f>
        <v>-1.426137812</v>
      </c>
      <c r="Y362" s="46">
        <f>IFERROR(__xludf.DUMMYFUNCTION("""COMPUTED_VALUE"""),-1.419771191176464)</f>
        <v>-1.419771191</v>
      </c>
      <c r="Z362" s="46">
        <f>IFERROR(__xludf.DUMMYFUNCTION("""COMPUTED_VALUE"""),-1.5525148979704735)</f>
        <v>-1.552514898</v>
      </c>
      <c r="AA362" s="46">
        <f>IFERROR(__xludf.DUMMYFUNCTION("""COMPUTED_VALUE"""),-1.732769878353462)</f>
        <v>-1.732769878</v>
      </c>
      <c r="AB362" s="46">
        <f>IFERROR(__xludf.DUMMYFUNCTION("""COMPUTED_VALUE"""),-0.5270142365493308)</f>
        <v>-0.5270142365</v>
      </c>
      <c r="AC362" s="46">
        <f>IFERROR(__xludf.DUMMYFUNCTION("""COMPUTED_VALUE"""),0.46352781138030463)</f>
        <v>0.4635278114</v>
      </c>
      <c r="AD362" s="46">
        <f>IFERROR(__xludf.DUMMYFUNCTION("""COMPUTED_VALUE"""),-0.3027700386021432)</f>
        <v>-0.3027700386</v>
      </c>
      <c r="AE362" s="46">
        <f>IFERROR(__xludf.DUMMYFUNCTION("""COMPUTED_VALUE"""),0.4640380197221629)</f>
        <v>0.4640380197</v>
      </c>
    </row>
    <row r="363">
      <c r="A363" s="6" t="str">
        <f>IF(VLOOKUP(H363,'Paste #BBall'!$B$2:$N1001,3,)="BRO","BKN",IF(VLOOKUP(H363,'Paste #BBall'!$B$2:$N1001,3,)="OKL","OKC",VLOOKUP(H363,'Paste #BBall'!$B$2:$N1001,3,)))</f>
        <v>BKN</v>
      </c>
      <c r="B363" s="42">
        <f>VLOOKUP($A363,Schedule!$C$2:$G$31,2,0)</f>
        <v>5</v>
      </c>
      <c r="C363" s="42">
        <f>VLOOKUP($A363,Schedule!$C$2:$G$31,3,0)</f>
        <v>3</v>
      </c>
      <c r="D363" s="42">
        <f>VLOOKUP($A363,Schedule!$C$2:$G$31,4,0)</f>
        <v>3</v>
      </c>
      <c r="E363" s="42">
        <f t="shared" si="1"/>
        <v>11</v>
      </c>
      <c r="F363" s="6">
        <v>357.0</v>
      </c>
      <c r="G363" s="45">
        <f>IFERROR(__xludf.DUMMYFUNCTION("""COMPUTED_VALUE"""),358.0)</f>
        <v>358</v>
      </c>
      <c r="H363" s="45" t="str">
        <f>IFERROR(__xludf.DUMMYFUNCTION("""COMPUTED_VALUE"""),"Darius Bazley")</f>
        <v>Darius Bazley</v>
      </c>
      <c r="I363" s="45">
        <f>IFERROR(__xludf.DUMMYFUNCTION("""COMPUTED_VALUE"""),33.0)</f>
        <v>33</v>
      </c>
      <c r="J363" s="46" t="str">
        <f>IFERROR(__xludf.DUMMYFUNCTION("""COMPUTED_VALUE"""),"PF,C")</f>
        <v>PF,C</v>
      </c>
      <c r="K363" s="46">
        <f>IFERROR(__xludf.DUMMYFUNCTION("""COMPUTED_VALUE"""),-9.608376803956922)</f>
        <v>-9.608376804</v>
      </c>
      <c r="L363" s="47">
        <f>IFERROR(__xludf.DUMMYFUNCTION("""COMPUTED_VALUE"""),-6.084717079519649)</f>
        <v>-6.08471708</v>
      </c>
      <c r="M363" s="47">
        <f>IFERROR(__xludf.DUMMYFUNCTION("""COMPUTED_VALUE"""),3.523659724437273)</f>
        <v>3.523659724</v>
      </c>
      <c r="N363" s="47">
        <f>IFERROR(__xludf.DUMMYFUNCTION("""COMPUTED_VALUE"""),4.2)</f>
        <v>4.2</v>
      </c>
      <c r="O363" s="47">
        <f>IFERROR(__xludf.DUMMYFUNCTION("""COMPUTED_VALUE"""),0.4)</f>
        <v>0.4</v>
      </c>
      <c r="P363" s="47">
        <f>IFERROR(__xludf.DUMMYFUNCTION("""COMPUTED_VALUE"""),2.4)</f>
        <v>2.4</v>
      </c>
      <c r="Q363" s="48">
        <f>IFERROR(__xludf.DUMMYFUNCTION("""COMPUTED_VALUE"""),0.6)</f>
        <v>0.6</v>
      </c>
      <c r="R363" s="47">
        <f>IFERROR(__xludf.DUMMYFUNCTION("""COMPUTED_VALUE"""),0.3)</f>
        <v>0.3</v>
      </c>
      <c r="S363" s="47">
        <f>IFERROR(__xludf.DUMMYFUNCTION("""COMPUTED_VALUE"""),0.4)</f>
        <v>0.4</v>
      </c>
      <c r="T363" s="47">
        <f>IFERROR(__xludf.DUMMYFUNCTION("""COMPUTED_VALUE"""),45.714285714285715)</f>
        <v>45.71428571</v>
      </c>
      <c r="U363" s="47">
        <f>IFERROR(__xludf.DUMMYFUNCTION("""COMPUTED_VALUE"""),70.0)</f>
        <v>70</v>
      </c>
      <c r="V363" s="47">
        <f>IFERROR(__xludf.DUMMYFUNCTION("""COMPUTED_VALUE"""),0.5)</f>
        <v>0.5</v>
      </c>
      <c r="W363" s="46">
        <f>IFERROR(__xludf.DUMMYFUNCTION("""COMPUTED_VALUE"""),-2.200392728487756)</f>
        <v>-2.200392728</v>
      </c>
      <c r="X363" s="46">
        <f>IFERROR(__xludf.DUMMYFUNCTION("""COMPUTED_VALUE"""),-1.079286296835085)</f>
        <v>-1.079286297</v>
      </c>
      <c r="Y363" s="46">
        <f>IFERROR(__xludf.DUMMYFUNCTION("""COMPUTED_VALUE"""),-1.5452173007443828)</f>
        <v>-1.545217301</v>
      </c>
      <c r="Z363" s="46">
        <f>IFERROR(__xludf.DUMMYFUNCTION("""COMPUTED_VALUE"""),-1.6545198189935006)</f>
        <v>-1.654519819</v>
      </c>
      <c r="AA363" s="46">
        <f>IFERROR(__xludf.DUMMYFUNCTION("""COMPUTED_VALUE"""),-1.5147199775539493)</f>
        <v>-1.514719978</v>
      </c>
      <c r="AB363" s="46">
        <f>IFERROR(__xludf.DUMMYFUNCTION("""COMPUTED_VALUE"""),-0.39569839687757064)</f>
        <v>-0.3956983969</v>
      </c>
      <c r="AC363" s="46">
        <f>IFERROR(__xludf.DUMMYFUNCTION("""COMPUTED_VALUE"""),-0.13579120615511964)</f>
        <v>-0.1357912062</v>
      </c>
      <c r="AD363" s="46">
        <f>IFERROR(__xludf.DUMMYFUNCTION("""COMPUTED_VALUE"""),-0.22352210208220238)</f>
        <v>-0.2235221021</v>
      </c>
      <c r="AE363" s="46">
        <f>IFERROR(__xludf.DUMMYFUNCTION("""COMPUTED_VALUE"""),0.4640380197221629)</f>
        <v>0.4640380197</v>
      </c>
    </row>
    <row r="364">
      <c r="A364" s="6" t="str">
        <f>IF(VLOOKUP(H364,'Paste #BBall'!$B$2:$N1001,3,)="BRO","BKN",IF(VLOOKUP(H364,'Paste #BBall'!$B$2:$N1001,3,)="OKL","OKC",VLOOKUP(H364,'Paste #BBall'!$B$2:$N1001,3,)))</f>
        <v>MEM</v>
      </c>
      <c r="B364" s="42">
        <f>VLOOKUP($A364,Schedule!$C$2:$G$31,2,0)</f>
        <v>4</v>
      </c>
      <c r="C364" s="42">
        <f>VLOOKUP($A364,Schedule!$C$2:$G$31,3,0)</f>
        <v>3</v>
      </c>
      <c r="D364" s="42">
        <f>VLOOKUP($A364,Schedule!$C$2:$G$31,4,0)</f>
        <v>3</v>
      </c>
      <c r="E364" s="42">
        <f t="shared" si="1"/>
        <v>10</v>
      </c>
      <c r="F364" s="6">
        <v>358.0</v>
      </c>
      <c r="G364" s="45">
        <f>IFERROR(__xludf.DUMMYFUNCTION("""COMPUTED_VALUE"""),354.0)</f>
        <v>354</v>
      </c>
      <c r="H364" s="45" t="str">
        <f>IFERROR(__xludf.DUMMYFUNCTION("""COMPUTED_VALUE"""),"Derrick Rose")</f>
        <v>Derrick Rose</v>
      </c>
      <c r="I364" s="45">
        <f>IFERROR(__xludf.DUMMYFUNCTION("""COMPUTED_VALUE"""),20.0)</f>
        <v>20</v>
      </c>
      <c r="J364" s="46" t="str">
        <f>IFERROR(__xludf.DUMMYFUNCTION("""COMPUTED_VALUE"""),"PG")</f>
        <v>PG</v>
      </c>
      <c r="K364" s="46">
        <f>IFERROR(__xludf.DUMMYFUNCTION("""COMPUTED_VALUE"""),-9.51865498034409)</f>
        <v>-9.51865498</v>
      </c>
      <c r="L364" s="47">
        <f>IFERROR(__xludf.DUMMYFUNCTION("""COMPUTED_VALUE"""),-6.09515438085425)</f>
        <v>-6.095154381</v>
      </c>
      <c r="M364" s="47">
        <f>IFERROR(__xludf.DUMMYFUNCTION("""COMPUTED_VALUE"""),3.4235005994898398)</f>
        <v>3.423500599</v>
      </c>
      <c r="N364" s="47">
        <f>IFERROR(__xludf.DUMMYFUNCTION("""COMPUTED_VALUE"""),5.0)</f>
        <v>5</v>
      </c>
      <c r="O364" s="47">
        <f>IFERROR(__xludf.DUMMYFUNCTION("""COMPUTED_VALUE"""),0.6)</f>
        <v>0.6</v>
      </c>
      <c r="P364" s="47">
        <f>IFERROR(__xludf.DUMMYFUNCTION("""COMPUTED_VALUE"""),1.3)</f>
        <v>1.3</v>
      </c>
      <c r="Q364" s="48">
        <f>IFERROR(__xludf.DUMMYFUNCTION("""COMPUTED_VALUE"""),1.6)</f>
        <v>1.6</v>
      </c>
      <c r="R364" s="47">
        <f>IFERROR(__xludf.DUMMYFUNCTION("""COMPUTED_VALUE"""),0.3)</f>
        <v>0.3</v>
      </c>
      <c r="S364" s="47">
        <f>IFERROR(__xludf.DUMMYFUNCTION("""COMPUTED_VALUE"""),0.2)</f>
        <v>0.2</v>
      </c>
      <c r="T364" s="47">
        <f>IFERROR(__xludf.DUMMYFUNCTION("""COMPUTED_VALUE"""),43.47826086956522)</f>
        <v>43.47826087</v>
      </c>
      <c r="U364" s="47">
        <f>IFERROR(__xludf.DUMMYFUNCTION("""COMPUTED_VALUE"""),80.0)</f>
        <v>80</v>
      </c>
      <c r="V364" s="47">
        <f>IFERROR(__xludf.DUMMYFUNCTION("""COMPUTED_VALUE"""),0.7)</f>
        <v>0.7</v>
      </c>
      <c r="W364" s="46">
        <f>IFERROR(__xludf.DUMMYFUNCTION("""COMPUTED_VALUE"""),-2.06557162692098)</f>
        <v>-2.065571627</v>
      </c>
      <c r="X364" s="46">
        <f>IFERROR(__xludf.DUMMYFUNCTION("""COMPUTED_VALUE"""),-0.9058605394432663)</f>
        <v>-0.9058605394</v>
      </c>
      <c r="Y364" s="46">
        <f>IFERROR(__xludf.DUMMYFUNCTION("""COMPUTED_VALUE"""),-2.005186369160084)</f>
        <v>-2.005186369</v>
      </c>
      <c r="Z364" s="46">
        <f>IFERROR(__xludf.DUMMYFUNCTION("""COMPUTED_VALUE"""),-1.144495213878365)</f>
        <v>-1.144495214</v>
      </c>
      <c r="AA364" s="46">
        <f>IFERROR(__xludf.DUMMYFUNCTION("""COMPUTED_VALUE"""),-1.5147199775539493)</f>
        <v>-1.514719978</v>
      </c>
      <c r="AB364" s="46">
        <f>IFERROR(__xludf.DUMMYFUNCTION("""COMPUTED_VALUE"""),-0.6583300762210907)</f>
        <v>-0.6583300762</v>
      </c>
      <c r="AC364" s="46">
        <f>IFERROR(__xludf.DUMMYFUNCTION("""COMPUTED_VALUE"""),-0.2812088453813728)</f>
        <v>-0.2812088454</v>
      </c>
      <c r="AD364" s="46">
        <f>IFERROR(__xludf.DUMMYFUNCTION("""COMPUTED_VALUE"""),0.01270113039117512)</f>
        <v>0.01270113039</v>
      </c>
      <c r="AE364" s="46">
        <f>IFERROR(__xludf.DUMMYFUNCTION("""COMPUTED_VALUE"""),0.4019455103927031)</f>
        <v>0.4019455104</v>
      </c>
    </row>
    <row r="365">
      <c r="A365" s="6" t="str">
        <f>IF(VLOOKUP(H365,'Paste #BBall'!$B$2:$N1001,3,)="BRO","BKN",IF(VLOOKUP(H365,'Paste #BBall'!$B$2:$N1001,3,)="OKL","OKC",VLOOKUP(H365,'Paste #BBall'!$B$2:$N1001,3,)))</f>
        <v>UTA</v>
      </c>
      <c r="B365" s="42">
        <f>VLOOKUP($A365,Schedule!$C$2:$G$31,2,0)</f>
        <v>3</v>
      </c>
      <c r="C365" s="42">
        <f>VLOOKUP($A365,Schedule!$C$2:$G$31,3,0)</f>
        <v>3</v>
      </c>
      <c r="D365" s="42">
        <f>VLOOKUP($A365,Schedule!$C$2:$G$31,4,0)</f>
        <v>4</v>
      </c>
      <c r="E365" s="42">
        <f t="shared" si="1"/>
        <v>10</v>
      </c>
      <c r="F365" s="6">
        <v>359.0</v>
      </c>
      <c r="G365" s="45">
        <f>IFERROR(__xludf.DUMMYFUNCTION("""COMPUTED_VALUE"""),371.0)</f>
        <v>371</v>
      </c>
      <c r="H365" s="45" t="str">
        <f>IFERROR(__xludf.DUMMYFUNCTION("""COMPUTED_VALUE"""),"Ömer Yurtseven")</f>
        <v>Ömer Yurtseven</v>
      </c>
      <c r="I365" s="45">
        <f>IFERROR(__xludf.DUMMYFUNCTION("""COMPUTED_VALUE"""),30.0)</f>
        <v>30</v>
      </c>
      <c r="J365" s="46" t="str">
        <f>IFERROR(__xludf.DUMMYFUNCTION("""COMPUTED_VALUE"""),"C")</f>
        <v>C</v>
      </c>
      <c r="K365" s="46">
        <f>IFERROR(__xludf.DUMMYFUNCTION("""COMPUTED_VALUE"""),-9.918200140992628)</f>
        <v>-9.918200141</v>
      </c>
      <c r="L365" s="47">
        <f>IFERROR(__xludf.DUMMYFUNCTION("""COMPUTED_VALUE"""),-6.104894508475547)</f>
        <v>-6.104894508</v>
      </c>
      <c r="M365" s="47">
        <f>IFERROR(__xludf.DUMMYFUNCTION("""COMPUTED_VALUE"""),3.813305632517081)</f>
        <v>3.813305633</v>
      </c>
      <c r="N365" s="47">
        <f>IFERROR(__xludf.DUMMYFUNCTION("""COMPUTED_VALUE"""),3.6)</f>
        <v>3.6</v>
      </c>
      <c r="O365" s="47">
        <f>IFERROR(__xludf.DUMMYFUNCTION("""COMPUTED_VALUE"""),0.0)</f>
        <v>0</v>
      </c>
      <c r="P365" s="47">
        <f>IFERROR(__xludf.DUMMYFUNCTION("""COMPUTED_VALUE"""),3.4)</f>
        <v>3.4</v>
      </c>
      <c r="Q365" s="48">
        <f>IFERROR(__xludf.DUMMYFUNCTION("""COMPUTED_VALUE"""),0.6)</f>
        <v>0.6</v>
      </c>
      <c r="R365" s="47">
        <f>IFERROR(__xludf.DUMMYFUNCTION("""COMPUTED_VALUE"""),0.2)</f>
        <v>0.2</v>
      </c>
      <c r="S365" s="47">
        <f>IFERROR(__xludf.DUMMYFUNCTION("""COMPUTED_VALUE"""),0.2)</f>
        <v>0.2</v>
      </c>
      <c r="T365" s="47">
        <f>IFERROR(__xludf.DUMMYFUNCTION("""COMPUTED_VALUE"""),55.172413793103445)</f>
        <v>55.17241379</v>
      </c>
      <c r="U365" s="47">
        <f>IFERROR(__xludf.DUMMYFUNCTION("""COMPUTED_VALUE"""),71.42857142857143)</f>
        <v>71.42857143</v>
      </c>
      <c r="V365" s="47">
        <f>IFERROR(__xludf.DUMMYFUNCTION("""COMPUTED_VALUE"""),0.5)</f>
        <v>0.5</v>
      </c>
      <c r="W365" s="46">
        <f>IFERROR(__xludf.DUMMYFUNCTION("""COMPUTED_VALUE"""),-2.3015085546628375)</f>
        <v>-2.301508555</v>
      </c>
      <c r="X365" s="46">
        <f>IFERROR(__xludf.DUMMYFUNCTION("""COMPUTED_VALUE"""),-1.4261378116187227)</f>
        <v>-1.426137812</v>
      </c>
      <c r="Y365" s="46">
        <f>IFERROR(__xludf.DUMMYFUNCTION("""COMPUTED_VALUE"""),-1.1270636021846543)</f>
        <v>-1.127063602</v>
      </c>
      <c r="Z365" s="46">
        <f>IFERROR(__xludf.DUMMYFUNCTION("""COMPUTED_VALUE"""),-1.6545198189935006)</f>
        <v>-1.654519819</v>
      </c>
      <c r="AA365" s="46">
        <f>IFERROR(__xludf.DUMMYFUNCTION("""COMPUTED_VALUE"""),-1.732769878353462)</f>
        <v>-1.732769878</v>
      </c>
      <c r="AB365" s="46">
        <f>IFERROR(__xludf.DUMMYFUNCTION("""COMPUTED_VALUE"""),-0.6583300762210907)</f>
        <v>-0.6583300762</v>
      </c>
      <c r="AC365" s="46">
        <f>IFERROR(__xludf.DUMMYFUNCTION("""COMPUTED_VALUE"""),0.16146169434480895)</f>
        <v>0.1614616943</v>
      </c>
      <c r="AD365" s="46">
        <f>IFERROR(__xludf.DUMMYFUNCTION("""COMPUTED_VALUE"""),-0.13157303517108632)</f>
        <v>-0.1315730352</v>
      </c>
      <c r="AE365" s="46">
        <f>IFERROR(__xludf.DUMMYFUNCTION("""COMPUTED_VALUE"""),0.4640380197221629)</f>
        <v>0.4640380197</v>
      </c>
    </row>
    <row r="366">
      <c r="A366" s="6" t="str">
        <f>IF(VLOOKUP(H366,'Paste #BBall'!$B$2:$N1001,3,)="BRO","BKN",IF(VLOOKUP(H366,'Paste #BBall'!$B$2:$N1001,3,)="OKL","OKC",VLOOKUP(H366,'Paste #BBall'!$B$2:$N1001,3,)))</f>
        <v>BOS</v>
      </c>
      <c r="B366" s="42">
        <f>VLOOKUP($A366,Schedule!$C$2:$G$31,2,0)</f>
        <v>3</v>
      </c>
      <c r="C366" s="42">
        <f>VLOOKUP($A366,Schedule!$C$2:$G$31,3,0)</f>
        <v>4</v>
      </c>
      <c r="D366" s="42">
        <f>VLOOKUP($A366,Schedule!$C$2:$G$31,4,0)</f>
        <v>4</v>
      </c>
      <c r="E366" s="42">
        <f t="shared" si="1"/>
        <v>11</v>
      </c>
      <c r="F366" s="6">
        <v>360.0</v>
      </c>
      <c r="G366" s="45">
        <f>IFERROR(__xludf.DUMMYFUNCTION("""COMPUTED_VALUE"""),343.0)</f>
        <v>343</v>
      </c>
      <c r="H366" s="45" t="str">
        <f>IFERROR(__xludf.DUMMYFUNCTION("""COMPUTED_VALUE"""),"Jordan Walsh")</f>
        <v>Jordan Walsh</v>
      </c>
      <c r="I366" s="45">
        <f>IFERROR(__xludf.DUMMYFUNCTION("""COMPUTED_VALUE"""),60.0)</f>
        <v>60</v>
      </c>
      <c r="J366" s="46" t="str">
        <f>IFERROR(__xludf.DUMMYFUNCTION("""COMPUTED_VALUE"""),"SF")</f>
        <v>SF</v>
      </c>
      <c r="K366" s="46">
        <f>IFERROR(__xludf.DUMMYFUNCTION("""COMPUTED_VALUE"""),-9.139192716111154)</f>
        <v>-9.139192716</v>
      </c>
      <c r="L366" s="47">
        <f>IFERROR(__xludf.DUMMYFUNCTION("""COMPUTED_VALUE"""),-6.167916648630401)</f>
        <v>-6.167916649</v>
      </c>
      <c r="M366" s="47">
        <f>IFERROR(__xludf.DUMMYFUNCTION("""COMPUTED_VALUE"""),2.971276067480753)</f>
        <v>2.971276067</v>
      </c>
      <c r="N366" s="47">
        <f>IFERROR(__xludf.DUMMYFUNCTION("""COMPUTED_VALUE"""),6.3)</f>
        <v>6.3</v>
      </c>
      <c r="O366" s="47">
        <f>IFERROR(__xludf.DUMMYFUNCTION("""COMPUTED_VALUE"""),0.6)</f>
        <v>0.6</v>
      </c>
      <c r="P366" s="47">
        <f>IFERROR(__xludf.DUMMYFUNCTION("""COMPUTED_VALUE"""),1.9)</f>
        <v>1.9</v>
      </c>
      <c r="Q366" s="48">
        <f>IFERROR(__xludf.DUMMYFUNCTION("""COMPUTED_VALUE"""),1.3)</f>
        <v>1.3</v>
      </c>
      <c r="R366" s="47">
        <f>IFERROR(__xludf.DUMMYFUNCTION("""COMPUTED_VALUE"""),0.5)</f>
        <v>0.5</v>
      </c>
      <c r="S366" s="47">
        <f>IFERROR(__xludf.DUMMYFUNCTION("""COMPUTED_VALUE"""),0.1)</f>
        <v>0.1</v>
      </c>
      <c r="T366" s="47">
        <f>IFERROR(__xludf.DUMMYFUNCTION("""COMPUTED_VALUE"""),42.59259259259259)</f>
        <v>42.59259259</v>
      </c>
      <c r="U366" s="47">
        <f>IFERROR(__xludf.DUMMYFUNCTION("""COMPUTED_VALUE"""),73.33333333333334)</f>
        <v>73.33333333</v>
      </c>
      <c r="V366" s="47">
        <f>IFERROR(__xludf.DUMMYFUNCTION("""COMPUTED_VALUE"""),1.2)</f>
        <v>1.2</v>
      </c>
      <c r="W366" s="46">
        <f>IFERROR(__xludf.DUMMYFUNCTION("""COMPUTED_VALUE"""),-1.8464873368749688)</f>
        <v>-1.846487337</v>
      </c>
      <c r="X366" s="46">
        <f>IFERROR(__xludf.DUMMYFUNCTION("""COMPUTED_VALUE"""),-0.9058605394432663)</f>
        <v>-0.9058605394</v>
      </c>
      <c r="Y366" s="46">
        <f>IFERROR(__xludf.DUMMYFUNCTION("""COMPUTED_VALUE"""),-1.7542941500242468)</f>
        <v>-1.75429415</v>
      </c>
      <c r="Z366" s="46">
        <f>IFERROR(__xludf.DUMMYFUNCTION("""COMPUTED_VALUE"""),-1.2975025954129054)</f>
        <v>-1.297502595</v>
      </c>
      <c r="AA366" s="46">
        <f>IFERROR(__xludf.DUMMYFUNCTION("""COMPUTED_VALUE"""),-1.0786201759549239)</f>
        <v>-1.078620176</v>
      </c>
      <c r="AB366" s="46">
        <f>IFERROR(__xludf.DUMMYFUNCTION("""COMPUTED_VALUE"""),-0.7896459158928509)</f>
        <v>-0.7896459159</v>
      </c>
      <c r="AC366" s="46">
        <f>IFERROR(__xludf.DUMMYFUNCTION("""COMPUTED_VALUE"""),-0.3778865372802329)</f>
        <v>-0.3778865373</v>
      </c>
      <c r="AD366" s="46">
        <f>IFERROR(__xludf.DUMMYFUNCTION("""COMPUTED_VALUE"""),-0.21082097169102695)</f>
        <v>-0.2108209717</v>
      </c>
      <c r="AE366" s="46">
        <f>IFERROR(__xludf.DUMMYFUNCTION("""COMPUTED_VALUE"""),0.24671423706905354)</f>
        <v>0.2467142371</v>
      </c>
    </row>
    <row r="367">
      <c r="A367" s="6" t="str">
        <f>IF(VLOOKUP(H367,'Paste #BBall'!$B$2:$N1001,3,)="BRO","BKN",IF(VLOOKUP(H367,'Paste #BBall'!$B$2:$N1001,3,)="OKL","OKC",VLOOKUP(H367,'Paste #BBall'!$B$2:$N1001,3,)))</f>
        <v>ORL</v>
      </c>
      <c r="B367" s="42">
        <f>VLOOKUP($A367,Schedule!$C$2:$G$31,2,0)</f>
        <v>4</v>
      </c>
      <c r="C367" s="42">
        <f>VLOOKUP($A367,Schedule!$C$2:$G$31,3,0)</f>
        <v>3</v>
      </c>
      <c r="D367" s="42">
        <f>VLOOKUP($A367,Schedule!$C$2:$G$31,4,0)</f>
        <v>3</v>
      </c>
      <c r="E367" s="42">
        <f t="shared" si="1"/>
        <v>10</v>
      </c>
      <c r="F367" s="6">
        <v>361.0</v>
      </c>
      <c r="G367" s="45">
        <f>IFERROR(__xludf.DUMMYFUNCTION("""COMPUTED_VALUE"""),365.0)</f>
        <v>365</v>
      </c>
      <c r="H367" s="45" t="str">
        <f>IFERROR(__xludf.DUMMYFUNCTION("""COMPUTED_VALUE"""),"Goga Bitadze")</f>
        <v>Goga Bitadze</v>
      </c>
      <c r="I367" s="45">
        <f>IFERROR(__xludf.DUMMYFUNCTION("""COMPUTED_VALUE"""),30.0)</f>
        <v>30</v>
      </c>
      <c r="J367" s="46" t="str">
        <f>IFERROR(__xludf.DUMMYFUNCTION("""COMPUTED_VALUE"""),"C")</f>
        <v>C</v>
      </c>
      <c r="K367" s="46">
        <f>IFERROR(__xludf.DUMMYFUNCTION("""COMPUTED_VALUE"""),-9.785941511084802)</f>
        <v>-9.785941511</v>
      </c>
      <c r="L367" s="47">
        <f>IFERROR(__xludf.DUMMYFUNCTION("""COMPUTED_VALUE"""),-6.170000074627289)</f>
        <v>-6.170000075</v>
      </c>
      <c r="M367" s="47">
        <f>IFERROR(__xludf.DUMMYFUNCTION("""COMPUTED_VALUE"""),3.615941436457513)</f>
        <v>3.615941436</v>
      </c>
      <c r="N367" s="47">
        <f>IFERROR(__xludf.DUMMYFUNCTION("""COMPUTED_VALUE"""),3.7)</f>
        <v>3.7</v>
      </c>
      <c r="O367" s="47">
        <f>IFERROR(__xludf.DUMMYFUNCTION("""COMPUTED_VALUE"""),0.2)</f>
        <v>0.2</v>
      </c>
      <c r="P367" s="47">
        <f>IFERROR(__xludf.DUMMYFUNCTION("""COMPUTED_VALUE"""),2.3)</f>
        <v>2.3</v>
      </c>
      <c r="Q367" s="48">
        <f>IFERROR(__xludf.DUMMYFUNCTION("""COMPUTED_VALUE"""),0.7)</f>
        <v>0.7</v>
      </c>
      <c r="R367" s="47">
        <f>IFERROR(__xludf.DUMMYFUNCTION("""COMPUTED_VALUE"""),0.3)</f>
        <v>0.3</v>
      </c>
      <c r="S367" s="47">
        <f>IFERROR(__xludf.DUMMYFUNCTION("""COMPUTED_VALUE"""),0.5)</f>
        <v>0.5</v>
      </c>
      <c r="T367" s="47">
        <f>IFERROR(__xludf.DUMMYFUNCTION("""COMPUTED_VALUE"""),51.85185185185185)</f>
        <v>51.85185185</v>
      </c>
      <c r="U367" s="47">
        <f>IFERROR(__xludf.DUMMYFUNCTION("""COMPUTED_VALUE"""),60.0)</f>
        <v>60</v>
      </c>
      <c r="V367" s="47">
        <f>IFERROR(__xludf.DUMMYFUNCTION("""COMPUTED_VALUE"""),0.5)</f>
        <v>0.5</v>
      </c>
      <c r="W367" s="46">
        <f>IFERROR(__xludf.DUMMYFUNCTION("""COMPUTED_VALUE"""),-2.2846559169669907)</f>
        <v>-2.284655917</v>
      </c>
      <c r="X367" s="46">
        <f>IFERROR(__xludf.DUMMYFUNCTION("""COMPUTED_VALUE"""),-1.252712054226904)</f>
        <v>-1.252712054</v>
      </c>
      <c r="Y367" s="46">
        <f>IFERROR(__xludf.DUMMYFUNCTION("""COMPUTED_VALUE"""),-1.5870326706003557)</f>
        <v>-1.587032671</v>
      </c>
      <c r="Z367" s="46">
        <f>IFERROR(__xludf.DUMMYFUNCTION("""COMPUTED_VALUE"""),-1.603517358481987)</f>
        <v>-1.603517358</v>
      </c>
      <c r="AA367" s="46">
        <f>IFERROR(__xludf.DUMMYFUNCTION("""COMPUTED_VALUE"""),-1.5147199775539493)</f>
        <v>-1.514719978</v>
      </c>
      <c r="AB367" s="46">
        <f>IFERROR(__xludf.DUMMYFUNCTION("""COMPUTED_VALUE"""),-0.2643825572058105)</f>
        <v>-0.2643825572</v>
      </c>
      <c r="AC367" s="46">
        <f>IFERROR(__xludf.DUMMYFUNCTION("""COMPUTED_VALUE"""),0.060772988666310396)</f>
        <v>0.06077298867</v>
      </c>
      <c r="AD367" s="46">
        <f>IFERROR(__xludf.DUMMYFUNCTION("""COMPUTED_VALUE"""),-0.4724464649467546)</f>
        <v>-0.4724464649</v>
      </c>
      <c r="AE367" s="46">
        <f>IFERROR(__xludf.DUMMYFUNCTION("""COMPUTED_VALUE"""),0.4640380197221629)</f>
        <v>0.4640380197</v>
      </c>
    </row>
    <row r="368">
      <c r="A368" s="6" t="str">
        <f>IF(VLOOKUP(H368,'Paste #BBall'!$B$2:$N1001,3,)="BRO","BKN",IF(VLOOKUP(H368,'Paste #BBall'!$B$2:$N1001,3,)="OKL","OKC",VLOOKUP(H368,'Paste #BBall'!$B$2:$N1001,3,)))</f>
        <v>ATL</v>
      </c>
      <c r="B368" s="42">
        <f>VLOOKUP($A368,Schedule!$C$2:$G$31,2,0)</f>
        <v>4</v>
      </c>
      <c r="C368" s="42">
        <f>VLOOKUP($A368,Schedule!$C$2:$G$31,3,0)</f>
        <v>3</v>
      </c>
      <c r="D368" s="42">
        <f>VLOOKUP($A368,Schedule!$C$2:$G$31,4,0)</f>
        <v>3</v>
      </c>
      <c r="E368" s="42">
        <f t="shared" si="1"/>
        <v>10</v>
      </c>
      <c r="F368" s="6">
        <v>362.0</v>
      </c>
      <c r="G368" s="45">
        <f>IFERROR(__xludf.DUMMYFUNCTION("""COMPUTED_VALUE"""),362.0)</f>
        <v>362</v>
      </c>
      <c r="H368" s="45" t="str">
        <f>IFERROR(__xludf.DUMMYFUNCTION("""COMPUTED_VALUE"""),"Garrison Mathews")</f>
        <v>Garrison Mathews</v>
      </c>
      <c r="I368" s="45">
        <f>IFERROR(__xludf.DUMMYFUNCTION("""COMPUTED_VALUE"""),30.0)</f>
        <v>30</v>
      </c>
      <c r="J368" s="46" t="str">
        <f>IFERROR(__xludf.DUMMYFUNCTION("""COMPUTED_VALUE"""),"SG,SF")</f>
        <v>SG,SF</v>
      </c>
      <c r="K368" s="46">
        <f>IFERROR(__xludf.DUMMYFUNCTION("""COMPUTED_VALUE"""),-9.702806482946425)</f>
        <v>-9.702806483</v>
      </c>
      <c r="L368" s="47">
        <f>IFERROR(__xludf.DUMMYFUNCTION("""COMPUTED_VALUE"""),-6.189889005593848)</f>
        <v>-6.189889006</v>
      </c>
      <c r="M368" s="47">
        <f>IFERROR(__xludf.DUMMYFUNCTION("""COMPUTED_VALUE"""),3.512917477352577)</f>
        <v>3.512917477</v>
      </c>
      <c r="N368" s="47">
        <f>IFERROR(__xludf.DUMMYFUNCTION("""COMPUTED_VALUE"""),4.4)</f>
        <v>4.4</v>
      </c>
      <c r="O368" s="47">
        <f>IFERROR(__xludf.DUMMYFUNCTION("""COMPUTED_VALUE"""),1.0)</f>
        <v>1</v>
      </c>
      <c r="P368" s="47">
        <f>IFERROR(__xludf.DUMMYFUNCTION("""COMPUTED_VALUE"""),1.3)</f>
        <v>1.3</v>
      </c>
      <c r="Q368" s="48">
        <f>IFERROR(__xludf.DUMMYFUNCTION("""COMPUTED_VALUE"""),0.4)</f>
        <v>0.4</v>
      </c>
      <c r="R368" s="47">
        <f>IFERROR(__xludf.DUMMYFUNCTION("""COMPUTED_VALUE"""),0.4)</f>
        <v>0.4</v>
      </c>
      <c r="S368" s="47">
        <f>IFERROR(__xludf.DUMMYFUNCTION("""COMPUTED_VALUE"""),0.1)</f>
        <v>0.1</v>
      </c>
      <c r="T368" s="47">
        <f>IFERROR(__xludf.DUMMYFUNCTION("""COMPUTED_VALUE"""),37.49999999999999)</f>
        <v>37.5</v>
      </c>
      <c r="U368" s="47">
        <f>IFERROR(__xludf.DUMMYFUNCTION("""COMPUTED_VALUE"""),81.81818181818181)</f>
        <v>81.81818182</v>
      </c>
      <c r="V368" s="47">
        <f>IFERROR(__xludf.DUMMYFUNCTION("""COMPUTED_VALUE"""),0.3)</f>
        <v>0.3</v>
      </c>
      <c r="W368" s="46">
        <f>IFERROR(__xludf.DUMMYFUNCTION("""COMPUTED_VALUE"""),-2.1666874530960616)</f>
        <v>-2.166687453</v>
      </c>
      <c r="X368" s="46">
        <f>IFERROR(__xludf.DUMMYFUNCTION("""COMPUTED_VALUE"""),-0.5590090246596284)</f>
        <v>-0.5590090247</v>
      </c>
      <c r="Y368" s="46">
        <f>IFERROR(__xludf.DUMMYFUNCTION("""COMPUTED_VALUE"""),-2.005186369160084)</f>
        <v>-2.005186369</v>
      </c>
      <c r="Z368" s="46">
        <f>IFERROR(__xludf.DUMMYFUNCTION("""COMPUTED_VALUE"""),-1.7565247400165278)</f>
        <v>-1.75652474</v>
      </c>
      <c r="AA368" s="46">
        <f>IFERROR(__xludf.DUMMYFUNCTION("""COMPUTED_VALUE"""),-1.2966700767544366)</f>
        <v>-1.296670077</v>
      </c>
      <c r="AB368" s="46">
        <f>IFERROR(__xludf.DUMMYFUNCTION("""COMPUTED_VALUE"""),-0.7896459158928509)</f>
        <v>-0.7896459159</v>
      </c>
      <c r="AC368" s="46">
        <f>IFERROR(__xludf.DUMMYFUNCTION("""COMPUTED_VALUE"""),-0.3867107675954385)</f>
        <v>-0.3867107676</v>
      </c>
      <c r="AD368" s="46">
        <f>IFERROR(__xludf.DUMMYFUNCTION("""COMPUTED_VALUE"""),0.07772735943349546)</f>
        <v>0.07772735943</v>
      </c>
      <c r="AE368" s="46">
        <f>IFERROR(__xludf.DUMMYFUNCTION("""COMPUTED_VALUE"""),0.5261305290516227)</f>
        <v>0.5261305291</v>
      </c>
    </row>
    <row r="369">
      <c r="A369" s="6" t="str">
        <f>IF(VLOOKUP(H369,'Paste #BBall'!$B$2:$N1001,3,)="BRO","BKN",IF(VLOOKUP(H369,'Paste #BBall'!$B$2:$N1001,3,)="OKL","OKC",VLOOKUP(H369,'Paste #BBall'!$B$2:$N1001,3,)))</f>
        <v>TOR</v>
      </c>
      <c r="B369" s="42">
        <f>VLOOKUP($A369,Schedule!$C$2:$G$31,2,0)</f>
        <v>3</v>
      </c>
      <c r="C369" s="42">
        <f>VLOOKUP($A369,Schedule!$C$2:$G$31,3,0)</f>
        <v>4</v>
      </c>
      <c r="D369" s="42">
        <f>VLOOKUP($A369,Schedule!$C$2:$G$31,4,0)</f>
        <v>3</v>
      </c>
      <c r="E369" s="42">
        <f t="shared" si="1"/>
        <v>10</v>
      </c>
      <c r="F369" s="6">
        <v>363.0</v>
      </c>
      <c r="G369" s="45">
        <f>IFERROR(__xludf.DUMMYFUNCTION("""COMPUTED_VALUE"""),367.0)</f>
        <v>367</v>
      </c>
      <c r="H369" s="45" t="str">
        <f>IFERROR(__xludf.DUMMYFUNCTION("""COMPUTED_VALUE"""),"Malachi Flynn")</f>
        <v>Malachi Flynn</v>
      </c>
      <c r="I369" s="45">
        <f>IFERROR(__xludf.DUMMYFUNCTION("""COMPUTED_VALUE"""),60.0)</f>
        <v>60</v>
      </c>
      <c r="J369" s="46" t="str">
        <f>IFERROR(__xludf.DUMMYFUNCTION("""COMPUTED_VALUE"""),"PG")</f>
        <v>PG</v>
      </c>
      <c r="K369" s="46">
        <f>IFERROR(__xludf.DUMMYFUNCTION("""COMPUTED_VALUE"""),-9.84044049269394)</f>
        <v>-9.840440493</v>
      </c>
      <c r="L369" s="47">
        <f>IFERROR(__xludf.DUMMYFUNCTION("""COMPUTED_VALUE"""),-6.200022025077949)</f>
        <v>-6.200022025</v>
      </c>
      <c r="M369" s="47">
        <f>IFERROR(__xludf.DUMMYFUNCTION("""COMPUTED_VALUE"""),3.6404184676159907)</f>
        <v>3.640418468</v>
      </c>
      <c r="N369" s="47">
        <f>IFERROR(__xludf.DUMMYFUNCTION("""COMPUTED_VALUE"""),4.3)</f>
        <v>4.3</v>
      </c>
      <c r="O369" s="47">
        <f>IFERROR(__xludf.DUMMYFUNCTION("""COMPUTED_VALUE"""),0.8)</f>
        <v>0.8</v>
      </c>
      <c r="P369" s="47">
        <f>IFERROR(__xludf.DUMMYFUNCTION("""COMPUTED_VALUE"""),1.4)</f>
        <v>1.4</v>
      </c>
      <c r="Q369" s="48">
        <f>IFERROR(__xludf.DUMMYFUNCTION("""COMPUTED_VALUE"""),1.4)</f>
        <v>1.4</v>
      </c>
      <c r="R369" s="47">
        <f>IFERROR(__xludf.DUMMYFUNCTION("""COMPUTED_VALUE"""),0.4)</f>
        <v>0.4</v>
      </c>
      <c r="S369" s="47">
        <f>IFERROR(__xludf.DUMMYFUNCTION("""COMPUTED_VALUE"""),0.1)</f>
        <v>0.1</v>
      </c>
      <c r="T369" s="47">
        <f>IFERROR(__xludf.DUMMYFUNCTION("""COMPUTED_VALUE"""),38.095238095238095)</f>
        <v>38.0952381</v>
      </c>
      <c r="U369" s="47">
        <f>IFERROR(__xludf.DUMMYFUNCTION("""COMPUTED_VALUE"""),66.66666666666667)</f>
        <v>66.66666667</v>
      </c>
      <c r="V369" s="47">
        <f>IFERROR(__xludf.DUMMYFUNCTION("""COMPUTED_VALUE"""),0.4)</f>
        <v>0.4</v>
      </c>
      <c r="W369" s="46">
        <f>IFERROR(__xludf.DUMMYFUNCTION("""COMPUTED_VALUE"""),-2.1835400907919085)</f>
        <v>-2.183540091</v>
      </c>
      <c r="X369" s="46">
        <f>IFERROR(__xludf.DUMMYFUNCTION("""COMPUTED_VALUE"""),-0.7324347820514473)</f>
        <v>-0.7324347821</v>
      </c>
      <c r="Y369" s="46">
        <f>IFERROR(__xludf.DUMMYFUNCTION("""COMPUTED_VALUE"""),-1.963370999304111)</f>
        <v>-1.963370999</v>
      </c>
      <c r="Z369" s="46">
        <f>IFERROR(__xludf.DUMMYFUNCTION("""COMPUTED_VALUE"""),-1.246500134901392)</f>
        <v>-1.246500135</v>
      </c>
      <c r="AA369" s="46">
        <f>IFERROR(__xludf.DUMMYFUNCTION("""COMPUTED_VALUE"""),-1.2966700767544366)</f>
        <v>-1.296670077</v>
      </c>
      <c r="AB369" s="46">
        <f>IFERROR(__xludf.DUMMYFUNCTION("""COMPUTED_VALUE"""),-0.7896459158928509)</f>
        <v>-0.7896459159</v>
      </c>
      <c r="AC369" s="46">
        <f>IFERROR(__xludf.DUMMYFUNCTION("""COMPUTED_VALUE"""),-0.48258625673837)</f>
        <v>-0.4825862567</v>
      </c>
      <c r="AD369" s="46">
        <f>IFERROR(__xludf.DUMMYFUNCTION("""COMPUTED_VALUE"""),-0.18389813382223172)</f>
        <v>-0.1838981338</v>
      </c>
      <c r="AE369" s="46">
        <f>IFERROR(__xludf.DUMMYFUNCTION("""COMPUTED_VALUE"""),0.4950842743868928)</f>
        <v>0.4950842744</v>
      </c>
    </row>
    <row r="370">
      <c r="A370" s="6" t="str">
        <f>IF(VLOOKUP(H370,'Paste #BBall'!$B$2:$N1001,3,)="BRO","BKN",IF(VLOOKUP(H370,'Paste #BBall'!$B$2:$N1001,3,)="OKL","OKC",VLOOKUP(H370,'Paste #BBall'!$B$2:$N1001,3,)))</f>
        <v>WAS</v>
      </c>
      <c r="B370" s="42">
        <f>VLOOKUP($A370,Schedule!$C$2:$G$31,2,0)</f>
        <v>4</v>
      </c>
      <c r="C370" s="42">
        <f>VLOOKUP($A370,Schedule!$C$2:$G$31,3,0)</f>
        <v>4</v>
      </c>
      <c r="D370" s="42">
        <f>VLOOKUP($A370,Schedule!$C$2:$G$31,4,0)</f>
        <v>3</v>
      </c>
      <c r="E370" s="42">
        <f t="shared" si="1"/>
        <v>11</v>
      </c>
      <c r="F370" s="6">
        <v>364.0</v>
      </c>
      <c r="G370" s="45">
        <f>IFERROR(__xludf.DUMMYFUNCTION("""COMPUTED_VALUE"""),364.0)</f>
        <v>364</v>
      </c>
      <c r="H370" s="45" t="str">
        <f>IFERROR(__xludf.DUMMYFUNCTION("""COMPUTED_VALUE"""),"Landry Shamet")</f>
        <v>Landry Shamet</v>
      </c>
      <c r="I370" s="45">
        <f>IFERROR(__xludf.DUMMYFUNCTION("""COMPUTED_VALUE"""),50.0)</f>
        <v>50</v>
      </c>
      <c r="J370" s="46" t="str">
        <f>IFERROR(__xludf.DUMMYFUNCTION("""COMPUTED_VALUE"""),"PG,SG")</f>
        <v>PG,SG</v>
      </c>
      <c r="K370" s="46">
        <f>IFERROR(__xludf.DUMMYFUNCTION("""COMPUTED_VALUE"""),-9.757903992651245)</f>
        <v>-9.757903993</v>
      </c>
      <c r="L370" s="47">
        <f>IFERROR(__xludf.DUMMYFUNCTION("""COMPUTED_VALUE"""),-6.201080789553765)</f>
        <v>-6.20108079</v>
      </c>
      <c r="M370" s="47">
        <f>IFERROR(__xludf.DUMMYFUNCTION("""COMPUTED_VALUE"""),3.5568232030974807)</f>
        <v>3.556823203</v>
      </c>
      <c r="N370" s="47">
        <f>IFERROR(__xludf.DUMMYFUNCTION("""COMPUTED_VALUE"""),4.7)</f>
        <v>4.7</v>
      </c>
      <c r="O370" s="47">
        <f>IFERROR(__xludf.DUMMYFUNCTION("""COMPUTED_VALUE"""),1.0)</f>
        <v>1</v>
      </c>
      <c r="P370" s="47">
        <f>IFERROR(__xludf.DUMMYFUNCTION("""COMPUTED_VALUE"""),1.0)</f>
        <v>1</v>
      </c>
      <c r="Q370" s="48">
        <f>IFERROR(__xludf.DUMMYFUNCTION("""COMPUTED_VALUE"""),1.0)</f>
        <v>1</v>
      </c>
      <c r="R370" s="47">
        <f>IFERROR(__xludf.DUMMYFUNCTION("""COMPUTED_VALUE"""),0.3)</f>
        <v>0.3</v>
      </c>
      <c r="S370" s="47">
        <f>IFERROR(__xludf.DUMMYFUNCTION("""COMPUTED_VALUE"""),0.1)</f>
        <v>0.1</v>
      </c>
      <c r="T370" s="47">
        <f>IFERROR(__xludf.DUMMYFUNCTION("""COMPUTED_VALUE"""),40.0)</f>
        <v>40</v>
      </c>
      <c r="U370" s="47">
        <f>IFERROR(__xludf.DUMMYFUNCTION("""COMPUTED_VALUE"""),85.71428571428572)</f>
        <v>85.71428571</v>
      </c>
      <c r="V370" s="47">
        <f>IFERROR(__xludf.DUMMYFUNCTION("""COMPUTED_VALUE"""),0.4)</f>
        <v>0.4</v>
      </c>
      <c r="W370" s="46">
        <f>IFERROR(__xludf.DUMMYFUNCTION("""COMPUTED_VALUE"""),-2.116129540008521)</f>
        <v>-2.11612954</v>
      </c>
      <c r="X370" s="46">
        <f>IFERROR(__xludf.DUMMYFUNCTION("""COMPUTED_VALUE"""),-0.5590090246596284)</f>
        <v>-0.5590090247</v>
      </c>
      <c r="Y370" s="46">
        <f>IFERROR(__xludf.DUMMYFUNCTION("""COMPUTED_VALUE"""),-2.1306324787280024)</f>
        <v>-2.130632479</v>
      </c>
      <c r="Z370" s="46">
        <f>IFERROR(__xludf.DUMMYFUNCTION("""COMPUTED_VALUE"""),-1.4505099769474463)</f>
        <v>-1.450509977</v>
      </c>
      <c r="AA370" s="46">
        <f>IFERROR(__xludf.DUMMYFUNCTION("""COMPUTED_VALUE"""),-1.5147199775539493)</f>
        <v>-1.514719978</v>
      </c>
      <c r="AB370" s="46">
        <f>IFERROR(__xludf.DUMMYFUNCTION("""COMPUTED_VALUE"""),-0.7896459158928509)</f>
        <v>-0.7896459159</v>
      </c>
      <c r="AC370" s="46">
        <f>IFERROR(__xludf.DUMMYFUNCTION("""COMPUTED_VALUE"""),-0.383501956571727)</f>
        <v>-0.3835019566</v>
      </c>
      <c r="AD370" s="46">
        <f>IFERROR(__xludf.DUMMYFUNCTION("""COMPUTED_VALUE"""),0.11735132769346612)</f>
        <v>0.1173513277</v>
      </c>
      <c r="AE370" s="46">
        <f>IFERROR(__xludf.DUMMYFUNCTION("""COMPUTED_VALUE"""),0.4950842743868928)</f>
        <v>0.4950842744</v>
      </c>
    </row>
    <row r="371">
      <c r="A371" s="6" t="str">
        <f>IF(VLOOKUP(H371,'Paste #BBall'!$B$2:$N1001,3,)="BRO","BKN",IF(VLOOKUP(H371,'Paste #BBall'!$B$2:$N1001,3,)="OKL","OKC",VLOOKUP(H371,'Paste #BBall'!$B$2:$N1001,3,)))</f>
        <v>DEN</v>
      </c>
      <c r="B371" s="42">
        <f>VLOOKUP($A371,Schedule!$C$2:$G$31,2,0)</f>
        <v>3</v>
      </c>
      <c r="C371" s="42">
        <f>VLOOKUP($A371,Schedule!$C$2:$G$31,3,0)</f>
        <v>4</v>
      </c>
      <c r="D371" s="42">
        <f>VLOOKUP($A371,Schedule!$C$2:$G$31,4,0)</f>
        <v>3</v>
      </c>
      <c r="E371" s="42">
        <f t="shared" si="1"/>
        <v>10</v>
      </c>
      <c r="F371" s="6">
        <v>365.0</v>
      </c>
      <c r="G371" s="45">
        <f>IFERROR(__xludf.DUMMYFUNCTION("""COMPUTED_VALUE"""),360.0)</f>
        <v>360</v>
      </c>
      <c r="H371" s="45" t="str">
        <f>IFERROR(__xludf.DUMMYFUNCTION("""COMPUTED_VALUE"""),"Hunter Tyson")</f>
        <v>Hunter Tyson</v>
      </c>
      <c r="I371" s="45">
        <f>IFERROR(__xludf.DUMMYFUNCTION("""COMPUTED_VALUE"""),67.0)</f>
        <v>67</v>
      </c>
      <c r="J371" s="46" t="str">
        <f>IFERROR(__xludf.DUMMYFUNCTION("""COMPUTED_VALUE"""),"PF")</f>
        <v>PF</v>
      </c>
      <c r="K371" s="46">
        <f>IFERROR(__xludf.DUMMYFUNCTION("""COMPUTED_VALUE"""),-9.624149799503924)</f>
        <v>-9.6241498</v>
      </c>
      <c r="L371" s="47">
        <f>IFERROR(__xludf.DUMMYFUNCTION("""COMPUTED_VALUE"""),-6.218394737083776)</f>
        <v>-6.218394737</v>
      </c>
      <c r="M371" s="47">
        <f>IFERROR(__xludf.DUMMYFUNCTION("""COMPUTED_VALUE"""),3.4057550624201474)</f>
        <v>3.405755062</v>
      </c>
      <c r="N371" s="47">
        <f>IFERROR(__xludf.DUMMYFUNCTION("""COMPUTED_VALUE"""),5.6)</f>
        <v>5.6</v>
      </c>
      <c r="O371" s="47">
        <f>IFERROR(__xludf.DUMMYFUNCTION("""COMPUTED_VALUE"""),0.9)</f>
        <v>0.9</v>
      </c>
      <c r="P371" s="47">
        <f>IFERROR(__xludf.DUMMYFUNCTION("""COMPUTED_VALUE"""),1.9)</f>
        <v>1.9</v>
      </c>
      <c r="Q371" s="48">
        <f>IFERROR(__xludf.DUMMYFUNCTION("""COMPUTED_VALUE"""),0.4)</f>
        <v>0.4</v>
      </c>
      <c r="R371" s="47">
        <f>IFERROR(__xludf.DUMMYFUNCTION("""COMPUTED_VALUE"""),0.2)</f>
        <v>0.2</v>
      </c>
      <c r="S371" s="47">
        <f>IFERROR(__xludf.DUMMYFUNCTION("""COMPUTED_VALUE"""),0.2)</f>
        <v>0.2</v>
      </c>
      <c r="T371" s="47">
        <f>IFERROR(__xludf.DUMMYFUNCTION("""COMPUTED_VALUE"""),44.680851063829785)</f>
        <v>44.68085106</v>
      </c>
      <c r="U371" s="47">
        <f>IFERROR(__xludf.DUMMYFUNCTION("""COMPUTED_VALUE"""),83.33333333333334)</f>
        <v>83.33333333</v>
      </c>
      <c r="V371" s="47">
        <f>IFERROR(__xludf.DUMMYFUNCTION("""COMPUTED_VALUE"""),0.4)</f>
        <v>0.4</v>
      </c>
      <c r="W371" s="46">
        <f>IFERROR(__xludf.DUMMYFUNCTION("""COMPUTED_VALUE"""),-1.9644558007458979)</f>
        <v>-1.964455801</v>
      </c>
      <c r="X371" s="46">
        <f>IFERROR(__xludf.DUMMYFUNCTION("""COMPUTED_VALUE"""),-0.6457219033555379)</f>
        <v>-0.6457219034</v>
      </c>
      <c r="Y371" s="46">
        <f>IFERROR(__xludf.DUMMYFUNCTION("""COMPUTED_VALUE"""),-1.7542941500242468)</f>
        <v>-1.75429415</v>
      </c>
      <c r="Z371" s="46">
        <f>IFERROR(__xludf.DUMMYFUNCTION("""COMPUTED_VALUE"""),-1.7565247400165278)</f>
        <v>-1.75652474</v>
      </c>
      <c r="AA371" s="46">
        <f>IFERROR(__xludf.DUMMYFUNCTION("""COMPUTED_VALUE"""),-1.732769878353462)</f>
        <v>-1.732769878</v>
      </c>
      <c r="AB371" s="46">
        <f>IFERROR(__xludf.DUMMYFUNCTION("""COMPUTED_VALUE"""),-0.6583300762210907)</f>
        <v>-0.6583300762</v>
      </c>
      <c r="AC371" s="46">
        <f>IFERROR(__xludf.DUMMYFUNCTION("""COMPUTED_VALUE"""),-0.23086449254212388)</f>
        <v>-0.2308644925</v>
      </c>
      <c r="AD371" s="46">
        <f>IFERROR(__xludf.DUMMYFUNCTION("""COMPUTED_VALUE"""),0.0650262290423206)</f>
        <v>0.06502622904</v>
      </c>
      <c r="AE371" s="46">
        <f>IFERROR(__xludf.DUMMYFUNCTION("""COMPUTED_VALUE"""),0.4950842743868928)</f>
        <v>0.4950842744</v>
      </c>
    </row>
    <row r="372">
      <c r="A372" s="6" t="str">
        <f>IF(VLOOKUP(H372,'Paste #BBall'!$B$2:$N1001,3,)="BRO","BKN",IF(VLOOKUP(H372,'Paste #BBall'!$B$2:$N1001,3,)="OKL","OKC",VLOOKUP(H372,'Paste #BBall'!$B$2:$N1001,3,)))</f>
        <v>NO</v>
      </c>
      <c r="B372" s="42">
        <f>VLOOKUP($A372,Schedule!$C$2:$G$31,2,0)</f>
        <v>3</v>
      </c>
      <c r="C372" s="42">
        <f>VLOOKUP($A372,Schedule!$C$2:$G$31,3,0)</f>
        <v>3</v>
      </c>
      <c r="D372" s="42">
        <f>VLOOKUP($A372,Schedule!$C$2:$G$31,4,0)</f>
        <v>4</v>
      </c>
      <c r="E372" s="42">
        <f t="shared" si="1"/>
        <v>10</v>
      </c>
      <c r="F372" s="6">
        <v>366.0</v>
      </c>
      <c r="G372" s="45">
        <f>IFERROR(__xludf.DUMMYFUNCTION("""COMPUTED_VALUE"""),361.0)</f>
        <v>361</v>
      </c>
      <c r="H372" s="45" t="str">
        <f>IFERROR(__xludf.DUMMYFUNCTION("""COMPUTED_VALUE"""),"Kira Lewis Jr.")</f>
        <v>Kira Lewis Jr.</v>
      </c>
      <c r="I372" s="45">
        <f>IFERROR(__xludf.DUMMYFUNCTION("""COMPUTED_VALUE"""),33.0)</f>
        <v>33</v>
      </c>
      <c r="J372" s="46" t="str">
        <f>IFERROR(__xludf.DUMMYFUNCTION("""COMPUTED_VALUE"""),"PG")</f>
        <v>PG</v>
      </c>
      <c r="K372" s="46">
        <f>IFERROR(__xludf.DUMMYFUNCTION("""COMPUTED_VALUE"""),-9.672175487295798)</f>
        <v>-9.672175487</v>
      </c>
      <c r="L372" s="47">
        <f>IFERROR(__xludf.DUMMYFUNCTION("""COMPUTED_VALUE"""),-6.246962036900978)</f>
        <v>-6.246962037</v>
      </c>
      <c r="M372" s="47">
        <f>IFERROR(__xludf.DUMMYFUNCTION("""COMPUTED_VALUE"""),3.4252134503948195)</f>
        <v>3.42521345</v>
      </c>
      <c r="N372" s="47">
        <f>IFERROR(__xludf.DUMMYFUNCTION("""COMPUTED_VALUE"""),4.7)</f>
        <v>4.7</v>
      </c>
      <c r="O372" s="47">
        <f>IFERROR(__xludf.DUMMYFUNCTION("""COMPUTED_VALUE"""),0.5)</f>
        <v>0.5</v>
      </c>
      <c r="P372" s="47">
        <f>IFERROR(__xludf.DUMMYFUNCTION("""COMPUTED_VALUE"""),1.3)</f>
        <v>1.3</v>
      </c>
      <c r="Q372" s="48">
        <f>IFERROR(__xludf.DUMMYFUNCTION("""COMPUTED_VALUE"""),1.3)</f>
        <v>1.3</v>
      </c>
      <c r="R372" s="47">
        <f>IFERROR(__xludf.DUMMYFUNCTION("""COMPUTED_VALUE"""),0.4)</f>
        <v>0.4</v>
      </c>
      <c r="S372" s="47">
        <f>IFERROR(__xludf.DUMMYFUNCTION("""COMPUTED_VALUE"""),0.1)</f>
        <v>0.1</v>
      </c>
      <c r="T372" s="47">
        <f>IFERROR(__xludf.DUMMYFUNCTION("""COMPUTED_VALUE"""),41.86046511627907)</f>
        <v>41.86046512</v>
      </c>
      <c r="U372" s="47">
        <f>IFERROR(__xludf.DUMMYFUNCTION("""COMPUTED_VALUE"""),83.33333333333334)</f>
        <v>83.33333333</v>
      </c>
      <c r="V372" s="47">
        <f>IFERROR(__xludf.DUMMYFUNCTION("""COMPUTED_VALUE"""),0.7)</f>
        <v>0.7</v>
      </c>
      <c r="W372" s="46">
        <f>IFERROR(__xludf.DUMMYFUNCTION("""COMPUTED_VALUE"""),-2.116129540008521)</f>
        <v>-2.11612954</v>
      </c>
      <c r="X372" s="46">
        <f>IFERROR(__xludf.DUMMYFUNCTION("""COMPUTED_VALUE"""),-0.9925734181391757)</f>
        <v>-0.9925734181</v>
      </c>
      <c r="Y372" s="46">
        <f>IFERROR(__xludf.DUMMYFUNCTION("""COMPUTED_VALUE"""),-2.005186369160084)</f>
        <v>-2.005186369</v>
      </c>
      <c r="Z372" s="46">
        <f>IFERROR(__xludf.DUMMYFUNCTION("""COMPUTED_VALUE"""),-1.2975025954129054)</f>
        <v>-1.297502595</v>
      </c>
      <c r="AA372" s="46">
        <f>IFERROR(__xludf.DUMMYFUNCTION("""COMPUTED_VALUE"""),-1.2966700767544366)</f>
        <v>-1.296670077</v>
      </c>
      <c r="AB372" s="46">
        <f>IFERROR(__xludf.DUMMYFUNCTION("""COMPUTED_VALUE"""),-0.7896459158928509)</f>
        <v>-0.7896459159</v>
      </c>
      <c r="AC372" s="46">
        <f>IFERROR(__xludf.DUMMYFUNCTION("""COMPUTED_VALUE"""),-0.3323554009765499)</f>
        <v>-0.332355401</v>
      </c>
      <c r="AD372" s="46">
        <f>IFERROR(__xludf.DUMMYFUNCTION("""COMPUTED_VALUE"""),0.0650262290423206)</f>
        <v>0.06502622904</v>
      </c>
      <c r="AE372" s="46">
        <f>IFERROR(__xludf.DUMMYFUNCTION("""COMPUTED_VALUE"""),0.4019455103927031)</f>
        <v>0.4019455104</v>
      </c>
    </row>
    <row r="373">
      <c r="A373" s="6" t="str">
        <f>IF(VLOOKUP(H373,'Paste #BBall'!$B$2:$N1001,3,)="BRO","BKN",IF(VLOOKUP(H373,'Paste #BBall'!$B$2:$N1001,3,)="OKL","OKC",VLOOKUP(H373,'Paste #BBall'!$B$2:$N1001,3,)))</f>
        <v>DAL</v>
      </c>
      <c r="B373" s="42">
        <f>VLOOKUP($A373,Schedule!$C$2:$G$31,2,0)</f>
        <v>3</v>
      </c>
      <c r="C373" s="42">
        <f>VLOOKUP($A373,Schedule!$C$2:$G$31,3,0)</f>
        <v>4</v>
      </c>
      <c r="D373" s="42">
        <f>VLOOKUP($A373,Schedule!$C$2:$G$31,4,0)</f>
        <v>2</v>
      </c>
      <c r="E373" s="42">
        <f t="shared" si="1"/>
        <v>9</v>
      </c>
      <c r="F373" s="6">
        <v>367.0</v>
      </c>
      <c r="G373" s="45">
        <f>IFERROR(__xludf.DUMMYFUNCTION("""COMPUTED_VALUE"""),366.0)</f>
        <v>366</v>
      </c>
      <c r="H373" s="45" t="str">
        <f>IFERROR(__xludf.DUMMYFUNCTION("""COMPUTED_VALUE"""),"JaVale McGee")</f>
        <v>JaVale McGee</v>
      </c>
      <c r="I373" s="45">
        <f>IFERROR(__xludf.DUMMYFUNCTION("""COMPUTED_VALUE"""),10.0)</f>
        <v>10</v>
      </c>
      <c r="J373" s="46" t="str">
        <f>IFERROR(__xludf.DUMMYFUNCTION("""COMPUTED_VALUE"""),"C")</f>
        <v>C</v>
      </c>
      <c r="K373" s="46">
        <f>IFERROR(__xludf.DUMMYFUNCTION("""COMPUTED_VALUE"""),-9.830533802539708)</f>
        <v>-9.830533803</v>
      </c>
      <c r="L373" s="47">
        <f>IFERROR(__xludf.DUMMYFUNCTION("""COMPUTED_VALUE"""),-6.2558594202647875)</f>
        <v>-6.25585942</v>
      </c>
      <c r="M373" s="47">
        <f>IFERROR(__xludf.DUMMYFUNCTION("""COMPUTED_VALUE"""),3.574674382274921)</f>
        <v>3.574674382</v>
      </c>
      <c r="N373" s="47">
        <f>IFERROR(__xludf.DUMMYFUNCTION("""COMPUTED_VALUE"""),4.2)</f>
        <v>4.2</v>
      </c>
      <c r="O373" s="47">
        <f>IFERROR(__xludf.DUMMYFUNCTION("""COMPUTED_VALUE"""),0.0)</f>
        <v>0</v>
      </c>
      <c r="P373" s="47">
        <f>IFERROR(__xludf.DUMMYFUNCTION("""COMPUTED_VALUE"""),3.0)</f>
        <v>3</v>
      </c>
      <c r="Q373" s="48">
        <f>IFERROR(__xludf.DUMMYFUNCTION("""COMPUTED_VALUE"""),0.3)</f>
        <v>0.3</v>
      </c>
      <c r="R373" s="47">
        <f>IFERROR(__xludf.DUMMYFUNCTION("""COMPUTED_VALUE"""),0.1)</f>
        <v>0.1</v>
      </c>
      <c r="S373" s="47">
        <f>IFERROR(__xludf.DUMMYFUNCTION("""COMPUTED_VALUE"""),0.5)</f>
        <v>0.5</v>
      </c>
      <c r="T373" s="47">
        <f>IFERROR(__xludf.DUMMYFUNCTION("""COMPUTED_VALUE"""),62.06896551724138)</f>
        <v>62.06896552</v>
      </c>
      <c r="U373" s="47">
        <f>IFERROR(__xludf.DUMMYFUNCTION("""COMPUTED_VALUE"""),66.66666666666666)</f>
        <v>66.66666667</v>
      </c>
      <c r="V373" s="47">
        <f>IFERROR(__xludf.DUMMYFUNCTION("""COMPUTED_VALUE"""),0.7)</f>
        <v>0.7</v>
      </c>
      <c r="W373" s="46">
        <f>IFERROR(__xludf.DUMMYFUNCTION("""COMPUTED_VALUE"""),-2.200392728487756)</f>
        <v>-2.200392728</v>
      </c>
      <c r="X373" s="46">
        <f>IFERROR(__xludf.DUMMYFUNCTION("""COMPUTED_VALUE"""),-1.4261378116187227)</f>
        <v>-1.426137812</v>
      </c>
      <c r="Y373" s="46">
        <f>IFERROR(__xludf.DUMMYFUNCTION("""COMPUTED_VALUE"""),-1.2943250816085456)</f>
        <v>-1.294325082</v>
      </c>
      <c r="Z373" s="46">
        <f>IFERROR(__xludf.DUMMYFUNCTION("""COMPUTED_VALUE"""),-1.8075272005280414)</f>
        <v>-1.807527201</v>
      </c>
      <c r="AA373" s="46">
        <f>IFERROR(__xludf.DUMMYFUNCTION("""COMPUTED_VALUE"""),-1.9508197791529749)</f>
        <v>-1.950819779</v>
      </c>
      <c r="AB373" s="46">
        <f>IFERROR(__xludf.DUMMYFUNCTION("""COMPUTED_VALUE"""),-0.2643825572058105)</f>
        <v>-0.2643825572</v>
      </c>
      <c r="AC373" s="46">
        <f>IFERROR(__xludf.DUMMYFUNCTION("""COMPUTED_VALUE"""),0.36123470018995035)</f>
        <v>0.3612347002</v>
      </c>
      <c r="AD373" s="46">
        <f>IFERROR(__xludf.DUMMYFUNCTION("""COMPUTED_VALUE"""),-0.27584720073334784)</f>
        <v>-0.2758472007</v>
      </c>
      <c r="AE373" s="46">
        <f>IFERROR(__xludf.DUMMYFUNCTION("""COMPUTED_VALUE"""),0.4019455103927031)</f>
        <v>0.4019455104</v>
      </c>
    </row>
    <row r="374">
      <c r="A374" s="6" t="str">
        <f>IF(VLOOKUP(H374,'Paste #BBall'!$B$2:$N1001,3,)="BRO","BKN",IF(VLOOKUP(H374,'Paste #BBall'!$B$2:$N1001,3,)="OKL","OKC",VLOOKUP(H374,'Paste #BBall'!$B$2:$N1001,3,)))</f>
        <v>UTA</v>
      </c>
      <c r="B374" s="42">
        <f>VLOOKUP($A374,Schedule!$C$2:$G$31,2,0)</f>
        <v>3</v>
      </c>
      <c r="C374" s="42">
        <f>VLOOKUP($A374,Schedule!$C$2:$G$31,3,0)</f>
        <v>3</v>
      </c>
      <c r="D374" s="42">
        <f>VLOOKUP($A374,Schedule!$C$2:$G$31,4,0)</f>
        <v>4</v>
      </c>
      <c r="E374" s="42">
        <f t="shared" si="1"/>
        <v>10</v>
      </c>
      <c r="F374" s="6">
        <v>368.0</v>
      </c>
      <c r="G374" s="45">
        <f>IFERROR(__xludf.DUMMYFUNCTION("""COMPUTED_VALUE"""),380.0)</f>
        <v>380</v>
      </c>
      <c r="H374" s="45" t="str">
        <f>IFERROR(__xludf.DUMMYFUNCTION("""COMPUTED_VALUE"""),"Micah Potter")</f>
        <v>Micah Potter</v>
      </c>
      <c r="I374" s="45">
        <f>IFERROR(__xludf.DUMMYFUNCTION("""COMPUTED_VALUE"""),10.0)</f>
        <v>10</v>
      </c>
      <c r="J374" s="46" t="str">
        <f>IFERROR(__xludf.DUMMYFUNCTION("""COMPUTED_VALUE"""),"PF,C")</f>
        <v>PF,C</v>
      </c>
      <c r="K374" s="46">
        <f>IFERROR(__xludf.DUMMYFUNCTION("""COMPUTED_VALUE"""),-10.123982439147744)</f>
        <v>-10.12398244</v>
      </c>
      <c r="L374" s="47">
        <f>IFERROR(__xludf.DUMMYFUNCTION("""COMPUTED_VALUE"""),-6.26678780825695)</f>
        <v>-6.266787808</v>
      </c>
      <c r="M374" s="47">
        <f>IFERROR(__xludf.DUMMYFUNCTION("""COMPUTED_VALUE"""),3.8571946308907936)</f>
        <v>3.857194631</v>
      </c>
      <c r="N374" s="47">
        <f>IFERROR(__xludf.DUMMYFUNCTION("""COMPUTED_VALUE"""),3.7)</f>
        <v>3.7</v>
      </c>
      <c r="O374" s="47">
        <f>IFERROR(__xludf.DUMMYFUNCTION("""COMPUTED_VALUE"""),0.4)</f>
        <v>0.4</v>
      </c>
      <c r="P374" s="47">
        <f>IFERROR(__xludf.DUMMYFUNCTION("""COMPUTED_VALUE"""),2.5)</f>
        <v>2.5</v>
      </c>
      <c r="Q374" s="48">
        <f>IFERROR(__xludf.DUMMYFUNCTION("""COMPUTED_VALUE"""),0.4)</f>
        <v>0.4</v>
      </c>
      <c r="R374" s="47">
        <f>IFERROR(__xludf.DUMMYFUNCTION("""COMPUTED_VALUE"""),0.2)</f>
        <v>0.2</v>
      </c>
      <c r="S374" s="47">
        <f>IFERROR(__xludf.DUMMYFUNCTION("""COMPUTED_VALUE"""),0.1)</f>
        <v>0.1</v>
      </c>
      <c r="T374" s="47">
        <f>IFERROR(__xludf.DUMMYFUNCTION("""COMPUTED_VALUE"""),55.55555555555555)</f>
        <v>55.55555556</v>
      </c>
      <c r="U374" s="47">
        <f>IFERROR(__xludf.DUMMYFUNCTION("""COMPUTED_VALUE"""),66.66666666666667)</f>
        <v>66.66666667</v>
      </c>
      <c r="V374" s="47">
        <f>IFERROR(__xludf.DUMMYFUNCTION("""COMPUTED_VALUE"""),0.3)</f>
        <v>0.3</v>
      </c>
      <c r="W374" s="46">
        <f>IFERROR(__xludf.DUMMYFUNCTION("""COMPUTED_VALUE"""),-2.2846559169669907)</f>
        <v>-2.284655917</v>
      </c>
      <c r="X374" s="46">
        <f>IFERROR(__xludf.DUMMYFUNCTION("""COMPUTED_VALUE"""),-1.079286296835085)</f>
        <v>-1.079286297</v>
      </c>
      <c r="Y374" s="46">
        <f>IFERROR(__xludf.DUMMYFUNCTION("""COMPUTED_VALUE"""),-1.50340193088841)</f>
        <v>-1.503401931</v>
      </c>
      <c r="Z374" s="46">
        <f>IFERROR(__xludf.DUMMYFUNCTION("""COMPUTED_VALUE"""),-1.7565247400165278)</f>
        <v>-1.75652474</v>
      </c>
      <c r="AA374" s="46">
        <f>IFERROR(__xludf.DUMMYFUNCTION("""COMPUTED_VALUE"""),-1.732769878353462)</f>
        <v>-1.732769878</v>
      </c>
      <c r="AB374" s="46">
        <f>IFERROR(__xludf.DUMMYFUNCTION("""COMPUTED_VALUE"""),-0.7896459158928509)</f>
        <v>-0.7896459159</v>
      </c>
      <c r="AC374" s="46">
        <f>IFERROR(__xludf.DUMMYFUNCTION("""COMPUTED_VALUE"""),0.160659491588881)</f>
        <v>0.1606594916</v>
      </c>
      <c r="AD374" s="46">
        <f>IFERROR(__xludf.DUMMYFUNCTION("""COMPUTED_VALUE"""),-0.09194906691111586)</f>
        <v>-0.09194906691</v>
      </c>
      <c r="AE374" s="46">
        <f>IFERROR(__xludf.DUMMYFUNCTION("""COMPUTED_VALUE"""),0.5261305290516227)</f>
        <v>0.5261305291</v>
      </c>
    </row>
    <row r="375">
      <c r="A375" s="6" t="str">
        <f>IF(VLOOKUP(H375,'Paste #BBall'!$B$2:$N1001,3,)="BRO","BKN",IF(VLOOKUP(H375,'Paste #BBall'!$B$2:$N1001,3,)="OKL","OKC",VLOOKUP(H375,'Paste #BBall'!$B$2:$N1001,3,)))</f>
        <v>WAS</v>
      </c>
      <c r="B375" s="42">
        <f>VLOOKUP($A375,Schedule!$C$2:$G$31,2,0)</f>
        <v>4</v>
      </c>
      <c r="C375" s="42">
        <f>VLOOKUP($A375,Schedule!$C$2:$G$31,3,0)</f>
        <v>4</v>
      </c>
      <c r="D375" s="42">
        <f>VLOOKUP($A375,Schedule!$C$2:$G$31,4,0)</f>
        <v>3</v>
      </c>
      <c r="E375" s="42">
        <f t="shared" si="1"/>
        <v>11</v>
      </c>
      <c r="F375" s="6">
        <v>369.0</v>
      </c>
      <c r="G375" s="45">
        <f>IFERROR(__xludf.DUMMYFUNCTION("""COMPUTED_VALUE"""),368.0)</f>
        <v>368</v>
      </c>
      <c r="H375" s="45" t="str">
        <f>IFERROR(__xludf.DUMMYFUNCTION("""COMPUTED_VALUE"""),"Patrick Baldwin Jr.")</f>
        <v>Patrick Baldwin Jr.</v>
      </c>
      <c r="I375" s="45">
        <f>IFERROR(__xludf.DUMMYFUNCTION("""COMPUTED_VALUE"""),40.0)</f>
        <v>40</v>
      </c>
      <c r="J375" s="46" t="str">
        <f>IFERROR(__xludf.DUMMYFUNCTION("""COMPUTED_VALUE"""),"SF,PF")</f>
        <v>SF,PF</v>
      </c>
      <c r="K375" s="46">
        <f>IFERROR(__xludf.DUMMYFUNCTION("""COMPUTED_VALUE"""),-9.846008782255986)</f>
        <v>-9.846008782</v>
      </c>
      <c r="L375" s="47">
        <f>IFERROR(__xludf.DUMMYFUNCTION("""COMPUTED_VALUE"""),-6.288073226272894)</f>
        <v>-6.288073226</v>
      </c>
      <c r="M375" s="47">
        <f>IFERROR(__xludf.DUMMYFUNCTION("""COMPUTED_VALUE"""),3.557935555983092)</f>
        <v>3.557935556</v>
      </c>
      <c r="N375" s="47">
        <f>IFERROR(__xludf.DUMMYFUNCTION("""COMPUTED_VALUE"""),4.6)</f>
        <v>4.6</v>
      </c>
      <c r="O375" s="47">
        <f>IFERROR(__xludf.DUMMYFUNCTION("""COMPUTED_VALUE"""),1.2)</f>
        <v>1.2</v>
      </c>
      <c r="P375" s="47">
        <f>IFERROR(__xludf.DUMMYFUNCTION("""COMPUTED_VALUE"""),1.5)</f>
        <v>1.5</v>
      </c>
      <c r="Q375" s="48">
        <f>IFERROR(__xludf.DUMMYFUNCTION("""COMPUTED_VALUE"""),0.4)</f>
        <v>0.4</v>
      </c>
      <c r="R375" s="47">
        <f>IFERROR(__xludf.DUMMYFUNCTION("""COMPUTED_VALUE"""),0.2)</f>
        <v>0.2</v>
      </c>
      <c r="S375" s="47">
        <f>IFERROR(__xludf.DUMMYFUNCTION("""COMPUTED_VALUE"""),0.2)</f>
        <v>0.2</v>
      </c>
      <c r="T375" s="47">
        <f>IFERROR(__xludf.DUMMYFUNCTION("""COMPUTED_VALUE"""),39.024390243902445)</f>
        <v>39.02439024</v>
      </c>
      <c r="U375" s="47">
        <f>IFERROR(__xludf.DUMMYFUNCTION("""COMPUTED_VALUE"""),100.0)</f>
        <v>100</v>
      </c>
      <c r="V375" s="47">
        <f>IFERROR(__xludf.DUMMYFUNCTION("""COMPUTED_VALUE"""),0.4)</f>
        <v>0.4</v>
      </c>
      <c r="W375" s="46">
        <f>IFERROR(__xludf.DUMMYFUNCTION("""COMPUTED_VALUE"""),-2.132982177704368)</f>
        <v>-2.132982178</v>
      </c>
      <c r="X375" s="46">
        <f>IFERROR(__xludf.DUMMYFUNCTION("""COMPUTED_VALUE"""),-0.38558326726780967)</f>
        <v>-0.3855832673</v>
      </c>
      <c r="Y375" s="46">
        <f>IFERROR(__xludf.DUMMYFUNCTION("""COMPUTED_VALUE"""),-1.9215556294481384)</f>
        <v>-1.921555629</v>
      </c>
      <c r="Z375" s="46">
        <f>IFERROR(__xludf.DUMMYFUNCTION("""COMPUTED_VALUE"""),-1.7565247400165278)</f>
        <v>-1.75652474</v>
      </c>
      <c r="AA375" s="46">
        <f>IFERROR(__xludf.DUMMYFUNCTION("""COMPUTED_VALUE"""),-1.732769878353462)</f>
        <v>-1.732769878</v>
      </c>
      <c r="AB375" s="46">
        <f>IFERROR(__xludf.DUMMYFUNCTION("""COMPUTED_VALUE"""),-0.6583300762210907)</f>
        <v>-0.6583300762</v>
      </c>
      <c r="AC375" s="46">
        <f>IFERROR(__xludf.DUMMYFUNCTION("""COMPUTED_VALUE"""),-0.4330441066550482)</f>
        <v>-0.4330441067</v>
      </c>
      <c r="AD375" s="46">
        <f>IFERROR(__xludf.DUMMYFUNCTION("""COMPUTED_VALUE"""),0.10465019730229097)</f>
        <v>0.1046501973</v>
      </c>
      <c r="AE375" s="46">
        <f>IFERROR(__xludf.DUMMYFUNCTION("""COMPUTED_VALUE"""),0.4950842743868928)</f>
        <v>0.4950842744</v>
      </c>
    </row>
    <row r="376">
      <c r="A376" s="6" t="str">
        <f>IF(VLOOKUP(H376,'Paste #BBall'!$B$2:$N1001,3,)="BRO","BKN",IF(VLOOKUP(H376,'Paste #BBall'!$B$2:$N1001,3,)="OKL","OKC",VLOOKUP(H376,'Paste #BBall'!$B$2:$N1001,3,)))</f>
        <v>BKN</v>
      </c>
      <c r="B376" s="42">
        <f>VLOOKUP($A376,Schedule!$C$2:$G$31,2,0)</f>
        <v>5</v>
      </c>
      <c r="C376" s="42">
        <f>VLOOKUP($A376,Schedule!$C$2:$G$31,3,0)</f>
        <v>3</v>
      </c>
      <c r="D376" s="42">
        <f>VLOOKUP($A376,Schedule!$C$2:$G$31,4,0)</f>
        <v>3</v>
      </c>
      <c r="E376" s="42">
        <f t="shared" si="1"/>
        <v>11</v>
      </c>
      <c r="F376" s="6">
        <v>370.0</v>
      </c>
      <c r="G376" s="45">
        <f>IFERROR(__xludf.DUMMYFUNCTION("""COMPUTED_VALUE"""),377.0)</f>
        <v>377</v>
      </c>
      <c r="H376" s="45" t="str">
        <f>IFERROR(__xludf.DUMMYFUNCTION("""COMPUTED_VALUE"""),"Noah Clowney")</f>
        <v>Noah Clowney</v>
      </c>
      <c r="I376" s="45">
        <f>IFERROR(__xludf.DUMMYFUNCTION("""COMPUTED_VALUE"""),33.0)</f>
        <v>33</v>
      </c>
      <c r="J376" s="46" t="str">
        <f>IFERROR(__xludf.DUMMYFUNCTION("""COMPUTED_VALUE"""),"PF")</f>
        <v>PF</v>
      </c>
      <c r="K376" s="46">
        <f>IFERROR(__xludf.DUMMYFUNCTION("""COMPUTED_VALUE"""),-10.04174303226383)</f>
        <v>-10.04174303</v>
      </c>
      <c r="L376" s="47">
        <f>IFERROR(__xludf.DUMMYFUNCTION("""COMPUTED_VALUE"""),-6.323954379045231)</f>
        <v>-6.323954379</v>
      </c>
      <c r="M376" s="47">
        <f>IFERROR(__xludf.DUMMYFUNCTION("""COMPUTED_VALUE"""),3.717788653218598)</f>
        <v>3.717788653</v>
      </c>
      <c r="N376" s="47">
        <f>IFERROR(__xludf.DUMMYFUNCTION("""COMPUTED_VALUE"""),4.2)</f>
        <v>4.2</v>
      </c>
      <c r="O376" s="47">
        <f>IFERROR(__xludf.DUMMYFUNCTION("""COMPUTED_VALUE"""),0.4)</f>
        <v>0.4</v>
      </c>
      <c r="P376" s="47">
        <f>IFERROR(__xludf.DUMMYFUNCTION("""COMPUTED_VALUE"""),2.5)</f>
        <v>2.5</v>
      </c>
      <c r="Q376" s="48">
        <f>IFERROR(__xludf.DUMMYFUNCTION("""COMPUTED_VALUE"""),0.7)</f>
        <v>0.7</v>
      </c>
      <c r="R376" s="47">
        <f>IFERROR(__xludf.DUMMYFUNCTION("""COMPUTED_VALUE"""),0.2)</f>
        <v>0.2</v>
      </c>
      <c r="S376" s="47">
        <f>IFERROR(__xludf.DUMMYFUNCTION("""COMPUTED_VALUE"""),0.2)</f>
        <v>0.2</v>
      </c>
      <c r="T376" s="47">
        <f>IFERROR(__xludf.DUMMYFUNCTION("""COMPUTED_VALUE"""),50.0)</f>
        <v>50</v>
      </c>
      <c r="U376" s="47">
        <f>IFERROR(__xludf.DUMMYFUNCTION("""COMPUTED_VALUE"""),70.0)</f>
        <v>70</v>
      </c>
      <c r="V376" s="47">
        <f>IFERROR(__xludf.DUMMYFUNCTION("""COMPUTED_VALUE"""),0.5)</f>
        <v>0.5</v>
      </c>
      <c r="W376" s="46">
        <f>IFERROR(__xludf.DUMMYFUNCTION("""COMPUTED_VALUE"""),-2.200392728487756)</f>
        <v>-2.200392728</v>
      </c>
      <c r="X376" s="46">
        <f>IFERROR(__xludf.DUMMYFUNCTION("""COMPUTED_VALUE"""),-1.079286296835085)</f>
        <v>-1.079286297</v>
      </c>
      <c r="Y376" s="46">
        <f>IFERROR(__xludf.DUMMYFUNCTION("""COMPUTED_VALUE"""),-1.50340193088841)</f>
        <v>-1.503401931</v>
      </c>
      <c r="Z376" s="46">
        <f>IFERROR(__xludf.DUMMYFUNCTION("""COMPUTED_VALUE"""),-1.603517358481987)</f>
        <v>-1.603517358</v>
      </c>
      <c r="AA376" s="46">
        <f>IFERROR(__xludf.DUMMYFUNCTION("""COMPUTED_VALUE"""),-1.732769878353462)</f>
        <v>-1.732769878</v>
      </c>
      <c r="AB376" s="46">
        <f>IFERROR(__xludf.DUMMYFUNCTION("""COMPUTED_VALUE"""),-0.6583300762210907)</f>
        <v>-0.6583300762</v>
      </c>
      <c r="AC376" s="46">
        <f>IFERROR(__xludf.DUMMYFUNCTION("""COMPUTED_VALUE"""),0.012835244094844577)</f>
        <v>0.01283524409</v>
      </c>
      <c r="AD376" s="46">
        <f>IFERROR(__xludf.DUMMYFUNCTION("""COMPUTED_VALUE"""),-0.22352210208220238)</f>
        <v>-0.2235221021</v>
      </c>
      <c r="AE376" s="46">
        <f>IFERROR(__xludf.DUMMYFUNCTION("""COMPUTED_VALUE"""),0.4640380197221629)</f>
        <v>0.4640380197</v>
      </c>
    </row>
    <row r="377">
      <c r="A377" s="6" t="str">
        <f>IF(VLOOKUP(H377,'Paste #BBall'!$B$2:$N1001,3,)="BRO","BKN",IF(VLOOKUP(H377,'Paste #BBall'!$B$2:$N1001,3,)="OKL","OKC",VLOOKUP(H377,'Paste #BBall'!$B$2:$N1001,3,)))</f>
        <v>SAC</v>
      </c>
      <c r="B377" s="42">
        <f>VLOOKUP($A377,Schedule!$C$2:$G$31,2,0)</f>
        <v>4</v>
      </c>
      <c r="C377" s="42">
        <f>VLOOKUP($A377,Schedule!$C$2:$G$31,3,0)</f>
        <v>3</v>
      </c>
      <c r="D377" s="42">
        <f>VLOOKUP($A377,Schedule!$C$2:$G$31,4,0)</f>
        <v>4</v>
      </c>
      <c r="E377" s="42">
        <f t="shared" si="1"/>
        <v>11</v>
      </c>
      <c r="F377" s="6">
        <v>371.0</v>
      </c>
      <c r="G377" s="45">
        <f>IFERROR(__xludf.DUMMYFUNCTION("""COMPUTED_VALUE"""),375.0)</f>
        <v>375</v>
      </c>
      <c r="H377" s="45" t="str">
        <f>IFERROR(__xludf.DUMMYFUNCTION("""COMPUTED_VALUE"""),"Kessler Edwards")</f>
        <v>Kessler Edwards</v>
      </c>
      <c r="I377" s="45">
        <f>IFERROR(__xludf.DUMMYFUNCTION("""COMPUTED_VALUE"""),40.0)</f>
        <v>40</v>
      </c>
      <c r="J377" s="46" t="str">
        <f>IFERROR(__xludf.DUMMYFUNCTION("""COMPUTED_VALUE"""),"SG,SF")</f>
        <v>SG,SF</v>
      </c>
      <c r="K377" s="46">
        <f>IFERROR(__xludf.DUMMYFUNCTION("""COMPUTED_VALUE"""),-10.012097744812957)</f>
        <v>-10.01209774</v>
      </c>
      <c r="L377" s="47">
        <f>IFERROR(__xludf.DUMMYFUNCTION("""COMPUTED_VALUE"""),-6.3243878256899055)</f>
        <v>-6.324387826</v>
      </c>
      <c r="M377" s="47">
        <f>IFERROR(__xludf.DUMMYFUNCTION("""COMPUTED_VALUE"""),3.6877099191230513)</f>
        <v>3.687709919</v>
      </c>
      <c r="N377" s="47">
        <f>IFERROR(__xludf.DUMMYFUNCTION("""COMPUTED_VALUE"""),3.1)</f>
        <v>3.1</v>
      </c>
      <c r="O377" s="47">
        <f>IFERROR(__xludf.DUMMYFUNCTION("""COMPUTED_VALUE"""),0.5)</f>
        <v>0.5</v>
      </c>
      <c r="P377" s="47">
        <f>IFERROR(__xludf.DUMMYFUNCTION("""COMPUTED_VALUE"""),1.9)</f>
        <v>1.9</v>
      </c>
      <c r="Q377" s="48">
        <f>IFERROR(__xludf.DUMMYFUNCTION("""COMPUTED_VALUE"""),0.4)</f>
        <v>0.4</v>
      </c>
      <c r="R377" s="47">
        <f>IFERROR(__xludf.DUMMYFUNCTION("""COMPUTED_VALUE"""),0.4)</f>
        <v>0.4</v>
      </c>
      <c r="S377" s="47">
        <f>IFERROR(__xludf.DUMMYFUNCTION("""COMPUTED_VALUE"""),0.2)</f>
        <v>0.2</v>
      </c>
      <c r="T377" s="47">
        <f>IFERROR(__xludf.DUMMYFUNCTION("""COMPUTED_VALUE"""),41.37931034482759)</f>
        <v>41.37931034</v>
      </c>
      <c r="U377" s="47">
        <f>IFERROR(__xludf.DUMMYFUNCTION("""COMPUTED_VALUE"""),66.66666666666667)</f>
        <v>66.66666667</v>
      </c>
      <c r="V377" s="47">
        <f>IFERROR(__xludf.DUMMYFUNCTION("""COMPUTED_VALUE"""),0.5)</f>
        <v>0.5</v>
      </c>
      <c r="W377" s="46">
        <f>IFERROR(__xludf.DUMMYFUNCTION("""COMPUTED_VALUE"""),-2.385771743142073)</f>
        <v>-2.385771743</v>
      </c>
      <c r="X377" s="46">
        <f>IFERROR(__xludf.DUMMYFUNCTION("""COMPUTED_VALUE"""),-0.9925734181391757)</f>
        <v>-0.9925734181</v>
      </c>
      <c r="Y377" s="46">
        <f>IFERROR(__xludf.DUMMYFUNCTION("""COMPUTED_VALUE"""),-1.7542941500242468)</f>
        <v>-1.75429415</v>
      </c>
      <c r="Z377" s="46">
        <f>IFERROR(__xludf.DUMMYFUNCTION("""COMPUTED_VALUE"""),-1.7565247400165278)</f>
        <v>-1.75652474</v>
      </c>
      <c r="AA377" s="46">
        <f>IFERROR(__xludf.DUMMYFUNCTION("""COMPUTED_VALUE"""),-1.2966700767544366)</f>
        <v>-1.296670077</v>
      </c>
      <c r="AB377" s="46">
        <f>IFERROR(__xludf.DUMMYFUNCTION("""COMPUTED_VALUE"""),-0.6583300762210907)</f>
        <v>-0.6583300762</v>
      </c>
      <c r="AC377" s="46">
        <f>IFERROR(__xludf.DUMMYFUNCTION("""COMPUTED_VALUE"""),-0.23808431734547383)</f>
        <v>-0.2380843173</v>
      </c>
      <c r="AD377" s="46">
        <f>IFERROR(__xludf.DUMMYFUNCTION("""COMPUTED_VALUE"""),-0.09194906691111586)</f>
        <v>-0.09194906691</v>
      </c>
      <c r="AE377" s="46">
        <f>IFERROR(__xludf.DUMMYFUNCTION("""COMPUTED_VALUE"""),0.4640380197221629)</f>
        <v>0.4640380197</v>
      </c>
    </row>
    <row r="378">
      <c r="A378" s="6" t="str">
        <f>IF(VLOOKUP(H378,'Paste #BBall'!$B$2:$N1001,3,)="BRO","BKN",IF(VLOOKUP(H378,'Paste #BBall'!$B$2:$N1001,3,)="OKL","OKC",VLOOKUP(H378,'Paste #BBall'!$B$2:$N1001,3,)))</f>
        <v>CHA</v>
      </c>
      <c r="B378" s="42">
        <f>VLOOKUP($A378,Schedule!$C$2:$G$31,2,0)</f>
        <v>3</v>
      </c>
      <c r="C378" s="42">
        <f>VLOOKUP($A378,Schedule!$C$2:$G$31,3,0)</f>
        <v>4</v>
      </c>
      <c r="D378" s="42">
        <f>VLOOKUP($A378,Schedule!$C$2:$G$31,4,0)</f>
        <v>2</v>
      </c>
      <c r="E378" s="42">
        <f t="shared" si="1"/>
        <v>9</v>
      </c>
      <c r="F378" s="6">
        <v>372.0</v>
      </c>
      <c r="G378" s="45">
        <f>IFERROR(__xludf.DUMMYFUNCTION("""COMPUTED_VALUE"""),374.0)</f>
        <v>374</v>
      </c>
      <c r="H378" s="45" t="str">
        <f>IFERROR(__xludf.DUMMYFUNCTION("""COMPUTED_VALUE"""),"Frank Ntilikina")</f>
        <v>Frank Ntilikina</v>
      </c>
      <c r="I378" s="45">
        <f>IFERROR(__xludf.DUMMYFUNCTION("""COMPUTED_VALUE"""),32.0)</f>
        <v>32</v>
      </c>
      <c r="J378" s="46" t="str">
        <f>IFERROR(__xludf.DUMMYFUNCTION("""COMPUTED_VALUE"""),"PG")</f>
        <v>PG</v>
      </c>
      <c r="K378" s="46">
        <f>IFERROR(__xludf.DUMMYFUNCTION("""COMPUTED_VALUE"""),-9.95980271641978)</f>
        <v>-9.959802716</v>
      </c>
      <c r="L378" s="47">
        <f>IFERROR(__xludf.DUMMYFUNCTION("""COMPUTED_VALUE"""),-6.328198186838071)</f>
        <v>-6.328198187</v>
      </c>
      <c r="M378" s="47">
        <f>IFERROR(__xludf.DUMMYFUNCTION("""COMPUTED_VALUE"""),3.6316045295817094)</f>
        <v>3.63160453</v>
      </c>
      <c r="N378" s="47">
        <f>IFERROR(__xludf.DUMMYFUNCTION("""COMPUTED_VALUE"""),3.7)</f>
        <v>3.7</v>
      </c>
      <c r="O378" s="47">
        <f>IFERROR(__xludf.DUMMYFUNCTION("""COMPUTED_VALUE"""),0.5)</f>
        <v>0.5</v>
      </c>
      <c r="P378" s="47">
        <f>IFERROR(__xludf.DUMMYFUNCTION("""COMPUTED_VALUE"""),1.4)</f>
        <v>1.4</v>
      </c>
      <c r="Q378" s="48">
        <f>IFERROR(__xludf.DUMMYFUNCTION("""COMPUTED_VALUE"""),1.2)</f>
        <v>1.2</v>
      </c>
      <c r="R378" s="47">
        <f>IFERROR(__xludf.DUMMYFUNCTION("""COMPUTED_VALUE"""),0.4)</f>
        <v>0.4</v>
      </c>
      <c r="S378" s="47">
        <f>IFERROR(__xludf.DUMMYFUNCTION("""COMPUTED_VALUE"""),0.1)</f>
        <v>0.1</v>
      </c>
      <c r="T378" s="47">
        <f>IFERROR(__xludf.DUMMYFUNCTION("""COMPUTED_VALUE"""),37.142857142857146)</f>
        <v>37.14285714</v>
      </c>
      <c r="U378" s="47">
        <f>IFERROR(__xludf.DUMMYFUNCTION("""COMPUTED_VALUE"""),83.33333333333334)</f>
        <v>83.33333333</v>
      </c>
      <c r="V378" s="47">
        <f>IFERROR(__xludf.DUMMYFUNCTION("""COMPUTED_VALUE"""),0.6)</f>
        <v>0.6</v>
      </c>
      <c r="W378" s="46">
        <f>IFERROR(__xludf.DUMMYFUNCTION("""COMPUTED_VALUE"""),-2.2846559169669907)</f>
        <v>-2.284655917</v>
      </c>
      <c r="X378" s="46">
        <f>IFERROR(__xludf.DUMMYFUNCTION("""COMPUTED_VALUE"""),-0.9925734181391757)</f>
        <v>-0.9925734181</v>
      </c>
      <c r="Y378" s="46">
        <f>IFERROR(__xludf.DUMMYFUNCTION("""COMPUTED_VALUE"""),-1.963370999304111)</f>
        <v>-1.963370999</v>
      </c>
      <c r="Z378" s="46">
        <f>IFERROR(__xludf.DUMMYFUNCTION("""COMPUTED_VALUE"""),-1.3485050559244194)</f>
        <v>-1.348505056</v>
      </c>
      <c r="AA378" s="46">
        <f>IFERROR(__xludf.DUMMYFUNCTION("""COMPUTED_VALUE"""),-1.2966700767544366)</f>
        <v>-1.296670077</v>
      </c>
      <c r="AB378" s="46">
        <f>IFERROR(__xludf.DUMMYFUNCTION("""COMPUTED_VALUE"""),-0.7896459158928509)</f>
        <v>-0.7896459159</v>
      </c>
      <c r="AC378" s="46">
        <f>IFERROR(__xludf.DUMMYFUNCTION("""COMPUTED_VALUE"""),-0.4354507149228318)</f>
        <v>-0.4354507149</v>
      </c>
      <c r="AD378" s="46">
        <f>IFERROR(__xludf.DUMMYFUNCTION("""COMPUTED_VALUE"""),0.0650262290423206)</f>
        <v>0.06502622904</v>
      </c>
      <c r="AE378" s="46">
        <f>IFERROR(__xludf.DUMMYFUNCTION("""COMPUTED_VALUE"""),0.43299176505743303)</f>
        <v>0.4329917651</v>
      </c>
    </row>
    <row r="379">
      <c r="A379" s="6" t="str">
        <f>IF(VLOOKUP(H379,'Paste #BBall'!$B$2:$N1001,3,)="BRO","BKN",IF(VLOOKUP(H379,'Paste #BBall'!$B$2:$N1001,3,)="OKL","OKC",VLOOKUP(H379,'Paste #BBall'!$B$2:$N1001,3,)))</f>
        <v>CLE</v>
      </c>
      <c r="B379" s="42">
        <f>VLOOKUP($A379,Schedule!$C$2:$G$31,2,0)</f>
        <v>4</v>
      </c>
      <c r="C379" s="42">
        <f>VLOOKUP($A379,Schedule!$C$2:$G$31,3,0)</f>
        <v>3</v>
      </c>
      <c r="D379" s="42">
        <f>VLOOKUP($A379,Schedule!$C$2:$G$31,4,0)</f>
        <v>4</v>
      </c>
      <c r="E379" s="42">
        <f t="shared" si="1"/>
        <v>11</v>
      </c>
      <c r="F379" s="6">
        <v>373.0</v>
      </c>
      <c r="G379" s="45">
        <f>IFERROR(__xludf.DUMMYFUNCTION("""COMPUTED_VALUE"""),370.0)</f>
        <v>370</v>
      </c>
      <c r="H379" s="45" t="str">
        <f>IFERROR(__xludf.DUMMYFUNCTION("""COMPUTED_VALUE"""),"Emoni Bates")</f>
        <v>Emoni Bates</v>
      </c>
      <c r="I379" s="45">
        <f>IFERROR(__xludf.DUMMYFUNCTION("""COMPUTED_VALUE"""),22.0)</f>
        <v>22</v>
      </c>
      <c r="J379" s="46" t="str">
        <f>IFERROR(__xludf.DUMMYFUNCTION("""COMPUTED_VALUE"""),"SF")</f>
        <v>SF</v>
      </c>
      <c r="K379" s="46">
        <f>IFERROR(__xludf.DUMMYFUNCTION("""COMPUTED_VALUE"""),-9.906311598713112)</f>
        <v>-9.906311599</v>
      </c>
      <c r="L379" s="47">
        <f>IFERROR(__xludf.DUMMYFUNCTION("""COMPUTED_VALUE"""),-6.3771545758288735)</f>
        <v>-6.377154576</v>
      </c>
      <c r="M379" s="47">
        <f>IFERROR(__xludf.DUMMYFUNCTION("""COMPUTED_VALUE"""),3.529157022884238)</f>
        <v>3.529157023</v>
      </c>
      <c r="N379" s="47">
        <f>IFERROR(__xludf.DUMMYFUNCTION("""COMPUTED_VALUE"""),5.0)</f>
        <v>5</v>
      </c>
      <c r="O379" s="47">
        <f>IFERROR(__xludf.DUMMYFUNCTION("""COMPUTED_VALUE"""),0.9)</f>
        <v>0.9</v>
      </c>
      <c r="P379" s="47">
        <f>IFERROR(__xludf.DUMMYFUNCTION("""COMPUTED_VALUE"""),2.0)</f>
        <v>2</v>
      </c>
      <c r="Q379" s="48">
        <f>IFERROR(__xludf.DUMMYFUNCTION("""COMPUTED_VALUE"""),0.4)</f>
        <v>0.4</v>
      </c>
      <c r="R379" s="47">
        <f>IFERROR(__xludf.DUMMYFUNCTION("""COMPUTED_VALUE"""),0.2)</f>
        <v>0.2</v>
      </c>
      <c r="S379" s="47">
        <f>IFERROR(__xludf.DUMMYFUNCTION("""COMPUTED_VALUE"""),0.2)</f>
        <v>0.2</v>
      </c>
      <c r="T379" s="47">
        <f>IFERROR(__xludf.DUMMYFUNCTION("""COMPUTED_VALUE"""),40.0)</f>
        <v>40</v>
      </c>
      <c r="U379" s="47">
        <f>IFERROR(__xludf.DUMMYFUNCTION("""COMPUTED_VALUE"""),83.33333333333334)</f>
        <v>83.33333333</v>
      </c>
      <c r="V379" s="47">
        <f>IFERROR(__xludf.DUMMYFUNCTION("""COMPUTED_VALUE"""),0.4)</f>
        <v>0.4</v>
      </c>
      <c r="W379" s="46">
        <f>IFERROR(__xludf.DUMMYFUNCTION("""COMPUTED_VALUE"""),-2.06557162692098)</f>
        <v>-2.065571627</v>
      </c>
      <c r="X379" s="46">
        <f>IFERROR(__xludf.DUMMYFUNCTION("""COMPUTED_VALUE"""),-0.6457219033555379)</f>
        <v>-0.6457219034</v>
      </c>
      <c r="Y379" s="46">
        <f>IFERROR(__xludf.DUMMYFUNCTION("""COMPUTED_VALUE"""),-1.7124787801682742)</f>
        <v>-1.71247878</v>
      </c>
      <c r="Z379" s="46">
        <f>IFERROR(__xludf.DUMMYFUNCTION("""COMPUTED_VALUE"""),-1.7565247400165278)</f>
        <v>-1.75652474</v>
      </c>
      <c r="AA379" s="46">
        <f>IFERROR(__xludf.DUMMYFUNCTION("""COMPUTED_VALUE"""),-1.732769878353462)</f>
        <v>-1.732769878</v>
      </c>
      <c r="AB379" s="46">
        <f>IFERROR(__xludf.DUMMYFUNCTION("""COMPUTED_VALUE"""),-0.6583300762210907)</f>
        <v>-0.6583300762</v>
      </c>
      <c r="AC379" s="46">
        <f>IFERROR(__xludf.DUMMYFUNCTION("""COMPUTED_VALUE"""),-0.4314397011431928)</f>
        <v>-0.4314397011</v>
      </c>
      <c r="AD379" s="46">
        <f>IFERROR(__xludf.DUMMYFUNCTION("""COMPUTED_VALUE"""),0.0650262290423206)</f>
        <v>0.06502622904</v>
      </c>
      <c r="AE379" s="46">
        <f>IFERROR(__xludf.DUMMYFUNCTION("""COMPUTED_VALUE"""),0.4950842743868928)</f>
        <v>0.4950842744</v>
      </c>
    </row>
    <row r="380">
      <c r="A380" s="6" t="str">
        <f>IF(VLOOKUP(H380,'Paste #BBall'!$B$2:$N1001,3,)="BRO","BKN",IF(VLOOKUP(H380,'Paste #BBall'!$B$2:$N1001,3,)="OKL","OKC",VLOOKUP(H380,'Paste #BBall'!$B$2:$N1001,3,)))</f>
        <v>SAC</v>
      </c>
      <c r="B380" s="42">
        <f>VLOOKUP($A380,Schedule!$C$2:$G$31,2,0)</f>
        <v>4</v>
      </c>
      <c r="C380" s="42">
        <f>VLOOKUP($A380,Schedule!$C$2:$G$31,3,0)</f>
        <v>3</v>
      </c>
      <c r="D380" s="42">
        <f>VLOOKUP($A380,Schedule!$C$2:$G$31,4,0)</f>
        <v>4</v>
      </c>
      <c r="E380" s="42">
        <f t="shared" si="1"/>
        <v>11</v>
      </c>
      <c r="F380" s="6">
        <v>374.0</v>
      </c>
      <c r="G380" s="45">
        <f>IFERROR(__xludf.DUMMYFUNCTION("""COMPUTED_VALUE"""),384.0)</f>
        <v>384</v>
      </c>
      <c r="H380" s="45" t="str">
        <f>IFERROR(__xludf.DUMMYFUNCTION("""COMPUTED_VALUE"""),"Alex Len")</f>
        <v>Alex Len</v>
      </c>
      <c r="I380" s="45">
        <f>IFERROR(__xludf.DUMMYFUNCTION("""COMPUTED_VALUE"""),30.0)</f>
        <v>30</v>
      </c>
      <c r="J380" s="46" t="str">
        <f>IFERROR(__xludf.DUMMYFUNCTION("""COMPUTED_VALUE"""),"C")</f>
        <v>C</v>
      </c>
      <c r="K380" s="46">
        <f>IFERROR(__xludf.DUMMYFUNCTION("""COMPUTED_VALUE"""),-10.20488879534474)</f>
        <v>-10.2048888</v>
      </c>
      <c r="L380" s="47">
        <f>IFERROR(__xludf.DUMMYFUNCTION("""COMPUTED_VALUE"""),-6.401775030329866)</f>
        <v>-6.40177503</v>
      </c>
      <c r="M380" s="47">
        <f>IFERROR(__xludf.DUMMYFUNCTION("""COMPUTED_VALUE"""),3.8031137650148734)</f>
        <v>3.803113765</v>
      </c>
      <c r="N380" s="47">
        <f>IFERROR(__xludf.DUMMYFUNCTION("""COMPUTED_VALUE"""),3.0)</f>
        <v>3</v>
      </c>
      <c r="O380" s="47">
        <f>IFERROR(__xludf.DUMMYFUNCTION("""COMPUTED_VALUE"""),0.1)</f>
        <v>0.1</v>
      </c>
      <c r="P380" s="47">
        <f>IFERROR(__xludf.DUMMYFUNCTION("""COMPUTED_VALUE"""),2.4)</f>
        <v>2.4</v>
      </c>
      <c r="Q380" s="48">
        <f>IFERROR(__xludf.DUMMYFUNCTION("""COMPUTED_VALUE"""),0.6)</f>
        <v>0.6</v>
      </c>
      <c r="R380" s="47">
        <f>IFERROR(__xludf.DUMMYFUNCTION("""COMPUTED_VALUE"""),0.2)</f>
        <v>0.2</v>
      </c>
      <c r="S380" s="47">
        <f>IFERROR(__xludf.DUMMYFUNCTION("""COMPUTED_VALUE"""),0.4)</f>
        <v>0.4</v>
      </c>
      <c r="T380" s="47">
        <f>IFERROR(__xludf.DUMMYFUNCTION("""COMPUTED_VALUE"""),54.54545454545454)</f>
        <v>54.54545455</v>
      </c>
      <c r="U380" s="47">
        <f>IFERROR(__xludf.DUMMYFUNCTION("""COMPUTED_VALUE"""),66.66666666666666)</f>
        <v>66.66666667</v>
      </c>
      <c r="V380" s="47">
        <f>IFERROR(__xludf.DUMMYFUNCTION("""COMPUTED_VALUE"""),0.6)</f>
        <v>0.6</v>
      </c>
      <c r="W380" s="46">
        <f>IFERROR(__xludf.DUMMYFUNCTION("""COMPUTED_VALUE"""),-2.4026243808379197)</f>
        <v>-2.402624381</v>
      </c>
      <c r="X380" s="46">
        <f>IFERROR(__xludf.DUMMYFUNCTION("""COMPUTED_VALUE"""),-1.3394249329228134)</f>
        <v>-1.339424933</v>
      </c>
      <c r="Y380" s="46">
        <f>IFERROR(__xludf.DUMMYFUNCTION("""COMPUTED_VALUE"""),-1.5452173007443828)</f>
        <v>-1.545217301</v>
      </c>
      <c r="Z380" s="46">
        <f>IFERROR(__xludf.DUMMYFUNCTION("""COMPUTED_VALUE"""),-1.6545198189935006)</f>
        <v>-1.654519819</v>
      </c>
      <c r="AA380" s="46">
        <f>IFERROR(__xludf.DUMMYFUNCTION("""COMPUTED_VALUE"""),-1.732769878353462)</f>
        <v>-1.732769878</v>
      </c>
      <c r="AB380" s="46">
        <f>IFERROR(__xludf.DUMMYFUNCTION("""COMPUTED_VALUE"""),-0.39569839687757064)</f>
        <v>-0.3956983969</v>
      </c>
      <c r="AC380" s="46">
        <f>IFERROR(__xludf.DUMMYFUNCTION("""COMPUTED_VALUE"""),0.10871073323777625)</f>
        <v>0.1087107332</v>
      </c>
      <c r="AD380" s="46">
        <f>IFERROR(__xludf.DUMMYFUNCTION("""COMPUTED_VALUE"""),-0.27584720073334784)</f>
        <v>-0.2758472007</v>
      </c>
      <c r="AE380" s="46">
        <f>IFERROR(__xludf.DUMMYFUNCTION("""COMPUTED_VALUE"""),0.43299176505743303)</f>
        <v>0.4329917651</v>
      </c>
    </row>
    <row r="381">
      <c r="A381" s="6" t="str">
        <f>IF(VLOOKUP(H381,'Paste #BBall'!$B$2:$N1001,3,)="BRO","BKN",IF(VLOOKUP(H381,'Paste #BBall'!$B$2:$N1001,3,)="OKL","OKC",VLOOKUP(H381,'Paste #BBall'!$B$2:$N1001,3,)))</f>
        <v>MEM</v>
      </c>
      <c r="B381" s="42">
        <f>VLOOKUP($A381,Schedule!$C$2:$G$31,2,0)</f>
        <v>4</v>
      </c>
      <c r="C381" s="42">
        <f>VLOOKUP($A381,Schedule!$C$2:$G$31,3,0)</f>
        <v>3</v>
      </c>
      <c r="D381" s="42">
        <f>VLOOKUP($A381,Schedule!$C$2:$G$31,4,0)</f>
        <v>3</v>
      </c>
      <c r="E381" s="42">
        <f t="shared" si="1"/>
        <v>10</v>
      </c>
      <c r="F381" s="6">
        <v>375.0</v>
      </c>
      <c r="G381" s="45">
        <f>IFERROR(__xludf.DUMMYFUNCTION("""COMPUTED_VALUE"""),363.0)</f>
        <v>363</v>
      </c>
      <c r="H381" s="45" t="str">
        <f>IFERROR(__xludf.DUMMYFUNCTION("""COMPUTED_VALUE"""),"Kenneth Lofton Jr.")</f>
        <v>Kenneth Lofton Jr.</v>
      </c>
      <c r="I381" s="45">
        <f>IFERROR(__xludf.DUMMYFUNCTION("""COMPUTED_VALUE"""),34.0)</f>
        <v>34</v>
      </c>
      <c r="J381" s="46" t="str">
        <f>IFERROR(__xludf.DUMMYFUNCTION("""COMPUTED_VALUE"""),"PF,C")</f>
        <v>PF,C</v>
      </c>
      <c r="K381" s="46">
        <f>IFERROR(__xludf.DUMMYFUNCTION("""COMPUTED_VALUE"""),-9.736451030769391)</f>
        <v>-9.736451031</v>
      </c>
      <c r="L381" s="47">
        <f>IFERROR(__xludf.DUMMYFUNCTION("""COMPUTED_VALUE"""),-6.408259801723064)</f>
        <v>-6.408259802</v>
      </c>
      <c r="M381" s="47">
        <f>IFERROR(__xludf.DUMMYFUNCTION("""COMPUTED_VALUE"""),3.328191229046327)</f>
        <v>3.328191229</v>
      </c>
      <c r="N381" s="47">
        <f>IFERROR(__xludf.DUMMYFUNCTION("""COMPUTED_VALUE"""),7.0)</f>
        <v>7</v>
      </c>
      <c r="O381" s="47">
        <f>IFERROR(__xludf.DUMMYFUNCTION("""COMPUTED_VALUE"""),0.4)</f>
        <v>0.4</v>
      </c>
      <c r="P381" s="47">
        <f>IFERROR(__xludf.DUMMYFUNCTION("""COMPUTED_VALUE"""),3.0)</f>
        <v>3</v>
      </c>
      <c r="Q381" s="48">
        <f>IFERROR(__xludf.DUMMYFUNCTION("""COMPUTED_VALUE"""),1.2)</f>
        <v>1.2</v>
      </c>
      <c r="R381" s="47">
        <f>IFERROR(__xludf.DUMMYFUNCTION("""COMPUTED_VALUE"""),0.3)</f>
        <v>0.3</v>
      </c>
      <c r="S381" s="47">
        <f>IFERROR(__xludf.DUMMYFUNCTION("""COMPUTED_VALUE"""),0.1)</f>
        <v>0.1</v>
      </c>
      <c r="T381" s="47">
        <f>IFERROR(__xludf.DUMMYFUNCTION("""COMPUTED_VALUE"""),51.85185185185185)</f>
        <v>51.85185185</v>
      </c>
      <c r="U381" s="47">
        <f>IFERROR(__xludf.DUMMYFUNCTION("""COMPUTED_VALUE"""),56.25)</f>
        <v>56.25</v>
      </c>
      <c r="V381" s="47">
        <f>IFERROR(__xludf.DUMMYFUNCTION("""COMPUTED_VALUE"""),0.7)</f>
        <v>0.7</v>
      </c>
      <c r="W381" s="46">
        <f>IFERROR(__xludf.DUMMYFUNCTION("""COMPUTED_VALUE"""),-1.72851887300404)</f>
        <v>-1.728518873</v>
      </c>
      <c r="X381" s="46">
        <f>IFERROR(__xludf.DUMMYFUNCTION("""COMPUTED_VALUE"""),-1.079286296835085)</f>
        <v>-1.079286297</v>
      </c>
      <c r="Y381" s="46">
        <f>IFERROR(__xludf.DUMMYFUNCTION("""COMPUTED_VALUE"""),-1.2943250816085456)</f>
        <v>-1.294325082</v>
      </c>
      <c r="Z381" s="46">
        <f>IFERROR(__xludf.DUMMYFUNCTION("""COMPUTED_VALUE"""),-1.3485050559244194)</f>
        <v>-1.348505056</v>
      </c>
      <c r="AA381" s="46">
        <f>IFERROR(__xludf.DUMMYFUNCTION("""COMPUTED_VALUE"""),-1.5147199775539493)</f>
        <v>-1.514719978</v>
      </c>
      <c r="AB381" s="46">
        <f>IFERROR(__xludf.DUMMYFUNCTION("""COMPUTED_VALUE"""),-0.7896459158928509)</f>
        <v>-0.7896459159</v>
      </c>
      <c r="AC381" s="46">
        <f>IFERROR(__xludf.DUMMYFUNCTION("""COMPUTED_VALUE"""),0.12154597733262079)</f>
        <v>0.1215459773</v>
      </c>
      <c r="AD381" s="46">
        <f>IFERROR(__xludf.DUMMYFUNCTION("""COMPUTED_VALUE"""),-0.9052689616335388)</f>
        <v>-0.9052689616</v>
      </c>
      <c r="AE381" s="46">
        <f>IFERROR(__xludf.DUMMYFUNCTION("""COMPUTED_VALUE"""),0.4019455103927031)</f>
        <v>0.4019455104</v>
      </c>
    </row>
    <row r="382">
      <c r="A382" s="6" t="str">
        <f>IF(VLOOKUP(H382,'Paste #BBall'!$B$2:$N1001,3,)="BRO","BKN",IF(VLOOKUP(H382,'Paste #BBall'!$B$2:$N1001,3,)="OKL","OKC",VLOOKUP(H382,'Paste #BBall'!$B$2:$N1001,3,)))</f>
        <v>ATL</v>
      </c>
      <c r="B382" s="42">
        <f>VLOOKUP($A382,Schedule!$C$2:$G$31,2,0)</f>
        <v>4</v>
      </c>
      <c r="C382" s="42">
        <f>VLOOKUP($A382,Schedule!$C$2:$G$31,3,0)</f>
        <v>3</v>
      </c>
      <c r="D382" s="42">
        <f>VLOOKUP($A382,Schedule!$C$2:$G$31,4,0)</f>
        <v>3</v>
      </c>
      <c r="E382" s="42">
        <f t="shared" si="1"/>
        <v>10</v>
      </c>
      <c r="F382" s="6">
        <v>376.0</v>
      </c>
      <c r="G382" s="45">
        <f>IFERROR(__xludf.DUMMYFUNCTION("""COMPUTED_VALUE"""),381.0)</f>
        <v>381</v>
      </c>
      <c r="H382" s="45" t="str">
        <f>IFERROR(__xludf.DUMMYFUNCTION("""COMPUTED_VALUE"""),"Patty Mills")</f>
        <v>Patty Mills</v>
      </c>
      <c r="I382" s="45">
        <f>IFERROR(__xludf.DUMMYFUNCTION("""COMPUTED_VALUE"""),20.0)</f>
        <v>20</v>
      </c>
      <c r="J382" s="46" t="str">
        <f>IFERROR(__xludf.DUMMYFUNCTION("""COMPUTED_VALUE"""),"PG")</f>
        <v>PG</v>
      </c>
      <c r="K382" s="46">
        <f>IFERROR(__xludf.DUMMYFUNCTION("""COMPUTED_VALUE"""),-10.166746731394388)</f>
        <v>-10.16674673</v>
      </c>
      <c r="L382" s="47">
        <f>IFERROR(__xludf.DUMMYFUNCTION("""COMPUTED_VALUE"""),-6.416490273673341)</f>
        <v>-6.416490274</v>
      </c>
      <c r="M382" s="47">
        <f>IFERROR(__xludf.DUMMYFUNCTION("""COMPUTED_VALUE"""),3.750256457721047)</f>
        <v>3.750256458</v>
      </c>
      <c r="N382" s="47">
        <f>IFERROR(__xludf.DUMMYFUNCTION("""COMPUTED_VALUE"""),4.2)</f>
        <v>4.2</v>
      </c>
      <c r="O382" s="47">
        <f>IFERROR(__xludf.DUMMYFUNCTION("""COMPUTED_VALUE"""),1.0)</f>
        <v>1</v>
      </c>
      <c r="P382" s="47">
        <f>IFERROR(__xludf.DUMMYFUNCTION("""COMPUTED_VALUE"""),0.7)</f>
        <v>0.7</v>
      </c>
      <c r="Q382" s="48">
        <f>IFERROR(__xludf.DUMMYFUNCTION("""COMPUTED_VALUE"""),0.9)</f>
        <v>0.9</v>
      </c>
      <c r="R382" s="47">
        <f>IFERROR(__xludf.DUMMYFUNCTION("""COMPUTED_VALUE"""),0.2)</f>
        <v>0.2</v>
      </c>
      <c r="S382" s="47">
        <f>IFERROR(__xludf.DUMMYFUNCTION("""COMPUTED_VALUE"""),0.1)</f>
        <v>0.1</v>
      </c>
      <c r="T382" s="47">
        <f>IFERROR(__xludf.DUMMYFUNCTION("""COMPUTED_VALUE"""),41.666666666666664)</f>
        <v>41.66666667</v>
      </c>
      <c r="U382" s="47">
        <f>IFERROR(__xludf.DUMMYFUNCTION("""COMPUTED_VALUE"""),100.0)</f>
        <v>100</v>
      </c>
      <c r="V382" s="47">
        <f>IFERROR(__xludf.DUMMYFUNCTION("""COMPUTED_VALUE"""),0.4)</f>
        <v>0.4</v>
      </c>
      <c r="W382" s="46">
        <f>IFERROR(__xludf.DUMMYFUNCTION("""COMPUTED_VALUE"""),-2.200392728487756)</f>
        <v>-2.200392728</v>
      </c>
      <c r="X382" s="46">
        <f>IFERROR(__xludf.DUMMYFUNCTION("""COMPUTED_VALUE"""),-0.5590090246596284)</f>
        <v>-0.5590090247</v>
      </c>
      <c r="Y382" s="46">
        <f>IFERROR(__xludf.DUMMYFUNCTION("""COMPUTED_VALUE"""),-2.256078588295921)</f>
        <v>-2.256078588</v>
      </c>
      <c r="Z382" s="46">
        <f>IFERROR(__xludf.DUMMYFUNCTION("""COMPUTED_VALUE"""),-1.5015124374589601)</f>
        <v>-1.501512437</v>
      </c>
      <c r="AA382" s="46">
        <f>IFERROR(__xludf.DUMMYFUNCTION("""COMPUTED_VALUE"""),-1.732769878353462)</f>
        <v>-1.732769878</v>
      </c>
      <c r="AB382" s="46">
        <f>IFERROR(__xludf.DUMMYFUNCTION("""COMPUTED_VALUE"""),-0.7896459158928509)</f>
        <v>-0.7896459159</v>
      </c>
      <c r="AC382" s="46">
        <f>IFERROR(__xludf.DUMMYFUNCTION("""COMPUTED_VALUE"""),-0.28521985916101217)</f>
        <v>-0.2852198592</v>
      </c>
      <c r="AD382" s="46">
        <f>IFERROR(__xludf.DUMMYFUNCTION("""COMPUTED_VALUE"""),0.15697529595343646)</f>
        <v>0.156975296</v>
      </c>
      <c r="AE382" s="46">
        <f>IFERROR(__xludf.DUMMYFUNCTION("""COMPUTED_VALUE"""),0.4950842743868928)</f>
        <v>0.4950842744</v>
      </c>
    </row>
    <row r="383">
      <c r="A383" s="6" t="str">
        <f>IF(VLOOKUP(H383,'Paste #BBall'!$B$2:$N1001,3,)="BRO","BKN",IF(VLOOKUP(H383,'Paste #BBall'!$B$2:$N1001,3,)="OKL","OKC",VLOOKUP(H383,'Paste #BBall'!$B$2:$N1001,3,)))</f>
        <v>PHO</v>
      </c>
      <c r="B383" s="42">
        <f>VLOOKUP($A383,Schedule!$C$2:$G$31,2,0)</f>
        <v>3</v>
      </c>
      <c r="C383" s="42">
        <f>VLOOKUP($A383,Schedule!$C$2:$G$31,3,0)</f>
        <v>4</v>
      </c>
      <c r="D383" s="42">
        <f>VLOOKUP($A383,Schedule!$C$2:$G$31,4,0)</f>
        <v>3</v>
      </c>
      <c r="E383" s="42">
        <f t="shared" si="1"/>
        <v>10</v>
      </c>
      <c r="F383" s="6">
        <v>377.0</v>
      </c>
      <c r="G383" s="45">
        <f>IFERROR(__xludf.DUMMYFUNCTION("""COMPUTED_VALUE"""),390.0)</f>
        <v>390</v>
      </c>
      <c r="H383" s="45" t="str">
        <f>IFERROR(__xludf.DUMMYFUNCTION("""COMPUTED_VALUE"""),"Udoka Azubuike")</f>
        <v>Udoka Azubuike</v>
      </c>
      <c r="I383" s="45">
        <f>IFERROR(__xludf.DUMMYFUNCTION("""COMPUTED_VALUE"""),10.0)</f>
        <v>10</v>
      </c>
      <c r="J383" s="46" t="str">
        <f>IFERROR(__xludf.DUMMYFUNCTION("""COMPUTED_VALUE"""),"C")</f>
        <v>C</v>
      </c>
      <c r="K383" s="46">
        <f>IFERROR(__xludf.DUMMYFUNCTION("""COMPUTED_VALUE"""),-10.335800285654729)</f>
        <v>-10.33580029</v>
      </c>
      <c r="L383" s="47">
        <f>IFERROR(__xludf.DUMMYFUNCTION("""COMPUTED_VALUE"""),-6.431438983513656)</f>
        <v>-6.431438984</v>
      </c>
      <c r="M383" s="47">
        <f>IFERROR(__xludf.DUMMYFUNCTION("""COMPUTED_VALUE"""),3.904361302141073)</f>
        <v>3.904361302</v>
      </c>
      <c r="N383" s="47">
        <f>IFERROR(__xludf.DUMMYFUNCTION("""COMPUTED_VALUE"""),3.1)</f>
        <v>3.1</v>
      </c>
      <c r="O383" s="47">
        <f>IFERROR(__xludf.DUMMYFUNCTION("""COMPUTED_VALUE"""),0.0)</f>
        <v>0</v>
      </c>
      <c r="P383" s="47">
        <f>IFERROR(__xludf.DUMMYFUNCTION("""COMPUTED_VALUE"""),2.9)</f>
        <v>2.9</v>
      </c>
      <c r="Q383" s="48">
        <f>IFERROR(__xludf.DUMMYFUNCTION("""COMPUTED_VALUE"""),0.2)</f>
        <v>0.2</v>
      </c>
      <c r="R383" s="47">
        <f>IFERROR(__xludf.DUMMYFUNCTION("""COMPUTED_VALUE"""),0.1)</f>
        <v>0.1</v>
      </c>
      <c r="S383" s="47">
        <f>IFERROR(__xludf.DUMMYFUNCTION("""COMPUTED_VALUE"""),0.4)</f>
        <v>0.4</v>
      </c>
      <c r="T383" s="47">
        <f>IFERROR(__xludf.DUMMYFUNCTION("""COMPUTED_VALUE"""),78.94736842105263)</f>
        <v>78.94736842</v>
      </c>
      <c r="U383" s="47">
        <f>IFERROR(__xludf.DUMMYFUNCTION("""COMPUTED_VALUE"""),40.0)</f>
        <v>40</v>
      </c>
      <c r="V383" s="47">
        <f>IFERROR(__xludf.DUMMYFUNCTION("""COMPUTED_VALUE"""),0.5)</f>
        <v>0.5</v>
      </c>
      <c r="W383" s="46">
        <f>IFERROR(__xludf.DUMMYFUNCTION("""COMPUTED_VALUE"""),-2.385771743142073)</f>
        <v>-2.385771743</v>
      </c>
      <c r="X383" s="46">
        <f>IFERROR(__xludf.DUMMYFUNCTION("""COMPUTED_VALUE"""),-1.4261378116187227)</f>
        <v>-1.426137812</v>
      </c>
      <c r="Y383" s="46">
        <f>IFERROR(__xludf.DUMMYFUNCTION("""COMPUTED_VALUE"""),-1.3361404514645185)</f>
        <v>-1.336140451</v>
      </c>
      <c r="Z383" s="46">
        <f>IFERROR(__xludf.DUMMYFUNCTION("""COMPUTED_VALUE"""),-1.858529661039555)</f>
        <v>-1.858529661</v>
      </c>
      <c r="AA383" s="46">
        <f>IFERROR(__xludf.DUMMYFUNCTION("""COMPUTED_VALUE"""),-1.9508197791529749)</f>
        <v>-1.950819779</v>
      </c>
      <c r="AB383" s="46">
        <f>IFERROR(__xludf.DUMMYFUNCTION("""COMPUTED_VALUE"""),-0.39569839687757064)</f>
        <v>-0.3956983969</v>
      </c>
      <c r="AC383" s="46">
        <f>IFERROR(__xludf.DUMMYFUNCTION("""COMPUTED_VALUE"""),0.5569966922554528)</f>
        <v>0.5569966923</v>
      </c>
      <c r="AD383" s="46">
        <f>IFERROR(__xludf.DUMMYFUNCTION("""COMPUTED_VALUE"""),-0.4851475953379296)</f>
        <v>-0.4851475953</v>
      </c>
      <c r="AE383" s="46">
        <f>IFERROR(__xludf.DUMMYFUNCTION("""COMPUTED_VALUE"""),0.4640380197221629)</f>
        <v>0.4640380197</v>
      </c>
    </row>
    <row r="384">
      <c r="A384" s="6" t="str">
        <f>IF(VLOOKUP(H384,'Paste #BBall'!$B$2:$N1001,3,)="BRO","BKN",IF(VLOOKUP(H384,'Paste #BBall'!$B$2:$N1001,3,)="OKL","OKC",VLOOKUP(H384,'Paste #BBall'!$B$2:$N1001,3,)))</f>
        <v>BOS</v>
      </c>
      <c r="B384" s="42">
        <f>VLOOKUP($A384,Schedule!$C$2:$G$31,2,0)</f>
        <v>3</v>
      </c>
      <c r="C384" s="42">
        <f>VLOOKUP($A384,Schedule!$C$2:$G$31,3,0)</f>
        <v>4</v>
      </c>
      <c r="D384" s="42">
        <f>VLOOKUP($A384,Schedule!$C$2:$G$31,4,0)</f>
        <v>4</v>
      </c>
      <c r="E384" s="42">
        <f t="shared" si="1"/>
        <v>11</v>
      </c>
      <c r="F384" s="6">
        <v>378.0</v>
      </c>
      <c r="G384" s="45">
        <f>IFERROR(__xludf.DUMMYFUNCTION("""COMPUTED_VALUE"""),379.0)</f>
        <v>379</v>
      </c>
      <c r="H384" s="45" t="str">
        <f>IFERROR(__xludf.DUMMYFUNCTION("""COMPUTED_VALUE"""),"Oshae Brissett")</f>
        <v>Oshae Brissett</v>
      </c>
      <c r="I384" s="45">
        <f>IFERROR(__xludf.DUMMYFUNCTION("""COMPUTED_VALUE"""),58.0)</f>
        <v>58</v>
      </c>
      <c r="J384" s="46" t="str">
        <f>IFERROR(__xludf.DUMMYFUNCTION("""COMPUTED_VALUE"""),"SF,PF")</f>
        <v>SF,PF</v>
      </c>
      <c r="K384" s="46">
        <f>IFERROR(__xludf.DUMMYFUNCTION("""COMPUTED_VALUE"""),-10.115473837087858)</f>
        <v>-10.11547384</v>
      </c>
      <c r="L384" s="47">
        <f>IFERROR(__xludf.DUMMYFUNCTION("""COMPUTED_VALUE"""),-6.443785910218416)</f>
        <v>-6.44378591</v>
      </c>
      <c r="M384" s="47">
        <f>IFERROR(__xludf.DUMMYFUNCTION("""COMPUTED_VALUE"""),3.671687926869442)</f>
        <v>3.671687927</v>
      </c>
      <c r="N384" s="47">
        <f>IFERROR(__xludf.DUMMYFUNCTION("""COMPUTED_VALUE"""),4.3)</f>
        <v>4.3</v>
      </c>
      <c r="O384" s="47">
        <f>IFERROR(__xludf.DUMMYFUNCTION("""COMPUTED_VALUE"""),0.6)</f>
        <v>0.6</v>
      </c>
      <c r="P384" s="47">
        <f>IFERROR(__xludf.DUMMYFUNCTION("""COMPUTED_VALUE"""),2.5)</f>
        <v>2.5</v>
      </c>
      <c r="Q384" s="48">
        <f>IFERROR(__xludf.DUMMYFUNCTION("""COMPUTED_VALUE"""),0.5)</f>
        <v>0.5</v>
      </c>
      <c r="R384" s="47">
        <f>IFERROR(__xludf.DUMMYFUNCTION("""COMPUTED_VALUE"""),0.3)</f>
        <v>0.3</v>
      </c>
      <c r="S384" s="47">
        <f>IFERROR(__xludf.DUMMYFUNCTION("""COMPUTED_VALUE"""),0.2)</f>
        <v>0.2</v>
      </c>
      <c r="T384" s="47">
        <f>IFERROR(__xludf.DUMMYFUNCTION("""COMPUTED_VALUE"""),40.0)</f>
        <v>40</v>
      </c>
      <c r="U384" s="47">
        <f>IFERROR(__xludf.DUMMYFUNCTION("""COMPUTED_VALUE"""),69.23076923076923)</f>
        <v>69.23076923</v>
      </c>
      <c r="V384" s="47">
        <f>IFERROR(__xludf.DUMMYFUNCTION("""COMPUTED_VALUE"""),0.4)</f>
        <v>0.4</v>
      </c>
      <c r="W384" s="46">
        <f>IFERROR(__xludf.DUMMYFUNCTION("""COMPUTED_VALUE"""),-2.1835400907919085)</f>
        <v>-2.183540091</v>
      </c>
      <c r="X384" s="46">
        <f>IFERROR(__xludf.DUMMYFUNCTION("""COMPUTED_VALUE"""),-0.9058605394432663)</f>
        <v>-0.9058605394</v>
      </c>
      <c r="Y384" s="46">
        <f>IFERROR(__xludf.DUMMYFUNCTION("""COMPUTED_VALUE"""),-1.50340193088841)</f>
        <v>-1.503401931</v>
      </c>
      <c r="Z384" s="46">
        <f>IFERROR(__xludf.DUMMYFUNCTION("""COMPUTED_VALUE"""),-1.7055222795050142)</f>
        <v>-1.70552228</v>
      </c>
      <c r="AA384" s="46">
        <f>IFERROR(__xludf.DUMMYFUNCTION("""COMPUTED_VALUE"""),-1.5147199775539493)</f>
        <v>-1.514719978</v>
      </c>
      <c r="AB384" s="46">
        <f>IFERROR(__xludf.DUMMYFUNCTION("""COMPUTED_VALUE"""),-0.6583300762210907)</f>
        <v>-0.6583300762</v>
      </c>
      <c r="AC384" s="46">
        <f>IFERROR(__xludf.DUMMYFUNCTION("""COMPUTED_VALUE"""),-0.3355642120002613)</f>
        <v>-0.335564212</v>
      </c>
      <c r="AD384" s="46">
        <f>IFERROR(__xludf.DUMMYFUNCTION("""COMPUTED_VALUE"""),-0.3154711689933183)</f>
        <v>-0.315471169</v>
      </c>
      <c r="AE384" s="46">
        <f>IFERROR(__xludf.DUMMYFUNCTION("""COMPUTED_VALUE"""),0.4950842743868928)</f>
        <v>0.4950842744</v>
      </c>
    </row>
    <row r="385">
      <c r="A385" s="6" t="str">
        <f>IF(VLOOKUP(H385,'Paste #BBall'!$B$2:$N1001,3,)="BRO","BKN",IF(VLOOKUP(H385,'Paste #BBall'!$B$2:$N1001,3,)="OKL","OKC",VLOOKUP(H385,'Paste #BBall'!$B$2:$N1001,3,)))</f>
        <v>GS</v>
      </c>
      <c r="B385" s="42">
        <f>VLOOKUP($A385,Schedule!$C$2:$G$31,2,0)</f>
        <v>3</v>
      </c>
      <c r="C385" s="42">
        <f>VLOOKUP($A385,Schedule!$C$2:$G$31,3,0)</f>
        <v>3</v>
      </c>
      <c r="D385" s="42">
        <f>VLOOKUP($A385,Schedule!$C$2:$G$31,4,0)</f>
        <v>4</v>
      </c>
      <c r="E385" s="42">
        <f t="shared" si="1"/>
        <v>10</v>
      </c>
      <c r="F385" s="6">
        <v>379.0</v>
      </c>
      <c r="G385" s="45">
        <f>IFERROR(__xludf.DUMMYFUNCTION("""COMPUTED_VALUE"""),389.0)</f>
        <v>389</v>
      </c>
      <c r="H385" s="45" t="str">
        <f>IFERROR(__xludf.DUMMYFUNCTION("""COMPUTED_VALUE"""),"Trayce Jackson-Davis")</f>
        <v>Trayce Jackson-Davis</v>
      </c>
      <c r="I385" s="45">
        <f>IFERROR(__xludf.DUMMYFUNCTION("""COMPUTED_VALUE"""),58.0)</f>
        <v>58</v>
      </c>
      <c r="J385" s="46" t="str">
        <f>IFERROR(__xludf.DUMMYFUNCTION("""COMPUTED_VALUE"""),"PF")</f>
        <v>PF</v>
      </c>
      <c r="K385" s="46">
        <f>IFERROR(__xludf.DUMMYFUNCTION("""COMPUTED_VALUE"""),-10.311522695321527)</f>
        <v>-10.3115227</v>
      </c>
      <c r="L385" s="47">
        <f>IFERROR(__xludf.DUMMYFUNCTION("""COMPUTED_VALUE"""),-6.466730952549145)</f>
        <v>-6.466730953</v>
      </c>
      <c r="M385" s="47">
        <f>IFERROR(__xludf.DUMMYFUNCTION("""COMPUTED_VALUE"""),3.8447917427723812)</f>
        <v>3.844791743</v>
      </c>
      <c r="N385" s="47">
        <f>IFERROR(__xludf.DUMMYFUNCTION("""COMPUTED_VALUE"""),3.8)</f>
        <v>3.8</v>
      </c>
      <c r="O385" s="47">
        <f>IFERROR(__xludf.DUMMYFUNCTION("""COMPUTED_VALUE"""),0.0)</f>
        <v>0</v>
      </c>
      <c r="P385" s="47">
        <f>IFERROR(__xludf.DUMMYFUNCTION("""COMPUTED_VALUE"""),2.2)</f>
        <v>2.2</v>
      </c>
      <c r="Q385" s="48">
        <f>IFERROR(__xludf.DUMMYFUNCTION("""COMPUTED_VALUE"""),1.4)</f>
        <v>1.4</v>
      </c>
      <c r="R385" s="47">
        <f>IFERROR(__xludf.DUMMYFUNCTION("""COMPUTED_VALUE"""),0.2)</f>
        <v>0.2</v>
      </c>
      <c r="S385" s="47">
        <f>IFERROR(__xludf.DUMMYFUNCTION("""COMPUTED_VALUE"""),0.2)</f>
        <v>0.2</v>
      </c>
      <c r="T385" s="47">
        <f>IFERROR(__xludf.DUMMYFUNCTION("""COMPUTED_VALUE"""),55.55555555555555)</f>
        <v>55.55555556</v>
      </c>
      <c r="U385" s="47">
        <f>IFERROR(__xludf.DUMMYFUNCTION("""COMPUTED_VALUE"""),66.66666666666667)</f>
        <v>66.66666667</v>
      </c>
      <c r="V385" s="47">
        <f>IFERROR(__xludf.DUMMYFUNCTION("""COMPUTED_VALUE"""),0.6)</f>
        <v>0.6</v>
      </c>
      <c r="W385" s="46">
        <f>IFERROR(__xludf.DUMMYFUNCTION("""COMPUTED_VALUE"""),-2.2678032792711433)</f>
        <v>-2.267803279</v>
      </c>
      <c r="X385" s="46">
        <f>IFERROR(__xludf.DUMMYFUNCTION("""COMPUTED_VALUE"""),-1.4261378116187227)</f>
        <v>-1.426137812</v>
      </c>
      <c r="Y385" s="46">
        <f>IFERROR(__xludf.DUMMYFUNCTION("""COMPUTED_VALUE"""),-1.6288480404563284)</f>
        <v>-1.62884804</v>
      </c>
      <c r="Z385" s="46">
        <f>IFERROR(__xludf.DUMMYFUNCTION("""COMPUTED_VALUE"""),-1.246500134901392)</f>
        <v>-1.246500135</v>
      </c>
      <c r="AA385" s="46">
        <f>IFERROR(__xludf.DUMMYFUNCTION("""COMPUTED_VALUE"""),-1.732769878353462)</f>
        <v>-1.732769878</v>
      </c>
      <c r="AB385" s="46">
        <f>IFERROR(__xludf.DUMMYFUNCTION("""COMPUTED_VALUE"""),-0.6583300762210907)</f>
        <v>-0.6583300762</v>
      </c>
      <c r="AC385" s="46">
        <f>IFERROR(__xludf.DUMMYFUNCTION("""COMPUTED_VALUE"""),0.160659491588881)</f>
        <v>0.1606594916</v>
      </c>
      <c r="AD385" s="46">
        <f>IFERROR(__xludf.DUMMYFUNCTION("""COMPUTED_VALUE"""),-0.36779626764446344)</f>
        <v>-0.3677962676</v>
      </c>
      <c r="AE385" s="46">
        <f>IFERROR(__xludf.DUMMYFUNCTION("""COMPUTED_VALUE"""),0.43299176505743303)</f>
        <v>0.4329917651</v>
      </c>
    </row>
    <row r="386">
      <c r="A386" s="6" t="str">
        <f>IF(VLOOKUP(H386,'Paste #BBall'!$B$2:$N1001,3,)="BRO","BKN",IF(VLOOKUP(H386,'Paste #BBall'!$B$2:$N1001,3,)="OKL","OKC",VLOOKUP(H386,'Paste #BBall'!$B$2:$N1001,3,)))</f>
        <v>BOS</v>
      </c>
      <c r="B386" s="42">
        <f>VLOOKUP($A386,Schedule!$C$2:$G$31,2,0)</f>
        <v>3</v>
      </c>
      <c r="C386" s="42">
        <f>VLOOKUP($A386,Schedule!$C$2:$G$31,3,0)</f>
        <v>4</v>
      </c>
      <c r="D386" s="42">
        <f>VLOOKUP($A386,Schedule!$C$2:$G$31,4,0)</f>
        <v>4</v>
      </c>
      <c r="E386" s="42">
        <f t="shared" si="1"/>
        <v>11</v>
      </c>
      <c r="F386" s="6">
        <v>380.0</v>
      </c>
      <c r="G386" s="45">
        <f>IFERROR(__xludf.DUMMYFUNCTION("""COMPUTED_VALUE"""),386.0)</f>
        <v>386</v>
      </c>
      <c r="H386" s="45" t="str">
        <f>IFERROR(__xludf.DUMMYFUNCTION("""COMPUTED_VALUE"""),"Dalano Banton")</f>
        <v>Dalano Banton</v>
      </c>
      <c r="I386" s="45">
        <f>IFERROR(__xludf.DUMMYFUNCTION("""COMPUTED_VALUE"""),44.0)</f>
        <v>44</v>
      </c>
      <c r="J386" s="46" t="str">
        <f>IFERROR(__xludf.DUMMYFUNCTION("""COMPUTED_VALUE"""),"PG,SG")</f>
        <v>PG,SG</v>
      </c>
      <c r="K386" s="46">
        <f>IFERROR(__xludf.DUMMYFUNCTION("""COMPUTED_VALUE"""),-10.229264139019671)</f>
        <v>-10.22926414</v>
      </c>
      <c r="L386" s="47">
        <f>IFERROR(__xludf.DUMMYFUNCTION("""COMPUTED_VALUE"""),-6.466763578685261)</f>
        <v>-6.466763579</v>
      </c>
      <c r="M386" s="47">
        <f>IFERROR(__xludf.DUMMYFUNCTION("""COMPUTED_VALUE"""),3.76250056033441)</f>
        <v>3.76250056</v>
      </c>
      <c r="N386" s="47">
        <f>IFERROR(__xludf.DUMMYFUNCTION("""COMPUTED_VALUE"""),3.0)</f>
        <v>3</v>
      </c>
      <c r="O386" s="47">
        <f>IFERROR(__xludf.DUMMYFUNCTION("""COMPUTED_VALUE"""),0.2)</f>
        <v>0.2</v>
      </c>
      <c r="P386" s="47">
        <f>IFERROR(__xludf.DUMMYFUNCTION("""COMPUTED_VALUE"""),1.5)</f>
        <v>1.5</v>
      </c>
      <c r="Q386" s="48">
        <f>IFERROR(__xludf.DUMMYFUNCTION("""COMPUTED_VALUE"""),1.2)</f>
        <v>1.2</v>
      </c>
      <c r="R386" s="47">
        <f>IFERROR(__xludf.DUMMYFUNCTION("""COMPUTED_VALUE"""),0.4)</f>
        <v>0.4</v>
      </c>
      <c r="S386" s="47">
        <f>IFERROR(__xludf.DUMMYFUNCTION("""COMPUTED_VALUE"""),0.2)</f>
        <v>0.2</v>
      </c>
      <c r="T386" s="47">
        <f>IFERROR(__xludf.DUMMYFUNCTION("""COMPUTED_VALUE"""),41.37931034482759)</f>
        <v>41.37931034</v>
      </c>
      <c r="U386" s="47">
        <f>IFERROR(__xludf.DUMMYFUNCTION("""COMPUTED_VALUE"""),66.66666666666667)</f>
        <v>66.66666667</v>
      </c>
      <c r="V386" s="47">
        <f>IFERROR(__xludf.DUMMYFUNCTION("""COMPUTED_VALUE"""),0.6)</f>
        <v>0.6</v>
      </c>
      <c r="W386" s="46">
        <f>IFERROR(__xludf.DUMMYFUNCTION("""COMPUTED_VALUE"""),-2.4026243808379197)</f>
        <v>-2.402624381</v>
      </c>
      <c r="X386" s="46">
        <f>IFERROR(__xludf.DUMMYFUNCTION("""COMPUTED_VALUE"""),-1.252712054226904)</f>
        <v>-1.252712054</v>
      </c>
      <c r="Y386" s="46">
        <f>IFERROR(__xludf.DUMMYFUNCTION("""COMPUTED_VALUE"""),-1.9215556294481384)</f>
        <v>-1.921555629</v>
      </c>
      <c r="Z386" s="46">
        <f>IFERROR(__xludf.DUMMYFUNCTION("""COMPUTED_VALUE"""),-1.3485050559244194)</f>
        <v>-1.348505056</v>
      </c>
      <c r="AA386" s="46">
        <f>IFERROR(__xludf.DUMMYFUNCTION("""COMPUTED_VALUE"""),-1.2966700767544366)</f>
        <v>-1.296670077</v>
      </c>
      <c r="AB386" s="46">
        <f>IFERROR(__xludf.DUMMYFUNCTION("""COMPUTED_VALUE"""),-0.6583300762210907)</f>
        <v>-0.6583300762</v>
      </c>
      <c r="AC386" s="46">
        <f>IFERROR(__xludf.DUMMYFUNCTION("""COMPUTED_VALUE"""),-0.23808431734547383)</f>
        <v>-0.2380843173</v>
      </c>
      <c r="AD386" s="46">
        <f>IFERROR(__xludf.DUMMYFUNCTION("""COMPUTED_VALUE"""),-0.18389813382223172)</f>
        <v>-0.1838981338</v>
      </c>
      <c r="AE386" s="46">
        <f>IFERROR(__xludf.DUMMYFUNCTION("""COMPUTED_VALUE"""),0.43299176505743303)</f>
        <v>0.4329917651</v>
      </c>
    </row>
    <row r="387">
      <c r="A387" s="6" t="str">
        <f>IF(VLOOKUP(H387,'Paste #BBall'!$B$2:$N1001,3,)="BRO","BKN",IF(VLOOKUP(H387,'Paste #BBall'!$B$2:$N1001,3,)="OKL","OKC",VLOOKUP(H387,'Paste #BBall'!$B$2:$N1001,3,)))</f>
        <v>HOU</v>
      </c>
      <c r="B387" s="42">
        <f>VLOOKUP($A387,Schedule!$C$2:$G$31,2,0)</f>
        <v>4</v>
      </c>
      <c r="C387" s="42">
        <f>VLOOKUP($A387,Schedule!$C$2:$G$31,3,0)</f>
        <v>3</v>
      </c>
      <c r="D387" s="42">
        <f>VLOOKUP($A387,Schedule!$C$2:$G$31,4,0)</f>
        <v>3</v>
      </c>
      <c r="E387" s="42">
        <f t="shared" si="1"/>
        <v>10</v>
      </c>
      <c r="F387" s="6">
        <v>381.0</v>
      </c>
      <c r="G387" s="45">
        <f>IFERROR(__xludf.DUMMYFUNCTION("""COMPUTED_VALUE"""),388.0)</f>
        <v>388</v>
      </c>
      <c r="H387" s="45" t="str">
        <f>IFERROR(__xludf.DUMMYFUNCTION("""COMPUTED_VALUE"""),"Aaron Holiday")</f>
        <v>Aaron Holiday</v>
      </c>
      <c r="I387" s="45">
        <f>IFERROR(__xludf.DUMMYFUNCTION("""COMPUTED_VALUE"""),30.0)</f>
        <v>30</v>
      </c>
      <c r="J387" s="46" t="str">
        <f>IFERROR(__xludf.DUMMYFUNCTION("""COMPUTED_VALUE"""),"PG,SG")</f>
        <v>PG,SG</v>
      </c>
      <c r="K387" s="46">
        <f>IFERROR(__xludf.DUMMYFUNCTION("""COMPUTED_VALUE"""),-10.262817234303174)</f>
        <v>-10.26281723</v>
      </c>
      <c r="L387" s="47">
        <f>IFERROR(__xludf.DUMMYFUNCTION("""COMPUTED_VALUE"""),-6.487333603019612)</f>
        <v>-6.487333603</v>
      </c>
      <c r="M387" s="47">
        <f>IFERROR(__xludf.DUMMYFUNCTION("""COMPUTED_VALUE"""),3.7754836312835627)</f>
        <v>3.775483631</v>
      </c>
      <c r="N387" s="47">
        <f>IFERROR(__xludf.DUMMYFUNCTION("""COMPUTED_VALUE"""),3.0)</f>
        <v>3</v>
      </c>
      <c r="O387" s="47">
        <f>IFERROR(__xludf.DUMMYFUNCTION("""COMPUTED_VALUE"""),0.3)</f>
        <v>0.3</v>
      </c>
      <c r="P387" s="47">
        <f>IFERROR(__xludf.DUMMYFUNCTION("""COMPUTED_VALUE"""),0.9)</f>
        <v>0.9</v>
      </c>
      <c r="Q387" s="48">
        <f>IFERROR(__xludf.DUMMYFUNCTION("""COMPUTED_VALUE"""),1.1)</f>
        <v>1.1</v>
      </c>
      <c r="R387" s="47">
        <f>IFERROR(__xludf.DUMMYFUNCTION("""COMPUTED_VALUE"""),0.4)</f>
        <v>0.4</v>
      </c>
      <c r="S387" s="47">
        <f>IFERROR(__xludf.DUMMYFUNCTION("""COMPUTED_VALUE"""),0.1)</f>
        <v>0.1</v>
      </c>
      <c r="T387" s="47">
        <f>IFERROR(__xludf.DUMMYFUNCTION("""COMPUTED_VALUE"""),44.00000000000001)</f>
        <v>44</v>
      </c>
      <c r="U387" s="47">
        <f>IFERROR(__xludf.DUMMYFUNCTION("""COMPUTED_VALUE"""),80.0)</f>
        <v>80</v>
      </c>
      <c r="V387" s="47">
        <f>IFERROR(__xludf.DUMMYFUNCTION("""COMPUTED_VALUE"""),0.5)</f>
        <v>0.5</v>
      </c>
      <c r="W387" s="46">
        <f>IFERROR(__xludf.DUMMYFUNCTION("""COMPUTED_VALUE"""),-2.4026243808379197)</f>
        <v>-2.402624381</v>
      </c>
      <c r="X387" s="46">
        <f>IFERROR(__xludf.DUMMYFUNCTION("""COMPUTED_VALUE"""),-1.1659991755309944)</f>
        <v>-1.165999176</v>
      </c>
      <c r="Y387" s="46">
        <f>IFERROR(__xludf.DUMMYFUNCTION("""COMPUTED_VALUE"""),-2.172447848583975)</f>
        <v>-2.172447849</v>
      </c>
      <c r="Z387" s="46">
        <f>IFERROR(__xludf.DUMMYFUNCTION("""COMPUTED_VALUE"""),-1.3995075164359327)</f>
        <v>-1.399507516</v>
      </c>
      <c r="AA387" s="46">
        <f>IFERROR(__xludf.DUMMYFUNCTION("""COMPUTED_VALUE"""),-1.2966700767544366)</f>
        <v>-1.296670077</v>
      </c>
      <c r="AB387" s="46">
        <f>IFERROR(__xludf.DUMMYFUNCTION("""COMPUTED_VALUE"""),-0.7896459158928509)</f>
        <v>-0.7896459159</v>
      </c>
      <c r="AC387" s="46">
        <f>IFERROR(__xludf.DUMMYFUNCTION("""COMPUTED_VALUE"""),-0.13980221993475858)</f>
        <v>-0.1398022199</v>
      </c>
      <c r="AD387" s="46">
        <f>IFERROR(__xludf.DUMMYFUNCTION("""COMPUTED_VALUE"""),0.01270113039117512)</f>
        <v>0.01270113039</v>
      </c>
      <c r="AE387" s="46">
        <f>IFERROR(__xludf.DUMMYFUNCTION("""COMPUTED_VALUE"""),0.4640380197221629)</f>
        <v>0.4640380197</v>
      </c>
    </row>
    <row r="388">
      <c r="A388" s="6" t="str">
        <f>IF(VLOOKUP(H388,'Paste #BBall'!$B$2:$N1001,3,)="BRO","BKN",IF(VLOOKUP(H388,'Paste #BBall'!$B$2:$N1001,3,)="OKL","OKC",VLOOKUP(H388,'Paste #BBall'!$B$2:$N1001,3,)))</f>
        <v>PHO</v>
      </c>
      <c r="B388" s="42">
        <f>VLOOKUP($A388,Schedule!$C$2:$G$31,2,0)</f>
        <v>3</v>
      </c>
      <c r="C388" s="42">
        <f>VLOOKUP($A388,Schedule!$C$2:$G$31,3,0)</f>
        <v>4</v>
      </c>
      <c r="D388" s="42">
        <f>VLOOKUP($A388,Schedule!$C$2:$G$31,4,0)</f>
        <v>3</v>
      </c>
      <c r="E388" s="42">
        <f t="shared" si="1"/>
        <v>10</v>
      </c>
      <c r="F388" s="6">
        <v>382.0</v>
      </c>
      <c r="G388" s="45">
        <f>IFERROR(__xludf.DUMMYFUNCTION("""COMPUTED_VALUE"""),372.0)</f>
        <v>372</v>
      </c>
      <c r="H388" s="45" t="str">
        <f>IFERROR(__xludf.DUMMYFUNCTION("""COMPUTED_VALUE"""),"Keon Johnson")</f>
        <v>Keon Johnson</v>
      </c>
      <c r="I388" s="45">
        <f>IFERROR(__xludf.DUMMYFUNCTION("""COMPUTED_VALUE"""),44.0)</f>
        <v>44</v>
      </c>
      <c r="J388" s="46" t="str">
        <f>IFERROR(__xludf.DUMMYFUNCTION("""COMPUTED_VALUE"""),"PG,SG")</f>
        <v>PG,SG</v>
      </c>
      <c r="K388" s="46">
        <f>IFERROR(__xludf.DUMMYFUNCTION("""COMPUTED_VALUE"""),-9.945351051646554)</f>
        <v>-9.945351052</v>
      </c>
      <c r="L388" s="47">
        <f>IFERROR(__xludf.DUMMYFUNCTION("""COMPUTED_VALUE"""),-6.493403518732839)</f>
        <v>-6.493403519</v>
      </c>
      <c r="M388" s="47">
        <f>IFERROR(__xludf.DUMMYFUNCTION("""COMPUTED_VALUE"""),3.4519475329137155)</f>
        <v>3.451947533</v>
      </c>
      <c r="N388" s="47">
        <f>IFERROR(__xludf.DUMMYFUNCTION("""COMPUTED_VALUE"""),4.3)</f>
        <v>4.3</v>
      </c>
      <c r="O388" s="47">
        <f>IFERROR(__xludf.DUMMYFUNCTION("""COMPUTED_VALUE"""),0.6)</f>
        <v>0.6</v>
      </c>
      <c r="P388" s="47">
        <f>IFERROR(__xludf.DUMMYFUNCTION("""COMPUTED_VALUE"""),1.2)</f>
        <v>1.2</v>
      </c>
      <c r="Q388" s="48">
        <f>IFERROR(__xludf.DUMMYFUNCTION("""COMPUTED_VALUE"""),1.3)</f>
        <v>1.3</v>
      </c>
      <c r="R388" s="47">
        <f>IFERROR(__xludf.DUMMYFUNCTION("""COMPUTED_VALUE"""),0.4)</f>
        <v>0.4</v>
      </c>
      <c r="S388" s="47">
        <f>IFERROR(__xludf.DUMMYFUNCTION("""COMPUTED_VALUE"""),0.2)</f>
        <v>0.2</v>
      </c>
      <c r="T388" s="47">
        <f>IFERROR(__xludf.DUMMYFUNCTION("""COMPUTED_VALUE"""),34.883720930232556)</f>
        <v>34.88372093</v>
      </c>
      <c r="U388" s="47">
        <f>IFERROR(__xludf.DUMMYFUNCTION("""COMPUTED_VALUE"""),77.77777777777777)</f>
        <v>77.77777778</v>
      </c>
      <c r="V388" s="47">
        <f>IFERROR(__xludf.DUMMYFUNCTION("""COMPUTED_VALUE"""),0.8)</f>
        <v>0.8</v>
      </c>
      <c r="W388" s="46">
        <f>IFERROR(__xludf.DUMMYFUNCTION("""COMPUTED_VALUE"""),-2.1835400907919085)</f>
        <v>-2.183540091</v>
      </c>
      <c r="X388" s="46">
        <f>IFERROR(__xludf.DUMMYFUNCTION("""COMPUTED_VALUE"""),-0.9058605394432663)</f>
        <v>-0.9058605394</v>
      </c>
      <c r="Y388" s="46">
        <f>IFERROR(__xludf.DUMMYFUNCTION("""COMPUTED_VALUE"""),-2.0470017390160566)</f>
        <v>-2.047001739</v>
      </c>
      <c r="Z388" s="46">
        <f>IFERROR(__xludf.DUMMYFUNCTION("""COMPUTED_VALUE"""),-1.2975025954129054)</f>
        <v>-1.297502595</v>
      </c>
      <c r="AA388" s="46">
        <f>IFERROR(__xludf.DUMMYFUNCTION("""COMPUTED_VALUE"""),-1.2966700767544366)</f>
        <v>-1.296670077</v>
      </c>
      <c r="AB388" s="46">
        <f>IFERROR(__xludf.DUMMYFUNCTION("""COMPUTED_VALUE"""),-0.6583300762210907)</f>
        <v>-0.6583300762</v>
      </c>
      <c r="AC388" s="46">
        <f>IFERROR(__xludf.DUMMYFUNCTION("""COMPUTED_VALUE"""),-0.6320149097442621)</f>
        <v>-0.6320149097</v>
      </c>
      <c r="AD388" s="46">
        <f>IFERROR(__xludf.DUMMYFUNCTION("""COMPUTED_VALUE"""),-0.026922837868795582)</f>
        <v>-0.02692283787</v>
      </c>
      <c r="AE388" s="46">
        <f>IFERROR(__xludf.DUMMYFUNCTION("""COMPUTED_VALUE"""),0.37089925572797316)</f>
        <v>0.3708992557</v>
      </c>
    </row>
    <row r="389">
      <c r="A389" s="6" t="str">
        <f>IF(VLOOKUP(H389,'Paste #BBall'!$B$2:$N1001,3,)="BRO","BKN",IF(VLOOKUP(H389,'Paste #BBall'!$B$2:$N1001,3,)="OKL","OKC",VLOOKUP(H389,'Paste #BBall'!$B$2:$N1001,3,)))</f>
        <v>POR</v>
      </c>
      <c r="B389" s="42">
        <f>VLOOKUP($A389,Schedule!$C$2:$G$31,2,0)</f>
        <v>4</v>
      </c>
      <c r="C389" s="42">
        <f>VLOOKUP($A389,Schedule!$C$2:$G$31,3,0)</f>
        <v>4</v>
      </c>
      <c r="D389" s="42">
        <f>VLOOKUP($A389,Schedule!$C$2:$G$31,4,0)</f>
        <v>4</v>
      </c>
      <c r="E389" s="42">
        <f t="shared" si="1"/>
        <v>12</v>
      </c>
      <c r="F389" s="6">
        <v>383.0</v>
      </c>
      <c r="G389" s="45">
        <f>IFERROR(__xludf.DUMMYFUNCTION("""COMPUTED_VALUE"""),385.0)</f>
        <v>385</v>
      </c>
      <c r="H389" s="45" t="str">
        <f>IFERROR(__xludf.DUMMYFUNCTION("""COMPUTED_VALUE"""),"Jabari Walker")</f>
        <v>Jabari Walker</v>
      </c>
      <c r="I389" s="45">
        <f>IFERROR(__xludf.DUMMYFUNCTION("""COMPUTED_VALUE"""),68.0)</f>
        <v>68</v>
      </c>
      <c r="J389" s="46" t="str">
        <f>IFERROR(__xludf.DUMMYFUNCTION("""COMPUTED_VALUE"""),"SF,PF")</f>
        <v>SF,PF</v>
      </c>
      <c r="K389" s="46">
        <f>IFERROR(__xludf.DUMMYFUNCTION("""COMPUTED_VALUE"""),-10.210178375236982)</f>
        <v>-10.21017838</v>
      </c>
      <c r="L389" s="47">
        <f>IFERROR(__xludf.DUMMYFUNCTION("""COMPUTED_VALUE"""),-6.507035170040403)</f>
        <v>-6.50703517</v>
      </c>
      <c r="M389" s="47">
        <f>IFERROR(__xludf.DUMMYFUNCTION("""COMPUTED_VALUE"""),3.7031432051965787)</f>
        <v>3.703143205</v>
      </c>
      <c r="N389" s="47">
        <f>IFERROR(__xludf.DUMMYFUNCTION("""COMPUTED_VALUE"""),4.2)</f>
        <v>4.2</v>
      </c>
      <c r="O389" s="47">
        <f>IFERROR(__xludf.DUMMYFUNCTION("""COMPUTED_VALUE"""),0.3)</f>
        <v>0.3</v>
      </c>
      <c r="P389" s="47">
        <f>IFERROR(__xludf.DUMMYFUNCTION("""COMPUTED_VALUE"""),2.4)</f>
        <v>2.4</v>
      </c>
      <c r="Q389" s="48">
        <f>IFERROR(__xludf.DUMMYFUNCTION("""COMPUTED_VALUE"""),0.6)</f>
        <v>0.6</v>
      </c>
      <c r="R389" s="47">
        <f>IFERROR(__xludf.DUMMYFUNCTION("""COMPUTED_VALUE"""),0.2)</f>
        <v>0.2</v>
      </c>
      <c r="S389" s="47">
        <f>IFERROR(__xludf.DUMMYFUNCTION("""COMPUTED_VALUE"""),0.2)</f>
        <v>0.2</v>
      </c>
      <c r="T389" s="47">
        <f>IFERROR(__xludf.DUMMYFUNCTION("""COMPUTED_VALUE"""),45.945945945945944)</f>
        <v>45.94594595</v>
      </c>
      <c r="U389" s="47">
        <f>IFERROR(__xludf.DUMMYFUNCTION("""COMPUTED_VALUE"""),74.99999999999999)</f>
        <v>75</v>
      </c>
      <c r="V389" s="47">
        <f>IFERROR(__xludf.DUMMYFUNCTION("""COMPUTED_VALUE"""),0.5)</f>
        <v>0.5</v>
      </c>
      <c r="W389" s="46">
        <f>IFERROR(__xludf.DUMMYFUNCTION("""COMPUTED_VALUE"""),-2.200392728487756)</f>
        <v>-2.200392728</v>
      </c>
      <c r="X389" s="46">
        <f>IFERROR(__xludf.DUMMYFUNCTION("""COMPUTED_VALUE"""),-1.1659991755309944)</f>
        <v>-1.165999176</v>
      </c>
      <c r="Y389" s="46">
        <f>IFERROR(__xludf.DUMMYFUNCTION("""COMPUTED_VALUE"""),-1.5452173007443828)</f>
        <v>-1.545217301</v>
      </c>
      <c r="Z389" s="46">
        <f>IFERROR(__xludf.DUMMYFUNCTION("""COMPUTED_VALUE"""),-1.6545198189935006)</f>
        <v>-1.654519819</v>
      </c>
      <c r="AA389" s="46">
        <f>IFERROR(__xludf.DUMMYFUNCTION("""COMPUTED_VALUE"""),-1.732769878353462)</f>
        <v>-1.732769878</v>
      </c>
      <c r="AB389" s="46">
        <f>IFERROR(__xludf.DUMMYFUNCTION("""COMPUTED_VALUE"""),-0.6583300762210907)</f>
        <v>-0.6583300762</v>
      </c>
      <c r="AC389" s="46">
        <f>IFERROR(__xludf.DUMMYFUNCTION("""COMPUTED_VALUE"""),-0.1349890033991921)</f>
        <v>-0.1349890034</v>
      </c>
      <c r="AD389" s="46">
        <f>IFERROR(__xludf.DUMMYFUNCTION("""COMPUTED_VALUE"""),-0.07924793651994107)</f>
        <v>-0.07924793652</v>
      </c>
      <c r="AE389" s="46">
        <f>IFERROR(__xludf.DUMMYFUNCTION("""COMPUTED_VALUE"""),0.4640380197221629)</f>
        <v>0.4640380197</v>
      </c>
    </row>
    <row r="390">
      <c r="A390" s="6" t="str">
        <f>IF(VLOOKUP(H390,'Paste #BBall'!$B$2:$N1001,3,)="BRO","BKN",IF(VLOOKUP(H390,'Paste #BBall'!$B$2:$N1001,3,)="OKL","OKC",VLOOKUP(H390,'Paste #BBall'!$B$2:$N1001,3,)))</f>
        <v>UTA</v>
      </c>
      <c r="B390" s="42">
        <f>VLOOKUP($A390,Schedule!$C$2:$G$31,2,0)</f>
        <v>3</v>
      </c>
      <c r="C390" s="42">
        <f>VLOOKUP($A390,Schedule!$C$2:$G$31,3,0)</f>
        <v>3</v>
      </c>
      <c r="D390" s="42">
        <f>VLOOKUP($A390,Schedule!$C$2:$G$31,4,0)</f>
        <v>4</v>
      </c>
      <c r="E390" s="42">
        <f t="shared" si="1"/>
        <v>10</v>
      </c>
      <c r="F390" s="6">
        <v>384.0</v>
      </c>
      <c r="G390" s="45">
        <f>IFERROR(__xludf.DUMMYFUNCTION("""COMPUTED_VALUE"""),369.0)</f>
        <v>369</v>
      </c>
      <c r="H390" s="45" t="str">
        <f>IFERROR(__xludf.DUMMYFUNCTION("""COMPUTED_VALUE"""),"Simone Fontecchio")</f>
        <v>Simone Fontecchio</v>
      </c>
      <c r="I390" s="45">
        <f>IFERROR(__xludf.DUMMYFUNCTION("""COMPUTED_VALUE"""),40.0)</f>
        <v>40</v>
      </c>
      <c r="J390" s="46" t="str">
        <f>IFERROR(__xludf.DUMMYFUNCTION("""COMPUTED_VALUE"""),"SF")</f>
        <v>SF</v>
      </c>
      <c r="K390" s="46">
        <f>IFERROR(__xludf.DUMMYFUNCTION("""COMPUTED_VALUE"""),-9.884331826876418)</f>
        <v>-9.884331827</v>
      </c>
      <c r="L390" s="47">
        <f>IFERROR(__xludf.DUMMYFUNCTION("""COMPUTED_VALUE"""),-6.508726281862177)</f>
        <v>-6.508726282</v>
      </c>
      <c r="M390" s="47">
        <f>IFERROR(__xludf.DUMMYFUNCTION("""COMPUTED_VALUE"""),3.37560554501424)</f>
        <v>3.375605545</v>
      </c>
      <c r="N390" s="47">
        <f>IFERROR(__xludf.DUMMYFUNCTION("""COMPUTED_VALUE"""),5.4)</f>
        <v>5.4</v>
      </c>
      <c r="O390" s="47">
        <f>IFERROR(__xludf.DUMMYFUNCTION("""COMPUTED_VALUE"""),1.0)</f>
        <v>1</v>
      </c>
      <c r="P390" s="47">
        <f>IFERROR(__xludf.DUMMYFUNCTION("""COMPUTED_VALUE"""),1.4)</f>
        <v>1.4</v>
      </c>
      <c r="Q390" s="48">
        <f>IFERROR(__xludf.DUMMYFUNCTION("""COMPUTED_VALUE"""),0.7)</f>
        <v>0.7</v>
      </c>
      <c r="R390" s="47">
        <f>IFERROR(__xludf.DUMMYFUNCTION("""COMPUTED_VALUE"""),0.3)</f>
        <v>0.3</v>
      </c>
      <c r="S390" s="47">
        <f>IFERROR(__xludf.DUMMYFUNCTION("""COMPUTED_VALUE"""),0.1)</f>
        <v>0.1</v>
      </c>
      <c r="T390" s="47">
        <f>IFERROR(__xludf.DUMMYFUNCTION("""COMPUTED_VALUE"""),37.254901960784316)</f>
        <v>37.25490196</v>
      </c>
      <c r="U390" s="47">
        <f>IFERROR(__xludf.DUMMYFUNCTION("""COMPUTED_VALUE"""),85.71428571428572)</f>
        <v>85.71428571</v>
      </c>
      <c r="V390" s="47">
        <f>IFERROR(__xludf.DUMMYFUNCTION("""COMPUTED_VALUE"""),0.6)</f>
        <v>0.6</v>
      </c>
      <c r="W390" s="46">
        <f>IFERROR(__xludf.DUMMYFUNCTION("""COMPUTED_VALUE"""),-1.9981610761375916)</f>
        <v>-1.998161076</v>
      </c>
      <c r="X390" s="46">
        <f>IFERROR(__xludf.DUMMYFUNCTION("""COMPUTED_VALUE"""),-0.5590090246596284)</f>
        <v>-0.5590090247</v>
      </c>
      <c r="Y390" s="46">
        <f>IFERROR(__xludf.DUMMYFUNCTION("""COMPUTED_VALUE"""),-1.963370999304111)</f>
        <v>-1.963370999</v>
      </c>
      <c r="Z390" s="46">
        <f>IFERROR(__xludf.DUMMYFUNCTION("""COMPUTED_VALUE"""),-1.603517358481987)</f>
        <v>-1.603517358</v>
      </c>
      <c r="AA390" s="46">
        <f>IFERROR(__xludf.DUMMYFUNCTION("""COMPUTED_VALUE"""),-1.5147199775539493)</f>
        <v>-1.514719978</v>
      </c>
      <c r="AB390" s="46">
        <f>IFERROR(__xludf.DUMMYFUNCTION("""COMPUTED_VALUE"""),-0.7896459158928509)</f>
        <v>-0.7896459159</v>
      </c>
      <c r="AC390" s="46">
        <f>IFERROR(__xludf.DUMMYFUNCTION("""COMPUTED_VALUE"""),-0.6288060987205509)</f>
        <v>-0.6288060987</v>
      </c>
      <c r="AD390" s="46">
        <f>IFERROR(__xludf.DUMMYFUNCTION("""COMPUTED_VALUE"""),0.11735132769346612)</f>
        <v>0.1173513277</v>
      </c>
      <c r="AE390" s="46">
        <f>IFERROR(__xludf.DUMMYFUNCTION("""COMPUTED_VALUE"""),0.43299176505743303)</f>
        <v>0.4329917651</v>
      </c>
    </row>
    <row r="391">
      <c r="A391" s="6" t="str">
        <f>IF(VLOOKUP(H391,'Paste #BBall'!$B$2:$N1001,3,)="BRO","BKN",IF(VLOOKUP(H391,'Paste #BBall'!$B$2:$N1001,3,)="OKL","OKC",VLOOKUP(H391,'Paste #BBall'!$B$2:$N1001,3,)))</f>
        <v>HOU</v>
      </c>
      <c r="B391" s="42">
        <f>VLOOKUP($A391,Schedule!$C$2:$G$31,2,0)</f>
        <v>4</v>
      </c>
      <c r="C391" s="42">
        <f>VLOOKUP($A391,Schedule!$C$2:$G$31,3,0)</f>
        <v>3</v>
      </c>
      <c r="D391" s="42">
        <f>VLOOKUP($A391,Schedule!$C$2:$G$31,4,0)</f>
        <v>3</v>
      </c>
      <c r="E391" s="42">
        <f t="shared" si="1"/>
        <v>10</v>
      </c>
      <c r="F391" s="6">
        <v>385.0</v>
      </c>
      <c r="G391" s="45">
        <f>IFERROR(__xludf.DUMMYFUNCTION("""COMPUTED_VALUE"""),383.0)</f>
        <v>383</v>
      </c>
      <c r="H391" s="45" t="str">
        <f>IFERROR(__xludf.DUMMYFUNCTION("""COMPUTED_VALUE"""),"Jeff Green")</f>
        <v>Jeff Green</v>
      </c>
      <c r="I391" s="45">
        <f>IFERROR(__xludf.DUMMYFUNCTION("""COMPUTED_VALUE"""),40.0)</f>
        <v>40</v>
      </c>
      <c r="J391" s="46" t="str">
        <f>IFERROR(__xludf.DUMMYFUNCTION("""COMPUTED_VALUE"""),"PF,C")</f>
        <v>PF,C</v>
      </c>
      <c r="K391" s="46">
        <f>IFERROR(__xludf.DUMMYFUNCTION("""COMPUTED_VALUE"""),-10.179111681155044)</f>
        <v>-10.17911168</v>
      </c>
      <c r="L391" s="47">
        <f>IFERROR(__xludf.DUMMYFUNCTION("""COMPUTED_VALUE"""),-6.5398009204046055)</f>
        <v>-6.53980092</v>
      </c>
      <c r="M391" s="47">
        <f>IFERROR(__xludf.DUMMYFUNCTION("""COMPUTED_VALUE"""),3.6393107607504387)</f>
        <v>3.639310761</v>
      </c>
      <c r="N391" s="47">
        <f>IFERROR(__xludf.DUMMYFUNCTION("""COMPUTED_VALUE"""),4.4)</f>
        <v>4.4</v>
      </c>
      <c r="O391" s="47">
        <f>IFERROR(__xludf.DUMMYFUNCTION("""COMPUTED_VALUE"""),0.3)</f>
        <v>0.3</v>
      </c>
      <c r="P391" s="47">
        <f>IFERROR(__xludf.DUMMYFUNCTION("""COMPUTED_VALUE"""),1.4)</f>
        <v>1.4</v>
      </c>
      <c r="Q391" s="48">
        <f>IFERROR(__xludf.DUMMYFUNCTION("""COMPUTED_VALUE"""),0.6)</f>
        <v>0.6</v>
      </c>
      <c r="R391" s="47">
        <f>IFERROR(__xludf.DUMMYFUNCTION("""COMPUTED_VALUE"""),0.2)</f>
        <v>0.2</v>
      </c>
      <c r="S391" s="47">
        <f>IFERROR(__xludf.DUMMYFUNCTION("""COMPUTED_VALUE"""),0.2)</f>
        <v>0.2</v>
      </c>
      <c r="T391" s="47">
        <f>IFERROR(__xludf.DUMMYFUNCTION("""COMPUTED_VALUE"""),51.61290322580645)</f>
        <v>51.61290323</v>
      </c>
      <c r="U391" s="47">
        <f>IFERROR(__xludf.DUMMYFUNCTION("""COMPUTED_VALUE"""),81.81818181818181)</f>
        <v>81.81818182</v>
      </c>
      <c r="V391" s="47">
        <f>IFERROR(__xludf.DUMMYFUNCTION("""COMPUTED_VALUE"""),0.4)</f>
        <v>0.4</v>
      </c>
      <c r="W391" s="46">
        <f>IFERROR(__xludf.DUMMYFUNCTION("""COMPUTED_VALUE"""),-2.1666874530960616)</f>
        <v>-2.166687453</v>
      </c>
      <c r="X391" s="46">
        <f>IFERROR(__xludf.DUMMYFUNCTION("""COMPUTED_VALUE"""),-1.1659991755309944)</f>
        <v>-1.165999176</v>
      </c>
      <c r="Y391" s="46">
        <f>IFERROR(__xludf.DUMMYFUNCTION("""COMPUTED_VALUE"""),-1.963370999304111)</f>
        <v>-1.963370999</v>
      </c>
      <c r="Z391" s="46">
        <f>IFERROR(__xludf.DUMMYFUNCTION("""COMPUTED_VALUE"""),-1.6545198189935006)</f>
        <v>-1.654519819</v>
      </c>
      <c r="AA391" s="46">
        <f>IFERROR(__xludf.DUMMYFUNCTION("""COMPUTED_VALUE"""),-1.732769878353462)</f>
        <v>-1.732769878</v>
      </c>
      <c r="AB391" s="46">
        <f>IFERROR(__xludf.DUMMYFUNCTION("""COMPUTED_VALUE"""),-0.6583300762210907)</f>
        <v>-0.6583300762</v>
      </c>
      <c r="AC391" s="46">
        <f>IFERROR(__xludf.DUMMYFUNCTION("""COMPUTED_VALUE"""),0.06237739417816599)</f>
        <v>0.06237739418</v>
      </c>
      <c r="AD391" s="46">
        <f>IFERROR(__xludf.DUMMYFUNCTION("""COMPUTED_VALUE"""),0.07772735943349546)</f>
        <v>0.07772735943</v>
      </c>
      <c r="AE391" s="46">
        <f>IFERROR(__xludf.DUMMYFUNCTION("""COMPUTED_VALUE"""),0.4950842743868928)</f>
        <v>0.4950842744</v>
      </c>
    </row>
    <row r="392">
      <c r="A392" s="6" t="str">
        <f>IF(VLOOKUP(H392,'Paste #BBall'!$B$2:$N1001,3,)="BRO","BKN",IF(VLOOKUP(H392,'Paste #BBall'!$B$2:$N1001,3,)="OKL","OKC",VLOOKUP(H392,'Paste #BBall'!$B$2:$N1001,3,)))</f>
        <v>NO</v>
      </c>
      <c r="B392" s="42">
        <f>VLOOKUP($A392,Schedule!$C$2:$G$31,2,0)</f>
        <v>3</v>
      </c>
      <c r="C392" s="42">
        <f>VLOOKUP($A392,Schedule!$C$2:$G$31,3,0)</f>
        <v>3</v>
      </c>
      <c r="D392" s="42">
        <f>VLOOKUP($A392,Schedule!$C$2:$G$31,4,0)</f>
        <v>4</v>
      </c>
      <c r="E392" s="42">
        <f t="shared" si="1"/>
        <v>10</v>
      </c>
      <c r="F392" s="6">
        <v>386.0</v>
      </c>
      <c r="G392" s="45">
        <f>IFERROR(__xludf.DUMMYFUNCTION("""COMPUTED_VALUE"""),392.0)</f>
        <v>392</v>
      </c>
      <c r="H392" s="45" t="str">
        <f>IFERROR(__xludf.DUMMYFUNCTION("""COMPUTED_VALUE"""),"Cody Zeller")</f>
        <v>Cody Zeller</v>
      </c>
      <c r="I392" s="45">
        <f>IFERROR(__xludf.DUMMYFUNCTION("""COMPUTED_VALUE"""),33.0)</f>
        <v>33</v>
      </c>
      <c r="J392" s="46" t="str">
        <f>IFERROR(__xludf.DUMMYFUNCTION("""COMPUTED_VALUE"""),"C")</f>
        <v>C</v>
      </c>
      <c r="K392" s="46">
        <f>IFERROR(__xludf.DUMMYFUNCTION("""COMPUTED_VALUE"""),-10.4098107140549)</f>
        <v>-10.40981071</v>
      </c>
      <c r="L392" s="47">
        <f>IFERROR(__xludf.DUMMYFUNCTION("""COMPUTED_VALUE"""),-6.543551780129588)</f>
        <v>-6.54355178</v>
      </c>
      <c r="M392" s="47">
        <f>IFERROR(__xludf.DUMMYFUNCTION("""COMPUTED_VALUE"""),3.8662589339253124)</f>
        <v>3.866258934</v>
      </c>
      <c r="N392" s="47">
        <f>IFERROR(__xludf.DUMMYFUNCTION("""COMPUTED_VALUE"""),3.5)</f>
        <v>3.5</v>
      </c>
      <c r="O392" s="47">
        <f>IFERROR(__xludf.DUMMYFUNCTION("""COMPUTED_VALUE"""),0.0)</f>
        <v>0</v>
      </c>
      <c r="P392" s="47">
        <f>IFERROR(__xludf.DUMMYFUNCTION("""COMPUTED_VALUE"""),2.8)</f>
        <v>2.8</v>
      </c>
      <c r="Q392" s="48">
        <f>IFERROR(__xludf.DUMMYFUNCTION("""COMPUTED_VALUE"""),0.5)</f>
        <v>0.5</v>
      </c>
      <c r="R392" s="47">
        <f>IFERROR(__xludf.DUMMYFUNCTION("""COMPUTED_VALUE"""),0.2)</f>
        <v>0.2</v>
      </c>
      <c r="S392" s="47">
        <f>IFERROR(__xludf.DUMMYFUNCTION("""COMPUTED_VALUE"""),0.2)</f>
        <v>0.2</v>
      </c>
      <c r="T392" s="47">
        <f>IFERROR(__xludf.DUMMYFUNCTION("""COMPUTED_VALUE"""),59.09090909090908)</f>
        <v>59.09090909</v>
      </c>
      <c r="U392" s="47">
        <f>IFERROR(__xludf.DUMMYFUNCTION("""COMPUTED_VALUE"""),69.23076923076923)</f>
        <v>69.23076923</v>
      </c>
      <c r="V392" s="47">
        <f>IFERROR(__xludf.DUMMYFUNCTION("""COMPUTED_VALUE"""),0.5)</f>
        <v>0.5</v>
      </c>
      <c r="W392" s="46">
        <f>IFERROR(__xludf.DUMMYFUNCTION("""COMPUTED_VALUE"""),-2.3183611923586844)</f>
        <v>-2.318361192</v>
      </c>
      <c r="X392" s="46">
        <f>IFERROR(__xludf.DUMMYFUNCTION("""COMPUTED_VALUE"""),-1.4261378116187227)</f>
        <v>-1.426137812</v>
      </c>
      <c r="Y392" s="46">
        <f>IFERROR(__xludf.DUMMYFUNCTION("""COMPUTED_VALUE"""),-1.3779558213204914)</f>
        <v>-1.377955821</v>
      </c>
      <c r="Z392" s="46">
        <f>IFERROR(__xludf.DUMMYFUNCTION("""COMPUTED_VALUE"""),-1.7055222795050142)</f>
        <v>-1.70552228</v>
      </c>
      <c r="AA392" s="46">
        <f>IFERROR(__xludf.DUMMYFUNCTION("""COMPUTED_VALUE"""),-1.732769878353462)</f>
        <v>-1.732769878</v>
      </c>
      <c r="AB392" s="46">
        <f>IFERROR(__xludf.DUMMYFUNCTION("""COMPUTED_VALUE"""),-0.6583300762210907)</f>
        <v>-0.6583300762</v>
      </c>
      <c r="AC392" s="46">
        <f>IFERROR(__xludf.DUMMYFUNCTION("""COMPUTED_VALUE"""),0.20859723616034687)</f>
        <v>0.2085972362</v>
      </c>
      <c r="AD392" s="46">
        <f>IFERROR(__xludf.DUMMYFUNCTION("""COMPUTED_VALUE"""),-0.3154711689933183)</f>
        <v>-0.315471169</v>
      </c>
      <c r="AE392" s="46">
        <f>IFERROR(__xludf.DUMMYFUNCTION("""COMPUTED_VALUE"""),0.4640380197221629)</f>
        <v>0.4640380197</v>
      </c>
    </row>
    <row r="393">
      <c r="A393" s="6" t="str">
        <f>IF(VLOOKUP(H393,'Paste #BBall'!$B$2:$N1001,3,)="BRO","BKN",IF(VLOOKUP(H393,'Paste #BBall'!$B$2:$N1001,3,)="OKL","OKC",VLOOKUP(H393,'Paste #BBall'!$B$2:$N1001,3,)))</f>
        <v>MIL</v>
      </c>
      <c r="B393" s="42">
        <f>VLOOKUP($A393,Schedule!$C$2:$G$31,2,0)</f>
        <v>4</v>
      </c>
      <c r="C393" s="42">
        <f>VLOOKUP($A393,Schedule!$C$2:$G$31,3,0)</f>
        <v>3</v>
      </c>
      <c r="D393" s="42">
        <f>VLOOKUP($A393,Schedule!$C$2:$G$31,4,0)</f>
        <v>3</v>
      </c>
      <c r="E393" s="42">
        <f t="shared" si="1"/>
        <v>10</v>
      </c>
      <c r="F393" s="6">
        <v>387.0</v>
      </c>
      <c r="G393" s="45">
        <f>IFERROR(__xludf.DUMMYFUNCTION("""COMPUTED_VALUE"""),394.0)</f>
        <v>394</v>
      </c>
      <c r="H393" s="45" t="str">
        <f>IFERROR(__xludf.DUMMYFUNCTION("""COMPUTED_VALUE"""),"AJ Green")</f>
        <v>AJ Green</v>
      </c>
      <c r="I393" s="45">
        <f>IFERROR(__xludf.DUMMYFUNCTION("""COMPUTED_VALUE"""),30.0)</f>
        <v>30</v>
      </c>
      <c r="J393" s="46" t="str">
        <f>IFERROR(__xludf.DUMMYFUNCTION("""COMPUTED_VALUE"""),"PG,SG")</f>
        <v>PG,SG</v>
      </c>
      <c r="K393" s="46">
        <f>IFERROR(__xludf.DUMMYFUNCTION("""COMPUTED_VALUE"""),-10.421154295194416)</f>
        <v>-10.4211543</v>
      </c>
      <c r="L393" s="47">
        <f>IFERROR(__xludf.DUMMYFUNCTION("""COMPUTED_VALUE"""),-6.548147400480881)</f>
        <v>-6.5481474</v>
      </c>
      <c r="M393" s="47">
        <f>IFERROR(__xludf.DUMMYFUNCTION("""COMPUTED_VALUE"""),3.8730068947135354)</f>
        <v>3.873006895</v>
      </c>
      <c r="N393" s="47">
        <f>IFERROR(__xludf.DUMMYFUNCTION("""COMPUTED_VALUE"""),3.8)</f>
        <v>3.8</v>
      </c>
      <c r="O393" s="47">
        <f>IFERROR(__xludf.DUMMYFUNCTION("""COMPUTED_VALUE"""),1.1)</f>
        <v>1.1</v>
      </c>
      <c r="P393" s="47">
        <f>IFERROR(__xludf.DUMMYFUNCTION("""COMPUTED_VALUE"""),1.1)</f>
        <v>1.1</v>
      </c>
      <c r="Q393" s="48">
        <f>IFERROR(__xludf.DUMMYFUNCTION("""COMPUTED_VALUE"""),0.5)</f>
        <v>0.5</v>
      </c>
      <c r="R393" s="47">
        <f>IFERROR(__xludf.DUMMYFUNCTION("""COMPUTED_VALUE"""),0.2)</f>
        <v>0.2</v>
      </c>
      <c r="S393" s="47">
        <f>IFERROR(__xludf.DUMMYFUNCTION("""COMPUTED_VALUE"""),0.0)</f>
        <v>0</v>
      </c>
      <c r="T393" s="47">
        <f>IFERROR(__xludf.DUMMYFUNCTION("""COMPUTED_VALUE"""),41.935483870967744)</f>
        <v>41.93548387</v>
      </c>
      <c r="U393" s="47">
        <f>IFERROR(__xludf.DUMMYFUNCTION("""COMPUTED_VALUE"""),100.0)</f>
        <v>100</v>
      </c>
      <c r="V393" s="47">
        <f>IFERROR(__xludf.DUMMYFUNCTION("""COMPUTED_VALUE"""),0.2)</f>
        <v>0.2</v>
      </c>
      <c r="W393" s="46">
        <f>IFERROR(__xludf.DUMMYFUNCTION("""COMPUTED_VALUE"""),-2.2678032792711433)</f>
        <v>-2.267803279</v>
      </c>
      <c r="X393" s="46">
        <f>IFERROR(__xludf.DUMMYFUNCTION("""COMPUTED_VALUE"""),-0.472296145963719)</f>
        <v>-0.472296146</v>
      </c>
      <c r="Y393" s="46">
        <f>IFERROR(__xludf.DUMMYFUNCTION("""COMPUTED_VALUE"""),-2.0888171088720298)</f>
        <v>-2.088817109</v>
      </c>
      <c r="Z393" s="46">
        <f>IFERROR(__xludf.DUMMYFUNCTION("""COMPUTED_VALUE"""),-1.7055222795050142)</f>
        <v>-1.70552228</v>
      </c>
      <c r="AA393" s="46">
        <f>IFERROR(__xludf.DUMMYFUNCTION("""COMPUTED_VALUE"""),-1.732769878353462)</f>
        <v>-1.732769878</v>
      </c>
      <c r="AB393" s="46">
        <f>IFERROR(__xludf.DUMMYFUNCTION("""COMPUTED_VALUE"""),-0.920961755564611)</f>
        <v>-0.9209617556</v>
      </c>
      <c r="AC393" s="46">
        <f>IFERROR(__xludf.DUMMYFUNCTION("""COMPUTED_VALUE"""),-0.23728211458954598)</f>
        <v>-0.2372821146</v>
      </c>
      <c r="AD393" s="46">
        <f>IFERROR(__xludf.DUMMYFUNCTION("""COMPUTED_VALUE"""),0.052325098651145485)</f>
        <v>0.05232509865</v>
      </c>
      <c r="AE393" s="46">
        <f>IFERROR(__xludf.DUMMYFUNCTION("""COMPUTED_VALUE"""),0.5571767837163527)</f>
        <v>0.5571767837</v>
      </c>
    </row>
    <row r="394">
      <c r="A394" s="6" t="str">
        <f>IF(VLOOKUP(H394,'Paste #BBall'!$B$2:$N1001,3,)="BRO","BKN",IF(VLOOKUP(H394,'Paste #BBall'!$B$2:$N1001,3,)="OKL","OKC",VLOOKUP(H394,'Paste #BBall'!$B$2:$N1001,3,)))</f>
        <v>SAC</v>
      </c>
      <c r="B394" s="42">
        <f>VLOOKUP($A394,Schedule!$C$2:$G$31,2,0)</f>
        <v>4</v>
      </c>
      <c r="C394" s="42">
        <f>VLOOKUP($A394,Schedule!$C$2:$G$31,3,0)</f>
        <v>3</v>
      </c>
      <c r="D394" s="42">
        <f>VLOOKUP($A394,Schedule!$C$2:$G$31,4,0)</f>
        <v>4</v>
      </c>
      <c r="E394" s="42">
        <f t="shared" si="1"/>
        <v>11</v>
      </c>
      <c r="F394" s="6">
        <v>388.0</v>
      </c>
      <c r="G394" s="45">
        <f>IFERROR(__xludf.DUMMYFUNCTION("""COMPUTED_VALUE"""),387.0)</f>
        <v>387</v>
      </c>
      <c r="H394" s="45" t="str">
        <f>IFERROR(__xludf.DUMMYFUNCTION("""COMPUTED_VALUE"""),"Neemias Queta")</f>
        <v>Neemias Queta</v>
      </c>
      <c r="I394" s="45">
        <f>IFERROR(__xludf.DUMMYFUNCTION("""COMPUTED_VALUE"""),40.0)</f>
        <v>40</v>
      </c>
      <c r="J394" s="46" t="str">
        <f>IFERROR(__xludf.DUMMYFUNCTION("""COMPUTED_VALUE"""),"C")</f>
        <v>C</v>
      </c>
      <c r="K394" s="46">
        <f>IFERROR(__xludf.DUMMYFUNCTION("""COMPUTED_VALUE"""),-10.240977342158825)</f>
        <v>-10.24097734</v>
      </c>
      <c r="L394" s="47">
        <f>IFERROR(__xludf.DUMMYFUNCTION("""COMPUTED_VALUE"""),-6.557435617727705)</f>
        <v>-6.557435618</v>
      </c>
      <c r="M394" s="47">
        <f>IFERROR(__xludf.DUMMYFUNCTION("""COMPUTED_VALUE"""),3.6835417244311195)</f>
        <v>3.683541724</v>
      </c>
      <c r="N394" s="47">
        <f>IFERROR(__xludf.DUMMYFUNCTION("""COMPUTED_VALUE"""),4.0)</f>
        <v>4</v>
      </c>
      <c r="O394" s="47">
        <f>IFERROR(__xludf.DUMMYFUNCTION("""COMPUTED_VALUE"""),0.0)</f>
        <v>0</v>
      </c>
      <c r="P394" s="47">
        <f>IFERROR(__xludf.DUMMYFUNCTION("""COMPUTED_VALUE"""),2.9)</f>
        <v>2.9</v>
      </c>
      <c r="Q394" s="48">
        <f>IFERROR(__xludf.DUMMYFUNCTION("""COMPUTED_VALUE"""),0.5)</f>
        <v>0.5</v>
      </c>
      <c r="R394" s="47">
        <f>IFERROR(__xludf.DUMMYFUNCTION("""COMPUTED_VALUE"""),0.1)</f>
        <v>0.1</v>
      </c>
      <c r="S394" s="47">
        <f>IFERROR(__xludf.DUMMYFUNCTION("""COMPUTED_VALUE"""),0.7)</f>
        <v>0.7</v>
      </c>
      <c r="T394" s="47">
        <f>IFERROR(__xludf.DUMMYFUNCTION("""COMPUTED_VALUE"""),48.48484848484849)</f>
        <v>48.48484848</v>
      </c>
      <c r="U394" s="47">
        <f>IFERROR(__xludf.DUMMYFUNCTION("""COMPUTED_VALUE"""),61.53846153846154)</f>
        <v>61.53846154</v>
      </c>
      <c r="V394" s="47">
        <f>IFERROR(__xludf.DUMMYFUNCTION("""COMPUTED_VALUE"""),0.5)</f>
        <v>0.5</v>
      </c>
      <c r="W394" s="46">
        <f>IFERROR(__xludf.DUMMYFUNCTION("""COMPUTED_VALUE"""),-2.2340980038794496)</f>
        <v>-2.234098004</v>
      </c>
      <c r="X394" s="46">
        <f>IFERROR(__xludf.DUMMYFUNCTION("""COMPUTED_VALUE"""),-1.4261378116187227)</f>
        <v>-1.426137812</v>
      </c>
      <c r="Y394" s="46">
        <f>IFERROR(__xludf.DUMMYFUNCTION("""COMPUTED_VALUE"""),-1.3361404514645185)</f>
        <v>-1.336140451</v>
      </c>
      <c r="Z394" s="46">
        <f>IFERROR(__xludf.DUMMYFUNCTION("""COMPUTED_VALUE"""),-1.7055222795050142)</f>
        <v>-1.70552228</v>
      </c>
      <c r="AA394" s="46">
        <f>IFERROR(__xludf.DUMMYFUNCTION("""COMPUTED_VALUE"""),-1.9508197791529749)</f>
        <v>-1.950819779</v>
      </c>
      <c r="AB394" s="46">
        <f>IFERROR(__xludf.DUMMYFUNCTION("""COMPUTED_VALUE"""),-0.0017508778622903794)</f>
        <v>-0.001750877862</v>
      </c>
      <c r="AC394" s="46">
        <f>IFERROR(__xludf.DUMMYFUNCTION("""COMPUTED_VALUE"""),-0.036706905988476646)</f>
        <v>-0.03670690599</v>
      </c>
      <c r="AD394" s="46">
        <f>IFERROR(__xludf.DUMMYFUNCTION("""COMPUTED_VALUE"""),-0.5643955318578705)</f>
        <v>-0.5643955319</v>
      </c>
      <c r="AE394" s="46">
        <f>IFERROR(__xludf.DUMMYFUNCTION("""COMPUTED_VALUE"""),0.4640380197221629)</f>
        <v>0.4640380197</v>
      </c>
    </row>
    <row r="395">
      <c r="A395" s="6" t="str">
        <f>IF(VLOOKUP(H395,'Paste #BBall'!$B$2:$N1001,3,)="BRO","BKN",IF(VLOOKUP(H395,'Paste #BBall'!$B$2:$N1001,3,)="OKL","OKC",VLOOKUP(H395,'Paste #BBall'!$B$2:$N1001,3,)))</f>
        <v>IND</v>
      </c>
      <c r="B395" s="42">
        <f>VLOOKUP($A395,Schedule!$C$2:$G$31,2,0)</f>
        <v>3</v>
      </c>
      <c r="C395" s="42">
        <f>VLOOKUP($A395,Schedule!$C$2:$G$31,3,0)</f>
        <v>3</v>
      </c>
      <c r="D395" s="42">
        <f>VLOOKUP($A395,Schedule!$C$2:$G$31,4,0)</f>
        <v>4</v>
      </c>
      <c r="E395" s="42">
        <f t="shared" si="1"/>
        <v>10</v>
      </c>
      <c r="F395" s="6">
        <v>389.0</v>
      </c>
      <c r="G395" s="45">
        <f>IFERROR(__xludf.DUMMYFUNCTION("""COMPUTED_VALUE"""),391.0)</f>
        <v>391</v>
      </c>
      <c r="H395" s="45" t="str">
        <f>IFERROR(__xludf.DUMMYFUNCTION("""COMPUTED_VALUE"""),"Daniel Theis")</f>
        <v>Daniel Theis</v>
      </c>
      <c r="I395" s="45">
        <f>IFERROR(__xludf.DUMMYFUNCTION("""COMPUTED_VALUE"""),20.0)</f>
        <v>20</v>
      </c>
      <c r="J395" s="46" t="str">
        <f>IFERROR(__xludf.DUMMYFUNCTION("""COMPUTED_VALUE"""),"C")</f>
        <v>C</v>
      </c>
      <c r="K395" s="46">
        <f>IFERROR(__xludf.DUMMYFUNCTION("""COMPUTED_VALUE"""),-10.390257411996206)</f>
        <v>-10.39025741</v>
      </c>
      <c r="L395" s="47">
        <f>IFERROR(__xludf.DUMMYFUNCTION("""COMPUTED_VALUE"""),-6.56544525399952)</f>
        <v>-6.565445254</v>
      </c>
      <c r="M395" s="47">
        <f>IFERROR(__xludf.DUMMYFUNCTION("""COMPUTED_VALUE"""),3.8248121579966865)</f>
        <v>3.824812158</v>
      </c>
      <c r="N395" s="47">
        <f>IFERROR(__xludf.DUMMYFUNCTION("""COMPUTED_VALUE"""),3.3)</f>
        <v>3.3</v>
      </c>
      <c r="O395" s="47">
        <f>IFERROR(__xludf.DUMMYFUNCTION("""COMPUTED_VALUE"""),0.3)</f>
        <v>0.3</v>
      </c>
      <c r="P395" s="47">
        <f>IFERROR(__xludf.DUMMYFUNCTION("""COMPUTED_VALUE"""),1.9)</f>
        <v>1.9</v>
      </c>
      <c r="Q395" s="48">
        <f>IFERROR(__xludf.DUMMYFUNCTION("""COMPUTED_VALUE"""),0.4)</f>
        <v>0.4</v>
      </c>
      <c r="R395" s="47">
        <f>IFERROR(__xludf.DUMMYFUNCTION("""COMPUTED_VALUE"""),0.2)</f>
        <v>0.2</v>
      </c>
      <c r="S395" s="47">
        <f>IFERROR(__xludf.DUMMYFUNCTION("""COMPUTED_VALUE"""),0.3)</f>
        <v>0.3</v>
      </c>
      <c r="T395" s="47">
        <f>IFERROR(__xludf.DUMMYFUNCTION("""COMPUTED_VALUE"""),52.0)</f>
        <v>52</v>
      </c>
      <c r="U395" s="47">
        <f>IFERROR(__xludf.DUMMYFUNCTION("""COMPUTED_VALUE"""),66.66666666666667)</f>
        <v>66.66666667</v>
      </c>
      <c r="V395" s="47">
        <f>IFERROR(__xludf.DUMMYFUNCTION("""COMPUTED_VALUE"""),0.4)</f>
        <v>0.4</v>
      </c>
      <c r="W395" s="46">
        <f>IFERROR(__xludf.DUMMYFUNCTION("""COMPUTED_VALUE"""),-2.3520664677503786)</f>
        <v>-2.352066468</v>
      </c>
      <c r="X395" s="46">
        <f>IFERROR(__xludf.DUMMYFUNCTION("""COMPUTED_VALUE"""),-1.1659991755309944)</f>
        <v>-1.165999176</v>
      </c>
      <c r="Y395" s="46">
        <f>IFERROR(__xludf.DUMMYFUNCTION("""COMPUTED_VALUE"""),-1.7542941500242468)</f>
        <v>-1.75429415</v>
      </c>
      <c r="Z395" s="46">
        <f>IFERROR(__xludf.DUMMYFUNCTION("""COMPUTED_VALUE"""),-1.7565247400165278)</f>
        <v>-1.75652474</v>
      </c>
      <c r="AA395" s="46">
        <f>IFERROR(__xludf.DUMMYFUNCTION("""COMPUTED_VALUE"""),-1.732769878353462)</f>
        <v>-1.732769878</v>
      </c>
      <c r="AB395" s="46">
        <f>IFERROR(__xludf.DUMMYFUNCTION("""COMPUTED_VALUE"""),-0.5270142365493308)</f>
        <v>-0.5270142365</v>
      </c>
      <c r="AC395" s="46">
        <f>IFERROR(__xludf.DUMMYFUNCTION("""COMPUTED_VALUE"""),0.059970785910382726)</f>
        <v>0.05997078591</v>
      </c>
      <c r="AD395" s="46">
        <f>IFERROR(__xludf.DUMMYFUNCTION("""COMPUTED_VALUE"""),-0.18389813382223172)</f>
        <v>-0.1838981338</v>
      </c>
      <c r="AE395" s="46">
        <f>IFERROR(__xludf.DUMMYFUNCTION("""COMPUTED_VALUE"""),0.4950842743868928)</f>
        <v>0.4950842744</v>
      </c>
    </row>
    <row r="396">
      <c r="A396" s="6" t="str">
        <f>IF(VLOOKUP(H396,'Paste #BBall'!$B$2:$N1001,3,)="BRO","BKN",IF(VLOOKUP(H396,'Paste #BBall'!$B$2:$N1001,3,)="OKL","OKC",VLOOKUP(H396,'Paste #BBall'!$B$2:$N1001,3,)))</f>
        <v>#N/A</v>
      </c>
      <c r="B396" s="42" t="str">
        <f>VLOOKUP($A396,Schedule!$C$2:$G$31,2,0)</f>
        <v>#N/A</v>
      </c>
      <c r="C396" s="42" t="str">
        <f>VLOOKUP($A396,Schedule!$C$2:$G$31,3,0)</f>
        <v>#N/A</v>
      </c>
      <c r="D396" s="42" t="str">
        <f>VLOOKUP($A396,Schedule!$C$2:$G$31,4,0)</f>
        <v>#N/A</v>
      </c>
      <c r="E396" s="42" t="str">
        <f t="shared" si="1"/>
        <v>#N/A</v>
      </c>
      <c r="F396" s="6">
        <v>390.0</v>
      </c>
      <c r="G396" s="45"/>
      <c r="H396" s="45"/>
      <c r="I396" s="45"/>
      <c r="J396" s="46"/>
      <c r="K396" s="46"/>
      <c r="L396" s="47"/>
      <c r="M396" s="47"/>
      <c r="N396" s="47"/>
      <c r="O396" s="47"/>
      <c r="P396" s="47"/>
      <c r="Q396" s="48"/>
      <c r="R396" s="47"/>
      <c r="S396" s="47"/>
      <c r="T396" s="47"/>
      <c r="U396" s="47"/>
      <c r="V396" s="47"/>
      <c r="W396" s="45"/>
      <c r="X396" s="45"/>
      <c r="Y396" s="45"/>
      <c r="Z396" s="45"/>
      <c r="AA396" s="45"/>
      <c r="AB396" s="45"/>
      <c r="AC396" s="45"/>
      <c r="AD396" s="45"/>
      <c r="AE396" s="45"/>
    </row>
    <row r="397">
      <c r="A397" s="6" t="str">
        <f>IF(VLOOKUP(H397,'Paste #BBall'!$B$2:$N1001,3,)="BRO","BKN",IF(VLOOKUP(H397,'Paste #BBall'!$B$2:$N1001,3,)="OKL","OKC",VLOOKUP(H397,'Paste #BBall'!$B$2:$N1001,3,)))</f>
        <v>#N/A</v>
      </c>
      <c r="B397" s="42" t="str">
        <f>VLOOKUP($A397,Schedule!$C$2:$G$31,2,0)</f>
        <v>#N/A</v>
      </c>
      <c r="C397" s="42" t="str">
        <f>VLOOKUP($A397,Schedule!$C$2:$G$31,3,0)</f>
        <v>#N/A</v>
      </c>
      <c r="D397" s="42" t="str">
        <f>VLOOKUP($A397,Schedule!$C$2:$G$31,4,0)</f>
        <v>#N/A</v>
      </c>
      <c r="E397" s="42" t="str">
        <f t="shared" si="1"/>
        <v>#N/A</v>
      </c>
      <c r="F397" s="6">
        <v>391.0</v>
      </c>
      <c r="G397" s="45"/>
      <c r="H397" s="45"/>
      <c r="I397" s="45"/>
      <c r="J397" s="46"/>
      <c r="K397" s="46"/>
      <c r="L397" s="47"/>
      <c r="M397" s="47"/>
      <c r="N397" s="47"/>
      <c r="O397" s="47"/>
      <c r="P397" s="47"/>
      <c r="Q397" s="48"/>
      <c r="R397" s="47"/>
      <c r="S397" s="47"/>
      <c r="T397" s="47"/>
      <c r="U397" s="47"/>
      <c r="V397" s="47"/>
      <c r="W397" s="45"/>
      <c r="X397" s="45"/>
      <c r="Y397" s="45"/>
      <c r="Z397" s="45"/>
      <c r="AA397" s="45"/>
      <c r="AB397" s="45"/>
      <c r="AC397" s="45"/>
      <c r="AD397" s="45"/>
      <c r="AE397" s="45"/>
    </row>
    <row r="398">
      <c r="A398" s="6" t="str">
        <f>IF(VLOOKUP(H398,'Paste #BBall'!$B$2:$N1001,3,)="BRO","BKN",IF(VLOOKUP(H398,'Paste #BBall'!$B$2:$N1001,3,)="OKL","OKC",VLOOKUP(H398,'Paste #BBall'!$B$2:$N1001,3,)))</f>
        <v>#N/A</v>
      </c>
      <c r="B398" s="42" t="str">
        <f>VLOOKUP($A398,Schedule!$C$2:$G$31,2,0)</f>
        <v>#N/A</v>
      </c>
      <c r="C398" s="42" t="str">
        <f>VLOOKUP($A398,Schedule!$C$2:$G$31,3,0)</f>
        <v>#N/A</v>
      </c>
      <c r="D398" s="42" t="str">
        <f>VLOOKUP($A398,Schedule!$C$2:$G$31,4,0)</f>
        <v>#N/A</v>
      </c>
      <c r="E398" s="42" t="str">
        <f t="shared" si="1"/>
        <v>#N/A</v>
      </c>
      <c r="F398" s="6">
        <v>392.0</v>
      </c>
      <c r="G398" s="45"/>
      <c r="H398" s="45"/>
      <c r="I398" s="45"/>
      <c r="J398" s="46"/>
      <c r="K398" s="46"/>
      <c r="L398" s="47"/>
      <c r="M398" s="47"/>
      <c r="N398" s="47"/>
      <c r="O398" s="47"/>
      <c r="P398" s="47"/>
      <c r="Q398" s="48"/>
      <c r="R398" s="47"/>
      <c r="S398" s="47"/>
      <c r="T398" s="47"/>
      <c r="U398" s="47"/>
      <c r="V398" s="47"/>
      <c r="W398" s="45"/>
      <c r="X398" s="45"/>
      <c r="Y398" s="45"/>
      <c r="Z398" s="45"/>
      <c r="AA398" s="45"/>
      <c r="AB398" s="45"/>
      <c r="AC398" s="45"/>
      <c r="AD398" s="45"/>
      <c r="AE398" s="45"/>
    </row>
    <row r="399">
      <c r="A399" s="6" t="str">
        <f>IF(VLOOKUP(H399,'Paste #BBall'!$B$2:$N1001,3,)="BRO","BKN",IF(VLOOKUP(H399,'Paste #BBall'!$B$2:$N1001,3,)="OKL","OKC",VLOOKUP(H399,'Paste #BBall'!$B$2:$N1001,3,)))</f>
        <v>#N/A</v>
      </c>
      <c r="B399" s="42" t="str">
        <f>VLOOKUP($A399,Schedule!$C$2:$G$31,2,0)</f>
        <v>#N/A</v>
      </c>
      <c r="C399" s="42" t="str">
        <f>VLOOKUP($A399,Schedule!$C$2:$G$31,3,0)</f>
        <v>#N/A</v>
      </c>
      <c r="D399" s="42" t="str">
        <f>VLOOKUP($A399,Schedule!$C$2:$G$31,4,0)</f>
        <v>#N/A</v>
      </c>
      <c r="E399" s="42" t="str">
        <f t="shared" si="1"/>
        <v>#N/A</v>
      </c>
      <c r="F399" s="6">
        <v>393.0</v>
      </c>
      <c r="G399" s="45"/>
      <c r="H399" s="45"/>
      <c r="I399" s="45"/>
      <c r="J399" s="46"/>
      <c r="K399" s="46"/>
      <c r="L399" s="47"/>
      <c r="M399" s="47"/>
      <c r="N399" s="47"/>
      <c r="O399" s="47"/>
      <c r="P399" s="47"/>
      <c r="Q399" s="48"/>
      <c r="R399" s="47"/>
      <c r="S399" s="47"/>
      <c r="T399" s="47"/>
      <c r="U399" s="47"/>
      <c r="V399" s="47"/>
      <c r="W399" s="45"/>
      <c r="X399" s="45"/>
      <c r="Y399" s="45"/>
      <c r="Z399" s="45"/>
      <c r="AA399" s="45"/>
      <c r="AB399" s="45"/>
      <c r="AC399" s="45"/>
      <c r="AD399" s="45"/>
      <c r="AE399" s="45"/>
    </row>
    <row r="400">
      <c r="A400" s="6" t="str">
        <f>IF(VLOOKUP(H400,'Paste #BBall'!$B$2:$N1001,3,)="BRO","BKN",IF(VLOOKUP(H400,'Paste #BBall'!$B$2:$N1001,3,)="OKL","OKC",VLOOKUP(H400,'Paste #BBall'!$B$2:$N1001,3,)))</f>
        <v>#N/A</v>
      </c>
      <c r="B400" s="42" t="str">
        <f>VLOOKUP($A400,Schedule!$C$2:$G$31,2,0)</f>
        <v>#N/A</v>
      </c>
      <c r="C400" s="42" t="str">
        <f>VLOOKUP($A400,Schedule!$C$2:$G$31,3,0)</f>
        <v>#N/A</v>
      </c>
      <c r="D400" s="42" t="str">
        <f>VLOOKUP($A400,Schedule!$C$2:$G$31,4,0)</f>
        <v>#N/A</v>
      </c>
      <c r="E400" s="42" t="str">
        <f t="shared" si="1"/>
        <v>#N/A</v>
      </c>
      <c r="F400" s="6">
        <v>394.0</v>
      </c>
      <c r="G400" s="45"/>
      <c r="H400" s="45"/>
      <c r="I400" s="45"/>
      <c r="J400" s="46"/>
      <c r="K400" s="46"/>
      <c r="L400" s="47"/>
      <c r="M400" s="47"/>
      <c r="N400" s="47"/>
      <c r="O400" s="47"/>
      <c r="P400" s="47"/>
      <c r="Q400" s="48"/>
      <c r="R400" s="47"/>
      <c r="S400" s="47"/>
      <c r="T400" s="47"/>
      <c r="U400" s="47"/>
      <c r="V400" s="47"/>
      <c r="W400" s="45"/>
      <c r="X400" s="45"/>
      <c r="Y400" s="45"/>
      <c r="Z400" s="45"/>
      <c r="AA400" s="45"/>
      <c r="AB400" s="45"/>
      <c r="AC400" s="45"/>
      <c r="AD400" s="45"/>
      <c r="AE400" s="45"/>
    </row>
    <row r="401">
      <c r="A401" s="6" t="str">
        <f>IF(VLOOKUP(H401,'Paste #BBall'!$B$2:$N1001,3,)="BRO","BKN",IF(VLOOKUP(H401,'Paste #BBall'!$B$2:$N1001,3,)="OKL","OKC",VLOOKUP(H401,'Paste #BBall'!$B$2:$N1001,3,)))</f>
        <v>#N/A</v>
      </c>
      <c r="B401" s="42" t="str">
        <f>VLOOKUP($A401,Schedule!$C$2:$G$31,2,0)</f>
        <v>#N/A</v>
      </c>
      <c r="C401" s="42" t="str">
        <f>VLOOKUP($A401,Schedule!$C$2:$G$31,3,0)</f>
        <v>#N/A</v>
      </c>
      <c r="D401" s="42" t="str">
        <f>VLOOKUP($A401,Schedule!$C$2:$G$31,4,0)</f>
        <v>#N/A</v>
      </c>
      <c r="E401" s="42" t="str">
        <f t="shared" si="1"/>
        <v>#N/A</v>
      </c>
      <c r="F401" s="6">
        <v>395.0</v>
      </c>
      <c r="G401" s="45"/>
      <c r="H401" s="45"/>
      <c r="I401" s="45"/>
      <c r="J401" s="46"/>
      <c r="K401" s="46"/>
      <c r="L401" s="47"/>
      <c r="M401" s="47"/>
      <c r="N401" s="47"/>
      <c r="O401" s="47"/>
      <c r="P401" s="47"/>
      <c r="Q401" s="48"/>
      <c r="R401" s="47"/>
      <c r="S401" s="47"/>
      <c r="T401" s="47"/>
      <c r="U401" s="47"/>
      <c r="V401" s="47"/>
      <c r="W401" s="45"/>
      <c r="X401" s="45"/>
      <c r="Y401" s="45"/>
      <c r="Z401" s="45"/>
      <c r="AA401" s="45"/>
      <c r="AB401" s="45"/>
      <c r="AC401" s="45"/>
      <c r="AD401" s="45"/>
      <c r="AE401" s="45"/>
    </row>
    <row r="402">
      <c r="A402" s="6" t="str">
        <f>IF(VLOOKUP(H402,'Paste #BBall'!$B$2:$N1001,3,)="BRO","BKN",IF(VLOOKUP(H402,'Paste #BBall'!$B$2:$N1001,3,)="OKL","OKC",VLOOKUP(H402,'Paste #BBall'!$B$2:$N1001,3,)))</f>
        <v>#N/A</v>
      </c>
      <c r="B402" s="42" t="str">
        <f>VLOOKUP($A402,Schedule!$C$2:$G$31,2,0)</f>
        <v>#N/A</v>
      </c>
      <c r="C402" s="42" t="str">
        <f>VLOOKUP($A402,Schedule!$C$2:$G$31,3,0)</f>
        <v>#N/A</v>
      </c>
      <c r="D402" s="42" t="str">
        <f>VLOOKUP($A402,Schedule!$C$2:$G$31,4,0)</f>
        <v>#N/A</v>
      </c>
      <c r="E402" s="42" t="str">
        <f t="shared" si="1"/>
        <v>#N/A</v>
      </c>
      <c r="F402" s="6">
        <v>396.0</v>
      </c>
      <c r="G402" s="45"/>
      <c r="H402" s="45"/>
      <c r="I402" s="45"/>
      <c r="J402" s="46"/>
      <c r="K402" s="46"/>
      <c r="L402" s="47"/>
      <c r="M402" s="47"/>
      <c r="N402" s="47"/>
      <c r="O402" s="47"/>
      <c r="P402" s="47"/>
      <c r="Q402" s="48"/>
      <c r="R402" s="47"/>
      <c r="S402" s="47"/>
      <c r="T402" s="47"/>
      <c r="U402" s="47"/>
      <c r="V402" s="47"/>
      <c r="W402" s="45"/>
      <c r="X402" s="45"/>
      <c r="Y402" s="45"/>
      <c r="Z402" s="45"/>
      <c r="AA402" s="45"/>
      <c r="AB402" s="45"/>
      <c r="AC402" s="45"/>
      <c r="AD402" s="45"/>
      <c r="AE402" s="45"/>
    </row>
    <row r="403">
      <c r="A403" s="6" t="str">
        <f>IF(VLOOKUP(H403,'Paste #BBall'!$B$2:$N1001,3,)="BRO","BKN",IF(VLOOKUP(H403,'Paste #BBall'!$B$2:$N1001,3,)="OKL","OKC",VLOOKUP(H403,'Paste #BBall'!$B$2:$N1001,3,)))</f>
        <v>#N/A</v>
      </c>
      <c r="B403" s="42" t="str">
        <f>VLOOKUP($A403,Schedule!$C$2:$G$31,2,0)</f>
        <v>#N/A</v>
      </c>
      <c r="C403" s="42" t="str">
        <f>VLOOKUP($A403,Schedule!$C$2:$G$31,3,0)</f>
        <v>#N/A</v>
      </c>
      <c r="D403" s="42" t="str">
        <f>VLOOKUP($A403,Schedule!$C$2:$G$31,4,0)</f>
        <v>#N/A</v>
      </c>
      <c r="E403" s="42" t="str">
        <f t="shared" si="1"/>
        <v>#N/A</v>
      </c>
    </row>
    <row r="404">
      <c r="A404" s="6" t="str">
        <f>IF(VLOOKUP(H404,'Paste #BBall'!$B$2:$N1001,3,)="BRO","BKN",IF(VLOOKUP(H404,'Paste #BBall'!$B$2:$N1001,3,)="OKL","OKC",VLOOKUP(H404,'Paste #BBall'!$B$2:$N1001,3,)))</f>
        <v>#N/A</v>
      </c>
      <c r="B404" s="42" t="str">
        <f>VLOOKUP($A404,Schedule!$C$2:$G$31,2,0)</f>
        <v>#N/A</v>
      </c>
      <c r="C404" s="42" t="str">
        <f>VLOOKUP($A404,Schedule!$C$2:$G$31,3,0)</f>
        <v>#N/A</v>
      </c>
      <c r="D404" s="42" t="str">
        <f>VLOOKUP($A404,Schedule!$C$2:$G$31,4,0)</f>
        <v>#N/A</v>
      </c>
      <c r="E404" s="42" t="str">
        <f t="shared" si="1"/>
        <v>#N/A</v>
      </c>
    </row>
    <row r="405">
      <c r="A405" s="6" t="str">
        <f>IF(VLOOKUP(H405,'Paste #BBall'!$B$2:$N1001,3,)="BRO","BKN",IF(VLOOKUP(H405,'Paste #BBall'!$B$2:$N1001,3,)="OKL","OKC",VLOOKUP(H405,'Paste #BBall'!$B$2:$N1001,3,)))</f>
        <v>#N/A</v>
      </c>
      <c r="B405" s="42" t="str">
        <f>VLOOKUP($A405,Schedule!$C$2:$G$31,2,0)</f>
        <v>#N/A</v>
      </c>
      <c r="C405" s="42" t="str">
        <f>VLOOKUP($A405,Schedule!$C$2:$G$31,3,0)</f>
        <v>#N/A</v>
      </c>
      <c r="D405" s="42" t="str">
        <f>VLOOKUP($A405,Schedule!$C$2:$G$31,4,0)</f>
        <v>#N/A</v>
      </c>
      <c r="E405" s="42" t="str">
        <f t="shared" si="1"/>
        <v>#N/A</v>
      </c>
    </row>
    <row r="406">
      <c r="A406" s="6" t="str">
        <f>IF(VLOOKUP(H406,'Paste #BBall'!$B$2:$N1001,3,)="BRO","BKN",IF(VLOOKUP(H406,'Paste #BBall'!$B$2:$N1001,3,)="OKL","OKC",VLOOKUP(H406,'Paste #BBall'!$B$2:$N1001,3,)))</f>
        <v>#N/A</v>
      </c>
      <c r="B406" s="42" t="str">
        <f>VLOOKUP($A406,Schedule!$C$2:$G$31,2,0)</f>
        <v>#N/A</v>
      </c>
      <c r="C406" s="42" t="str">
        <f>VLOOKUP($A406,Schedule!$C$2:$G$31,3,0)</f>
        <v>#N/A</v>
      </c>
      <c r="D406" s="42" t="str">
        <f>VLOOKUP($A406,Schedule!$C$2:$G$31,4,0)</f>
        <v>#N/A</v>
      </c>
      <c r="E406" s="42" t="str">
        <f t="shared" si="1"/>
        <v>#N/A</v>
      </c>
    </row>
    <row r="407">
      <c r="A407" s="6" t="str">
        <f>IF(VLOOKUP(H407,'Paste #BBall'!$B$2:$N1001,3,)="BRO","BKN",IF(VLOOKUP(H407,'Paste #BBall'!$B$2:$N1001,3,)="OKL","OKC",VLOOKUP(H407,'Paste #BBall'!$B$2:$N1001,3,)))</f>
        <v>#N/A</v>
      </c>
      <c r="B407" s="42" t="str">
        <f>VLOOKUP($A407,Schedule!$C$2:$G$31,2,0)</f>
        <v>#N/A</v>
      </c>
      <c r="C407" s="42" t="str">
        <f>VLOOKUP($A407,Schedule!$C$2:$G$31,3,0)</f>
        <v>#N/A</v>
      </c>
      <c r="D407" s="42" t="str">
        <f>VLOOKUP($A407,Schedule!$C$2:$G$31,4,0)</f>
        <v>#N/A</v>
      </c>
      <c r="E407" s="42" t="str">
        <f t="shared" si="1"/>
        <v>#N/A</v>
      </c>
    </row>
    <row r="408">
      <c r="A408" s="6" t="str">
        <f>IF(VLOOKUP(H408,'Paste #BBall'!$B$2:$N1001,3,)="BRO","BKN",IF(VLOOKUP(H408,'Paste #BBall'!$B$2:$N1001,3,)="OKL","OKC",VLOOKUP(H408,'Paste #BBall'!$B$2:$N1001,3,)))</f>
        <v>#N/A</v>
      </c>
      <c r="B408" s="42" t="str">
        <f>VLOOKUP($A408,Schedule!$C$2:$G$31,2,0)</f>
        <v>#N/A</v>
      </c>
      <c r="C408" s="42" t="str">
        <f>VLOOKUP($A408,Schedule!$C$2:$G$31,3,0)</f>
        <v>#N/A</v>
      </c>
      <c r="D408" s="42" t="str">
        <f>VLOOKUP($A408,Schedule!$C$2:$G$31,4,0)</f>
        <v>#N/A</v>
      </c>
      <c r="E408" s="42" t="str">
        <f t="shared" si="1"/>
        <v>#N/A</v>
      </c>
    </row>
    <row r="409">
      <c r="A409" s="6" t="str">
        <f>IF(VLOOKUP(H409,'Paste #BBall'!$B$2:$N1001,3,)="BRO","BKN",IF(VLOOKUP(H409,'Paste #BBall'!$B$2:$N1001,3,)="OKL","OKC",VLOOKUP(H409,'Paste #BBall'!$B$2:$N1001,3,)))</f>
        <v>#N/A</v>
      </c>
      <c r="B409" s="42" t="str">
        <f>VLOOKUP($A409,Schedule!$C$2:$G$31,2,0)</f>
        <v>#N/A</v>
      </c>
      <c r="C409" s="42" t="str">
        <f>VLOOKUP($A409,Schedule!$C$2:$G$31,3,0)</f>
        <v>#N/A</v>
      </c>
      <c r="D409" s="42" t="str">
        <f>VLOOKUP($A409,Schedule!$C$2:$G$31,4,0)</f>
        <v>#N/A</v>
      </c>
      <c r="E409" s="42" t="str">
        <f t="shared" si="1"/>
        <v>#N/A</v>
      </c>
    </row>
    <row r="410">
      <c r="A410" s="6" t="str">
        <f>IF(VLOOKUP(H410,'Paste #BBall'!$B$2:$N1001,3,)="BRO","BKN",IF(VLOOKUP(H410,'Paste #BBall'!$B$2:$N1001,3,)="OKL","OKC",VLOOKUP(H410,'Paste #BBall'!$B$2:$N1001,3,)))</f>
        <v>#N/A</v>
      </c>
      <c r="B410" s="42" t="str">
        <f>VLOOKUP($A410,Schedule!$C$2:$G$31,2,0)</f>
        <v>#N/A</v>
      </c>
      <c r="C410" s="42" t="str">
        <f>VLOOKUP($A410,Schedule!$C$2:$G$31,3,0)</f>
        <v>#N/A</v>
      </c>
      <c r="D410" s="42" t="str">
        <f>VLOOKUP($A410,Schedule!$C$2:$G$31,4,0)</f>
        <v>#N/A</v>
      </c>
      <c r="E410" s="42" t="str">
        <f t="shared" si="1"/>
        <v>#N/A</v>
      </c>
    </row>
    <row r="411">
      <c r="A411" s="6" t="str">
        <f>IF(VLOOKUP(H411,'Paste #BBall'!$B$2:$N1001,3,)="BRO","BKN",IF(VLOOKUP(H411,'Paste #BBall'!$B$2:$N1001,3,)="OKL","OKC",VLOOKUP(H411,'Paste #BBall'!$B$2:$N1001,3,)))</f>
        <v>#N/A</v>
      </c>
      <c r="B411" s="42" t="str">
        <f>VLOOKUP($A411,Schedule!$C$2:$G$31,2,0)</f>
        <v>#N/A</v>
      </c>
      <c r="C411" s="42" t="str">
        <f>VLOOKUP($A411,Schedule!$C$2:$G$31,3,0)</f>
        <v>#N/A</v>
      </c>
      <c r="D411" s="42" t="str">
        <f>VLOOKUP($A411,Schedule!$C$2:$G$31,4,0)</f>
        <v>#N/A</v>
      </c>
      <c r="E411" s="42" t="str">
        <f t="shared" si="1"/>
        <v>#N/A</v>
      </c>
    </row>
    <row r="412">
      <c r="A412" s="6" t="str">
        <f>IF(VLOOKUP(H412,'Paste #BBall'!$B$2:$N1001,3,)="BRO","BKN",IF(VLOOKUP(H412,'Paste #BBall'!$B$2:$N1001,3,)="OKL","OKC",VLOOKUP(H412,'Paste #BBall'!$B$2:$N1001,3,)))</f>
        <v>#N/A</v>
      </c>
      <c r="B412" s="42" t="str">
        <f>VLOOKUP($A412,Schedule!$C$2:$G$31,2,0)</f>
        <v>#N/A</v>
      </c>
      <c r="C412" s="42" t="str">
        <f>VLOOKUP($A412,Schedule!$C$2:$G$31,3,0)</f>
        <v>#N/A</v>
      </c>
      <c r="D412" s="42" t="str">
        <f>VLOOKUP($A412,Schedule!$C$2:$G$31,4,0)</f>
        <v>#N/A</v>
      </c>
      <c r="E412" s="42" t="str">
        <f t="shared" si="1"/>
        <v>#N/A</v>
      </c>
    </row>
    <row r="413">
      <c r="A413" s="6" t="str">
        <f>IF(VLOOKUP(H413,'Paste #BBall'!$B$2:$N1001,3,)="BRO","BKN",IF(VLOOKUP(H413,'Paste #BBall'!$B$2:$N1001,3,)="OKL","OKC",VLOOKUP(H413,'Paste #BBall'!$B$2:$N1001,3,)))</f>
        <v>#N/A</v>
      </c>
      <c r="B413" s="42" t="str">
        <f>VLOOKUP($A413,Schedule!$C$2:$G$31,2,0)</f>
        <v>#N/A</v>
      </c>
      <c r="C413" s="42" t="str">
        <f>VLOOKUP($A413,Schedule!$C$2:$G$31,3,0)</f>
        <v>#N/A</v>
      </c>
      <c r="D413" s="42" t="str">
        <f>VLOOKUP($A413,Schedule!$C$2:$G$31,4,0)</f>
        <v>#N/A</v>
      </c>
      <c r="E413" s="42" t="str">
        <f t="shared" si="1"/>
        <v>#N/A</v>
      </c>
    </row>
    <row r="414">
      <c r="A414" s="6" t="str">
        <f>IF(VLOOKUP(H414,'Paste #BBall'!$B$2:$N1001,3,)="BRO","BKN",IF(VLOOKUP(H414,'Paste #BBall'!$B$2:$N1001,3,)="OKL","OKC",VLOOKUP(H414,'Paste #BBall'!$B$2:$N1001,3,)))</f>
        <v>#N/A</v>
      </c>
      <c r="B414" s="42" t="str">
        <f>VLOOKUP($A414,Schedule!$C$2:$G$31,2,0)</f>
        <v>#N/A</v>
      </c>
      <c r="C414" s="42" t="str">
        <f>VLOOKUP($A414,Schedule!$C$2:$G$31,3,0)</f>
        <v>#N/A</v>
      </c>
      <c r="D414" s="42" t="str">
        <f>VLOOKUP($A414,Schedule!$C$2:$G$31,4,0)</f>
        <v>#N/A</v>
      </c>
      <c r="E414" s="42" t="str">
        <f t="shared" si="1"/>
        <v>#N/A</v>
      </c>
    </row>
    <row r="415">
      <c r="A415" s="6" t="str">
        <f>IF(VLOOKUP(H415,'Paste #BBall'!$B$2:$N1001,3,)="BRO","BKN",IF(VLOOKUP(H415,'Paste #BBall'!$B$2:$N1001,3,)="OKL","OKC",VLOOKUP(H415,'Paste #BBall'!$B$2:$N1001,3,)))</f>
        <v>#N/A</v>
      </c>
      <c r="B415" s="42" t="str">
        <f>VLOOKUP($A415,Schedule!$C$2:$G$31,2,0)</f>
        <v>#N/A</v>
      </c>
      <c r="C415" s="42" t="str">
        <f>VLOOKUP($A415,Schedule!$C$2:$G$31,3,0)</f>
        <v>#N/A</v>
      </c>
      <c r="D415" s="42" t="str">
        <f>VLOOKUP($A415,Schedule!$C$2:$G$31,4,0)</f>
        <v>#N/A</v>
      </c>
      <c r="E415" s="42" t="str">
        <f t="shared" si="1"/>
        <v>#N/A</v>
      </c>
    </row>
    <row r="416">
      <c r="A416" s="6" t="str">
        <f>IF(VLOOKUP(H416,'Paste #BBall'!$B$2:$N1001,3,)="BRO","BKN",IF(VLOOKUP(H416,'Paste #BBall'!$B$2:$N1001,3,)="OKL","OKC",VLOOKUP(H416,'Paste #BBall'!$B$2:$N1001,3,)))</f>
        <v>#N/A</v>
      </c>
      <c r="B416" s="42" t="str">
        <f>VLOOKUP($A416,Schedule!$C$2:$G$31,2,0)</f>
        <v>#N/A</v>
      </c>
      <c r="C416" s="42" t="str">
        <f>VLOOKUP($A416,Schedule!$C$2:$G$31,3,0)</f>
        <v>#N/A</v>
      </c>
      <c r="D416" s="42" t="str">
        <f>VLOOKUP($A416,Schedule!$C$2:$G$31,4,0)</f>
        <v>#N/A</v>
      </c>
      <c r="E416" s="42" t="str">
        <f t="shared" si="1"/>
        <v>#N/A</v>
      </c>
    </row>
    <row r="417">
      <c r="A417" s="6" t="str">
        <f>IF(VLOOKUP(H417,'Paste #BBall'!$B$2:$N1001,3,)="BRO","BKN",IF(VLOOKUP(H417,'Paste #BBall'!$B$2:$N1001,3,)="OKL","OKC",VLOOKUP(H417,'Paste #BBall'!$B$2:$N1001,3,)))</f>
        <v>#N/A</v>
      </c>
      <c r="B417" s="42" t="str">
        <f>VLOOKUP($A417,Schedule!$C$2:$G$31,2,0)</f>
        <v>#N/A</v>
      </c>
      <c r="C417" s="42" t="str">
        <f>VLOOKUP($A417,Schedule!$C$2:$G$31,3,0)</f>
        <v>#N/A</v>
      </c>
      <c r="D417" s="42" t="str">
        <f>VLOOKUP($A417,Schedule!$C$2:$G$31,4,0)</f>
        <v>#N/A</v>
      </c>
      <c r="E417" s="42" t="str">
        <f t="shared" si="1"/>
        <v>#N/A</v>
      </c>
    </row>
    <row r="418">
      <c r="A418" s="6" t="str">
        <f>IF(VLOOKUP(H418,'Paste #BBall'!$B$2:$N1001,3,)="BRO","BKN",IF(VLOOKUP(H418,'Paste #BBall'!$B$2:$N1001,3,)="OKL","OKC",VLOOKUP(H418,'Paste #BBall'!$B$2:$N1001,3,)))</f>
        <v>#N/A</v>
      </c>
      <c r="B418" s="42" t="str">
        <f>VLOOKUP($A418,Schedule!$C$2:$G$31,2,0)</f>
        <v>#N/A</v>
      </c>
      <c r="C418" s="42" t="str">
        <f>VLOOKUP($A418,Schedule!$C$2:$G$31,3,0)</f>
        <v>#N/A</v>
      </c>
      <c r="D418" s="42" t="str">
        <f>VLOOKUP($A418,Schedule!$C$2:$G$31,4,0)</f>
        <v>#N/A</v>
      </c>
      <c r="E418" s="42" t="str">
        <f t="shared" si="1"/>
        <v>#N/A</v>
      </c>
    </row>
    <row r="419">
      <c r="A419" s="6" t="str">
        <f>IF(VLOOKUP(H419,'Paste #BBall'!$B$2:$N1001,3,)="BRO","BKN",IF(VLOOKUP(H419,'Paste #BBall'!$B$2:$N1001,3,)="OKL","OKC",VLOOKUP(H419,'Paste #BBall'!$B$2:$N1001,3,)))</f>
        <v>#N/A</v>
      </c>
      <c r="B419" s="42" t="str">
        <f>VLOOKUP($A419,Schedule!$C$2:$G$31,2,0)</f>
        <v>#N/A</v>
      </c>
      <c r="C419" s="42" t="str">
        <f>VLOOKUP($A419,Schedule!$C$2:$G$31,3,0)</f>
        <v>#N/A</v>
      </c>
      <c r="D419" s="42" t="str">
        <f>VLOOKUP($A419,Schedule!$C$2:$G$31,4,0)</f>
        <v>#N/A</v>
      </c>
      <c r="E419" s="42" t="str">
        <f t="shared" si="1"/>
        <v>#N/A</v>
      </c>
    </row>
    <row r="420">
      <c r="A420" s="6" t="str">
        <f>IF(VLOOKUP(H420,'Paste #BBall'!$B$2:$N1001,3,)="BRO","BKN",IF(VLOOKUP(H420,'Paste #BBall'!$B$2:$N1001,3,)="OKL","OKC",VLOOKUP(H420,'Paste #BBall'!$B$2:$N1001,3,)))</f>
        <v>#N/A</v>
      </c>
      <c r="B420" s="42" t="str">
        <f>VLOOKUP($A420,Schedule!$C$2:$G$31,2,0)</f>
        <v>#N/A</v>
      </c>
      <c r="C420" s="42" t="str">
        <f>VLOOKUP($A420,Schedule!$C$2:$G$31,3,0)</f>
        <v>#N/A</v>
      </c>
      <c r="D420" s="42" t="str">
        <f>VLOOKUP($A420,Schedule!$C$2:$G$31,4,0)</f>
        <v>#N/A</v>
      </c>
      <c r="E420" s="42" t="str">
        <f t="shared" si="1"/>
        <v>#N/A</v>
      </c>
    </row>
    <row r="421">
      <c r="A421" s="6" t="str">
        <f>IF(VLOOKUP(H421,'Paste #BBall'!$B$2:$N1001,3,)="BRO","BKN",IF(VLOOKUP(H421,'Paste #BBall'!$B$2:$N1001,3,)="OKL","OKC",VLOOKUP(H421,'Paste #BBall'!$B$2:$N1001,3,)))</f>
        <v>#N/A</v>
      </c>
      <c r="B421" s="42" t="str">
        <f>VLOOKUP($A421,Schedule!$C$2:$G$31,2,0)</f>
        <v>#N/A</v>
      </c>
      <c r="C421" s="42" t="str">
        <f>VLOOKUP($A421,Schedule!$C$2:$G$31,3,0)</f>
        <v>#N/A</v>
      </c>
      <c r="D421" s="42" t="str">
        <f>VLOOKUP($A421,Schedule!$C$2:$G$31,4,0)</f>
        <v>#N/A</v>
      </c>
      <c r="E421" s="42" t="str">
        <f t="shared" si="1"/>
        <v>#N/A</v>
      </c>
    </row>
  </sheetData>
  <autoFilter ref="$B$5:$E$421"/>
  <customSheetViews>
    <customSheetView guid="{D44DE4F5-8BFC-436A-9DEB-1F541CDC33BA}" filter="1" showAutoFilter="1">
      <autoFilter ref="$Y$2:$Y$5"/>
    </customSheetView>
  </customSheetViews>
  <conditionalFormatting sqref="W6:AE402">
    <cfRule type="colorScale" priority="1">
      <colorScale>
        <cfvo type="min"/>
        <cfvo type="formula" val="0"/>
        <cfvo type="max"/>
        <color rgb="FFFF0000"/>
        <color rgb="FFFFFFFF"/>
        <color rgb="FF00FF00"/>
      </colorScale>
    </cfRule>
  </conditionalFormatting>
  <conditionalFormatting sqref="K6:L402">
    <cfRule type="colorScale" priority="2">
      <colorScale>
        <cfvo type="min"/>
        <cfvo type="formula" val="0"/>
        <cfvo type="max"/>
        <color rgb="FFFF0000"/>
        <color rgb="FFFFFFFF"/>
        <color rgb="FF00FF00"/>
      </colorScale>
    </cfRule>
  </conditionalFormatting>
  <conditionalFormatting sqref="M6:M1001">
    <cfRule type="cellIs" dxfId="2" priority="3" operator="equal">
      <formula>0</formula>
    </cfRule>
  </conditionalFormatting>
  <conditionalFormatting sqref="M6:M402">
    <cfRule type="colorScale" priority="4">
      <colorScale>
        <cfvo type="min"/>
        <cfvo type="formula" val="0"/>
        <cfvo type="max"/>
        <color rgb="FFFF0000"/>
        <color rgb="FFFFFFFF"/>
        <color rgb="FF00FF00"/>
      </colorScale>
    </cfRule>
  </conditionalFormatting>
  <conditionalFormatting sqref="B6:E421">
    <cfRule type="cellIs" dxfId="3" priority="5" operator="equal">
      <formula>2</formula>
    </cfRule>
  </conditionalFormatting>
  <conditionalFormatting sqref="B6:E421">
    <cfRule type="cellIs" dxfId="4" priority="6" operator="equal">
      <formula>3</formula>
    </cfRule>
  </conditionalFormatting>
  <conditionalFormatting sqref="E6:E421">
    <cfRule type="cellIs" dxfId="5" priority="7" operator="equal">
      <formula>9</formula>
    </cfRule>
  </conditionalFormatting>
  <conditionalFormatting sqref="E6:E421">
    <cfRule type="cellIs" dxfId="3" priority="8" operator="equal">
      <formula>8</formula>
    </cfRule>
  </conditionalFormatting>
  <conditionalFormatting sqref="B6:D411">
    <cfRule type="cellIs" dxfId="0" priority="9" operator="equal">
      <formula>4</formula>
    </cfRule>
  </conditionalFormatting>
  <conditionalFormatting sqref="B6:D411">
    <cfRule type="cellIs" dxfId="6" priority="10" operator="equal">
      <formula>5</formula>
    </cfRule>
  </conditionalFormatting>
  <conditionalFormatting sqref="E6:E421">
    <cfRule type="cellIs" dxfId="4" priority="11" operator="equal">
      <formula>10</formula>
    </cfRule>
  </conditionalFormatting>
  <conditionalFormatting sqref="E6:E421">
    <cfRule type="cellIs" dxfId="0" priority="12" operator="equal">
      <formula>11</formula>
    </cfRule>
  </conditionalFormatting>
  <conditionalFormatting sqref="E6:E421">
    <cfRule type="cellIs" dxfId="6" priority="13" operator="equal">
      <formula>12</formula>
    </cfRule>
  </conditionalFormatting>
  <dataValidations>
    <dataValidation type="list" allowBlank="1" sqref="G3">
      <formula1>'NO USAR1'!$M$12:$M$32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0.13"/>
    <col customWidth="1" min="3" max="3" width="4.13"/>
    <col customWidth="1" min="4" max="4" width="20.13"/>
    <col customWidth="1" min="13" max="13" width="11.13"/>
    <col customWidth="1" hidden="1" min="14" max="14" width="16.75"/>
    <col hidden="1" min="15" max="25" width="12.63"/>
    <col customWidth="1" min="26" max="26" width="14.75"/>
  </cols>
  <sheetData>
    <row r="1">
      <c r="D1" s="58"/>
      <c r="E1" s="59"/>
      <c r="Z1" s="59"/>
      <c r="AA1" s="59"/>
      <c r="AC1" s="60"/>
    </row>
    <row r="2">
      <c r="D2" s="61" t="s">
        <v>71</v>
      </c>
      <c r="E2" s="62">
        <f>VLOOKUP(TRUE(),C6:D17,2,FALSE)</f>
        <v>7</v>
      </c>
      <c r="Z2" s="62" t="s">
        <v>72</v>
      </c>
      <c r="AA2" s="62">
        <v>150.0</v>
      </c>
      <c r="AC2" s="60"/>
    </row>
    <row r="3">
      <c r="D3" s="63"/>
      <c r="E3" s="63"/>
      <c r="G3" s="64" t="s">
        <v>73</v>
      </c>
      <c r="Z3" s="63"/>
      <c r="AA3" s="63"/>
    </row>
    <row r="4">
      <c r="N4" s="33">
        <f>D6</f>
        <v>1</v>
      </c>
      <c r="O4" s="33">
        <f>D7</f>
        <v>2</v>
      </c>
      <c r="P4" s="33">
        <f>D8</f>
        <v>3</v>
      </c>
      <c r="Q4">
        <f>D9</f>
        <v>4</v>
      </c>
      <c r="R4" s="33">
        <f>D10</f>
        <v>5</v>
      </c>
      <c r="S4">
        <f>D11</f>
        <v>6</v>
      </c>
      <c r="T4">
        <f>D12</f>
        <v>7</v>
      </c>
      <c r="U4">
        <f>D13</f>
        <v>8</v>
      </c>
      <c r="V4">
        <f>D14</f>
        <v>9</v>
      </c>
      <c r="W4">
        <f>D15</f>
        <v>10</v>
      </c>
      <c r="X4">
        <f>D16</f>
        <v>11</v>
      </c>
      <c r="Y4">
        <f>D17</f>
        <v>12</v>
      </c>
    </row>
    <row r="5">
      <c r="C5" s="33"/>
      <c r="D5" s="4" t="s">
        <v>71</v>
      </c>
      <c r="E5" s="4" t="s">
        <v>34</v>
      </c>
      <c r="F5" s="34" t="s">
        <v>35</v>
      </c>
      <c r="G5" s="4" t="s">
        <v>36</v>
      </c>
      <c r="H5" s="4" t="s">
        <v>37</v>
      </c>
      <c r="I5" s="4" t="s">
        <v>38</v>
      </c>
      <c r="J5" s="4" t="s">
        <v>61</v>
      </c>
      <c r="K5" s="4" t="s">
        <v>40</v>
      </c>
      <c r="L5" s="4" t="s">
        <v>41</v>
      </c>
      <c r="M5" s="4" t="s">
        <v>42</v>
      </c>
      <c r="N5" s="4" t="s">
        <v>74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 t="s">
        <v>75</v>
      </c>
      <c r="AA5" s="4" t="s">
        <v>76</v>
      </c>
    </row>
    <row r="6">
      <c r="C6" s="65" t="b">
        <f>Draft!B3</f>
        <v>0</v>
      </c>
      <c r="D6" s="6">
        <v>1.0</v>
      </c>
      <c r="E6" s="46" t="str">
        <f>'All Teams'!E18</f>
        <v>#VALUE!</v>
      </c>
      <c r="F6" s="46" t="str">
        <f>'All Teams'!F18</f>
        <v>#VALUE!</v>
      </c>
      <c r="G6" s="46" t="str">
        <f>'All Teams'!G18</f>
        <v>#VALUE!</v>
      </c>
      <c r="H6" s="46" t="str">
        <f>'All Teams'!H18</f>
        <v>#VALUE!</v>
      </c>
      <c r="I6" s="46" t="str">
        <f>'All Teams'!I18</f>
        <v>#VALUE!</v>
      </c>
      <c r="J6" s="46" t="str">
        <f>'All Teams'!J18</f>
        <v>#VALUE!</v>
      </c>
      <c r="K6" s="46">
        <f>'All Teams'!K18</f>
        <v>0</v>
      </c>
      <c r="L6" s="46">
        <f>'All Teams'!L18</f>
        <v>0</v>
      </c>
      <c r="M6" s="46" t="str">
        <f>'All Teams'!M18</f>
        <v>#VALUE!</v>
      </c>
      <c r="N6" s="66" t="str">
        <f t="array" ref="N6">if(N$4=$D6,"-", countif(indirect(address(row($D$5)+ VLOOKUP(N$4,$D$6:$D$17,1),COLUMN($E$5))):indirect(address(row($D$5)+ VLOOKUP(N$4,$D$6:$D$17,1),COLUMN($M$5)))&gt;indirect(address(row($D6),COLUMN($E$5))):indirect(address(row($D6),COLUMN($M$5))),TRUE()))</f>
        <v>-</v>
      </c>
      <c r="O6" s="66">
        <f t="array" ref="O6">if(O$4=$D6,"-", countif(indirect(address(row($D$5)+ VLOOKUP(O$4,$D$6:$D$17,1),COLUMN($E$5))):indirect(address(row($D$5)+ VLOOKUP(O$4,$D$6:$D$17,1),COLUMN($M$5)))&gt;indirect(address(row($D6),COLUMN($E$5))):indirect(address(row($D6),COLUMN($M$5))),TRUE()))</f>
        <v>0</v>
      </c>
      <c r="P6" s="66">
        <f t="array" ref="P6">if(P$4=$D6,"-", countif(indirect(address(row($D$5)+ VLOOKUP(P$4,$D$6:$D$17,1),COLUMN($E$5))):indirect(address(row($D$5)+ VLOOKUP(P$4,$D$6:$D$17,1),COLUMN($M$5)))&gt;indirect(address(row($D6),COLUMN($E$5))):indirect(address(row($D6),COLUMN($M$5))),TRUE()))</f>
        <v>0</v>
      </c>
      <c r="Q6" s="66">
        <f t="array" ref="Q6">if(Q$4=$D6,"-", countif(indirect(address(row($D$5)+ VLOOKUP(Q$4,$D$6:$D$17,1),COLUMN($E$5))):indirect(address(row($D$5)+ VLOOKUP(Q$4,$D$6:$D$17,1),COLUMN($M$5)))&gt;indirect(address(row($D6),COLUMN($E$5))):indirect(address(row($D6),COLUMN($M$5))),TRUE()))</f>
        <v>0</v>
      </c>
      <c r="R6" s="66">
        <f t="array" ref="R6">if(R$4=$D6,"-", countif(indirect(address(row($D$5)+ VLOOKUP(R$4,$D$6:$D$17,1),COLUMN($E$5))):indirect(address(row($D$5)+ VLOOKUP(R$4,$D$6:$D$17,1),COLUMN($M$5)))&gt;indirect(address(row($D6),COLUMN($E$5))):indirect(address(row($D6),COLUMN($M$5))),TRUE()))</f>
        <v>0</v>
      </c>
      <c r="S6" s="66">
        <f t="array" ref="S6">if(S$4=$D6,"-", countif(indirect(address(row($D$5)+ VLOOKUP(S$4,$D$6:$D$17,1),COLUMN($E$5))):indirect(address(row($D$5)+ VLOOKUP(S$4,$D$6:$D$17,1),COLUMN($M$5)))&gt;indirect(address(row($D6),COLUMN($E$5))):indirect(address(row($D6),COLUMN($M$5))),TRUE()))</f>
        <v>0</v>
      </c>
      <c r="T6" s="66">
        <f t="array" ref="T6">if(T$4=$D6,"-", countif(indirect(address(row($D$5)+ VLOOKUP(T$4,$D$6:$D$17,1),COLUMN($E$5))):indirect(address(row($D$5)+ VLOOKUP(T$4,$D$6:$D$17,1),COLUMN($M$5)))&gt;indirect(address(row($D6),COLUMN($E$5))):indirect(address(row($D6),COLUMN($M$5))),TRUE()))</f>
        <v>1</v>
      </c>
      <c r="U6" s="66">
        <f t="array" ref="U6">if(U$4=$D6,"-", countif(indirect(address(row($D$5)+ VLOOKUP(U$4,$D$6:$D$17,1),COLUMN($E$5))):indirect(address(row($D$5)+ VLOOKUP(U$4,$D$6:$D$17,1),COLUMN($M$5)))&gt;indirect(address(row($D6),COLUMN($E$5))):indirect(address(row($D6),COLUMN($M$5))),TRUE()))</f>
        <v>0</v>
      </c>
      <c r="V6" s="66">
        <f t="array" ref="V6">if(V$4=$D6,"-", countif(indirect(address(row($D$5)+ VLOOKUP(V$4,$D$6:$D$17,1),COLUMN($E$5))):indirect(address(row($D$5)+ VLOOKUP(V$4,$D$6:$D$17,1),COLUMN($M$5)))&gt;indirect(address(row($D6),COLUMN($E$5))):indirect(address(row($D6),COLUMN($M$5))),TRUE()))</f>
        <v>0</v>
      </c>
      <c r="W6" s="66">
        <f t="array" ref="W6">if(W$4=$D6,"-", countif(indirect(address(row($D$5)+ VLOOKUP(W$4,$D$6:$D$17,1),COLUMN($E$5))):indirect(address(row($D$5)+ VLOOKUP(W$4,$D$6:$D$17,1),COLUMN($M$5)))&gt;indirect(address(row($D6),COLUMN($E$5))):indirect(address(row($D6),COLUMN($M$5))),TRUE()))</f>
        <v>0</v>
      </c>
      <c r="X6" s="66">
        <f t="array" ref="X6">if(X$4=$D6,"-", countif(indirect(address(row($D$5)+ VLOOKUP(X$4,$D$6:$D$17,1),COLUMN($E$5))):indirect(address(row($D$5)+ VLOOKUP(X$4,$D$6:$D$17,1),COLUMN($M$5)))&gt;indirect(address(row($D6),COLUMN($E$5))):indirect(address(row($D6),COLUMN($M$5))),TRUE()))</f>
        <v>0</v>
      </c>
      <c r="Y6" s="66">
        <f t="array" ref="Y6">if(Y$4=$D6,"-", countif(indirect(address(row($D$5)+ VLOOKUP(Y$4,$D$6:$D$17,1),COLUMN($E$5))):indirect(address(row($D$5)+ VLOOKUP(Y$4,$D$6:$D$17,1),COLUMN($M$5)))&gt;indirect(address(row($D6),COLUMN($E$5))):indirect(address(row($D6),COLUMN($M$5))),TRUE()))</f>
        <v>0</v>
      </c>
      <c r="Z6" s="66">
        <f t="array" ref="Z6">if(E$2=$D6,"-", countif(indirect(address(row($D$5)+ VLOOKUP(E$2,$D$6:$D$17,1),COLUMN($E$5))):indirect(address(row($D$5)+ VLOOKUP(E$2,$D$6:$D$17,1),COLUMN($M$5)))&gt;indirect(address(row($D6),COLUMN($E$5))):indirect(address(row($D6),COLUMN($M$5))),TRUE()))</f>
        <v>1</v>
      </c>
      <c r="AA6" s="46">
        <f>SUM(N$6:N$17)/99</f>
        <v>0.0101010101</v>
      </c>
    </row>
    <row r="7">
      <c r="C7" s="65" t="b">
        <f>Draft!B4</f>
        <v>0</v>
      </c>
      <c r="D7" s="6">
        <v>2.0</v>
      </c>
      <c r="E7" s="46" t="str">
        <f>'All Teams'!E35</f>
        <v>#VALUE!</v>
      </c>
      <c r="F7" s="46" t="str">
        <f>'All Teams'!F35</f>
        <v>#VALUE!</v>
      </c>
      <c r="G7" s="46" t="str">
        <f>'All Teams'!G35</f>
        <v>#VALUE!</v>
      </c>
      <c r="H7" s="46" t="str">
        <f>'All Teams'!H35</f>
        <v>#VALUE!</v>
      </c>
      <c r="I7" s="46" t="str">
        <f>'All Teams'!I35</f>
        <v>#VALUE!</v>
      </c>
      <c r="J7" s="46" t="str">
        <f>'All Teams'!J35</f>
        <v>#VALUE!</v>
      </c>
      <c r="K7" s="46">
        <f>'All Teams'!K35</f>
        <v>0</v>
      </c>
      <c r="L7" s="46">
        <f>'All Teams'!L35</f>
        <v>0</v>
      </c>
      <c r="M7" s="46" t="str">
        <f>'All Teams'!M35</f>
        <v>#VALUE!</v>
      </c>
      <c r="N7" s="66">
        <f t="array" ref="N7">if(N$4=$D7,"-", countif(indirect(address(row($D$5)+ VLOOKUP(N$4,$D$6:$D$17,1),COLUMN($E$5))):indirect(address(row($D$5)+ VLOOKUP(N$4,$D$6:$D$17,1),COLUMN($M$5)))&gt;indirect(address(row($D7),COLUMN($E$5))):indirect(address(row($D7),COLUMN($M$5))),TRUE()))</f>
        <v>0</v>
      </c>
      <c r="O7" s="66" t="str">
        <f t="array" ref="O7">if(O$4=$D7,"-", countif(indirect(address(row($D$5)+ VLOOKUP(O$4,$D$6:$D$17,1),COLUMN($E$5))):indirect(address(row($D$5)+ VLOOKUP(O$4,$D$6:$D$17,1),COLUMN($M$5)))&gt;indirect(address(row($D7),COLUMN($E$5))):indirect(address(row($D7),COLUMN($M$5))),TRUE()))</f>
        <v>-</v>
      </c>
      <c r="P7" s="66">
        <f t="array" ref="P7">if(P$4=$D7,"-", countif(indirect(address(row($D$5)+ VLOOKUP(P$4,$D$6:$D$17,1),COLUMN($E$5))):indirect(address(row($D$5)+ VLOOKUP(P$4,$D$6:$D$17,1),COLUMN($M$5)))&gt;indirect(address(row($D7),COLUMN($E$5))):indirect(address(row($D7),COLUMN($M$5))),TRUE()))</f>
        <v>0</v>
      </c>
      <c r="Q7" s="66">
        <f t="array" ref="Q7">if(Q$4=$D7,"-", countif(indirect(address(row($D$5)+ VLOOKUP(Q$4,$D$6:$D$17,1),COLUMN($E$5))):indirect(address(row($D$5)+ VLOOKUP(Q$4,$D$6:$D$17,1),COLUMN($M$5)))&gt;indirect(address(row($D7),COLUMN($E$5))):indirect(address(row($D7),COLUMN($M$5))),TRUE()))</f>
        <v>0</v>
      </c>
      <c r="R7" s="66">
        <f t="array" ref="R7">if(R$4=$D7,"-", countif(indirect(address(row($D$5)+ VLOOKUP(R$4,$D$6:$D$17,1),COLUMN($E$5))):indirect(address(row($D$5)+ VLOOKUP(R$4,$D$6:$D$17,1),COLUMN($M$5)))&gt;indirect(address(row($D7),COLUMN($E$5))):indirect(address(row($D7),COLUMN($M$5))),TRUE()))</f>
        <v>0</v>
      </c>
      <c r="S7" s="66">
        <f t="array" ref="S7">if(S$4=$D7,"-", countif(indirect(address(row($D$5)+ VLOOKUP(S$4,$D$6:$D$17,1),COLUMN($E$5))):indirect(address(row($D$5)+ VLOOKUP(S$4,$D$6:$D$17,1),COLUMN($M$5)))&gt;indirect(address(row($D7),COLUMN($E$5))):indirect(address(row($D7),COLUMN($M$5))),TRUE()))</f>
        <v>0</v>
      </c>
      <c r="T7" s="66">
        <f t="array" ref="T7">if(T$4=$D7,"-", countif(indirect(address(row($D$5)+ VLOOKUP(T$4,$D$6:$D$17,1),COLUMN($E$5))):indirect(address(row($D$5)+ VLOOKUP(T$4,$D$6:$D$17,1),COLUMN($M$5)))&gt;indirect(address(row($D7),COLUMN($E$5))):indirect(address(row($D7),COLUMN($M$5))),TRUE()))</f>
        <v>1</v>
      </c>
      <c r="U7" s="66">
        <f t="array" ref="U7">if(U$4=$D7,"-", countif(indirect(address(row($D$5)+ VLOOKUP(U$4,$D$6:$D$17,1),COLUMN($E$5))):indirect(address(row($D$5)+ VLOOKUP(U$4,$D$6:$D$17,1),COLUMN($M$5)))&gt;indirect(address(row($D7),COLUMN($E$5))):indirect(address(row($D7),COLUMN($M$5))),TRUE()))</f>
        <v>0</v>
      </c>
      <c r="V7" s="66">
        <f t="array" ref="V7">if(V$4=$D7,"-", countif(indirect(address(row($D$5)+ VLOOKUP(V$4,$D$6:$D$17,1),COLUMN($E$5))):indirect(address(row($D$5)+ VLOOKUP(V$4,$D$6:$D$17,1),COLUMN($M$5)))&gt;indirect(address(row($D7),COLUMN($E$5))):indirect(address(row($D7),COLUMN($M$5))),TRUE()))</f>
        <v>0</v>
      </c>
      <c r="W7" s="66">
        <f t="array" ref="W7">if(W$4=$D7,"-", countif(indirect(address(row($D$5)+ VLOOKUP(W$4,$D$6:$D$17,1),COLUMN($E$5))):indirect(address(row($D$5)+ VLOOKUP(W$4,$D$6:$D$17,1),COLUMN($M$5)))&gt;indirect(address(row($D7),COLUMN($E$5))):indirect(address(row($D7),COLUMN($M$5))),TRUE()))</f>
        <v>0</v>
      </c>
      <c r="X7" s="66">
        <f t="array" ref="X7">if(X$4=$D7,"-", countif(indirect(address(row($D$5)+ VLOOKUP(X$4,$D$6:$D$17,1),COLUMN($E$5))):indirect(address(row($D$5)+ VLOOKUP(X$4,$D$6:$D$17,1),COLUMN($M$5)))&gt;indirect(address(row($D7),COLUMN($E$5))):indirect(address(row($D7),COLUMN($M$5))),TRUE()))</f>
        <v>0</v>
      </c>
      <c r="Y7" s="66">
        <f t="array" ref="Y7">if(Y$4=$D7,"-", countif(indirect(address(row($D$5)+ VLOOKUP(Y$4,$D$6:$D$17,1),COLUMN($E$5))):indirect(address(row($D$5)+ VLOOKUP(Y$4,$D$6:$D$17,1),COLUMN($M$5)))&gt;indirect(address(row($D7),COLUMN($E$5))):indirect(address(row($D7),COLUMN($M$5))),TRUE()))</f>
        <v>0</v>
      </c>
      <c r="Z7" s="66">
        <f t="array" ref="Z7">if(E$2=$D7,"-", countif(indirect(address(row($D$5)+ VLOOKUP(E$2,$D$6:$D$17,1),COLUMN($E$5))):indirect(address(row($D$5)+ VLOOKUP(E$2,$D$6:$D$17,1),COLUMN($M$5)))&gt;indirect(address(row($D7),COLUMN($E$5))):indirect(address(row($D7),COLUMN($M$5))),TRUE()))</f>
        <v>1</v>
      </c>
      <c r="AA7" s="46">
        <f>SUM(O$6:O$17)/99</f>
        <v>0.0101010101</v>
      </c>
    </row>
    <row r="8" ht="15.75" customHeight="1">
      <c r="C8" s="65" t="b">
        <f>Draft!B5</f>
        <v>0</v>
      </c>
      <c r="D8" s="6">
        <v>3.0</v>
      </c>
      <c r="E8" s="46" t="str">
        <f>'All Teams'!E52</f>
        <v>#VALUE!</v>
      </c>
      <c r="F8" s="46" t="str">
        <f>'All Teams'!F52</f>
        <v>#VALUE!</v>
      </c>
      <c r="G8" s="46" t="str">
        <f>'All Teams'!G52</f>
        <v>#VALUE!</v>
      </c>
      <c r="H8" s="46" t="str">
        <f>'All Teams'!H52</f>
        <v>#VALUE!</v>
      </c>
      <c r="I8" s="46" t="str">
        <f>'All Teams'!I52</f>
        <v>#VALUE!</v>
      </c>
      <c r="J8" s="46" t="str">
        <f>'All Teams'!J52</f>
        <v>#VALUE!</v>
      </c>
      <c r="K8" s="46">
        <f>'All Teams'!K52</f>
        <v>0</v>
      </c>
      <c r="L8" s="46">
        <f>'All Teams'!L52</f>
        <v>0</v>
      </c>
      <c r="M8" s="46" t="str">
        <f>'All Teams'!M52</f>
        <v>#VALUE!</v>
      </c>
      <c r="N8" s="66">
        <f t="array" ref="N8">if(N$4=$D8,"-", countif(indirect(address(row($D$5)+ VLOOKUP(N$4,$D$6:$D$17,1),COLUMN($E$5))):indirect(address(row($D$5)+ VLOOKUP(N$4,$D$6:$D$17,1),COLUMN($M$5)))&gt;indirect(address(row($D8),COLUMN($E$5))):indirect(address(row($D8),COLUMN($M$5))),TRUE()))</f>
        <v>0</v>
      </c>
      <c r="O8" s="66">
        <f t="array" ref="O8">if(O$4=$D8,"-", countif(indirect(address(row($D$5)+ VLOOKUP(O$4,$D$6:$D$17,1),COLUMN($E$5))):indirect(address(row($D$5)+ VLOOKUP(O$4,$D$6:$D$17,1),COLUMN($M$5)))&gt;indirect(address(row($D8),COLUMN($E$5))):indirect(address(row($D8),COLUMN($M$5))),TRUE()))</f>
        <v>0</v>
      </c>
      <c r="P8" s="66" t="str">
        <f t="array" ref="P8">if(P$4=$D8,"-", countif(indirect(address(row($D$5)+ VLOOKUP(P$4,$D$6:$D$17,1),COLUMN($E$5))):indirect(address(row($D$5)+ VLOOKUP(P$4,$D$6:$D$17,1),COLUMN($M$5)))&gt;indirect(address(row($D8),COLUMN($E$5))):indirect(address(row($D8),COLUMN($M$5))),TRUE()))</f>
        <v>-</v>
      </c>
      <c r="Q8" s="66">
        <f t="array" ref="Q8">if(Q$4=$D8,"-", countif(indirect(address(row($D$5)+ VLOOKUP(Q$4,$D$6:$D$17,1),COLUMN($E$5))):indirect(address(row($D$5)+ VLOOKUP(Q$4,$D$6:$D$17,1),COLUMN($M$5)))&gt;indirect(address(row($D8),COLUMN($E$5))):indirect(address(row($D8),COLUMN($M$5))),TRUE()))</f>
        <v>0</v>
      </c>
      <c r="R8" s="66">
        <f t="array" ref="R8">if(R$4=$D8,"-", countif(indirect(address(row($D$5)+ VLOOKUP(R$4,$D$6:$D$17,1),COLUMN($E$5))):indirect(address(row($D$5)+ VLOOKUP(R$4,$D$6:$D$17,1),COLUMN($M$5)))&gt;indirect(address(row($D8),COLUMN($E$5))):indirect(address(row($D8),COLUMN($M$5))),TRUE()))</f>
        <v>0</v>
      </c>
      <c r="S8" s="66">
        <f t="array" ref="S8">if(S$4=$D8,"-", countif(indirect(address(row($D$5)+ VLOOKUP(S$4,$D$6:$D$17,1),COLUMN($E$5))):indirect(address(row($D$5)+ VLOOKUP(S$4,$D$6:$D$17,1),COLUMN($M$5)))&gt;indirect(address(row($D8),COLUMN($E$5))):indirect(address(row($D8),COLUMN($M$5))),TRUE()))</f>
        <v>0</v>
      </c>
      <c r="T8" s="66">
        <f t="array" ref="T8">if(T$4=$D8,"-", countif(indirect(address(row($D$5)+ VLOOKUP(T$4,$D$6:$D$17,1),COLUMN($E$5))):indirect(address(row($D$5)+ VLOOKUP(T$4,$D$6:$D$17,1),COLUMN($M$5)))&gt;indirect(address(row($D8),COLUMN($E$5))):indirect(address(row($D8),COLUMN($M$5))),TRUE()))</f>
        <v>1</v>
      </c>
      <c r="U8" s="66">
        <f t="array" ref="U8">if(U$4=$D8,"-", countif(indirect(address(row($D$5)+ VLOOKUP(U$4,$D$6:$D$17,1),COLUMN($E$5))):indirect(address(row($D$5)+ VLOOKUP(U$4,$D$6:$D$17,1),COLUMN($M$5)))&gt;indirect(address(row($D8),COLUMN($E$5))):indirect(address(row($D8),COLUMN($M$5))),TRUE()))</f>
        <v>0</v>
      </c>
      <c r="V8" s="66">
        <f t="array" ref="V8">if(V$4=$D8,"-", countif(indirect(address(row($D$5)+ VLOOKUP(V$4,$D$6:$D$17,1),COLUMN($E$5))):indirect(address(row($D$5)+ VLOOKUP(V$4,$D$6:$D$17,1),COLUMN($M$5)))&gt;indirect(address(row($D8),COLUMN($E$5))):indirect(address(row($D8),COLUMN($M$5))),TRUE()))</f>
        <v>0</v>
      </c>
      <c r="W8" s="66">
        <f t="array" ref="W8">if(W$4=$D8,"-", countif(indirect(address(row($D$5)+ VLOOKUP(W$4,$D$6:$D$17,1),COLUMN($E$5))):indirect(address(row($D$5)+ VLOOKUP(W$4,$D$6:$D$17,1),COLUMN($M$5)))&gt;indirect(address(row($D8),COLUMN($E$5))):indirect(address(row($D8),COLUMN($M$5))),TRUE()))</f>
        <v>0</v>
      </c>
      <c r="X8" s="66">
        <f t="array" ref="X8">if(X$4=$D8,"-", countif(indirect(address(row($D$5)+ VLOOKUP(X$4,$D$6:$D$17,1),COLUMN($E$5))):indirect(address(row($D$5)+ VLOOKUP(X$4,$D$6:$D$17,1),COLUMN($M$5)))&gt;indirect(address(row($D8),COLUMN($E$5))):indirect(address(row($D8),COLUMN($M$5))),TRUE()))</f>
        <v>0</v>
      </c>
      <c r="Y8" s="66">
        <f t="array" ref="Y8">if(Y$4=$D8,"-", countif(indirect(address(row($D$5)+ VLOOKUP(Y$4,$D$6:$D$17,1),COLUMN($E$5))):indirect(address(row($D$5)+ VLOOKUP(Y$4,$D$6:$D$17,1),COLUMN($M$5)))&gt;indirect(address(row($D8),COLUMN($E$5))):indirect(address(row($D8),COLUMN($M$5))),TRUE()))</f>
        <v>0</v>
      </c>
      <c r="Z8" s="66">
        <f t="array" ref="Z8">if(E$2=$D8,"-", countif(indirect(address(row($D$5)+ VLOOKUP(E$2,$D$6:$D$17,1),COLUMN($E$5))):indirect(address(row($D$5)+ VLOOKUP(E$2,$D$6:$D$17,1),COLUMN($M$5)))&gt;indirect(address(row($D8),COLUMN($E$5))):indirect(address(row($D8),COLUMN($M$5))),TRUE()))</f>
        <v>1</v>
      </c>
      <c r="AA8" s="46">
        <f>SUM(P$6:P$17)/99</f>
        <v>0.0101010101</v>
      </c>
    </row>
    <row r="9">
      <c r="C9" s="65" t="b">
        <f>Draft!B6</f>
        <v>0</v>
      </c>
      <c r="D9" s="6">
        <v>4.0</v>
      </c>
      <c r="E9" s="46" t="str">
        <f>'All Teams'!E69</f>
        <v>#VALUE!</v>
      </c>
      <c r="F9" s="46" t="str">
        <f>'All Teams'!F69</f>
        <v>#VALUE!</v>
      </c>
      <c r="G9" s="46" t="str">
        <f>'All Teams'!G69</f>
        <v>#VALUE!</v>
      </c>
      <c r="H9" s="46" t="str">
        <f>'All Teams'!H69</f>
        <v>#VALUE!</v>
      </c>
      <c r="I9" s="46" t="str">
        <f>'All Teams'!I69</f>
        <v>#VALUE!</v>
      </c>
      <c r="J9" s="46" t="str">
        <f>'All Teams'!J69</f>
        <v>#VALUE!</v>
      </c>
      <c r="K9" s="46">
        <f>'All Teams'!K69</f>
        <v>0</v>
      </c>
      <c r="L9" s="46">
        <f>'All Teams'!L69</f>
        <v>0</v>
      </c>
      <c r="M9" s="46" t="str">
        <f>'All Teams'!M69</f>
        <v>#VALUE!</v>
      </c>
      <c r="N9" s="66">
        <f t="array" ref="N9">if(N$4=$D9,"-", countif(indirect(address(row($D$5)+ VLOOKUP(N$4,$D$6:$D$17,1),COLUMN($E$5))):indirect(address(row($D$5)+ VLOOKUP(N$4,$D$6:$D$17,1),COLUMN($M$5)))&gt;indirect(address(row($D9),COLUMN($E$5))):indirect(address(row($D9),COLUMN($M$5))),TRUE()))</f>
        <v>0</v>
      </c>
      <c r="O9" s="66">
        <f t="array" ref="O9">if(O$4=$D9,"-", countif(indirect(address(row($D$5)+ VLOOKUP(O$4,$D$6:$D$17,1),COLUMN($E$5))):indirect(address(row($D$5)+ VLOOKUP(O$4,$D$6:$D$17,1),COLUMN($M$5)))&gt;indirect(address(row($D9),COLUMN($E$5))):indirect(address(row($D9),COLUMN($M$5))),TRUE()))</f>
        <v>0</v>
      </c>
      <c r="P9" s="66">
        <f t="array" ref="P9">if(P$4=$D9,"-", countif(indirect(address(row($D$5)+ VLOOKUP(P$4,$D$6:$D$17,1),COLUMN($E$5))):indirect(address(row($D$5)+ VLOOKUP(P$4,$D$6:$D$17,1),COLUMN($M$5)))&gt;indirect(address(row($D9),COLUMN($E$5))):indirect(address(row($D9),COLUMN($M$5))),TRUE()))</f>
        <v>0</v>
      </c>
      <c r="Q9" s="66" t="str">
        <f t="array" ref="Q9">if(Q$4=$D9,"-", countif(indirect(address(row($D$5)+ VLOOKUP(Q$4,$D$6:$D$17,1),COLUMN($E$5))):indirect(address(row($D$5)+ VLOOKUP(Q$4,$D$6:$D$17,1),COLUMN($M$5)))&gt;indirect(address(row($D9),COLUMN($E$5))):indirect(address(row($D9),COLUMN($M$5))),TRUE()))</f>
        <v>-</v>
      </c>
      <c r="R9" s="66">
        <f t="array" ref="R9">if(R$4=$D9,"-", countif(indirect(address(row($D$5)+ VLOOKUP(R$4,$D$6:$D$17,1),COLUMN($E$5))):indirect(address(row($D$5)+ VLOOKUP(R$4,$D$6:$D$17,1),COLUMN($M$5)))&gt;indirect(address(row($D9),COLUMN($E$5))):indirect(address(row($D9),COLUMN($M$5))),TRUE()))</f>
        <v>0</v>
      </c>
      <c r="S9" s="66">
        <f t="array" ref="S9">if(S$4=$D9,"-", countif(indirect(address(row($D$5)+ VLOOKUP(S$4,$D$6:$D$17,1),COLUMN($E$5))):indirect(address(row($D$5)+ VLOOKUP(S$4,$D$6:$D$17,1),COLUMN($M$5)))&gt;indirect(address(row($D9),COLUMN($E$5))):indirect(address(row($D9),COLUMN($M$5))),TRUE()))</f>
        <v>0</v>
      </c>
      <c r="T9" s="66">
        <f t="array" ref="T9">if(T$4=$D9,"-", countif(indirect(address(row($D$5)+ VLOOKUP(T$4,$D$6:$D$17,1),COLUMN($E$5))):indirect(address(row($D$5)+ VLOOKUP(T$4,$D$6:$D$17,1),COLUMN($M$5)))&gt;indirect(address(row($D9),COLUMN($E$5))):indirect(address(row($D9),COLUMN($M$5))),TRUE()))</f>
        <v>1</v>
      </c>
      <c r="U9" s="66">
        <f t="array" ref="U9">if(U$4=$D9,"-", countif(indirect(address(row($D$5)+ VLOOKUP(U$4,$D$6:$D$17,1),COLUMN($E$5))):indirect(address(row($D$5)+ VLOOKUP(U$4,$D$6:$D$17,1),COLUMN($M$5)))&gt;indirect(address(row($D9),COLUMN($E$5))):indirect(address(row($D9),COLUMN($M$5))),TRUE()))</f>
        <v>0</v>
      </c>
      <c r="V9" s="66">
        <f t="array" ref="V9">if(V$4=$D9,"-", countif(indirect(address(row($D$5)+ VLOOKUP(V$4,$D$6:$D$17,1),COLUMN($E$5))):indirect(address(row($D$5)+ VLOOKUP(V$4,$D$6:$D$17,1),COLUMN($M$5)))&gt;indirect(address(row($D9),COLUMN($E$5))):indirect(address(row($D9),COLUMN($M$5))),TRUE()))</f>
        <v>0</v>
      </c>
      <c r="W9" s="66">
        <f t="array" ref="W9">if(W$4=$D9,"-", countif(indirect(address(row($D$5)+ VLOOKUP(W$4,$D$6:$D$17,1),COLUMN($E$5))):indirect(address(row($D$5)+ VLOOKUP(W$4,$D$6:$D$17,1),COLUMN($M$5)))&gt;indirect(address(row($D9),COLUMN($E$5))):indirect(address(row($D9),COLUMN($M$5))),TRUE()))</f>
        <v>0</v>
      </c>
      <c r="X9" s="66">
        <f t="array" ref="X9">if(X$4=$D9,"-", countif(indirect(address(row($D$5)+ VLOOKUP(X$4,$D$6:$D$17,1),COLUMN($E$5))):indirect(address(row($D$5)+ VLOOKUP(X$4,$D$6:$D$17,1),COLUMN($M$5)))&gt;indirect(address(row($D9),COLUMN($E$5))):indirect(address(row($D9),COLUMN($M$5))),TRUE()))</f>
        <v>0</v>
      </c>
      <c r="Y9" s="66">
        <f t="array" ref="Y9">if(Y$4=$D9,"-", countif(indirect(address(row($D$5)+ VLOOKUP(Y$4,$D$6:$D$17,1),COLUMN($E$5))):indirect(address(row($D$5)+ VLOOKUP(Y$4,$D$6:$D$17,1),COLUMN($M$5)))&gt;indirect(address(row($D9),COLUMN($E$5))):indirect(address(row($D9),COLUMN($M$5))),TRUE()))</f>
        <v>0</v>
      </c>
      <c r="Z9" s="66">
        <f t="array" ref="Z9">if(E$2=$D9,"-", countif(indirect(address(row($D$5)+ VLOOKUP(E$2,$D$6:$D$17,1),COLUMN($E$5))):indirect(address(row($D$5)+ VLOOKUP(E$2,$D$6:$D$17,1),COLUMN($M$5)))&gt;indirect(address(row($D9),COLUMN($E$5))):indirect(address(row($D9),COLUMN($M$5))),TRUE()))</f>
        <v>1</v>
      </c>
      <c r="AA9" s="46">
        <f>SUM(Q$6:Q$17)/99</f>
        <v>0.0101010101</v>
      </c>
    </row>
    <row r="10">
      <c r="C10" s="65" t="b">
        <f>Draft!B7</f>
        <v>0</v>
      </c>
      <c r="D10" s="6">
        <v>5.0</v>
      </c>
      <c r="E10" s="46" t="str">
        <f>'All Teams'!E86</f>
        <v>#VALUE!</v>
      </c>
      <c r="F10" s="46" t="str">
        <f>'All Teams'!F86</f>
        <v>#VALUE!</v>
      </c>
      <c r="G10" s="46" t="str">
        <f>'All Teams'!G86</f>
        <v>#VALUE!</v>
      </c>
      <c r="H10" s="46" t="str">
        <f>'All Teams'!H86</f>
        <v>#VALUE!</v>
      </c>
      <c r="I10" s="46" t="str">
        <f>'All Teams'!I86</f>
        <v>#VALUE!</v>
      </c>
      <c r="J10" s="46" t="str">
        <f>'All Teams'!J86</f>
        <v>#VALUE!</v>
      </c>
      <c r="K10" s="46">
        <f>'All Teams'!K86</f>
        <v>0</v>
      </c>
      <c r="L10" s="46">
        <f>'All Teams'!L86</f>
        <v>0</v>
      </c>
      <c r="M10" s="46" t="str">
        <f>'All Teams'!M86</f>
        <v>#VALUE!</v>
      </c>
      <c r="N10" s="66">
        <f t="array" ref="N10">if(N$4=$D10,"-", countif(indirect(address(row($D$5)+ VLOOKUP(N$4,$D$6:$D$17,1),COLUMN($E$5))):indirect(address(row($D$5)+ VLOOKUP(N$4,$D$6:$D$17,1),COLUMN($M$5)))&gt;indirect(address(row($D10),COLUMN($E$5))):indirect(address(row($D10),COLUMN($M$5))),TRUE()))</f>
        <v>0</v>
      </c>
      <c r="O10" s="66">
        <f t="array" ref="O10">if(O$4=$D10,"-", countif(indirect(address(row($D$5)+ VLOOKUP(O$4,$D$6:$D$17,1),COLUMN($E$5))):indirect(address(row($D$5)+ VLOOKUP(O$4,$D$6:$D$17,1),COLUMN($M$5)))&gt;indirect(address(row($D10),COLUMN($E$5))):indirect(address(row($D10),COLUMN($M$5))),TRUE()))</f>
        <v>0</v>
      </c>
      <c r="P10" s="66">
        <f t="array" ref="P10">if(P$4=$D10,"-", countif(indirect(address(row($D$5)+ VLOOKUP(P$4,$D$6:$D$17,1),COLUMN($E$5))):indirect(address(row($D$5)+ VLOOKUP(P$4,$D$6:$D$17,1),COLUMN($M$5)))&gt;indirect(address(row($D10),COLUMN($E$5))):indirect(address(row($D10),COLUMN($M$5))),TRUE()))</f>
        <v>0</v>
      </c>
      <c r="Q10" s="66">
        <f t="array" ref="Q10">if(Q$4=$D10,"-", countif(indirect(address(row($D$5)+ VLOOKUP(Q$4,$D$6:$D$17,1),COLUMN($E$5))):indirect(address(row($D$5)+ VLOOKUP(Q$4,$D$6:$D$17,1),COLUMN($M$5)))&gt;indirect(address(row($D10),COLUMN($E$5))):indirect(address(row($D10),COLUMN($M$5))),TRUE()))</f>
        <v>0</v>
      </c>
      <c r="R10" s="66" t="str">
        <f t="array" ref="R10">if(R$4=$D10,"-", countif(indirect(address(row($D$5)+ VLOOKUP(R$4,$D$6:$D$17,1),COLUMN($E$5))):indirect(address(row($D$5)+ VLOOKUP(R$4,$D$6:$D$17,1),COLUMN($M$5)))&gt;indirect(address(row($D10),COLUMN($E$5))):indirect(address(row($D10),COLUMN($M$5))),TRUE()))</f>
        <v>-</v>
      </c>
      <c r="S10" s="66">
        <f t="array" ref="S10">if(S$4=$D10,"-", countif(indirect(address(row($D$5)+ VLOOKUP(S$4,$D$6:$D$17,1),COLUMN($E$5))):indirect(address(row($D$5)+ VLOOKUP(S$4,$D$6:$D$17,1),COLUMN($M$5)))&gt;indirect(address(row($D10),COLUMN($E$5))):indirect(address(row($D10),COLUMN($M$5))),TRUE()))</f>
        <v>0</v>
      </c>
      <c r="T10" s="66">
        <f t="array" ref="T10">if(T$4=$D10,"-", countif(indirect(address(row($D$5)+ VLOOKUP(T$4,$D$6:$D$17,1),COLUMN($E$5))):indirect(address(row($D$5)+ VLOOKUP(T$4,$D$6:$D$17,1),COLUMN($M$5)))&gt;indirect(address(row($D10),COLUMN($E$5))):indirect(address(row($D10),COLUMN($M$5))),TRUE()))</f>
        <v>1</v>
      </c>
      <c r="U10" s="66">
        <f t="array" ref="U10">if(U$4=$D10,"-", countif(indirect(address(row($D$5)+ VLOOKUP(U$4,$D$6:$D$17,1),COLUMN($E$5))):indirect(address(row($D$5)+ VLOOKUP(U$4,$D$6:$D$17,1),COLUMN($M$5)))&gt;indirect(address(row($D10),COLUMN($E$5))):indirect(address(row($D10),COLUMN($M$5))),TRUE()))</f>
        <v>0</v>
      </c>
      <c r="V10" s="66">
        <f t="array" ref="V10">if(V$4=$D10,"-", countif(indirect(address(row($D$5)+ VLOOKUP(V$4,$D$6:$D$17,1),COLUMN($E$5))):indirect(address(row($D$5)+ VLOOKUP(V$4,$D$6:$D$17,1),COLUMN($M$5)))&gt;indirect(address(row($D10),COLUMN($E$5))):indirect(address(row($D10),COLUMN($M$5))),TRUE()))</f>
        <v>0</v>
      </c>
      <c r="W10" s="66">
        <f t="array" ref="W10">if(W$4=$D10,"-", countif(indirect(address(row($D$5)+ VLOOKUP(W$4,$D$6:$D$17,1),COLUMN($E$5))):indirect(address(row($D$5)+ VLOOKUP(W$4,$D$6:$D$17,1),COLUMN($M$5)))&gt;indirect(address(row($D10),COLUMN($E$5))):indirect(address(row($D10),COLUMN($M$5))),TRUE()))</f>
        <v>0</v>
      </c>
      <c r="X10" s="66">
        <f t="array" ref="X10">if(X$4=$D10,"-", countif(indirect(address(row($D$5)+ VLOOKUP(X$4,$D$6:$D$17,1),COLUMN($E$5))):indirect(address(row($D$5)+ VLOOKUP(X$4,$D$6:$D$17,1),COLUMN($M$5)))&gt;indirect(address(row($D10),COLUMN($E$5))):indirect(address(row($D10),COLUMN($M$5))),TRUE()))</f>
        <v>0</v>
      </c>
      <c r="Y10" s="66">
        <f t="array" ref="Y10">if(Y$4=$D10,"-", countif(indirect(address(row($D$5)+ VLOOKUP(Y$4,$D$6:$D$17,1),COLUMN($E$5))):indirect(address(row($D$5)+ VLOOKUP(Y$4,$D$6:$D$17,1),COLUMN($M$5)))&gt;indirect(address(row($D10),COLUMN($E$5))):indirect(address(row($D10),COLUMN($M$5))),TRUE()))</f>
        <v>0</v>
      </c>
      <c r="Z10" s="66">
        <f t="array" ref="Z10">if(E$2=$D10,"-", countif(indirect(address(row($D$5)+ VLOOKUP(E$2,$D$6:$D$17,1),COLUMN($E$5))):indirect(address(row($D$5)+ VLOOKUP(E$2,$D$6:$D$17,1),COLUMN($M$5)))&gt;indirect(address(row($D10),COLUMN($E$5))):indirect(address(row($D10),COLUMN($M$5))),TRUE()))</f>
        <v>1</v>
      </c>
      <c r="AA10" s="46">
        <f>SUM(R$6:R$17)/99</f>
        <v>0.0101010101</v>
      </c>
    </row>
    <row r="11">
      <c r="C11" s="65" t="b">
        <f>Draft!B8</f>
        <v>0</v>
      </c>
      <c r="D11" s="6">
        <v>6.0</v>
      </c>
      <c r="E11" s="46" t="str">
        <f>'All Teams'!E103</f>
        <v>#VALUE!</v>
      </c>
      <c r="F11" s="46" t="str">
        <f>'All Teams'!F103</f>
        <v>#VALUE!</v>
      </c>
      <c r="G11" s="46" t="str">
        <f>'All Teams'!G103</f>
        <v>#VALUE!</v>
      </c>
      <c r="H11" s="46" t="str">
        <f>'All Teams'!H103</f>
        <v>#VALUE!</v>
      </c>
      <c r="I11" s="46" t="str">
        <f>'All Teams'!I103</f>
        <v>#VALUE!</v>
      </c>
      <c r="J11" s="46" t="str">
        <f>'All Teams'!J103</f>
        <v>#VALUE!</v>
      </c>
      <c r="K11" s="46">
        <f>'All Teams'!K103</f>
        <v>0</v>
      </c>
      <c r="L11" s="46">
        <f>'All Teams'!L103</f>
        <v>0</v>
      </c>
      <c r="M11" s="46" t="str">
        <f>'All Teams'!M103</f>
        <v>#VALUE!</v>
      </c>
      <c r="N11" s="66">
        <f t="array" ref="N11">if(N$4=$D11,"-", countif(indirect(address(row($D$5)+ VLOOKUP(N$4,$D$6:$D$17,1),COLUMN($E$5))):indirect(address(row($D$5)+ VLOOKUP(N$4,$D$6:$D$17,1),COLUMN($M$5)))&gt;indirect(address(row($D11),COLUMN($E$5))):indirect(address(row($D11),COLUMN($M$5))),TRUE()))</f>
        <v>0</v>
      </c>
      <c r="O11" s="66">
        <f t="array" ref="O11">if(O$4=$D11,"-", countif(indirect(address(row($D$5)+ VLOOKUP(O$4,$D$6:$D$17,1),COLUMN($E$5))):indirect(address(row($D$5)+ VLOOKUP(O$4,$D$6:$D$17,1),COLUMN($M$5)))&gt;indirect(address(row($D11),COLUMN($E$5))):indirect(address(row($D11),COLUMN($M$5))),TRUE()))</f>
        <v>0</v>
      </c>
      <c r="P11" s="66">
        <f t="array" ref="P11">if(P$4=$D11,"-", countif(indirect(address(row($D$5)+ VLOOKUP(P$4,$D$6:$D$17,1),COLUMN($E$5))):indirect(address(row($D$5)+ VLOOKUP(P$4,$D$6:$D$17,1),COLUMN($M$5)))&gt;indirect(address(row($D11),COLUMN($E$5))):indirect(address(row($D11),COLUMN($M$5))),TRUE()))</f>
        <v>0</v>
      </c>
      <c r="Q11" s="66">
        <f t="array" ref="Q11">if(Q$4=$D11,"-", countif(indirect(address(row($D$5)+ VLOOKUP(Q$4,$D$6:$D$17,1),COLUMN($E$5))):indirect(address(row($D$5)+ VLOOKUP(Q$4,$D$6:$D$17,1),COLUMN($M$5)))&gt;indirect(address(row($D11),COLUMN($E$5))):indirect(address(row($D11),COLUMN($M$5))),TRUE()))</f>
        <v>0</v>
      </c>
      <c r="R11" s="66">
        <f t="array" ref="R11">if(R$4=$D11,"-", countif(indirect(address(row($D$5)+ VLOOKUP(R$4,$D$6:$D$17,1),COLUMN($E$5))):indirect(address(row($D$5)+ VLOOKUP(R$4,$D$6:$D$17,1),COLUMN($M$5)))&gt;indirect(address(row($D11),COLUMN($E$5))):indirect(address(row($D11),COLUMN($M$5))),TRUE()))</f>
        <v>0</v>
      </c>
      <c r="S11" s="66" t="str">
        <f t="array" ref="S11">if(S$4=$D11,"-", countif(indirect(address(row($D$5)+ VLOOKUP(S$4,$D$6:$D$17,1),COLUMN($E$5))):indirect(address(row($D$5)+ VLOOKUP(S$4,$D$6:$D$17,1),COLUMN($M$5)))&gt;indirect(address(row($D11),COLUMN($E$5))):indirect(address(row($D11),COLUMN($M$5))),TRUE()))</f>
        <v>-</v>
      </c>
      <c r="T11" s="66">
        <f t="array" ref="T11">if(T$4=$D11,"-", countif(indirect(address(row($D$5)+ VLOOKUP(T$4,$D$6:$D$17,1),COLUMN($E$5))):indirect(address(row($D$5)+ VLOOKUP(T$4,$D$6:$D$17,1),COLUMN($M$5)))&gt;indirect(address(row($D11),COLUMN($E$5))):indirect(address(row($D11),COLUMN($M$5))),TRUE()))</f>
        <v>1</v>
      </c>
      <c r="U11" s="66">
        <f t="array" ref="U11">if(U$4=$D11,"-", countif(indirect(address(row($D$5)+ VLOOKUP(U$4,$D$6:$D$17,1),COLUMN($E$5))):indirect(address(row($D$5)+ VLOOKUP(U$4,$D$6:$D$17,1),COLUMN($M$5)))&gt;indirect(address(row($D11),COLUMN($E$5))):indirect(address(row($D11),COLUMN($M$5))),TRUE()))</f>
        <v>0</v>
      </c>
      <c r="V11" s="66">
        <f t="array" ref="V11">if(V$4=$D11,"-", countif(indirect(address(row($D$5)+ VLOOKUP(V$4,$D$6:$D$17,1),COLUMN($E$5))):indirect(address(row($D$5)+ VLOOKUP(V$4,$D$6:$D$17,1),COLUMN($M$5)))&gt;indirect(address(row($D11),COLUMN($E$5))):indirect(address(row($D11),COLUMN($M$5))),TRUE()))</f>
        <v>0</v>
      </c>
      <c r="W11" s="66">
        <f t="array" ref="W11">if(W$4=$D11,"-", countif(indirect(address(row($D$5)+ VLOOKUP(W$4,$D$6:$D$17,1),COLUMN($E$5))):indirect(address(row($D$5)+ VLOOKUP(W$4,$D$6:$D$17,1),COLUMN($M$5)))&gt;indirect(address(row($D11),COLUMN($E$5))):indirect(address(row($D11),COLUMN($M$5))),TRUE()))</f>
        <v>0</v>
      </c>
      <c r="X11" s="66">
        <f t="array" ref="X11">if(X$4=$D11,"-", countif(indirect(address(row($D$5)+ VLOOKUP(X$4,$D$6:$D$17,1),COLUMN($E$5))):indirect(address(row($D$5)+ VLOOKUP(X$4,$D$6:$D$17,1),COLUMN($M$5)))&gt;indirect(address(row($D11),COLUMN($E$5))):indirect(address(row($D11),COLUMN($M$5))),TRUE()))</f>
        <v>0</v>
      </c>
      <c r="Y11" s="66">
        <f t="array" ref="Y11">if(Y$4=$D11,"-", countif(indirect(address(row($D$5)+ VLOOKUP(Y$4,$D$6:$D$17,1),COLUMN($E$5))):indirect(address(row($D$5)+ VLOOKUP(Y$4,$D$6:$D$17,1),COLUMN($M$5)))&gt;indirect(address(row($D11),COLUMN($E$5))):indirect(address(row($D11),COLUMN($M$5))),TRUE()))</f>
        <v>0</v>
      </c>
      <c r="Z11" s="66">
        <f t="array" ref="Z11">if(E$2=$D11,"-", countif(indirect(address(row($D$5)+ VLOOKUP(E$2,$D$6:$D$17,1),COLUMN($E$5))):indirect(address(row($D$5)+ VLOOKUP(E$2,$D$6:$D$17,1),COLUMN($M$5)))&gt;indirect(address(row($D11),COLUMN($E$5))):indirect(address(row($D11),COLUMN($M$5))),TRUE()))</f>
        <v>1</v>
      </c>
      <c r="AA11" s="46">
        <f>SUM(S$6:S$17)/99</f>
        <v>0.0101010101</v>
      </c>
    </row>
    <row r="12">
      <c r="C12" s="65" t="b">
        <f>Draft!B9</f>
        <v>1</v>
      </c>
      <c r="D12" s="6">
        <v>7.0</v>
      </c>
      <c r="E12" s="46">
        <f>'All Teams'!E120</f>
        <v>4.001939698</v>
      </c>
      <c r="F12" s="46">
        <f>'All Teams'!F120</f>
        <v>2.931537618</v>
      </c>
      <c r="G12" s="46">
        <f>'All Teams'!G120</f>
        <v>1.562779756</v>
      </c>
      <c r="H12" s="46">
        <f>'All Teams'!H120</f>
        <v>5.076135797</v>
      </c>
      <c r="I12" s="46">
        <f>'All Teams'!I120</f>
        <v>1.067406181</v>
      </c>
      <c r="J12" s="46">
        <f>'All Teams'!J120</f>
        <v>-3.396703053</v>
      </c>
      <c r="K12" s="46">
        <f>'All Teams'!K120</f>
        <v>-1.951219031</v>
      </c>
      <c r="L12" s="46">
        <f>'All Teams'!L120</f>
        <v>3.913648713</v>
      </c>
      <c r="M12" s="46">
        <f>'All Teams'!M120</f>
        <v>-6.758976616</v>
      </c>
      <c r="N12" s="66">
        <f t="array" ref="N12">if(N$4=$D12,"-", countif(indirect(address(row($D$5)+ VLOOKUP(N$4,$D$6:$D$17,1),COLUMN($E$5))):indirect(address(row($D$5)+ VLOOKUP(N$4,$D$6:$D$17,1),COLUMN($M$5)))&gt;indirect(address(row($D12),COLUMN($E$5))):indirect(address(row($D12),COLUMN($M$5))),TRUE()))</f>
        <v>1</v>
      </c>
      <c r="O12" s="66">
        <f t="array" ref="O12">if(O$4=$D12,"-", countif(indirect(address(row($D$5)+ VLOOKUP(O$4,$D$6:$D$17,1),COLUMN($E$5))):indirect(address(row($D$5)+ VLOOKUP(O$4,$D$6:$D$17,1),COLUMN($M$5)))&gt;indirect(address(row($D12),COLUMN($E$5))):indirect(address(row($D12),COLUMN($M$5))),TRUE()))</f>
        <v>1</v>
      </c>
      <c r="P12" s="66">
        <f t="array" ref="P12">if(P$4=$D12,"-", countif(indirect(address(row($D$5)+ VLOOKUP(P$4,$D$6:$D$17,1),COLUMN($E$5))):indirect(address(row($D$5)+ VLOOKUP(P$4,$D$6:$D$17,1),COLUMN($M$5)))&gt;indirect(address(row($D12),COLUMN($E$5))):indirect(address(row($D12),COLUMN($M$5))),TRUE()))</f>
        <v>1</v>
      </c>
      <c r="Q12" s="66">
        <f t="array" ref="Q12">if(Q$4=$D12,"-", countif(indirect(address(row($D$5)+ VLOOKUP(Q$4,$D$6:$D$17,1),COLUMN($E$5))):indirect(address(row($D$5)+ VLOOKUP(Q$4,$D$6:$D$17,1),COLUMN($M$5)))&gt;indirect(address(row($D12),COLUMN($E$5))):indirect(address(row($D12),COLUMN($M$5))),TRUE()))</f>
        <v>1</v>
      </c>
      <c r="R12" s="66">
        <f t="array" ref="R12">if(R$4=$D12,"-", countif(indirect(address(row($D$5)+ VLOOKUP(R$4,$D$6:$D$17,1),COLUMN($E$5))):indirect(address(row($D$5)+ VLOOKUP(R$4,$D$6:$D$17,1),COLUMN($M$5)))&gt;indirect(address(row($D12),COLUMN($E$5))):indirect(address(row($D12),COLUMN($M$5))),TRUE()))</f>
        <v>1</v>
      </c>
      <c r="S12" s="66">
        <f t="array" ref="S12">if(S$4=$D12,"-", countif(indirect(address(row($D$5)+ VLOOKUP(S$4,$D$6:$D$17,1),COLUMN($E$5))):indirect(address(row($D$5)+ VLOOKUP(S$4,$D$6:$D$17,1),COLUMN($M$5)))&gt;indirect(address(row($D12),COLUMN($E$5))):indirect(address(row($D12),COLUMN($M$5))),TRUE()))</f>
        <v>1</v>
      </c>
      <c r="T12" s="66" t="str">
        <f t="array" ref="T12">if(T$4=$D12,"-", countif(indirect(address(row($D$5)+ VLOOKUP(T$4,$D$6:$D$17,1),COLUMN($E$5))):indirect(address(row($D$5)+ VLOOKUP(T$4,$D$6:$D$17,1),COLUMN($M$5)))&gt;indirect(address(row($D12),COLUMN($E$5))):indirect(address(row($D12),COLUMN($M$5))),TRUE()))</f>
        <v>-</v>
      </c>
      <c r="U12" s="66">
        <f t="array" ref="U12">if(U$4=$D12,"-", countif(indirect(address(row($D$5)+ VLOOKUP(U$4,$D$6:$D$17,1),COLUMN($E$5))):indirect(address(row($D$5)+ VLOOKUP(U$4,$D$6:$D$17,1),COLUMN($M$5)))&gt;indirect(address(row($D12),COLUMN($E$5))):indirect(address(row($D12),COLUMN($M$5))),TRUE()))</f>
        <v>1</v>
      </c>
      <c r="V12" s="66">
        <f t="array" ref="V12">if(V$4=$D12,"-", countif(indirect(address(row($D$5)+ VLOOKUP(V$4,$D$6:$D$17,1),COLUMN($E$5))):indirect(address(row($D$5)+ VLOOKUP(V$4,$D$6:$D$17,1),COLUMN($M$5)))&gt;indirect(address(row($D12),COLUMN($E$5))):indirect(address(row($D12),COLUMN($M$5))),TRUE()))</f>
        <v>1</v>
      </c>
      <c r="W12" s="66">
        <f t="array" ref="W12">if(W$4=$D12,"-", countif(indirect(address(row($D$5)+ VLOOKUP(W$4,$D$6:$D$17,1),COLUMN($E$5))):indirect(address(row($D$5)+ VLOOKUP(W$4,$D$6:$D$17,1),COLUMN($M$5)))&gt;indirect(address(row($D12),COLUMN($E$5))):indirect(address(row($D12),COLUMN($M$5))),TRUE()))</f>
        <v>1</v>
      </c>
      <c r="X12" s="66">
        <f t="array" ref="X12">if(X$4=$D12,"-", countif(indirect(address(row($D$5)+ VLOOKUP(X$4,$D$6:$D$17,1),COLUMN($E$5))):indirect(address(row($D$5)+ VLOOKUP(X$4,$D$6:$D$17,1),COLUMN($M$5)))&gt;indirect(address(row($D12),COLUMN($E$5))):indirect(address(row($D12),COLUMN($M$5))),TRUE()))</f>
        <v>1</v>
      </c>
      <c r="Y12" s="66">
        <f t="array" ref="Y12">if(Y$4=$D12,"-", countif(indirect(address(row($D$5)+ VLOOKUP(Y$4,$D$6:$D$17,1),COLUMN($E$5))):indirect(address(row($D$5)+ VLOOKUP(Y$4,$D$6:$D$17,1),COLUMN($M$5)))&gt;indirect(address(row($D12),COLUMN($E$5))):indirect(address(row($D12),COLUMN($M$5))),TRUE()))</f>
        <v>1</v>
      </c>
      <c r="Z12" s="66" t="str">
        <f t="array" ref="Z12">if(E$2=$D12,"-", countif(indirect(address(row($D$5)+ VLOOKUP(E$2,$D$6:$D$17,1),COLUMN($E$5))):indirect(address(row($D$5)+ VLOOKUP(E$2,$D$6:$D$17,1),COLUMN($M$5)))&gt;indirect(address(row($D12),COLUMN($E$5))):indirect(address(row($D12),COLUMN($M$5))),TRUE()))</f>
        <v>-</v>
      </c>
      <c r="AA12" s="46">
        <f>SUM(T$6:T$17)/99</f>
        <v>0.1111111111</v>
      </c>
    </row>
    <row r="13">
      <c r="C13" s="65" t="b">
        <f>Draft!B10</f>
        <v>0</v>
      </c>
      <c r="D13" s="6">
        <v>8.0</v>
      </c>
      <c r="E13" s="46" t="str">
        <f>'All Teams'!E137</f>
        <v>#VALUE!</v>
      </c>
      <c r="F13" s="46" t="str">
        <f>'All Teams'!F137</f>
        <v>#VALUE!</v>
      </c>
      <c r="G13" s="46" t="str">
        <f>'All Teams'!G137</f>
        <v>#VALUE!</v>
      </c>
      <c r="H13" s="46" t="str">
        <f>'All Teams'!H137</f>
        <v>#VALUE!</v>
      </c>
      <c r="I13" s="46" t="str">
        <f>'All Teams'!I137</f>
        <v>#VALUE!</v>
      </c>
      <c r="J13" s="46" t="str">
        <f>'All Teams'!J137</f>
        <v>#VALUE!</v>
      </c>
      <c r="K13" s="46">
        <f>'All Teams'!K137</f>
        <v>0</v>
      </c>
      <c r="L13" s="46">
        <f>'All Teams'!L137</f>
        <v>0</v>
      </c>
      <c r="M13" s="46" t="str">
        <f>'All Teams'!M137</f>
        <v>#VALUE!</v>
      </c>
      <c r="N13" s="66">
        <f t="array" ref="N13">if(N$4=$D13,"-", countif(indirect(address(row($D$5)+ VLOOKUP(N$4,$D$6:$D$17,1),COLUMN($E$5))):indirect(address(row($D$5)+ VLOOKUP(N$4,$D$6:$D$17,1),COLUMN($M$5)))&gt;indirect(address(row($D13),COLUMN($E$5))):indirect(address(row($D13),COLUMN($M$5))),TRUE()))</f>
        <v>0</v>
      </c>
      <c r="O13" s="66">
        <f t="array" ref="O13">if(O$4=$D13,"-", countif(indirect(address(row($D$5)+ VLOOKUP(O$4,$D$6:$D$17,1),COLUMN($E$5))):indirect(address(row($D$5)+ VLOOKUP(O$4,$D$6:$D$17,1),COLUMN($M$5)))&gt;indirect(address(row($D13),COLUMN($E$5))):indirect(address(row($D13),COLUMN($M$5))),TRUE()))</f>
        <v>0</v>
      </c>
      <c r="P13" s="66">
        <f t="array" ref="P13">if(P$4=$D13,"-", countif(indirect(address(row($D$5)+ VLOOKUP(P$4,$D$6:$D$17,1),COLUMN($E$5))):indirect(address(row($D$5)+ VLOOKUP(P$4,$D$6:$D$17,1),COLUMN($M$5)))&gt;indirect(address(row($D13),COLUMN($E$5))):indirect(address(row($D13),COLUMN($M$5))),TRUE()))</f>
        <v>0</v>
      </c>
      <c r="Q13" s="66">
        <f t="array" ref="Q13">if(Q$4=$D13,"-", countif(indirect(address(row($D$5)+ VLOOKUP(Q$4,$D$6:$D$17,1),COLUMN($E$5))):indirect(address(row($D$5)+ VLOOKUP(Q$4,$D$6:$D$17,1),COLUMN($M$5)))&gt;indirect(address(row($D13),COLUMN($E$5))):indirect(address(row($D13),COLUMN($M$5))),TRUE()))</f>
        <v>0</v>
      </c>
      <c r="R13" s="66">
        <f t="array" ref="R13">if(R$4=$D13,"-", countif(indirect(address(row($D$5)+ VLOOKUP(R$4,$D$6:$D$17,1),COLUMN($E$5))):indirect(address(row($D$5)+ VLOOKUP(R$4,$D$6:$D$17,1),COLUMN($M$5)))&gt;indirect(address(row($D13),COLUMN($E$5))):indirect(address(row($D13),COLUMN($M$5))),TRUE()))</f>
        <v>0</v>
      </c>
      <c r="S13" s="66">
        <f t="array" ref="S13">if(S$4=$D13,"-", countif(indirect(address(row($D$5)+ VLOOKUP(S$4,$D$6:$D$17,1),COLUMN($E$5))):indirect(address(row($D$5)+ VLOOKUP(S$4,$D$6:$D$17,1),COLUMN($M$5)))&gt;indirect(address(row($D13),COLUMN($E$5))):indirect(address(row($D13),COLUMN($M$5))),TRUE()))</f>
        <v>0</v>
      </c>
      <c r="T13" s="66">
        <f t="array" ref="T13">if(T$4=$D13,"-", countif(indirect(address(row($D$5)+ VLOOKUP(T$4,$D$6:$D$17,1),COLUMN($E$5))):indirect(address(row($D$5)+ VLOOKUP(T$4,$D$6:$D$17,1),COLUMN($M$5)))&gt;indirect(address(row($D13),COLUMN($E$5))):indirect(address(row($D13),COLUMN($M$5))),TRUE()))</f>
        <v>1</v>
      </c>
      <c r="U13" s="66" t="str">
        <f t="array" ref="U13">if(U$4=$D13,"-", countif(indirect(address(row($D$5)+ VLOOKUP(U$4,$D$6:$D$17,1),COLUMN($E$5))):indirect(address(row($D$5)+ VLOOKUP(U$4,$D$6:$D$17,1),COLUMN($M$5)))&gt;indirect(address(row($D13),COLUMN($E$5))):indirect(address(row($D13),COLUMN($M$5))),TRUE()))</f>
        <v>-</v>
      </c>
      <c r="V13" s="66">
        <f t="array" ref="V13">if(V$4=$D13,"-", countif(indirect(address(row($D$5)+ VLOOKUP(V$4,$D$6:$D$17,1),COLUMN($E$5))):indirect(address(row($D$5)+ VLOOKUP(V$4,$D$6:$D$17,1),COLUMN($M$5)))&gt;indirect(address(row($D13),COLUMN($E$5))):indirect(address(row($D13),COLUMN($M$5))),TRUE()))</f>
        <v>0</v>
      </c>
      <c r="W13" s="66">
        <f t="array" ref="W13">if(W$4=$D13,"-", countif(indirect(address(row($D$5)+ VLOOKUP(W$4,$D$6:$D$17,1),COLUMN($E$5))):indirect(address(row($D$5)+ VLOOKUP(W$4,$D$6:$D$17,1),COLUMN($M$5)))&gt;indirect(address(row($D13),COLUMN($E$5))):indirect(address(row($D13),COLUMN($M$5))),TRUE()))</f>
        <v>0</v>
      </c>
      <c r="X13" s="66">
        <f t="array" ref="X13">if(X$4=$D13,"-", countif(indirect(address(row($D$5)+ VLOOKUP(X$4,$D$6:$D$17,1),COLUMN($E$5))):indirect(address(row($D$5)+ VLOOKUP(X$4,$D$6:$D$17,1),COLUMN($M$5)))&gt;indirect(address(row($D13),COLUMN($E$5))):indirect(address(row($D13),COLUMN($M$5))),TRUE()))</f>
        <v>0</v>
      </c>
      <c r="Y13" s="66">
        <f t="array" ref="Y13">if(Y$4=$D13,"-", countif(indirect(address(row($D$5)+ VLOOKUP(Y$4,$D$6:$D$17,1),COLUMN($E$5))):indirect(address(row($D$5)+ VLOOKUP(Y$4,$D$6:$D$17,1),COLUMN($M$5)))&gt;indirect(address(row($D13),COLUMN($E$5))):indirect(address(row($D13),COLUMN($M$5))),TRUE()))</f>
        <v>0</v>
      </c>
      <c r="Z13" s="66">
        <f t="array" ref="Z13">if(E$2=$D13,"-", countif(indirect(address(row($D$5)+ VLOOKUP(E$2,$D$6:$D$17,1),COLUMN($E$5))):indirect(address(row($D$5)+ VLOOKUP(E$2,$D$6:$D$17,1),COLUMN($M$5)))&gt;indirect(address(row($D13),COLUMN($E$5))):indirect(address(row($D13),COLUMN($M$5))),TRUE()))</f>
        <v>1</v>
      </c>
      <c r="AA13" s="46">
        <f>SUM(U$6:U$17)/99</f>
        <v>0.0101010101</v>
      </c>
      <c r="AB13" s="67"/>
    </row>
    <row r="14">
      <c r="C14" s="65" t="b">
        <f>Draft!B11</f>
        <v>0</v>
      </c>
      <c r="D14" s="6">
        <v>9.0</v>
      </c>
      <c r="E14" s="46" t="str">
        <f>'All Teams'!E154</f>
        <v>#VALUE!</v>
      </c>
      <c r="F14" s="46" t="str">
        <f>'All Teams'!F154</f>
        <v>#VALUE!</v>
      </c>
      <c r="G14" s="46" t="str">
        <f>'All Teams'!G154</f>
        <v>#VALUE!</v>
      </c>
      <c r="H14" s="46" t="str">
        <f>'All Teams'!H154</f>
        <v>#VALUE!</v>
      </c>
      <c r="I14" s="46" t="str">
        <f>'All Teams'!I154</f>
        <v>#VALUE!</v>
      </c>
      <c r="J14" s="46" t="str">
        <f>'All Teams'!J154</f>
        <v>#VALUE!</v>
      </c>
      <c r="K14" s="46">
        <f>'All Teams'!K154</f>
        <v>0</v>
      </c>
      <c r="L14" s="46">
        <f>'All Teams'!L154</f>
        <v>0</v>
      </c>
      <c r="M14" s="46" t="str">
        <f>'All Teams'!M154</f>
        <v>#VALUE!</v>
      </c>
      <c r="N14" s="66">
        <f t="array" ref="N14">if(N$4=$D14,"-", countif(indirect(address(row($D$5)+ VLOOKUP(N$4,$D$6:$D$17,1),COLUMN($E$5))):indirect(address(row($D$5)+ VLOOKUP(N$4,$D$6:$D$17,1),COLUMN($M$5)))&gt;indirect(address(row($D14),COLUMN($E$5))):indirect(address(row($D14),COLUMN($M$5))),TRUE()))</f>
        <v>0</v>
      </c>
      <c r="O14" s="66">
        <f t="array" ref="O14">if(O$4=$D14,"-", countif(indirect(address(row($D$5)+ VLOOKUP(O$4,$D$6:$D$17,1),COLUMN($E$5))):indirect(address(row($D$5)+ VLOOKUP(O$4,$D$6:$D$17,1),COLUMN($M$5)))&gt;indirect(address(row($D14),COLUMN($E$5))):indirect(address(row($D14),COLUMN($M$5))),TRUE()))</f>
        <v>0</v>
      </c>
      <c r="P14" s="66">
        <f t="array" ref="P14">if(P$4=$D14,"-", countif(indirect(address(row($D$5)+ VLOOKUP(P$4,$D$6:$D$17,1),COLUMN($E$5))):indirect(address(row($D$5)+ VLOOKUP(P$4,$D$6:$D$17,1),COLUMN($M$5)))&gt;indirect(address(row($D14),COLUMN($E$5))):indirect(address(row($D14),COLUMN($M$5))),TRUE()))</f>
        <v>0</v>
      </c>
      <c r="Q14" s="66">
        <f t="array" ref="Q14">if(Q$4=$D14,"-", countif(indirect(address(row($D$5)+ VLOOKUP(Q$4,$D$6:$D$17,1),COLUMN($E$5))):indirect(address(row($D$5)+ VLOOKUP(Q$4,$D$6:$D$17,1),COLUMN($M$5)))&gt;indirect(address(row($D14),COLUMN($E$5))):indirect(address(row($D14),COLUMN($M$5))),TRUE()))</f>
        <v>0</v>
      </c>
      <c r="R14" s="66">
        <f t="array" ref="R14">if(R$4=$D14,"-", countif(indirect(address(row($D$5)+ VLOOKUP(R$4,$D$6:$D$17,1),COLUMN($E$5))):indirect(address(row($D$5)+ VLOOKUP(R$4,$D$6:$D$17,1),COLUMN($M$5)))&gt;indirect(address(row($D14),COLUMN($E$5))):indirect(address(row($D14),COLUMN($M$5))),TRUE()))</f>
        <v>0</v>
      </c>
      <c r="S14" s="66">
        <f t="array" ref="S14">if(S$4=$D14,"-", countif(indirect(address(row($D$5)+ VLOOKUP(S$4,$D$6:$D$17,1),COLUMN($E$5))):indirect(address(row($D$5)+ VLOOKUP(S$4,$D$6:$D$17,1),COLUMN($M$5)))&gt;indirect(address(row($D14),COLUMN($E$5))):indirect(address(row($D14),COLUMN($M$5))),TRUE()))</f>
        <v>0</v>
      </c>
      <c r="T14" s="66">
        <f t="array" ref="T14">if(T$4=$D14,"-", countif(indirect(address(row($D$5)+ VLOOKUP(T$4,$D$6:$D$17,1),COLUMN($E$5))):indirect(address(row($D$5)+ VLOOKUP(T$4,$D$6:$D$17,1),COLUMN($M$5)))&gt;indirect(address(row($D14),COLUMN($E$5))):indirect(address(row($D14),COLUMN($M$5))),TRUE()))</f>
        <v>1</v>
      </c>
      <c r="U14" s="66">
        <f t="array" ref="U14">if(U$4=$D14,"-", countif(indirect(address(row($D$5)+ VLOOKUP(U$4,$D$6:$D$17,1),COLUMN($E$5))):indirect(address(row($D$5)+ VLOOKUP(U$4,$D$6:$D$17,1),COLUMN($M$5)))&gt;indirect(address(row($D14),COLUMN($E$5))):indirect(address(row($D14),COLUMN($M$5))),TRUE()))</f>
        <v>0</v>
      </c>
      <c r="V14" s="66" t="str">
        <f t="array" ref="V14">if(V$4=$D14,"-", countif(indirect(address(row($D$5)+ VLOOKUP(V$4,$D$6:$D$17,1),COLUMN($E$5))):indirect(address(row($D$5)+ VLOOKUP(V$4,$D$6:$D$17,1),COLUMN($M$5)))&gt;indirect(address(row($D14),COLUMN($E$5))):indirect(address(row($D14),COLUMN($M$5))),TRUE()))</f>
        <v>-</v>
      </c>
      <c r="W14" s="66">
        <f t="array" ref="W14">if(W$4=$D14,"-", countif(indirect(address(row($D$5)+ VLOOKUP(W$4,$D$6:$D$17,1),COLUMN($E$5))):indirect(address(row($D$5)+ VLOOKUP(W$4,$D$6:$D$17,1),COLUMN($M$5)))&gt;indirect(address(row($D14),COLUMN($E$5))):indirect(address(row($D14),COLUMN($M$5))),TRUE()))</f>
        <v>0</v>
      </c>
      <c r="X14" s="66">
        <f t="array" ref="X14">if(X$4=$D14,"-", countif(indirect(address(row($D$5)+ VLOOKUP(X$4,$D$6:$D$17,1),COLUMN($E$5))):indirect(address(row($D$5)+ VLOOKUP(X$4,$D$6:$D$17,1),COLUMN($M$5)))&gt;indirect(address(row($D14),COLUMN($E$5))):indirect(address(row($D14),COLUMN($M$5))),TRUE()))</f>
        <v>0</v>
      </c>
      <c r="Y14" s="66">
        <f t="array" ref="Y14">if(Y$4=$D14,"-", countif(indirect(address(row($D$5)+ VLOOKUP(Y$4,$D$6:$D$17,1),COLUMN($E$5))):indirect(address(row($D$5)+ VLOOKUP(Y$4,$D$6:$D$17,1),COLUMN($M$5)))&gt;indirect(address(row($D14),COLUMN($E$5))):indirect(address(row($D14),COLUMN($M$5))),TRUE()))</f>
        <v>0</v>
      </c>
      <c r="Z14" s="66">
        <f t="array" ref="Z14">if(E$2=$D14,"-", countif(indirect(address(row($D$5)+ VLOOKUP(E$2,$D$6:$D$17,1),COLUMN($E$5))):indirect(address(row($D$5)+ VLOOKUP(E$2,$D$6:$D$17,1),COLUMN($M$5)))&gt;indirect(address(row($D14),COLUMN($E$5))):indirect(address(row($D14),COLUMN($M$5))),TRUE()))</f>
        <v>1</v>
      </c>
      <c r="AA14" s="46">
        <f>SUM(V$6:V$17)/99</f>
        <v>0.0101010101</v>
      </c>
    </row>
    <row r="15">
      <c r="C15" s="65" t="b">
        <f>Draft!B12</f>
        <v>0</v>
      </c>
      <c r="D15" s="6">
        <v>10.0</v>
      </c>
      <c r="E15" s="46" t="str">
        <f>'All Teams'!E171</f>
        <v>#VALUE!</v>
      </c>
      <c r="F15" s="46" t="str">
        <f>'All Teams'!F171</f>
        <v>#VALUE!</v>
      </c>
      <c r="G15" s="46" t="str">
        <f>'All Teams'!G171</f>
        <v>#VALUE!</v>
      </c>
      <c r="H15" s="46" t="str">
        <f>'All Teams'!H171</f>
        <v>#VALUE!</v>
      </c>
      <c r="I15" s="46" t="str">
        <f>'All Teams'!I171</f>
        <v>#VALUE!</v>
      </c>
      <c r="J15" s="46" t="str">
        <f>'All Teams'!J171</f>
        <v>#VALUE!</v>
      </c>
      <c r="K15" s="46">
        <f>'All Teams'!K171</f>
        <v>0</v>
      </c>
      <c r="L15" s="46">
        <f>'All Teams'!L171</f>
        <v>0</v>
      </c>
      <c r="M15" s="46" t="str">
        <f>'All Teams'!M171</f>
        <v>#VALUE!</v>
      </c>
      <c r="N15" s="66">
        <f t="array" ref="N15">if(N$4=$D15,"-", countif(indirect(address(row($D$5)+ VLOOKUP(N$4,$D$6:$D$17,1),COLUMN($E$5))):indirect(address(row($D$5)+ VLOOKUP(N$4,$D$6:$D$17,1),COLUMN($M$5)))&gt;indirect(address(row($D15),COLUMN($E$5))):indirect(address(row($D15),COLUMN($M$5))),TRUE()))</f>
        <v>0</v>
      </c>
      <c r="O15" s="66">
        <f t="array" ref="O15">if(O$4=$D15,"-", countif(indirect(address(row($D$5)+ VLOOKUP(O$4,$D$6:$D$17,1),COLUMN($E$5))):indirect(address(row($D$5)+ VLOOKUP(O$4,$D$6:$D$17,1),COLUMN($M$5)))&gt;indirect(address(row($D15),COLUMN($E$5))):indirect(address(row($D15),COLUMN($M$5))),TRUE()))</f>
        <v>0</v>
      </c>
      <c r="P15" s="66">
        <f t="array" ref="P15">if(P$4=$D15,"-", countif(indirect(address(row($D$5)+ VLOOKUP(P$4,$D$6:$D$17,1),COLUMN($E$5))):indirect(address(row($D$5)+ VLOOKUP(P$4,$D$6:$D$17,1),COLUMN($M$5)))&gt;indirect(address(row($D15),COLUMN($E$5))):indirect(address(row($D15),COLUMN($M$5))),TRUE()))</f>
        <v>0</v>
      </c>
      <c r="Q15" s="66">
        <f t="array" ref="Q15">if(Q$4=$D15,"-", countif(indirect(address(row($D$5)+ VLOOKUP(Q$4,$D$6:$D$17,1),COLUMN($E$5))):indirect(address(row($D$5)+ VLOOKUP(Q$4,$D$6:$D$17,1),COLUMN($M$5)))&gt;indirect(address(row($D15),COLUMN($E$5))):indirect(address(row($D15),COLUMN($M$5))),TRUE()))</f>
        <v>0</v>
      </c>
      <c r="R15" s="66">
        <f t="array" ref="R15">if(R$4=$D15,"-", countif(indirect(address(row($D$5)+ VLOOKUP(R$4,$D$6:$D$17,1),COLUMN($E$5))):indirect(address(row($D$5)+ VLOOKUP(R$4,$D$6:$D$17,1),COLUMN($M$5)))&gt;indirect(address(row($D15),COLUMN($E$5))):indirect(address(row($D15),COLUMN($M$5))),TRUE()))</f>
        <v>0</v>
      </c>
      <c r="S15" s="66">
        <f t="array" ref="S15">if(S$4=$D15,"-", countif(indirect(address(row($D$5)+ VLOOKUP(S$4,$D$6:$D$17,1),COLUMN($E$5))):indirect(address(row($D$5)+ VLOOKUP(S$4,$D$6:$D$17,1),COLUMN($M$5)))&gt;indirect(address(row($D15),COLUMN($E$5))):indirect(address(row($D15),COLUMN($M$5))),TRUE()))</f>
        <v>0</v>
      </c>
      <c r="T15" s="66">
        <f t="array" ref="T15">if(T$4=$D15,"-", countif(indirect(address(row($D$5)+ VLOOKUP(T$4,$D$6:$D$17,1),COLUMN($E$5))):indirect(address(row($D$5)+ VLOOKUP(T$4,$D$6:$D$17,1),COLUMN($M$5)))&gt;indirect(address(row($D15),COLUMN($E$5))):indirect(address(row($D15),COLUMN($M$5))),TRUE()))</f>
        <v>1</v>
      </c>
      <c r="U15" s="66">
        <f t="array" ref="U15">if(U$4=$D15,"-", countif(indirect(address(row($D$5)+ VLOOKUP(U$4,$D$6:$D$17,1),COLUMN($E$5))):indirect(address(row($D$5)+ VLOOKUP(U$4,$D$6:$D$17,1),COLUMN($M$5)))&gt;indirect(address(row($D15),COLUMN($E$5))):indirect(address(row($D15),COLUMN($M$5))),TRUE()))</f>
        <v>0</v>
      </c>
      <c r="V15" s="66">
        <f t="array" ref="V15">if(V$4=$D15,"-", countif(indirect(address(row($D$5)+ VLOOKUP(V$4,$D$6:$D$17,1),COLUMN($E$5))):indirect(address(row($D$5)+ VLOOKUP(V$4,$D$6:$D$17,1),COLUMN($M$5)))&gt;indirect(address(row($D15),COLUMN($E$5))):indirect(address(row($D15),COLUMN($M$5))),TRUE()))</f>
        <v>0</v>
      </c>
      <c r="W15" s="66" t="str">
        <f t="array" ref="W15">if(W$4=$D15,"-", countif(indirect(address(row($D$5)+ VLOOKUP(W$4,$D$6:$D$17,1),COLUMN($E$5))):indirect(address(row($D$5)+ VLOOKUP(W$4,$D$6:$D$17,1),COLUMN($M$5)))&gt;indirect(address(row($D15),COLUMN($E$5))):indirect(address(row($D15),COLUMN($M$5))),TRUE()))</f>
        <v>-</v>
      </c>
      <c r="X15" s="66">
        <f t="array" ref="X15">if(X$4=$D15,"-", countif(indirect(address(row($D$5)+ VLOOKUP(X$4,$D$6:$D$17,1),COLUMN($E$5))):indirect(address(row($D$5)+ VLOOKUP(X$4,$D$6:$D$17,1),COLUMN($M$5)))&gt;indirect(address(row($D15),COLUMN($E$5))):indirect(address(row($D15),COLUMN($M$5))),TRUE()))</f>
        <v>0</v>
      </c>
      <c r="Y15" s="66">
        <f t="array" ref="Y15">if(Y$4=$D15,"-", countif(indirect(address(row($D$5)+ VLOOKUP(Y$4,$D$6:$D$17,1),COLUMN($E$5))):indirect(address(row($D$5)+ VLOOKUP(Y$4,$D$6:$D$17,1),COLUMN($M$5)))&gt;indirect(address(row($D15),COLUMN($E$5))):indirect(address(row($D15),COLUMN($M$5))),TRUE()))</f>
        <v>0</v>
      </c>
      <c r="Z15" s="66">
        <f t="array" ref="Z15">if(E$2=$D15,"-", countif(indirect(address(row($D$5)+ VLOOKUP(E$2,$D$6:$D$17,1),COLUMN($E$5))):indirect(address(row($D$5)+ VLOOKUP(E$2,$D$6:$D$17,1),COLUMN($M$5)))&gt;indirect(address(row($D15),COLUMN($E$5))):indirect(address(row($D15),COLUMN($M$5))),TRUE()))</f>
        <v>1</v>
      </c>
      <c r="AA15" s="46">
        <f>SUM(W$6:W$17)/99</f>
        <v>0.0101010101</v>
      </c>
    </row>
    <row r="16">
      <c r="C16" s="65" t="b">
        <f>Draft!B13</f>
        <v>0</v>
      </c>
      <c r="D16" s="6">
        <v>11.0</v>
      </c>
      <c r="E16" s="46" t="str">
        <f>'All Teams'!E188</f>
        <v>#VALUE!</v>
      </c>
      <c r="F16" s="46" t="str">
        <f>'All Teams'!F188</f>
        <v>#VALUE!</v>
      </c>
      <c r="G16" s="46" t="str">
        <f>'All Teams'!G188</f>
        <v>#VALUE!</v>
      </c>
      <c r="H16" s="46" t="str">
        <f>'All Teams'!H188</f>
        <v>#VALUE!</v>
      </c>
      <c r="I16" s="46" t="str">
        <f>'All Teams'!I188</f>
        <v>#VALUE!</v>
      </c>
      <c r="J16" s="46" t="str">
        <f>'All Teams'!J188</f>
        <v>#VALUE!</v>
      </c>
      <c r="K16" s="46">
        <f>'All Teams'!K188</f>
        <v>0</v>
      </c>
      <c r="L16" s="46">
        <f>'All Teams'!L188</f>
        <v>0</v>
      </c>
      <c r="M16" s="46" t="str">
        <f>'All Teams'!M188</f>
        <v>#VALUE!</v>
      </c>
      <c r="N16" s="66">
        <f t="array" ref="N16">if(N$4=$D16,"-", countif(indirect(address(row($D$5)+ VLOOKUP(N$4,$D$6:$D$17,1),COLUMN($E$5))):indirect(address(row($D$5)+ VLOOKUP(N$4,$D$6:$D$17,1),COLUMN($M$5)))&gt;indirect(address(row($D16),COLUMN($E$5))):indirect(address(row($D16),COLUMN($M$5))),TRUE()))</f>
        <v>0</v>
      </c>
      <c r="O16" s="66">
        <f t="array" ref="O16">if(O$4=$D16,"-", countif(indirect(address(row($D$5)+ VLOOKUP(O$4,$D$6:$D$17,1),COLUMN($E$5))):indirect(address(row($D$5)+ VLOOKUP(O$4,$D$6:$D$17,1),COLUMN($M$5)))&gt;indirect(address(row($D16),COLUMN($E$5))):indirect(address(row($D16),COLUMN($M$5))),TRUE()))</f>
        <v>0</v>
      </c>
      <c r="P16" s="66">
        <f t="array" ref="P16">if(P$4=$D16,"-", countif(indirect(address(row($D$5)+ VLOOKUP(P$4,$D$6:$D$17,1),COLUMN($E$5))):indirect(address(row($D$5)+ VLOOKUP(P$4,$D$6:$D$17,1),COLUMN($M$5)))&gt;indirect(address(row($D16),COLUMN($E$5))):indirect(address(row($D16),COLUMN($M$5))),TRUE()))</f>
        <v>0</v>
      </c>
      <c r="Q16" s="66">
        <f t="array" ref="Q16">if(Q$4=$D16,"-", countif(indirect(address(row($D$5)+ VLOOKUP(Q$4,$D$6:$D$17,1),COLUMN($E$5))):indirect(address(row($D$5)+ VLOOKUP(Q$4,$D$6:$D$17,1),COLUMN($M$5)))&gt;indirect(address(row($D16),COLUMN($E$5))):indirect(address(row($D16),COLUMN($M$5))),TRUE()))</f>
        <v>0</v>
      </c>
      <c r="R16" s="66">
        <f t="array" ref="R16">if(R$4=$D16,"-", countif(indirect(address(row($D$5)+ VLOOKUP(R$4,$D$6:$D$17,1),COLUMN($E$5))):indirect(address(row($D$5)+ VLOOKUP(R$4,$D$6:$D$17,1),COLUMN($M$5)))&gt;indirect(address(row($D16),COLUMN($E$5))):indirect(address(row($D16),COLUMN($M$5))),TRUE()))</f>
        <v>0</v>
      </c>
      <c r="S16" s="66">
        <f t="array" ref="S16">if(S$4=$D16,"-", countif(indirect(address(row($D$5)+ VLOOKUP(S$4,$D$6:$D$17,1),COLUMN($E$5))):indirect(address(row($D$5)+ VLOOKUP(S$4,$D$6:$D$17,1),COLUMN($M$5)))&gt;indirect(address(row($D16),COLUMN($E$5))):indirect(address(row($D16),COLUMN($M$5))),TRUE()))</f>
        <v>0</v>
      </c>
      <c r="T16" s="66">
        <f t="array" ref="T16">if(T$4=$D16,"-", countif(indirect(address(row($D$5)+ VLOOKUP(T$4,$D$6:$D$17,1),COLUMN($E$5))):indirect(address(row($D$5)+ VLOOKUP(T$4,$D$6:$D$17,1),COLUMN($M$5)))&gt;indirect(address(row($D16),COLUMN($E$5))):indirect(address(row($D16),COLUMN($M$5))),TRUE()))</f>
        <v>1</v>
      </c>
      <c r="U16" s="66">
        <f t="array" ref="U16">if(U$4=$D16,"-", countif(indirect(address(row($D$5)+ VLOOKUP(U$4,$D$6:$D$17,1),COLUMN($E$5))):indirect(address(row($D$5)+ VLOOKUP(U$4,$D$6:$D$17,1),COLUMN($M$5)))&gt;indirect(address(row($D16),COLUMN($E$5))):indirect(address(row($D16),COLUMN($M$5))),TRUE()))</f>
        <v>0</v>
      </c>
      <c r="V16" s="66">
        <f t="array" ref="V16">if(V$4=$D16,"-", countif(indirect(address(row($D$5)+ VLOOKUP(V$4,$D$6:$D$17,1),COLUMN($E$5))):indirect(address(row($D$5)+ VLOOKUP(V$4,$D$6:$D$17,1),COLUMN($M$5)))&gt;indirect(address(row($D16),COLUMN($E$5))):indirect(address(row($D16),COLUMN($M$5))),TRUE()))</f>
        <v>0</v>
      </c>
      <c r="W16" s="66">
        <f t="array" ref="W16">if(W$4=$D16,"-", countif(indirect(address(row($D$5)+ VLOOKUP(W$4,$D$6:$D$17,1),COLUMN($E$5))):indirect(address(row($D$5)+ VLOOKUP(W$4,$D$6:$D$17,1),COLUMN($M$5)))&gt;indirect(address(row($D16),COLUMN($E$5))):indirect(address(row($D16),COLUMN($M$5))),TRUE()))</f>
        <v>0</v>
      </c>
      <c r="X16" s="66" t="str">
        <f t="array" ref="X16">if(X$4=$D16,"-", countif(indirect(address(row($D$5)+ VLOOKUP(X$4,$D$6:$D$17,1),COLUMN($E$5))):indirect(address(row($D$5)+ VLOOKUP(X$4,$D$6:$D$17,1),COLUMN($M$5)))&gt;indirect(address(row($D16),COLUMN($E$5))):indirect(address(row($D16),COLUMN($M$5))),TRUE()))</f>
        <v>-</v>
      </c>
      <c r="Y16" s="66">
        <f t="array" ref="Y16">if(Y$4=$D16,"-", countif(indirect(address(row($D$5)+ VLOOKUP(Y$4,$D$6:$D$17,1),COLUMN($E$5))):indirect(address(row($D$5)+ VLOOKUP(Y$4,$D$6:$D$17,1),COLUMN($M$5)))&gt;indirect(address(row($D16),COLUMN($E$5))):indirect(address(row($D16),COLUMN($M$5))),TRUE()))</f>
        <v>0</v>
      </c>
      <c r="Z16" s="66">
        <f t="array" ref="Z16">if(E$2=$D16,"-", countif(indirect(address(row($D$5)+ VLOOKUP(E$2,$D$6:$D$17,1),COLUMN($E$5))):indirect(address(row($D$5)+ VLOOKUP(E$2,$D$6:$D$17,1),COLUMN($M$5)))&gt;indirect(address(row($D16),COLUMN($E$5))):indirect(address(row($D16),COLUMN($M$5))),TRUE()))</f>
        <v>1</v>
      </c>
      <c r="AA16" s="46">
        <f>SUM(X$6:X$17)/99</f>
        <v>0.0101010101</v>
      </c>
    </row>
    <row r="17">
      <c r="C17" s="65" t="b">
        <f>Draft!B14</f>
        <v>0</v>
      </c>
      <c r="D17" s="6">
        <v>12.0</v>
      </c>
      <c r="E17" s="46" t="str">
        <f>'All Teams'!E205</f>
        <v>#VALUE!</v>
      </c>
      <c r="F17" s="46" t="str">
        <f>'All Teams'!F205</f>
        <v>#VALUE!</v>
      </c>
      <c r="G17" s="46" t="str">
        <f>'All Teams'!G205</f>
        <v>#VALUE!</v>
      </c>
      <c r="H17" s="46" t="str">
        <f>'All Teams'!H205</f>
        <v>#VALUE!</v>
      </c>
      <c r="I17" s="46" t="str">
        <f>'All Teams'!I205</f>
        <v>#VALUE!</v>
      </c>
      <c r="J17" s="46" t="str">
        <f>'All Teams'!J205</f>
        <v>#VALUE!</v>
      </c>
      <c r="K17" s="46">
        <f>'All Teams'!K205</f>
        <v>0</v>
      </c>
      <c r="L17" s="46">
        <f>'All Teams'!L205</f>
        <v>0</v>
      </c>
      <c r="M17" s="46" t="str">
        <f>'All Teams'!M205</f>
        <v>#VALUE!</v>
      </c>
      <c r="N17" s="66">
        <f t="array" ref="N17">if(N$4=$D17,"-", countif(indirect(address(row($D$5)+ VLOOKUP(N$4,$D$6:$D$17,1),COLUMN($E$5))):indirect(address(row($D$5)+ VLOOKUP(N$4,$D$6:$D$17,1),COLUMN($M$5)))&gt;indirect(address(row($D17),COLUMN($E$5))):indirect(address(row($D17),COLUMN($M$5))),TRUE()))</f>
        <v>0</v>
      </c>
      <c r="O17" s="66">
        <f t="array" ref="O17">if(O$4=$D17,"-", countif(indirect(address(row($D$5)+ VLOOKUP(O$4,$D$6:$D$17,1),COLUMN($E$5))):indirect(address(row($D$5)+ VLOOKUP(O$4,$D$6:$D$17,1),COLUMN($M$5)))&gt;indirect(address(row($D17),COLUMN($E$5))):indirect(address(row($D17),COLUMN($M$5))),TRUE()))</f>
        <v>0</v>
      </c>
      <c r="P17" s="66">
        <f t="array" ref="P17">if(P$4=$D17,"-", countif(indirect(address(row($D$5)+ VLOOKUP(P$4,$D$6:$D$17,1),COLUMN($E$5))):indirect(address(row($D$5)+ VLOOKUP(P$4,$D$6:$D$17,1),COLUMN($M$5)))&gt;indirect(address(row($D17),COLUMN($E$5))):indirect(address(row($D17),COLUMN($M$5))),TRUE()))</f>
        <v>0</v>
      </c>
      <c r="Q17" s="66">
        <f t="array" ref="Q17">if(Q$4=$D17,"-", countif(indirect(address(row($D$5)+ VLOOKUP(Q$4,$D$6:$D$17,1),COLUMN($E$5))):indirect(address(row($D$5)+ VLOOKUP(Q$4,$D$6:$D$17,1),COLUMN($M$5)))&gt;indirect(address(row($D17),COLUMN($E$5))):indirect(address(row($D17),COLUMN($M$5))),TRUE()))</f>
        <v>0</v>
      </c>
      <c r="R17" s="66">
        <f t="array" ref="R17">if(R$4=$D17,"-", countif(indirect(address(row($D$5)+ VLOOKUP(R$4,$D$6:$D$17,1),COLUMN($E$5))):indirect(address(row($D$5)+ VLOOKUP(R$4,$D$6:$D$17,1),COLUMN($M$5)))&gt;indirect(address(row($D17),COLUMN($E$5))):indirect(address(row($D17),COLUMN($M$5))),TRUE()))</f>
        <v>0</v>
      </c>
      <c r="S17" s="66">
        <f t="array" ref="S17">if(S$4=$D17,"-", countif(indirect(address(row($D$5)+ VLOOKUP(S$4,$D$6:$D$17,1),COLUMN($E$5))):indirect(address(row($D$5)+ VLOOKUP(S$4,$D$6:$D$17,1),COLUMN($M$5)))&gt;indirect(address(row($D17),COLUMN($E$5))):indirect(address(row($D17),COLUMN($M$5))),TRUE()))</f>
        <v>0</v>
      </c>
      <c r="T17" s="66">
        <f t="array" ref="T17">if(T$4=$D17,"-", countif(indirect(address(row($D$5)+ VLOOKUP(T$4,$D$6:$D$17,1),COLUMN($E$5))):indirect(address(row($D$5)+ VLOOKUP(T$4,$D$6:$D$17,1),COLUMN($M$5)))&gt;indirect(address(row($D17),COLUMN($E$5))):indirect(address(row($D17),COLUMN($M$5))),TRUE()))</f>
        <v>1</v>
      </c>
      <c r="U17" s="66">
        <f t="array" ref="U17">if(U$4=$D17,"-", countif(indirect(address(row($D$5)+ VLOOKUP(U$4,$D$6:$D$17,1),COLUMN($E$5))):indirect(address(row($D$5)+ VLOOKUP(U$4,$D$6:$D$17,1),COLUMN($M$5)))&gt;indirect(address(row($D17),COLUMN($E$5))):indirect(address(row($D17),COLUMN($M$5))),TRUE()))</f>
        <v>0</v>
      </c>
      <c r="V17" s="66">
        <f t="array" ref="V17">if(V$4=$D17,"-", countif(indirect(address(row($D$5)+ VLOOKUP(V$4,$D$6:$D$17,1),COLUMN($E$5))):indirect(address(row($D$5)+ VLOOKUP(V$4,$D$6:$D$17,1),COLUMN($M$5)))&gt;indirect(address(row($D17),COLUMN($E$5))):indirect(address(row($D17),COLUMN($M$5))),TRUE()))</f>
        <v>0</v>
      </c>
      <c r="W17" s="66">
        <f t="array" ref="W17">if(W$4=$D17,"-", countif(indirect(address(row($D$5)+ VLOOKUP(W$4,$D$6:$D$17,1),COLUMN($E$5))):indirect(address(row($D$5)+ VLOOKUP(W$4,$D$6:$D$17,1),COLUMN($M$5)))&gt;indirect(address(row($D17),COLUMN($E$5))):indirect(address(row($D17),COLUMN($M$5))),TRUE()))</f>
        <v>0</v>
      </c>
      <c r="X17" s="66">
        <f t="array" ref="X17">if(X$4=$D17,"-", countif(indirect(address(row($D$5)+ VLOOKUP(X$4,$D$6:$D$17,1),COLUMN($E$5))):indirect(address(row($D$5)+ VLOOKUP(X$4,$D$6:$D$17,1),COLUMN($M$5)))&gt;indirect(address(row($D17),COLUMN($E$5))):indirect(address(row($D17),COLUMN($M$5))),TRUE()))</f>
        <v>0</v>
      </c>
      <c r="Y17" s="66" t="str">
        <f t="array" ref="Y17">if(Y$4=$D17,"-", countif(indirect(address(row($D$5)+ VLOOKUP(Y$4,$D$6:$D$17,1),COLUMN($E$5))):indirect(address(row($D$5)+ VLOOKUP(Y$4,$D$6:$D$17,1),COLUMN($M$5)))&gt;indirect(address(row($D17),COLUMN($E$5))):indirect(address(row($D17),COLUMN($M$5))),TRUE()))</f>
        <v>-</v>
      </c>
      <c r="Z17" s="66">
        <f t="array" ref="Z17">if(E$2=$D17,"-", countif(indirect(address(row($D$5)+ VLOOKUP(E$2,$D$6:$D$17,1),COLUMN($E$5))):indirect(address(row($D$5)+ VLOOKUP(E$2,$D$6:$D$17,1),COLUMN($M$5)))&gt;indirect(address(row($D17),COLUMN($E$5))):indirect(address(row($D17),COLUMN($M$5))),TRUE()))</f>
        <v>1</v>
      </c>
      <c r="AA17" s="46">
        <f>SUM(Y$6:Y$17)/99</f>
        <v>0.0101010101</v>
      </c>
    </row>
    <row r="18">
      <c r="E18" s="55"/>
      <c r="N18" s="68"/>
    </row>
    <row r="20">
      <c r="A20" s="69"/>
      <c r="B20" s="4" t="s">
        <v>77</v>
      </c>
      <c r="C20" s="45"/>
      <c r="D20" s="70" t="str">
        <f>'NO USAR1'!A3</f>
        <v>NAME</v>
      </c>
      <c r="E20" s="40" t="s">
        <v>34</v>
      </c>
      <c r="F20" s="40" t="s">
        <v>35</v>
      </c>
      <c r="G20" s="40" t="s">
        <v>36</v>
      </c>
      <c r="H20" s="40" t="s">
        <v>37</v>
      </c>
      <c r="I20" s="40" t="s">
        <v>38</v>
      </c>
      <c r="J20" s="40" t="s">
        <v>61</v>
      </c>
      <c r="K20" s="40" t="s">
        <v>40</v>
      </c>
      <c r="L20" s="40" t="s">
        <v>41</v>
      </c>
      <c r="M20" s="40" t="s">
        <v>42</v>
      </c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4" t="s">
        <v>78</v>
      </c>
      <c r="AA20" s="4" t="s">
        <v>79</v>
      </c>
      <c r="AB20" s="4" t="s">
        <v>78</v>
      </c>
    </row>
    <row r="21">
      <c r="B21" s="65">
        <v>100.0</v>
      </c>
      <c r="C21" s="6">
        <v>1.0</v>
      </c>
      <c r="D21" s="6" t="str">
        <f t="array" ref="D21">INDIRECT("Draft!C"&amp;TEXT(E2+2,"0"))</f>
        <v>Jayson Tatum</v>
      </c>
      <c r="E21" s="71">
        <f>IF($D21="","", VLOOKUP($D21,Update!$B$2:$R$420,11,False))</f>
        <v>29.5</v>
      </c>
      <c r="F21" s="71">
        <f>IF($D21="","", VLOOKUP($D21,Update!$B$2:$R$420,10,False))</f>
        <v>3.3</v>
      </c>
      <c r="G21" s="71">
        <f>IF($D21="","", VLOOKUP($D21,Update!$B$2:$R$420,12,False))</f>
        <v>8.2</v>
      </c>
      <c r="H21" s="71">
        <f>IF($D21="","", VLOOKUP($D21,Update!$B$2:$R$420,13,False))</f>
        <v>4.8</v>
      </c>
      <c r="I21" s="71">
        <f>IF($D21="","", VLOOKUP($D21,Update!$B$2:$R$420,14,False))</f>
        <v>1.1</v>
      </c>
      <c r="J21" s="71">
        <f>IF($D21="","", VLOOKUP($D21,Update!$B$2:$R$420,15,False))</f>
        <v>0.7</v>
      </c>
      <c r="K21" s="47">
        <f> IF($D21="","", 100*VLOOKUP($D21,Update!$B$2:$R$420,6,False)/VLOOKUP($D21,'NO USAR1'!$A$3:$L$420,9,False))</f>
        <v>46.66666667</v>
      </c>
      <c r="L21" s="47">
        <f>IF($D21="","", 100*VLOOKUP($D21,Update!$B$2:$R$420,9,False))</f>
        <v>85.71428571</v>
      </c>
      <c r="M21" s="71">
        <f>IF($D21="","", VLOOKUP($D21,Update!$B$2:$R$420,16,False))</f>
        <v>3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 t="str">
        <f>IF($D21="","", VLOOKUP($D21,Update!$B$2:$C$420,2,FALSE))</f>
        <v>SF,PF</v>
      </c>
      <c r="AA21" s="45">
        <f t="array" ref="AA21">COUNTIF(FIND(AB21,$Z$21:$Z$32),"&gt;0")</f>
        <v>3</v>
      </c>
      <c r="AB21" s="6" t="s">
        <v>43</v>
      </c>
    </row>
    <row r="22">
      <c r="B22" s="65">
        <v>100.0</v>
      </c>
      <c r="C22" s="6">
        <v>2.0</v>
      </c>
      <c r="D22" s="72" t="str">
        <f t="array" ref="D22">INDIRECT("Draft!D"&amp;TEXT(15-E2,"0"))</f>
        <v>Domantas Sabonis</v>
      </c>
      <c r="E22" s="71">
        <f>IF($D22="","", VLOOKUP($D22,Update!$B$2:$R$420,11,False))</f>
        <v>19.5</v>
      </c>
      <c r="F22" s="71">
        <f>IF($D22="","", VLOOKUP($D22,Update!$B$2:$R$420,10,False))</f>
        <v>0.5</v>
      </c>
      <c r="G22" s="71">
        <f>IF($D22="","", VLOOKUP($D22,Update!$B$2:$R$420,12,False))</f>
        <v>12.4</v>
      </c>
      <c r="H22" s="71">
        <f>IF($D22="","", VLOOKUP($D22,Update!$B$2:$R$420,13,False))</f>
        <v>7.3</v>
      </c>
      <c r="I22" s="71">
        <f>IF($D22="","", VLOOKUP($D22,Update!$B$2:$R$420,14,False))</f>
        <v>0.9</v>
      </c>
      <c r="J22" s="71">
        <f>IF($D22="","", VLOOKUP($D22,Update!$B$2:$R$420,15,False))</f>
        <v>0.5</v>
      </c>
      <c r="K22" s="47">
        <f> IF($D22="","", 100*VLOOKUP($D22,Update!$B$2:$R$420,6,False)/VLOOKUP($D22,'NO USAR1'!$A$3:$L$420,9,False))</f>
        <v>60.6557377</v>
      </c>
      <c r="L22" s="47">
        <f>IF($D22="","", 100*VLOOKUP($D22,Update!$B$2:$R$420,9,False))</f>
        <v>74.54545455</v>
      </c>
      <c r="M22" s="71">
        <f>IF($D22="","", VLOOKUP($D22,Update!$B$2:$R$420,16,False))</f>
        <v>3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 t="str">
        <f>IF($D22="","", VLOOKUP($D22,Update!$B$2:$C$420,2,FALSE))</f>
        <v>PF,C</v>
      </c>
      <c r="AA22" s="45">
        <f t="array" ref="AA22">COUNTIF(FIND(AB22,$Z$21:$Z$32),"&gt;0")</f>
        <v>5</v>
      </c>
      <c r="AB22" s="6" t="s">
        <v>44</v>
      </c>
    </row>
    <row r="23">
      <c r="B23" s="65">
        <v>100.0</v>
      </c>
      <c r="C23" s="6">
        <v>3.0</v>
      </c>
      <c r="D23" s="7" t="str">
        <f t="array" ref="D23">INDIRECT("Draft!E"&amp;TEXT(E2+2,"0"))</f>
        <v>Karl-Anthony Towns</v>
      </c>
      <c r="E23" s="71">
        <f>IF($D23="","", VLOOKUP($D23,Update!$B$2:$R$420,11,False))</f>
        <v>21.4</v>
      </c>
      <c r="F23" s="71">
        <f>IF($D23="","", VLOOKUP($D23,Update!$B$2:$R$420,10,False))</f>
        <v>2.1</v>
      </c>
      <c r="G23" s="71">
        <f>IF($D23="","", VLOOKUP($D23,Update!$B$2:$R$420,12,False))</f>
        <v>8.5</v>
      </c>
      <c r="H23" s="71">
        <f>IF($D23="","", VLOOKUP($D23,Update!$B$2:$R$420,13,False))</f>
        <v>4.6</v>
      </c>
      <c r="I23" s="71">
        <f>IF($D23="","", VLOOKUP($D23,Update!$B$2:$R$420,14,False))</f>
        <v>0.7</v>
      </c>
      <c r="J23" s="71">
        <f>IF($D23="","", VLOOKUP($D23,Update!$B$2:$R$420,15,False))</f>
        <v>0.7</v>
      </c>
      <c r="K23" s="47">
        <f> IF($D23="","", 100*VLOOKUP($D23,Update!$B$2:$R$420,6,False)/VLOOKUP($D23,'NO USAR1'!$A$3:$L$420,9,False))</f>
        <v>50</v>
      </c>
      <c r="L23" s="47">
        <f>IF($D23="","", 100*VLOOKUP($D23,Update!$B$2:$R$420,9,False))</f>
        <v>84.61538462</v>
      </c>
      <c r="M23" s="71">
        <f>IF($D23="","", VLOOKUP($D23,Update!$B$2:$R$420,16,False))</f>
        <v>2.8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 t="str">
        <f>IF($D23="","", VLOOKUP($D23,Update!$B$2:$C$420,2,FALSE))</f>
        <v>PF,C</v>
      </c>
      <c r="AA23" s="45">
        <f t="array" ref="AA23">COUNTIF(FIND(AB23,$Z$21:$Z$32),"&gt;0")</f>
        <v>3</v>
      </c>
      <c r="AB23" s="6" t="s">
        <v>45</v>
      </c>
    </row>
    <row r="24">
      <c r="B24" s="65">
        <v>100.0</v>
      </c>
      <c r="C24" s="6">
        <v>4.0</v>
      </c>
      <c r="D24" s="73" t="str">
        <f t="array" ref="D24">INDIRECT("Draft!F"&amp;TEXT(15-E2,"0"))</f>
        <v>Jordan Poole</v>
      </c>
      <c r="E24" s="71">
        <f>IF($D24="","", VLOOKUP($D24,Update!$B$2:$R$420,11,False))</f>
        <v>22</v>
      </c>
      <c r="F24" s="71">
        <f>IF($D24="","", VLOOKUP($D24,Update!$B$2:$R$420,10,False))</f>
        <v>3</v>
      </c>
      <c r="G24" s="71">
        <f>IF($D24="","", VLOOKUP($D24,Update!$B$2:$R$420,12,False))</f>
        <v>3.5</v>
      </c>
      <c r="H24" s="71">
        <f>IF($D24="","", VLOOKUP($D24,Update!$B$2:$R$420,13,False))</f>
        <v>4.8</v>
      </c>
      <c r="I24" s="71">
        <f>IF($D24="","", VLOOKUP($D24,Update!$B$2:$R$420,14,False))</f>
        <v>0.9</v>
      </c>
      <c r="J24" s="71">
        <f>IF($D24="","", VLOOKUP($D24,Update!$B$2:$R$420,15,False))</f>
        <v>0.3</v>
      </c>
      <c r="K24" s="47">
        <f> IF($D24="","", 100*VLOOKUP($D24,Update!$B$2:$R$420,6,False)/VLOOKUP($D24,'NO USAR1'!$A$3:$L$420,9,False))</f>
        <v>43.71257485</v>
      </c>
      <c r="L24" s="47">
        <f>IF($D24="","", 100*VLOOKUP($D24,Update!$B$2:$R$420,9,False))</f>
        <v>87.75510204</v>
      </c>
      <c r="M24" s="71">
        <f>IF($D24="","", VLOOKUP($D24,Update!$B$2:$R$420,16,False))</f>
        <v>3.1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 t="str">
        <f>IF($D24="","", VLOOKUP($D24,Update!$B$2:$C$420,2,FALSE))</f>
        <v>PG,SG</v>
      </c>
      <c r="AA24" s="45">
        <f t="array" ref="AA24">COUNTIF(FIND(AB24,$Z$21:$Z$32),"&gt;0")</f>
        <v>4</v>
      </c>
      <c r="AB24" s="6" t="s">
        <v>46</v>
      </c>
    </row>
    <row r="25">
      <c r="B25" s="65">
        <v>100.0</v>
      </c>
      <c r="C25" s="6">
        <v>5.0</v>
      </c>
      <c r="D25" s="7" t="str">
        <f t="array" ref="D25">INDIRECT("Draft!G"&amp;TEXT(E2+2,"0"))</f>
        <v>Josh Giddey</v>
      </c>
      <c r="E25" s="71">
        <f>IF($D25="","", VLOOKUP($D25,Update!$B$2:$R$420,11,False))</f>
        <v>17.3</v>
      </c>
      <c r="F25" s="71">
        <f>IF($D25="","", VLOOKUP($D25,Update!$B$2:$R$420,10,False))</f>
        <v>1.1</v>
      </c>
      <c r="G25" s="71">
        <f>IF($D25="","", VLOOKUP($D25,Update!$B$2:$R$420,12,False))</f>
        <v>8.1</v>
      </c>
      <c r="H25" s="71">
        <f>IF($D25="","", VLOOKUP($D25,Update!$B$2:$R$420,13,False))</f>
        <v>6.5</v>
      </c>
      <c r="I25" s="71">
        <f>IF($D25="","", VLOOKUP($D25,Update!$B$2:$R$420,14,False))</f>
        <v>0.9</v>
      </c>
      <c r="J25" s="71">
        <f>IF($D25="","", VLOOKUP($D25,Update!$B$2:$R$420,15,False))</f>
        <v>0.4</v>
      </c>
      <c r="K25" s="47">
        <f> IF($D25="","", 100*VLOOKUP($D25,Update!$B$2:$R$420,6,False)/VLOOKUP($D25,'NO USAR1'!$A$3:$L$420,9,False))</f>
        <v>47.77070064</v>
      </c>
      <c r="L25" s="47">
        <f>IF($D25="","", 100*VLOOKUP($D25,Update!$B$2:$R$420,9,False))</f>
        <v>72.22222222</v>
      </c>
      <c r="M25" s="71">
        <f>IF($D25="","", VLOOKUP($D25,Update!$B$2:$R$420,16,False))</f>
        <v>3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 t="str">
        <f>IF($D25="","", VLOOKUP($D25,Update!$B$2:$C$420,2,FALSE))</f>
        <v>SG,SF,PF</v>
      </c>
      <c r="AA25" s="45">
        <f t="array" ref="AA25">COUNTIF(FIND(AB25,$Z$21:$Z$32),"&gt;0")</f>
        <v>2</v>
      </c>
      <c r="AB25" s="6" t="s">
        <v>47</v>
      </c>
    </row>
    <row r="26">
      <c r="B26" s="65">
        <v>100.0</v>
      </c>
      <c r="C26" s="6">
        <v>6.0</v>
      </c>
      <c r="D26" s="73" t="str">
        <f t="array" ref="D26">INDIRECT("Draft!H"&amp;TEXT(15-E2,"0"))</f>
        <v>OG Anunoby</v>
      </c>
      <c r="E26" s="71">
        <f>IF($D26="","", VLOOKUP($D26,Update!$B$2:$R$420,11,False))</f>
        <v>16.1</v>
      </c>
      <c r="F26" s="71">
        <f>IF($D26="","", VLOOKUP($D26,Update!$B$2:$R$420,10,False))</f>
        <v>2.1</v>
      </c>
      <c r="G26" s="71">
        <f>IF($D26="","", VLOOKUP($D26,Update!$B$2:$R$420,12,False))</f>
        <v>4.9</v>
      </c>
      <c r="H26" s="71">
        <f>IF($D26="","", VLOOKUP($D26,Update!$B$2:$R$420,13,False))</f>
        <v>2.1</v>
      </c>
      <c r="I26" s="71">
        <f>IF($D26="","", VLOOKUP($D26,Update!$B$2:$R$420,14,False))</f>
        <v>1.6</v>
      </c>
      <c r="J26" s="71">
        <f>IF($D26="","", VLOOKUP($D26,Update!$B$2:$R$420,15,False))</f>
        <v>0.6</v>
      </c>
      <c r="K26" s="47">
        <f> IF($D26="","", 100*VLOOKUP($D26,Update!$B$2:$R$420,6,False)/VLOOKUP($D26,'NO USAR1'!$A$3:$L$420,9,False))</f>
        <v>45.80152672</v>
      </c>
      <c r="L26" s="47">
        <f>IF($D26="","", 100*VLOOKUP($D26,Update!$B$2:$R$420,9,False))</f>
        <v>79.16666667</v>
      </c>
      <c r="M26" s="71">
        <f>IF($D26="","", VLOOKUP($D26,Update!$B$2:$R$420,16,False))</f>
        <v>1.8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 t="str">
        <f>IF($D26="","", VLOOKUP($D26,Update!$B$2:$C$420,2,FALSE))</f>
        <v>SG,SF</v>
      </c>
      <c r="AA26" s="2"/>
      <c r="AB26" s="2"/>
    </row>
    <row r="27">
      <c r="B27" s="65">
        <v>100.0</v>
      </c>
      <c r="C27" s="6">
        <v>7.0</v>
      </c>
      <c r="D27" s="7" t="str">
        <f t="array" ref="D27">INDIRECT("Draft!I"&amp;TEXT(E2+2,"0"))</f>
        <v>Anfernee Simons</v>
      </c>
      <c r="E27" s="71">
        <f>IF($D27="","", VLOOKUP($D27,Update!$B$2:$R$420,11,False))</f>
        <v>21.6</v>
      </c>
      <c r="F27" s="71">
        <f>IF($D27="","", VLOOKUP($D27,Update!$B$2:$R$420,10,False))</f>
        <v>3.7</v>
      </c>
      <c r="G27" s="71">
        <f>IF($D27="","", VLOOKUP($D27,Update!$B$2:$R$420,12,False))</f>
        <v>2.9</v>
      </c>
      <c r="H27" s="71">
        <f>IF($D27="","", VLOOKUP($D27,Update!$B$2:$R$420,13,False))</f>
        <v>5.4</v>
      </c>
      <c r="I27" s="71">
        <f>IF($D27="","", VLOOKUP($D27,Update!$B$2:$R$420,14,False))</f>
        <v>0.7</v>
      </c>
      <c r="J27" s="71">
        <f>IF($D27="","", VLOOKUP($D27,Update!$B$2:$R$420,15,False))</f>
        <v>0.2</v>
      </c>
      <c r="K27" s="47">
        <f> IF($D27="","", 100*VLOOKUP($D27,Update!$B$2:$R$420,6,False)/VLOOKUP($D27,'NO USAR1'!$A$3:$L$420,9,False))</f>
        <v>44.37869822</v>
      </c>
      <c r="L27" s="47">
        <f>IF($D27="","", 100*VLOOKUP($D27,Update!$B$2:$R$420,9,False))</f>
        <v>90.625</v>
      </c>
      <c r="M27" s="71">
        <f>IF($D27="","", VLOOKUP($D27,Update!$B$2:$R$420,16,False))</f>
        <v>2.2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 t="str">
        <f>IF($D27="","", VLOOKUP($D27,Update!$B$2:$C$420,2,FALSE))</f>
        <v>PG,SG</v>
      </c>
      <c r="AA27" s="2"/>
      <c r="AB27" s="2"/>
    </row>
    <row r="28">
      <c r="B28" s="65">
        <v>100.0</v>
      </c>
      <c r="C28" s="6">
        <v>8.0</v>
      </c>
      <c r="D28" s="73" t="str">
        <f t="array" ref="D28">INDIRECT("Draft!J"&amp;TEXT(15-E2,"0"))</f>
        <v>Markelle Fultz</v>
      </c>
      <c r="E28" s="71">
        <f>IF($D28="","", VLOOKUP($D28,Update!$B$2:$R$420,11,False))</f>
        <v>14.4</v>
      </c>
      <c r="F28" s="71">
        <f>IF($D28="","", VLOOKUP($D28,Update!$B$2:$R$420,10,False))</f>
        <v>0.4</v>
      </c>
      <c r="G28" s="71">
        <f>IF($D28="","", VLOOKUP($D28,Update!$B$2:$R$420,12,False))</f>
        <v>4</v>
      </c>
      <c r="H28" s="71">
        <f>IF($D28="","", VLOOKUP($D28,Update!$B$2:$R$420,13,False))</f>
        <v>6.2</v>
      </c>
      <c r="I28" s="71">
        <f>IF($D28="","", VLOOKUP($D28,Update!$B$2:$R$420,14,False))</f>
        <v>1.5</v>
      </c>
      <c r="J28" s="71">
        <f>IF($D28="","", VLOOKUP($D28,Update!$B$2:$R$420,15,False))</f>
        <v>0.4</v>
      </c>
      <c r="K28" s="47">
        <f> IF($D28="","", 100*VLOOKUP($D28,Update!$B$2:$R$420,6,False)/VLOOKUP($D28,'NO USAR1'!$A$3:$L$420,9,False))</f>
        <v>50.42016807</v>
      </c>
      <c r="L28" s="47">
        <f>IF($D28="","", 100*VLOOKUP($D28,Update!$B$2:$R$420,9,False))</f>
        <v>79.16666667</v>
      </c>
      <c r="M28" s="71">
        <f>IF($D28="","", VLOOKUP($D28,Update!$B$2:$R$420,16,False))</f>
        <v>2.5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 t="str">
        <f>IF($D28="","", VLOOKUP($D28,Update!$B$2:$C$420,2,FALSE))</f>
        <v>PG,SG</v>
      </c>
      <c r="AA28" s="2"/>
      <c r="AB28" s="2"/>
    </row>
    <row r="29">
      <c r="B29" s="65">
        <v>100.0</v>
      </c>
      <c r="C29" s="6">
        <v>9.0</v>
      </c>
      <c r="D29" s="7" t="str">
        <f t="array" ref="D29">INDIRECT("Draft!K"&amp;TEXT(E2+2,"0"))</f>
        <v/>
      </c>
      <c r="E29" s="71" t="str">
        <f>IF($D29="","", VLOOKUP($D29,Update!$B$2:$R$420,11,False))</f>
        <v/>
      </c>
      <c r="F29" s="71" t="str">
        <f>IF($D29="","", VLOOKUP($D29,Update!$B$2:$R$420,10,False))</f>
        <v/>
      </c>
      <c r="G29" s="71" t="str">
        <f>IF($D29="","", VLOOKUP($D29,Update!$B$2:$R$420,12,False))</f>
        <v/>
      </c>
      <c r="H29" s="71" t="str">
        <f>IF($D29="","", VLOOKUP($D29,Update!$B$2:$R$420,13,False))</f>
        <v/>
      </c>
      <c r="I29" s="71" t="str">
        <f>IF($D29="","", VLOOKUP($D29,Update!$B$2:$R$420,14,False))</f>
        <v/>
      </c>
      <c r="J29" s="71" t="str">
        <f>IF($D29="","", VLOOKUP($D29,Update!$B$2:$R$420,15,False))</f>
        <v/>
      </c>
      <c r="K29" s="47" t="str">
        <f> IF($D29="","", 100*VLOOKUP($D29,Update!$B$2:$R$420,6,False)/VLOOKUP($D29,'NO USAR1'!$A$3:$L$420,9,False))</f>
        <v/>
      </c>
      <c r="L29" s="47" t="str">
        <f>IF($D29="","", 100*VLOOKUP($D29,Update!$B$2:$R$420,9,False))</f>
        <v/>
      </c>
      <c r="M29" s="71" t="str">
        <f>IF($D29="","", VLOOKUP($D29,Update!$B$2:$R$420,16,False))</f>
        <v/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 t="str">
        <f>IF($D29="","", VLOOKUP($D29,Update!$B$2:$C$420,2,FALSE))</f>
        <v/>
      </c>
      <c r="AA29" s="2"/>
      <c r="AB29" s="2"/>
      <c r="AC29" s="60"/>
    </row>
    <row r="30">
      <c r="B30" s="65">
        <v>100.0</v>
      </c>
      <c r="C30" s="6">
        <v>10.0</v>
      </c>
      <c r="D30" s="73" t="str">
        <f t="array" ref="D30">INDIRECT("Draft!L"&amp;TEXT(15-E2,"0"))</f>
        <v/>
      </c>
      <c r="E30" s="71" t="str">
        <f>IF($D30="","", VLOOKUP($D30,Update!$B$2:$R$420,11,False))</f>
        <v/>
      </c>
      <c r="F30" s="71" t="str">
        <f>IF($D30="","", VLOOKUP($D30,Update!$B$2:$R$420,10,False))</f>
        <v/>
      </c>
      <c r="G30" s="71" t="str">
        <f>IF($D30="","", VLOOKUP($D30,Update!$B$2:$R$420,12,False))</f>
        <v/>
      </c>
      <c r="H30" s="71" t="str">
        <f>IF($D30="","", VLOOKUP($D30,Update!$B$2:$R$420,13,False))</f>
        <v/>
      </c>
      <c r="I30" s="71" t="str">
        <f>IF($D30="","", VLOOKUP($D30,Update!$B$2:$R$420,14,False))</f>
        <v/>
      </c>
      <c r="J30" s="71" t="str">
        <f>IF($D30="","", VLOOKUP($D30,Update!$B$2:$R$420,15,False))</f>
        <v/>
      </c>
      <c r="K30" s="47" t="str">
        <f> IF($D30="","", 100*VLOOKUP($D30,Update!$B$2:$R$420,6,False)/VLOOKUP($D30,'NO USAR1'!$A$3:$L$420,9,False))</f>
        <v/>
      </c>
      <c r="L30" s="47" t="str">
        <f>IF($D30="","", 100*VLOOKUP($D30,Update!$B$2:$R$420,9,False))</f>
        <v/>
      </c>
      <c r="M30" s="71" t="str">
        <f>IF($D30="","", VLOOKUP($D30,Update!$B$2:$R$420,16,False))</f>
        <v/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 t="str">
        <f>IF($D30="","", VLOOKUP($D30,Update!$B$2:$C$420,2,FALSE))</f>
        <v/>
      </c>
      <c r="AA30" s="2"/>
      <c r="AB30" s="2"/>
    </row>
    <row r="31">
      <c r="B31" s="65">
        <v>100.0</v>
      </c>
      <c r="C31" s="6">
        <v>11.0</v>
      </c>
      <c r="D31" s="7" t="str">
        <f t="array" ref="D31">INDIRECT("Draft!M"&amp;TEXT(E2+2,"0"))</f>
        <v/>
      </c>
      <c r="E31" s="71" t="str">
        <f>IF($D31="","", VLOOKUP($D31,Update!$B$2:$R$420,11,False))</f>
        <v/>
      </c>
      <c r="F31" s="71" t="str">
        <f>IF($D31="","", VLOOKUP($D31,Update!$B$2:$R$420,10,False))</f>
        <v/>
      </c>
      <c r="G31" s="71" t="str">
        <f>IF($D31="","", VLOOKUP($D31,Update!$B$2:$R$420,12,False))</f>
        <v/>
      </c>
      <c r="H31" s="71" t="str">
        <f>IF($D31="","", VLOOKUP($D31,Update!$B$2:$R$420,13,False))</f>
        <v/>
      </c>
      <c r="I31" s="71" t="str">
        <f>IF($D31="","", VLOOKUP($D31,Update!$B$2:$R$420,14,False))</f>
        <v/>
      </c>
      <c r="J31" s="71" t="str">
        <f>IF($D31="","", VLOOKUP($D31,Update!$B$2:$R$420,15,False))</f>
        <v/>
      </c>
      <c r="K31" s="47" t="str">
        <f> IF($D31="","", 100*VLOOKUP($D31,Update!$B$2:$R$420,6,False)/VLOOKUP($D31,'NO USAR1'!$A$3:$L$420,9,False))</f>
        <v/>
      </c>
      <c r="L31" s="47" t="str">
        <f>IF($D31="","", 100*VLOOKUP($D31,Update!$B$2:$R$420,9,False))</f>
        <v/>
      </c>
      <c r="M31" s="71" t="str">
        <f>IF($D31="","", VLOOKUP($D31,Update!$B$2:$R$420,16,False))</f>
        <v/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 t="str">
        <f>IF($D31="","", VLOOKUP($D31,Update!$B$2:$C$420,2,FALSE))</f>
        <v/>
      </c>
      <c r="AA31" s="2"/>
      <c r="AB31" s="2"/>
    </row>
    <row r="32">
      <c r="B32" s="65">
        <v>100.0</v>
      </c>
      <c r="C32" s="6">
        <v>12.0</v>
      </c>
      <c r="D32" s="73" t="str">
        <f t="array" ref="D32">INDIRECT("Draft!N"&amp;TEXT(15-E2,"0"))</f>
        <v/>
      </c>
      <c r="E32" s="71" t="str">
        <f>IF($D32="","", VLOOKUP($D32,Update!$B$2:$R$420,11,False))</f>
        <v/>
      </c>
      <c r="F32" s="71" t="str">
        <f>IF($D32="","", VLOOKUP($D32,Update!$B$2:$R$420,10,False))</f>
        <v/>
      </c>
      <c r="G32" s="71" t="str">
        <f>IF($D32="","", VLOOKUP($D32,Update!$B$2:$R$420,12,False))</f>
        <v/>
      </c>
      <c r="H32" s="71" t="str">
        <f>IF($D32="","", VLOOKUP($D32,Update!$B$2:$R$420,13,False))</f>
        <v/>
      </c>
      <c r="I32" s="71" t="str">
        <f>IF($D32="","", VLOOKUP($D32,Update!$B$2:$R$420,14,False))</f>
        <v/>
      </c>
      <c r="J32" s="71" t="str">
        <f>IF($D32="","", VLOOKUP($D32,Update!$B$2:$R$420,15,False))</f>
        <v/>
      </c>
      <c r="K32" s="47" t="str">
        <f> IF($D32="","", 100*VLOOKUP($D32,Update!$B$2:$R$420,6,False)/VLOOKUP($D32,'NO USAR1'!$A$3:$L$420,9,False))</f>
        <v/>
      </c>
      <c r="L32" s="47" t="str">
        <f>IF($D32="","", 100*VLOOKUP($D32,Update!$B$2:$R$420,9,False))</f>
        <v/>
      </c>
      <c r="M32" s="71" t="str">
        <f>IF($D32="","", VLOOKUP($D32,Update!$B$2:$R$420,16,False))</f>
        <v/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 t="str">
        <f>IF($D32="","", VLOOKUP($D32,Update!$B$2:$C$420,2,FALSE))</f>
        <v/>
      </c>
      <c r="AA32" s="2"/>
      <c r="AB32" s="2"/>
    </row>
    <row r="33">
      <c r="B33" s="65">
        <v>100.0</v>
      </c>
      <c r="C33" s="6">
        <v>13.0</v>
      </c>
      <c r="D33" s="74" t="str">
        <f t="array" ref="D33">INDIRECT("Draft!O"&amp;TEXT(E2+2,"0"))</f>
        <v/>
      </c>
      <c r="E33" s="71" t="str">
        <f>IF($D33="","", VLOOKUP($D33,Update!$B$2:$R$420,11,False))</f>
        <v/>
      </c>
      <c r="F33" s="71" t="str">
        <f>IF($D33="","", VLOOKUP($D33,Update!$B$2:$R$420,10,False))</f>
        <v/>
      </c>
      <c r="G33" s="71" t="str">
        <f>IF($D33="","", VLOOKUP($D33,Update!$B$2:$R$420,12,False))</f>
        <v/>
      </c>
      <c r="H33" s="71" t="str">
        <f>IF($D33="","", VLOOKUP($D33,Update!$B$2:$R$420,13,False))</f>
        <v/>
      </c>
      <c r="I33" s="71" t="str">
        <f>IF($D33="","", VLOOKUP($D33,Update!$B$2:$R$420,14,False))</f>
        <v/>
      </c>
      <c r="J33" s="71" t="str">
        <f>IF($D33="","", VLOOKUP($D33,Update!$B$2:$R$420,15,False))</f>
        <v/>
      </c>
      <c r="K33" s="47" t="str">
        <f> IF($D33="","", 100*VLOOKUP($D33,Update!$B$2:$R$420,6,False)/VLOOKUP($D33,'NO USAR1'!$A$3:$L$420,9,False))</f>
        <v/>
      </c>
      <c r="L33" s="47" t="str">
        <f>IF($D33="","", 100*VLOOKUP($D33,Update!$B$2:$R$420,9,False))</f>
        <v/>
      </c>
      <c r="M33" s="71" t="str">
        <f>IF($D33="","", VLOOKUP($D33,Update!$B$2:$R$420,16,False))</f>
        <v/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75"/>
      <c r="Z33" s="2"/>
      <c r="AA33" s="2"/>
      <c r="AB33" s="2"/>
    </row>
    <row r="34">
      <c r="B34" s="65">
        <v>0.0</v>
      </c>
      <c r="C34" s="6">
        <v>14.0</v>
      </c>
      <c r="D34" s="74" t="str">
        <f t="array" ref="D34">INDIRECT("Draft!P"&amp;TEXT(15-E2,"0"))</f>
        <v/>
      </c>
      <c r="E34" s="71" t="str">
        <f>IF($D34="","", VLOOKUP($D34,Update!$B$2:$R$420,11,False))</f>
        <v/>
      </c>
      <c r="F34" s="71" t="str">
        <f>IF($D34="","", VLOOKUP($D34,Update!$B$2:$R$420,10,False))</f>
        <v/>
      </c>
      <c r="G34" s="71" t="str">
        <f>IF($D34="","", VLOOKUP($D34,Update!$B$2:$R$420,12,False))</f>
        <v/>
      </c>
      <c r="H34" s="71" t="str">
        <f>IF($D34="","", VLOOKUP($D34,Update!$B$2:$R$420,13,False))</f>
        <v/>
      </c>
      <c r="I34" s="71" t="str">
        <f>IF($D34="","", VLOOKUP($D34,Update!$B$2:$R$420,14,False))</f>
        <v/>
      </c>
      <c r="J34" s="71" t="str">
        <f>IF($D34="","", VLOOKUP($D34,Update!$B$2:$R$420,15,False))</f>
        <v/>
      </c>
      <c r="K34" s="47" t="str">
        <f> IF($D34="","", 100*VLOOKUP($D34,Update!$B$2:$R$420,6,False)/VLOOKUP($D34,'NO USAR1'!$A$3:$L$420,9,False))</f>
        <v/>
      </c>
      <c r="L34" s="47" t="str">
        <f>IF($D34="","", 100*VLOOKUP($D34,Update!$B$2:$R$420,9,False))</f>
        <v/>
      </c>
      <c r="M34" s="71" t="str">
        <f>IF($D34="","", VLOOKUP($D34,Update!$B$2:$R$420,16,False))</f>
        <v/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75"/>
      <c r="Z34" s="2"/>
      <c r="AA34" s="2"/>
      <c r="AB34" s="2"/>
    </row>
    <row r="35">
      <c r="D35" s="76" t="s">
        <v>80</v>
      </c>
      <c r="E35" s="47">
        <f t="shared" ref="E35:J35" si="1">AVERAGE(SUMPRODUCT(E21:E34,$B$21:$B$34/100))/(SUM(OFFSET($B$21,0,0,COUNT(E21:E34)))/100)</f>
        <v>20.225</v>
      </c>
      <c r="F35" s="47">
        <f t="shared" si="1"/>
        <v>2.025</v>
      </c>
      <c r="G35" s="47">
        <f t="shared" si="1"/>
        <v>6.5625</v>
      </c>
      <c r="H35" s="47">
        <f t="shared" si="1"/>
        <v>5.2125</v>
      </c>
      <c r="I35" s="47">
        <f t="shared" si="1"/>
        <v>1.0375</v>
      </c>
      <c r="J35" s="47">
        <f t="shared" si="1"/>
        <v>0.475</v>
      </c>
      <c r="K35" s="47">
        <f t="array" ref="K35">IFERROR(100*SUMPRODUCT(IFERROR(VLOOKUP(D21:D34,Update!B:S,6,False),"")*$B$21:$B$34/100)/SUMPRODUCT(IFERROR(VLOOKUP(D21:D34,Update!B:S,17,False),"")*$B$21:$B$34/100),"")</f>
        <v>48.16326531</v>
      </c>
      <c r="L35" s="47">
        <f t="array" ref="L35">IFERROR(100*SUMPRODUCT(IFERROR(VLOOKUP(D21:D34,Update!B:S,8,False),"")*$B$21:$B$34/100)/SUMPRODUCT(IFERROR(VLOOKUP(D21:D34,Update!B:S,18,False),"")*$B$21:$B$34/100),"")</f>
        <v>82.77945619</v>
      </c>
      <c r="M35" s="47">
        <f>AVERAGE(SUMPRODUCT(M21:M34,$B$21:$B$34/100))/(SUM(OFFSET($B$21,0,0,COUNT(M21:M34)))/100)</f>
        <v>2.675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75"/>
      <c r="Z35" s="2"/>
    </row>
    <row r="36">
      <c r="E36" s="77"/>
      <c r="F36" s="77"/>
      <c r="G36" s="77"/>
      <c r="H36" s="77"/>
      <c r="I36" s="77"/>
      <c r="J36" s="77"/>
      <c r="K36" s="55"/>
    </row>
  </sheetData>
  <mergeCells count="4">
    <mergeCell ref="D2:D3"/>
    <mergeCell ref="E2:E3"/>
    <mergeCell ref="Z2:Z3"/>
    <mergeCell ref="AA2:AA3"/>
  </mergeCells>
  <conditionalFormatting sqref="E6:M17">
    <cfRule type="cellIs" dxfId="2" priority="1" operator="equal">
      <formula>0</formula>
    </cfRule>
  </conditionalFormatting>
  <conditionalFormatting sqref="E6:M17">
    <cfRule type="colorScale" priority="2">
      <colorScale>
        <cfvo type="min"/>
        <cfvo type="formula" val="0"/>
        <cfvo type="max"/>
        <color rgb="FFFF0000"/>
        <color rgb="FFFFFFFF"/>
        <color rgb="FF00FF00"/>
      </colorScale>
    </cfRule>
  </conditionalFormatting>
  <conditionalFormatting sqref="AA6:AA17">
    <cfRule type="colorScale" priority="3">
      <colorScale>
        <cfvo type="min"/>
        <cfvo type="formula" val="0.5"/>
        <cfvo type="max"/>
        <color rgb="FFFF0000"/>
        <color rgb="FFFFFFFF"/>
        <color rgb="FF00FF00"/>
      </colorScale>
    </cfRule>
  </conditionalFormatting>
  <conditionalFormatting sqref="Z6:Z17">
    <cfRule type="colorScale" priority="4">
      <colorScale>
        <cfvo type="formula" val="2"/>
        <cfvo type="formula" val="4.5"/>
        <cfvo type="formula" val="8"/>
        <color rgb="FFFF0000"/>
        <color rgb="FFFFFFFF"/>
        <color rgb="FF00FF00"/>
      </colorScale>
    </cfRule>
  </conditionalFormatting>
  <dataValidations>
    <dataValidation type="list" allowBlank="1" sqref="AA1:AA2">
      <formula1>"50,100,150,200,250,300,350,400"</formula1>
    </dataValidation>
    <dataValidation type="list" allowBlank="1" sqref="B21:B34">
      <formula1>"100,75,50,25,0"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0"/>
  </cols>
  <sheetData>
    <row r="1">
      <c r="A1" s="78" t="s">
        <v>81</v>
      </c>
    </row>
    <row r="2">
      <c r="A2" s="79">
        <v>1.0</v>
      </c>
      <c r="B2" s="4" t="s">
        <v>82</v>
      </c>
      <c r="C2" s="6"/>
      <c r="D2" s="4" t="s">
        <v>83</v>
      </c>
      <c r="E2" s="40" t="s">
        <v>34</v>
      </c>
      <c r="F2" s="40" t="s">
        <v>35</v>
      </c>
      <c r="G2" s="40" t="s">
        <v>36</v>
      </c>
      <c r="H2" s="40" t="s">
        <v>37</v>
      </c>
      <c r="I2" s="40" t="s">
        <v>38</v>
      </c>
      <c r="J2" s="40" t="s">
        <v>61</v>
      </c>
      <c r="K2" s="40" t="s">
        <v>40</v>
      </c>
      <c r="L2" s="40" t="s">
        <v>41</v>
      </c>
      <c r="M2" s="40" t="s">
        <v>42</v>
      </c>
      <c r="N2" s="4" t="s">
        <v>78</v>
      </c>
      <c r="O2" s="4" t="s">
        <v>79</v>
      </c>
      <c r="P2" s="4" t="s">
        <v>78</v>
      </c>
      <c r="Q2" s="69"/>
    </row>
    <row r="3">
      <c r="B3" s="65">
        <f>Team!$B$21</f>
        <v>100</v>
      </c>
      <c r="C3" s="6">
        <v>1.0</v>
      </c>
      <c r="D3" s="6" t="str">
        <f t="array" ref="D3">INDIRECT("Draft!C"&amp;TEXT(A2+2,"0"))</f>
        <v/>
      </c>
      <c r="E3" s="71" t="str">
        <f>IF($D3="","", VLOOKUP($D3,Update!$B$2:$R$420,11,False))</f>
        <v/>
      </c>
      <c r="F3" s="71" t="str">
        <f>IF($D3="","", VLOOKUP($D3,Update!$B$2:$R$420,10,False))</f>
        <v/>
      </c>
      <c r="G3" s="71" t="str">
        <f>IF($D3="","", VLOOKUP($D3,Update!$B$2:$R$420,12,False))</f>
        <v/>
      </c>
      <c r="H3" s="71" t="str">
        <f>IF($D3="","", VLOOKUP($D3,Update!$B$2:$R$420,13,False))</f>
        <v/>
      </c>
      <c r="I3" s="71" t="str">
        <f>IF($D3="","", VLOOKUP($D3,Update!$B$2:$R$420,14,False))</f>
        <v/>
      </c>
      <c r="J3" s="71" t="str">
        <f>IF($D3="","", VLOOKUP($D3,Update!$B$2:$R$420,15,False))</f>
        <v/>
      </c>
      <c r="K3" s="47" t="str">
        <f> IF($D3="","", 100*VLOOKUP($D3,Update!$B$2:$R$420,6,False)/VLOOKUP($D3,'NO USAR1'!$A$3:$L$420,9,False))</f>
        <v/>
      </c>
      <c r="L3" s="47" t="str">
        <f>IF($D3="","", 100*VLOOKUP($D3,Update!$B$2:$R$420,9,False))</f>
        <v/>
      </c>
      <c r="M3" s="71" t="str">
        <f>IF($D3="","", VLOOKUP($D3,Update!$B$2:$R$420,16,False))</f>
        <v/>
      </c>
      <c r="N3" s="45" t="str">
        <f>IF($D3="","", VLOOKUP($D3,Update!$B$2:$C$420,2,FALSE))</f>
        <v/>
      </c>
      <c r="O3" s="45">
        <f t="array" ref="O3">COUNTIF(FIND(P3,$N$21:$N$32),"&gt;0")</f>
        <v>0</v>
      </c>
      <c r="P3" s="6" t="s">
        <v>43</v>
      </c>
      <c r="Q3" s="80"/>
    </row>
    <row r="4">
      <c r="B4" s="65">
        <f>Team!$B$22</f>
        <v>100</v>
      </c>
      <c r="C4" s="6">
        <v>2.0</v>
      </c>
      <c r="D4" s="72" t="str">
        <f t="array" ref="D4">INDIRECT("Draft!D"&amp;TEXT(15-A2,"0"))</f>
        <v/>
      </c>
      <c r="E4" s="71" t="str">
        <f>IF($D4="","", VLOOKUP($D4,Update!$B$2:$R$420,11,False))</f>
        <v/>
      </c>
      <c r="F4" s="71" t="str">
        <f>IF($D4="","", VLOOKUP($D4,Update!$B$2:$R$420,10,False))</f>
        <v/>
      </c>
      <c r="G4" s="71" t="str">
        <f>IF($D4="","", VLOOKUP($D4,Update!$B$2:$R$420,12,False))</f>
        <v/>
      </c>
      <c r="H4" s="71" t="str">
        <f>IF($D4="","", VLOOKUP($D4,Update!$B$2:$R$420,13,False))</f>
        <v/>
      </c>
      <c r="I4" s="71" t="str">
        <f>IF($D4="","", VLOOKUP($D4,Update!$B$2:$R$420,14,False))</f>
        <v/>
      </c>
      <c r="J4" s="71" t="str">
        <f>IF($D4="","", VLOOKUP($D4,Update!$B$2:$R$420,15,False))</f>
        <v/>
      </c>
      <c r="K4" s="47" t="str">
        <f> IF($D4="","", 100*VLOOKUP($D4,Update!$B$2:$R$420,6,False)/VLOOKUP($D4,'NO USAR1'!$A$3:$L$420,9,False))</f>
        <v/>
      </c>
      <c r="L4" s="47" t="str">
        <f>IF($D4="","", 100*VLOOKUP($D4,Update!$B$2:$R$420,9,False))</f>
        <v/>
      </c>
      <c r="M4" s="71" t="str">
        <f>IF($D4="","", VLOOKUP($D4,Update!$B$2:$R$420,16,False))</f>
        <v/>
      </c>
      <c r="N4" s="45" t="str">
        <f>IF($D4="","", VLOOKUP($D4,Update!$B$2:$C$420,2,FALSE))</f>
        <v/>
      </c>
      <c r="O4" s="45">
        <f t="array" ref="O4">COUNTIF(FIND(P4,$N$21:$N$32),"&gt;0")</f>
        <v>0</v>
      </c>
      <c r="P4" s="6" t="s">
        <v>44</v>
      </c>
      <c r="Q4" s="80" t="str">
        <f>VLOOKUP(D4,'NO USAR1'!A5:L404,8,False)</f>
        <v>#N/A</v>
      </c>
    </row>
    <row r="5">
      <c r="B5" s="65">
        <f>Team!$B$23</f>
        <v>100</v>
      </c>
      <c r="C5" s="6">
        <v>3.0</v>
      </c>
      <c r="D5" s="7" t="str">
        <f t="array" ref="D5">INDIRECT("Draft!E"&amp;TEXT(A2+2,"0"))</f>
        <v/>
      </c>
      <c r="E5" s="71" t="str">
        <f>IF($D5="","", VLOOKUP($D5,Update!$B$2:$R$420,11,False))</f>
        <v/>
      </c>
      <c r="F5" s="71" t="str">
        <f>IF($D5="","", VLOOKUP($D5,Update!$B$2:$R$420,10,False))</f>
        <v/>
      </c>
      <c r="G5" s="71" t="str">
        <f>IF($D5="","", VLOOKUP($D5,Update!$B$2:$R$420,12,False))</f>
        <v/>
      </c>
      <c r="H5" s="71" t="str">
        <f>IF($D5="","", VLOOKUP($D5,Update!$B$2:$R$420,13,False))</f>
        <v/>
      </c>
      <c r="I5" s="71" t="str">
        <f>IF($D5="","", VLOOKUP($D5,Update!$B$2:$R$420,14,False))</f>
        <v/>
      </c>
      <c r="J5" s="71" t="str">
        <f>IF($D5="","", VLOOKUP($D5,Update!$B$2:$R$420,15,False))</f>
        <v/>
      </c>
      <c r="K5" s="47" t="str">
        <f> IF($D5="","", 100*VLOOKUP($D5,Update!$B$2:$R$420,6,False)/VLOOKUP($D5,'NO USAR1'!$A$3:$L$420,9,False))</f>
        <v/>
      </c>
      <c r="L5" s="47" t="str">
        <f>IF($D5="","", 100*VLOOKUP($D5,Update!$B$2:$R$420,9,False))</f>
        <v/>
      </c>
      <c r="M5" s="71" t="str">
        <f>IF($D5="","", VLOOKUP($D5,Update!$B$2:$R$420,16,False))</f>
        <v/>
      </c>
      <c r="N5" s="45" t="str">
        <f>IF($D5="","", VLOOKUP($D5,Update!$B$2:$C$420,2,FALSE))</f>
        <v/>
      </c>
      <c r="O5" s="45">
        <f t="array" ref="O5">COUNTIF(FIND(P5,$N$21:$N$32),"&gt;0")</f>
        <v>0</v>
      </c>
      <c r="P5" s="6" t="s">
        <v>45</v>
      </c>
      <c r="Q5" s="80" t="str">
        <f>VLOOKUP(D5,'NO USAR1'!A6:L405,8,False)</f>
        <v>#N/A</v>
      </c>
    </row>
    <row r="6">
      <c r="B6" s="65">
        <f>Team!$B$24</f>
        <v>100</v>
      </c>
      <c r="C6" s="6">
        <v>4.0</v>
      </c>
      <c r="D6" s="73" t="str">
        <f t="array" ref="D6">INDIRECT("Draft!F"&amp;TEXT(15-A2,"0"))</f>
        <v/>
      </c>
      <c r="E6" s="71" t="str">
        <f>IF($D6="","", VLOOKUP($D6,Update!$B$2:$R$420,11,False))</f>
        <v/>
      </c>
      <c r="F6" s="71" t="str">
        <f>IF($D6="","", VLOOKUP($D6,Update!$B$2:$R$420,10,False))</f>
        <v/>
      </c>
      <c r="G6" s="71" t="str">
        <f>IF($D6="","", VLOOKUP($D6,Update!$B$2:$R$420,12,False))</f>
        <v/>
      </c>
      <c r="H6" s="71" t="str">
        <f>IF($D6="","", VLOOKUP($D6,Update!$B$2:$R$420,13,False))</f>
        <v/>
      </c>
      <c r="I6" s="71" t="str">
        <f>IF($D6="","", VLOOKUP($D6,Update!$B$2:$R$420,14,False))</f>
        <v/>
      </c>
      <c r="J6" s="71" t="str">
        <f>IF($D6="","", VLOOKUP($D6,Update!$B$2:$R$420,15,False))</f>
        <v/>
      </c>
      <c r="K6" s="47" t="str">
        <f> IF($D6="","", 100*VLOOKUP($D6,Update!$B$2:$R$420,6,False)/VLOOKUP($D6,'NO USAR1'!$A$3:$L$420,9,False))</f>
        <v/>
      </c>
      <c r="L6" s="47" t="str">
        <f>IF($D6="","", 100*VLOOKUP($D6,Update!$B$2:$R$420,9,False))</f>
        <v/>
      </c>
      <c r="M6" s="71" t="str">
        <f>IF($D6="","", VLOOKUP($D6,Update!$B$2:$R$420,16,False))</f>
        <v/>
      </c>
      <c r="N6" s="45" t="str">
        <f>IF($D6="","", VLOOKUP($D6,Update!$B$2:$C$420,2,FALSE))</f>
        <v/>
      </c>
      <c r="O6" s="45">
        <f t="array" ref="O6">COUNTIF(FIND(P6,$N$21:$N$32),"&gt;0")</f>
        <v>0</v>
      </c>
      <c r="P6" s="6" t="s">
        <v>46</v>
      </c>
      <c r="Q6" s="80" t="str">
        <f>VLOOKUP(D6,'NO USAR1'!A7:L406,8,False)</f>
        <v>#N/A</v>
      </c>
    </row>
    <row r="7">
      <c r="B7" s="65">
        <f>Team!$B$25</f>
        <v>100</v>
      </c>
      <c r="C7" s="6">
        <v>5.0</v>
      </c>
      <c r="D7" s="7" t="str">
        <f t="array" ref="D7">INDIRECT("Draft!G"&amp;TEXT($A$2+2,"0"))</f>
        <v/>
      </c>
      <c r="E7" s="71" t="str">
        <f>IF($D7="","", VLOOKUP($D7,Update!$B$2:$R$420,11,False))</f>
        <v/>
      </c>
      <c r="F7" s="71" t="str">
        <f>IF($D7="","", VLOOKUP($D7,Update!$B$2:$R$420,10,False))</f>
        <v/>
      </c>
      <c r="G7" s="71" t="str">
        <f>IF($D7="","", VLOOKUP($D7,Update!$B$2:$R$420,12,False))</f>
        <v/>
      </c>
      <c r="H7" s="71" t="str">
        <f>IF($D7="","", VLOOKUP($D7,Update!$B$2:$R$420,13,False))</f>
        <v/>
      </c>
      <c r="I7" s="71" t="str">
        <f>IF($D7="","", VLOOKUP($D7,Update!$B$2:$R$420,14,False))</f>
        <v/>
      </c>
      <c r="J7" s="71" t="str">
        <f>IF($D7="","", VLOOKUP($D7,Update!$B$2:$R$420,15,False))</f>
        <v/>
      </c>
      <c r="K7" s="47" t="str">
        <f> IF($D7="","", 100*VLOOKUP($D7,Update!$B$2:$R$420,6,False)/VLOOKUP($D7,'NO USAR1'!$A$3:$L$420,9,False))</f>
        <v/>
      </c>
      <c r="L7" s="47" t="str">
        <f>IF($D7="","", 100*VLOOKUP($D7,Update!$B$2:$R$420,9,False))</f>
        <v/>
      </c>
      <c r="M7" s="71" t="str">
        <f>IF($D7="","", VLOOKUP($D7,Update!$B$2:$R$420,16,False))</f>
        <v/>
      </c>
      <c r="N7" s="45" t="str">
        <f>IF($D7="","", VLOOKUP($D7,Update!$B$2:$C$420,2,FALSE))</f>
        <v/>
      </c>
      <c r="O7" s="45">
        <f t="array" ref="O7">COUNTIF(FIND(P7,$N$21:$N$32),"&gt;0")</f>
        <v>0</v>
      </c>
      <c r="P7" s="6" t="s">
        <v>47</v>
      </c>
      <c r="Q7" s="80" t="str">
        <f>VLOOKUP(D7,'NO USAR1'!A8:L407,8,False)</f>
        <v>#N/A</v>
      </c>
    </row>
    <row r="8">
      <c r="B8" s="65">
        <f>Team!$B$26</f>
        <v>100</v>
      </c>
      <c r="C8" s="6">
        <v>6.0</v>
      </c>
      <c r="D8" s="73" t="str">
        <f t="array" ref="D8">INDIRECT("Draft!H"&amp;TEXT(15-A2,"0"))</f>
        <v/>
      </c>
      <c r="E8" s="71" t="str">
        <f>IF($D8="","", VLOOKUP($D8,Update!$B$2:$R$420,11,False))</f>
        <v/>
      </c>
      <c r="F8" s="71" t="str">
        <f>IF($D8="","", VLOOKUP($D8,Update!$B$2:$R$420,10,False))</f>
        <v/>
      </c>
      <c r="G8" s="71" t="str">
        <f>IF($D8="","", VLOOKUP($D8,Update!$B$2:$R$420,12,False))</f>
        <v/>
      </c>
      <c r="H8" s="71" t="str">
        <f>IF($D8="","", VLOOKUP($D8,Update!$B$2:$R$420,13,False))</f>
        <v/>
      </c>
      <c r="I8" s="71" t="str">
        <f>IF($D8="","", VLOOKUP($D8,Update!$B$2:$R$420,14,False))</f>
        <v/>
      </c>
      <c r="J8" s="71" t="str">
        <f>IF($D8="","", VLOOKUP($D8,Update!$B$2:$R$420,15,False))</f>
        <v/>
      </c>
      <c r="K8" s="47" t="str">
        <f> IF($D8="","", 100*VLOOKUP($D8,Update!$B$2:$R$420,6,False)/VLOOKUP($D8,'NO USAR1'!$A$3:$L$420,9,False))</f>
        <v/>
      </c>
      <c r="L8" s="47" t="str">
        <f>IF($D8="","", 100*VLOOKUP($D8,Update!$B$2:$R$420,9,False))</f>
        <v/>
      </c>
      <c r="M8" s="71" t="str">
        <f>IF($D8="","", VLOOKUP($D8,Update!$B$2:$R$420,16,False))</f>
        <v/>
      </c>
      <c r="N8" s="45" t="str">
        <f>IF($D8="","", VLOOKUP($D8,Update!$B$2:$C$420,2,FALSE))</f>
        <v/>
      </c>
      <c r="O8" s="2"/>
      <c r="P8" s="2"/>
      <c r="Q8" s="80" t="str">
        <f>VLOOKUP(D8,'NO USAR1'!A9:L408,8,False)</f>
        <v>#N/A</v>
      </c>
    </row>
    <row r="9">
      <c r="B9" s="65">
        <f>Team!$B$27</f>
        <v>100</v>
      </c>
      <c r="C9" s="6">
        <v>7.0</v>
      </c>
      <c r="D9" s="7" t="str">
        <f t="array" ref="D9">INDIRECT("Draft!I"&amp;TEXT(A2+2,"0"))</f>
        <v/>
      </c>
      <c r="E9" s="71" t="str">
        <f>IF($D9="","", VLOOKUP($D9,Update!$B$2:$R$420,11,False))</f>
        <v/>
      </c>
      <c r="F9" s="71" t="str">
        <f>IF($D9="","", VLOOKUP($D9,Update!$B$2:$R$420,10,False))</f>
        <v/>
      </c>
      <c r="G9" s="71" t="str">
        <f>IF($D9="","", VLOOKUP($D9,Update!$B$2:$R$420,12,False))</f>
        <v/>
      </c>
      <c r="H9" s="71" t="str">
        <f>IF($D9="","", VLOOKUP($D9,Update!$B$2:$R$420,13,False))</f>
        <v/>
      </c>
      <c r="I9" s="71" t="str">
        <f>IF($D9="","", VLOOKUP($D9,Update!$B$2:$R$420,14,False))</f>
        <v/>
      </c>
      <c r="J9" s="71" t="str">
        <f>IF($D9="","", VLOOKUP($D9,Update!$B$2:$R$420,15,False))</f>
        <v/>
      </c>
      <c r="K9" s="47" t="str">
        <f> IF($D9="","", 100*VLOOKUP($D9,Update!$B$2:$R$420,6,False)/VLOOKUP($D9,'NO USAR1'!$A$3:$L$420,9,False))</f>
        <v/>
      </c>
      <c r="L9" s="47" t="str">
        <f>IF($D9="","", 100*VLOOKUP($D9,Update!$B$2:$R$420,9,False))</f>
        <v/>
      </c>
      <c r="M9" s="71" t="str">
        <f>IF($D9="","", VLOOKUP($D9,Update!$B$2:$R$420,16,False))</f>
        <v/>
      </c>
      <c r="N9" s="45" t="str">
        <f>IF($D9="","", VLOOKUP($D9,Update!$B$2:$C$420,2,FALSE))</f>
        <v/>
      </c>
      <c r="O9" s="2"/>
      <c r="P9" s="2"/>
      <c r="Q9" s="80" t="str">
        <f>VLOOKUP(D9,'NO USAR1'!A10:L409,8,False)</f>
        <v>#N/A</v>
      </c>
    </row>
    <row r="10">
      <c r="B10" s="65">
        <f>Team!$B$28</f>
        <v>100</v>
      </c>
      <c r="C10" s="6">
        <v>8.0</v>
      </c>
      <c r="D10" s="73" t="str">
        <f t="array" ref="D10">INDIRECT("Draft!J"&amp;TEXT(15-$A$2,"0"))</f>
        <v/>
      </c>
      <c r="E10" s="71" t="str">
        <f>IF($D10="","", VLOOKUP($D10,Update!$B$2:$R$420,11,False))</f>
        <v/>
      </c>
      <c r="F10" s="71" t="str">
        <f>IF($D10="","", VLOOKUP($D10,Update!$B$2:$R$420,10,False))</f>
        <v/>
      </c>
      <c r="G10" s="71" t="str">
        <f>IF($D10="","", VLOOKUP($D10,Update!$B$2:$R$420,12,False))</f>
        <v/>
      </c>
      <c r="H10" s="71" t="str">
        <f>IF($D10="","", VLOOKUP($D10,Update!$B$2:$R$420,13,False))</f>
        <v/>
      </c>
      <c r="I10" s="71" t="str">
        <f>IF($D10="","", VLOOKUP($D10,Update!$B$2:$R$420,14,False))</f>
        <v/>
      </c>
      <c r="J10" s="71" t="str">
        <f>IF($D10="","", VLOOKUP($D10,Update!$B$2:$R$420,15,False))</f>
        <v/>
      </c>
      <c r="K10" s="47" t="str">
        <f> IF($D10="","", 100*VLOOKUP($D10,Update!$B$2:$R$420,6,False)/VLOOKUP($D10,'NO USAR1'!$A$3:$L$420,9,False))</f>
        <v/>
      </c>
      <c r="L10" s="47" t="str">
        <f>IF($D10="","", 100*VLOOKUP($D10,Update!$B$2:$R$420,9,False))</f>
        <v/>
      </c>
      <c r="M10" s="71" t="str">
        <f>IF($D10="","", VLOOKUP($D10,Update!$B$2:$R$420,16,False))</f>
        <v/>
      </c>
      <c r="N10" s="45" t="str">
        <f>IF($D10="","", VLOOKUP($D10,Update!$B$2:$C$420,2,FALSE))</f>
        <v/>
      </c>
      <c r="O10" s="2"/>
      <c r="P10" s="2"/>
      <c r="Q10" s="80" t="str">
        <f>VLOOKUP(D10,'NO USAR1'!A11:L410,8,False)</f>
        <v>#N/A</v>
      </c>
    </row>
    <row r="11">
      <c r="B11" s="65">
        <f>Team!$B$29</f>
        <v>100</v>
      </c>
      <c r="C11" s="6">
        <v>9.0</v>
      </c>
      <c r="D11" s="7" t="str">
        <f t="array" ref="D11">INDIRECT("Draft!K"&amp;TEXT(A2+2,"0"))</f>
        <v/>
      </c>
      <c r="E11" s="71" t="str">
        <f>IF($D11="","", VLOOKUP($D11,Update!$B$2:$R$420,11,False))</f>
        <v/>
      </c>
      <c r="F11" s="71" t="str">
        <f>IF($D11="","", VLOOKUP($D11,Update!$B$2:$R$420,10,False))</f>
        <v/>
      </c>
      <c r="G11" s="71" t="str">
        <f>IF($D11="","", VLOOKUP($D11,Update!$B$2:$R$420,12,False))</f>
        <v/>
      </c>
      <c r="H11" s="71" t="str">
        <f>IF($D11="","", VLOOKUP($D11,Update!$B$2:$R$420,13,False))</f>
        <v/>
      </c>
      <c r="I11" s="71" t="str">
        <f>IF($D11="","", VLOOKUP($D11,Update!$B$2:$R$420,14,False))</f>
        <v/>
      </c>
      <c r="J11" s="71" t="str">
        <f>IF($D11="","", VLOOKUP($D11,Update!$B$2:$R$420,15,False))</f>
        <v/>
      </c>
      <c r="K11" s="47" t="str">
        <f> IF($D11="","", 100*VLOOKUP($D11,Update!$B$2:$R$420,6,False)/VLOOKUP($D11,'NO USAR1'!$A$3:$L$420,9,False))</f>
        <v/>
      </c>
      <c r="L11" s="47" t="str">
        <f>IF($D11="","", 100*VLOOKUP($D11,Update!$B$2:$R$420,9,False))</f>
        <v/>
      </c>
      <c r="M11" s="71" t="str">
        <f>IF($D11="","", VLOOKUP($D11,Update!$B$2:$R$420,16,False))</f>
        <v/>
      </c>
      <c r="N11" s="45" t="str">
        <f>IF($D11="","", VLOOKUP($D11,Update!$B$2:$C$420,2,FALSE))</f>
        <v/>
      </c>
      <c r="O11" s="2"/>
      <c r="P11" s="2"/>
      <c r="Q11" s="80" t="str">
        <f>VLOOKUP(D11,'NO USAR1'!A12:L411,8,False)</f>
        <v>#N/A</v>
      </c>
    </row>
    <row r="12">
      <c r="B12" s="65">
        <f>Team!$B$30</f>
        <v>100</v>
      </c>
      <c r="C12" s="6">
        <v>10.0</v>
      </c>
      <c r="D12" s="73" t="str">
        <f t="array" ref="D12">INDIRECT("Draft!L"&amp;TEXT(15-A2,"0"))</f>
        <v/>
      </c>
      <c r="E12" s="71" t="str">
        <f>IF($D12="","", VLOOKUP($D12,Update!$B$2:$R$420,11,False))</f>
        <v/>
      </c>
      <c r="F12" s="71" t="str">
        <f>IF($D12="","", VLOOKUP($D12,Update!$B$2:$R$420,10,False))</f>
        <v/>
      </c>
      <c r="G12" s="71" t="str">
        <f>IF($D12="","", VLOOKUP($D12,Update!$B$2:$R$420,12,False))</f>
        <v/>
      </c>
      <c r="H12" s="71" t="str">
        <f>IF($D12="","", VLOOKUP($D12,Update!$B$2:$R$420,13,False))</f>
        <v/>
      </c>
      <c r="I12" s="71" t="str">
        <f>IF($D12="","", VLOOKUP($D12,Update!$B$2:$R$420,14,False))</f>
        <v/>
      </c>
      <c r="J12" s="71" t="str">
        <f>IF($D12="","", VLOOKUP($D12,Update!$B$2:$R$420,15,False))</f>
        <v/>
      </c>
      <c r="K12" s="47" t="str">
        <f> IF($D12="","", 100*VLOOKUP($D12,Update!$B$2:$R$420,6,False)/VLOOKUP($D12,'NO USAR1'!$A$3:$L$420,9,False))</f>
        <v/>
      </c>
      <c r="L12" s="47" t="str">
        <f>IF($D12="","", 100*VLOOKUP($D12,Update!$B$2:$R$420,9,False))</f>
        <v/>
      </c>
      <c r="M12" s="71" t="str">
        <f>IF($D12="","", VLOOKUP($D12,Update!$B$2:$R$420,16,False))</f>
        <v/>
      </c>
      <c r="N12" s="45" t="str">
        <f>IF($D12="","", VLOOKUP($D12,Update!$B$2:$C$420,2,FALSE))</f>
        <v/>
      </c>
      <c r="O12" s="2"/>
      <c r="P12" s="2"/>
      <c r="Q12" s="80" t="str">
        <f>VLOOKUP(D12,'NO USAR1'!A13:L412,8,False)</f>
        <v>#N/A</v>
      </c>
    </row>
    <row r="13">
      <c r="B13" s="65">
        <f>Team!$B$31</f>
        <v>100</v>
      </c>
      <c r="C13" s="6">
        <v>11.0</v>
      </c>
      <c r="D13" s="7" t="str">
        <f t="array" ref="D13">INDIRECT("Draft!M"&amp;TEXT(A2+2,"0"))</f>
        <v/>
      </c>
      <c r="E13" s="71" t="str">
        <f>IF($D13="","", VLOOKUP($D13,Update!$B$2:$R$420,11,False))</f>
        <v/>
      </c>
      <c r="F13" s="71" t="str">
        <f>IF($D13="","", VLOOKUP($D13,Update!$B$2:$R$420,10,False))</f>
        <v/>
      </c>
      <c r="G13" s="71" t="str">
        <f>IF($D13="","", VLOOKUP($D13,Update!$B$2:$R$420,12,False))</f>
        <v/>
      </c>
      <c r="H13" s="71" t="str">
        <f>IF($D13="","", VLOOKUP($D13,Update!$B$2:$R$420,13,False))</f>
        <v/>
      </c>
      <c r="I13" s="71" t="str">
        <f>IF($D13="","", VLOOKUP($D13,Update!$B$2:$R$420,14,False))</f>
        <v/>
      </c>
      <c r="J13" s="71" t="str">
        <f>IF($D13="","", VLOOKUP($D13,Update!$B$2:$R$420,15,False))</f>
        <v/>
      </c>
      <c r="K13" s="47" t="str">
        <f> IF($D13="","", 100*VLOOKUP($D13,Update!$B$2:$R$420,6,False)/VLOOKUP($D13,'NO USAR1'!$A$3:$L$420,9,False))</f>
        <v/>
      </c>
      <c r="L13" s="47" t="str">
        <f>IF($D13="","", 100*VLOOKUP($D13,Update!$B$2:$R$420,9,False))</f>
        <v/>
      </c>
      <c r="M13" s="71" t="str">
        <f>IF($D13="","", VLOOKUP($D13,Update!$B$2:$R$420,16,False))</f>
        <v/>
      </c>
      <c r="N13" s="45" t="str">
        <f>IF($D13="","", VLOOKUP($D13,Update!$B$2:$C$420,2,FALSE))</f>
        <v/>
      </c>
      <c r="O13" s="2"/>
      <c r="P13" s="2"/>
      <c r="Q13" s="80" t="str">
        <f>VLOOKUP(D13,'NO USAR1'!A14:L413,8,False)</f>
        <v>#N/A</v>
      </c>
    </row>
    <row r="14">
      <c r="B14" s="65">
        <f>Team!$B$32</f>
        <v>100</v>
      </c>
      <c r="C14" s="6">
        <v>12.0</v>
      </c>
      <c r="D14" s="73" t="str">
        <f t="array" ref="D14">INDIRECT("Draft!N"&amp;TEXT(15-A2,"0"))</f>
        <v/>
      </c>
      <c r="E14" s="71" t="str">
        <f>IF($D14="","", VLOOKUP($D14,Update!$B$2:$R$420,11,False))</f>
        <v/>
      </c>
      <c r="F14" s="71" t="str">
        <f>IF($D14="","", VLOOKUP($D14,Update!$B$2:$R$420,10,False))</f>
        <v/>
      </c>
      <c r="G14" s="71" t="str">
        <f>IF($D14="","", VLOOKUP($D14,Update!$B$2:$R$420,12,False))</f>
        <v/>
      </c>
      <c r="H14" s="71" t="str">
        <f>IF($D14="","", VLOOKUP($D14,Update!$B$2:$R$420,13,False))</f>
        <v/>
      </c>
      <c r="I14" s="71" t="str">
        <f>IF($D14="","", VLOOKUP($D14,Update!$B$2:$R$420,14,False))</f>
        <v/>
      </c>
      <c r="J14" s="71" t="str">
        <f>IF($D14="","", VLOOKUP($D14,Update!$B$2:$R$420,15,False))</f>
        <v/>
      </c>
      <c r="K14" s="47" t="str">
        <f> IF($D14="","", 100*VLOOKUP($D14,Update!$B$2:$R$420,6,False)/VLOOKUP($D14,'NO USAR1'!$A$3:$L$420,9,False))</f>
        <v/>
      </c>
      <c r="L14" s="47" t="str">
        <f>IF($D14="","", 100*VLOOKUP($D14,Update!$B$2:$R$420,9,False))</f>
        <v/>
      </c>
      <c r="M14" s="71" t="str">
        <f>IF($D14="","", VLOOKUP($D14,Update!$B$2:$R$420,16,False))</f>
        <v/>
      </c>
      <c r="N14" s="45" t="str">
        <f>IF($D14="","", VLOOKUP($D14,Update!$B$2:$C$420,2,FALSE))</f>
        <v/>
      </c>
      <c r="O14" s="2"/>
      <c r="P14" s="2"/>
      <c r="Q14" s="80" t="str">
        <f>VLOOKUP(D14,'NO USAR1'!A15:L414,8,False)</f>
        <v>#N/A</v>
      </c>
    </row>
    <row r="15">
      <c r="B15" s="65">
        <f>Team!$B$33</f>
        <v>100</v>
      </c>
      <c r="C15" s="6">
        <v>13.0</v>
      </c>
      <c r="D15" s="6" t="str">
        <f t="array" ref="D15">INDIRECT("Draft!O"&amp;TEXT(A2+2,"0"))</f>
        <v/>
      </c>
      <c r="E15" s="71" t="str">
        <f>IF($D15="","", VLOOKUP($D15,Update!$B$2:$R$420,11,False))</f>
        <v/>
      </c>
      <c r="F15" s="71" t="str">
        <f>IF($D15="","", VLOOKUP($D15,Update!$B$2:$R$420,10,False))</f>
        <v/>
      </c>
      <c r="G15" s="71" t="str">
        <f>IF($D15="","", VLOOKUP($D15,Update!$B$2:$R$420,12,False))</f>
        <v/>
      </c>
      <c r="H15" s="71" t="str">
        <f>IF($D15="","", VLOOKUP($D15,Update!$B$2:$R$420,13,False))</f>
        <v/>
      </c>
      <c r="I15" s="71" t="str">
        <f>IF($D15="","", VLOOKUP($D15,Update!$B$2:$R$420,14,False))</f>
        <v/>
      </c>
      <c r="J15" s="71" t="str">
        <f>IF($D15="","", VLOOKUP($D15,Update!$B$2:$R$420,15,False))</f>
        <v/>
      </c>
      <c r="K15" s="47" t="str">
        <f> IF($D15="","", 100*VLOOKUP($D15,Update!$B$2:$R$420,6,False)/VLOOKUP($D15,'NO USAR1'!$A$3:$L$420,9,False))</f>
        <v/>
      </c>
      <c r="L15" s="47" t="str">
        <f>IF($D15="","", 100*VLOOKUP($D15,Update!$B$2:$R$420,9,False))</f>
        <v/>
      </c>
      <c r="M15" s="71" t="str">
        <f>IF($D15="","", VLOOKUP($D15,Update!$B$2:$R$420,16,False))</f>
        <v/>
      </c>
      <c r="N15" s="2"/>
      <c r="O15" s="2"/>
      <c r="P15" s="2"/>
      <c r="Q15" s="80" t="str">
        <f>VLOOKUP(D15,'NO USAR1'!A16:L415,8,False)</f>
        <v>#N/A</v>
      </c>
    </row>
    <row r="16">
      <c r="B16" s="65">
        <f>Team!$B$34</f>
        <v>0</v>
      </c>
      <c r="C16" s="6">
        <v>14.0</v>
      </c>
      <c r="D16" s="72" t="str">
        <f t="array" ref="D16">INDIRECT("Draft!P"&amp;TEXT(15-A2,"0"))</f>
        <v/>
      </c>
      <c r="E16" s="71" t="str">
        <f>IF($D16="","", VLOOKUP($D16,Update!$B$2:$R$420,11,False))</f>
        <v/>
      </c>
      <c r="F16" s="71" t="str">
        <f>IF($D16="","", VLOOKUP($D16,Update!$B$2:$R$420,10,False))</f>
        <v/>
      </c>
      <c r="G16" s="71" t="str">
        <f>IF($D16="","", VLOOKUP($D16,Update!$B$2:$R$420,12,False))</f>
        <v/>
      </c>
      <c r="H16" s="71" t="str">
        <f>IF($D16="","", VLOOKUP($D16,Update!$B$2:$R$420,13,False))</f>
        <v/>
      </c>
      <c r="I16" s="71" t="str">
        <f>IF($D16="","", VLOOKUP($D16,Update!$B$2:$R$420,14,False))</f>
        <v/>
      </c>
      <c r="J16" s="71" t="str">
        <f>IF($D16="","", VLOOKUP($D16,Update!$B$2:$R$420,15,False))</f>
        <v/>
      </c>
      <c r="K16" s="47" t="str">
        <f> IF($D16="","", 100*VLOOKUP($D16,Update!$B$2:$R$420,6,False)/VLOOKUP($D16,'NO USAR1'!$A$3:$L$420,9,False))</f>
        <v/>
      </c>
      <c r="L16" s="47" t="str">
        <f>IF($D16="","", 100*VLOOKUP($D16,Update!$B$2:$R$420,9,False))</f>
        <v/>
      </c>
      <c r="M16" s="71" t="str">
        <f>IF($D16="","", VLOOKUP($D16,Update!$B$2:$R$420,16,False))</f>
        <v/>
      </c>
      <c r="N16" s="2"/>
      <c r="O16" s="2"/>
      <c r="P16" s="2"/>
      <c r="Q16" s="80" t="str">
        <f>VLOOKUP(D16,'NO USAR1'!A17:L416,8,False)</f>
        <v>#N/A</v>
      </c>
    </row>
    <row r="17">
      <c r="A17" s="78" t="s">
        <v>81</v>
      </c>
      <c r="D17" s="76" t="s">
        <v>80</v>
      </c>
      <c r="E17" s="47" t="str">
        <f t="shared" ref="E17:J17" si="1">AVERAGE(SUMPRODUCT(E3:E16,$B3:$B16/100))/(SUM(OFFSET($B3,0,0,COUNT(E3:E16)))/100)</f>
        <v>#VALUE!</v>
      </c>
      <c r="F17" s="47" t="str">
        <f t="shared" si="1"/>
        <v>#VALUE!</v>
      </c>
      <c r="G17" s="47" t="str">
        <f t="shared" si="1"/>
        <v>#VALUE!</v>
      </c>
      <c r="H17" s="47" t="str">
        <f t="shared" si="1"/>
        <v>#VALUE!</v>
      </c>
      <c r="I17" s="47" t="str">
        <f t="shared" si="1"/>
        <v>#VALUE!</v>
      </c>
      <c r="J17" s="47" t="str">
        <f t="shared" si="1"/>
        <v>#VALUE!</v>
      </c>
      <c r="K17" s="47" t="str">
        <f t="array" ref="K17">IFERROR(100*SUMPRODUCT(IFERROR(VLOOKUP($D3:$D16,Update!$B:$S,6,False),"")*$B3:$B16/100)/SUMPRODUCT(IFERROR(VLOOKUP($D3:$D16,Update!$B:$S,17,False),"")*$B3:$B16/100),"")</f>
        <v/>
      </c>
      <c r="L17" s="47" t="str">
        <f t="array" ref="L17">IFERROR(100*SUMPRODUCT(IFERROR(VLOOKUP($D3:$D16,Update!$B:$S,8,False),"")*$B3:$B16/100)/SUMPRODUCT(IFERROR(VLOOKUP($D3:$D16,Update!$B:$S,18,False),"")*$B3:$B16/100),"")</f>
        <v/>
      </c>
      <c r="M17" s="47" t="str">
        <f>AVERAGE(SUMPRODUCT(M3:M16,$B3:$B16/100))/(SUM(OFFSET($B3,0,0,COUNT(M3:M16)))/100)</f>
        <v>#VALUE!</v>
      </c>
      <c r="N17" s="2"/>
    </row>
    <row r="18">
      <c r="A18" s="78"/>
      <c r="D18" s="76" t="s">
        <v>84</v>
      </c>
      <c r="E18" s="46" t="str">
        <f>(SUM(OFFSET('All Teams'!$B3,0,0,COUNT('All Teams'!E3:E16)))/100)*('All Teams'!E17-'NO USAR1'!$B$1)/'NO USAR1'!$B$2</f>
        <v>#VALUE!</v>
      </c>
      <c r="F18" s="46" t="str">
        <f>(SUM(OFFSET('All Teams'!$B3,0,0,COUNT('All Teams'!F3:F16)))/100)*('All Teams'!F17-'NO USAR1'!$C$1)/'NO USAR1'!$C$2</f>
        <v>#VALUE!</v>
      </c>
      <c r="G18" s="46" t="str">
        <f>(SUM(OFFSET('All Teams'!$B3,0,0,COUNT('All Teams'!G3:G16)))/100)*('All Teams'!G17-'NO USAR1'!$D$1)/'NO USAR1'!$D$2</f>
        <v>#VALUE!</v>
      </c>
      <c r="H18" s="46" t="str">
        <f>(SUM(OFFSET('All Teams'!$B3,0,0,COUNT('All Teams'!H3:H16)))/100)*('All Teams'!H17-'NO USAR1'!$E$1)/'NO USAR1'!$E$2</f>
        <v>#VALUE!</v>
      </c>
      <c r="I18" s="46" t="str">
        <f>(SUM(OFFSET('All Teams'!$B3,0,0,COUNT('All Teams'!I3:I16)))/100)*('All Teams'!I17-'NO USAR1'!$F$1)/'NO USAR1'!$F$2</f>
        <v>#VALUE!</v>
      </c>
      <c r="J18" s="46" t="str">
        <f>(SUM(OFFSET('All Teams'!$B3,0,0,COUNT('All Teams'!J3:J16)))/100)*('All Teams'!J17-'NO USAR1'!$G$1)/'NO USAR1'!$G$2</f>
        <v>#VALUE!</v>
      </c>
      <c r="K18" s="46">
        <f t="array" ref="K18">SUMPRODUCT(IFERROR(VLOOKUP($D3:$D16,'NO USAR1'!$A$4:$L$403,8,False)*$B3:$B16/100,""))</f>
        <v>0</v>
      </c>
      <c r="L18" s="46">
        <f t="array" ref="L18">SUMPRODUCT(IFERROR(VLOOKUP($D3:$D16,'NO USAR1'!$A$4:$L$403,10,False)*$B3:$B16/100,""))</f>
        <v>0</v>
      </c>
      <c r="M18" s="46" t="str">
        <f>-(SUM(OFFSET('All Teams'!$B3,0,0,COUNT('All Teams'!M3:M16)))/100)*('All Teams'!M17-'NO USAR1'!$L$1)/'NO USAR1'!$L$2</f>
        <v>#VALUE!</v>
      </c>
      <c r="N18" s="2"/>
    </row>
    <row r="19">
      <c r="A19" s="79">
        <v>2.0</v>
      </c>
      <c r="B19" s="4" t="s">
        <v>82</v>
      </c>
      <c r="C19" s="6"/>
      <c r="D19" s="4" t="s">
        <v>83</v>
      </c>
      <c r="E19" s="40" t="s">
        <v>34</v>
      </c>
      <c r="F19" s="40" t="s">
        <v>35</v>
      </c>
      <c r="G19" s="40" t="s">
        <v>36</v>
      </c>
      <c r="H19" s="40" t="s">
        <v>37</v>
      </c>
      <c r="I19" s="40" t="s">
        <v>38</v>
      </c>
      <c r="J19" s="40" t="s">
        <v>61</v>
      </c>
      <c r="K19" s="40" t="s">
        <v>40</v>
      </c>
      <c r="L19" s="40" t="s">
        <v>41</v>
      </c>
      <c r="M19" s="40" t="s">
        <v>42</v>
      </c>
      <c r="N19" s="4" t="s">
        <v>78</v>
      </c>
      <c r="O19" s="4" t="s">
        <v>79</v>
      </c>
      <c r="P19" s="4" t="s">
        <v>78</v>
      </c>
      <c r="Q19" s="69"/>
    </row>
    <row r="20">
      <c r="B20" s="65">
        <f>Team!$B$21</f>
        <v>100</v>
      </c>
      <c r="C20" s="6">
        <v>1.0</v>
      </c>
      <c r="D20" s="6" t="str">
        <f t="array" ref="D20">INDIRECT("Draft!C"&amp;TEXT(A19+2,"0"))</f>
        <v/>
      </c>
      <c r="E20" s="71" t="str">
        <f>IF($D20="","", VLOOKUP($D20,Update!$B$2:$R$420,11,False))</f>
        <v/>
      </c>
      <c r="F20" s="71" t="str">
        <f>IF($D20="","", VLOOKUP($D20,Update!$B$2:$R$420,10,False))</f>
        <v/>
      </c>
      <c r="G20" s="71" t="str">
        <f>IF($D20="","", VLOOKUP($D20,Update!$B$2:$R$420,12,False))</f>
        <v/>
      </c>
      <c r="H20" s="71" t="str">
        <f>IF($D20="","", VLOOKUP($D20,Update!$B$2:$R$420,13,False))</f>
        <v/>
      </c>
      <c r="I20" s="71" t="str">
        <f>IF($D20="","", VLOOKUP($D20,Update!$B$2:$R$420,14,False))</f>
        <v/>
      </c>
      <c r="J20" s="71" t="str">
        <f>IF($D20="","", VLOOKUP($D20,Update!$B$2:$R$420,15,False))</f>
        <v/>
      </c>
      <c r="K20" s="47" t="str">
        <f> IF($D20="","", 100*VLOOKUP($D20,Update!$B$2:$R$420,6,False)/VLOOKUP($D20,'NO USAR1'!$A$3:$L$420,9,False))</f>
        <v/>
      </c>
      <c r="L20" s="47" t="str">
        <f>IF($D20="","", 100*VLOOKUP($D20,Update!$B$2:$R$420,9,False))</f>
        <v/>
      </c>
      <c r="M20" s="71" t="str">
        <f>IF($D20="","", VLOOKUP($D20,Update!$B$2:$R$420,16,False))</f>
        <v/>
      </c>
      <c r="N20" s="45" t="str">
        <f>IF($D20="","", VLOOKUP($D20,Update!$B$2:$C$420,2,FALSE))</f>
        <v/>
      </c>
      <c r="O20" s="45">
        <f t="array" ref="O20">COUNTIF(FIND(P20,$N$21:$N$32),"&gt;0")</f>
        <v>0</v>
      </c>
      <c r="P20" s="6" t="s">
        <v>43</v>
      </c>
      <c r="Q20" s="80"/>
    </row>
    <row r="21">
      <c r="B21" s="65">
        <f>Team!$B$22</f>
        <v>100</v>
      </c>
      <c r="C21" s="6">
        <v>2.0</v>
      </c>
      <c r="D21" s="72" t="str">
        <f t="array" ref="D21">INDIRECT("Draft!D"&amp;TEXT(15-A19,"0"))</f>
        <v/>
      </c>
      <c r="E21" s="71" t="str">
        <f>IF($D21="","", VLOOKUP($D21,Update!$B$2:$R$420,11,False))</f>
        <v/>
      </c>
      <c r="F21" s="71" t="str">
        <f>IF($D21="","", VLOOKUP($D21,Update!$B$2:$R$420,10,False))</f>
        <v/>
      </c>
      <c r="G21" s="71" t="str">
        <f>IF($D21="","", VLOOKUP($D21,Update!$B$2:$R$420,12,False))</f>
        <v/>
      </c>
      <c r="H21" s="71" t="str">
        <f>IF($D21="","", VLOOKUP($D21,Update!$B$2:$R$420,13,False))</f>
        <v/>
      </c>
      <c r="I21" s="71" t="str">
        <f>IF($D21="","", VLOOKUP($D21,Update!$B$2:$R$420,14,False))</f>
        <v/>
      </c>
      <c r="J21" s="71" t="str">
        <f>IF($D21="","", VLOOKUP($D21,Update!$B$2:$R$420,15,False))</f>
        <v/>
      </c>
      <c r="K21" s="47" t="str">
        <f> IF($D21="","", 100*VLOOKUP($D21,Update!$B$2:$R$420,6,False)/VLOOKUP($D21,'NO USAR1'!$A$3:$L$420,9,False))</f>
        <v/>
      </c>
      <c r="L21" s="47" t="str">
        <f>IF($D21="","", 100*VLOOKUP($D21,Update!$B$2:$R$420,9,False))</f>
        <v/>
      </c>
      <c r="M21" s="71" t="str">
        <f>IF($D21="","", VLOOKUP($D21,Update!$B$2:$R$420,16,False))</f>
        <v/>
      </c>
      <c r="N21" s="45" t="str">
        <f>IF($D21="","", VLOOKUP($D21,Update!$B$2:$C$420,2,FALSE))</f>
        <v/>
      </c>
      <c r="O21" s="45">
        <f t="array" ref="O21">COUNTIF(FIND(P21,$N$21:$N$32),"&gt;0")</f>
        <v>0</v>
      </c>
      <c r="P21" s="6" t="s">
        <v>44</v>
      </c>
      <c r="Q21" s="80"/>
    </row>
    <row r="22">
      <c r="B22" s="65">
        <f>Team!$B$23</f>
        <v>100</v>
      </c>
      <c r="C22" s="6">
        <v>3.0</v>
      </c>
      <c r="D22" s="7" t="str">
        <f t="array" ref="D22">INDIRECT("Draft!E"&amp;TEXT(A19+2,"0"))</f>
        <v/>
      </c>
      <c r="E22" s="71" t="str">
        <f>IF($D22="","", VLOOKUP($D22,Update!$B$2:$R$420,11,False))</f>
        <v/>
      </c>
      <c r="F22" s="71" t="str">
        <f>IF($D22="","", VLOOKUP($D22,Update!$B$2:$R$420,10,False))</f>
        <v/>
      </c>
      <c r="G22" s="71" t="str">
        <f>IF($D22="","", VLOOKUP($D22,Update!$B$2:$R$420,12,False))</f>
        <v/>
      </c>
      <c r="H22" s="71" t="str">
        <f>IF($D22="","", VLOOKUP($D22,Update!$B$2:$R$420,13,False))</f>
        <v/>
      </c>
      <c r="I22" s="71" t="str">
        <f>IF($D22="","", VLOOKUP($D22,Update!$B$2:$R$420,14,False))</f>
        <v/>
      </c>
      <c r="J22" s="71" t="str">
        <f>IF($D22="","", VLOOKUP($D22,Update!$B$2:$R$420,15,False))</f>
        <v/>
      </c>
      <c r="K22" s="47" t="str">
        <f> IF($D22="","", 100*VLOOKUP($D22,Update!$B$2:$R$420,6,False)/VLOOKUP($D22,'NO USAR1'!$A$3:$L$420,9,False))</f>
        <v/>
      </c>
      <c r="L22" s="47" t="str">
        <f>IF($D22="","", 100*VLOOKUP($D22,Update!$B$2:$R$420,9,False))</f>
        <v/>
      </c>
      <c r="M22" s="71" t="str">
        <f>IF($D22="","", VLOOKUP($D22,Update!$B$2:$R$420,16,False))</f>
        <v/>
      </c>
      <c r="N22" s="45" t="str">
        <f>IF($D22="","", VLOOKUP($D22,Update!$B$2:$C$420,2,FALSE))</f>
        <v/>
      </c>
      <c r="O22" s="45">
        <f t="array" ref="O22">COUNTIF(FIND(P22,$N$21:$N$32),"&gt;0")</f>
        <v>0</v>
      </c>
      <c r="P22" s="6" t="s">
        <v>45</v>
      </c>
      <c r="Q22" s="80"/>
    </row>
    <row r="23">
      <c r="B23" s="65">
        <f>Team!$B$24</f>
        <v>100</v>
      </c>
      <c r="C23" s="6">
        <v>4.0</v>
      </c>
      <c r="D23" s="73" t="str">
        <f t="array" ref="D23">INDIRECT("Draft!F"&amp;TEXT(15-A19,"0"))</f>
        <v/>
      </c>
      <c r="E23" s="71" t="str">
        <f>IF($D23="","", VLOOKUP($D23,Update!$B$2:$R$420,11,False))</f>
        <v/>
      </c>
      <c r="F23" s="71" t="str">
        <f>IF($D23="","", VLOOKUP($D23,Update!$B$2:$R$420,10,False))</f>
        <v/>
      </c>
      <c r="G23" s="71" t="str">
        <f>IF($D23="","", VLOOKUP($D23,Update!$B$2:$R$420,12,False))</f>
        <v/>
      </c>
      <c r="H23" s="71" t="str">
        <f>IF($D23="","", VLOOKUP($D23,Update!$B$2:$R$420,13,False))</f>
        <v/>
      </c>
      <c r="I23" s="71" t="str">
        <f>IF($D23="","", VLOOKUP($D23,Update!$B$2:$R$420,14,False))</f>
        <v/>
      </c>
      <c r="J23" s="71" t="str">
        <f>IF($D23="","", VLOOKUP($D23,Update!$B$2:$R$420,15,False))</f>
        <v/>
      </c>
      <c r="K23" s="47" t="str">
        <f> IF($D23="","", 100*VLOOKUP($D23,Update!$B$2:$R$420,6,False)/VLOOKUP($D23,'NO USAR1'!$A$3:$L$420,9,False))</f>
        <v/>
      </c>
      <c r="L23" s="47" t="str">
        <f>IF($D23="","", 100*VLOOKUP($D23,Update!$B$2:$R$420,9,False))</f>
        <v/>
      </c>
      <c r="M23" s="71" t="str">
        <f>IF($D23="","", VLOOKUP($D23,Update!$B$2:$R$420,16,False))</f>
        <v/>
      </c>
      <c r="N23" s="45" t="str">
        <f>IF($D23="","", VLOOKUP($D23,Update!$B$2:$C$420,2,FALSE))</f>
        <v/>
      </c>
      <c r="O23" s="45">
        <f t="array" ref="O23">COUNTIF(FIND(P23,$N$21:$N$32),"&gt;0")</f>
        <v>0</v>
      </c>
      <c r="P23" s="6" t="s">
        <v>46</v>
      </c>
      <c r="Q23" s="80"/>
    </row>
    <row r="24">
      <c r="B24" s="65">
        <f>Team!$B$25</f>
        <v>100</v>
      </c>
      <c r="C24" s="6">
        <v>5.0</v>
      </c>
      <c r="D24" s="7" t="str">
        <f t="array" ref="D24">INDIRECT("Draft!G"&amp;TEXT(A19+2,"0"))</f>
        <v/>
      </c>
      <c r="E24" s="71" t="str">
        <f>IF($D24="","", VLOOKUP($D24,Update!$B$2:$R$420,11,False))</f>
        <v/>
      </c>
      <c r="F24" s="71" t="str">
        <f>IF($D24="","", VLOOKUP($D24,Update!$B$2:$R$420,10,False))</f>
        <v/>
      </c>
      <c r="G24" s="71" t="str">
        <f>IF($D24="","", VLOOKUP($D24,Update!$B$2:$R$420,12,False))</f>
        <v/>
      </c>
      <c r="H24" s="71" t="str">
        <f>IF($D24="","", VLOOKUP($D24,Update!$B$2:$R$420,13,False))</f>
        <v/>
      </c>
      <c r="I24" s="71" t="str">
        <f>IF($D24="","", VLOOKUP($D24,Update!$B$2:$R$420,14,False))</f>
        <v/>
      </c>
      <c r="J24" s="71" t="str">
        <f>IF($D24="","", VLOOKUP($D24,Update!$B$2:$R$420,15,False))</f>
        <v/>
      </c>
      <c r="K24" s="47" t="str">
        <f> IF($D24="","", 100*VLOOKUP($D24,Update!$B$2:$R$420,6,False)/VLOOKUP($D24,'NO USAR1'!$A$3:$L$420,9,False))</f>
        <v/>
      </c>
      <c r="L24" s="47" t="str">
        <f>IF($D24="","", 100*VLOOKUP($D24,Update!$B$2:$R$420,9,False))</f>
        <v/>
      </c>
      <c r="M24" s="71" t="str">
        <f>IF($D24="","", VLOOKUP($D24,Update!$B$2:$R$420,16,False))</f>
        <v/>
      </c>
      <c r="N24" s="45" t="str">
        <f>IF($D24="","", VLOOKUP($D24,Update!$B$2:$C$420,2,FALSE))</f>
        <v/>
      </c>
      <c r="O24" s="45">
        <f t="array" ref="O24">COUNTIF(FIND(P24,$N$21:$N$32),"&gt;0")</f>
        <v>0</v>
      </c>
      <c r="P24" s="6" t="s">
        <v>47</v>
      </c>
      <c r="Q24" s="80"/>
    </row>
    <row r="25">
      <c r="B25" s="65">
        <f>Team!$B$26</f>
        <v>100</v>
      </c>
      <c r="C25" s="6">
        <v>6.0</v>
      </c>
      <c r="D25" s="73" t="str">
        <f t="array" ref="D25">INDIRECT("Draft!H"&amp;TEXT(15-A19,"0"))</f>
        <v/>
      </c>
      <c r="E25" s="71" t="str">
        <f>IF($D25="","", VLOOKUP($D25,Update!$B$2:$R$420,11,False))</f>
        <v/>
      </c>
      <c r="F25" s="71" t="str">
        <f>IF($D25="","", VLOOKUP($D25,Update!$B$2:$R$420,10,False))</f>
        <v/>
      </c>
      <c r="G25" s="71" t="str">
        <f>IF($D25="","", VLOOKUP($D25,Update!$B$2:$R$420,12,False))</f>
        <v/>
      </c>
      <c r="H25" s="71" t="str">
        <f>IF($D25="","", VLOOKUP($D25,Update!$B$2:$R$420,13,False))</f>
        <v/>
      </c>
      <c r="I25" s="71" t="str">
        <f>IF($D25="","", VLOOKUP($D25,Update!$B$2:$R$420,14,False))</f>
        <v/>
      </c>
      <c r="J25" s="71" t="str">
        <f>IF($D25="","", VLOOKUP($D25,Update!$B$2:$R$420,15,False))</f>
        <v/>
      </c>
      <c r="K25" s="47" t="str">
        <f> IF($D25="","", 100*VLOOKUP($D25,Update!$B$2:$R$420,6,False)/VLOOKUP($D25,'NO USAR1'!$A$3:$L$420,9,False))</f>
        <v/>
      </c>
      <c r="L25" s="47" t="str">
        <f>IF($D25="","", 100*VLOOKUP($D25,Update!$B$2:$R$420,9,False))</f>
        <v/>
      </c>
      <c r="M25" s="71" t="str">
        <f>IF($D25="","", VLOOKUP($D25,Update!$B$2:$R$420,16,False))</f>
        <v/>
      </c>
      <c r="N25" s="45" t="str">
        <f>IF($D25="","", VLOOKUP($D25,Update!$B$2:$C$420,2,FALSE))</f>
        <v/>
      </c>
      <c r="O25" s="2"/>
      <c r="P25" s="2"/>
      <c r="Q25" s="2"/>
    </row>
    <row r="26">
      <c r="B26" s="65">
        <f>Team!$B$27</f>
        <v>100</v>
      </c>
      <c r="C26" s="6">
        <v>7.0</v>
      </c>
      <c r="D26" s="7" t="str">
        <f t="array" ref="D26">INDIRECT("Draft!I"&amp;TEXT(A19+2,"0"))</f>
        <v/>
      </c>
      <c r="E26" s="71" t="str">
        <f>IF($D26="","", VLOOKUP($D26,Update!$B$2:$R$420,11,False))</f>
        <v/>
      </c>
      <c r="F26" s="71" t="str">
        <f>IF($D26="","", VLOOKUP($D26,Update!$B$2:$R$420,10,False))</f>
        <v/>
      </c>
      <c r="G26" s="71" t="str">
        <f>IF($D26="","", VLOOKUP($D26,Update!$B$2:$R$420,12,False))</f>
        <v/>
      </c>
      <c r="H26" s="71" t="str">
        <f>IF($D26="","", VLOOKUP($D26,Update!$B$2:$R$420,13,False))</f>
        <v/>
      </c>
      <c r="I26" s="71" t="str">
        <f>IF($D26="","", VLOOKUP($D26,Update!$B$2:$R$420,14,False))</f>
        <v/>
      </c>
      <c r="J26" s="71" t="str">
        <f>IF($D26="","", VLOOKUP($D26,Update!$B$2:$R$420,15,False))</f>
        <v/>
      </c>
      <c r="K26" s="47" t="str">
        <f> IF($D26="","", 100*VLOOKUP($D26,Update!$B$2:$R$420,6,False)/VLOOKUP($D26,'NO USAR1'!$A$3:$L$420,9,False))</f>
        <v/>
      </c>
      <c r="L26" s="47" t="str">
        <f>IF($D26="","", 100*VLOOKUP($D26,Update!$B$2:$R$420,9,False))</f>
        <v/>
      </c>
      <c r="M26" s="71" t="str">
        <f>IF($D26="","", VLOOKUP($D26,Update!$B$2:$R$420,16,False))</f>
        <v/>
      </c>
      <c r="N26" s="45" t="str">
        <f>IF($D26="","", VLOOKUP($D26,Update!$B$2:$C$420,2,FALSE))</f>
        <v/>
      </c>
      <c r="O26" s="2"/>
      <c r="P26" s="2"/>
      <c r="Q26" s="2"/>
    </row>
    <row r="27">
      <c r="B27" s="65">
        <f>Team!$B$28</f>
        <v>100</v>
      </c>
      <c r="C27" s="6">
        <v>8.0</v>
      </c>
      <c r="D27" s="73" t="str">
        <f t="array" ref="D27">INDIRECT("Draft!J"&amp;TEXT(15-A19,"0"))</f>
        <v/>
      </c>
      <c r="E27" s="71" t="str">
        <f>IF($D27="","", VLOOKUP($D27,Update!$B$2:$R$420,11,False))</f>
        <v/>
      </c>
      <c r="F27" s="71" t="str">
        <f>IF($D27="","", VLOOKUP($D27,Update!$B$2:$R$420,10,False))</f>
        <v/>
      </c>
      <c r="G27" s="71" t="str">
        <f>IF($D27="","", VLOOKUP($D27,Update!$B$2:$R$420,12,False))</f>
        <v/>
      </c>
      <c r="H27" s="71" t="str">
        <f>IF($D27="","", VLOOKUP($D27,Update!$B$2:$R$420,13,False))</f>
        <v/>
      </c>
      <c r="I27" s="71" t="str">
        <f>IF($D27="","", VLOOKUP($D27,Update!$B$2:$R$420,14,False))</f>
        <v/>
      </c>
      <c r="J27" s="71" t="str">
        <f>IF($D27="","", VLOOKUP($D27,Update!$B$2:$R$420,15,False))</f>
        <v/>
      </c>
      <c r="K27" s="47" t="str">
        <f> IF($D27="","", 100*VLOOKUP($D27,Update!$B$2:$R$420,6,False)/VLOOKUP($D27,'NO USAR1'!$A$3:$L$420,9,False))</f>
        <v/>
      </c>
      <c r="L27" s="47" t="str">
        <f>IF($D27="","", 100*VLOOKUP($D27,Update!$B$2:$R$420,9,False))</f>
        <v/>
      </c>
      <c r="M27" s="71" t="str">
        <f>IF($D27="","", VLOOKUP($D27,Update!$B$2:$R$420,16,False))</f>
        <v/>
      </c>
      <c r="N27" s="45" t="str">
        <f>IF($D27="","", VLOOKUP($D27,Update!$B$2:$C$420,2,FALSE))</f>
        <v/>
      </c>
      <c r="O27" s="2"/>
      <c r="P27" s="2"/>
      <c r="Q27" s="2"/>
    </row>
    <row r="28">
      <c r="B28" s="65">
        <f>Team!$B$29</f>
        <v>100</v>
      </c>
      <c r="C28" s="6">
        <v>9.0</v>
      </c>
      <c r="D28" s="7" t="str">
        <f t="array" ref="D28">INDIRECT("Draft!K"&amp;TEXT(A19+2,"0"))</f>
        <v/>
      </c>
      <c r="E28" s="71" t="str">
        <f>IF($D28="","", VLOOKUP($D28,Update!$B$2:$R$420,11,False))</f>
        <v/>
      </c>
      <c r="F28" s="71" t="str">
        <f>IF($D28="","", VLOOKUP($D28,Update!$B$2:$R$420,10,False))</f>
        <v/>
      </c>
      <c r="G28" s="71" t="str">
        <f>IF($D28="","", VLOOKUP($D28,Update!$B$2:$R$420,12,False))</f>
        <v/>
      </c>
      <c r="H28" s="71" t="str">
        <f>IF($D28="","", VLOOKUP($D28,Update!$B$2:$R$420,13,False))</f>
        <v/>
      </c>
      <c r="I28" s="71" t="str">
        <f>IF($D28="","", VLOOKUP($D28,Update!$B$2:$R$420,14,False))</f>
        <v/>
      </c>
      <c r="J28" s="71" t="str">
        <f>IF($D28="","", VLOOKUP($D28,Update!$B$2:$R$420,15,False))</f>
        <v/>
      </c>
      <c r="K28" s="47" t="str">
        <f> IF($D28="","", 100*VLOOKUP($D28,Update!$B$2:$R$420,6,False)/VLOOKUP($D28,'NO USAR1'!$A$3:$L$420,9,False))</f>
        <v/>
      </c>
      <c r="L28" s="47" t="str">
        <f>IF($D28="","", 100*VLOOKUP($D28,Update!$B$2:$R$420,9,False))</f>
        <v/>
      </c>
      <c r="M28" s="71" t="str">
        <f>IF($D28="","", VLOOKUP($D28,Update!$B$2:$R$420,16,False))</f>
        <v/>
      </c>
      <c r="N28" s="45" t="str">
        <f>IF($D28="","", VLOOKUP($D28,Update!$B$2:$C$420,2,FALSE))</f>
        <v/>
      </c>
      <c r="O28" s="2"/>
      <c r="P28" s="2"/>
      <c r="Q28" s="2"/>
    </row>
    <row r="29">
      <c r="B29" s="65">
        <f>Team!$B$30</f>
        <v>100</v>
      </c>
      <c r="C29" s="6">
        <v>10.0</v>
      </c>
      <c r="D29" s="73" t="str">
        <f t="array" ref="D29">INDIRECT("Draft!L"&amp;TEXT(15-A19,"0"))</f>
        <v/>
      </c>
      <c r="E29" s="71" t="str">
        <f>IF($D29="","", VLOOKUP($D29,Update!$B$2:$R$420,11,False))</f>
        <v/>
      </c>
      <c r="F29" s="71" t="str">
        <f>IF($D29="","", VLOOKUP($D29,Update!$B$2:$R$420,10,False))</f>
        <v/>
      </c>
      <c r="G29" s="71" t="str">
        <f>IF($D29="","", VLOOKUP($D29,Update!$B$2:$R$420,12,False))</f>
        <v/>
      </c>
      <c r="H29" s="71" t="str">
        <f>IF($D29="","", VLOOKUP($D29,Update!$B$2:$R$420,13,False))</f>
        <v/>
      </c>
      <c r="I29" s="71" t="str">
        <f>IF($D29="","", VLOOKUP($D29,Update!$B$2:$R$420,14,False))</f>
        <v/>
      </c>
      <c r="J29" s="71" t="str">
        <f>IF($D29="","", VLOOKUP($D29,Update!$B$2:$R$420,15,False))</f>
        <v/>
      </c>
      <c r="K29" s="47" t="str">
        <f> IF($D29="","", 100*VLOOKUP($D29,Update!$B$2:$R$420,6,False)/VLOOKUP($D29,'NO USAR1'!$A$3:$L$420,9,False))</f>
        <v/>
      </c>
      <c r="L29" s="47" t="str">
        <f>IF($D29="","", 100*VLOOKUP($D29,Update!$B$2:$R$420,9,False))</f>
        <v/>
      </c>
      <c r="M29" s="71" t="str">
        <f>IF($D29="","", VLOOKUP($D29,Update!$B$2:$R$420,16,False))</f>
        <v/>
      </c>
      <c r="N29" s="45" t="str">
        <f>IF($D29="","", VLOOKUP($D29,Update!$B$2:$C$420,2,FALSE))</f>
        <v/>
      </c>
      <c r="O29" s="2"/>
      <c r="P29" s="2"/>
      <c r="Q29" s="2"/>
    </row>
    <row r="30">
      <c r="B30" s="65">
        <f>Team!$B$31</f>
        <v>100</v>
      </c>
      <c r="C30" s="6">
        <v>11.0</v>
      </c>
      <c r="D30" s="7" t="str">
        <f t="array" ref="D30">INDIRECT("Draft!M"&amp;TEXT(A19+2,"0"))</f>
        <v/>
      </c>
      <c r="E30" s="71" t="str">
        <f>IF($D30="","", VLOOKUP($D30,Update!$B$2:$R$420,11,False))</f>
        <v/>
      </c>
      <c r="F30" s="71" t="str">
        <f>IF($D30="","", VLOOKUP($D30,Update!$B$2:$R$420,10,False))</f>
        <v/>
      </c>
      <c r="G30" s="71" t="str">
        <f>IF($D30="","", VLOOKUP($D30,Update!$B$2:$R$420,12,False))</f>
        <v/>
      </c>
      <c r="H30" s="71" t="str">
        <f>IF($D30="","", VLOOKUP($D30,Update!$B$2:$R$420,13,False))</f>
        <v/>
      </c>
      <c r="I30" s="71" t="str">
        <f>IF($D30="","", VLOOKUP($D30,Update!$B$2:$R$420,14,False))</f>
        <v/>
      </c>
      <c r="J30" s="71" t="str">
        <f>IF($D30="","", VLOOKUP($D30,Update!$B$2:$R$420,15,False))</f>
        <v/>
      </c>
      <c r="K30" s="47" t="str">
        <f> IF($D30="","", 100*VLOOKUP($D30,Update!$B$2:$R$420,6,False)/VLOOKUP($D30,'NO USAR1'!$A$3:$L$420,9,False))</f>
        <v/>
      </c>
      <c r="L30" s="47" t="str">
        <f>IF($D30="","", 100*VLOOKUP($D30,Update!$B$2:$R$420,9,False))</f>
        <v/>
      </c>
      <c r="M30" s="71" t="str">
        <f>IF($D30="","", VLOOKUP($D30,Update!$B$2:$R$420,16,False))</f>
        <v/>
      </c>
      <c r="N30" s="45" t="str">
        <f>IF($D30="","", VLOOKUP($D30,Update!$B$2:$C$420,2,FALSE))</f>
        <v/>
      </c>
      <c r="O30" s="2"/>
      <c r="P30" s="2"/>
      <c r="Q30" s="2"/>
    </row>
    <row r="31">
      <c r="B31" s="65">
        <f>Team!$B$32</f>
        <v>100</v>
      </c>
      <c r="C31" s="6">
        <v>12.0</v>
      </c>
      <c r="D31" s="73" t="str">
        <f t="array" ref="D31">INDIRECT("Draft!N"&amp;TEXT(15-A19,"0"))</f>
        <v/>
      </c>
      <c r="E31" s="71" t="str">
        <f>IF($D31="","", VLOOKUP($D31,Update!$B$2:$R$420,11,False))</f>
        <v/>
      </c>
      <c r="F31" s="71" t="str">
        <f>IF($D31="","", VLOOKUP($D31,Update!$B$2:$R$420,10,False))</f>
        <v/>
      </c>
      <c r="G31" s="71" t="str">
        <f>IF($D31="","", VLOOKUP($D31,Update!$B$2:$R$420,12,False))</f>
        <v/>
      </c>
      <c r="H31" s="71" t="str">
        <f>IF($D31="","", VLOOKUP($D31,Update!$B$2:$R$420,13,False))</f>
        <v/>
      </c>
      <c r="I31" s="71" t="str">
        <f>IF($D31="","", VLOOKUP($D31,Update!$B$2:$R$420,14,False))</f>
        <v/>
      </c>
      <c r="J31" s="71" t="str">
        <f>IF($D31="","", VLOOKUP($D31,Update!$B$2:$R$420,15,False))</f>
        <v/>
      </c>
      <c r="K31" s="47" t="str">
        <f> IF($D31="","", 100*VLOOKUP($D31,Update!$B$2:$R$420,6,False)/VLOOKUP($D31,'NO USAR1'!$A$3:$L$420,9,False))</f>
        <v/>
      </c>
      <c r="L31" s="47" t="str">
        <f>IF($D31="","", 100*VLOOKUP($D31,Update!$B$2:$R$420,9,False))</f>
        <v/>
      </c>
      <c r="M31" s="71" t="str">
        <f>IF($D31="","", VLOOKUP($D31,Update!$B$2:$R$420,16,False))</f>
        <v/>
      </c>
      <c r="N31" s="45" t="str">
        <f>IF($D31="","", VLOOKUP($D31,Update!$B$2:$C$420,2,FALSE))</f>
        <v/>
      </c>
      <c r="O31" s="2"/>
      <c r="P31" s="2"/>
      <c r="Q31" s="2"/>
    </row>
    <row r="32">
      <c r="B32" s="65">
        <f>Team!$B$33</f>
        <v>100</v>
      </c>
      <c r="C32" s="6">
        <v>13.0</v>
      </c>
      <c r="D32" s="6" t="str">
        <f t="array" ref="D32">INDIRECT("Draft!O"&amp;TEXT(A19+2,"0"))</f>
        <v/>
      </c>
      <c r="E32" s="71" t="str">
        <f>IF($D32="","", VLOOKUP($D32,Update!$B$2:$R$420,11,False))</f>
        <v/>
      </c>
      <c r="F32" s="71" t="str">
        <f>IF($D32="","", VLOOKUP($D32,Update!$B$2:$R$420,10,False))</f>
        <v/>
      </c>
      <c r="G32" s="71" t="str">
        <f>IF($D32="","", VLOOKUP($D32,Update!$B$2:$R$420,12,False))</f>
        <v/>
      </c>
      <c r="H32" s="71" t="str">
        <f>IF($D32="","", VLOOKUP($D32,Update!$B$2:$R$420,13,False))</f>
        <v/>
      </c>
      <c r="I32" s="71" t="str">
        <f>IF($D32="","", VLOOKUP($D32,Update!$B$2:$R$420,14,False))</f>
        <v/>
      </c>
      <c r="J32" s="71" t="str">
        <f>IF($D32="","", VLOOKUP($D32,Update!$B$2:$R$420,15,False))</f>
        <v/>
      </c>
      <c r="K32" s="47" t="str">
        <f> IF($D32="","", 100*VLOOKUP($D32,Update!$B$2:$R$420,6,False)/VLOOKUP($D32,'NO USAR1'!$A$3:$L$420,9,False))</f>
        <v/>
      </c>
      <c r="L32" s="47" t="str">
        <f>IF($D32="","", 100*VLOOKUP($D32,Update!$B$2:$R$420,9,False))</f>
        <v/>
      </c>
      <c r="M32" s="71" t="str">
        <f>IF($D32="","", VLOOKUP($D32,Update!$B$2:$R$420,16,False))</f>
        <v/>
      </c>
      <c r="N32" s="2"/>
      <c r="O32" s="2"/>
      <c r="P32" s="2"/>
      <c r="Q32" s="2"/>
    </row>
    <row r="33">
      <c r="B33" s="65">
        <f>Team!$B$34</f>
        <v>0</v>
      </c>
      <c r="C33" s="6">
        <v>14.0</v>
      </c>
      <c r="D33" s="72" t="str">
        <f t="array" ref="D33">INDIRECT("Draft!P"&amp;TEXT(15-A19,"0"))</f>
        <v/>
      </c>
      <c r="E33" s="71" t="str">
        <f>IF($D33="","", VLOOKUP($D33,Update!$B$2:$R$420,11,False))</f>
        <v/>
      </c>
      <c r="F33" s="71" t="str">
        <f>IF($D33="","", VLOOKUP($D33,Update!$B$2:$R$420,10,False))</f>
        <v/>
      </c>
      <c r="G33" s="71" t="str">
        <f>IF($D33="","", VLOOKUP($D33,Update!$B$2:$R$420,12,False))</f>
        <v/>
      </c>
      <c r="H33" s="71" t="str">
        <f>IF($D33="","", VLOOKUP($D33,Update!$B$2:$R$420,13,False))</f>
        <v/>
      </c>
      <c r="I33" s="71" t="str">
        <f>IF($D33="","", VLOOKUP($D33,Update!$B$2:$R$420,14,False))</f>
        <v/>
      </c>
      <c r="J33" s="71" t="str">
        <f>IF($D33="","", VLOOKUP($D33,Update!$B$2:$R$420,15,False))</f>
        <v/>
      </c>
      <c r="K33" s="47" t="str">
        <f> IF($D33="","", 100*VLOOKUP($D33,Update!$B$2:$R$420,6,False)/VLOOKUP($D33,'NO USAR1'!$A$3:$L$420,9,False))</f>
        <v/>
      </c>
      <c r="L33" s="47" t="str">
        <f>IF($D33="","", 100*VLOOKUP($D33,Update!$B$2:$R$420,9,False))</f>
        <v/>
      </c>
      <c r="M33" s="71" t="str">
        <f>IF($D33="","", VLOOKUP($D33,Update!$B$2:$R$420,16,False))</f>
        <v/>
      </c>
      <c r="N33" s="2"/>
      <c r="O33" s="2"/>
      <c r="P33" s="2"/>
      <c r="Q33" s="2"/>
    </row>
    <row r="34">
      <c r="A34" s="78" t="s">
        <v>81</v>
      </c>
      <c r="D34" s="76" t="s">
        <v>80</v>
      </c>
      <c r="E34" s="47" t="str">
        <f t="shared" ref="E34:J34" si="2">AVERAGE(SUMPRODUCT(E20:E33,$B20:$B33/100))/(SUM(OFFSET($B20,0,0,COUNT(E20:E33)))/100)</f>
        <v>#VALUE!</v>
      </c>
      <c r="F34" s="47" t="str">
        <f t="shared" si="2"/>
        <v>#VALUE!</v>
      </c>
      <c r="G34" s="47" t="str">
        <f t="shared" si="2"/>
        <v>#VALUE!</v>
      </c>
      <c r="H34" s="47" t="str">
        <f t="shared" si="2"/>
        <v>#VALUE!</v>
      </c>
      <c r="I34" s="47" t="str">
        <f t="shared" si="2"/>
        <v>#VALUE!</v>
      </c>
      <c r="J34" s="47" t="str">
        <f t="shared" si="2"/>
        <v>#VALUE!</v>
      </c>
      <c r="K34" s="47" t="str">
        <f t="array" ref="K34">IFERROR(100*SUMPRODUCT(IFERROR(VLOOKUP($D20:$D33,Update!$B:$S,6,False),"")*$B20:$B33/100)/SUMPRODUCT(IFERROR(VLOOKUP($D20:$D33,Update!$B:$S,17,False),"")*$B20:$B33/100),"")</f>
        <v/>
      </c>
      <c r="L34" s="47" t="str">
        <f t="array" ref="L34">IFERROR(100*SUMPRODUCT(IFERROR(VLOOKUP($D20:$D33,Update!$B:$S,8,False),"")*$B20:$B33/100)/SUMPRODUCT(IFERROR(VLOOKUP($D20:$D33,Update!$B:$S,18,False),"")*$B20:$B33/100),"")</f>
        <v/>
      </c>
      <c r="M34" s="47" t="str">
        <f>AVERAGE(SUMPRODUCT(M20:M33,$B20:$B33/100))/(SUM(OFFSET($B20,0,0,COUNT(M20:M33)))/100)</f>
        <v>#VALUE!</v>
      </c>
      <c r="N34" s="2"/>
    </row>
    <row r="35">
      <c r="A35" s="78"/>
      <c r="D35" s="76" t="s">
        <v>84</v>
      </c>
      <c r="E35" s="46" t="str">
        <f>(SUM(OFFSET('All Teams'!$B20,0,0,COUNT('All Teams'!E20:E33)))/100)*('All Teams'!E34-'NO USAR1'!$B$1)/'NO USAR1'!$B$2</f>
        <v>#VALUE!</v>
      </c>
      <c r="F35" s="46" t="str">
        <f>(SUM(OFFSET('All Teams'!$B20,0,0,COUNT('All Teams'!F20:F33)))/100)*('All Teams'!F34-'NO USAR1'!$C$1)/'NO USAR1'!$C$2</f>
        <v>#VALUE!</v>
      </c>
      <c r="G35" s="46" t="str">
        <f>(SUM(OFFSET('All Teams'!$B20,0,0,COUNT('All Teams'!G20:G33)))/100)*('All Teams'!G34-'NO USAR1'!$D$1)/'NO USAR1'!$D$2</f>
        <v>#VALUE!</v>
      </c>
      <c r="H35" s="46" t="str">
        <f>(SUM(OFFSET('All Teams'!$B20,0,0,COUNT('All Teams'!H20:H33)))/100)*('All Teams'!H34-'NO USAR1'!$E$1)/'NO USAR1'!$E$2</f>
        <v>#VALUE!</v>
      </c>
      <c r="I35" s="46" t="str">
        <f>(SUM(OFFSET('All Teams'!$B20,0,0,COUNT('All Teams'!I20:I33)))/100)*('All Teams'!I34-'NO USAR1'!$F$1)/'NO USAR1'!$F$2</f>
        <v>#VALUE!</v>
      </c>
      <c r="J35" s="46" t="str">
        <f>(SUM(OFFSET('All Teams'!$B20,0,0,COUNT('All Teams'!J20:J33)))/100)*('All Teams'!J34-'NO USAR1'!$G$1)/'NO USAR1'!$G$2</f>
        <v>#VALUE!</v>
      </c>
      <c r="K35" s="46">
        <f t="array" ref="K35">SUMPRODUCT(IFERROR(VLOOKUP($D20:$D33,'NO USAR1'!$A$4:$L$403,8,False)*$B20:$B33/100,""))</f>
        <v>0</v>
      </c>
      <c r="L35" s="46">
        <f t="array" ref="L35">SUMPRODUCT(IFERROR(VLOOKUP($D20:$D33,'NO USAR1'!$A$4:$L$403,10,False)*$B20:$B33/100,""))</f>
        <v>0</v>
      </c>
      <c r="M35" s="46" t="str">
        <f>-(SUM(OFFSET('All Teams'!$B20,0,0,COUNT('All Teams'!M20:M33)))/100)*('All Teams'!M34-'NO USAR1'!$L$1)/'NO USAR1'!$L$2</f>
        <v>#VALUE!</v>
      </c>
      <c r="N35" s="2"/>
    </row>
    <row r="36">
      <c r="A36" s="79">
        <v>3.0</v>
      </c>
      <c r="B36" s="4" t="s">
        <v>82</v>
      </c>
      <c r="C36" s="6"/>
      <c r="D36" s="4" t="s">
        <v>83</v>
      </c>
      <c r="E36" s="40" t="s">
        <v>34</v>
      </c>
      <c r="F36" s="40" t="s">
        <v>35</v>
      </c>
      <c r="G36" s="40" t="s">
        <v>36</v>
      </c>
      <c r="H36" s="40" t="s">
        <v>37</v>
      </c>
      <c r="I36" s="40" t="s">
        <v>38</v>
      </c>
      <c r="J36" s="40" t="s">
        <v>61</v>
      </c>
      <c r="K36" s="40" t="s">
        <v>40</v>
      </c>
      <c r="L36" s="40" t="s">
        <v>41</v>
      </c>
      <c r="M36" s="40" t="s">
        <v>42</v>
      </c>
      <c r="N36" s="4" t="s">
        <v>78</v>
      </c>
      <c r="O36" s="4" t="s">
        <v>79</v>
      </c>
      <c r="P36" s="4" t="s">
        <v>78</v>
      </c>
      <c r="Q36" s="69"/>
    </row>
    <row r="37">
      <c r="B37" s="65">
        <f>Team!$B$21</f>
        <v>100</v>
      </c>
      <c r="C37" s="6">
        <v>1.0</v>
      </c>
      <c r="D37" s="6" t="str">
        <f t="array" ref="D37">INDIRECT("Draft!C"&amp;TEXT(A36+2,"0"))</f>
        <v/>
      </c>
      <c r="E37" s="71" t="str">
        <f>IF($D37="","", VLOOKUP($D37,Update!$B$2:$R$420,11,False))</f>
        <v/>
      </c>
      <c r="F37" s="71" t="str">
        <f>IF($D37="","", VLOOKUP($D37,Update!$B$2:$R$420,10,False))</f>
        <v/>
      </c>
      <c r="G37" s="71" t="str">
        <f>IF($D37="","", VLOOKUP($D37,Update!$B$2:$R$420,12,False))</f>
        <v/>
      </c>
      <c r="H37" s="71" t="str">
        <f>IF($D37="","", VLOOKUP($D37,Update!$B$2:$R$420,13,False))</f>
        <v/>
      </c>
      <c r="I37" s="71" t="str">
        <f>IF($D37="","", VLOOKUP($D37,Update!$B$2:$R$420,14,False))</f>
        <v/>
      </c>
      <c r="J37" s="71" t="str">
        <f>IF($D37="","", VLOOKUP($D37,Update!$B$2:$R$420,15,False))</f>
        <v/>
      </c>
      <c r="K37" s="47" t="str">
        <f> IF($D37="","", 100*VLOOKUP($D37,Update!$B$2:$R$420,6,False)/VLOOKUP($D37,'NO USAR1'!$A$3:$L$420,9,False))</f>
        <v/>
      </c>
      <c r="L37" s="47" t="str">
        <f>IF($D37="","", 100*VLOOKUP($D37,Update!$B$2:$R$420,9,False))</f>
        <v/>
      </c>
      <c r="M37" s="71" t="str">
        <f>IF($D37="","", VLOOKUP($D37,Update!$B$2:$R$420,16,False))</f>
        <v/>
      </c>
      <c r="N37" s="45" t="str">
        <f>IF($D37="","", VLOOKUP($D37,Update!$B$2:$C$420,2,FALSE))</f>
        <v/>
      </c>
      <c r="O37" s="45">
        <f t="array" ref="O37">COUNTIF(FIND(P37,$N$21:$N$32),"&gt;0")</f>
        <v>0</v>
      </c>
      <c r="P37" s="6" t="s">
        <v>43</v>
      </c>
      <c r="Q37" s="80"/>
    </row>
    <row r="38">
      <c r="B38" s="65">
        <f>Team!$B$22</f>
        <v>100</v>
      </c>
      <c r="C38" s="6">
        <v>2.0</v>
      </c>
      <c r="D38" s="72" t="str">
        <f t="array" ref="D38">INDIRECT("Draft!D"&amp;TEXT(15-A36,"0"))</f>
        <v/>
      </c>
      <c r="E38" s="71" t="str">
        <f>IF($D38="","", VLOOKUP($D38,Update!$B$2:$R$420,11,False))</f>
        <v/>
      </c>
      <c r="F38" s="71" t="str">
        <f>IF($D38="","", VLOOKUP($D38,Update!$B$2:$R$420,10,False))</f>
        <v/>
      </c>
      <c r="G38" s="71" t="str">
        <f>IF($D38="","", VLOOKUP($D38,Update!$B$2:$R$420,12,False))</f>
        <v/>
      </c>
      <c r="H38" s="71" t="str">
        <f>IF($D38="","", VLOOKUP($D38,Update!$B$2:$R$420,13,False))</f>
        <v/>
      </c>
      <c r="I38" s="71" t="str">
        <f>IF($D38="","", VLOOKUP($D38,Update!$B$2:$R$420,14,False))</f>
        <v/>
      </c>
      <c r="J38" s="71" t="str">
        <f>IF($D38="","", VLOOKUP($D38,Update!$B$2:$R$420,15,False))</f>
        <v/>
      </c>
      <c r="K38" s="47" t="str">
        <f> IF($D38="","", 100*VLOOKUP($D38,Update!$B$2:$R$420,6,False)/VLOOKUP($D38,'NO USAR1'!$A$3:$L$420,9,False))</f>
        <v/>
      </c>
      <c r="L38" s="47" t="str">
        <f>IF($D38="","", 100*VLOOKUP($D38,Update!$B$2:$R$420,9,False))</f>
        <v/>
      </c>
      <c r="M38" s="71" t="str">
        <f>IF($D38="","", VLOOKUP($D38,Update!$B$2:$R$420,16,False))</f>
        <v/>
      </c>
      <c r="N38" s="45" t="str">
        <f>IF($D38="","", VLOOKUP($D38,Update!$B$2:$C$420,2,FALSE))</f>
        <v/>
      </c>
      <c r="O38" s="45">
        <f t="array" ref="O38">COUNTIF(FIND(P38,$N$21:$N$32),"&gt;0")</f>
        <v>0</v>
      </c>
      <c r="P38" s="6" t="s">
        <v>44</v>
      </c>
      <c r="Q38" s="80"/>
    </row>
    <row r="39">
      <c r="B39" s="65">
        <f>Team!$B$23</f>
        <v>100</v>
      </c>
      <c r="C39" s="6">
        <v>3.0</v>
      </c>
      <c r="D39" s="7" t="str">
        <f t="array" ref="D39">INDIRECT("Draft!E"&amp;TEXT(A36+2,"0"))</f>
        <v/>
      </c>
      <c r="E39" s="71" t="str">
        <f>IF($D39="","", VLOOKUP($D39,Update!$B$2:$R$420,11,False))</f>
        <v/>
      </c>
      <c r="F39" s="71" t="str">
        <f>IF($D39="","", VLOOKUP($D39,Update!$B$2:$R$420,10,False))</f>
        <v/>
      </c>
      <c r="G39" s="71" t="str">
        <f>IF($D39="","", VLOOKUP($D39,Update!$B$2:$R$420,12,False))</f>
        <v/>
      </c>
      <c r="H39" s="71" t="str">
        <f>IF($D39="","", VLOOKUP($D39,Update!$B$2:$R$420,13,False))</f>
        <v/>
      </c>
      <c r="I39" s="71" t="str">
        <f>IF($D39="","", VLOOKUP($D39,Update!$B$2:$R$420,14,False))</f>
        <v/>
      </c>
      <c r="J39" s="71" t="str">
        <f>IF($D39="","", VLOOKUP($D39,Update!$B$2:$R$420,15,False))</f>
        <v/>
      </c>
      <c r="K39" s="47" t="str">
        <f> IF($D39="","", 100*VLOOKUP($D39,Update!$B$2:$R$420,6,False)/VLOOKUP($D39,'NO USAR1'!$A$3:$L$420,9,False))</f>
        <v/>
      </c>
      <c r="L39" s="47" t="str">
        <f>IF($D39="","", 100*VLOOKUP($D39,Update!$B$2:$R$420,9,False))</f>
        <v/>
      </c>
      <c r="M39" s="71" t="str">
        <f>IF($D39="","", VLOOKUP($D39,Update!$B$2:$R$420,16,False))</f>
        <v/>
      </c>
      <c r="N39" s="45" t="str">
        <f>IF($D39="","", VLOOKUP($D39,Update!$B$2:$C$420,2,FALSE))</f>
        <v/>
      </c>
      <c r="O39" s="45">
        <f t="array" ref="O39">COUNTIF(FIND(P39,$N$21:$N$32),"&gt;0")</f>
        <v>0</v>
      </c>
      <c r="P39" s="6" t="s">
        <v>45</v>
      </c>
      <c r="Q39" s="80"/>
    </row>
    <row r="40">
      <c r="B40" s="65">
        <f>Team!$B$24</f>
        <v>100</v>
      </c>
      <c r="C40" s="6">
        <v>4.0</v>
      </c>
      <c r="D40" s="73" t="str">
        <f t="array" ref="D40">INDIRECT("Draft!F"&amp;TEXT(15-A36,"0"))</f>
        <v/>
      </c>
      <c r="E40" s="71" t="str">
        <f>IF($D40="","", VLOOKUP($D40,Update!$B$2:$R$420,11,False))</f>
        <v/>
      </c>
      <c r="F40" s="71" t="str">
        <f>IF($D40="","", VLOOKUP($D40,Update!$B$2:$R$420,10,False))</f>
        <v/>
      </c>
      <c r="G40" s="71" t="str">
        <f>IF($D40="","", VLOOKUP($D40,Update!$B$2:$R$420,12,False))</f>
        <v/>
      </c>
      <c r="H40" s="71" t="str">
        <f>IF($D40="","", VLOOKUP($D40,Update!$B$2:$R$420,13,False))</f>
        <v/>
      </c>
      <c r="I40" s="71" t="str">
        <f>IF($D40="","", VLOOKUP($D40,Update!$B$2:$R$420,14,False))</f>
        <v/>
      </c>
      <c r="J40" s="71" t="str">
        <f>IF($D40="","", VLOOKUP($D40,Update!$B$2:$R$420,15,False))</f>
        <v/>
      </c>
      <c r="K40" s="47" t="str">
        <f> IF($D40="","", 100*VLOOKUP($D40,Update!$B$2:$R$420,6,False)/VLOOKUP($D40,'NO USAR1'!$A$3:$L$420,9,False))</f>
        <v/>
      </c>
      <c r="L40" s="47" t="str">
        <f>IF($D40="","", 100*VLOOKUP($D40,Update!$B$2:$R$420,9,False))</f>
        <v/>
      </c>
      <c r="M40" s="71" t="str">
        <f>IF($D40="","", VLOOKUP($D40,Update!$B$2:$R$420,16,False))</f>
        <v/>
      </c>
      <c r="N40" s="45" t="str">
        <f>IF($D40="","", VLOOKUP($D40,Update!$B$2:$C$420,2,FALSE))</f>
        <v/>
      </c>
      <c r="O40" s="45">
        <f t="array" ref="O40">COUNTIF(FIND(P40,$N$21:$N$32),"&gt;0")</f>
        <v>0</v>
      </c>
      <c r="P40" s="6" t="s">
        <v>46</v>
      </c>
      <c r="Q40" s="80"/>
    </row>
    <row r="41">
      <c r="B41" s="65">
        <f>Team!$B$25</f>
        <v>100</v>
      </c>
      <c r="C41" s="6">
        <v>5.0</v>
      </c>
      <c r="D41" s="7" t="str">
        <f t="array" ref="D41">INDIRECT("Draft!G"&amp;TEXT(A36+2,"0"))</f>
        <v/>
      </c>
      <c r="E41" s="71" t="str">
        <f>IF($D41="","", VLOOKUP($D41,Update!$B$2:$R$420,11,False))</f>
        <v/>
      </c>
      <c r="F41" s="71" t="str">
        <f>IF($D41="","", VLOOKUP($D41,Update!$B$2:$R$420,10,False))</f>
        <v/>
      </c>
      <c r="G41" s="71" t="str">
        <f>IF($D41="","", VLOOKUP($D41,Update!$B$2:$R$420,12,False))</f>
        <v/>
      </c>
      <c r="H41" s="71" t="str">
        <f>IF($D41="","", VLOOKUP($D41,Update!$B$2:$R$420,13,False))</f>
        <v/>
      </c>
      <c r="I41" s="71" t="str">
        <f>IF($D41="","", VLOOKUP($D41,Update!$B$2:$R$420,14,False))</f>
        <v/>
      </c>
      <c r="J41" s="71" t="str">
        <f>IF($D41="","", VLOOKUP($D41,Update!$B$2:$R$420,15,False))</f>
        <v/>
      </c>
      <c r="K41" s="47" t="str">
        <f> IF($D41="","", 100*VLOOKUP($D41,Update!$B$2:$R$420,6,False)/VLOOKUP($D41,'NO USAR1'!$A$3:$L$420,9,False))</f>
        <v/>
      </c>
      <c r="L41" s="47" t="str">
        <f>IF($D41="","", 100*VLOOKUP($D41,Update!$B$2:$R$420,9,False))</f>
        <v/>
      </c>
      <c r="M41" s="71" t="str">
        <f>IF($D41="","", VLOOKUP($D41,Update!$B$2:$R$420,16,False))</f>
        <v/>
      </c>
      <c r="N41" s="45" t="str">
        <f>IF($D41="","", VLOOKUP($D41,Update!$B$2:$C$420,2,FALSE))</f>
        <v/>
      </c>
      <c r="O41" s="45">
        <f t="array" ref="O41">COUNTIF(FIND(P41,$N$21:$N$32),"&gt;0")</f>
        <v>0</v>
      </c>
      <c r="P41" s="6" t="s">
        <v>47</v>
      </c>
      <c r="Q41" s="80"/>
    </row>
    <row r="42">
      <c r="B42" s="65">
        <f>Team!$B$26</f>
        <v>100</v>
      </c>
      <c r="C42" s="6">
        <v>6.0</v>
      </c>
      <c r="D42" s="73" t="str">
        <f t="array" ref="D42">INDIRECT("Draft!H"&amp;TEXT(15-A36,"0"))</f>
        <v/>
      </c>
      <c r="E42" s="71" t="str">
        <f>IF($D42="","", VLOOKUP($D42,Update!$B$2:$R$420,11,False))</f>
        <v/>
      </c>
      <c r="F42" s="71" t="str">
        <f>IF($D42="","", VLOOKUP($D42,Update!$B$2:$R$420,10,False))</f>
        <v/>
      </c>
      <c r="G42" s="71" t="str">
        <f>IF($D42="","", VLOOKUP($D42,Update!$B$2:$R$420,12,False))</f>
        <v/>
      </c>
      <c r="H42" s="71" t="str">
        <f>IF($D42="","", VLOOKUP($D42,Update!$B$2:$R$420,13,False))</f>
        <v/>
      </c>
      <c r="I42" s="71" t="str">
        <f>IF($D42="","", VLOOKUP($D42,Update!$B$2:$R$420,14,False))</f>
        <v/>
      </c>
      <c r="J42" s="71" t="str">
        <f>IF($D42="","", VLOOKUP($D42,Update!$B$2:$R$420,15,False))</f>
        <v/>
      </c>
      <c r="K42" s="47" t="str">
        <f> IF($D42="","", 100*VLOOKUP($D42,Update!$B$2:$R$420,6,False)/VLOOKUP($D42,'NO USAR1'!$A$3:$L$420,9,False))</f>
        <v/>
      </c>
      <c r="L42" s="47" t="str">
        <f>IF($D42="","", 100*VLOOKUP($D42,Update!$B$2:$R$420,9,False))</f>
        <v/>
      </c>
      <c r="M42" s="71" t="str">
        <f>IF($D42="","", VLOOKUP($D42,Update!$B$2:$R$420,16,False))</f>
        <v/>
      </c>
      <c r="N42" s="45" t="str">
        <f>IF($D42="","", VLOOKUP($D42,Update!$B$2:$C$420,2,FALSE))</f>
        <v/>
      </c>
      <c r="O42" s="2"/>
      <c r="P42" s="2"/>
      <c r="Q42" s="2"/>
    </row>
    <row r="43">
      <c r="B43" s="65">
        <f>Team!$B$27</f>
        <v>100</v>
      </c>
      <c r="C43" s="6">
        <v>7.0</v>
      </c>
      <c r="D43" s="7" t="str">
        <f t="array" ref="D43">INDIRECT("Draft!I"&amp;TEXT(A36+2,"0"))</f>
        <v/>
      </c>
      <c r="E43" s="71" t="str">
        <f>IF($D43="","", VLOOKUP($D43,Update!$B$2:$R$420,11,False))</f>
        <v/>
      </c>
      <c r="F43" s="71" t="str">
        <f>IF($D43="","", VLOOKUP($D43,Update!$B$2:$R$420,10,False))</f>
        <v/>
      </c>
      <c r="G43" s="71" t="str">
        <f>IF($D43="","", VLOOKUP($D43,Update!$B$2:$R$420,12,False))</f>
        <v/>
      </c>
      <c r="H43" s="71" t="str">
        <f>IF($D43="","", VLOOKUP($D43,Update!$B$2:$R$420,13,False))</f>
        <v/>
      </c>
      <c r="I43" s="71" t="str">
        <f>IF($D43="","", VLOOKUP($D43,Update!$B$2:$R$420,14,False))</f>
        <v/>
      </c>
      <c r="J43" s="71" t="str">
        <f>IF($D43="","", VLOOKUP($D43,Update!$B$2:$R$420,15,False))</f>
        <v/>
      </c>
      <c r="K43" s="47" t="str">
        <f> IF($D43="","", 100*VLOOKUP($D43,Update!$B$2:$R$420,6,False)/VLOOKUP($D43,'NO USAR1'!$A$3:$L$420,9,False))</f>
        <v/>
      </c>
      <c r="L43" s="47" t="str">
        <f>IF($D43="","", 100*VLOOKUP($D43,Update!$B$2:$R$420,9,False))</f>
        <v/>
      </c>
      <c r="M43" s="71" t="str">
        <f>IF($D43="","", VLOOKUP($D43,Update!$B$2:$R$420,16,False))</f>
        <v/>
      </c>
      <c r="N43" s="45" t="str">
        <f>IF($D43="","", VLOOKUP($D43,Update!$B$2:$C$420,2,FALSE))</f>
        <v/>
      </c>
      <c r="O43" s="2"/>
      <c r="P43" s="2"/>
      <c r="Q43" s="2"/>
    </row>
    <row r="44">
      <c r="B44" s="65">
        <f>Team!$B$28</f>
        <v>100</v>
      </c>
      <c r="C44" s="6">
        <v>8.0</v>
      </c>
      <c r="D44" s="73" t="str">
        <f t="array" ref="D44">INDIRECT("Draft!J"&amp;TEXT(15-A36,"0"))</f>
        <v/>
      </c>
      <c r="E44" s="71" t="str">
        <f>IF($D44="","", VLOOKUP($D44,Update!$B$2:$R$420,11,False))</f>
        <v/>
      </c>
      <c r="F44" s="71" t="str">
        <f>IF($D44="","", VLOOKUP($D44,Update!$B$2:$R$420,10,False))</f>
        <v/>
      </c>
      <c r="G44" s="71" t="str">
        <f>IF($D44="","", VLOOKUP($D44,Update!$B$2:$R$420,12,False))</f>
        <v/>
      </c>
      <c r="H44" s="71" t="str">
        <f>IF($D44="","", VLOOKUP($D44,Update!$B$2:$R$420,13,False))</f>
        <v/>
      </c>
      <c r="I44" s="71" t="str">
        <f>IF($D44="","", VLOOKUP($D44,Update!$B$2:$R$420,14,False))</f>
        <v/>
      </c>
      <c r="J44" s="71" t="str">
        <f>IF($D44="","", VLOOKUP($D44,Update!$B$2:$R$420,15,False))</f>
        <v/>
      </c>
      <c r="K44" s="47" t="str">
        <f> IF($D44="","", 100*VLOOKUP($D44,Update!$B$2:$R$420,6,False)/VLOOKUP($D44,'NO USAR1'!$A$3:$L$420,9,False))</f>
        <v/>
      </c>
      <c r="L44" s="47" t="str">
        <f>IF($D44="","", 100*VLOOKUP($D44,Update!$B$2:$R$420,9,False))</f>
        <v/>
      </c>
      <c r="M44" s="71" t="str">
        <f>IF($D44="","", VLOOKUP($D44,Update!$B$2:$R$420,16,False))</f>
        <v/>
      </c>
      <c r="N44" s="45" t="str">
        <f>IF($D44="","", VLOOKUP($D44,Update!$B$2:$C$420,2,FALSE))</f>
        <v/>
      </c>
      <c r="O44" s="2"/>
      <c r="P44" s="2"/>
      <c r="Q44" s="2"/>
    </row>
    <row r="45">
      <c r="B45" s="65">
        <f>Team!$B$29</f>
        <v>100</v>
      </c>
      <c r="C45" s="6">
        <v>9.0</v>
      </c>
      <c r="D45" s="7" t="str">
        <f t="array" ref="D45">INDIRECT("Draft!K"&amp;TEXT(A36+2,"0"))</f>
        <v/>
      </c>
      <c r="E45" s="71" t="str">
        <f>IF($D45="","", VLOOKUP($D45,Update!$B$2:$R$420,11,False))</f>
        <v/>
      </c>
      <c r="F45" s="71" t="str">
        <f>IF($D45="","", VLOOKUP($D45,Update!$B$2:$R$420,10,False))</f>
        <v/>
      </c>
      <c r="G45" s="71" t="str">
        <f>IF($D45="","", VLOOKUP($D45,Update!$B$2:$R$420,12,False))</f>
        <v/>
      </c>
      <c r="H45" s="71" t="str">
        <f>IF($D45="","", VLOOKUP($D45,Update!$B$2:$R$420,13,False))</f>
        <v/>
      </c>
      <c r="I45" s="71" t="str">
        <f>IF($D45="","", VLOOKUP($D45,Update!$B$2:$R$420,14,False))</f>
        <v/>
      </c>
      <c r="J45" s="71" t="str">
        <f>IF($D45="","", VLOOKUP($D45,Update!$B$2:$R$420,15,False))</f>
        <v/>
      </c>
      <c r="K45" s="47" t="str">
        <f> IF($D45="","", 100*VLOOKUP($D45,Update!$B$2:$R$420,6,False)/VLOOKUP($D45,'NO USAR1'!$A$3:$L$420,9,False))</f>
        <v/>
      </c>
      <c r="L45" s="47" t="str">
        <f>IF($D45="","", 100*VLOOKUP($D45,Update!$B$2:$R$420,9,False))</f>
        <v/>
      </c>
      <c r="M45" s="71" t="str">
        <f>IF($D45="","", VLOOKUP($D45,Update!$B$2:$R$420,16,False))</f>
        <v/>
      </c>
      <c r="N45" s="45" t="str">
        <f>IF($D45="","", VLOOKUP($D45,Update!$B$2:$C$420,2,FALSE))</f>
        <v/>
      </c>
      <c r="O45" s="2"/>
      <c r="P45" s="2"/>
      <c r="Q45" s="2"/>
    </row>
    <row r="46">
      <c r="B46" s="65">
        <f>Team!$B$30</f>
        <v>100</v>
      </c>
      <c r="C46" s="6">
        <v>10.0</v>
      </c>
      <c r="D46" s="73" t="str">
        <f t="array" ref="D46">INDIRECT("Draft!L"&amp;TEXT(15-A36,"0"))</f>
        <v/>
      </c>
      <c r="E46" s="71" t="str">
        <f>IF($D46="","", VLOOKUP($D46,Update!$B$2:$R$420,11,False))</f>
        <v/>
      </c>
      <c r="F46" s="71" t="str">
        <f>IF($D46="","", VLOOKUP($D46,Update!$B$2:$R$420,10,False))</f>
        <v/>
      </c>
      <c r="G46" s="71" t="str">
        <f>IF($D46="","", VLOOKUP($D46,Update!$B$2:$R$420,12,False))</f>
        <v/>
      </c>
      <c r="H46" s="71" t="str">
        <f>IF($D46="","", VLOOKUP($D46,Update!$B$2:$R$420,13,False))</f>
        <v/>
      </c>
      <c r="I46" s="71" t="str">
        <f>IF($D46="","", VLOOKUP($D46,Update!$B$2:$R$420,14,False))</f>
        <v/>
      </c>
      <c r="J46" s="71" t="str">
        <f>IF($D46="","", VLOOKUP($D46,Update!$B$2:$R$420,15,False))</f>
        <v/>
      </c>
      <c r="K46" s="47" t="str">
        <f> IF($D46="","", 100*VLOOKUP($D46,Update!$B$2:$R$420,6,False)/VLOOKUP($D46,'NO USAR1'!$A$3:$L$420,9,False))</f>
        <v/>
      </c>
      <c r="L46" s="47" t="str">
        <f>IF($D46="","", 100*VLOOKUP($D46,Update!$B$2:$R$420,9,False))</f>
        <v/>
      </c>
      <c r="M46" s="71" t="str">
        <f>IF($D46="","", VLOOKUP($D46,Update!$B$2:$R$420,16,False))</f>
        <v/>
      </c>
      <c r="N46" s="45" t="str">
        <f>IF($D46="","", VLOOKUP($D46,Update!$B$2:$C$420,2,FALSE))</f>
        <v/>
      </c>
      <c r="O46" s="2"/>
      <c r="P46" s="2"/>
      <c r="Q46" s="2"/>
    </row>
    <row r="47">
      <c r="B47" s="65">
        <f>Team!$B$31</f>
        <v>100</v>
      </c>
      <c r="C47" s="6">
        <v>11.0</v>
      </c>
      <c r="D47" s="7" t="str">
        <f t="array" ref="D47">INDIRECT("Draft!M"&amp;TEXT(A36+2,"0"))</f>
        <v/>
      </c>
      <c r="E47" s="71" t="str">
        <f>IF($D47="","", VLOOKUP($D47,Update!$B$2:$R$420,11,False))</f>
        <v/>
      </c>
      <c r="F47" s="71" t="str">
        <f>IF($D47="","", VLOOKUP($D47,Update!$B$2:$R$420,10,False))</f>
        <v/>
      </c>
      <c r="G47" s="71" t="str">
        <f>IF($D47="","", VLOOKUP($D47,Update!$B$2:$R$420,12,False))</f>
        <v/>
      </c>
      <c r="H47" s="71" t="str">
        <f>IF($D47="","", VLOOKUP($D47,Update!$B$2:$R$420,13,False))</f>
        <v/>
      </c>
      <c r="I47" s="71" t="str">
        <f>IF($D47="","", VLOOKUP($D47,Update!$B$2:$R$420,14,False))</f>
        <v/>
      </c>
      <c r="J47" s="71" t="str">
        <f>IF($D47="","", VLOOKUP($D47,Update!$B$2:$R$420,15,False))</f>
        <v/>
      </c>
      <c r="K47" s="47" t="str">
        <f> IF($D47="","", 100*VLOOKUP($D47,Update!$B$2:$R$420,6,False)/VLOOKUP($D47,'NO USAR1'!$A$3:$L$420,9,False))</f>
        <v/>
      </c>
      <c r="L47" s="47" t="str">
        <f>IF($D47="","", 100*VLOOKUP($D47,Update!$B$2:$R$420,9,False))</f>
        <v/>
      </c>
      <c r="M47" s="71" t="str">
        <f>IF($D47="","", VLOOKUP($D47,Update!$B$2:$R$420,16,False))</f>
        <v/>
      </c>
      <c r="N47" s="45" t="str">
        <f>IF($D47="","", VLOOKUP($D47,Update!$B$2:$C$420,2,FALSE))</f>
        <v/>
      </c>
      <c r="O47" s="2"/>
      <c r="P47" s="2"/>
      <c r="Q47" s="2"/>
    </row>
    <row r="48">
      <c r="B48" s="65">
        <f>Team!$B$32</f>
        <v>100</v>
      </c>
      <c r="C48" s="6">
        <v>12.0</v>
      </c>
      <c r="D48" s="73" t="str">
        <f t="array" ref="D48">INDIRECT("Draft!N"&amp;TEXT(15-A36,"0"))</f>
        <v/>
      </c>
      <c r="E48" s="71" t="str">
        <f>IF($D48="","", VLOOKUP($D48,Update!$B$2:$R$420,11,False))</f>
        <v/>
      </c>
      <c r="F48" s="71" t="str">
        <f>IF($D48="","", VLOOKUP($D48,Update!$B$2:$R$420,10,False))</f>
        <v/>
      </c>
      <c r="G48" s="71" t="str">
        <f>IF($D48="","", VLOOKUP($D48,Update!$B$2:$R$420,12,False))</f>
        <v/>
      </c>
      <c r="H48" s="71" t="str">
        <f>IF($D48="","", VLOOKUP($D48,Update!$B$2:$R$420,13,False))</f>
        <v/>
      </c>
      <c r="I48" s="71" t="str">
        <f>IF($D48="","", VLOOKUP($D48,Update!$B$2:$R$420,14,False))</f>
        <v/>
      </c>
      <c r="J48" s="71" t="str">
        <f>IF($D48="","", VLOOKUP($D48,Update!$B$2:$R$420,15,False))</f>
        <v/>
      </c>
      <c r="K48" s="47" t="str">
        <f> IF($D48="","", 100*VLOOKUP($D48,Update!$B$2:$R$420,6,False)/VLOOKUP($D48,'NO USAR1'!$A$3:$L$420,9,False))</f>
        <v/>
      </c>
      <c r="L48" s="47" t="str">
        <f>IF($D48="","", 100*VLOOKUP($D48,Update!$B$2:$R$420,9,False))</f>
        <v/>
      </c>
      <c r="M48" s="71" t="str">
        <f>IF($D48="","", VLOOKUP($D48,Update!$B$2:$R$420,16,False))</f>
        <v/>
      </c>
      <c r="N48" s="45" t="str">
        <f>IF($D48="","", VLOOKUP($D48,Update!$B$2:$C$420,2,FALSE))</f>
        <v/>
      </c>
      <c r="O48" s="2"/>
      <c r="P48" s="2"/>
      <c r="Q48" s="2"/>
    </row>
    <row r="49">
      <c r="B49" s="65">
        <f>Team!$B$33</f>
        <v>100</v>
      </c>
      <c r="C49" s="6">
        <v>13.0</v>
      </c>
      <c r="D49" s="6" t="str">
        <f t="array" ref="D49">INDIRECT("Draft!O"&amp;TEXT(A36+2,"0"))</f>
        <v/>
      </c>
      <c r="E49" s="71" t="str">
        <f>IF($D49="","", VLOOKUP($D49,Update!$B$2:$R$420,11,False))</f>
        <v/>
      </c>
      <c r="F49" s="71" t="str">
        <f>IF($D49="","", VLOOKUP($D49,Update!$B$2:$R$420,10,False))</f>
        <v/>
      </c>
      <c r="G49" s="71" t="str">
        <f>IF($D49="","", VLOOKUP($D49,Update!$B$2:$R$420,12,False))</f>
        <v/>
      </c>
      <c r="H49" s="71" t="str">
        <f>IF($D49="","", VLOOKUP($D49,Update!$B$2:$R$420,13,False))</f>
        <v/>
      </c>
      <c r="I49" s="71" t="str">
        <f>IF($D49="","", VLOOKUP($D49,Update!$B$2:$R$420,14,False))</f>
        <v/>
      </c>
      <c r="J49" s="71" t="str">
        <f>IF($D49="","", VLOOKUP($D49,Update!$B$2:$R$420,15,False))</f>
        <v/>
      </c>
      <c r="K49" s="47" t="str">
        <f> IF($D49="","", 100*VLOOKUP($D49,Update!$B$2:$R$420,6,False)/VLOOKUP($D49,'NO USAR1'!$A$3:$L$420,9,False))</f>
        <v/>
      </c>
      <c r="L49" s="47" t="str">
        <f>IF($D49="","", 100*VLOOKUP($D49,Update!$B$2:$R$420,9,False))</f>
        <v/>
      </c>
      <c r="M49" s="71" t="str">
        <f>IF($D49="","", VLOOKUP($D49,Update!$B$2:$R$420,16,False))</f>
        <v/>
      </c>
      <c r="N49" s="2"/>
      <c r="O49" s="2"/>
      <c r="P49" s="2"/>
      <c r="Q49" s="2"/>
    </row>
    <row r="50">
      <c r="B50" s="65">
        <f>Team!$B$34</f>
        <v>0</v>
      </c>
      <c r="C50" s="6">
        <v>14.0</v>
      </c>
      <c r="D50" s="72" t="str">
        <f t="array" ref="D50">INDIRECT("Draft!P"&amp;TEXT(15-A36,"0"))</f>
        <v/>
      </c>
      <c r="E50" s="71" t="str">
        <f>IF($D50="","", VLOOKUP($D50,Update!$B$2:$R$420,11,False))</f>
        <v/>
      </c>
      <c r="F50" s="71" t="str">
        <f>IF($D50="","", VLOOKUP($D50,Update!$B$2:$R$420,10,False))</f>
        <v/>
      </c>
      <c r="G50" s="71" t="str">
        <f>IF($D50="","", VLOOKUP($D50,Update!$B$2:$R$420,12,False))</f>
        <v/>
      </c>
      <c r="H50" s="71" t="str">
        <f>IF($D50="","", VLOOKUP($D50,Update!$B$2:$R$420,13,False))</f>
        <v/>
      </c>
      <c r="I50" s="71" t="str">
        <f>IF($D50="","", VLOOKUP($D50,Update!$B$2:$R$420,14,False))</f>
        <v/>
      </c>
      <c r="J50" s="71" t="str">
        <f>IF($D50="","", VLOOKUP($D50,Update!$B$2:$R$420,15,False))</f>
        <v/>
      </c>
      <c r="K50" s="47" t="str">
        <f> IF($D50="","", 100*VLOOKUP($D50,Update!$B$2:$R$420,6,False)/VLOOKUP($D50,'NO USAR1'!$A$3:$L$420,9,False))</f>
        <v/>
      </c>
      <c r="L50" s="47" t="str">
        <f>IF($D50="","", 100*VLOOKUP($D50,Update!$B$2:$R$420,9,False))</f>
        <v/>
      </c>
      <c r="M50" s="71" t="str">
        <f>IF($D50="","", VLOOKUP($D50,Update!$B$2:$R$420,16,False))</f>
        <v/>
      </c>
      <c r="N50" s="2"/>
      <c r="O50" s="2"/>
      <c r="P50" s="2"/>
      <c r="Q50" s="2"/>
    </row>
    <row r="51">
      <c r="A51" s="78" t="s">
        <v>81</v>
      </c>
      <c r="D51" s="76" t="s">
        <v>80</v>
      </c>
      <c r="E51" s="47" t="str">
        <f t="shared" ref="E51:J51" si="3">AVERAGE(SUMPRODUCT(E37:E50,$B37:$B50/100))/(SUM(OFFSET($B37,0,0,COUNT(E37:E50)))/100)</f>
        <v>#VALUE!</v>
      </c>
      <c r="F51" s="47" t="str">
        <f t="shared" si="3"/>
        <v>#VALUE!</v>
      </c>
      <c r="G51" s="47" t="str">
        <f t="shared" si="3"/>
        <v>#VALUE!</v>
      </c>
      <c r="H51" s="47" t="str">
        <f t="shared" si="3"/>
        <v>#VALUE!</v>
      </c>
      <c r="I51" s="47" t="str">
        <f t="shared" si="3"/>
        <v>#VALUE!</v>
      </c>
      <c r="J51" s="47" t="str">
        <f t="shared" si="3"/>
        <v>#VALUE!</v>
      </c>
      <c r="K51" s="47" t="str">
        <f t="array" ref="K51">IFERROR(100*SUMPRODUCT(IFERROR(VLOOKUP($D37:$D50,Update!$B:$S,6,False),"")*$B37:$B50/100)/SUMPRODUCT(IFERROR(VLOOKUP($D37:$D50,Update!$B:$S,17,False),"")*$B37:$B50/100),"")</f>
        <v/>
      </c>
      <c r="L51" s="47" t="str">
        <f t="array" ref="L51">IFERROR(100*SUMPRODUCT(IFERROR(VLOOKUP($D37:$D50,Update!$B:$S,8,False),"")*$B37:$B50/100)/SUMPRODUCT(IFERROR(VLOOKUP($D37:$D50,Update!$B:$S,18,False),"")*$B37:$B50/100),"")</f>
        <v/>
      </c>
      <c r="M51" s="47" t="str">
        <f>AVERAGE(SUMPRODUCT(M37:M50,$B37:$B50/100))/(SUM(OFFSET($B37,0,0,COUNT(M37:M50)))/100)</f>
        <v>#VALUE!</v>
      </c>
      <c r="N51" s="2"/>
    </row>
    <row r="52">
      <c r="A52" s="78"/>
      <c r="D52" s="76" t="s">
        <v>84</v>
      </c>
      <c r="E52" s="46" t="str">
        <f>(SUM(OFFSET('All Teams'!$B37,0,0,COUNT('All Teams'!E37:E50)))/100)*('All Teams'!E51-'NO USAR1'!$B$1)/'NO USAR1'!$B$2</f>
        <v>#VALUE!</v>
      </c>
      <c r="F52" s="46" t="str">
        <f>(SUM(OFFSET('All Teams'!$B37,0,0,COUNT('All Teams'!F37:F50)))/100)*('All Teams'!F51-'NO USAR1'!$C$1)/'NO USAR1'!$C$2</f>
        <v>#VALUE!</v>
      </c>
      <c r="G52" s="46" t="str">
        <f>(SUM(OFFSET('All Teams'!$B37,0,0,COUNT('All Teams'!G37:G50)))/100)*('All Teams'!G51-'NO USAR1'!$D$1)/'NO USAR1'!$D$2</f>
        <v>#VALUE!</v>
      </c>
      <c r="H52" s="46" t="str">
        <f>(SUM(OFFSET('All Teams'!$B37,0,0,COUNT('All Teams'!H37:H50)))/100)*('All Teams'!H51-'NO USAR1'!$E$1)/'NO USAR1'!$E$2</f>
        <v>#VALUE!</v>
      </c>
      <c r="I52" s="46" t="str">
        <f>(SUM(OFFSET('All Teams'!$B37,0,0,COUNT('All Teams'!I37:I50)))/100)*('All Teams'!I51-'NO USAR1'!$F$1)/'NO USAR1'!$F$2</f>
        <v>#VALUE!</v>
      </c>
      <c r="J52" s="46" t="str">
        <f>(SUM(OFFSET('All Teams'!$B37,0,0,COUNT('All Teams'!J37:J50)))/100)*('All Teams'!J51-'NO USAR1'!$G$1)/'NO USAR1'!$G$2</f>
        <v>#VALUE!</v>
      </c>
      <c r="K52" s="46">
        <f t="array" ref="K52">SUMPRODUCT(IFERROR(VLOOKUP($D37:$D50,'NO USAR1'!$A$4:$L$403,8,False)*$B37:$B50/100,""))</f>
        <v>0</v>
      </c>
      <c r="L52" s="46">
        <f t="array" ref="L52">SUMPRODUCT(IFERROR(VLOOKUP($D37:$D50,'NO USAR1'!$A$4:$L$403,10,False)*$B37:$B50/100,""))</f>
        <v>0</v>
      </c>
      <c r="M52" s="46" t="str">
        <f>-(SUM(OFFSET('All Teams'!$B37,0,0,COUNT('All Teams'!M37:M50)))/100)*('All Teams'!M51-'NO USAR1'!$L$1)/'NO USAR1'!$L$2</f>
        <v>#VALUE!</v>
      </c>
      <c r="N52" s="2"/>
    </row>
    <row r="53">
      <c r="A53" s="79">
        <v>4.0</v>
      </c>
      <c r="B53" s="4" t="s">
        <v>82</v>
      </c>
      <c r="C53" s="6"/>
      <c r="D53" s="4" t="s">
        <v>83</v>
      </c>
      <c r="E53" s="40" t="s">
        <v>34</v>
      </c>
      <c r="F53" s="40" t="s">
        <v>35</v>
      </c>
      <c r="G53" s="40" t="s">
        <v>36</v>
      </c>
      <c r="H53" s="40" t="s">
        <v>37</v>
      </c>
      <c r="I53" s="40" t="s">
        <v>38</v>
      </c>
      <c r="J53" s="40" t="s">
        <v>61</v>
      </c>
      <c r="K53" s="40" t="s">
        <v>40</v>
      </c>
      <c r="L53" s="40" t="s">
        <v>41</v>
      </c>
      <c r="M53" s="40" t="s">
        <v>42</v>
      </c>
      <c r="N53" s="4" t="s">
        <v>78</v>
      </c>
      <c r="O53" s="4" t="s">
        <v>79</v>
      </c>
      <c r="P53" s="4" t="s">
        <v>78</v>
      </c>
      <c r="Q53" s="69"/>
    </row>
    <row r="54">
      <c r="B54" s="65">
        <f>Team!$B$21</f>
        <v>100</v>
      </c>
      <c r="C54" s="6">
        <v>1.0</v>
      </c>
      <c r="D54" s="6" t="str">
        <f t="array" ref="D54">INDIRECT("Draft!C"&amp;TEXT(A53+2,"0"))</f>
        <v/>
      </c>
      <c r="E54" s="71" t="str">
        <f>IF($D54="","", VLOOKUP($D54,Update!$B$2:$R$420,11,False))</f>
        <v/>
      </c>
      <c r="F54" s="71" t="str">
        <f>IF($D54="","", VLOOKUP($D54,Update!$B$2:$R$420,10,False))</f>
        <v/>
      </c>
      <c r="G54" s="71" t="str">
        <f>IF($D54="","", VLOOKUP($D54,Update!$B$2:$R$420,12,False))</f>
        <v/>
      </c>
      <c r="H54" s="71" t="str">
        <f>IF($D54="","", VLOOKUP($D54,Update!$B$2:$R$420,13,False))</f>
        <v/>
      </c>
      <c r="I54" s="71" t="str">
        <f>IF($D54="","", VLOOKUP($D54,Update!$B$2:$R$420,14,False))</f>
        <v/>
      </c>
      <c r="J54" s="71" t="str">
        <f>IF($D54="","", VLOOKUP($D54,Update!$B$2:$R$420,15,False))</f>
        <v/>
      </c>
      <c r="K54" s="47" t="str">
        <f> IF($D54="","", 100*VLOOKUP($D54,Update!$B$2:$R$420,6,False)/VLOOKUP($D54,'NO USAR1'!$A$3:$L$420,9,False))</f>
        <v/>
      </c>
      <c r="L54" s="47" t="str">
        <f>IF($D54="","", 100*VLOOKUP($D54,Update!$B$2:$R$420,9,False))</f>
        <v/>
      </c>
      <c r="M54" s="71" t="str">
        <f>IF($D54="","", VLOOKUP($D54,Update!$B$2:$R$420,16,False))</f>
        <v/>
      </c>
      <c r="N54" s="45" t="str">
        <f>IF($D54="","", VLOOKUP($D54,Update!$B$2:$C$420,2,FALSE))</f>
        <v/>
      </c>
      <c r="O54" s="45">
        <f t="array" ref="O54">COUNTIF(FIND(P54,$N$21:$N$32),"&gt;0")</f>
        <v>0</v>
      </c>
      <c r="P54" s="6" t="s">
        <v>43</v>
      </c>
      <c r="Q54" s="80"/>
    </row>
    <row r="55">
      <c r="B55" s="65">
        <f>Team!$B$22</f>
        <v>100</v>
      </c>
      <c r="C55" s="6">
        <v>2.0</v>
      </c>
      <c r="D55" s="72" t="str">
        <f t="array" ref="D55">INDIRECT("Draft!D"&amp;TEXT(15-A53,"0"))</f>
        <v/>
      </c>
      <c r="E55" s="71" t="str">
        <f>IF($D55="","", VLOOKUP($D55,Update!$B$2:$R$420,11,False))</f>
        <v/>
      </c>
      <c r="F55" s="71" t="str">
        <f>IF($D55="","", VLOOKUP($D55,Update!$B$2:$R$420,10,False))</f>
        <v/>
      </c>
      <c r="G55" s="71" t="str">
        <f>IF($D55="","", VLOOKUP($D55,Update!$B$2:$R$420,12,False))</f>
        <v/>
      </c>
      <c r="H55" s="71" t="str">
        <f>IF($D55="","", VLOOKUP($D55,Update!$B$2:$R$420,13,False))</f>
        <v/>
      </c>
      <c r="I55" s="71" t="str">
        <f>IF($D55="","", VLOOKUP($D55,Update!$B$2:$R$420,14,False))</f>
        <v/>
      </c>
      <c r="J55" s="71" t="str">
        <f>IF($D55="","", VLOOKUP($D55,Update!$B$2:$R$420,15,False))</f>
        <v/>
      </c>
      <c r="K55" s="47" t="str">
        <f> IF($D55="","", 100*VLOOKUP($D55,Update!$B$2:$R$420,6,False)/VLOOKUP($D55,'NO USAR1'!$A$3:$L$420,9,False))</f>
        <v/>
      </c>
      <c r="L55" s="47" t="str">
        <f>IF($D55="","", 100*VLOOKUP($D55,Update!$B$2:$R$420,9,False))</f>
        <v/>
      </c>
      <c r="M55" s="71" t="str">
        <f>IF($D55="","", VLOOKUP($D55,Update!$B$2:$R$420,16,False))</f>
        <v/>
      </c>
      <c r="N55" s="45" t="str">
        <f>IF($D55="","", VLOOKUP($D55,Update!$B$2:$C$420,2,FALSE))</f>
        <v/>
      </c>
      <c r="O55" s="45">
        <f t="array" ref="O55">COUNTIF(FIND(P55,$N$21:$N$32),"&gt;0")</f>
        <v>0</v>
      </c>
      <c r="P55" s="6" t="s">
        <v>44</v>
      </c>
      <c r="Q55" s="80"/>
    </row>
    <row r="56">
      <c r="B56" s="65">
        <f>Team!$B$23</f>
        <v>100</v>
      </c>
      <c r="C56" s="6">
        <v>3.0</v>
      </c>
      <c r="D56" s="7" t="str">
        <f t="array" ref="D56">INDIRECT("Draft!E"&amp;TEXT(A53+2,"0"))</f>
        <v/>
      </c>
      <c r="E56" s="71" t="str">
        <f>IF($D56="","", VLOOKUP($D56,Update!$B$2:$R$420,11,False))</f>
        <v/>
      </c>
      <c r="F56" s="71" t="str">
        <f>IF($D56="","", VLOOKUP($D56,Update!$B$2:$R$420,10,False))</f>
        <v/>
      </c>
      <c r="G56" s="71" t="str">
        <f>IF($D56="","", VLOOKUP($D56,Update!$B$2:$R$420,12,False))</f>
        <v/>
      </c>
      <c r="H56" s="71" t="str">
        <f>IF($D56="","", VLOOKUP($D56,Update!$B$2:$R$420,13,False))</f>
        <v/>
      </c>
      <c r="I56" s="71" t="str">
        <f>IF($D56="","", VLOOKUP($D56,Update!$B$2:$R$420,14,False))</f>
        <v/>
      </c>
      <c r="J56" s="71" t="str">
        <f>IF($D56="","", VLOOKUP($D56,Update!$B$2:$R$420,15,False))</f>
        <v/>
      </c>
      <c r="K56" s="47" t="str">
        <f> IF($D56="","", 100*VLOOKUP($D56,Update!$B$2:$R$420,6,False)/VLOOKUP($D56,'NO USAR1'!$A$3:$L$420,9,False))</f>
        <v/>
      </c>
      <c r="L56" s="47" t="str">
        <f>IF($D56="","", 100*VLOOKUP($D56,Update!$B$2:$R$420,9,False))</f>
        <v/>
      </c>
      <c r="M56" s="71" t="str">
        <f>IF($D56="","", VLOOKUP($D56,Update!$B$2:$R$420,16,False))</f>
        <v/>
      </c>
      <c r="N56" s="45" t="str">
        <f>IF($D56="","", VLOOKUP($D56,Update!$B$2:$C$420,2,FALSE))</f>
        <v/>
      </c>
      <c r="O56" s="45">
        <f t="array" ref="O56">COUNTIF(FIND(P56,$N$21:$N$32),"&gt;0")</f>
        <v>0</v>
      </c>
      <c r="P56" s="6" t="s">
        <v>45</v>
      </c>
      <c r="Q56" s="80"/>
    </row>
    <row r="57">
      <c r="B57" s="65">
        <f>Team!$B$24</f>
        <v>100</v>
      </c>
      <c r="C57" s="6">
        <v>4.0</v>
      </c>
      <c r="D57" s="73" t="str">
        <f t="array" ref="D57">INDIRECT("Draft!F"&amp;TEXT(15-A53,"0"))</f>
        <v/>
      </c>
      <c r="E57" s="71" t="str">
        <f>IF($D57="","", VLOOKUP($D57,Update!$B$2:$R$420,11,False))</f>
        <v/>
      </c>
      <c r="F57" s="71" t="str">
        <f>IF($D57="","", VLOOKUP($D57,Update!$B$2:$R$420,10,False))</f>
        <v/>
      </c>
      <c r="G57" s="71" t="str">
        <f>IF($D57="","", VLOOKUP($D57,Update!$B$2:$R$420,12,False))</f>
        <v/>
      </c>
      <c r="H57" s="71" t="str">
        <f>IF($D57="","", VLOOKUP($D57,Update!$B$2:$R$420,13,False))</f>
        <v/>
      </c>
      <c r="I57" s="71" t="str">
        <f>IF($D57="","", VLOOKUP($D57,Update!$B$2:$R$420,14,False))</f>
        <v/>
      </c>
      <c r="J57" s="71" t="str">
        <f>IF($D57="","", VLOOKUP($D57,Update!$B$2:$R$420,15,False))</f>
        <v/>
      </c>
      <c r="K57" s="47" t="str">
        <f> IF($D57="","", 100*VLOOKUP($D57,Update!$B$2:$R$420,6,False)/VLOOKUP($D57,'NO USAR1'!$A$3:$L$420,9,False))</f>
        <v/>
      </c>
      <c r="L57" s="47" t="str">
        <f>IF($D57="","", 100*VLOOKUP($D57,Update!$B$2:$R$420,9,False))</f>
        <v/>
      </c>
      <c r="M57" s="71" t="str">
        <f>IF($D57="","", VLOOKUP($D57,Update!$B$2:$R$420,16,False))</f>
        <v/>
      </c>
      <c r="N57" s="45" t="str">
        <f>IF($D57="","", VLOOKUP($D57,Update!$B$2:$C$420,2,FALSE))</f>
        <v/>
      </c>
      <c r="O57" s="45">
        <f t="array" ref="O57">COUNTIF(FIND(P57,$N$21:$N$32),"&gt;0")</f>
        <v>0</v>
      </c>
      <c r="P57" s="6" t="s">
        <v>46</v>
      </c>
      <c r="Q57" s="80"/>
    </row>
    <row r="58">
      <c r="B58" s="65">
        <f>Team!$B$25</f>
        <v>100</v>
      </c>
      <c r="C58" s="6">
        <v>5.0</v>
      </c>
      <c r="D58" s="7" t="str">
        <f t="array" ref="D58">INDIRECT("Draft!G"&amp;TEXT(A53+2,"0"))</f>
        <v/>
      </c>
      <c r="E58" s="71" t="str">
        <f>IF($D58="","", VLOOKUP($D58,Update!$B$2:$R$420,11,False))</f>
        <v/>
      </c>
      <c r="F58" s="71" t="str">
        <f>IF($D58="","", VLOOKUP($D58,Update!$B$2:$R$420,10,False))</f>
        <v/>
      </c>
      <c r="G58" s="71" t="str">
        <f>IF($D58="","", VLOOKUP($D58,Update!$B$2:$R$420,12,False))</f>
        <v/>
      </c>
      <c r="H58" s="71" t="str">
        <f>IF($D58="","", VLOOKUP($D58,Update!$B$2:$R$420,13,False))</f>
        <v/>
      </c>
      <c r="I58" s="71" t="str">
        <f>IF($D58="","", VLOOKUP($D58,Update!$B$2:$R$420,14,False))</f>
        <v/>
      </c>
      <c r="J58" s="71" t="str">
        <f>IF($D58="","", VLOOKUP($D58,Update!$B$2:$R$420,15,False))</f>
        <v/>
      </c>
      <c r="K58" s="47" t="str">
        <f> IF($D58="","", 100*VLOOKUP($D58,Update!$B$2:$R$420,6,False)/VLOOKUP($D58,'NO USAR1'!$A$3:$L$420,9,False))</f>
        <v/>
      </c>
      <c r="L58" s="47" t="str">
        <f>IF($D58="","", 100*VLOOKUP($D58,Update!$B$2:$R$420,9,False))</f>
        <v/>
      </c>
      <c r="M58" s="71" t="str">
        <f>IF($D58="","", VLOOKUP($D58,Update!$B$2:$R$420,16,False))</f>
        <v/>
      </c>
      <c r="N58" s="45" t="str">
        <f>IF($D58="","", VLOOKUP($D58,Update!$B$2:$C$420,2,FALSE))</f>
        <v/>
      </c>
      <c r="O58" s="45">
        <f t="array" ref="O58">COUNTIF(FIND(P58,$N$21:$N$32),"&gt;0")</f>
        <v>0</v>
      </c>
      <c r="P58" s="6" t="s">
        <v>47</v>
      </c>
      <c r="Q58" s="80"/>
    </row>
    <row r="59">
      <c r="B59" s="65">
        <f>Team!$B$26</f>
        <v>100</v>
      </c>
      <c r="C59" s="6">
        <v>6.0</v>
      </c>
      <c r="D59" s="73" t="str">
        <f t="array" ref="D59">INDIRECT("Draft!H"&amp;TEXT(15-A53,"0"))</f>
        <v/>
      </c>
      <c r="E59" s="71" t="str">
        <f>IF($D59="","", VLOOKUP($D59,Update!$B$2:$R$420,11,False))</f>
        <v/>
      </c>
      <c r="F59" s="71" t="str">
        <f>IF($D59="","", VLOOKUP($D59,Update!$B$2:$R$420,10,False))</f>
        <v/>
      </c>
      <c r="G59" s="71" t="str">
        <f>IF($D59="","", VLOOKUP($D59,Update!$B$2:$R$420,12,False))</f>
        <v/>
      </c>
      <c r="H59" s="71" t="str">
        <f>IF($D59="","", VLOOKUP($D59,Update!$B$2:$R$420,13,False))</f>
        <v/>
      </c>
      <c r="I59" s="71" t="str">
        <f>IF($D59="","", VLOOKUP($D59,Update!$B$2:$R$420,14,False))</f>
        <v/>
      </c>
      <c r="J59" s="71" t="str">
        <f>IF($D59="","", VLOOKUP($D59,Update!$B$2:$R$420,15,False))</f>
        <v/>
      </c>
      <c r="K59" s="47" t="str">
        <f> IF($D59="","", 100*VLOOKUP($D59,Update!$B$2:$R$420,6,False)/VLOOKUP($D59,'NO USAR1'!$A$3:$L$420,9,False))</f>
        <v/>
      </c>
      <c r="L59" s="47" t="str">
        <f>IF($D59="","", 100*VLOOKUP($D59,Update!$B$2:$R$420,9,False))</f>
        <v/>
      </c>
      <c r="M59" s="71" t="str">
        <f>IF($D59="","", VLOOKUP($D59,Update!$B$2:$R$420,16,False))</f>
        <v/>
      </c>
      <c r="N59" s="45" t="str">
        <f>IF($D59="","", VLOOKUP($D59,Update!$B$2:$C$420,2,FALSE))</f>
        <v/>
      </c>
      <c r="O59" s="2"/>
      <c r="P59" s="2"/>
      <c r="Q59" s="2"/>
    </row>
    <row r="60">
      <c r="B60" s="65">
        <f>Team!$B$27</f>
        <v>100</v>
      </c>
      <c r="C60" s="6">
        <v>7.0</v>
      </c>
      <c r="D60" s="7" t="str">
        <f t="array" ref="D60">INDIRECT("Draft!I"&amp;TEXT(A53+2,"0"))</f>
        <v/>
      </c>
      <c r="E60" s="71" t="str">
        <f>IF($D60="","", VLOOKUP($D60,Update!$B$2:$R$420,11,False))</f>
        <v/>
      </c>
      <c r="F60" s="71" t="str">
        <f>IF($D60="","", VLOOKUP($D60,Update!$B$2:$R$420,10,False))</f>
        <v/>
      </c>
      <c r="G60" s="71" t="str">
        <f>IF($D60="","", VLOOKUP($D60,Update!$B$2:$R$420,12,False))</f>
        <v/>
      </c>
      <c r="H60" s="71" t="str">
        <f>IF($D60="","", VLOOKUP($D60,Update!$B$2:$R$420,13,False))</f>
        <v/>
      </c>
      <c r="I60" s="71" t="str">
        <f>IF($D60="","", VLOOKUP($D60,Update!$B$2:$R$420,14,False))</f>
        <v/>
      </c>
      <c r="J60" s="71" t="str">
        <f>IF($D60="","", VLOOKUP($D60,Update!$B$2:$R$420,15,False))</f>
        <v/>
      </c>
      <c r="K60" s="47" t="str">
        <f> IF($D60="","", 100*VLOOKUP($D60,Update!$B$2:$R$420,6,False)/VLOOKUP($D60,'NO USAR1'!$A$3:$L$420,9,False))</f>
        <v/>
      </c>
      <c r="L60" s="47" t="str">
        <f>IF($D60="","", 100*VLOOKUP($D60,Update!$B$2:$R$420,9,False))</f>
        <v/>
      </c>
      <c r="M60" s="71" t="str">
        <f>IF($D60="","", VLOOKUP($D60,Update!$B$2:$R$420,16,False))</f>
        <v/>
      </c>
      <c r="N60" s="45" t="str">
        <f>IF($D60="","", VLOOKUP($D60,Update!$B$2:$C$420,2,FALSE))</f>
        <v/>
      </c>
      <c r="O60" s="2"/>
      <c r="P60" s="2"/>
      <c r="Q60" s="2"/>
    </row>
    <row r="61">
      <c r="B61" s="65">
        <f>Team!$B$28</f>
        <v>100</v>
      </c>
      <c r="C61" s="6">
        <v>8.0</v>
      </c>
      <c r="D61" s="73" t="str">
        <f t="array" ref="D61">INDIRECT("Draft!J"&amp;TEXT(15-A53,"0"))</f>
        <v/>
      </c>
      <c r="E61" s="71" t="str">
        <f>IF($D61="","", VLOOKUP($D61,Update!$B$2:$R$420,11,False))</f>
        <v/>
      </c>
      <c r="F61" s="71" t="str">
        <f>IF($D61="","", VLOOKUP($D61,Update!$B$2:$R$420,10,False))</f>
        <v/>
      </c>
      <c r="G61" s="71" t="str">
        <f>IF($D61="","", VLOOKUP($D61,Update!$B$2:$R$420,12,False))</f>
        <v/>
      </c>
      <c r="H61" s="71" t="str">
        <f>IF($D61="","", VLOOKUP($D61,Update!$B$2:$R$420,13,False))</f>
        <v/>
      </c>
      <c r="I61" s="71" t="str">
        <f>IF($D61="","", VLOOKUP($D61,Update!$B$2:$R$420,14,False))</f>
        <v/>
      </c>
      <c r="J61" s="71" t="str">
        <f>IF($D61="","", VLOOKUP($D61,Update!$B$2:$R$420,15,False))</f>
        <v/>
      </c>
      <c r="K61" s="47" t="str">
        <f> IF($D61="","", 100*VLOOKUP($D61,Update!$B$2:$R$420,6,False)/VLOOKUP($D61,'NO USAR1'!$A$3:$L$420,9,False))</f>
        <v/>
      </c>
      <c r="L61" s="47" t="str">
        <f>IF($D61="","", 100*VLOOKUP($D61,Update!$B$2:$R$420,9,False))</f>
        <v/>
      </c>
      <c r="M61" s="71" t="str">
        <f>IF($D61="","", VLOOKUP($D61,Update!$B$2:$R$420,16,False))</f>
        <v/>
      </c>
      <c r="N61" s="45" t="str">
        <f>IF($D61="","", VLOOKUP($D61,Update!$B$2:$C$420,2,FALSE))</f>
        <v/>
      </c>
      <c r="O61" s="2"/>
      <c r="P61" s="2"/>
      <c r="Q61" s="2"/>
    </row>
    <row r="62">
      <c r="B62" s="65">
        <f>Team!$B$29</f>
        <v>100</v>
      </c>
      <c r="C62" s="6">
        <v>9.0</v>
      </c>
      <c r="D62" s="7" t="str">
        <f t="array" ref="D62">INDIRECT("Draft!K"&amp;TEXT(A53+2,"0"))</f>
        <v/>
      </c>
      <c r="E62" s="71" t="str">
        <f>IF($D62="","", VLOOKUP($D62,Update!$B$2:$R$420,11,False))</f>
        <v/>
      </c>
      <c r="F62" s="71" t="str">
        <f>IF($D62="","", VLOOKUP($D62,Update!$B$2:$R$420,10,False))</f>
        <v/>
      </c>
      <c r="G62" s="71" t="str">
        <f>IF($D62="","", VLOOKUP($D62,Update!$B$2:$R$420,12,False))</f>
        <v/>
      </c>
      <c r="H62" s="71" t="str">
        <f>IF($D62="","", VLOOKUP($D62,Update!$B$2:$R$420,13,False))</f>
        <v/>
      </c>
      <c r="I62" s="71" t="str">
        <f>IF($D62="","", VLOOKUP($D62,Update!$B$2:$R$420,14,False))</f>
        <v/>
      </c>
      <c r="J62" s="71" t="str">
        <f>IF($D62="","", VLOOKUP($D62,Update!$B$2:$R$420,15,False))</f>
        <v/>
      </c>
      <c r="K62" s="47" t="str">
        <f> IF($D62="","", 100*VLOOKUP($D62,Update!$B$2:$R$420,6,False)/VLOOKUP($D62,'NO USAR1'!$A$3:$L$420,9,False))</f>
        <v/>
      </c>
      <c r="L62" s="47" t="str">
        <f>IF($D62="","", 100*VLOOKUP($D62,Update!$B$2:$R$420,9,False))</f>
        <v/>
      </c>
      <c r="M62" s="71" t="str">
        <f>IF($D62="","", VLOOKUP($D62,Update!$B$2:$R$420,16,False))</f>
        <v/>
      </c>
      <c r="N62" s="45" t="str">
        <f>IF($D62="","", VLOOKUP($D62,Update!$B$2:$C$420,2,FALSE))</f>
        <v/>
      </c>
      <c r="O62" s="2"/>
      <c r="P62" s="2"/>
      <c r="Q62" s="2"/>
    </row>
    <row r="63">
      <c r="B63" s="65">
        <f>Team!$B$30</f>
        <v>100</v>
      </c>
      <c r="C63" s="6">
        <v>10.0</v>
      </c>
      <c r="D63" s="72" t="str">
        <f t="array" ref="D63">INDIRECT("Draft!L"&amp;TEXT(15-A53,"0"))</f>
        <v/>
      </c>
      <c r="E63" s="71" t="str">
        <f>IF($D63="","", VLOOKUP($D63,Update!$B$2:$R$420,11,False))</f>
        <v/>
      </c>
      <c r="F63" s="71" t="str">
        <f>IF($D63="","", VLOOKUP($D63,Update!$B$2:$R$420,10,False))</f>
        <v/>
      </c>
      <c r="G63" s="71" t="str">
        <f>IF($D63="","", VLOOKUP($D63,Update!$B$2:$R$420,12,False))</f>
        <v/>
      </c>
      <c r="H63" s="71" t="str">
        <f>IF($D63="","", VLOOKUP($D63,Update!$B$2:$R$420,13,False))</f>
        <v/>
      </c>
      <c r="I63" s="71" t="str">
        <f>IF($D63="","", VLOOKUP($D63,Update!$B$2:$R$420,14,False))</f>
        <v/>
      </c>
      <c r="J63" s="71" t="str">
        <f>IF($D63="","", VLOOKUP($D63,Update!$B$2:$R$420,15,False))</f>
        <v/>
      </c>
      <c r="K63" s="47" t="str">
        <f> IF($D63="","", 100*VLOOKUP($D63,Update!$B$2:$R$420,6,False)/VLOOKUP($D63,'NO USAR1'!$A$3:$L$420,9,False))</f>
        <v/>
      </c>
      <c r="L63" s="47" t="str">
        <f>IF($D63="","", 100*VLOOKUP($D63,Update!$B$2:$R$420,9,False))</f>
        <v/>
      </c>
      <c r="M63" s="71" t="str">
        <f>IF($D63="","", VLOOKUP($D63,Update!$B$2:$R$420,16,False))</f>
        <v/>
      </c>
      <c r="N63" s="45" t="str">
        <f>IF($D63="","", VLOOKUP($D63,Update!$B$2:$C$420,2,FALSE))</f>
        <v/>
      </c>
      <c r="O63" s="2"/>
      <c r="P63" s="2"/>
      <c r="Q63" s="2"/>
    </row>
    <row r="64">
      <c r="B64" s="65">
        <f>Team!$B$31</f>
        <v>100</v>
      </c>
      <c r="C64" s="6">
        <v>11.0</v>
      </c>
      <c r="D64" s="7" t="str">
        <f t="array" ref="D64">INDIRECT("Draft!M"&amp;TEXT(A53+2,"0"))</f>
        <v/>
      </c>
      <c r="E64" s="71" t="str">
        <f>IF($D64="","", VLOOKUP($D64,Update!$B$2:$R$420,11,False))</f>
        <v/>
      </c>
      <c r="F64" s="71" t="str">
        <f>IF($D64="","", VLOOKUP($D64,Update!$B$2:$R$420,10,False))</f>
        <v/>
      </c>
      <c r="G64" s="71" t="str">
        <f>IF($D64="","", VLOOKUP($D64,Update!$B$2:$R$420,12,False))</f>
        <v/>
      </c>
      <c r="H64" s="71" t="str">
        <f>IF($D64="","", VLOOKUP($D64,Update!$B$2:$R$420,13,False))</f>
        <v/>
      </c>
      <c r="I64" s="71" t="str">
        <f>IF($D64="","", VLOOKUP($D64,Update!$B$2:$R$420,14,False))</f>
        <v/>
      </c>
      <c r="J64" s="71" t="str">
        <f>IF($D64="","", VLOOKUP($D64,Update!$B$2:$R$420,15,False))</f>
        <v/>
      </c>
      <c r="K64" s="47" t="str">
        <f> IF($D64="","", 100*VLOOKUP($D64,Update!$B$2:$R$420,6,False)/VLOOKUP($D64,'NO USAR1'!$A$3:$L$420,9,False))</f>
        <v/>
      </c>
      <c r="L64" s="47" t="str">
        <f>IF($D64="","", 100*VLOOKUP($D64,Update!$B$2:$R$420,9,False))</f>
        <v/>
      </c>
      <c r="M64" s="71" t="str">
        <f>IF($D64="","", VLOOKUP($D64,Update!$B$2:$R$420,16,False))</f>
        <v/>
      </c>
      <c r="N64" s="45" t="str">
        <f>IF($D64="","", VLOOKUP($D64,Update!$B$2:$C$420,2,FALSE))</f>
        <v/>
      </c>
      <c r="O64" s="2"/>
      <c r="P64" s="2"/>
      <c r="Q64" s="2"/>
    </row>
    <row r="65">
      <c r="B65" s="65">
        <f>Team!$B$32</f>
        <v>100</v>
      </c>
      <c r="C65" s="6">
        <v>12.0</v>
      </c>
      <c r="D65" s="73" t="str">
        <f t="array" ref="D65">INDIRECT("Draft!N"&amp;TEXT(15-A53,"0"))</f>
        <v/>
      </c>
      <c r="E65" s="71" t="str">
        <f>IF($D65="","", VLOOKUP($D65,Update!$B$2:$R$420,11,False))</f>
        <v/>
      </c>
      <c r="F65" s="71" t="str">
        <f>IF($D65="","", VLOOKUP($D65,Update!$B$2:$R$420,10,False))</f>
        <v/>
      </c>
      <c r="G65" s="71" t="str">
        <f>IF($D65="","", VLOOKUP($D65,Update!$B$2:$R$420,12,False))</f>
        <v/>
      </c>
      <c r="H65" s="71" t="str">
        <f>IF($D65="","", VLOOKUP($D65,Update!$B$2:$R$420,13,False))</f>
        <v/>
      </c>
      <c r="I65" s="71" t="str">
        <f>IF($D65="","", VLOOKUP($D65,Update!$B$2:$R$420,14,False))</f>
        <v/>
      </c>
      <c r="J65" s="71" t="str">
        <f>IF($D65="","", VLOOKUP($D65,Update!$B$2:$R$420,15,False))</f>
        <v/>
      </c>
      <c r="K65" s="47" t="str">
        <f> IF($D65="","", 100*VLOOKUP($D65,Update!$B$2:$R$420,6,False)/VLOOKUP($D65,'NO USAR1'!$A$3:$L$420,9,False))</f>
        <v/>
      </c>
      <c r="L65" s="47" t="str">
        <f>IF($D65="","", 100*VLOOKUP($D65,Update!$B$2:$R$420,9,False))</f>
        <v/>
      </c>
      <c r="M65" s="71" t="str">
        <f>IF($D65="","", VLOOKUP($D65,Update!$B$2:$R$420,16,False))</f>
        <v/>
      </c>
      <c r="N65" s="45" t="str">
        <f>IF($D65="","", VLOOKUP($D65,Update!$B$2:$C$420,2,FALSE))</f>
        <v/>
      </c>
      <c r="O65" s="2"/>
      <c r="P65" s="2"/>
      <c r="Q65" s="2"/>
    </row>
    <row r="66">
      <c r="B66" s="65">
        <f>Team!$B$33</f>
        <v>100</v>
      </c>
      <c r="C66" s="6">
        <v>13.0</v>
      </c>
      <c r="D66" s="6" t="str">
        <f t="array" ref="D66">INDIRECT("Draft!O"&amp;TEXT(A53+2,"0"))</f>
        <v/>
      </c>
      <c r="E66" s="71" t="str">
        <f>IF($D66="","", VLOOKUP($D66,Update!$B$2:$R$420,11,False))</f>
        <v/>
      </c>
      <c r="F66" s="71" t="str">
        <f>IF($D66="","", VLOOKUP($D66,Update!$B$2:$R$420,10,False))</f>
        <v/>
      </c>
      <c r="G66" s="71" t="str">
        <f>IF($D66="","", VLOOKUP($D66,Update!$B$2:$R$420,12,False))</f>
        <v/>
      </c>
      <c r="H66" s="71" t="str">
        <f>IF($D66="","", VLOOKUP($D66,Update!$B$2:$R$420,13,False))</f>
        <v/>
      </c>
      <c r="I66" s="71" t="str">
        <f>IF($D66="","", VLOOKUP($D66,Update!$B$2:$R$420,14,False))</f>
        <v/>
      </c>
      <c r="J66" s="71" t="str">
        <f>IF($D66="","", VLOOKUP($D66,Update!$B$2:$R$420,15,False))</f>
        <v/>
      </c>
      <c r="K66" s="47" t="str">
        <f> IF($D66="","", 100*VLOOKUP($D66,Update!$B$2:$R$420,6,False)/VLOOKUP($D66,'NO USAR1'!$A$3:$L$420,9,False))</f>
        <v/>
      </c>
      <c r="L66" s="47" t="str">
        <f>IF($D66="","", 100*VLOOKUP($D66,Update!$B$2:$R$420,9,False))</f>
        <v/>
      </c>
      <c r="M66" s="71" t="str">
        <f>IF($D66="","", VLOOKUP($D66,Update!$B$2:$R$420,16,False))</f>
        <v/>
      </c>
      <c r="N66" s="2"/>
      <c r="O66" s="2"/>
      <c r="P66" s="2"/>
      <c r="Q66" s="2"/>
    </row>
    <row r="67">
      <c r="B67" s="65">
        <f>Team!$B$34</f>
        <v>0</v>
      </c>
      <c r="C67" s="6">
        <v>14.0</v>
      </c>
      <c r="D67" s="72" t="str">
        <f t="array" ref="D67">INDIRECT("Draft!P"&amp;TEXT(15-A53,"0"))</f>
        <v/>
      </c>
      <c r="E67" s="71" t="str">
        <f>IF($D67="","", VLOOKUP($D67,Update!$B$2:$R$420,11,False))</f>
        <v/>
      </c>
      <c r="F67" s="71" t="str">
        <f>IF($D67="","", VLOOKUP($D67,Update!$B$2:$R$420,10,False))</f>
        <v/>
      </c>
      <c r="G67" s="71" t="str">
        <f>IF($D67="","", VLOOKUP($D67,Update!$B$2:$R$420,12,False))</f>
        <v/>
      </c>
      <c r="H67" s="71" t="str">
        <f>IF($D67="","", VLOOKUP($D67,Update!$B$2:$R$420,13,False))</f>
        <v/>
      </c>
      <c r="I67" s="71" t="str">
        <f>IF($D67="","", VLOOKUP($D67,Update!$B$2:$R$420,14,False))</f>
        <v/>
      </c>
      <c r="J67" s="71" t="str">
        <f>IF($D67="","", VLOOKUP($D67,Update!$B$2:$R$420,15,False))</f>
        <v/>
      </c>
      <c r="K67" s="47" t="str">
        <f> IF($D67="","", 100*VLOOKUP($D67,Update!$B$2:$R$420,6,False)/VLOOKUP($D67,'NO USAR1'!$A$3:$L$420,9,False))</f>
        <v/>
      </c>
      <c r="L67" s="47" t="str">
        <f>IF($D67="","", 100*VLOOKUP($D67,Update!$B$2:$R$420,9,False))</f>
        <v/>
      </c>
      <c r="M67" s="71" t="str">
        <f>IF($D67="","", VLOOKUP($D67,Update!$B$2:$R$420,16,False))</f>
        <v/>
      </c>
      <c r="N67" s="2"/>
      <c r="O67" s="2"/>
      <c r="P67" s="2"/>
      <c r="Q67" s="2"/>
    </row>
    <row r="68">
      <c r="A68" s="78" t="s">
        <v>81</v>
      </c>
      <c r="D68" s="76" t="s">
        <v>80</v>
      </c>
      <c r="E68" s="47" t="str">
        <f t="shared" ref="E68:J68" si="4">AVERAGE(SUMPRODUCT(E54:E67,$B54:$B67/100))/(SUM(OFFSET($B54,0,0,COUNT(E54:E67)))/100)</f>
        <v>#VALUE!</v>
      </c>
      <c r="F68" s="47" t="str">
        <f t="shared" si="4"/>
        <v>#VALUE!</v>
      </c>
      <c r="G68" s="47" t="str">
        <f t="shared" si="4"/>
        <v>#VALUE!</v>
      </c>
      <c r="H68" s="47" t="str">
        <f t="shared" si="4"/>
        <v>#VALUE!</v>
      </c>
      <c r="I68" s="47" t="str">
        <f t="shared" si="4"/>
        <v>#VALUE!</v>
      </c>
      <c r="J68" s="47" t="str">
        <f t="shared" si="4"/>
        <v>#VALUE!</v>
      </c>
      <c r="K68" s="47" t="str">
        <f t="array" ref="K68">IFERROR(100*SUMPRODUCT(IFERROR(VLOOKUP($D54:$D67,Update!$B:$S,6,False),"")*$B54:$B67/100)/SUMPRODUCT(IFERROR(VLOOKUP($D54:$D67,Update!$B:$S,17,False),"")*$B54:$B67/100),"")</f>
        <v/>
      </c>
      <c r="L68" s="47" t="str">
        <f t="array" ref="L68">IFERROR(100*SUMPRODUCT(IFERROR(VLOOKUP($D54:$D67,Update!$B:$S,8,False),"")*$B54:$B67/100)/SUMPRODUCT(IFERROR(VLOOKUP($D54:$D67,Update!$B:$S,18,False),"")*$B54:$B67/100),"")</f>
        <v/>
      </c>
      <c r="M68" s="47" t="str">
        <f>AVERAGE(SUMPRODUCT(M54:M67,$B54:$B67/100))/(SUM(OFFSET($B54,0,0,COUNT(M54:M67)))/100)</f>
        <v>#VALUE!</v>
      </c>
      <c r="N68" s="2"/>
    </row>
    <row r="69">
      <c r="A69" s="78"/>
      <c r="D69" s="76" t="s">
        <v>84</v>
      </c>
      <c r="E69" s="46" t="str">
        <f>(SUM(OFFSET('All Teams'!$B54,0,0,COUNT('All Teams'!E54:E67)))/100)*('All Teams'!E68-'NO USAR1'!$B$1)/'NO USAR1'!$B$2</f>
        <v>#VALUE!</v>
      </c>
      <c r="F69" s="46" t="str">
        <f>(SUM(OFFSET('All Teams'!$B54,0,0,COUNT('All Teams'!F54:F67)))/100)*('All Teams'!F68-'NO USAR1'!$C$1)/'NO USAR1'!$C$2</f>
        <v>#VALUE!</v>
      </c>
      <c r="G69" s="46" t="str">
        <f>(SUM(OFFSET('All Teams'!$B54,0,0,COUNT('All Teams'!G54:G67)))/100)*('All Teams'!G68-'NO USAR1'!$D$1)/'NO USAR1'!$D$2</f>
        <v>#VALUE!</v>
      </c>
      <c r="H69" s="46" t="str">
        <f>(SUM(OFFSET('All Teams'!$B54,0,0,COUNT('All Teams'!H54:H67)))/100)*('All Teams'!H68-'NO USAR1'!$E$1)/'NO USAR1'!$E$2</f>
        <v>#VALUE!</v>
      </c>
      <c r="I69" s="46" t="str">
        <f>(SUM(OFFSET('All Teams'!$B54,0,0,COUNT('All Teams'!I54:I67)))/100)*('All Teams'!I68-'NO USAR1'!$F$1)/'NO USAR1'!$F$2</f>
        <v>#VALUE!</v>
      </c>
      <c r="J69" s="46" t="str">
        <f>(SUM(OFFSET('All Teams'!$B54,0,0,COUNT('All Teams'!J54:J67)))/100)*('All Teams'!J68-'NO USAR1'!$G$1)/'NO USAR1'!$G$2</f>
        <v>#VALUE!</v>
      </c>
      <c r="K69" s="46">
        <f t="array" ref="K69">SUMPRODUCT(IFERROR(VLOOKUP($D54:$D67,'NO USAR1'!$A$4:$L$403,8,False)*$B54:$B67/100,""))</f>
        <v>0</v>
      </c>
      <c r="L69" s="46">
        <f t="array" ref="L69">SUMPRODUCT(IFERROR(VLOOKUP($D54:$D67,'NO USAR1'!$A$4:$L$403,10,False)*$B54:$B67/100,""))</f>
        <v>0</v>
      </c>
      <c r="M69" s="46" t="str">
        <f>-(SUM(OFFSET('All Teams'!$B54,0,0,COUNT('All Teams'!M54:M67)))/100)*('All Teams'!M68-'NO USAR1'!$L$1)/'NO USAR1'!$L$2</f>
        <v>#VALUE!</v>
      </c>
      <c r="N69" s="2"/>
    </row>
    <row r="70">
      <c r="A70" s="79">
        <v>5.0</v>
      </c>
      <c r="B70" s="4" t="s">
        <v>82</v>
      </c>
      <c r="C70" s="6"/>
      <c r="D70" s="4" t="s">
        <v>83</v>
      </c>
      <c r="E70" s="40" t="s">
        <v>34</v>
      </c>
      <c r="F70" s="40" t="s">
        <v>35</v>
      </c>
      <c r="G70" s="40" t="s">
        <v>36</v>
      </c>
      <c r="H70" s="40" t="s">
        <v>37</v>
      </c>
      <c r="I70" s="40" t="s">
        <v>38</v>
      </c>
      <c r="J70" s="40" t="s">
        <v>61</v>
      </c>
      <c r="K70" s="40" t="s">
        <v>40</v>
      </c>
      <c r="L70" s="40" t="s">
        <v>41</v>
      </c>
      <c r="M70" s="40" t="s">
        <v>42</v>
      </c>
      <c r="N70" s="4" t="s">
        <v>78</v>
      </c>
      <c r="O70" s="4" t="s">
        <v>79</v>
      </c>
      <c r="P70" s="4" t="s">
        <v>78</v>
      </c>
      <c r="Q70" s="69"/>
    </row>
    <row r="71">
      <c r="B71" s="65">
        <f>Team!$B$21</f>
        <v>100</v>
      </c>
      <c r="C71" s="6">
        <v>1.0</v>
      </c>
      <c r="D71" s="6" t="str">
        <f t="array" ref="D71">INDIRECT("Draft!C"&amp;TEXT(A70+2,"0"))</f>
        <v/>
      </c>
      <c r="E71" s="71" t="str">
        <f>IF($D71="","", VLOOKUP($D71,Update!$B$2:$R$420,11,False))</f>
        <v/>
      </c>
      <c r="F71" s="71" t="str">
        <f>IF($D71="","", VLOOKUP($D71,Update!$B$2:$R$420,10,False))</f>
        <v/>
      </c>
      <c r="G71" s="71" t="str">
        <f>IF($D71="","", VLOOKUP($D71,Update!$B$2:$R$420,12,False))</f>
        <v/>
      </c>
      <c r="H71" s="71" t="str">
        <f>IF($D71="","", VLOOKUP($D71,Update!$B$2:$R$420,13,False))</f>
        <v/>
      </c>
      <c r="I71" s="71" t="str">
        <f>IF($D71="","", VLOOKUP($D71,Update!$B$2:$R$420,14,False))</f>
        <v/>
      </c>
      <c r="J71" s="71" t="str">
        <f>IF($D71="","", VLOOKUP($D71,Update!$B$2:$R$420,15,False))</f>
        <v/>
      </c>
      <c r="K71" s="47" t="str">
        <f> IF($D71="","", 100*VLOOKUP($D71,Update!$B$2:$R$420,6,False)/VLOOKUP($D71,'NO USAR1'!$A$3:$L$420,9,False))</f>
        <v/>
      </c>
      <c r="L71" s="47" t="str">
        <f>IF($D71="","", 100*VLOOKUP($D71,Update!$B$2:$R$420,9,False))</f>
        <v/>
      </c>
      <c r="M71" s="71" t="str">
        <f>IF($D71="","", VLOOKUP($D71,Update!$B$2:$R$420,16,False))</f>
        <v/>
      </c>
      <c r="N71" s="45" t="str">
        <f>IF($D71="","", VLOOKUP($D71,Update!$B$2:$C$420,2,FALSE))</f>
        <v/>
      </c>
      <c r="O71" s="45">
        <f t="array" ref="O71">COUNTIF(FIND(P71,$N$21:$N$32),"&gt;0")</f>
        <v>0</v>
      </c>
      <c r="P71" s="6" t="s">
        <v>43</v>
      </c>
      <c r="Q71" s="80"/>
    </row>
    <row r="72">
      <c r="B72" s="65">
        <f>Team!$B$22</f>
        <v>100</v>
      </c>
      <c r="C72" s="6">
        <v>2.0</v>
      </c>
      <c r="D72" s="72" t="str">
        <f t="array" ref="D72">INDIRECT("Draft!D"&amp;TEXT(15-A70,"0"))</f>
        <v/>
      </c>
      <c r="E72" s="71" t="str">
        <f>IF($D72="","", VLOOKUP($D72,Update!$B$2:$R$420,11,False))</f>
        <v/>
      </c>
      <c r="F72" s="71" t="str">
        <f>IF($D72="","", VLOOKUP($D72,Update!$B$2:$R$420,10,False))</f>
        <v/>
      </c>
      <c r="G72" s="71" t="str">
        <f>IF($D72="","", VLOOKUP($D72,Update!$B$2:$R$420,12,False))</f>
        <v/>
      </c>
      <c r="H72" s="71" t="str">
        <f>IF($D72="","", VLOOKUP($D72,Update!$B$2:$R$420,13,False))</f>
        <v/>
      </c>
      <c r="I72" s="71" t="str">
        <f>IF($D72="","", VLOOKUP($D72,Update!$B$2:$R$420,14,False))</f>
        <v/>
      </c>
      <c r="J72" s="71" t="str">
        <f>IF($D72="","", VLOOKUP($D72,Update!$B$2:$R$420,15,False))</f>
        <v/>
      </c>
      <c r="K72" s="47" t="str">
        <f> IF($D72="","", 100*VLOOKUP($D72,Update!$B$2:$R$420,6,False)/VLOOKUP($D72,'NO USAR1'!$A$3:$L$420,9,False))</f>
        <v/>
      </c>
      <c r="L72" s="47" t="str">
        <f>IF($D72="","", 100*VLOOKUP($D72,Update!$B$2:$R$420,9,False))</f>
        <v/>
      </c>
      <c r="M72" s="71" t="str">
        <f>IF($D72="","", VLOOKUP($D72,Update!$B$2:$R$420,16,False))</f>
        <v/>
      </c>
      <c r="N72" s="45" t="str">
        <f>IF($D72="","", VLOOKUP($D72,Update!$B$2:$C$420,2,FALSE))</f>
        <v/>
      </c>
      <c r="O72" s="45">
        <f t="array" ref="O72">COUNTIF(FIND(P72,$N$21:$N$32),"&gt;0")</f>
        <v>0</v>
      </c>
      <c r="P72" s="6" t="s">
        <v>44</v>
      </c>
      <c r="Q72" s="80"/>
    </row>
    <row r="73">
      <c r="B73" s="65">
        <f>Team!$B$23</f>
        <v>100</v>
      </c>
      <c r="C73" s="6">
        <v>3.0</v>
      </c>
      <c r="D73" s="7" t="str">
        <f t="array" ref="D73">INDIRECT("Draft!E"&amp;TEXT(A70+2,"0"))</f>
        <v/>
      </c>
      <c r="E73" s="71" t="str">
        <f>IF($D73="","", VLOOKUP($D73,Update!$B$2:$R$420,11,False))</f>
        <v/>
      </c>
      <c r="F73" s="71" t="str">
        <f>IF($D73="","", VLOOKUP($D73,Update!$B$2:$R$420,10,False))</f>
        <v/>
      </c>
      <c r="G73" s="71" t="str">
        <f>IF($D73="","", VLOOKUP($D73,Update!$B$2:$R$420,12,False))</f>
        <v/>
      </c>
      <c r="H73" s="71" t="str">
        <f>IF($D73="","", VLOOKUP($D73,Update!$B$2:$R$420,13,False))</f>
        <v/>
      </c>
      <c r="I73" s="71" t="str">
        <f>IF($D73="","", VLOOKUP($D73,Update!$B$2:$R$420,14,False))</f>
        <v/>
      </c>
      <c r="J73" s="71" t="str">
        <f>IF($D73="","", VLOOKUP($D73,Update!$B$2:$R$420,15,False))</f>
        <v/>
      </c>
      <c r="K73" s="47" t="str">
        <f> IF($D73="","", 100*VLOOKUP($D73,Update!$B$2:$R$420,6,False)/VLOOKUP($D73,'NO USAR1'!$A$3:$L$420,9,False))</f>
        <v/>
      </c>
      <c r="L73" s="47" t="str">
        <f>IF($D73="","", 100*VLOOKUP($D73,Update!$B$2:$R$420,9,False))</f>
        <v/>
      </c>
      <c r="M73" s="71" t="str">
        <f>IF($D73="","", VLOOKUP($D73,Update!$B$2:$R$420,16,False))</f>
        <v/>
      </c>
      <c r="N73" s="45" t="str">
        <f>IF($D73="","", VLOOKUP($D73,Update!$B$2:$C$420,2,FALSE))</f>
        <v/>
      </c>
      <c r="O73" s="45">
        <f t="array" ref="O73">COUNTIF(FIND(P73,$N$21:$N$32),"&gt;0")</f>
        <v>0</v>
      </c>
      <c r="P73" s="6" t="s">
        <v>45</v>
      </c>
      <c r="Q73" s="80"/>
    </row>
    <row r="74">
      <c r="B74" s="65">
        <f>Team!$B$24</f>
        <v>100</v>
      </c>
      <c r="C74" s="6">
        <v>4.0</v>
      </c>
      <c r="D74" s="73" t="str">
        <f t="array" ref="D74">INDIRECT("Draft!F"&amp;TEXT(15-A70,"0"))</f>
        <v/>
      </c>
      <c r="E74" s="71" t="str">
        <f>IF($D74="","", VLOOKUP($D74,Update!$B$2:$R$420,11,False))</f>
        <v/>
      </c>
      <c r="F74" s="71" t="str">
        <f>IF($D74="","", VLOOKUP($D74,Update!$B$2:$R$420,10,False))</f>
        <v/>
      </c>
      <c r="G74" s="71" t="str">
        <f>IF($D74="","", VLOOKUP($D74,Update!$B$2:$R$420,12,False))</f>
        <v/>
      </c>
      <c r="H74" s="71" t="str">
        <f>IF($D74="","", VLOOKUP($D74,Update!$B$2:$R$420,13,False))</f>
        <v/>
      </c>
      <c r="I74" s="71" t="str">
        <f>IF($D74="","", VLOOKUP($D74,Update!$B$2:$R$420,14,False))</f>
        <v/>
      </c>
      <c r="J74" s="71" t="str">
        <f>IF($D74="","", VLOOKUP($D74,Update!$B$2:$R$420,15,False))</f>
        <v/>
      </c>
      <c r="K74" s="47" t="str">
        <f> IF($D74="","", 100*VLOOKUP($D74,Update!$B$2:$R$420,6,False)/VLOOKUP($D74,'NO USAR1'!$A$3:$L$420,9,False))</f>
        <v/>
      </c>
      <c r="L74" s="47" t="str">
        <f>IF($D74="","", 100*VLOOKUP($D74,Update!$B$2:$R$420,9,False))</f>
        <v/>
      </c>
      <c r="M74" s="71" t="str">
        <f>IF($D74="","", VLOOKUP($D74,Update!$B$2:$R$420,16,False))</f>
        <v/>
      </c>
      <c r="N74" s="45" t="str">
        <f>IF($D74="","", VLOOKUP($D74,Update!$B$2:$C$420,2,FALSE))</f>
        <v/>
      </c>
      <c r="O74" s="45">
        <f t="array" ref="O74">COUNTIF(FIND(P74,$N$21:$N$32),"&gt;0")</f>
        <v>0</v>
      </c>
      <c r="P74" s="6" t="s">
        <v>46</v>
      </c>
      <c r="Q74" s="80"/>
    </row>
    <row r="75">
      <c r="B75" s="65">
        <f>Team!$B$25</f>
        <v>100</v>
      </c>
      <c r="C75" s="6">
        <v>5.0</v>
      </c>
      <c r="D75" s="7" t="str">
        <f t="array" ref="D75">INDIRECT("Draft!G"&amp;TEXT(A70+2,"0"))</f>
        <v/>
      </c>
      <c r="E75" s="71" t="str">
        <f>IF($D75="","", VLOOKUP($D75,Update!$B$2:$R$420,11,False))</f>
        <v/>
      </c>
      <c r="F75" s="71" t="str">
        <f>IF($D75="","", VLOOKUP($D75,Update!$B$2:$R$420,10,False))</f>
        <v/>
      </c>
      <c r="G75" s="71" t="str">
        <f>IF($D75="","", VLOOKUP($D75,Update!$B$2:$R$420,12,False))</f>
        <v/>
      </c>
      <c r="H75" s="71" t="str">
        <f>IF($D75="","", VLOOKUP($D75,Update!$B$2:$R$420,13,False))</f>
        <v/>
      </c>
      <c r="I75" s="71" t="str">
        <f>IF($D75="","", VLOOKUP($D75,Update!$B$2:$R$420,14,False))</f>
        <v/>
      </c>
      <c r="J75" s="71" t="str">
        <f>IF($D75="","", VLOOKUP($D75,Update!$B$2:$R$420,15,False))</f>
        <v/>
      </c>
      <c r="K75" s="47" t="str">
        <f> IF($D75="","", 100*VLOOKUP($D75,Update!$B$2:$R$420,6,False)/VLOOKUP($D75,'NO USAR1'!$A$3:$L$420,9,False))</f>
        <v/>
      </c>
      <c r="L75" s="47" t="str">
        <f>IF($D75="","", 100*VLOOKUP($D75,Update!$B$2:$R$420,9,False))</f>
        <v/>
      </c>
      <c r="M75" s="71" t="str">
        <f>IF($D75="","", VLOOKUP($D75,Update!$B$2:$R$420,16,False))</f>
        <v/>
      </c>
      <c r="N75" s="45" t="str">
        <f>IF($D75="","", VLOOKUP($D75,Update!$B$2:$C$420,2,FALSE))</f>
        <v/>
      </c>
      <c r="O75" s="45">
        <f t="array" ref="O75">COUNTIF(FIND(P75,$N$21:$N$32),"&gt;0")</f>
        <v>0</v>
      </c>
      <c r="P75" s="6" t="s">
        <v>47</v>
      </c>
      <c r="Q75" s="80"/>
    </row>
    <row r="76">
      <c r="B76" s="65">
        <f>Team!$B$26</f>
        <v>100</v>
      </c>
      <c r="C76" s="6">
        <v>6.0</v>
      </c>
      <c r="D76" s="73" t="str">
        <f t="array" ref="D76">INDIRECT("Draft!H"&amp;TEXT(15-A70,"0"))</f>
        <v/>
      </c>
      <c r="E76" s="71" t="str">
        <f>IF($D76="","", VLOOKUP($D76,Update!$B$2:$R$420,11,False))</f>
        <v/>
      </c>
      <c r="F76" s="71" t="str">
        <f>IF($D76="","", VLOOKUP($D76,Update!$B$2:$R$420,10,False))</f>
        <v/>
      </c>
      <c r="G76" s="71" t="str">
        <f>IF($D76="","", VLOOKUP($D76,Update!$B$2:$R$420,12,False))</f>
        <v/>
      </c>
      <c r="H76" s="71" t="str">
        <f>IF($D76="","", VLOOKUP($D76,Update!$B$2:$R$420,13,False))</f>
        <v/>
      </c>
      <c r="I76" s="71" t="str">
        <f>IF($D76="","", VLOOKUP($D76,Update!$B$2:$R$420,14,False))</f>
        <v/>
      </c>
      <c r="J76" s="71" t="str">
        <f>IF($D76="","", VLOOKUP($D76,Update!$B$2:$R$420,15,False))</f>
        <v/>
      </c>
      <c r="K76" s="47" t="str">
        <f> IF($D76="","", 100*VLOOKUP($D76,Update!$B$2:$R$420,6,False)/VLOOKUP($D76,'NO USAR1'!$A$3:$L$420,9,False))</f>
        <v/>
      </c>
      <c r="L76" s="47" t="str">
        <f>IF($D76="","", 100*VLOOKUP($D76,Update!$B$2:$R$420,9,False))</f>
        <v/>
      </c>
      <c r="M76" s="71" t="str">
        <f>IF($D76="","", VLOOKUP($D76,Update!$B$2:$R$420,16,False))</f>
        <v/>
      </c>
      <c r="N76" s="45" t="str">
        <f>IF($D76="","", VLOOKUP($D76,Update!$B$2:$C$420,2,FALSE))</f>
        <v/>
      </c>
      <c r="O76" s="2"/>
      <c r="P76" s="2"/>
      <c r="Q76" s="2"/>
    </row>
    <row r="77">
      <c r="B77" s="65">
        <f>Team!$B$27</f>
        <v>100</v>
      </c>
      <c r="C77" s="6">
        <v>7.0</v>
      </c>
      <c r="D77" s="7" t="str">
        <f t="array" ref="D77">INDIRECT("Draft!I"&amp;TEXT(A70+2,"0"))</f>
        <v/>
      </c>
      <c r="E77" s="71" t="str">
        <f>IF($D77="","", VLOOKUP($D77,Update!$B$2:$R$420,11,False))</f>
        <v/>
      </c>
      <c r="F77" s="71" t="str">
        <f>IF($D77="","", VLOOKUP($D77,Update!$B$2:$R$420,10,False))</f>
        <v/>
      </c>
      <c r="G77" s="71" t="str">
        <f>IF($D77="","", VLOOKUP($D77,Update!$B$2:$R$420,12,False))</f>
        <v/>
      </c>
      <c r="H77" s="71" t="str">
        <f>IF($D77="","", VLOOKUP($D77,Update!$B$2:$R$420,13,False))</f>
        <v/>
      </c>
      <c r="I77" s="71" t="str">
        <f>IF($D77="","", VLOOKUP($D77,Update!$B$2:$R$420,14,False))</f>
        <v/>
      </c>
      <c r="J77" s="71" t="str">
        <f>IF($D77="","", VLOOKUP($D77,Update!$B$2:$R$420,15,False))</f>
        <v/>
      </c>
      <c r="K77" s="47" t="str">
        <f> IF($D77="","", 100*VLOOKUP($D77,Update!$B$2:$R$420,6,False)/VLOOKUP($D77,'NO USAR1'!$A$3:$L$420,9,False))</f>
        <v/>
      </c>
      <c r="L77" s="47" t="str">
        <f>IF($D77="","", 100*VLOOKUP($D77,Update!$B$2:$R$420,9,False))</f>
        <v/>
      </c>
      <c r="M77" s="71" t="str">
        <f>IF($D77="","", VLOOKUP($D77,Update!$B$2:$R$420,16,False))</f>
        <v/>
      </c>
      <c r="N77" s="45" t="str">
        <f>IF($D77="","", VLOOKUP($D77,Update!$B$2:$C$420,2,FALSE))</f>
        <v/>
      </c>
      <c r="O77" s="2"/>
      <c r="P77" s="2"/>
      <c r="Q77" s="2"/>
    </row>
    <row r="78">
      <c r="B78" s="65">
        <f>Team!$B$28</f>
        <v>100</v>
      </c>
      <c r="C78" s="6">
        <v>8.0</v>
      </c>
      <c r="D78" s="73" t="str">
        <f t="array" ref="D78">INDIRECT("Draft!J"&amp;TEXT(15-A70,"0"))</f>
        <v/>
      </c>
      <c r="E78" s="71" t="str">
        <f>IF($D78="","", VLOOKUP($D78,Update!$B$2:$R$420,11,False))</f>
        <v/>
      </c>
      <c r="F78" s="71" t="str">
        <f>IF($D78="","", VLOOKUP($D78,Update!$B$2:$R$420,10,False))</f>
        <v/>
      </c>
      <c r="G78" s="71" t="str">
        <f>IF($D78="","", VLOOKUP($D78,Update!$B$2:$R$420,12,False))</f>
        <v/>
      </c>
      <c r="H78" s="71" t="str">
        <f>IF($D78="","", VLOOKUP($D78,Update!$B$2:$R$420,13,False))</f>
        <v/>
      </c>
      <c r="I78" s="71" t="str">
        <f>IF($D78="","", VLOOKUP($D78,Update!$B$2:$R$420,14,False))</f>
        <v/>
      </c>
      <c r="J78" s="71" t="str">
        <f>IF($D78="","", VLOOKUP($D78,Update!$B$2:$R$420,15,False))</f>
        <v/>
      </c>
      <c r="K78" s="47" t="str">
        <f> IF($D78="","", 100*VLOOKUP($D78,Update!$B$2:$R$420,6,False)/VLOOKUP($D78,'NO USAR1'!$A$3:$L$420,9,False))</f>
        <v/>
      </c>
      <c r="L78" s="47" t="str">
        <f>IF($D78="","", 100*VLOOKUP($D78,Update!$B$2:$R$420,9,False))</f>
        <v/>
      </c>
      <c r="M78" s="71" t="str">
        <f>IF($D78="","", VLOOKUP($D78,Update!$B$2:$R$420,16,False))</f>
        <v/>
      </c>
      <c r="N78" s="45" t="str">
        <f>IF($D78="","", VLOOKUP($D78,Update!$B$2:$C$420,2,FALSE))</f>
        <v/>
      </c>
      <c r="O78" s="2"/>
      <c r="P78" s="2"/>
      <c r="Q78" s="2"/>
    </row>
    <row r="79">
      <c r="B79" s="65">
        <f>Team!$B$29</f>
        <v>100</v>
      </c>
      <c r="C79" s="6">
        <v>9.0</v>
      </c>
      <c r="D79" s="7" t="str">
        <f t="array" ref="D79">INDIRECT("Draft!K"&amp;TEXT(A70+2,"0"))</f>
        <v/>
      </c>
      <c r="E79" s="71" t="str">
        <f>IF($D79="","", VLOOKUP($D79,Update!$B$2:$R$420,11,False))</f>
        <v/>
      </c>
      <c r="F79" s="71" t="str">
        <f>IF($D79="","", VLOOKUP($D79,Update!$B$2:$R$420,10,False))</f>
        <v/>
      </c>
      <c r="G79" s="71" t="str">
        <f>IF($D79="","", VLOOKUP($D79,Update!$B$2:$R$420,12,False))</f>
        <v/>
      </c>
      <c r="H79" s="71" t="str">
        <f>IF($D79="","", VLOOKUP($D79,Update!$B$2:$R$420,13,False))</f>
        <v/>
      </c>
      <c r="I79" s="71" t="str">
        <f>IF($D79="","", VLOOKUP($D79,Update!$B$2:$R$420,14,False))</f>
        <v/>
      </c>
      <c r="J79" s="71" t="str">
        <f>IF($D79="","", VLOOKUP($D79,Update!$B$2:$R$420,15,False))</f>
        <v/>
      </c>
      <c r="K79" s="47" t="str">
        <f> IF($D79="","", 100*VLOOKUP($D79,Update!$B$2:$R$420,6,False)/VLOOKUP($D79,'NO USAR1'!$A$3:$L$420,9,False))</f>
        <v/>
      </c>
      <c r="L79" s="47" t="str">
        <f>IF($D79="","", 100*VLOOKUP($D79,Update!$B$2:$R$420,9,False))</f>
        <v/>
      </c>
      <c r="M79" s="71" t="str">
        <f>IF($D79="","", VLOOKUP($D79,Update!$B$2:$R$420,16,False))</f>
        <v/>
      </c>
      <c r="N79" s="45" t="str">
        <f>IF($D79="","", VLOOKUP($D79,Update!$B$2:$C$420,2,FALSE))</f>
        <v/>
      </c>
      <c r="O79" s="2"/>
      <c r="P79" s="2"/>
      <c r="Q79" s="2"/>
    </row>
    <row r="80">
      <c r="B80" s="65">
        <f>Team!$B$30</f>
        <v>100</v>
      </c>
      <c r="C80" s="6">
        <v>10.0</v>
      </c>
      <c r="D80" s="73" t="str">
        <f t="array" ref="D80">INDIRECT("Draft!L"&amp;TEXT(15-A70,"0"))</f>
        <v/>
      </c>
      <c r="E80" s="71" t="str">
        <f>IF($D80="","", VLOOKUP($D80,Update!$B$2:$R$420,11,False))</f>
        <v/>
      </c>
      <c r="F80" s="71" t="str">
        <f>IF($D80="","", VLOOKUP($D80,Update!$B$2:$R$420,10,False))</f>
        <v/>
      </c>
      <c r="G80" s="71" t="str">
        <f>IF($D80="","", VLOOKUP($D80,Update!$B$2:$R$420,12,False))</f>
        <v/>
      </c>
      <c r="H80" s="71" t="str">
        <f>IF($D80="","", VLOOKUP($D80,Update!$B$2:$R$420,13,False))</f>
        <v/>
      </c>
      <c r="I80" s="71" t="str">
        <f>IF($D80="","", VLOOKUP($D80,Update!$B$2:$R$420,14,False))</f>
        <v/>
      </c>
      <c r="J80" s="71" t="str">
        <f>IF($D80="","", VLOOKUP($D80,Update!$B$2:$R$420,15,False))</f>
        <v/>
      </c>
      <c r="K80" s="47" t="str">
        <f> IF($D80="","", 100*VLOOKUP($D80,Update!$B$2:$R$420,6,False)/VLOOKUP($D80,'NO USAR1'!$A$3:$L$420,9,False))</f>
        <v/>
      </c>
      <c r="L80" s="47" t="str">
        <f>IF($D80="","", 100*VLOOKUP($D80,Update!$B$2:$R$420,9,False))</f>
        <v/>
      </c>
      <c r="M80" s="71" t="str">
        <f>IF($D80="","", VLOOKUP($D80,Update!$B$2:$R$420,16,False))</f>
        <v/>
      </c>
      <c r="N80" s="45" t="str">
        <f>IF($D80="","", VLOOKUP($D80,Update!$B$2:$C$420,2,FALSE))</f>
        <v/>
      </c>
      <c r="O80" s="2"/>
      <c r="P80" s="2"/>
      <c r="Q80" s="2"/>
    </row>
    <row r="81">
      <c r="B81" s="65">
        <f>Team!$B$31</f>
        <v>100</v>
      </c>
      <c r="C81" s="6">
        <v>11.0</v>
      </c>
      <c r="D81" s="7" t="str">
        <f t="array" ref="D81">INDIRECT("Draft!M"&amp;TEXT(A70+2,"0"))</f>
        <v/>
      </c>
      <c r="E81" s="71" t="str">
        <f>IF($D81="","", VLOOKUP($D81,Update!$B$2:$R$420,11,False))</f>
        <v/>
      </c>
      <c r="F81" s="71" t="str">
        <f>IF($D81="","", VLOOKUP($D81,Update!$B$2:$R$420,10,False))</f>
        <v/>
      </c>
      <c r="G81" s="71" t="str">
        <f>IF($D81="","", VLOOKUP($D81,Update!$B$2:$R$420,12,False))</f>
        <v/>
      </c>
      <c r="H81" s="71" t="str">
        <f>IF($D81="","", VLOOKUP($D81,Update!$B$2:$R$420,13,False))</f>
        <v/>
      </c>
      <c r="I81" s="71" t="str">
        <f>IF($D81="","", VLOOKUP($D81,Update!$B$2:$R$420,14,False))</f>
        <v/>
      </c>
      <c r="J81" s="71" t="str">
        <f>IF($D81="","", VLOOKUP($D81,Update!$B$2:$R$420,15,False))</f>
        <v/>
      </c>
      <c r="K81" s="47" t="str">
        <f> IF($D81="","", 100*VLOOKUP($D81,Update!$B$2:$R$420,6,False)/VLOOKUP($D81,'NO USAR1'!$A$3:$L$420,9,False))</f>
        <v/>
      </c>
      <c r="L81" s="47" t="str">
        <f>IF($D81="","", 100*VLOOKUP($D81,Update!$B$2:$R$420,9,False))</f>
        <v/>
      </c>
      <c r="M81" s="71" t="str">
        <f>IF($D81="","", VLOOKUP($D81,Update!$B$2:$R$420,16,False))</f>
        <v/>
      </c>
      <c r="N81" s="45" t="str">
        <f>IF($D81="","", VLOOKUP($D81,Update!$B$2:$C$420,2,FALSE))</f>
        <v/>
      </c>
      <c r="O81" s="2"/>
      <c r="P81" s="2"/>
      <c r="Q81" s="2"/>
    </row>
    <row r="82">
      <c r="B82" s="65">
        <f>Team!$B$32</f>
        <v>100</v>
      </c>
      <c r="C82" s="6">
        <v>12.0</v>
      </c>
      <c r="D82" s="73" t="str">
        <f t="array" ref="D82">INDIRECT("Draft!N"&amp;TEXT(15-A70,"0"))</f>
        <v/>
      </c>
      <c r="E82" s="71" t="str">
        <f>IF($D82="","", VLOOKUP($D82,Update!$B$2:$R$420,11,False))</f>
        <v/>
      </c>
      <c r="F82" s="71" t="str">
        <f>IF($D82="","", VLOOKUP($D82,Update!$B$2:$R$420,10,False))</f>
        <v/>
      </c>
      <c r="G82" s="71" t="str">
        <f>IF($D82="","", VLOOKUP($D82,Update!$B$2:$R$420,12,False))</f>
        <v/>
      </c>
      <c r="H82" s="71" t="str">
        <f>IF($D82="","", VLOOKUP($D82,Update!$B$2:$R$420,13,False))</f>
        <v/>
      </c>
      <c r="I82" s="71" t="str">
        <f>IF($D82="","", VLOOKUP($D82,Update!$B$2:$R$420,14,False))</f>
        <v/>
      </c>
      <c r="J82" s="71" t="str">
        <f>IF($D82="","", VLOOKUP($D82,Update!$B$2:$R$420,15,False))</f>
        <v/>
      </c>
      <c r="K82" s="47" t="str">
        <f> IF($D82="","", 100*VLOOKUP($D82,Update!$B$2:$R$420,6,False)/VLOOKUP($D82,'NO USAR1'!$A$3:$L$420,9,False))</f>
        <v/>
      </c>
      <c r="L82" s="47" t="str">
        <f>IF($D82="","", 100*VLOOKUP($D82,Update!$B$2:$R$420,9,False))</f>
        <v/>
      </c>
      <c r="M82" s="71" t="str">
        <f>IF($D82="","", VLOOKUP($D82,Update!$B$2:$R$420,16,False))</f>
        <v/>
      </c>
      <c r="N82" s="45" t="str">
        <f>IF($D82="","", VLOOKUP($D82,Update!$B$2:$C$420,2,FALSE))</f>
        <v/>
      </c>
      <c r="O82" s="2"/>
      <c r="P82" s="2"/>
      <c r="Q82" s="2"/>
    </row>
    <row r="83">
      <c r="B83" s="65">
        <f>Team!$B$33</f>
        <v>100</v>
      </c>
      <c r="C83" s="6">
        <v>13.0</v>
      </c>
      <c r="D83" s="6" t="str">
        <f t="array" ref="D83">INDIRECT("Draft!O"&amp;TEXT(A70+2,"0"))</f>
        <v/>
      </c>
      <c r="E83" s="71" t="str">
        <f>IF($D83="","", VLOOKUP($D83,Update!$B$2:$R$420,11,False))</f>
        <v/>
      </c>
      <c r="F83" s="71" t="str">
        <f>IF($D83="","", VLOOKUP($D83,Update!$B$2:$R$420,10,False))</f>
        <v/>
      </c>
      <c r="G83" s="71" t="str">
        <f>IF($D83="","", VLOOKUP($D83,Update!$B$2:$R$420,12,False))</f>
        <v/>
      </c>
      <c r="H83" s="71" t="str">
        <f>IF($D83="","", VLOOKUP($D83,Update!$B$2:$R$420,13,False))</f>
        <v/>
      </c>
      <c r="I83" s="71" t="str">
        <f>IF($D83="","", VLOOKUP($D83,Update!$B$2:$R$420,14,False))</f>
        <v/>
      </c>
      <c r="J83" s="71" t="str">
        <f>IF($D83="","", VLOOKUP($D83,Update!$B$2:$R$420,15,False))</f>
        <v/>
      </c>
      <c r="K83" s="47" t="str">
        <f> IF($D83="","", 100*VLOOKUP($D83,Update!$B$2:$R$420,6,False)/VLOOKUP($D83,'NO USAR1'!$A$3:$L$420,9,False))</f>
        <v/>
      </c>
      <c r="L83" s="47" t="str">
        <f>IF($D83="","", 100*VLOOKUP($D83,Update!$B$2:$R$420,9,False))</f>
        <v/>
      </c>
      <c r="M83" s="71" t="str">
        <f>IF($D83="","", VLOOKUP($D83,Update!$B$2:$R$420,16,False))</f>
        <v/>
      </c>
      <c r="N83" s="2"/>
      <c r="O83" s="2"/>
      <c r="P83" s="2"/>
      <c r="Q83" s="2"/>
    </row>
    <row r="84">
      <c r="B84" s="65">
        <f>Team!$B$34</f>
        <v>0</v>
      </c>
      <c r="C84" s="6">
        <v>14.0</v>
      </c>
      <c r="D84" s="72" t="str">
        <f t="array" ref="D84">INDIRECT("Draft!P"&amp;TEXT(15-A70,"0"))</f>
        <v/>
      </c>
      <c r="E84" s="71" t="str">
        <f>IF($D84="","", VLOOKUP($D84,Update!$B$2:$R$420,11,False))</f>
        <v/>
      </c>
      <c r="F84" s="71" t="str">
        <f>IF($D84="","", VLOOKUP($D84,Update!$B$2:$R$420,10,False))</f>
        <v/>
      </c>
      <c r="G84" s="71" t="str">
        <f>IF($D84="","", VLOOKUP($D84,Update!$B$2:$R$420,12,False))</f>
        <v/>
      </c>
      <c r="H84" s="71" t="str">
        <f>IF($D84="","", VLOOKUP($D84,Update!$B$2:$R$420,13,False))</f>
        <v/>
      </c>
      <c r="I84" s="71" t="str">
        <f>IF($D84="","", VLOOKUP($D84,Update!$B$2:$R$420,14,False))</f>
        <v/>
      </c>
      <c r="J84" s="71" t="str">
        <f>IF($D84="","", VLOOKUP($D84,Update!$B$2:$R$420,15,False))</f>
        <v/>
      </c>
      <c r="K84" s="47" t="str">
        <f> IF($D84="","", 100*VLOOKUP($D84,Update!$B$2:$R$420,6,False)/VLOOKUP($D84,'NO USAR1'!$A$3:$L$420,9,False))</f>
        <v/>
      </c>
      <c r="L84" s="47" t="str">
        <f>IF($D84="","", 100*VLOOKUP($D84,Update!$B$2:$R$420,9,False))</f>
        <v/>
      </c>
      <c r="M84" s="71" t="str">
        <f>IF($D84="","", VLOOKUP($D84,Update!$B$2:$R$420,16,False))</f>
        <v/>
      </c>
      <c r="N84" s="2"/>
      <c r="O84" s="2"/>
      <c r="P84" s="2"/>
      <c r="Q84" s="2"/>
    </row>
    <row r="85">
      <c r="A85" s="78" t="s">
        <v>81</v>
      </c>
      <c r="D85" s="76" t="s">
        <v>80</v>
      </c>
      <c r="E85" s="47" t="str">
        <f t="shared" ref="E85:J85" si="5">AVERAGE(SUMPRODUCT(E71:E84,$B71:$B84/100))/(SUM(OFFSET($B71,0,0,COUNT(E71:E84)))/100)</f>
        <v>#VALUE!</v>
      </c>
      <c r="F85" s="47" t="str">
        <f t="shared" si="5"/>
        <v>#VALUE!</v>
      </c>
      <c r="G85" s="47" t="str">
        <f t="shared" si="5"/>
        <v>#VALUE!</v>
      </c>
      <c r="H85" s="47" t="str">
        <f t="shared" si="5"/>
        <v>#VALUE!</v>
      </c>
      <c r="I85" s="47" t="str">
        <f t="shared" si="5"/>
        <v>#VALUE!</v>
      </c>
      <c r="J85" s="47" t="str">
        <f t="shared" si="5"/>
        <v>#VALUE!</v>
      </c>
      <c r="K85" s="47" t="str">
        <f t="array" ref="K85">IFERROR(100*SUMPRODUCT(IFERROR(VLOOKUP($D71:$D84,Update!$B:$S,6,False),"")*$B71:$B84/100)/SUMPRODUCT(IFERROR(VLOOKUP($D71:$D84,Update!$B:$S,17,False),"")*$B71:$B84/100),"")</f>
        <v/>
      </c>
      <c r="L85" s="47" t="str">
        <f t="array" ref="L85">IFERROR(100*SUMPRODUCT(IFERROR(VLOOKUP($D71:$D84,Update!$B:$S,8,False),"")*$B71:$B84/100)/SUMPRODUCT(IFERROR(VLOOKUP($D71:$D84,Update!$B:$S,18,False),"")*$B71:$B84/100),"")</f>
        <v/>
      </c>
      <c r="M85" s="47" t="str">
        <f>AVERAGE(SUMPRODUCT(M71:M84,$B71:$B84/100))/(SUM(OFFSET($B71,0,0,COUNT(M71:M84)))/100)</f>
        <v>#VALUE!</v>
      </c>
      <c r="N85" s="2"/>
    </row>
    <row r="86">
      <c r="A86" s="78"/>
      <c r="D86" s="76" t="s">
        <v>84</v>
      </c>
      <c r="E86" s="46" t="str">
        <f>(SUM(OFFSET('All Teams'!$B71,0,0,COUNT('All Teams'!E71:E84)))/100)*('All Teams'!E85-'NO USAR1'!$B$1)/'NO USAR1'!$B$2</f>
        <v>#VALUE!</v>
      </c>
      <c r="F86" s="46" t="str">
        <f>(SUM(OFFSET('All Teams'!$B71,0,0,COUNT('All Teams'!F71:F84)))/100)*('All Teams'!F85-'NO USAR1'!$C$1)/'NO USAR1'!$C$2</f>
        <v>#VALUE!</v>
      </c>
      <c r="G86" s="46" t="str">
        <f>(SUM(OFFSET('All Teams'!$B71,0,0,COUNT('All Teams'!G71:G84)))/100)*('All Teams'!G85-'NO USAR1'!$D$1)/'NO USAR1'!$D$2</f>
        <v>#VALUE!</v>
      </c>
      <c r="H86" s="46" t="str">
        <f>(SUM(OFFSET('All Teams'!$B71,0,0,COUNT('All Teams'!H71:H84)))/100)*('All Teams'!H85-'NO USAR1'!$E$1)/'NO USAR1'!$E$2</f>
        <v>#VALUE!</v>
      </c>
      <c r="I86" s="46" t="str">
        <f>(SUM(OFFSET('All Teams'!$B71,0,0,COUNT('All Teams'!I71:I84)))/100)*('All Teams'!I85-'NO USAR1'!$F$1)/'NO USAR1'!$F$2</f>
        <v>#VALUE!</v>
      </c>
      <c r="J86" s="46" t="str">
        <f>(SUM(OFFSET('All Teams'!$B71,0,0,COUNT('All Teams'!J71:J84)))/100)*('All Teams'!J85-'NO USAR1'!$G$1)/'NO USAR1'!$G$2</f>
        <v>#VALUE!</v>
      </c>
      <c r="K86" s="46">
        <f t="array" ref="K86">SUMPRODUCT(IFERROR(VLOOKUP($D71:$D84,'NO USAR1'!$A$4:$L$403,8,False)*$B71:$B84/100,""))</f>
        <v>0</v>
      </c>
      <c r="L86" s="46">
        <f t="array" ref="L86">SUMPRODUCT(IFERROR(VLOOKUP($D71:$D84,'NO USAR1'!$A$4:$L$403,10,False)*$B71:$B84/100,""))</f>
        <v>0</v>
      </c>
      <c r="M86" s="46" t="str">
        <f>-(SUM(OFFSET('All Teams'!$B71,0,0,COUNT('All Teams'!M71:M84)))/100)*('All Teams'!M85-'NO USAR1'!$L$1)/'NO USAR1'!$L$2</f>
        <v>#VALUE!</v>
      </c>
      <c r="N86" s="2"/>
    </row>
    <row r="87">
      <c r="A87" s="79">
        <v>6.0</v>
      </c>
      <c r="B87" s="4" t="s">
        <v>82</v>
      </c>
      <c r="C87" s="6"/>
      <c r="D87" s="4" t="s">
        <v>83</v>
      </c>
      <c r="E87" s="40" t="s">
        <v>34</v>
      </c>
      <c r="F87" s="40" t="s">
        <v>35</v>
      </c>
      <c r="G87" s="40" t="s">
        <v>36</v>
      </c>
      <c r="H87" s="40" t="s">
        <v>37</v>
      </c>
      <c r="I87" s="40" t="s">
        <v>38</v>
      </c>
      <c r="J87" s="40" t="s">
        <v>61</v>
      </c>
      <c r="K87" s="40" t="s">
        <v>40</v>
      </c>
      <c r="L87" s="40" t="s">
        <v>41</v>
      </c>
      <c r="M87" s="40" t="s">
        <v>42</v>
      </c>
      <c r="N87" s="4" t="s">
        <v>78</v>
      </c>
      <c r="O87" s="4" t="s">
        <v>79</v>
      </c>
      <c r="P87" s="4" t="s">
        <v>78</v>
      </c>
      <c r="Q87" s="69"/>
    </row>
    <row r="88">
      <c r="B88" s="65">
        <f>Team!$B$21</f>
        <v>100</v>
      </c>
      <c r="C88" s="6">
        <v>1.0</v>
      </c>
      <c r="D88" s="6" t="str">
        <f t="array" ref="D88">INDIRECT("Draft!C"&amp;TEXT(A87+2,"0"))</f>
        <v/>
      </c>
      <c r="E88" s="71" t="str">
        <f>IF($D88="","", VLOOKUP($D88,Update!$B$2:$R$420,11,False))</f>
        <v/>
      </c>
      <c r="F88" s="71" t="str">
        <f>IF($D88="","", VLOOKUP($D88,Update!$B$2:$R$420,10,False))</f>
        <v/>
      </c>
      <c r="G88" s="71" t="str">
        <f>IF($D88="","", VLOOKUP($D88,Update!$B$2:$R$420,12,False))</f>
        <v/>
      </c>
      <c r="H88" s="71" t="str">
        <f>IF($D88="","", VLOOKUP($D88,Update!$B$2:$R$420,13,False))</f>
        <v/>
      </c>
      <c r="I88" s="71" t="str">
        <f>IF($D88="","", VLOOKUP($D88,Update!$B$2:$R$420,14,False))</f>
        <v/>
      </c>
      <c r="J88" s="71" t="str">
        <f>IF($D88="","", VLOOKUP($D88,Update!$B$2:$R$420,15,False))</f>
        <v/>
      </c>
      <c r="K88" s="47" t="str">
        <f> IF($D88="","", 100*VLOOKUP($D88,Update!$B$2:$R$420,6,False)/VLOOKUP($D88,'NO USAR1'!$A$3:$L$420,9,False))</f>
        <v/>
      </c>
      <c r="L88" s="47" t="str">
        <f>IF($D88="","", 100*VLOOKUP($D88,Update!$B$2:$R$420,9,False))</f>
        <v/>
      </c>
      <c r="M88" s="71" t="str">
        <f>IF($D88="","", VLOOKUP($D88,Update!$B$2:$R$420,16,False))</f>
        <v/>
      </c>
      <c r="N88" s="45" t="str">
        <f>IF($D88="","", VLOOKUP($D88,Update!$B$2:$C$420,2,FALSE))</f>
        <v/>
      </c>
      <c r="O88" s="45">
        <f t="array" ref="O88">COUNTIF(FIND(P88,$N$21:$N$32),"&gt;0")</f>
        <v>0</v>
      </c>
      <c r="P88" s="6" t="s">
        <v>43</v>
      </c>
      <c r="Q88" s="80"/>
    </row>
    <row r="89">
      <c r="B89" s="65">
        <f>Team!$B$22</f>
        <v>100</v>
      </c>
      <c r="C89" s="6">
        <v>2.0</v>
      </c>
      <c r="D89" s="72" t="str">
        <f t="array" ref="D89">INDIRECT("Draft!D"&amp;TEXT(15-A87,"0"))</f>
        <v/>
      </c>
      <c r="E89" s="71" t="str">
        <f>IF($D89="","", VLOOKUP($D89,Update!$B$2:$R$420,11,False))</f>
        <v/>
      </c>
      <c r="F89" s="71" t="str">
        <f>IF($D89="","", VLOOKUP($D89,Update!$B$2:$R$420,10,False))</f>
        <v/>
      </c>
      <c r="G89" s="71" t="str">
        <f>IF($D89="","", VLOOKUP($D89,Update!$B$2:$R$420,12,False))</f>
        <v/>
      </c>
      <c r="H89" s="71" t="str">
        <f>IF($D89="","", VLOOKUP($D89,Update!$B$2:$R$420,13,False))</f>
        <v/>
      </c>
      <c r="I89" s="71" t="str">
        <f>IF($D89="","", VLOOKUP($D89,Update!$B$2:$R$420,14,False))</f>
        <v/>
      </c>
      <c r="J89" s="71" t="str">
        <f>IF($D89="","", VLOOKUP($D89,Update!$B$2:$R$420,15,False))</f>
        <v/>
      </c>
      <c r="K89" s="47" t="str">
        <f> IF($D89="","", 100*VLOOKUP($D89,Update!$B$2:$R$420,6,False)/VLOOKUP($D89,'NO USAR1'!$A$3:$L$420,9,False))</f>
        <v/>
      </c>
      <c r="L89" s="47" t="str">
        <f>IF($D89="","", 100*VLOOKUP($D89,Update!$B$2:$R$420,9,False))</f>
        <v/>
      </c>
      <c r="M89" s="71" t="str">
        <f>IF($D89="","", VLOOKUP($D89,Update!$B$2:$R$420,16,False))</f>
        <v/>
      </c>
      <c r="N89" s="45" t="str">
        <f>IF($D89="","", VLOOKUP($D89,Update!$B$2:$C$420,2,FALSE))</f>
        <v/>
      </c>
      <c r="O89" s="45">
        <f t="array" ref="O89">COUNTIF(FIND(P89,$N$21:$N$32),"&gt;0")</f>
        <v>0</v>
      </c>
      <c r="P89" s="6" t="s">
        <v>44</v>
      </c>
      <c r="Q89" s="80"/>
    </row>
    <row r="90">
      <c r="B90" s="65">
        <f>Team!$B$23</f>
        <v>100</v>
      </c>
      <c r="C90" s="6">
        <v>3.0</v>
      </c>
      <c r="D90" s="7" t="str">
        <f t="array" ref="D90">INDIRECT("Draft!E"&amp;TEXT(A87+2,"0"))</f>
        <v/>
      </c>
      <c r="E90" s="71" t="str">
        <f>IF($D90="","", VLOOKUP($D90,Update!$B$2:$R$420,11,False))</f>
        <v/>
      </c>
      <c r="F90" s="71" t="str">
        <f>IF($D90="","", VLOOKUP($D90,Update!$B$2:$R$420,10,False))</f>
        <v/>
      </c>
      <c r="G90" s="71" t="str">
        <f>IF($D90="","", VLOOKUP($D90,Update!$B$2:$R$420,12,False))</f>
        <v/>
      </c>
      <c r="H90" s="71" t="str">
        <f>IF($D90="","", VLOOKUP($D90,Update!$B$2:$R$420,13,False))</f>
        <v/>
      </c>
      <c r="I90" s="71" t="str">
        <f>IF($D90="","", VLOOKUP($D90,Update!$B$2:$R$420,14,False))</f>
        <v/>
      </c>
      <c r="J90" s="71" t="str">
        <f>IF($D90="","", VLOOKUP($D90,Update!$B$2:$R$420,15,False))</f>
        <v/>
      </c>
      <c r="K90" s="47" t="str">
        <f> IF($D90="","", 100*VLOOKUP($D90,Update!$B$2:$R$420,6,False)/VLOOKUP($D90,'NO USAR1'!$A$3:$L$420,9,False))</f>
        <v/>
      </c>
      <c r="L90" s="47" t="str">
        <f>IF($D90="","", 100*VLOOKUP($D90,Update!$B$2:$R$420,9,False))</f>
        <v/>
      </c>
      <c r="M90" s="71" t="str">
        <f>IF($D90="","", VLOOKUP($D90,Update!$B$2:$R$420,16,False))</f>
        <v/>
      </c>
      <c r="N90" s="45" t="str">
        <f>IF($D90="","", VLOOKUP($D90,Update!$B$2:$C$420,2,FALSE))</f>
        <v/>
      </c>
      <c r="O90" s="45">
        <f t="array" ref="O90">COUNTIF(FIND(P90,$N$21:$N$32),"&gt;0")</f>
        <v>0</v>
      </c>
      <c r="P90" s="6" t="s">
        <v>45</v>
      </c>
      <c r="Q90" s="80"/>
    </row>
    <row r="91">
      <c r="B91" s="65">
        <f>Team!$B$24</f>
        <v>100</v>
      </c>
      <c r="C91" s="6">
        <v>4.0</v>
      </c>
      <c r="D91" s="73" t="str">
        <f t="array" ref="D91">INDIRECT("Draft!F"&amp;TEXT(15-A87,"0"))</f>
        <v/>
      </c>
      <c r="E91" s="71" t="str">
        <f>IF($D91="","", VLOOKUP($D91,Update!$B$2:$R$420,11,False))</f>
        <v/>
      </c>
      <c r="F91" s="71" t="str">
        <f>IF($D91="","", VLOOKUP($D91,Update!$B$2:$R$420,10,False))</f>
        <v/>
      </c>
      <c r="G91" s="71" t="str">
        <f>IF($D91="","", VLOOKUP($D91,Update!$B$2:$R$420,12,False))</f>
        <v/>
      </c>
      <c r="H91" s="71" t="str">
        <f>IF($D91="","", VLOOKUP($D91,Update!$B$2:$R$420,13,False))</f>
        <v/>
      </c>
      <c r="I91" s="71" t="str">
        <f>IF($D91="","", VLOOKUP($D91,Update!$B$2:$R$420,14,False))</f>
        <v/>
      </c>
      <c r="J91" s="71" t="str">
        <f>IF($D91="","", VLOOKUP($D91,Update!$B$2:$R$420,15,False))</f>
        <v/>
      </c>
      <c r="K91" s="47" t="str">
        <f> IF($D91="","", 100*VLOOKUP($D91,Update!$B$2:$R$420,6,False)/VLOOKUP($D91,'NO USAR1'!$A$3:$L$420,9,False))</f>
        <v/>
      </c>
      <c r="L91" s="47" t="str">
        <f>IF($D91="","", 100*VLOOKUP($D91,Update!$B$2:$R$420,9,False))</f>
        <v/>
      </c>
      <c r="M91" s="71" t="str">
        <f>IF($D91="","", VLOOKUP($D91,Update!$B$2:$R$420,16,False))</f>
        <v/>
      </c>
      <c r="N91" s="45" t="str">
        <f>IF($D91="","", VLOOKUP($D91,Update!$B$2:$C$420,2,FALSE))</f>
        <v/>
      </c>
      <c r="O91" s="45">
        <f t="array" ref="O91">COUNTIF(FIND(P91,$N$21:$N$32),"&gt;0")</f>
        <v>0</v>
      </c>
      <c r="P91" s="6" t="s">
        <v>46</v>
      </c>
      <c r="Q91" s="80"/>
    </row>
    <row r="92">
      <c r="B92" s="65">
        <f>Team!$B$25</f>
        <v>100</v>
      </c>
      <c r="C92" s="6">
        <v>5.0</v>
      </c>
      <c r="D92" s="7" t="str">
        <f t="array" ref="D92">INDIRECT("Draft!G"&amp;TEXT(A87+2,"0"))</f>
        <v/>
      </c>
      <c r="E92" s="71" t="str">
        <f>IF($D92="","", VLOOKUP($D92,Update!$B$2:$R$420,11,False))</f>
        <v/>
      </c>
      <c r="F92" s="71" t="str">
        <f>IF($D92="","", VLOOKUP($D92,Update!$B$2:$R$420,10,False))</f>
        <v/>
      </c>
      <c r="G92" s="71" t="str">
        <f>IF($D92="","", VLOOKUP($D92,Update!$B$2:$R$420,12,False))</f>
        <v/>
      </c>
      <c r="H92" s="71" t="str">
        <f>IF($D92="","", VLOOKUP($D92,Update!$B$2:$R$420,13,False))</f>
        <v/>
      </c>
      <c r="I92" s="71" t="str">
        <f>IF($D92="","", VLOOKUP($D92,Update!$B$2:$R$420,14,False))</f>
        <v/>
      </c>
      <c r="J92" s="71" t="str">
        <f>IF($D92="","", VLOOKUP($D92,Update!$B$2:$R$420,15,False))</f>
        <v/>
      </c>
      <c r="K92" s="47" t="str">
        <f> IF($D92="","", 100*VLOOKUP($D92,Update!$B$2:$R$420,6,False)/VLOOKUP($D92,'NO USAR1'!$A$3:$L$420,9,False))</f>
        <v/>
      </c>
      <c r="L92" s="47" t="str">
        <f>IF($D92="","", 100*VLOOKUP($D92,Update!$B$2:$R$420,9,False))</f>
        <v/>
      </c>
      <c r="M92" s="71" t="str">
        <f>IF($D92="","", VLOOKUP($D92,Update!$B$2:$R$420,16,False))</f>
        <v/>
      </c>
      <c r="N92" s="45" t="str">
        <f>IF($D92="","", VLOOKUP($D92,Update!$B$2:$C$420,2,FALSE))</f>
        <v/>
      </c>
      <c r="O92" s="45">
        <f t="array" ref="O92">COUNTIF(FIND(P92,$N$21:$N$32),"&gt;0")</f>
        <v>0</v>
      </c>
      <c r="P92" s="6" t="s">
        <v>47</v>
      </c>
      <c r="Q92" s="80"/>
    </row>
    <row r="93">
      <c r="B93" s="65">
        <f>Team!$B$26</f>
        <v>100</v>
      </c>
      <c r="C93" s="6">
        <v>6.0</v>
      </c>
      <c r="D93" s="73" t="str">
        <f t="array" ref="D93">INDIRECT("Draft!H"&amp;TEXT(15-A87,"0"))</f>
        <v/>
      </c>
      <c r="E93" s="71" t="str">
        <f>IF($D93="","", VLOOKUP($D93,Update!$B$2:$R$420,11,False))</f>
        <v/>
      </c>
      <c r="F93" s="71" t="str">
        <f>IF($D93="","", VLOOKUP($D93,Update!$B$2:$R$420,10,False))</f>
        <v/>
      </c>
      <c r="G93" s="71" t="str">
        <f>IF($D93="","", VLOOKUP($D93,Update!$B$2:$R$420,12,False))</f>
        <v/>
      </c>
      <c r="H93" s="71" t="str">
        <f>IF($D93="","", VLOOKUP($D93,Update!$B$2:$R$420,13,False))</f>
        <v/>
      </c>
      <c r="I93" s="71" t="str">
        <f>IF($D93="","", VLOOKUP($D93,Update!$B$2:$R$420,14,False))</f>
        <v/>
      </c>
      <c r="J93" s="71" t="str">
        <f>IF($D93="","", VLOOKUP($D93,Update!$B$2:$R$420,15,False))</f>
        <v/>
      </c>
      <c r="K93" s="47" t="str">
        <f> IF($D93="","", 100*VLOOKUP($D93,Update!$B$2:$R$420,6,False)/VLOOKUP($D93,'NO USAR1'!$A$3:$L$420,9,False))</f>
        <v/>
      </c>
      <c r="L93" s="47" t="str">
        <f>IF($D93="","", 100*VLOOKUP($D93,Update!$B$2:$R$420,9,False))</f>
        <v/>
      </c>
      <c r="M93" s="71" t="str">
        <f>IF($D93="","", VLOOKUP($D93,Update!$B$2:$R$420,16,False))</f>
        <v/>
      </c>
      <c r="N93" s="45" t="str">
        <f>IF($D93="","", VLOOKUP($D93,Update!$B$2:$C$420,2,FALSE))</f>
        <v/>
      </c>
      <c r="O93" s="2"/>
      <c r="P93" s="2"/>
      <c r="Q93" s="2"/>
    </row>
    <row r="94">
      <c r="B94" s="65">
        <f>Team!$B$27</f>
        <v>100</v>
      </c>
      <c r="C94" s="6">
        <v>7.0</v>
      </c>
      <c r="D94" s="7" t="str">
        <f t="array" ref="D94">INDIRECT("Draft!I"&amp;TEXT(A87+2,"0"))</f>
        <v/>
      </c>
      <c r="E94" s="71" t="str">
        <f>IF($D94="","", VLOOKUP($D94,Update!$B$2:$R$420,11,False))</f>
        <v/>
      </c>
      <c r="F94" s="71" t="str">
        <f>IF($D94="","", VLOOKUP($D94,Update!$B$2:$R$420,10,False))</f>
        <v/>
      </c>
      <c r="G94" s="71" t="str">
        <f>IF($D94="","", VLOOKUP($D94,Update!$B$2:$R$420,12,False))</f>
        <v/>
      </c>
      <c r="H94" s="71" t="str">
        <f>IF($D94="","", VLOOKUP($D94,Update!$B$2:$R$420,13,False))</f>
        <v/>
      </c>
      <c r="I94" s="71" t="str">
        <f>IF($D94="","", VLOOKUP($D94,Update!$B$2:$R$420,14,False))</f>
        <v/>
      </c>
      <c r="J94" s="71" t="str">
        <f>IF($D94="","", VLOOKUP($D94,Update!$B$2:$R$420,15,False))</f>
        <v/>
      </c>
      <c r="K94" s="47" t="str">
        <f> IF($D94="","", 100*VLOOKUP($D94,Update!$B$2:$R$420,6,False)/VLOOKUP($D94,'NO USAR1'!$A$3:$L$420,9,False))</f>
        <v/>
      </c>
      <c r="L94" s="47" t="str">
        <f>IF($D94="","", 100*VLOOKUP($D94,Update!$B$2:$R$420,9,False))</f>
        <v/>
      </c>
      <c r="M94" s="71" t="str">
        <f>IF($D94="","", VLOOKUP($D94,Update!$B$2:$R$420,16,False))</f>
        <v/>
      </c>
      <c r="N94" s="45" t="str">
        <f>IF($D94="","", VLOOKUP($D94,Update!$B$2:$C$420,2,FALSE))</f>
        <v/>
      </c>
      <c r="O94" s="2"/>
      <c r="P94" s="2"/>
      <c r="Q94" s="2"/>
    </row>
    <row r="95">
      <c r="B95" s="65">
        <f>Team!$B$28</f>
        <v>100</v>
      </c>
      <c r="C95" s="6">
        <v>8.0</v>
      </c>
      <c r="D95" s="73" t="str">
        <f t="array" ref="D95">INDIRECT("Draft!J"&amp;TEXT(15-A87,"0"))</f>
        <v/>
      </c>
      <c r="E95" s="71" t="str">
        <f>IF($D95="","", VLOOKUP($D95,Update!$B$2:$R$420,11,False))</f>
        <v/>
      </c>
      <c r="F95" s="71" t="str">
        <f>IF($D95="","", VLOOKUP($D95,Update!$B$2:$R$420,10,False))</f>
        <v/>
      </c>
      <c r="G95" s="71" t="str">
        <f>IF($D95="","", VLOOKUP($D95,Update!$B$2:$R$420,12,False))</f>
        <v/>
      </c>
      <c r="H95" s="71" t="str">
        <f>IF($D95="","", VLOOKUP($D95,Update!$B$2:$R$420,13,False))</f>
        <v/>
      </c>
      <c r="I95" s="71" t="str">
        <f>IF($D95="","", VLOOKUP($D95,Update!$B$2:$R$420,14,False))</f>
        <v/>
      </c>
      <c r="J95" s="71" t="str">
        <f>IF($D95="","", VLOOKUP($D95,Update!$B$2:$R$420,15,False))</f>
        <v/>
      </c>
      <c r="K95" s="47" t="str">
        <f> IF($D95="","", 100*VLOOKUP($D95,Update!$B$2:$R$420,6,False)/VLOOKUP($D95,'NO USAR1'!$A$3:$L$420,9,False))</f>
        <v/>
      </c>
      <c r="L95" s="47" t="str">
        <f>IF($D95="","", 100*VLOOKUP($D95,Update!$B$2:$R$420,9,False))</f>
        <v/>
      </c>
      <c r="M95" s="71" t="str">
        <f>IF($D95="","", VLOOKUP($D95,Update!$B$2:$R$420,16,False))</f>
        <v/>
      </c>
      <c r="N95" s="45" t="str">
        <f>IF($D95="","", VLOOKUP($D95,Update!$B$2:$C$420,2,FALSE))</f>
        <v/>
      </c>
      <c r="O95" s="2"/>
      <c r="P95" s="2"/>
      <c r="Q95" s="2"/>
    </row>
    <row r="96">
      <c r="B96" s="65">
        <f>Team!$B$29</f>
        <v>100</v>
      </c>
      <c r="C96" s="6">
        <v>9.0</v>
      </c>
      <c r="D96" s="7" t="str">
        <f t="array" ref="D96">INDIRECT("Draft!K"&amp;TEXT(A87+2,"0"))</f>
        <v/>
      </c>
      <c r="E96" s="71" t="str">
        <f>IF($D96="","", VLOOKUP($D96,Update!$B$2:$R$420,11,False))</f>
        <v/>
      </c>
      <c r="F96" s="71" t="str">
        <f>IF($D96="","", VLOOKUP($D96,Update!$B$2:$R$420,10,False))</f>
        <v/>
      </c>
      <c r="G96" s="71" t="str">
        <f>IF($D96="","", VLOOKUP($D96,Update!$B$2:$R$420,12,False))</f>
        <v/>
      </c>
      <c r="H96" s="71" t="str">
        <f>IF($D96="","", VLOOKUP($D96,Update!$B$2:$R$420,13,False))</f>
        <v/>
      </c>
      <c r="I96" s="71" t="str">
        <f>IF($D96="","", VLOOKUP($D96,Update!$B$2:$R$420,14,False))</f>
        <v/>
      </c>
      <c r="J96" s="71" t="str">
        <f>IF($D96="","", VLOOKUP($D96,Update!$B$2:$R$420,15,False))</f>
        <v/>
      </c>
      <c r="K96" s="47" t="str">
        <f> IF($D96="","", 100*VLOOKUP($D96,Update!$B$2:$R$420,6,False)/VLOOKUP($D96,'NO USAR1'!$A$3:$L$420,9,False))</f>
        <v/>
      </c>
      <c r="L96" s="47" t="str">
        <f>IF($D96="","", 100*VLOOKUP($D96,Update!$B$2:$R$420,9,False))</f>
        <v/>
      </c>
      <c r="M96" s="71" t="str">
        <f>IF($D96="","", VLOOKUP($D96,Update!$B$2:$R$420,16,False))</f>
        <v/>
      </c>
      <c r="N96" s="45" t="str">
        <f>IF($D96="","", VLOOKUP($D96,Update!$B$2:$C$420,2,FALSE))</f>
        <v/>
      </c>
      <c r="O96" s="2"/>
      <c r="P96" s="2"/>
      <c r="Q96" s="2"/>
    </row>
    <row r="97">
      <c r="B97" s="65">
        <f>Team!$B$30</f>
        <v>100</v>
      </c>
      <c r="C97" s="6">
        <v>10.0</v>
      </c>
      <c r="D97" s="73" t="str">
        <f t="array" ref="D97">INDIRECT("Draft!L"&amp;TEXT(15-A87,"0"))</f>
        <v/>
      </c>
      <c r="E97" s="71" t="str">
        <f>IF($D97="","", VLOOKUP($D97,Update!$B$2:$R$420,11,False))</f>
        <v/>
      </c>
      <c r="F97" s="71" t="str">
        <f>IF($D97="","", VLOOKUP($D97,Update!$B$2:$R$420,10,False))</f>
        <v/>
      </c>
      <c r="G97" s="71" t="str">
        <f>IF($D97="","", VLOOKUP($D97,Update!$B$2:$R$420,12,False))</f>
        <v/>
      </c>
      <c r="H97" s="71" t="str">
        <f>IF($D97="","", VLOOKUP($D97,Update!$B$2:$R$420,13,False))</f>
        <v/>
      </c>
      <c r="I97" s="71" t="str">
        <f>IF($D97="","", VLOOKUP($D97,Update!$B$2:$R$420,14,False))</f>
        <v/>
      </c>
      <c r="J97" s="71" t="str">
        <f>IF($D97="","", VLOOKUP($D97,Update!$B$2:$R$420,15,False))</f>
        <v/>
      </c>
      <c r="K97" s="47" t="str">
        <f> IF($D97="","", 100*VLOOKUP($D97,Update!$B$2:$R$420,6,False)/VLOOKUP($D97,'NO USAR1'!$A$3:$L$420,9,False))</f>
        <v/>
      </c>
      <c r="L97" s="47" t="str">
        <f>IF($D97="","", 100*VLOOKUP($D97,Update!$B$2:$R$420,9,False))</f>
        <v/>
      </c>
      <c r="M97" s="71" t="str">
        <f>IF($D97="","", VLOOKUP($D97,Update!$B$2:$R$420,16,False))</f>
        <v/>
      </c>
      <c r="N97" s="45" t="str">
        <f>IF($D97="","", VLOOKUP($D97,Update!$B$2:$C$420,2,FALSE))</f>
        <v/>
      </c>
      <c r="O97" s="2"/>
      <c r="P97" s="2"/>
      <c r="Q97" s="2"/>
    </row>
    <row r="98">
      <c r="B98" s="65">
        <f>Team!$B$31</f>
        <v>100</v>
      </c>
      <c r="C98" s="6">
        <v>11.0</v>
      </c>
      <c r="D98" s="7" t="str">
        <f t="array" ref="D98">INDIRECT("Draft!M"&amp;TEXT(A87+2,"0"))</f>
        <v/>
      </c>
      <c r="E98" s="71" t="str">
        <f>IF($D98="","", VLOOKUP($D98,Update!$B$2:$R$420,11,False))</f>
        <v/>
      </c>
      <c r="F98" s="71" t="str">
        <f>IF($D98="","", VLOOKUP($D98,Update!$B$2:$R$420,10,False))</f>
        <v/>
      </c>
      <c r="G98" s="71" t="str">
        <f>IF($D98="","", VLOOKUP($D98,Update!$B$2:$R$420,12,False))</f>
        <v/>
      </c>
      <c r="H98" s="71" t="str">
        <f>IF($D98="","", VLOOKUP($D98,Update!$B$2:$R$420,13,False))</f>
        <v/>
      </c>
      <c r="I98" s="71" t="str">
        <f>IF($D98="","", VLOOKUP($D98,Update!$B$2:$R$420,14,False))</f>
        <v/>
      </c>
      <c r="J98" s="71" t="str">
        <f>IF($D98="","", VLOOKUP($D98,Update!$B$2:$R$420,15,False))</f>
        <v/>
      </c>
      <c r="K98" s="47" t="str">
        <f> IF($D98="","", 100*VLOOKUP($D98,Update!$B$2:$R$420,6,False)/VLOOKUP($D98,'NO USAR1'!$A$3:$L$420,9,False))</f>
        <v/>
      </c>
      <c r="L98" s="47" t="str">
        <f>IF($D98="","", 100*VLOOKUP($D98,Update!$B$2:$R$420,9,False))</f>
        <v/>
      </c>
      <c r="M98" s="71" t="str">
        <f>IF($D98="","", VLOOKUP($D98,Update!$B$2:$R$420,16,False))</f>
        <v/>
      </c>
      <c r="N98" s="45" t="str">
        <f>IF($D98="","", VLOOKUP($D98,Update!$B$2:$C$420,2,FALSE))</f>
        <v/>
      </c>
      <c r="O98" s="2"/>
      <c r="P98" s="2"/>
      <c r="Q98" s="2"/>
    </row>
    <row r="99">
      <c r="B99" s="65">
        <f>Team!$B$32</f>
        <v>100</v>
      </c>
      <c r="C99" s="6">
        <v>12.0</v>
      </c>
      <c r="D99" s="73" t="str">
        <f t="array" ref="D99">INDIRECT("Draft!N"&amp;TEXT(15-A87,"0"))</f>
        <v/>
      </c>
      <c r="E99" s="71" t="str">
        <f>IF($D99="","", VLOOKUP($D99,Update!$B$2:$R$420,11,False))</f>
        <v/>
      </c>
      <c r="F99" s="71" t="str">
        <f>IF($D99="","", VLOOKUP($D99,Update!$B$2:$R$420,10,False))</f>
        <v/>
      </c>
      <c r="G99" s="71" t="str">
        <f>IF($D99="","", VLOOKUP($D99,Update!$B$2:$R$420,12,False))</f>
        <v/>
      </c>
      <c r="H99" s="71" t="str">
        <f>IF($D99="","", VLOOKUP($D99,Update!$B$2:$R$420,13,False))</f>
        <v/>
      </c>
      <c r="I99" s="71" t="str">
        <f>IF($D99="","", VLOOKUP($D99,Update!$B$2:$R$420,14,False))</f>
        <v/>
      </c>
      <c r="J99" s="71" t="str">
        <f>IF($D99="","", VLOOKUP($D99,Update!$B$2:$R$420,15,False))</f>
        <v/>
      </c>
      <c r="K99" s="47" t="str">
        <f> IF($D99="","", 100*VLOOKUP($D99,Update!$B$2:$R$420,6,False)/VLOOKUP($D99,'NO USAR1'!$A$3:$L$420,9,False))</f>
        <v/>
      </c>
      <c r="L99" s="47" t="str">
        <f>IF($D99="","", 100*VLOOKUP($D99,Update!$B$2:$R$420,9,False))</f>
        <v/>
      </c>
      <c r="M99" s="71" t="str">
        <f>IF($D99="","", VLOOKUP($D99,Update!$B$2:$R$420,16,False))</f>
        <v/>
      </c>
      <c r="N99" s="45" t="str">
        <f>IF($D99="","", VLOOKUP($D99,Update!$B$2:$C$420,2,FALSE))</f>
        <v/>
      </c>
      <c r="O99" s="2"/>
      <c r="P99" s="2"/>
      <c r="Q99" s="2"/>
    </row>
    <row r="100">
      <c r="B100" s="65">
        <f>Team!$B$33</f>
        <v>100</v>
      </c>
      <c r="C100" s="6">
        <v>13.0</v>
      </c>
      <c r="D100" s="6" t="str">
        <f t="array" ref="D100">INDIRECT("Draft!O"&amp;TEXT(A87+2,"0"))</f>
        <v/>
      </c>
      <c r="E100" s="71" t="str">
        <f>IF($D100="","", VLOOKUP($D100,Update!$B$2:$R$420,11,False))</f>
        <v/>
      </c>
      <c r="F100" s="71" t="str">
        <f>IF($D100="","", VLOOKUP($D100,Update!$B$2:$R$420,10,False))</f>
        <v/>
      </c>
      <c r="G100" s="71" t="str">
        <f>IF($D100="","", VLOOKUP($D100,Update!$B$2:$R$420,12,False))</f>
        <v/>
      </c>
      <c r="H100" s="71" t="str">
        <f>IF($D100="","", VLOOKUP($D100,Update!$B$2:$R$420,13,False))</f>
        <v/>
      </c>
      <c r="I100" s="71" t="str">
        <f>IF($D100="","", VLOOKUP($D100,Update!$B$2:$R$420,14,False))</f>
        <v/>
      </c>
      <c r="J100" s="71" t="str">
        <f>IF($D100="","", VLOOKUP($D100,Update!$B$2:$R$420,15,False))</f>
        <v/>
      </c>
      <c r="K100" s="47" t="str">
        <f> IF($D100="","", 100*VLOOKUP($D100,Update!$B$2:$R$420,6,False)/VLOOKUP($D100,'NO USAR1'!$A$3:$L$420,9,False))</f>
        <v/>
      </c>
      <c r="L100" s="47" t="str">
        <f>IF($D100="","", 100*VLOOKUP($D100,Update!$B$2:$R$420,9,False))</f>
        <v/>
      </c>
      <c r="M100" s="71" t="str">
        <f>IF($D100="","", VLOOKUP($D100,Update!$B$2:$R$420,16,False))</f>
        <v/>
      </c>
      <c r="N100" s="2"/>
      <c r="O100" s="2"/>
      <c r="P100" s="2"/>
      <c r="Q100" s="2"/>
    </row>
    <row r="101">
      <c r="B101" s="65">
        <f>Team!$B$34</f>
        <v>0</v>
      </c>
      <c r="C101" s="6">
        <v>14.0</v>
      </c>
      <c r="D101" s="72" t="str">
        <f t="array" ref="D101">INDIRECT("Draft!P"&amp;TEXT(15-A87,"0"))</f>
        <v/>
      </c>
      <c r="E101" s="71" t="str">
        <f>IF($D101="","", VLOOKUP($D101,Update!$B$2:$R$420,11,False))</f>
        <v/>
      </c>
      <c r="F101" s="71" t="str">
        <f>IF($D101="","", VLOOKUP($D101,Update!$B$2:$R$420,10,False))</f>
        <v/>
      </c>
      <c r="G101" s="71" t="str">
        <f>IF($D101="","", VLOOKUP($D101,Update!$B$2:$R$420,12,False))</f>
        <v/>
      </c>
      <c r="H101" s="71" t="str">
        <f>IF($D101="","", VLOOKUP($D101,Update!$B$2:$R$420,13,False))</f>
        <v/>
      </c>
      <c r="I101" s="71" t="str">
        <f>IF($D101="","", VLOOKUP($D101,Update!$B$2:$R$420,14,False))</f>
        <v/>
      </c>
      <c r="J101" s="71" t="str">
        <f>IF($D101="","", VLOOKUP($D101,Update!$B$2:$R$420,15,False))</f>
        <v/>
      </c>
      <c r="K101" s="47" t="str">
        <f> IF($D101="","", 100*VLOOKUP($D101,Update!$B$2:$R$420,6,False)/VLOOKUP($D101,'NO USAR1'!$A$3:$L$420,9,False))</f>
        <v/>
      </c>
      <c r="L101" s="47" t="str">
        <f>IF($D101="","", 100*VLOOKUP($D101,Update!$B$2:$R$420,9,False))</f>
        <v/>
      </c>
      <c r="M101" s="71" t="str">
        <f>IF($D101="","", VLOOKUP($D101,Update!$B$2:$R$420,16,False))</f>
        <v/>
      </c>
      <c r="N101" s="2"/>
      <c r="O101" s="2"/>
      <c r="P101" s="2"/>
      <c r="Q101" s="2"/>
    </row>
    <row r="102">
      <c r="A102" s="78" t="s">
        <v>81</v>
      </c>
      <c r="D102" s="76" t="s">
        <v>80</v>
      </c>
      <c r="E102" s="47" t="str">
        <f t="shared" ref="E102:J102" si="6">AVERAGE(SUMPRODUCT(E88:E101,$B88:$B101/100))/(SUM(OFFSET($B88,0,0,COUNT(E88:E101)))/100)</f>
        <v>#VALUE!</v>
      </c>
      <c r="F102" s="47" t="str">
        <f t="shared" si="6"/>
        <v>#VALUE!</v>
      </c>
      <c r="G102" s="47" t="str">
        <f t="shared" si="6"/>
        <v>#VALUE!</v>
      </c>
      <c r="H102" s="47" t="str">
        <f t="shared" si="6"/>
        <v>#VALUE!</v>
      </c>
      <c r="I102" s="47" t="str">
        <f t="shared" si="6"/>
        <v>#VALUE!</v>
      </c>
      <c r="J102" s="47" t="str">
        <f t="shared" si="6"/>
        <v>#VALUE!</v>
      </c>
      <c r="K102" s="47" t="str">
        <f t="array" ref="K102">IFERROR(100*SUMPRODUCT(IFERROR(VLOOKUP($D88:$D101,Update!$B:$S,6,False),"")*$B88:$B101/100)/SUMPRODUCT(IFERROR(VLOOKUP($D88:$D101,Update!$B:$S,17,False),"")*$B88:$B101/100),"")</f>
        <v/>
      </c>
      <c r="L102" s="47" t="str">
        <f t="array" ref="L102">IFERROR(100*SUMPRODUCT(IFERROR(VLOOKUP($D88:$D101,Update!$B:$S,8,False),"")*$B88:$B101/100)/SUMPRODUCT(IFERROR(VLOOKUP($D88:$D101,Update!$B:$S,18,False),"")*$B88:$B101/100),"")</f>
        <v/>
      </c>
      <c r="M102" s="47" t="str">
        <f>AVERAGE(SUMPRODUCT(M88:M101,$B88:$B101/100))/(SUM(OFFSET($B88,0,0,COUNT(M88:M101)))/100)</f>
        <v>#VALUE!</v>
      </c>
      <c r="N102" s="2"/>
    </row>
    <row r="103">
      <c r="A103" s="78"/>
      <c r="D103" s="76" t="s">
        <v>84</v>
      </c>
      <c r="E103" s="46" t="str">
        <f>(SUM(OFFSET('All Teams'!$B88,0,0,COUNT('All Teams'!E88:E101)))/100)*('All Teams'!E102-'NO USAR1'!$B$1)/'NO USAR1'!$B$2</f>
        <v>#VALUE!</v>
      </c>
      <c r="F103" s="46" t="str">
        <f>(SUM(OFFSET('All Teams'!$B88,0,0,COUNT('All Teams'!F88:F101)))/100)*('All Teams'!F102-'NO USAR1'!$C$1)/'NO USAR1'!$C$2</f>
        <v>#VALUE!</v>
      </c>
      <c r="G103" s="46" t="str">
        <f>(SUM(OFFSET('All Teams'!$B88,0,0,COUNT('All Teams'!G88:G101)))/100)*('All Teams'!G102-'NO USAR1'!$D$1)/'NO USAR1'!$D$2</f>
        <v>#VALUE!</v>
      </c>
      <c r="H103" s="46" t="str">
        <f>(SUM(OFFSET('All Teams'!$B88,0,0,COUNT('All Teams'!H88:H101)))/100)*('All Teams'!H102-'NO USAR1'!$E$1)/'NO USAR1'!$E$2</f>
        <v>#VALUE!</v>
      </c>
      <c r="I103" s="46" t="str">
        <f>(SUM(OFFSET('All Teams'!$B88,0,0,COUNT('All Teams'!I88:I101)))/100)*('All Teams'!I102-'NO USAR1'!$F$1)/'NO USAR1'!$F$2</f>
        <v>#VALUE!</v>
      </c>
      <c r="J103" s="46" t="str">
        <f>(SUM(OFFSET('All Teams'!$B88,0,0,COUNT('All Teams'!J88:J101)))/100)*('All Teams'!J102-'NO USAR1'!$G$1)/'NO USAR1'!$G$2</f>
        <v>#VALUE!</v>
      </c>
      <c r="K103" s="46">
        <f t="array" ref="K103">SUMPRODUCT(IFERROR(VLOOKUP($D88:$D101,'NO USAR1'!$A$4:$L$403,8,False)*$B88:$B101/100,""))</f>
        <v>0</v>
      </c>
      <c r="L103" s="46">
        <f t="array" ref="L103">SUMPRODUCT(IFERROR(VLOOKUP($D88:$D101,'NO USAR1'!$A$4:$L$403,10,False)*$B88:$B101/100,""))</f>
        <v>0</v>
      </c>
      <c r="M103" s="46" t="str">
        <f>-(SUM(OFFSET('All Teams'!$B88,0,0,COUNT('All Teams'!M88:M101)))/100)*('All Teams'!M102-'NO USAR1'!$L$1)/'NO USAR1'!$L$2</f>
        <v>#VALUE!</v>
      </c>
      <c r="N103" s="2"/>
    </row>
    <row r="104">
      <c r="A104" s="79">
        <v>7.0</v>
      </c>
      <c r="B104" s="4" t="s">
        <v>82</v>
      </c>
      <c r="C104" s="6"/>
      <c r="D104" s="4" t="s">
        <v>83</v>
      </c>
      <c r="E104" s="40" t="s">
        <v>34</v>
      </c>
      <c r="F104" s="40" t="s">
        <v>35</v>
      </c>
      <c r="G104" s="40" t="s">
        <v>36</v>
      </c>
      <c r="H104" s="40" t="s">
        <v>37</v>
      </c>
      <c r="I104" s="40" t="s">
        <v>38</v>
      </c>
      <c r="J104" s="40" t="s">
        <v>61</v>
      </c>
      <c r="K104" s="40" t="s">
        <v>40</v>
      </c>
      <c r="L104" s="40" t="s">
        <v>41</v>
      </c>
      <c r="M104" s="40" t="s">
        <v>42</v>
      </c>
      <c r="N104" s="4" t="s">
        <v>78</v>
      </c>
      <c r="O104" s="4" t="s">
        <v>79</v>
      </c>
      <c r="P104" s="4" t="s">
        <v>78</v>
      </c>
      <c r="Q104" s="69"/>
    </row>
    <row r="105">
      <c r="B105" s="65">
        <f>Team!$B$21</f>
        <v>100</v>
      </c>
      <c r="C105" s="6">
        <v>1.0</v>
      </c>
      <c r="D105" s="6" t="str">
        <f t="array" ref="D105">INDIRECT("Draft!C"&amp;TEXT(A104+2,"0"))</f>
        <v>Jayson Tatum</v>
      </c>
      <c r="E105" s="71">
        <f>IF($D105="","", VLOOKUP($D105,Update!$B$2:$R$420,11,False))</f>
        <v>29.5</v>
      </c>
      <c r="F105" s="71">
        <f>IF($D105="","", VLOOKUP($D105,Update!$B$2:$R$420,10,False))</f>
        <v>3.3</v>
      </c>
      <c r="G105" s="71">
        <f>IF($D105="","", VLOOKUP($D105,Update!$B$2:$R$420,12,False))</f>
        <v>8.2</v>
      </c>
      <c r="H105" s="71">
        <f>IF($D105="","", VLOOKUP($D105,Update!$B$2:$R$420,13,False))</f>
        <v>4.8</v>
      </c>
      <c r="I105" s="71">
        <f>IF($D105="","", VLOOKUP($D105,Update!$B$2:$R$420,14,False))</f>
        <v>1.1</v>
      </c>
      <c r="J105" s="71">
        <f>IF($D105="","", VLOOKUP($D105,Update!$B$2:$R$420,15,False))</f>
        <v>0.7</v>
      </c>
      <c r="K105" s="47">
        <f> IF($D105="","", 100*VLOOKUP($D105,Update!$B$2:$R$420,6,False)/VLOOKUP($D105,'NO USAR1'!$A$3:$L$420,9,False))</f>
        <v>46.66666667</v>
      </c>
      <c r="L105" s="47">
        <f>IF($D105="","", 100*VLOOKUP($D105,Update!$B$2:$R$420,9,False))</f>
        <v>85.71428571</v>
      </c>
      <c r="M105" s="71">
        <f>IF($D105="","", VLOOKUP($D105,Update!$B$2:$R$420,16,False))</f>
        <v>3</v>
      </c>
      <c r="N105" s="45" t="str">
        <f>IF($D105="","", VLOOKUP($D105,Update!$B$2:$C$420,2,FALSE))</f>
        <v>SF,PF</v>
      </c>
      <c r="O105" s="45">
        <f t="array" ref="O105">COUNTIF(FIND(P105,$N$21:$N$32),"&gt;0")</f>
        <v>0</v>
      </c>
      <c r="P105" s="6" t="s">
        <v>43</v>
      </c>
      <c r="Q105" s="80"/>
    </row>
    <row r="106">
      <c r="B106" s="65">
        <f>Team!$B$22</f>
        <v>100</v>
      </c>
      <c r="C106" s="6">
        <v>2.0</v>
      </c>
      <c r="D106" s="72" t="str">
        <f t="array" ref="D106">INDIRECT("Draft!D"&amp;TEXT(15-A104,"0"))</f>
        <v>Domantas Sabonis</v>
      </c>
      <c r="E106" s="71">
        <f>IF($D106="","", VLOOKUP($D106,Update!$B$2:$R$420,11,False))</f>
        <v>19.5</v>
      </c>
      <c r="F106" s="71">
        <f>IF($D106="","", VLOOKUP($D106,Update!$B$2:$R$420,10,False))</f>
        <v>0.5</v>
      </c>
      <c r="G106" s="71">
        <f>IF($D106="","", VLOOKUP($D106,Update!$B$2:$R$420,12,False))</f>
        <v>12.4</v>
      </c>
      <c r="H106" s="71">
        <f>IF($D106="","", VLOOKUP($D106,Update!$B$2:$R$420,13,False))</f>
        <v>7.3</v>
      </c>
      <c r="I106" s="71">
        <f>IF($D106="","", VLOOKUP($D106,Update!$B$2:$R$420,14,False))</f>
        <v>0.9</v>
      </c>
      <c r="J106" s="71">
        <f>IF($D106="","", VLOOKUP($D106,Update!$B$2:$R$420,15,False))</f>
        <v>0.5</v>
      </c>
      <c r="K106" s="47">
        <f> IF($D106="","", 100*VLOOKUP($D106,Update!$B$2:$R$420,6,False)/VLOOKUP($D106,'NO USAR1'!$A$3:$L$420,9,False))</f>
        <v>60.6557377</v>
      </c>
      <c r="L106" s="47">
        <f>IF($D106="","", 100*VLOOKUP($D106,Update!$B$2:$R$420,9,False))</f>
        <v>74.54545455</v>
      </c>
      <c r="M106" s="71">
        <f>IF($D106="","", VLOOKUP($D106,Update!$B$2:$R$420,16,False))</f>
        <v>3</v>
      </c>
      <c r="N106" s="45" t="str">
        <f>IF($D106="","", VLOOKUP($D106,Update!$B$2:$C$420,2,FALSE))</f>
        <v>PF,C</v>
      </c>
      <c r="O106" s="45">
        <f t="array" ref="O106">COUNTIF(FIND(P106,$N$21:$N$32),"&gt;0")</f>
        <v>0</v>
      </c>
      <c r="P106" s="6" t="s">
        <v>44</v>
      </c>
      <c r="Q106" s="80"/>
    </row>
    <row r="107">
      <c r="B107" s="65">
        <f>Team!$B$23</f>
        <v>100</v>
      </c>
      <c r="C107" s="6">
        <v>3.0</v>
      </c>
      <c r="D107" s="7" t="str">
        <f t="array" ref="D107">INDIRECT("Draft!E"&amp;TEXT(A104+2,"0"))</f>
        <v>Karl-Anthony Towns</v>
      </c>
      <c r="E107" s="71">
        <f>IF($D107="","", VLOOKUP($D107,Update!$B$2:$R$420,11,False))</f>
        <v>21.4</v>
      </c>
      <c r="F107" s="71">
        <f>IF($D107="","", VLOOKUP($D107,Update!$B$2:$R$420,10,False))</f>
        <v>2.1</v>
      </c>
      <c r="G107" s="71">
        <f>IF($D107="","", VLOOKUP($D107,Update!$B$2:$R$420,12,False))</f>
        <v>8.5</v>
      </c>
      <c r="H107" s="71">
        <f>IF($D107="","", VLOOKUP($D107,Update!$B$2:$R$420,13,False))</f>
        <v>4.6</v>
      </c>
      <c r="I107" s="71">
        <f>IF($D107="","", VLOOKUP($D107,Update!$B$2:$R$420,14,False))</f>
        <v>0.7</v>
      </c>
      <c r="J107" s="71">
        <f>IF($D107="","", VLOOKUP($D107,Update!$B$2:$R$420,15,False))</f>
        <v>0.7</v>
      </c>
      <c r="K107" s="47">
        <f> IF($D107="","", 100*VLOOKUP($D107,Update!$B$2:$R$420,6,False)/VLOOKUP($D107,'NO USAR1'!$A$3:$L$420,9,False))</f>
        <v>50</v>
      </c>
      <c r="L107" s="47">
        <f>IF($D107="","", 100*VLOOKUP($D107,Update!$B$2:$R$420,9,False))</f>
        <v>84.61538462</v>
      </c>
      <c r="M107" s="71">
        <f>IF($D107="","", VLOOKUP($D107,Update!$B$2:$R$420,16,False))</f>
        <v>2.8</v>
      </c>
      <c r="N107" s="45" t="str">
        <f>IF($D107="","", VLOOKUP($D107,Update!$B$2:$C$420,2,FALSE))</f>
        <v>PF,C</v>
      </c>
      <c r="O107" s="45">
        <f t="array" ref="O107">COUNTIF(FIND(P107,$N$21:$N$32),"&gt;0")</f>
        <v>0</v>
      </c>
      <c r="P107" s="6" t="s">
        <v>45</v>
      </c>
      <c r="Q107" s="80"/>
    </row>
    <row r="108">
      <c r="B108" s="65">
        <f>Team!$B$24</f>
        <v>100</v>
      </c>
      <c r="C108" s="6">
        <v>4.0</v>
      </c>
      <c r="D108" s="73" t="str">
        <f t="array" ref="D108">INDIRECT("Draft!F"&amp;TEXT(15-A104,"0"))</f>
        <v>Jordan Poole</v>
      </c>
      <c r="E108" s="71">
        <f>IF($D108="","", VLOOKUP($D108,Update!$B$2:$R$420,11,False))</f>
        <v>22</v>
      </c>
      <c r="F108" s="71">
        <f>IF($D108="","", VLOOKUP($D108,Update!$B$2:$R$420,10,False))</f>
        <v>3</v>
      </c>
      <c r="G108" s="71">
        <f>IF($D108="","", VLOOKUP($D108,Update!$B$2:$R$420,12,False))</f>
        <v>3.5</v>
      </c>
      <c r="H108" s="71">
        <f>IF($D108="","", VLOOKUP($D108,Update!$B$2:$R$420,13,False))</f>
        <v>4.8</v>
      </c>
      <c r="I108" s="71">
        <f>IF($D108="","", VLOOKUP($D108,Update!$B$2:$R$420,14,False))</f>
        <v>0.9</v>
      </c>
      <c r="J108" s="71">
        <f>IF($D108="","", VLOOKUP($D108,Update!$B$2:$R$420,15,False))</f>
        <v>0.3</v>
      </c>
      <c r="K108" s="47">
        <f> IF($D108="","", 100*VLOOKUP($D108,Update!$B$2:$R$420,6,False)/VLOOKUP($D108,'NO USAR1'!$A$3:$L$420,9,False))</f>
        <v>43.71257485</v>
      </c>
      <c r="L108" s="47">
        <f>IF($D108="","", 100*VLOOKUP($D108,Update!$B$2:$R$420,9,False))</f>
        <v>87.75510204</v>
      </c>
      <c r="M108" s="71">
        <f>IF($D108="","", VLOOKUP($D108,Update!$B$2:$R$420,16,False))</f>
        <v>3.1</v>
      </c>
      <c r="N108" s="45" t="str">
        <f>IF($D108="","", VLOOKUP($D108,Update!$B$2:$C$420,2,FALSE))</f>
        <v>PG,SG</v>
      </c>
      <c r="O108" s="45">
        <f t="array" ref="O108">COUNTIF(FIND(P108,$N$21:$N$32),"&gt;0")</f>
        <v>0</v>
      </c>
      <c r="P108" s="6" t="s">
        <v>46</v>
      </c>
      <c r="Q108" s="80"/>
    </row>
    <row r="109">
      <c r="B109" s="65">
        <f>Team!$B$25</f>
        <v>100</v>
      </c>
      <c r="C109" s="6">
        <v>5.0</v>
      </c>
      <c r="D109" s="7" t="str">
        <f t="array" ref="D109">INDIRECT("Draft!G"&amp;TEXT(A104+2,"0"))</f>
        <v>Josh Giddey</v>
      </c>
      <c r="E109" s="71">
        <f>IF($D109="","", VLOOKUP($D109,Update!$B$2:$R$420,11,False))</f>
        <v>17.3</v>
      </c>
      <c r="F109" s="71">
        <f>IF($D109="","", VLOOKUP($D109,Update!$B$2:$R$420,10,False))</f>
        <v>1.1</v>
      </c>
      <c r="G109" s="71">
        <f>IF($D109="","", VLOOKUP($D109,Update!$B$2:$R$420,12,False))</f>
        <v>8.1</v>
      </c>
      <c r="H109" s="71">
        <f>IF($D109="","", VLOOKUP($D109,Update!$B$2:$R$420,13,False))</f>
        <v>6.5</v>
      </c>
      <c r="I109" s="71">
        <f>IF($D109="","", VLOOKUP($D109,Update!$B$2:$R$420,14,False))</f>
        <v>0.9</v>
      </c>
      <c r="J109" s="71">
        <f>IF($D109="","", VLOOKUP($D109,Update!$B$2:$R$420,15,False))</f>
        <v>0.4</v>
      </c>
      <c r="K109" s="47">
        <f> IF($D109="","", 100*VLOOKUP($D109,Update!$B$2:$R$420,6,False)/VLOOKUP($D109,'NO USAR1'!$A$3:$L$420,9,False))</f>
        <v>47.77070064</v>
      </c>
      <c r="L109" s="47">
        <f>IF($D109="","", 100*VLOOKUP($D109,Update!$B$2:$R$420,9,False))</f>
        <v>72.22222222</v>
      </c>
      <c r="M109" s="71">
        <f>IF($D109="","", VLOOKUP($D109,Update!$B$2:$R$420,16,False))</f>
        <v>3</v>
      </c>
      <c r="N109" s="45" t="str">
        <f>IF($D109="","", VLOOKUP($D109,Update!$B$2:$C$420,2,FALSE))</f>
        <v>SG,SF,PF</v>
      </c>
      <c r="O109" s="45">
        <f t="array" ref="O109">COUNTIF(FIND(P109,$N$21:$N$32),"&gt;0")</f>
        <v>0</v>
      </c>
      <c r="P109" s="6" t="s">
        <v>47</v>
      </c>
      <c r="Q109" s="80"/>
    </row>
    <row r="110">
      <c r="B110" s="65">
        <f>Team!$B$26</f>
        <v>100</v>
      </c>
      <c r="C110" s="6">
        <v>6.0</v>
      </c>
      <c r="D110" s="73" t="str">
        <f t="array" ref="D110">INDIRECT("Draft!H"&amp;TEXT(15-A104,"0"))</f>
        <v>OG Anunoby</v>
      </c>
      <c r="E110" s="71">
        <f>IF($D110="","", VLOOKUP($D110,Update!$B$2:$R$420,11,False))</f>
        <v>16.1</v>
      </c>
      <c r="F110" s="71">
        <f>IF($D110="","", VLOOKUP($D110,Update!$B$2:$R$420,10,False))</f>
        <v>2.1</v>
      </c>
      <c r="G110" s="71">
        <f>IF($D110="","", VLOOKUP($D110,Update!$B$2:$R$420,12,False))</f>
        <v>4.9</v>
      </c>
      <c r="H110" s="71">
        <f>IF($D110="","", VLOOKUP($D110,Update!$B$2:$R$420,13,False))</f>
        <v>2.1</v>
      </c>
      <c r="I110" s="71">
        <f>IF($D110="","", VLOOKUP($D110,Update!$B$2:$R$420,14,False))</f>
        <v>1.6</v>
      </c>
      <c r="J110" s="71">
        <f>IF($D110="","", VLOOKUP($D110,Update!$B$2:$R$420,15,False))</f>
        <v>0.6</v>
      </c>
      <c r="K110" s="47">
        <f> IF($D110="","", 100*VLOOKUP($D110,Update!$B$2:$R$420,6,False)/VLOOKUP($D110,'NO USAR1'!$A$3:$L$420,9,False))</f>
        <v>45.80152672</v>
      </c>
      <c r="L110" s="47">
        <f>IF($D110="","", 100*VLOOKUP($D110,Update!$B$2:$R$420,9,False))</f>
        <v>79.16666667</v>
      </c>
      <c r="M110" s="71">
        <f>IF($D110="","", VLOOKUP($D110,Update!$B$2:$R$420,16,False))</f>
        <v>1.8</v>
      </c>
      <c r="N110" s="45" t="str">
        <f>IF($D110="","", VLOOKUP($D110,Update!$B$2:$C$420,2,FALSE))</f>
        <v>SG,SF</v>
      </c>
      <c r="O110" s="2"/>
      <c r="P110" s="2"/>
      <c r="Q110" s="2"/>
    </row>
    <row r="111">
      <c r="B111" s="65">
        <f>Team!$B$27</f>
        <v>100</v>
      </c>
      <c r="C111" s="6">
        <v>7.0</v>
      </c>
      <c r="D111" s="7" t="str">
        <f t="array" ref="D111">INDIRECT("Draft!I"&amp;TEXT(A104+2,"0"))</f>
        <v>Anfernee Simons</v>
      </c>
      <c r="E111" s="71">
        <f>IF($D111="","", VLOOKUP($D111,Update!$B$2:$R$420,11,False))</f>
        <v>21.6</v>
      </c>
      <c r="F111" s="71">
        <f>IF($D111="","", VLOOKUP($D111,Update!$B$2:$R$420,10,False))</f>
        <v>3.7</v>
      </c>
      <c r="G111" s="71">
        <f>IF($D111="","", VLOOKUP($D111,Update!$B$2:$R$420,12,False))</f>
        <v>2.9</v>
      </c>
      <c r="H111" s="71">
        <f>IF($D111="","", VLOOKUP($D111,Update!$B$2:$R$420,13,False))</f>
        <v>5.4</v>
      </c>
      <c r="I111" s="71">
        <f>IF($D111="","", VLOOKUP($D111,Update!$B$2:$R$420,14,False))</f>
        <v>0.7</v>
      </c>
      <c r="J111" s="71">
        <f>IF($D111="","", VLOOKUP($D111,Update!$B$2:$R$420,15,False))</f>
        <v>0.2</v>
      </c>
      <c r="K111" s="47">
        <f> IF($D111="","", 100*VLOOKUP($D111,Update!$B$2:$R$420,6,False)/VLOOKUP($D111,'NO USAR1'!$A$3:$L$420,9,False))</f>
        <v>44.37869822</v>
      </c>
      <c r="L111" s="47">
        <f>IF($D111="","", 100*VLOOKUP($D111,Update!$B$2:$R$420,9,False))</f>
        <v>90.625</v>
      </c>
      <c r="M111" s="71">
        <f>IF($D111="","", VLOOKUP($D111,Update!$B$2:$R$420,16,False))</f>
        <v>2.2</v>
      </c>
      <c r="N111" s="45" t="str">
        <f>IF($D111="","", VLOOKUP($D111,Update!$B$2:$C$420,2,FALSE))</f>
        <v>PG,SG</v>
      </c>
      <c r="O111" s="2"/>
      <c r="P111" s="2"/>
      <c r="Q111" s="2"/>
    </row>
    <row r="112">
      <c r="B112" s="65">
        <f>Team!$B$28</f>
        <v>100</v>
      </c>
      <c r="C112" s="6">
        <v>8.0</v>
      </c>
      <c r="D112" s="73" t="str">
        <f t="array" ref="D112">INDIRECT("Draft!J"&amp;TEXT(15-A104,"0"))</f>
        <v>Markelle Fultz</v>
      </c>
      <c r="E112" s="71">
        <f>IF($D112="","", VLOOKUP($D112,Update!$B$2:$R$420,11,False))</f>
        <v>14.4</v>
      </c>
      <c r="F112" s="71">
        <f>IF($D112="","", VLOOKUP($D112,Update!$B$2:$R$420,10,False))</f>
        <v>0.4</v>
      </c>
      <c r="G112" s="71">
        <f>IF($D112="","", VLOOKUP($D112,Update!$B$2:$R$420,12,False))</f>
        <v>4</v>
      </c>
      <c r="H112" s="71">
        <f>IF($D112="","", VLOOKUP($D112,Update!$B$2:$R$420,13,False))</f>
        <v>6.2</v>
      </c>
      <c r="I112" s="71">
        <f>IF($D112="","", VLOOKUP($D112,Update!$B$2:$R$420,14,False))</f>
        <v>1.5</v>
      </c>
      <c r="J112" s="71">
        <f>IF($D112="","", VLOOKUP($D112,Update!$B$2:$R$420,15,False))</f>
        <v>0.4</v>
      </c>
      <c r="K112" s="47">
        <f> IF($D112="","", 100*VLOOKUP($D112,Update!$B$2:$R$420,6,False)/VLOOKUP($D112,'NO USAR1'!$A$3:$L$420,9,False))</f>
        <v>50.42016807</v>
      </c>
      <c r="L112" s="47">
        <f>IF($D112="","", 100*VLOOKUP($D112,Update!$B$2:$R$420,9,False))</f>
        <v>79.16666667</v>
      </c>
      <c r="M112" s="71">
        <f>IF($D112="","", VLOOKUP($D112,Update!$B$2:$R$420,16,False))</f>
        <v>2.5</v>
      </c>
      <c r="N112" s="45" t="str">
        <f>IF($D112="","", VLOOKUP($D112,Update!$B$2:$C$420,2,FALSE))</f>
        <v>PG,SG</v>
      </c>
      <c r="O112" s="2"/>
      <c r="P112" s="2"/>
      <c r="Q112" s="2"/>
    </row>
    <row r="113">
      <c r="B113" s="65">
        <f>Team!$B$29</f>
        <v>100</v>
      </c>
      <c r="C113" s="6">
        <v>9.0</v>
      </c>
      <c r="D113" s="7" t="str">
        <f t="array" ref="D113">INDIRECT("Draft!K"&amp;TEXT(A104+2,"0"))</f>
        <v/>
      </c>
      <c r="E113" s="71" t="str">
        <f>IF($D113="","", VLOOKUP($D113,Update!$B$2:$R$420,11,False))</f>
        <v/>
      </c>
      <c r="F113" s="71" t="str">
        <f>IF($D113="","", VLOOKUP($D113,Update!$B$2:$R$420,10,False))</f>
        <v/>
      </c>
      <c r="G113" s="71" t="str">
        <f>IF($D113="","", VLOOKUP($D113,Update!$B$2:$R$420,12,False))</f>
        <v/>
      </c>
      <c r="H113" s="71" t="str">
        <f>IF($D113="","", VLOOKUP($D113,Update!$B$2:$R$420,13,False))</f>
        <v/>
      </c>
      <c r="I113" s="71" t="str">
        <f>IF($D113="","", VLOOKUP($D113,Update!$B$2:$R$420,14,False))</f>
        <v/>
      </c>
      <c r="J113" s="71" t="str">
        <f>IF($D113="","", VLOOKUP($D113,Update!$B$2:$R$420,15,False))</f>
        <v/>
      </c>
      <c r="K113" s="47" t="str">
        <f> IF($D113="","", 100*VLOOKUP($D113,Update!$B$2:$R$420,6,False)/VLOOKUP($D113,'NO USAR1'!$A$3:$L$420,9,False))</f>
        <v/>
      </c>
      <c r="L113" s="47" t="str">
        <f>IF($D113="","", 100*VLOOKUP($D113,Update!$B$2:$R$420,9,False))</f>
        <v/>
      </c>
      <c r="M113" s="71" t="str">
        <f>IF($D113="","", VLOOKUP($D113,Update!$B$2:$R$420,16,False))</f>
        <v/>
      </c>
      <c r="N113" s="45" t="str">
        <f>IF($D113="","", VLOOKUP($D113,Update!$B$2:$C$420,2,FALSE))</f>
        <v/>
      </c>
      <c r="O113" s="2"/>
      <c r="P113" s="2"/>
      <c r="Q113" s="2"/>
    </row>
    <row r="114">
      <c r="B114" s="65">
        <f>Team!$B$30</f>
        <v>100</v>
      </c>
      <c r="C114" s="6">
        <v>10.0</v>
      </c>
      <c r="D114" s="73" t="str">
        <f t="array" ref="D114">INDIRECT("Draft!L"&amp;TEXT(15-A104,"0"))</f>
        <v/>
      </c>
      <c r="E114" s="71" t="str">
        <f>IF($D114="","", VLOOKUP($D114,Update!$B$2:$R$420,11,False))</f>
        <v/>
      </c>
      <c r="F114" s="71" t="str">
        <f>IF($D114="","", VLOOKUP($D114,Update!$B$2:$R$420,10,False))</f>
        <v/>
      </c>
      <c r="G114" s="71" t="str">
        <f>IF($D114="","", VLOOKUP($D114,Update!$B$2:$R$420,12,False))</f>
        <v/>
      </c>
      <c r="H114" s="71" t="str">
        <f>IF($D114="","", VLOOKUP($D114,Update!$B$2:$R$420,13,False))</f>
        <v/>
      </c>
      <c r="I114" s="71" t="str">
        <f>IF($D114="","", VLOOKUP($D114,Update!$B$2:$R$420,14,False))</f>
        <v/>
      </c>
      <c r="J114" s="71" t="str">
        <f>IF($D114="","", VLOOKUP($D114,Update!$B$2:$R$420,15,False))</f>
        <v/>
      </c>
      <c r="K114" s="47" t="str">
        <f> IF($D114="","", 100*VLOOKUP($D114,Update!$B$2:$R$420,6,False)/VLOOKUP($D114,'NO USAR1'!$A$3:$L$420,9,False))</f>
        <v/>
      </c>
      <c r="L114" s="47" t="str">
        <f>IF($D114="","", 100*VLOOKUP($D114,Update!$B$2:$R$420,9,False))</f>
        <v/>
      </c>
      <c r="M114" s="71" t="str">
        <f>IF($D114="","", VLOOKUP($D114,Update!$B$2:$R$420,16,False))</f>
        <v/>
      </c>
      <c r="N114" s="45" t="str">
        <f>IF($D114="","", VLOOKUP($D114,Update!$B$2:$C$420,2,FALSE))</f>
        <v/>
      </c>
      <c r="O114" s="2"/>
      <c r="P114" s="2"/>
      <c r="Q114" s="2"/>
    </row>
    <row r="115">
      <c r="B115" s="65">
        <f>Team!$B$31</f>
        <v>100</v>
      </c>
      <c r="C115" s="6">
        <v>11.0</v>
      </c>
      <c r="D115" s="7" t="str">
        <f t="array" ref="D115">INDIRECT("Draft!M"&amp;TEXT(A104+2,"0"))</f>
        <v/>
      </c>
      <c r="E115" s="71" t="str">
        <f>IF($D115="","", VLOOKUP($D115,Update!$B$2:$R$420,11,False))</f>
        <v/>
      </c>
      <c r="F115" s="71" t="str">
        <f>IF($D115="","", VLOOKUP($D115,Update!$B$2:$R$420,10,False))</f>
        <v/>
      </c>
      <c r="G115" s="71" t="str">
        <f>IF($D115="","", VLOOKUP($D115,Update!$B$2:$R$420,12,False))</f>
        <v/>
      </c>
      <c r="H115" s="71" t="str">
        <f>IF($D115="","", VLOOKUP($D115,Update!$B$2:$R$420,13,False))</f>
        <v/>
      </c>
      <c r="I115" s="71" t="str">
        <f>IF($D115="","", VLOOKUP($D115,Update!$B$2:$R$420,14,False))</f>
        <v/>
      </c>
      <c r="J115" s="71" t="str">
        <f>IF($D115="","", VLOOKUP($D115,Update!$B$2:$R$420,15,False))</f>
        <v/>
      </c>
      <c r="K115" s="47" t="str">
        <f> IF($D115="","", 100*VLOOKUP($D115,Update!$B$2:$R$420,6,False)/VLOOKUP($D115,'NO USAR1'!$A$3:$L$420,9,False))</f>
        <v/>
      </c>
      <c r="L115" s="47" t="str">
        <f>IF($D115="","", 100*VLOOKUP($D115,Update!$B$2:$R$420,9,False))</f>
        <v/>
      </c>
      <c r="M115" s="71" t="str">
        <f>IF($D115="","", VLOOKUP($D115,Update!$B$2:$R$420,16,False))</f>
        <v/>
      </c>
      <c r="N115" s="45" t="str">
        <f>IF($D115="","", VLOOKUP($D115,Update!$B$2:$C$420,2,FALSE))</f>
        <v/>
      </c>
      <c r="O115" s="2"/>
      <c r="P115" s="2"/>
      <c r="Q115" s="2"/>
    </row>
    <row r="116">
      <c r="B116" s="65">
        <f>Team!$B$32</f>
        <v>100</v>
      </c>
      <c r="C116" s="6">
        <v>12.0</v>
      </c>
      <c r="D116" s="73" t="str">
        <f t="array" ref="D116">INDIRECT("Draft!N"&amp;TEXT(15-A104,"0"))</f>
        <v/>
      </c>
      <c r="E116" s="71" t="str">
        <f>IF($D116="","", VLOOKUP($D116,Update!$B$2:$R$420,11,False))</f>
        <v/>
      </c>
      <c r="F116" s="71" t="str">
        <f>IF($D116="","", VLOOKUP($D116,Update!$B$2:$R$420,10,False))</f>
        <v/>
      </c>
      <c r="G116" s="71" t="str">
        <f>IF($D116="","", VLOOKUP($D116,Update!$B$2:$R$420,12,False))</f>
        <v/>
      </c>
      <c r="H116" s="71" t="str">
        <f>IF($D116="","", VLOOKUP($D116,Update!$B$2:$R$420,13,False))</f>
        <v/>
      </c>
      <c r="I116" s="71" t="str">
        <f>IF($D116="","", VLOOKUP($D116,Update!$B$2:$R$420,14,False))</f>
        <v/>
      </c>
      <c r="J116" s="71" t="str">
        <f>IF($D116="","", VLOOKUP($D116,Update!$B$2:$R$420,15,False))</f>
        <v/>
      </c>
      <c r="K116" s="47" t="str">
        <f> IF($D116="","", 100*VLOOKUP($D116,Update!$B$2:$R$420,6,False)/VLOOKUP($D116,'NO USAR1'!$A$3:$L$420,9,False))</f>
        <v/>
      </c>
      <c r="L116" s="47" t="str">
        <f>IF($D116="","", 100*VLOOKUP($D116,Update!$B$2:$R$420,9,False))</f>
        <v/>
      </c>
      <c r="M116" s="71" t="str">
        <f>IF($D116="","", VLOOKUP($D116,Update!$B$2:$R$420,16,False))</f>
        <v/>
      </c>
      <c r="N116" s="45" t="str">
        <f>IF($D116="","", VLOOKUP($D116,Update!$B$2:$C$420,2,FALSE))</f>
        <v/>
      </c>
      <c r="O116" s="2"/>
      <c r="P116" s="2"/>
      <c r="Q116" s="2"/>
    </row>
    <row r="117">
      <c r="B117" s="65">
        <f>Team!$B$33</f>
        <v>100</v>
      </c>
      <c r="C117" s="6">
        <v>13.0</v>
      </c>
      <c r="D117" s="6" t="str">
        <f t="array" ref="D117">INDIRECT("Draft!O"&amp;TEXT(A104+2,"0"))</f>
        <v/>
      </c>
      <c r="E117" s="71" t="str">
        <f>IF($D117="","", VLOOKUP($D117,Update!$B$2:$R$420,11,False))</f>
        <v/>
      </c>
      <c r="F117" s="71" t="str">
        <f>IF($D117="","", VLOOKUP($D117,Update!$B$2:$R$420,10,False))</f>
        <v/>
      </c>
      <c r="G117" s="71" t="str">
        <f>IF($D117="","", VLOOKUP($D117,Update!$B$2:$R$420,12,False))</f>
        <v/>
      </c>
      <c r="H117" s="71" t="str">
        <f>IF($D117="","", VLOOKUP($D117,Update!$B$2:$R$420,13,False))</f>
        <v/>
      </c>
      <c r="I117" s="71" t="str">
        <f>IF($D117="","", VLOOKUP($D117,Update!$B$2:$R$420,14,False))</f>
        <v/>
      </c>
      <c r="J117" s="71" t="str">
        <f>IF($D117="","", VLOOKUP($D117,Update!$B$2:$R$420,15,False))</f>
        <v/>
      </c>
      <c r="K117" s="47" t="str">
        <f> IF($D117="","", 100*VLOOKUP($D117,Update!$B$2:$R$420,6,False)/VLOOKUP($D117,'NO USAR1'!$A$3:$L$420,9,False))</f>
        <v/>
      </c>
      <c r="L117" s="47" t="str">
        <f>IF($D117="","", 100*VLOOKUP($D117,Update!$B$2:$R$420,9,False))</f>
        <v/>
      </c>
      <c r="M117" s="71" t="str">
        <f>IF($D117="","", VLOOKUP($D117,Update!$B$2:$R$420,16,False))</f>
        <v/>
      </c>
      <c r="N117" s="2"/>
      <c r="O117" s="2"/>
      <c r="P117" s="2"/>
      <c r="Q117" s="2"/>
    </row>
    <row r="118">
      <c r="B118" s="65">
        <f>Team!$B$34</f>
        <v>0</v>
      </c>
      <c r="C118" s="6">
        <v>14.0</v>
      </c>
      <c r="D118" s="72" t="str">
        <f t="array" ref="D118">INDIRECT("Draft!P"&amp;TEXT(15-A104,"0"))</f>
        <v/>
      </c>
      <c r="E118" s="71" t="str">
        <f>IF($D118="","", VLOOKUP($D118,Update!$B$2:$R$420,11,False))</f>
        <v/>
      </c>
      <c r="F118" s="71" t="str">
        <f>IF($D118="","", VLOOKUP($D118,Update!$B$2:$R$420,10,False))</f>
        <v/>
      </c>
      <c r="G118" s="71" t="str">
        <f>IF($D118="","", VLOOKUP($D118,Update!$B$2:$R$420,12,False))</f>
        <v/>
      </c>
      <c r="H118" s="71" t="str">
        <f>IF($D118="","", VLOOKUP($D118,Update!$B$2:$R$420,13,False))</f>
        <v/>
      </c>
      <c r="I118" s="71" t="str">
        <f>IF($D118="","", VLOOKUP($D118,Update!$B$2:$R$420,14,False))</f>
        <v/>
      </c>
      <c r="J118" s="71" t="str">
        <f>IF($D118="","", VLOOKUP($D118,Update!$B$2:$R$420,15,False))</f>
        <v/>
      </c>
      <c r="K118" s="47" t="str">
        <f> IF($D118="","", 100*VLOOKUP($D118,Update!$B$2:$R$420,6,False)/VLOOKUP($D118,'NO USAR1'!$A$3:$L$420,9,False))</f>
        <v/>
      </c>
      <c r="L118" s="47" t="str">
        <f>IF($D118="","", 100*VLOOKUP($D118,Update!$B$2:$R$420,9,False))</f>
        <v/>
      </c>
      <c r="M118" s="71" t="str">
        <f>IF($D118="","", VLOOKUP($D118,Update!$B$2:$R$420,16,False))</f>
        <v/>
      </c>
      <c r="N118" s="2"/>
      <c r="O118" s="2"/>
      <c r="P118" s="2"/>
      <c r="Q118" s="2"/>
    </row>
    <row r="119">
      <c r="A119" s="78" t="s">
        <v>81</v>
      </c>
      <c r="D119" s="76" t="s">
        <v>80</v>
      </c>
      <c r="E119" s="47">
        <f t="shared" ref="E119:J119" si="7">AVERAGE(SUMPRODUCT(E105:E118,$B105:$B118/100))/(SUM(OFFSET($B105,0,0,COUNT(E105:E118)))/100)</f>
        <v>20.225</v>
      </c>
      <c r="F119" s="47">
        <f t="shared" si="7"/>
        <v>2.025</v>
      </c>
      <c r="G119" s="47">
        <f t="shared" si="7"/>
        <v>6.5625</v>
      </c>
      <c r="H119" s="47">
        <f t="shared" si="7"/>
        <v>5.2125</v>
      </c>
      <c r="I119" s="47">
        <f t="shared" si="7"/>
        <v>1.0375</v>
      </c>
      <c r="J119" s="47">
        <f t="shared" si="7"/>
        <v>0.475</v>
      </c>
      <c r="K119" s="47">
        <f t="array" ref="K119">IFERROR(100*SUMPRODUCT(IFERROR(VLOOKUP($D105:$D118,Update!$B:$S,6,False),"")*$B105:$B118/100)/SUMPRODUCT(IFERROR(VLOOKUP($D105:$D118,Update!$B:$S,17,False),"")*$B105:$B118/100),"")</f>
        <v>48.16326531</v>
      </c>
      <c r="L119" s="47">
        <f t="array" ref="L119">IFERROR(100*SUMPRODUCT(IFERROR(VLOOKUP($D105:$D118,Update!$B:$S,8,False),"")*$B105:$B118/100)/SUMPRODUCT(IFERROR(VLOOKUP($D105:$D118,Update!$B:$S,18,False),"")*$B105:$B118/100),"")</f>
        <v>82.77945619</v>
      </c>
      <c r="M119" s="47">
        <f>AVERAGE(SUMPRODUCT(M105:M118,$B105:$B118/100))/(SUM(OFFSET($B105,0,0,COUNT(M105:M118)))/100)</f>
        <v>2.675</v>
      </c>
      <c r="N119" s="2"/>
    </row>
    <row r="120">
      <c r="A120" s="78"/>
      <c r="D120" s="76" t="s">
        <v>84</v>
      </c>
      <c r="E120" s="46">
        <f>(SUM(OFFSET('All Teams'!$B105,0,0,COUNT('All Teams'!E105:E118)))/100)*('All Teams'!E119-'NO USAR1'!$B$1)/'NO USAR1'!$B$2</f>
        <v>4.001939698</v>
      </c>
      <c r="F120" s="46">
        <f>(SUM(OFFSET('All Teams'!$B105,0,0,COUNT('All Teams'!F105:F118)))/100)*('All Teams'!F119-'NO USAR1'!$C$1)/'NO USAR1'!$C$2</f>
        <v>2.931537618</v>
      </c>
      <c r="G120" s="46">
        <f>(SUM(OFFSET('All Teams'!$B105,0,0,COUNT('All Teams'!G105:G118)))/100)*('All Teams'!G119-'NO USAR1'!$D$1)/'NO USAR1'!$D$2</f>
        <v>1.562779756</v>
      </c>
      <c r="H120" s="46">
        <f>(SUM(OFFSET('All Teams'!$B105,0,0,COUNT('All Teams'!H105:H118)))/100)*('All Teams'!H119-'NO USAR1'!$E$1)/'NO USAR1'!$E$2</f>
        <v>5.076135797</v>
      </c>
      <c r="I120" s="46">
        <f>(SUM(OFFSET('All Teams'!$B105,0,0,COUNT('All Teams'!I105:I118)))/100)*('All Teams'!I119-'NO USAR1'!$F$1)/'NO USAR1'!$F$2</f>
        <v>1.067406181</v>
      </c>
      <c r="J120" s="46">
        <f>(SUM(OFFSET('All Teams'!$B105,0,0,COUNT('All Teams'!J105:J118)))/100)*('All Teams'!J119-'NO USAR1'!$G$1)/'NO USAR1'!$G$2</f>
        <v>-3.396703053</v>
      </c>
      <c r="K120" s="46">
        <f t="array" ref="K120">SUMPRODUCT(IFERROR(VLOOKUP($D105:$D118,'NO USAR1'!$A$4:$L$403,8,False)*$B105:$B118/100,""))</f>
        <v>-1.951219031</v>
      </c>
      <c r="L120" s="46">
        <f t="array" ref="L120">SUMPRODUCT(IFERROR(VLOOKUP($D105:$D118,'NO USAR1'!$A$4:$L$403,10,False)*$B105:$B118/100,""))</f>
        <v>3.913648713</v>
      </c>
      <c r="M120" s="46">
        <f>-(SUM(OFFSET('All Teams'!$B105,0,0,COUNT('All Teams'!M105:M118)))/100)*('All Teams'!M119-'NO USAR1'!$L$1)/'NO USAR1'!$L$2</f>
        <v>-6.758976616</v>
      </c>
      <c r="N120" s="2"/>
    </row>
    <row r="121">
      <c r="A121" s="79">
        <v>8.0</v>
      </c>
      <c r="B121" s="4" t="s">
        <v>82</v>
      </c>
      <c r="C121" s="6"/>
      <c r="D121" s="4" t="s">
        <v>83</v>
      </c>
      <c r="E121" s="40" t="s">
        <v>34</v>
      </c>
      <c r="F121" s="40" t="s">
        <v>35</v>
      </c>
      <c r="G121" s="40" t="s">
        <v>36</v>
      </c>
      <c r="H121" s="40" t="s">
        <v>37</v>
      </c>
      <c r="I121" s="40" t="s">
        <v>38</v>
      </c>
      <c r="J121" s="40" t="s">
        <v>61</v>
      </c>
      <c r="K121" s="40" t="s">
        <v>40</v>
      </c>
      <c r="L121" s="40" t="s">
        <v>41</v>
      </c>
      <c r="M121" s="40" t="s">
        <v>42</v>
      </c>
      <c r="N121" s="4" t="s">
        <v>78</v>
      </c>
      <c r="O121" s="4" t="s">
        <v>79</v>
      </c>
      <c r="P121" s="4" t="s">
        <v>78</v>
      </c>
      <c r="Q121" s="69"/>
    </row>
    <row r="122">
      <c r="B122" s="65">
        <f>Team!$B$21</f>
        <v>100</v>
      </c>
      <c r="C122" s="6">
        <v>1.0</v>
      </c>
      <c r="D122" s="6" t="str">
        <f t="array" ref="D122">INDIRECT("Draft!C"&amp;TEXT(A121+2,"0"))</f>
        <v/>
      </c>
      <c r="E122" s="71" t="str">
        <f>IF($D122="","", VLOOKUP($D122,Update!$B$2:$R$420,11,False))</f>
        <v/>
      </c>
      <c r="F122" s="71" t="str">
        <f>IF($D122="","", VLOOKUP($D122,Update!$B$2:$R$420,10,False))</f>
        <v/>
      </c>
      <c r="G122" s="71" t="str">
        <f>IF($D122="","", VLOOKUP($D122,Update!$B$2:$R$420,12,False))</f>
        <v/>
      </c>
      <c r="H122" s="71" t="str">
        <f>IF($D122="","", VLOOKUP($D122,Update!$B$2:$R$420,13,False))</f>
        <v/>
      </c>
      <c r="I122" s="71" t="str">
        <f>IF($D122="","", VLOOKUP($D122,Update!$B$2:$R$420,14,False))</f>
        <v/>
      </c>
      <c r="J122" s="71" t="str">
        <f>IF($D122="","", VLOOKUP($D122,Update!$B$2:$R$420,15,False))</f>
        <v/>
      </c>
      <c r="K122" s="47" t="str">
        <f> IF($D122="","", 100*VLOOKUP($D122,Update!$B$2:$R$420,6,False)/VLOOKUP($D122,'NO USAR1'!$A$3:$L$420,9,False))</f>
        <v/>
      </c>
      <c r="L122" s="47" t="str">
        <f>IF($D122="","", 100*VLOOKUP($D122,Update!$B$2:$R$420,9,False))</f>
        <v/>
      </c>
      <c r="M122" s="71" t="str">
        <f>IF($D122="","", VLOOKUP($D122,Update!$B$2:$R$420,16,False))</f>
        <v/>
      </c>
      <c r="N122" s="45" t="str">
        <f>IF($D122="","", VLOOKUP($D122,Update!$B$2:$C$420,2,FALSE))</f>
        <v/>
      </c>
      <c r="O122" s="45">
        <f t="array" ref="O122">COUNTIF(FIND(P122,$N$21:$N$32),"&gt;0")</f>
        <v>0</v>
      </c>
      <c r="P122" s="6" t="s">
        <v>43</v>
      </c>
      <c r="Q122" s="80"/>
    </row>
    <row r="123">
      <c r="B123" s="65">
        <f>Team!$B$22</f>
        <v>100</v>
      </c>
      <c r="C123" s="6">
        <v>2.0</v>
      </c>
      <c r="D123" s="72" t="str">
        <f t="array" ref="D123">INDIRECT("Draft!D"&amp;TEXT(15-A121,"0"))</f>
        <v/>
      </c>
      <c r="E123" s="71" t="str">
        <f>IF($D123="","", VLOOKUP($D123,Update!$B$2:$R$420,11,False))</f>
        <v/>
      </c>
      <c r="F123" s="71" t="str">
        <f>IF($D123="","", VLOOKUP($D123,Update!$B$2:$R$420,10,False))</f>
        <v/>
      </c>
      <c r="G123" s="71" t="str">
        <f>IF($D123="","", VLOOKUP($D123,Update!$B$2:$R$420,12,False))</f>
        <v/>
      </c>
      <c r="H123" s="71" t="str">
        <f>IF($D123="","", VLOOKUP($D123,Update!$B$2:$R$420,13,False))</f>
        <v/>
      </c>
      <c r="I123" s="71" t="str">
        <f>IF($D123="","", VLOOKUP($D123,Update!$B$2:$R$420,14,False))</f>
        <v/>
      </c>
      <c r="J123" s="71" t="str">
        <f>IF($D123="","", VLOOKUP($D123,Update!$B$2:$R$420,15,False))</f>
        <v/>
      </c>
      <c r="K123" s="47" t="str">
        <f> IF($D123="","", 100*VLOOKUP($D123,Update!$B$2:$R$420,6,False)/VLOOKUP($D123,'NO USAR1'!$A$3:$L$420,9,False))</f>
        <v/>
      </c>
      <c r="L123" s="47" t="str">
        <f>IF($D123="","", 100*VLOOKUP($D123,Update!$B$2:$R$420,9,False))</f>
        <v/>
      </c>
      <c r="M123" s="71" t="str">
        <f>IF($D123="","", VLOOKUP($D123,Update!$B$2:$R$420,16,False))</f>
        <v/>
      </c>
      <c r="N123" s="45" t="str">
        <f>IF($D123="","", VLOOKUP($D123,Update!$B$2:$C$420,2,FALSE))</f>
        <v/>
      </c>
      <c r="O123" s="45">
        <f t="array" ref="O123">COUNTIF(FIND(P123,$N$21:$N$32),"&gt;0")</f>
        <v>0</v>
      </c>
      <c r="P123" s="6" t="s">
        <v>44</v>
      </c>
      <c r="Q123" s="80"/>
    </row>
    <row r="124">
      <c r="B124" s="65">
        <f>Team!$B$23</f>
        <v>100</v>
      </c>
      <c r="C124" s="6">
        <v>3.0</v>
      </c>
      <c r="D124" s="7" t="str">
        <f t="array" ref="D124">INDIRECT("Draft!E"&amp;TEXT(A121+2,"0"))</f>
        <v/>
      </c>
      <c r="E124" s="71" t="str">
        <f>IF($D124="","", VLOOKUP($D124,Update!$B$2:$R$420,11,False))</f>
        <v/>
      </c>
      <c r="F124" s="71" t="str">
        <f>IF($D124="","", VLOOKUP($D124,Update!$B$2:$R$420,10,False))</f>
        <v/>
      </c>
      <c r="G124" s="71" t="str">
        <f>IF($D124="","", VLOOKUP($D124,Update!$B$2:$R$420,12,False))</f>
        <v/>
      </c>
      <c r="H124" s="71" t="str">
        <f>IF($D124="","", VLOOKUP($D124,Update!$B$2:$R$420,13,False))</f>
        <v/>
      </c>
      <c r="I124" s="71" t="str">
        <f>IF($D124="","", VLOOKUP($D124,Update!$B$2:$R$420,14,False))</f>
        <v/>
      </c>
      <c r="J124" s="71" t="str">
        <f>IF($D124="","", VLOOKUP($D124,Update!$B$2:$R$420,15,False))</f>
        <v/>
      </c>
      <c r="K124" s="47" t="str">
        <f> IF($D124="","", 100*VLOOKUP($D124,Update!$B$2:$R$420,6,False)/VLOOKUP($D124,'NO USAR1'!$A$3:$L$420,9,False))</f>
        <v/>
      </c>
      <c r="L124" s="47" t="str">
        <f>IF($D124="","", 100*VLOOKUP($D124,Update!$B$2:$R$420,9,False))</f>
        <v/>
      </c>
      <c r="M124" s="71" t="str">
        <f>IF($D124="","", VLOOKUP($D124,Update!$B$2:$R$420,16,False))</f>
        <v/>
      </c>
      <c r="N124" s="45" t="str">
        <f>IF($D124="","", VLOOKUP($D124,Update!$B$2:$C$420,2,FALSE))</f>
        <v/>
      </c>
      <c r="O124" s="45">
        <f t="array" ref="O124">COUNTIF(FIND(P124,$N$21:$N$32),"&gt;0")</f>
        <v>0</v>
      </c>
      <c r="P124" s="6" t="s">
        <v>45</v>
      </c>
      <c r="Q124" s="80"/>
    </row>
    <row r="125">
      <c r="B125" s="65">
        <f>Team!$B$24</f>
        <v>100</v>
      </c>
      <c r="C125" s="6">
        <v>4.0</v>
      </c>
      <c r="D125" s="73" t="str">
        <f t="array" ref="D125">INDIRECT("Draft!F"&amp;TEXT(15-A121,"0"))</f>
        <v/>
      </c>
      <c r="E125" s="71" t="str">
        <f>IF($D125="","", VLOOKUP($D125,Update!$B$2:$R$420,11,False))</f>
        <v/>
      </c>
      <c r="F125" s="71" t="str">
        <f>IF($D125="","", VLOOKUP($D125,Update!$B$2:$R$420,10,False))</f>
        <v/>
      </c>
      <c r="G125" s="71" t="str">
        <f>IF($D125="","", VLOOKUP($D125,Update!$B$2:$R$420,12,False))</f>
        <v/>
      </c>
      <c r="H125" s="71" t="str">
        <f>IF($D125="","", VLOOKUP($D125,Update!$B$2:$R$420,13,False))</f>
        <v/>
      </c>
      <c r="I125" s="71" t="str">
        <f>IF($D125="","", VLOOKUP($D125,Update!$B$2:$R$420,14,False))</f>
        <v/>
      </c>
      <c r="J125" s="71" t="str">
        <f>IF($D125="","", VLOOKUP($D125,Update!$B$2:$R$420,15,False))</f>
        <v/>
      </c>
      <c r="K125" s="47" t="str">
        <f> IF($D125="","", 100*VLOOKUP($D125,Update!$B$2:$R$420,6,False)/VLOOKUP($D125,'NO USAR1'!$A$3:$L$420,9,False))</f>
        <v/>
      </c>
      <c r="L125" s="47" t="str">
        <f>IF($D125="","", 100*VLOOKUP($D125,Update!$B$2:$R$420,9,False))</f>
        <v/>
      </c>
      <c r="M125" s="71" t="str">
        <f>IF($D125="","", VLOOKUP($D125,Update!$B$2:$R$420,16,False))</f>
        <v/>
      </c>
      <c r="N125" s="45" t="str">
        <f>IF($D125="","", VLOOKUP($D125,Update!$B$2:$C$420,2,FALSE))</f>
        <v/>
      </c>
      <c r="O125" s="45">
        <f t="array" ref="O125">COUNTIF(FIND(P125,$N$21:$N$32),"&gt;0")</f>
        <v>0</v>
      </c>
      <c r="P125" s="6" t="s">
        <v>46</v>
      </c>
      <c r="Q125" s="80"/>
    </row>
    <row r="126">
      <c r="B126" s="65">
        <f>Team!$B$25</f>
        <v>100</v>
      </c>
      <c r="C126" s="6">
        <v>5.0</v>
      </c>
      <c r="D126" s="7" t="str">
        <f t="array" ref="D126">INDIRECT("Draft!G"&amp;TEXT(A121+2,"0"))</f>
        <v/>
      </c>
      <c r="E126" s="71" t="str">
        <f>IF($D126="","", VLOOKUP($D126,Update!$B$2:$R$420,11,False))</f>
        <v/>
      </c>
      <c r="F126" s="71" t="str">
        <f>IF($D126="","", VLOOKUP($D126,Update!$B$2:$R$420,10,False))</f>
        <v/>
      </c>
      <c r="G126" s="71" t="str">
        <f>IF($D126="","", VLOOKUP($D126,Update!$B$2:$R$420,12,False))</f>
        <v/>
      </c>
      <c r="H126" s="71" t="str">
        <f>IF($D126="","", VLOOKUP($D126,Update!$B$2:$R$420,13,False))</f>
        <v/>
      </c>
      <c r="I126" s="71" t="str">
        <f>IF($D126="","", VLOOKUP($D126,Update!$B$2:$R$420,14,False))</f>
        <v/>
      </c>
      <c r="J126" s="71" t="str">
        <f>IF($D126="","", VLOOKUP($D126,Update!$B$2:$R$420,15,False))</f>
        <v/>
      </c>
      <c r="K126" s="47" t="str">
        <f> IF($D126="","", 100*VLOOKUP($D126,Update!$B$2:$R$420,6,False)/VLOOKUP($D126,'NO USAR1'!$A$3:$L$420,9,False))</f>
        <v/>
      </c>
      <c r="L126" s="47" t="str">
        <f>IF($D126="","", 100*VLOOKUP($D126,Update!$B$2:$R$420,9,False))</f>
        <v/>
      </c>
      <c r="M126" s="71" t="str">
        <f>IF($D126="","", VLOOKUP($D126,Update!$B$2:$R$420,16,False))</f>
        <v/>
      </c>
      <c r="N126" s="45" t="str">
        <f>IF($D126="","", VLOOKUP($D126,Update!$B$2:$C$420,2,FALSE))</f>
        <v/>
      </c>
      <c r="O126" s="45">
        <f t="array" ref="O126">COUNTIF(FIND(P126,$N$21:$N$32),"&gt;0")</f>
        <v>0</v>
      </c>
      <c r="P126" s="6" t="s">
        <v>47</v>
      </c>
      <c r="Q126" s="80"/>
    </row>
    <row r="127">
      <c r="B127" s="65">
        <f>Team!$B$26</f>
        <v>100</v>
      </c>
      <c r="C127" s="6">
        <v>6.0</v>
      </c>
      <c r="D127" s="73" t="str">
        <f t="array" ref="D127">INDIRECT("Draft!H"&amp;TEXT(15-A121,"0"))</f>
        <v/>
      </c>
      <c r="E127" s="71" t="str">
        <f>IF($D127="","", VLOOKUP($D127,Update!$B$2:$R$420,11,False))</f>
        <v/>
      </c>
      <c r="F127" s="71" t="str">
        <f>IF($D127="","", VLOOKUP($D127,Update!$B$2:$R$420,10,False))</f>
        <v/>
      </c>
      <c r="G127" s="71" t="str">
        <f>IF($D127="","", VLOOKUP($D127,Update!$B$2:$R$420,12,False))</f>
        <v/>
      </c>
      <c r="H127" s="71" t="str">
        <f>IF($D127="","", VLOOKUP($D127,Update!$B$2:$R$420,13,False))</f>
        <v/>
      </c>
      <c r="I127" s="71" t="str">
        <f>IF($D127="","", VLOOKUP($D127,Update!$B$2:$R$420,14,False))</f>
        <v/>
      </c>
      <c r="J127" s="71" t="str">
        <f>IF($D127="","", VLOOKUP($D127,Update!$B$2:$R$420,15,False))</f>
        <v/>
      </c>
      <c r="K127" s="47" t="str">
        <f> IF($D127="","", 100*VLOOKUP($D127,Update!$B$2:$R$420,6,False)/VLOOKUP($D127,'NO USAR1'!$A$3:$L$420,9,False))</f>
        <v/>
      </c>
      <c r="L127" s="47" t="str">
        <f>IF($D127="","", 100*VLOOKUP($D127,Update!$B$2:$R$420,9,False))</f>
        <v/>
      </c>
      <c r="M127" s="71" t="str">
        <f>IF($D127="","", VLOOKUP($D127,Update!$B$2:$R$420,16,False))</f>
        <v/>
      </c>
      <c r="N127" s="45" t="str">
        <f>IF($D127="","", VLOOKUP($D127,Update!$B$2:$C$420,2,FALSE))</f>
        <v/>
      </c>
      <c r="O127" s="2"/>
      <c r="P127" s="2"/>
      <c r="Q127" s="2"/>
    </row>
    <row r="128">
      <c r="B128" s="65">
        <f>Team!$B$27</f>
        <v>100</v>
      </c>
      <c r="C128" s="6">
        <v>7.0</v>
      </c>
      <c r="D128" s="7" t="str">
        <f t="array" ref="D128">INDIRECT("Draft!I"&amp;TEXT(A121+2,"0"))</f>
        <v/>
      </c>
      <c r="E128" s="71" t="str">
        <f>IF($D128="","", VLOOKUP($D128,Update!$B$2:$R$420,11,False))</f>
        <v/>
      </c>
      <c r="F128" s="71" t="str">
        <f>IF($D128="","", VLOOKUP($D128,Update!$B$2:$R$420,10,False))</f>
        <v/>
      </c>
      <c r="G128" s="71" t="str">
        <f>IF($D128="","", VLOOKUP($D128,Update!$B$2:$R$420,12,False))</f>
        <v/>
      </c>
      <c r="H128" s="71" t="str">
        <f>IF($D128="","", VLOOKUP($D128,Update!$B$2:$R$420,13,False))</f>
        <v/>
      </c>
      <c r="I128" s="71" t="str">
        <f>IF($D128="","", VLOOKUP($D128,Update!$B$2:$R$420,14,False))</f>
        <v/>
      </c>
      <c r="J128" s="71" t="str">
        <f>IF($D128="","", VLOOKUP($D128,Update!$B$2:$R$420,15,False))</f>
        <v/>
      </c>
      <c r="K128" s="47" t="str">
        <f> IF($D128="","", 100*VLOOKUP($D128,Update!$B$2:$R$420,6,False)/VLOOKUP($D128,'NO USAR1'!$A$3:$L$420,9,False))</f>
        <v/>
      </c>
      <c r="L128" s="47" t="str">
        <f>IF($D128="","", 100*VLOOKUP($D128,Update!$B$2:$R$420,9,False))</f>
        <v/>
      </c>
      <c r="M128" s="71" t="str">
        <f>IF($D128="","", VLOOKUP($D128,Update!$B$2:$R$420,16,False))</f>
        <v/>
      </c>
      <c r="N128" s="45" t="str">
        <f>IF($D128="","", VLOOKUP($D128,Update!$B$2:$C$420,2,FALSE))</f>
        <v/>
      </c>
      <c r="O128" s="2"/>
      <c r="P128" s="2"/>
      <c r="Q128" s="2"/>
    </row>
    <row r="129">
      <c r="B129" s="65">
        <f>Team!$B$28</f>
        <v>100</v>
      </c>
      <c r="C129" s="6">
        <v>8.0</v>
      </c>
      <c r="D129" s="73" t="str">
        <f t="array" ref="D129">INDIRECT("Draft!J"&amp;TEXT(15-A121,"0"))</f>
        <v/>
      </c>
      <c r="E129" s="71" t="str">
        <f>IF($D129="","", VLOOKUP($D129,Update!$B$2:$R$420,11,False))</f>
        <v/>
      </c>
      <c r="F129" s="71" t="str">
        <f>IF($D129="","", VLOOKUP($D129,Update!$B$2:$R$420,10,False))</f>
        <v/>
      </c>
      <c r="G129" s="71" t="str">
        <f>IF($D129="","", VLOOKUP($D129,Update!$B$2:$R$420,12,False))</f>
        <v/>
      </c>
      <c r="H129" s="71" t="str">
        <f>IF($D129="","", VLOOKUP($D129,Update!$B$2:$R$420,13,False))</f>
        <v/>
      </c>
      <c r="I129" s="71" t="str">
        <f>IF($D129="","", VLOOKUP($D129,Update!$B$2:$R$420,14,False))</f>
        <v/>
      </c>
      <c r="J129" s="71" t="str">
        <f>IF($D129="","", VLOOKUP($D129,Update!$B$2:$R$420,15,False))</f>
        <v/>
      </c>
      <c r="K129" s="47" t="str">
        <f> IF($D129="","", 100*VLOOKUP($D129,Update!$B$2:$R$420,6,False)/VLOOKUP($D129,'NO USAR1'!$A$3:$L$420,9,False))</f>
        <v/>
      </c>
      <c r="L129" s="47" t="str">
        <f>IF($D129="","", 100*VLOOKUP($D129,Update!$B$2:$R$420,9,False))</f>
        <v/>
      </c>
      <c r="M129" s="71" t="str">
        <f>IF($D129="","", VLOOKUP($D129,Update!$B$2:$R$420,16,False))</f>
        <v/>
      </c>
      <c r="N129" s="45" t="str">
        <f>IF($D129="","", VLOOKUP($D129,Update!$B$2:$C$420,2,FALSE))</f>
        <v/>
      </c>
      <c r="O129" s="2"/>
      <c r="P129" s="2"/>
      <c r="Q129" s="2"/>
    </row>
    <row r="130">
      <c r="B130" s="65">
        <f>Team!$B$29</f>
        <v>100</v>
      </c>
      <c r="C130" s="6">
        <v>9.0</v>
      </c>
      <c r="D130" s="7" t="str">
        <f t="array" ref="D130">INDIRECT("Draft!K"&amp;TEXT(A121+2,"0"))</f>
        <v/>
      </c>
      <c r="E130" s="71" t="str">
        <f>IF($D130="","", VLOOKUP($D130,Update!$B$2:$R$420,11,False))</f>
        <v/>
      </c>
      <c r="F130" s="71" t="str">
        <f>IF($D130="","", VLOOKUP($D130,Update!$B$2:$R$420,10,False))</f>
        <v/>
      </c>
      <c r="G130" s="71" t="str">
        <f>IF($D130="","", VLOOKUP($D130,Update!$B$2:$R$420,12,False))</f>
        <v/>
      </c>
      <c r="H130" s="71" t="str">
        <f>IF($D130="","", VLOOKUP($D130,Update!$B$2:$R$420,13,False))</f>
        <v/>
      </c>
      <c r="I130" s="71" t="str">
        <f>IF($D130="","", VLOOKUP($D130,Update!$B$2:$R$420,14,False))</f>
        <v/>
      </c>
      <c r="J130" s="71" t="str">
        <f>IF($D130="","", VLOOKUP($D130,Update!$B$2:$R$420,15,False))</f>
        <v/>
      </c>
      <c r="K130" s="47" t="str">
        <f> IF($D130="","", 100*VLOOKUP($D130,Update!$B$2:$R$420,6,False)/VLOOKUP($D130,'NO USAR1'!$A$3:$L$420,9,False))</f>
        <v/>
      </c>
      <c r="L130" s="47" t="str">
        <f>IF($D130="","", 100*VLOOKUP($D130,Update!$B$2:$R$420,9,False))</f>
        <v/>
      </c>
      <c r="M130" s="71" t="str">
        <f>IF($D130="","", VLOOKUP($D130,Update!$B$2:$R$420,16,False))</f>
        <v/>
      </c>
      <c r="N130" s="45" t="str">
        <f>IF($D130="","", VLOOKUP($D130,Update!$B$2:$C$420,2,FALSE))</f>
        <v/>
      </c>
      <c r="O130" s="2"/>
      <c r="P130" s="2"/>
      <c r="Q130" s="2"/>
    </row>
    <row r="131">
      <c r="B131" s="65">
        <f>Team!$B$30</f>
        <v>100</v>
      </c>
      <c r="C131" s="6">
        <v>10.0</v>
      </c>
      <c r="D131" s="73" t="str">
        <f t="array" ref="D131">INDIRECT("Draft!L"&amp;TEXT(15-A121,"0"))</f>
        <v/>
      </c>
      <c r="E131" s="71" t="str">
        <f>IF($D131="","", VLOOKUP($D131,Update!$B$2:$R$420,11,False))</f>
        <v/>
      </c>
      <c r="F131" s="71" t="str">
        <f>IF($D131="","", VLOOKUP($D131,Update!$B$2:$R$420,10,False))</f>
        <v/>
      </c>
      <c r="G131" s="71" t="str">
        <f>IF($D131="","", VLOOKUP($D131,Update!$B$2:$R$420,12,False))</f>
        <v/>
      </c>
      <c r="H131" s="71" t="str">
        <f>IF($D131="","", VLOOKUP($D131,Update!$B$2:$R$420,13,False))</f>
        <v/>
      </c>
      <c r="I131" s="71" t="str">
        <f>IF($D131="","", VLOOKUP($D131,Update!$B$2:$R$420,14,False))</f>
        <v/>
      </c>
      <c r="J131" s="71" t="str">
        <f>IF($D131="","", VLOOKUP($D131,Update!$B$2:$R$420,15,False))</f>
        <v/>
      </c>
      <c r="K131" s="47" t="str">
        <f> IF($D131="","", 100*VLOOKUP($D131,Update!$B$2:$R$420,6,False)/VLOOKUP($D131,'NO USAR1'!$A$3:$L$420,9,False))</f>
        <v/>
      </c>
      <c r="L131" s="47" t="str">
        <f>IF($D131="","", 100*VLOOKUP($D131,Update!$B$2:$R$420,9,False))</f>
        <v/>
      </c>
      <c r="M131" s="71" t="str">
        <f>IF($D131="","", VLOOKUP($D131,Update!$B$2:$R$420,16,False))</f>
        <v/>
      </c>
      <c r="N131" s="45" t="str">
        <f>IF($D131="","", VLOOKUP($D131,Update!$B$2:$C$420,2,FALSE))</f>
        <v/>
      </c>
      <c r="O131" s="2"/>
      <c r="P131" s="2"/>
      <c r="Q131" s="2"/>
    </row>
    <row r="132">
      <c r="B132" s="65">
        <f>Team!$B$31</f>
        <v>100</v>
      </c>
      <c r="C132" s="6">
        <v>11.0</v>
      </c>
      <c r="D132" s="7" t="str">
        <f t="array" ref="D132">INDIRECT("Draft!M"&amp;TEXT(A121+2,"0"))</f>
        <v/>
      </c>
      <c r="E132" s="71" t="str">
        <f>IF($D132="","", VLOOKUP($D132,Update!$B$2:$R$420,11,False))</f>
        <v/>
      </c>
      <c r="F132" s="71" t="str">
        <f>IF($D132="","", VLOOKUP($D132,Update!$B$2:$R$420,10,False))</f>
        <v/>
      </c>
      <c r="G132" s="71" t="str">
        <f>IF($D132="","", VLOOKUP($D132,Update!$B$2:$R$420,12,False))</f>
        <v/>
      </c>
      <c r="H132" s="71" t="str">
        <f>IF($D132="","", VLOOKUP($D132,Update!$B$2:$R$420,13,False))</f>
        <v/>
      </c>
      <c r="I132" s="71" t="str">
        <f>IF($D132="","", VLOOKUP($D132,Update!$B$2:$R$420,14,False))</f>
        <v/>
      </c>
      <c r="J132" s="71" t="str">
        <f>IF($D132="","", VLOOKUP($D132,Update!$B$2:$R$420,15,False))</f>
        <v/>
      </c>
      <c r="K132" s="47" t="str">
        <f> IF($D132="","", 100*VLOOKUP($D132,Update!$B$2:$R$420,6,False)/VLOOKUP($D132,'NO USAR1'!$A$3:$L$420,9,False))</f>
        <v/>
      </c>
      <c r="L132" s="47" t="str">
        <f>IF($D132="","", 100*VLOOKUP($D132,Update!$B$2:$R$420,9,False))</f>
        <v/>
      </c>
      <c r="M132" s="71" t="str">
        <f>IF($D132="","", VLOOKUP($D132,Update!$B$2:$R$420,16,False))</f>
        <v/>
      </c>
      <c r="N132" s="45" t="str">
        <f>IF($D132="","", VLOOKUP($D132,Update!$B$2:$C$420,2,FALSE))</f>
        <v/>
      </c>
      <c r="O132" s="2"/>
      <c r="P132" s="2"/>
      <c r="Q132" s="2"/>
    </row>
    <row r="133">
      <c r="B133" s="65">
        <f>Team!$B$32</f>
        <v>100</v>
      </c>
      <c r="C133" s="6">
        <v>12.0</v>
      </c>
      <c r="D133" s="73" t="str">
        <f t="array" ref="D133">INDIRECT("Draft!N"&amp;TEXT(15-A121,"0"))</f>
        <v/>
      </c>
      <c r="E133" s="71" t="str">
        <f>IF($D133="","", VLOOKUP($D133,Update!$B$2:$R$420,11,False))</f>
        <v/>
      </c>
      <c r="F133" s="71" t="str">
        <f>IF($D133="","", VLOOKUP($D133,Update!$B$2:$R$420,10,False))</f>
        <v/>
      </c>
      <c r="G133" s="71" t="str">
        <f>IF($D133="","", VLOOKUP($D133,Update!$B$2:$R$420,12,False))</f>
        <v/>
      </c>
      <c r="H133" s="71" t="str">
        <f>IF($D133="","", VLOOKUP($D133,Update!$B$2:$R$420,13,False))</f>
        <v/>
      </c>
      <c r="I133" s="71" t="str">
        <f>IF($D133="","", VLOOKUP($D133,Update!$B$2:$R$420,14,False))</f>
        <v/>
      </c>
      <c r="J133" s="71" t="str">
        <f>IF($D133="","", VLOOKUP($D133,Update!$B$2:$R$420,15,False))</f>
        <v/>
      </c>
      <c r="K133" s="47" t="str">
        <f> IF($D133="","", 100*VLOOKUP($D133,Update!$B$2:$R$420,6,False)/VLOOKUP($D133,'NO USAR1'!$A$3:$L$420,9,False))</f>
        <v/>
      </c>
      <c r="L133" s="47" t="str">
        <f>IF($D133="","", 100*VLOOKUP($D133,Update!$B$2:$R$420,9,False))</f>
        <v/>
      </c>
      <c r="M133" s="71" t="str">
        <f>IF($D133="","", VLOOKUP($D133,Update!$B$2:$R$420,16,False))</f>
        <v/>
      </c>
      <c r="N133" s="45" t="str">
        <f>IF($D133="","", VLOOKUP($D133,Update!$B$2:$C$420,2,FALSE))</f>
        <v/>
      </c>
      <c r="O133" s="2"/>
      <c r="P133" s="2"/>
      <c r="Q133" s="2"/>
    </row>
    <row r="134">
      <c r="B134" s="65">
        <f>Team!$B$33</f>
        <v>100</v>
      </c>
      <c r="C134" s="6">
        <v>13.0</v>
      </c>
      <c r="D134" s="6" t="str">
        <f t="array" ref="D134">INDIRECT("Draft!O"&amp;TEXT(A121+2,"0"))</f>
        <v/>
      </c>
      <c r="E134" s="71" t="str">
        <f>IF($D134="","", VLOOKUP($D134,Update!$B$2:$R$420,11,False))</f>
        <v/>
      </c>
      <c r="F134" s="71" t="str">
        <f>IF($D134="","", VLOOKUP($D134,Update!$B$2:$R$420,10,False))</f>
        <v/>
      </c>
      <c r="G134" s="71" t="str">
        <f>IF($D134="","", VLOOKUP($D134,Update!$B$2:$R$420,12,False))</f>
        <v/>
      </c>
      <c r="H134" s="71" t="str">
        <f>IF($D134="","", VLOOKUP($D134,Update!$B$2:$R$420,13,False))</f>
        <v/>
      </c>
      <c r="I134" s="71" t="str">
        <f>IF($D134="","", VLOOKUP($D134,Update!$B$2:$R$420,14,False))</f>
        <v/>
      </c>
      <c r="J134" s="71" t="str">
        <f>IF($D134="","", VLOOKUP($D134,Update!$B$2:$R$420,15,False))</f>
        <v/>
      </c>
      <c r="K134" s="47" t="str">
        <f> IF($D134="","", 100*VLOOKUP($D134,Update!$B$2:$R$420,6,False)/VLOOKUP($D134,'NO USAR1'!$A$3:$L$420,9,False))</f>
        <v/>
      </c>
      <c r="L134" s="47" t="str">
        <f>IF($D134="","", 100*VLOOKUP($D134,Update!$B$2:$R$420,9,False))</f>
        <v/>
      </c>
      <c r="M134" s="71" t="str">
        <f>IF($D134="","", VLOOKUP($D134,Update!$B$2:$R$420,16,False))</f>
        <v/>
      </c>
      <c r="N134" s="2"/>
      <c r="O134" s="2"/>
      <c r="P134" s="2"/>
      <c r="Q134" s="2"/>
    </row>
    <row r="135">
      <c r="B135" s="65">
        <f>Team!$B$34</f>
        <v>0</v>
      </c>
      <c r="C135" s="6">
        <v>14.0</v>
      </c>
      <c r="D135" s="72" t="str">
        <f t="array" ref="D135">INDIRECT("Draft!P"&amp;TEXT(15-A121,"0"))</f>
        <v/>
      </c>
      <c r="E135" s="71" t="str">
        <f>IF($D135="","", VLOOKUP($D135,Update!$B$2:$R$420,11,False))</f>
        <v/>
      </c>
      <c r="F135" s="71" t="str">
        <f>IF($D135="","", VLOOKUP($D135,Update!$B$2:$R$420,10,False))</f>
        <v/>
      </c>
      <c r="G135" s="71" t="str">
        <f>IF($D135="","", VLOOKUP($D135,Update!$B$2:$R$420,12,False))</f>
        <v/>
      </c>
      <c r="H135" s="71" t="str">
        <f>IF($D135="","", VLOOKUP($D135,Update!$B$2:$R$420,13,False))</f>
        <v/>
      </c>
      <c r="I135" s="71" t="str">
        <f>IF($D135="","", VLOOKUP($D135,Update!$B$2:$R$420,14,False))</f>
        <v/>
      </c>
      <c r="J135" s="71" t="str">
        <f>IF($D135="","", VLOOKUP($D135,Update!$B$2:$R$420,15,False))</f>
        <v/>
      </c>
      <c r="K135" s="47" t="str">
        <f> IF($D135="","", 100*VLOOKUP($D135,Update!$B$2:$R$420,6,False)/VLOOKUP($D135,'NO USAR1'!$A$3:$L$420,9,False))</f>
        <v/>
      </c>
      <c r="L135" s="47" t="str">
        <f>IF($D135="","", 100*VLOOKUP($D135,Update!$B$2:$R$420,9,False))</f>
        <v/>
      </c>
      <c r="M135" s="71" t="str">
        <f>IF($D135="","", VLOOKUP($D135,Update!$B$2:$R$420,16,False))</f>
        <v/>
      </c>
      <c r="N135" s="2"/>
      <c r="O135" s="2"/>
      <c r="P135" s="2"/>
      <c r="Q135" s="2"/>
    </row>
    <row r="136">
      <c r="A136" s="78" t="s">
        <v>81</v>
      </c>
      <c r="D136" s="76" t="s">
        <v>80</v>
      </c>
      <c r="E136" s="47" t="str">
        <f t="shared" ref="E136:J136" si="8">AVERAGE(SUMPRODUCT(E122:E135,$B122:$B135/100))/(SUM(OFFSET($B122,0,0,COUNT(E122:E135)))/100)</f>
        <v>#VALUE!</v>
      </c>
      <c r="F136" s="47" t="str">
        <f t="shared" si="8"/>
        <v>#VALUE!</v>
      </c>
      <c r="G136" s="47" t="str">
        <f t="shared" si="8"/>
        <v>#VALUE!</v>
      </c>
      <c r="H136" s="47" t="str">
        <f t="shared" si="8"/>
        <v>#VALUE!</v>
      </c>
      <c r="I136" s="47" t="str">
        <f t="shared" si="8"/>
        <v>#VALUE!</v>
      </c>
      <c r="J136" s="47" t="str">
        <f t="shared" si="8"/>
        <v>#VALUE!</v>
      </c>
      <c r="K136" s="47" t="str">
        <f t="array" ref="K136">IFERROR(100*SUMPRODUCT(IFERROR(VLOOKUP($D122:$D135,Update!$B:$S,6,False),"")*$B122:$B135/100)/SUMPRODUCT(IFERROR(VLOOKUP($D122:$D135,Update!$B:$S,17,False),"")*$B122:$B135/100),"")</f>
        <v/>
      </c>
      <c r="L136" s="47" t="str">
        <f t="array" ref="L136">IFERROR(100*SUMPRODUCT(IFERROR(VLOOKUP($D122:$D135,Update!$B:$S,8,False),"")*$B122:$B135/100)/SUMPRODUCT(IFERROR(VLOOKUP($D122:$D135,Update!$B:$S,18,False),"")*$B122:$B135/100),"")</f>
        <v/>
      </c>
      <c r="M136" s="47" t="str">
        <f>AVERAGE(SUMPRODUCT(M122:M135,$B122:$B135/100))/(SUM(OFFSET($B122,0,0,COUNT(M122:M135)))/100)</f>
        <v>#VALUE!</v>
      </c>
      <c r="N136" s="2"/>
    </row>
    <row r="137">
      <c r="A137" s="78"/>
      <c r="D137" s="76" t="s">
        <v>84</v>
      </c>
      <c r="E137" s="46" t="str">
        <f>(SUM(OFFSET('All Teams'!$B122,0,0,COUNT('All Teams'!E122:E135)))/100)*('All Teams'!E136-'NO USAR1'!$B$1)/'NO USAR1'!$B$2</f>
        <v>#VALUE!</v>
      </c>
      <c r="F137" s="46" t="str">
        <f>(SUM(OFFSET('All Teams'!$B122,0,0,COUNT('All Teams'!F122:F135)))/100)*('All Teams'!F136-'NO USAR1'!$C$1)/'NO USAR1'!$C$2</f>
        <v>#VALUE!</v>
      </c>
      <c r="G137" s="46" t="str">
        <f>(SUM(OFFSET('All Teams'!$B122,0,0,COUNT('All Teams'!G122:G135)))/100)*('All Teams'!G136-'NO USAR1'!$D$1)/'NO USAR1'!$D$2</f>
        <v>#VALUE!</v>
      </c>
      <c r="H137" s="46" t="str">
        <f>(SUM(OFFSET('All Teams'!$B122,0,0,COUNT('All Teams'!H122:H135)))/100)*('All Teams'!H136-'NO USAR1'!$E$1)/'NO USAR1'!$E$2</f>
        <v>#VALUE!</v>
      </c>
      <c r="I137" s="46" t="str">
        <f>(SUM(OFFSET('All Teams'!$B122,0,0,COUNT('All Teams'!I122:I135)))/100)*('All Teams'!I136-'NO USAR1'!$F$1)/'NO USAR1'!$F$2</f>
        <v>#VALUE!</v>
      </c>
      <c r="J137" s="46" t="str">
        <f>(SUM(OFFSET('All Teams'!$B122,0,0,COUNT('All Teams'!J122:J135)))/100)*('All Teams'!J136-'NO USAR1'!$G$1)/'NO USAR1'!$G$2</f>
        <v>#VALUE!</v>
      </c>
      <c r="K137" s="46">
        <f t="array" ref="K137">SUMPRODUCT(IFERROR(VLOOKUP($D122:$D135,'NO USAR1'!$A$4:$L$403,8,False)*$B122:$B135/100,""))</f>
        <v>0</v>
      </c>
      <c r="L137" s="46">
        <f t="array" ref="L137">SUMPRODUCT(IFERROR(VLOOKUP($D122:$D135,'NO USAR1'!$A$4:$L$403,10,False)*$B122:$B135/100,""))</f>
        <v>0</v>
      </c>
      <c r="M137" s="46" t="str">
        <f>-(SUM(OFFSET('All Teams'!$B122,0,0,COUNT('All Teams'!M122:M135)))/100)*('All Teams'!M136-'NO USAR1'!$L$1)/'NO USAR1'!$L$2</f>
        <v>#VALUE!</v>
      </c>
      <c r="N137" s="2"/>
    </row>
    <row r="138">
      <c r="A138" s="79">
        <v>9.0</v>
      </c>
      <c r="B138" s="4" t="s">
        <v>82</v>
      </c>
      <c r="C138" s="6"/>
      <c r="D138" s="4" t="s">
        <v>83</v>
      </c>
      <c r="E138" s="40" t="s">
        <v>34</v>
      </c>
      <c r="F138" s="40" t="s">
        <v>35</v>
      </c>
      <c r="G138" s="40" t="s">
        <v>36</v>
      </c>
      <c r="H138" s="40" t="s">
        <v>37</v>
      </c>
      <c r="I138" s="40" t="s">
        <v>38</v>
      </c>
      <c r="J138" s="40" t="s">
        <v>61</v>
      </c>
      <c r="K138" s="40" t="s">
        <v>40</v>
      </c>
      <c r="L138" s="40" t="s">
        <v>41</v>
      </c>
      <c r="M138" s="40" t="s">
        <v>42</v>
      </c>
      <c r="N138" s="4" t="s">
        <v>78</v>
      </c>
      <c r="O138" s="4" t="s">
        <v>79</v>
      </c>
      <c r="P138" s="4" t="s">
        <v>78</v>
      </c>
      <c r="Q138" s="69"/>
    </row>
    <row r="139">
      <c r="B139" s="65">
        <f>Team!$B$21</f>
        <v>100</v>
      </c>
      <c r="C139" s="6">
        <v>1.0</v>
      </c>
      <c r="D139" s="6" t="str">
        <f t="array" ref="D139">INDIRECT("Draft!C"&amp;TEXT(A138+2,"0"))</f>
        <v/>
      </c>
      <c r="E139" s="71" t="str">
        <f>IF($D139="","", VLOOKUP($D139,Update!$B$2:$R$420,11,False))</f>
        <v/>
      </c>
      <c r="F139" s="71" t="str">
        <f>IF($D139="","", VLOOKUP($D139,Update!$B$2:$R$420,10,False))</f>
        <v/>
      </c>
      <c r="G139" s="71" t="str">
        <f>IF($D139="","", VLOOKUP($D139,Update!$B$2:$R$420,12,False))</f>
        <v/>
      </c>
      <c r="H139" s="71" t="str">
        <f>IF($D139="","", VLOOKUP($D139,Update!$B$2:$R$420,13,False))</f>
        <v/>
      </c>
      <c r="I139" s="71" t="str">
        <f>IF($D139="","", VLOOKUP($D139,Update!$B$2:$R$420,14,False))</f>
        <v/>
      </c>
      <c r="J139" s="71" t="str">
        <f>IF($D139="","", VLOOKUP($D139,Update!$B$2:$R$420,15,False))</f>
        <v/>
      </c>
      <c r="K139" s="47" t="str">
        <f> IF($D139="","", 100*VLOOKUP($D139,Update!$B$2:$R$420,6,False)/VLOOKUP($D139,'NO USAR1'!$A$3:$L$420,9,False))</f>
        <v/>
      </c>
      <c r="L139" s="47" t="str">
        <f>IF($D139="","", 100*VLOOKUP($D139,Update!$B$2:$R$420,9,False))</f>
        <v/>
      </c>
      <c r="M139" s="71" t="str">
        <f>IF($D139="","", VLOOKUP($D139,Update!$B$2:$R$420,16,False))</f>
        <v/>
      </c>
      <c r="N139" s="45" t="str">
        <f>IF($D139="","", VLOOKUP($D139,Update!$B$2:$C$420,2,FALSE))</f>
        <v/>
      </c>
      <c r="O139" s="45">
        <f t="array" ref="O139">COUNTIF(FIND(P139,$N$21:$N$32),"&gt;0")</f>
        <v>0</v>
      </c>
      <c r="P139" s="6" t="s">
        <v>43</v>
      </c>
      <c r="Q139" s="80"/>
    </row>
    <row r="140">
      <c r="B140" s="65">
        <f>Team!$B$22</f>
        <v>100</v>
      </c>
      <c r="C140" s="6">
        <v>2.0</v>
      </c>
      <c r="D140" s="72" t="str">
        <f t="array" ref="D140">INDIRECT("Draft!D"&amp;TEXT(15-A138,"0"))</f>
        <v/>
      </c>
      <c r="E140" s="71" t="str">
        <f>IF($D140="","", VLOOKUP($D140,Update!$B$2:$R$420,11,False))</f>
        <v/>
      </c>
      <c r="F140" s="71" t="str">
        <f>IF($D140="","", VLOOKUP($D140,Update!$B$2:$R$420,10,False))</f>
        <v/>
      </c>
      <c r="G140" s="71" t="str">
        <f>IF($D140="","", VLOOKUP($D140,Update!$B$2:$R$420,12,False))</f>
        <v/>
      </c>
      <c r="H140" s="71" t="str">
        <f>IF($D140="","", VLOOKUP($D140,Update!$B$2:$R$420,13,False))</f>
        <v/>
      </c>
      <c r="I140" s="71" t="str">
        <f>IF($D140="","", VLOOKUP($D140,Update!$B$2:$R$420,14,False))</f>
        <v/>
      </c>
      <c r="J140" s="71" t="str">
        <f>IF($D140="","", VLOOKUP($D140,Update!$B$2:$R$420,15,False))</f>
        <v/>
      </c>
      <c r="K140" s="47" t="str">
        <f> IF($D140="","", 100*VLOOKUP($D140,Update!$B$2:$R$420,6,False)/VLOOKUP($D140,'NO USAR1'!$A$3:$L$420,9,False))</f>
        <v/>
      </c>
      <c r="L140" s="47" t="str">
        <f>IF($D140="","", 100*VLOOKUP($D140,Update!$B$2:$R$420,9,False))</f>
        <v/>
      </c>
      <c r="M140" s="71" t="str">
        <f>IF($D140="","", VLOOKUP($D140,Update!$B$2:$R$420,16,False))</f>
        <v/>
      </c>
      <c r="N140" s="45" t="str">
        <f>IF($D140="","", VLOOKUP($D140,Update!$B$2:$C$420,2,FALSE))</f>
        <v/>
      </c>
      <c r="O140" s="45">
        <f t="array" ref="O140">COUNTIF(FIND(P140,$N$21:$N$32),"&gt;0")</f>
        <v>0</v>
      </c>
      <c r="P140" s="6" t="s">
        <v>44</v>
      </c>
      <c r="Q140" s="80"/>
    </row>
    <row r="141">
      <c r="B141" s="65">
        <f>Team!$B$23</f>
        <v>100</v>
      </c>
      <c r="C141" s="6">
        <v>3.0</v>
      </c>
      <c r="D141" s="7" t="str">
        <f t="array" ref="D141">INDIRECT("Draft!E"&amp;TEXT(A138+2,"0"))</f>
        <v/>
      </c>
      <c r="E141" s="71" t="str">
        <f>IF($D141="","", VLOOKUP($D141,Update!$B$2:$R$420,11,False))</f>
        <v/>
      </c>
      <c r="F141" s="71" t="str">
        <f>IF($D141="","", VLOOKUP($D141,Update!$B$2:$R$420,10,False))</f>
        <v/>
      </c>
      <c r="G141" s="71" t="str">
        <f>IF($D141="","", VLOOKUP($D141,Update!$B$2:$R$420,12,False))</f>
        <v/>
      </c>
      <c r="H141" s="71" t="str">
        <f>IF($D141="","", VLOOKUP($D141,Update!$B$2:$R$420,13,False))</f>
        <v/>
      </c>
      <c r="I141" s="71" t="str">
        <f>IF($D141="","", VLOOKUP($D141,Update!$B$2:$R$420,14,False))</f>
        <v/>
      </c>
      <c r="J141" s="71" t="str">
        <f>IF($D141="","", VLOOKUP($D141,Update!$B$2:$R$420,15,False))</f>
        <v/>
      </c>
      <c r="K141" s="47" t="str">
        <f> IF($D141="","", 100*VLOOKUP($D141,Update!$B$2:$R$420,6,False)/VLOOKUP($D141,'NO USAR1'!$A$3:$L$420,9,False))</f>
        <v/>
      </c>
      <c r="L141" s="47" t="str">
        <f>IF($D141="","", 100*VLOOKUP($D141,Update!$B$2:$R$420,9,False))</f>
        <v/>
      </c>
      <c r="M141" s="71" t="str">
        <f>IF($D141="","", VLOOKUP($D141,Update!$B$2:$R$420,16,False))</f>
        <v/>
      </c>
      <c r="N141" s="45" t="str">
        <f>IF($D141="","", VLOOKUP($D141,Update!$B$2:$C$420,2,FALSE))</f>
        <v/>
      </c>
      <c r="O141" s="45">
        <f t="array" ref="O141">COUNTIF(FIND(P141,$N$21:$N$32),"&gt;0")</f>
        <v>0</v>
      </c>
      <c r="P141" s="6" t="s">
        <v>45</v>
      </c>
      <c r="Q141" s="80"/>
    </row>
    <row r="142">
      <c r="B142" s="65">
        <f>Team!$B$24</f>
        <v>100</v>
      </c>
      <c r="C142" s="6">
        <v>4.0</v>
      </c>
      <c r="D142" s="73" t="str">
        <f t="array" ref="D142">INDIRECT("Draft!F"&amp;TEXT(15-A138,"0"))</f>
        <v/>
      </c>
      <c r="E142" s="71" t="str">
        <f>IF($D142="","", VLOOKUP($D142,Update!$B$2:$R$420,11,False))</f>
        <v/>
      </c>
      <c r="F142" s="71" t="str">
        <f>IF($D142="","", VLOOKUP($D142,Update!$B$2:$R$420,10,False))</f>
        <v/>
      </c>
      <c r="G142" s="71" t="str">
        <f>IF($D142="","", VLOOKUP($D142,Update!$B$2:$R$420,12,False))</f>
        <v/>
      </c>
      <c r="H142" s="71" t="str">
        <f>IF($D142="","", VLOOKUP($D142,Update!$B$2:$R$420,13,False))</f>
        <v/>
      </c>
      <c r="I142" s="71" t="str">
        <f>IF($D142="","", VLOOKUP($D142,Update!$B$2:$R$420,14,False))</f>
        <v/>
      </c>
      <c r="J142" s="71" t="str">
        <f>IF($D142="","", VLOOKUP($D142,Update!$B$2:$R$420,15,False))</f>
        <v/>
      </c>
      <c r="K142" s="47" t="str">
        <f> IF($D142="","", 100*VLOOKUP($D142,Update!$B$2:$R$420,6,False)/VLOOKUP($D142,'NO USAR1'!$A$3:$L$420,9,False))</f>
        <v/>
      </c>
      <c r="L142" s="47" t="str">
        <f>IF($D142="","", 100*VLOOKUP($D142,Update!$B$2:$R$420,9,False))</f>
        <v/>
      </c>
      <c r="M142" s="71" t="str">
        <f>IF($D142="","", VLOOKUP($D142,Update!$B$2:$R$420,16,False))</f>
        <v/>
      </c>
      <c r="N142" s="45" t="str">
        <f>IF($D142="","", VLOOKUP($D142,Update!$B$2:$C$420,2,FALSE))</f>
        <v/>
      </c>
      <c r="O142" s="45">
        <f t="array" ref="O142">COUNTIF(FIND(P142,$N$21:$N$32),"&gt;0")</f>
        <v>0</v>
      </c>
      <c r="P142" s="6" t="s">
        <v>46</v>
      </c>
      <c r="Q142" s="80"/>
    </row>
    <row r="143">
      <c r="B143" s="65">
        <f>Team!$B$25</f>
        <v>100</v>
      </c>
      <c r="C143" s="6">
        <v>5.0</v>
      </c>
      <c r="D143" s="7" t="str">
        <f t="array" ref="D143">INDIRECT("Draft!G"&amp;TEXT(A138+2,"0"))</f>
        <v/>
      </c>
      <c r="E143" s="71" t="str">
        <f>IF($D143="","", VLOOKUP($D143,Update!$B$2:$R$420,11,False))</f>
        <v/>
      </c>
      <c r="F143" s="71" t="str">
        <f>IF($D143="","", VLOOKUP($D143,Update!$B$2:$R$420,10,False))</f>
        <v/>
      </c>
      <c r="G143" s="71" t="str">
        <f>IF($D143="","", VLOOKUP($D143,Update!$B$2:$R$420,12,False))</f>
        <v/>
      </c>
      <c r="H143" s="71" t="str">
        <f>IF($D143="","", VLOOKUP($D143,Update!$B$2:$R$420,13,False))</f>
        <v/>
      </c>
      <c r="I143" s="71" t="str">
        <f>IF($D143="","", VLOOKUP($D143,Update!$B$2:$R$420,14,False))</f>
        <v/>
      </c>
      <c r="J143" s="71" t="str">
        <f>IF($D143="","", VLOOKUP($D143,Update!$B$2:$R$420,15,False))</f>
        <v/>
      </c>
      <c r="K143" s="47" t="str">
        <f> IF($D143="","", 100*VLOOKUP($D143,Update!$B$2:$R$420,6,False)/VLOOKUP($D143,'NO USAR1'!$A$3:$L$420,9,False))</f>
        <v/>
      </c>
      <c r="L143" s="47" t="str">
        <f>IF($D143="","", 100*VLOOKUP($D143,Update!$B$2:$R$420,9,False))</f>
        <v/>
      </c>
      <c r="M143" s="71" t="str">
        <f>IF($D143="","", VLOOKUP($D143,Update!$B$2:$R$420,16,False))</f>
        <v/>
      </c>
      <c r="N143" s="45" t="str">
        <f>IF($D143="","", VLOOKUP($D143,Update!$B$2:$C$420,2,FALSE))</f>
        <v/>
      </c>
      <c r="O143" s="45">
        <f t="array" ref="O143">COUNTIF(FIND(P143,$N$21:$N$32),"&gt;0")</f>
        <v>0</v>
      </c>
      <c r="P143" s="6" t="s">
        <v>47</v>
      </c>
      <c r="Q143" s="80"/>
    </row>
    <row r="144">
      <c r="B144" s="65">
        <f>Team!$B$26</f>
        <v>100</v>
      </c>
      <c r="C144" s="6">
        <v>6.0</v>
      </c>
      <c r="D144" s="73" t="str">
        <f t="array" ref="D144">INDIRECT("Draft!H"&amp;TEXT(15-A138,"0"))</f>
        <v/>
      </c>
      <c r="E144" s="71" t="str">
        <f>IF($D144="","", VLOOKUP($D144,Update!$B$2:$R$420,11,False))</f>
        <v/>
      </c>
      <c r="F144" s="71" t="str">
        <f>IF($D144="","", VLOOKUP($D144,Update!$B$2:$R$420,10,False))</f>
        <v/>
      </c>
      <c r="G144" s="71" t="str">
        <f>IF($D144="","", VLOOKUP($D144,Update!$B$2:$R$420,12,False))</f>
        <v/>
      </c>
      <c r="H144" s="71" t="str">
        <f>IF($D144="","", VLOOKUP($D144,Update!$B$2:$R$420,13,False))</f>
        <v/>
      </c>
      <c r="I144" s="71" t="str">
        <f>IF($D144="","", VLOOKUP($D144,Update!$B$2:$R$420,14,False))</f>
        <v/>
      </c>
      <c r="J144" s="71" t="str">
        <f>IF($D144="","", VLOOKUP($D144,Update!$B$2:$R$420,15,False))</f>
        <v/>
      </c>
      <c r="K144" s="47" t="str">
        <f> IF($D144="","", 100*VLOOKUP($D144,Update!$B$2:$R$420,6,False)/VLOOKUP($D144,'NO USAR1'!$A$3:$L$420,9,False))</f>
        <v/>
      </c>
      <c r="L144" s="47" t="str">
        <f>IF($D144="","", 100*VLOOKUP($D144,Update!$B$2:$R$420,9,False))</f>
        <v/>
      </c>
      <c r="M144" s="71" t="str">
        <f>IF($D144="","", VLOOKUP($D144,Update!$B$2:$R$420,16,False))</f>
        <v/>
      </c>
      <c r="N144" s="45" t="str">
        <f>IF($D144="","", VLOOKUP($D144,Update!$B$2:$C$420,2,FALSE))</f>
        <v/>
      </c>
      <c r="O144" s="2"/>
      <c r="P144" s="2"/>
      <c r="Q144" s="2"/>
    </row>
    <row r="145">
      <c r="B145" s="65">
        <f>Team!$B$27</f>
        <v>100</v>
      </c>
      <c r="C145" s="6">
        <v>7.0</v>
      </c>
      <c r="D145" s="7" t="str">
        <f t="array" ref="D145">INDIRECT("Draft!I"&amp;TEXT(A138+2,"0"))</f>
        <v/>
      </c>
      <c r="E145" s="71" t="str">
        <f>IF($D145="","", VLOOKUP($D145,Update!$B$2:$R$420,11,False))</f>
        <v/>
      </c>
      <c r="F145" s="71" t="str">
        <f>IF($D145="","", VLOOKUP($D145,Update!$B$2:$R$420,10,False))</f>
        <v/>
      </c>
      <c r="G145" s="71" t="str">
        <f>IF($D145="","", VLOOKUP($D145,Update!$B$2:$R$420,12,False))</f>
        <v/>
      </c>
      <c r="H145" s="71" t="str">
        <f>IF($D145="","", VLOOKUP($D145,Update!$B$2:$R$420,13,False))</f>
        <v/>
      </c>
      <c r="I145" s="71" t="str">
        <f>IF($D145="","", VLOOKUP($D145,Update!$B$2:$R$420,14,False))</f>
        <v/>
      </c>
      <c r="J145" s="71" t="str">
        <f>IF($D145="","", VLOOKUP($D145,Update!$B$2:$R$420,15,False))</f>
        <v/>
      </c>
      <c r="K145" s="47" t="str">
        <f> IF($D145="","", 100*VLOOKUP($D145,Update!$B$2:$R$420,6,False)/VLOOKUP($D145,'NO USAR1'!$A$3:$L$420,9,False))</f>
        <v/>
      </c>
      <c r="L145" s="47" t="str">
        <f>IF($D145="","", 100*VLOOKUP($D145,Update!$B$2:$R$420,9,False))</f>
        <v/>
      </c>
      <c r="M145" s="71" t="str">
        <f>IF($D145="","", VLOOKUP($D145,Update!$B$2:$R$420,16,False))</f>
        <v/>
      </c>
      <c r="N145" s="45" t="str">
        <f>IF($D145="","", VLOOKUP($D145,Update!$B$2:$C$420,2,FALSE))</f>
        <v/>
      </c>
      <c r="O145" s="2"/>
      <c r="P145" s="2"/>
      <c r="Q145" s="2"/>
    </row>
    <row r="146">
      <c r="B146" s="65">
        <f>Team!$B$28</f>
        <v>100</v>
      </c>
      <c r="C146" s="6">
        <v>8.0</v>
      </c>
      <c r="D146" s="73" t="str">
        <f t="array" ref="D146">INDIRECT("Draft!J"&amp;TEXT(15-A138,"0"))</f>
        <v/>
      </c>
      <c r="E146" s="71" t="str">
        <f>IF($D146="","", VLOOKUP($D146,Update!$B$2:$R$420,11,False))</f>
        <v/>
      </c>
      <c r="F146" s="71" t="str">
        <f>IF($D146="","", VLOOKUP($D146,Update!$B$2:$R$420,10,False))</f>
        <v/>
      </c>
      <c r="G146" s="71" t="str">
        <f>IF($D146="","", VLOOKUP($D146,Update!$B$2:$R$420,12,False))</f>
        <v/>
      </c>
      <c r="H146" s="71" t="str">
        <f>IF($D146="","", VLOOKUP($D146,Update!$B$2:$R$420,13,False))</f>
        <v/>
      </c>
      <c r="I146" s="71" t="str">
        <f>IF($D146="","", VLOOKUP($D146,Update!$B$2:$R$420,14,False))</f>
        <v/>
      </c>
      <c r="J146" s="71" t="str">
        <f>IF($D146="","", VLOOKUP($D146,Update!$B$2:$R$420,15,False))</f>
        <v/>
      </c>
      <c r="K146" s="47" t="str">
        <f> IF($D146="","", 100*VLOOKUP($D146,Update!$B$2:$R$420,6,False)/VLOOKUP($D146,'NO USAR1'!$A$3:$L$420,9,False))</f>
        <v/>
      </c>
      <c r="L146" s="47" t="str">
        <f>IF($D146="","", 100*VLOOKUP($D146,Update!$B$2:$R$420,9,False))</f>
        <v/>
      </c>
      <c r="M146" s="71" t="str">
        <f>IF($D146="","", VLOOKUP($D146,Update!$B$2:$R$420,16,False))</f>
        <v/>
      </c>
      <c r="N146" s="45" t="str">
        <f>IF($D146="","", VLOOKUP($D146,Update!$B$2:$C$420,2,FALSE))</f>
        <v/>
      </c>
      <c r="O146" s="2"/>
      <c r="P146" s="2"/>
      <c r="Q146" s="2"/>
    </row>
    <row r="147">
      <c r="B147" s="65">
        <f>Team!$B$29</f>
        <v>100</v>
      </c>
      <c r="C147" s="6">
        <v>9.0</v>
      </c>
      <c r="D147" s="7" t="str">
        <f t="array" ref="D147">INDIRECT("Draft!K"&amp;TEXT(A138+2,"0"))</f>
        <v/>
      </c>
      <c r="E147" s="71" t="str">
        <f>IF($D147="","", VLOOKUP($D147,Update!$B$2:$R$420,11,False))</f>
        <v/>
      </c>
      <c r="F147" s="71" t="str">
        <f>IF($D147="","", VLOOKUP($D147,Update!$B$2:$R$420,10,False))</f>
        <v/>
      </c>
      <c r="G147" s="71" t="str">
        <f>IF($D147="","", VLOOKUP($D147,Update!$B$2:$R$420,12,False))</f>
        <v/>
      </c>
      <c r="H147" s="71" t="str">
        <f>IF($D147="","", VLOOKUP($D147,Update!$B$2:$R$420,13,False))</f>
        <v/>
      </c>
      <c r="I147" s="71" t="str">
        <f>IF($D147="","", VLOOKUP($D147,Update!$B$2:$R$420,14,False))</f>
        <v/>
      </c>
      <c r="J147" s="71" t="str">
        <f>IF($D147="","", VLOOKUP($D147,Update!$B$2:$R$420,15,False))</f>
        <v/>
      </c>
      <c r="K147" s="47" t="str">
        <f> IF($D147="","", 100*VLOOKUP($D147,Update!$B$2:$R$420,6,False)/VLOOKUP($D147,'NO USAR1'!$A$3:$L$420,9,False))</f>
        <v/>
      </c>
      <c r="L147" s="47" t="str">
        <f>IF($D147="","", 100*VLOOKUP($D147,Update!$B$2:$R$420,9,False))</f>
        <v/>
      </c>
      <c r="M147" s="71" t="str">
        <f>IF($D147="","", VLOOKUP($D147,Update!$B$2:$R$420,16,False))</f>
        <v/>
      </c>
      <c r="N147" s="45" t="str">
        <f>IF($D147="","", VLOOKUP($D147,Update!$B$2:$C$420,2,FALSE))</f>
        <v/>
      </c>
      <c r="O147" s="2"/>
      <c r="P147" s="2"/>
      <c r="Q147" s="2"/>
    </row>
    <row r="148">
      <c r="B148" s="65">
        <f>Team!$B$30</f>
        <v>100</v>
      </c>
      <c r="C148" s="6">
        <v>10.0</v>
      </c>
      <c r="D148" s="73" t="str">
        <f t="array" ref="D148">INDIRECT("Draft!L"&amp;TEXT(15-A138,"0"))</f>
        <v/>
      </c>
      <c r="E148" s="71" t="str">
        <f>IF($D148="","", VLOOKUP($D148,Update!$B$2:$R$420,11,False))</f>
        <v/>
      </c>
      <c r="F148" s="71" t="str">
        <f>IF($D148="","", VLOOKUP($D148,Update!$B$2:$R$420,10,False))</f>
        <v/>
      </c>
      <c r="G148" s="71" t="str">
        <f>IF($D148="","", VLOOKUP($D148,Update!$B$2:$R$420,12,False))</f>
        <v/>
      </c>
      <c r="H148" s="71" t="str">
        <f>IF($D148="","", VLOOKUP($D148,Update!$B$2:$R$420,13,False))</f>
        <v/>
      </c>
      <c r="I148" s="71" t="str">
        <f>IF($D148="","", VLOOKUP($D148,Update!$B$2:$R$420,14,False))</f>
        <v/>
      </c>
      <c r="J148" s="71" t="str">
        <f>IF($D148="","", VLOOKUP($D148,Update!$B$2:$R$420,15,False))</f>
        <v/>
      </c>
      <c r="K148" s="47" t="str">
        <f> IF($D148="","", 100*VLOOKUP($D148,Update!$B$2:$R$420,6,False)/VLOOKUP($D148,'NO USAR1'!$A$3:$L$420,9,False))</f>
        <v/>
      </c>
      <c r="L148" s="47" t="str">
        <f>IF($D148="","", 100*VLOOKUP($D148,Update!$B$2:$R$420,9,False))</f>
        <v/>
      </c>
      <c r="M148" s="71" t="str">
        <f>IF($D148="","", VLOOKUP($D148,Update!$B$2:$R$420,16,False))</f>
        <v/>
      </c>
      <c r="N148" s="45" t="str">
        <f>IF($D148="","", VLOOKUP($D148,Update!$B$2:$C$420,2,FALSE))</f>
        <v/>
      </c>
      <c r="O148" s="2"/>
      <c r="P148" s="2"/>
      <c r="Q148" s="2"/>
    </row>
    <row r="149">
      <c r="B149" s="65">
        <f>Team!$B$31</f>
        <v>100</v>
      </c>
      <c r="C149" s="6">
        <v>11.0</v>
      </c>
      <c r="D149" s="7" t="str">
        <f t="array" ref="D149">INDIRECT("Draft!M"&amp;TEXT(A138+2,"0"))</f>
        <v/>
      </c>
      <c r="E149" s="71" t="str">
        <f>IF($D149="","", VLOOKUP($D149,Update!$B$2:$R$420,11,False))</f>
        <v/>
      </c>
      <c r="F149" s="71" t="str">
        <f>IF($D149="","", VLOOKUP($D149,Update!$B$2:$R$420,10,False))</f>
        <v/>
      </c>
      <c r="G149" s="71" t="str">
        <f>IF($D149="","", VLOOKUP($D149,Update!$B$2:$R$420,12,False))</f>
        <v/>
      </c>
      <c r="H149" s="71" t="str">
        <f>IF($D149="","", VLOOKUP($D149,Update!$B$2:$R$420,13,False))</f>
        <v/>
      </c>
      <c r="I149" s="71" t="str">
        <f>IF($D149="","", VLOOKUP($D149,Update!$B$2:$R$420,14,False))</f>
        <v/>
      </c>
      <c r="J149" s="71" t="str">
        <f>IF($D149="","", VLOOKUP($D149,Update!$B$2:$R$420,15,False))</f>
        <v/>
      </c>
      <c r="K149" s="47" t="str">
        <f> IF($D149="","", 100*VLOOKUP($D149,Update!$B$2:$R$420,6,False)/VLOOKUP($D149,'NO USAR1'!$A$3:$L$420,9,False))</f>
        <v/>
      </c>
      <c r="L149" s="47" t="str">
        <f>IF($D149="","", 100*VLOOKUP($D149,Update!$B$2:$R$420,9,False))</f>
        <v/>
      </c>
      <c r="M149" s="71" t="str">
        <f>IF($D149="","", VLOOKUP($D149,Update!$B$2:$R$420,16,False))</f>
        <v/>
      </c>
      <c r="N149" s="45" t="str">
        <f>IF($D149="","", VLOOKUP($D149,Update!$B$2:$C$420,2,FALSE))</f>
        <v/>
      </c>
      <c r="O149" s="2"/>
      <c r="P149" s="2"/>
      <c r="Q149" s="2"/>
    </row>
    <row r="150">
      <c r="B150" s="65">
        <f>Team!$B$32</f>
        <v>100</v>
      </c>
      <c r="C150" s="6">
        <v>12.0</v>
      </c>
      <c r="D150" s="73" t="str">
        <f t="array" ref="D150">INDIRECT("Draft!N"&amp;TEXT(15-A138,"0"))</f>
        <v/>
      </c>
      <c r="E150" s="71" t="str">
        <f>IF($D150="","", VLOOKUP($D150,Update!$B$2:$R$420,11,False))</f>
        <v/>
      </c>
      <c r="F150" s="71" t="str">
        <f>IF($D150="","", VLOOKUP($D150,Update!$B$2:$R$420,10,False))</f>
        <v/>
      </c>
      <c r="G150" s="71" t="str">
        <f>IF($D150="","", VLOOKUP($D150,Update!$B$2:$R$420,12,False))</f>
        <v/>
      </c>
      <c r="H150" s="71" t="str">
        <f>IF($D150="","", VLOOKUP($D150,Update!$B$2:$R$420,13,False))</f>
        <v/>
      </c>
      <c r="I150" s="71" t="str">
        <f>IF($D150="","", VLOOKUP($D150,Update!$B$2:$R$420,14,False))</f>
        <v/>
      </c>
      <c r="J150" s="71" t="str">
        <f>IF($D150="","", VLOOKUP($D150,Update!$B$2:$R$420,15,False))</f>
        <v/>
      </c>
      <c r="K150" s="47" t="str">
        <f> IF($D150="","", 100*VLOOKUP($D150,Update!$B$2:$R$420,6,False)/VLOOKUP($D150,'NO USAR1'!$A$3:$L$420,9,False))</f>
        <v/>
      </c>
      <c r="L150" s="47" t="str">
        <f>IF($D150="","", 100*VLOOKUP($D150,Update!$B$2:$R$420,9,False))</f>
        <v/>
      </c>
      <c r="M150" s="71" t="str">
        <f>IF($D150="","", VLOOKUP($D150,Update!$B$2:$R$420,16,False))</f>
        <v/>
      </c>
      <c r="N150" s="45" t="str">
        <f>IF($D150="","", VLOOKUP($D150,Update!$B$2:$C$420,2,FALSE))</f>
        <v/>
      </c>
      <c r="O150" s="2"/>
      <c r="P150" s="2"/>
      <c r="Q150" s="2"/>
    </row>
    <row r="151">
      <c r="B151" s="65">
        <f>Team!$B$33</f>
        <v>100</v>
      </c>
      <c r="C151" s="6">
        <v>13.0</v>
      </c>
      <c r="D151" s="6" t="str">
        <f t="array" ref="D151">INDIRECT("Draft!O"&amp;TEXT(A138+2,"0"))</f>
        <v/>
      </c>
      <c r="E151" s="71" t="str">
        <f>IF($D151="","", VLOOKUP($D151,Update!$B$2:$R$420,11,False))</f>
        <v/>
      </c>
      <c r="F151" s="71" t="str">
        <f>IF($D151="","", VLOOKUP($D151,Update!$B$2:$R$420,10,False))</f>
        <v/>
      </c>
      <c r="G151" s="71" t="str">
        <f>IF($D151="","", VLOOKUP($D151,Update!$B$2:$R$420,12,False))</f>
        <v/>
      </c>
      <c r="H151" s="71" t="str">
        <f>IF($D151="","", VLOOKUP($D151,Update!$B$2:$R$420,13,False))</f>
        <v/>
      </c>
      <c r="I151" s="71" t="str">
        <f>IF($D151="","", VLOOKUP($D151,Update!$B$2:$R$420,14,False))</f>
        <v/>
      </c>
      <c r="J151" s="71" t="str">
        <f>IF($D151="","", VLOOKUP($D151,Update!$B$2:$R$420,15,False))</f>
        <v/>
      </c>
      <c r="K151" s="47" t="str">
        <f> IF($D151="","", 100*VLOOKUP($D151,Update!$B$2:$R$420,6,False)/VLOOKUP($D151,'NO USAR1'!$A$3:$L$420,9,False))</f>
        <v/>
      </c>
      <c r="L151" s="47" t="str">
        <f>IF($D151="","", 100*VLOOKUP($D151,Update!$B$2:$R$420,9,False))</f>
        <v/>
      </c>
      <c r="M151" s="71" t="str">
        <f>IF($D151="","", VLOOKUP($D151,Update!$B$2:$R$420,16,False))</f>
        <v/>
      </c>
      <c r="N151" s="2"/>
      <c r="O151" s="2"/>
      <c r="P151" s="2"/>
      <c r="Q151" s="2"/>
    </row>
    <row r="152">
      <c r="B152" s="65">
        <f>Team!$B$34</f>
        <v>0</v>
      </c>
      <c r="C152" s="6">
        <v>14.0</v>
      </c>
      <c r="D152" s="72" t="str">
        <f t="array" ref="D152">INDIRECT("Draft!P"&amp;TEXT(15-A138,"0"))</f>
        <v/>
      </c>
      <c r="E152" s="71" t="str">
        <f>IF($D152="","", VLOOKUP($D152,Update!$B$2:$R$420,11,False))</f>
        <v/>
      </c>
      <c r="F152" s="71" t="str">
        <f>IF($D152="","", VLOOKUP($D152,Update!$B$2:$R$420,10,False))</f>
        <v/>
      </c>
      <c r="G152" s="71" t="str">
        <f>IF($D152="","", VLOOKUP($D152,Update!$B$2:$R$420,12,False))</f>
        <v/>
      </c>
      <c r="H152" s="71" t="str">
        <f>IF($D152="","", VLOOKUP($D152,Update!$B$2:$R$420,13,False))</f>
        <v/>
      </c>
      <c r="I152" s="71" t="str">
        <f>IF($D152="","", VLOOKUP($D152,Update!$B$2:$R$420,14,False))</f>
        <v/>
      </c>
      <c r="J152" s="71" t="str">
        <f>IF($D152="","", VLOOKUP($D152,Update!$B$2:$R$420,15,False))</f>
        <v/>
      </c>
      <c r="K152" s="47" t="str">
        <f> IF($D152="","", 100*VLOOKUP($D152,Update!$B$2:$R$420,6,False)/VLOOKUP($D152,'NO USAR1'!$A$3:$L$420,9,False))</f>
        <v/>
      </c>
      <c r="L152" s="47" t="str">
        <f>IF($D152="","", 100*VLOOKUP($D152,Update!$B$2:$R$420,9,False))</f>
        <v/>
      </c>
      <c r="M152" s="71" t="str">
        <f>IF($D152="","", VLOOKUP($D152,Update!$B$2:$R$420,16,False))</f>
        <v/>
      </c>
      <c r="N152" s="2"/>
      <c r="O152" s="2"/>
      <c r="P152" s="2"/>
      <c r="Q152" s="2"/>
    </row>
    <row r="153">
      <c r="A153" s="78" t="s">
        <v>81</v>
      </c>
      <c r="D153" s="76" t="s">
        <v>80</v>
      </c>
      <c r="E153" s="47" t="str">
        <f t="shared" ref="E153:J153" si="9">AVERAGE(SUMPRODUCT(E139:E152,$B139:$B152/100))/(SUM(OFFSET($B139,0,0,COUNT(E139:E152)))/100)</f>
        <v>#VALUE!</v>
      </c>
      <c r="F153" s="47" t="str">
        <f t="shared" si="9"/>
        <v>#VALUE!</v>
      </c>
      <c r="G153" s="47" t="str">
        <f t="shared" si="9"/>
        <v>#VALUE!</v>
      </c>
      <c r="H153" s="47" t="str">
        <f t="shared" si="9"/>
        <v>#VALUE!</v>
      </c>
      <c r="I153" s="47" t="str">
        <f t="shared" si="9"/>
        <v>#VALUE!</v>
      </c>
      <c r="J153" s="47" t="str">
        <f t="shared" si="9"/>
        <v>#VALUE!</v>
      </c>
      <c r="K153" s="47" t="str">
        <f t="array" ref="K153">IFERROR(100*SUMPRODUCT(IFERROR(VLOOKUP($D139:$D152,Update!$B:$S,6,False),"")*$B139:$B152/100)/SUMPRODUCT(IFERROR(VLOOKUP($D139:$D152,Update!$B:$S,17,False),"")*$B139:$B152/100),"")</f>
        <v/>
      </c>
      <c r="L153" s="47" t="str">
        <f t="array" ref="L153">IFERROR(100*SUMPRODUCT(IFERROR(VLOOKUP($D139:$D152,Update!$B:$S,8,False),"")*$B139:$B152/100)/SUMPRODUCT(IFERROR(VLOOKUP($D139:$D152,Update!$B:$S,18,False),"")*$B139:$B152/100),"")</f>
        <v/>
      </c>
      <c r="M153" s="47" t="str">
        <f>AVERAGE(SUMPRODUCT(M139:M152,$B139:$B152/100))/(SUM(OFFSET($B139,0,0,COUNT(M139:M152)))/100)</f>
        <v>#VALUE!</v>
      </c>
      <c r="N153" s="2"/>
    </row>
    <row r="154">
      <c r="A154" s="78"/>
      <c r="D154" s="76" t="s">
        <v>84</v>
      </c>
      <c r="E154" s="46" t="str">
        <f>(SUM(OFFSET('All Teams'!$B139,0,0,COUNT('All Teams'!E139:E152)))/100)*('All Teams'!E153-'NO USAR1'!$B$1)/'NO USAR1'!$B$2</f>
        <v>#VALUE!</v>
      </c>
      <c r="F154" s="46" t="str">
        <f>(SUM(OFFSET('All Teams'!$B139,0,0,COUNT('All Teams'!F139:F152)))/100)*('All Teams'!F153-'NO USAR1'!$C$1)/'NO USAR1'!$C$2</f>
        <v>#VALUE!</v>
      </c>
      <c r="G154" s="46" t="str">
        <f>(SUM(OFFSET('All Teams'!$B139,0,0,COUNT('All Teams'!G139:G152)))/100)*('All Teams'!G153-'NO USAR1'!$D$1)/'NO USAR1'!$D$2</f>
        <v>#VALUE!</v>
      </c>
      <c r="H154" s="46" t="str">
        <f>(SUM(OFFSET('All Teams'!$B139,0,0,COUNT('All Teams'!H139:H152)))/100)*('All Teams'!H153-'NO USAR1'!$E$1)/'NO USAR1'!$E$2</f>
        <v>#VALUE!</v>
      </c>
      <c r="I154" s="46" t="str">
        <f>(SUM(OFFSET('All Teams'!$B139,0,0,COUNT('All Teams'!I139:I152)))/100)*('All Teams'!I153-'NO USAR1'!$F$1)/'NO USAR1'!$F$2</f>
        <v>#VALUE!</v>
      </c>
      <c r="J154" s="46" t="str">
        <f>(SUM(OFFSET('All Teams'!$B139,0,0,COUNT('All Teams'!J139:J152)))/100)*('All Teams'!J153-'NO USAR1'!$G$1)/'NO USAR1'!$G$2</f>
        <v>#VALUE!</v>
      </c>
      <c r="K154" s="46">
        <f t="array" ref="K154">SUMPRODUCT(IFERROR(VLOOKUP($D139:$D152,'NO USAR1'!$A$4:$L$403,8,False)*$B139:$B152/100,""))</f>
        <v>0</v>
      </c>
      <c r="L154" s="46">
        <f t="array" ref="L154">SUMPRODUCT(IFERROR(VLOOKUP($D139:$D152,'NO USAR1'!$A$4:$L$403,10,False)*$B139:$B152/100,""))</f>
        <v>0</v>
      </c>
      <c r="M154" s="46" t="str">
        <f>-(SUM(OFFSET('All Teams'!$B139,0,0,COUNT('All Teams'!M139:M152)))/100)*('All Teams'!M153-'NO USAR1'!$L$1)/'NO USAR1'!$L$2</f>
        <v>#VALUE!</v>
      </c>
      <c r="N154" s="2"/>
    </row>
    <row r="155">
      <c r="A155" s="79">
        <v>10.0</v>
      </c>
      <c r="B155" s="4" t="s">
        <v>82</v>
      </c>
      <c r="C155" s="6"/>
      <c r="D155" s="4" t="s">
        <v>83</v>
      </c>
      <c r="E155" s="40" t="s">
        <v>34</v>
      </c>
      <c r="F155" s="40" t="s">
        <v>35</v>
      </c>
      <c r="G155" s="40" t="s">
        <v>36</v>
      </c>
      <c r="H155" s="40" t="s">
        <v>37</v>
      </c>
      <c r="I155" s="40" t="s">
        <v>38</v>
      </c>
      <c r="J155" s="40" t="s">
        <v>61</v>
      </c>
      <c r="K155" s="40" t="s">
        <v>40</v>
      </c>
      <c r="L155" s="40" t="s">
        <v>41</v>
      </c>
      <c r="M155" s="40" t="s">
        <v>42</v>
      </c>
      <c r="N155" s="4" t="s">
        <v>78</v>
      </c>
      <c r="O155" s="4" t="s">
        <v>79</v>
      </c>
      <c r="P155" s="4" t="s">
        <v>78</v>
      </c>
      <c r="Q155" s="69"/>
    </row>
    <row r="156">
      <c r="B156" s="65">
        <f>Team!$B$21</f>
        <v>100</v>
      </c>
      <c r="C156" s="6">
        <v>1.0</v>
      </c>
      <c r="D156" s="6" t="str">
        <f t="array" ref="D156">INDIRECT("Draft!C"&amp;TEXT(A155+2,"0"))</f>
        <v/>
      </c>
      <c r="E156" s="71" t="str">
        <f>IF($D156="","", VLOOKUP($D156,Update!$B$2:$R$420,11,False))</f>
        <v/>
      </c>
      <c r="F156" s="71" t="str">
        <f>IF($D156="","", VLOOKUP($D156,Update!$B$2:$R$420,10,False))</f>
        <v/>
      </c>
      <c r="G156" s="71" t="str">
        <f>IF($D156="","", VLOOKUP($D156,Update!$B$2:$R$420,12,False))</f>
        <v/>
      </c>
      <c r="H156" s="71" t="str">
        <f>IF($D156="","", VLOOKUP($D156,Update!$B$2:$R$420,13,False))</f>
        <v/>
      </c>
      <c r="I156" s="71" t="str">
        <f>IF($D156="","", VLOOKUP($D156,Update!$B$2:$R$420,14,False))</f>
        <v/>
      </c>
      <c r="J156" s="71" t="str">
        <f>IF($D156="","", VLOOKUP($D156,Update!$B$2:$R$420,15,False))</f>
        <v/>
      </c>
      <c r="K156" s="47" t="str">
        <f> IF($D156="","", 100*VLOOKUP($D156,Update!$B$2:$R$420,6,False)/VLOOKUP($D156,'NO USAR1'!$A$3:$L$420,9,False))</f>
        <v/>
      </c>
      <c r="L156" s="47" t="str">
        <f>IF($D156="","", 100*VLOOKUP($D156,Update!$B$2:$R$420,9,False))</f>
        <v/>
      </c>
      <c r="M156" s="71" t="str">
        <f>IF($D156="","", VLOOKUP($D156,Update!$B$2:$R$420,16,False))</f>
        <v/>
      </c>
      <c r="N156" s="45" t="str">
        <f>IF($D156="","", VLOOKUP($D156,Update!$B$2:$C$420,2,FALSE))</f>
        <v/>
      </c>
      <c r="O156" s="45">
        <f t="array" ref="O156">COUNTIF(FIND(P156,$N$21:$N$32),"&gt;0")</f>
        <v>0</v>
      </c>
      <c r="P156" s="6" t="s">
        <v>43</v>
      </c>
      <c r="Q156" s="80"/>
    </row>
    <row r="157">
      <c r="B157" s="65">
        <f>Team!$B$22</f>
        <v>100</v>
      </c>
      <c r="C157" s="6">
        <v>2.0</v>
      </c>
      <c r="D157" s="72" t="str">
        <f t="array" ref="D157">INDIRECT("Draft!D"&amp;TEXT(15-A155,"0"))</f>
        <v/>
      </c>
      <c r="E157" s="71" t="str">
        <f>IF($D157="","", VLOOKUP($D157,Update!$B$2:$R$420,11,False))</f>
        <v/>
      </c>
      <c r="F157" s="71" t="str">
        <f>IF($D157="","", VLOOKUP($D157,Update!$B$2:$R$420,10,False))</f>
        <v/>
      </c>
      <c r="G157" s="71" t="str">
        <f>IF($D157="","", VLOOKUP($D157,Update!$B$2:$R$420,12,False))</f>
        <v/>
      </c>
      <c r="H157" s="71" t="str">
        <f>IF($D157="","", VLOOKUP($D157,Update!$B$2:$R$420,13,False))</f>
        <v/>
      </c>
      <c r="I157" s="71" t="str">
        <f>IF($D157="","", VLOOKUP($D157,Update!$B$2:$R$420,14,False))</f>
        <v/>
      </c>
      <c r="J157" s="71" t="str">
        <f>IF($D157="","", VLOOKUP($D157,Update!$B$2:$R$420,15,False))</f>
        <v/>
      </c>
      <c r="K157" s="47" t="str">
        <f> IF($D157="","", 100*VLOOKUP($D157,Update!$B$2:$R$420,6,False)/VLOOKUP($D157,'NO USAR1'!$A$3:$L$420,9,False))</f>
        <v/>
      </c>
      <c r="L157" s="47" t="str">
        <f>IF($D157="","", 100*VLOOKUP($D157,Update!$B$2:$R$420,9,False))</f>
        <v/>
      </c>
      <c r="M157" s="71" t="str">
        <f>IF($D157="","", VLOOKUP($D157,Update!$B$2:$R$420,16,False))</f>
        <v/>
      </c>
      <c r="N157" s="45" t="str">
        <f>IF($D157="","", VLOOKUP($D157,Update!$B$2:$C$420,2,FALSE))</f>
        <v/>
      </c>
      <c r="O157" s="45">
        <f t="array" ref="O157">COUNTIF(FIND(P157,$N$21:$N$32),"&gt;0")</f>
        <v>0</v>
      </c>
      <c r="P157" s="6" t="s">
        <v>44</v>
      </c>
      <c r="Q157" s="80"/>
    </row>
    <row r="158">
      <c r="B158" s="65">
        <f>Team!$B$23</f>
        <v>100</v>
      </c>
      <c r="C158" s="6">
        <v>3.0</v>
      </c>
      <c r="D158" s="7" t="str">
        <f t="array" ref="D158">INDIRECT("Draft!E"&amp;TEXT(A155+2,"0"))</f>
        <v/>
      </c>
      <c r="E158" s="71" t="str">
        <f>IF($D158="","", VLOOKUP($D158,Update!$B$2:$R$420,11,False))</f>
        <v/>
      </c>
      <c r="F158" s="71" t="str">
        <f>IF($D158="","", VLOOKUP($D158,Update!$B$2:$R$420,10,False))</f>
        <v/>
      </c>
      <c r="G158" s="71" t="str">
        <f>IF($D158="","", VLOOKUP($D158,Update!$B$2:$R$420,12,False))</f>
        <v/>
      </c>
      <c r="H158" s="71" t="str">
        <f>IF($D158="","", VLOOKUP($D158,Update!$B$2:$R$420,13,False))</f>
        <v/>
      </c>
      <c r="I158" s="71" t="str">
        <f>IF($D158="","", VLOOKUP($D158,Update!$B$2:$R$420,14,False))</f>
        <v/>
      </c>
      <c r="J158" s="71" t="str">
        <f>IF($D158="","", VLOOKUP($D158,Update!$B$2:$R$420,15,False))</f>
        <v/>
      </c>
      <c r="K158" s="47" t="str">
        <f> IF($D158="","", 100*VLOOKUP($D158,Update!$B$2:$R$420,6,False)/VLOOKUP($D158,'NO USAR1'!$A$3:$L$420,9,False))</f>
        <v/>
      </c>
      <c r="L158" s="47" t="str">
        <f>IF($D158="","", 100*VLOOKUP($D158,Update!$B$2:$R$420,9,False))</f>
        <v/>
      </c>
      <c r="M158" s="71" t="str">
        <f>IF($D158="","", VLOOKUP($D158,Update!$B$2:$R$420,16,False))</f>
        <v/>
      </c>
      <c r="N158" s="45" t="str">
        <f>IF($D158="","", VLOOKUP($D158,Update!$B$2:$C$420,2,FALSE))</f>
        <v/>
      </c>
      <c r="O158" s="45">
        <f t="array" ref="O158">COUNTIF(FIND(P158,$N$21:$N$32),"&gt;0")</f>
        <v>0</v>
      </c>
      <c r="P158" s="6" t="s">
        <v>45</v>
      </c>
      <c r="Q158" s="80"/>
    </row>
    <row r="159">
      <c r="B159" s="65">
        <f>Team!$B$24</f>
        <v>100</v>
      </c>
      <c r="C159" s="6">
        <v>4.0</v>
      </c>
      <c r="D159" s="73" t="str">
        <f t="array" ref="D159">INDIRECT("Draft!F"&amp;TEXT(15-A155,"0"))</f>
        <v/>
      </c>
      <c r="E159" s="71" t="str">
        <f>IF($D159="","", VLOOKUP($D159,Update!$B$2:$R$420,11,False))</f>
        <v/>
      </c>
      <c r="F159" s="71" t="str">
        <f>IF($D159="","", VLOOKUP($D159,Update!$B$2:$R$420,10,False))</f>
        <v/>
      </c>
      <c r="G159" s="71" t="str">
        <f>IF($D159="","", VLOOKUP($D159,Update!$B$2:$R$420,12,False))</f>
        <v/>
      </c>
      <c r="H159" s="71" t="str">
        <f>IF($D159="","", VLOOKUP($D159,Update!$B$2:$R$420,13,False))</f>
        <v/>
      </c>
      <c r="I159" s="71" t="str">
        <f>IF($D159="","", VLOOKUP($D159,Update!$B$2:$R$420,14,False))</f>
        <v/>
      </c>
      <c r="J159" s="71" t="str">
        <f>IF($D159="","", VLOOKUP($D159,Update!$B$2:$R$420,15,False))</f>
        <v/>
      </c>
      <c r="K159" s="47" t="str">
        <f> IF($D159="","", 100*VLOOKUP($D159,Update!$B$2:$R$420,6,False)/VLOOKUP($D159,'NO USAR1'!$A$3:$L$420,9,False))</f>
        <v/>
      </c>
      <c r="L159" s="47" t="str">
        <f>IF($D159="","", 100*VLOOKUP($D159,Update!$B$2:$R$420,9,False))</f>
        <v/>
      </c>
      <c r="M159" s="71" t="str">
        <f>IF($D159="","", VLOOKUP($D159,Update!$B$2:$R$420,16,False))</f>
        <v/>
      </c>
      <c r="N159" s="45" t="str">
        <f>IF($D159="","", VLOOKUP($D159,Update!$B$2:$C$420,2,FALSE))</f>
        <v/>
      </c>
      <c r="O159" s="45">
        <f t="array" ref="O159">COUNTIF(FIND(P159,$N$21:$N$32),"&gt;0")</f>
        <v>0</v>
      </c>
      <c r="P159" s="6" t="s">
        <v>46</v>
      </c>
      <c r="Q159" s="80"/>
    </row>
    <row r="160">
      <c r="B160" s="65">
        <f>Team!$B$25</f>
        <v>100</v>
      </c>
      <c r="C160" s="6">
        <v>5.0</v>
      </c>
      <c r="D160" s="7" t="str">
        <f t="array" ref="D160">INDIRECT("Draft!G"&amp;TEXT(A155+2,"0"))</f>
        <v/>
      </c>
      <c r="E160" s="71" t="str">
        <f>IF($D160="","", VLOOKUP($D160,Update!$B$2:$R$420,11,False))</f>
        <v/>
      </c>
      <c r="F160" s="71" t="str">
        <f>IF($D160="","", VLOOKUP($D160,Update!$B$2:$R$420,10,False))</f>
        <v/>
      </c>
      <c r="G160" s="71" t="str">
        <f>IF($D160="","", VLOOKUP($D160,Update!$B$2:$R$420,12,False))</f>
        <v/>
      </c>
      <c r="H160" s="71" t="str">
        <f>IF($D160="","", VLOOKUP($D160,Update!$B$2:$R$420,13,False))</f>
        <v/>
      </c>
      <c r="I160" s="71" t="str">
        <f>IF($D160="","", VLOOKUP($D160,Update!$B$2:$R$420,14,False))</f>
        <v/>
      </c>
      <c r="J160" s="71" t="str">
        <f>IF($D160="","", VLOOKUP($D160,Update!$B$2:$R$420,15,False))</f>
        <v/>
      </c>
      <c r="K160" s="47" t="str">
        <f> IF($D160="","", 100*VLOOKUP($D160,Update!$B$2:$R$420,6,False)/VLOOKUP($D160,'NO USAR1'!$A$3:$L$420,9,False))</f>
        <v/>
      </c>
      <c r="L160" s="47" t="str">
        <f>IF($D160="","", 100*VLOOKUP($D160,Update!$B$2:$R$420,9,False))</f>
        <v/>
      </c>
      <c r="M160" s="71" t="str">
        <f>IF($D160="","", VLOOKUP($D160,Update!$B$2:$R$420,16,False))</f>
        <v/>
      </c>
      <c r="N160" s="45" t="str">
        <f>IF($D160="","", VLOOKUP($D160,Update!$B$2:$C$420,2,FALSE))</f>
        <v/>
      </c>
      <c r="O160" s="45">
        <f t="array" ref="O160">COUNTIF(FIND(P160,$N$21:$N$32),"&gt;0")</f>
        <v>0</v>
      </c>
      <c r="P160" s="6" t="s">
        <v>47</v>
      </c>
      <c r="Q160" s="80"/>
    </row>
    <row r="161">
      <c r="B161" s="65">
        <f>Team!$B$26</f>
        <v>100</v>
      </c>
      <c r="C161" s="6">
        <v>6.0</v>
      </c>
      <c r="D161" s="73" t="str">
        <f t="array" ref="D161">INDIRECT("Draft!H"&amp;TEXT(15-A155,"0"))</f>
        <v/>
      </c>
      <c r="E161" s="71" t="str">
        <f>IF($D161="","", VLOOKUP($D161,Update!$B$2:$R$420,11,False))</f>
        <v/>
      </c>
      <c r="F161" s="71" t="str">
        <f>IF($D161="","", VLOOKUP($D161,Update!$B$2:$R$420,10,False))</f>
        <v/>
      </c>
      <c r="G161" s="71" t="str">
        <f>IF($D161="","", VLOOKUP($D161,Update!$B$2:$R$420,12,False))</f>
        <v/>
      </c>
      <c r="H161" s="71" t="str">
        <f>IF($D161="","", VLOOKUP($D161,Update!$B$2:$R$420,13,False))</f>
        <v/>
      </c>
      <c r="I161" s="71" t="str">
        <f>IF($D161="","", VLOOKUP($D161,Update!$B$2:$R$420,14,False))</f>
        <v/>
      </c>
      <c r="J161" s="71" t="str">
        <f>IF($D161="","", VLOOKUP($D161,Update!$B$2:$R$420,15,False))</f>
        <v/>
      </c>
      <c r="K161" s="47" t="str">
        <f> IF($D161="","", 100*VLOOKUP($D161,Update!$B$2:$R$420,6,False)/VLOOKUP($D161,'NO USAR1'!$A$3:$L$420,9,False))</f>
        <v/>
      </c>
      <c r="L161" s="47" t="str">
        <f>IF($D161="","", 100*VLOOKUP($D161,Update!$B$2:$R$420,9,False))</f>
        <v/>
      </c>
      <c r="M161" s="71" t="str">
        <f>IF($D161="","", VLOOKUP($D161,Update!$B$2:$R$420,16,False))</f>
        <v/>
      </c>
      <c r="N161" s="45" t="str">
        <f>IF($D161="","", VLOOKUP($D161,Update!$B$2:$C$420,2,FALSE))</f>
        <v/>
      </c>
      <c r="O161" s="2"/>
      <c r="P161" s="2"/>
      <c r="Q161" s="2"/>
    </row>
    <row r="162">
      <c r="B162" s="65">
        <f>Team!$B$27</f>
        <v>100</v>
      </c>
      <c r="C162" s="6">
        <v>7.0</v>
      </c>
      <c r="D162" s="7" t="str">
        <f t="array" ref="D162">INDIRECT("Draft!I"&amp;TEXT(A155+2,"0"))</f>
        <v/>
      </c>
      <c r="E162" s="71" t="str">
        <f>IF($D162="","", VLOOKUP($D162,Update!$B$2:$R$420,11,False))</f>
        <v/>
      </c>
      <c r="F162" s="71" t="str">
        <f>IF($D162="","", VLOOKUP($D162,Update!$B$2:$R$420,10,False))</f>
        <v/>
      </c>
      <c r="G162" s="71" t="str">
        <f>IF($D162="","", VLOOKUP($D162,Update!$B$2:$R$420,12,False))</f>
        <v/>
      </c>
      <c r="H162" s="71" t="str">
        <f>IF($D162="","", VLOOKUP($D162,Update!$B$2:$R$420,13,False))</f>
        <v/>
      </c>
      <c r="I162" s="71" t="str">
        <f>IF($D162="","", VLOOKUP($D162,Update!$B$2:$R$420,14,False))</f>
        <v/>
      </c>
      <c r="J162" s="71" t="str">
        <f>IF($D162="","", VLOOKUP($D162,Update!$B$2:$R$420,15,False))</f>
        <v/>
      </c>
      <c r="K162" s="47" t="str">
        <f> IF($D162="","", 100*VLOOKUP($D162,Update!$B$2:$R$420,6,False)/VLOOKUP($D162,'NO USAR1'!$A$3:$L$420,9,False))</f>
        <v/>
      </c>
      <c r="L162" s="47" t="str">
        <f>IF($D162="","", 100*VLOOKUP($D162,Update!$B$2:$R$420,9,False))</f>
        <v/>
      </c>
      <c r="M162" s="71" t="str">
        <f>IF($D162="","", VLOOKUP($D162,Update!$B$2:$R$420,16,False))</f>
        <v/>
      </c>
      <c r="N162" s="45" t="str">
        <f>IF($D162="","", VLOOKUP($D162,Update!$B$2:$C$420,2,FALSE))</f>
        <v/>
      </c>
      <c r="O162" s="2"/>
      <c r="P162" s="2"/>
      <c r="Q162" s="2"/>
    </row>
    <row r="163">
      <c r="B163" s="65">
        <f>Team!$B$28</f>
        <v>100</v>
      </c>
      <c r="C163" s="6">
        <v>8.0</v>
      </c>
      <c r="D163" s="73" t="str">
        <f t="array" ref="D163">INDIRECT("Draft!J"&amp;TEXT(15-A155,"0"))</f>
        <v/>
      </c>
      <c r="E163" s="71" t="str">
        <f>IF($D163="","", VLOOKUP($D163,Update!$B$2:$R$420,11,False))</f>
        <v/>
      </c>
      <c r="F163" s="71" t="str">
        <f>IF($D163="","", VLOOKUP($D163,Update!$B$2:$R$420,10,False))</f>
        <v/>
      </c>
      <c r="G163" s="71" t="str">
        <f>IF($D163="","", VLOOKUP($D163,Update!$B$2:$R$420,12,False))</f>
        <v/>
      </c>
      <c r="H163" s="71" t="str">
        <f>IF($D163="","", VLOOKUP($D163,Update!$B$2:$R$420,13,False))</f>
        <v/>
      </c>
      <c r="I163" s="71" t="str">
        <f>IF($D163="","", VLOOKUP($D163,Update!$B$2:$R$420,14,False))</f>
        <v/>
      </c>
      <c r="J163" s="71" t="str">
        <f>IF($D163="","", VLOOKUP($D163,Update!$B$2:$R$420,15,False))</f>
        <v/>
      </c>
      <c r="K163" s="47" t="str">
        <f> IF($D163="","", 100*VLOOKUP($D163,Update!$B$2:$R$420,6,False)/VLOOKUP($D163,'NO USAR1'!$A$3:$L$420,9,False))</f>
        <v/>
      </c>
      <c r="L163" s="47" t="str">
        <f>IF($D163="","", 100*VLOOKUP($D163,Update!$B$2:$R$420,9,False))</f>
        <v/>
      </c>
      <c r="M163" s="71" t="str">
        <f>IF($D163="","", VLOOKUP($D163,Update!$B$2:$R$420,16,False))</f>
        <v/>
      </c>
      <c r="N163" s="45" t="str">
        <f>IF($D163="","", VLOOKUP($D163,Update!$B$2:$C$420,2,FALSE))</f>
        <v/>
      </c>
      <c r="O163" s="2"/>
      <c r="P163" s="2"/>
      <c r="Q163" s="2"/>
    </row>
    <row r="164">
      <c r="B164" s="65">
        <f>Team!$B$29</f>
        <v>100</v>
      </c>
      <c r="C164" s="6">
        <v>9.0</v>
      </c>
      <c r="D164" s="7" t="str">
        <f t="array" ref="D164">INDIRECT("Draft!K"&amp;TEXT(A155+2,"0"))</f>
        <v/>
      </c>
      <c r="E164" s="71" t="str">
        <f>IF($D164="","", VLOOKUP($D164,Update!$B$2:$R$420,11,False))</f>
        <v/>
      </c>
      <c r="F164" s="71" t="str">
        <f>IF($D164="","", VLOOKUP($D164,Update!$B$2:$R$420,10,False))</f>
        <v/>
      </c>
      <c r="G164" s="71" t="str">
        <f>IF($D164="","", VLOOKUP($D164,Update!$B$2:$R$420,12,False))</f>
        <v/>
      </c>
      <c r="H164" s="71" t="str">
        <f>IF($D164="","", VLOOKUP($D164,Update!$B$2:$R$420,13,False))</f>
        <v/>
      </c>
      <c r="I164" s="71" t="str">
        <f>IF($D164="","", VLOOKUP($D164,Update!$B$2:$R$420,14,False))</f>
        <v/>
      </c>
      <c r="J164" s="71" t="str">
        <f>IF($D164="","", VLOOKUP($D164,Update!$B$2:$R$420,15,False))</f>
        <v/>
      </c>
      <c r="K164" s="47" t="str">
        <f> IF($D164="","", 100*VLOOKUP($D164,Update!$B$2:$R$420,6,False)/VLOOKUP($D164,'NO USAR1'!$A$3:$L$420,9,False))</f>
        <v/>
      </c>
      <c r="L164" s="47" t="str">
        <f>IF($D164="","", 100*VLOOKUP($D164,Update!$B$2:$R$420,9,False))</f>
        <v/>
      </c>
      <c r="M164" s="71" t="str">
        <f>IF($D164="","", VLOOKUP($D164,Update!$B$2:$R$420,16,False))</f>
        <v/>
      </c>
      <c r="N164" s="45" t="str">
        <f>IF($D164="","", VLOOKUP($D164,Update!$B$2:$C$420,2,FALSE))</f>
        <v/>
      </c>
      <c r="O164" s="2"/>
      <c r="P164" s="2"/>
      <c r="Q164" s="2"/>
    </row>
    <row r="165">
      <c r="B165" s="65">
        <f>Team!$B$30</f>
        <v>100</v>
      </c>
      <c r="C165" s="6">
        <v>10.0</v>
      </c>
      <c r="D165" s="73" t="str">
        <f t="array" ref="D165">INDIRECT("Draft!L"&amp;TEXT(15-A155,"0"))</f>
        <v/>
      </c>
      <c r="E165" s="71" t="str">
        <f>IF($D165="","", VLOOKUP($D165,Update!$B$2:$R$420,11,False))</f>
        <v/>
      </c>
      <c r="F165" s="71" t="str">
        <f>IF($D165="","", VLOOKUP($D165,Update!$B$2:$R$420,10,False))</f>
        <v/>
      </c>
      <c r="G165" s="71" t="str">
        <f>IF($D165="","", VLOOKUP($D165,Update!$B$2:$R$420,12,False))</f>
        <v/>
      </c>
      <c r="H165" s="71" t="str">
        <f>IF($D165="","", VLOOKUP($D165,Update!$B$2:$R$420,13,False))</f>
        <v/>
      </c>
      <c r="I165" s="71" t="str">
        <f>IF($D165="","", VLOOKUP($D165,Update!$B$2:$R$420,14,False))</f>
        <v/>
      </c>
      <c r="J165" s="71" t="str">
        <f>IF($D165="","", VLOOKUP($D165,Update!$B$2:$R$420,15,False))</f>
        <v/>
      </c>
      <c r="K165" s="47" t="str">
        <f> IF($D165="","", 100*VLOOKUP($D165,Update!$B$2:$R$420,6,False)/VLOOKUP($D165,'NO USAR1'!$A$3:$L$420,9,False))</f>
        <v/>
      </c>
      <c r="L165" s="47" t="str">
        <f>IF($D165="","", 100*VLOOKUP($D165,Update!$B$2:$R$420,9,False))</f>
        <v/>
      </c>
      <c r="M165" s="71" t="str">
        <f>IF($D165="","", VLOOKUP($D165,Update!$B$2:$R$420,16,False))</f>
        <v/>
      </c>
      <c r="N165" s="45" t="str">
        <f>IF($D165="","", VLOOKUP($D165,Update!$B$2:$C$420,2,FALSE))</f>
        <v/>
      </c>
      <c r="O165" s="2"/>
      <c r="P165" s="2"/>
      <c r="Q165" s="2"/>
    </row>
    <row r="166">
      <c r="B166" s="65">
        <f>Team!$B$31</f>
        <v>100</v>
      </c>
      <c r="C166" s="6">
        <v>11.0</v>
      </c>
      <c r="D166" s="7" t="str">
        <f t="array" ref="D166">INDIRECT("Draft!M"&amp;TEXT(A155+2,"0"))</f>
        <v/>
      </c>
      <c r="E166" s="71" t="str">
        <f>IF($D166="","", VLOOKUP($D166,Update!$B$2:$R$420,11,False))</f>
        <v/>
      </c>
      <c r="F166" s="71" t="str">
        <f>IF($D166="","", VLOOKUP($D166,Update!$B$2:$R$420,10,False))</f>
        <v/>
      </c>
      <c r="G166" s="71" t="str">
        <f>IF($D166="","", VLOOKUP($D166,Update!$B$2:$R$420,12,False))</f>
        <v/>
      </c>
      <c r="H166" s="71" t="str">
        <f>IF($D166="","", VLOOKUP($D166,Update!$B$2:$R$420,13,False))</f>
        <v/>
      </c>
      <c r="I166" s="71" t="str">
        <f>IF($D166="","", VLOOKUP($D166,Update!$B$2:$R$420,14,False))</f>
        <v/>
      </c>
      <c r="J166" s="71" t="str">
        <f>IF($D166="","", VLOOKUP($D166,Update!$B$2:$R$420,15,False))</f>
        <v/>
      </c>
      <c r="K166" s="47" t="str">
        <f> IF($D166="","", 100*VLOOKUP($D166,Update!$B$2:$R$420,6,False)/VLOOKUP($D166,'NO USAR1'!$A$3:$L$420,9,False))</f>
        <v/>
      </c>
      <c r="L166" s="47" t="str">
        <f>IF($D166="","", 100*VLOOKUP($D166,Update!$B$2:$R$420,9,False))</f>
        <v/>
      </c>
      <c r="M166" s="71" t="str">
        <f>IF($D166="","", VLOOKUP($D166,Update!$B$2:$R$420,16,False))</f>
        <v/>
      </c>
      <c r="N166" s="45" t="str">
        <f>IF($D166="","", VLOOKUP($D166,Update!$B$2:$C$420,2,FALSE))</f>
        <v/>
      </c>
      <c r="O166" s="2"/>
      <c r="P166" s="2"/>
      <c r="Q166" s="2"/>
    </row>
    <row r="167">
      <c r="B167" s="65">
        <f>Team!$B$32</f>
        <v>100</v>
      </c>
      <c r="C167" s="6">
        <v>12.0</v>
      </c>
      <c r="D167" s="73" t="str">
        <f t="array" ref="D167">INDIRECT("Draft!N"&amp;TEXT(15-A155,"0"))</f>
        <v/>
      </c>
      <c r="E167" s="71" t="str">
        <f>IF($D167="","", VLOOKUP($D167,Update!$B$2:$R$420,11,False))</f>
        <v/>
      </c>
      <c r="F167" s="71" t="str">
        <f>IF($D167="","", VLOOKUP($D167,Update!$B$2:$R$420,10,False))</f>
        <v/>
      </c>
      <c r="G167" s="71" t="str">
        <f>IF($D167="","", VLOOKUP($D167,Update!$B$2:$R$420,12,False))</f>
        <v/>
      </c>
      <c r="H167" s="71" t="str">
        <f>IF($D167="","", VLOOKUP($D167,Update!$B$2:$R$420,13,False))</f>
        <v/>
      </c>
      <c r="I167" s="71" t="str">
        <f>IF($D167="","", VLOOKUP($D167,Update!$B$2:$R$420,14,False))</f>
        <v/>
      </c>
      <c r="J167" s="71" t="str">
        <f>IF($D167="","", VLOOKUP($D167,Update!$B$2:$R$420,15,False))</f>
        <v/>
      </c>
      <c r="K167" s="47" t="str">
        <f> IF($D167="","", 100*VLOOKUP($D167,Update!$B$2:$R$420,6,False)/VLOOKUP($D167,'NO USAR1'!$A$3:$L$420,9,False))</f>
        <v/>
      </c>
      <c r="L167" s="47" t="str">
        <f>IF($D167="","", 100*VLOOKUP($D167,Update!$B$2:$R$420,9,False))</f>
        <v/>
      </c>
      <c r="M167" s="71" t="str">
        <f>IF($D167="","", VLOOKUP($D167,Update!$B$2:$R$420,16,False))</f>
        <v/>
      </c>
      <c r="N167" s="45" t="str">
        <f>IF($D167="","", VLOOKUP($D167,Update!$B$2:$C$420,2,FALSE))</f>
        <v/>
      </c>
      <c r="O167" s="2"/>
      <c r="P167" s="2"/>
      <c r="Q167" s="2"/>
    </row>
    <row r="168">
      <c r="B168" s="65">
        <f>Team!$B$33</f>
        <v>100</v>
      </c>
      <c r="C168" s="6">
        <v>13.0</v>
      </c>
      <c r="D168" s="6" t="str">
        <f t="array" ref="D168">INDIRECT("Draft!O"&amp;TEXT(A155+2,"0"))</f>
        <v/>
      </c>
      <c r="E168" s="71" t="str">
        <f>IF($D168="","", VLOOKUP($D168,Update!$B$2:$R$420,11,False))</f>
        <v/>
      </c>
      <c r="F168" s="71" t="str">
        <f>IF($D168="","", VLOOKUP($D168,Update!$B$2:$R$420,10,False))</f>
        <v/>
      </c>
      <c r="G168" s="71" t="str">
        <f>IF($D168="","", VLOOKUP($D168,Update!$B$2:$R$420,12,False))</f>
        <v/>
      </c>
      <c r="H168" s="71" t="str">
        <f>IF($D168="","", VLOOKUP($D168,Update!$B$2:$R$420,13,False))</f>
        <v/>
      </c>
      <c r="I168" s="71" t="str">
        <f>IF($D168="","", VLOOKUP($D168,Update!$B$2:$R$420,14,False))</f>
        <v/>
      </c>
      <c r="J168" s="71" t="str">
        <f>IF($D168="","", VLOOKUP($D168,Update!$B$2:$R$420,15,False))</f>
        <v/>
      </c>
      <c r="K168" s="47" t="str">
        <f> IF($D168="","", 100*VLOOKUP($D168,Update!$B$2:$R$420,6,False)/VLOOKUP($D168,'NO USAR1'!$A$3:$L$420,9,False))</f>
        <v/>
      </c>
      <c r="L168" s="47" t="str">
        <f>IF($D168="","", 100*VLOOKUP($D168,Update!$B$2:$R$420,9,False))</f>
        <v/>
      </c>
      <c r="M168" s="71" t="str">
        <f>IF($D168="","", VLOOKUP($D168,Update!$B$2:$R$420,16,False))</f>
        <v/>
      </c>
      <c r="N168" s="2"/>
      <c r="O168" s="2"/>
      <c r="P168" s="2"/>
      <c r="Q168" s="2"/>
    </row>
    <row r="169">
      <c r="B169" s="65">
        <f>Team!$B$34</f>
        <v>0</v>
      </c>
      <c r="C169" s="6">
        <v>14.0</v>
      </c>
      <c r="D169" s="72" t="str">
        <f t="array" ref="D169">INDIRECT("Draft!P"&amp;TEXT(15-A155,"0"))</f>
        <v/>
      </c>
      <c r="E169" s="71" t="str">
        <f>IF($D169="","", VLOOKUP($D169,Update!$B$2:$R$420,11,False))</f>
        <v/>
      </c>
      <c r="F169" s="71" t="str">
        <f>IF($D169="","", VLOOKUP($D169,Update!$B$2:$R$420,10,False))</f>
        <v/>
      </c>
      <c r="G169" s="71" t="str">
        <f>IF($D169="","", VLOOKUP($D169,Update!$B$2:$R$420,12,False))</f>
        <v/>
      </c>
      <c r="H169" s="71" t="str">
        <f>IF($D169="","", VLOOKUP($D169,Update!$B$2:$R$420,13,False))</f>
        <v/>
      </c>
      <c r="I169" s="71" t="str">
        <f>IF($D169="","", VLOOKUP($D169,Update!$B$2:$R$420,14,False))</f>
        <v/>
      </c>
      <c r="J169" s="71" t="str">
        <f>IF($D169="","", VLOOKUP($D169,Update!$B$2:$R$420,15,False))</f>
        <v/>
      </c>
      <c r="K169" s="47" t="str">
        <f> IF($D169="","", 100*VLOOKUP($D169,Update!$B$2:$R$420,6,False)/VLOOKUP($D169,'NO USAR1'!$A$3:$L$420,9,False))</f>
        <v/>
      </c>
      <c r="L169" s="47" t="str">
        <f>IF($D169="","", 100*VLOOKUP($D169,Update!$B$2:$R$420,9,False))</f>
        <v/>
      </c>
      <c r="M169" s="71" t="str">
        <f>IF($D169="","", VLOOKUP($D169,Update!$B$2:$R$420,16,False))</f>
        <v/>
      </c>
      <c r="N169" s="2"/>
      <c r="O169" s="2"/>
      <c r="P169" s="2"/>
      <c r="Q169" s="2"/>
    </row>
    <row r="170">
      <c r="A170" s="78" t="s">
        <v>81</v>
      </c>
      <c r="D170" s="76" t="s">
        <v>80</v>
      </c>
      <c r="E170" s="47" t="str">
        <f t="shared" ref="E170:J170" si="10">AVERAGE(SUMPRODUCT(E156:E169,$B156:$B169/100))/(SUM(OFFSET($B156,0,0,COUNT(E156:E169)))/100)</f>
        <v>#VALUE!</v>
      </c>
      <c r="F170" s="47" t="str">
        <f t="shared" si="10"/>
        <v>#VALUE!</v>
      </c>
      <c r="G170" s="47" t="str">
        <f t="shared" si="10"/>
        <v>#VALUE!</v>
      </c>
      <c r="H170" s="47" t="str">
        <f t="shared" si="10"/>
        <v>#VALUE!</v>
      </c>
      <c r="I170" s="47" t="str">
        <f t="shared" si="10"/>
        <v>#VALUE!</v>
      </c>
      <c r="J170" s="47" t="str">
        <f t="shared" si="10"/>
        <v>#VALUE!</v>
      </c>
      <c r="K170" s="47" t="str">
        <f t="array" ref="K170">IFERROR(100*SUMPRODUCT(IFERROR(VLOOKUP($D156:$D169,Update!$B:$S,6,False),"")*$B156:$B169/100)/SUMPRODUCT(IFERROR(VLOOKUP($D156:$D169,Update!$B:$S,17,False),"")*$B156:$B169/100),"")</f>
        <v/>
      </c>
      <c r="L170" s="47" t="str">
        <f t="array" ref="L170">IFERROR(100*SUMPRODUCT(IFERROR(VLOOKUP($D156:$D169,Update!$B:$S,8,False),"")*$B156:$B169/100)/SUMPRODUCT(IFERROR(VLOOKUP($D156:$D169,Update!$B:$S,18,False),"")*$B156:$B169/100),"")</f>
        <v/>
      </c>
      <c r="M170" s="47" t="str">
        <f>AVERAGE(SUMPRODUCT(M156:M169,$B156:$B169/100))/(SUM(OFFSET($B156,0,0,COUNT(M156:M169)))/100)</f>
        <v>#VALUE!</v>
      </c>
      <c r="N170" s="2"/>
    </row>
    <row r="171">
      <c r="A171" s="78"/>
      <c r="D171" s="76" t="s">
        <v>84</v>
      </c>
      <c r="E171" s="46" t="str">
        <f>(SUM(OFFSET('All Teams'!$B156,0,0,COUNT('All Teams'!E156:E169)))/100)*('All Teams'!E170-'NO USAR1'!$B$1)/'NO USAR1'!$B$2</f>
        <v>#VALUE!</v>
      </c>
      <c r="F171" s="46" t="str">
        <f>(SUM(OFFSET('All Teams'!$B156,0,0,COUNT('All Teams'!F156:F169)))/100)*('All Teams'!F170-'NO USAR1'!$C$1)/'NO USAR1'!$C$2</f>
        <v>#VALUE!</v>
      </c>
      <c r="G171" s="46" t="str">
        <f>(SUM(OFFSET('All Teams'!$B156,0,0,COUNT('All Teams'!G156:G169)))/100)*('All Teams'!G170-'NO USAR1'!$D$1)/'NO USAR1'!$D$2</f>
        <v>#VALUE!</v>
      </c>
      <c r="H171" s="46" t="str">
        <f>(SUM(OFFSET('All Teams'!$B156,0,0,COUNT('All Teams'!H156:H169)))/100)*('All Teams'!H170-'NO USAR1'!$E$1)/'NO USAR1'!$E$2</f>
        <v>#VALUE!</v>
      </c>
      <c r="I171" s="46" t="str">
        <f>(SUM(OFFSET('All Teams'!$B156,0,0,COUNT('All Teams'!I156:I169)))/100)*('All Teams'!I170-'NO USAR1'!$F$1)/'NO USAR1'!$F$2</f>
        <v>#VALUE!</v>
      </c>
      <c r="J171" s="46" t="str">
        <f>(SUM(OFFSET('All Teams'!$B156,0,0,COUNT('All Teams'!J156:J169)))/100)*('All Teams'!J170-'NO USAR1'!$G$1)/'NO USAR1'!$G$2</f>
        <v>#VALUE!</v>
      </c>
      <c r="K171" s="46">
        <f t="array" ref="K171">SUMPRODUCT(IFERROR(VLOOKUP($D156:$D169,'NO USAR1'!$A$4:$L$403,8,False)*$B156:$B169/100,""))</f>
        <v>0</v>
      </c>
      <c r="L171" s="46">
        <f t="array" ref="L171">SUMPRODUCT(IFERROR(VLOOKUP($D156:$D169,'NO USAR1'!$A$4:$L$403,10,False)*$B156:$B169/100,""))</f>
        <v>0</v>
      </c>
      <c r="M171" s="46" t="str">
        <f>-(SUM(OFFSET('All Teams'!$B156,0,0,COUNT('All Teams'!M156:M169)))/100)*('All Teams'!M170-'NO USAR1'!$L$1)/'NO USAR1'!$L$2</f>
        <v>#VALUE!</v>
      </c>
      <c r="N171" s="2"/>
    </row>
    <row r="172">
      <c r="A172" s="79">
        <v>11.0</v>
      </c>
      <c r="B172" s="4" t="s">
        <v>82</v>
      </c>
      <c r="C172" s="6"/>
      <c r="D172" s="4" t="s">
        <v>83</v>
      </c>
      <c r="E172" s="40" t="s">
        <v>34</v>
      </c>
      <c r="F172" s="40" t="s">
        <v>35</v>
      </c>
      <c r="G172" s="40" t="s">
        <v>36</v>
      </c>
      <c r="H172" s="40" t="s">
        <v>37</v>
      </c>
      <c r="I172" s="40" t="s">
        <v>38</v>
      </c>
      <c r="J172" s="40" t="s">
        <v>61</v>
      </c>
      <c r="K172" s="40" t="s">
        <v>40</v>
      </c>
      <c r="L172" s="40" t="s">
        <v>41</v>
      </c>
      <c r="M172" s="40" t="s">
        <v>42</v>
      </c>
      <c r="N172" s="4" t="s">
        <v>78</v>
      </c>
      <c r="O172" s="4" t="s">
        <v>79</v>
      </c>
      <c r="P172" s="4" t="s">
        <v>78</v>
      </c>
      <c r="Q172" s="69"/>
    </row>
    <row r="173">
      <c r="B173" s="65">
        <f>Team!$B$21</f>
        <v>100</v>
      </c>
      <c r="C173" s="6">
        <v>1.0</v>
      </c>
      <c r="D173" s="6" t="str">
        <f t="array" ref="D173">INDIRECT("Draft!C"&amp;TEXT(A172+2,"0"))</f>
        <v/>
      </c>
      <c r="E173" s="71" t="str">
        <f>IF($D173="","", VLOOKUP($D173,Update!$B$2:$R$420,11,False))</f>
        <v/>
      </c>
      <c r="F173" s="71" t="str">
        <f>IF($D173="","", VLOOKUP($D173,Update!$B$2:$R$420,10,False))</f>
        <v/>
      </c>
      <c r="G173" s="71" t="str">
        <f>IF($D173="","", VLOOKUP($D173,Update!$B$2:$R$420,12,False))</f>
        <v/>
      </c>
      <c r="H173" s="71" t="str">
        <f>IF($D173="","", VLOOKUP($D173,Update!$B$2:$R$420,13,False))</f>
        <v/>
      </c>
      <c r="I173" s="71" t="str">
        <f>IF($D173="","", VLOOKUP($D173,Update!$B$2:$R$420,14,False))</f>
        <v/>
      </c>
      <c r="J173" s="71" t="str">
        <f>IF($D173="","", VLOOKUP($D173,Update!$B$2:$R$420,15,False))</f>
        <v/>
      </c>
      <c r="K173" s="47" t="str">
        <f> IF($D173="","", 100*VLOOKUP($D173,Update!$B$2:$R$420,6,False)/VLOOKUP($D173,'NO USAR1'!$A$3:$L$420,9,False))</f>
        <v/>
      </c>
      <c r="L173" s="47" t="str">
        <f>IF($D173="","", 100*VLOOKUP($D173,Update!$B$2:$R$420,9,False))</f>
        <v/>
      </c>
      <c r="M173" s="71" t="str">
        <f>IF($D173="","", VLOOKUP($D173,Update!$B$2:$R$420,16,False))</f>
        <v/>
      </c>
      <c r="N173" s="45" t="str">
        <f>IF($D173="","", VLOOKUP($D173,Update!$B$2:$C$420,2,FALSE))</f>
        <v/>
      </c>
      <c r="O173" s="45">
        <f t="array" ref="O173">COUNTIF(FIND(P173,$N$21:$N$32),"&gt;0")</f>
        <v>0</v>
      </c>
      <c r="P173" s="6" t="s">
        <v>43</v>
      </c>
      <c r="Q173" s="80"/>
    </row>
    <row r="174">
      <c r="B174" s="65">
        <f>Team!$B$22</f>
        <v>100</v>
      </c>
      <c r="C174" s="6">
        <v>2.0</v>
      </c>
      <c r="D174" s="72" t="str">
        <f t="array" ref="D174">INDIRECT("Draft!D"&amp;TEXT(15-A172,"0"))</f>
        <v/>
      </c>
      <c r="E174" s="71" t="str">
        <f>IF($D174="","", VLOOKUP($D174,Update!$B$2:$R$420,11,False))</f>
        <v/>
      </c>
      <c r="F174" s="71" t="str">
        <f>IF($D174="","", VLOOKUP($D174,Update!$B$2:$R$420,10,False))</f>
        <v/>
      </c>
      <c r="G174" s="71" t="str">
        <f>IF($D174="","", VLOOKUP($D174,Update!$B$2:$R$420,12,False))</f>
        <v/>
      </c>
      <c r="H174" s="71" t="str">
        <f>IF($D174="","", VLOOKUP($D174,Update!$B$2:$R$420,13,False))</f>
        <v/>
      </c>
      <c r="I174" s="71" t="str">
        <f>IF($D174="","", VLOOKUP($D174,Update!$B$2:$R$420,14,False))</f>
        <v/>
      </c>
      <c r="J174" s="71" t="str">
        <f>IF($D174="","", VLOOKUP($D174,Update!$B$2:$R$420,15,False))</f>
        <v/>
      </c>
      <c r="K174" s="47" t="str">
        <f> IF($D174="","", 100*VLOOKUP($D174,Update!$B$2:$R$420,6,False)/VLOOKUP($D174,'NO USAR1'!$A$3:$L$420,9,False))</f>
        <v/>
      </c>
      <c r="L174" s="47" t="str">
        <f>IF($D174="","", 100*VLOOKUP($D174,Update!$B$2:$R$420,9,False))</f>
        <v/>
      </c>
      <c r="M174" s="71" t="str">
        <f>IF($D174="","", VLOOKUP($D174,Update!$B$2:$R$420,16,False))</f>
        <v/>
      </c>
      <c r="N174" s="45" t="str">
        <f>IF($D174="","", VLOOKUP($D174,Update!$B$2:$C$420,2,FALSE))</f>
        <v/>
      </c>
      <c r="O174" s="45">
        <f t="array" ref="O174">COUNTIF(FIND(P174,$N$21:$N$32),"&gt;0")</f>
        <v>0</v>
      </c>
      <c r="P174" s="6" t="s">
        <v>44</v>
      </c>
      <c r="Q174" s="80"/>
    </row>
    <row r="175">
      <c r="B175" s="65">
        <f>Team!$B$23</f>
        <v>100</v>
      </c>
      <c r="C175" s="6">
        <v>3.0</v>
      </c>
      <c r="D175" s="7" t="str">
        <f t="array" ref="D175">INDIRECT("Draft!E"&amp;TEXT(A172+2,"0"))</f>
        <v/>
      </c>
      <c r="E175" s="71" t="str">
        <f>IF($D175="","", VLOOKUP($D175,Update!$B$2:$R$420,11,False))</f>
        <v/>
      </c>
      <c r="F175" s="71" t="str">
        <f>IF($D175="","", VLOOKUP($D175,Update!$B$2:$R$420,10,False))</f>
        <v/>
      </c>
      <c r="G175" s="71" t="str">
        <f>IF($D175="","", VLOOKUP($D175,Update!$B$2:$R$420,12,False))</f>
        <v/>
      </c>
      <c r="H175" s="71" t="str">
        <f>IF($D175="","", VLOOKUP($D175,Update!$B$2:$R$420,13,False))</f>
        <v/>
      </c>
      <c r="I175" s="71" t="str">
        <f>IF($D175="","", VLOOKUP($D175,Update!$B$2:$R$420,14,False))</f>
        <v/>
      </c>
      <c r="J175" s="71" t="str">
        <f>IF($D175="","", VLOOKUP($D175,Update!$B$2:$R$420,15,False))</f>
        <v/>
      </c>
      <c r="K175" s="47" t="str">
        <f> IF($D175="","", 100*VLOOKUP($D175,Update!$B$2:$R$420,6,False)/VLOOKUP($D175,'NO USAR1'!$A$3:$L$420,9,False))</f>
        <v/>
      </c>
      <c r="L175" s="47" t="str">
        <f>IF($D175="","", 100*VLOOKUP($D175,Update!$B$2:$R$420,9,False))</f>
        <v/>
      </c>
      <c r="M175" s="71" t="str">
        <f>IF($D175="","", VLOOKUP($D175,Update!$B$2:$R$420,16,False))</f>
        <v/>
      </c>
      <c r="N175" s="45" t="str">
        <f>IF($D175="","", VLOOKUP($D175,Update!$B$2:$C$420,2,FALSE))</f>
        <v/>
      </c>
      <c r="O175" s="45">
        <f t="array" ref="O175">COUNTIF(FIND(P175,$N$21:$N$32),"&gt;0")</f>
        <v>0</v>
      </c>
      <c r="P175" s="6" t="s">
        <v>45</v>
      </c>
      <c r="Q175" s="80"/>
    </row>
    <row r="176">
      <c r="B176" s="65">
        <f>Team!$B$24</f>
        <v>100</v>
      </c>
      <c r="C176" s="6">
        <v>4.0</v>
      </c>
      <c r="D176" s="73" t="str">
        <f t="array" ref="D176">INDIRECT("Draft!F"&amp;TEXT(15-A172,"0"))</f>
        <v/>
      </c>
      <c r="E176" s="71" t="str">
        <f>IF($D176="","", VLOOKUP($D176,Update!$B$2:$R$420,11,False))</f>
        <v/>
      </c>
      <c r="F176" s="71" t="str">
        <f>IF($D176="","", VLOOKUP($D176,Update!$B$2:$R$420,10,False))</f>
        <v/>
      </c>
      <c r="G176" s="71" t="str">
        <f>IF($D176="","", VLOOKUP($D176,Update!$B$2:$R$420,12,False))</f>
        <v/>
      </c>
      <c r="H176" s="71" t="str">
        <f>IF($D176="","", VLOOKUP($D176,Update!$B$2:$R$420,13,False))</f>
        <v/>
      </c>
      <c r="I176" s="71" t="str">
        <f>IF($D176="","", VLOOKUP($D176,Update!$B$2:$R$420,14,False))</f>
        <v/>
      </c>
      <c r="J176" s="71" t="str">
        <f>IF($D176="","", VLOOKUP($D176,Update!$B$2:$R$420,15,False))</f>
        <v/>
      </c>
      <c r="K176" s="47" t="str">
        <f> IF($D176="","", 100*VLOOKUP($D176,Update!$B$2:$R$420,6,False)/VLOOKUP($D176,'NO USAR1'!$A$3:$L$420,9,False))</f>
        <v/>
      </c>
      <c r="L176" s="47" t="str">
        <f>IF($D176="","", 100*VLOOKUP($D176,Update!$B$2:$R$420,9,False))</f>
        <v/>
      </c>
      <c r="M176" s="71" t="str">
        <f>IF($D176="","", VLOOKUP($D176,Update!$B$2:$R$420,16,False))</f>
        <v/>
      </c>
      <c r="N176" s="45" t="str">
        <f>IF($D176="","", VLOOKUP($D176,Update!$B$2:$C$420,2,FALSE))</f>
        <v/>
      </c>
      <c r="O176" s="45">
        <f t="array" ref="O176">COUNTIF(FIND(P176,$N$21:$N$32),"&gt;0")</f>
        <v>0</v>
      </c>
      <c r="P176" s="6" t="s">
        <v>46</v>
      </c>
      <c r="Q176" s="80"/>
    </row>
    <row r="177">
      <c r="B177" s="65">
        <f>Team!$B$25</f>
        <v>100</v>
      </c>
      <c r="C177" s="6">
        <v>5.0</v>
      </c>
      <c r="D177" s="7" t="str">
        <f t="array" ref="D177">INDIRECT("Draft!G"&amp;TEXT(A172+2,"0"))</f>
        <v/>
      </c>
      <c r="E177" s="71" t="str">
        <f>IF($D177="","", VLOOKUP($D177,Update!$B$2:$R$420,11,False))</f>
        <v/>
      </c>
      <c r="F177" s="71" t="str">
        <f>IF($D177="","", VLOOKUP($D177,Update!$B$2:$R$420,10,False))</f>
        <v/>
      </c>
      <c r="G177" s="71" t="str">
        <f>IF($D177="","", VLOOKUP($D177,Update!$B$2:$R$420,12,False))</f>
        <v/>
      </c>
      <c r="H177" s="71" t="str">
        <f>IF($D177="","", VLOOKUP($D177,Update!$B$2:$R$420,13,False))</f>
        <v/>
      </c>
      <c r="I177" s="71" t="str">
        <f>IF($D177="","", VLOOKUP($D177,Update!$B$2:$R$420,14,False))</f>
        <v/>
      </c>
      <c r="J177" s="71" t="str">
        <f>IF($D177="","", VLOOKUP($D177,Update!$B$2:$R$420,15,False))</f>
        <v/>
      </c>
      <c r="K177" s="47" t="str">
        <f> IF($D177="","", 100*VLOOKUP($D177,Update!$B$2:$R$420,6,False)/VLOOKUP($D177,'NO USAR1'!$A$3:$L$420,9,False))</f>
        <v/>
      </c>
      <c r="L177" s="47" t="str">
        <f>IF($D177="","", 100*VLOOKUP($D177,Update!$B$2:$R$420,9,False))</f>
        <v/>
      </c>
      <c r="M177" s="71" t="str">
        <f>IF($D177="","", VLOOKUP($D177,Update!$B$2:$R$420,16,False))</f>
        <v/>
      </c>
      <c r="N177" s="45" t="str">
        <f>IF($D177="","", VLOOKUP($D177,Update!$B$2:$C$420,2,FALSE))</f>
        <v/>
      </c>
      <c r="O177" s="45">
        <f t="array" ref="O177">COUNTIF(FIND(P177,$N$21:$N$32),"&gt;0")</f>
        <v>0</v>
      </c>
      <c r="P177" s="6" t="s">
        <v>47</v>
      </c>
      <c r="Q177" s="80"/>
    </row>
    <row r="178">
      <c r="B178" s="65">
        <f>Team!$B$26</f>
        <v>100</v>
      </c>
      <c r="C178" s="6">
        <v>6.0</v>
      </c>
      <c r="D178" s="73" t="str">
        <f t="array" ref="D178">INDIRECT("Draft!H"&amp;TEXT(15-A172,"0"))</f>
        <v/>
      </c>
      <c r="E178" s="71" t="str">
        <f>IF($D178="","", VLOOKUP($D178,Update!$B$2:$R$420,11,False))</f>
        <v/>
      </c>
      <c r="F178" s="71" t="str">
        <f>IF($D178="","", VLOOKUP($D178,Update!$B$2:$R$420,10,False))</f>
        <v/>
      </c>
      <c r="G178" s="71" t="str">
        <f>IF($D178="","", VLOOKUP($D178,Update!$B$2:$R$420,12,False))</f>
        <v/>
      </c>
      <c r="H178" s="71" t="str">
        <f>IF($D178="","", VLOOKUP($D178,Update!$B$2:$R$420,13,False))</f>
        <v/>
      </c>
      <c r="I178" s="71" t="str">
        <f>IF($D178="","", VLOOKUP($D178,Update!$B$2:$R$420,14,False))</f>
        <v/>
      </c>
      <c r="J178" s="71" t="str">
        <f>IF($D178="","", VLOOKUP($D178,Update!$B$2:$R$420,15,False))</f>
        <v/>
      </c>
      <c r="K178" s="47" t="str">
        <f> IF($D178="","", 100*VLOOKUP($D178,Update!$B$2:$R$420,6,False)/VLOOKUP($D178,'NO USAR1'!$A$3:$L$420,9,False))</f>
        <v/>
      </c>
      <c r="L178" s="47" t="str">
        <f>IF($D178="","", 100*VLOOKUP($D178,Update!$B$2:$R$420,9,False))</f>
        <v/>
      </c>
      <c r="M178" s="71" t="str">
        <f>IF($D178="","", VLOOKUP($D178,Update!$B$2:$R$420,16,False))</f>
        <v/>
      </c>
      <c r="N178" s="45" t="str">
        <f>IF($D178="","", VLOOKUP($D178,Update!$B$2:$C$420,2,FALSE))</f>
        <v/>
      </c>
      <c r="O178" s="2"/>
      <c r="P178" s="2"/>
      <c r="Q178" s="2"/>
    </row>
    <row r="179">
      <c r="B179" s="65">
        <f>Team!$B$27</f>
        <v>100</v>
      </c>
      <c r="C179" s="6">
        <v>7.0</v>
      </c>
      <c r="D179" s="7" t="str">
        <f t="array" ref="D179">INDIRECT("Draft!I"&amp;TEXT(A172+2,"0"))</f>
        <v/>
      </c>
      <c r="E179" s="71" t="str">
        <f>IF($D179="","", VLOOKUP($D179,Update!$B$2:$R$420,11,False))</f>
        <v/>
      </c>
      <c r="F179" s="71" t="str">
        <f>IF($D179="","", VLOOKUP($D179,Update!$B$2:$R$420,10,False))</f>
        <v/>
      </c>
      <c r="G179" s="71" t="str">
        <f>IF($D179="","", VLOOKUP($D179,Update!$B$2:$R$420,12,False))</f>
        <v/>
      </c>
      <c r="H179" s="71" t="str">
        <f>IF($D179="","", VLOOKUP($D179,Update!$B$2:$R$420,13,False))</f>
        <v/>
      </c>
      <c r="I179" s="71" t="str">
        <f>IF($D179="","", VLOOKUP($D179,Update!$B$2:$R$420,14,False))</f>
        <v/>
      </c>
      <c r="J179" s="71" t="str">
        <f>IF($D179="","", VLOOKUP($D179,Update!$B$2:$R$420,15,False))</f>
        <v/>
      </c>
      <c r="K179" s="47" t="str">
        <f> IF($D179="","", 100*VLOOKUP($D179,Update!$B$2:$R$420,6,False)/VLOOKUP($D179,'NO USAR1'!$A$3:$L$420,9,False))</f>
        <v/>
      </c>
      <c r="L179" s="47" t="str">
        <f>IF($D179="","", 100*VLOOKUP($D179,Update!$B$2:$R$420,9,False))</f>
        <v/>
      </c>
      <c r="M179" s="71" t="str">
        <f>IF($D179="","", VLOOKUP($D179,Update!$B$2:$R$420,16,False))</f>
        <v/>
      </c>
      <c r="N179" s="45" t="str">
        <f>IF($D179="","", VLOOKUP($D179,Update!$B$2:$C$420,2,FALSE))</f>
        <v/>
      </c>
      <c r="O179" s="2"/>
      <c r="P179" s="2"/>
      <c r="Q179" s="2"/>
    </row>
    <row r="180">
      <c r="B180" s="65">
        <f>Team!$B$28</f>
        <v>100</v>
      </c>
      <c r="C180" s="6">
        <v>8.0</v>
      </c>
      <c r="D180" s="73" t="str">
        <f t="array" ref="D180">INDIRECT("Draft!J"&amp;TEXT(15-A172,"0"))</f>
        <v/>
      </c>
      <c r="E180" s="71" t="str">
        <f>IF($D180="","", VLOOKUP($D180,Update!$B$2:$R$420,11,False))</f>
        <v/>
      </c>
      <c r="F180" s="71" t="str">
        <f>IF($D180="","", VLOOKUP($D180,Update!$B$2:$R$420,10,False))</f>
        <v/>
      </c>
      <c r="G180" s="71" t="str">
        <f>IF($D180="","", VLOOKUP($D180,Update!$B$2:$R$420,12,False))</f>
        <v/>
      </c>
      <c r="H180" s="71" t="str">
        <f>IF($D180="","", VLOOKUP($D180,Update!$B$2:$R$420,13,False))</f>
        <v/>
      </c>
      <c r="I180" s="71" t="str">
        <f>IF($D180="","", VLOOKUP($D180,Update!$B$2:$R$420,14,False))</f>
        <v/>
      </c>
      <c r="J180" s="71" t="str">
        <f>IF($D180="","", VLOOKUP($D180,Update!$B$2:$R$420,15,False))</f>
        <v/>
      </c>
      <c r="K180" s="47" t="str">
        <f> IF($D180="","", 100*VLOOKUP($D180,Update!$B$2:$R$420,6,False)/VLOOKUP($D180,'NO USAR1'!$A$3:$L$420,9,False))</f>
        <v/>
      </c>
      <c r="L180" s="47" t="str">
        <f>IF($D180="","", 100*VLOOKUP($D180,Update!$B$2:$R$420,9,False))</f>
        <v/>
      </c>
      <c r="M180" s="71" t="str">
        <f>IF($D180="","", VLOOKUP($D180,Update!$B$2:$R$420,16,False))</f>
        <v/>
      </c>
      <c r="N180" s="45" t="str">
        <f>IF($D180="","", VLOOKUP($D180,Update!$B$2:$C$420,2,FALSE))</f>
        <v/>
      </c>
      <c r="O180" s="2"/>
      <c r="P180" s="2"/>
      <c r="Q180" s="2"/>
    </row>
    <row r="181">
      <c r="B181" s="65">
        <f>Team!$B$29</f>
        <v>100</v>
      </c>
      <c r="C181" s="6">
        <v>9.0</v>
      </c>
      <c r="D181" s="7" t="str">
        <f t="array" ref="D181">INDIRECT("Draft!K"&amp;TEXT(A172+2,"0"))</f>
        <v/>
      </c>
      <c r="E181" s="71" t="str">
        <f>IF($D181="","", VLOOKUP($D181,Update!$B$2:$R$420,11,False))</f>
        <v/>
      </c>
      <c r="F181" s="71" t="str">
        <f>IF($D181="","", VLOOKUP($D181,Update!$B$2:$R$420,10,False))</f>
        <v/>
      </c>
      <c r="G181" s="71" t="str">
        <f>IF($D181="","", VLOOKUP($D181,Update!$B$2:$R$420,12,False))</f>
        <v/>
      </c>
      <c r="H181" s="71" t="str">
        <f>IF($D181="","", VLOOKUP($D181,Update!$B$2:$R$420,13,False))</f>
        <v/>
      </c>
      <c r="I181" s="71" t="str">
        <f>IF($D181="","", VLOOKUP($D181,Update!$B$2:$R$420,14,False))</f>
        <v/>
      </c>
      <c r="J181" s="71" t="str">
        <f>IF($D181="","", VLOOKUP($D181,Update!$B$2:$R$420,15,False))</f>
        <v/>
      </c>
      <c r="K181" s="47" t="str">
        <f> IF($D181="","", 100*VLOOKUP($D181,Update!$B$2:$R$420,6,False)/VLOOKUP($D181,'NO USAR1'!$A$3:$L$420,9,False))</f>
        <v/>
      </c>
      <c r="L181" s="47" t="str">
        <f>IF($D181="","", 100*VLOOKUP($D181,Update!$B$2:$R$420,9,False))</f>
        <v/>
      </c>
      <c r="M181" s="71" t="str">
        <f>IF($D181="","", VLOOKUP($D181,Update!$B$2:$R$420,16,False))</f>
        <v/>
      </c>
      <c r="N181" s="45" t="str">
        <f>IF($D181="","", VLOOKUP($D181,Update!$B$2:$C$420,2,FALSE))</f>
        <v/>
      </c>
      <c r="O181" s="2"/>
      <c r="P181" s="2"/>
      <c r="Q181" s="2"/>
    </row>
    <row r="182">
      <c r="B182" s="65">
        <f>Team!$B$30</f>
        <v>100</v>
      </c>
      <c r="C182" s="6">
        <v>10.0</v>
      </c>
      <c r="D182" s="73" t="str">
        <f t="array" ref="D182">INDIRECT("Draft!L"&amp;TEXT(15-A172,"0"))</f>
        <v/>
      </c>
      <c r="E182" s="71" t="str">
        <f>IF($D182="","", VLOOKUP($D182,Update!$B$2:$R$420,11,False))</f>
        <v/>
      </c>
      <c r="F182" s="71" t="str">
        <f>IF($D182="","", VLOOKUP($D182,Update!$B$2:$R$420,10,False))</f>
        <v/>
      </c>
      <c r="G182" s="71" t="str">
        <f>IF($D182="","", VLOOKUP($D182,Update!$B$2:$R$420,12,False))</f>
        <v/>
      </c>
      <c r="H182" s="71" t="str">
        <f>IF($D182="","", VLOOKUP($D182,Update!$B$2:$R$420,13,False))</f>
        <v/>
      </c>
      <c r="I182" s="71" t="str">
        <f>IF($D182="","", VLOOKUP($D182,Update!$B$2:$R$420,14,False))</f>
        <v/>
      </c>
      <c r="J182" s="71" t="str">
        <f>IF($D182="","", VLOOKUP($D182,Update!$B$2:$R$420,15,False))</f>
        <v/>
      </c>
      <c r="K182" s="47" t="str">
        <f> IF($D182="","", 100*VLOOKUP($D182,Update!$B$2:$R$420,6,False)/VLOOKUP($D182,'NO USAR1'!$A$3:$L$420,9,False))</f>
        <v/>
      </c>
      <c r="L182" s="47" t="str">
        <f>IF($D182="","", 100*VLOOKUP($D182,Update!$B$2:$R$420,9,False))</f>
        <v/>
      </c>
      <c r="M182" s="71" t="str">
        <f>IF($D182="","", VLOOKUP($D182,Update!$B$2:$R$420,16,False))</f>
        <v/>
      </c>
      <c r="N182" s="45" t="str">
        <f>IF($D182="","", VLOOKUP($D182,Update!$B$2:$C$420,2,FALSE))</f>
        <v/>
      </c>
      <c r="O182" s="2"/>
      <c r="P182" s="2"/>
      <c r="Q182" s="2"/>
    </row>
    <row r="183">
      <c r="B183" s="65">
        <f>Team!$B$31</f>
        <v>100</v>
      </c>
      <c r="C183" s="6">
        <v>11.0</v>
      </c>
      <c r="D183" s="7" t="str">
        <f t="array" ref="D183">INDIRECT("Draft!M"&amp;TEXT(A172+2,"0"))</f>
        <v/>
      </c>
      <c r="E183" s="71" t="str">
        <f>IF($D183="","", VLOOKUP($D183,Update!$B$2:$R$420,11,False))</f>
        <v/>
      </c>
      <c r="F183" s="71" t="str">
        <f>IF($D183="","", VLOOKUP($D183,Update!$B$2:$R$420,10,False))</f>
        <v/>
      </c>
      <c r="G183" s="71" t="str">
        <f>IF($D183="","", VLOOKUP($D183,Update!$B$2:$R$420,12,False))</f>
        <v/>
      </c>
      <c r="H183" s="71" t="str">
        <f>IF($D183="","", VLOOKUP($D183,Update!$B$2:$R$420,13,False))</f>
        <v/>
      </c>
      <c r="I183" s="71" t="str">
        <f>IF($D183="","", VLOOKUP($D183,Update!$B$2:$R$420,14,False))</f>
        <v/>
      </c>
      <c r="J183" s="71" t="str">
        <f>IF($D183="","", VLOOKUP($D183,Update!$B$2:$R$420,15,False))</f>
        <v/>
      </c>
      <c r="K183" s="47" t="str">
        <f> IF($D183="","", 100*VLOOKUP($D183,Update!$B$2:$R$420,6,False)/VLOOKUP($D183,'NO USAR1'!$A$3:$L$420,9,False))</f>
        <v/>
      </c>
      <c r="L183" s="47" t="str">
        <f>IF($D183="","", 100*VLOOKUP($D183,Update!$B$2:$R$420,9,False))</f>
        <v/>
      </c>
      <c r="M183" s="71" t="str">
        <f>IF($D183="","", VLOOKUP($D183,Update!$B$2:$R$420,16,False))</f>
        <v/>
      </c>
      <c r="N183" s="45" t="str">
        <f>IF($D183="","", VLOOKUP($D183,Update!$B$2:$C$420,2,FALSE))</f>
        <v/>
      </c>
      <c r="O183" s="2"/>
      <c r="P183" s="2"/>
      <c r="Q183" s="2"/>
    </row>
    <row r="184">
      <c r="B184" s="65">
        <f>Team!$B$32</f>
        <v>100</v>
      </c>
      <c r="C184" s="6">
        <v>12.0</v>
      </c>
      <c r="D184" s="73" t="str">
        <f t="array" ref="D184">INDIRECT("Draft!N"&amp;TEXT(15-A172,"0"))</f>
        <v/>
      </c>
      <c r="E184" s="71" t="str">
        <f>IF($D184="","", VLOOKUP($D184,Update!$B$2:$R$420,11,False))</f>
        <v/>
      </c>
      <c r="F184" s="71" t="str">
        <f>IF($D184="","", VLOOKUP($D184,Update!$B$2:$R$420,10,False))</f>
        <v/>
      </c>
      <c r="G184" s="71" t="str">
        <f>IF($D184="","", VLOOKUP($D184,Update!$B$2:$R$420,12,False))</f>
        <v/>
      </c>
      <c r="H184" s="71" t="str">
        <f>IF($D184="","", VLOOKUP($D184,Update!$B$2:$R$420,13,False))</f>
        <v/>
      </c>
      <c r="I184" s="71" t="str">
        <f>IF($D184="","", VLOOKUP($D184,Update!$B$2:$R$420,14,False))</f>
        <v/>
      </c>
      <c r="J184" s="71" t="str">
        <f>IF($D184="","", VLOOKUP($D184,Update!$B$2:$R$420,15,False))</f>
        <v/>
      </c>
      <c r="K184" s="47" t="str">
        <f> IF($D184="","", 100*VLOOKUP($D184,Update!$B$2:$R$420,6,False)/VLOOKUP($D184,'NO USAR1'!$A$3:$L$420,9,False))</f>
        <v/>
      </c>
      <c r="L184" s="47" t="str">
        <f>IF($D184="","", 100*VLOOKUP($D184,Update!$B$2:$R$420,9,False))</f>
        <v/>
      </c>
      <c r="M184" s="71" t="str">
        <f>IF($D184="","", VLOOKUP($D184,Update!$B$2:$R$420,16,False))</f>
        <v/>
      </c>
      <c r="N184" s="45" t="str">
        <f>IF($D184="","", VLOOKUP($D184,Update!$B$2:$C$420,2,FALSE))</f>
        <v/>
      </c>
      <c r="O184" s="2"/>
      <c r="P184" s="2"/>
      <c r="Q184" s="2"/>
    </row>
    <row r="185">
      <c r="B185" s="65">
        <f>Team!$B$33</f>
        <v>100</v>
      </c>
      <c r="C185" s="6">
        <v>13.0</v>
      </c>
      <c r="D185" s="6" t="str">
        <f t="array" ref="D185">INDIRECT("Draft!O"&amp;TEXT(A172+2,"0"))</f>
        <v/>
      </c>
      <c r="E185" s="71" t="str">
        <f>IF($D185="","", VLOOKUP($D185,Update!$B$2:$R$420,11,False))</f>
        <v/>
      </c>
      <c r="F185" s="71" t="str">
        <f>IF($D185="","", VLOOKUP($D185,Update!$B$2:$R$420,10,False))</f>
        <v/>
      </c>
      <c r="G185" s="71" t="str">
        <f>IF($D185="","", VLOOKUP($D185,Update!$B$2:$R$420,12,False))</f>
        <v/>
      </c>
      <c r="H185" s="71" t="str">
        <f>IF($D185="","", VLOOKUP($D185,Update!$B$2:$R$420,13,False))</f>
        <v/>
      </c>
      <c r="I185" s="71" t="str">
        <f>IF($D185="","", VLOOKUP($D185,Update!$B$2:$R$420,14,False))</f>
        <v/>
      </c>
      <c r="J185" s="71" t="str">
        <f>IF($D185="","", VLOOKUP($D185,Update!$B$2:$R$420,15,False))</f>
        <v/>
      </c>
      <c r="K185" s="47" t="str">
        <f> IF($D185="","", 100*VLOOKUP($D185,Update!$B$2:$R$420,6,False)/VLOOKUP($D185,'NO USAR1'!$A$3:$L$420,9,False))</f>
        <v/>
      </c>
      <c r="L185" s="47" t="str">
        <f>IF($D185="","", 100*VLOOKUP($D185,Update!$B$2:$R$420,9,False))</f>
        <v/>
      </c>
      <c r="M185" s="71" t="str">
        <f>IF($D185="","", VLOOKUP($D185,Update!$B$2:$R$420,16,False))</f>
        <v/>
      </c>
      <c r="N185" s="2"/>
      <c r="O185" s="2"/>
      <c r="P185" s="2"/>
      <c r="Q185" s="2"/>
    </row>
    <row r="186">
      <c r="B186" s="65">
        <f>Team!$B$34</f>
        <v>0</v>
      </c>
      <c r="C186" s="6">
        <v>14.0</v>
      </c>
      <c r="D186" s="72" t="str">
        <f t="array" ref="D186">INDIRECT("Draft!P"&amp;TEXT(15-A172,"0"))</f>
        <v/>
      </c>
      <c r="E186" s="71" t="str">
        <f>IF($D186="","", VLOOKUP($D186,Update!$B$2:$R$420,11,False))</f>
        <v/>
      </c>
      <c r="F186" s="71" t="str">
        <f>IF($D186="","", VLOOKUP($D186,Update!$B$2:$R$420,10,False))</f>
        <v/>
      </c>
      <c r="G186" s="71" t="str">
        <f>IF($D186="","", VLOOKUP($D186,Update!$B$2:$R$420,12,False))</f>
        <v/>
      </c>
      <c r="H186" s="71" t="str">
        <f>IF($D186="","", VLOOKUP($D186,Update!$B$2:$R$420,13,False))</f>
        <v/>
      </c>
      <c r="I186" s="71" t="str">
        <f>IF($D186="","", VLOOKUP($D186,Update!$B$2:$R$420,14,False))</f>
        <v/>
      </c>
      <c r="J186" s="71" t="str">
        <f>IF($D186="","", VLOOKUP($D186,Update!$B$2:$R$420,15,False))</f>
        <v/>
      </c>
      <c r="K186" s="47" t="str">
        <f> IF($D186="","", 100*VLOOKUP($D186,Update!$B$2:$R$420,6,False)/VLOOKUP($D186,'NO USAR1'!$A$3:$L$420,9,False))</f>
        <v/>
      </c>
      <c r="L186" s="47" t="str">
        <f>IF($D186="","", 100*VLOOKUP($D186,Update!$B$2:$R$420,9,False))</f>
        <v/>
      </c>
      <c r="M186" s="71" t="str">
        <f>IF($D186="","", VLOOKUP($D186,Update!$B$2:$R$420,16,False))</f>
        <v/>
      </c>
      <c r="N186" s="2"/>
      <c r="O186" s="2"/>
      <c r="P186" s="2"/>
      <c r="Q186" s="2"/>
    </row>
    <row r="187">
      <c r="A187" s="78" t="s">
        <v>81</v>
      </c>
      <c r="D187" s="76" t="s">
        <v>80</v>
      </c>
      <c r="E187" s="47" t="str">
        <f t="shared" ref="E187:J187" si="11">AVERAGE(SUMPRODUCT(E173:E186,$B173:$B186/100))/(SUM(OFFSET($B173,0,0,COUNT(E173:E186)))/100)</f>
        <v>#VALUE!</v>
      </c>
      <c r="F187" s="47" t="str">
        <f t="shared" si="11"/>
        <v>#VALUE!</v>
      </c>
      <c r="G187" s="47" t="str">
        <f t="shared" si="11"/>
        <v>#VALUE!</v>
      </c>
      <c r="H187" s="47" t="str">
        <f t="shared" si="11"/>
        <v>#VALUE!</v>
      </c>
      <c r="I187" s="47" t="str">
        <f t="shared" si="11"/>
        <v>#VALUE!</v>
      </c>
      <c r="J187" s="47" t="str">
        <f t="shared" si="11"/>
        <v>#VALUE!</v>
      </c>
      <c r="K187" s="47" t="str">
        <f t="array" ref="K187">IFERROR(100*SUMPRODUCT(IFERROR(VLOOKUP($D173:$D186,Update!$B:$S,6,False),"")*$B173:$B186/100)/SUMPRODUCT(IFERROR(VLOOKUP($D173:$D186,Update!$B:$S,17,False),"")*$B173:$B186/100),"")</f>
        <v/>
      </c>
      <c r="L187" s="47" t="str">
        <f t="array" ref="L187">IFERROR(100*SUMPRODUCT(IFERROR(VLOOKUP($D173:$D186,Update!$B:$S,8,False),"")*$B173:$B186/100)/SUMPRODUCT(IFERROR(VLOOKUP($D173:$D186,Update!$B:$S,18,False),"")*$B173:$B186/100),"")</f>
        <v/>
      </c>
      <c r="M187" s="47" t="str">
        <f>AVERAGE(SUMPRODUCT(M173:M186,$B173:$B186/100))/(SUM(OFFSET($B173,0,0,COUNT(M173:M186)))/100)</f>
        <v>#VALUE!</v>
      </c>
      <c r="N187" s="2"/>
    </row>
    <row r="188">
      <c r="A188" s="78"/>
      <c r="D188" s="76" t="s">
        <v>84</v>
      </c>
      <c r="E188" s="46" t="str">
        <f>(SUM(OFFSET('All Teams'!$B173,0,0,COUNT('All Teams'!E173:E186)))/100)*('All Teams'!E187-'NO USAR1'!$B$1)/'NO USAR1'!$B$2</f>
        <v>#VALUE!</v>
      </c>
      <c r="F188" s="46" t="str">
        <f>(SUM(OFFSET('All Teams'!$B173,0,0,COUNT('All Teams'!F173:F186)))/100)*('All Teams'!F187-'NO USAR1'!$C$1)/'NO USAR1'!$C$2</f>
        <v>#VALUE!</v>
      </c>
      <c r="G188" s="46" t="str">
        <f>(SUM(OFFSET('All Teams'!$B173,0,0,COUNT('All Teams'!G173:G186)))/100)*('All Teams'!G187-'NO USAR1'!$D$1)/'NO USAR1'!$D$2</f>
        <v>#VALUE!</v>
      </c>
      <c r="H188" s="46" t="str">
        <f>(SUM(OFFSET('All Teams'!$B173,0,0,COUNT('All Teams'!H173:H186)))/100)*('All Teams'!H187-'NO USAR1'!$E$1)/'NO USAR1'!$E$2</f>
        <v>#VALUE!</v>
      </c>
      <c r="I188" s="46" t="str">
        <f>(SUM(OFFSET('All Teams'!$B173,0,0,COUNT('All Teams'!I173:I186)))/100)*('All Teams'!I187-'NO USAR1'!$F$1)/'NO USAR1'!$F$2</f>
        <v>#VALUE!</v>
      </c>
      <c r="J188" s="46" t="str">
        <f>(SUM(OFFSET('All Teams'!$B173,0,0,COUNT('All Teams'!J173:J186)))/100)*('All Teams'!J187-'NO USAR1'!$G$1)/'NO USAR1'!$G$2</f>
        <v>#VALUE!</v>
      </c>
      <c r="K188" s="46">
        <f t="array" ref="K188">SUMPRODUCT(IFERROR(VLOOKUP($D173:$D186,'NO USAR1'!$A$4:$L$403,8,False)*$B173:$B186/100,""))</f>
        <v>0</v>
      </c>
      <c r="L188" s="46">
        <f t="array" ref="L188">SUMPRODUCT(IFERROR(VLOOKUP($D173:$D186,'NO USAR1'!$A$4:$L$403,10,False)*$B173:$B186/100,""))</f>
        <v>0</v>
      </c>
      <c r="M188" s="46" t="str">
        <f>-(SUM(OFFSET('All Teams'!$B173,0,0,COUNT('All Teams'!M173:M186)))/100)*('All Teams'!M187-'NO USAR1'!$L$1)/'NO USAR1'!$L$2</f>
        <v>#VALUE!</v>
      </c>
      <c r="N188" s="2"/>
    </row>
    <row r="189">
      <c r="A189" s="79">
        <v>12.0</v>
      </c>
      <c r="B189" s="4" t="s">
        <v>82</v>
      </c>
      <c r="C189" s="6"/>
      <c r="D189" s="4" t="s">
        <v>83</v>
      </c>
      <c r="E189" s="40" t="s">
        <v>34</v>
      </c>
      <c r="F189" s="40" t="s">
        <v>35</v>
      </c>
      <c r="G189" s="40" t="s">
        <v>36</v>
      </c>
      <c r="H189" s="40" t="s">
        <v>37</v>
      </c>
      <c r="I189" s="40" t="s">
        <v>38</v>
      </c>
      <c r="J189" s="40" t="s">
        <v>61</v>
      </c>
      <c r="K189" s="40" t="s">
        <v>40</v>
      </c>
      <c r="L189" s="40" t="s">
        <v>41</v>
      </c>
      <c r="M189" s="40" t="s">
        <v>42</v>
      </c>
      <c r="N189" s="4" t="s">
        <v>78</v>
      </c>
      <c r="O189" s="4" t="s">
        <v>79</v>
      </c>
      <c r="P189" s="4" t="s">
        <v>78</v>
      </c>
      <c r="Q189" s="69"/>
    </row>
    <row r="190">
      <c r="B190" s="65">
        <f>Team!$B$21</f>
        <v>100</v>
      </c>
      <c r="C190" s="6">
        <v>1.0</v>
      </c>
      <c r="D190" s="6" t="str">
        <f t="array" ref="D190">INDIRECT("Draft!C"&amp;TEXT(A189+2,"0"))</f>
        <v/>
      </c>
      <c r="E190" s="71" t="str">
        <f>IF($D190="","", VLOOKUP($D190,Update!$B$2:$R$420,11,False))</f>
        <v/>
      </c>
      <c r="F190" s="71" t="str">
        <f>IF($D190="","", VLOOKUP($D190,Update!$B$2:$R$420,10,False))</f>
        <v/>
      </c>
      <c r="G190" s="71" t="str">
        <f>IF($D190="","", VLOOKUP($D190,Update!$B$2:$R$420,12,False))</f>
        <v/>
      </c>
      <c r="H190" s="71" t="str">
        <f>IF($D190="","", VLOOKUP($D190,Update!$B$2:$R$420,13,False))</f>
        <v/>
      </c>
      <c r="I190" s="71" t="str">
        <f>IF($D190="","", VLOOKUP($D190,Update!$B$2:$R$420,14,False))</f>
        <v/>
      </c>
      <c r="J190" s="71" t="str">
        <f>IF($D190="","", VLOOKUP($D190,Update!$B$2:$R$420,15,False))</f>
        <v/>
      </c>
      <c r="K190" s="47" t="str">
        <f> IF($D190="","", 100*VLOOKUP($D190,Update!$B$2:$R$420,6,False)/VLOOKUP($D190,'NO USAR1'!$A$3:$L$420,9,False))</f>
        <v/>
      </c>
      <c r="L190" s="47" t="str">
        <f>IF($D190="","", 100*VLOOKUP($D190,Update!$B$2:$R$420,9,False))</f>
        <v/>
      </c>
      <c r="M190" s="71" t="str">
        <f>IF($D190="","", VLOOKUP($D190,Update!$B$2:$R$420,16,False))</f>
        <v/>
      </c>
      <c r="N190" s="45" t="str">
        <f>IF($D190="","", VLOOKUP($D190,Update!$B$2:$C$420,2,FALSE))</f>
        <v/>
      </c>
      <c r="O190" s="45">
        <f t="array" ref="O190">COUNTIF(FIND(P190,$N$21:$N$32),"&gt;0")</f>
        <v>0</v>
      </c>
      <c r="P190" s="6" t="s">
        <v>43</v>
      </c>
      <c r="Q190" s="80"/>
    </row>
    <row r="191">
      <c r="B191" s="65">
        <f>Team!$B$22</f>
        <v>100</v>
      </c>
      <c r="C191" s="6">
        <v>2.0</v>
      </c>
      <c r="D191" s="72" t="str">
        <f t="array" ref="D191">INDIRECT("Draft!D"&amp;TEXT(15-A189,"0"))</f>
        <v/>
      </c>
      <c r="E191" s="71" t="str">
        <f>IF($D191="","", VLOOKUP($D191,Update!$B$2:$R$420,11,False))</f>
        <v/>
      </c>
      <c r="F191" s="71" t="str">
        <f>IF($D191="","", VLOOKUP($D191,Update!$B$2:$R$420,10,False))</f>
        <v/>
      </c>
      <c r="G191" s="71" t="str">
        <f>IF($D191="","", VLOOKUP($D191,Update!$B$2:$R$420,12,False))</f>
        <v/>
      </c>
      <c r="H191" s="71" t="str">
        <f>IF($D191="","", VLOOKUP($D191,Update!$B$2:$R$420,13,False))</f>
        <v/>
      </c>
      <c r="I191" s="71" t="str">
        <f>IF($D191="","", VLOOKUP($D191,Update!$B$2:$R$420,14,False))</f>
        <v/>
      </c>
      <c r="J191" s="71" t="str">
        <f>IF($D191="","", VLOOKUP($D191,Update!$B$2:$R$420,15,False))</f>
        <v/>
      </c>
      <c r="K191" s="47" t="str">
        <f> IF($D191="","", 100*VLOOKUP($D191,Update!$B$2:$R$420,6,False)/VLOOKUP($D191,'NO USAR1'!$A$3:$L$420,9,False))</f>
        <v/>
      </c>
      <c r="L191" s="47" t="str">
        <f>IF($D191="","", 100*VLOOKUP($D191,Update!$B$2:$R$420,9,False))</f>
        <v/>
      </c>
      <c r="M191" s="71" t="str">
        <f>IF($D191="","", VLOOKUP($D191,Update!$B$2:$R$420,16,False))</f>
        <v/>
      </c>
      <c r="N191" s="45" t="str">
        <f>IF($D191="","", VLOOKUP($D191,Update!$B$2:$C$420,2,FALSE))</f>
        <v/>
      </c>
      <c r="O191" s="45">
        <f t="array" ref="O191">COUNTIF(FIND(P191,$N$21:$N$32),"&gt;0")</f>
        <v>0</v>
      </c>
      <c r="P191" s="6" t="s">
        <v>44</v>
      </c>
      <c r="Q191" s="80"/>
    </row>
    <row r="192">
      <c r="B192" s="65">
        <f>Team!$B$23</f>
        <v>100</v>
      </c>
      <c r="C192" s="6">
        <v>3.0</v>
      </c>
      <c r="D192" s="7" t="str">
        <f t="array" ref="D192">INDIRECT("Draft!E"&amp;TEXT(A189+2,"0"))</f>
        <v/>
      </c>
      <c r="E192" s="71" t="str">
        <f>IF($D192="","", VLOOKUP($D192,Update!$B$2:$R$420,11,False))</f>
        <v/>
      </c>
      <c r="F192" s="71" t="str">
        <f>IF($D192="","", VLOOKUP($D192,Update!$B$2:$R$420,10,False))</f>
        <v/>
      </c>
      <c r="G192" s="71" t="str">
        <f>IF($D192="","", VLOOKUP($D192,Update!$B$2:$R$420,12,False))</f>
        <v/>
      </c>
      <c r="H192" s="71" t="str">
        <f>IF($D192="","", VLOOKUP($D192,Update!$B$2:$R$420,13,False))</f>
        <v/>
      </c>
      <c r="I192" s="71" t="str">
        <f>IF($D192="","", VLOOKUP($D192,Update!$B$2:$R$420,14,False))</f>
        <v/>
      </c>
      <c r="J192" s="71" t="str">
        <f>IF($D192="","", VLOOKUP($D192,Update!$B$2:$R$420,15,False))</f>
        <v/>
      </c>
      <c r="K192" s="47" t="str">
        <f> IF($D192="","", 100*VLOOKUP($D192,Update!$B$2:$R$420,6,False)/VLOOKUP($D192,'NO USAR1'!$A$3:$L$420,9,False))</f>
        <v/>
      </c>
      <c r="L192" s="47" t="str">
        <f>IF($D192="","", 100*VLOOKUP($D192,Update!$B$2:$R$420,9,False))</f>
        <v/>
      </c>
      <c r="M192" s="71" t="str">
        <f>IF($D192="","", VLOOKUP($D192,Update!$B$2:$R$420,16,False))</f>
        <v/>
      </c>
      <c r="N192" s="45" t="str">
        <f>IF($D192="","", VLOOKUP($D192,Update!$B$2:$C$420,2,FALSE))</f>
        <v/>
      </c>
      <c r="O192" s="45">
        <f t="array" ref="O192">COUNTIF(FIND(P192,$N$21:$N$32),"&gt;0")</f>
        <v>0</v>
      </c>
      <c r="P192" s="6" t="s">
        <v>45</v>
      </c>
      <c r="Q192" s="80"/>
    </row>
    <row r="193">
      <c r="B193" s="65">
        <f>Team!$B$24</f>
        <v>100</v>
      </c>
      <c r="C193" s="6">
        <v>4.0</v>
      </c>
      <c r="D193" s="73" t="str">
        <f t="array" ref="D193">INDIRECT("Draft!F"&amp;TEXT(15-A189,"0"))</f>
        <v/>
      </c>
      <c r="E193" s="71" t="str">
        <f>IF($D193="","", VLOOKUP($D193,Update!$B$2:$R$420,11,False))</f>
        <v/>
      </c>
      <c r="F193" s="71" t="str">
        <f>IF($D193="","", VLOOKUP($D193,Update!$B$2:$R$420,10,False))</f>
        <v/>
      </c>
      <c r="G193" s="71" t="str">
        <f>IF($D193="","", VLOOKUP($D193,Update!$B$2:$R$420,12,False))</f>
        <v/>
      </c>
      <c r="H193" s="71" t="str">
        <f>IF($D193="","", VLOOKUP($D193,Update!$B$2:$R$420,13,False))</f>
        <v/>
      </c>
      <c r="I193" s="71" t="str">
        <f>IF($D193="","", VLOOKUP($D193,Update!$B$2:$R$420,14,False))</f>
        <v/>
      </c>
      <c r="J193" s="71" t="str">
        <f>IF($D193="","", VLOOKUP($D193,Update!$B$2:$R$420,15,False))</f>
        <v/>
      </c>
      <c r="K193" s="47" t="str">
        <f> IF($D193="","", 100*VLOOKUP($D193,Update!$B$2:$R$420,6,False)/VLOOKUP($D193,'NO USAR1'!$A$3:$L$420,9,False))</f>
        <v/>
      </c>
      <c r="L193" s="47" t="str">
        <f>IF($D193="","", 100*VLOOKUP($D193,Update!$B$2:$R$420,9,False))</f>
        <v/>
      </c>
      <c r="M193" s="71" t="str">
        <f>IF($D193="","", VLOOKUP($D193,Update!$B$2:$R$420,16,False))</f>
        <v/>
      </c>
      <c r="N193" s="45" t="str">
        <f>IF($D193="","", VLOOKUP($D193,Update!$B$2:$C$420,2,FALSE))</f>
        <v/>
      </c>
      <c r="O193" s="45">
        <f t="array" ref="O193">COUNTIF(FIND(P193,$N$21:$N$32),"&gt;0")</f>
        <v>0</v>
      </c>
      <c r="P193" s="6" t="s">
        <v>46</v>
      </c>
      <c r="Q193" s="80"/>
    </row>
    <row r="194">
      <c r="B194" s="65">
        <f>Team!$B$25</f>
        <v>100</v>
      </c>
      <c r="C194" s="6">
        <v>5.0</v>
      </c>
      <c r="D194" s="7" t="str">
        <f t="array" ref="D194">INDIRECT("Draft!G"&amp;TEXT(A189+2,"0"))</f>
        <v/>
      </c>
      <c r="E194" s="71" t="str">
        <f>IF($D194="","", VLOOKUP($D194,Update!$B$2:$R$420,11,False))</f>
        <v/>
      </c>
      <c r="F194" s="71" t="str">
        <f>IF($D194="","", VLOOKUP($D194,Update!$B$2:$R$420,10,False))</f>
        <v/>
      </c>
      <c r="G194" s="71" t="str">
        <f>IF($D194="","", VLOOKUP($D194,Update!$B$2:$R$420,12,False))</f>
        <v/>
      </c>
      <c r="H194" s="71" t="str">
        <f>IF($D194="","", VLOOKUP($D194,Update!$B$2:$R$420,13,False))</f>
        <v/>
      </c>
      <c r="I194" s="71" t="str">
        <f>IF($D194="","", VLOOKUP($D194,Update!$B$2:$R$420,14,False))</f>
        <v/>
      </c>
      <c r="J194" s="71" t="str">
        <f>IF($D194="","", VLOOKUP($D194,Update!$B$2:$R$420,15,False))</f>
        <v/>
      </c>
      <c r="K194" s="47" t="str">
        <f> IF($D194="","", 100*VLOOKUP($D194,Update!$B$2:$R$420,6,False)/VLOOKUP($D194,'NO USAR1'!$A$3:$L$420,9,False))</f>
        <v/>
      </c>
      <c r="L194" s="47" t="str">
        <f>IF($D194="","", 100*VLOOKUP($D194,Update!$B$2:$R$420,9,False))</f>
        <v/>
      </c>
      <c r="M194" s="71" t="str">
        <f>IF($D194="","", VLOOKUP($D194,Update!$B$2:$R$420,16,False))</f>
        <v/>
      </c>
      <c r="N194" s="45" t="str">
        <f>IF($D194="","", VLOOKUP($D194,Update!$B$2:$C$420,2,FALSE))</f>
        <v/>
      </c>
      <c r="O194" s="45">
        <f t="array" ref="O194">COUNTIF(FIND(P194,$N$21:$N$32),"&gt;0")</f>
        <v>0</v>
      </c>
      <c r="P194" s="6" t="s">
        <v>47</v>
      </c>
      <c r="Q194" s="80"/>
    </row>
    <row r="195">
      <c r="B195" s="65">
        <f>Team!$B$26</f>
        <v>100</v>
      </c>
      <c r="C195" s="6">
        <v>6.0</v>
      </c>
      <c r="D195" s="73" t="str">
        <f t="array" ref="D195">INDIRECT("Draft!H"&amp;TEXT(15-A189,"0"))</f>
        <v/>
      </c>
      <c r="E195" s="71" t="str">
        <f>IF($D195="","", VLOOKUP($D195,Update!$B$2:$R$420,11,False))</f>
        <v/>
      </c>
      <c r="F195" s="71" t="str">
        <f>IF($D195="","", VLOOKUP($D195,Update!$B$2:$R$420,10,False))</f>
        <v/>
      </c>
      <c r="G195" s="71" t="str">
        <f>IF($D195="","", VLOOKUP($D195,Update!$B$2:$R$420,12,False))</f>
        <v/>
      </c>
      <c r="H195" s="71" t="str">
        <f>IF($D195="","", VLOOKUP($D195,Update!$B$2:$R$420,13,False))</f>
        <v/>
      </c>
      <c r="I195" s="71" t="str">
        <f>IF($D195="","", VLOOKUP($D195,Update!$B$2:$R$420,14,False))</f>
        <v/>
      </c>
      <c r="J195" s="71" t="str">
        <f>IF($D195="","", VLOOKUP($D195,Update!$B$2:$R$420,15,False))</f>
        <v/>
      </c>
      <c r="K195" s="47" t="str">
        <f> IF($D195="","", 100*VLOOKUP($D195,Update!$B$2:$R$420,6,False)/VLOOKUP($D195,'NO USAR1'!$A$3:$L$420,9,False))</f>
        <v/>
      </c>
      <c r="L195" s="47" t="str">
        <f>IF($D195="","", 100*VLOOKUP($D195,Update!$B$2:$R$420,9,False))</f>
        <v/>
      </c>
      <c r="M195" s="71" t="str">
        <f>IF($D195="","", VLOOKUP($D195,Update!$B$2:$R$420,16,False))</f>
        <v/>
      </c>
      <c r="N195" s="45" t="str">
        <f>IF($D195="","", VLOOKUP($D195,Update!$B$2:$C$420,2,FALSE))</f>
        <v/>
      </c>
      <c r="O195" s="2"/>
      <c r="P195" s="2"/>
      <c r="Q195" s="2"/>
    </row>
    <row r="196">
      <c r="B196" s="65">
        <f>Team!$B$27</f>
        <v>100</v>
      </c>
      <c r="C196" s="6">
        <v>7.0</v>
      </c>
      <c r="D196" s="7" t="str">
        <f t="array" ref="D196">INDIRECT("Draft!I"&amp;TEXT(A189+2,"0"))</f>
        <v/>
      </c>
      <c r="E196" s="71" t="str">
        <f>IF($D196="","", VLOOKUP($D196,Update!$B$2:$R$420,11,False))</f>
        <v/>
      </c>
      <c r="F196" s="71" t="str">
        <f>IF($D196="","", VLOOKUP($D196,Update!$B$2:$R$420,10,False))</f>
        <v/>
      </c>
      <c r="G196" s="71" t="str">
        <f>IF($D196="","", VLOOKUP($D196,Update!$B$2:$R$420,12,False))</f>
        <v/>
      </c>
      <c r="H196" s="71" t="str">
        <f>IF($D196="","", VLOOKUP($D196,Update!$B$2:$R$420,13,False))</f>
        <v/>
      </c>
      <c r="I196" s="71" t="str">
        <f>IF($D196="","", VLOOKUP($D196,Update!$B$2:$R$420,14,False))</f>
        <v/>
      </c>
      <c r="J196" s="71" t="str">
        <f>IF($D196="","", VLOOKUP($D196,Update!$B$2:$R$420,15,False))</f>
        <v/>
      </c>
      <c r="K196" s="47" t="str">
        <f> IF($D196="","", 100*VLOOKUP($D196,Update!$B$2:$R$420,6,False)/VLOOKUP($D196,'NO USAR1'!$A$3:$L$420,9,False))</f>
        <v/>
      </c>
      <c r="L196" s="47" t="str">
        <f>IF($D196="","", 100*VLOOKUP($D196,Update!$B$2:$R$420,9,False))</f>
        <v/>
      </c>
      <c r="M196" s="71" t="str">
        <f>IF($D196="","", VLOOKUP($D196,Update!$B$2:$R$420,16,False))</f>
        <v/>
      </c>
      <c r="N196" s="45" t="str">
        <f>IF($D196="","", VLOOKUP($D196,Update!$B$2:$C$420,2,FALSE))</f>
        <v/>
      </c>
      <c r="O196" s="2"/>
      <c r="P196" s="2"/>
      <c r="Q196" s="2"/>
    </row>
    <row r="197">
      <c r="B197" s="65">
        <f>Team!$B$28</f>
        <v>100</v>
      </c>
      <c r="C197" s="6">
        <v>8.0</v>
      </c>
      <c r="D197" s="73" t="str">
        <f t="array" ref="D197">INDIRECT("Draft!J"&amp;TEXT(15-A189,"0"))</f>
        <v/>
      </c>
      <c r="E197" s="71" t="str">
        <f>IF($D197="","", VLOOKUP($D197,Update!$B$2:$R$420,11,False))</f>
        <v/>
      </c>
      <c r="F197" s="71" t="str">
        <f>IF($D197="","", VLOOKUP($D197,Update!$B$2:$R$420,10,False))</f>
        <v/>
      </c>
      <c r="G197" s="71" t="str">
        <f>IF($D197="","", VLOOKUP($D197,Update!$B$2:$R$420,12,False))</f>
        <v/>
      </c>
      <c r="H197" s="71" t="str">
        <f>IF($D197="","", VLOOKUP($D197,Update!$B$2:$R$420,13,False))</f>
        <v/>
      </c>
      <c r="I197" s="71" t="str">
        <f>IF($D197="","", VLOOKUP($D197,Update!$B$2:$R$420,14,False))</f>
        <v/>
      </c>
      <c r="J197" s="71" t="str">
        <f>IF($D197="","", VLOOKUP($D197,Update!$B$2:$R$420,15,False))</f>
        <v/>
      </c>
      <c r="K197" s="47" t="str">
        <f> IF($D197="","", 100*VLOOKUP($D197,Update!$B$2:$R$420,6,False)/VLOOKUP($D197,'NO USAR1'!$A$3:$L$420,9,False))</f>
        <v/>
      </c>
      <c r="L197" s="47" t="str">
        <f>IF($D197="","", 100*VLOOKUP($D197,Update!$B$2:$R$420,9,False))</f>
        <v/>
      </c>
      <c r="M197" s="71" t="str">
        <f>IF($D197="","", VLOOKUP($D197,Update!$B$2:$R$420,16,False))</f>
        <v/>
      </c>
      <c r="N197" s="45" t="str">
        <f>IF($D197="","", VLOOKUP($D197,Update!$B$2:$C$420,2,FALSE))</f>
        <v/>
      </c>
      <c r="O197" s="2"/>
      <c r="P197" s="2"/>
      <c r="Q197" s="2"/>
    </row>
    <row r="198">
      <c r="B198" s="65">
        <f>Team!$B$29</f>
        <v>100</v>
      </c>
      <c r="C198" s="6">
        <v>9.0</v>
      </c>
      <c r="D198" s="7" t="str">
        <f t="array" ref="D198">INDIRECT("Draft!K"&amp;TEXT(A189+2,"0"))</f>
        <v/>
      </c>
      <c r="E198" s="71" t="str">
        <f>IF($D198="","", VLOOKUP($D198,Update!$B$2:$R$420,11,False))</f>
        <v/>
      </c>
      <c r="F198" s="71" t="str">
        <f>IF($D198="","", VLOOKUP($D198,Update!$B$2:$R$420,10,False))</f>
        <v/>
      </c>
      <c r="G198" s="71" t="str">
        <f>IF($D198="","", VLOOKUP($D198,Update!$B$2:$R$420,12,False))</f>
        <v/>
      </c>
      <c r="H198" s="71" t="str">
        <f>IF($D198="","", VLOOKUP($D198,Update!$B$2:$R$420,13,False))</f>
        <v/>
      </c>
      <c r="I198" s="71" t="str">
        <f>IF($D198="","", VLOOKUP($D198,Update!$B$2:$R$420,14,False))</f>
        <v/>
      </c>
      <c r="J198" s="71" t="str">
        <f>IF($D198="","", VLOOKUP($D198,Update!$B$2:$R$420,15,False))</f>
        <v/>
      </c>
      <c r="K198" s="47" t="str">
        <f> IF($D198="","", 100*VLOOKUP($D198,Update!$B$2:$R$420,6,False)/VLOOKUP($D198,'NO USAR1'!$A$3:$L$420,9,False))</f>
        <v/>
      </c>
      <c r="L198" s="47" t="str">
        <f>IF($D198="","", 100*VLOOKUP($D198,Update!$B$2:$R$420,9,False))</f>
        <v/>
      </c>
      <c r="M198" s="71" t="str">
        <f>IF($D198="","", VLOOKUP($D198,Update!$B$2:$R$420,16,False))</f>
        <v/>
      </c>
      <c r="N198" s="45" t="str">
        <f>IF($D198="","", VLOOKUP($D198,Update!$B$2:$C$420,2,FALSE))</f>
        <v/>
      </c>
      <c r="O198" s="2"/>
      <c r="P198" s="2"/>
      <c r="Q198" s="2"/>
    </row>
    <row r="199">
      <c r="B199" s="65">
        <f>Team!$B$30</f>
        <v>100</v>
      </c>
      <c r="C199" s="6">
        <v>10.0</v>
      </c>
      <c r="D199" s="73" t="str">
        <f t="array" ref="D199">INDIRECT("Draft!L"&amp;TEXT(15-A189,"0"))</f>
        <v/>
      </c>
      <c r="E199" s="71" t="str">
        <f>IF($D199="","", VLOOKUP($D199,Update!$B$2:$R$420,11,False))</f>
        <v/>
      </c>
      <c r="F199" s="71" t="str">
        <f>IF($D199="","", VLOOKUP($D199,Update!$B$2:$R$420,10,False))</f>
        <v/>
      </c>
      <c r="G199" s="71" t="str">
        <f>IF($D199="","", VLOOKUP($D199,Update!$B$2:$R$420,12,False))</f>
        <v/>
      </c>
      <c r="H199" s="71" t="str">
        <f>IF($D199="","", VLOOKUP($D199,Update!$B$2:$R$420,13,False))</f>
        <v/>
      </c>
      <c r="I199" s="71" t="str">
        <f>IF($D199="","", VLOOKUP($D199,Update!$B$2:$R$420,14,False))</f>
        <v/>
      </c>
      <c r="J199" s="71" t="str">
        <f>IF($D199="","", VLOOKUP($D199,Update!$B$2:$R$420,15,False))</f>
        <v/>
      </c>
      <c r="K199" s="47" t="str">
        <f> IF($D199="","", 100*VLOOKUP($D199,Update!$B$2:$R$420,6,False)/VLOOKUP($D199,'NO USAR1'!$A$3:$L$420,9,False))</f>
        <v/>
      </c>
      <c r="L199" s="47" t="str">
        <f>IF($D199="","", 100*VLOOKUP($D199,Update!$B$2:$R$420,9,False))</f>
        <v/>
      </c>
      <c r="M199" s="71" t="str">
        <f>IF($D199="","", VLOOKUP($D199,Update!$B$2:$R$420,16,False))</f>
        <v/>
      </c>
      <c r="N199" s="45" t="str">
        <f>IF($D199="","", VLOOKUP($D199,Update!$B$2:$C$420,2,FALSE))</f>
        <v/>
      </c>
      <c r="O199" s="2"/>
      <c r="P199" s="2"/>
      <c r="Q199" s="2"/>
    </row>
    <row r="200">
      <c r="B200" s="65">
        <f>Team!$B$31</f>
        <v>100</v>
      </c>
      <c r="C200" s="6">
        <v>11.0</v>
      </c>
      <c r="D200" s="7" t="str">
        <f t="array" ref="D200">INDIRECT("Draft!M"&amp;TEXT(A189+2,"0"))</f>
        <v/>
      </c>
      <c r="E200" s="71" t="str">
        <f>IF($D200="","", VLOOKUP($D200,Update!$B$2:$R$420,11,False))</f>
        <v/>
      </c>
      <c r="F200" s="71" t="str">
        <f>IF($D200="","", VLOOKUP($D200,Update!$B$2:$R$420,10,False))</f>
        <v/>
      </c>
      <c r="G200" s="71" t="str">
        <f>IF($D200="","", VLOOKUP($D200,Update!$B$2:$R$420,12,False))</f>
        <v/>
      </c>
      <c r="H200" s="71" t="str">
        <f>IF($D200="","", VLOOKUP($D200,Update!$B$2:$R$420,13,False))</f>
        <v/>
      </c>
      <c r="I200" s="71" t="str">
        <f>IF($D200="","", VLOOKUP($D200,Update!$B$2:$R$420,14,False))</f>
        <v/>
      </c>
      <c r="J200" s="71" t="str">
        <f>IF($D200="","", VLOOKUP($D200,Update!$B$2:$R$420,15,False))</f>
        <v/>
      </c>
      <c r="K200" s="47" t="str">
        <f> IF($D200="","", 100*VLOOKUP($D200,Update!$B$2:$R$420,6,False)/VLOOKUP($D200,'NO USAR1'!$A$3:$L$420,9,False))</f>
        <v/>
      </c>
      <c r="L200" s="47" t="str">
        <f>IF($D200="","", 100*VLOOKUP($D200,Update!$B$2:$R$420,9,False))</f>
        <v/>
      </c>
      <c r="M200" s="71" t="str">
        <f>IF($D200="","", VLOOKUP($D200,Update!$B$2:$R$420,16,False))</f>
        <v/>
      </c>
      <c r="N200" s="45" t="str">
        <f>IF($D200="","", VLOOKUP($D200,Update!$B$2:$C$420,2,FALSE))</f>
        <v/>
      </c>
      <c r="O200" s="2"/>
      <c r="P200" s="2"/>
      <c r="Q200" s="2"/>
    </row>
    <row r="201">
      <c r="B201" s="65">
        <f>Team!$B$32</f>
        <v>100</v>
      </c>
      <c r="C201" s="6">
        <v>12.0</v>
      </c>
      <c r="D201" s="73" t="str">
        <f t="array" ref="D201">INDIRECT("Draft!N"&amp;TEXT(15-A189,"0"))</f>
        <v/>
      </c>
      <c r="E201" s="71" t="str">
        <f>IF($D201="","", VLOOKUP($D201,Update!$B$2:$R$420,11,False))</f>
        <v/>
      </c>
      <c r="F201" s="71" t="str">
        <f>IF($D201="","", VLOOKUP($D201,Update!$B$2:$R$420,10,False))</f>
        <v/>
      </c>
      <c r="G201" s="71" t="str">
        <f>IF($D201="","", VLOOKUP($D201,Update!$B$2:$R$420,12,False))</f>
        <v/>
      </c>
      <c r="H201" s="71" t="str">
        <f>IF($D201="","", VLOOKUP($D201,Update!$B$2:$R$420,13,False))</f>
        <v/>
      </c>
      <c r="I201" s="71" t="str">
        <f>IF($D201="","", VLOOKUP($D201,Update!$B$2:$R$420,14,False))</f>
        <v/>
      </c>
      <c r="J201" s="71" t="str">
        <f>IF($D201="","", VLOOKUP($D201,Update!$B$2:$R$420,15,False))</f>
        <v/>
      </c>
      <c r="K201" s="47" t="str">
        <f> IF($D201="","", 100*VLOOKUP($D201,Update!$B$2:$R$420,6,False)/VLOOKUP($D201,'NO USAR1'!$A$3:$L$420,9,False))</f>
        <v/>
      </c>
      <c r="L201" s="47" t="str">
        <f>IF($D201="","", 100*VLOOKUP($D201,Update!$B$2:$R$420,9,False))</f>
        <v/>
      </c>
      <c r="M201" s="71" t="str">
        <f>IF($D201="","", VLOOKUP($D201,Update!$B$2:$R$420,16,False))</f>
        <v/>
      </c>
      <c r="N201" s="45" t="str">
        <f>IF($D201="","", VLOOKUP($D201,Update!$B$2:$C$420,2,FALSE))</f>
        <v/>
      </c>
      <c r="O201" s="2"/>
      <c r="P201" s="2"/>
      <c r="Q201" s="2"/>
    </row>
    <row r="202">
      <c r="B202" s="65">
        <f>Team!$B$33</f>
        <v>100</v>
      </c>
      <c r="C202" s="6">
        <v>13.0</v>
      </c>
      <c r="D202" s="6" t="str">
        <f t="array" ref="D202">INDIRECT("Draft!O"&amp;TEXT(A189+2,"0"))</f>
        <v/>
      </c>
      <c r="E202" s="71" t="str">
        <f>IF($D202="","", VLOOKUP($D202,Update!$B$2:$R$420,11,False))</f>
        <v/>
      </c>
      <c r="F202" s="71" t="str">
        <f>IF($D202="","", VLOOKUP($D202,Update!$B$2:$R$420,10,False))</f>
        <v/>
      </c>
      <c r="G202" s="71" t="str">
        <f>IF($D202="","", VLOOKUP($D202,Update!$B$2:$R$420,12,False))</f>
        <v/>
      </c>
      <c r="H202" s="71" t="str">
        <f>IF($D202="","", VLOOKUP($D202,Update!$B$2:$R$420,13,False))</f>
        <v/>
      </c>
      <c r="I202" s="71" t="str">
        <f>IF($D202="","", VLOOKUP($D202,Update!$B$2:$R$420,14,False))</f>
        <v/>
      </c>
      <c r="J202" s="71" t="str">
        <f>IF($D202="","", VLOOKUP($D202,Update!$B$2:$R$420,15,False))</f>
        <v/>
      </c>
      <c r="K202" s="47" t="str">
        <f> IF($D202="","", 100*VLOOKUP($D202,Update!$B$2:$R$420,6,False)/VLOOKUP($D202,'NO USAR1'!$A$3:$L$420,9,False))</f>
        <v/>
      </c>
      <c r="L202" s="47" t="str">
        <f>IF($D202="","", 100*VLOOKUP($D202,Update!$B$2:$R$420,9,False))</f>
        <v/>
      </c>
      <c r="M202" s="71" t="str">
        <f>IF($D202="","", VLOOKUP($D202,Update!$B$2:$R$420,16,False))</f>
        <v/>
      </c>
      <c r="N202" s="2"/>
      <c r="O202" s="2"/>
      <c r="P202" s="2"/>
      <c r="Q202" s="2"/>
    </row>
    <row r="203">
      <c r="B203" s="65">
        <f>Team!$B$34</f>
        <v>0</v>
      </c>
      <c r="C203" s="6">
        <v>14.0</v>
      </c>
      <c r="D203" s="72" t="str">
        <f t="array" ref="D203">INDIRECT("Draft!P"&amp;TEXT(15-A189,"0"))</f>
        <v/>
      </c>
      <c r="E203" s="71" t="str">
        <f>IF($D203="","", VLOOKUP($D203,Update!$B$2:$R$420,11,False))</f>
        <v/>
      </c>
      <c r="F203" s="71" t="str">
        <f>IF($D203="","", VLOOKUP($D203,Update!$B$2:$R$420,10,False))</f>
        <v/>
      </c>
      <c r="G203" s="71" t="str">
        <f>IF($D203="","", VLOOKUP($D203,Update!$B$2:$R$420,12,False))</f>
        <v/>
      </c>
      <c r="H203" s="71" t="str">
        <f>IF($D203="","", VLOOKUP($D203,Update!$B$2:$R$420,13,False))</f>
        <v/>
      </c>
      <c r="I203" s="71" t="str">
        <f>IF($D203="","", VLOOKUP($D203,Update!$B$2:$R$420,14,False))</f>
        <v/>
      </c>
      <c r="J203" s="71" t="str">
        <f>IF($D203="","", VLOOKUP($D203,Update!$B$2:$R$420,15,False))</f>
        <v/>
      </c>
      <c r="K203" s="47" t="str">
        <f> IF($D203="","", 100*VLOOKUP($D203,Update!$B$2:$R$420,6,False)/VLOOKUP($D203,'NO USAR1'!$A$3:$L$420,9,False))</f>
        <v/>
      </c>
      <c r="L203" s="47" t="str">
        <f>IF($D203="","", 100*VLOOKUP($D203,Update!$B$2:$R$420,9,False))</f>
        <v/>
      </c>
      <c r="M203" s="71" t="str">
        <f>IF($D203="","", VLOOKUP($D203,Update!$B$2:$R$420,16,False))</f>
        <v/>
      </c>
      <c r="N203" s="2"/>
      <c r="O203" s="2"/>
      <c r="P203" s="2"/>
      <c r="Q203" s="2"/>
    </row>
    <row r="204">
      <c r="D204" s="76" t="s">
        <v>80</v>
      </c>
      <c r="E204" s="47" t="str">
        <f t="shared" ref="E204:J204" si="12">AVERAGE(SUMPRODUCT(E190:E203,$B190:$B203/100))/(SUM(OFFSET($B190,0,0,COUNT(E190:E203)))/100)</f>
        <v>#VALUE!</v>
      </c>
      <c r="F204" s="47" t="str">
        <f t="shared" si="12"/>
        <v>#VALUE!</v>
      </c>
      <c r="G204" s="47" t="str">
        <f t="shared" si="12"/>
        <v>#VALUE!</v>
      </c>
      <c r="H204" s="47" t="str">
        <f t="shared" si="12"/>
        <v>#VALUE!</v>
      </c>
      <c r="I204" s="47" t="str">
        <f t="shared" si="12"/>
        <v>#VALUE!</v>
      </c>
      <c r="J204" s="47" t="str">
        <f t="shared" si="12"/>
        <v>#VALUE!</v>
      </c>
      <c r="K204" s="47" t="str">
        <f t="array" ref="K204">IFERROR(100*SUMPRODUCT(IFERROR(VLOOKUP($D190:$D203,Update!$B:$S,6,False),"")*$B190:$B203/100)/SUMPRODUCT(IFERROR(VLOOKUP($D190:$D203,Update!$B:$S,17,False),"")*$B190:$B203/100),"")</f>
        <v/>
      </c>
      <c r="L204" s="47" t="str">
        <f t="array" ref="L204">IFERROR(100*SUMPRODUCT(IFERROR(VLOOKUP($D190:$D203,Update!$B:$S,8,False),"")*$B190:$B203/100)/SUMPRODUCT(IFERROR(VLOOKUP($D190:$D203,Update!$B:$S,18,False),"")*$B190:$B203/100),"")</f>
        <v/>
      </c>
      <c r="M204" s="47" t="str">
        <f>AVERAGE(SUMPRODUCT(M190:M203,$B190:$B203/100))/(SUM(OFFSET($B190,0,0,COUNT(M190:M203)))/100)</f>
        <v>#VALUE!</v>
      </c>
      <c r="N204" s="2"/>
    </row>
    <row r="205">
      <c r="D205" s="76" t="s">
        <v>84</v>
      </c>
      <c r="E205" s="46" t="str">
        <f>(SUM(OFFSET('All Teams'!$B190,0,0,COUNT('All Teams'!E190:E203)))/100)*('All Teams'!E204-'NO USAR1'!$B$1)/'NO USAR1'!$B$2</f>
        <v>#VALUE!</v>
      </c>
      <c r="F205" s="46" t="str">
        <f>(SUM(OFFSET('All Teams'!$B190,0,0,COUNT('All Teams'!F190:F203)))/100)*('All Teams'!F204-'NO USAR1'!$C$1)/'NO USAR1'!$C$2</f>
        <v>#VALUE!</v>
      </c>
      <c r="G205" s="46" t="str">
        <f>(SUM(OFFSET('All Teams'!$B190,0,0,COUNT('All Teams'!G190:G203)))/100)*('All Teams'!G204-'NO USAR1'!$D$1)/'NO USAR1'!$D$2</f>
        <v>#VALUE!</v>
      </c>
      <c r="H205" s="46" t="str">
        <f>(SUM(OFFSET('All Teams'!$B190,0,0,COUNT('All Teams'!H190:H203)))/100)*('All Teams'!H204-'NO USAR1'!$E$1)/'NO USAR1'!$E$2</f>
        <v>#VALUE!</v>
      </c>
      <c r="I205" s="46" t="str">
        <f>(SUM(OFFSET('All Teams'!$B190,0,0,COUNT('All Teams'!I190:I203)))/100)*('All Teams'!I204-'NO USAR1'!$F$1)/'NO USAR1'!$F$2</f>
        <v>#VALUE!</v>
      </c>
      <c r="J205" s="46" t="str">
        <f>(SUM(OFFSET('All Teams'!$B190,0,0,COUNT('All Teams'!J190:J203)))/100)*('All Teams'!J204-'NO USAR1'!$G$1)/'NO USAR1'!$G$2</f>
        <v>#VALUE!</v>
      </c>
      <c r="K205" s="46">
        <f t="array" ref="K205">SUMPRODUCT(IFERROR(VLOOKUP($D190:$D203,'NO USAR1'!$A$4:$L$403,8,False)*$B190:$B203/100,""))</f>
        <v>0</v>
      </c>
      <c r="L205" s="46">
        <f t="array" ref="L205">SUMPRODUCT(IFERROR(VLOOKUP($D190:$D203,'NO USAR1'!$A$4:$L$403,10,False)*$B190:$B203/100,""))</f>
        <v>0</v>
      </c>
      <c r="M205" s="46" t="str">
        <f>-(SUM(OFFSET('All Teams'!$B190,0,0,COUNT('All Teams'!M190:M203)))/100)*('All Teams'!M204-'NO USAR1'!$L$1)/'NO USAR1'!$L$2</f>
        <v>#VALUE!</v>
      </c>
    </row>
  </sheetData>
  <dataValidations>
    <dataValidation type="list" allowBlank="1" sqref="B3:B16 B20:B33 B37:B50 B54:B67 B71:B84 B88:B101 B105:B118 B122:B135 B139:B152 B156:B169 B173:B186 B190:B203">
      <formula1>"100,75,50,25,0"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33"/>
      <c r="C4" s="4" t="s">
        <v>71</v>
      </c>
      <c r="D4" s="4" t="s">
        <v>34</v>
      </c>
      <c r="E4" s="34" t="s">
        <v>35</v>
      </c>
      <c r="F4" s="4" t="s">
        <v>36</v>
      </c>
      <c r="G4" s="4" t="s">
        <v>37</v>
      </c>
      <c r="H4" s="4" t="s">
        <v>38</v>
      </c>
      <c r="I4" s="4" t="s">
        <v>61</v>
      </c>
      <c r="J4" s="4" t="s">
        <v>40</v>
      </c>
      <c r="K4" s="4" t="s">
        <v>41</v>
      </c>
      <c r="L4" s="4" t="s">
        <v>42</v>
      </c>
      <c r="M4" s="4" t="s">
        <v>74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75</v>
      </c>
      <c r="Z4" s="4" t="s">
        <v>76</v>
      </c>
    </row>
    <row r="5">
      <c r="B5" s="65" t="b">
        <f>Draft!B3</f>
        <v>0</v>
      </c>
      <c r="C5" s="6">
        <v>1.0</v>
      </c>
      <c r="D5" s="45">
        <f>((IF(ISBLANK(Draft!C3),0,VLOOKUP(Draft!C3, 'NO USAR1'!A4:L1000,2,FALSE)+(IF(ISBLANK(Draft!D14),0,VLOOKUP(Draft!D14, 'NO USAR1'!A4:L1000,2,FALSE)+(IF(ISBLANK(Draft!E3),0,VLOOKUP(Draft!E3, 'NO USAR1'!A4:L1000,2,FALSE)+(IF(ISBLANK(Draft!F14),0,VLOOKUP(Draft!F14, 'NO USAR1'!A4:L1000,2,FALSE)+(IF(ISBLANK(Draft!G3),0,VLOOKUP(Draft!G3, 'NO USAR1'!A4:L1000,2,FALSE)+(IF(ISBLANK(Draft!H14),0,VLOOKUP(Draft!H14, 'NO USAR1'!A4:L1000,2,FALSE)+(IF(ISBLANK(Draft!I3),0,VLOOKUP(Draft!I3, 'NO USAR1'!A4:L1000,2,FALSE)+(IF(ISBLANK(Draft!J14),0,VLOOKUP(Draft!J14, 'NO USAR1'!A4:L1000,2,FALSE)+(IF(ISBLANK(Draft!K3),0,VLOOKUP(Draft!K3, 'NO USAR1'!A4:L1000,2,FALSE)+(IF(ISBLANK(Draft!L14),0,VLOOKUP(Draft!L14, 'NO USAR1'!A4:L1000,2,FALSE)+IF(ISBLANK(Draft!M3),0,VLOOKUP(Draft!M3, 'NO USAR1'!A4:L1000,2,FALSE)+IF(ISBLANK(Draft!N14),0,VLOOKUP(Draft!N14, 'NO USAR1'!A4:L1000,2,FALSE))))))))))))))))))))))))</f>
        <v>0</v>
      </c>
      <c r="E5" s="45">
        <f>((IF(ISBLANK(Draft!C3),0,VLOOKUP(Draft!C3, 'NO USAR1'!A4:L1000,3,FALSE)+(IF(ISBLANK(Draft!D14),0,VLOOKUP(Draft!D14, 'NO USAR1'!A4:L1000,3,FALSE)+(IF(ISBLANK(Draft!E3),0,VLOOKUP(Draft!E3, 'NO USAR1'!A4:L1000,3,FALSE)+(IF(ISBLANK(Draft!F14),0,VLOOKUP(Draft!F14, 'NO USAR1'!A4:L1000,3,FALSE)+(IF(ISBLANK(Draft!G3),0,VLOOKUP(Draft!G3, 'NO USAR1'!A4:L1000,3,FALSE)+(IF(ISBLANK(Draft!H14),0,VLOOKUP(Draft!H14, 'NO USAR1'!A4:L1000,3,FALSE)+(IF(ISBLANK(Draft!I3),0,VLOOKUP(Draft!I3, 'NO USAR1'!A4:L1000,3,FALSE)+(IF(ISBLANK(Draft!J14),0,VLOOKUP(Draft!J14, 'NO USAR1'!A4:L1000,3,FALSE)+(IF(ISBLANK(Draft!K3),0,VLOOKUP(Draft!K3, 'NO USAR1'!A4:L1000,3,FALSE)+(IF(ISBLANK(Draft!L14),0,VLOOKUP(Draft!L14, 'NO USAR1'!A4:L1000,3,FALSE)+IF(ISBLANK(Draft!M3),0,VLOOKUP(Draft!M3, 'NO USAR1'!A4:L1000,3,FALSE)+IF(ISBLANK(Draft!N14),0,VLOOKUP(Draft!N14, 'NO USAR1'!A4:L1000,3,FALSE))))))))))))))))))))))))</f>
        <v>0</v>
      </c>
      <c r="F5" s="45">
        <f>((IF(ISBLANK(Draft!C3),0,VLOOKUP(Draft!C3, 'NO USAR1'!A4:L1000,4,FALSE)+(IF(ISBLANK(Draft!D14),0,VLOOKUP(Draft!D14, 'NO USAR1'!A4:L1000,4,FALSE)+(IF(ISBLANK(Draft!E3),0,VLOOKUP(Draft!E3, 'NO USAR1'!A4:L1000,4,FALSE)+(IF(ISBLANK(Draft!F14),0,VLOOKUP(Draft!F14, 'NO USAR1'!A4:L1000,4,FALSE)+(IF(ISBLANK(Draft!G3),0,VLOOKUP(Draft!G3, 'NO USAR1'!A4:L1000,4,FALSE)+(IF(ISBLANK(Draft!H14),0,VLOOKUP(Draft!H14, 'NO USAR1'!A4:L1000,4,FALSE)+(IF(ISBLANK(Draft!I3),0,VLOOKUP(Draft!I3, 'NO USAR1'!A4:L1000,4,FALSE)+(IF(ISBLANK(Draft!J14),0,VLOOKUP(Draft!J14, 'NO USAR1'!A4:L1000,4,FALSE)+(IF(ISBLANK(Draft!K3),0,VLOOKUP(Draft!K3, 'NO USAR1'!A4:L1000,4,FALSE)+(IF(ISBLANK(Draft!L14),0,VLOOKUP(Draft!L14, 'NO USAR1'!A4:L1000,4,FALSE)+IF(ISBLANK(Draft!M3),0,VLOOKUP(Draft!M3, 'NO USAR1'!A4:L1000,4,FALSE)+IF(ISBLANK(Draft!N14),0,VLOOKUP(Draft!N14, 'NO USAR1'!A4:L1000,4,FALSE))))))))))))))))))))))))</f>
        <v>0</v>
      </c>
      <c r="G5" s="45">
        <f>((IF(ISBLANK(Draft!C3),0,VLOOKUP(Draft!C3, 'NO USAR1'!A4:L1000,5,FALSE)+(IF(ISBLANK(Draft!D14),0,VLOOKUP(Draft!D14, 'NO USAR1'!A4:L1000,5,FALSE)+(IF(ISBLANK(Draft!E3),0,VLOOKUP(Draft!E3, 'NO USAR1'!A4:L1000,5,FALSE)+(IF(ISBLANK(Draft!F14),0,VLOOKUP(Draft!F14, 'NO USAR1'!A4:L1000,5,FALSE)+(IF(ISBLANK(Draft!G3),0,VLOOKUP(Draft!G3, 'NO USAR1'!A4:L1000,5,FALSE)+(IF(ISBLANK(Draft!H14),0,VLOOKUP(Draft!H14, 'NO USAR1'!A4:L1000,5,FALSE)+(IF(ISBLANK(Draft!I3),0,VLOOKUP(Draft!I3, 'NO USAR1'!A4:L1000,5,FALSE)+(IF(ISBLANK(Draft!J14),0,VLOOKUP(Draft!J14, 'NO USAR1'!A4:L1000,5,FALSE)+(IF(ISBLANK(Draft!K3),0,VLOOKUP(Draft!K3, 'NO USAR1'!A4:L1000,5,FALSE)+(IF(ISBLANK(Draft!L14),0,VLOOKUP(Draft!L14, 'NO USAR1'!A4:L1000,5,FALSE)+IF(ISBLANK(Draft!M3),0,VLOOKUP(Draft!M3, 'NO USAR1'!A4:L1000,5,FALSE)+IF(ISBLANK(Draft!N14),0,VLOOKUP(Draft!N14, 'NO USAR1'!A4:L1000,5,FALSE))))))))))))))))))))))))</f>
        <v>0</v>
      </c>
      <c r="H5" s="45">
        <f>((IF(ISBLANK(Draft!C3),0,VLOOKUP(Draft!C3, 'NO USAR1'!A4:L1000,6,FALSE)+(IF(ISBLANK(Draft!D14),0,VLOOKUP(Draft!D14, 'NO USAR1'!A4:L1000,6,FALSE)+(IF(ISBLANK(Draft!E3),0,VLOOKUP(Draft!E3, 'NO USAR1'!A4:L1000,6,FALSE)+(IF(ISBLANK(Draft!F14),0,VLOOKUP(Draft!F14, 'NO USAR1'!A4:L1000,6,FALSE)+(IF(ISBLANK(Draft!G3),0,VLOOKUP(Draft!G3, 'NO USAR1'!A4:L1000,6,FALSE)+(IF(ISBLANK(Draft!H14),0,VLOOKUP(Draft!H14, 'NO USAR1'!A4:L1000,6,FALSE)+(IF(ISBLANK(Draft!I3),0,VLOOKUP(Draft!I3, 'NO USAR1'!A4:L1000,6,FALSE)+(IF(ISBLANK(Draft!J14),0,VLOOKUP(Draft!J14, 'NO USAR1'!A4:L1000,6,FALSE)+(IF(ISBLANK(Draft!K3),0,VLOOKUP(Draft!K3, 'NO USAR1'!A4:L1000,6,FALSE)+(IF(ISBLANK(Draft!L14),0,VLOOKUP(Draft!L14, 'NO USAR1'!A4:L1000,6,FALSE)+IF(ISBLANK(Draft!M3),0,VLOOKUP(Draft!M3, 'NO USAR1'!A4:L1000,6,FALSE)+IF(ISBLANK(Draft!N14),0,VLOOKUP(Draft!N14, 'NO USAR1'!A4:L1000,6,FALSE))))))))))))))))))))))))</f>
        <v>0</v>
      </c>
      <c r="I5" s="45">
        <f>((IF(ISBLANK(Draft!C3),0,VLOOKUP(Draft!C3, 'NO USAR1'!A4:L1000,7,FALSE)+(IF(ISBLANK(Draft!D14),0,VLOOKUP(Draft!D14, 'NO USAR1'!A4:L1000,7,FALSE)+(IF(ISBLANK(Draft!E3),0,VLOOKUP(Draft!E3, 'NO USAR1'!A4:L1000,7,FALSE)+(IF(ISBLANK(Draft!F14),0,VLOOKUP(Draft!F14, 'NO USAR1'!A4:L1000,7,FALSE)+(IF(ISBLANK(Draft!G3),0,VLOOKUP(Draft!G3, 'NO USAR1'!A4:L1000,7,FALSE)+(IF(ISBLANK(Draft!H14),0,VLOOKUP(Draft!H14, 'NO USAR1'!A4:L1000,7,FALSE)+(IF(ISBLANK(Draft!I3),0,VLOOKUP(Draft!I3, 'NO USAR1'!A4:L1000,7,FALSE)+(IF(ISBLANK(Draft!J14),0,VLOOKUP(Draft!J14, 'NO USAR1'!A4:L1000,7,FALSE)+(IF(ISBLANK(Draft!K3),0,VLOOKUP(Draft!K3, 'NO USAR1'!A4:L1000,7,FALSE)+(IF(ISBLANK(Draft!L14),0,VLOOKUP(Draft!L14, 'NO USAR1'!A4:L1000,7,FALSE)+IF(ISBLANK(Draft!M3),0,VLOOKUP(Draft!M3, 'NO USAR1'!A4:L1000,7,FALSE)+IF(ISBLANK(Draft!N14),0,VLOOKUP(Draft!N14, 'NO USAR1'!A4:L1000,7,FALSE))))))))))))))))))))))))</f>
        <v>0</v>
      </c>
      <c r="J5" s="6">
        <f>((IF(ISBLANK(Draft!C3),0,VLOOKUP(Draft!C3, 'NO USAR1'!A4:L1000,8,FALSE)+(IF(ISBLANK(Draft!D14),0,VLOOKUP(Draft!D14, 'NO USAR1'!A4:L1000,8,FALSE)+(IF(ISBLANK(Draft!E3),0,VLOOKUP(Draft!E3, 'NO USAR1'!A4:L1000,8,FALSE)+(IF(ISBLANK(Draft!F14),0,VLOOKUP(Draft!F14, 'NO USAR1'!A4:L1000,8,FALSE)+(IF(ISBLANK(Draft!G3),0,VLOOKUP(Draft!G3, 'NO USAR1'!A4:L1000,8,FALSE)+(IF(ISBLANK(Draft!H14),0,VLOOKUP(Draft!H14, 'NO USAR1'!A4:L1000,8,FALSE)+(IF(ISBLANK(Draft!I3),0,VLOOKUP(Draft!I3, 'NO USAR1'!A4:L1000,8,FALSE)+(IF(ISBLANK(Draft!J14),0,VLOOKUP(Draft!J14, 'NO USAR1'!A4:L1000,8,FALSE)+(IF(ISBLANK(Draft!K3),0,VLOOKUP(Draft!K3, 'NO USAR1'!A4:L1000,8,FALSE)+(IF(ISBLANK(Draft!L14),0,VLOOKUP(Draft!L14, 'NO USAR1'!A4:L1000,8,FALSE)+IF(ISBLANK(Draft!M3),0,VLOOKUP(Draft!M3, 'NO USAR1'!A4:L1000,8,FALSE)+IF(ISBLANK(Draft!N14),0,VLOOKUP(Draft!N14, 'NO USAR1'!A4:L1000,8,FALSE))))))))))))))))))))))))</f>
        <v>0</v>
      </c>
      <c r="K5" s="45">
        <f>((IF(ISBLANK(Draft!C3),0,VLOOKUP(Draft!C3, 'NO USAR1'!A4:L1000,10,FALSE)+(IF(ISBLANK(Draft!D14),0,VLOOKUP(Draft!D14, 'NO USAR1'!A4:L1000,10,FALSE)+(IF(ISBLANK(Draft!E3),0,VLOOKUP(Draft!E3, 'NO USAR1'!A4:L1000,10,FALSE)+(IF(ISBLANK(Draft!F14),0,VLOOKUP(Draft!F14, 'NO USAR1'!A4:L1000,10,FALSE)+(IF(ISBLANK(Draft!G3),0,VLOOKUP(Draft!G3, 'NO USAR1'!A4:L1000,10,FALSE)+(IF(ISBLANK(Draft!H14),0,VLOOKUP(Draft!H14, 'NO USAR1'!A4:L1000,10,FALSE)+(IF(ISBLANK(Draft!I3),0,VLOOKUP(Draft!I3, 'NO USAR1'!A4:L1000,10,FALSE)+(IF(ISBLANK(Draft!J14),0,VLOOKUP(Draft!J14, 'NO USAR1'!A4:L1000,10,FALSE)+(IF(ISBLANK(Draft!K3),0,VLOOKUP(Draft!K3, 'NO USAR1'!A4:L1000,10,FALSE)+(IF(ISBLANK(Draft!L14),0,VLOOKUP(Draft!L14, 'NO USAR1'!A4:L1000,10,FALSE)+IF(ISBLANK(Draft!M3),0,VLOOKUP(Draft!M3, 'NO USAR1'!A4:L1000,10,FALSE)+IF(ISBLANK(Draft!N14),0,VLOOKUP(Draft!N14, 'NO USAR1'!A4:L1000,10,FALSE))))))))))))))))))))))))</f>
        <v>0</v>
      </c>
      <c r="L5" s="45">
        <f>((IF(ISBLANK(Draft!C3),0,VLOOKUP(Draft!C3, 'NO USAR1'!A4:L1000,12,FALSE)+(IF(ISBLANK(Draft!D14),0,VLOOKUP(Draft!D14, 'NO USAR1'!A4:L1000,12,FALSE)+(IF(ISBLANK(Draft!E3),0,VLOOKUP(Draft!E3, 'NO USAR1'!A4:L1000,12,FALSE)+(IF(ISBLANK(Draft!F14),0,VLOOKUP(Draft!F14, 'NO USAR1'!A4:L1000,12,FALSE)+(IF(ISBLANK(Draft!G3),0,VLOOKUP(Draft!G3, 'NO USAR1'!A4:L1000,12,FALSE)+(IF(ISBLANK(Draft!H14),0,VLOOKUP(Draft!H14, 'NO USAR1'!A4:L1000,12,FALSE)+(IF(ISBLANK(Draft!I3),0,VLOOKUP(Draft!I3, 'NO USAR1'!A4:L1000,12,FALSE)+(IF(ISBLANK(Draft!J14),0,VLOOKUP(Draft!J14, 'NO USAR1'!A4:L1000,12,FALSE)+(IF(ISBLANK(Draft!K3),0,VLOOKUP(Draft!K3, 'NO USAR1'!A4:L1000,12,FALSE)+(IF(ISBLANK(Draft!L14),0,VLOOKUP(Draft!L14, 'NO USAR1'!A4:L1000,12,FALSE)+IF(ISBLANK(Draft!M3),0,VLOOKUP(Draft!M3, 'NO USAR1'!A4:L1000,12,FALSE)+IF(ISBLANK(Draft!N14),0,VLOOKUP(Draft!N14, 'NO USAR1'!A4:L1000,12,FALSE))))))))))))))))))))))))</f>
        <v>0</v>
      </c>
      <c r="M5" s="66">
        <f t="array" ref="M5">if(M$3=$C5,"-", countif(indirect(address(row($C$4)+ VLOOKUP(M$3,$C$5:$C$16,1),COLUMN($D$4))):indirect(address(row($C$4)+ VLOOKUP(M$3,$C$5:$C$16,1),COLUMN($L$4)))&gt;indirect(address(row($C5),COLUMN($D$4))):indirect(address(row($C5),COLUMN($L$4))),TRUE()))</f>
        <v>0</v>
      </c>
      <c r="N5" s="66">
        <f t="array" ref="N5">if(N$3=$C5,"-", countif(indirect(address(row($C$4)+ VLOOKUP(N$3,$C$5:$C$16,1),COLUMN($D$4))):indirect(address(row($C$4)+ VLOOKUP(N$3,$C$5:$C$16,1),COLUMN($L$4)))&gt;indirect(address(row($C5),COLUMN($D$4))):indirect(address(row($C5),COLUMN($L$4))),TRUE()))</f>
        <v>0</v>
      </c>
      <c r="O5" s="66">
        <f t="array" ref="O5">if(O$3=$C5,"-", countif(indirect(address(row($C$4)+ VLOOKUP(O$3,$C$5:$C$16,1),COLUMN($D$4))):indirect(address(row($C$4)+ VLOOKUP(O$3,$C$5:$C$16,1),COLUMN($L$4)))&gt;indirect(address(row($C5),COLUMN($D$4))):indirect(address(row($C5),COLUMN($L$4))),TRUE()))</f>
        <v>0</v>
      </c>
      <c r="P5" s="66">
        <f t="array" ref="P5">if(P$3=$C5,"-", countif(indirect(address(row($C$4)+ VLOOKUP(P$3,$C$5:$C$16,1),COLUMN($D$4))):indirect(address(row($C$4)+ VLOOKUP(P$3,$C$5:$C$16,1),COLUMN($L$4)))&gt;indirect(address(row($C5),COLUMN($D$4))):indirect(address(row($C5),COLUMN($L$4))),TRUE()))</f>
        <v>0</v>
      </c>
      <c r="Q5" s="66">
        <f t="array" ref="Q5">if(Q$3=$C5,"-", countif(indirect(address(row($C$4)+ VLOOKUP(Q$3,$C$5:$C$16,1),COLUMN($D$4))):indirect(address(row($C$4)+ VLOOKUP(Q$3,$C$5:$C$16,1),COLUMN($L$4)))&gt;indirect(address(row($C5),COLUMN($D$4))):indirect(address(row($C5),COLUMN($L$4))),TRUE()))</f>
        <v>0</v>
      </c>
      <c r="R5" s="66">
        <f t="array" ref="R5">if(R$3=$C5,"-", countif(indirect(address(row($C$4)+ VLOOKUP(R$3,$C$5:$C$16,1),COLUMN($D$4))):indirect(address(row($C$4)+ VLOOKUP(R$3,$C$5:$C$16,1),COLUMN($L$4)))&gt;indirect(address(row($C5),COLUMN($D$4))):indirect(address(row($C5),COLUMN($L$4))),TRUE()))</f>
        <v>0</v>
      </c>
      <c r="S5" s="66">
        <f t="array" ref="S5">if(S$3=$C5,"-", countif(indirect(address(row($C$4)+ VLOOKUP(S$3,$C$5:$C$16,1),COLUMN($D$4))):indirect(address(row($C$4)+ VLOOKUP(S$3,$C$5:$C$16,1),COLUMN($L$4)))&gt;indirect(address(row($C5),COLUMN($D$4))):indirect(address(row($C5),COLUMN($L$4))),TRUE()))</f>
        <v>0</v>
      </c>
      <c r="T5" s="66">
        <f t="array" ref="T5">if(T$3=$C5,"-", countif(indirect(address(row($C$4)+ VLOOKUP(T$3,$C$5:$C$16,1),COLUMN($D$4))):indirect(address(row($C$4)+ VLOOKUP(T$3,$C$5:$C$16,1),COLUMN($L$4)))&gt;indirect(address(row($C5),COLUMN($D$4))):indirect(address(row($C5),COLUMN($L$4))),TRUE()))</f>
        <v>0</v>
      </c>
      <c r="U5" s="66">
        <f t="array" ref="U5">if(U$3=$C5,"-", countif(indirect(address(row($C$4)+ VLOOKUP(U$3,$C$5:$C$16,1),COLUMN($D$4))):indirect(address(row($C$4)+ VLOOKUP(U$3,$C$5:$C$16,1),COLUMN($L$4)))&gt;indirect(address(row($C5),COLUMN($D$4))):indirect(address(row($C5),COLUMN($L$4))),TRUE()))</f>
        <v>0</v>
      </c>
      <c r="V5" s="66">
        <f t="array" ref="V5">if(V$3=$C5,"-", countif(indirect(address(row($C$4)+ VLOOKUP(V$3,$C$5:$C$16,1),COLUMN($D$4))):indirect(address(row($C$4)+ VLOOKUP(V$3,$C$5:$C$16,1),COLUMN($L$4)))&gt;indirect(address(row($C5),COLUMN($D$4))):indirect(address(row($C5),COLUMN($L$4))),TRUE()))</f>
        <v>0</v>
      </c>
      <c r="W5" s="66">
        <f t="array" ref="W5">if(W$3=$C5,"-", countif(indirect(address(row($C$4)+ VLOOKUP(W$3,$C$5:$C$16,1),COLUMN($D$4))):indirect(address(row($C$4)+ VLOOKUP(W$3,$C$5:$C$16,1),COLUMN($L$4)))&gt;indirect(address(row($C5),COLUMN($D$4))):indirect(address(row($C5),COLUMN($L$4))),TRUE()))</f>
        <v>0</v>
      </c>
      <c r="X5" s="66">
        <f t="array" ref="X5">if(X$3=$C5,"-", countif(indirect(address(row($C$4)+ VLOOKUP(X$3,$C$5:$C$16,1),COLUMN($D$4))):indirect(address(row($C$4)+ VLOOKUP(X$3,$C$5:$C$16,1),COLUMN($L$4)))&gt;indirect(address(row($C5),COLUMN($D$4))):indirect(address(row($C5),COLUMN($L$4))),TRUE()))</f>
        <v>0</v>
      </c>
      <c r="Y5" s="66">
        <f t="array" ref="Y5">if(D$1=$C5,"-", countif(indirect(address(row($C$4)+ VLOOKUP(D$1,$C$5:$C$16,1),COLUMN($D$4))):indirect(address(row($C$4)+ VLOOKUP(D$1,$C$5:$C$16,1),COLUMN($L$4)))&gt;indirect(address(row($C5),COLUMN($D$4))):indirect(address(row($C5),COLUMN($L$4))),TRUE()))</f>
        <v>0</v>
      </c>
      <c r="Z5" s="46">
        <f>SUM(M$5:M$16)/99</f>
        <v>0</v>
      </c>
    </row>
    <row r="6">
      <c r="B6" s="65" t="b">
        <f>Draft!B4</f>
        <v>0</v>
      </c>
      <c r="C6" s="6">
        <v>2.0</v>
      </c>
      <c r="D6" s="45">
        <f>((IF(ISBLANK(Draft!C4),0,VLOOKUP(Draft!C4, 'NO USAR1'!A4:L1000,2,FALSE)+(IF(ISBLANK(Draft!D13),0,VLOOKUP(Draft!D13, 'NO USAR1'!A4:L1000,2,FALSE)+(IF(ISBLANK(Draft!E4),0,VLOOKUP(Draft!E4, 'NO USAR1'!A4:L1000,2,FALSE)+(IF(ISBLANK(Draft!F13),0,VLOOKUP(Draft!F13, 'NO USAR1'!A4:L1000,2,FALSE)+(IF(ISBLANK(Draft!G4),0,VLOOKUP(Draft!G4, 'NO USAR1'!A4:L1000,2,FALSE)+(IF(ISBLANK(Draft!H13),0,VLOOKUP(Draft!H13, 'NO USAR1'!A4:L1000,2,FALSE)+(IF(ISBLANK(Draft!I4),0,VLOOKUP(Draft!I4, 'NO USAR1'!A4:L1000,2,FALSE)+(IF(ISBLANK(Draft!J13),0,VLOOKUP(Draft!J13, 'NO USAR1'!A4:L1000,2,FALSE)+(IF(ISBLANK(Draft!K4),0,VLOOKUP(Draft!K4, 'NO USAR1'!A4:L1000,2,FALSE)+(IF(ISBLANK(Draft!L13),0,VLOOKUP(Draft!L13, 'NO USAR1'!A4:L1000,2,FALSE)+IF(ISBLANK(Draft!M4),0,VLOOKUP(Draft!M4, 'NO USAR1'!A4:L1000,2,FALSE)+IF(ISBLANK(Draft!N13),0,VLOOKUP(Draft!N13, 'NO USAR1'!A4:L1000,2,FALSE))))))))))))))))))))))))</f>
        <v>0</v>
      </c>
      <c r="E6" s="45">
        <f>((IF(ISBLANK(Draft!C4),0,VLOOKUP(Draft!C4, 'NO USAR1'!A4:L1000,3,FALSE)+(IF(ISBLANK(Draft!D13),0,VLOOKUP(Draft!D13, 'NO USAR1'!A4:L1000,3,FALSE)+(IF(ISBLANK(Draft!E4),0,VLOOKUP(Draft!E4, 'NO USAR1'!A4:L1000,3,FALSE)+(IF(ISBLANK(Draft!F13),0,VLOOKUP(Draft!F13, 'NO USAR1'!A4:L1000,3,FALSE)+(IF(ISBLANK(Draft!G4),0,VLOOKUP(Draft!G4, 'NO USAR1'!A4:L1000,3,FALSE)+(IF(ISBLANK(Draft!H13),0,VLOOKUP(Draft!H13, 'NO USAR1'!A4:L1000,3,FALSE)+(IF(ISBLANK(Draft!I4),0,VLOOKUP(Draft!I4, 'NO USAR1'!A4:L1000,3,FALSE)+(IF(ISBLANK(Draft!J13),0,VLOOKUP(Draft!J13, 'NO USAR1'!A4:L1000,3,FALSE)+(IF(ISBLANK(Draft!K4),0,VLOOKUP(Draft!K4, 'NO USAR1'!A4:L1000,3,FALSE)+(IF(ISBLANK(Draft!L13),0,VLOOKUP(Draft!L13, 'NO USAR1'!A4:L1000,3,FALSE)+IF(ISBLANK(Draft!M4),0,VLOOKUP(Draft!M4, 'NO USAR1'!A4:L1000,3,FALSE)+IF(ISBLANK(Draft!N13),0,VLOOKUP(Draft!N13, 'NO USAR1'!A4:L1000,3,FALSE))))))))))))))))))))))))</f>
        <v>0</v>
      </c>
      <c r="F6" s="45">
        <f>((IF(ISBLANK(Draft!C4),0,VLOOKUP(Draft!C4, 'NO USAR1'!A4:L1000,4,FALSE)+(IF(ISBLANK(Draft!D13),0,VLOOKUP(Draft!D13, 'NO USAR1'!A4:L1000,4,FALSE)+(IF(ISBLANK(Draft!E4),0,VLOOKUP(Draft!E4, 'NO USAR1'!A4:L1000,4,FALSE)+(IF(ISBLANK(Draft!F13),0,VLOOKUP(Draft!F13, 'NO USAR1'!A4:L1000,4,FALSE)+(IF(ISBLANK(Draft!G4),0,VLOOKUP(Draft!G4, 'NO USAR1'!A4:L1000,4,FALSE)+(IF(ISBLANK(Draft!H13),0,VLOOKUP(Draft!H13, 'NO USAR1'!A4:L1000,4,FALSE)+(IF(ISBLANK(Draft!I4),0,VLOOKUP(Draft!I4, 'NO USAR1'!A4:L1000,4,FALSE)+(IF(ISBLANK(Draft!J13),0,VLOOKUP(Draft!J13, 'NO USAR1'!A4:L1000,4,FALSE)+(IF(ISBLANK(Draft!K4),0,VLOOKUP(Draft!K4, 'NO USAR1'!A4:L1000,4,FALSE)+(IF(ISBLANK(Draft!L13),0,VLOOKUP(Draft!L13, 'NO USAR1'!A4:L1000,4,FALSE)+IF(ISBLANK(Draft!M4),0,VLOOKUP(Draft!M4, 'NO USAR1'!A4:L1000,4,FALSE)+IF(ISBLANK(Draft!N13),0,VLOOKUP(Draft!N13, 'NO USAR1'!A4:L1000,4,FALSE))))))))))))))))))))))))</f>
        <v>0</v>
      </c>
      <c r="G6" s="45">
        <f>((IF(ISBLANK(Draft!C4),0,VLOOKUP(Draft!C4, 'NO USAR1'!A4:L1000,5,FALSE)+(IF(ISBLANK(Draft!D13),0,VLOOKUP(Draft!D13, 'NO USAR1'!A4:L1000,5,FALSE)+(IF(ISBLANK(Draft!E4),0,VLOOKUP(Draft!E4, 'NO USAR1'!A4:L1000,5,FALSE)+(IF(ISBLANK(Draft!F13),0,VLOOKUP(Draft!F13, 'NO USAR1'!A4:L1000,5,FALSE)+(IF(ISBLANK(Draft!G4),0,VLOOKUP(Draft!G4, 'NO USAR1'!A4:L1000,5,FALSE)+(IF(ISBLANK(Draft!H13),0,VLOOKUP(Draft!H13, 'NO USAR1'!A4:L1000,5,FALSE)+(IF(ISBLANK(Draft!I4),0,VLOOKUP(Draft!I4, 'NO USAR1'!A4:L1000,5,FALSE)+(IF(ISBLANK(Draft!J13),0,VLOOKUP(Draft!J13, 'NO USAR1'!A4:L1000,5,FALSE)+(IF(ISBLANK(Draft!K4),0,VLOOKUP(Draft!K4, 'NO USAR1'!A4:L1000,5,FALSE)+(IF(ISBLANK(Draft!L13),0,VLOOKUP(Draft!L13, 'NO USAR1'!A4:L1000,5,FALSE)+IF(ISBLANK(Draft!M4),0,VLOOKUP(Draft!M4, 'NO USAR1'!A4:L1000,5,FALSE)+IF(ISBLANK(Draft!N13),0,VLOOKUP(Draft!N13, 'NO USAR1'!A4:L1000,5,FALSE))))))))))))))))))))))))</f>
        <v>0</v>
      </c>
      <c r="H6" s="45">
        <f>((IF(ISBLANK(Draft!C4),0,VLOOKUP(Draft!C4, 'NO USAR1'!A4:L1000,6,FALSE)+(IF(ISBLANK(Draft!D13),0,VLOOKUP(Draft!D13, 'NO USAR1'!A4:L1000,6,FALSE)+(IF(ISBLANK(Draft!E4),0,VLOOKUP(Draft!E4, 'NO USAR1'!A4:L1000,6,FALSE)+(IF(ISBLANK(Draft!F13),0,VLOOKUP(Draft!F13, 'NO USAR1'!A4:L1000,6,FALSE)+(IF(ISBLANK(Draft!G4),0,VLOOKUP(Draft!G4, 'NO USAR1'!A4:L1000,6,FALSE)+(IF(ISBLANK(Draft!H13),0,VLOOKUP(Draft!H13, 'NO USAR1'!A4:L1000,6,FALSE)+(IF(ISBLANK(Draft!I4),0,VLOOKUP(Draft!I4, 'NO USAR1'!A4:L1000,6,FALSE)+(IF(ISBLANK(Draft!J13),0,VLOOKUP(Draft!J13, 'NO USAR1'!A4:L1000,6,FALSE)+(IF(ISBLANK(Draft!K4),0,VLOOKUP(Draft!K4, 'NO USAR1'!A4:L1000,6,FALSE)+(IF(ISBLANK(Draft!L13),0,VLOOKUP(Draft!L13, 'NO USAR1'!A4:L1000,6,FALSE)+IF(ISBLANK(Draft!M4),0,VLOOKUP(Draft!M4, 'NO USAR1'!A4:L1000,6,FALSE)+IF(ISBLANK(Draft!N13),0,VLOOKUP(Draft!N13, 'NO USAR1'!A4:L1000,6,FALSE))))))))))))))))))))))))</f>
        <v>0</v>
      </c>
      <c r="I6" s="45">
        <f>((IF(ISBLANK(Draft!C4),0,VLOOKUP(Draft!C4, 'NO USAR1'!A4:L1000,7,FALSE)+(IF(ISBLANK(Draft!D13),0,VLOOKUP(Draft!D13, 'NO USAR1'!A4:L1000,7,FALSE)+(IF(ISBLANK(Draft!E4),0,VLOOKUP(Draft!E4, 'NO USAR1'!A4:L1000,7,FALSE)+(IF(ISBLANK(Draft!F13),0,VLOOKUP(Draft!F13, 'NO USAR1'!A4:L1000,7,FALSE)+(IF(ISBLANK(Draft!G4),0,VLOOKUP(Draft!G4, 'NO USAR1'!A4:L1000,7,FALSE)+(IF(ISBLANK(Draft!H13),0,VLOOKUP(Draft!H13, 'NO USAR1'!A4:L1000,7,FALSE)+(IF(ISBLANK(Draft!I4),0,VLOOKUP(Draft!I4, 'NO USAR1'!A4:L1000,7,FALSE)+(IF(ISBLANK(Draft!J13),0,VLOOKUP(Draft!J13, 'NO USAR1'!A4:L1000,7,FALSE)+(IF(ISBLANK(Draft!K4),0,VLOOKUP(Draft!K4, 'NO USAR1'!A4:L1000,7,FALSE)+(IF(ISBLANK(Draft!L13),0,VLOOKUP(Draft!L13, 'NO USAR1'!A4:L1000,7,FALSE)+IF(ISBLANK(Draft!M4),0,VLOOKUP(Draft!M4, 'NO USAR1'!A4:L1000,7,FALSE)+IF(ISBLANK(Draft!N13),0,VLOOKUP(Draft!N13, 'NO USAR1'!A4:L1000,7,FALSE))))))))))))))))))))))))</f>
        <v>0</v>
      </c>
      <c r="J6" s="45">
        <f>((IF(ISBLANK(Draft!C4),0,VLOOKUP(Draft!C4, 'NO USAR1'!A4:L1000,8,FALSE)+(IF(ISBLANK(Draft!D13),0,VLOOKUP(Draft!D13, 'NO USAR1'!A4:L1000,8,FALSE)+(IF(ISBLANK(Draft!E4),0,VLOOKUP(Draft!E4, 'NO USAR1'!A4:L1000,8,FALSE)+(IF(ISBLANK(Draft!F13),0,VLOOKUP(Draft!F13, 'NO USAR1'!A4:L1000,8,FALSE)+(IF(ISBLANK(Draft!G4),0,VLOOKUP(Draft!G4, 'NO USAR1'!A4:L1000,8,FALSE)+(IF(ISBLANK(Draft!H13),0,VLOOKUP(Draft!H13, 'NO USAR1'!A4:L1000,8,FALSE)+(IF(ISBLANK(Draft!I4),0,VLOOKUP(Draft!I4, 'NO USAR1'!A4:L1000,8,FALSE)+(IF(ISBLANK(Draft!J13),0,VLOOKUP(Draft!J13, 'NO USAR1'!A4:L1000,8,FALSE)+(IF(ISBLANK(Draft!K4),0,VLOOKUP(Draft!K4, 'NO USAR1'!A4:L1000,8,FALSE)+(IF(ISBLANK(Draft!L13),0,VLOOKUP(Draft!L13, 'NO USAR1'!A4:L1000,8,FALSE)+IF(ISBLANK(Draft!M4),0,VLOOKUP(Draft!M4, 'NO USAR1'!A4:L1000,8,FALSE)+IF(ISBLANK(Draft!N13),0,VLOOKUP(Draft!N13, 'NO USAR1'!A4:L1000,8,FALSE))))))))))))))))))))))))</f>
        <v>0</v>
      </c>
      <c r="K6" s="45">
        <f>((IF(ISBLANK(Draft!C4),0,VLOOKUP(Draft!C4, 'NO USAR1'!A4:L1000,10,FALSE)+(IF(ISBLANK(Draft!D13),0,VLOOKUP(Draft!D13, 'NO USAR1'!A4:L1000,10,FALSE)+(IF(ISBLANK(Draft!E4),0,VLOOKUP(Draft!E4, 'NO USAR1'!A4:L1000,10,FALSE)+(IF(ISBLANK(Draft!F13),0,VLOOKUP(Draft!F13, 'NO USAR1'!A4:L1000,10,FALSE)+(IF(ISBLANK(Draft!G4),0,VLOOKUP(Draft!G4, 'NO USAR1'!A4:L1000,10,FALSE)+(IF(ISBLANK(Draft!H13),0,VLOOKUP(Draft!H13, 'NO USAR1'!A4:L1000,10,FALSE)+(IF(ISBLANK(Draft!I4),0,VLOOKUP(Draft!I4, 'NO USAR1'!A4:L1000,10,FALSE)+(IF(ISBLANK(Draft!J13),0,VLOOKUP(Draft!J13, 'NO USAR1'!A4:L1000,10,FALSE)+(IF(ISBLANK(Draft!K4),0,VLOOKUP(Draft!K4, 'NO USAR1'!A4:L1000,10,FALSE)+(IF(ISBLANK(Draft!L13),0,VLOOKUP(Draft!L13, 'NO USAR1'!A4:L1000,10,FALSE)+IF(ISBLANK(Draft!M4),0,VLOOKUP(Draft!M4, 'NO USAR1'!A4:L1000,10,FALSE)+IF(ISBLANK(Draft!N13),0,VLOOKUP(Draft!N13, 'NO USAR1'!A4:L1000,10,FALSE))))))))))))))))))))))))</f>
        <v>0</v>
      </c>
      <c r="L6" s="45">
        <f>((IF(ISBLANK(Draft!C4),0,VLOOKUP(Draft!C4, 'NO USAR1'!A4:L1000,12,FALSE)+(IF(ISBLANK(Draft!D13),0,VLOOKUP(Draft!D13, 'NO USAR1'!A4:L1000,12,FALSE)+(IF(ISBLANK(Draft!E4),0,VLOOKUP(Draft!E4, 'NO USAR1'!A4:L1000,12,FALSE)+(IF(ISBLANK(Draft!F13),0,VLOOKUP(Draft!F13, 'NO USAR1'!A4:L1000,12,FALSE)+(IF(ISBLANK(Draft!G4),0,VLOOKUP(Draft!G4, 'NO USAR1'!A4:L1000,12,FALSE)+(IF(ISBLANK(Draft!H13),0,VLOOKUP(Draft!H13, 'NO USAR1'!A4:L1000,12,FALSE)+(IF(ISBLANK(Draft!I4),0,VLOOKUP(Draft!I4, 'NO USAR1'!A4:L1000,12,FALSE)+(IF(ISBLANK(Draft!J13),0,VLOOKUP(Draft!J13, 'NO USAR1'!A4:L1000,12,FALSE)+(IF(ISBLANK(Draft!K4),0,VLOOKUP(Draft!K4, 'NO USAR1'!A4:L1000,12,FALSE)+(IF(ISBLANK(Draft!L13),0,VLOOKUP(Draft!L13, 'NO USAR1'!A4:L1000,12,FALSE)+IF(ISBLANK(Draft!M4),0,VLOOKUP(Draft!M4, 'NO USAR1'!A4:L1000,12,FALSE)+IF(ISBLANK(Draft!N13),0,VLOOKUP(Draft!N13, 'NO USAR1'!A4:L1000,12,FALSE))))))))))))))))))))))))</f>
        <v>0</v>
      </c>
      <c r="M6" s="66">
        <f t="array" ref="M6">if(M$3=$C6,"-", countif(indirect(address(row($C$4)+ VLOOKUP(M$3,$C$5:$C$16,1),COLUMN($D$4))):indirect(address(row($C$4)+ VLOOKUP(M$3,$C$5:$C$16,1),COLUMN($L$4)))&gt;indirect(address(row($C6),COLUMN($D$4))):indirect(address(row($C6),COLUMN($L$4))),TRUE()))</f>
        <v>0</v>
      </c>
      <c r="N6" s="66">
        <f t="array" ref="N6">if(N$3=$C6,"-", countif(indirect(address(row($C$4)+ VLOOKUP(N$3,$C$5:$C$16,1),COLUMN($D$4))):indirect(address(row($C$4)+ VLOOKUP(N$3,$C$5:$C$16,1),COLUMN($L$4)))&gt;indirect(address(row($C6),COLUMN($D$4))):indirect(address(row($C6),COLUMN($L$4))),TRUE()))</f>
        <v>0</v>
      </c>
      <c r="O6" s="66">
        <f t="array" ref="O6">if(O$3=$C6,"-", countif(indirect(address(row($C$4)+ VLOOKUP(O$3,$C$5:$C$16,1),COLUMN($D$4))):indirect(address(row($C$4)+ VLOOKUP(O$3,$C$5:$C$16,1),COLUMN($L$4)))&gt;indirect(address(row($C6),COLUMN($D$4))):indirect(address(row($C6),COLUMN($L$4))),TRUE()))</f>
        <v>0</v>
      </c>
      <c r="P6" s="66">
        <f t="array" ref="P6">if(P$3=$C6,"-", countif(indirect(address(row($C$4)+ VLOOKUP(P$3,$C$5:$C$16,1),COLUMN($D$4))):indirect(address(row($C$4)+ VLOOKUP(P$3,$C$5:$C$16,1),COLUMN($L$4)))&gt;indirect(address(row($C6),COLUMN($D$4))):indirect(address(row($C6),COLUMN($L$4))),TRUE()))</f>
        <v>0</v>
      </c>
      <c r="Q6" s="66">
        <f t="array" ref="Q6">if(Q$3=$C6,"-", countif(indirect(address(row($C$4)+ VLOOKUP(Q$3,$C$5:$C$16,1),COLUMN($D$4))):indirect(address(row($C$4)+ VLOOKUP(Q$3,$C$5:$C$16,1),COLUMN($L$4)))&gt;indirect(address(row($C6),COLUMN($D$4))):indirect(address(row($C6),COLUMN($L$4))),TRUE()))</f>
        <v>0</v>
      </c>
      <c r="R6" s="66">
        <f t="array" ref="R6">if(R$3=$C6,"-", countif(indirect(address(row($C$4)+ VLOOKUP(R$3,$C$5:$C$16,1),COLUMN($D$4))):indirect(address(row($C$4)+ VLOOKUP(R$3,$C$5:$C$16,1),COLUMN($L$4)))&gt;indirect(address(row($C6),COLUMN($D$4))):indirect(address(row($C6),COLUMN($L$4))),TRUE()))</f>
        <v>0</v>
      </c>
      <c r="S6" s="66">
        <f t="array" ref="S6">if(S$3=$C6,"-", countif(indirect(address(row($C$4)+ VLOOKUP(S$3,$C$5:$C$16,1),COLUMN($D$4))):indirect(address(row($C$4)+ VLOOKUP(S$3,$C$5:$C$16,1),COLUMN($L$4)))&gt;indirect(address(row($C6),COLUMN($D$4))):indirect(address(row($C6),COLUMN($L$4))),TRUE()))</f>
        <v>0</v>
      </c>
      <c r="T6" s="66">
        <f t="array" ref="T6">if(T$3=$C6,"-", countif(indirect(address(row($C$4)+ VLOOKUP(T$3,$C$5:$C$16,1),COLUMN($D$4))):indirect(address(row($C$4)+ VLOOKUP(T$3,$C$5:$C$16,1),COLUMN($L$4)))&gt;indirect(address(row($C6),COLUMN($D$4))):indirect(address(row($C6),COLUMN($L$4))),TRUE()))</f>
        <v>0</v>
      </c>
      <c r="U6" s="66">
        <f t="array" ref="U6">if(U$3=$C6,"-", countif(indirect(address(row($C$4)+ VLOOKUP(U$3,$C$5:$C$16,1),COLUMN($D$4))):indirect(address(row($C$4)+ VLOOKUP(U$3,$C$5:$C$16,1),COLUMN($L$4)))&gt;indirect(address(row($C6),COLUMN($D$4))):indirect(address(row($C6),COLUMN($L$4))),TRUE()))</f>
        <v>0</v>
      </c>
      <c r="V6" s="66">
        <f t="array" ref="V6">if(V$3=$C6,"-", countif(indirect(address(row($C$4)+ VLOOKUP(V$3,$C$5:$C$16,1),COLUMN($D$4))):indirect(address(row($C$4)+ VLOOKUP(V$3,$C$5:$C$16,1),COLUMN($L$4)))&gt;indirect(address(row($C6),COLUMN($D$4))):indirect(address(row($C6),COLUMN($L$4))),TRUE()))</f>
        <v>0</v>
      </c>
      <c r="W6" s="66">
        <f t="array" ref="W6">if(W$3=$C6,"-", countif(indirect(address(row($C$4)+ VLOOKUP(W$3,$C$5:$C$16,1),COLUMN($D$4))):indirect(address(row($C$4)+ VLOOKUP(W$3,$C$5:$C$16,1),COLUMN($L$4)))&gt;indirect(address(row($C6),COLUMN($D$4))):indirect(address(row($C6),COLUMN($L$4))),TRUE()))</f>
        <v>0</v>
      </c>
      <c r="X6" s="66">
        <f t="array" ref="X6">if(X$3=$C6,"-", countif(indirect(address(row($C$4)+ VLOOKUP(X$3,$C$5:$C$16,1),COLUMN($D$4))):indirect(address(row($C$4)+ VLOOKUP(X$3,$C$5:$C$16,1),COLUMN($L$4)))&gt;indirect(address(row($C6),COLUMN($D$4))):indirect(address(row($C6),COLUMN($L$4))),TRUE()))</f>
        <v>0</v>
      </c>
      <c r="Y6" s="66">
        <f t="array" ref="Y6">if(D$1=$C6,"-", countif(indirect(address(row($C$4)+ VLOOKUP(D$1,$C$5:$C$16,1),COLUMN($D$4))):indirect(address(row($C$4)+ VLOOKUP(D$1,$C$5:$C$16,1),COLUMN($L$4)))&gt;indirect(address(row($C6),COLUMN($D$4))):indirect(address(row($C6),COLUMN($L$4))),TRUE()))</f>
        <v>0</v>
      </c>
      <c r="Z6" s="46">
        <f>SUM(N$5:N$16)/99</f>
        <v>0</v>
      </c>
    </row>
    <row r="7">
      <c r="B7" s="65" t="b">
        <f>Draft!B5</f>
        <v>0</v>
      </c>
      <c r="C7" s="6">
        <v>3.0</v>
      </c>
      <c r="D7" s="45">
        <f>((IF(ISBLANK(Draft!C5),0,VLOOKUP(Draft!C5, 'NO USAR1'!A4:L1000,2,FALSE)+(IF(ISBLANK(Draft!D12),0,VLOOKUP(Draft!D12, 'NO USAR1'!A4:L1000,2,FALSE)+(IF(ISBLANK(Draft!E5),0,VLOOKUP(Draft!E5, 'NO USAR1'!A4:L1000,2,FALSE)+(IF(ISBLANK(Draft!F12),0,VLOOKUP(Draft!F12, 'NO USAR1'!A4:L1000,2,FALSE)+(IF(ISBLANK(Draft!G5),0,VLOOKUP(Draft!G5, 'NO USAR1'!A4:L1000,2,FALSE)+(IF(ISBLANK(Draft!H12),0,VLOOKUP(Draft!H12, 'NO USAR1'!A4:L1000,2,FALSE)+(IF(ISBLANK(Draft!I5),0,VLOOKUP(Draft!I5, 'NO USAR1'!A4:L1000,2,FALSE)+(IF(ISBLANK(Draft!J12),0,VLOOKUP(Draft!J12, 'NO USAR1'!A4:L1000,2,FALSE)+(IF(ISBLANK(Draft!K5),0,VLOOKUP(Draft!K5, 'NO USAR1'!A4:L1000,2,FALSE)+(IF(ISBLANK(Draft!L12),0,VLOOKUP(Draft!L12, 'NO USAR1'!A4:L1000,2,FALSE)+IF(ISBLANK(Draft!M5),0,VLOOKUP(Draft!M5, 'NO USAR1'!A4:L1000,2,FALSE)+IF(ISBLANK(Draft!N12),0,VLOOKUP(Draft!N12, 'NO USAR1'!A4:L1000,2,FALSE))))))))))))))))))))))))</f>
        <v>0</v>
      </c>
      <c r="E7" s="45">
        <f>((IF(ISBLANK(Draft!C5),0,VLOOKUP(Draft!C5, 'NO USAR1'!A4:L1000,3,FALSE)+(IF(ISBLANK(Draft!D12),0,VLOOKUP(Draft!D12, 'NO USAR1'!A4:L1000,3,FALSE)+(IF(ISBLANK(Draft!E5),0,VLOOKUP(Draft!E5, 'NO USAR1'!A4:L1000,3,FALSE)+(IF(ISBLANK(Draft!F12),0,VLOOKUP(Draft!F12, 'NO USAR1'!A4:L1000,3,FALSE)+(IF(ISBLANK(Draft!G5),0,VLOOKUP(Draft!G5, 'NO USAR1'!A4:L1000,3,FALSE)+(IF(ISBLANK(Draft!H12),0,VLOOKUP(Draft!H12, 'NO USAR1'!A4:L1000,3,FALSE)+(IF(ISBLANK(Draft!I5),0,VLOOKUP(Draft!I5, 'NO USAR1'!A4:L1000,3,FALSE)+(IF(ISBLANK(Draft!J12),0,VLOOKUP(Draft!J12, 'NO USAR1'!A4:L1000,3,FALSE)+(IF(ISBLANK(Draft!K5),0,VLOOKUP(Draft!K5, 'NO USAR1'!A4:L1000,3,FALSE)+(IF(ISBLANK(Draft!L12),0,VLOOKUP(Draft!L12, 'NO USAR1'!A4:L1000,3,FALSE)+IF(ISBLANK(Draft!M5),0,VLOOKUP(Draft!M5, 'NO USAR1'!A4:L1000,3,FALSE)+IF(ISBLANK(Draft!N12),0,VLOOKUP(Draft!N12, 'NO USAR1'!A4:L1000,3,FALSE))))))))))))))))))))))))</f>
        <v>0</v>
      </c>
      <c r="F7" s="45">
        <f>((IF(ISBLANK(Draft!C5),0,VLOOKUP(Draft!C5, 'NO USAR1'!A4:L1000,4,FALSE)+(IF(ISBLANK(Draft!D12),0,VLOOKUP(Draft!D12, 'NO USAR1'!A4:L1000,4,FALSE)+(IF(ISBLANK(Draft!E5),0,VLOOKUP(Draft!E5, 'NO USAR1'!A4:L1000,4,FALSE)+(IF(ISBLANK(Draft!F12),0,VLOOKUP(Draft!F12, 'NO USAR1'!A4:L1000,4,FALSE)+(IF(ISBLANK(Draft!G5),0,VLOOKUP(Draft!G5, 'NO USAR1'!A4:L1000,4,FALSE)+(IF(ISBLANK(Draft!H12),0,VLOOKUP(Draft!H12, 'NO USAR1'!A4:L1000,4,FALSE)+(IF(ISBLANK(Draft!I5),0,VLOOKUP(Draft!I5, 'NO USAR1'!A4:L1000,4,FALSE)+(IF(ISBLANK(Draft!J12),0,VLOOKUP(Draft!J12, 'NO USAR1'!A4:L1000,4,FALSE)+(IF(ISBLANK(Draft!K5),0,VLOOKUP(Draft!K5, 'NO USAR1'!A4:L1000,4,FALSE)+(IF(ISBLANK(Draft!L12),0,VLOOKUP(Draft!L12, 'NO USAR1'!A4:L1000,4,FALSE)+IF(ISBLANK(Draft!M5),0,VLOOKUP(Draft!M5, 'NO USAR1'!A4:L1000,4,FALSE)+IF(ISBLANK(Draft!N12),0,VLOOKUP(Draft!N12, 'NO USAR1'!A4:L1000,4,FALSE))))))))))))))))))))))))</f>
        <v>0</v>
      </c>
      <c r="G7" s="45">
        <f>((IF(ISBLANK(Draft!C5),0,VLOOKUP(Draft!C5, 'NO USAR1'!A4:L1000,5,FALSE)+(IF(ISBLANK(Draft!D12),0,VLOOKUP(Draft!D12, 'NO USAR1'!A4:L1000,5,FALSE)+(IF(ISBLANK(Draft!E5),0,VLOOKUP(Draft!E5, 'NO USAR1'!A4:L1000,5,FALSE)+(IF(ISBLANK(Draft!F12),0,VLOOKUP(Draft!F12, 'NO USAR1'!A4:L1000,5,FALSE)+(IF(ISBLANK(Draft!G5),0,VLOOKUP(Draft!G5, 'NO USAR1'!A4:L1000,5,FALSE)+(IF(ISBLANK(Draft!H12),0,VLOOKUP(Draft!H12, 'NO USAR1'!A4:L1000,5,FALSE)+(IF(ISBLANK(Draft!I5),0,VLOOKUP(Draft!I5, 'NO USAR1'!A4:L1000,5,FALSE)+(IF(ISBLANK(Draft!J12),0,VLOOKUP(Draft!J12, 'NO USAR1'!A4:L1000,5,FALSE)+(IF(ISBLANK(Draft!K5),0,VLOOKUP(Draft!K5, 'NO USAR1'!A4:L1000,5,FALSE)+(IF(ISBLANK(Draft!L12),0,VLOOKUP(Draft!L12, 'NO USAR1'!A4:L1000,5,FALSE)+IF(ISBLANK(Draft!M5),0,VLOOKUP(Draft!M5, 'NO USAR1'!A4:L1000,5,FALSE)+IF(ISBLANK(Draft!N12),0,VLOOKUP(Draft!N12, 'NO USAR1'!A4:L1000,5,FALSE))))))))))))))))))))))))</f>
        <v>0</v>
      </c>
      <c r="H7" s="45">
        <f>((IF(ISBLANK(Draft!C5),0,VLOOKUP(Draft!C5, 'NO USAR1'!A4:L1000,6,FALSE)+(IF(ISBLANK(Draft!D12),0,VLOOKUP(Draft!D12, 'NO USAR1'!A4:L1000,6,FALSE)+(IF(ISBLANK(Draft!E5),0,VLOOKUP(Draft!E5, 'NO USAR1'!A4:L1000,6,FALSE)+(IF(ISBLANK(Draft!F12),0,VLOOKUP(Draft!F12, 'NO USAR1'!A4:L1000,6,FALSE)+(IF(ISBLANK(Draft!G5),0,VLOOKUP(Draft!G5, 'NO USAR1'!A4:L1000,6,FALSE)+(IF(ISBLANK(Draft!H12),0,VLOOKUP(Draft!H12, 'NO USAR1'!A4:L1000,6,FALSE)+(IF(ISBLANK(Draft!I5),0,VLOOKUP(Draft!I5, 'NO USAR1'!A4:L1000,6,FALSE)+(IF(ISBLANK(Draft!J12),0,VLOOKUP(Draft!J12, 'NO USAR1'!A4:L1000,6,FALSE)+(IF(ISBLANK(Draft!K5),0,VLOOKUP(Draft!K5, 'NO USAR1'!A4:L1000,6,FALSE)+(IF(ISBLANK(Draft!L12),0,VLOOKUP(Draft!L12, 'NO USAR1'!A4:L1000,6,FALSE)+IF(ISBLANK(Draft!M5),0,VLOOKUP(Draft!M5, 'NO USAR1'!A4:L1000,6,FALSE)+IF(ISBLANK(Draft!N12),0,VLOOKUP(Draft!N12, 'NO USAR1'!A4:L1000,6,FALSE))))))))))))))))))))))))</f>
        <v>0</v>
      </c>
      <c r="I7" s="45">
        <f>((IF(ISBLANK(Draft!C5),0,VLOOKUP(Draft!C5, 'NO USAR1'!A4:L1000,7,FALSE)+(IF(ISBLANK(Draft!D12),0,VLOOKUP(Draft!D12, 'NO USAR1'!A4:L1000,7,FALSE)+(IF(ISBLANK(Draft!E5),0,VLOOKUP(Draft!E5, 'NO USAR1'!A4:L1000,7,FALSE)+(IF(ISBLANK(Draft!F12),0,VLOOKUP(Draft!F12, 'NO USAR1'!A4:L1000,7,FALSE)+(IF(ISBLANK(Draft!G5),0,VLOOKUP(Draft!G5, 'NO USAR1'!A4:L1000,7,FALSE)+(IF(ISBLANK(Draft!H12),0,VLOOKUP(Draft!H12, 'NO USAR1'!A4:L1000,7,FALSE)+(IF(ISBLANK(Draft!I5),0,VLOOKUP(Draft!I5, 'NO USAR1'!A4:L1000,7,FALSE)+(IF(ISBLANK(Draft!J12),0,VLOOKUP(Draft!J12, 'NO USAR1'!A4:L1000,7,FALSE)+(IF(ISBLANK(Draft!K5),0,VLOOKUP(Draft!K5, 'NO USAR1'!A4:L1000,7,FALSE)+(IF(ISBLANK(Draft!L12),0,VLOOKUP(Draft!L12, 'NO USAR1'!A4:L1000,7,FALSE)+IF(ISBLANK(Draft!M5),0,VLOOKUP(Draft!M5, 'NO USAR1'!A4:L1000,7,FALSE)+IF(ISBLANK(Draft!N12),0,VLOOKUP(Draft!N12, 'NO USAR1'!A4:L1000,7,FALSE))))))))))))))))))))))))</f>
        <v>0</v>
      </c>
      <c r="J7" s="45">
        <f>((IF(ISBLANK(Draft!C5),0,VLOOKUP(Draft!C5, 'NO USAR1'!A4:L1000,8,FALSE)+(IF(ISBLANK(Draft!D12),0,VLOOKUP(Draft!D12, 'NO USAR1'!A4:L1000,8,FALSE)+(IF(ISBLANK(Draft!E5),0,VLOOKUP(Draft!E5, 'NO USAR1'!A4:L1000,8,FALSE)+(IF(ISBLANK(Draft!F12),0,VLOOKUP(Draft!F12, 'NO USAR1'!A4:L1000,8,FALSE)+(IF(ISBLANK(Draft!G5),0,VLOOKUP(Draft!G5, 'NO USAR1'!A4:L1000,8,FALSE)+(IF(ISBLANK(Draft!H12),0,VLOOKUP(Draft!H12, 'NO USAR1'!A4:L1000,8,FALSE)+(IF(ISBLANK(Draft!I5),0,VLOOKUP(Draft!I5, 'NO USAR1'!A4:L1000,8,FALSE)+(IF(ISBLANK(Draft!J12),0,VLOOKUP(Draft!J12, 'NO USAR1'!A4:L1000,8,FALSE)+(IF(ISBLANK(Draft!K5),0,VLOOKUP(Draft!K5, 'NO USAR1'!A4:L1000,8,FALSE)+(IF(ISBLANK(Draft!L12),0,VLOOKUP(Draft!L12, 'NO USAR1'!A4:L1000,8,FALSE)+IF(ISBLANK(Draft!M5),0,VLOOKUP(Draft!M5, 'NO USAR1'!A4:L1000,8,FALSE)+IF(ISBLANK(Draft!N12),0,VLOOKUP(Draft!N12, 'NO USAR1'!A4:L1000,8,FALSE))))))))))))))))))))))))</f>
        <v>0</v>
      </c>
      <c r="K7" s="45">
        <f>((IF(ISBLANK(Draft!C5),0,VLOOKUP(Draft!C5, 'NO USAR1'!A4:L1000,10,FALSE)+(IF(ISBLANK(Draft!D12),0,VLOOKUP(Draft!D12, 'NO USAR1'!A4:L1000,10,FALSE)+(IF(ISBLANK(Draft!E5),0,VLOOKUP(Draft!E5, 'NO USAR1'!A4:L1000,10,FALSE)+(IF(ISBLANK(Draft!F12),0,VLOOKUP(Draft!F12, 'NO USAR1'!A4:L1000,10,FALSE)+(IF(ISBLANK(Draft!G5),0,VLOOKUP(Draft!G5, 'NO USAR1'!A4:L1000,10,FALSE)+(IF(ISBLANK(Draft!H12),0,VLOOKUP(Draft!H12, 'NO USAR1'!A4:L1000,10,FALSE)+(IF(ISBLANK(Draft!I5),0,VLOOKUP(Draft!I5, 'NO USAR1'!A4:L1000,10,FALSE)+(IF(ISBLANK(Draft!J12),0,VLOOKUP(Draft!J12, 'NO USAR1'!A4:L1000,10,FALSE)+(IF(ISBLANK(Draft!K5),0,VLOOKUP(Draft!K5, 'NO USAR1'!A4:L1000,10,FALSE)+(IF(ISBLANK(Draft!L12),0,VLOOKUP(Draft!L12, 'NO USAR1'!A4:L1000,10,FALSE)+IF(ISBLANK(Draft!M5),0,VLOOKUP(Draft!M5, 'NO USAR1'!A4:L1000,10,FALSE)+IF(ISBLANK(Draft!N12),0,VLOOKUP(Draft!N12, 'NO USAR1'!A4:L1000,10,FALSE))))))))))))))))))))))))</f>
        <v>0</v>
      </c>
      <c r="L7" s="45">
        <f>((IF(ISBLANK(Draft!C5),0,VLOOKUP(Draft!C5, 'NO USAR1'!A4:L1000,12,FALSE)+(IF(ISBLANK(Draft!D12),0,VLOOKUP(Draft!D12, 'NO USAR1'!A4:L1000,12,FALSE)+(IF(ISBLANK(Draft!E5),0,VLOOKUP(Draft!E5, 'NO USAR1'!A4:L1000,12,FALSE)+(IF(ISBLANK(Draft!F12),0,VLOOKUP(Draft!F12, 'NO USAR1'!A4:L1000,12,FALSE)+(IF(ISBLANK(Draft!G5),0,VLOOKUP(Draft!G5, 'NO USAR1'!A4:L1000,12,FALSE)+(IF(ISBLANK(Draft!H12),0,VLOOKUP(Draft!H12, 'NO USAR1'!A4:L1000,12,FALSE)+(IF(ISBLANK(Draft!I5),0,VLOOKUP(Draft!I5, 'NO USAR1'!A4:L1000,12,FALSE)+(IF(ISBLANK(Draft!J12),0,VLOOKUP(Draft!J12, 'NO USAR1'!A4:L1000,12,FALSE)+(IF(ISBLANK(Draft!K5),0,VLOOKUP(Draft!K5, 'NO USAR1'!A4:L1000,12,FALSE)+(IF(ISBLANK(Draft!L12),0,VLOOKUP(Draft!L12, 'NO USAR1'!A4:L1000,12,FALSE)+IF(ISBLANK(Draft!M5),0,VLOOKUP(Draft!M5, 'NO USAR1'!A4:L1000,12,FALSE)+IF(ISBLANK(Draft!N12),0,VLOOKUP(Draft!N12, 'NO USAR1'!A4:L1000,12,FALSE))))))))))))))))))))))))</f>
        <v>0</v>
      </c>
      <c r="M7" s="66">
        <f t="array" ref="M7">if(M$3=$C7,"-", countif(indirect(address(row($C$4)+ VLOOKUP(M$3,$C$5:$C$16,1),COLUMN($D$4))):indirect(address(row($C$4)+ VLOOKUP(M$3,$C$5:$C$16,1),COLUMN($L$4)))&gt;indirect(address(row($C7),COLUMN($D$4))):indirect(address(row($C7),COLUMN($L$4))),TRUE()))</f>
        <v>0</v>
      </c>
      <c r="N7" s="66">
        <f t="array" ref="N7">if(N$3=$C7,"-", countif(indirect(address(row($C$4)+ VLOOKUP(N$3,$C$5:$C$16,1),COLUMN($D$4))):indirect(address(row($C$4)+ VLOOKUP(N$3,$C$5:$C$16,1),COLUMN($L$4)))&gt;indirect(address(row($C7),COLUMN($D$4))):indirect(address(row($C7),COLUMN($L$4))),TRUE()))</f>
        <v>0</v>
      </c>
      <c r="O7" s="66">
        <f t="array" ref="O7">if(O$3=$C7,"-", countif(indirect(address(row($C$4)+ VLOOKUP(O$3,$C$5:$C$16,1),COLUMN($D$4))):indirect(address(row($C$4)+ VLOOKUP(O$3,$C$5:$C$16,1),COLUMN($L$4)))&gt;indirect(address(row($C7),COLUMN($D$4))):indirect(address(row($C7),COLUMN($L$4))),TRUE()))</f>
        <v>0</v>
      </c>
      <c r="P7" s="66">
        <f t="array" ref="P7">if(P$3=$C7,"-", countif(indirect(address(row($C$4)+ VLOOKUP(P$3,$C$5:$C$16,1),COLUMN($D$4))):indirect(address(row($C$4)+ VLOOKUP(P$3,$C$5:$C$16,1),COLUMN($L$4)))&gt;indirect(address(row($C7),COLUMN($D$4))):indirect(address(row($C7),COLUMN($L$4))),TRUE()))</f>
        <v>0</v>
      </c>
      <c r="Q7" s="66">
        <f t="array" ref="Q7">if(Q$3=$C7,"-", countif(indirect(address(row($C$4)+ VLOOKUP(Q$3,$C$5:$C$16,1),COLUMN($D$4))):indirect(address(row($C$4)+ VLOOKUP(Q$3,$C$5:$C$16,1),COLUMN($L$4)))&gt;indirect(address(row($C7),COLUMN($D$4))):indirect(address(row($C7),COLUMN($L$4))),TRUE()))</f>
        <v>0</v>
      </c>
      <c r="R7" s="66">
        <f t="array" ref="R7">if(R$3=$C7,"-", countif(indirect(address(row($C$4)+ VLOOKUP(R$3,$C$5:$C$16,1),COLUMN($D$4))):indirect(address(row($C$4)+ VLOOKUP(R$3,$C$5:$C$16,1),COLUMN($L$4)))&gt;indirect(address(row($C7),COLUMN($D$4))):indirect(address(row($C7),COLUMN($L$4))),TRUE()))</f>
        <v>0</v>
      </c>
      <c r="S7" s="66">
        <f t="array" ref="S7">if(S$3=$C7,"-", countif(indirect(address(row($C$4)+ VLOOKUP(S$3,$C$5:$C$16,1),COLUMN($D$4))):indirect(address(row($C$4)+ VLOOKUP(S$3,$C$5:$C$16,1),COLUMN($L$4)))&gt;indirect(address(row($C7),COLUMN($D$4))):indirect(address(row($C7),COLUMN($L$4))),TRUE()))</f>
        <v>0</v>
      </c>
      <c r="T7" s="66">
        <f t="array" ref="T7">if(T$3=$C7,"-", countif(indirect(address(row($C$4)+ VLOOKUP(T$3,$C$5:$C$16,1),COLUMN($D$4))):indirect(address(row($C$4)+ VLOOKUP(T$3,$C$5:$C$16,1),COLUMN($L$4)))&gt;indirect(address(row($C7),COLUMN($D$4))):indirect(address(row($C7),COLUMN($L$4))),TRUE()))</f>
        <v>0</v>
      </c>
      <c r="U7" s="66">
        <f t="array" ref="U7">if(U$3=$C7,"-", countif(indirect(address(row($C$4)+ VLOOKUP(U$3,$C$5:$C$16,1),COLUMN($D$4))):indirect(address(row($C$4)+ VLOOKUP(U$3,$C$5:$C$16,1),COLUMN($L$4)))&gt;indirect(address(row($C7),COLUMN($D$4))):indirect(address(row($C7),COLUMN($L$4))),TRUE()))</f>
        <v>0</v>
      </c>
      <c r="V7" s="66">
        <f t="array" ref="V7">if(V$3=$C7,"-", countif(indirect(address(row($C$4)+ VLOOKUP(V$3,$C$5:$C$16,1),COLUMN($D$4))):indirect(address(row($C$4)+ VLOOKUP(V$3,$C$5:$C$16,1),COLUMN($L$4)))&gt;indirect(address(row($C7),COLUMN($D$4))):indirect(address(row($C7),COLUMN($L$4))),TRUE()))</f>
        <v>0</v>
      </c>
      <c r="W7" s="66">
        <f t="array" ref="W7">if(W$3=$C7,"-", countif(indirect(address(row($C$4)+ VLOOKUP(W$3,$C$5:$C$16,1),COLUMN($D$4))):indirect(address(row($C$4)+ VLOOKUP(W$3,$C$5:$C$16,1),COLUMN($L$4)))&gt;indirect(address(row($C7),COLUMN($D$4))):indirect(address(row($C7),COLUMN($L$4))),TRUE()))</f>
        <v>0</v>
      </c>
      <c r="X7" s="66">
        <f t="array" ref="X7">if(X$3=$C7,"-", countif(indirect(address(row($C$4)+ VLOOKUP(X$3,$C$5:$C$16,1),COLUMN($D$4))):indirect(address(row($C$4)+ VLOOKUP(X$3,$C$5:$C$16,1),COLUMN($L$4)))&gt;indirect(address(row($C7),COLUMN($D$4))):indirect(address(row($C7),COLUMN($L$4))),TRUE()))</f>
        <v>0</v>
      </c>
      <c r="Y7" s="66">
        <f t="array" ref="Y7">if(D$1=$C7,"-", countif(indirect(address(row($C$4)+ VLOOKUP(D$1,$C$5:$C$16,1),COLUMN($D$4))):indirect(address(row($C$4)+ VLOOKUP(D$1,$C$5:$C$16,1),COLUMN($L$4)))&gt;indirect(address(row($C7),COLUMN($D$4))):indirect(address(row($C7),COLUMN($L$4))),TRUE()))</f>
        <v>0</v>
      </c>
      <c r="Z7" s="46">
        <f>SUM(O$5:O$16)/99</f>
        <v>0</v>
      </c>
    </row>
    <row r="8">
      <c r="B8" s="65" t="b">
        <f>Draft!B6</f>
        <v>0</v>
      </c>
      <c r="C8" s="6">
        <v>4.0</v>
      </c>
      <c r="D8" s="45">
        <f>((IF(ISBLANK(Draft!C6),0,VLOOKUP(Draft!C6, 'NO USAR1'!A4:L1000,2,FALSE)+(IF(ISBLANK(Draft!D11),0,VLOOKUP(Draft!D11, 'NO USAR1'!A4:L1000,2,FALSE)+(IF(ISBLANK(Draft!E6),0,VLOOKUP(Draft!E6, 'NO USAR1'!A4:L1000,2,FALSE)+(IF(ISBLANK(Draft!F11),0,VLOOKUP(Draft!F11, 'NO USAR1'!A4:L1000,2,FALSE)+(IF(ISBLANK(Draft!G6),0,VLOOKUP(Draft!G6, 'NO USAR1'!A4:L1000,2,FALSE)+(IF(ISBLANK(Draft!H11),0,VLOOKUP(Draft!H11, 'NO USAR1'!A4:L1000,2,FALSE)+(IF(ISBLANK(Draft!I6),0,VLOOKUP(Draft!I6, 'NO USAR1'!A4:L1000,2,FALSE)+(IF(ISBLANK(Draft!J11),0,VLOOKUP(Draft!J11, 'NO USAR1'!A4:L1000,2,FALSE)+(IF(ISBLANK(Draft!K6),0,VLOOKUP(Draft!K6, 'NO USAR1'!A4:L1000,2,FALSE)+(IF(ISBLANK(Draft!L11),0,VLOOKUP(Draft!L11, 'NO USAR1'!A4:L1000,2,FALSE)+IF(ISBLANK(Draft!M6),0,VLOOKUP(Draft!M6, 'NO USAR1'!A4:L1000,2,FALSE)+IF(ISBLANK(Draft!N11),0,VLOOKUP(Draft!N11, 'NO USAR1'!A4:L1000,2,FALSE))))))))))))))))))))))))</f>
        <v>0</v>
      </c>
      <c r="E8" s="45">
        <f>((IF(ISBLANK(Draft!C6),0,VLOOKUP(Draft!C6, 'NO USAR1'!A4:L1000,3,FALSE)+(IF(ISBLANK(Draft!D11),0,VLOOKUP(Draft!D11, 'NO USAR1'!A4:L1000,3,FALSE)+(IF(ISBLANK(Draft!E6),0,VLOOKUP(Draft!E6, 'NO USAR1'!A4:L1000,3,FALSE)+(IF(ISBLANK(Draft!F11),0,VLOOKUP(Draft!F11, 'NO USAR1'!A4:L1000,3,FALSE)+(IF(ISBLANK(Draft!G6),0,VLOOKUP(Draft!G6, 'NO USAR1'!A4:L1000,3,FALSE)+(IF(ISBLANK(Draft!H11),0,VLOOKUP(Draft!H11, 'NO USAR1'!A4:L1000,3,FALSE)+(IF(ISBLANK(Draft!I6),0,VLOOKUP(Draft!I6, 'NO USAR1'!A4:L1000,3,FALSE)+(IF(ISBLANK(Draft!J11),0,VLOOKUP(Draft!J11, 'NO USAR1'!A4:L1000,3,FALSE)+(IF(ISBLANK(Draft!K6),0,VLOOKUP(Draft!K6, 'NO USAR1'!A4:L1000,3,FALSE)+(IF(ISBLANK(Draft!L11),0,VLOOKUP(Draft!L11, 'NO USAR1'!A4:L1000,3,FALSE)+IF(ISBLANK(Draft!M6),0,VLOOKUP(Draft!M6, 'NO USAR1'!A4:L1000,3,FALSE)+IF(ISBLANK(Draft!N11),0,VLOOKUP(Draft!N11, 'NO USAR1'!A4:L1000,3,FALSE))))))))))))))))))))))))</f>
        <v>0</v>
      </c>
      <c r="F8" s="45">
        <f>((IF(ISBLANK(Draft!C6),0,VLOOKUP(Draft!C6, 'NO USAR1'!A4:L1000,4,FALSE)+(IF(ISBLANK(Draft!D11),0,VLOOKUP(Draft!D11, 'NO USAR1'!A4:L1000,4,FALSE)+(IF(ISBLANK(Draft!E6),0,VLOOKUP(Draft!E6, 'NO USAR1'!A4:L1000,4,FALSE)+(IF(ISBLANK(Draft!F11),0,VLOOKUP(Draft!F11, 'NO USAR1'!A4:L1000,4,FALSE)+(IF(ISBLANK(Draft!G6),0,VLOOKUP(Draft!G6, 'NO USAR1'!A4:L1000,4,FALSE)+(IF(ISBLANK(Draft!H11),0,VLOOKUP(Draft!H11, 'NO USAR1'!A4:L1000,4,FALSE)+(IF(ISBLANK(Draft!I6),0,VLOOKUP(Draft!I6, 'NO USAR1'!A4:L1000,4,FALSE)+(IF(ISBLANK(Draft!J11),0,VLOOKUP(Draft!J11, 'NO USAR1'!A4:L1000,4,FALSE)+(IF(ISBLANK(Draft!K6),0,VLOOKUP(Draft!K6, 'NO USAR1'!A4:L1000,4,FALSE)+(IF(ISBLANK(Draft!L11),0,VLOOKUP(Draft!L11, 'NO USAR1'!A4:L1000,4,FALSE)+IF(ISBLANK(Draft!M6),0,VLOOKUP(Draft!M6, 'NO USAR1'!A4:L1000,4,FALSE)+IF(ISBLANK(Draft!N11),0,VLOOKUP(Draft!N11, 'NO USAR1'!A4:L1000,4,FALSE))))))))))))))))))))))))</f>
        <v>0</v>
      </c>
      <c r="G8" s="45">
        <f>((IF(ISBLANK(Draft!C6),0,VLOOKUP(Draft!C6, 'NO USAR1'!A4:L1000,5,FALSE)+(IF(ISBLANK(Draft!D11),0,VLOOKUP(Draft!D11, 'NO USAR1'!A4:L1000,5,FALSE)+(IF(ISBLANK(Draft!E6),0,VLOOKUP(Draft!E6, 'NO USAR1'!A4:L1000,5,FALSE)+(IF(ISBLANK(Draft!F11),0,VLOOKUP(Draft!F11, 'NO USAR1'!A4:L1000,5,FALSE)+(IF(ISBLANK(Draft!G6),0,VLOOKUP(Draft!G6, 'NO USAR1'!A4:L1000,5,FALSE)+(IF(ISBLANK(Draft!H11),0,VLOOKUP(Draft!H11, 'NO USAR1'!A4:L1000,5,FALSE)+(IF(ISBLANK(Draft!I6),0,VLOOKUP(Draft!I6, 'NO USAR1'!A4:L1000,5,FALSE)+(IF(ISBLANK(Draft!J11),0,VLOOKUP(Draft!J11, 'NO USAR1'!A4:L1000,5,FALSE)+(IF(ISBLANK(Draft!K6),0,VLOOKUP(Draft!K6, 'NO USAR1'!A4:L1000,5,FALSE)+(IF(ISBLANK(Draft!L11),0,VLOOKUP(Draft!L11, 'NO USAR1'!A4:L1000,5,FALSE)+IF(ISBLANK(Draft!M6),0,VLOOKUP(Draft!M6, 'NO USAR1'!A4:L1000,5,FALSE)+IF(ISBLANK(Draft!N11),0,VLOOKUP(Draft!N11, 'NO USAR1'!A4:L1000,5,FALSE))))))))))))))))))))))))</f>
        <v>0</v>
      </c>
      <c r="H8" s="45">
        <f>((IF(ISBLANK(Draft!C6),0,VLOOKUP(Draft!C6, 'NO USAR1'!A4:L1000,6,FALSE)+(IF(ISBLANK(Draft!D11),0,VLOOKUP(Draft!D11, 'NO USAR1'!A4:L1000,6,FALSE)+(IF(ISBLANK(Draft!E6),0,VLOOKUP(Draft!E6, 'NO USAR1'!A4:L1000,6,FALSE)+(IF(ISBLANK(Draft!F11),0,VLOOKUP(Draft!F11, 'NO USAR1'!A4:L1000,6,FALSE)+(IF(ISBLANK(Draft!G6),0,VLOOKUP(Draft!G6, 'NO USAR1'!A4:L1000,6,FALSE)+(IF(ISBLANK(Draft!H11),0,VLOOKUP(Draft!H11, 'NO USAR1'!A4:L1000,6,FALSE)+(IF(ISBLANK(Draft!I6),0,VLOOKUP(Draft!I6, 'NO USAR1'!A4:L1000,6,FALSE)+(IF(ISBLANK(Draft!J11),0,VLOOKUP(Draft!J11, 'NO USAR1'!A4:L1000,6,FALSE)+(IF(ISBLANK(Draft!K6),0,VLOOKUP(Draft!K6, 'NO USAR1'!A4:L1000,6,FALSE)+(IF(ISBLANK(Draft!L11),0,VLOOKUP(Draft!L11, 'NO USAR1'!A4:L1000,6,FALSE)+IF(ISBLANK(Draft!M6),0,VLOOKUP(Draft!M6, 'NO USAR1'!A4:L1000,6,FALSE)+IF(ISBLANK(Draft!N11),0,VLOOKUP(Draft!N11, 'NO USAR1'!A4:L1000,6,FALSE))))))))))))))))))))))))</f>
        <v>0</v>
      </c>
      <c r="I8" s="45">
        <f>((IF(ISBLANK(Draft!C6),0,VLOOKUP(Draft!C6, 'NO USAR1'!A4:L1000,7,FALSE)+(IF(ISBLANK(Draft!D11),0,VLOOKUP(Draft!D11, 'NO USAR1'!A4:L1000,7,FALSE)+(IF(ISBLANK(Draft!E6),0,VLOOKUP(Draft!E6, 'NO USAR1'!A4:L1000,7,FALSE)+(IF(ISBLANK(Draft!F11),0,VLOOKUP(Draft!F11, 'NO USAR1'!A4:L1000,7,FALSE)+(IF(ISBLANK(Draft!G6),0,VLOOKUP(Draft!G6, 'NO USAR1'!A4:L1000,7,FALSE)+(IF(ISBLANK(Draft!H11),0,VLOOKUP(Draft!H11, 'NO USAR1'!A4:L1000,7,FALSE)+(IF(ISBLANK(Draft!I6),0,VLOOKUP(Draft!I6, 'NO USAR1'!A4:L1000,7,FALSE)+(IF(ISBLANK(Draft!J11),0,VLOOKUP(Draft!J11, 'NO USAR1'!A4:L1000,7,FALSE)+(IF(ISBLANK(Draft!K6),0,VLOOKUP(Draft!K6, 'NO USAR1'!A4:L1000,7,FALSE)+(IF(ISBLANK(Draft!L11),0,VLOOKUP(Draft!L11, 'NO USAR1'!A4:L1000,7,FALSE)+IF(ISBLANK(Draft!M6),0,VLOOKUP(Draft!M6, 'NO USAR1'!A4:L1000,7,FALSE)+IF(ISBLANK(Draft!N11),0,VLOOKUP(Draft!N11, 'NO USAR1'!A4:L1000,7,FALSE))))))))))))))))))))))))</f>
        <v>0</v>
      </c>
      <c r="J8" s="45">
        <f>((IF(ISBLANK(Draft!C6),0,VLOOKUP(Draft!C6, 'NO USAR1'!A4:L1000,8,FALSE)+(IF(ISBLANK(Draft!D11),0,VLOOKUP(Draft!D11, 'NO USAR1'!A4:L1000,8,FALSE)+(IF(ISBLANK(Draft!E6),0,VLOOKUP(Draft!E6, 'NO USAR1'!A4:L1000,8,FALSE)+(IF(ISBLANK(Draft!F11),0,VLOOKUP(Draft!F11, 'NO USAR1'!A4:L1000,8,FALSE)+(IF(ISBLANK(Draft!G6),0,VLOOKUP(Draft!G6, 'NO USAR1'!A4:L1000,8,FALSE)+(IF(ISBLANK(Draft!H11),0,VLOOKUP(Draft!H11, 'NO USAR1'!A4:L1000,8,FALSE)+(IF(ISBLANK(Draft!I6),0,VLOOKUP(Draft!I6, 'NO USAR1'!A4:L1000,8,FALSE)+(IF(ISBLANK(Draft!J11),0,VLOOKUP(Draft!J11, 'NO USAR1'!A4:L1000,8,FALSE)+(IF(ISBLANK(Draft!K6),0,VLOOKUP(Draft!K6, 'NO USAR1'!A4:L1000,8,FALSE)+(IF(ISBLANK(Draft!L11),0,VLOOKUP(Draft!L11, 'NO USAR1'!A4:L1000,8,FALSE)+IF(ISBLANK(Draft!M6),0,VLOOKUP(Draft!M6, 'NO USAR1'!A4:L1000,8,FALSE)+IF(ISBLANK(Draft!N11),0,VLOOKUP(Draft!N11, 'NO USAR1'!A4:L1000,8,FALSE))))))))))))))))))))))))</f>
        <v>0</v>
      </c>
      <c r="K8" s="45">
        <f>((IF(ISBLANK(Draft!C6),0,VLOOKUP(Draft!C6, 'NO USAR1'!A4:L1000,10,FALSE)+(IF(ISBLANK(Draft!D11),0,VLOOKUP(Draft!D11, 'NO USAR1'!A4:L1000,10,FALSE)+(IF(ISBLANK(Draft!E6),0,VLOOKUP(Draft!E6, 'NO USAR1'!A4:L1000,10,FALSE)+(IF(ISBLANK(Draft!F11),0,VLOOKUP(Draft!F11, 'NO USAR1'!A4:L1000,10,FALSE)+(IF(ISBLANK(Draft!G6),0,VLOOKUP(Draft!G6, 'NO USAR1'!A4:L1000,10,FALSE)+(IF(ISBLANK(Draft!H11),0,VLOOKUP(Draft!H11, 'NO USAR1'!A4:L1000,10,FALSE)+(IF(ISBLANK(Draft!I6),0,VLOOKUP(Draft!I6, 'NO USAR1'!A4:L1000,10,FALSE)+(IF(ISBLANK(Draft!J11),0,VLOOKUP(Draft!J11, 'NO USAR1'!A4:L1000,10,FALSE)+(IF(ISBLANK(Draft!K6),0,VLOOKUP(Draft!K6, 'NO USAR1'!A4:L1000,10,FALSE)+(IF(ISBLANK(Draft!L11),0,VLOOKUP(Draft!L11, 'NO USAR1'!A4:L1000,10,FALSE)+IF(ISBLANK(Draft!M6),0,VLOOKUP(Draft!M6, 'NO USAR1'!A4:L1000,10,FALSE)+IF(ISBLANK(Draft!N11),0,VLOOKUP(Draft!N11, 'NO USAR1'!A4:L1000,10,FALSE))))))))))))))))))))))))</f>
        <v>0</v>
      </c>
      <c r="L8" s="45">
        <f>((IF(ISBLANK(Draft!C6),0,VLOOKUP(Draft!C6, 'NO USAR1'!A4:L1000,12,FALSE)+(IF(ISBLANK(Draft!D11),0,VLOOKUP(Draft!D11, 'NO USAR1'!A4:L1000,12,FALSE)+(IF(ISBLANK(Draft!E6),0,VLOOKUP(Draft!E6, 'NO USAR1'!A4:L1000,12,FALSE)+(IF(ISBLANK(Draft!F11),0,VLOOKUP(Draft!F11, 'NO USAR1'!A4:L1000,12,FALSE)+(IF(ISBLANK(Draft!G6),0,VLOOKUP(Draft!G6, 'NO USAR1'!A4:L1000,12,FALSE)+(IF(ISBLANK(Draft!H11),0,VLOOKUP(Draft!H11, 'NO USAR1'!A4:L1000,12,FALSE)+(IF(ISBLANK(Draft!I6),0,VLOOKUP(Draft!I6, 'NO USAR1'!A4:L1000,12,FALSE)+(IF(ISBLANK(Draft!J11),0,VLOOKUP(Draft!J11, 'NO USAR1'!A4:L1000,12,FALSE)+(IF(ISBLANK(Draft!K6),0,VLOOKUP(Draft!K6, 'NO USAR1'!A4:L1000,12,FALSE)+(IF(ISBLANK(Draft!L11),0,VLOOKUP(Draft!L11, 'NO USAR1'!A4:L1000,12,FALSE)+IF(ISBLANK(Draft!M6),0,VLOOKUP(Draft!M6, 'NO USAR1'!A4:L1000,12,FALSE)+IF(ISBLANK(Draft!N11),0,VLOOKUP(Draft!N11, 'NO USAR1'!A4:L1000,12,FALSE))))))))))))))))))))))))</f>
        <v>0</v>
      </c>
      <c r="M8" s="66">
        <f t="array" ref="M8">if(M$3=$C8,"-", countif(indirect(address(row($C$4)+ VLOOKUP(M$3,$C$5:$C$16,1),COLUMN($D$4))):indirect(address(row($C$4)+ VLOOKUP(M$3,$C$5:$C$16,1),COLUMN($L$4)))&gt;indirect(address(row($C8),COLUMN($D$4))):indirect(address(row($C8),COLUMN($L$4))),TRUE()))</f>
        <v>0</v>
      </c>
      <c r="N8" s="66">
        <f t="array" ref="N8">if(N$3=$C8,"-", countif(indirect(address(row($C$4)+ VLOOKUP(N$3,$C$5:$C$16,1),COLUMN($D$4))):indirect(address(row($C$4)+ VLOOKUP(N$3,$C$5:$C$16,1),COLUMN($L$4)))&gt;indirect(address(row($C8),COLUMN($D$4))):indirect(address(row($C8),COLUMN($L$4))),TRUE()))</f>
        <v>0</v>
      </c>
      <c r="O8" s="66">
        <f t="array" ref="O8">if(O$3=$C8,"-", countif(indirect(address(row($C$4)+ VLOOKUP(O$3,$C$5:$C$16,1),COLUMN($D$4))):indirect(address(row($C$4)+ VLOOKUP(O$3,$C$5:$C$16,1),COLUMN($L$4)))&gt;indirect(address(row($C8),COLUMN($D$4))):indirect(address(row($C8),COLUMN($L$4))),TRUE()))</f>
        <v>0</v>
      </c>
      <c r="P8" s="66">
        <f t="array" ref="P8">if(P$3=$C8,"-", countif(indirect(address(row($C$4)+ VLOOKUP(P$3,$C$5:$C$16,1),COLUMN($D$4))):indirect(address(row($C$4)+ VLOOKUP(P$3,$C$5:$C$16,1),COLUMN($L$4)))&gt;indirect(address(row($C8),COLUMN($D$4))):indirect(address(row($C8),COLUMN($L$4))),TRUE()))</f>
        <v>0</v>
      </c>
      <c r="Q8" s="66">
        <f t="array" ref="Q8">if(Q$3=$C8,"-", countif(indirect(address(row($C$4)+ VLOOKUP(Q$3,$C$5:$C$16,1),COLUMN($D$4))):indirect(address(row($C$4)+ VLOOKUP(Q$3,$C$5:$C$16,1),COLUMN($L$4)))&gt;indirect(address(row($C8),COLUMN($D$4))):indirect(address(row($C8),COLUMN($L$4))),TRUE()))</f>
        <v>0</v>
      </c>
      <c r="R8" s="66">
        <f t="array" ref="R8">if(R$3=$C8,"-", countif(indirect(address(row($C$4)+ VLOOKUP(R$3,$C$5:$C$16,1),COLUMN($D$4))):indirect(address(row($C$4)+ VLOOKUP(R$3,$C$5:$C$16,1),COLUMN($L$4)))&gt;indirect(address(row($C8),COLUMN($D$4))):indirect(address(row($C8),COLUMN($L$4))),TRUE()))</f>
        <v>0</v>
      </c>
      <c r="S8" s="66">
        <f t="array" ref="S8">if(S$3=$C8,"-", countif(indirect(address(row($C$4)+ VLOOKUP(S$3,$C$5:$C$16,1),COLUMN($D$4))):indirect(address(row($C$4)+ VLOOKUP(S$3,$C$5:$C$16,1),COLUMN($L$4)))&gt;indirect(address(row($C8),COLUMN($D$4))):indirect(address(row($C8),COLUMN($L$4))),TRUE()))</f>
        <v>0</v>
      </c>
      <c r="T8" s="66">
        <f t="array" ref="T8">if(T$3=$C8,"-", countif(indirect(address(row($C$4)+ VLOOKUP(T$3,$C$5:$C$16,1),COLUMN($D$4))):indirect(address(row($C$4)+ VLOOKUP(T$3,$C$5:$C$16,1),COLUMN($L$4)))&gt;indirect(address(row($C8),COLUMN($D$4))):indirect(address(row($C8),COLUMN($L$4))),TRUE()))</f>
        <v>0</v>
      </c>
      <c r="U8" s="66">
        <f t="array" ref="U8">if(U$3=$C8,"-", countif(indirect(address(row($C$4)+ VLOOKUP(U$3,$C$5:$C$16,1),COLUMN($D$4))):indirect(address(row($C$4)+ VLOOKUP(U$3,$C$5:$C$16,1),COLUMN($L$4)))&gt;indirect(address(row($C8),COLUMN($D$4))):indirect(address(row($C8),COLUMN($L$4))),TRUE()))</f>
        <v>0</v>
      </c>
      <c r="V8" s="66">
        <f t="array" ref="V8">if(V$3=$C8,"-", countif(indirect(address(row($C$4)+ VLOOKUP(V$3,$C$5:$C$16,1),COLUMN($D$4))):indirect(address(row($C$4)+ VLOOKUP(V$3,$C$5:$C$16,1),COLUMN($L$4)))&gt;indirect(address(row($C8),COLUMN($D$4))):indirect(address(row($C8),COLUMN($L$4))),TRUE()))</f>
        <v>0</v>
      </c>
      <c r="W8" s="66">
        <f t="array" ref="W8">if(W$3=$C8,"-", countif(indirect(address(row($C$4)+ VLOOKUP(W$3,$C$5:$C$16,1),COLUMN($D$4))):indirect(address(row($C$4)+ VLOOKUP(W$3,$C$5:$C$16,1),COLUMN($L$4)))&gt;indirect(address(row($C8),COLUMN($D$4))):indirect(address(row($C8),COLUMN($L$4))),TRUE()))</f>
        <v>0</v>
      </c>
      <c r="X8" s="66">
        <f t="array" ref="X8">if(X$3=$C8,"-", countif(indirect(address(row($C$4)+ VLOOKUP(X$3,$C$5:$C$16,1),COLUMN($D$4))):indirect(address(row($C$4)+ VLOOKUP(X$3,$C$5:$C$16,1),COLUMN($L$4)))&gt;indirect(address(row($C8),COLUMN($D$4))):indirect(address(row($C8),COLUMN($L$4))),TRUE()))</f>
        <v>0</v>
      </c>
      <c r="Y8" s="66">
        <f t="array" ref="Y8">if(D$1=$C8,"-", countif(indirect(address(row($C$4)+ VLOOKUP(D$1,$C$5:$C$16,1),COLUMN($D$4))):indirect(address(row($C$4)+ VLOOKUP(D$1,$C$5:$C$16,1),COLUMN($L$4)))&gt;indirect(address(row($C8),COLUMN($D$4))):indirect(address(row($C8),COLUMN($L$4))),TRUE()))</f>
        <v>0</v>
      </c>
      <c r="Z8" s="46">
        <f>SUM(P$5:P$16)/99</f>
        <v>0</v>
      </c>
    </row>
    <row r="9">
      <c r="B9" s="65" t="b">
        <f>Draft!B7</f>
        <v>0</v>
      </c>
      <c r="C9" s="6">
        <v>5.0</v>
      </c>
      <c r="D9" s="45">
        <f>((IF(ISBLANK(Draft!C7),0,VLOOKUP(Draft!C7, 'NO USAR1'!A4:L1000,2,FALSE)+(IF(ISBLANK(Draft!D10),0,VLOOKUP(Draft!D10, 'NO USAR1'!A4:L1000,2,FALSE)+(IF(ISBLANK(Draft!E7),0,VLOOKUP(Draft!E7, 'NO USAR1'!A4:L1000,2,FALSE)+(IF(ISBLANK(Draft!F10),0,VLOOKUP(Draft!F10, 'NO USAR1'!A4:L1000,2,FALSE)+(IF(ISBLANK(Draft!G7),0,VLOOKUP(Draft!G7, 'NO USAR1'!A4:L1000,2,FALSE)+(IF(ISBLANK(Draft!H10),0,VLOOKUP(Draft!H10, 'NO USAR1'!A4:L1000,2,FALSE)+(IF(ISBLANK(Draft!I7),0,VLOOKUP(Draft!I7, 'NO USAR1'!A4:L1000,2,FALSE)+(IF(ISBLANK(Draft!J10),0,VLOOKUP(Draft!J10, 'NO USAR1'!A4:L1000,2,FALSE)+(IF(ISBLANK(Draft!K7),0,VLOOKUP(Draft!K7, 'NO USAR1'!A4:L1000,2,FALSE)+(IF(ISBLANK(Draft!L10),0,VLOOKUP(Draft!L10, 'NO USAR1'!A4:L1000,2,FALSE)+IF(ISBLANK(Draft!M7),0,VLOOKUP(Draft!M7, 'NO USAR1'!A4:L1000,2,FALSE)+IF(ISBLANK(Draft!N10),0,VLOOKUP(Draft!N10, 'NO USAR1'!A4:L1000,2,FALSE))))))))))))))))))))))))</f>
        <v>0</v>
      </c>
      <c r="E9" s="45">
        <f>((IF(ISBLANK(Draft!C7),0,VLOOKUP(Draft!C7, 'NO USAR1'!A4:L1000,3,FALSE)+(IF(ISBLANK(Draft!D10),0,VLOOKUP(Draft!D10, 'NO USAR1'!A4:L1000,3,FALSE)+(IF(ISBLANK(Draft!E7),0,VLOOKUP(Draft!E7, 'NO USAR1'!A4:L1000,3,FALSE)+(IF(ISBLANK(Draft!F10),0,VLOOKUP(Draft!F10, 'NO USAR1'!A4:L1000,3,FALSE)+(IF(ISBLANK(Draft!G7),0,VLOOKUP(Draft!G7, 'NO USAR1'!A4:L1000,3,FALSE)+(IF(ISBLANK(Draft!H10),0,VLOOKUP(Draft!H10, 'NO USAR1'!A4:L1000,3,FALSE)+(IF(ISBLANK(Draft!I7),0,VLOOKUP(Draft!I7, 'NO USAR1'!A4:L1000,3,FALSE)+(IF(ISBLANK(Draft!J10),0,VLOOKUP(Draft!J10, 'NO USAR1'!A4:L1000,3,FALSE)+(IF(ISBLANK(Draft!K7),0,VLOOKUP(Draft!K7, 'NO USAR1'!A4:L1000,3,FALSE)+(IF(ISBLANK(Draft!L10),0,VLOOKUP(Draft!L10, 'NO USAR1'!A4:L1000,3,FALSE)+IF(ISBLANK(Draft!M7),0,VLOOKUP(Draft!M7, 'NO USAR1'!A4:L1000,3,FALSE)+IF(ISBLANK(Draft!N10),0,VLOOKUP(Draft!N10, 'NO USAR1'!A4:L1000,3,FALSE))))))))))))))))))))))))</f>
        <v>0</v>
      </c>
      <c r="F9" s="45">
        <f>((IF(ISBLANK(Draft!C7),0,VLOOKUP(Draft!C7, 'NO USAR1'!A4:L1000,4,FALSE)+(IF(ISBLANK(Draft!D10),0,VLOOKUP(Draft!D10, 'NO USAR1'!A4:L1000,4,FALSE)+(IF(ISBLANK(Draft!E7),0,VLOOKUP(Draft!E7, 'NO USAR1'!A4:L1000,4,FALSE)+(IF(ISBLANK(Draft!F10),0,VLOOKUP(Draft!F10, 'NO USAR1'!A4:L1000,4,FALSE)+(IF(ISBLANK(Draft!G7),0,VLOOKUP(Draft!G7, 'NO USAR1'!A4:L1000,4,FALSE)+(IF(ISBLANK(Draft!H10),0,VLOOKUP(Draft!H10, 'NO USAR1'!A4:L1000,4,FALSE)+(IF(ISBLANK(Draft!I7),0,VLOOKUP(Draft!I7, 'NO USAR1'!A4:L1000,4,FALSE)+(IF(ISBLANK(Draft!J10),0,VLOOKUP(Draft!J10, 'NO USAR1'!A4:L1000,4,FALSE)+(IF(ISBLANK(Draft!K7),0,VLOOKUP(Draft!K7, 'NO USAR1'!A4:L1000,4,FALSE)+(IF(ISBLANK(Draft!L10),0,VLOOKUP(Draft!L10, 'NO USAR1'!A4:L1000,4,FALSE)+IF(ISBLANK(Draft!M7),0,VLOOKUP(Draft!M7, 'NO USAR1'!A4:L1000,4,FALSE)+IF(ISBLANK(Draft!N10),0,VLOOKUP(Draft!N10, 'NO USAR1'!A4:L1000,4,FALSE))))))))))))))))))))))))</f>
        <v>0</v>
      </c>
      <c r="G9" s="45">
        <f>((IF(ISBLANK(Draft!C7),0,VLOOKUP(Draft!C7, 'NO USAR1'!A4:L1000,5,FALSE)+(IF(ISBLANK(Draft!D10),0,VLOOKUP(Draft!D10, 'NO USAR1'!A4:L1000,5,FALSE)+(IF(ISBLANK(Draft!E7),0,VLOOKUP(Draft!E7, 'NO USAR1'!A4:L1000,5,FALSE)+(IF(ISBLANK(Draft!F10),0,VLOOKUP(Draft!F10, 'NO USAR1'!A4:L1000,5,FALSE)+(IF(ISBLANK(Draft!G7),0,VLOOKUP(Draft!G7, 'NO USAR1'!A4:L1000,5,FALSE)+(IF(ISBLANK(Draft!H10),0,VLOOKUP(Draft!H10, 'NO USAR1'!A4:L1000,5,FALSE)+(IF(ISBLANK(Draft!I7),0,VLOOKUP(Draft!I7, 'NO USAR1'!A4:L1000,5,FALSE)+(IF(ISBLANK(Draft!J10),0,VLOOKUP(Draft!J10, 'NO USAR1'!A4:L1000,5,FALSE)+(IF(ISBLANK(Draft!K7),0,VLOOKUP(Draft!K7, 'NO USAR1'!A4:L1000,5,FALSE)+(IF(ISBLANK(Draft!L10),0,VLOOKUP(Draft!L10, 'NO USAR1'!A4:L1000,5,FALSE)+IF(ISBLANK(Draft!M7),0,VLOOKUP(Draft!M7, 'NO USAR1'!A4:L1000,5,FALSE)+IF(ISBLANK(Draft!N10),0,VLOOKUP(Draft!N10, 'NO USAR1'!A4:L1000,5,FALSE))))))))))))))))))))))))</f>
        <v>0</v>
      </c>
      <c r="H9" s="45">
        <f>((IF(ISBLANK(Draft!C7),0,VLOOKUP(Draft!C7, 'NO USAR1'!A4:L1000,6,FALSE)+(IF(ISBLANK(Draft!D10),0,VLOOKUP(Draft!D10, 'NO USAR1'!A4:L1000,6,FALSE)+(IF(ISBLANK(Draft!E7),0,VLOOKUP(Draft!E7, 'NO USAR1'!A4:L1000,6,FALSE)+(IF(ISBLANK(Draft!F10),0,VLOOKUP(Draft!F10, 'NO USAR1'!A4:L1000,6,FALSE)+(IF(ISBLANK(Draft!G7),0,VLOOKUP(Draft!G7, 'NO USAR1'!A4:L1000,6,FALSE)+(IF(ISBLANK(Draft!H10),0,VLOOKUP(Draft!H10, 'NO USAR1'!A4:L1000,6,FALSE)+(IF(ISBLANK(Draft!I7),0,VLOOKUP(Draft!I7, 'NO USAR1'!A4:L1000,6,FALSE)+(IF(ISBLANK(Draft!J10),0,VLOOKUP(Draft!J10, 'NO USAR1'!A4:L1000,6,FALSE)+(IF(ISBLANK(Draft!K7),0,VLOOKUP(Draft!K7, 'NO USAR1'!A4:L1000,6,FALSE)+(IF(ISBLANK(Draft!L10),0,VLOOKUP(Draft!L10, 'NO USAR1'!A4:L1000,6,FALSE)+IF(ISBLANK(Draft!M7),0,VLOOKUP(Draft!M7, 'NO USAR1'!A4:L1000,6,FALSE)+IF(ISBLANK(Draft!N10),0,VLOOKUP(Draft!N10, 'NO USAR1'!A4:L1000,6,FALSE))))))))))))))))))))))))</f>
        <v>0</v>
      </c>
      <c r="I9" s="45">
        <f>((IF(ISBLANK(Draft!C7),0,VLOOKUP(Draft!C7, 'NO USAR1'!A4:L1000,7,FALSE)+(IF(ISBLANK(Draft!D10),0,VLOOKUP(Draft!D10, 'NO USAR1'!A4:L1000,7,FALSE)+(IF(ISBLANK(Draft!E7),0,VLOOKUP(Draft!E7, 'NO USAR1'!A4:L1000,7,FALSE)+(IF(ISBLANK(Draft!F10),0,VLOOKUP(Draft!F10, 'NO USAR1'!A4:L1000,7,FALSE)+(IF(ISBLANK(Draft!G7),0,VLOOKUP(Draft!G7, 'NO USAR1'!A4:L1000,7,FALSE)+(IF(ISBLANK(Draft!H10),0,VLOOKUP(Draft!H10, 'NO USAR1'!A4:L1000,7,FALSE)+(IF(ISBLANK(Draft!I7),0,VLOOKUP(Draft!I7, 'NO USAR1'!A4:L1000,7,FALSE)+(IF(ISBLANK(Draft!J10),0,VLOOKUP(Draft!J10, 'NO USAR1'!A4:L1000,7,FALSE)+(IF(ISBLANK(Draft!K7),0,VLOOKUP(Draft!K7, 'NO USAR1'!A4:L1000,7,FALSE)+(IF(ISBLANK(Draft!L10),0,VLOOKUP(Draft!L10, 'NO USAR1'!A4:L1000,7,FALSE)+IF(ISBLANK(Draft!M7),0,VLOOKUP(Draft!M7, 'NO USAR1'!A4:L1000,7,FALSE)+IF(ISBLANK(Draft!N10),0,VLOOKUP(Draft!N10, 'NO USAR1'!A4:L1000,7,FALSE))))))))))))))))))))))))</f>
        <v>0</v>
      </c>
      <c r="J9" s="45">
        <f>((IF(ISBLANK(Draft!C7),0,VLOOKUP(Draft!C7, 'NO USAR1'!A4:L1000,8,FALSE)+(IF(ISBLANK(Draft!D10),0,VLOOKUP(Draft!D10, 'NO USAR1'!A4:L1000,8,FALSE)+(IF(ISBLANK(Draft!E7),0,VLOOKUP(Draft!E7, 'NO USAR1'!A4:L1000,8,FALSE)+(IF(ISBLANK(Draft!F10),0,VLOOKUP(Draft!F10, 'NO USAR1'!A4:L1000,8,FALSE)+(IF(ISBLANK(Draft!G7),0,VLOOKUP(Draft!G7, 'NO USAR1'!A4:L1000,8,FALSE)+(IF(ISBLANK(Draft!H10),0,VLOOKUP(Draft!H10, 'NO USAR1'!A4:L1000,8,FALSE)+(IF(ISBLANK(Draft!I7),0,VLOOKUP(Draft!I7, 'NO USAR1'!A4:L1000,8,FALSE)+(IF(ISBLANK(Draft!J10),0,VLOOKUP(Draft!J10, 'NO USAR1'!A4:L1000,8,FALSE)+(IF(ISBLANK(Draft!K7),0,VLOOKUP(Draft!K7, 'NO USAR1'!A4:L1000,8,FALSE)+(IF(ISBLANK(Draft!L10),0,VLOOKUP(Draft!L10, 'NO USAR1'!A4:L1000,8,FALSE)+IF(ISBLANK(Draft!M7),0,VLOOKUP(Draft!M7, 'NO USAR1'!A4:L1000,8,FALSE)+IF(ISBLANK(Draft!N10),0,VLOOKUP(Draft!N10, 'NO USAR1'!A4:L1000,7,FALSE))))))))))))))))))))))))</f>
        <v>0</v>
      </c>
      <c r="K9" s="45">
        <f>((IF(ISBLANK(Draft!C7),0,VLOOKUP(Draft!C7, 'NO USAR1'!A4:L1000,10,FALSE)+(IF(ISBLANK(Draft!D10),0,VLOOKUP(Draft!D10, 'NO USAR1'!A4:L1000,10,FALSE)+(IF(ISBLANK(Draft!E7),0,VLOOKUP(Draft!E7, 'NO USAR1'!A4:L1000,10,FALSE)+(IF(ISBLANK(Draft!F10),0,VLOOKUP(Draft!F10, 'NO USAR1'!A4:L1000,10,FALSE)+(IF(ISBLANK(Draft!G7),0,VLOOKUP(Draft!G7, 'NO USAR1'!A4:L1000,10,FALSE)+(IF(ISBLANK(Draft!H10),0,VLOOKUP(Draft!H10, 'NO USAR1'!A4:L1000,10,FALSE)+(IF(ISBLANK(Draft!I7),0,VLOOKUP(Draft!I7, 'NO USAR1'!A4:L1000,10,FALSE)+(IF(ISBLANK(Draft!J10),0,VLOOKUP(Draft!J10, 'NO USAR1'!A4:L1000,10,FALSE)+(IF(ISBLANK(Draft!K7),0,VLOOKUP(Draft!K7, 'NO USAR1'!A4:L1000,10,FALSE)+(IF(ISBLANK(Draft!L10),0,VLOOKUP(Draft!L10, 'NO USAR1'!A4:L1000,10,FALSE)+IF(ISBLANK(Draft!M7),0,VLOOKUP(Draft!M7, 'NO USAR1'!A4:L1000,10,FALSE)+IF(ISBLANK(Draft!N10),0,VLOOKUP(Draft!N10, 'NO USAR1'!A4:L1000,10,FALSE))))))))))))))))))))))))</f>
        <v>0</v>
      </c>
      <c r="L9" s="45">
        <f>((IF(ISBLANK(Draft!C7),0,VLOOKUP(Draft!C7, 'NO USAR1'!A4:L1000,12,FALSE)+(IF(ISBLANK(Draft!D10),0,VLOOKUP(Draft!D10, 'NO USAR1'!A4:L1000,12,FALSE)+(IF(ISBLANK(Draft!E7),0,VLOOKUP(Draft!E7, 'NO USAR1'!A4:L1000,12,FALSE)+(IF(ISBLANK(Draft!F10),0,VLOOKUP(Draft!F10, 'NO USAR1'!A4:L1000,12,FALSE)+(IF(ISBLANK(Draft!G7),0,VLOOKUP(Draft!G7, 'NO USAR1'!A4:L1000,12,FALSE)+(IF(ISBLANK(Draft!H10),0,VLOOKUP(Draft!H10, 'NO USAR1'!A4:L1000,12,FALSE)+(IF(ISBLANK(Draft!I7),0,VLOOKUP(Draft!I7, 'NO USAR1'!A4:L1000,12,FALSE)+(IF(ISBLANK(Draft!J10),0,VLOOKUP(Draft!J10, 'NO USAR1'!A4:L1000,12,FALSE)+(IF(ISBLANK(Draft!K7),0,VLOOKUP(Draft!K7, 'NO USAR1'!A4:L1000,12,FALSE)+(IF(ISBLANK(Draft!L10),0,VLOOKUP(Draft!L10, 'NO USAR1'!A4:L1000,12,FALSE)+IF(ISBLANK(Draft!M7),0,VLOOKUP(Draft!M7, 'NO USAR1'!A4:L1000,12,FALSE)+IF(ISBLANK(Draft!N10),0,VLOOKUP(Draft!N10, 'NO USAR1'!A4:L1000,12,FALSE))))))))))))))))))))))))</f>
        <v>0</v>
      </c>
      <c r="M9" s="66">
        <f t="array" ref="M9">if(M$3=$C9,"-", countif(indirect(address(row($C$4)+ VLOOKUP(M$3,$C$5:$C$16,1),COLUMN($D$4))):indirect(address(row($C$4)+ VLOOKUP(M$3,$C$5:$C$16,1),COLUMN($L$4)))&gt;indirect(address(row($C9),COLUMN($D$4))):indirect(address(row($C9),COLUMN($L$4))),TRUE()))</f>
        <v>0</v>
      </c>
      <c r="N9" s="66">
        <f t="array" ref="N9">if(N$3=$C9,"-", countif(indirect(address(row($C$4)+ VLOOKUP(N$3,$C$5:$C$16,1),COLUMN($D$4))):indirect(address(row($C$4)+ VLOOKUP(N$3,$C$5:$C$16,1),COLUMN($L$4)))&gt;indirect(address(row($C9),COLUMN($D$4))):indirect(address(row($C9),COLUMN($L$4))),TRUE()))</f>
        <v>0</v>
      </c>
      <c r="O9" s="66">
        <f t="array" ref="O9">if(O$3=$C9,"-", countif(indirect(address(row($C$4)+ VLOOKUP(O$3,$C$5:$C$16,1),COLUMN($D$4))):indirect(address(row($C$4)+ VLOOKUP(O$3,$C$5:$C$16,1),COLUMN($L$4)))&gt;indirect(address(row($C9),COLUMN($D$4))):indirect(address(row($C9),COLUMN($L$4))),TRUE()))</f>
        <v>0</v>
      </c>
      <c r="P9" s="66">
        <f t="array" ref="P9">if(P$3=$C9,"-", countif(indirect(address(row($C$4)+ VLOOKUP(P$3,$C$5:$C$16,1),COLUMN($D$4))):indirect(address(row($C$4)+ VLOOKUP(P$3,$C$5:$C$16,1),COLUMN($L$4)))&gt;indirect(address(row($C9),COLUMN($D$4))):indirect(address(row($C9),COLUMN($L$4))),TRUE()))</f>
        <v>0</v>
      </c>
      <c r="Q9" s="66">
        <f t="array" ref="Q9">if(Q$3=$C9,"-", countif(indirect(address(row($C$4)+ VLOOKUP(Q$3,$C$5:$C$16,1),COLUMN($D$4))):indirect(address(row($C$4)+ VLOOKUP(Q$3,$C$5:$C$16,1),COLUMN($L$4)))&gt;indirect(address(row($C9),COLUMN($D$4))):indirect(address(row($C9),COLUMN($L$4))),TRUE()))</f>
        <v>0</v>
      </c>
      <c r="R9" s="66">
        <f t="array" ref="R9">if(R$3=$C9,"-", countif(indirect(address(row($C$4)+ VLOOKUP(R$3,$C$5:$C$16,1),COLUMN($D$4))):indirect(address(row($C$4)+ VLOOKUP(R$3,$C$5:$C$16,1),COLUMN($L$4)))&gt;indirect(address(row($C9),COLUMN($D$4))):indirect(address(row($C9),COLUMN($L$4))),TRUE()))</f>
        <v>0</v>
      </c>
      <c r="S9" s="66">
        <f t="array" ref="S9">if(S$3=$C9,"-", countif(indirect(address(row($C$4)+ VLOOKUP(S$3,$C$5:$C$16,1),COLUMN($D$4))):indirect(address(row($C$4)+ VLOOKUP(S$3,$C$5:$C$16,1),COLUMN($L$4)))&gt;indirect(address(row($C9),COLUMN($D$4))):indirect(address(row($C9),COLUMN($L$4))),TRUE()))</f>
        <v>0</v>
      </c>
      <c r="T9" s="66">
        <f t="array" ref="T9">if(T$3=$C9,"-", countif(indirect(address(row($C$4)+ VLOOKUP(T$3,$C$5:$C$16,1),COLUMN($D$4))):indirect(address(row($C$4)+ VLOOKUP(T$3,$C$5:$C$16,1),COLUMN($L$4)))&gt;indirect(address(row($C9),COLUMN($D$4))):indirect(address(row($C9),COLUMN($L$4))),TRUE()))</f>
        <v>0</v>
      </c>
      <c r="U9" s="66">
        <f t="array" ref="U9">if(U$3=$C9,"-", countif(indirect(address(row($C$4)+ VLOOKUP(U$3,$C$5:$C$16,1),COLUMN($D$4))):indirect(address(row($C$4)+ VLOOKUP(U$3,$C$5:$C$16,1),COLUMN($L$4)))&gt;indirect(address(row($C9),COLUMN($D$4))):indirect(address(row($C9),COLUMN($L$4))),TRUE()))</f>
        <v>0</v>
      </c>
      <c r="V9" s="66">
        <f t="array" ref="V9">if(V$3=$C9,"-", countif(indirect(address(row($C$4)+ VLOOKUP(V$3,$C$5:$C$16,1),COLUMN($D$4))):indirect(address(row($C$4)+ VLOOKUP(V$3,$C$5:$C$16,1),COLUMN($L$4)))&gt;indirect(address(row($C9),COLUMN($D$4))):indirect(address(row($C9),COLUMN($L$4))),TRUE()))</f>
        <v>0</v>
      </c>
      <c r="W9" s="66">
        <f t="array" ref="W9">if(W$3=$C9,"-", countif(indirect(address(row($C$4)+ VLOOKUP(W$3,$C$5:$C$16,1),COLUMN($D$4))):indirect(address(row($C$4)+ VLOOKUP(W$3,$C$5:$C$16,1),COLUMN($L$4)))&gt;indirect(address(row($C9),COLUMN($D$4))):indirect(address(row($C9),COLUMN($L$4))),TRUE()))</f>
        <v>0</v>
      </c>
      <c r="X9" s="66">
        <f t="array" ref="X9">if(X$3=$C9,"-", countif(indirect(address(row($C$4)+ VLOOKUP(X$3,$C$5:$C$16,1),COLUMN($D$4))):indirect(address(row($C$4)+ VLOOKUP(X$3,$C$5:$C$16,1),COLUMN($L$4)))&gt;indirect(address(row($C9),COLUMN($D$4))):indirect(address(row($C9),COLUMN($L$4))),TRUE()))</f>
        <v>0</v>
      </c>
      <c r="Y9" s="66">
        <f t="array" ref="Y9">if(D$1=$C9,"-", countif(indirect(address(row($C$4)+ VLOOKUP(D$1,$C$5:$C$16,1),COLUMN($D$4))):indirect(address(row($C$4)+ VLOOKUP(D$1,$C$5:$C$16,1),COLUMN($L$4)))&gt;indirect(address(row($C9),COLUMN($D$4))):indirect(address(row($C9),COLUMN($L$4))),TRUE()))</f>
        <v>0</v>
      </c>
      <c r="Z9" s="46">
        <f>SUM(Q$5:Q$16)/99</f>
        <v>0</v>
      </c>
    </row>
    <row r="10">
      <c r="B10" s="65" t="b">
        <f>Draft!B8</f>
        <v>0</v>
      </c>
      <c r="C10" s="6">
        <v>6.0</v>
      </c>
      <c r="D10" s="44">
        <f>((IF(ISBLANK(Draft!C8),0,VLOOKUP(Draft!C8, 'NO USAR1'!A4:L1000,2,FALSE)+(IF(ISBLANK(Draft!D9),0,VLOOKUP(Draft!D9, 'NO USAR1'!A4:L1000,2,FALSE)+(IF(ISBLANK(Draft!E8),0,VLOOKUP(Draft!E8, 'NO USAR1'!A4:L1000,2,FALSE)+(IF(ISBLANK(Draft!F9),0,VLOOKUP(Draft!F9, 'NO USAR1'!A4:L1000,2,FALSE)+(IF(ISBLANK(Draft!G8),0,VLOOKUP(Draft!G8, 'NO USAR1'!A4:L1000,2,FALSE)+(IF(ISBLANK(Draft!H9),0,VLOOKUP(Draft!H9, 'NO USAR1'!A4:L1000,2,FALSE)+(IF(ISBLANK(Draft!I8),0,VLOOKUP(Draft!I8, 'NO USAR1'!A4:L1000,2,FALSE)+(IF(ISBLANK(Draft!J9),0,VLOOKUP(Draft!J9, 'NO USAR1'!A4:L1000,2,FALSE)+(IF(ISBLANK(Draft!K8),0,VLOOKUP(Draft!K8, 'NO USAR1'!A4:L1000,2,FALSE)+(IF(ISBLANK(Draft!L9),0,VLOOKUP(Draft!L9, 'NO USAR1'!A4:L1000,2,FALSE)+IF(ISBLANK(Draft!M8),0,VLOOKUP(Draft!M8, 'NO USAR1'!A4:L1000,2,FALSE)+IF(ISBLANK(Draft!N9),0,VLOOKUP(Draft!N9, 'NO USAR1'!A4:L1000,2,FALSE))))))))))))))))))))))))</f>
        <v>0</v>
      </c>
      <c r="E10" s="45">
        <f>((IF(ISBLANK(Draft!C8),0,VLOOKUP(Draft!C8, 'NO USAR1'!A4:L1000,3,FALSE)+(IF(ISBLANK(Draft!D9),0,VLOOKUP(Draft!D9, 'NO USAR1'!A4:L1000,3,FALSE)+(IF(ISBLANK(Draft!E8),0,VLOOKUP(Draft!E8, 'NO USAR1'!A4:L1000,3,FALSE)+(IF(ISBLANK(Draft!F9),0,VLOOKUP(Draft!F9, 'NO USAR1'!A4:L1000,3,FALSE)+(IF(ISBLANK(Draft!G8),0,VLOOKUP(Draft!G8, 'NO USAR1'!A4:L1000,3,FALSE)+(IF(ISBLANK(Draft!H9),0,VLOOKUP(Draft!H9, 'NO USAR1'!A4:L1000,3,FALSE)+(IF(ISBLANK(Draft!I8),0,VLOOKUP(Draft!I8, 'NO USAR1'!A4:L1000,3,FALSE)+(IF(ISBLANK(Draft!J9),0,VLOOKUP(Draft!J9, 'NO USAR1'!A4:L1000,3,FALSE)+(IF(ISBLANK(Draft!K8),0,VLOOKUP(Draft!K8, 'NO USAR1'!A4:L1000,3,FALSE)+(IF(ISBLANK(Draft!L9),0,VLOOKUP(Draft!L9, 'NO USAR1'!A4:L1000,3,FALSE)+IF(ISBLANK(Draft!M8),0,VLOOKUP(Draft!M8, 'NO USAR1'!A4:L1000,3,FALSE)+IF(ISBLANK(Draft!N9),0,VLOOKUP(Draft!N9, 'NO USAR1'!A4:L1000,3,FALSE))))))))))))))))))))))))</f>
        <v>0</v>
      </c>
      <c r="F10" s="45">
        <f>((IF(ISBLANK(Draft!C8),0,VLOOKUP(Draft!C8, 'NO USAR1'!A4:L1000,4,FALSE)+(IF(ISBLANK(Draft!D9),0,VLOOKUP(Draft!D9, 'NO USAR1'!A4:L1000,4,FALSE)+(IF(ISBLANK(Draft!E8),0,VLOOKUP(Draft!E8, 'NO USAR1'!A4:L1000,4,FALSE)+(IF(ISBLANK(Draft!F9),0,VLOOKUP(Draft!F9, 'NO USAR1'!A4:L1000,4,FALSE)+(IF(ISBLANK(Draft!G8),0,VLOOKUP(Draft!G8, 'NO USAR1'!A4:L1000,4,FALSE)+(IF(ISBLANK(Draft!H9),0,VLOOKUP(Draft!H9, 'NO USAR1'!A4:L1000,4,FALSE)+(IF(ISBLANK(Draft!I8),0,VLOOKUP(Draft!I8, 'NO USAR1'!A4:L1000,4,FALSE)+(IF(ISBLANK(Draft!J9),0,VLOOKUP(Draft!J9, 'NO USAR1'!A4:L1000,4,FALSE)+(IF(ISBLANK(Draft!K8),0,VLOOKUP(Draft!K8, 'NO USAR1'!A4:L1000,4,FALSE)+(IF(ISBLANK(Draft!L9),0,VLOOKUP(Draft!L9, 'NO USAR1'!A4:L1000,4,FALSE)+IF(ISBLANK(Draft!M8),0,VLOOKUP(Draft!M8, 'NO USAR1'!A4:L1000,4,FALSE)+IF(ISBLANK(Draft!N9),0,VLOOKUP(Draft!N9, 'NO USAR1'!A4:L1000,4,FALSE))))))))))))))))))))))))</f>
        <v>0</v>
      </c>
      <c r="G10" s="6">
        <f>((IF(ISBLANK(Draft!C8),0,VLOOKUP(Draft!C8, 'NO USAR1'!A4:L1000,5,FALSE)+(IF(ISBLANK(Draft!D9),0,VLOOKUP(Draft!D9, 'NO USAR1'!A4:L1000,5,FALSE)+(IF(ISBLANK(Draft!E8),0,VLOOKUP(Draft!E8, 'NO USAR1'!A4:L1000,5,FALSE)+(IF(ISBLANK(Draft!F9),0,VLOOKUP(Draft!F9, 'NO USAR1'!A4:L1000,5,FALSE)+(IF(ISBLANK(Draft!G8),0,VLOOKUP(Draft!G8, 'NO USAR1'!A4:L1000,5,FALSE)+(IF(ISBLANK(Draft!H9),0,VLOOKUP(Draft!H9, 'NO USAR1'!A4:L1000,5,FALSE)+(IF(ISBLANK(Draft!I8),0,VLOOKUP(Draft!I8, 'NO USAR1'!A4:L1000,5,FALSE)+(IF(ISBLANK(Draft!J9),0,VLOOKUP(Draft!J9, 'NO USAR1'!A4:L1000,5,FALSE)+(IF(ISBLANK(Draft!K8),0,VLOOKUP(Draft!K8, 'NO USAR1'!A4:L1000,5,FALSE)+(IF(ISBLANK(Draft!L9),0,VLOOKUP(Draft!L9, 'NO USAR1'!A4:L1000,5,FALSE)+IF(ISBLANK(Draft!M8),0,VLOOKUP(Draft!M8, 'NO USAR1'!A4:L1000,5,FALSE)+IF(ISBLANK(Draft!N9),0,VLOOKUP(Draft!N9, 'NO USAR1'!A4:L1000,5,FALSE))))))))))))))))))))))))</f>
        <v>0</v>
      </c>
      <c r="H10" s="45">
        <f>((IF(ISBLANK(Draft!C8),0,VLOOKUP(Draft!C8, 'NO USAR1'!A4:L1000,6,FALSE)+(IF(ISBLANK(Draft!D9),0,VLOOKUP(Draft!D9, 'NO USAR1'!A4:L1000,6,FALSE)+(IF(ISBLANK(Draft!E8),0,VLOOKUP(Draft!E8, 'NO USAR1'!A4:L1000,6,FALSE)+(IF(ISBLANK(Draft!F9),0,VLOOKUP(Draft!F9, 'NO USAR1'!A4:L1000,6,FALSE)+(IF(ISBLANK(Draft!G8),0,VLOOKUP(Draft!G8, 'NO USAR1'!A4:L1000,6,FALSE)+(IF(ISBLANK(Draft!H9),0,VLOOKUP(Draft!H9, 'NO USAR1'!A4:L1000,6,FALSE)+(IF(ISBLANK(Draft!I8),0,VLOOKUP(Draft!I8, 'NO USAR1'!A4:L1000,6,FALSE)+(IF(ISBLANK(Draft!J9),0,VLOOKUP(Draft!J9, 'NO USAR1'!A4:L1000,6,FALSE)+(IF(ISBLANK(Draft!K8),0,VLOOKUP(Draft!K8, 'NO USAR1'!A4:L1000,6,FALSE)+(IF(ISBLANK(Draft!L9),0,VLOOKUP(Draft!L9, 'NO USAR1'!A4:L1000,6,FALSE)+IF(ISBLANK(Draft!M8),0,VLOOKUP(Draft!M8, 'NO USAR1'!A4:L1000,6,FALSE)+IF(ISBLANK(Draft!N9),0,VLOOKUP(Draft!N9, 'NO USAR1'!A4:L1000,6,FALSE))))))))))))))))))))))))</f>
        <v>0</v>
      </c>
      <c r="I10" s="45">
        <f>((IF(ISBLANK(Draft!C8),0,VLOOKUP(Draft!C8, 'NO USAR1'!A4:L1000,7,FALSE)+(IF(ISBLANK(Draft!D9),0,VLOOKUP(Draft!D9, 'NO USAR1'!A4:L1000,7,FALSE)+(IF(ISBLANK(Draft!E8),0,VLOOKUP(Draft!E8, 'NO USAR1'!A4:L1000,7,FALSE)+(IF(ISBLANK(Draft!F9),0,VLOOKUP(Draft!F9, 'NO USAR1'!A4:L1000,7,FALSE)+(IF(ISBLANK(Draft!G8),0,VLOOKUP(Draft!G8, 'NO USAR1'!A4:L1000,7,FALSE)+(IF(ISBLANK(Draft!H9),0,VLOOKUP(Draft!H9, 'NO USAR1'!A4:L1000,7,FALSE)+(IF(ISBLANK(Draft!I8),0,VLOOKUP(Draft!I8, 'NO USAR1'!A4:L1000,7,FALSE)+(IF(ISBLANK(Draft!J9),0,VLOOKUP(Draft!J9, 'NO USAR1'!A4:L1000,7,FALSE)+(IF(ISBLANK(Draft!K8),0,VLOOKUP(Draft!K8, 'NO USAR1'!A4:L1000,7,FALSE)+(IF(ISBLANK(Draft!L9),0,VLOOKUP(Draft!L9, 'NO USAR1'!A4:L1000,7,FALSE)+IF(ISBLANK(Draft!M8),0,VLOOKUP(Draft!M8, 'NO USAR1'!A4:L1000,7,FALSE)+IF(ISBLANK(Draft!N9),0,VLOOKUP(Draft!N9, 'NO USAR1'!A4:L1000,7,FALSE))))))))))))))))))))))))</f>
        <v>0</v>
      </c>
      <c r="J10" s="45">
        <f>((IF(ISBLANK(Draft!C8),0,VLOOKUP(Draft!C8, 'NO USAR1'!A4:L1000,8,FALSE)+(IF(ISBLANK(Draft!D9),0,VLOOKUP(Draft!D9, 'NO USAR1'!A4:L1000,8,FALSE)+(IF(ISBLANK(Draft!E8),0,VLOOKUP(Draft!E8, 'NO USAR1'!A4:L1000,8,FALSE)+(IF(ISBLANK(Draft!F9),0,VLOOKUP(Draft!F9, 'NO USAR1'!A4:L1000,8,FALSE)+(IF(ISBLANK(Draft!G8),0,VLOOKUP(Draft!G8, 'NO USAR1'!A4:L1000,8,FALSE)+(IF(ISBLANK(Draft!H9),0,VLOOKUP(Draft!H9, 'NO USAR1'!A4:L1000,8,FALSE)+(IF(ISBLANK(Draft!I8),0,VLOOKUP(Draft!I8, 'NO USAR1'!A4:L1000,8,FALSE)+(IF(ISBLANK(Draft!J9),0,VLOOKUP(Draft!J9, 'NO USAR1'!A4:L1000,8,FALSE)+(IF(ISBLANK(Draft!K8),0,VLOOKUP(Draft!K8, 'NO USAR1'!A4:L1000,8,FALSE)+(IF(ISBLANK(Draft!L9),0,VLOOKUP(Draft!L9, 'NO USAR1'!A4:L1000,8,FALSE)+IF(ISBLANK(Draft!M8),0,VLOOKUP(Draft!M8, 'NO USAR1'!A4:L1000,8,FALSE)+IF(ISBLANK(Draft!N9),0,VLOOKUP(Draft!N9, 'NO USAR1'!A4:L1000,8,FALSE))))))))))))))))))))))))</f>
        <v>0</v>
      </c>
      <c r="K10" s="45">
        <f>((IF(ISBLANK(Draft!C8),0,VLOOKUP(Draft!C8, 'NO USAR1'!A4:L1000,10,FALSE)+(IF(ISBLANK(Draft!D9),0,VLOOKUP(Draft!D9, 'NO USAR1'!A4:L1000,10,FALSE)+(IF(ISBLANK(Draft!E8),0,VLOOKUP(Draft!E8, 'NO USAR1'!A4:L1000,10,FALSE)+(IF(ISBLANK(Draft!F9),0,VLOOKUP(Draft!F9, 'NO USAR1'!A4:L1000,10,FALSE)+(IF(ISBLANK(Draft!G8),0,VLOOKUP(Draft!G8, 'NO USAR1'!A4:L1000,10,FALSE)+(IF(ISBLANK(Draft!H9),0,VLOOKUP(Draft!H9, 'NO USAR1'!A4:L1000,10,FALSE)+(IF(ISBLANK(Draft!I8),0,VLOOKUP(Draft!I8, 'NO USAR1'!A4:L1000,10,FALSE)+(IF(ISBLANK(Draft!J9),0,VLOOKUP(Draft!J9, 'NO USAR1'!A4:L1000,10,FALSE)+(IF(ISBLANK(Draft!K8),0,VLOOKUP(Draft!K8, 'NO USAR1'!A4:L1000,10,FALSE)+(IF(ISBLANK(Draft!L9),0,VLOOKUP(Draft!L9, 'NO USAR1'!A4:L1000,10,FALSE)+IF(ISBLANK(Draft!M8),0,VLOOKUP(Draft!M8, 'NO USAR1'!A4:L1000,10,FALSE)+IF(ISBLANK(Draft!N9),0,VLOOKUP(Draft!N9, 'NO USAR1'!A4:L1000,10,FALSE))))))))))))))))))))))))</f>
        <v>0</v>
      </c>
      <c r="L10" s="6">
        <f>((IF(ISBLANK(Draft!C8),0,VLOOKUP(Draft!C8, 'NO USAR1'!A4:L1000,12,FALSE)+(IF(ISBLANK(Draft!D9),0,VLOOKUP(Draft!D9, 'NO USAR1'!A4:L1000,12,FALSE)+(IF(ISBLANK(Draft!E8),0,VLOOKUP(Draft!E8, 'NO USAR1'!A4:L1000,12,FALSE)+(IF(ISBLANK(Draft!F9),0,VLOOKUP(Draft!F9, 'NO USAR1'!A4:L1000,12,FALSE)+(IF(ISBLANK(Draft!G8),0,VLOOKUP(Draft!G8, 'NO USAR1'!A4:L1000,12,FALSE)+(IF(ISBLANK(Draft!H9),0,VLOOKUP(Draft!H9, 'NO USAR1'!A4:L1000,12,FALSE)+(IF(ISBLANK(Draft!I8),0,VLOOKUP(Draft!I8, 'NO USAR1'!A4:L1000,12,FALSE)+(IF(ISBLANK(Draft!J9),0,VLOOKUP(Draft!J9, 'NO USAR1'!A4:L1000,12,FALSE)+(IF(ISBLANK(Draft!K8),0,VLOOKUP(Draft!K8, 'NO USAR1'!A4:L1000,12,FALSE)+(IF(ISBLANK(Draft!L9),0,VLOOKUP(Draft!L9, 'NO USAR1'!A4:L1000,12,FALSE)+IF(ISBLANK(Draft!M8),0,VLOOKUP(Draft!M8, 'NO USAR1'!A4:L1000,12,FALSE)+IF(ISBLANK(Draft!N9),0,VLOOKUP(Draft!N9, 'NO USAR1'!A4:L1000,12,FALSE))))))))))))))))))))))))</f>
        <v>0</v>
      </c>
      <c r="M10" s="66">
        <f t="array" ref="M10">if(M$3=$C10,"-", countif(indirect(address(row($C$4)+ VLOOKUP(M$3,$C$5:$C$16,1),COLUMN($D$4))):indirect(address(row($C$4)+ VLOOKUP(M$3,$C$5:$C$16,1),COLUMN($L$4)))&gt;indirect(address(row($C10),COLUMN($D$4))):indirect(address(row($C10),COLUMN($L$4))),TRUE()))</f>
        <v>0</v>
      </c>
      <c r="N10" s="66">
        <f t="array" ref="N10">if(N$3=$C10,"-", countif(indirect(address(row($C$4)+ VLOOKUP(N$3,$C$5:$C$16,1),COLUMN($D$4))):indirect(address(row($C$4)+ VLOOKUP(N$3,$C$5:$C$16,1),COLUMN($L$4)))&gt;indirect(address(row($C10),COLUMN($D$4))):indirect(address(row($C10),COLUMN($L$4))),TRUE()))</f>
        <v>0</v>
      </c>
      <c r="O10" s="66">
        <f t="array" ref="O10">if(O$3=$C10,"-", countif(indirect(address(row($C$4)+ VLOOKUP(O$3,$C$5:$C$16,1),COLUMN($D$4))):indirect(address(row($C$4)+ VLOOKUP(O$3,$C$5:$C$16,1),COLUMN($L$4)))&gt;indirect(address(row($C10),COLUMN($D$4))):indirect(address(row($C10),COLUMN($L$4))),TRUE()))</f>
        <v>0</v>
      </c>
      <c r="P10" s="66">
        <f t="array" ref="P10">if(P$3=$C10,"-", countif(indirect(address(row($C$4)+ VLOOKUP(P$3,$C$5:$C$16,1),COLUMN($D$4))):indirect(address(row($C$4)+ VLOOKUP(P$3,$C$5:$C$16,1),COLUMN($L$4)))&gt;indirect(address(row($C10),COLUMN($D$4))):indirect(address(row($C10),COLUMN($L$4))),TRUE()))</f>
        <v>0</v>
      </c>
      <c r="Q10" s="66">
        <f t="array" ref="Q10">if(Q$3=$C10,"-", countif(indirect(address(row($C$4)+ VLOOKUP(Q$3,$C$5:$C$16,1),COLUMN($D$4))):indirect(address(row($C$4)+ VLOOKUP(Q$3,$C$5:$C$16,1),COLUMN($L$4)))&gt;indirect(address(row($C10),COLUMN($D$4))):indirect(address(row($C10),COLUMN($L$4))),TRUE()))</f>
        <v>0</v>
      </c>
      <c r="R10" s="66">
        <f t="array" ref="R10">if(R$3=$C10,"-", countif(indirect(address(row($C$4)+ VLOOKUP(R$3,$C$5:$C$16,1),COLUMN($D$4))):indirect(address(row($C$4)+ VLOOKUP(R$3,$C$5:$C$16,1),COLUMN($L$4)))&gt;indirect(address(row($C10),COLUMN($D$4))):indirect(address(row($C10),COLUMN($L$4))),TRUE()))</f>
        <v>0</v>
      </c>
      <c r="S10" s="66">
        <f t="array" ref="S10">if(S$3=$C10,"-", countif(indirect(address(row($C$4)+ VLOOKUP(S$3,$C$5:$C$16,1),COLUMN($D$4))):indirect(address(row($C$4)+ VLOOKUP(S$3,$C$5:$C$16,1),COLUMN($L$4)))&gt;indirect(address(row($C10),COLUMN($D$4))):indirect(address(row($C10),COLUMN($L$4))),TRUE()))</f>
        <v>0</v>
      </c>
      <c r="T10" s="66">
        <f t="array" ref="T10">if(T$3=$C10,"-", countif(indirect(address(row($C$4)+ VLOOKUP(T$3,$C$5:$C$16,1),COLUMN($D$4))):indirect(address(row($C$4)+ VLOOKUP(T$3,$C$5:$C$16,1),COLUMN($L$4)))&gt;indirect(address(row($C10),COLUMN($D$4))):indirect(address(row($C10),COLUMN($L$4))),TRUE()))</f>
        <v>0</v>
      </c>
      <c r="U10" s="66">
        <f t="array" ref="U10">if(U$3=$C10,"-", countif(indirect(address(row($C$4)+ VLOOKUP(U$3,$C$5:$C$16,1),COLUMN($D$4))):indirect(address(row($C$4)+ VLOOKUP(U$3,$C$5:$C$16,1),COLUMN($L$4)))&gt;indirect(address(row($C10),COLUMN($D$4))):indirect(address(row($C10),COLUMN($L$4))),TRUE()))</f>
        <v>0</v>
      </c>
      <c r="V10" s="66">
        <f t="array" ref="V10">if(V$3=$C10,"-", countif(indirect(address(row($C$4)+ VLOOKUP(V$3,$C$5:$C$16,1),COLUMN($D$4))):indirect(address(row($C$4)+ VLOOKUP(V$3,$C$5:$C$16,1),COLUMN($L$4)))&gt;indirect(address(row($C10),COLUMN($D$4))):indirect(address(row($C10),COLUMN($L$4))),TRUE()))</f>
        <v>0</v>
      </c>
      <c r="W10" s="66">
        <f t="array" ref="W10">if(W$3=$C10,"-", countif(indirect(address(row($C$4)+ VLOOKUP(W$3,$C$5:$C$16,1),COLUMN($D$4))):indirect(address(row($C$4)+ VLOOKUP(W$3,$C$5:$C$16,1),COLUMN($L$4)))&gt;indirect(address(row($C10),COLUMN($D$4))):indirect(address(row($C10),COLUMN($L$4))),TRUE()))</f>
        <v>0</v>
      </c>
      <c r="X10" s="66">
        <f t="array" ref="X10">if(X$3=$C10,"-", countif(indirect(address(row($C$4)+ VLOOKUP(X$3,$C$5:$C$16,1),COLUMN($D$4))):indirect(address(row($C$4)+ VLOOKUP(X$3,$C$5:$C$16,1),COLUMN($L$4)))&gt;indirect(address(row($C10),COLUMN($D$4))):indirect(address(row($C10),COLUMN($L$4))),TRUE()))</f>
        <v>0</v>
      </c>
      <c r="Y10" s="66">
        <f t="array" ref="Y10">if(D$1=$C10,"-", countif(indirect(address(row($C$4)+ VLOOKUP(D$1,$C$5:$C$16,1),COLUMN($D$4))):indirect(address(row($C$4)+ VLOOKUP(D$1,$C$5:$C$16,1),COLUMN($L$4)))&gt;indirect(address(row($C10),COLUMN($D$4))):indirect(address(row($C10),COLUMN($L$4))),TRUE()))</f>
        <v>0</v>
      </c>
      <c r="Z10" s="46">
        <f>SUM(R$5:R$16)/99</f>
        <v>0</v>
      </c>
    </row>
    <row r="11">
      <c r="B11" s="65" t="b">
        <f>Draft!B9</f>
        <v>1</v>
      </c>
      <c r="C11" s="6">
        <v>7.0</v>
      </c>
      <c r="D11" s="46">
        <f>((IF(ISBLANK(Draft!C9),0,VLOOKUP(Draft!C9, 'NO USAR1'!A4:L1000,2,FALSE)+(IF(ISBLANK(Draft!D8),0,VLOOKUP(Draft!D8, 'NO USAR1'!A4:L1000,2,FALSE)+(IF(ISBLANK(Draft!E9),0,VLOOKUP(Draft!E9, 'NO USAR1'!A4:L1000,2,FALSE)+(IF(ISBLANK(Draft!F8),0,VLOOKUP(Draft!F8, 'NO USAR1'!A4:L1000,2,FALSE)+(IF(ISBLANK(Draft!G9),0,VLOOKUP(Draft!G9, 'NO USAR1'!A4:L1000,2,FALSE)+(IF(ISBLANK(Draft!H8),0,VLOOKUP(Draft!H8, 'NO USAR1'!A4:L1000,2,FALSE)+(IF(ISBLANK(Draft!I9),0,VLOOKUP(Draft!I9, 'NO USAR1'!A4:L1000,2,FALSE)+(IF(ISBLANK(Draft!J8),0,VLOOKUP(Draft!J8, 'NO USAR1'!A4:L1000,2,FALSE)+(IF(ISBLANK(Draft!K9),0,VLOOKUP(Draft!K9, 'NO USAR1'!A4:L1000,2,FALSE)+(IF(ISBLANK(Draft!L8),0,VLOOKUP(Draft!L8, 'NO USAR1'!A4:L1000,2,FALSE)+IF(ISBLANK(Draft!M9),0,VLOOKUP(Draft!M9, 'NO USAR1'!A4:L1000,2,FALSE)+IF(ISBLANK(Draft!N8),0,VLOOKUP(Draft!N8, 'NO USAR1'!A4:L1000,2,FALSE))))))))))))))))))))))))</f>
        <v>4.001939698</v>
      </c>
      <c r="E11" s="46">
        <f>((IF(ISBLANK(Draft!C9),0,VLOOKUP(Draft!C9, 'NO USAR1'!A4:L1000,3,FALSE)+(IF(ISBLANK(Draft!D8),0,VLOOKUP(Draft!D8, 'NO USAR1'!A4:L1000,3,FALSE)+(IF(ISBLANK(Draft!E9),0,VLOOKUP(Draft!E9, 'NO USAR1'!A4:L1000,3,FALSE)+(IF(ISBLANK(Draft!F8),0,VLOOKUP(Draft!F8, 'NO USAR1'!A4:L1000,3,FALSE)+(IF(ISBLANK(Draft!G9),0,VLOOKUP(Draft!G9, 'NO USAR1'!A4:L1000,3,FALSE)+(IF(ISBLANK(Draft!H8),0,VLOOKUP(Draft!H8, 'NO USAR1'!A4:L1000,3,FALSE)+(IF(ISBLANK(Draft!I9),0,VLOOKUP(Draft!I9, 'NO USAR1'!A4:L1000,3,FALSE)+(IF(ISBLANK(Draft!J8),0,VLOOKUP(Draft!J8, 'NO USAR1'!A4:L1000,3,FALSE)+(IF(ISBLANK(Draft!K9),0,VLOOKUP(Draft!K9, 'NO USAR1'!A4:L1000,3,FALSE)+(IF(ISBLANK(Draft!L8),0,VLOOKUP(Draft!L8, 'NO USAR1'!A4:L1000,3,FALSE)+IF(ISBLANK(Draft!M9),0,VLOOKUP(Draft!M9, 'NO USAR1'!A4:L1000,3,FALSE)+IF(ISBLANK(Draft!N8),0,VLOOKUP(Draft!N8, 'NO USAR1'!A4:L1000,3,FALSE))))))))))))))))))))))))</f>
        <v>2.931537618</v>
      </c>
      <c r="F11" s="46">
        <f>((IF(ISBLANK(Draft!C9),0,VLOOKUP(Draft!C9, 'NO USAR1'!A4:L1000,4,FALSE)+(IF(ISBLANK(Draft!D8),0,VLOOKUP(Draft!D8, 'NO USAR1'!A4:L1000,4,FALSE)+(IF(ISBLANK(Draft!E9),0,VLOOKUP(Draft!E9, 'NO USAR1'!A4:L1000,4,FALSE)+(IF(ISBLANK(Draft!F8),0,VLOOKUP(Draft!F8, 'NO USAR1'!A4:L1000,4,FALSE)+(IF(ISBLANK(Draft!G9),0,VLOOKUP(Draft!G9, 'NO USAR1'!A4:L1000,4,FALSE)+(IF(ISBLANK(Draft!H8),0,VLOOKUP(Draft!H8, 'NO USAR1'!A4:L1000,4,FALSE)+(IF(ISBLANK(Draft!I9),0,VLOOKUP(Draft!I9, 'NO USAR1'!A4:L1000,4,FALSE)+(IF(ISBLANK(Draft!J8),0,VLOOKUP(Draft!J8, 'NO USAR1'!A4:L1000,4,FALSE)+(IF(ISBLANK(Draft!K9),0,VLOOKUP(Draft!K9, 'NO USAR1'!A4:L1000,4,FALSE)+(IF(ISBLANK(Draft!L8),0,VLOOKUP(Draft!L8, 'NO USAR1'!A4:L1000,4,FALSE)+IF(ISBLANK(Draft!M9),0,VLOOKUP(Draft!M9, 'NO USAR1'!A4:L1000,4,FALSE)+IF(ISBLANK(Draft!N8),0,VLOOKUP(Draft!N8, 'NO USAR1'!A4:L1000,4,FALSE))))))))))))))))))))))))</f>
        <v>1.562779756</v>
      </c>
      <c r="G11" s="46">
        <f>((IF(ISBLANK(Draft!C9),0,VLOOKUP(Draft!C9, 'NO USAR1'!A4:L1000,5,FALSE)+(IF(ISBLANK(Draft!D8),0,VLOOKUP(Draft!D8, 'NO USAR1'!A4:L1000,5,FALSE)+(IF(ISBLANK(Draft!E9),0,VLOOKUP(Draft!E9, 'NO USAR1'!A4:L1000,5,FALSE)+(IF(ISBLANK(Draft!F8),0,VLOOKUP(Draft!F8, 'NO USAR1'!A4:L1000,5,FALSE)+(IF(ISBLANK(Draft!G9),0,VLOOKUP(Draft!G9, 'NO USAR1'!A4:L1000,5,FALSE)+(IF(ISBLANK(Draft!H8),0,VLOOKUP(Draft!H8, 'NO USAR1'!A4:L1000,5,FALSE)+(IF(ISBLANK(Draft!I9),0,VLOOKUP(Draft!I9, 'NO USAR1'!A4:L1000,5,FALSE)+(IF(ISBLANK(Draft!J8),0,VLOOKUP(Draft!J8, 'NO USAR1'!A4:L1000,5,FALSE)+(IF(ISBLANK(Draft!K9),0,VLOOKUP(Draft!K9, 'NO USAR1'!A4:L1000,5,FALSE)+(IF(ISBLANK(Draft!L8),0,VLOOKUP(Draft!L8, 'NO USAR1'!A4:L1000,5,FALSE)+IF(ISBLANK(Draft!M9),0,VLOOKUP(Draft!M9, 'NO USAR1'!A4:L1000,5,FALSE)+IF(ISBLANK(Draft!N8),0,VLOOKUP(Draft!N8, 'NO USAR1'!A4:L1000,5,FALSE))))))))))))))))))))))))</f>
        <v>5.076135797</v>
      </c>
      <c r="H11" s="46">
        <f>((IF(ISBLANK(Draft!C9),0,VLOOKUP(Draft!C9, 'NO USAR1'!A4:L1000,6,FALSE)+(IF(ISBLANK(Draft!D8),0,VLOOKUP(Draft!D8, 'NO USAR1'!A4:L1000,6,FALSE)+(IF(ISBLANK(Draft!E9),0,VLOOKUP(Draft!E9, 'NO USAR1'!A4:L1000,6,FALSE)+(IF(ISBLANK(Draft!F8),0,VLOOKUP(Draft!F8, 'NO USAR1'!A4:L1000,6,FALSE)+(IF(ISBLANK(Draft!G9),0,VLOOKUP(Draft!G9, 'NO USAR1'!A4:L1000,6,FALSE)+(IF(ISBLANK(Draft!H8),0,VLOOKUP(Draft!H8, 'NO USAR1'!A4:L1000,6,FALSE)+(IF(ISBLANK(Draft!I9),0,VLOOKUP(Draft!I9, 'NO USAR1'!A4:L1000,6,FALSE)+(IF(ISBLANK(Draft!J8),0,VLOOKUP(Draft!J8, 'NO USAR1'!A4:L1000,6,FALSE)+(IF(ISBLANK(Draft!K9),0,VLOOKUP(Draft!K9, 'NO USAR1'!A4:L1000,6,FALSE)+(IF(ISBLANK(Draft!L8),0,VLOOKUP(Draft!L8, 'NO USAR1'!A4:L1000,6,FALSE)+IF(ISBLANK(Draft!M9),0,VLOOKUP(Draft!M9, 'NO USAR1'!A4:L1000,6,FALSE)+IF(ISBLANK(Draft!N8),0,VLOOKUP(Draft!N8, 'NO USAR1'!A4:L1000,6,FALSE))))))))))))))))))))))))</f>
        <v>1.067406181</v>
      </c>
      <c r="I11" s="46">
        <f>((IF(ISBLANK(Draft!C9),0,VLOOKUP(Draft!C9, 'NO USAR1'!A4:L1000,7,FALSE)+(IF(ISBLANK(Draft!D8),0,VLOOKUP(Draft!D8, 'NO USAR1'!A4:L1000,7,FALSE)+(IF(ISBLANK(Draft!E9),0,VLOOKUP(Draft!E9, 'NO USAR1'!A4:L1000,7,FALSE)+(IF(ISBLANK(Draft!F8),0,VLOOKUP(Draft!F8, 'NO USAR1'!A4:L1000,7,FALSE)+(IF(ISBLANK(Draft!G9),0,VLOOKUP(Draft!G9, 'NO USAR1'!A4:L1000,7,FALSE)+(IF(ISBLANK(Draft!H8),0,VLOOKUP(Draft!H8, 'NO USAR1'!A4:L1000,7,FALSE)+(IF(ISBLANK(Draft!I9),0,VLOOKUP(Draft!I9, 'NO USAR1'!A4:L1000,7,FALSE)+(IF(ISBLANK(Draft!J8),0,VLOOKUP(Draft!J8, 'NO USAR1'!A4:L1000,7,FALSE)+(IF(ISBLANK(Draft!K9),0,VLOOKUP(Draft!K9, 'NO USAR1'!A4:L1000,7,FALSE)+(IF(ISBLANK(Draft!L8),0,VLOOKUP(Draft!L8, 'NO USAR1'!A4:L1000,7,FALSE)+IF(ISBLANK(Draft!M9),0,VLOOKUP(Draft!M9, 'NO USAR1'!A4:L1000,7,FALSE)+IF(ISBLANK(Draft!N8),0,VLOOKUP(Draft!N8, 'NO USAR1'!A4:L1000,7,FALSE))))))))))))))))))))))))</f>
        <v>-3.396703053</v>
      </c>
      <c r="J11" s="81">
        <f>((IF(ISBLANK(Draft!C9),0,VLOOKUP(Draft!C9, 'NO USAR1'!A4:L1000,8,FALSE)+(IF(ISBLANK(Draft!D8),0,VLOOKUP(Draft!D8, 'NO USAR1'!A4:L1000,8,FALSE)+(IF(ISBLANK(Draft!E9),0,VLOOKUP(Draft!E9, 'NO USAR1'!A4:L1000,8,FALSE)+(IF(ISBLANK(Draft!F8),0,VLOOKUP(Draft!F8, 'NO USAR1'!A4:L1000,8,FALSE)+(IF(ISBLANK(Draft!G9),0,VLOOKUP(Draft!G9, 'NO USAR1'!A4:L1000,8,FALSE)+(IF(ISBLANK(Draft!H8),0,VLOOKUP(Draft!H8, 'NO USAR1'!A4:L1000,8,FALSE)+(IF(ISBLANK(Draft!I9),0,VLOOKUP(Draft!I9, 'NO USAR1'!A4:L1000,8,FALSE)+(IF(ISBLANK(Draft!J8),0,VLOOKUP(Draft!J8, 'NO USAR1'!A4:L1000,8,FALSE)+(IF(ISBLANK(Draft!K9),0,VLOOKUP(Draft!K9, 'NO USAR1'!A4:L1000,8,FALSE)+(IF(ISBLANK(Draft!L8),0,VLOOKUP(Draft!L8, 'NO USAR1'!A4:L1000,8,FALSE)+IF(ISBLANK(Draft!M9),0,VLOOKUP(Draft!M9, 'NO USAR1'!A4:L1000,8,FALSE)+IF(ISBLANK(Draft!N8),0,VLOOKUP(Draft!N8, 'NO USAR1'!A4:L1000,8,FALSE))))))))))))))))))))))))</f>
        <v>-1.951219031</v>
      </c>
      <c r="K11" s="46">
        <f>((IF(ISBLANK(Draft!C9),0,VLOOKUP(Draft!C9, 'NO USAR1'!A4:L1000,10,FALSE)+(IF(ISBLANK(Draft!D8),0,VLOOKUP(Draft!D8, 'NO USAR1'!A4:L1000,10,FALSE)+(IF(ISBLANK(Draft!E9),0,VLOOKUP(Draft!E9, 'NO USAR1'!A4:L1000,10,FALSE)+(IF(ISBLANK(Draft!F8),0,VLOOKUP(Draft!F8, 'NO USAR1'!A4:L1000,10,FALSE)+(IF(ISBLANK(Draft!G9),0,VLOOKUP(Draft!G9, 'NO USAR1'!A4:L1000,10,FALSE)+(IF(ISBLANK(Draft!H8),0,VLOOKUP(Draft!H8, 'NO USAR1'!A4:L1000,10,FALSE)+(IF(ISBLANK(Draft!I9),0,VLOOKUP(Draft!I9, 'NO USAR1'!A4:L1000,10,FALSE)+(IF(ISBLANK(Draft!J8),0,VLOOKUP(Draft!J8, 'NO USAR1'!A4:L1000,10,FALSE)+(IF(ISBLANK(Draft!K9),0,VLOOKUP(Draft!K9, 'NO USAR1'!A4:L1000,10,FALSE)+(IF(ISBLANK(Draft!L8),0,VLOOKUP(Draft!L8, 'NO USAR1'!A4:L1000,10,FALSE)+IF(ISBLANK(Draft!M9),0,VLOOKUP(Draft!M9, 'NO USAR1'!A4:L1000,10,FALSE)+IF(ISBLANK(Draft!N8),0,VLOOKUP(Draft!N8, 'NO USAR1'!A4:L1000,10,FALSE))))))))))))))))))))))))</f>
        <v>3.913648713</v>
      </c>
      <c r="L11" s="46">
        <f>((IF(ISBLANK(Draft!C9),0,VLOOKUP(Draft!C9, 'NO USAR1'!A4:L1000,12,FALSE)+(IF(ISBLANK(Draft!D8),0,VLOOKUP(Draft!D8, 'NO USAR1'!A4:L1000,12,FALSE)+(IF(ISBLANK(Draft!E9),0,VLOOKUP(Draft!E9, 'NO USAR1'!A4:L1000,12,FALSE)+(IF(ISBLANK(Draft!F8),0,VLOOKUP(Draft!F8, 'NO USAR1'!A4:L1000,12,FALSE)+(IF(ISBLANK(Draft!G9),0,VLOOKUP(Draft!G9, 'NO USAR1'!A4:L1000,12,FALSE)+(IF(ISBLANK(Draft!H8),0,VLOOKUP(Draft!H8, 'NO USAR1'!A4:L1000,12,FALSE)+(IF(ISBLANK(Draft!I9),0,VLOOKUP(Draft!I9, 'NO USAR1'!A4:L1000,12,FALSE)+(IF(ISBLANK(Draft!J8),0,VLOOKUP(Draft!J8, 'NO USAR1'!A4:L1000,12,FALSE)+(IF(ISBLANK(Draft!K9),0,VLOOKUP(Draft!K9, 'NO USAR1'!A4:L1000,12,FALSE)+(IF(ISBLANK(Draft!L8),0,VLOOKUP(Draft!L8, 'NO USAR1'!A4:L1000,12,FALSE)+IF(ISBLANK(Draft!M9),0,VLOOKUP(Draft!M9, 'NO USAR1'!A4:L1000,12,FALSE)+IF(ISBLANK(Draft!N8),0,VLOOKUP(Draft!N8, 'NO USAR1'!A4:L1000,12,FALSE))))))))))))))))))))))))</f>
        <v>-6.758976616</v>
      </c>
      <c r="M11" s="66">
        <f t="array" ref="M11">if(M$3=$C11,"-", countif(indirect(address(row($C$4)+ VLOOKUP(M$3,$C$5:$C$16,1),COLUMN($D$4))):indirect(address(row($C$4)+ VLOOKUP(M$3,$C$5:$C$16,1),COLUMN($L$4)))&gt;indirect(address(row($C11),COLUMN($D$4))):indirect(address(row($C11),COLUMN($L$4))),TRUE()))</f>
        <v>0</v>
      </c>
      <c r="N11" s="66">
        <f t="array" ref="N11">if(N$3=$C11,"-", countif(indirect(address(row($C$4)+ VLOOKUP(N$3,$C$5:$C$16,1),COLUMN($D$4))):indirect(address(row($C$4)+ VLOOKUP(N$3,$C$5:$C$16,1),COLUMN($L$4)))&gt;indirect(address(row($C11),COLUMN($D$4))):indirect(address(row($C11),COLUMN($L$4))),TRUE()))</f>
        <v>0</v>
      </c>
      <c r="O11" s="66">
        <f t="array" ref="O11">if(O$3=$C11,"-", countif(indirect(address(row($C$4)+ VLOOKUP(O$3,$C$5:$C$16,1),COLUMN($D$4))):indirect(address(row($C$4)+ VLOOKUP(O$3,$C$5:$C$16,1),COLUMN($L$4)))&gt;indirect(address(row($C11),COLUMN($D$4))):indirect(address(row($C11),COLUMN($L$4))),TRUE()))</f>
        <v>0</v>
      </c>
      <c r="P11" s="66">
        <f t="array" ref="P11">if(P$3=$C11,"-", countif(indirect(address(row($C$4)+ VLOOKUP(P$3,$C$5:$C$16,1),COLUMN($D$4))):indirect(address(row($C$4)+ VLOOKUP(P$3,$C$5:$C$16,1),COLUMN($L$4)))&gt;indirect(address(row($C11),COLUMN($D$4))):indirect(address(row($C11),COLUMN($L$4))),TRUE()))</f>
        <v>0</v>
      </c>
      <c r="Q11" s="66">
        <f t="array" ref="Q11">if(Q$3=$C11,"-", countif(indirect(address(row($C$4)+ VLOOKUP(Q$3,$C$5:$C$16,1),COLUMN($D$4))):indirect(address(row($C$4)+ VLOOKUP(Q$3,$C$5:$C$16,1),COLUMN($L$4)))&gt;indirect(address(row($C11),COLUMN($D$4))):indirect(address(row($C11),COLUMN($L$4))),TRUE()))</f>
        <v>0</v>
      </c>
      <c r="R11" s="66">
        <f t="array" ref="R11">if(R$3=$C11,"-", countif(indirect(address(row($C$4)+ VLOOKUP(R$3,$C$5:$C$16,1),COLUMN($D$4))):indirect(address(row($C$4)+ VLOOKUP(R$3,$C$5:$C$16,1),COLUMN($L$4)))&gt;indirect(address(row($C11),COLUMN($D$4))):indirect(address(row($C11),COLUMN($L$4))),TRUE()))</f>
        <v>0</v>
      </c>
      <c r="S11" s="66">
        <f t="array" ref="S11">if(S$3=$C11,"-", countif(indirect(address(row($C$4)+ VLOOKUP(S$3,$C$5:$C$16,1),COLUMN($D$4))):indirect(address(row($C$4)+ VLOOKUP(S$3,$C$5:$C$16,1),COLUMN($L$4)))&gt;indirect(address(row($C11),COLUMN($D$4))):indirect(address(row($C11),COLUMN($L$4))),TRUE()))</f>
        <v>0</v>
      </c>
      <c r="T11" s="66">
        <f t="array" ref="T11">if(T$3=$C11,"-", countif(indirect(address(row($C$4)+ VLOOKUP(T$3,$C$5:$C$16,1),COLUMN($D$4))):indirect(address(row($C$4)+ VLOOKUP(T$3,$C$5:$C$16,1),COLUMN($L$4)))&gt;indirect(address(row($C11),COLUMN($D$4))):indirect(address(row($C11),COLUMN($L$4))),TRUE()))</f>
        <v>0</v>
      </c>
      <c r="U11" s="66">
        <f t="array" ref="U11">if(U$3=$C11,"-", countif(indirect(address(row($C$4)+ VLOOKUP(U$3,$C$5:$C$16,1),COLUMN($D$4))):indirect(address(row($C$4)+ VLOOKUP(U$3,$C$5:$C$16,1),COLUMN($L$4)))&gt;indirect(address(row($C11),COLUMN($D$4))):indirect(address(row($C11),COLUMN($L$4))),TRUE()))</f>
        <v>0</v>
      </c>
      <c r="V11" s="66">
        <f t="array" ref="V11">if(V$3=$C11,"-", countif(indirect(address(row($C$4)+ VLOOKUP(V$3,$C$5:$C$16,1),COLUMN($D$4))):indirect(address(row($C$4)+ VLOOKUP(V$3,$C$5:$C$16,1),COLUMN($L$4)))&gt;indirect(address(row($C11),COLUMN($D$4))):indirect(address(row($C11),COLUMN($L$4))),TRUE()))</f>
        <v>0</v>
      </c>
      <c r="W11" s="66">
        <f t="array" ref="W11">if(W$3=$C11,"-", countif(indirect(address(row($C$4)+ VLOOKUP(W$3,$C$5:$C$16,1),COLUMN($D$4))):indirect(address(row($C$4)+ VLOOKUP(W$3,$C$5:$C$16,1),COLUMN($L$4)))&gt;indirect(address(row($C11),COLUMN($D$4))):indirect(address(row($C11),COLUMN($L$4))),TRUE()))</f>
        <v>0</v>
      </c>
      <c r="X11" s="66">
        <f t="array" ref="X11">if(X$3=$C11,"-", countif(indirect(address(row($C$4)+ VLOOKUP(X$3,$C$5:$C$16,1),COLUMN($D$4))):indirect(address(row($C$4)+ VLOOKUP(X$3,$C$5:$C$16,1),COLUMN($L$4)))&gt;indirect(address(row($C11),COLUMN($D$4))):indirect(address(row($C11),COLUMN($L$4))),TRUE()))</f>
        <v>0</v>
      </c>
      <c r="Y11" s="66">
        <f t="array" ref="Y11">if(D$1=$C11,"-", countif(indirect(address(row($C$4)+ VLOOKUP(D$1,$C$5:$C$16,1),COLUMN($D$4))):indirect(address(row($C$4)+ VLOOKUP(D$1,$C$5:$C$16,1),COLUMN($L$4)))&gt;indirect(address(row($C11),COLUMN($D$4))):indirect(address(row($C11),COLUMN($L$4))),TRUE()))</f>
        <v>0</v>
      </c>
      <c r="Z11" s="46">
        <f>SUM(S$5:S$16)/99</f>
        <v>0</v>
      </c>
    </row>
    <row r="12">
      <c r="B12" s="65" t="b">
        <f>Draft!B10</f>
        <v>0</v>
      </c>
      <c r="C12" s="6">
        <v>8.0</v>
      </c>
      <c r="D12" s="45">
        <f>((IF(ISBLANK(Draft!C10),0,VLOOKUP(Draft!C10, 'NO USAR1'!A4:L1000,2,FALSE)+(IF(ISBLANK(Draft!D7),0,VLOOKUP(Draft!D7, 'NO USAR1'!A4:L1000,2,FALSE)+(IF(ISBLANK(Draft!E10),0,VLOOKUP(Draft!E10, 'NO USAR1'!A4:L1000,2,FALSE)+(IF(ISBLANK(Draft!F7),0,VLOOKUP(Draft!F7, 'NO USAR1'!A4:L1000,2,FALSE)+(IF(ISBLANK(Draft!G10),0,VLOOKUP(Draft!G10, 'NO USAR1'!A4:L1000,2,FALSE)+(IF(ISBLANK(Draft!H7),0,VLOOKUP(Draft!H7, 'NO USAR1'!A4:L1000,2,FALSE)+(IF(ISBLANK(Draft!I10),0,VLOOKUP(Draft!I10, 'NO USAR1'!A4:L1000,2,FALSE)+(IF(ISBLANK(Draft!J7),0,VLOOKUP(Draft!J7, 'NO USAR1'!A4:L1000,2,FALSE)+(IF(ISBLANK(Draft!K10),0,VLOOKUP(Draft!K10, 'NO USAR1'!A4:L1000,2,FALSE)+(IF(ISBLANK(Draft!L7),0,VLOOKUP(Draft!L7, 'NO USAR1'!A4:L1000,2,FALSE)+IF(ISBLANK(Draft!M10),0,VLOOKUP(Draft!M10, 'NO USAR1'!A4:L1000,2,FALSE)+IF(ISBLANK(Draft!N7),0,VLOOKUP(Draft!N7, 'NO USAR1'!A4:L1000,2,FALSE))))))))))))))))))))))))</f>
        <v>0</v>
      </c>
      <c r="E12" s="45">
        <f>((IF(ISBLANK(Draft!C10),0,VLOOKUP(Draft!C10, 'NO USAR1'!A4:L1000,3,FALSE)+(IF(ISBLANK(Draft!D7),0,VLOOKUP(Draft!D7, 'NO USAR1'!A4:L1000,3,FALSE)+(IF(ISBLANK(Draft!E10),0,VLOOKUP(Draft!E10, 'NO USAR1'!A4:L1000,3,FALSE)+(IF(ISBLANK(Draft!F7),0,VLOOKUP(Draft!F7, 'NO USAR1'!A4:L1000,3,FALSE)+(IF(ISBLANK(Draft!G10),0,VLOOKUP(Draft!G10, 'NO USAR1'!A4:L1000,3,FALSE)+(IF(ISBLANK(Draft!H7),0,VLOOKUP(Draft!H7, 'NO USAR1'!A4:L1000,3,FALSE)+(IF(ISBLANK(Draft!I10),0,VLOOKUP(Draft!I10, 'NO USAR1'!A4:L1000,3,FALSE)+(IF(ISBLANK(Draft!J7),0,VLOOKUP(Draft!J7, 'NO USAR1'!A4:L1000,3,FALSE)+(IF(ISBLANK(Draft!K10),0,VLOOKUP(Draft!K10, 'NO USAR1'!A4:L1000,3,FALSE)+(IF(ISBLANK(Draft!L7),0,VLOOKUP(Draft!L7, 'NO USAR1'!A4:L1000,3,FALSE)+IF(ISBLANK(Draft!M10),0,VLOOKUP(Draft!M10, 'NO USAR1'!A4:L1000,3,FALSE)+IF(ISBLANK(Draft!N7),0,VLOOKUP(Draft!N7, 'NO USAR1'!A4:L1000,3,FALSE))))))))))))))))))))))))</f>
        <v>0</v>
      </c>
      <c r="F12" s="45">
        <f>((IF(ISBLANK(Draft!C10),0,VLOOKUP(Draft!C10, 'NO USAR1'!A4:L1000,4,FALSE)+(IF(ISBLANK(Draft!D7),0,VLOOKUP(Draft!D7, 'NO USAR1'!A4:L1000,4,FALSE)+(IF(ISBLANK(Draft!E10),0,VLOOKUP(Draft!E10, 'NO USAR1'!A4:L1000,4,FALSE)+(IF(ISBLANK(Draft!F7),0,VLOOKUP(Draft!F7, 'NO USAR1'!A4:L1000,4,FALSE)+(IF(ISBLANK(Draft!G10),0,VLOOKUP(Draft!G10, 'NO USAR1'!A4:L1000,4,FALSE)+(IF(ISBLANK(Draft!H7),0,VLOOKUP(Draft!H7, 'NO USAR1'!A4:L1000,4,FALSE)+(IF(ISBLANK(Draft!I10),0,VLOOKUP(Draft!I10, 'NO USAR1'!A4:L1000,4,FALSE)+(IF(ISBLANK(Draft!J7),0,VLOOKUP(Draft!J7, 'NO USAR1'!A4:L1000,4,FALSE)+(IF(ISBLANK(Draft!K10),0,VLOOKUP(Draft!K10, 'NO USAR1'!A4:L1000,4,FALSE)+(IF(ISBLANK(Draft!L7),0,VLOOKUP(Draft!L7, 'NO USAR1'!A4:L1000,4,FALSE)+IF(ISBLANK(Draft!M10),0,VLOOKUP(Draft!M10, 'NO USAR1'!A4:L1000,4,FALSE)+IF(ISBLANK(Draft!N7),0,VLOOKUP(Draft!N7, 'NO USAR1'!A4:L1000,4,FALSE))))))))))))))))))))))))</f>
        <v>0</v>
      </c>
      <c r="G12" s="6">
        <f>((IF(ISBLANK(Draft!C10),0,VLOOKUP(Draft!C10, 'NO USAR1'!A4:L1000,5,FALSE)+(IF(ISBLANK(Draft!D7),0,VLOOKUP(Draft!D7, 'NO USAR1'!A4:L1000,5,FALSE)+(IF(ISBLANK(Draft!E10),0,VLOOKUP(Draft!E10, 'NO USAR1'!A4:L1000,5,FALSE)+(IF(ISBLANK(Draft!F7),0,VLOOKUP(Draft!F7, 'NO USAR1'!A4:L1000,5,FALSE)+(IF(ISBLANK(Draft!G10),0,VLOOKUP(Draft!G10, 'NO USAR1'!A4:L1000,5,FALSE)+(IF(ISBLANK(Draft!H7),0,VLOOKUP(Draft!H7, 'NO USAR1'!A4:L1000,5,FALSE)+(IF(ISBLANK(Draft!I10),0,VLOOKUP(Draft!I10, 'NO USAR1'!A4:L1000,5,FALSE)+(IF(ISBLANK(Draft!J7),0,VLOOKUP(Draft!J7, 'NO USAR1'!A4:L1000,5,FALSE)+(IF(ISBLANK(Draft!K10),0,VLOOKUP(Draft!K10, 'NO USAR1'!A4:L1000,5,FALSE)+(IF(ISBLANK(Draft!L7),0,VLOOKUP(Draft!L7, 'NO USAR1'!A4:L1000,5,FALSE)+IF(ISBLANK(Draft!M10),0,VLOOKUP(Draft!M10, 'NO USAR1'!A4:L1000,5,FALSE)+IF(ISBLANK(Draft!N7),0,VLOOKUP(Draft!N7, 'NO USAR1'!A4:L1000,5,FALSE))))))))))))))))))))))))</f>
        <v>0</v>
      </c>
      <c r="H12" s="45">
        <f>((IF(ISBLANK(Draft!C10),0,VLOOKUP(Draft!C10, 'NO USAR1'!A4:L1000,6,FALSE)+(IF(ISBLANK(Draft!D7),0,VLOOKUP(Draft!D7, 'NO USAR1'!A4:L1000,6,FALSE)+(IF(ISBLANK(Draft!E10),0,VLOOKUP(Draft!E10, 'NO USAR1'!A4:L1000,6,FALSE)+(IF(ISBLANK(Draft!F7),0,VLOOKUP(Draft!F7, 'NO USAR1'!A4:L1000,6,FALSE)+(IF(ISBLANK(Draft!G10),0,VLOOKUP(Draft!G10, 'NO USAR1'!A4:L1000,6,FALSE)+(IF(ISBLANK(Draft!H7),0,VLOOKUP(Draft!H7, 'NO USAR1'!A4:L1000,6,FALSE)+(IF(ISBLANK(Draft!I10),0,VLOOKUP(Draft!I10, 'NO USAR1'!A4:L1000,6,FALSE)+(IF(ISBLANK(Draft!J7),0,VLOOKUP(Draft!J7, 'NO USAR1'!A4:L1000,6,FALSE)+(IF(ISBLANK(Draft!K10),0,VLOOKUP(Draft!K10, 'NO USAR1'!A4:L1000,6,FALSE)+(IF(ISBLANK(Draft!L7),0,VLOOKUP(Draft!L7, 'NO USAR1'!A4:L1000,6,FALSE)+IF(ISBLANK(Draft!M10),0,VLOOKUP(Draft!M10, 'NO USAR1'!A4:L1000,6,FALSE)+IF(ISBLANK(Draft!N7),0,VLOOKUP(Draft!N7, 'NO USAR1'!A4:L1000,6,FALSE))))))))))))))))))))))))</f>
        <v>0</v>
      </c>
      <c r="I12" s="45">
        <f>((IF(ISBLANK(Draft!C10),0,VLOOKUP(Draft!C10, 'NO USAR1'!A4:L1000,7,FALSE)+(IF(ISBLANK(Draft!D7),0,VLOOKUP(Draft!D7, 'NO USAR1'!A4:L1000,7,FALSE)+(IF(ISBLANK(Draft!E10),0,VLOOKUP(Draft!E10, 'NO USAR1'!A4:L1000,7,FALSE)+(IF(ISBLANK(Draft!F7),0,VLOOKUP(Draft!F7, 'NO USAR1'!A4:L1000,7,FALSE)+(IF(ISBLANK(Draft!G10),0,VLOOKUP(Draft!G10, 'NO USAR1'!A4:L1000,7,FALSE)+(IF(ISBLANK(Draft!H7),0,VLOOKUP(Draft!H7, 'NO USAR1'!A4:L1000,7,FALSE)+(IF(ISBLANK(Draft!I10),0,VLOOKUP(Draft!I10, 'NO USAR1'!A4:L1000,7,FALSE)+(IF(ISBLANK(Draft!J7),0,VLOOKUP(Draft!J7, 'NO USAR1'!A4:L1000,7,FALSE)+(IF(ISBLANK(Draft!K10),0,VLOOKUP(Draft!K10, 'NO USAR1'!A4:L1000,7,FALSE)+(IF(ISBLANK(Draft!L7),0,VLOOKUP(Draft!L7, 'NO USAR1'!A4:L1000,7,FALSE)+IF(ISBLANK(Draft!M10),0,VLOOKUP(Draft!M10, 'NO USAR1'!A4:L1000,7,FALSE)+IF(ISBLANK(Draft!N7),0,VLOOKUP(Draft!N7, 'NO USAR1'!A4:L1000,7,FALSE))))))))))))))))))))))))</f>
        <v>0</v>
      </c>
      <c r="J12" s="45">
        <f>((IF(ISBLANK(Draft!C10),0,VLOOKUP(Draft!C10, 'NO USAR1'!A4:L1000,8,FALSE)+(IF(ISBLANK(Draft!D7),0,VLOOKUP(Draft!D7, 'NO USAR1'!A4:L1000,8,FALSE)+(IF(ISBLANK(Draft!E10),0,VLOOKUP(Draft!E10, 'NO USAR1'!A4:L1000,8,FALSE)+(IF(ISBLANK(Draft!F7),0,VLOOKUP(Draft!F7, 'NO USAR1'!A4:L1000,8,FALSE)+(IF(ISBLANK(Draft!G10),0,VLOOKUP(Draft!G10, 'NO USAR1'!A4:L1000,8,FALSE)+(IF(ISBLANK(Draft!H7),0,VLOOKUP(Draft!H7, 'NO USAR1'!A4:L1000,8,FALSE)+(IF(ISBLANK(Draft!I10),0,VLOOKUP(Draft!I10, 'NO USAR1'!A4:L1000,8,FALSE)+(IF(ISBLANK(Draft!J7),0,VLOOKUP(Draft!J7, 'NO USAR1'!A4:L1000,8,FALSE)+(IF(ISBLANK(Draft!K10),0,VLOOKUP(Draft!K10, 'NO USAR1'!A4:L1000,8,FALSE)+(IF(ISBLANK(Draft!L7),0,VLOOKUP(Draft!L7, 'NO USAR1'!A4:L1000,8,FALSE)+IF(ISBLANK(Draft!M10),0,VLOOKUP(Draft!M10, 'NO USAR1'!A4:L1000,8,FALSE)+IF(ISBLANK(Draft!N7),0,VLOOKUP(Draft!N7, 'NO USAR1'!A4:L1000,8,FALSE))))))))))))))))))))))))</f>
        <v>0</v>
      </c>
      <c r="K12" s="45">
        <f>((IF(ISBLANK(Draft!C10),0,VLOOKUP(Draft!C10, 'NO USAR1'!A4:L1000,10,FALSE)+(IF(ISBLANK(Draft!D7),0,VLOOKUP(Draft!D7, 'NO USAR1'!A4:L1000,10,FALSE)+(IF(ISBLANK(Draft!E10),0,VLOOKUP(Draft!E10, 'NO USAR1'!A4:L1000,10,FALSE)+(IF(ISBLANK(Draft!F7),0,VLOOKUP(Draft!F7, 'NO USAR1'!A4:L1000,10,FALSE)+(IF(ISBLANK(Draft!G10),0,VLOOKUP(Draft!G10, 'NO USAR1'!A4:L1000,10,FALSE)+(IF(ISBLANK(Draft!H7),0,VLOOKUP(Draft!H7, 'NO USAR1'!A4:L1000,10,FALSE)+(IF(ISBLANK(Draft!I10),0,VLOOKUP(Draft!I10, 'NO USAR1'!A4:L1000,10,FALSE)+(IF(ISBLANK(Draft!J7),0,VLOOKUP(Draft!J7, 'NO USAR1'!A4:L1000,10,FALSE)+(IF(ISBLANK(Draft!K10),0,VLOOKUP(Draft!K10, 'NO USAR1'!A4:L1000,10,FALSE)+(IF(ISBLANK(Draft!L7),0,VLOOKUP(Draft!L7, 'NO USAR1'!A4:L1000,10,FALSE)+IF(ISBLANK(Draft!M10),0,VLOOKUP(Draft!M10, 'NO USAR1'!A4:L1000,10,FALSE)+IF(ISBLANK(Draft!N7),0,VLOOKUP(Draft!N7, 'NO USAR1'!A4:L1000,10,FALSE))))))))))))))))))))))))</f>
        <v>0</v>
      </c>
      <c r="L12" s="45">
        <f>((IF(ISBLANK(Draft!C10),0,VLOOKUP(Draft!C10, 'NO USAR1'!A4:L1000,12,FALSE)+(IF(ISBLANK(Draft!D7),0,VLOOKUP(Draft!D7, 'NO USAR1'!A4:L1000,12,FALSE)+(IF(ISBLANK(Draft!E10),0,VLOOKUP(Draft!E10, 'NO USAR1'!A4:L1000,12,FALSE)+(IF(ISBLANK(Draft!F7),0,VLOOKUP(Draft!F7, 'NO USAR1'!A4:L1000,12,FALSE)+(IF(ISBLANK(Draft!G10),0,VLOOKUP(Draft!G10, 'NO USAR1'!A4:L1000,12,FALSE)+(IF(ISBLANK(Draft!H7),0,VLOOKUP(Draft!H7, 'NO USAR1'!A4:L1000,12,FALSE)+(IF(ISBLANK(Draft!I10),0,VLOOKUP(Draft!I10, 'NO USAR1'!A4:L1000,12,FALSE)+(IF(ISBLANK(Draft!J7),0,VLOOKUP(Draft!J7, 'NO USAR1'!A4:L1000,12,FALSE)+(IF(ISBLANK(Draft!K10),0,VLOOKUP(Draft!K10, 'NO USAR1'!A4:L1000,12,FALSE)+(IF(ISBLANK(Draft!L7),0,VLOOKUP(Draft!L7, 'NO USAR1'!A4:L1000,12,FALSE)+IF(ISBLANK(Draft!M10),0,VLOOKUP(Draft!M10, 'NO USAR1'!A4:L1000,12,FALSE)+IF(ISBLANK(Draft!N7),0,VLOOKUP(Draft!N7, 'NO USAR1'!A4:L1000,12,FALSE))))))))))))))))))))))))</f>
        <v>0</v>
      </c>
      <c r="M12" s="66">
        <f t="array" ref="M12">if(M$3=$C12,"-", countif(indirect(address(row($C$4)+ VLOOKUP(M$3,$C$5:$C$16,1),COLUMN($D$4))):indirect(address(row($C$4)+ VLOOKUP(M$3,$C$5:$C$16,1),COLUMN($L$4)))&gt;indirect(address(row($C12),COLUMN($D$4))):indirect(address(row($C12),COLUMN($L$4))),TRUE()))</f>
        <v>0</v>
      </c>
      <c r="N12" s="66">
        <f t="array" ref="N12">if(N$3=$C12,"-", countif(indirect(address(row($C$4)+ VLOOKUP(N$3,$C$5:$C$16,1),COLUMN($D$4))):indirect(address(row($C$4)+ VLOOKUP(N$3,$C$5:$C$16,1),COLUMN($L$4)))&gt;indirect(address(row($C12),COLUMN($D$4))):indirect(address(row($C12),COLUMN($L$4))),TRUE()))</f>
        <v>0</v>
      </c>
      <c r="O12" s="66">
        <f t="array" ref="O12">if(O$3=$C12,"-", countif(indirect(address(row($C$4)+ VLOOKUP(O$3,$C$5:$C$16,1),COLUMN($D$4))):indirect(address(row($C$4)+ VLOOKUP(O$3,$C$5:$C$16,1),COLUMN($L$4)))&gt;indirect(address(row($C12),COLUMN($D$4))):indirect(address(row($C12),COLUMN($L$4))),TRUE()))</f>
        <v>0</v>
      </c>
      <c r="P12" s="66">
        <f t="array" ref="P12">if(P$3=$C12,"-", countif(indirect(address(row($C$4)+ VLOOKUP(P$3,$C$5:$C$16,1),COLUMN($D$4))):indirect(address(row($C$4)+ VLOOKUP(P$3,$C$5:$C$16,1),COLUMN($L$4)))&gt;indirect(address(row($C12),COLUMN($D$4))):indirect(address(row($C12),COLUMN($L$4))),TRUE()))</f>
        <v>0</v>
      </c>
      <c r="Q12" s="66">
        <f t="array" ref="Q12">if(Q$3=$C12,"-", countif(indirect(address(row($C$4)+ VLOOKUP(Q$3,$C$5:$C$16,1),COLUMN($D$4))):indirect(address(row($C$4)+ VLOOKUP(Q$3,$C$5:$C$16,1),COLUMN($L$4)))&gt;indirect(address(row($C12),COLUMN($D$4))):indirect(address(row($C12),COLUMN($L$4))),TRUE()))</f>
        <v>0</v>
      </c>
      <c r="R12" s="66">
        <f t="array" ref="R12">if(R$3=$C12,"-", countif(indirect(address(row($C$4)+ VLOOKUP(R$3,$C$5:$C$16,1),COLUMN($D$4))):indirect(address(row($C$4)+ VLOOKUP(R$3,$C$5:$C$16,1),COLUMN($L$4)))&gt;indirect(address(row($C12),COLUMN($D$4))):indirect(address(row($C12),COLUMN($L$4))),TRUE()))</f>
        <v>0</v>
      </c>
      <c r="S12" s="66">
        <f t="array" ref="S12">if(S$3=$C12,"-", countif(indirect(address(row($C$4)+ VLOOKUP(S$3,$C$5:$C$16,1),COLUMN($D$4))):indirect(address(row($C$4)+ VLOOKUP(S$3,$C$5:$C$16,1),COLUMN($L$4)))&gt;indirect(address(row($C12),COLUMN($D$4))):indirect(address(row($C12),COLUMN($L$4))),TRUE()))</f>
        <v>0</v>
      </c>
      <c r="T12" s="66">
        <f t="array" ref="T12">if(T$3=$C12,"-", countif(indirect(address(row($C$4)+ VLOOKUP(T$3,$C$5:$C$16,1),COLUMN($D$4))):indirect(address(row($C$4)+ VLOOKUP(T$3,$C$5:$C$16,1),COLUMN($L$4)))&gt;indirect(address(row($C12),COLUMN($D$4))):indirect(address(row($C12),COLUMN($L$4))),TRUE()))</f>
        <v>0</v>
      </c>
      <c r="U12" s="66">
        <f t="array" ref="U12">if(U$3=$C12,"-", countif(indirect(address(row($C$4)+ VLOOKUP(U$3,$C$5:$C$16,1),COLUMN($D$4))):indirect(address(row($C$4)+ VLOOKUP(U$3,$C$5:$C$16,1),COLUMN($L$4)))&gt;indirect(address(row($C12),COLUMN($D$4))):indirect(address(row($C12),COLUMN($L$4))),TRUE()))</f>
        <v>0</v>
      </c>
      <c r="V12" s="66">
        <f t="array" ref="V12">if(V$3=$C12,"-", countif(indirect(address(row($C$4)+ VLOOKUP(V$3,$C$5:$C$16,1),COLUMN($D$4))):indirect(address(row($C$4)+ VLOOKUP(V$3,$C$5:$C$16,1),COLUMN($L$4)))&gt;indirect(address(row($C12),COLUMN($D$4))):indirect(address(row($C12),COLUMN($L$4))),TRUE()))</f>
        <v>0</v>
      </c>
      <c r="W12" s="66">
        <f t="array" ref="W12">if(W$3=$C12,"-", countif(indirect(address(row($C$4)+ VLOOKUP(W$3,$C$5:$C$16,1),COLUMN($D$4))):indirect(address(row($C$4)+ VLOOKUP(W$3,$C$5:$C$16,1),COLUMN($L$4)))&gt;indirect(address(row($C12),COLUMN($D$4))):indirect(address(row($C12),COLUMN($L$4))),TRUE()))</f>
        <v>0</v>
      </c>
      <c r="X12" s="66">
        <f t="array" ref="X12">if(X$3=$C12,"-", countif(indirect(address(row($C$4)+ VLOOKUP(X$3,$C$5:$C$16,1),COLUMN($D$4))):indirect(address(row($C$4)+ VLOOKUP(X$3,$C$5:$C$16,1),COLUMN($L$4)))&gt;indirect(address(row($C12),COLUMN($D$4))):indirect(address(row($C12),COLUMN($L$4))),TRUE()))</f>
        <v>0</v>
      </c>
      <c r="Y12" s="66">
        <f t="array" ref="Y12">if(D$1=$C12,"-", countif(indirect(address(row($C$4)+ VLOOKUP(D$1,$C$5:$C$16,1),COLUMN($D$4))):indirect(address(row($C$4)+ VLOOKUP(D$1,$C$5:$C$16,1),COLUMN($L$4)))&gt;indirect(address(row($C12),COLUMN($D$4))):indirect(address(row($C12),COLUMN($L$4))),TRUE()))</f>
        <v>0</v>
      </c>
      <c r="Z12" s="46">
        <f>SUM(T$5:T$16)/99</f>
        <v>0</v>
      </c>
    </row>
    <row r="13">
      <c r="B13" s="65" t="b">
        <f>Draft!B11</f>
        <v>0</v>
      </c>
      <c r="C13" s="6">
        <v>9.0</v>
      </c>
      <c r="D13" s="45">
        <f>((IF(ISBLANK(Draft!C11),0,VLOOKUP(Draft!C11, 'NO USAR1'!A4:L1000,2,FALSE)+(IF(ISBLANK(Draft!D6),0,VLOOKUP(Draft!D6, 'NO USAR1'!A4:L1000,2,FALSE)+(IF(ISBLANK(Draft!E11),0,VLOOKUP(Draft!E11, 'NO USAR1'!A4:L1000,2,FALSE)+(IF(ISBLANK(Draft!F6),0,VLOOKUP(Draft!F6, 'NO USAR1'!A4:L1000,2,FALSE)+(IF(ISBLANK(Draft!G11),0,VLOOKUP(Draft!G11, 'NO USAR1'!A4:L1000,2,FALSE)+(IF(ISBLANK(Draft!H6),0,VLOOKUP(Draft!H6, 'NO USAR1'!A4:L1000,2,FALSE)+(IF(ISBLANK(Draft!I11),0,VLOOKUP(Draft!I11, 'NO USAR1'!A4:L1000,2,FALSE)+(IF(ISBLANK(Draft!J6),0,VLOOKUP(Draft!J6, 'NO USAR1'!A4:L1000,2,FALSE)+(IF(ISBLANK(Draft!K11),0,VLOOKUP(Draft!K11, 'NO USAR1'!A4:L1000,2,FALSE)+(IF(ISBLANK(Draft!L6),0,VLOOKUP(Draft!L6, 'NO USAR1'!A4:L1000,2,FALSE)+IF(ISBLANK(Draft!M11),0,VLOOKUP(Draft!M11, 'NO USAR1'!A4:L1000,2,FALSE)+IF(ISBLANK(Draft!N6),0,VLOOKUP(Draft!N6, 'NO USAR1'!A4:L1000,2,FALSE))))))))))))))))))))))))</f>
        <v>0</v>
      </c>
      <c r="E13" s="45">
        <f>((IF(ISBLANK(Draft!C11),0,VLOOKUP(Draft!C11, 'NO USAR1'!A4:L1000,3,FALSE)+(IF(ISBLANK(Draft!D6),0,VLOOKUP(Draft!D6, 'NO USAR1'!A4:L1000,3,FALSE)+(IF(ISBLANK(Draft!E11),0,VLOOKUP(Draft!E11, 'NO USAR1'!A4:L1000,3,FALSE)+(IF(ISBLANK(Draft!F6),0,VLOOKUP(Draft!F6, 'NO USAR1'!A4:L1000,3,FALSE)+(IF(ISBLANK(Draft!G11),0,VLOOKUP(Draft!G11, 'NO USAR1'!A4:L1000,3,FALSE)+(IF(ISBLANK(Draft!H6),0,VLOOKUP(Draft!H6, 'NO USAR1'!A4:L1000,3,FALSE)+(IF(ISBLANK(Draft!I11),0,VLOOKUP(Draft!I11, 'NO USAR1'!A4:L1000,3,FALSE)+(IF(ISBLANK(Draft!J6),0,VLOOKUP(Draft!J6, 'NO USAR1'!A4:L1000,3,FALSE)+(IF(ISBLANK(Draft!K11),0,VLOOKUP(Draft!K11, 'NO USAR1'!A4:L1000,3,FALSE)+(IF(ISBLANK(Draft!L6),0,VLOOKUP(Draft!L6, 'NO USAR1'!A4:L1000,3,FALSE)+IF(ISBLANK(Draft!M11),0,VLOOKUP(Draft!M11, 'NO USAR1'!A4:L1000,3,FALSE)+IF(ISBLANK(Draft!N6),0,VLOOKUP(Draft!N6, 'NO USAR1'!A4:L1000,3,FALSE))))))))))))))))))))))))</f>
        <v>0</v>
      </c>
      <c r="F13" s="45">
        <f>((IF(ISBLANK(Draft!C11),0,VLOOKUP(Draft!C11, 'NO USAR1'!A4:L1000,4,FALSE)+(IF(ISBLANK(Draft!D6),0,VLOOKUP(Draft!D6, 'NO USAR1'!A4:L1000,4,FALSE)+(IF(ISBLANK(Draft!E11),0,VLOOKUP(Draft!E11, 'NO USAR1'!A4:L1000,4,FALSE)+(IF(ISBLANK(Draft!F6),0,VLOOKUP(Draft!F6, 'NO USAR1'!A4:L1000,4,FALSE)+(IF(ISBLANK(Draft!G11),0,VLOOKUP(Draft!G11, 'NO USAR1'!A4:L1000,4,FALSE)+(IF(ISBLANK(Draft!H6),0,VLOOKUP(Draft!H6, 'NO USAR1'!A4:L1000,4,FALSE)+(IF(ISBLANK(Draft!I11),0,VLOOKUP(Draft!I11, 'NO USAR1'!A4:L1000,4,FALSE)+(IF(ISBLANK(Draft!J6),0,VLOOKUP(Draft!J6, 'NO USAR1'!A4:L1000,4,FALSE)+(IF(ISBLANK(Draft!K11),0,VLOOKUP(Draft!K11, 'NO USAR1'!A4:L1000,4,FALSE)+(IF(ISBLANK(Draft!L6),0,VLOOKUP(Draft!L6, 'NO USAR1'!A4:L1000,4,FALSE)+IF(ISBLANK(Draft!M11),0,VLOOKUP(Draft!M11, 'NO USAR1'!A4:L1000,4,FALSE)+IF(ISBLANK(Draft!N6),0,VLOOKUP(Draft!N6, 'NO USAR1'!A4:L1000,4,FALSE))))))))))))))))))))))))</f>
        <v>0</v>
      </c>
      <c r="G13" s="45">
        <f>((IF(ISBLANK(Draft!C11),0,VLOOKUP(Draft!C11, 'NO USAR1'!A4:L1000,5,FALSE)+(IF(ISBLANK(Draft!D6),0,VLOOKUP(Draft!D6, 'NO USAR1'!A4:L1000,5,FALSE)+(IF(ISBLANK(Draft!E11),0,VLOOKUP(Draft!E11, 'NO USAR1'!A4:L1000,5,FALSE)+(IF(ISBLANK(Draft!F6),0,VLOOKUP(Draft!F6, 'NO USAR1'!A4:L1000,5,FALSE)+(IF(ISBLANK(Draft!G11),0,VLOOKUP(Draft!G11, 'NO USAR1'!A4:L1000,5,FALSE)+(IF(ISBLANK(Draft!H6),0,VLOOKUP(Draft!H6, 'NO USAR1'!A4:L1000,5,FALSE)+(IF(ISBLANK(Draft!I11),0,VLOOKUP(Draft!I11, 'NO USAR1'!A4:L1000,5,FALSE)+(IF(ISBLANK(Draft!J6),0,VLOOKUP(Draft!J6, 'NO USAR1'!A4:L1000,5,FALSE)+(IF(ISBLANK(Draft!K11),0,VLOOKUP(Draft!K11, 'NO USAR1'!A4:L1000,5,FALSE)+(IF(ISBLANK(Draft!L6),0,VLOOKUP(Draft!L6, 'NO USAR1'!A4:L1000,5,FALSE)+IF(ISBLANK(Draft!M11),0,VLOOKUP(Draft!M11, 'NO USAR1'!A4:L1000,5,FALSE)+IF(ISBLANK(Draft!N6),0,VLOOKUP(Draft!N6, 'NO USAR1'!A4:L1000,5,FALSE))))))))))))))))))))))))</f>
        <v>0</v>
      </c>
      <c r="H13" s="45">
        <f>((IF(ISBLANK(Draft!C11),0,VLOOKUP(Draft!C11, 'NO USAR1'!A4:L1000,6,FALSE)+(IF(ISBLANK(Draft!D6),0,VLOOKUP(Draft!D6, 'NO USAR1'!A4:L1000,6,FALSE)+(IF(ISBLANK(Draft!E11),0,VLOOKUP(Draft!E11, 'NO USAR1'!A4:L1000,6,FALSE)+(IF(ISBLANK(Draft!F6),0,VLOOKUP(Draft!F6, 'NO USAR1'!A4:L1000,6,FALSE)+(IF(ISBLANK(Draft!G11),0,VLOOKUP(Draft!G11, 'NO USAR1'!A4:L1000,6,FALSE)+(IF(ISBLANK(Draft!H6),0,VLOOKUP(Draft!H6, 'NO USAR1'!A4:L1000,6,FALSE)+(IF(ISBLANK(Draft!I11),0,VLOOKUP(Draft!I11, 'NO USAR1'!A4:L1000,6,FALSE)+(IF(ISBLANK(Draft!J6),0,VLOOKUP(Draft!J6, 'NO USAR1'!A4:L1000,6,FALSE)+(IF(ISBLANK(Draft!K11),0,VLOOKUP(Draft!K11, 'NO USAR1'!A4:L1000,6,FALSE)+(IF(ISBLANK(Draft!L6),0,VLOOKUP(Draft!L6, 'NO USAR1'!A4:L1000,6,FALSE)+IF(ISBLANK(Draft!M11),0,VLOOKUP(Draft!M11, 'NO USAR1'!A4:L1000,6,FALSE)+IF(ISBLANK(Draft!N6),0,VLOOKUP(Draft!N6, 'NO USAR1'!A4:L1000,6,FALSE))))))))))))))))))))))))</f>
        <v>0</v>
      </c>
      <c r="I13" s="45">
        <f>((IF(ISBLANK(Draft!C11),0,VLOOKUP(Draft!C11, 'NO USAR1'!A4:L1000,7,FALSE)+(IF(ISBLANK(Draft!D6),0,VLOOKUP(Draft!D6, 'NO USAR1'!A4:L1000,7,FALSE)+(IF(ISBLANK(Draft!E11),0,VLOOKUP(Draft!E11, 'NO USAR1'!A4:L1000,7,FALSE)+(IF(ISBLANK(Draft!F6),0,VLOOKUP(Draft!F6, 'NO USAR1'!A4:L1000,7,FALSE)+(IF(ISBLANK(Draft!G11),0,VLOOKUP(Draft!G11, 'NO USAR1'!A4:L1000,7,FALSE)+(IF(ISBLANK(Draft!H6),0,VLOOKUP(Draft!H6, 'NO USAR1'!A4:L1000,7,FALSE)+(IF(ISBLANK(Draft!I11),0,VLOOKUP(Draft!I11, 'NO USAR1'!A4:L1000,7,FALSE)+(IF(ISBLANK(Draft!J6),0,VLOOKUP(Draft!J6, 'NO USAR1'!A4:L1000,7,FALSE)+(IF(ISBLANK(Draft!K11),0,VLOOKUP(Draft!K11, 'NO USAR1'!A4:L1000,7,FALSE)+(IF(ISBLANK(Draft!L6),0,VLOOKUP(Draft!L6, 'NO USAR1'!A4:L1000,7,FALSE)+IF(ISBLANK(Draft!M11),0,VLOOKUP(Draft!M11, 'NO USAR1'!A4:L1000,7,FALSE)+IF(ISBLANK(Draft!N6),0,VLOOKUP(Draft!N6, 'NO USAR1'!A4:L1000,7,FALSE))))))))))))))))))))))))</f>
        <v>0</v>
      </c>
      <c r="J13" s="45">
        <f>((IF(ISBLANK(Draft!C11),0,VLOOKUP(Draft!C11, 'NO USAR1'!A4:L1000,8,FALSE)+(IF(ISBLANK(Draft!D6),0,VLOOKUP(Draft!D6, 'NO USAR1'!A4:L1000,8,FALSE)+(IF(ISBLANK(Draft!E11),0,VLOOKUP(Draft!E11, 'NO USAR1'!A4:L1000,8,FALSE)+(IF(ISBLANK(Draft!F6),0,VLOOKUP(Draft!F6, 'NO USAR1'!A4:L1000,8,FALSE)+(IF(ISBLANK(Draft!G11),0,VLOOKUP(Draft!G11, 'NO USAR1'!A4:L1000,8,FALSE)+(IF(ISBLANK(Draft!H6),0,VLOOKUP(Draft!H6, 'NO USAR1'!A4:L1000,8,FALSE)+(IF(ISBLANK(Draft!I11),0,VLOOKUP(Draft!I11, 'NO USAR1'!A4:L1000,8,FALSE)+(IF(ISBLANK(Draft!J6),0,VLOOKUP(Draft!J6, 'NO USAR1'!A4:L1000,8,FALSE)+(IF(ISBLANK(Draft!K11),0,VLOOKUP(Draft!K11, 'NO USAR1'!A4:L1000,8,FALSE)+(IF(ISBLANK(Draft!L6),0,VLOOKUP(Draft!L6, 'NO USAR1'!A4:L1000,8,FALSE)+IF(ISBLANK(Draft!M11),0,VLOOKUP(Draft!M11, 'NO USAR1'!A4:L1000,8,FALSE)+IF(ISBLANK(Draft!N6),0,VLOOKUP(Draft!N6, 'NO USAR1'!A4:L1000,8,FALSE))))))))))))))))))))))))</f>
        <v>0</v>
      </c>
      <c r="K13" s="45">
        <f>((IF(ISBLANK(Draft!C11),0,VLOOKUP(Draft!C11, 'NO USAR1'!A4:L1000,10,FALSE)+(IF(ISBLANK(Draft!D6),0,VLOOKUP(Draft!D6, 'NO USAR1'!A4:L1000,10,FALSE)+(IF(ISBLANK(Draft!E11),0,VLOOKUP(Draft!E11, 'NO USAR1'!A4:L1000,10,FALSE)+(IF(ISBLANK(Draft!F6),0,VLOOKUP(Draft!F6, 'NO USAR1'!A4:L1000,10,FALSE)+(IF(ISBLANK(Draft!G11),0,VLOOKUP(Draft!G11, 'NO USAR1'!A4:L1000,10,FALSE)+(IF(ISBLANK(Draft!H6),0,VLOOKUP(Draft!H6, 'NO USAR1'!A4:L1000,10,FALSE)+(IF(ISBLANK(Draft!I11),0,VLOOKUP(Draft!I11, 'NO USAR1'!A4:L1000,10,FALSE)+(IF(ISBLANK(Draft!J6),0,VLOOKUP(Draft!J6, 'NO USAR1'!A4:L1000,10,FALSE)+(IF(ISBLANK(Draft!K11),0,VLOOKUP(Draft!K11, 'NO USAR1'!A4:L1000,10,FALSE)+(IF(ISBLANK(Draft!L6),0,VLOOKUP(Draft!L6, 'NO USAR1'!A4:L1000,10,FALSE)+IF(ISBLANK(Draft!M11),0,VLOOKUP(Draft!M11, 'NO USAR1'!A4:L1000,10,FALSE)+IF(ISBLANK(Draft!N6),0,VLOOKUP(Draft!N6, 'NO USAR1'!A4:L1000,10,FALSE))))))))))))))))))))))))</f>
        <v>0</v>
      </c>
      <c r="L13" s="45">
        <f>((IF(ISBLANK(Draft!C11),0,VLOOKUP(Draft!C11, 'NO USAR1'!A4:L1000,12,FALSE)+(IF(ISBLANK(Draft!D6),0,VLOOKUP(Draft!D6, 'NO USAR1'!A4:L1000,12,FALSE)+(IF(ISBLANK(Draft!E11),0,VLOOKUP(Draft!E11, 'NO USAR1'!A4:L1000,12,FALSE)+(IF(ISBLANK(Draft!F6),0,VLOOKUP(Draft!F6, 'NO USAR1'!A4:L1000,12,FALSE)+(IF(ISBLANK(Draft!G11),0,VLOOKUP(Draft!G11, 'NO USAR1'!A4:L1000,12,FALSE)+(IF(ISBLANK(Draft!H6),0,VLOOKUP(Draft!H6, 'NO USAR1'!A4:L1000,12,FALSE)+(IF(ISBLANK(Draft!I11),0,VLOOKUP(Draft!I11, 'NO USAR1'!A4:L1000,12,FALSE)+(IF(ISBLANK(Draft!J6),0,VLOOKUP(Draft!J6, 'NO USAR1'!A4:L1000,12,FALSE)+(IF(ISBLANK(Draft!K11),0,VLOOKUP(Draft!K11, 'NO USAR1'!A4:L1000,12,FALSE)+(IF(ISBLANK(Draft!L6),0,VLOOKUP(Draft!L6, 'NO USAR1'!A4:L1000,12,FALSE)+IF(ISBLANK(Draft!M11),0,VLOOKUP(Draft!M11, 'NO USAR1'!A4:L1000,12,FALSE)+IF(ISBLANK(Draft!N6),0,VLOOKUP(Draft!N6, 'NO USAR1'!A4:L1000,12,FALSE))))))))))))))))))))))))</f>
        <v>0</v>
      </c>
      <c r="M13" s="66">
        <f t="array" ref="M13">if(M$3=$C13,"-", countif(indirect(address(row($C$4)+ VLOOKUP(M$3,$C$5:$C$16,1),COLUMN($D$4))):indirect(address(row($C$4)+ VLOOKUP(M$3,$C$5:$C$16,1),COLUMN($L$4)))&gt;indirect(address(row($C13),COLUMN($D$4))):indirect(address(row($C13),COLUMN($L$4))),TRUE()))</f>
        <v>0</v>
      </c>
      <c r="N13" s="66">
        <f t="array" ref="N13">if(N$3=$C13,"-", countif(indirect(address(row($C$4)+ VLOOKUP(N$3,$C$5:$C$16,1),COLUMN($D$4))):indirect(address(row($C$4)+ VLOOKUP(N$3,$C$5:$C$16,1),COLUMN($L$4)))&gt;indirect(address(row($C13),COLUMN($D$4))):indirect(address(row($C13),COLUMN($L$4))),TRUE()))</f>
        <v>0</v>
      </c>
      <c r="O13" s="66">
        <f t="array" ref="O13">if(O$3=$C13,"-", countif(indirect(address(row($C$4)+ VLOOKUP(O$3,$C$5:$C$16,1),COLUMN($D$4))):indirect(address(row($C$4)+ VLOOKUP(O$3,$C$5:$C$16,1),COLUMN($L$4)))&gt;indirect(address(row($C13),COLUMN($D$4))):indirect(address(row($C13),COLUMN($L$4))),TRUE()))</f>
        <v>0</v>
      </c>
      <c r="P13" s="66">
        <f t="array" ref="P13">if(P$3=$C13,"-", countif(indirect(address(row($C$4)+ VLOOKUP(P$3,$C$5:$C$16,1),COLUMN($D$4))):indirect(address(row($C$4)+ VLOOKUP(P$3,$C$5:$C$16,1),COLUMN($L$4)))&gt;indirect(address(row($C13),COLUMN($D$4))):indirect(address(row($C13),COLUMN($L$4))),TRUE()))</f>
        <v>0</v>
      </c>
      <c r="Q13" s="66">
        <f t="array" ref="Q13">if(Q$3=$C13,"-", countif(indirect(address(row($C$4)+ VLOOKUP(Q$3,$C$5:$C$16,1),COLUMN($D$4))):indirect(address(row($C$4)+ VLOOKUP(Q$3,$C$5:$C$16,1),COLUMN($L$4)))&gt;indirect(address(row($C13),COLUMN($D$4))):indirect(address(row($C13),COLUMN($L$4))),TRUE()))</f>
        <v>0</v>
      </c>
      <c r="R13" s="66">
        <f t="array" ref="R13">if(R$3=$C13,"-", countif(indirect(address(row($C$4)+ VLOOKUP(R$3,$C$5:$C$16,1),COLUMN($D$4))):indirect(address(row($C$4)+ VLOOKUP(R$3,$C$5:$C$16,1),COLUMN($L$4)))&gt;indirect(address(row($C13),COLUMN($D$4))):indirect(address(row($C13),COLUMN($L$4))),TRUE()))</f>
        <v>0</v>
      </c>
      <c r="S13" s="66">
        <f t="array" ref="S13">if(S$3=$C13,"-", countif(indirect(address(row($C$4)+ VLOOKUP(S$3,$C$5:$C$16,1),COLUMN($D$4))):indirect(address(row($C$4)+ VLOOKUP(S$3,$C$5:$C$16,1),COLUMN($L$4)))&gt;indirect(address(row($C13),COLUMN($D$4))):indirect(address(row($C13),COLUMN($L$4))),TRUE()))</f>
        <v>0</v>
      </c>
      <c r="T13" s="66">
        <f t="array" ref="T13">if(T$3=$C13,"-", countif(indirect(address(row($C$4)+ VLOOKUP(T$3,$C$5:$C$16,1),COLUMN($D$4))):indirect(address(row($C$4)+ VLOOKUP(T$3,$C$5:$C$16,1),COLUMN($L$4)))&gt;indirect(address(row($C13),COLUMN($D$4))):indirect(address(row($C13),COLUMN($L$4))),TRUE()))</f>
        <v>0</v>
      </c>
      <c r="U13" s="66">
        <f t="array" ref="U13">if(U$3=$C13,"-", countif(indirect(address(row($C$4)+ VLOOKUP(U$3,$C$5:$C$16,1),COLUMN($D$4))):indirect(address(row($C$4)+ VLOOKUP(U$3,$C$5:$C$16,1),COLUMN($L$4)))&gt;indirect(address(row($C13),COLUMN($D$4))):indirect(address(row($C13),COLUMN($L$4))),TRUE()))</f>
        <v>0</v>
      </c>
      <c r="V13" s="66">
        <f t="array" ref="V13">if(V$3=$C13,"-", countif(indirect(address(row($C$4)+ VLOOKUP(V$3,$C$5:$C$16,1),COLUMN($D$4))):indirect(address(row($C$4)+ VLOOKUP(V$3,$C$5:$C$16,1),COLUMN($L$4)))&gt;indirect(address(row($C13),COLUMN($D$4))):indirect(address(row($C13),COLUMN($L$4))),TRUE()))</f>
        <v>0</v>
      </c>
      <c r="W13" s="66">
        <f t="array" ref="W13">if(W$3=$C13,"-", countif(indirect(address(row($C$4)+ VLOOKUP(W$3,$C$5:$C$16,1),COLUMN($D$4))):indirect(address(row($C$4)+ VLOOKUP(W$3,$C$5:$C$16,1),COLUMN($L$4)))&gt;indirect(address(row($C13),COLUMN($D$4))):indirect(address(row($C13),COLUMN($L$4))),TRUE()))</f>
        <v>0</v>
      </c>
      <c r="X13" s="66">
        <f t="array" ref="X13">if(X$3=$C13,"-", countif(indirect(address(row($C$4)+ VLOOKUP(X$3,$C$5:$C$16,1),COLUMN($D$4))):indirect(address(row($C$4)+ VLOOKUP(X$3,$C$5:$C$16,1),COLUMN($L$4)))&gt;indirect(address(row($C13),COLUMN($D$4))):indirect(address(row($C13),COLUMN($L$4))),TRUE()))</f>
        <v>0</v>
      </c>
      <c r="Y13" s="66">
        <f t="array" ref="Y13">if(D$1=$C13,"-", countif(indirect(address(row($C$4)+ VLOOKUP(D$1,$C$5:$C$16,1),COLUMN($D$4))):indirect(address(row($C$4)+ VLOOKUP(D$1,$C$5:$C$16,1),COLUMN($L$4)))&gt;indirect(address(row($C13),COLUMN($D$4))):indirect(address(row($C13),COLUMN($L$4))),TRUE()))</f>
        <v>0</v>
      </c>
      <c r="Z13" s="46">
        <f>SUM(U$5:U$16)/99</f>
        <v>0</v>
      </c>
    </row>
    <row r="14">
      <c r="B14" s="65" t="b">
        <f>Draft!B12</f>
        <v>0</v>
      </c>
      <c r="C14" s="6">
        <v>10.0</v>
      </c>
      <c r="D14" s="45">
        <f>((IF(ISBLANK(Draft!C12),0,VLOOKUP(Draft!C12, 'NO USAR1'!A4:L1000,2,FALSE)+(IF(ISBLANK(Draft!D5),0,VLOOKUP(Draft!D5, 'NO USAR1'!A4:L1000,2,FALSE)+(IF(ISBLANK(Draft!E12),0,VLOOKUP(Draft!E12, 'NO USAR1'!A4:L1000,2,FALSE)+(IF(ISBLANK(Draft!F5),0,VLOOKUP(Draft!F5, 'NO USAR1'!A4:L1000,2,FALSE)+(IF(ISBLANK(Draft!G12),0,VLOOKUP(Draft!G12, 'NO USAR1'!A4:L1000,2,FALSE)+(IF(ISBLANK(Draft!H5),0,VLOOKUP(Draft!H5, 'NO USAR1'!A4:L1000,2,FALSE)+(IF(ISBLANK(Draft!I12),0,VLOOKUP(Draft!I12, 'NO USAR1'!A4:L1000,2,FALSE)+(IF(ISBLANK(Draft!J5),0,VLOOKUP(Draft!J5, 'NO USAR1'!A4:L1000,2,FALSE)+(IF(ISBLANK(Draft!K12),0,VLOOKUP(Draft!K12, 'NO USAR1'!A4:L1000,2,FALSE)+(IF(ISBLANK(Draft!L5),0,VLOOKUP(Draft!L5, 'NO USAR1'!A4:L1000,2,FALSE)+IF(ISBLANK(Draft!M12),0,VLOOKUP(Draft!M12, 'NO USAR1'!A4:L1000,2,FALSE)+IF(ISBLANK(Draft!N5),0,VLOOKUP(Draft!N5, 'NO USAR1'!A4:L1000,2,FALSE))))))))))))))))))))))))</f>
        <v>0</v>
      </c>
      <c r="E14" s="45">
        <f>((IF(ISBLANK(Draft!C12),0,VLOOKUP(Draft!C12, 'NO USAR1'!A4:L1000,3,FALSE)+(IF(ISBLANK(Draft!D5),0,VLOOKUP(Draft!D5, 'NO USAR1'!A4:L1000,3,FALSE)+(IF(ISBLANK(Draft!E12),0,VLOOKUP(Draft!E12, 'NO USAR1'!A4:L1000,3,FALSE)+(IF(ISBLANK(Draft!F5),0,VLOOKUP(Draft!F5, 'NO USAR1'!A4:L1000,3,FALSE)+(IF(ISBLANK(Draft!G12),0,VLOOKUP(Draft!G12, 'NO USAR1'!A4:L1000,3,FALSE)+(IF(ISBLANK(Draft!H5),0,VLOOKUP(Draft!H5, 'NO USAR1'!A4:L1000,3,FALSE)+(IF(ISBLANK(Draft!I12),0,VLOOKUP(Draft!I12, 'NO USAR1'!A4:L1000,3,FALSE)+(IF(ISBLANK(Draft!J5),0,VLOOKUP(Draft!J5, 'NO USAR1'!A4:L1000,3,FALSE)+(IF(ISBLANK(Draft!K12),0,VLOOKUP(Draft!K12, 'NO USAR1'!A4:L1000,3,FALSE)+(IF(ISBLANK(Draft!L5),0,VLOOKUP(Draft!L5, 'NO USAR1'!A4:L1000,3,FALSE)+IF(ISBLANK(Draft!M12),0,VLOOKUP(Draft!M12, 'NO USAR1'!A4:L1000,3,FALSE)+IF(ISBLANK(Draft!N5),0,VLOOKUP(Draft!N5, 'NO USAR1'!A4:L1000,3,FALSE))))))))))))))))))))))))</f>
        <v>0</v>
      </c>
      <c r="F14" s="45">
        <f>((IF(ISBLANK(Draft!C12),0,VLOOKUP(Draft!C12, 'NO USAR1'!A4:L1000,4,FALSE)+(IF(ISBLANK(Draft!D5),0,VLOOKUP(Draft!D5, 'NO USAR1'!A4:L1000,4,FALSE)+(IF(ISBLANK(Draft!E12),0,VLOOKUP(Draft!E12, 'NO USAR1'!A4:L1000,4,FALSE)+(IF(ISBLANK(Draft!F5),0,VLOOKUP(Draft!F5, 'NO USAR1'!A4:L1000,4,FALSE)+(IF(ISBLANK(Draft!G12),0,VLOOKUP(Draft!G12, 'NO USAR1'!A4:L1000,4,FALSE)+(IF(ISBLANK(Draft!H5),0,VLOOKUP(Draft!H5, 'NO USAR1'!A4:L1000,4,FALSE)+(IF(ISBLANK(Draft!I12),0,VLOOKUP(Draft!I12, 'NO USAR1'!A4:L1000,4,FALSE)+(IF(ISBLANK(Draft!J5),0,VLOOKUP(Draft!J5, 'NO USAR1'!A4:L1000,4,FALSE)+(IF(ISBLANK(Draft!K12),0,VLOOKUP(Draft!K12, 'NO USAR1'!A4:L1000,4,FALSE)+(IF(ISBLANK(Draft!L5),0,VLOOKUP(Draft!L5, 'NO USAR1'!A4:L1000,4,FALSE)+IF(ISBLANK(Draft!M12),0,VLOOKUP(Draft!M12, 'NO USAR1'!A4:L1000,4,FALSE)+IF(ISBLANK(Draft!N5),0,VLOOKUP(Draft!N5, 'NO USAR1'!A4:L1000,4,FALSE))))))))))))))))))))))))</f>
        <v>0</v>
      </c>
      <c r="G14" s="45">
        <f>((IF(ISBLANK(Draft!C12),0,VLOOKUP(Draft!C12, 'NO USAR1'!A4:L1000,5,FALSE)+(IF(ISBLANK(Draft!D5),0,VLOOKUP(Draft!D5, 'NO USAR1'!A4:L1000,5,FALSE)+(IF(ISBLANK(Draft!E12),0,VLOOKUP(Draft!E12, 'NO USAR1'!A4:L1000,5,FALSE)+(IF(ISBLANK(Draft!F5),0,VLOOKUP(Draft!F5, 'NO USAR1'!A4:L1000,5,FALSE)+(IF(ISBLANK(Draft!G12),0,VLOOKUP(Draft!G12, 'NO USAR1'!A4:L1000,5,FALSE)+(IF(ISBLANK(Draft!H5),0,VLOOKUP(Draft!H5, 'NO USAR1'!A4:L1000,5,FALSE)+(IF(ISBLANK(Draft!I12),0,VLOOKUP(Draft!I12, 'NO USAR1'!A4:L1000,5,FALSE)+(IF(ISBLANK(Draft!J5),0,VLOOKUP(Draft!J5, 'NO USAR1'!A4:L1000,5,FALSE)+(IF(ISBLANK(Draft!K12),0,VLOOKUP(Draft!K12, 'NO USAR1'!A4:L1000,5,FALSE)+(IF(ISBLANK(Draft!L5),0,VLOOKUP(Draft!L5, 'NO USAR1'!A4:L1000,5,FALSE)+IF(ISBLANK(Draft!M12),0,VLOOKUP(Draft!M12, 'NO USAR1'!A4:L1000,5,FALSE)+IF(ISBLANK(Draft!N5),0,VLOOKUP(Draft!N5, 'NO USAR1'!A4:L1000,5,FALSE))))))))))))))))))))))))</f>
        <v>0</v>
      </c>
      <c r="H14" s="45">
        <f>((IF(ISBLANK(Draft!C12),0,VLOOKUP(Draft!C12, 'NO USAR1'!A4:L1000,6,FALSE)+(IF(ISBLANK(Draft!D5),0,VLOOKUP(Draft!D5, 'NO USAR1'!A4:L1000,6,FALSE)+(IF(ISBLANK(Draft!E12),0,VLOOKUP(Draft!E12, 'NO USAR1'!A4:L1000,6,FALSE)+(IF(ISBLANK(Draft!F5),0,VLOOKUP(Draft!F5, 'NO USAR1'!A4:L1000,6,FALSE)+(IF(ISBLANK(Draft!G12),0,VLOOKUP(Draft!G12, 'NO USAR1'!A4:L1000,6,FALSE)+(IF(ISBLANK(Draft!H5),0,VLOOKUP(Draft!H5, 'NO USAR1'!A4:L1000,6,FALSE)+(IF(ISBLANK(Draft!I12),0,VLOOKUP(Draft!I12, 'NO USAR1'!A4:L1000,6,FALSE)+(IF(ISBLANK(Draft!J5),0,VLOOKUP(Draft!J5, 'NO USAR1'!A4:L1000,6,FALSE)+(IF(ISBLANK(Draft!K12),0,VLOOKUP(Draft!K12, 'NO USAR1'!A4:L1000,6,FALSE)+(IF(ISBLANK(Draft!L5),0,VLOOKUP(Draft!L5, 'NO USAR1'!A4:L1000,6,FALSE)+IF(ISBLANK(Draft!M12),0,VLOOKUP(Draft!M12, 'NO USAR1'!A4:L1000,6,FALSE)+IF(ISBLANK(Draft!N5),0,VLOOKUP(Draft!N5, 'NO USAR1'!A4:L1000,6,FALSE))))))))))))))))))))))))</f>
        <v>0</v>
      </c>
      <c r="I14" s="45">
        <f>((IF(ISBLANK(Draft!C12),0,VLOOKUP(Draft!C12, 'NO USAR1'!A4:L1000,7,FALSE)+(IF(ISBLANK(Draft!D5),0,VLOOKUP(Draft!D5, 'NO USAR1'!A4:L1000,7,FALSE)+(IF(ISBLANK(Draft!E12),0,VLOOKUP(Draft!E12, 'NO USAR1'!A4:L1000,7,FALSE)+(IF(ISBLANK(Draft!F5),0,VLOOKUP(Draft!F5, 'NO USAR1'!A4:L1000,7,FALSE)+(IF(ISBLANK(Draft!G12),0,VLOOKUP(Draft!G12, 'NO USAR1'!A4:L1000,7,FALSE)+(IF(ISBLANK(Draft!H5),0,VLOOKUP(Draft!H5, 'NO USAR1'!A4:L1000,7,FALSE)+(IF(ISBLANK(Draft!I12),0,VLOOKUP(Draft!I12, 'NO USAR1'!A4:L1000,7,FALSE)+(IF(ISBLANK(Draft!J5),0,VLOOKUP(Draft!J5, 'NO USAR1'!A4:L1000,7,FALSE)+(IF(ISBLANK(Draft!K12),0,VLOOKUP(Draft!K12, 'NO USAR1'!A4:L1000,7,FALSE)+(IF(ISBLANK(Draft!L5),0,VLOOKUP(Draft!L5, 'NO USAR1'!A4:L1000,7,FALSE)+IF(ISBLANK(Draft!M12),0,VLOOKUP(Draft!M12, 'NO USAR1'!A4:L1000,7,FALSE)+IF(ISBLANK(Draft!N5),0,VLOOKUP(Draft!N5, 'NO USAR1'!A4:L1000,7,FALSE))))))))))))))))))))))))</f>
        <v>0</v>
      </c>
      <c r="J14" s="45">
        <f>((IF(ISBLANK(Draft!C12),0,VLOOKUP(Draft!C12, 'NO USAR1'!A4:L1000,8,FALSE)+(IF(ISBLANK(Draft!D5),0,VLOOKUP(Draft!D5, 'NO USAR1'!A4:L1000,8,FALSE)+(IF(ISBLANK(Draft!E12),0,VLOOKUP(Draft!E12, 'NO USAR1'!A4:L1000,8,FALSE)+(IF(ISBLANK(Draft!F5),0,VLOOKUP(Draft!F5, 'NO USAR1'!A4:L1000,8,FALSE)+(IF(ISBLANK(Draft!G12),0,VLOOKUP(Draft!G12, 'NO USAR1'!A4:L1000,8,FALSE)+(IF(ISBLANK(Draft!H5),0,VLOOKUP(Draft!H5, 'NO USAR1'!A4:L1000,8,FALSE)+(IF(ISBLANK(Draft!I12),0,VLOOKUP(Draft!I12, 'NO USAR1'!A4:L1000,8,FALSE)+(IF(ISBLANK(Draft!J5),0,VLOOKUP(Draft!J5, 'NO USAR1'!A4:L1000,8,FALSE)+(IF(ISBLANK(Draft!K12),0,VLOOKUP(Draft!K12, 'NO USAR1'!A4:L1000,8,FALSE)+(IF(ISBLANK(Draft!L5),0,VLOOKUP(Draft!L5, 'NO USAR1'!A4:L1000,8,FALSE)+IF(ISBLANK(Draft!M12),0,VLOOKUP(Draft!M12, 'NO USAR1'!A4:L1000,8,FALSE)+IF(ISBLANK(Draft!N5),0,VLOOKUP(Draft!N5, 'NO USAR1'!A4:L1000,8,FALSE))))))))))))))))))))))))</f>
        <v>0</v>
      </c>
      <c r="K14" s="45">
        <f>((IF(ISBLANK(Draft!C12),0,VLOOKUP(Draft!C12, 'NO USAR1'!A4:L1000,10,FALSE)+(IF(ISBLANK(Draft!D5),0,VLOOKUP(Draft!D5, 'NO USAR1'!A4:L1000,10,FALSE)+(IF(ISBLANK(Draft!E12),0,VLOOKUP(Draft!E12, 'NO USAR1'!A4:L1000,10,FALSE)+(IF(ISBLANK(Draft!F5),0,VLOOKUP(Draft!F5, 'NO USAR1'!A4:L1000,10,FALSE)+(IF(ISBLANK(Draft!G12),0,VLOOKUP(Draft!G12, 'NO USAR1'!A4:L1000,10,FALSE)+(IF(ISBLANK(Draft!H5),0,VLOOKUP(Draft!H5, 'NO USAR1'!A4:L1000,10,FALSE)+(IF(ISBLANK(Draft!I12),0,VLOOKUP(Draft!I12, 'NO USAR1'!A4:L1000,10,FALSE)+(IF(ISBLANK(Draft!J5),0,VLOOKUP(Draft!J5, 'NO USAR1'!A4:L1000,10,FALSE)+(IF(ISBLANK(Draft!K12),0,VLOOKUP(Draft!K12, 'NO USAR1'!A4:L1000,10,FALSE)+(IF(ISBLANK(Draft!L5),0,VLOOKUP(Draft!L5, 'NO USAR1'!A4:L1000,10,FALSE)+IF(ISBLANK(Draft!M12),0,VLOOKUP(Draft!M12, 'NO USAR1'!A4:L1000,10,FALSE)+IF(ISBLANK(Draft!N5),0,VLOOKUP(Draft!N5, 'NO USAR1'!A4:L1000,7,FALSE))))))))))))))))))))))))</f>
        <v>0</v>
      </c>
      <c r="L14" s="45">
        <f>((IF(ISBLANK(Draft!C12),0,VLOOKUP(Draft!C12, 'NO USAR1'!A4:L1000,12,FALSE)+(IF(ISBLANK(Draft!D5),0,VLOOKUP(Draft!D5, 'NO USAR1'!A4:L1000,12,FALSE)+(IF(ISBLANK(Draft!E12),0,VLOOKUP(Draft!E12, 'NO USAR1'!A4:L1000,12,FALSE)+(IF(ISBLANK(Draft!F5),0,VLOOKUP(Draft!F5, 'NO USAR1'!A4:L1000,12,FALSE)+(IF(ISBLANK(Draft!G12),0,VLOOKUP(Draft!G12, 'NO USAR1'!A4:L1000,12,FALSE)+(IF(ISBLANK(Draft!H5),0,VLOOKUP(Draft!H5, 'NO USAR1'!A4:L1000,12,FALSE)+(IF(ISBLANK(Draft!I12),0,VLOOKUP(Draft!I12, 'NO USAR1'!A4:L1000,12,FALSE)+(IF(ISBLANK(Draft!J5),0,VLOOKUP(Draft!J5, 'NO USAR1'!A4:L1000,12,FALSE)+(IF(ISBLANK(Draft!K12),0,VLOOKUP(Draft!K12, 'NO USAR1'!A4:L1000,12,FALSE)+(IF(ISBLANK(Draft!L5),0,VLOOKUP(Draft!L5, 'NO USAR1'!A4:L1000,12,FALSE)+IF(ISBLANK(Draft!M12),0,VLOOKUP(Draft!M12, 'NO USAR1'!A4:L1000,12,FALSE)+IF(ISBLANK(Draft!N5),0,VLOOKUP(Draft!N5, 'NO USAR1'!A4:L1000,12,FALSE))))))))))))))))))))))))</f>
        <v>0</v>
      </c>
      <c r="M14" s="66">
        <f t="array" ref="M14">if(M$3=$C14,"-", countif(indirect(address(row($C$4)+ VLOOKUP(M$3,$C$5:$C$16,1),COLUMN($D$4))):indirect(address(row($C$4)+ VLOOKUP(M$3,$C$5:$C$16,1),COLUMN($L$4)))&gt;indirect(address(row($C14),COLUMN($D$4))):indirect(address(row($C14),COLUMN($L$4))),TRUE()))</f>
        <v>0</v>
      </c>
      <c r="N14" s="66">
        <f t="array" ref="N14">if(N$3=$C14,"-", countif(indirect(address(row($C$4)+ VLOOKUP(N$3,$C$5:$C$16,1),COLUMN($D$4))):indirect(address(row($C$4)+ VLOOKUP(N$3,$C$5:$C$16,1),COLUMN($L$4)))&gt;indirect(address(row($C14),COLUMN($D$4))):indirect(address(row($C14),COLUMN($L$4))),TRUE()))</f>
        <v>0</v>
      </c>
      <c r="O14" s="66">
        <f t="array" ref="O14">if(O$3=$C14,"-", countif(indirect(address(row($C$4)+ VLOOKUP(O$3,$C$5:$C$16,1),COLUMN($D$4))):indirect(address(row($C$4)+ VLOOKUP(O$3,$C$5:$C$16,1),COLUMN($L$4)))&gt;indirect(address(row($C14),COLUMN($D$4))):indirect(address(row($C14),COLUMN($L$4))),TRUE()))</f>
        <v>0</v>
      </c>
      <c r="P14" s="66">
        <f t="array" ref="P14">if(P$3=$C14,"-", countif(indirect(address(row($C$4)+ VLOOKUP(P$3,$C$5:$C$16,1),COLUMN($D$4))):indirect(address(row($C$4)+ VLOOKUP(P$3,$C$5:$C$16,1),COLUMN($L$4)))&gt;indirect(address(row($C14),COLUMN($D$4))):indirect(address(row($C14),COLUMN($L$4))),TRUE()))</f>
        <v>0</v>
      </c>
      <c r="Q14" s="66">
        <f t="array" ref="Q14">if(Q$3=$C14,"-", countif(indirect(address(row($C$4)+ VLOOKUP(Q$3,$C$5:$C$16,1),COLUMN($D$4))):indirect(address(row($C$4)+ VLOOKUP(Q$3,$C$5:$C$16,1),COLUMN($L$4)))&gt;indirect(address(row($C14),COLUMN($D$4))):indirect(address(row($C14),COLUMN($L$4))),TRUE()))</f>
        <v>0</v>
      </c>
      <c r="R14" s="66">
        <f t="array" ref="R14">if(R$3=$C14,"-", countif(indirect(address(row($C$4)+ VLOOKUP(R$3,$C$5:$C$16,1),COLUMN($D$4))):indirect(address(row($C$4)+ VLOOKUP(R$3,$C$5:$C$16,1),COLUMN($L$4)))&gt;indirect(address(row($C14),COLUMN($D$4))):indirect(address(row($C14),COLUMN($L$4))),TRUE()))</f>
        <v>0</v>
      </c>
      <c r="S14" s="66">
        <f t="array" ref="S14">if(S$3=$C14,"-", countif(indirect(address(row($C$4)+ VLOOKUP(S$3,$C$5:$C$16,1),COLUMN($D$4))):indirect(address(row($C$4)+ VLOOKUP(S$3,$C$5:$C$16,1),COLUMN($L$4)))&gt;indirect(address(row($C14),COLUMN($D$4))):indirect(address(row($C14),COLUMN($L$4))),TRUE()))</f>
        <v>0</v>
      </c>
      <c r="T14" s="66">
        <f t="array" ref="T14">if(T$3=$C14,"-", countif(indirect(address(row($C$4)+ VLOOKUP(T$3,$C$5:$C$16,1),COLUMN($D$4))):indirect(address(row($C$4)+ VLOOKUP(T$3,$C$5:$C$16,1),COLUMN($L$4)))&gt;indirect(address(row($C14),COLUMN($D$4))):indirect(address(row($C14),COLUMN($L$4))),TRUE()))</f>
        <v>0</v>
      </c>
      <c r="U14" s="66">
        <f t="array" ref="U14">if(U$3=$C14,"-", countif(indirect(address(row($C$4)+ VLOOKUP(U$3,$C$5:$C$16,1),COLUMN($D$4))):indirect(address(row($C$4)+ VLOOKUP(U$3,$C$5:$C$16,1),COLUMN($L$4)))&gt;indirect(address(row($C14),COLUMN($D$4))):indirect(address(row($C14),COLUMN($L$4))),TRUE()))</f>
        <v>0</v>
      </c>
      <c r="V14" s="66">
        <f t="array" ref="V14">if(V$3=$C14,"-", countif(indirect(address(row($C$4)+ VLOOKUP(V$3,$C$5:$C$16,1),COLUMN($D$4))):indirect(address(row($C$4)+ VLOOKUP(V$3,$C$5:$C$16,1),COLUMN($L$4)))&gt;indirect(address(row($C14),COLUMN($D$4))):indirect(address(row($C14),COLUMN($L$4))),TRUE()))</f>
        <v>0</v>
      </c>
      <c r="W14" s="66">
        <f t="array" ref="W14">if(W$3=$C14,"-", countif(indirect(address(row($C$4)+ VLOOKUP(W$3,$C$5:$C$16,1),COLUMN($D$4))):indirect(address(row($C$4)+ VLOOKUP(W$3,$C$5:$C$16,1),COLUMN($L$4)))&gt;indirect(address(row($C14),COLUMN($D$4))):indirect(address(row($C14),COLUMN($L$4))),TRUE()))</f>
        <v>0</v>
      </c>
      <c r="X14" s="66">
        <f t="array" ref="X14">if(X$3=$C14,"-", countif(indirect(address(row($C$4)+ VLOOKUP(X$3,$C$5:$C$16,1),COLUMN($D$4))):indirect(address(row($C$4)+ VLOOKUP(X$3,$C$5:$C$16,1),COLUMN($L$4)))&gt;indirect(address(row($C14),COLUMN($D$4))):indirect(address(row($C14),COLUMN($L$4))),TRUE()))</f>
        <v>0</v>
      </c>
      <c r="Y14" s="66">
        <f t="array" ref="Y14">if(D$1=$C14,"-", countif(indirect(address(row($C$4)+ VLOOKUP(D$1,$C$5:$C$16,1),COLUMN($D$4))):indirect(address(row($C$4)+ VLOOKUP(D$1,$C$5:$C$16,1),COLUMN($L$4)))&gt;indirect(address(row($C14),COLUMN($D$4))):indirect(address(row($C14),COLUMN($L$4))),TRUE()))</f>
        <v>0</v>
      </c>
      <c r="Z14" s="46">
        <f>SUM(V$5:V$16)/99</f>
        <v>0</v>
      </c>
    </row>
    <row r="15">
      <c r="B15" s="65" t="b">
        <f>Draft!B13</f>
        <v>0</v>
      </c>
      <c r="C15" s="6">
        <v>11.0</v>
      </c>
      <c r="D15" s="45">
        <f>((IF(ISBLANK(Draft!C13),0,VLOOKUP(Draft!C13, 'NO USAR1'!A4:L1000,2,FALSE)+(IF(ISBLANK(Draft!D4),0,VLOOKUP(Draft!D4, 'NO USAR1'!A4:L1000,2,FALSE)+(IF(ISBLANK(Draft!E13),0,VLOOKUP(Draft!E13, 'NO USAR1'!A4:L1000,2,FALSE)+(IF(ISBLANK(Draft!F4),0,VLOOKUP(Draft!F4, 'NO USAR1'!A4:L1000,2,FALSE)+(IF(ISBLANK(Draft!G13),0,VLOOKUP(Draft!G13, 'NO USAR1'!A4:L1000,2,FALSE)+(IF(ISBLANK(Draft!H4),0,VLOOKUP(Draft!H4, 'NO USAR1'!A4:L1000,2,FALSE)+(IF(ISBLANK(Draft!I13),0,VLOOKUP(Draft!I13, 'NO USAR1'!A4:L1000,2,FALSE)+(IF(ISBLANK(Draft!J4),0,VLOOKUP(Draft!J4, 'NO USAR1'!A4:L1000,2,FALSE)+(IF(ISBLANK(Draft!K13),0,VLOOKUP(Draft!K13, 'NO USAR1'!A4:L1000,2,FALSE)+(IF(ISBLANK(Draft!L4),0,VLOOKUP(Draft!L4, 'NO USAR1'!A4:L1000,2,FALSE)+IF(ISBLANK(Draft!M13),0,VLOOKUP(Draft!M13, 'NO USAR1'!A4:L1000,2,FALSE)+IF(ISBLANK(Draft!N4),0,VLOOKUP(Draft!N4, 'NO USAR1'!A4:L1000,2,FALSE))))))))))))))))))))))))</f>
        <v>0</v>
      </c>
      <c r="E15" s="45">
        <f>((IF(ISBLANK(Draft!C13),0,VLOOKUP(Draft!C13, 'NO USAR1'!A4:L1000,3,FALSE)+(IF(ISBLANK(Draft!D4),0,VLOOKUP(Draft!D4, 'NO USAR1'!A4:L1000,3,FALSE)+(IF(ISBLANK(Draft!E13),0,VLOOKUP(Draft!E13, 'NO USAR1'!A4:L1000,3,FALSE)+(IF(ISBLANK(Draft!F4),0,VLOOKUP(Draft!F4, 'NO USAR1'!A4:L1000,3,FALSE)+(IF(ISBLANK(Draft!G13),0,VLOOKUP(Draft!G13, 'NO USAR1'!A4:L1000,3,FALSE)+(IF(ISBLANK(Draft!H4),0,VLOOKUP(Draft!H4, 'NO USAR1'!A4:L1000,3,FALSE)+(IF(ISBLANK(Draft!I13),0,VLOOKUP(Draft!I13, 'NO USAR1'!A4:L1000,3,FALSE)+(IF(ISBLANK(Draft!J4),0,VLOOKUP(Draft!J4, 'NO USAR1'!A4:L1000,3,FALSE)+(IF(ISBLANK(Draft!K13),0,VLOOKUP(Draft!K13, 'NO USAR1'!A4:L1000,3,FALSE)+(IF(ISBLANK(Draft!L4),0,VLOOKUP(Draft!L4, 'NO USAR1'!A4:L1000,3,FALSE)+IF(ISBLANK(Draft!M13),0,VLOOKUP(Draft!M13, 'NO USAR1'!A4:L1000,3,FALSE)+IF(ISBLANK(Draft!N4),0,VLOOKUP(Draft!N4, 'NO USAR1'!A4:L1000,3,FALSE))))))))))))))))))))))))</f>
        <v>0</v>
      </c>
      <c r="F15" s="45">
        <f>((IF(ISBLANK(Draft!C13),0,VLOOKUP(Draft!C13, 'NO USAR1'!A4:L1000,4,FALSE)+(IF(ISBLANK(Draft!D4),0,VLOOKUP(Draft!D4, 'NO USAR1'!A4:L1000,4,FALSE)+(IF(ISBLANK(Draft!E13),0,VLOOKUP(Draft!E13, 'NO USAR1'!A4:L1000,4,FALSE)+(IF(ISBLANK(Draft!F4),0,VLOOKUP(Draft!F4, 'NO USAR1'!A4:L1000,4,FALSE)+(IF(ISBLANK(Draft!G13),0,VLOOKUP(Draft!G13, 'NO USAR1'!A4:L1000,4,FALSE)+(IF(ISBLANK(Draft!H4),0,VLOOKUP(Draft!H4, 'NO USAR1'!A4:L1000,4,FALSE)+(IF(ISBLANK(Draft!I13),0,VLOOKUP(Draft!I13, 'NO USAR1'!A4:L1000,4,FALSE)+(IF(ISBLANK(Draft!J4),0,VLOOKUP(Draft!J4, 'NO USAR1'!A4:L1000,4,FALSE)+(IF(ISBLANK(Draft!K13),0,VLOOKUP(Draft!K13, 'NO USAR1'!A4:L1000,4,FALSE)+(IF(ISBLANK(Draft!L4),0,VLOOKUP(Draft!L4, 'NO USAR1'!A4:L1000,4,FALSE)+IF(ISBLANK(Draft!M13),0,VLOOKUP(Draft!M13, 'NO USAR1'!A4:L1000,4,FALSE)+IF(ISBLANK(Draft!N4),0,VLOOKUP(Draft!N4, 'NO USAR1'!A4:L1000,4,FALSE))))))))))))))))))))))))</f>
        <v>0</v>
      </c>
      <c r="G15" s="45">
        <f>((IF(ISBLANK(Draft!C13),0,VLOOKUP(Draft!C13, 'NO USAR1'!A4:L1000,5,FALSE)+(IF(ISBLANK(Draft!D4),0,VLOOKUP(Draft!D4, 'NO USAR1'!A4:L1000,5,FALSE)+(IF(ISBLANK(Draft!E13),0,VLOOKUP(Draft!E13, 'NO USAR1'!A4:L1000,5,FALSE)+(IF(ISBLANK(Draft!F4),0,VLOOKUP(Draft!F4, 'NO USAR1'!A4:L1000,5,FALSE)+(IF(ISBLANK(Draft!G13),0,VLOOKUP(Draft!G13, 'NO USAR1'!A4:L1000,5,FALSE)+(IF(ISBLANK(Draft!H4),0,VLOOKUP(Draft!H4, 'NO USAR1'!A4:L1000,5,FALSE)+(IF(ISBLANK(Draft!I13),0,VLOOKUP(Draft!I13, 'NO USAR1'!A4:L1000,5,FALSE)+(IF(ISBLANK(Draft!J4),0,VLOOKUP(Draft!J4, 'NO USAR1'!A4:L1000,5,FALSE)+(IF(ISBLANK(Draft!K13),0,VLOOKUP(Draft!K13, 'NO USAR1'!A4:L1000,5,FALSE)+(IF(ISBLANK(Draft!L4),0,VLOOKUP(Draft!L4, 'NO USAR1'!A4:L1000,5,FALSE)+IF(ISBLANK(Draft!M13),0,VLOOKUP(Draft!M13, 'NO USAR1'!A4:L1000,5,FALSE)+IF(ISBLANK(Draft!N4),0,VLOOKUP(Draft!N4, 'NO USAR1'!A4:L1000,5,FALSE))))))))))))))))))))))))</f>
        <v>0</v>
      </c>
      <c r="H15" s="45">
        <f>((IF(ISBLANK(Draft!C13),0,VLOOKUP(Draft!C13, 'NO USAR1'!A4:L1000,6,FALSE)+(IF(ISBLANK(Draft!D4),0,VLOOKUP(Draft!D4, 'NO USAR1'!A4:L1000,6,FALSE)+(IF(ISBLANK(Draft!E13),0,VLOOKUP(Draft!E13, 'NO USAR1'!A4:L1000,6,FALSE)+(IF(ISBLANK(Draft!F4),0,VLOOKUP(Draft!F4, 'NO USAR1'!A4:L1000,6,FALSE)+(IF(ISBLANK(Draft!G13),0,VLOOKUP(Draft!G13, 'NO USAR1'!A4:L1000,6,FALSE)+(IF(ISBLANK(Draft!H4),0,VLOOKUP(Draft!H4, 'NO USAR1'!A4:L1000,6,FALSE)+(IF(ISBLANK(Draft!I13),0,VLOOKUP(Draft!I13, 'NO USAR1'!A4:L1000,6,FALSE)+(IF(ISBLANK(Draft!J4),0,VLOOKUP(Draft!J4, 'NO USAR1'!A4:L1000,6,FALSE)+(IF(ISBLANK(Draft!K13),0,VLOOKUP(Draft!K13, 'NO USAR1'!A4:L1000,6,FALSE)+(IF(ISBLANK(Draft!L4),0,VLOOKUP(Draft!L4, 'NO USAR1'!A4:L1000,6,FALSE)+IF(ISBLANK(Draft!M13),0,VLOOKUP(Draft!M13, 'NO USAR1'!A4:L1000,6,FALSE)+IF(ISBLANK(Draft!N4),0,VLOOKUP(Draft!N4, 'NO USAR1'!A4:L1000,6,FALSE))))))))))))))))))))))))</f>
        <v>0</v>
      </c>
      <c r="I15" s="45">
        <f>((IF(ISBLANK(Draft!C13),0,VLOOKUP(Draft!C13, 'NO USAR1'!A4:L1000,7,FALSE)+(IF(ISBLANK(Draft!D4),0,VLOOKUP(Draft!D4, 'NO USAR1'!A4:L1000,7,FALSE)+(IF(ISBLANK(Draft!E13),0,VLOOKUP(Draft!E13, 'NO USAR1'!A4:L1000,7,FALSE)+(IF(ISBLANK(Draft!F4),0,VLOOKUP(Draft!F4, 'NO USAR1'!A4:L1000,7,FALSE)+(IF(ISBLANK(Draft!G13),0,VLOOKUP(Draft!G13, 'NO USAR1'!A4:L1000,7,FALSE)+(IF(ISBLANK(Draft!H4),0,VLOOKUP(Draft!H4, 'NO USAR1'!A4:L1000,7,FALSE)+(IF(ISBLANK(Draft!I13),0,VLOOKUP(Draft!I13, 'NO USAR1'!A4:L1000,7,FALSE)+(IF(ISBLANK(Draft!J4),0,VLOOKUP(Draft!J4, 'NO USAR1'!A4:L1000,7,FALSE)+(IF(ISBLANK(Draft!K13),0,VLOOKUP(Draft!K13, 'NO USAR1'!A4:L1000,7,FALSE)+(IF(ISBLANK(Draft!L4),0,VLOOKUP(Draft!L4, 'NO USAR1'!A4:L1000,7,FALSE)+IF(ISBLANK(Draft!M13),0,VLOOKUP(Draft!M13, 'NO USAR1'!A4:L1000,7,FALSE)+IF(ISBLANK(Draft!N4),0,VLOOKUP(Draft!N4, 'NO USAR1'!A4:L1000,7,FALSE))))))))))))))))))))))))</f>
        <v>0</v>
      </c>
      <c r="J15" s="45">
        <f>((IF(ISBLANK(Draft!C13),0,VLOOKUP(Draft!C13, 'NO USAR1'!A4:L1000,8,FALSE)+(IF(ISBLANK(Draft!D4),0,VLOOKUP(Draft!D4, 'NO USAR1'!A4:L1000,8,FALSE)+(IF(ISBLANK(Draft!E13),0,VLOOKUP(Draft!E13, 'NO USAR1'!A4:L1000,8,FALSE)+(IF(ISBLANK(Draft!F4),0,VLOOKUP(Draft!F4, 'NO USAR1'!A4:L1000,8,FALSE)+(IF(ISBLANK(Draft!G13),0,VLOOKUP(Draft!G13, 'NO USAR1'!A4:L1000,8,FALSE)+(IF(ISBLANK(Draft!H4),0,VLOOKUP(Draft!H4, 'NO USAR1'!A4:L1000,8,FALSE)+(IF(ISBLANK(Draft!I13),0,VLOOKUP(Draft!I13, 'NO USAR1'!A4:L1000,8,FALSE)+(IF(ISBLANK(Draft!J4),0,VLOOKUP(Draft!J4, 'NO USAR1'!A4:L1000,8,FALSE)+(IF(ISBLANK(Draft!K13),0,VLOOKUP(Draft!K13, 'NO USAR1'!A4:L1000,8,FALSE)+(IF(ISBLANK(Draft!L4),0,VLOOKUP(Draft!L4, 'NO USAR1'!A4:L1000,8,FALSE)+IF(ISBLANK(Draft!M13),0,VLOOKUP(Draft!M13, 'NO USAR1'!A4:L1000,8,FALSE)+IF(ISBLANK(Draft!N4),0,VLOOKUP(Draft!N4, 'NO USAR1'!A4:L1000,8,FALSE))))))))))))))))))))))))</f>
        <v>0</v>
      </c>
      <c r="K15" s="45">
        <f>((IF(ISBLANK(Draft!C13),0,VLOOKUP(Draft!C13, 'NO USAR1'!A4:L1000,10,FALSE)+(IF(ISBLANK(Draft!D4),0,VLOOKUP(Draft!D4, 'NO USAR1'!A4:L1000,10,FALSE)+(IF(ISBLANK(Draft!E13),0,VLOOKUP(Draft!E13, 'NO USAR1'!A4:L1000,10,FALSE)+(IF(ISBLANK(Draft!F4),0,VLOOKUP(Draft!F4, 'NO USAR1'!A4:L1000,10,FALSE)+(IF(ISBLANK(Draft!G13),0,VLOOKUP(Draft!G13, 'NO USAR1'!A4:L1000,10,FALSE)+(IF(ISBLANK(Draft!H4),0,VLOOKUP(Draft!H4, 'NO USAR1'!A4:L1000,10,FALSE)+(IF(ISBLANK(Draft!I13),0,VLOOKUP(Draft!I13, 'NO USAR1'!A4:L1000,10,FALSE)+(IF(ISBLANK(Draft!J4),0,VLOOKUP(Draft!J4, 'NO USAR1'!A4:L1000,10,FALSE)+(IF(ISBLANK(Draft!K13),0,VLOOKUP(Draft!K13, 'NO USAR1'!A4:L1000,10,FALSE)+(IF(ISBLANK(Draft!L4),0,VLOOKUP(Draft!L4, 'NO USAR1'!A4:L1000,10,FALSE)+IF(ISBLANK(Draft!M13),0,VLOOKUP(Draft!M13, 'NO USAR1'!A4:L1000,10,FALSE)+IF(ISBLANK(Draft!N4),0,VLOOKUP(Draft!N4, 'NO USAR1'!A4:L1000,10,FALSE))))))))))))))))))))))))</f>
        <v>0</v>
      </c>
      <c r="L15" s="45">
        <f>((IF(ISBLANK(Draft!C13),0,VLOOKUP(Draft!C13, 'NO USAR1'!A4:L1000,12,FALSE)+(IF(ISBLANK(Draft!D4),0,VLOOKUP(Draft!D4, 'NO USAR1'!A4:L1000,12,FALSE)+(IF(ISBLANK(Draft!E13),0,VLOOKUP(Draft!E13, 'NO USAR1'!A4:L1000,12,FALSE)+(IF(ISBLANK(Draft!F4),0,VLOOKUP(Draft!F4, 'NO USAR1'!A4:L1000,12,FALSE)+(IF(ISBLANK(Draft!G13),0,VLOOKUP(Draft!G13, 'NO USAR1'!A4:L1000,12,FALSE)+(IF(ISBLANK(Draft!H4),0,VLOOKUP(Draft!H4, 'NO USAR1'!A4:L1000,12,FALSE)+(IF(ISBLANK(Draft!I13),0,VLOOKUP(Draft!I13, 'NO USAR1'!A4:L1000,12,FALSE)+(IF(ISBLANK(Draft!J4),0,VLOOKUP(Draft!J4, 'NO USAR1'!A4:L1000,12,FALSE)+(IF(ISBLANK(Draft!K13),0,VLOOKUP(Draft!K13, 'NO USAR1'!A4:L1000,12,FALSE)+(IF(ISBLANK(Draft!L4),0,VLOOKUP(Draft!L4, 'NO USAR1'!A4:L1000,12,FALSE)+IF(ISBLANK(Draft!M13),0,VLOOKUP(Draft!M13, 'NO USAR1'!A4:L1000,12,FALSE)+IF(ISBLANK(Draft!N4),0,VLOOKUP(Draft!N4, 'NO USAR1'!A4:L1000,12,FALSE))))))))))))))))))))))))</f>
        <v>0</v>
      </c>
      <c r="M15" s="66">
        <f t="array" ref="M15">if(M$3=$C15,"-", countif(indirect(address(row($C$4)+ VLOOKUP(M$3,$C$5:$C$16,1),COLUMN($D$4))):indirect(address(row($C$4)+ VLOOKUP(M$3,$C$5:$C$16,1),COLUMN($L$4)))&gt;indirect(address(row($C15),COLUMN($D$4))):indirect(address(row($C15),COLUMN($L$4))),TRUE()))</f>
        <v>0</v>
      </c>
      <c r="N15" s="66">
        <f t="array" ref="N15">if(N$3=$C15,"-", countif(indirect(address(row($C$4)+ VLOOKUP(N$3,$C$5:$C$16,1),COLUMN($D$4))):indirect(address(row($C$4)+ VLOOKUP(N$3,$C$5:$C$16,1),COLUMN($L$4)))&gt;indirect(address(row($C15),COLUMN($D$4))):indirect(address(row($C15),COLUMN($L$4))),TRUE()))</f>
        <v>0</v>
      </c>
      <c r="O15" s="66">
        <f t="array" ref="O15">if(O$3=$C15,"-", countif(indirect(address(row($C$4)+ VLOOKUP(O$3,$C$5:$C$16,1),COLUMN($D$4))):indirect(address(row($C$4)+ VLOOKUP(O$3,$C$5:$C$16,1),COLUMN($L$4)))&gt;indirect(address(row($C15),COLUMN($D$4))):indirect(address(row($C15),COLUMN($L$4))),TRUE()))</f>
        <v>0</v>
      </c>
      <c r="P15" s="66">
        <f t="array" ref="P15">if(P$3=$C15,"-", countif(indirect(address(row($C$4)+ VLOOKUP(P$3,$C$5:$C$16,1),COLUMN($D$4))):indirect(address(row($C$4)+ VLOOKUP(P$3,$C$5:$C$16,1),COLUMN($L$4)))&gt;indirect(address(row($C15),COLUMN($D$4))):indirect(address(row($C15),COLUMN($L$4))),TRUE()))</f>
        <v>0</v>
      </c>
      <c r="Q15" s="66">
        <f t="array" ref="Q15">if(Q$3=$C15,"-", countif(indirect(address(row($C$4)+ VLOOKUP(Q$3,$C$5:$C$16,1),COLUMN($D$4))):indirect(address(row($C$4)+ VLOOKUP(Q$3,$C$5:$C$16,1),COLUMN($L$4)))&gt;indirect(address(row($C15),COLUMN($D$4))):indirect(address(row($C15),COLUMN($L$4))),TRUE()))</f>
        <v>0</v>
      </c>
      <c r="R15" s="66">
        <f t="array" ref="R15">if(R$3=$C15,"-", countif(indirect(address(row($C$4)+ VLOOKUP(R$3,$C$5:$C$16,1),COLUMN($D$4))):indirect(address(row($C$4)+ VLOOKUP(R$3,$C$5:$C$16,1),COLUMN($L$4)))&gt;indirect(address(row($C15),COLUMN($D$4))):indirect(address(row($C15),COLUMN($L$4))),TRUE()))</f>
        <v>0</v>
      </c>
      <c r="S15" s="66">
        <f t="array" ref="S15">if(S$3=$C15,"-", countif(indirect(address(row($C$4)+ VLOOKUP(S$3,$C$5:$C$16,1),COLUMN($D$4))):indirect(address(row($C$4)+ VLOOKUP(S$3,$C$5:$C$16,1),COLUMN($L$4)))&gt;indirect(address(row($C15),COLUMN($D$4))):indirect(address(row($C15),COLUMN($L$4))),TRUE()))</f>
        <v>0</v>
      </c>
      <c r="T15" s="66">
        <f t="array" ref="T15">if(T$3=$C15,"-", countif(indirect(address(row($C$4)+ VLOOKUP(T$3,$C$5:$C$16,1),COLUMN($D$4))):indirect(address(row($C$4)+ VLOOKUP(T$3,$C$5:$C$16,1),COLUMN($L$4)))&gt;indirect(address(row($C15),COLUMN($D$4))):indirect(address(row($C15),COLUMN($L$4))),TRUE()))</f>
        <v>0</v>
      </c>
      <c r="U15" s="66">
        <f t="array" ref="U15">if(U$3=$C15,"-", countif(indirect(address(row($C$4)+ VLOOKUP(U$3,$C$5:$C$16,1),COLUMN($D$4))):indirect(address(row($C$4)+ VLOOKUP(U$3,$C$5:$C$16,1),COLUMN($L$4)))&gt;indirect(address(row($C15),COLUMN($D$4))):indirect(address(row($C15),COLUMN($L$4))),TRUE()))</f>
        <v>0</v>
      </c>
      <c r="V15" s="66">
        <f t="array" ref="V15">if(V$3=$C15,"-", countif(indirect(address(row($C$4)+ VLOOKUP(V$3,$C$5:$C$16,1),COLUMN($D$4))):indirect(address(row($C$4)+ VLOOKUP(V$3,$C$5:$C$16,1),COLUMN($L$4)))&gt;indirect(address(row($C15),COLUMN($D$4))):indirect(address(row($C15),COLUMN($L$4))),TRUE()))</f>
        <v>0</v>
      </c>
      <c r="W15" s="66">
        <f t="array" ref="W15">if(W$3=$C15,"-", countif(indirect(address(row($C$4)+ VLOOKUP(W$3,$C$5:$C$16,1),COLUMN($D$4))):indirect(address(row($C$4)+ VLOOKUP(W$3,$C$5:$C$16,1),COLUMN($L$4)))&gt;indirect(address(row($C15),COLUMN($D$4))):indirect(address(row($C15),COLUMN($L$4))),TRUE()))</f>
        <v>0</v>
      </c>
      <c r="X15" s="66">
        <f t="array" ref="X15">if(X$3=$C15,"-", countif(indirect(address(row($C$4)+ VLOOKUP(X$3,$C$5:$C$16,1),COLUMN($D$4))):indirect(address(row($C$4)+ VLOOKUP(X$3,$C$5:$C$16,1),COLUMN($L$4)))&gt;indirect(address(row($C15),COLUMN($D$4))):indirect(address(row($C15),COLUMN($L$4))),TRUE()))</f>
        <v>0</v>
      </c>
      <c r="Y15" s="66">
        <f t="array" ref="Y15">if(D$1=$C15,"-", countif(indirect(address(row($C$4)+ VLOOKUP(D$1,$C$5:$C$16,1),COLUMN($D$4))):indirect(address(row($C$4)+ VLOOKUP(D$1,$C$5:$C$16,1),COLUMN($L$4)))&gt;indirect(address(row($C15),COLUMN($D$4))):indirect(address(row($C15),COLUMN($L$4))),TRUE()))</f>
        <v>0</v>
      </c>
      <c r="Z15" s="46">
        <f>SUM(W$5:W$16)/99</f>
        <v>0</v>
      </c>
    </row>
    <row r="16">
      <c r="B16" s="65" t="b">
        <f>Draft!B14</f>
        <v>0</v>
      </c>
      <c r="C16" s="6">
        <v>12.0</v>
      </c>
      <c r="D16" s="45">
        <f>((IF(ISBLANK(Draft!C14),0,VLOOKUP(Draft!C14, 'NO USAR1'!A4:L1000,2,FALSE)+(IF(ISBLANK(Draft!D3),0,VLOOKUP(Draft!D3, 'NO USAR1'!A4:L1000,2,FALSE)+(IF(ISBLANK(Draft!E14),0,VLOOKUP(Draft!E14, 'NO USAR1'!A4:L1000,2,FALSE)+(IF(ISBLANK(Draft!F3),0,VLOOKUP(Draft!F3, 'NO USAR1'!A4:L1000,2,FALSE)+(IF(ISBLANK(Draft!G14),0,VLOOKUP(Draft!G14, 'NO USAR1'!A4:L1000,2,FALSE)+(IF(ISBLANK(Draft!H3),0,VLOOKUP(Draft!H3, 'NO USAR1'!A4:L1000,2,FALSE)+(IF(ISBLANK(Draft!I14),0,VLOOKUP(Draft!I14, 'NO USAR1'!A4:L1000,2,FALSE)+(IF(ISBLANK(Draft!J3),0,VLOOKUP(Draft!J3, 'NO USAR1'!A4:L1000,2,FALSE)+(IF(ISBLANK(Draft!K14),0,VLOOKUP(Draft!K14, 'NO USAR1'!A4:L1000,2,FALSE)+(IF(ISBLANK(Draft!L3),0,VLOOKUP(Draft!L3, 'NO USAR1'!A4:L1000,2,FALSE)+IF(ISBLANK(Draft!M14),0,VLOOKUP(Draft!M14, 'NO USAR1'!A4:L1000,2,FALSE)+IF(ISBLANK(Draft!N3),0,VLOOKUP(Draft!N3, 'NO USAR1'!A4:L1000,2,FALSE))))))))))))))))))))))))</f>
        <v>0</v>
      </c>
      <c r="E16" s="45">
        <f>((IF(ISBLANK(Draft!C14),0,VLOOKUP(Draft!C14, 'NO USAR1'!A4:L1000,3,FALSE)+(IF(ISBLANK(Draft!D3),0,VLOOKUP(Draft!D3, 'NO USAR1'!A4:L1000,3,FALSE)+(IF(ISBLANK(Draft!E14),0,VLOOKUP(Draft!E14, 'NO USAR1'!A4:L1000,3,FALSE)+(IF(ISBLANK(Draft!F3),0,VLOOKUP(Draft!F3, 'NO USAR1'!A4:L1000,3,FALSE)+(IF(ISBLANK(Draft!G14),0,VLOOKUP(Draft!G14, 'NO USAR1'!A4:L1000,3,FALSE)+(IF(ISBLANK(Draft!H3),0,VLOOKUP(Draft!H3, 'NO USAR1'!A4:L1000,3,FALSE)+(IF(ISBLANK(Draft!I14),0,VLOOKUP(Draft!I14, 'NO USAR1'!A4:L1000,3,FALSE)+(IF(ISBLANK(Draft!J3),0,VLOOKUP(Draft!J3, 'NO USAR1'!A4:L1000,3,FALSE)+(IF(ISBLANK(Draft!K14),0,VLOOKUP(Draft!K14, 'NO USAR1'!A4:L1000,3,FALSE)+(IF(ISBLANK(Draft!L3),0,VLOOKUP(Draft!L3, 'NO USAR1'!A4:L1000,3,FALSE)+IF(ISBLANK(Draft!M14),0,VLOOKUP(Draft!M14, 'NO USAR1'!A4:L1000,3,FALSE)+IF(ISBLANK(Draft!N3),0,VLOOKUP(Draft!N3, 'NO USAR1'!A4:L1000,3,FALSE))))))))))))))))))))))))</f>
        <v>0</v>
      </c>
      <c r="F16" s="45">
        <f>((IF(ISBLANK(Draft!C14),0,VLOOKUP(Draft!C14, 'NO USAR1'!A4:L1000,4,FALSE)+(IF(ISBLANK(Draft!D3),0,VLOOKUP(Draft!D3, 'NO USAR1'!A4:L1000,4,FALSE)+(IF(ISBLANK(Draft!E14),0,VLOOKUP(Draft!E14, 'NO USAR1'!A4:L1000,4,FALSE)+(IF(ISBLANK(Draft!F3),0,VLOOKUP(Draft!F3, 'NO USAR1'!A4:L1000,4,FALSE)+(IF(ISBLANK(Draft!G14),0,VLOOKUP(Draft!G14, 'NO USAR1'!A4:L1000,4,FALSE)+(IF(ISBLANK(Draft!H3),0,VLOOKUP(Draft!H3, 'NO USAR1'!A4:L1000,4,FALSE)+(IF(ISBLANK(Draft!I14),0,VLOOKUP(Draft!I14, 'NO USAR1'!A4:L1000,4,FALSE)+(IF(ISBLANK(Draft!J3),0,VLOOKUP(Draft!J3, 'NO USAR1'!A4:L1000,4,FALSE)+(IF(ISBLANK(Draft!K14),0,VLOOKUP(Draft!K14, 'NO USAR1'!A4:L1000,4,FALSE)+(IF(ISBLANK(Draft!L3),0,VLOOKUP(Draft!L3, 'NO USAR1'!A4:L1000,4,FALSE)+IF(ISBLANK(Draft!M14),0,VLOOKUP(Draft!M14, 'NO USAR1'!A4:L1000,4,FALSE)+IF(ISBLANK(Draft!N3),0,VLOOKUP(Draft!N3, 'NO USAR1'!A4:L1000,4,FALSE))))))))))))))))))))))))</f>
        <v>0</v>
      </c>
      <c r="G16" s="45">
        <f>((IF(ISBLANK(Draft!C14),0,VLOOKUP(Draft!C14, 'NO USAR1'!A4:L1000,5,FALSE)+(IF(ISBLANK(Draft!D3),0,VLOOKUP(Draft!D3, 'NO USAR1'!A4:L1000,5,FALSE)+(IF(ISBLANK(Draft!E14),0,VLOOKUP(Draft!E14, 'NO USAR1'!A4:L1000,5,FALSE)+(IF(ISBLANK(Draft!F3),0,VLOOKUP(Draft!F3, 'NO USAR1'!A4:L1000,5,FALSE)+(IF(ISBLANK(Draft!G14),0,VLOOKUP(Draft!G14, 'NO USAR1'!A4:L1000,5,FALSE)+(IF(ISBLANK(Draft!H3),0,VLOOKUP(Draft!H3, 'NO USAR1'!A4:L1000,5,FALSE)+(IF(ISBLANK(Draft!I14),0,VLOOKUP(Draft!I14, 'NO USAR1'!A4:L1000,5,FALSE)+(IF(ISBLANK(Draft!J3),0,VLOOKUP(Draft!J3, 'NO USAR1'!A4:L1000,5,FALSE)+(IF(ISBLANK(Draft!K14),0,VLOOKUP(Draft!K14, 'NO USAR1'!A4:L1000,5,FALSE)+(IF(ISBLANK(Draft!L3),0,VLOOKUP(Draft!L3, 'NO USAR1'!A4:L1000,5,FALSE)+IF(ISBLANK(Draft!M14),0,VLOOKUP(Draft!M14, 'NO USAR1'!A4:L1000,5,FALSE)+IF(ISBLANK(Draft!N3),0,VLOOKUP(Draft!N3, 'NO USAR1'!A4:L1000,5,FALSE))))))))))))))))))))))))</f>
        <v>0</v>
      </c>
      <c r="H16" s="45">
        <f>((IF(ISBLANK(Draft!C14),0,VLOOKUP(Draft!C14, 'NO USAR1'!A4:L1000,6,FALSE)+(IF(ISBLANK(Draft!D3),0,VLOOKUP(Draft!D3, 'NO USAR1'!A4:L1000,6,FALSE)+(IF(ISBLANK(Draft!E14),0,VLOOKUP(Draft!E14, 'NO USAR1'!A4:L1000,6,FALSE)+(IF(ISBLANK(Draft!F3),0,VLOOKUP(Draft!F3, 'NO USAR1'!A4:L1000,6,FALSE)+(IF(ISBLANK(Draft!G14),0,VLOOKUP(Draft!G14, 'NO USAR1'!A4:L1000,6,FALSE)+(IF(ISBLANK(Draft!H3),0,VLOOKUP(Draft!H3, 'NO USAR1'!A4:L1000,6,FALSE)+(IF(ISBLANK(Draft!I14),0,VLOOKUP(Draft!I14, 'NO USAR1'!A4:L1000,6,FALSE)+(IF(ISBLANK(Draft!J3),0,VLOOKUP(Draft!J3, 'NO USAR1'!A4:L1000,6,FALSE)+(IF(ISBLANK(Draft!K14),0,VLOOKUP(Draft!K14, 'NO USAR1'!A4:L1000,6,FALSE)+(IF(ISBLANK(Draft!L3),0,VLOOKUP(Draft!L3, 'NO USAR1'!A4:L1000,6,FALSE)+IF(ISBLANK(Draft!M14),0,VLOOKUP(Draft!M14, 'NO USAR1'!A4:L1000,6,FALSE)+IF(ISBLANK(Draft!N3),0,VLOOKUP(Draft!N3, 'NO USAR1'!A4:L1000,6,FALSE))))))))))))))))))))))))</f>
        <v>0</v>
      </c>
      <c r="I16" s="45">
        <f>((IF(ISBLANK(Draft!C14),0,VLOOKUP(Draft!C14, 'NO USAR1'!A4:L1000,7,FALSE)+(IF(ISBLANK(Draft!D3),0,VLOOKUP(Draft!D3, 'NO USAR1'!A4:L1000,7,FALSE)+(IF(ISBLANK(Draft!E14),0,VLOOKUP(Draft!E14, 'NO USAR1'!A4:L1000,7,FALSE)+(IF(ISBLANK(Draft!F3),0,VLOOKUP(Draft!F3, 'NO USAR1'!A4:L1000,7,FALSE)+(IF(ISBLANK(Draft!G14),0,VLOOKUP(Draft!G14, 'NO USAR1'!A4:L1000,7,FALSE)+(IF(ISBLANK(Draft!H3),0,VLOOKUP(Draft!H3, 'NO USAR1'!A4:L1000,7,FALSE)+(IF(ISBLANK(Draft!I14),0,VLOOKUP(Draft!I14, 'NO USAR1'!A4:L1000,7,FALSE)+(IF(ISBLANK(Draft!J3),0,VLOOKUP(Draft!J3, 'NO USAR1'!A4:L1000,7,FALSE)+(IF(ISBLANK(Draft!K14),0,VLOOKUP(Draft!K14, 'NO USAR1'!A4:L1000,7,FALSE)+(IF(ISBLANK(Draft!L3),0,VLOOKUP(Draft!L3, 'NO USAR1'!A4:L1000,7,FALSE)+IF(ISBLANK(Draft!M14),0,VLOOKUP(Draft!M14, 'NO USAR1'!A4:L1000,7,FALSE)+IF(ISBLANK(Draft!N3),0,VLOOKUP(Draft!N3, 'NO USAR1'!A4:L1000,7,FALSE))))))))))))))))))))))))</f>
        <v>0</v>
      </c>
      <c r="J16" s="45">
        <f>((IF(ISBLANK(Draft!C14),0,VLOOKUP(Draft!C14, 'NO USAR1'!A4:L1000,8,FALSE)+(IF(ISBLANK(Draft!D3),0,VLOOKUP(Draft!D3, 'NO USAR1'!A4:L1000,8,FALSE)+(IF(ISBLANK(Draft!E14),0,VLOOKUP(Draft!E14, 'NO USAR1'!A4:L1000,8,FALSE)+(IF(ISBLANK(Draft!F3),0,VLOOKUP(Draft!F3, 'NO USAR1'!A4:L1000,8,FALSE)+(IF(ISBLANK(Draft!G14),0,VLOOKUP(Draft!G14, 'NO USAR1'!A4:L1000,8,FALSE)+(IF(ISBLANK(Draft!H3),0,VLOOKUP(Draft!H3, 'NO USAR1'!A4:L1000,8,FALSE)+(IF(ISBLANK(Draft!I14),0,VLOOKUP(Draft!I14, 'NO USAR1'!A4:L1000,8,FALSE)+(IF(ISBLANK(Draft!J3),0,VLOOKUP(Draft!J3, 'NO USAR1'!A4:L1000,8,FALSE)+(IF(ISBLANK(Draft!K14),0,VLOOKUP(Draft!K14, 'NO USAR1'!A4:L1000,8,FALSE)+(IF(ISBLANK(Draft!L3),0,VLOOKUP(Draft!L3, 'NO USAR1'!A4:L1000,8,FALSE)+IF(ISBLANK(Draft!M14),0,VLOOKUP(Draft!M14, 'NO USAR1'!A4:L1000,8,FALSE)+IF(ISBLANK(Draft!N3),0,VLOOKUP(Draft!N3, 'NO USAR1'!A4:L1000,8,FALSE))))))))))))))))))))))))</f>
        <v>0</v>
      </c>
      <c r="K16" s="45">
        <f>((IF(ISBLANK(Draft!C14),0,VLOOKUP(Draft!C14, 'NO USAR1'!A4:L1000,10,FALSE)+(IF(ISBLANK(Draft!D3),0,VLOOKUP(Draft!D3, 'NO USAR1'!A4:L1000,10,FALSE)+(IF(ISBLANK(Draft!E14),0,VLOOKUP(Draft!E14, 'NO USAR1'!A4:L1000,10,FALSE)+(IF(ISBLANK(Draft!F3),0,VLOOKUP(Draft!F3, 'NO USAR1'!A4:L1000,10,FALSE)+(IF(ISBLANK(Draft!G14),0,VLOOKUP(Draft!G14, 'NO USAR1'!A4:L1000,10,FALSE)+(IF(ISBLANK(Draft!H3),0,VLOOKUP(Draft!H3, 'NO USAR1'!A4:L1000,10,FALSE)+(IF(ISBLANK(Draft!I14),0,VLOOKUP(Draft!I14, 'NO USAR1'!A4:L1000,10,FALSE)+(IF(ISBLANK(Draft!J3),0,VLOOKUP(Draft!J3, 'NO USAR1'!A4:L1000,10,FALSE)+(IF(ISBLANK(Draft!K14),0,VLOOKUP(Draft!K14, 'NO USAR1'!A4:L1000,10,FALSE)+(IF(ISBLANK(Draft!L3),0,VLOOKUP(Draft!L3, 'NO USAR1'!A4:L1000,10,FALSE)+IF(ISBLANK(Draft!M14),0,VLOOKUP(Draft!M14, 'NO USAR1'!A4:L1000,10,FALSE)+IF(ISBLANK(Draft!N3),0,VLOOKUP(Draft!N3, 'NO USAR1'!A4:L1000,10,FALSE))))))))))))))))))))))))</f>
        <v>0</v>
      </c>
      <c r="L16" s="45">
        <f>((IF(ISBLANK(Draft!C14),0,VLOOKUP(Draft!C14, 'NO USAR1'!A4:L1000,12,FALSE)+(IF(ISBLANK(Draft!D3),0,VLOOKUP(Draft!D3, 'NO USAR1'!A4:L1000,12,FALSE)+(IF(ISBLANK(Draft!E14),0,VLOOKUP(Draft!E14, 'NO USAR1'!A4:L1000,12,FALSE)+(IF(ISBLANK(Draft!F3),0,VLOOKUP(Draft!F3, 'NO USAR1'!A4:L1000,12,FALSE)+(IF(ISBLANK(Draft!G14),0,VLOOKUP(Draft!G14, 'NO USAR1'!A4:L1000,12,FALSE)+(IF(ISBLANK(Draft!H3),0,VLOOKUP(Draft!H3, 'NO USAR1'!A4:L1000,12,FALSE)+(IF(ISBLANK(Draft!I14),0,VLOOKUP(Draft!I14, 'NO USAR1'!A4:L1000,12,FALSE)+(IF(ISBLANK(Draft!J3),0,VLOOKUP(Draft!J3, 'NO USAR1'!A4:L1000,12,FALSE)+(IF(ISBLANK(Draft!K14),0,VLOOKUP(Draft!K14, 'NO USAR1'!A4:L1000,12,FALSE)+(IF(ISBLANK(Draft!L3),0,VLOOKUP(Draft!L3, 'NO USAR1'!A4:L1000,12,FALSE)+IF(ISBLANK(Draft!M14),0,VLOOKUP(Draft!M14, 'NO USAR1'!A4:L1000,12,FALSE)+IF(ISBLANK(Draft!N3),0,VLOOKUP(Draft!N3, 'NO USAR1'!A4:L1000,12,FALSE))))))))))))))))))))))))</f>
        <v>0</v>
      </c>
      <c r="M16" s="66">
        <f t="array" ref="M16">if(M$3=$C16,"-", countif(indirect(address(row($C$4)+ VLOOKUP(M$3,$C$5:$C$16,1),COLUMN($D$4))):indirect(address(row($C$4)+ VLOOKUP(M$3,$C$5:$C$16,1),COLUMN($L$4)))&gt;indirect(address(row($C16),COLUMN($D$4))):indirect(address(row($C16),COLUMN($L$4))),TRUE()))</f>
        <v>0</v>
      </c>
      <c r="N16" s="66">
        <f t="array" ref="N16">if(N$3=$C16,"-", countif(indirect(address(row($C$4)+ VLOOKUP(N$3,$C$5:$C$16,1),COLUMN($D$4))):indirect(address(row($C$4)+ VLOOKUP(N$3,$C$5:$C$16,1),COLUMN($L$4)))&gt;indirect(address(row($C16),COLUMN($D$4))):indirect(address(row($C16),COLUMN($L$4))),TRUE()))</f>
        <v>0</v>
      </c>
      <c r="O16" s="66">
        <f t="array" ref="O16">if(O$3=$C16,"-", countif(indirect(address(row($C$4)+ VLOOKUP(O$3,$C$5:$C$16,1),COLUMN($D$4))):indirect(address(row($C$4)+ VLOOKUP(O$3,$C$5:$C$16,1),COLUMN($L$4)))&gt;indirect(address(row($C16),COLUMN($D$4))):indirect(address(row($C16),COLUMN($L$4))),TRUE()))</f>
        <v>0</v>
      </c>
      <c r="P16" s="66">
        <f t="array" ref="P16">if(P$3=$C16,"-", countif(indirect(address(row($C$4)+ VLOOKUP(P$3,$C$5:$C$16,1),COLUMN($D$4))):indirect(address(row($C$4)+ VLOOKUP(P$3,$C$5:$C$16,1),COLUMN($L$4)))&gt;indirect(address(row($C16),COLUMN($D$4))):indirect(address(row($C16),COLUMN($L$4))),TRUE()))</f>
        <v>0</v>
      </c>
      <c r="Q16" s="66">
        <f t="array" ref="Q16">if(Q$3=$C16,"-", countif(indirect(address(row($C$4)+ VLOOKUP(Q$3,$C$5:$C$16,1),COLUMN($D$4))):indirect(address(row($C$4)+ VLOOKUP(Q$3,$C$5:$C$16,1),COLUMN($L$4)))&gt;indirect(address(row($C16),COLUMN($D$4))):indirect(address(row($C16),COLUMN($L$4))),TRUE()))</f>
        <v>0</v>
      </c>
      <c r="R16" s="66">
        <f t="array" ref="R16">if(R$3=$C16,"-", countif(indirect(address(row($C$4)+ VLOOKUP(R$3,$C$5:$C$16,1),COLUMN($D$4))):indirect(address(row($C$4)+ VLOOKUP(R$3,$C$5:$C$16,1),COLUMN($L$4)))&gt;indirect(address(row($C16),COLUMN($D$4))):indirect(address(row($C16),COLUMN($L$4))),TRUE()))</f>
        <v>0</v>
      </c>
      <c r="S16" s="66">
        <f t="array" ref="S16">if(S$3=$C16,"-", countif(indirect(address(row($C$4)+ VLOOKUP(S$3,$C$5:$C$16,1),COLUMN($D$4))):indirect(address(row($C$4)+ VLOOKUP(S$3,$C$5:$C$16,1),COLUMN($L$4)))&gt;indirect(address(row($C16),COLUMN($D$4))):indirect(address(row($C16),COLUMN($L$4))),TRUE()))</f>
        <v>0</v>
      </c>
      <c r="T16" s="66">
        <f t="array" ref="T16">if(T$3=$C16,"-", countif(indirect(address(row($C$4)+ VLOOKUP(T$3,$C$5:$C$16,1),COLUMN($D$4))):indirect(address(row($C$4)+ VLOOKUP(T$3,$C$5:$C$16,1),COLUMN($L$4)))&gt;indirect(address(row($C16),COLUMN($D$4))):indirect(address(row($C16),COLUMN($L$4))),TRUE()))</f>
        <v>0</v>
      </c>
      <c r="U16" s="66">
        <f t="array" ref="U16">if(U$3=$C16,"-", countif(indirect(address(row($C$4)+ VLOOKUP(U$3,$C$5:$C$16,1),COLUMN($D$4))):indirect(address(row($C$4)+ VLOOKUP(U$3,$C$5:$C$16,1),COLUMN($L$4)))&gt;indirect(address(row($C16),COLUMN($D$4))):indirect(address(row($C16),COLUMN($L$4))),TRUE()))</f>
        <v>0</v>
      </c>
      <c r="V16" s="66">
        <f t="array" ref="V16">if(V$3=$C16,"-", countif(indirect(address(row($C$4)+ VLOOKUP(V$3,$C$5:$C$16,1),COLUMN($D$4))):indirect(address(row($C$4)+ VLOOKUP(V$3,$C$5:$C$16,1),COLUMN($L$4)))&gt;indirect(address(row($C16),COLUMN($D$4))):indirect(address(row($C16),COLUMN($L$4))),TRUE()))</f>
        <v>0</v>
      </c>
      <c r="W16" s="66">
        <f t="array" ref="W16">if(W$3=$C16,"-", countif(indirect(address(row($C$4)+ VLOOKUP(W$3,$C$5:$C$16,1),COLUMN($D$4))):indirect(address(row($C$4)+ VLOOKUP(W$3,$C$5:$C$16,1),COLUMN($L$4)))&gt;indirect(address(row($C16),COLUMN($D$4))):indirect(address(row($C16),COLUMN($L$4))),TRUE()))</f>
        <v>0</v>
      </c>
      <c r="X16" s="66">
        <f t="array" ref="X16">if(X$3=$C16,"-", countif(indirect(address(row($C$4)+ VLOOKUP(X$3,$C$5:$C$16,1),COLUMN($D$4))):indirect(address(row($C$4)+ VLOOKUP(X$3,$C$5:$C$16,1),COLUMN($L$4)))&gt;indirect(address(row($C16),COLUMN($D$4))):indirect(address(row($C16),COLUMN($L$4))),TRUE()))</f>
        <v>0</v>
      </c>
      <c r="Y16" s="66">
        <f t="array" ref="Y16">if(D$1=$C16,"-", countif(indirect(address(row($C$4)+ VLOOKUP(D$1,$C$5:$C$16,1),COLUMN($D$4))):indirect(address(row($C$4)+ VLOOKUP(D$1,$C$5:$C$16,1),COLUMN($L$4)))&gt;indirect(address(row($C16),COLUMN($D$4))):indirect(address(row($C16),COLUMN($L$4))),TRUE()))</f>
        <v>0</v>
      </c>
      <c r="Z16" s="46">
        <f>SUM(X$5:X$16)/99</f>
        <v>0</v>
      </c>
    </row>
    <row r="19">
      <c r="D19" s="4" t="s">
        <v>34</v>
      </c>
      <c r="E19" s="34" t="s">
        <v>35</v>
      </c>
      <c r="F19" s="4" t="s">
        <v>36</v>
      </c>
      <c r="G19" s="4" t="s">
        <v>37</v>
      </c>
      <c r="H19" s="4" t="s">
        <v>38</v>
      </c>
      <c r="I19" s="4" t="s">
        <v>61</v>
      </c>
      <c r="J19" s="4" t="s">
        <v>40</v>
      </c>
      <c r="K19" s="4" t="s">
        <v>41</v>
      </c>
      <c r="L19" s="4" t="s">
        <v>42</v>
      </c>
    </row>
    <row r="20">
      <c r="C20" s="33" t="s">
        <v>85</v>
      </c>
    </row>
    <row r="21">
      <c r="C21" s="33"/>
    </row>
    <row r="24">
      <c r="C24" s="33"/>
    </row>
    <row r="25">
      <c r="C25" s="33" t="s">
        <v>53</v>
      </c>
    </row>
    <row r="26">
      <c r="C26" s="33" t="s">
        <v>86</v>
      </c>
    </row>
    <row r="31">
      <c r="C31" s="33" t="s">
        <v>53</v>
      </c>
    </row>
  </sheetData>
  <conditionalFormatting sqref="D5:L16">
    <cfRule type="cellIs" dxfId="2" priority="1" operator="equal">
      <formula>0</formula>
    </cfRule>
  </conditionalFormatting>
  <conditionalFormatting sqref="D5:L16">
    <cfRule type="colorScale" priority="2">
      <colorScale>
        <cfvo type="min"/>
        <cfvo type="formula" val="0"/>
        <cfvo type="max"/>
        <color rgb="FFFF0000"/>
        <color rgb="FFFFFFFF"/>
        <color rgb="FF00FF00"/>
      </colorScale>
    </cfRule>
  </conditionalFormatting>
  <conditionalFormatting sqref="Z5:Z16">
    <cfRule type="colorScale" priority="3">
      <colorScale>
        <cfvo type="min"/>
        <cfvo type="formula" val="0.5"/>
        <cfvo type="max"/>
        <color rgb="FFFF0000"/>
        <color rgb="FFFFFFFF"/>
        <color rgb="FF00FF00"/>
      </colorScale>
    </cfRule>
  </conditionalFormatting>
  <conditionalFormatting sqref="Y5:Y16">
    <cfRule type="colorScale" priority="4">
      <colorScale>
        <cfvo type="formula" val="2"/>
        <cfvo type="formula" val="4.5"/>
        <cfvo type="formula" val="8"/>
        <color rgb="FFFF0000"/>
        <color rgb="FFFFFFFF"/>
        <color rgb="FF00FF00"/>
      </colorScale>
    </cfRule>
  </conditionalFormatting>
  <dataValidations>
    <dataValidation type="list" allowBlank="1" sqref="C21:C24">
      <formula1>Trades!$C$6:$C$15</formula1>
    </dataValidation>
    <dataValidation type="list" allowBlank="1" sqref="C27:C30">
      <formula1>Trades!$C$7:$C$13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87</v>
      </c>
      <c r="C1" s="82" t="s">
        <v>88</v>
      </c>
      <c r="E1" s="83">
        <f>+2.4</f>
        <v>2.4</v>
      </c>
      <c r="F1" s="84">
        <v>99.6</v>
      </c>
      <c r="R1" s="33" t="s">
        <v>43</v>
      </c>
      <c r="S1" s="33" t="s">
        <v>44</v>
      </c>
      <c r="T1" s="33" t="s">
        <v>45</v>
      </c>
      <c r="U1" s="33" t="s">
        <v>46</v>
      </c>
      <c r="V1" s="33" t="s">
        <v>47</v>
      </c>
    </row>
    <row r="2">
      <c r="A2" s="85" t="s">
        <v>89</v>
      </c>
      <c r="B2" s="86" t="s">
        <v>90</v>
      </c>
      <c r="C2" s="85" t="s">
        <v>91</v>
      </c>
      <c r="D2" s="87" t="s">
        <v>92</v>
      </c>
      <c r="E2" s="88">
        <v>68.6</v>
      </c>
      <c r="F2" s="89">
        <f>+3.3</f>
        <v>3.3</v>
      </c>
      <c r="G2" s="88">
        <v>99.6</v>
      </c>
      <c r="R2" t="str">
        <f t="array" ref="R2:R1000">IF(ISNUMBER(SEARCH("PG", B2:B1000)), "PG", "")</f>
        <v/>
      </c>
      <c r="S2" s="60" t="str">
        <f t="array" ref="S2:S1000">IF(ISNUMBER(SEARCH("SG", B2:B1000)), "SG", "")</f>
        <v/>
      </c>
      <c r="T2" t="str">
        <f t="array" ref="T2:T1000">IF(ISNUMBER(SEARCH("SF", B2:B1000)), "SF", "")</f>
        <v/>
      </c>
      <c r="U2" s="60" t="str">
        <f t="array" ref="U2:U1000">IF(ISNUMBER(SEARCH("PF", B2:B1000)), "PF", "")</f>
        <v/>
      </c>
      <c r="V2" t="str">
        <f t="array" ref="V2:V1000">IF(ISNUMBER(SEARCH("C", B2:B1000)), "C", "")</f>
        <v/>
      </c>
      <c r="W2" t="str">
        <f t="shared" ref="W2:W500" si="1">R2&amp;S2&amp;T2&amp;U2&amp;V2</f>
        <v/>
      </c>
    </row>
    <row r="3">
      <c r="A3" s="90">
        <v>1.0</v>
      </c>
      <c r="B3" s="91" t="s">
        <v>93</v>
      </c>
      <c r="C3" s="92"/>
      <c r="D3" s="92"/>
      <c r="E3" s="84">
        <v>63.0</v>
      </c>
      <c r="F3" s="83">
        <f>+0.3</f>
        <v>0.3</v>
      </c>
      <c r="G3" s="84">
        <v>99.6</v>
      </c>
      <c r="O3" t="str">
        <f>IFERROR(__xludf.DUMMYFUNCTION("regexextract(B3,""[\w]* [\w]*"")"),"Nikola Jokic")</f>
        <v>Nikola Jokic</v>
      </c>
      <c r="P3" t="str">
        <f t="shared" ref="P3:P500" si="2">SUBSTITUTE(O3,"DTD","")</f>
        <v>Nikola Jokic</v>
      </c>
      <c r="Q3" t="str">
        <f t="shared" ref="Q3:Q500" si="3">IF(RIGHT(P3,1)="O", LEFT(P3, LEN(P3)-1),P3)</f>
        <v>Nikola Jokic</v>
      </c>
      <c r="R3" t="s">
        <v>94</v>
      </c>
      <c r="S3" s="60" t="s">
        <v>94</v>
      </c>
      <c r="T3" t="s">
        <v>94</v>
      </c>
      <c r="U3" t="s">
        <v>94</v>
      </c>
      <c r="V3" t="s">
        <v>47</v>
      </c>
      <c r="W3" t="str">
        <f t="shared" si="1"/>
        <v>C</v>
      </c>
    </row>
    <row r="4">
      <c r="A4" s="93">
        <v>2.0</v>
      </c>
      <c r="B4" s="94" t="s">
        <v>95</v>
      </c>
      <c r="C4" s="95"/>
      <c r="D4" s="96"/>
      <c r="E4" s="88">
        <v>66.6</v>
      </c>
      <c r="F4" s="89">
        <f>+1.8</f>
        <v>1.8</v>
      </c>
      <c r="G4" s="88">
        <v>99.6</v>
      </c>
      <c r="O4" t="str">
        <f>IFERROR(__xludf.DUMMYFUNCTION("regexextract(B4,""[\w]* [\w]*"")"),"Giannis AntetokounmpoDTD")</f>
        <v>Giannis AntetokounmpoDTD</v>
      </c>
      <c r="P4" t="str">
        <f t="shared" si="2"/>
        <v>Giannis Antetokounmpo</v>
      </c>
      <c r="Q4" t="str">
        <f t="shared" si="3"/>
        <v>Giannis Antetokounmp</v>
      </c>
      <c r="R4" t="s">
        <v>94</v>
      </c>
      <c r="S4" s="60" t="s">
        <v>94</v>
      </c>
      <c r="T4" t="s">
        <v>94</v>
      </c>
      <c r="U4" t="s">
        <v>46</v>
      </c>
      <c r="V4" t="s">
        <v>94</v>
      </c>
      <c r="W4" t="str">
        <f t="shared" si="1"/>
        <v>PF</v>
      </c>
    </row>
    <row r="5">
      <c r="A5" s="90">
        <v>3.0</v>
      </c>
      <c r="B5" s="91" t="s">
        <v>96</v>
      </c>
      <c r="C5" s="92"/>
      <c r="D5" s="92"/>
      <c r="E5" s="84">
        <v>62.3</v>
      </c>
      <c r="F5" s="83">
        <f>+0.2</f>
        <v>0.2</v>
      </c>
      <c r="G5" s="84">
        <v>99.6</v>
      </c>
      <c r="O5" t="str">
        <f>IFERROR(__xludf.DUMMYFUNCTION("regexextract(B5,""[\w]* [\w]*"")"),"Luka Doncic")</f>
        <v>Luka Doncic</v>
      </c>
      <c r="P5" t="str">
        <f t="shared" si="2"/>
        <v>Luka Doncic</v>
      </c>
      <c r="Q5" t="str">
        <f t="shared" si="3"/>
        <v>Luka Doncic</v>
      </c>
      <c r="R5" t="s">
        <v>43</v>
      </c>
      <c r="S5" s="60" t="s">
        <v>94</v>
      </c>
      <c r="T5" t="s">
        <v>94</v>
      </c>
      <c r="U5" t="s">
        <v>94</v>
      </c>
      <c r="V5" t="s">
        <v>47</v>
      </c>
      <c r="W5" t="str">
        <f t="shared" si="1"/>
        <v>PGC</v>
      </c>
    </row>
    <row r="6">
      <c r="A6" s="93">
        <v>4.0</v>
      </c>
      <c r="B6" s="94" t="s">
        <v>97</v>
      </c>
      <c r="C6" s="95"/>
      <c r="D6" s="95"/>
      <c r="E6" s="88">
        <v>61.8</v>
      </c>
      <c r="F6" s="89">
        <f>+0.3</f>
        <v>0.3</v>
      </c>
      <c r="G6" s="88">
        <v>99.6</v>
      </c>
      <c r="O6" t="str">
        <f>IFERROR(__xludf.DUMMYFUNCTION("regexextract(B6,""[\w]* [\w]*"")"),"James Harden")</f>
        <v>James Harden</v>
      </c>
      <c r="P6" t="str">
        <f t="shared" si="2"/>
        <v>James Harden</v>
      </c>
      <c r="Q6" t="str">
        <f t="shared" si="3"/>
        <v>James Harden</v>
      </c>
      <c r="R6" t="s">
        <v>43</v>
      </c>
      <c r="S6" s="60" t="s">
        <v>44</v>
      </c>
      <c r="T6" t="s">
        <v>94</v>
      </c>
      <c r="U6" t="s">
        <v>94</v>
      </c>
      <c r="V6" t="s">
        <v>94</v>
      </c>
      <c r="W6" t="str">
        <f t="shared" si="1"/>
        <v>PGSG</v>
      </c>
    </row>
    <row r="7">
      <c r="A7" s="90">
        <v>5.0</v>
      </c>
      <c r="B7" s="91" t="s">
        <v>98</v>
      </c>
      <c r="C7" s="92"/>
      <c r="D7" s="92"/>
      <c r="E7" s="84">
        <v>62.6</v>
      </c>
      <c r="F7" s="83">
        <f t="shared" ref="F7:F8" si="4">+0.8</f>
        <v>0.8</v>
      </c>
      <c r="G7" s="84">
        <v>99.5</v>
      </c>
      <c r="O7" t="str">
        <f>IFERROR(__xludf.DUMMYFUNCTION("regexextract(B7,""[\w]* [\w]*"")"),"Anthony Towns")</f>
        <v>Anthony Towns</v>
      </c>
      <c r="P7" t="str">
        <f t="shared" si="2"/>
        <v>Anthony Towns</v>
      </c>
      <c r="Q7" t="str">
        <f t="shared" si="3"/>
        <v>Anthony Towns</v>
      </c>
      <c r="R7" t="s">
        <v>94</v>
      </c>
      <c r="S7" s="60" t="s">
        <v>94</v>
      </c>
      <c r="T7" t="s">
        <v>94</v>
      </c>
      <c r="U7" t="s">
        <v>94</v>
      </c>
      <c r="V7" t="s">
        <v>47</v>
      </c>
      <c r="W7" t="str">
        <f t="shared" si="1"/>
        <v>C</v>
      </c>
    </row>
    <row r="8">
      <c r="A8" s="93">
        <v>6.0</v>
      </c>
      <c r="B8" s="94" t="s">
        <v>99</v>
      </c>
      <c r="C8" s="95"/>
      <c r="D8" s="96"/>
      <c r="E8" s="88">
        <v>51.1</v>
      </c>
      <c r="F8" s="89">
        <f t="shared" si="4"/>
        <v>0.8</v>
      </c>
      <c r="G8" s="88">
        <v>99.5</v>
      </c>
      <c r="O8" t="str">
        <f>IFERROR(__xludf.DUMMYFUNCTION("regexextract(B8,""[\w]* [\w]*"")"),"Bradley Beal")</f>
        <v>Bradley Beal</v>
      </c>
      <c r="P8" t="str">
        <f t="shared" si="2"/>
        <v>Bradley Beal</v>
      </c>
      <c r="Q8" t="str">
        <f t="shared" si="3"/>
        <v>Bradley Beal</v>
      </c>
      <c r="R8" t="s">
        <v>94</v>
      </c>
      <c r="S8" s="60" t="s">
        <v>44</v>
      </c>
      <c r="T8" t="s">
        <v>94</v>
      </c>
      <c r="U8" t="s">
        <v>94</v>
      </c>
      <c r="V8" t="s">
        <v>94</v>
      </c>
      <c r="W8" t="str">
        <f t="shared" si="1"/>
        <v>SG</v>
      </c>
    </row>
    <row r="9">
      <c r="A9" s="90">
        <v>7.0</v>
      </c>
      <c r="B9" s="91" t="s">
        <v>100</v>
      </c>
      <c r="C9" s="92"/>
      <c r="D9" s="92"/>
      <c r="E9" s="84">
        <v>49.3</v>
      </c>
      <c r="F9" s="83">
        <f>+0.1</f>
        <v>0.1</v>
      </c>
      <c r="G9" s="84">
        <v>99.2</v>
      </c>
      <c r="O9" t="str">
        <f>IFERROR(__xludf.DUMMYFUNCTION("regexextract(B9,""[\w]* [\w]*"")"),"Damian Lillard")</f>
        <v>Damian Lillard</v>
      </c>
      <c r="P9" t="str">
        <f t="shared" si="2"/>
        <v>Damian Lillard</v>
      </c>
      <c r="Q9" t="str">
        <f t="shared" si="3"/>
        <v>Damian Lillard</v>
      </c>
      <c r="R9" t="s">
        <v>43</v>
      </c>
      <c r="S9" s="60" t="s">
        <v>94</v>
      </c>
      <c r="T9" t="s">
        <v>94</v>
      </c>
      <c r="U9" t="s">
        <v>94</v>
      </c>
      <c r="V9" t="s">
        <v>94</v>
      </c>
      <c r="W9" t="str">
        <f t="shared" si="1"/>
        <v>PG</v>
      </c>
    </row>
    <row r="10">
      <c r="A10" s="93">
        <v>8.0</v>
      </c>
      <c r="B10" s="94" t="s">
        <v>101</v>
      </c>
      <c r="C10" s="95"/>
      <c r="D10" s="96"/>
      <c r="E10" s="88">
        <v>48.7</v>
      </c>
      <c r="F10" s="89">
        <f t="shared" ref="F10:F11" si="5">+0.4</f>
        <v>0.4</v>
      </c>
      <c r="G10" s="88">
        <v>99.6</v>
      </c>
      <c r="O10" t="str">
        <f>IFERROR(__xludf.DUMMYFUNCTION("regexextract(B10,""[\w]* [\w]*"")"),"Paul George")</f>
        <v>Paul George</v>
      </c>
      <c r="P10" t="str">
        <f t="shared" si="2"/>
        <v>Paul George</v>
      </c>
      <c r="Q10" t="str">
        <f t="shared" si="3"/>
        <v>Paul George</v>
      </c>
      <c r="R10" t="s">
        <v>94</v>
      </c>
      <c r="S10" s="60" t="s">
        <v>44</v>
      </c>
      <c r="T10" t="s">
        <v>45</v>
      </c>
      <c r="U10" t="s">
        <v>94</v>
      </c>
      <c r="V10" t="s">
        <v>47</v>
      </c>
      <c r="W10" t="str">
        <f t="shared" si="1"/>
        <v>SGSFC</v>
      </c>
    </row>
    <row r="11">
      <c r="A11" s="90">
        <v>9.0</v>
      </c>
      <c r="B11" s="91" t="s">
        <v>102</v>
      </c>
      <c r="C11" s="92"/>
      <c r="D11" s="97"/>
      <c r="E11" s="84">
        <v>47.4</v>
      </c>
      <c r="F11" s="83">
        <f t="shared" si="5"/>
        <v>0.4</v>
      </c>
      <c r="G11" s="84">
        <v>99.5</v>
      </c>
      <c r="O11" t="str">
        <f>IFERROR(__xludf.DUMMYFUNCTION("regexextract(B11,""[\w]* [\w]*"")"),"Stephen Curry")</f>
        <v>Stephen Curry</v>
      </c>
      <c r="P11" t="str">
        <f t="shared" si="2"/>
        <v>Stephen Curry</v>
      </c>
      <c r="Q11" t="str">
        <f t="shared" si="3"/>
        <v>Stephen Curry</v>
      </c>
      <c r="R11" t="s">
        <v>43</v>
      </c>
      <c r="S11" s="60" t="s">
        <v>94</v>
      </c>
      <c r="T11" t="s">
        <v>94</v>
      </c>
      <c r="U11" t="s">
        <v>94</v>
      </c>
      <c r="V11" t="s">
        <v>47</v>
      </c>
      <c r="W11" t="str">
        <f t="shared" si="1"/>
        <v>PGC</v>
      </c>
    </row>
    <row r="12">
      <c r="A12" s="93">
        <v>10.0</v>
      </c>
      <c r="B12" s="94" t="s">
        <v>103</v>
      </c>
      <c r="C12" s="95"/>
      <c r="D12" s="95"/>
      <c r="E12" s="88">
        <v>46.8</v>
      </c>
      <c r="F12" s="98">
        <v>-0.1</v>
      </c>
      <c r="G12" s="88">
        <v>99.0</v>
      </c>
      <c r="O12" t="str">
        <f>IFERROR(__xludf.DUMMYFUNCTION("regexextract(B12,""[\w]* [\w]*"")"),"Jayson Tatum")</f>
        <v>Jayson Tatum</v>
      </c>
      <c r="P12" t="str">
        <f t="shared" si="2"/>
        <v>Jayson Tatum</v>
      </c>
      <c r="Q12" t="str">
        <f t="shared" si="3"/>
        <v>Jayson Tatum</v>
      </c>
      <c r="R12" t="s">
        <v>94</v>
      </c>
      <c r="S12" s="60" t="s">
        <v>94</v>
      </c>
      <c r="T12" t="s">
        <v>45</v>
      </c>
      <c r="U12" t="s">
        <v>46</v>
      </c>
      <c r="V12" t="s">
        <v>94</v>
      </c>
      <c r="W12" t="str">
        <f t="shared" si="1"/>
        <v>SFPF</v>
      </c>
    </row>
    <row r="13">
      <c r="A13" s="90">
        <v>11.0</v>
      </c>
      <c r="B13" s="91" t="s">
        <v>104</v>
      </c>
      <c r="C13" s="92"/>
      <c r="D13" s="92"/>
      <c r="E13" s="84">
        <v>45.8</v>
      </c>
      <c r="F13" s="83">
        <f>+0.3</f>
        <v>0.3</v>
      </c>
      <c r="G13" s="84">
        <v>99.5</v>
      </c>
      <c r="O13" t="str">
        <f>IFERROR(__xludf.DUMMYFUNCTION("regexextract(B13,""[\w]* [\w]*"")"),"Kevin Durant")</f>
        <v>Kevin Durant</v>
      </c>
      <c r="P13" t="str">
        <f t="shared" si="2"/>
        <v>Kevin Durant</v>
      </c>
      <c r="Q13" t="str">
        <f t="shared" si="3"/>
        <v>Kevin Durant</v>
      </c>
      <c r="R13" t="s">
        <v>94</v>
      </c>
      <c r="S13" s="60" t="s">
        <v>94</v>
      </c>
      <c r="T13" t="s">
        <v>45</v>
      </c>
      <c r="U13" t="s">
        <v>46</v>
      </c>
      <c r="V13" t="s">
        <v>94</v>
      </c>
      <c r="W13" t="str">
        <f t="shared" si="1"/>
        <v>SFPF</v>
      </c>
    </row>
    <row r="14">
      <c r="A14" s="93">
        <v>12.0</v>
      </c>
      <c r="B14" s="94" t="s">
        <v>105</v>
      </c>
      <c r="C14" s="95"/>
      <c r="D14" s="95"/>
      <c r="E14" s="88">
        <v>45.9</v>
      </c>
      <c r="F14" s="89">
        <f>+0.5</f>
        <v>0.5</v>
      </c>
      <c r="G14" s="88">
        <v>99.5</v>
      </c>
      <c r="O14" t="str">
        <f>IFERROR(__xludf.DUMMYFUNCTION("regexextract(B14,""[\w]* [\w]*"")"),"Nikola Vucevic")</f>
        <v>Nikola Vucevic</v>
      </c>
      <c r="P14" t="str">
        <f t="shared" si="2"/>
        <v>Nikola Vucevic</v>
      </c>
      <c r="Q14" t="str">
        <f t="shared" si="3"/>
        <v>Nikola Vucevic</v>
      </c>
      <c r="R14" t="s">
        <v>94</v>
      </c>
      <c r="S14" s="60" t="s">
        <v>94</v>
      </c>
      <c r="T14" t="s">
        <v>94</v>
      </c>
      <c r="U14" t="s">
        <v>94</v>
      </c>
      <c r="V14" t="s">
        <v>47</v>
      </c>
      <c r="W14" t="str">
        <f t="shared" si="1"/>
        <v>C</v>
      </c>
    </row>
    <row r="15">
      <c r="A15" s="90">
        <v>13.0</v>
      </c>
      <c r="B15" s="91" t="s">
        <v>106</v>
      </c>
      <c r="C15" s="92"/>
      <c r="D15" s="97"/>
      <c r="E15" s="84">
        <v>45.4</v>
      </c>
      <c r="F15" s="99">
        <v>-0.6</v>
      </c>
      <c r="G15" s="84">
        <v>99.2</v>
      </c>
      <c r="O15" t="str">
        <f>IFERROR(__xludf.DUMMYFUNCTION("regexextract(B15,""[\w]* [\w]*"")"),"Zion WilliamsonO")</f>
        <v>Zion WilliamsonO</v>
      </c>
      <c r="P15" t="str">
        <f t="shared" si="2"/>
        <v>Zion WilliamsonO</v>
      </c>
      <c r="Q15" t="str">
        <f t="shared" si="3"/>
        <v>Zion Williamson</v>
      </c>
      <c r="R15" t="s">
        <v>94</v>
      </c>
      <c r="S15" s="60" t="s">
        <v>94</v>
      </c>
      <c r="T15" t="s">
        <v>94</v>
      </c>
      <c r="U15" t="s">
        <v>46</v>
      </c>
      <c r="V15" t="s">
        <v>94</v>
      </c>
      <c r="W15" t="str">
        <f t="shared" si="1"/>
        <v>PF</v>
      </c>
    </row>
    <row r="16">
      <c r="A16" s="93">
        <v>14.0</v>
      </c>
      <c r="B16" s="94" t="s">
        <v>107</v>
      </c>
      <c r="C16" s="95"/>
      <c r="D16" s="95"/>
      <c r="E16" s="88">
        <v>31.9</v>
      </c>
      <c r="F16" s="98">
        <v>-2.8</v>
      </c>
      <c r="G16" s="88">
        <v>99.5</v>
      </c>
      <c r="O16" t="str">
        <f>IFERROR(__xludf.DUMMYFUNCTION("regexextract(B16,""[\w]* [\w]*"")"),"Aaron Fox")</f>
        <v>Aaron Fox</v>
      </c>
      <c r="P16" t="str">
        <f t="shared" si="2"/>
        <v>Aaron Fox</v>
      </c>
      <c r="Q16" t="str">
        <f t="shared" si="3"/>
        <v>Aaron Fox</v>
      </c>
      <c r="R16" t="s">
        <v>43</v>
      </c>
      <c r="S16" s="60" t="s">
        <v>94</v>
      </c>
      <c r="T16" t="s">
        <v>94</v>
      </c>
      <c r="U16" t="s">
        <v>94</v>
      </c>
      <c r="V16" t="s">
        <v>47</v>
      </c>
      <c r="W16" t="str">
        <f t="shared" si="1"/>
        <v>PGC</v>
      </c>
    </row>
    <row r="17">
      <c r="A17" s="90">
        <v>15.0</v>
      </c>
      <c r="B17" s="91" t="s">
        <v>108</v>
      </c>
      <c r="C17" s="92"/>
      <c r="D17" s="97"/>
      <c r="E17" s="84">
        <v>39.1</v>
      </c>
      <c r="F17" s="83">
        <f>+0.4</f>
        <v>0.4</v>
      </c>
      <c r="G17" s="84">
        <v>99.4</v>
      </c>
      <c r="O17" t="str">
        <f>IFERROR(__xludf.DUMMYFUNCTION("regexextract(B17,""[\w]* [\w]*"")"),"Joel Embiid")</f>
        <v>Joel Embiid</v>
      </c>
      <c r="P17" t="str">
        <f t="shared" si="2"/>
        <v>Joel Embiid</v>
      </c>
      <c r="Q17" t="str">
        <f t="shared" si="3"/>
        <v>Joel Embiid</v>
      </c>
      <c r="R17" t="s">
        <v>94</v>
      </c>
      <c r="S17" s="60" t="s">
        <v>94</v>
      </c>
      <c r="T17" t="s">
        <v>94</v>
      </c>
      <c r="U17" t="s">
        <v>94</v>
      </c>
      <c r="V17" t="s">
        <v>47</v>
      </c>
      <c r="W17" t="str">
        <f t="shared" si="1"/>
        <v>C</v>
      </c>
    </row>
    <row r="18">
      <c r="A18" s="93">
        <v>16.0</v>
      </c>
      <c r="B18" s="94" t="s">
        <v>109</v>
      </c>
      <c r="C18" s="95"/>
      <c r="D18" s="95"/>
      <c r="E18" s="88">
        <v>32.9</v>
      </c>
      <c r="F18" s="98">
        <v>-1.0</v>
      </c>
      <c r="G18" s="88">
        <v>99.4</v>
      </c>
      <c r="O18" t="str">
        <f>IFERROR(__xludf.DUMMYFUNCTION("regexextract(B18,""[\w]* [\w]*"")"),"LeBron JamesO")</f>
        <v>LeBron JamesO</v>
      </c>
      <c r="P18" t="str">
        <f t="shared" si="2"/>
        <v>LeBron JamesO</v>
      </c>
      <c r="Q18" t="str">
        <f t="shared" si="3"/>
        <v>LeBron James</v>
      </c>
      <c r="R18" t="s">
        <v>43</v>
      </c>
      <c r="S18" s="60" t="s">
        <v>94</v>
      </c>
      <c r="T18" t="s">
        <v>45</v>
      </c>
      <c r="U18" t="s">
        <v>46</v>
      </c>
      <c r="V18" t="s">
        <v>94</v>
      </c>
      <c r="W18" t="str">
        <f t="shared" si="1"/>
        <v>PGSFPF</v>
      </c>
    </row>
    <row r="19">
      <c r="A19" s="90">
        <v>17.0</v>
      </c>
      <c r="B19" s="91" t="s">
        <v>110</v>
      </c>
      <c r="C19" s="92"/>
      <c r="D19" s="92"/>
      <c r="E19" s="84">
        <v>40.2</v>
      </c>
      <c r="F19" s="99">
        <v>-0.8</v>
      </c>
      <c r="G19" s="84">
        <v>98.9</v>
      </c>
      <c r="O19" t="str">
        <f>IFERROR(__xludf.DUMMYFUNCTION("regexextract(B19,""[\w]* [\w]*"")"),"Trae Young")</f>
        <v>Trae Young</v>
      </c>
      <c r="P19" t="str">
        <f t="shared" si="2"/>
        <v>Trae Young</v>
      </c>
      <c r="Q19" t="str">
        <f t="shared" si="3"/>
        <v>Trae Young</v>
      </c>
      <c r="R19" t="s">
        <v>43</v>
      </c>
      <c r="S19" s="60" t="s">
        <v>94</v>
      </c>
      <c r="T19" t="s">
        <v>94</v>
      </c>
      <c r="U19" t="s">
        <v>94</v>
      </c>
      <c r="V19" t="s">
        <v>94</v>
      </c>
      <c r="W19" t="str">
        <f t="shared" si="1"/>
        <v>PG</v>
      </c>
    </row>
    <row r="20">
      <c r="A20" s="93">
        <v>18.0</v>
      </c>
      <c r="B20" s="94" t="s">
        <v>111</v>
      </c>
      <c r="C20" s="95"/>
      <c r="D20" s="96"/>
      <c r="E20" s="88">
        <v>30.4</v>
      </c>
      <c r="F20" s="98">
        <v>-0.1</v>
      </c>
      <c r="G20" s="88">
        <v>99.5</v>
      </c>
      <c r="O20" t="str">
        <f>IFERROR(__xludf.DUMMYFUNCTION("regexextract(B20,""[\w]* [\w]*"")"),"Fred VanVleet")</f>
        <v>Fred VanVleet</v>
      </c>
      <c r="P20" t="str">
        <f t="shared" si="2"/>
        <v>Fred VanVleet</v>
      </c>
      <c r="Q20" t="str">
        <f t="shared" si="3"/>
        <v>Fred VanVleet</v>
      </c>
      <c r="R20" t="s">
        <v>43</v>
      </c>
      <c r="S20" s="60" t="s">
        <v>44</v>
      </c>
      <c r="T20" t="s">
        <v>94</v>
      </c>
      <c r="U20" t="s">
        <v>94</v>
      </c>
      <c r="V20" t="s">
        <v>94</v>
      </c>
      <c r="W20" t="str">
        <f t="shared" si="1"/>
        <v>PGSG</v>
      </c>
    </row>
    <row r="21">
      <c r="A21" s="90">
        <v>19.0</v>
      </c>
      <c r="B21" s="91" t="s">
        <v>112</v>
      </c>
      <c r="C21" s="92"/>
      <c r="D21" s="97"/>
      <c r="E21" s="84">
        <v>33.7</v>
      </c>
      <c r="F21" s="83">
        <f>+0.3</f>
        <v>0.3</v>
      </c>
      <c r="G21" s="84">
        <v>98.2</v>
      </c>
      <c r="O21" t="str">
        <f>IFERROR(__xludf.DUMMYFUNCTION("regexextract(B21,""[\w]* [\w]*"")"),"Donovan Mitchell")</f>
        <v>Donovan Mitchell</v>
      </c>
      <c r="P21" t="str">
        <f t="shared" si="2"/>
        <v>Donovan Mitchell</v>
      </c>
      <c r="Q21" t="str">
        <f t="shared" si="3"/>
        <v>Donovan Mitchell</v>
      </c>
      <c r="R21" t="s">
        <v>43</v>
      </c>
      <c r="S21" s="60" t="s">
        <v>44</v>
      </c>
      <c r="T21" t="s">
        <v>94</v>
      </c>
      <c r="U21" t="s">
        <v>94</v>
      </c>
      <c r="V21" t="s">
        <v>47</v>
      </c>
      <c r="W21" t="str">
        <f t="shared" si="1"/>
        <v>PGSGC</v>
      </c>
    </row>
    <row r="22">
      <c r="A22" s="93">
        <v>20.0</v>
      </c>
      <c r="B22" s="94" t="s">
        <v>113</v>
      </c>
      <c r="C22" s="95"/>
      <c r="D22" s="96"/>
      <c r="E22" s="88">
        <v>38.6</v>
      </c>
      <c r="F22" s="98">
        <v>-0.6</v>
      </c>
      <c r="G22" s="88">
        <v>97.8</v>
      </c>
      <c r="O22" t="str">
        <f>IFERROR(__xludf.DUMMYFUNCTION("regexextract(B22,""[\w]* [\w]*"")"),"Domantas Sabonis")</f>
        <v>Domantas Sabonis</v>
      </c>
      <c r="P22" t="str">
        <f t="shared" si="2"/>
        <v>Domantas Sabonis</v>
      </c>
      <c r="Q22" t="str">
        <f t="shared" si="3"/>
        <v>Domantas Sabonis</v>
      </c>
      <c r="R22" t="s">
        <v>94</v>
      </c>
      <c r="S22" s="60" t="s">
        <v>94</v>
      </c>
      <c r="T22" t="s">
        <v>94</v>
      </c>
      <c r="U22" t="s">
        <v>46</v>
      </c>
      <c r="V22" t="s">
        <v>94</v>
      </c>
      <c r="W22" t="str">
        <f t="shared" si="1"/>
        <v>PF</v>
      </c>
    </row>
    <row r="23">
      <c r="A23" s="90">
        <v>21.0</v>
      </c>
      <c r="B23" s="91" t="s">
        <v>114</v>
      </c>
      <c r="C23" s="92"/>
      <c r="D23" s="97"/>
      <c r="E23" s="84">
        <v>27.8</v>
      </c>
      <c r="F23" s="99">
        <v>-0.5</v>
      </c>
      <c r="G23" s="84">
        <v>99.4</v>
      </c>
      <c r="O23" t="str">
        <f>IFERROR(__xludf.DUMMYFUNCTION("regexextract(B23,""[\w]* [\w]*"")"),"Anthony Davis")</f>
        <v>Anthony Davis</v>
      </c>
      <c r="P23" t="str">
        <f t="shared" si="2"/>
        <v>Anthony Davis</v>
      </c>
      <c r="Q23" t="str">
        <f t="shared" si="3"/>
        <v>Anthony Davis</v>
      </c>
      <c r="R23" t="s">
        <v>94</v>
      </c>
      <c r="S23" s="60" t="s">
        <v>94</v>
      </c>
      <c r="T23" t="s">
        <v>94</v>
      </c>
      <c r="U23" t="s">
        <v>46</v>
      </c>
      <c r="V23" t="s">
        <v>94</v>
      </c>
      <c r="W23" t="str">
        <f t="shared" si="1"/>
        <v>PF</v>
      </c>
    </row>
    <row r="24">
      <c r="A24" s="93">
        <v>22.0</v>
      </c>
      <c r="B24" s="94" t="s">
        <v>115</v>
      </c>
      <c r="C24" s="95"/>
      <c r="D24" s="95"/>
      <c r="E24" s="88">
        <v>36.0</v>
      </c>
      <c r="F24" s="98">
        <v>-0.6</v>
      </c>
      <c r="G24" s="88">
        <v>98.2</v>
      </c>
      <c r="O24" t="str">
        <f>IFERROR(__xludf.DUMMYFUNCTION("regexextract(B24,""[\w]* [\w]*"")"),"Julius Randle")</f>
        <v>Julius Randle</v>
      </c>
      <c r="P24" t="str">
        <f t="shared" si="2"/>
        <v>Julius Randle</v>
      </c>
      <c r="Q24" t="str">
        <f t="shared" si="3"/>
        <v>Julius Randle</v>
      </c>
      <c r="R24" t="s">
        <v>94</v>
      </c>
      <c r="S24" s="60" t="s">
        <v>94</v>
      </c>
      <c r="T24" t="s">
        <v>94</v>
      </c>
      <c r="U24" t="s">
        <v>46</v>
      </c>
      <c r="V24" t="s">
        <v>94</v>
      </c>
      <c r="W24" t="str">
        <f t="shared" si="1"/>
        <v>PF</v>
      </c>
    </row>
    <row r="25">
      <c r="A25" s="90">
        <v>23.0</v>
      </c>
      <c r="B25" s="91" t="s">
        <v>116</v>
      </c>
      <c r="C25" s="92"/>
      <c r="D25" s="92"/>
      <c r="E25" s="84">
        <v>33.8</v>
      </c>
      <c r="F25" s="99">
        <v>-0.4</v>
      </c>
      <c r="G25" s="84">
        <v>98.9</v>
      </c>
      <c r="O25" t="str">
        <f>IFERROR(__xludf.DUMMYFUNCTION("regexextract(B25,""[\w]* [\w]*"")"),"Rudy Gobert")</f>
        <v>Rudy Gobert</v>
      </c>
      <c r="P25" t="str">
        <f t="shared" si="2"/>
        <v>Rudy Gobert</v>
      </c>
      <c r="Q25" t="str">
        <f t="shared" si="3"/>
        <v>Rudy Gobert</v>
      </c>
      <c r="R25" t="s">
        <v>94</v>
      </c>
      <c r="S25" s="60" t="s">
        <v>94</v>
      </c>
      <c r="T25" t="s">
        <v>94</v>
      </c>
      <c r="U25" t="s">
        <v>94</v>
      </c>
      <c r="V25" t="s">
        <v>47</v>
      </c>
      <c r="W25" t="str">
        <f t="shared" si="1"/>
        <v>C</v>
      </c>
    </row>
    <row r="26">
      <c r="A26" s="93">
        <v>24.0</v>
      </c>
      <c r="B26" s="94" t="s">
        <v>117</v>
      </c>
      <c r="C26" s="95"/>
      <c r="D26" s="95"/>
      <c r="E26" s="88">
        <v>25.6</v>
      </c>
      <c r="F26" s="98">
        <v>-0.8</v>
      </c>
      <c r="G26" s="88">
        <v>99.3</v>
      </c>
      <c r="O26" t="str">
        <f>IFERROR(__xludf.DUMMYFUNCTION("regexextract(B26,""[\w]* [\w]*"")"),"LaMelo Ball")</f>
        <v>LaMelo Ball</v>
      </c>
      <c r="P26" t="str">
        <f t="shared" si="2"/>
        <v>LaMelo Ball</v>
      </c>
      <c r="Q26" t="str">
        <f t="shared" si="3"/>
        <v>LaMelo Ball</v>
      </c>
      <c r="R26" t="s">
        <v>43</v>
      </c>
      <c r="S26" s="60" t="s">
        <v>94</v>
      </c>
      <c r="T26" t="s">
        <v>94</v>
      </c>
      <c r="U26" t="s">
        <v>94</v>
      </c>
      <c r="V26" t="s">
        <v>47</v>
      </c>
      <c r="W26" t="str">
        <f t="shared" si="1"/>
        <v>PGC</v>
      </c>
    </row>
    <row r="27">
      <c r="A27" s="90">
        <v>25.0</v>
      </c>
      <c r="B27" s="91" t="s">
        <v>118</v>
      </c>
      <c r="C27" s="92"/>
      <c r="D27" s="92"/>
      <c r="E27" s="84">
        <v>34.8</v>
      </c>
      <c r="F27" s="84">
        <v>0.0</v>
      </c>
      <c r="G27" s="84">
        <v>97.7</v>
      </c>
      <c r="O27" t="str">
        <f>IFERROR(__xludf.DUMMYFUNCTION("regexextract(B27,""[\w]* [\w]*"")"),"Jimmy Butler")</f>
        <v>Jimmy Butler</v>
      </c>
      <c r="P27" t="str">
        <f t="shared" si="2"/>
        <v>Jimmy Butler</v>
      </c>
      <c r="Q27" t="str">
        <f t="shared" si="3"/>
        <v>Jimmy Butler</v>
      </c>
      <c r="R27" t="s">
        <v>94</v>
      </c>
      <c r="S27" s="60" t="s">
        <v>44</v>
      </c>
      <c r="T27" t="s">
        <v>45</v>
      </c>
      <c r="U27" t="s">
        <v>94</v>
      </c>
      <c r="V27" t="s">
        <v>94</v>
      </c>
      <c r="W27" t="str">
        <f t="shared" si="1"/>
        <v>SGSF</v>
      </c>
    </row>
    <row r="28">
      <c r="A28" s="93">
        <v>26.0</v>
      </c>
      <c r="B28" s="94" t="s">
        <v>119</v>
      </c>
      <c r="C28" s="95"/>
      <c r="D28" s="96"/>
      <c r="E28" s="88">
        <v>28.0</v>
      </c>
      <c r="F28" s="98">
        <v>-0.1</v>
      </c>
      <c r="G28" s="88">
        <v>98.2</v>
      </c>
      <c r="O28" t="str">
        <f>IFERROR(__xludf.DUMMYFUNCTION("regexextract(B28,""[\w]* [\w]*"")"),"Shai Gilgeous")</f>
        <v>Shai Gilgeous</v>
      </c>
      <c r="P28" t="str">
        <f t="shared" si="2"/>
        <v>Shai Gilgeous</v>
      </c>
      <c r="Q28" t="str">
        <f t="shared" si="3"/>
        <v>Shai Gilgeous</v>
      </c>
      <c r="R28" t="s">
        <v>43</v>
      </c>
      <c r="S28" s="60" t="s">
        <v>44</v>
      </c>
      <c r="T28" t="s">
        <v>94</v>
      </c>
      <c r="U28" t="s">
        <v>94</v>
      </c>
      <c r="V28" t="s">
        <v>47</v>
      </c>
      <c r="W28" t="str">
        <f t="shared" si="1"/>
        <v>PGSGC</v>
      </c>
    </row>
    <row r="29">
      <c r="A29" s="90">
        <v>27.0</v>
      </c>
      <c r="B29" s="91" t="s">
        <v>120</v>
      </c>
      <c r="C29" s="92"/>
      <c r="D29" s="92"/>
      <c r="E29" s="84">
        <v>18.9</v>
      </c>
      <c r="F29" s="83">
        <f>+0.7</f>
        <v>0.7</v>
      </c>
      <c r="G29" s="84">
        <v>97.9</v>
      </c>
      <c r="O29" t="str">
        <f>IFERROR(__xludf.DUMMYFUNCTION("regexextract(B29,""[\w]* [\w]*"")"),"Dejounte Murray")</f>
        <v>Dejounte Murray</v>
      </c>
      <c r="P29" t="str">
        <f t="shared" si="2"/>
        <v>Dejounte Murray</v>
      </c>
      <c r="Q29" t="str">
        <f t="shared" si="3"/>
        <v>Dejounte Murray</v>
      </c>
      <c r="R29" t="s">
        <v>43</v>
      </c>
      <c r="S29" s="60" t="s">
        <v>44</v>
      </c>
      <c r="T29" t="s">
        <v>94</v>
      </c>
      <c r="U29" t="s">
        <v>94</v>
      </c>
      <c r="V29" t="s">
        <v>94</v>
      </c>
      <c r="W29" t="str">
        <f t="shared" si="1"/>
        <v>PGSG</v>
      </c>
    </row>
    <row r="30">
      <c r="A30" s="93">
        <v>28.0</v>
      </c>
      <c r="B30" s="94" t="s">
        <v>121</v>
      </c>
      <c r="C30" s="95"/>
      <c r="D30" s="96"/>
      <c r="E30" s="88">
        <v>19.0</v>
      </c>
      <c r="F30" s="98">
        <v>-0.5</v>
      </c>
      <c r="G30" s="88">
        <v>99.2</v>
      </c>
      <c r="O30" t="str">
        <f>IFERROR(__xludf.DUMMYFUNCTION("regexextract(B30,""[\w]* [\w]*"")"),"Bam Adebayo")</f>
        <v>Bam Adebayo</v>
      </c>
      <c r="P30" t="str">
        <f t="shared" si="2"/>
        <v>Bam Adebayo</v>
      </c>
      <c r="Q30" t="str">
        <f t="shared" si="3"/>
        <v>Bam Adebay</v>
      </c>
      <c r="R30" t="s">
        <v>94</v>
      </c>
      <c r="S30" s="60" t="s">
        <v>94</v>
      </c>
      <c r="T30" t="s">
        <v>94</v>
      </c>
      <c r="U30" t="s">
        <v>46</v>
      </c>
      <c r="V30" t="s">
        <v>47</v>
      </c>
      <c r="W30" t="str">
        <f t="shared" si="1"/>
        <v>PFC</v>
      </c>
    </row>
    <row r="31">
      <c r="A31" s="90">
        <v>29.0</v>
      </c>
      <c r="B31" s="91" t="s">
        <v>122</v>
      </c>
      <c r="C31" s="92"/>
      <c r="D31" s="92"/>
      <c r="E31" s="84">
        <v>18.7</v>
      </c>
      <c r="F31" s="99">
        <v>-0.4</v>
      </c>
      <c r="G31" s="84">
        <v>98.5</v>
      </c>
      <c r="O31" t="str">
        <f>IFERROR(__xludf.DUMMYFUNCTION("regexextract(B31,""[\w]* [\w]*"")"),"Jrue Holiday")</f>
        <v>Jrue Holiday</v>
      </c>
      <c r="P31" t="str">
        <f t="shared" si="2"/>
        <v>Jrue Holiday</v>
      </c>
      <c r="Q31" t="str">
        <f t="shared" si="3"/>
        <v>Jrue Holiday</v>
      </c>
      <c r="R31" t="s">
        <v>43</v>
      </c>
      <c r="S31" s="60" t="s">
        <v>44</v>
      </c>
      <c r="T31" t="s">
        <v>94</v>
      </c>
      <c r="U31" t="s">
        <v>94</v>
      </c>
      <c r="V31" t="s">
        <v>94</v>
      </c>
      <c r="W31" t="str">
        <f t="shared" si="1"/>
        <v>PGSG</v>
      </c>
    </row>
    <row r="32">
      <c r="A32" s="93">
        <v>30.0</v>
      </c>
      <c r="B32" s="94" t="s">
        <v>123</v>
      </c>
      <c r="C32" s="95"/>
      <c r="D32" s="96"/>
      <c r="E32" s="88">
        <v>21.3</v>
      </c>
      <c r="F32" s="89">
        <f>+0.2</f>
        <v>0.2</v>
      </c>
      <c r="G32" s="88">
        <v>95.1</v>
      </c>
      <c r="O32" t="str">
        <f>IFERROR(__xludf.DUMMYFUNCTION("regexextract(B32,""[\w]* [\w]*"")"),"Ben Simmons")</f>
        <v>Ben Simmons</v>
      </c>
      <c r="P32" t="str">
        <f t="shared" si="2"/>
        <v>Ben Simmons</v>
      </c>
      <c r="Q32" t="str">
        <f t="shared" si="3"/>
        <v>Ben Simmons</v>
      </c>
      <c r="R32" t="s">
        <v>43</v>
      </c>
      <c r="S32" s="60" t="s">
        <v>94</v>
      </c>
      <c r="T32" t="s">
        <v>94</v>
      </c>
      <c r="U32" t="s">
        <v>94</v>
      </c>
      <c r="V32" t="s">
        <v>94</v>
      </c>
      <c r="W32" t="str">
        <f t="shared" si="1"/>
        <v>PG</v>
      </c>
    </row>
    <row r="33">
      <c r="A33" s="90">
        <v>31.0</v>
      </c>
      <c r="B33" s="91" t="s">
        <v>124</v>
      </c>
      <c r="C33" s="92"/>
      <c r="D33" s="92"/>
      <c r="E33" s="84">
        <v>18.6</v>
      </c>
      <c r="F33" s="99">
        <v>-0.6</v>
      </c>
      <c r="G33" s="84">
        <v>99.0</v>
      </c>
      <c r="O33" t="str">
        <f>IFERROR(__xludf.DUMMYFUNCTION("regexextract(B33,""[\w]* [\w]*"")"),"Kyrie Irving")</f>
        <v>Kyrie Irving</v>
      </c>
      <c r="P33" t="str">
        <f t="shared" si="2"/>
        <v>Kyrie Irving</v>
      </c>
      <c r="Q33" t="str">
        <f t="shared" si="3"/>
        <v>Kyrie Irving</v>
      </c>
      <c r="R33" t="s">
        <v>43</v>
      </c>
      <c r="S33" s="60" t="s">
        <v>44</v>
      </c>
      <c r="T33" t="s">
        <v>94</v>
      </c>
      <c r="U33" t="s">
        <v>94</v>
      </c>
      <c r="V33" t="s">
        <v>94</v>
      </c>
      <c r="W33" t="str">
        <f t="shared" si="1"/>
        <v>PGSG</v>
      </c>
    </row>
    <row r="34">
      <c r="A34" s="93">
        <v>32.0</v>
      </c>
      <c r="B34" s="94" t="s">
        <v>125</v>
      </c>
      <c r="C34" s="95"/>
      <c r="D34" s="96"/>
      <c r="E34" s="88">
        <v>19.0</v>
      </c>
      <c r="F34" s="89">
        <f>+0.4</f>
        <v>0.4</v>
      </c>
      <c r="G34" s="88">
        <v>98.4</v>
      </c>
      <c r="O34" t="str">
        <f>IFERROR(__xludf.DUMMYFUNCTION("regexextract(B34,""[\w]* [\w]*"")"),"Michael Porter")</f>
        <v>Michael Porter</v>
      </c>
      <c r="P34" t="str">
        <f t="shared" si="2"/>
        <v>Michael Porter</v>
      </c>
      <c r="Q34" t="str">
        <f t="shared" si="3"/>
        <v>Michael Porter</v>
      </c>
      <c r="R34" t="s">
        <v>94</v>
      </c>
      <c r="S34" s="60" t="s">
        <v>94</v>
      </c>
      <c r="T34" t="s">
        <v>45</v>
      </c>
      <c r="U34" t="s">
        <v>46</v>
      </c>
      <c r="V34" t="s">
        <v>47</v>
      </c>
      <c r="W34" t="str">
        <f t="shared" si="1"/>
        <v>SFPFC</v>
      </c>
    </row>
    <row r="35">
      <c r="A35" s="90">
        <v>33.0</v>
      </c>
      <c r="B35" s="91" t="s">
        <v>126</v>
      </c>
      <c r="C35" s="92"/>
      <c r="D35" s="97"/>
      <c r="E35" s="84">
        <v>21.6</v>
      </c>
      <c r="F35" s="83">
        <f>+0.1</f>
        <v>0.1</v>
      </c>
      <c r="G35" s="84">
        <v>96.7</v>
      </c>
      <c r="O35" t="str">
        <f>IFERROR(__xludf.DUMMYFUNCTION("regexextract(B35,""[\w]* [\w]*"")"),"Chris PaulDTD")</f>
        <v>Chris PaulDTD</v>
      </c>
      <c r="P35" t="str">
        <f t="shared" si="2"/>
        <v>Chris Paul</v>
      </c>
      <c r="Q35" t="str">
        <f t="shared" si="3"/>
        <v>Chris Paul</v>
      </c>
      <c r="R35" t="s">
        <v>43</v>
      </c>
      <c r="S35" s="60" t="s">
        <v>94</v>
      </c>
      <c r="T35" t="s">
        <v>94</v>
      </c>
      <c r="U35" t="s">
        <v>94</v>
      </c>
      <c r="V35" t="s">
        <v>47</v>
      </c>
      <c r="W35" t="str">
        <f t="shared" si="1"/>
        <v>PGC</v>
      </c>
    </row>
    <row r="36">
      <c r="A36" s="93">
        <v>34.0</v>
      </c>
      <c r="B36" s="94" t="s">
        <v>127</v>
      </c>
      <c r="C36" s="95"/>
      <c r="D36" s="96"/>
      <c r="E36" s="88">
        <v>21.1</v>
      </c>
      <c r="F36" s="89">
        <f>+0.5</f>
        <v>0.5</v>
      </c>
      <c r="G36" s="88">
        <v>98.5</v>
      </c>
      <c r="O36" t="str">
        <f>IFERROR(__xludf.DUMMYFUNCTION("regexextract(B36,""[\w]* [\w]*"")"),"Russell WestbrookO")</f>
        <v>Russell WestbrookO</v>
      </c>
      <c r="P36" t="str">
        <f t="shared" si="2"/>
        <v>Russell WestbrookO</v>
      </c>
      <c r="Q36" t="str">
        <f t="shared" si="3"/>
        <v>Russell Westbrook</v>
      </c>
      <c r="R36" t="s">
        <v>43</v>
      </c>
      <c r="S36" s="60" t="s">
        <v>94</v>
      </c>
      <c r="T36" t="s">
        <v>94</v>
      </c>
      <c r="U36" t="s">
        <v>94</v>
      </c>
      <c r="V36" t="s">
        <v>94</v>
      </c>
      <c r="W36" t="str">
        <f t="shared" si="1"/>
        <v>PG</v>
      </c>
    </row>
    <row r="37">
      <c r="A37" s="90">
        <v>35.0</v>
      </c>
      <c r="B37" s="91" t="s">
        <v>128</v>
      </c>
      <c r="C37" s="92"/>
      <c r="D37" s="97"/>
      <c r="E37" s="84">
        <v>17.9</v>
      </c>
      <c r="F37" s="99">
        <v>-0.2</v>
      </c>
      <c r="G37" s="84">
        <v>96.5</v>
      </c>
      <c r="O37" t="str">
        <f>IFERROR(__xludf.DUMMYFUNCTION("regexextract(B37,""[\w]* [\w]*"")"),"Clint CapelaDTD")</f>
        <v>Clint CapelaDTD</v>
      </c>
      <c r="P37" t="str">
        <f t="shared" si="2"/>
        <v>Clint Capela</v>
      </c>
      <c r="Q37" t="str">
        <f t="shared" si="3"/>
        <v>Clint Capela</v>
      </c>
      <c r="R37" t="s">
        <v>94</v>
      </c>
      <c r="S37" s="60" t="s">
        <v>94</v>
      </c>
      <c r="T37" t="s">
        <v>94</v>
      </c>
      <c r="U37" t="s">
        <v>94</v>
      </c>
      <c r="V37" t="s">
        <v>47</v>
      </c>
      <c r="W37" t="str">
        <f t="shared" si="1"/>
        <v>C</v>
      </c>
    </row>
    <row r="38">
      <c r="A38" s="93">
        <v>36.0</v>
      </c>
      <c r="B38" s="94" t="s">
        <v>129</v>
      </c>
      <c r="C38" s="95"/>
      <c r="D38" s="95"/>
      <c r="E38" s="88">
        <v>19.8</v>
      </c>
      <c r="F38" s="89">
        <f>+0.1</f>
        <v>0.1</v>
      </c>
      <c r="G38" s="88">
        <v>91.5</v>
      </c>
      <c r="O38" t="str">
        <f>IFERROR(__xludf.DUMMYFUNCTION("regexextract(B38,""[\w]* [\w]*"")"),"Deandre Ayton")</f>
        <v>Deandre Ayton</v>
      </c>
      <c r="P38" t="str">
        <f t="shared" si="2"/>
        <v>Deandre Ayton</v>
      </c>
      <c r="Q38" t="str">
        <f t="shared" si="3"/>
        <v>Deandre Ayton</v>
      </c>
      <c r="R38" t="s">
        <v>94</v>
      </c>
      <c r="S38" s="60" t="s">
        <v>94</v>
      </c>
      <c r="T38" t="s">
        <v>94</v>
      </c>
      <c r="U38" t="s">
        <v>94</v>
      </c>
      <c r="V38" t="s">
        <v>47</v>
      </c>
      <c r="W38" t="str">
        <f t="shared" si="1"/>
        <v>C</v>
      </c>
    </row>
    <row r="39">
      <c r="A39" s="90">
        <v>37.0</v>
      </c>
      <c r="B39" s="91" t="s">
        <v>130</v>
      </c>
      <c r="C39" s="92"/>
      <c r="D39" s="92"/>
      <c r="E39" s="84">
        <v>23.0</v>
      </c>
      <c r="F39" s="99">
        <v>-0.6</v>
      </c>
      <c r="G39" s="84">
        <v>85.7</v>
      </c>
      <c r="O39" t="str">
        <f>IFERROR(__xludf.DUMMYFUNCTION("regexextract(B39,""[\w]* [\w]*"")"),"Tobias Harris")</f>
        <v>Tobias Harris</v>
      </c>
      <c r="P39" t="str">
        <f t="shared" si="2"/>
        <v>Tobias Harris</v>
      </c>
      <c r="Q39" t="str">
        <f t="shared" si="3"/>
        <v>Tobias Harris</v>
      </c>
      <c r="R39" t="s">
        <v>94</v>
      </c>
      <c r="S39" s="60" t="s">
        <v>94</v>
      </c>
      <c r="T39" t="s">
        <v>45</v>
      </c>
      <c r="U39" t="s">
        <v>46</v>
      </c>
      <c r="V39" t="s">
        <v>94</v>
      </c>
      <c r="W39" t="str">
        <f t="shared" si="1"/>
        <v>SFPF</v>
      </c>
    </row>
    <row r="40">
      <c r="A40" s="93">
        <v>38.0</v>
      </c>
      <c r="B40" s="94" t="s">
        <v>131</v>
      </c>
      <c r="C40" s="95"/>
      <c r="D40" s="95"/>
      <c r="E40" s="88">
        <v>14.4</v>
      </c>
      <c r="F40" s="98">
        <v>-0.5</v>
      </c>
      <c r="G40" s="88">
        <v>98.7</v>
      </c>
      <c r="O40" t="str">
        <f>IFERROR(__xludf.DUMMYFUNCTION("regexextract(B40,""[\w]* [\w]*"")"),"Devin Booker")</f>
        <v>Devin Booker</v>
      </c>
      <c r="P40" t="str">
        <f t="shared" si="2"/>
        <v>Devin Booker</v>
      </c>
      <c r="Q40" t="str">
        <f t="shared" si="3"/>
        <v>Devin Booker</v>
      </c>
      <c r="R40" t="s">
        <v>43</v>
      </c>
      <c r="S40" s="60" t="s">
        <v>44</v>
      </c>
      <c r="T40" t="s">
        <v>94</v>
      </c>
      <c r="U40" t="s">
        <v>94</v>
      </c>
      <c r="V40" t="s">
        <v>94</v>
      </c>
      <c r="W40" t="str">
        <f t="shared" si="1"/>
        <v>PGSG</v>
      </c>
    </row>
    <row r="41">
      <c r="A41" s="90">
        <v>39.0</v>
      </c>
      <c r="B41" s="91" t="s">
        <v>132</v>
      </c>
      <c r="C41" s="92"/>
      <c r="D41" s="97"/>
      <c r="E41" s="84">
        <v>16.3</v>
      </c>
      <c r="F41" s="99">
        <v>-0.4</v>
      </c>
      <c r="G41" s="84">
        <v>65.2</v>
      </c>
      <c r="O41" t="str">
        <f>IFERROR(__xludf.DUMMYFUNCTION("regexextract(B41,""[\w]* [\w]*"")"),"Khris Middleton")</f>
        <v>Khris Middleton</v>
      </c>
      <c r="P41" t="str">
        <f t="shared" si="2"/>
        <v>Khris Middleton</v>
      </c>
      <c r="Q41" t="str">
        <f t="shared" si="3"/>
        <v>Khris Middleton</v>
      </c>
      <c r="R41" t="s">
        <v>94</v>
      </c>
      <c r="S41" s="60" t="s">
        <v>44</v>
      </c>
      <c r="T41" t="s">
        <v>45</v>
      </c>
      <c r="U41" t="s">
        <v>94</v>
      </c>
      <c r="V41" t="s">
        <v>94</v>
      </c>
      <c r="W41" t="str">
        <f t="shared" si="1"/>
        <v>SGSF</v>
      </c>
    </row>
    <row r="42">
      <c r="A42" s="93">
        <v>40.0</v>
      </c>
      <c r="B42" s="94" t="s">
        <v>133</v>
      </c>
      <c r="C42" s="95"/>
      <c r="D42" s="96"/>
      <c r="E42" s="88">
        <v>12.6</v>
      </c>
      <c r="F42" s="89">
        <f t="shared" ref="F42:F43" si="6">+0.7</f>
        <v>0.7</v>
      </c>
      <c r="G42" s="88">
        <v>91.6</v>
      </c>
      <c r="O42" t="str">
        <f>IFERROR(__xludf.DUMMYFUNCTION("regexextract(B42,""[\w]* [\w]*"")"),"Christian Wood")</f>
        <v>Christian Wood</v>
      </c>
      <c r="P42" t="str">
        <f t="shared" si="2"/>
        <v>Christian Wood</v>
      </c>
      <c r="Q42" t="str">
        <f t="shared" si="3"/>
        <v>Christian Wood</v>
      </c>
      <c r="R42" t="s">
        <v>94</v>
      </c>
      <c r="S42" s="60" t="s">
        <v>94</v>
      </c>
      <c r="T42" t="s">
        <v>94</v>
      </c>
      <c r="U42" t="s">
        <v>46</v>
      </c>
      <c r="V42" t="s">
        <v>47</v>
      </c>
      <c r="W42" t="str">
        <f t="shared" si="1"/>
        <v>PFC</v>
      </c>
    </row>
    <row r="43">
      <c r="A43" s="90">
        <v>41.0</v>
      </c>
      <c r="B43" s="91" t="s">
        <v>134</v>
      </c>
      <c r="C43" s="92"/>
      <c r="D43" s="97"/>
      <c r="E43" s="84">
        <v>10.6</v>
      </c>
      <c r="F43" s="83">
        <f t="shared" si="6"/>
        <v>0.7</v>
      </c>
      <c r="G43" s="84">
        <v>96.1</v>
      </c>
      <c r="O43" t="str">
        <f>IFERROR(__xludf.DUMMYFUNCTION("regexextract(B43,""[\w]* [\w]*"")"),"Jaylen Brown")</f>
        <v>Jaylen Brown</v>
      </c>
      <c r="P43" t="str">
        <f t="shared" si="2"/>
        <v>Jaylen Brown</v>
      </c>
      <c r="Q43" t="str">
        <f t="shared" si="3"/>
        <v>Jaylen Brown</v>
      </c>
      <c r="R43" t="s">
        <v>94</v>
      </c>
      <c r="S43" s="60" t="s">
        <v>44</v>
      </c>
      <c r="T43" t="s">
        <v>45</v>
      </c>
      <c r="U43" t="s">
        <v>94</v>
      </c>
      <c r="V43" t="s">
        <v>94</v>
      </c>
      <c r="W43" t="str">
        <f t="shared" si="1"/>
        <v>SGSF</v>
      </c>
    </row>
    <row r="44">
      <c r="A44" s="93">
        <v>42.0</v>
      </c>
      <c r="B44" s="94" t="s">
        <v>135</v>
      </c>
      <c r="C44" s="95"/>
      <c r="D44" s="96"/>
      <c r="E44" s="88">
        <v>10.5</v>
      </c>
      <c r="F44" s="89">
        <f>+0.1</f>
        <v>0.1</v>
      </c>
      <c r="G44" s="88">
        <v>97.0</v>
      </c>
      <c r="O44" t="str">
        <f>IFERROR(__xludf.DUMMYFUNCTION("regexextract(B44,""[\w]* [\w]*"")"),"Lonzo Ball")</f>
        <v>Lonzo Ball</v>
      </c>
      <c r="P44" t="str">
        <f t="shared" si="2"/>
        <v>Lonzo Ball</v>
      </c>
      <c r="Q44" t="str">
        <f t="shared" si="3"/>
        <v>Lonzo Ball</v>
      </c>
      <c r="R44" t="s">
        <v>43</v>
      </c>
      <c r="S44" s="60" t="s">
        <v>94</v>
      </c>
      <c r="T44" t="s">
        <v>94</v>
      </c>
      <c r="U44" t="s">
        <v>94</v>
      </c>
      <c r="V44" t="s">
        <v>47</v>
      </c>
      <c r="W44" t="str">
        <f t="shared" si="1"/>
        <v>PGC</v>
      </c>
    </row>
    <row r="45">
      <c r="A45" s="90">
        <v>43.0</v>
      </c>
      <c r="B45" s="91" t="s">
        <v>136</v>
      </c>
      <c r="C45" s="92"/>
      <c r="D45" s="92"/>
      <c r="E45" s="84">
        <v>11.9</v>
      </c>
      <c r="F45" s="99">
        <v>-0.2</v>
      </c>
      <c r="G45" s="84">
        <v>94.2</v>
      </c>
      <c r="O45" t="str">
        <f>IFERROR(__xludf.DUMMYFUNCTION("regexextract(B45,""[\w]* [\w]*"")"),"Zach LaVine")</f>
        <v>Zach LaVine</v>
      </c>
      <c r="P45" t="str">
        <f t="shared" si="2"/>
        <v>Zach LaVine</v>
      </c>
      <c r="Q45" t="str">
        <f t="shared" si="3"/>
        <v>Zach LaVine</v>
      </c>
      <c r="R45" t="s">
        <v>94</v>
      </c>
      <c r="S45" s="60" t="s">
        <v>44</v>
      </c>
      <c r="T45" t="s">
        <v>94</v>
      </c>
      <c r="U45" t="s">
        <v>94</v>
      </c>
      <c r="V45" t="s">
        <v>47</v>
      </c>
      <c r="W45" t="str">
        <f t="shared" si="1"/>
        <v>SGC</v>
      </c>
    </row>
    <row r="46">
      <c r="A46" s="93">
        <v>44.0</v>
      </c>
      <c r="B46" s="94" t="s">
        <v>137</v>
      </c>
      <c r="C46" s="95"/>
      <c r="D46" s="96"/>
      <c r="E46" s="88">
        <v>9.7</v>
      </c>
      <c r="F46" s="98">
        <v>-0.2</v>
      </c>
      <c r="G46" s="88">
        <v>91.4</v>
      </c>
      <c r="O46" t="str">
        <f>IFERROR(__xludf.DUMMYFUNCTION("regexextract(B46,""[\w]* [\w]*"")"),"Ja Morant")</f>
        <v>Ja Morant</v>
      </c>
      <c r="P46" t="str">
        <f t="shared" si="2"/>
        <v>Ja Morant</v>
      </c>
      <c r="Q46" t="str">
        <f t="shared" si="3"/>
        <v>Ja Morant</v>
      </c>
      <c r="R46" t="s">
        <v>43</v>
      </c>
      <c r="S46" s="60" t="s">
        <v>94</v>
      </c>
      <c r="T46" t="s">
        <v>94</v>
      </c>
      <c r="U46" t="s">
        <v>94</v>
      </c>
      <c r="V46" t="s">
        <v>94</v>
      </c>
      <c r="W46" t="str">
        <f t="shared" si="1"/>
        <v>PG</v>
      </c>
    </row>
    <row r="47">
      <c r="A47" s="90">
        <v>45.0</v>
      </c>
      <c r="B47" s="91" t="s">
        <v>138</v>
      </c>
      <c r="C47" s="92"/>
      <c r="D47" s="92"/>
      <c r="E47" s="84">
        <v>13.3</v>
      </c>
      <c r="F47" s="99">
        <v>-0.4</v>
      </c>
      <c r="G47" s="84">
        <v>93.0</v>
      </c>
      <c r="O47" t="str">
        <f>IFERROR(__xludf.DUMMYFUNCTION("regexextract(B47,""[\w]* [\w]*"")"),"Brandon Ingram")</f>
        <v>Brandon Ingram</v>
      </c>
      <c r="P47" t="str">
        <f t="shared" si="2"/>
        <v>Brandon Ingram</v>
      </c>
      <c r="Q47" t="str">
        <f t="shared" si="3"/>
        <v>Brandon Ingram</v>
      </c>
      <c r="R47" t="s">
        <v>94</v>
      </c>
      <c r="S47" s="60" t="s">
        <v>94</v>
      </c>
      <c r="T47" t="s">
        <v>45</v>
      </c>
      <c r="U47" t="s">
        <v>46</v>
      </c>
      <c r="V47" t="s">
        <v>94</v>
      </c>
      <c r="W47" t="str">
        <f t="shared" si="1"/>
        <v>SFPF</v>
      </c>
    </row>
    <row r="48">
      <c r="A48" s="93">
        <v>46.0</v>
      </c>
      <c r="B48" s="94" t="s">
        <v>139</v>
      </c>
      <c r="C48" s="95"/>
      <c r="D48" s="95"/>
      <c r="E48" s="88">
        <v>13.8</v>
      </c>
      <c r="F48" s="98">
        <v>-0.1</v>
      </c>
      <c r="G48" s="88">
        <v>85.0</v>
      </c>
      <c r="O48" t="str">
        <f>IFERROR(__xludf.DUMMYFUNCTION("regexextract(B48,""[\w]* [\w]*"")"),"Caris LeVertO")</f>
        <v>Caris LeVertO</v>
      </c>
      <c r="P48" t="str">
        <f t="shared" si="2"/>
        <v>Caris LeVertO</v>
      </c>
      <c r="Q48" t="str">
        <f t="shared" si="3"/>
        <v>Caris LeVert</v>
      </c>
      <c r="R48" t="s">
        <v>94</v>
      </c>
      <c r="S48" s="60" t="s">
        <v>44</v>
      </c>
      <c r="T48" t="s">
        <v>45</v>
      </c>
      <c r="U48" t="s">
        <v>94</v>
      </c>
      <c r="V48" t="s">
        <v>47</v>
      </c>
      <c r="W48" t="str">
        <f t="shared" si="1"/>
        <v>SGSFC</v>
      </c>
    </row>
    <row r="49">
      <c r="A49" s="90">
        <v>47.0</v>
      </c>
      <c r="B49" s="91" t="s">
        <v>140</v>
      </c>
      <c r="C49" s="92"/>
      <c r="D49" s="97"/>
      <c r="E49" s="84">
        <v>9.1</v>
      </c>
      <c r="F49" s="83">
        <f>+0.3</f>
        <v>0.3</v>
      </c>
      <c r="G49" s="84">
        <v>93.2</v>
      </c>
      <c r="O49" t="str">
        <f>IFERROR(__xludf.DUMMYFUNCTION("regexextract(B49,""[\w]* [\w]*"")"),"CJ McCollum")</f>
        <v>CJ McCollum</v>
      </c>
      <c r="P49" t="str">
        <f t="shared" si="2"/>
        <v>CJ McCollum</v>
      </c>
      <c r="Q49" t="str">
        <f t="shared" si="3"/>
        <v>CJ McCollum</v>
      </c>
      <c r="R49" t="s">
        <v>94</v>
      </c>
      <c r="S49" s="60" t="s">
        <v>44</v>
      </c>
      <c r="T49" t="s">
        <v>94</v>
      </c>
      <c r="U49" t="s">
        <v>94</v>
      </c>
      <c r="V49" t="s">
        <v>47</v>
      </c>
      <c r="W49" t="str">
        <f t="shared" si="1"/>
        <v>SGC</v>
      </c>
    </row>
    <row r="50">
      <c r="A50" s="93">
        <v>48.0</v>
      </c>
      <c r="B50" s="94" t="s">
        <v>141</v>
      </c>
      <c r="C50" s="96"/>
      <c r="D50" s="96"/>
      <c r="O50" t="str">
        <f>IFERROR(__xludf.DUMMYFUNCTION("regexextract(B50,""[\w]* [\w]*"")"),"DeMar DeRozan")</f>
        <v>DeMar DeRozan</v>
      </c>
      <c r="P50" t="str">
        <f t="shared" si="2"/>
        <v>DeMar DeRozan</v>
      </c>
      <c r="Q50" t="str">
        <f t="shared" si="3"/>
        <v>DeMar DeRozan</v>
      </c>
      <c r="R50" t="s">
        <v>94</v>
      </c>
      <c r="S50" s="60" t="s">
        <v>44</v>
      </c>
      <c r="T50" t="s">
        <v>45</v>
      </c>
      <c r="U50" t="s">
        <v>94</v>
      </c>
      <c r="V50" t="s">
        <v>47</v>
      </c>
      <c r="W50" t="str">
        <f t="shared" si="1"/>
        <v>SGSFC</v>
      </c>
    </row>
    <row r="51">
      <c r="A51" s="90">
        <v>49.0</v>
      </c>
      <c r="B51" s="91" t="s">
        <v>142</v>
      </c>
      <c r="C51" s="92"/>
      <c r="D51" s="97"/>
      <c r="E51" s="84">
        <v>10.0</v>
      </c>
      <c r="F51" s="83">
        <f>+0.1</f>
        <v>0.1</v>
      </c>
      <c r="G51" s="84">
        <v>91.7</v>
      </c>
      <c r="O51" t="str">
        <f>IFERROR(__xludf.DUMMYFUNCTION("regexextract(B51,""[\w]* [\w]*"")"),"Collin Sexton")</f>
        <v>Collin Sexton</v>
      </c>
      <c r="P51" t="str">
        <f t="shared" si="2"/>
        <v>Collin Sexton</v>
      </c>
      <c r="Q51" t="str">
        <f t="shared" si="3"/>
        <v>Collin Sexton</v>
      </c>
      <c r="R51" t="s">
        <v>43</v>
      </c>
      <c r="S51" s="60" t="s">
        <v>44</v>
      </c>
      <c r="T51" t="s">
        <v>94</v>
      </c>
      <c r="U51" t="s">
        <v>94</v>
      </c>
      <c r="V51" t="s">
        <v>47</v>
      </c>
      <c r="W51" t="str">
        <f t="shared" si="1"/>
        <v>PGSGC</v>
      </c>
    </row>
    <row r="52">
      <c r="A52" s="93">
        <v>50.0</v>
      </c>
      <c r="B52" s="94" t="s">
        <v>143</v>
      </c>
      <c r="C52" s="95"/>
      <c r="D52" s="96"/>
      <c r="E52" s="88">
        <v>9.6</v>
      </c>
      <c r="F52" s="98">
        <v>-0.2</v>
      </c>
      <c r="G52" s="88">
        <v>93.6</v>
      </c>
      <c r="O52" t="str">
        <f>IFERROR(__xludf.DUMMYFUNCTION("regexextract(B52,""[\w]* [\w]*"")"),"Montrezl Harrell")</f>
        <v>Montrezl Harrell</v>
      </c>
      <c r="P52" t="str">
        <f t="shared" si="2"/>
        <v>Montrezl Harrell</v>
      </c>
      <c r="Q52" t="str">
        <f t="shared" si="3"/>
        <v>Montrezl Harrell</v>
      </c>
      <c r="R52" t="s">
        <v>94</v>
      </c>
      <c r="S52" s="60" t="s">
        <v>94</v>
      </c>
      <c r="T52" t="s">
        <v>94</v>
      </c>
      <c r="U52" t="s">
        <v>46</v>
      </c>
      <c r="V52" t="s">
        <v>47</v>
      </c>
      <c r="W52" t="str">
        <f t="shared" si="1"/>
        <v>PFC</v>
      </c>
    </row>
    <row r="53">
      <c r="A53" s="82" t="s">
        <v>87</v>
      </c>
      <c r="C53" s="82" t="s">
        <v>88</v>
      </c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t="str">
        <f>IFERROR(__xludf.DUMMYFUNCTION("regexextract(B53,""[\w]* [\w]*"")"),"#N/A")</f>
        <v>#N/A</v>
      </c>
      <c r="P53" t="str">
        <f t="shared" si="2"/>
        <v>#N/A</v>
      </c>
      <c r="Q53" t="str">
        <f t="shared" si="3"/>
        <v>#N/A</v>
      </c>
      <c r="R53" t="s">
        <v>94</v>
      </c>
      <c r="S53" s="60" t="s">
        <v>94</v>
      </c>
      <c r="T53" t="s">
        <v>94</v>
      </c>
      <c r="U53" t="s">
        <v>94</v>
      </c>
      <c r="V53" t="s">
        <v>94</v>
      </c>
      <c r="W53" t="str">
        <f t="shared" si="1"/>
        <v/>
      </c>
    </row>
    <row r="54">
      <c r="A54" s="85" t="s">
        <v>89</v>
      </c>
      <c r="B54" s="86" t="s">
        <v>90</v>
      </c>
      <c r="C54" s="85" t="s">
        <v>91</v>
      </c>
      <c r="D54" s="87" t="s">
        <v>92</v>
      </c>
      <c r="E54" s="101"/>
      <c r="F54" s="102"/>
      <c r="G54" s="101"/>
      <c r="H54" s="101"/>
      <c r="I54" s="101"/>
      <c r="J54" s="101"/>
      <c r="K54" s="101"/>
      <c r="L54" s="101"/>
      <c r="M54" s="101"/>
      <c r="N54" s="103"/>
      <c r="O54" t="str">
        <f>IFERROR(__xludf.DUMMYFUNCTION("regexextract(B54,""[\w]* [\w]*"")"),"#N/A")</f>
        <v>#N/A</v>
      </c>
      <c r="P54" t="str">
        <f t="shared" si="2"/>
        <v>#N/A</v>
      </c>
      <c r="Q54" t="str">
        <f t="shared" si="3"/>
        <v>#N/A</v>
      </c>
      <c r="R54" t="s">
        <v>94</v>
      </c>
      <c r="S54" s="60" t="s">
        <v>94</v>
      </c>
      <c r="T54" t="s">
        <v>94</v>
      </c>
      <c r="U54" t="s">
        <v>94</v>
      </c>
      <c r="V54" t="s">
        <v>94</v>
      </c>
      <c r="W54" t="str">
        <f t="shared" si="1"/>
        <v/>
      </c>
    </row>
    <row r="55">
      <c r="A55" s="90">
        <v>51.0</v>
      </c>
      <c r="B55" s="91" t="s">
        <v>144</v>
      </c>
      <c r="C55" s="92"/>
      <c r="D55" s="92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t="str">
        <f>IFERROR(__xludf.DUMMYFUNCTION("regexextract(B55,""[\w]* [\w]*"")"),"Terry Rozier")</f>
        <v>Terry Rozier</v>
      </c>
      <c r="P55" t="str">
        <f t="shared" si="2"/>
        <v>Terry Rozier</v>
      </c>
      <c r="Q55" t="str">
        <f t="shared" si="3"/>
        <v>Terry Rozier</v>
      </c>
      <c r="R55" t="s">
        <v>43</v>
      </c>
      <c r="S55" s="60" t="s">
        <v>44</v>
      </c>
      <c r="T55" t="s">
        <v>94</v>
      </c>
      <c r="U55" t="s">
        <v>94</v>
      </c>
      <c r="V55" t="s">
        <v>47</v>
      </c>
      <c r="W55" t="str">
        <f t="shared" si="1"/>
        <v>PGSGC</v>
      </c>
    </row>
    <row r="56">
      <c r="A56" s="93">
        <v>52.0</v>
      </c>
      <c r="B56" s="94" t="s">
        <v>145</v>
      </c>
      <c r="C56" s="95"/>
      <c r="D56" s="9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t="str">
        <f>IFERROR(__xludf.DUMMYFUNCTION("regexextract(B56,""[\w]* [\w]*"")"),"Jusuf Nurkic")</f>
        <v>Jusuf Nurkic</v>
      </c>
      <c r="P56" t="str">
        <f t="shared" si="2"/>
        <v>Jusuf Nurkic</v>
      </c>
      <c r="Q56" t="str">
        <f t="shared" si="3"/>
        <v>Jusuf Nurkic</v>
      </c>
      <c r="R56" t="s">
        <v>94</v>
      </c>
      <c r="S56" s="60" t="s">
        <v>94</v>
      </c>
      <c r="T56" t="s">
        <v>94</v>
      </c>
      <c r="U56" t="s">
        <v>94</v>
      </c>
      <c r="V56" t="s">
        <v>47</v>
      </c>
      <c r="W56" t="str">
        <f t="shared" si="1"/>
        <v>C</v>
      </c>
    </row>
    <row r="57">
      <c r="A57" s="90">
        <v>53.0</v>
      </c>
      <c r="B57" s="91" t="s">
        <v>146</v>
      </c>
      <c r="C57" s="92"/>
      <c r="D57" s="92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t="str">
        <f>IFERROR(__xludf.DUMMYFUNCTION("regexextract(B57,""[\w]* [\w]*"")"),"Pascal SiakamO")</f>
        <v>Pascal SiakamO</v>
      </c>
      <c r="P57" t="str">
        <f t="shared" si="2"/>
        <v>Pascal SiakamO</v>
      </c>
      <c r="Q57" t="str">
        <f t="shared" si="3"/>
        <v>Pascal Siakam</v>
      </c>
      <c r="R57" t="s">
        <v>94</v>
      </c>
      <c r="S57" s="60" t="s">
        <v>94</v>
      </c>
      <c r="T57" t="s">
        <v>94</v>
      </c>
      <c r="U57" t="s">
        <v>46</v>
      </c>
      <c r="V57" t="s">
        <v>47</v>
      </c>
      <c r="W57" t="str">
        <f t="shared" si="1"/>
        <v>PFC</v>
      </c>
    </row>
    <row r="58">
      <c r="A58" s="93">
        <v>54.0</v>
      </c>
      <c r="B58" s="94" t="s">
        <v>147</v>
      </c>
      <c r="C58" s="95"/>
      <c r="D58" s="9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t="str">
        <f>IFERROR(__xludf.DUMMYFUNCTION("regexextract(B58,""[\w]* [\w]*"")"),"Draymond Green")</f>
        <v>Draymond Green</v>
      </c>
      <c r="P58" t="str">
        <f t="shared" si="2"/>
        <v>Draymond Green</v>
      </c>
      <c r="Q58" t="str">
        <f t="shared" si="3"/>
        <v>Draymond Green</v>
      </c>
      <c r="R58" t="s">
        <v>94</v>
      </c>
      <c r="S58" s="60" t="s">
        <v>94</v>
      </c>
      <c r="T58" t="s">
        <v>94</v>
      </c>
      <c r="U58" t="s">
        <v>46</v>
      </c>
      <c r="V58" t="s">
        <v>94</v>
      </c>
      <c r="W58" t="str">
        <f t="shared" si="1"/>
        <v>PF</v>
      </c>
    </row>
    <row r="59">
      <c r="A59" s="90">
        <v>55.0</v>
      </c>
      <c r="B59" s="91" t="s">
        <v>148</v>
      </c>
      <c r="C59" s="92"/>
      <c r="D59" s="92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t="str">
        <f>IFERROR(__xludf.DUMMYFUNCTION("regexextract(B59,""[\w]* [\w]*"")"),"Jakob Poeltl")</f>
        <v>Jakob Poeltl</v>
      </c>
      <c r="P59" t="str">
        <f t="shared" si="2"/>
        <v>Jakob Poeltl</v>
      </c>
      <c r="Q59" t="str">
        <f t="shared" si="3"/>
        <v>Jakob Poeltl</v>
      </c>
      <c r="R59" t="s">
        <v>94</v>
      </c>
      <c r="S59" s="60" t="s">
        <v>94</v>
      </c>
      <c r="T59" t="s">
        <v>94</v>
      </c>
      <c r="U59" t="s">
        <v>94</v>
      </c>
      <c r="V59" t="s">
        <v>47</v>
      </c>
      <c r="W59" t="str">
        <f t="shared" si="1"/>
        <v>C</v>
      </c>
    </row>
    <row r="60">
      <c r="A60" s="93">
        <v>56.0</v>
      </c>
      <c r="B60" s="94" t="s">
        <v>149</v>
      </c>
      <c r="C60" s="95"/>
      <c r="D60" s="9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t="str">
        <f>IFERROR(__xludf.DUMMYFUNCTION("regexextract(B60,""[\w]* [\w]*"")"),"Anthony Edwards")</f>
        <v>Anthony Edwards</v>
      </c>
      <c r="P60" t="str">
        <f t="shared" si="2"/>
        <v>Anthony Edwards</v>
      </c>
      <c r="Q60" t="str">
        <f t="shared" si="3"/>
        <v>Anthony Edwards</v>
      </c>
      <c r="R60" t="s">
        <v>94</v>
      </c>
      <c r="S60" s="60" t="s">
        <v>44</v>
      </c>
      <c r="T60" t="s">
        <v>45</v>
      </c>
      <c r="U60" t="s">
        <v>94</v>
      </c>
      <c r="V60" t="s">
        <v>94</v>
      </c>
      <c r="W60" t="str">
        <f t="shared" si="1"/>
        <v>SGSF</v>
      </c>
    </row>
    <row r="61">
      <c r="A61" s="90">
        <v>57.0</v>
      </c>
      <c r="B61" s="91" t="s">
        <v>150</v>
      </c>
      <c r="C61" s="92"/>
      <c r="D61" s="92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t="str">
        <f>IFERROR(__xludf.DUMMYFUNCTION("regexextract(B61,""[\w]* [\w]*"")"),"Robert Williams")</f>
        <v>Robert Williams</v>
      </c>
      <c r="P61" t="str">
        <f t="shared" si="2"/>
        <v>Robert Williams</v>
      </c>
      <c r="Q61" t="str">
        <f t="shared" si="3"/>
        <v>Robert Williams</v>
      </c>
      <c r="R61" t="s">
        <v>94</v>
      </c>
      <c r="S61" s="60" t="s">
        <v>94</v>
      </c>
      <c r="T61" t="s">
        <v>94</v>
      </c>
      <c r="U61" t="s">
        <v>46</v>
      </c>
      <c r="V61" t="s">
        <v>47</v>
      </c>
      <c r="W61" t="str">
        <f t="shared" si="1"/>
        <v>PFC</v>
      </c>
    </row>
    <row r="62">
      <c r="A62" s="93">
        <v>58.0</v>
      </c>
      <c r="B62" s="94" t="s">
        <v>151</v>
      </c>
      <c r="C62" s="95"/>
      <c r="D62" s="95"/>
      <c r="E62" s="105"/>
      <c r="F62" s="105"/>
      <c r="G62" s="105"/>
      <c r="H62" s="105"/>
      <c r="I62" s="105"/>
      <c r="J62" s="105"/>
      <c r="K62" s="105"/>
      <c r="L62" s="105"/>
      <c r="M62" s="105"/>
      <c r="N62" s="106"/>
      <c r="O62" t="str">
        <f>IFERROR(__xludf.DUMMYFUNCTION("regexextract(B62,""[\w]* [\w]*"")"),"Tyrese Haliburton")</f>
        <v>Tyrese Haliburton</v>
      </c>
      <c r="P62" t="str">
        <f t="shared" si="2"/>
        <v>Tyrese Haliburton</v>
      </c>
      <c r="Q62" t="str">
        <f t="shared" si="3"/>
        <v>Tyrese Haliburton</v>
      </c>
      <c r="R62" t="s">
        <v>43</v>
      </c>
      <c r="S62" s="60" t="s">
        <v>44</v>
      </c>
      <c r="T62" t="s">
        <v>94</v>
      </c>
      <c r="U62" t="s">
        <v>94</v>
      </c>
      <c r="V62" t="s">
        <v>47</v>
      </c>
      <c r="W62" t="str">
        <f t="shared" si="1"/>
        <v>PGSGC</v>
      </c>
    </row>
    <row r="63">
      <c r="A63" s="90">
        <v>59.0</v>
      </c>
      <c r="B63" s="91" t="s">
        <v>152</v>
      </c>
      <c r="C63" s="92"/>
      <c r="D63" s="92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t="str">
        <f>IFERROR(__xludf.DUMMYFUNCTION("regexextract(B63,""[\w]* [\w]*"")"),"Kyle Lowry")</f>
        <v>Kyle Lowry</v>
      </c>
      <c r="P63" t="str">
        <f t="shared" si="2"/>
        <v>Kyle Lowry</v>
      </c>
      <c r="Q63" t="str">
        <f t="shared" si="3"/>
        <v>Kyle Lowry</v>
      </c>
      <c r="R63" t="s">
        <v>43</v>
      </c>
      <c r="S63" s="60" t="s">
        <v>94</v>
      </c>
      <c r="T63" t="s">
        <v>94</v>
      </c>
      <c r="U63" t="s">
        <v>94</v>
      </c>
      <c r="V63" t="s">
        <v>94</v>
      </c>
      <c r="W63" t="str">
        <f t="shared" si="1"/>
        <v>PG</v>
      </c>
    </row>
    <row r="64">
      <c r="A64" s="93">
        <v>60.0</v>
      </c>
      <c r="B64" s="94" t="s">
        <v>153</v>
      </c>
      <c r="C64" s="95"/>
      <c r="D64" s="9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t="str">
        <f>IFERROR(__xludf.DUMMYFUNCTION("regexextract(B64,""[\w]* [\w]*"")"),"Jalen Suggs")</f>
        <v>Jalen Suggs</v>
      </c>
      <c r="P64" t="str">
        <f t="shared" si="2"/>
        <v>Jalen Suggs</v>
      </c>
      <c r="Q64" t="str">
        <f t="shared" si="3"/>
        <v>Jalen Suggs</v>
      </c>
      <c r="R64" t="s">
        <v>43</v>
      </c>
      <c r="S64" s="60" t="s">
        <v>44</v>
      </c>
      <c r="T64" t="s">
        <v>94</v>
      </c>
      <c r="U64" t="s">
        <v>94</v>
      </c>
      <c r="V64" t="s">
        <v>94</v>
      </c>
      <c r="W64" t="str">
        <f t="shared" si="1"/>
        <v>PGSG</v>
      </c>
    </row>
    <row r="65">
      <c r="A65" s="90">
        <v>61.0</v>
      </c>
      <c r="B65" s="91" t="s">
        <v>154</v>
      </c>
      <c r="C65" s="92"/>
      <c r="D65" s="92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t="str">
        <f>IFERROR(__xludf.DUMMYFUNCTION("regexextract(B65,""[\w]* [\w]*"")"),"Derrick White")</f>
        <v>Derrick White</v>
      </c>
      <c r="P65" t="str">
        <f t="shared" si="2"/>
        <v>Derrick White</v>
      </c>
      <c r="Q65" t="str">
        <f t="shared" si="3"/>
        <v>Derrick White</v>
      </c>
      <c r="R65" t="s">
        <v>43</v>
      </c>
      <c r="S65" s="60" t="s">
        <v>44</v>
      </c>
      <c r="T65" t="s">
        <v>94</v>
      </c>
      <c r="U65" t="s">
        <v>94</v>
      </c>
      <c r="V65" t="s">
        <v>47</v>
      </c>
      <c r="W65" t="str">
        <f t="shared" si="1"/>
        <v>PGSGC</v>
      </c>
    </row>
    <row r="66">
      <c r="A66" s="93">
        <v>62.0</v>
      </c>
      <c r="B66" s="94" t="s">
        <v>155</v>
      </c>
      <c r="C66" s="95"/>
      <c r="D66" s="95"/>
      <c r="E66" s="105"/>
      <c r="F66" s="105"/>
      <c r="G66" s="105"/>
      <c r="H66" s="105"/>
      <c r="I66" s="105"/>
      <c r="J66" s="105"/>
      <c r="K66" s="105"/>
      <c r="L66" s="105"/>
      <c r="M66" s="105"/>
      <c r="N66" s="106"/>
      <c r="O66" t="str">
        <f>IFERROR(__xludf.DUMMYFUNCTION("regexextract(B66,""[\w]* [\w]*"")"),"Cade CunninghamDTD")</f>
        <v>Cade CunninghamDTD</v>
      </c>
      <c r="P66" t="str">
        <f t="shared" si="2"/>
        <v>Cade Cunningham</v>
      </c>
      <c r="Q66" t="str">
        <f t="shared" si="3"/>
        <v>Cade Cunningham</v>
      </c>
      <c r="R66" t="s">
        <v>43</v>
      </c>
      <c r="S66" s="60" t="s">
        <v>94</v>
      </c>
      <c r="T66" t="s">
        <v>94</v>
      </c>
      <c r="U66" t="s">
        <v>94</v>
      </c>
      <c r="V66" t="s">
        <v>47</v>
      </c>
      <c r="W66" t="str">
        <f t="shared" si="1"/>
        <v>PGC</v>
      </c>
    </row>
    <row r="67">
      <c r="A67" s="90">
        <v>63.0</v>
      </c>
      <c r="B67" s="91" t="s">
        <v>156</v>
      </c>
      <c r="C67" s="92"/>
      <c r="D67" s="92"/>
      <c r="E67" s="104"/>
      <c r="F67" s="104"/>
      <c r="G67" s="104"/>
      <c r="H67" s="104"/>
      <c r="I67" s="104"/>
      <c r="J67" s="104"/>
      <c r="K67" s="104"/>
      <c r="L67" s="104"/>
      <c r="M67" s="104"/>
      <c r="N67" s="107"/>
      <c r="O67" t="str">
        <f>IFERROR(__xludf.DUMMYFUNCTION("regexextract(B67,""[\w]* [\w]*"")"),"Buddy Hield")</f>
        <v>Buddy Hield</v>
      </c>
      <c r="P67" t="str">
        <f t="shared" si="2"/>
        <v>Buddy Hield</v>
      </c>
      <c r="Q67" t="str">
        <f t="shared" si="3"/>
        <v>Buddy Hield</v>
      </c>
      <c r="R67" t="s">
        <v>94</v>
      </c>
      <c r="S67" s="60" t="s">
        <v>44</v>
      </c>
      <c r="T67" t="s">
        <v>45</v>
      </c>
      <c r="U67" t="s">
        <v>94</v>
      </c>
      <c r="V67" t="s">
        <v>47</v>
      </c>
      <c r="W67" t="str">
        <f t="shared" si="1"/>
        <v>SGSFC</v>
      </c>
    </row>
    <row r="68">
      <c r="A68" s="93">
        <v>64.0</v>
      </c>
      <c r="B68" s="94" t="s">
        <v>157</v>
      </c>
      <c r="C68" s="95"/>
      <c r="D68" s="95"/>
      <c r="E68" s="105"/>
      <c r="F68" s="105"/>
      <c r="G68" s="105"/>
      <c r="H68" s="105"/>
      <c r="I68" s="105"/>
      <c r="J68" s="105"/>
      <c r="K68" s="105"/>
      <c r="L68" s="105"/>
      <c r="M68" s="105"/>
      <c r="N68" s="106"/>
      <c r="O68" t="str">
        <f>IFERROR(__xludf.DUMMYFUNCTION("regexextract(B68,""[\w]* [\w]*"")"),"Jarrett AllenDTD")</f>
        <v>Jarrett AllenDTD</v>
      </c>
      <c r="P68" t="str">
        <f t="shared" si="2"/>
        <v>Jarrett Allen</v>
      </c>
      <c r="Q68" t="str">
        <f t="shared" si="3"/>
        <v>Jarrett Allen</v>
      </c>
      <c r="R68" t="s">
        <v>94</v>
      </c>
      <c r="S68" s="60" t="s">
        <v>94</v>
      </c>
      <c r="T68" t="s">
        <v>94</v>
      </c>
      <c r="U68" t="s">
        <v>94</v>
      </c>
      <c r="V68" t="s">
        <v>47</v>
      </c>
      <c r="W68" t="str">
        <f t="shared" si="1"/>
        <v>C</v>
      </c>
    </row>
    <row r="69">
      <c r="A69" s="90">
        <v>65.0</v>
      </c>
      <c r="B69" s="91" t="s">
        <v>158</v>
      </c>
      <c r="C69" s="92"/>
      <c r="D69" s="92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t="str">
        <f>IFERROR(__xludf.DUMMYFUNCTION("regexextract(B69,""[\w]* [\w]*"")"),"Malcolm Brogdon")</f>
        <v>Malcolm Brogdon</v>
      </c>
      <c r="P69" t="str">
        <f t="shared" si="2"/>
        <v>Malcolm Brogdon</v>
      </c>
      <c r="Q69" t="str">
        <f t="shared" si="3"/>
        <v>Malcolm Brogdon</v>
      </c>
      <c r="R69" t="s">
        <v>43</v>
      </c>
      <c r="S69" s="60" t="s">
        <v>44</v>
      </c>
      <c r="T69" t="s">
        <v>94</v>
      </c>
      <c r="U69" t="s">
        <v>94</v>
      </c>
      <c r="V69" t="s">
        <v>47</v>
      </c>
      <c r="W69" t="str">
        <f t="shared" si="1"/>
        <v>PGSGC</v>
      </c>
    </row>
    <row r="70">
      <c r="A70" s="93">
        <v>66.0</v>
      </c>
      <c r="B70" s="94" t="s">
        <v>159</v>
      </c>
      <c r="C70" s="95"/>
      <c r="D70" s="9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t="str">
        <f>IFERROR(__xludf.DUMMYFUNCTION("regexextract(B70,""[\w]* [\w]*"")"),"Spencer Dinwiddie")</f>
        <v>Spencer Dinwiddie</v>
      </c>
      <c r="P70" t="str">
        <f t="shared" si="2"/>
        <v>Spencer Dinwiddie</v>
      </c>
      <c r="Q70" t="str">
        <f t="shared" si="3"/>
        <v>Spencer Dinwiddie</v>
      </c>
      <c r="R70" t="s">
        <v>43</v>
      </c>
      <c r="S70" s="60" t="s">
        <v>44</v>
      </c>
      <c r="T70" t="s">
        <v>94</v>
      </c>
      <c r="U70" t="s">
        <v>94</v>
      </c>
      <c r="V70" t="s">
        <v>47</v>
      </c>
      <c r="W70" t="str">
        <f t="shared" si="1"/>
        <v>PGSGC</v>
      </c>
    </row>
    <row r="71">
      <c r="A71" s="90">
        <v>67.0</v>
      </c>
      <c r="B71" s="91" t="s">
        <v>160</v>
      </c>
      <c r="C71" s="92"/>
      <c r="D71" s="92"/>
      <c r="E71" s="104"/>
      <c r="F71" s="104"/>
      <c r="G71" s="104"/>
      <c r="H71" s="104"/>
      <c r="I71" s="104"/>
      <c r="J71" s="104"/>
      <c r="K71" s="104"/>
      <c r="L71" s="104"/>
      <c r="M71" s="104"/>
      <c r="N71" s="107"/>
      <c r="O71" t="str">
        <f>IFERROR(__xludf.DUMMYFUNCTION("regexextract(B71,""[\w]* [\w]*"")"),"Jonathan IsaacO")</f>
        <v>Jonathan IsaacO</v>
      </c>
      <c r="P71" t="str">
        <f t="shared" si="2"/>
        <v>Jonathan IsaacO</v>
      </c>
      <c r="Q71" t="str">
        <f t="shared" si="3"/>
        <v>Jonathan Isaac</v>
      </c>
      <c r="R71" t="s">
        <v>94</v>
      </c>
      <c r="S71" s="60" t="s">
        <v>94</v>
      </c>
      <c r="T71" t="s">
        <v>45</v>
      </c>
      <c r="U71" t="s">
        <v>46</v>
      </c>
      <c r="V71" t="s">
        <v>47</v>
      </c>
      <c r="W71" t="str">
        <f t="shared" si="1"/>
        <v>SFPFC</v>
      </c>
    </row>
    <row r="72">
      <c r="A72" s="93">
        <v>68.0</v>
      </c>
      <c r="B72" s="94" t="s">
        <v>161</v>
      </c>
      <c r="C72" s="95"/>
      <c r="D72" s="95"/>
      <c r="E72" s="105"/>
      <c r="F72" s="105"/>
      <c r="G72" s="105"/>
      <c r="H72" s="105"/>
      <c r="I72" s="105"/>
      <c r="J72" s="105"/>
      <c r="K72" s="105"/>
      <c r="L72" s="105"/>
      <c r="M72" s="105"/>
      <c r="N72" s="106"/>
      <c r="O72" t="str">
        <f>IFERROR(__xludf.DUMMYFUNCTION("regexextract(B72,""[\w]* [\w]*"")"),"Angelo Russell")</f>
        <v>Angelo Russell</v>
      </c>
      <c r="P72" t="str">
        <f t="shared" si="2"/>
        <v>Angelo Russell</v>
      </c>
      <c r="Q72" t="str">
        <f t="shared" si="3"/>
        <v>Angelo Russell</v>
      </c>
      <c r="R72" t="s">
        <v>43</v>
      </c>
      <c r="S72" s="60" t="s">
        <v>44</v>
      </c>
      <c r="T72" t="s">
        <v>94</v>
      </c>
      <c r="U72" t="s">
        <v>94</v>
      </c>
      <c r="V72" t="s">
        <v>94</v>
      </c>
      <c r="W72" t="str">
        <f t="shared" si="1"/>
        <v>PGSG</v>
      </c>
    </row>
    <row r="73">
      <c r="A73" s="90">
        <v>69.0</v>
      </c>
      <c r="B73" s="91" t="s">
        <v>162</v>
      </c>
      <c r="C73" s="92"/>
      <c r="D73" s="92"/>
      <c r="E73" s="104"/>
      <c r="F73" s="104"/>
      <c r="G73" s="104"/>
      <c r="H73" s="104"/>
      <c r="I73" s="104"/>
      <c r="J73" s="104"/>
      <c r="K73" s="104"/>
      <c r="L73" s="104"/>
      <c r="M73" s="104"/>
      <c r="N73" s="107"/>
      <c r="O73" t="str">
        <f>IFERROR(__xludf.DUMMYFUNCTION("regexextract(B73,""[\w]* [\w]*"")"),"Kemba Walker")</f>
        <v>Kemba Walker</v>
      </c>
      <c r="P73" t="str">
        <f t="shared" si="2"/>
        <v>Kemba Walker</v>
      </c>
      <c r="Q73" t="str">
        <f t="shared" si="3"/>
        <v>Kemba Walker</v>
      </c>
      <c r="R73" t="s">
        <v>43</v>
      </c>
      <c r="S73" s="60" t="s">
        <v>94</v>
      </c>
      <c r="T73" t="s">
        <v>94</v>
      </c>
      <c r="U73" t="s">
        <v>94</v>
      </c>
      <c r="V73" t="s">
        <v>94</v>
      </c>
      <c r="W73" t="str">
        <f t="shared" si="1"/>
        <v>PG</v>
      </c>
    </row>
    <row r="74">
      <c r="A74" s="93">
        <v>70.0</v>
      </c>
      <c r="B74" s="94" t="s">
        <v>163</v>
      </c>
      <c r="C74" s="95"/>
      <c r="D74" s="95"/>
      <c r="E74" s="105"/>
      <c r="F74" s="105"/>
      <c r="G74" s="105"/>
      <c r="H74" s="105"/>
      <c r="I74" s="105"/>
      <c r="J74" s="105"/>
      <c r="K74" s="105"/>
      <c r="L74" s="105"/>
      <c r="M74" s="105"/>
      <c r="N74" s="106"/>
      <c r="O74" t="str">
        <f>IFERROR(__xludf.DUMMYFUNCTION("regexextract(B74,""[\w]* [\w]*"")"),"Andrew Wiggins")</f>
        <v>Andrew Wiggins</v>
      </c>
      <c r="P74" t="str">
        <f t="shared" si="2"/>
        <v>Andrew Wiggins</v>
      </c>
      <c r="Q74" t="str">
        <f t="shared" si="3"/>
        <v>Andrew Wiggins</v>
      </c>
      <c r="R74" t="s">
        <v>94</v>
      </c>
      <c r="S74" s="60" t="s">
        <v>44</v>
      </c>
      <c r="T74" t="s">
        <v>45</v>
      </c>
      <c r="U74" t="s">
        <v>94</v>
      </c>
      <c r="V74" t="s">
        <v>94</v>
      </c>
      <c r="W74" t="str">
        <f t="shared" si="1"/>
        <v>SGSF</v>
      </c>
    </row>
    <row r="75">
      <c r="A75" s="90">
        <v>71.0</v>
      </c>
      <c r="B75" s="91" t="s">
        <v>164</v>
      </c>
      <c r="C75" s="92"/>
      <c r="D75" s="92"/>
      <c r="E75" s="104"/>
      <c r="F75" s="104"/>
      <c r="G75" s="104"/>
      <c r="H75" s="104"/>
      <c r="I75" s="104"/>
      <c r="J75" s="104"/>
      <c r="K75" s="104"/>
      <c r="L75" s="104"/>
      <c r="M75" s="104"/>
      <c r="N75" s="107"/>
      <c r="O75" t="str">
        <f>IFERROR(__xludf.DUMMYFUNCTION("regexextract(B75,""[\w]* [\w]*"")"),"OG Anunoby")</f>
        <v>OG Anunoby</v>
      </c>
      <c r="P75" t="str">
        <f t="shared" si="2"/>
        <v>OG Anunoby</v>
      </c>
      <c r="Q75" t="str">
        <f t="shared" si="3"/>
        <v>OG Anunoby</v>
      </c>
      <c r="R75" t="s">
        <v>94</v>
      </c>
      <c r="S75" s="60" t="s">
        <v>94</v>
      </c>
      <c r="T75" t="s">
        <v>45</v>
      </c>
      <c r="U75" t="s">
        <v>46</v>
      </c>
      <c r="V75" t="s">
        <v>94</v>
      </c>
      <c r="W75" t="str">
        <f t="shared" si="1"/>
        <v>SFPF</v>
      </c>
    </row>
    <row r="76">
      <c r="A76" s="93">
        <v>72.0</v>
      </c>
      <c r="B76" s="94" t="s">
        <v>165</v>
      </c>
      <c r="C76" s="95"/>
      <c r="D76" s="95"/>
      <c r="E76" s="105"/>
      <c r="F76" s="105"/>
      <c r="G76" s="105"/>
      <c r="H76" s="105"/>
      <c r="I76" s="105"/>
      <c r="J76" s="105"/>
      <c r="K76" s="105"/>
      <c r="L76" s="105"/>
      <c r="M76" s="105"/>
      <c r="N76" s="106"/>
      <c r="O76" t="str">
        <f>IFERROR(__xludf.DUMMYFUNCTION("regexextract(B76,""[\w]* [\w]*"")"),"John Collins")</f>
        <v>John Collins</v>
      </c>
      <c r="P76" t="str">
        <f t="shared" si="2"/>
        <v>John Collins</v>
      </c>
      <c r="Q76" t="str">
        <f t="shared" si="3"/>
        <v>John Collins</v>
      </c>
      <c r="R76" t="s">
        <v>94</v>
      </c>
      <c r="S76" s="60" t="s">
        <v>94</v>
      </c>
      <c r="T76" t="s">
        <v>94</v>
      </c>
      <c r="U76" t="s">
        <v>46</v>
      </c>
      <c r="V76" t="s">
        <v>47</v>
      </c>
      <c r="W76" t="str">
        <f t="shared" si="1"/>
        <v>PFC</v>
      </c>
    </row>
    <row r="77">
      <c r="A77" s="90">
        <v>73.0</v>
      </c>
      <c r="B77" s="91" t="s">
        <v>166</v>
      </c>
      <c r="C77" s="92"/>
      <c r="D77" s="92"/>
      <c r="E77" s="104"/>
      <c r="F77" s="104"/>
      <c r="G77" s="104"/>
      <c r="H77" s="104"/>
      <c r="I77" s="104"/>
      <c r="J77" s="104"/>
      <c r="K77" s="104"/>
      <c r="L77" s="104"/>
      <c r="M77" s="104"/>
      <c r="N77" s="107"/>
      <c r="O77" t="str">
        <f>IFERROR(__xludf.DUMMYFUNCTION("regexextract(B77,""[\w]* [\w]*"")"),"Kristaps Porzingis")</f>
        <v>Kristaps Porzingis</v>
      </c>
      <c r="P77" t="str">
        <f t="shared" si="2"/>
        <v>Kristaps Porzingis</v>
      </c>
      <c r="Q77" t="str">
        <f t="shared" si="3"/>
        <v>Kristaps Porzingis</v>
      </c>
      <c r="R77" t="s">
        <v>94</v>
      </c>
      <c r="S77" s="60" t="s">
        <v>94</v>
      </c>
      <c r="T77" t="s">
        <v>94</v>
      </c>
      <c r="U77" t="s">
        <v>46</v>
      </c>
      <c r="V77" t="s">
        <v>47</v>
      </c>
      <c r="W77" t="str">
        <f t="shared" si="1"/>
        <v>PFC</v>
      </c>
    </row>
    <row r="78">
      <c r="A78" s="93">
        <v>74.0</v>
      </c>
      <c r="B78" s="94" t="s">
        <v>167</v>
      </c>
      <c r="C78" s="95"/>
      <c r="D78" s="95"/>
      <c r="E78" s="105"/>
      <c r="F78" s="105"/>
      <c r="G78" s="105"/>
      <c r="H78" s="105"/>
      <c r="I78" s="105"/>
      <c r="J78" s="105"/>
      <c r="K78" s="105"/>
      <c r="L78" s="105"/>
      <c r="M78" s="105"/>
      <c r="N78" s="106"/>
      <c r="O78" t="str">
        <f>IFERROR(__xludf.DUMMYFUNCTION("regexextract(B78,""[\w]* [\w]*"")"),"Chris Boucher")</f>
        <v>Chris Boucher</v>
      </c>
      <c r="P78" t="str">
        <f t="shared" si="2"/>
        <v>Chris Boucher</v>
      </c>
      <c r="Q78" t="str">
        <f t="shared" si="3"/>
        <v>Chris Boucher</v>
      </c>
      <c r="R78" t="s">
        <v>94</v>
      </c>
      <c r="S78" s="60" t="s">
        <v>94</v>
      </c>
      <c r="T78" t="s">
        <v>94</v>
      </c>
      <c r="U78" t="s">
        <v>46</v>
      </c>
      <c r="V78" t="s">
        <v>47</v>
      </c>
      <c r="W78" t="str">
        <f t="shared" si="1"/>
        <v>PFC</v>
      </c>
    </row>
    <row r="79">
      <c r="A79" s="90">
        <v>75.0</v>
      </c>
      <c r="B79" s="91" t="s">
        <v>168</v>
      </c>
      <c r="C79" s="92"/>
      <c r="D79" s="92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t="str">
        <f>IFERROR(__xludf.DUMMYFUNCTION("regexextract(B79,""[\w]* [\w]*"")"),"Jerami Grant")</f>
        <v>Jerami Grant</v>
      </c>
      <c r="P79" t="str">
        <f t="shared" si="2"/>
        <v>Jerami Grant</v>
      </c>
      <c r="Q79" t="str">
        <f t="shared" si="3"/>
        <v>Jerami Grant</v>
      </c>
      <c r="R79" t="s">
        <v>94</v>
      </c>
      <c r="S79" s="60" t="s">
        <v>94</v>
      </c>
      <c r="T79" t="s">
        <v>45</v>
      </c>
      <c r="U79" t="s">
        <v>46</v>
      </c>
      <c r="V79" t="s">
        <v>94</v>
      </c>
      <c r="W79" t="str">
        <f t="shared" si="1"/>
        <v>SFPF</v>
      </c>
    </row>
    <row r="80">
      <c r="A80" s="93">
        <v>76.0</v>
      </c>
      <c r="B80" s="94" t="s">
        <v>169</v>
      </c>
      <c r="C80" s="95"/>
      <c r="D80" s="95"/>
      <c r="E80" s="105"/>
      <c r="F80" s="105"/>
      <c r="G80" s="105"/>
      <c r="H80" s="105"/>
      <c r="I80" s="105"/>
      <c r="J80" s="105"/>
      <c r="K80" s="105"/>
      <c r="L80" s="105"/>
      <c r="M80" s="105"/>
      <c r="N80" s="106"/>
      <c r="O80" t="str">
        <f>IFERROR(__xludf.DUMMYFUNCTION("regexextract(B80,""[\w]* [\w]*"")"),"Isaiah StewartDTD")</f>
        <v>Isaiah StewartDTD</v>
      </c>
      <c r="P80" t="str">
        <f t="shared" si="2"/>
        <v>Isaiah Stewart</v>
      </c>
      <c r="Q80" t="str">
        <f t="shared" si="3"/>
        <v>Isaiah Stewart</v>
      </c>
      <c r="R80" t="s">
        <v>94</v>
      </c>
      <c r="S80" s="60" t="s">
        <v>94</v>
      </c>
      <c r="T80" t="s">
        <v>94</v>
      </c>
      <c r="U80" t="s">
        <v>46</v>
      </c>
      <c r="V80" t="s">
        <v>47</v>
      </c>
      <c r="W80" t="str">
        <f t="shared" si="1"/>
        <v>PFC</v>
      </c>
    </row>
    <row r="81">
      <c r="A81" s="90">
        <v>77.0</v>
      </c>
      <c r="B81" s="91" t="s">
        <v>170</v>
      </c>
      <c r="C81" s="92"/>
      <c r="D81" s="92"/>
      <c r="E81" s="104"/>
      <c r="F81" s="104"/>
      <c r="G81" s="104"/>
      <c r="H81" s="104"/>
      <c r="I81" s="104"/>
      <c r="J81" s="104"/>
      <c r="K81" s="104"/>
      <c r="L81" s="104"/>
      <c r="M81" s="104"/>
      <c r="N81" s="107"/>
      <c r="O81" t="str">
        <f>IFERROR(__xludf.DUMMYFUNCTION("regexextract(B81,""[\w]* [\w]*"")"),"Richaun Holmes")</f>
        <v>Richaun Holmes</v>
      </c>
      <c r="P81" t="str">
        <f t="shared" si="2"/>
        <v>Richaun Holmes</v>
      </c>
      <c r="Q81" t="str">
        <f t="shared" si="3"/>
        <v>Richaun Holmes</v>
      </c>
      <c r="R81" t="s">
        <v>94</v>
      </c>
      <c r="S81" s="60" t="s">
        <v>94</v>
      </c>
      <c r="T81" t="s">
        <v>94</v>
      </c>
      <c r="U81" t="s">
        <v>46</v>
      </c>
      <c r="V81" t="s">
        <v>47</v>
      </c>
      <c r="W81" t="str">
        <f t="shared" si="1"/>
        <v>PFC</v>
      </c>
    </row>
    <row r="82">
      <c r="A82" s="93">
        <v>78.0</v>
      </c>
      <c r="B82" s="94" t="s">
        <v>171</v>
      </c>
      <c r="C82" s="95"/>
      <c r="D82" s="9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t="str">
        <f>IFERROR(__xludf.DUMMYFUNCTION("regexextract(B82,""[\w]* [\w]*"")"),"Darius Garland")</f>
        <v>Darius Garland</v>
      </c>
      <c r="P82" t="str">
        <f t="shared" si="2"/>
        <v>Darius Garland</v>
      </c>
      <c r="Q82" t="str">
        <f t="shared" si="3"/>
        <v>Darius Garland</v>
      </c>
      <c r="R82" t="s">
        <v>43</v>
      </c>
      <c r="S82" s="60" t="s">
        <v>44</v>
      </c>
      <c r="T82" t="s">
        <v>94</v>
      </c>
      <c r="U82" t="s">
        <v>94</v>
      </c>
      <c r="V82" t="s">
        <v>47</v>
      </c>
      <c r="W82" t="str">
        <f t="shared" si="1"/>
        <v>PGSGC</v>
      </c>
    </row>
    <row r="83">
      <c r="A83" s="90">
        <v>79.0</v>
      </c>
      <c r="B83" s="91" t="s">
        <v>172</v>
      </c>
      <c r="C83" s="92"/>
      <c r="D83" s="92"/>
      <c r="E83" s="104"/>
      <c r="F83" s="104"/>
      <c r="G83" s="104"/>
      <c r="H83" s="104"/>
      <c r="I83" s="104"/>
      <c r="J83" s="104"/>
      <c r="K83" s="104"/>
      <c r="L83" s="104"/>
      <c r="M83" s="104"/>
      <c r="N83" s="107"/>
      <c r="O83" t="str">
        <f>IFERROR(__xludf.DUMMYFUNCTION("regexextract(B83,""[\w]* [\w]*"")"),"Myles Turner")</f>
        <v>Myles Turner</v>
      </c>
      <c r="P83" t="str">
        <f t="shared" si="2"/>
        <v>Myles Turner</v>
      </c>
      <c r="Q83" t="str">
        <f t="shared" si="3"/>
        <v>Myles Turner</v>
      </c>
      <c r="R83" t="s">
        <v>94</v>
      </c>
      <c r="S83" s="60" t="s">
        <v>94</v>
      </c>
      <c r="T83" t="s">
        <v>94</v>
      </c>
      <c r="U83" t="s">
        <v>46</v>
      </c>
      <c r="V83" t="s">
        <v>47</v>
      </c>
      <c r="W83" t="str">
        <f t="shared" si="1"/>
        <v>PFC</v>
      </c>
    </row>
    <row r="84">
      <c r="A84" s="93">
        <v>80.0</v>
      </c>
      <c r="B84" s="94" t="s">
        <v>173</v>
      </c>
      <c r="C84" s="95"/>
      <c r="D84" s="95"/>
      <c r="E84" s="105"/>
      <c r="F84" s="105"/>
      <c r="G84" s="105"/>
      <c r="H84" s="105"/>
      <c r="I84" s="105"/>
      <c r="J84" s="105"/>
      <c r="K84" s="105"/>
      <c r="L84" s="105"/>
      <c r="M84" s="105"/>
      <c r="N84" s="106"/>
      <c r="O84" t="str">
        <f>IFERROR(__xludf.DUMMYFUNCTION("regexextract(B84,""[\w]* [\w]*"")"),"Nickeil Alexander")</f>
        <v>Nickeil Alexander</v>
      </c>
      <c r="P84" t="str">
        <f t="shared" si="2"/>
        <v>Nickeil Alexander</v>
      </c>
      <c r="Q84" t="str">
        <f t="shared" si="3"/>
        <v>Nickeil Alexander</v>
      </c>
      <c r="R84" t="s">
        <v>94</v>
      </c>
      <c r="S84" s="60" t="s">
        <v>44</v>
      </c>
      <c r="T84" t="s">
        <v>94</v>
      </c>
      <c r="U84" t="s">
        <v>94</v>
      </c>
      <c r="V84" t="s">
        <v>47</v>
      </c>
      <c r="W84" t="str">
        <f t="shared" si="1"/>
        <v>SGC</v>
      </c>
    </row>
    <row r="85">
      <c r="A85" s="90">
        <v>81.0</v>
      </c>
      <c r="B85" s="91" t="s">
        <v>174</v>
      </c>
      <c r="C85" s="92"/>
      <c r="D85" s="92"/>
      <c r="E85" s="104"/>
      <c r="F85" s="104"/>
      <c r="G85" s="104"/>
      <c r="H85" s="104"/>
      <c r="I85" s="104"/>
      <c r="J85" s="104"/>
      <c r="K85" s="104"/>
      <c r="L85" s="104"/>
      <c r="M85" s="104"/>
      <c r="N85" s="108"/>
      <c r="O85" t="str">
        <f>IFERROR(__xludf.DUMMYFUNCTION("regexextract(B85,""[\w]* [\w]*"")"),"Jaren Jackson")</f>
        <v>Jaren Jackson</v>
      </c>
      <c r="P85" t="str">
        <f t="shared" si="2"/>
        <v>Jaren Jackson</v>
      </c>
      <c r="Q85" t="str">
        <f t="shared" si="3"/>
        <v>Jaren Jackson</v>
      </c>
      <c r="R85" t="s">
        <v>94</v>
      </c>
      <c r="S85" s="60" t="s">
        <v>94</v>
      </c>
      <c r="T85" t="s">
        <v>94</v>
      </c>
      <c r="U85" t="s">
        <v>46</v>
      </c>
      <c r="V85" t="s">
        <v>47</v>
      </c>
      <c r="W85" t="str">
        <f t="shared" si="1"/>
        <v>PFC</v>
      </c>
    </row>
    <row r="86">
      <c r="A86" s="93">
        <v>82.0</v>
      </c>
      <c r="B86" s="94" t="s">
        <v>175</v>
      </c>
      <c r="C86" s="95"/>
      <c r="D86" s="95"/>
      <c r="E86" s="105"/>
      <c r="F86" s="105"/>
      <c r="G86" s="105"/>
      <c r="H86" s="105"/>
      <c r="I86" s="105"/>
      <c r="J86" s="105"/>
      <c r="K86" s="105"/>
      <c r="L86" s="105"/>
      <c r="M86" s="105"/>
      <c r="N86" s="106"/>
      <c r="O86" t="str">
        <f>IFERROR(__xludf.DUMMYFUNCTION("regexextract(B86,""[\w]* [\w]*"")"),"RJ Barrett")</f>
        <v>RJ Barrett</v>
      </c>
      <c r="P86" t="str">
        <f t="shared" si="2"/>
        <v>RJ Barrett</v>
      </c>
      <c r="Q86" t="str">
        <f t="shared" si="3"/>
        <v>RJ Barrett</v>
      </c>
      <c r="R86" t="s">
        <v>94</v>
      </c>
      <c r="S86" s="60" t="s">
        <v>44</v>
      </c>
      <c r="T86" t="s">
        <v>45</v>
      </c>
      <c r="U86" t="s">
        <v>94</v>
      </c>
      <c r="V86" t="s">
        <v>94</v>
      </c>
      <c r="W86" t="str">
        <f t="shared" si="1"/>
        <v>SGSF</v>
      </c>
    </row>
    <row r="87">
      <c r="A87" s="90">
        <v>83.0</v>
      </c>
      <c r="B87" s="91" t="s">
        <v>176</v>
      </c>
      <c r="C87" s="92"/>
      <c r="D87" s="92"/>
      <c r="E87" s="104"/>
      <c r="F87" s="104"/>
      <c r="G87" s="104"/>
      <c r="H87" s="104"/>
      <c r="I87" s="104"/>
      <c r="J87" s="104"/>
      <c r="K87" s="104"/>
      <c r="L87" s="104"/>
      <c r="M87" s="104"/>
      <c r="N87" s="108"/>
      <c r="O87" t="str">
        <f>IFERROR(__xludf.DUMMYFUNCTION("regexextract(B87,""[\w]* [\w]*"")"),"Mike Conley")</f>
        <v>Mike Conley</v>
      </c>
      <c r="P87" t="str">
        <f t="shared" si="2"/>
        <v>Mike Conley</v>
      </c>
      <c r="Q87" t="str">
        <f t="shared" si="3"/>
        <v>Mike Conley</v>
      </c>
      <c r="R87" t="s">
        <v>43</v>
      </c>
      <c r="S87" s="60" t="s">
        <v>94</v>
      </c>
      <c r="T87" t="s">
        <v>94</v>
      </c>
      <c r="U87" t="s">
        <v>94</v>
      </c>
      <c r="V87" t="s">
        <v>47</v>
      </c>
      <c r="W87" t="str">
        <f t="shared" si="1"/>
        <v>PGC</v>
      </c>
    </row>
    <row r="88">
      <c r="A88" s="93">
        <v>84.0</v>
      </c>
      <c r="B88" s="94" t="s">
        <v>177</v>
      </c>
      <c r="C88" s="95"/>
      <c r="D88" s="9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t="str">
        <f>IFERROR(__xludf.DUMMYFUNCTION("regexextract(B88,""[\w]* [\w]*"")")," Washington")</f>
        <v> Washington</v>
      </c>
      <c r="P88" t="str">
        <f t="shared" si="2"/>
        <v> Washington</v>
      </c>
      <c r="Q88" t="str">
        <f t="shared" si="3"/>
        <v> Washington</v>
      </c>
      <c r="R88" t="s">
        <v>94</v>
      </c>
      <c r="S88" s="60" t="s">
        <v>94</v>
      </c>
      <c r="T88" t="s">
        <v>94</v>
      </c>
      <c r="U88" t="s">
        <v>46</v>
      </c>
      <c r="V88" t="s">
        <v>47</v>
      </c>
      <c r="W88" t="str">
        <f t="shared" si="1"/>
        <v>PFC</v>
      </c>
    </row>
    <row r="89">
      <c r="A89" s="90">
        <v>85.0</v>
      </c>
      <c r="B89" s="91" t="s">
        <v>178</v>
      </c>
      <c r="C89" s="92"/>
      <c r="D89" s="92"/>
      <c r="E89" s="104"/>
      <c r="F89" s="104"/>
      <c r="G89" s="104"/>
      <c r="H89" s="104"/>
      <c r="I89" s="104"/>
      <c r="J89" s="104"/>
      <c r="K89" s="104"/>
      <c r="L89" s="104"/>
      <c r="M89" s="104"/>
      <c r="N89" s="107"/>
      <c r="O89" t="str">
        <f>IFERROR(__xludf.DUMMYFUNCTION("regexextract(B89,""[\w]* [\w]*"")"),"Jalen Green")</f>
        <v>Jalen Green</v>
      </c>
      <c r="P89" t="str">
        <f t="shared" si="2"/>
        <v>Jalen Green</v>
      </c>
      <c r="Q89" t="str">
        <f t="shared" si="3"/>
        <v>Jalen Green</v>
      </c>
      <c r="R89" t="s">
        <v>94</v>
      </c>
      <c r="S89" s="60" t="s">
        <v>44</v>
      </c>
      <c r="T89" t="s">
        <v>94</v>
      </c>
      <c r="U89" t="s">
        <v>94</v>
      </c>
      <c r="V89" t="s">
        <v>94</v>
      </c>
      <c r="W89" t="str">
        <f t="shared" si="1"/>
        <v>SG</v>
      </c>
    </row>
    <row r="90">
      <c r="A90" s="93">
        <v>86.0</v>
      </c>
      <c r="B90" s="94" t="s">
        <v>179</v>
      </c>
      <c r="C90" s="95"/>
      <c r="D90" s="95"/>
      <c r="E90" s="105"/>
      <c r="F90" s="105"/>
      <c r="G90" s="105"/>
      <c r="H90" s="105"/>
      <c r="I90" s="105"/>
      <c r="J90" s="105"/>
      <c r="K90" s="105"/>
      <c r="L90" s="105"/>
      <c r="M90" s="105"/>
      <c r="N90" s="106"/>
      <c r="O90" t="str">
        <f>IFERROR(__xludf.DUMMYFUNCTION("regexextract(B90,""[\w]* [\w]*"")"),"Norman Powell")</f>
        <v>Norman Powell</v>
      </c>
      <c r="P90" t="str">
        <f t="shared" si="2"/>
        <v>Norman Powell</v>
      </c>
      <c r="Q90" t="str">
        <f t="shared" si="3"/>
        <v>Norman Powell</v>
      </c>
      <c r="R90" t="s">
        <v>94</v>
      </c>
      <c r="S90" s="60" t="s">
        <v>44</v>
      </c>
      <c r="T90" t="s">
        <v>45</v>
      </c>
      <c r="U90" t="s">
        <v>94</v>
      </c>
      <c r="V90" t="s">
        <v>94</v>
      </c>
      <c r="W90" t="str">
        <f t="shared" si="1"/>
        <v>SGSF</v>
      </c>
    </row>
    <row r="91">
      <c r="A91" s="90">
        <v>87.0</v>
      </c>
      <c r="B91" s="91" t="s">
        <v>180</v>
      </c>
      <c r="C91" s="92"/>
      <c r="D91" s="92"/>
      <c r="E91" s="104"/>
      <c r="F91" s="104"/>
      <c r="G91" s="104"/>
      <c r="H91" s="104"/>
      <c r="I91" s="104"/>
      <c r="J91" s="104"/>
      <c r="K91" s="104"/>
      <c r="L91" s="104"/>
      <c r="M91" s="104"/>
      <c r="N91" s="107"/>
      <c r="O91" t="str">
        <f>IFERROR(__xludf.DUMMYFUNCTION("regexextract(B91,""[\w]* [\w]*"")"),"Ivica ZubacDTD")</f>
        <v>Ivica ZubacDTD</v>
      </c>
      <c r="P91" t="str">
        <f t="shared" si="2"/>
        <v>Ivica Zubac</v>
      </c>
      <c r="Q91" t="str">
        <f t="shared" si="3"/>
        <v>Ivica Zubac</v>
      </c>
      <c r="R91" t="s">
        <v>94</v>
      </c>
      <c r="S91" s="60" t="s">
        <v>94</v>
      </c>
      <c r="T91" t="s">
        <v>94</v>
      </c>
      <c r="U91" t="s">
        <v>94</v>
      </c>
      <c r="V91" t="s">
        <v>47</v>
      </c>
      <c r="W91" t="str">
        <f t="shared" si="1"/>
        <v>C</v>
      </c>
    </row>
    <row r="92">
      <c r="A92" s="93">
        <v>88.0</v>
      </c>
      <c r="B92" s="94" t="s">
        <v>181</v>
      </c>
      <c r="C92" s="95"/>
      <c r="D92" s="95"/>
      <c r="E92" s="105"/>
      <c r="F92" s="105"/>
      <c r="G92" s="105"/>
      <c r="H92" s="105"/>
      <c r="I92" s="105"/>
      <c r="J92" s="105"/>
      <c r="K92" s="105"/>
      <c r="L92" s="105"/>
      <c r="M92" s="105"/>
      <c r="N92" s="106"/>
      <c r="O92" t="str">
        <f>IFERROR(__xludf.DUMMYFUNCTION("regexextract(B92,""[\w]* [\w]*"")")," Graham")</f>
        <v> Graham</v>
      </c>
      <c r="P92" t="str">
        <f t="shared" si="2"/>
        <v> Graham</v>
      </c>
      <c r="Q92" t="str">
        <f t="shared" si="3"/>
        <v> Graham</v>
      </c>
      <c r="R92" t="s">
        <v>43</v>
      </c>
      <c r="S92" s="60" t="s">
        <v>44</v>
      </c>
      <c r="T92" t="s">
        <v>94</v>
      </c>
      <c r="U92" t="s">
        <v>94</v>
      </c>
      <c r="V92" t="s">
        <v>94</v>
      </c>
      <c r="W92" t="str">
        <f t="shared" si="1"/>
        <v>PGSG</v>
      </c>
    </row>
    <row r="93">
      <c r="A93" s="90">
        <v>89.0</v>
      </c>
      <c r="B93" s="91" t="s">
        <v>182</v>
      </c>
      <c r="C93" s="92"/>
      <c r="D93" s="92"/>
      <c r="E93" s="104"/>
      <c r="F93" s="104"/>
      <c r="G93" s="104"/>
      <c r="H93" s="104"/>
      <c r="I93" s="104"/>
      <c r="J93" s="104"/>
      <c r="K93" s="104"/>
      <c r="L93" s="104"/>
      <c r="M93" s="104"/>
      <c r="N93" s="107"/>
      <c r="O93" t="str">
        <f>IFERROR(__xludf.DUMMYFUNCTION("regexextract(B93,""[\w]* [\w]*"")"),"Eric Bledsoe")</f>
        <v>Eric Bledsoe</v>
      </c>
      <c r="P93" t="str">
        <f t="shared" si="2"/>
        <v>Eric Bledsoe</v>
      </c>
      <c r="Q93" t="str">
        <f t="shared" si="3"/>
        <v>Eric Bledsoe</v>
      </c>
      <c r="R93" t="s">
        <v>43</v>
      </c>
      <c r="S93" s="60" t="s">
        <v>44</v>
      </c>
      <c r="T93" t="s">
        <v>94</v>
      </c>
      <c r="U93" t="s">
        <v>94</v>
      </c>
      <c r="V93" t="s">
        <v>47</v>
      </c>
      <c r="W93" t="str">
        <f t="shared" si="1"/>
        <v>PGSGC</v>
      </c>
    </row>
    <row r="94">
      <c r="A94" s="93">
        <v>90.0</v>
      </c>
      <c r="B94" s="94" t="s">
        <v>183</v>
      </c>
      <c r="C94" s="95"/>
      <c r="D94" s="95"/>
      <c r="E94" s="105"/>
      <c r="F94" s="105"/>
      <c r="G94" s="105"/>
      <c r="H94" s="105"/>
      <c r="I94" s="105"/>
      <c r="J94" s="105"/>
      <c r="K94" s="105"/>
      <c r="L94" s="105"/>
      <c r="M94" s="105"/>
      <c r="N94" s="106"/>
      <c r="O94" t="str">
        <f>IFERROR(__xludf.DUMMYFUNCTION("regexextract(B94,""[\w]* [\w]*"")"),"Mikal Bridges")</f>
        <v>Mikal Bridges</v>
      </c>
      <c r="P94" t="str">
        <f t="shared" si="2"/>
        <v>Mikal Bridges</v>
      </c>
      <c r="Q94" t="str">
        <f t="shared" si="3"/>
        <v>Mikal Bridges</v>
      </c>
      <c r="R94" t="s">
        <v>94</v>
      </c>
      <c r="S94" s="60" t="s">
        <v>94</v>
      </c>
      <c r="T94" t="s">
        <v>45</v>
      </c>
      <c r="U94" t="s">
        <v>94</v>
      </c>
      <c r="V94" t="s">
        <v>94</v>
      </c>
      <c r="W94" t="str">
        <f t="shared" si="1"/>
        <v>SF</v>
      </c>
    </row>
    <row r="95">
      <c r="A95" s="90">
        <v>91.0</v>
      </c>
      <c r="B95" s="91" t="s">
        <v>184</v>
      </c>
      <c r="C95" s="92"/>
      <c r="D95" s="92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t="str">
        <f>IFERROR(__xludf.DUMMYFUNCTION("regexextract(B95,""[\w]* [\w]*"")"),"Wendell Carter")</f>
        <v>Wendell Carter</v>
      </c>
      <c r="P95" t="str">
        <f t="shared" si="2"/>
        <v>Wendell Carter</v>
      </c>
      <c r="Q95" t="str">
        <f t="shared" si="3"/>
        <v>Wendell Carter</v>
      </c>
      <c r="R95" t="s">
        <v>94</v>
      </c>
      <c r="S95" s="60" t="s">
        <v>94</v>
      </c>
      <c r="T95" t="s">
        <v>94</v>
      </c>
      <c r="U95" t="s">
        <v>94</v>
      </c>
      <c r="V95" t="s">
        <v>47</v>
      </c>
      <c r="W95" t="str">
        <f t="shared" si="1"/>
        <v>C</v>
      </c>
    </row>
    <row r="96">
      <c r="A96" s="93">
        <v>92.0</v>
      </c>
      <c r="B96" s="94" t="s">
        <v>185</v>
      </c>
      <c r="C96" s="95"/>
      <c r="D96" s="95"/>
      <c r="E96" s="105"/>
      <c r="F96" s="105"/>
      <c r="G96" s="105"/>
      <c r="H96" s="105"/>
      <c r="I96" s="105"/>
      <c r="J96" s="105"/>
      <c r="K96" s="105"/>
      <c r="L96" s="105"/>
      <c r="M96" s="105"/>
      <c r="N96" s="106"/>
      <c r="O96" t="str">
        <f>IFERROR(__xludf.DUMMYFUNCTION("regexextract(B96,""[\w]* [\w]*"")"),"Robert Covington")</f>
        <v>Robert Covington</v>
      </c>
      <c r="P96" t="str">
        <f t="shared" si="2"/>
        <v>Robert Covington</v>
      </c>
      <c r="Q96" t="str">
        <f t="shared" si="3"/>
        <v>Robert Covington</v>
      </c>
      <c r="R96" t="s">
        <v>94</v>
      </c>
      <c r="S96" s="60" t="s">
        <v>94</v>
      </c>
      <c r="T96" t="s">
        <v>45</v>
      </c>
      <c r="U96" t="s">
        <v>46</v>
      </c>
      <c r="V96" t="s">
        <v>47</v>
      </c>
      <c r="W96" t="str">
        <f t="shared" si="1"/>
        <v>SFPFC</v>
      </c>
    </row>
    <row r="97">
      <c r="A97" s="90">
        <v>93.0</v>
      </c>
      <c r="B97" s="91" t="s">
        <v>186</v>
      </c>
      <c r="C97" s="92"/>
      <c r="D97" s="92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t="str">
        <f>IFERROR(__xludf.DUMMYFUNCTION("regexextract(B97,""[\w]* [\w]*"")"),"Thaddeus Young")</f>
        <v>Thaddeus Young</v>
      </c>
      <c r="P97" t="str">
        <f t="shared" si="2"/>
        <v>Thaddeus Young</v>
      </c>
      <c r="Q97" t="str">
        <f t="shared" si="3"/>
        <v>Thaddeus Young</v>
      </c>
      <c r="R97" t="s">
        <v>94</v>
      </c>
      <c r="S97" s="60" t="s">
        <v>94</v>
      </c>
      <c r="T97" t="s">
        <v>45</v>
      </c>
      <c r="U97" t="s">
        <v>46</v>
      </c>
      <c r="V97" t="s">
        <v>47</v>
      </c>
      <c r="W97" t="str">
        <f t="shared" si="1"/>
        <v>SFPFC</v>
      </c>
    </row>
    <row r="98">
      <c r="A98" s="93">
        <v>94.0</v>
      </c>
      <c r="B98" s="94" t="s">
        <v>187</v>
      </c>
      <c r="C98" s="95"/>
      <c r="D98" s="95"/>
      <c r="E98" s="105"/>
      <c r="F98" s="105"/>
      <c r="G98" s="105"/>
      <c r="H98" s="105"/>
      <c r="I98" s="105"/>
      <c r="J98" s="105"/>
      <c r="K98" s="105"/>
      <c r="L98" s="105"/>
      <c r="M98" s="105"/>
      <c r="N98" s="106"/>
      <c r="O98" t="str">
        <f>IFERROR(__xludf.DUMMYFUNCTION("regexextract(B98,""[\w]* [\w]*"")"),"Marcus Smart")</f>
        <v>Marcus Smart</v>
      </c>
      <c r="P98" t="str">
        <f t="shared" si="2"/>
        <v>Marcus Smart</v>
      </c>
      <c r="Q98" t="str">
        <f t="shared" si="3"/>
        <v>Marcus Smart</v>
      </c>
      <c r="R98" t="s">
        <v>43</v>
      </c>
      <c r="S98" s="60" t="s">
        <v>44</v>
      </c>
      <c r="T98" t="s">
        <v>94</v>
      </c>
      <c r="U98" t="s">
        <v>94</v>
      </c>
      <c r="V98" t="s">
        <v>47</v>
      </c>
      <c r="W98" t="str">
        <f t="shared" si="1"/>
        <v>PGSGC</v>
      </c>
    </row>
    <row r="99">
      <c r="A99" s="90">
        <v>95.0</v>
      </c>
      <c r="B99" s="91" t="s">
        <v>188</v>
      </c>
      <c r="C99" s="92"/>
      <c r="D99" s="92"/>
      <c r="E99" s="104"/>
      <c r="F99" s="104"/>
      <c r="G99" s="104"/>
      <c r="H99" s="104"/>
      <c r="I99" s="104"/>
      <c r="J99" s="104"/>
      <c r="K99" s="104"/>
      <c r="L99" s="104"/>
      <c r="M99" s="104"/>
      <c r="N99" s="107"/>
      <c r="O99" t="str">
        <f>IFERROR(__xludf.DUMMYFUNCTION("regexextract(B99,""[\w]* [\w]*"")"),"Dennis Schroder")</f>
        <v>Dennis Schroder</v>
      </c>
      <c r="P99" t="str">
        <f t="shared" si="2"/>
        <v>Dennis Schroder</v>
      </c>
      <c r="Q99" t="str">
        <f t="shared" si="3"/>
        <v>Dennis Schroder</v>
      </c>
      <c r="R99" t="s">
        <v>43</v>
      </c>
      <c r="S99" s="60" t="s">
        <v>94</v>
      </c>
      <c r="T99" t="s">
        <v>94</v>
      </c>
      <c r="U99" t="s">
        <v>94</v>
      </c>
      <c r="V99" t="s">
        <v>47</v>
      </c>
      <c r="W99" t="str">
        <f t="shared" si="1"/>
        <v>PGC</v>
      </c>
    </row>
    <row r="100">
      <c r="A100" s="93">
        <v>96.0</v>
      </c>
      <c r="B100" s="94" t="s">
        <v>189</v>
      </c>
      <c r="C100" s="95"/>
      <c r="D100" s="9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6"/>
      <c r="O100" t="str">
        <f>IFERROR(__xludf.DUMMYFUNCTION("regexextract(B100,""[\w]* [\w]*"")"),"Bogdan Bogdanovic")</f>
        <v>Bogdan Bogdanovic</v>
      </c>
      <c r="P100" t="str">
        <f t="shared" si="2"/>
        <v>Bogdan Bogdanovic</v>
      </c>
      <c r="Q100" t="str">
        <f t="shared" si="3"/>
        <v>Bogdan Bogdanovic</v>
      </c>
      <c r="R100" t="s">
        <v>94</v>
      </c>
      <c r="S100" s="60" t="s">
        <v>44</v>
      </c>
      <c r="T100" t="s">
        <v>45</v>
      </c>
      <c r="U100" t="s">
        <v>94</v>
      </c>
      <c r="V100" t="s">
        <v>47</v>
      </c>
      <c r="W100" t="str">
        <f t="shared" si="1"/>
        <v>SGSFC</v>
      </c>
    </row>
    <row r="101">
      <c r="A101" s="90">
        <v>97.0</v>
      </c>
      <c r="B101" s="91" t="s">
        <v>190</v>
      </c>
      <c r="C101" s="92"/>
      <c r="D101" s="92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t="str">
        <f>IFERROR(__xludf.DUMMYFUNCTION("regexextract(B101,""[\w]* [\w]*"")"),"Harrison Barnes")</f>
        <v>Harrison Barnes</v>
      </c>
      <c r="P101" t="str">
        <f t="shared" si="2"/>
        <v>Harrison Barnes</v>
      </c>
      <c r="Q101" t="str">
        <f t="shared" si="3"/>
        <v>Harrison Barnes</v>
      </c>
      <c r="R101" t="s">
        <v>94</v>
      </c>
      <c r="S101" s="60" t="s">
        <v>94</v>
      </c>
      <c r="T101" t="s">
        <v>45</v>
      </c>
      <c r="U101" t="s">
        <v>46</v>
      </c>
      <c r="V101" t="s">
        <v>47</v>
      </c>
      <c r="W101" t="str">
        <f t="shared" si="1"/>
        <v>SFPFC</v>
      </c>
    </row>
    <row r="102">
      <c r="A102" s="93">
        <v>98.0</v>
      </c>
      <c r="B102" s="94" t="s">
        <v>191</v>
      </c>
      <c r="C102" s="95"/>
      <c r="D102" s="9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6"/>
      <c r="O102" t="str">
        <f>IFERROR(__xludf.DUMMYFUNCTION("regexextract(B102,""[\w]* [\w]*"")"),"Reggie Jackson")</f>
        <v>Reggie Jackson</v>
      </c>
      <c r="P102" t="str">
        <f t="shared" si="2"/>
        <v>Reggie Jackson</v>
      </c>
      <c r="Q102" t="str">
        <f t="shared" si="3"/>
        <v>Reggie Jackson</v>
      </c>
      <c r="R102" t="s">
        <v>43</v>
      </c>
      <c r="S102" s="60" t="s">
        <v>94</v>
      </c>
      <c r="T102" t="s">
        <v>94</v>
      </c>
      <c r="U102" t="s">
        <v>94</v>
      </c>
      <c r="V102" t="s">
        <v>47</v>
      </c>
      <c r="W102" t="str">
        <f t="shared" si="1"/>
        <v>PGC</v>
      </c>
    </row>
    <row r="103">
      <c r="A103" s="90">
        <v>99.0</v>
      </c>
      <c r="B103" s="91" t="s">
        <v>192</v>
      </c>
      <c r="C103" s="92"/>
      <c r="D103" s="92"/>
      <c r="E103" s="104"/>
      <c r="F103" s="104"/>
      <c r="G103" s="104"/>
      <c r="H103" s="104"/>
      <c r="I103" s="104"/>
      <c r="J103" s="104"/>
      <c r="K103" s="104"/>
      <c r="L103" s="104"/>
      <c r="M103" s="104"/>
      <c r="N103" s="107"/>
      <c r="O103" t="str">
        <f>IFERROR(__xludf.DUMMYFUNCTION("regexextract(B103,""[\w]* [\w]*"")"),"Keldon Johnson")</f>
        <v>Keldon Johnson</v>
      </c>
      <c r="P103" t="str">
        <f t="shared" si="2"/>
        <v>Keldon Johnson</v>
      </c>
      <c r="Q103" t="str">
        <f t="shared" si="3"/>
        <v>Keldon Johnson</v>
      </c>
      <c r="R103" t="s">
        <v>94</v>
      </c>
      <c r="S103" s="60" t="s">
        <v>94</v>
      </c>
      <c r="T103" t="s">
        <v>45</v>
      </c>
      <c r="U103" t="s">
        <v>46</v>
      </c>
      <c r="V103" t="s">
        <v>94</v>
      </c>
      <c r="W103" t="str">
        <f t="shared" si="1"/>
        <v>SFPF</v>
      </c>
    </row>
    <row r="104">
      <c r="A104" s="93">
        <v>100.0</v>
      </c>
      <c r="B104" s="94" t="s">
        <v>193</v>
      </c>
      <c r="C104" s="95"/>
      <c r="D104" s="9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6"/>
      <c r="O104" t="str">
        <f>IFERROR(__xludf.DUMMYFUNCTION("regexextract(B104,""[\w]* [\w]*"")"),"Tim Hardaway")</f>
        <v>Tim Hardaway</v>
      </c>
      <c r="P104" t="str">
        <f t="shared" si="2"/>
        <v>Tim Hardaway</v>
      </c>
      <c r="Q104" t="str">
        <f t="shared" si="3"/>
        <v>Tim Hardaway</v>
      </c>
      <c r="R104" t="s">
        <v>94</v>
      </c>
      <c r="S104" s="60" t="s">
        <v>44</v>
      </c>
      <c r="T104" t="s">
        <v>45</v>
      </c>
      <c r="U104" t="s">
        <v>94</v>
      </c>
      <c r="V104" t="s">
        <v>94</v>
      </c>
      <c r="W104" t="str">
        <f t="shared" si="1"/>
        <v>SGSF</v>
      </c>
    </row>
    <row r="105">
      <c r="A105" s="82" t="s">
        <v>87</v>
      </c>
      <c r="C105" s="82" t="s">
        <v>88</v>
      </c>
      <c r="E105" s="100"/>
      <c r="F105" s="100"/>
      <c r="G105" s="100"/>
      <c r="H105" s="100"/>
      <c r="I105" s="100"/>
      <c r="J105" s="100"/>
      <c r="K105" s="100"/>
      <c r="L105" s="100"/>
      <c r="M105" s="100" t="s">
        <v>194</v>
      </c>
      <c r="N105" s="100"/>
      <c r="O105" t="str">
        <f>IFERROR(__xludf.DUMMYFUNCTION("regexextract(B105,""[\w]* [\w]*"")"),"#N/A")</f>
        <v>#N/A</v>
      </c>
      <c r="P105" t="str">
        <f t="shared" si="2"/>
        <v>#N/A</v>
      </c>
      <c r="Q105" t="str">
        <f t="shared" si="3"/>
        <v>#N/A</v>
      </c>
      <c r="R105" t="s">
        <v>94</v>
      </c>
      <c r="S105" s="60" t="s">
        <v>94</v>
      </c>
      <c r="T105" t="s">
        <v>94</v>
      </c>
      <c r="U105" t="s">
        <v>94</v>
      </c>
      <c r="V105" t="s">
        <v>94</v>
      </c>
      <c r="W105" t="str">
        <f t="shared" si="1"/>
        <v/>
      </c>
    </row>
    <row r="106">
      <c r="A106" s="85" t="s">
        <v>89</v>
      </c>
      <c r="B106" s="86" t="s">
        <v>90</v>
      </c>
      <c r="C106" s="85" t="s">
        <v>91</v>
      </c>
      <c r="D106" s="87" t="s">
        <v>92</v>
      </c>
      <c r="E106" s="101" t="s">
        <v>195</v>
      </c>
      <c r="F106" s="102">
        <v>0.625</v>
      </c>
      <c r="G106" s="101" t="s">
        <v>36</v>
      </c>
      <c r="H106" s="101" t="s">
        <v>37</v>
      </c>
      <c r="I106" s="101" t="s">
        <v>38</v>
      </c>
      <c r="J106" s="101" t="s">
        <v>61</v>
      </c>
      <c r="K106" s="101" t="s">
        <v>42</v>
      </c>
      <c r="L106" s="101" t="s">
        <v>34</v>
      </c>
      <c r="M106" s="101" t="s">
        <v>196</v>
      </c>
      <c r="N106" s="103" t="str">
        <f>+/-</f>
        <v>#ERROR!</v>
      </c>
      <c r="O106" t="str">
        <f>IFERROR(__xludf.DUMMYFUNCTION("regexextract(B106,""[\w]* [\w]*"")"),"#N/A")</f>
        <v>#N/A</v>
      </c>
      <c r="P106" t="str">
        <f t="shared" si="2"/>
        <v>#N/A</v>
      </c>
      <c r="Q106" t="str">
        <f t="shared" si="3"/>
        <v>#N/A</v>
      </c>
      <c r="R106" t="s">
        <v>94</v>
      </c>
      <c r="S106" s="60" t="s">
        <v>94</v>
      </c>
      <c r="T106" t="s">
        <v>94</v>
      </c>
      <c r="U106" t="s">
        <v>94</v>
      </c>
      <c r="V106" t="s">
        <v>94</v>
      </c>
      <c r="W106" t="str">
        <f t="shared" si="1"/>
        <v/>
      </c>
    </row>
    <row r="107">
      <c r="A107" s="90">
        <v>101.0</v>
      </c>
      <c r="B107" s="91" t="s">
        <v>197</v>
      </c>
      <c r="C107" s="92"/>
      <c r="D107" s="92"/>
      <c r="E107" s="104">
        <v>2.9</v>
      </c>
      <c r="F107" s="104">
        <v>3.1</v>
      </c>
      <c r="G107" s="104">
        <v>4.4</v>
      </c>
      <c r="H107" s="104">
        <v>4.2</v>
      </c>
      <c r="I107" s="104">
        <v>1.2</v>
      </c>
      <c r="J107" s="104">
        <v>0.4</v>
      </c>
      <c r="K107" s="104">
        <v>1.9</v>
      </c>
      <c r="L107" s="104">
        <v>19.7</v>
      </c>
      <c r="M107" s="104">
        <v>92.9</v>
      </c>
      <c r="N107" s="104">
        <v>0.0</v>
      </c>
      <c r="O107" t="str">
        <f>IFERROR(__xludf.DUMMYFUNCTION("regexextract(B107,""[\w]* [\w]*"")"),"Scottie Barnes")</f>
        <v>Scottie Barnes</v>
      </c>
      <c r="P107" t="str">
        <f t="shared" si="2"/>
        <v>Scottie Barnes</v>
      </c>
      <c r="Q107" t="str">
        <f t="shared" si="3"/>
        <v>Scottie Barnes</v>
      </c>
      <c r="R107" t="s">
        <v>94</v>
      </c>
      <c r="S107" s="60" t="s">
        <v>94</v>
      </c>
      <c r="T107" t="s">
        <v>45</v>
      </c>
      <c r="U107" t="s">
        <v>46</v>
      </c>
      <c r="V107" t="s">
        <v>47</v>
      </c>
      <c r="W107" t="str">
        <f t="shared" si="1"/>
        <v>SFPFC</v>
      </c>
    </row>
    <row r="108">
      <c r="A108" s="93">
        <v>102.0</v>
      </c>
      <c r="B108" s="94" t="s">
        <v>198</v>
      </c>
      <c r="C108" s="95"/>
      <c r="D108" s="95"/>
      <c r="E108" s="105">
        <v>4.7</v>
      </c>
      <c r="F108" s="105">
        <v>0.2</v>
      </c>
      <c r="G108" s="105">
        <v>11.3</v>
      </c>
      <c r="H108" s="105">
        <v>3.8</v>
      </c>
      <c r="I108" s="105">
        <v>1.2</v>
      </c>
      <c r="J108" s="105">
        <v>1.5</v>
      </c>
      <c r="K108" s="105">
        <v>2.5</v>
      </c>
      <c r="L108" s="105">
        <v>15.8</v>
      </c>
      <c r="M108" s="105">
        <v>81.4</v>
      </c>
      <c r="N108" s="106">
        <f>+3.9</f>
        <v>3.9</v>
      </c>
      <c r="O108" t="str">
        <f>IFERROR(__xludf.DUMMYFUNCTION("regexextract(B108,""[\w]* [\w]*"")"),"Donte DiVincenzoO")</f>
        <v>Donte DiVincenzoO</v>
      </c>
      <c r="P108" t="str">
        <f t="shared" si="2"/>
        <v>Donte DiVincenzoO</v>
      </c>
      <c r="Q108" t="str">
        <f t="shared" si="3"/>
        <v>Donte DiVincenzo</v>
      </c>
      <c r="R108" t="s">
        <v>43</v>
      </c>
      <c r="S108" s="60" t="s">
        <v>44</v>
      </c>
      <c r="T108" t="s">
        <v>94</v>
      </c>
      <c r="U108" t="s">
        <v>94</v>
      </c>
      <c r="V108" t="s">
        <v>47</v>
      </c>
      <c r="W108" t="str">
        <f t="shared" si="1"/>
        <v>PGSGC</v>
      </c>
    </row>
    <row r="109">
      <c r="A109" s="90">
        <v>103.0</v>
      </c>
      <c r="B109" s="91" t="s">
        <v>199</v>
      </c>
      <c r="C109" s="92"/>
      <c r="D109" s="92"/>
      <c r="E109" s="104">
        <v>5.9</v>
      </c>
      <c r="F109" s="104">
        <v>1.9</v>
      </c>
      <c r="G109" s="104">
        <v>7.4</v>
      </c>
      <c r="H109" s="104">
        <v>4.1</v>
      </c>
      <c r="I109" s="104">
        <v>1.1</v>
      </c>
      <c r="J109" s="104">
        <v>0.8</v>
      </c>
      <c r="K109" s="104">
        <v>2.4</v>
      </c>
      <c r="L109" s="104">
        <v>24.4</v>
      </c>
      <c r="M109" s="104">
        <v>90.1</v>
      </c>
      <c r="N109" s="108">
        <v>-0.5</v>
      </c>
      <c r="O109" t="str">
        <f>IFERROR(__xludf.DUMMYFUNCTION("regexextract(B109,""[\w]* [\w]*"")"),"Saddiq Bey")</f>
        <v>Saddiq Bey</v>
      </c>
      <c r="P109" t="str">
        <f t="shared" si="2"/>
        <v>Saddiq Bey</v>
      </c>
      <c r="Q109" t="str">
        <f t="shared" si="3"/>
        <v>Saddiq Bey</v>
      </c>
      <c r="R109" t="s">
        <v>94</v>
      </c>
      <c r="S109" s="60" t="s">
        <v>94</v>
      </c>
      <c r="T109" t="s">
        <v>45</v>
      </c>
      <c r="U109" t="s">
        <v>94</v>
      </c>
      <c r="V109" t="s">
        <v>94</v>
      </c>
      <c r="W109" t="str">
        <f t="shared" si="1"/>
        <v>SF</v>
      </c>
    </row>
    <row r="110">
      <c r="A110" s="93">
        <v>104.0</v>
      </c>
      <c r="B110" s="94" t="s">
        <v>200</v>
      </c>
      <c r="C110" s="95"/>
      <c r="D110" s="95"/>
      <c r="E110" s="105">
        <v>1.4</v>
      </c>
      <c r="F110" s="105">
        <v>0.7</v>
      </c>
      <c r="G110" s="105">
        <v>7.3</v>
      </c>
      <c r="H110" s="105">
        <v>8.8</v>
      </c>
      <c r="I110" s="105">
        <v>1.6</v>
      </c>
      <c r="J110" s="105">
        <v>1.0</v>
      </c>
      <c r="K110" s="105">
        <v>2.8</v>
      </c>
      <c r="L110" s="105">
        <v>7.5</v>
      </c>
      <c r="M110" s="105">
        <v>94.4</v>
      </c>
      <c r="N110" s="109">
        <v>-0.6</v>
      </c>
      <c r="O110" t="str">
        <f>IFERROR(__xludf.DUMMYFUNCTION("regexextract(B110,""[\w]* [\w]*"")"),"Joe Ingles")</f>
        <v>Joe Ingles</v>
      </c>
      <c r="P110" t="str">
        <f t="shared" si="2"/>
        <v>Joe Ingles</v>
      </c>
      <c r="Q110" t="str">
        <f t="shared" si="3"/>
        <v>Joe Ingles</v>
      </c>
      <c r="R110" t="s">
        <v>94</v>
      </c>
      <c r="S110" s="60" t="s">
        <v>44</v>
      </c>
      <c r="T110" t="s">
        <v>45</v>
      </c>
      <c r="U110" t="s">
        <v>46</v>
      </c>
      <c r="V110" t="s">
        <v>94</v>
      </c>
      <c r="W110" t="str">
        <f t="shared" si="1"/>
        <v>SGSFPF</v>
      </c>
    </row>
    <row r="111">
      <c r="A111" s="90">
        <v>105.0</v>
      </c>
      <c r="B111" s="91" t="s">
        <v>201</v>
      </c>
      <c r="C111" s="92"/>
      <c r="D111" s="92"/>
      <c r="E111" s="104">
        <v>2.9</v>
      </c>
      <c r="F111" s="104">
        <v>0.0</v>
      </c>
      <c r="G111" s="104">
        <v>9.0</v>
      </c>
      <c r="H111" s="104">
        <v>2.3</v>
      </c>
      <c r="I111" s="104">
        <v>0.8</v>
      </c>
      <c r="J111" s="104">
        <v>2.0</v>
      </c>
      <c r="K111" s="104">
        <v>1.3</v>
      </c>
      <c r="L111" s="104">
        <v>12.4</v>
      </c>
      <c r="M111" s="104">
        <v>71.7</v>
      </c>
      <c r="N111" s="107">
        <f>+5.2</f>
        <v>5.2</v>
      </c>
      <c r="O111" t="str">
        <f>IFERROR(__xludf.DUMMYFUNCTION("regexextract(B111,""[\w]* [\w]*"")"),"Miles Bridges")</f>
        <v>Miles Bridges</v>
      </c>
      <c r="P111" t="str">
        <f t="shared" si="2"/>
        <v>Miles Bridges</v>
      </c>
      <c r="Q111" t="str">
        <f t="shared" si="3"/>
        <v>Miles Bridges</v>
      </c>
      <c r="R111" t="s">
        <v>94</v>
      </c>
      <c r="S111" s="60" t="s">
        <v>94</v>
      </c>
      <c r="T111" t="s">
        <v>45</v>
      </c>
      <c r="U111" t="s">
        <v>46</v>
      </c>
      <c r="V111" t="s">
        <v>47</v>
      </c>
      <c r="W111" t="str">
        <f t="shared" si="1"/>
        <v>SFPFC</v>
      </c>
    </row>
    <row r="112">
      <c r="A112" s="93">
        <v>106.0</v>
      </c>
      <c r="B112" s="94" t="s">
        <v>202</v>
      </c>
      <c r="C112" s="95"/>
      <c r="D112" s="95"/>
      <c r="E112" s="105">
        <v>4.0</v>
      </c>
      <c r="F112" s="105">
        <v>2.6</v>
      </c>
      <c r="G112" s="105">
        <v>4.9</v>
      </c>
      <c r="H112" s="105">
        <v>3.1</v>
      </c>
      <c r="I112" s="105">
        <v>1.2</v>
      </c>
      <c r="J112" s="105">
        <v>0.5</v>
      </c>
      <c r="K112" s="105">
        <v>2.4</v>
      </c>
      <c r="L112" s="105">
        <v>21.2</v>
      </c>
      <c r="M112" s="105">
        <v>91.9</v>
      </c>
      <c r="N112" s="106">
        <f>+0.9</f>
        <v>0.9</v>
      </c>
      <c r="O112" t="str">
        <f>IFERROR(__xludf.DUMMYFUNCTION("regexextract(B112,""[\w]* [\w]*"")"),"Brook Lopez")</f>
        <v>Brook Lopez</v>
      </c>
      <c r="P112" t="str">
        <f t="shared" si="2"/>
        <v>Brook Lopez</v>
      </c>
      <c r="Q112" t="str">
        <f t="shared" si="3"/>
        <v>Brook Lopez</v>
      </c>
      <c r="R112" t="s">
        <v>94</v>
      </c>
      <c r="S112" s="60" t="s">
        <v>94</v>
      </c>
      <c r="T112" t="s">
        <v>94</v>
      </c>
      <c r="U112" t="s">
        <v>94</v>
      </c>
      <c r="V112" t="s">
        <v>47</v>
      </c>
      <c r="W112" t="str">
        <f t="shared" si="1"/>
        <v>C</v>
      </c>
    </row>
    <row r="113">
      <c r="A113" s="90">
        <v>107.0</v>
      </c>
      <c r="B113" s="91" t="s">
        <v>203</v>
      </c>
      <c r="C113" s="92"/>
      <c r="D113" s="92"/>
      <c r="E113" s="104">
        <v>1.8</v>
      </c>
      <c r="F113" s="104">
        <v>0.0</v>
      </c>
      <c r="G113" s="104">
        <v>8.9</v>
      </c>
      <c r="H113" s="104">
        <v>2.3</v>
      </c>
      <c r="I113" s="104">
        <v>1.1</v>
      </c>
      <c r="J113" s="104">
        <v>2.3</v>
      </c>
      <c r="K113" s="104">
        <v>1.3</v>
      </c>
      <c r="L113" s="104">
        <v>10.3</v>
      </c>
      <c r="M113" s="104">
        <v>67.4</v>
      </c>
      <c r="N113" s="107">
        <f>+8.2</f>
        <v>8.2</v>
      </c>
      <c r="O113" t="str">
        <f>IFERROR(__xludf.DUMMYFUNCTION("regexextract(B113,""[\w]* [\w]*"")"),"Daniel Theis")</f>
        <v>Daniel Theis</v>
      </c>
      <c r="P113" t="str">
        <f t="shared" si="2"/>
        <v>Daniel Theis</v>
      </c>
      <c r="Q113" t="str">
        <f t="shared" si="3"/>
        <v>Daniel Theis</v>
      </c>
      <c r="R113" t="s">
        <v>94</v>
      </c>
      <c r="S113" s="60" t="s">
        <v>94</v>
      </c>
      <c r="T113" t="s">
        <v>94</v>
      </c>
      <c r="U113" t="s">
        <v>46</v>
      </c>
      <c r="V113" t="s">
        <v>47</v>
      </c>
      <c r="W113" t="str">
        <f t="shared" si="1"/>
        <v>PFC</v>
      </c>
    </row>
    <row r="114">
      <c r="A114" s="93">
        <v>108.0</v>
      </c>
      <c r="B114" s="94" t="s">
        <v>204</v>
      </c>
      <c r="C114" s="95"/>
      <c r="D114" s="95"/>
      <c r="E114" s="105">
        <v>1.0</v>
      </c>
      <c r="F114" s="105">
        <v>2.4</v>
      </c>
      <c r="G114" s="105">
        <v>3.2</v>
      </c>
      <c r="H114" s="105">
        <v>5.6</v>
      </c>
      <c r="I114" s="105">
        <v>1.4</v>
      </c>
      <c r="J114" s="105">
        <v>0.5</v>
      </c>
      <c r="K114" s="105">
        <v>1.7</v>
      </c>
      <c r="L114" s="105">
        <v>14.1</v>
      </c>
      <c r="M114" s="105">
        <v>80.1</v>
      </c>
      <c r="N114" s="106">
        <f>+2.5</f>
        <v>2.5</v>
      </c>
      <c r="O114" t="str">
        <f>IFERROR(__xludf.DUMMYFUNCTION("regexextract(B114,""[\w]* [\w]*"")"),"Mitchell RobinsonO")</f>
        <v>Mitchell RobinsonO</v>
      </c>
      <c r="P114" t="str">
        <f t="shared" si="2"/>
        <v>Mitchell RobinsonO</v>
      </c>
      <c r="Q114" t="str">
        <f t="shared" si="3"/>
        <v>Mitchell Robinson</v>
      </c>
      <c r="R114" t="s">
        <v>94</v>
      </c>
      <c r="S114" s="60" t="s">
        <v>94</v>
      </c>
      <c r="T114" t="s">
        <v>94</v>
      </c>
      <c r="U114" t="s">
        <v>94</v>
      </c>
      <c r="V114" t="s">
        <v>47</v>
      </c>
      <c r="W114" t="str">
        <f t="shared" si="1"/>
        <v>C</v>
      </c>
    </row>
    <row r="115">
      <c r="A115" s="90">
        <v>109.0</v>
      </c>
      <c r="B115" s="91" t="s">
        <v>205</v>
      </c>
      <c r="C115" s="92"/>
      <c r="D115" s="92"/>
      <c r="E115" s="104">
        <v>3.8</v>
      </c>
      <c r="F115" s="104">
        <v>2.6</v>
      </c>
      <c r="G115" s="104">
        <v>4.8</v>
      </c>
      <c r="H115" s="104">
        <v>7.2</v>
      </c>
      <c r="I115" s="104">
        <v>1.1</v>
      </c>
      <c r="J115" s="104">
        <v>0.3</v>
      </c>
      <c r="K115" s="104">
        <v>2.6</v>
      </c>
      <c r="L115" s="104">
        <v>16.3</v>
      </c>
      <c r="M115" s="104">
        <v>88.2</v>
      </c>
      <c r="N115" s="107">
        <f>+0.9</f>
        <v>0.9</v>
      </c>
      <c r="O115" t="str">
        <f>IFERROR(__xludf.DUMMYFUNCTION("regexextract(B115,""[\w]* [\w]*"")"),"Jordan Clarkson")</f>
        <v>Jordan Clarkson</v>
      </c>
      <c r="P115" t="str">
        <f t="shared" si="2"/>
        <v>Jordan Clarkson</v>
      </c>
      <c r="Q115" t="str">
        <f t="shared" si="3"/>
        <v>Jordan Clarkson</v>
      </c>
      <c r="R115" t="s">
        <v>94</v>
      </c>
      <c r="S115" s="60" t="s">
        <v>44</v>
      </c>
      <c r="T115" t="s">
        <v>94</v>
      </c>
      <c r="U115" t="s">
        <v>94</v>
      </c>
      <c r="V115" t="s">
        <v>47</v>
      </c>
      <c r="W115" t="str">
        <f t="shared" si="1"/>
        <v>SGC</v>
      </c>
    </row>
    <row r="116">
      <c r="A116" s="93">
        <v>110.0</v>
      </c>
      <c r="B116" s="94" t="s">
        <v>206</v>
      </c>
      <c r="C116" s="95"/>
      <c r="D116" s="95"/>
      <c r="E116" s="105">
        <v>4.1</v>
      </c>
      <c r="F116" s="105">
        <v>1.3</v>
      </c>
      <c r="G116" s="105">
        <v>4.8</v>
      </c>
      <c r="H116" s="105">
        <v>5.1</v>
      </c>
      <c r="I116" s="105">
        <v>1.6</v>
      </c>
      <c r="J116" s="105">
        <v>0.8</v>
      </c>
      <c r="K116" s="105">
        <v>2.4</v>
      </c>
      <c r="L116" s="105">
        <v>15.7</v>
      </c>
      <c r="M116" s="105">
        <v>78.6</v>
      </c>
      <c r="N116" s="106">
        <f>+2.5</f>
        <v>2.5</v>
      </c>
      <c r="O116" t="str">
        <f>IFERROR(__xludf.DUMMYFUNCTION("regexextract(B116,""[\w]* [\w]*"")"),"Killian Hayes")</f>
        <v>Killian Hayes</v>
      </c>
      <c r="P116" t="str">
        <f t="shared" si="2"/>
        <v>Killian Hayes</v>
      </c>
      <c r="Q116" t="str">
        <f t="shared" si="3"/>
        <v>Killian Hayes</v>
      </c>
      <c r="R116" t="s">
        <v>43</v>
      </c>
      <c r="S116" s="60" t="s">
        <v>94</v>
      </c>
      <c r="T116" t="s">
        <v>94</v>
      </c>
      <c r="U116" t="s">
        <v>94</v>
      </c>
      <c r="V116" t="s">
        <v>94</v>
      </c>
      <c r="W116" t="str">
        <f t="shared" si="1"/>
        <v>PG</v>
      </c>
    </row>
    <row r="117">
      <c r="A117" s="90">
        <v>111.0</v>
      </c>
      <c r="B117" s="91" t="s">
        <v>207</v>
      </c>
      <c r="C117" s="92"/>
      <c r="D117" s="92"/>
      <c r="E117" s="104">
        <v>4.3</v>
      </c>
      <c r="F117" s="104">
        <v>2.3</v>
      </c>
      <c r="G117" s="104">
        <v>3.9</v>
      </c>
      <c r="H117" s="104">
        <v>4.7</v>
      </c>
      <c r="I117" s="104">
        <v>0.9</v>
      </c>
      <c r="J117" s="104">
        <v>1.1</v>
      </c>
      <c r="K117" s="104">
        <v>1.6</v>
      </c>
      <c r="L117" s="104">
        <v>18.5</v>
      </c>
      <c r="M117" s="104">
        <v>75.5</v>
      </c>
      <c r="N117" s="107">
        <f>+3.3</f>
        <v>3.3</v>
      </c>
      <c r="O117" t="str">
        <f>IFERROR(__xludf.DUMMYFUNCTION("regexextract(B117,""[\w]* [\w]*"")"),"Marvin Bagley")</f>
        <v>Marvin Bagley</v>
      </c>
      <c r="P117" t="str">
        <f t="shared" si="2"/>
        <v>Marvin Bagley</v>
      </c>
      <c r="Q117" t="str">
        <f t="shared" si="3"/>
        <v>Marvin Bagley</v>
      </c>
      <c r="R117" t="s">
        <v>94</v>
      </c>
      <c r="S117" s="60" t="s">
        <v>94</v>
      </c>
      <c r="T117" t="s">
        <v>94</v>
      </c>
      <c r="U117" t="s">
        <v>46</v>
      </c>
      <c r="V117" t="s">
        <v>47</v>
      </c>
      <c r="W117" t="str">
        <f t="shared" si="1"/>
        <v>PFC</v>
      </c>
    </row>
    <row r="118">
      <c r="A118" s="93">
        <v>112.0</v>
      </c>
      <c r="B118" s="94" t="s">
        <v>208</v>
      </c>
      <c r="C118" s="95"/>
      <c r="D118" s="95"/>
      <c r="E118" s="105">
        <v>3.3</v>
      </c>
      <c r="F118" s="105">
        <v>1.5</v>
      </c>
      <c r="G118" s="105">
        <v>5.6</v>
      </c>
      <c r="H118" s="105">
        <v>4.4</v>
      </c>
      <c r="I118" s="105">
        <v>1.3</v>
      </c>
      <c r="J118" s="105">
        <v>0.9</v>
      </c>
      <c r="K118" s="105">
        <v>1.9</v>
      </c>
      <c r="L118" s="105">
        <v>15.0</v>
      </c>
      <c r="M118" s="105">
        <v>89.7</v>
      </c>
      <c r="N118" s="106">
        <f>+0.6</f>
        <v>0.6</v>
      </c>
      <c r="O118" t="str">
        <f>IFERROR(__xludf.DUMMYFUNCTION("regexextract(B118,""[\w]* [\w]*"")"),"Gordon Hayward")</f>
        <v>Gordon Hayward</v>
      </c>
      <c r="P118" t="str">
        <f t="shared" si="2"/>
        <v>Gordon Hayward</v>
      </c>
      <c r="Q118" t="str">
        <f t="shared" si="3"/>
        <v>Gordon Hayward</v>
      </c>
      <c r="R118" t="s">
        <v>94</v>
      </c>
      <c r="S118" s="60" t="s">
        <v>94</v>
      </c>
      <c r="T118" t="s">
        <v>45</v>
      </c>
      <c r="U118" t="s">
        <v>94</v>
      </c>
      <c r="V118" t="s">
        <v>47</v>
      </c>
      <c r="W118" t="str">
        <f t="shared" si="1"/>
        <v>SFC</v>
      </c>
    </row>
    <row r="119">
      <c r="A119" s="90">
        <v>113.0</v>
      </c>
      <c r="B119" s="91" t="s">
        <v>209</v>
      </c>
      <c r="C119" s="92"/>
      <c r="D119" s="92"/>
      <c r="E119" s="104">
        <v>1.8</v>
      </c>
      <c r="F119" s="104">
        <v>3.9</v>
      </c>
      <c r="G119" s="104">
        <v>4.9</v>
      </c>
      <c r="H119" s="104">
        <v>3.3</v>
      </c>
      <c r="I119" s="104">
        <v>0.9</v>
      </c>
      <c r="J119" s="104">
        <v>0.4</v>
      </c>
      <c r="K119" s="104">
        <v>2.0</v>
      </c>
      <c r="L119" s="104">
        <v>18.5</v>
      </c>
      <c r="M119" s="104">
        <v>85.6</v>
      </c>
      <c r="N119" s="107">
        <f>+1.4</f>
        <v>1.4</v>
      </c>
      <c r="O119" t="str">
        <f>IFERROR(__xludf.DUMMYFUNCTION("regexextract(B119,""[\w]* [\w]*"")"),"Evan Fournier")</f>
        <v>Evan Fournier</v>
      </c>
      <c r="P119" t="str">
        <f t="shared" si="2"/>
        <v>Evan Fournier</v>
      </c>
      <c r="Q119" t="str">
        <f t="shared" si="3"/>
        <v>Evan Fournier</v>
      </c>
      <c r="R119" t="s">
        <v>94</v>
      </c>
      <c r="S119" s="60" t="s">
        <v>44</v>
      </c>
      <c r="T119" t="s">
        <v>45</v>
      </c>
      <c r="U119" t="s">
        <v>94</v>
      </c>
      <c r="V119" t="s">
        <v>94</v>
      </c>
      <c r="W119" t="str">
        <f t="shared" si="1"/>
        <v>SGSF</v>
      </c>
    </row>
    <row r="120">
      <c r="A120" s="93">
        <v>114.0</v>
      </c>
      <c r="B120" s="94" t="s">
        <v>210</v>
      </c>
      <c r="C120" s="95"/>
      <c r="D120" s="95"/>
      <c r="E120" s="105">
        <v>4.8</v>
      </c>
      <c r="F120" s="105">
        <v>0.1</v>
      </c>
      <c r="G120" s="105">
        <v>10.6</v>
      </c>
      <c r="H120" s="105">
        <v>1.7</v>
      </c>
      <c r="I120" s="105">
        <v>0.6</v>
      </c>
      <c r="J120" s="105">
        <v>1.5</v>
      </c>
      <c r="K120" s="105">
        <v>1.6</v>
      </c>
      <c r="L120" s="105">
        <v>13.4</v>
      </c>
      <c r="M120" s="105">
        <v>82.5</v>
      </c>
      <c r="N120" s="106">
        <f>+2.2</f>
        <v>2.2</v>
      </c>
      <c r="O120" t="str">
        <f>IFERROR(__xludf.DUMMYFUNCTION("regexextract(B120,""[\w]* [\w]*"")"),"Brandon Clarke")</f>
        <v>Brandon Clarke</v>
      </c>
      <c r="P120" t="str">
        <f t="shared" si="2"/>
        <v>Brandon Clarke</v>
      </c>
      <c r="Q120" t="str">
        <f t="shared" si="3"/>
        <v>Brandon Clarke</v>
      </c>
      <c r="R120" t="s">
        <v>94</v>
      </c>
      <c r="S120" s="60" t="s">
        <v>94</v>
      </c>
      <c r="T120" t="s">
        <v>94</v>
      </c>
      <c r="U120" t="s">
        <v>46</v>
      </c>
      <c r="V120" t="s">
        <v>47</v>
      </c>
      <c r="W120" t="str">
        <f t="shared" si="1"/>
        <v>PFC</v>
      </c>
    </row>
    <row r="121">
      <c r="A121" s="90">
        <v>115.0</v>
      </c>
      <c r="B121" s="91" t="s">
        <v>211</v>
      </c>
      <c r="C121" s="92"/>
      <c r="D121" s="92"/>
      <c r="E121" s="104">
        <v>3.1</v>
      </c>
      <c r="F121" s="104">
        <v>2.1</v>
      </c>
      <c r="G121" s="104">
        <v>5.0</v>
      </c>
      <c r="H121" s="104">
        <v>5.8</v>
      </c>
      <c r="I121" s="104">
        <v>0.8</v>
      </c>
      <c r="J121" s="104">
        <v>0.2</v>
      </c>
      <c r="K121" s="104">
        <v>2.1</v>
      </c>
      <c r="L121" s="104">
        <v>19.1</v>
      </c>
      <c r="M121" s="104">
        <v>89.3</v>
      </c>
      <c r="N121" s="108">
        <v>-0.5</v>
      </c>
      <c r="O121" t="str">
        <f>IFERROR(__xludf.DUMMYFUNCTION("regexextract(B121,""[\w]* [\w]*"")"),"Jonas Valanciunas")</f>
        <v>Jonas Valanciunas</v>
      </c>
      <c r="P121" t="str">
        <f t="shared" si="2"/>
        <v>Jonas Valanciunas</v>
      </c>
      <c r="Q121" t="str">
        <f t="shared" si="3"/>
        <v>Jonas Valanciunas</v>
      </c>
      <c r="R121" t="s">
        <v>94</v>
      </c>
      <c r="S121" s="60" t="s">
        <v>94</v>
      </c>
      <c r="T121" t="s">
        <v>94</v>
      </c>
      <c r="U121" t="s">
        <v>94</v>
      </c>
      <c r="V121" t="s">
        <v>47</v>
      </c>
      <c r="W121" t="str">
        <f t="shared" si="1"/>
        <v>C</v>
      </c>
    </row>
    <row r="122">
      <c r="A122" s="93">
        <v>116.0</v>
      </c>
      <c r="B122" s="94" t="s">
        <v>212</v>
      </c>
      <c r="C122" s="95"/>
      <c r="D122" s="95"/>
      <c r="E122" s="105">
        <v>7.1</v>
      </c>
      <c r="F122" s="105">
        <v>2.1</v>
      </c>
      <c r="G122" s="105">
        <v>3.7</v>
      </c>
      <c r="H122" s="105">
        <v>6.7</v>
      </c>
      <c r="I122" s="105">
        <v>0.7</v>
      </c>
      <c r="J122" s="105">
        <v>0.4</v>
      </c>
      <c r="K122" s="105">
        <v>2.9</v>
      </c>
      <c r="L122" s="105">
        <v>21.4</v>
      </c>
      <c r="M122" s="105">
        <v>86.9</v>
      </c>
      <c r="N122" s="109">
        <v>-0.1</v>
      </c>
      <c r="O122" t="str">
        <f>IFERROR(__xludf.DUMMYFUNCTION("regexextract(B122,""[\w]* [\w]*"")"),"Hassan Whiteside")</f>
        <v>Hassan Whiteside</v>
      </c>
      <c r="P122" t="str">
        <f t="shared" si="2"/>
        <v>Hassan Whiteside</v>
      </c>
      <c r="Q122" t="str">
        <f t="shared" si="3"/>
        <v>Hassan Whiteside</v>
      </c>
      <c r="R122" t="s">
        <v>94</v>
      </c>
      <c r="S122" s="60" t="s">
        <v>94</v>
      </c>
      <c r="T122" t="s">
        <v>94</v>
      </c>
      <c r="U122" t="s">
        <v>94</v>
      </c>
      <c r="V122" t="s">
        <v>47</v>
      </c>
      <c r="W122" t="str">
        <f t="shared" si="1"/>
        <v>C</v>
      </c>
    </row>
    <row r="123">
      <c r="A123" s="90">
        <v>117.0</v>
      </c>
      <c r="B123" s="91" t="s">
        <v>213</v>
      </c>
      <c r="C123" s="92"/>
      <c r="D123" s="92"/>
      <c r="E123" s="104">
        <v>2.4</v>
      </c>
      <c r="F123" s="104">
        <v>1.1</v>
      </c>
      <c r="G123" s="104">
        <v>7.4</v>
      </c>
      <c r="H123" s="104">
        <v>1.5</v>
      </c>
      <c r="I123" s="104">
        <v>1.6</v>
      </c>
      <c r="J123" s="104">
        <v>2.5</v>
      </c>
      <c r="K123" s="104">
        <v>1.6</v>
      </c>
      <c r="L123" s="104">
        <v>13.3</v>
      </c>
      <c r="M123" s="104">
        <v>71.0</v>
      </c>
      <c r="N123" s="107">
        <f>+4.1</f>
        <v>4.1</v>
      </c>
      <c r="O123" t="str">
        <f>IFERROR(__xludf.DUMMYFUNCTION("regexextract(B123,""[\w]* [\w]*"")"),"Joe Harris")</f>
        <v>Joe Harris</v>
      </c>
      <c r="P123" t="str">
        <f t="shared" si="2"/>
        <v>Joe Harris</v>
      </c>
      <c r="Q123" t="str">
        <f t="shared" si="3"/>
        <v>Joe Harris</v>
      </c>
      <c r="R123" t="s">
        <v>94</v>
      </c>
      <c r="S123" s="60" t="s">
        <v>44</v>
      </c>
      <c r="T123" t="s">
        <v>45</v>
      </c>
      <c r="U123" t="s">
        <v>94</v>
      </c>
      <c r="V123" t="s">
        <v>94</v>
      </c>
      <c r="W123" t="str">
        <f t="shared" si="1"/>
        <v>SGSF</v>
      </c>
    </row>
    <row r="124">
      <c r="A124" s="93">
        <v>118.0</v>
      </c>
      <c r="B124" s="94" t="s">
        <v>214</v>
      </c>
      <c r="C124" s="95"/>
      <c r="D124" s="95"/>
      <c r="E124" s="105">
        <v>3.0</v>
      </c>
      <c r="F124" s="105">
        <v>3.4</v>
      </c>
      <c r="G124" s="105">
        <v>3.5</v>
      </c>
      <c r="H124" s="105">
        <v>7.2</v>
      </c>
      <c r="I124" s="105">
        <v>1.1</v>
      </c>
      <c r="J124" s="105">
        <v>0.3</v>
      </c>
      <c r="K124" s="105">
        <v>3.0</v>
      </c>
      <c r="L124" s="105">
        <v>18.5</v>
      </c>
      <c r="M124" s="105">
        <v>85.8</v>
      </c>
      <c r="N124" s="106">
        <f>+1.1</f>
        <v>1.1</v>
      </c>
      <c r="O124" t="str">
        <f>IFERROR(__xludf.DUMMYFUNCTION("regexextract(B124,""[\w]* [\w]*"")"),"Malik Beasley")</f>
        <v>Malik Beasley</v>
      </c>
      <c r="P124" t="str">
        <f t="shared" si="2"/>
        <v>Malik Beasley</v>
      </c>
      <c r="Q124" t="str">
        <f t="shared" si="3"/>
        <v>Malik Beasley</v>
      </c>
      <c r="R124" t="s">
        <v>94</v>
      </c>
      <c r="S124" s="60" t="s">
        <v>44</v>
      </c>
      <c r="T124" t="s">
        <v>45</v>
      </c>
      <c r="U124" t="s">
        <v>94</v>
      </c>
      <c r="V124" t="s">
        <v>94</v>
      </c>
      <c r="W124" t="str">
        <f t="shared" si="1"/>
        <v>SGSF</v>
      </c>
    </row>
    <row r="125">
      <c r="A125" s="90">
        <v>119.0</v>
      </c>
      <c r="B125" s="91" t="s">
        <v>215</v>
      </c>
      <c r="C125" s="92"/>
      <c r="D125" s="92"/>
      <c r="E125" s="104">
        <v>4.1</v>
      </c>
      <c r="F125" s="104">
        <v>3.0</v>
      </c>
      <c r="G125" s="104">
        <v>3.9</v>
      </c>
      <c r="H125" s="104">
        <v>5.0</v>
      </c>
      <c r="I125" s="104">
        <v>1.1</v>
      </c>
      <c r="J125" s="104">
        <v>0.4</v>
      </c>
      <c r="K125" s="104">
        <v>2.1</v>
      </c>
      <c r="L125" s="104">
        <v>20.5</v>
      </c>
      <c r="M125" s="104">
        <v>93.4</v>
      </c>
      <c r="N125" s="108">
        <v>-1.7</v>
      </c>
      <c r="O125" t="str">
        <f>IFERROR(__xludf.DUMMYFUNCTION("regexextract(B125,""[\w]* [\w]*"")"),"Kyle Kuzma")</f>
        <v>Kyle Kuzma</v>
      </c>
      <c r="P125" t="str">
        <f t="shared" si="2"/>
        <v>Kyle Kuzma</v>
      </c>
      <c r="Q125" t="str">
        <f t="shared" si="3"/>
        <v>Kyle Kuzma</v>
      </c>
      <c r="R125" t="s">
        <v>94</v>
      </c>
      <c r="S125" s="60" t="s">
        <v>94</v>
      </c>
      <c r="T125" t="s">
        <v>45</v>
      </c>
      <c r="U125" t="s">
        <v>46</v>
      </c>
      <c r="V125" t="s">
        <v>94</v>
      </c>
      <c r="W125" t="str">
        <f t="shared" si="1"/>
        <v>SFPF</v>
      </c>
    </row>
    <row r="126">
      <c r="A126" s="93">
        <v>120.0</v>
      </c>
      <c r="B126" s="94" t="s">
        <v>216</v>
      </c>
      <c r="C126" s="95"/>
      <c r="D126" s="95"/>
      <c r="E126" s="105">
        <v>3.6</v>
      </c>
      <c r="F126" s="105">
        <v>2.0</v>
      </c>
      <c r="G126" s="105">
        <v>4.9</v>
      </c>
      <c r="H126" s="105">
        <v>2.5</v>
      </c>
      <c r="I126" s="105">
        <v>0.9</v>
      </c>
      <c r="J126" s="105">
        <v>1.0</v>
      </c>
      <c r="K126" s="105">
        <v>1.9</v>
      </c>
      <c r="L126" s="105">
        <v>19.0</v>
      </c>
      <c r="M126" s="105">
        <v>86.0</v>
      </c>
      <c r="N126" s="106">
        <f>+0.5</f>
        <v>0.5</v>
      </c>
      <c r="O126" t="str">
        <f>IFERROR(__xludf.DUMMYFUNCTION("regexextract(B126,""[\w]* [\w]*"")")," McConnell")</f>
        <v> McConnell</v>
      </c>
      <c r="P126" t="str">
        <f t="shared" si="2"/>
        <v> McConnell</v>
      </c>
      <c r="Q126" t="str">
        <f t="shared" si="3"/>
        <v> McConnell</v>
      </c>
      <c r="R126" t="s">
        <v>43</v>
      </c>
      <c r="S126" s="60" t="s">
        <v>94</v>
      </c>
      <c r="T126" t="s">
        <v>94</v>
      </c>
      <c r="U126" t="s">
        <v>94</v>
      </c>
      <c r="V126" t="s">
        <v>47</v>
      </c>
      <c r="W126" t="str">
        <f t="shared" si="1"/>
        <v>PGC</v>
      </c>
    </row>
    <row r="127">
      <c r="A127" s="90">
        <v>121.0</v>
      </c>
      <c r="B127" s="91" t="s">
        <v>217</v>
      </c>
      <c r="C127" s="92"/>
      <c r="D127" s="92"/>
      <c r="E127" s="104">
        <v>2.9</v>
      </c>
      <c r="F127" s="104">
        <v>2.6</v>
      </c>
      <c r="G127" s="104">
        <v>5.5</v>
      </c>
      <c r="H127" s="104">
        <v>2.1</v>
      </c>
      <c r="I127" s="104">
        <v>1.5</v>
      </c>
      <c r="J127" s="104">
        <v>0.7</v>
      </c>
      <c r="K127" s="104">
        <v>1.7</v>
      </c>
      <c r="L127" s="104">
        <v>17.4</v>
      </c>
      <c r="M127" s="104">
        <v>88.2</v>
      </c>
      <c r="N127" s="108">
        <v>-0.7</v>
      </c>
      <c r="O127" t="str">
        <f>IFERROR(__xludf.DUMMYFUNCTION("regexextract(B127,""[\w]* [\w]*"")"),"Lauri Markkanen")</f>
        <v>Lauri Markkanen</v>
      </c>
      <c r="P127" t="str">
        <f t="shared" si="2"/>
        <v>Lauri Markkanen</v>
      </c>
      <c r="Q127" t="str">
        <f t="shared" si="3"/>
        <v>Lauri Markkanen</v>
      </c>
      <c r="R127" t="s">
        <v>94</v>
      </c>
      <c r="S127" s="60" t="s">
        <v>94</v>
      </c>
      <c r="T127" t="s">
        <v>94</v>
      </c>
      <c r="U127" t="s">
        <v>46</v>
      </c>
      <c r="V127" t="s">
        <v>47</v>
      </c>
      <c r="W127" t="str">
        <f t="shared" si="1"/>
        <v>PFC</v>
      </c>
    </row>
    <row r="128">
      <c r="A128" s="93">
        <v>122.0</v>
      </c>
      <c r="B128" s="94" t="s">
        <v>218</v>
      </c>
      <c r="C128" s="95"/>
      <c r="D128" s="95"/>
      <c r="E128" s="105">
        <v>3.3</v>
      </c>
      <c r="F128" s="105">
        <v>1.3</v>
      </c>
      <c r="G128" s="105">
        <v>7.9</v>
      </c>
      <c r="H128" s="105">
        <v>1.3</v>
      </c>
      <c r="I128" s="105">
        <v>0.6</v>
      </c>
      <c r="J128" s="105">
        <v>1.1</v>
      </c>
      <c r="K128" s="105">
        <v>1.4</v>
      </c>
      <c r="L128" s="105">
        <v>18.3</v>
      </c>
      <c r="M128" s="105">
        <v>84.3</v>
      </c>
      <c r="N128" s="106">
        <f>+2</f>
        <v>2</v>
      </c>
      <c r="O128" t="str">
        <f>IFERROR(__xludf.DUMMYFUNCTION("regexextract(B128,""[\w]* [\w]*"")"),"Thomas BryantO")</f>
        <v>Thomas BryantO</v>
      </c>
      <c r="P128" t="str">
        <f t="shared" si="2"/>
        <v>Thomas BryantO</v>
      </c>
      <c r="Q128" t="str">
        <f t="shared" si="3"/>
        <v>Thomas Bryant</v>
      </c>
      <c r="R128" t="s">
        <v>94</v>
      </c>
      <c r="S128" s="60" t="s">
        <v>94</v>
      </c>
      <c r="T128" t="s">
        <v>94</v>
      </c>
      <c r="U128" t="s">
        <v>94</v>
      </c>
      <c r="V128" t="s">
        <v>47</v>
      </c>
      <c r="W128" t="str">
        <f t="shared" si="1"/>
        <v>C</v>
      </c>
    </row>
    <row r="129">
      <c r="A129" s="90">
        <v>123.0</v>
      </c>
      <c r="B129" s="91" t="s">
        <v>219</v>
      </c>
      <c r="C129" s="92"/>
      <c r="D129" s="92"/>
      <c r="E129" s="104">
        <v>3.5</v>
      </c>
      <c r="F129" s="104">
        <v>2.3</v>
      </c>
      <c r="G129" s="104">
        <v>9.0</v>
      </c>
      <c r="H129" s="104">
        <v>1.6</v>
      </c>
      <c r="I129" s="104">
        <v>0.5</v>
      </c>
      <c r="J129" s="104">
        <v>1.5</v>
      </c>
      <c r="K129" s="104">
        <v>1.3</v>
      </c>
      <c r="L129" s="104">
        <v>20.0</v>
      </c>
      <c r="M129" s="104">
        <v>90.0</v>
      </c>
      <c r="N129" s="107">
        <f>+0.5</f>
        <v>0.5</v>
      </c>
      <c r="O129" t="str">
        <f>IFERROR(__xludf.DUMMYFUNCTION("regexextract(B129,""[\w]* [\w]*"")")," WarrenO")</f>
        <v> WarrenO</v>
      </c>
      <c r="P129" t="str">
        <f t="shared" si="2"/>
        <v> WarrenO</v>
      </c>
      <c r="Q129" t="str">
        <f t="shared" si="3"/>
        <v> Warren</v>
      </c>
      <c r="R129" t="s">
        <v>94</v>
      </c>
      <c r="S129" s="60" t="s">
        <v>94</v>
      </c>
      <c r="T129" t="s">
        <v>45</v>
      </c>
      <c r="U129" t="s">
        <v>94</v>
      </c>
      <c r="V129" t="s">
        <v>94</v>
      </c>
      <c r="W129" t="str">
        <f t="shared" si="1"/>
        <v>SF</v>
      </c>
    </row>
    <row r="130">
      <c r="A130" s="93">
        <v>124.0</v>
      </c>
      <c r="B130" s="94" t="s">
        <v>220</v>
      </c>
      <c r="C130" s="95"/>
      <c r="D130" s="95"/>
      <c r="E130" s="105">
        <v>3.4</v>
      </c>
      <c r="F130" s="105">
        <v>1.6</v>
      </c>
      <c r="G130" s="105">
        <v>7.2</v>
      </c>
      <c r="H130" s="105">
        <v>1.1</v>
      </c>
      <c r="I130" s="105">
        <v>0.6</v>
      </c>
      <c r="J130" s="105">
        <v>2.0</v>
      </c>
      <c r="K130" s="105">
        <v>0.8</v>
      </c>
      <c r="L130" s="105">
        <v>14.5</v>
      </c>
      <c r="M130" s="105">
        <v>81.2</v>
      </c>
      <c r="N130" s="106">
        <f>+0.9</f>
        <v>0.9</v>
      </c>
      <c r="O130" t="str">
        <f>IFERROR(__xludf.DUMMYFUNCTION("regexextract(B130,""[\w]* [\w]*"")"),"Bojan BogdanovicDTD")</f>
        <v>Bojan BogdanovicDTD</v>
      </c>
      <c r="P130" t="str">
        <f t="shared" si="2"/>
        <v>Bojan Bogdanovic</v>
      </c>
      <c r="Q130" t="str">
        <f t="shared" si="3"/>
        <v>Bojan Bogdanovic</v>
      </c>
      <c r="R130" t="s">
        <v>94</v>
      </c>
      <c r="S130" s="60" t="s">
        <v>94</v>
      </c>
      <c r="T130" t="s">
        <v>45</v>
      </c>
      <c r="U130" t="s">
        <v>46</v>
      </c>
      <c r="V130" t="s">
        <v>47</v>
      </c>
      <c r="W130" t="str">
        <f t="shared" si="1"/>
        <v>SFPFC</v>
      </c>
    </row>
    <row r="131">
      <c r="A131" s="90">
        <v>125.0</v>
      </c>
      <c r="B131" s="91" t="s">
        <v>221</v>
      </c>
      <c r="C131" s="92"/>
      <c r="D131" s="92"/>
      <c r="E131" s="104">
        <v>5.9</v>
      </c>
      <c r="F131" s="104">
        <v>2.0</v>
      </c>
      <c r="G131" s="104">
        <v>4.6</v>
      </c>
      <c r="H131" s="104">
        <v>2.6</v>
      </c>
      <c r="I131" s="104">
        <v>0.7</v>
      </c>
      <c r="J131" s="104">
        <v>1.1</v>
      </c>
      <c r="K131" s="104">
        <v>1.9</v>
      </c>
      <c r="L131" s="104">
        <v>21.2</v>
      </c>
      <c r="M131" s="104">
        <v>83.6</v>
      </c>
      <c r="N131" s="107">
        <f>+1.7</f>
        <v>1.7</v>
      </c>
      <c r="O131" t="str">
        <f>IFERROR(__xludf.DUMMYFUNCTION("regexextract(B131,""[\w]* [\w]*"")"),"Steven Adams")</f>
        <v>Steven Adams</v>
      </c>
      <c r="P131" t="str">
        <f t="shared" si="2"/>
        <v>Steven Adams</v>
      </c>
      <c r="Q131" t="str">
        <f t="shared" si="3"/>
        <v>Steven Adams</v>
      </c>
      <c r="R131" t="s">
        <v>94</v>
      </c>
      <c r="S131" s="60" t="s">
        <v>94</v>
      </c>
      <c r="T131" t="s">
        <v>94</v>
      </c>
      <c r="U131" t="s">
        <v>94</v>
      </c>
      <c r="V131" t="s">
        <v>47</v>
      </c>
      <c r="W131" t="str">
        <f t="shared" si="1"/>
        <v>C</v>
      </c>
    </row>
    <row r="132">
      <c r="A132" s="93">
        <v>126.0</v>
      </c>
      <c r="B132" s="94" t="s">
        <v>222</v>
      </c>
      <c r="C132" s="95"/>
      <c r="D132" s="95"/>
      <c r="E132" s="105">
        <v>2.3</v>
      </c>
      <c r="F132" s="105">
        <v>0.5</v>
      </c>
      <c r="G132" s="105">
        <v>8.8</v>
      </c>
      <c r="H132" s="105">
        <v>1.1</v>
      </c>
      <c r="I132" s="105">
        <v>0.8</v>
      </c>
      <c r="J132" s="105">
        <v>1.8</v>
      </c>
      <c r="K132" s="105">
        <v>1.3</v>
      </c>
      <c r="L132" s="105">
        <v>11.6</v>
      </c>
      <c r="M132" s="105">
        <v>47.5</v>
      </c>
      <c r="N132" s="106">
        <f>+11.5</f>
        <v>11.5</v>
      </c>
      <c r="O132" t="str">
        <f>IFERROR(__xludf.DUMMYFUNCTION("regexextract(B132,""[\w]* [\w]*"")"),"Bobby Portis")</f>
        <v>Bobby Portis</v>
      </c>
      <c r="P132" t="str">
        <f t="shared" si="2"/>
        <v>Bobby Portis</v>
      </c>
      <c r="Q132" t="str">
        <f t="shared" si="3"/>
        <v>Bobby Portis</v>
      </c>
      <c r="R132" t="s">
        <v>94</v>
      </c>
      <c r="S132" s="60" t="s">
        <v>94</v>
      </c>
      <c r="T132" t="s">
        <v>94</v>
      </c>
      <c r="U132" t="s">
        <v>46</v>
      </c>
      <c r="V132" t="s">
        <v>94</v>
      </c>
      <c r="W132" t="str">
        <f t="shared" si="1"/>
        <v>PF</v>
      </c>
    </row>
    <row r="133">
      <c r="A133" s="90">
        <v>127.0</v>
      </c>
      <c r="B133" s="91" t="s">
        <v>223</v>
      </c>
      <c r="C133" s="92"/>
      <c r="D133" s="92"/>
      <c r="E133" s="104">
        <v>2.8</v>
      </c>
      <c r="F133" s="104">
        <v>0.0</v>
      </c>
      <c r="G133" s="104">
        <v>7.9</v>
      </c>
      <c r="H133" s="104">
        <v>1.4</v>
      </c>
      <c r="I133" s="104">
        <v>0.7</v>
      </c>
      <c r="J133" s="104">
        <v>1.5</v>
      </c>
      <c r="K133" s="104">
        <v>1.2</v>
      </c>
      <c r="L133" s="104">
        <v>13.3</v>
      </c>
      <c r="M133" s="104">
        <v>79.6</v>
      </c>
      <c r="N133" s="107">
        <f>+1.2</f>
        <v>1.2</v>
      </c>
      <c r="O133" t="str">
        <f>IFERROR(__xludf.DUMMYFUNCTION("regexextract(B133,""[\w]* [\w]*"")"),"Mason Plumlee")</f>
        <v>Mason Plumlee</v>
      </c>
      <c r="P133" t="str">
        <f t="shared" si="2"/>
        <v>Mason Plumlee</v>
      </c>
      <c r="Q133" t="str">
        <f t="shared" si="3"/>
        <v>Mason Plumlee</v>
      </c>
      <c r="R133" t="s">
        <v>94</v>
      </c>
      <c r="S133" s="60" t="s">
        <v>94</v>
      </c>
      <c r="T133" t="s">
        <v>94</v>
      </c>
      <c r="U133" t="s">
        <v>94</v>
      </c>
      <c r="V133" t="s">
        <v>47</v>
      </c>
      <c r="W133" t="str">
        <f t="shared" si="1"/>
        <v>C</v>
      </c>
    </row>
    <row r="134">
      <c r="A134" s="93">
        <v>128.0</v>
      </c>
      <c r="B134" s="94" t="s">
        <v>224</v>
      </c>
      <c r="C134" s="95"/>
      <c r="D134" s="95"/>
      <c r="E134" s="105">
        <v>2.7</v>
      </c>
      <c r="F134" s="105">
        <v>2.1</v>
      </c>
      <c r="G134" s="105">
        <v>2.4</v>
      </c>
      <c r="H134" s="105">
        <v>6.0</v>
      </c>
      <c r="I134" s="105">
        <v>1.2</v>
      </c>
      <c r="J134" s="105">
        <v>0.1</v>
      </c>
      <c r="K134" s="105">
        <v>3.1</v>
      </c>
      <c r="L134" s="105">
        <v>18.4</v>
      </c>
      <c r="M134" s="105">
        <v>81.4</v>
      </c>
      <c r="N134" s="106">
        <f>+0.3</f>
        <v>0.3</v>
      </c>
      <c r="O134" t="str">
        <f>IFERROR(__xludf.DUMMYFUNCTION("regexextract(B134,""[\w]* [\w]*"")"),"Ricky Rubio")</f>
        <v>Ricky Rubio</v>
      </c>
      <c r="P134" t="str">
        <f t="shared" si="2"/>
        <v>Ricky Rubio</v>
      </c>
      <c r="Q134" t="str">
        <f t="shared" si="3"/>
        <v>Ricky Rubi</v>
      </c>
      <c r="R134" t="s">
        <v>43</v>
      </c>
      <c r="S134" s="60" t="s">
        <v>94</v>
      </c>
      <c r="T134" t="s">
        <v>94</v>
      </c>
      <c r="U134" t="s">
        <v>94</v>
      </c>
      <c r="V134" t="s">
        <v>47</v>
      </c>
      <c r="W134" t="str">
        <f t="shared" si="1"/>
        <v>PGC</v>
      </c>
    </row>
    <row r="135">
      <c r="A135" s="90">
        <v>129.0</v>
      </c>
      <c r="B135" s="91" t="s">
        <v>225</v>
      </c>
      <c r="C135" s="92"/>
      <c r="D135" s="92"/>
      <c r="E135" s="104">
        <v>2.8</v>
      </c>
      <c r="F135" s="104">
        <v>1.4</v>
      </c>
      <c r="G135" s="104">
        <v>6.6</v>
      </c>
      <c r="H135" s="104">
        <v>1.2</v>
      </c>
      <c r="I135" s="104">
        <v>0.8</v>
      </c>
      <c r="J135" s="104">
        <v>2.9</v>
      </c>
      <c r="K135" s="104">
        <v>1.3</v>
      </c>
      <c r="L135" s="104">
        <v>12.4</v>
      </c>
      <c r="M135" s="104">
        <v>56.4</v>
      </c>
      <c r="N135" s="107">
        <f>+9.7</f>
        <v>9.7</v>
      </c>
      <c r="O135" t="str">
        <f>IFERROR(__xludf.DUMMYFUNCTION("regexextract(B135,""[\w]* [\w]*"")"),"Klay ThompsonO")</f>
        <v>Klay ThompsonO</v>
      </c>
      <c r="P135" t="str">
        <f t="shared" si="2"/>
        <v>Klay ThompsonO</v>
      </c>
      <c r="Q135" t="str">
        <f t="shared" si="3"/>
        <v>Klay Thompson</v>
      </c>
      <c r="R135" t="s">
        <v>94</v>
      </c>
      <c r="S135" s="60" t="s">
        <v>44</v>
      </c>
      <c r="T135" t="s">
        <v>94</v>
      </c>
      <c r="U135" t="s">
        <v>94</v>
      </c>
      <c r="V135" t="s">
        <v>94</v>
      </c>
      <c r="W135" t="str">
        <f t="shared" si="1"/>
        <v>SG</v>
      </c>
    </row>
    <row r="136">
      <c r="A136" s="93">
        <v>130.0</v>
      </c>
      <c r="B136" s="94" t="s">
        <v>226</v>
      </c>
      <c r="C136" s="95"/>
      <c r="D136" s="95"/>
      <c r="E136" s="105">
        <v>2.0</v>
      </c>
      <c r="F136" s="105">
        <v>2.6</v>
      </c>
      <c r="G136" s="105">
        <v>4.4</v>
      </c>
      <c r="H136" s="105">
        <v>3.2</v>
      </c>
      <c r="I136" s="105">
        <v>1.4</v>
      </c>
      <c r="J136" s="105">
        <v>0.7</v>
      </c>
      <c r="K136" s="105">
        <v>2.1</v>
      </c>
      <c r="L136" s="105">
        <v>16.4</v>
      </c>
      <c r="M136" s="105">
        <v>73.5</v>
      </c>
      <c r="N136" s="106">
        <f>+1.7</f>
        <v>1.7</v>
      </c>
      <c r="O136" t="str">
        <f>IFERROR(__xludf.DUMMYFUNCTION("regexextract(B136,""[\w]* [\w]*"")"),"Kelly Olynyk")</f>
        <v>Kelly Olynyk</v>
      </c>
      <c r="P136" t="str">
        <f t="shared" si="2"/>
        <v>Kelly Olynyk</v>
      </c>
      <c r="Q136" t="str">
        <f t="shared" si="3"/>
        <v>Kelly Olynyk</v>
      </c>
      <c r="R136" t="s">
        <v>94</v>
      </c>
      <c r="S136" s="60" t="s">
        <v>94</v>
      </c>
      <c r="T136" t="s">
        <v>94</v>
      </c>
      <c r="U136" t="s">
        <v>46</v>
      </c>
      <c r="V136" t="s">
        <v>47</v>
      </c>
      <c r="W136" t="str">
        <f t="shared" si="1"/>
        <v>PFC</v>
      </c>
    </row>
    <row r="137">
      <c r="A137" s="90">
        <v>131.0</v>
      </c>
      <c r="B137" s="91" t="s">
        <v>227</v>
      </c>
      <c r="C137" s="92"/>
      <c r="D137" s="92"/>
      <c r="E137" s="104">
        <v>3.8</v>
      </c>
      <c r="F137" s="104">
        <v>2.1</v>
      </c>
      <c r="G137" s="104">
        <v>5.6</v>
      </c>
      <c r="H137" s="104">
        <v>1.5</v>
      </c>
      <c r="I137" s="104">
        <v>0.9</v>
      </c>
      <c r="J137" s="104">
        <v>1.8</v>
      </c>
      <c r="K137" s="104">
        <v>1.9</v>
      </c>
      <c r="L137" s="104">
        <v>17.9</v>
      </c>
      <c r="M137" s="104">
        <v>79.1</v>
      </c>
      <c r="N137" s="107">
        <f t="shared" ref="N137:N138" si="7">+1.8</f>
        <v>1.8</v>
      </c>
      <c r="O137" t="str">
        <f>IFERROR(__xludf.DUMMYFUNCTION("regexextract(B137,""[\w]* [\w]*"")"),"Monte Morris")</f>
        <v>Monte Morris</v>
      </c>
      <c r="P137" t="str">
        <f t="shared" si="2"/>
        <v>Monte Morris</v>
      </c>
      <c r="Q137" t="str">
        <f t="shared" si="3"/>
        <v>Monte Morris</v>
      </c>
      <c r="R137" t="s">
        <v>43</v>
      </c>
      <c r="S137" s="60" t="s">
        <v>94</v>
      </c>
      <c r="T137" t="s">
        <v>94</v>
      </c>
      <c r="U137" t="s">
        <v>94</v>
      </c>
      <c r="V137" t="s">
        <v>94</v>
      </c>
      <c r="W137" t="str">
        <f t="shared" si="1"/>
        <v>PG</v>
      </c>
    </row>
    <row r="138">
      <c r="A138" s="93">
        <v>132.0</v>
      </c>
      <c r="B138" s="94" t="s">
        <v>228</v>
      </c>
      <c r="C138" s="95"/>
      <c r="D138" s="95"/>
      <c r="E138" s="105">
        <v>4.4</v>
      </c>
      <c r="F138" s="105">
        <v>1.9</v>
      </c>
      <c r="G138" s="105">
        <v>5.7</v>
      </c>
      <c r="H138" s="105">
        <v>3.0</v>
      </c>
      <c r="I138" s="105">
        <v>0.7</v>
      </c>
      <c r="J138" s="105">
        <v>0.3</v>
      </c>
      <c r="K138" s="105">
        <v>1.9</v>
      </c>
      <c r="L138" s="105">
        <v>18.7</v>
      </c>
      <c r="M138" s="105">
        <v>80.5</v>
      </c>
      <c r="N138" s="106">
        <f t="shared" si="7"/>
        <v>1.8</v>
      </c>
      <c r="O138" t="str">
        <f>IFERROR(__xludf.DUMMYFUNCTION("regexextract(B138,""[\w]* [\w]*"")"),"John WallO")</f>
        <v>John WallO</v>
      </c>
      <c r="P138" t="str">
        <f t="shared" si="2"/>
        <v>John WallO</v>
      </c>
      <c r="Q138" t="str">
        <f t="shared" si="3"/>
        <v>John Wall</v>
      </c>
      <c r="R138" t="s">
        <v>43</v>
      </c>
      <c r="S138" s="60" t="s">
        <v>94</v>
      </c>
      <c r="T138" t="s">
        <v>94</v>
      </c>
      <c r="U138" t="s">
        <v>94</v>
      </c>
      <c r="V138" t="s">
        <v>94</v>
      </c>
      <c r="W138" t="str">
        <f t="shared" si="1"/>
        <v>PG</v>
      </c>
    </row>
    <row r="139">
      <c r="A139" s="90">
        <v>133.0</v>
      </c>
      <c r="B139" s="91" t="s">
        <v>229</v>
      </c>
      <c r="C139" s="92"/>
      <c r="D139" s="92"/>
      <c r="E139" s="104">
        <v>3.5</v>
      </c>
      <c r="F139" s="104">
        <v>2.4</v>
      </c>
      <c r="G139" s="104">
        <v>3.4</v>
      </c>
      <c r="H139" s="104">
        <v>5.7</v>
      </c>
      <c r="I139" s="104">
        <v>1.2</v>
      </c>
      <c r="J139" s="104">
        <v>0.2</v>
      </c>
      <c r="K139" s="104">
        <v>1.9</v>
      </c>
      <c r="L139" s="104">
        <v>16.9</v>
      </c>
      <c r="M139" s="104">
        <v>80.7</v>
      </c>
      <c r="N139" s="107">
        <f>+0.2</f>
        <v>0.2</v>
      </c>
      <c r="O139" t="str">
        <f>IFERROR(__xludf.DUMMYFUNCTION("regexextract(B139,""[\w]* [\w]*"")"),"Kyle Anderson")</f>
        <v>Kyle Anderson</v>
      </c>
      <c r="P139" t="str">
        <f t="shared" si="2"/>
        <v>Kyle Anderson</v>
      </c>
      <c r="Q139" t="str">
        <f t="shared" si="3"/>
        <v>Kyle Anderson</v>
      </c>
      <c r="R139" t="s">
        <v>94</v>
      </c>
      <c r="S139" s="60" t="s">
        <v>94</v>
      </c>
      <c r="T139" t="s">
        <v>45</v>
      </c>
      <c r="U139" t="s">
        <v>46</v>
      </c>
      <c r="V139" t="s">
        <v>94</v>
      </c>
      <c r="W139" t="str">
        <f t="shared" si="1"/>
        <v>SFPF</v>
      </c>
    </row>
    <row r="140">
      <c r="A140" s="93">
        <v>134.0</v>
      </c>
      <c r="B140" s="94" t="s">
        <v>230</v>
      </c>
      <c r="C140" s="95"/>
      <c r="D140" s="95"/>
      <c r="E140" s="105">
        <v>2.3</v>
      </c>
      <c r="F140" s="105">
        <v>1.7</v>
      </c>
      <c r="G140" s="105">
        <v>6.5</v>
      </c>
      <c r="H140" s="105">
        <v>2.5</v>
      </c>
      <c r="I140" s="105">
        <v>1.1</v>
      </c>
      <c r="J140" s="105">
        <v>1.2</v>
      </c>
      <c r="K140" s="105">
        <v>2.0</v>
      </c>
      <c r="L140" s="105">
        <v>13.3</v>
      </c>
      <c r="M140" s="105">
        <v>77.5</v>
      </c>
      <c r="N140" s="106">
        <f>+0.7</f>
        <v>0.7</v>
      </c>
      <c r="O140" t="str">
        <f>IFERROR(__xludf.DUMMYFUNCTION("regexextract(B140,""[\w]* [\w]*"")"),"Kevin Porter")</f>
        <v>Kevin Porter</v>
      </c>
      <c r="P140" t="str">
        <f t="shared" si="2"/>
        <v>Kevin Porter</v>
      </c>
      <c r="Q140" t="str">
        <f t="shared" si="3"/>
        <v>Kevin Porter</v>
      </c>
      <c r="R140" t="s">
        <v>43</v>
      </c>
      <c r="S140" s="60" t="s">
        <v>44</v>
      </c>
      <c r="T140" t="s">
        <v>94</v>
      </c>
      <c r="U140" t="s">
        <v>94</v>
      </c>
      <c r="V140" t="s">
        <v>94</v>
      </c>
      <c r="W140" t="str">
        <f t="shared" si="1"/>
        <v>PGSG</v>
      </c>
    </row>
    <row r="141">
      <c r="A141" s="90">
        <v>135.0</v>
      </c>
      <c r="B141" s="91" t="s">
        <v>231</v>
      </c>
      <c r="C141" s="92"/>
      <c r="D141" s="92"/>
      <c r="E141" s="104">
        <v>4.8</v>
      </c>
      <c r="F141" s="104">
        <v>2.1</v>
      </c>
      <c r="G141" s="104">
        <v>4.3</v>
      </c>
      <c r="H141" s="104">
        <v>2.4</v>
      </c>
      <c r="I141" s="104">
        <v>0.9</v>
      </c>
      <c r="J141" s="104">
        <v>0.5</v>
      </c>
      <c r="K141" s="104">
        <v>1.8</v>
      </c>
      <c r="L141" s="104">
        <v>19.2</v>
      </c>
      <c r="M141" s="104">
        <v>83.8</v>
      </c>
      <c r="N141" s="107">
        <f>+0.9</f>
        <v>0.9</v>
      </c>
      <c r="O141" t="str">
        <f>IFERROR(__xludf.DUMMYFUNCTION("regexextract(B141,""[\w]* [\w]*"")"),"Alperen Sengun")</f>
        <v>Alperen Sengun</v>
      </c>
      <c r="P141" t="str">
        <f t="shared" si="2"/>
        <v>Alperen Sengun</v>
      </c>
      <c r="Q141" t="str">
        <f t="shared" si="3"/>
        <v>Alperen Sengun</v>
      </c>
      <c r="R141" t="s">
        <v>94</v>
      </c>
      <c r="S141" s="60" t="s">
        <v>94</v>
      </c>
      <c r="T141" t="s">
        <v>94</v>
      </c>
      <c r="U141" t="s">
        <v>94</v>
      </c>
      <c r="V141" t="s">
        <v>47</v>
      </c>
      <c r="W141" t="str">
        <f t="shared" si="1"/>
        <v>C</v>
      </c>
    </row>
    <row r="142">
      <c r="A142" s="93">
        <v>136.0</v>
      </c>
      <c r="B142" s="94" t="s">
        <v>232</v>
      </c>
      <c r="C142" s="95"/>
      <c r="D142" s="95"/>
      <c r="E142" s="105">
        <v>3.7</v>
      </c>
      <c r="F142" s="105">
        <v>2.4</v>
      </c>
      <c r="G142" s="105">
        <v>3.5</v>
      </c>
      <c r="H142" s="105">
        <v>2.0</v>
      </c>
      <c r="I142" s="105">
        <v>1.2</v>
      </c>
      <c r="J142" s="105">
        <v>0.3</v>
      </c>
      <c r="K142" s="105">
        <v>1.8</v>
      </c>
      <c r="L142" s="105">
        <v>18.5</v>
      </c>
      <c r="M142" s="105">
        <v>72.9</v>
      </c>
      <c r="N142" s="106">
        <f>+2.8</f>
        <v>2.8</v>
      </c>
      <c r="O142" t="str">
        <f>IFERROR(__xludf.DUMMYFUNCTION("regexextract(B142,""[\w]* [\w]*"")"),"Tyler Herro")</f>
        <v>Tyler Herro</v>
      </c>
      <c r="P142" t="str">
        <f t="shared" si="2"/>
        <v>Tyler Herro</v>
      </c>
      <c r="Q142" t="str">
        <f t="shared" si="3"/>
        <v>Tyler Herr</v>
      </c>
      <c r="R142" t="s">
        <v>43</v>
      </c>
      <c r="S142" s="60" t="s">
        <v>44</v>
      </c>
      <c r="T142" t="s">
        <v>94</v>
      </c>
      <c r="U142" t="s">
        <v>94</v>
      </c>
      <c r="V142" t="s">
        <v>94</v>
      </c>
      <c r="W142" t="str">
        <f t="shared" si="1"/>
        <v>PGSG</v>
      </c>
    </row>
    <row r="143">
      <c r="A143" s="90">
        <v>137.0</v>
      </c>
      <c r="B143" s="91" t="s">
        <v>233</v>
      </c>
      <c r="C143" s="92"/>
      <c r="D143" s="92"/>
      <c r="E143" s="104">
        <v>3.1</v>
      </c>
      <c r="F143" s="104">
        <v>0.0</v>
      </c>
      <c r="G143" s="104">
        <v>9.5</v>
      </c>
      <c r="H143" s="104">
        <v>1.6</v>
      </c>
      <c r="I143" s="104">
        <v>0.4</v>
      </c>
      <c r="J143" s="104">
        <v>1.2</v>
      </c>
      <c r="K143" s="104">
        <v>1.4</v>
      </c>
      <c r="L143" s="104">
        <v>11.8</v>
      </c>
      <c r="M143" s="104">
        <v>20.0</v>
      </c>
      <c r="N143" s="107">
        <f>+18.1</f>
        <v>18.1</v>
      </c>
      <c r="O143" t="str">
        <f>IFERROR(__xludf.DUMMYFUNCTION("regexextract(B143,""[\w]* [\w]*"")"),"Isaiah Roby")</f>
        <v>Isaiah Roby</v>
      </c>
      <c r="P143" t="str">
        <f t="shared" si="2"/>
        <v>Isaiah Roby</v>
      </c>
      <c r="Q143" t="str">
        <f t="shared" si="3"/>
        <v>Isaiah Roby</v>
      </c>
      <c r="R143" t="s">
        <v>94</v>
      </c>
      <c r="S143" s="60" t="s">
        <v>94</v>
      </c>
      <c r="T143" t="s">
        <v>94</v>
      </c>
      <c r="U143" t="s">
        <v>46</v>
      </c>
      <c r="V143" t="s">
        <v>47</v>
      </c>
      <c r="W143" t="str">
        <f t="shared" si="1"/>
        <v>PFC</v>
      </c>
    </row>
    <row r="144">
      <c r="A144" s="93">
        <v>138.0</v>
      </c>
      <c r="B144" s="94" t="s">
        <v>234</v>
      </c>
      <c r="C144" s="95"/>
      <c r="D144" s="95"/>
      <c r="E144" s="105">
        <v>3.2</v>
      </c>
      <c r="F144" s="105">
        <v>3.5</v>
      </c>
      <c r="G144" s="105">
        <v>2.9</v>
      </c>
      <c r="H144" s="105">
        <v>5.6</v>
      </c>
      <c r="I144" s="105">
        <v>0.9</v>
      </c>
      <c r="J144" s="105">
        <v>0.2</v>
      </c>
      <c r="K144" s="105">
        <v>2.1</v>
      </c>
      <c r="L144" s="105">
        <v>16.1</v>
      </c>
      <c r="M144" s="105">
        <v>83.1</v>
      </c>
      <c r="N144" s="109">
        <v>-1.6</v>
      </c>
      <c r="O144" t="str">
        <f>IFERROR(__xludf.DUMMYFUNCTION("regexextract(B144,""[\w]* [\w]*"")"),"Andre Drummond")</f>
        <v>Andre Drummond</v>
      </c>
      <c r="P144" t="str">
        <f t="shared" si="2"/>
        <v>Andre Drummond</v>
      </c>
      <c r="Q144" t="str">
        <f t="shared" si="3"/>
        <v>Andre Drummond</v>
      </c>
      <c r="R144" t="s">
        <v>94</v>
      </c>
      <c r="S144" s="60" t="s">
        <v>94</v>
      </c>
      <c r="T144" t="s">
        <v>94</v>
      </c>
      <c r="U144" t="s">
        <v>94</v>
      </c>
      <c r="V144" t="s">
        <v>47</v>
      </c>
      <c r="W144" t="str">
        <f t="shared" si="1"/>
        <v>C</v>
      </c>
    </row>
    <row r="145">
      <c r="A145" s="90">
        <v>139.0</v>
      </c>
      <c r="B145" s="91" t="s">
        <v>235</v>
      </c>
      <c r="C145" s="92"/>
      <c r="D145" s="92"/>
      <c r="E145" s="104">
        <v>3.1</v>
      </c>
      <c r="F145" s="104">
        <v>1.7</v>
      </c>
      <c r="G145" s="104">
        <v>4.2</v>
      </c>
      <c r="H145" s="104">
        <v>4.7</v>
      </c>
      <c r="I145" s="104">
        <v>1.0</v>
      </c>
      <c r="J145" s="104">
        <v>0.4</v>
      </c>
      <c r="K145" s="104">
        <v>2.0</v>
      </c>
      <c r="L145" s="104">
        <v>14.5</v>
      </c>
      <c r="M145" s="104">
        <v>30.0</v>
      </c>
      <c r="N145" s="107">
        <f>+17.1</f>
        <v>17.1</v>
      </c>
      <c r="O145" t="str">
        <f>IFERROR(__xludf.DUMMYFUNCTION("regexextract(B145,""[\w]* [\w]*"")"),"Isaac OkoroDTD")</f>
        <v>Isaac OkoroDTD</v>
      </c>
      <c r="P145" t="str">
        <f t="shared" si="2"/>
        <v>Isaac Okoro</v>
      </c>
      <c r="Q145" t="str">
        <f t="shared" si="3"/>
        <v>Isaac Okor</v>
      </c>
      <c r="R145" t="s">
        <v>94</v>
      </c>
      <c r="S145" s="60" t="s">
        <v>94</v>
      </c>
      <c r="T145" t="s">
        <v>45</v>
      </c>
      <c r="U145" t="s">
        <v>94</v>
      </c>
      <c r="V145" t="s">
        <v>47</v>
      </c>
      <c r="W145" t="str">
        <f t="shared" si="1"/>
        <v>SFC</v>
      </c>
    </row>
    <row r="146">
      <c r="A146" s="93">
        <v>140.0</v>
      </c>
      <c r="B146" s="94" t="s">
        <v>236</v>
      </c>
      <c r="C146" s="95"/>
      <c r="D146" s="95"/>
      <c r="E146" s="105">
        <v>1.8</v>
      </c>
      <c r="F146" s="105">
        <v>1.5</v>
      </c>
      <c r="G146" s="105">
        <v>4.2</v>
      </c>
      <c r="H146" s="105">
        <v>2.1</v>
      </c>
      <c r="I146" s="105">
        <v>1.3</v>
      </c>
      <c r="J146" s="105">
        <v>0.8</v>
      </c>
      <c r="K146" s="105">
        <v>0.9</v>
      </c>
      <c r="L146" s="105">
        <v>11.7</v>
      </c>
      <c r="M146" s="105">
        <v>61.2</v>
      </c>
      <c r="N146" s="106">
        <f>+8.8</f>
        <v>8.8</v>
      </c>
      <c r="O146" t="str">
        <f>IFERROR(__xludf.DUMMYFUNCTION("regexextract(B146,""[\w]* [\w]*"")"),"Derrick Rose")</f>
        <v>Derrick Rose</v>
      </c>
      <c r="P146" t="str">
        <f t="shared" si="2"/>
        <v>Derrick Rose</v>
      </c>
      <c r="Q146" t="str">
        <f t="shared" si="3"/>
        <v>Derrick Rose</v>
      </c>
      <c r="R146" t="s">
        <v>43</v>
      </c>
      <c r="S146" s="60" t="s">
        <v>94</v>
      </c>
      <c r="T146" t="s">
        <v>94</v>
      </c>
      <c r="U146" t="s">
        <v>94</v>
      </c>
      <c r="V146" t="s">
        <v>47</v>
      </c>
      <c r="W146" t="str">
        <f t="shared" si="1"/>
        <v>PGC</v>
      </c>
    </row>
    <row r="147">
      <c r="A147" s="90">
        <v>141.0</v>
      </c>
      <c r="B147" s="91" t="s">
        <v>237</v>
      </c>
      <c r="C147" s="92"/>
      <c r="D147" s="92"/>
      <c r="E147" s="104">
        <v>4.0</v>
      </c>
      <c r="F147" s="104">
        <v>0.3</v>
      </c>
      <c r="G147" s="104">
        <v>9.9</v>
      </c>
      <c r="H147" s="104">
        <v>2.3</v>
      </c>
      <c r="I147" s="104">
        <v>0.8</v>
      </c>
      <c r="J147" s="104">
        <v>0.9</v>
      </c>
      <c r="K147" s="104">
        <v>1.7</v>
      </c>
      <c r="L147" s="104">
        <v>13.5</v>
      </c>
      <c r="M147" s="104">
        <v>26.8</v>
      </c>
      <c r="N147" s="107">
        <f>+18</f>
        <v>18</v>
      </c>
      <c r="O147" t="str">
        <f>IFERROR(__xludf.DUMMYFUNCTION("regexextract(B147,""[\w]* [\w]*"")"),"Aaron Gordon")</f>
        <v>Aaron Gordon</v>
      </c>
      <c r="P147" t="str">
        <f t="shared" si="2"/>
        <v>Aaron Gordon</v>
      </c>
      <c r="Q147" t="str">
        <f t="shared" si="3"/>
        <v>Aaron Gordon</v>
      </c>
      <c r="R147" t="s">
        <v>94</v>
      </c>
      <c r="S147" s="60" t="s">
        <v>94</v>
      </c>
      <c r="T147" t="s">
        <v>94</v>
      </c>
      <c r="U147" t="s">
        <v>46</v>
      </c>
      <c r="V147" t="s">
        <v>94</v>
      </c>
      <c r="W147" t="str">
        <f t="shared" si="1"/>
        <v>PF</v>
      </c>
    </row>
    <row r="148">
      <c r="A148" s="93">
        <v>142.0</v>
      </c>
      <c r="B148" s="94" t="s">
        <v>238</v>
      </c>
      <c r="C148" s="95"/>
      <c r="D148" s="95"/>
      <c r="E148" s="105">
        <v>1.3</v>
      </c>
      <c r="F148" s="105">
        <v>2.1</v>
      </c>
      <c r="G148" s="105">
        <v>6.5</v>
      </c>
      <c r="H148" s="105">
        <v>1.5</v>
      </c>
      <c r="I148" s="105">
        <v>1.5</v>
      </c>
      <c r="J148" s="105">
        <v>1.2</v>
      </c>
      <c r="K148" s="105">
        <v>1.1</v>
      </c>
      <c r="L148" s="105">
        <v>10.2</v>
      </c>
      <c r="M148" s="105">
        <v>37.8</v>
      </c>
      <c r="N148" s="106">
        <f>+13.7</f>
        <v>13.7</v>
      </c>
      <c r="O148" t="str">
        <f>IFERROR(__xludf.DUMMYFUNCTION("regexextract(B148,""[\w]* [\w]*"")"),"Patrick WilliamsO")</f>
        <v>Patrick WilliamsO</v>
      </c>
      <c r="P148" t="str">
        <f t="shared" si="2"/>
        <v>Patrick WilliamsO</v>
      </c>
      <c r="Q148" t="str">
        <f t="shared" si="3"/>
        <v>Patrick Williams</v>
      </c>
      <c r="R148" t="s">
        <v>94</v>
      </c>
      <c r="S148" s="60" t="s">
        <v>94</v>
      </c>
      <c r="T148" t="s">
        <v>45</v>
      </c>
      <c r="U148" t="s">
        <v>46</v>
      </c>
      <c r="V148" t="s">
        <v>47</v>
      </c>
      <c r="W148" t="str">
        <f t="shared" si="1"/>
        <v>SFPFC</v>
      </c>
    </row>
    <row r="149">
      <c r="A149" s="90">
        <v>143.0</v>
      </c>
      <c r="B149" s="91" t="s">
        <v>239</v>
      </c>
      <c r="C149" s="92"/>
      <c r="D149" s="92"/>
      <c r="E149" s="104">
        <v>1.5</v>
      </c>
      <c r="F149" s="104">
        <v>0.5</v>
      </c>
      <c r="G149" s="104">
        <v>5.9</v>
      </c>
      <c r="H149" s="104">
        <v>3.3</v>
      </c>
      <c r="I149" s="104">
        <v>1.3</v>
      </c>
      <c r="J149" s="104">
        <v>0.5</v>
      </c>
      <c r="K149" s="104">
        <v>1.8</v>
      </c>
      <c r="L149" s="104">
        <v>11.7</v>
      </c>
      <c r="M149" s="104">
        <v>52.5</v>
      </c>
      <c r="N149" s="107">
        <f>+10.2</f>
        <v>10.2</v>
      </c>
      <c r="O149" t="str">
        <f>IFERROR(__xludf.DUMMYFUNCTION("regexextract(B149,""[\w]* [\w]*"")"),"Markelle FultzO")</f>
        <v>Markelle FultzO</v>
      </c>
      <c r="P149" t="str">
        <f t="shared" si="2"/>
        <v>Markelle FultzO</v>
      </c>
      <c r="Q149" t="str">
        <f t="shared" si="3"/>
        <v>Markelle Fultz</v>
      </c>
      <c r="R149" t="s">
        <v>43</v>
      </c>
      <c r="S149" s="60" t="s">
        <v>94</v>
      </c>
      <c r="T149" t="s">
        <v>94</v>
      </c>
      <c r="U149" t="s">
        <v>94</v>
      </c>
      <c r="V149" t="s">
        <v>94</v>
      </c>
      <c r="W149" t="str">
        <f t="shared" si="1"/>
        <v>PG</v>
      </c>
    </row>
    <row r="150">
      <c r="A150" s="93">
        <v>144.0</v>
      </c>
      <c r="B150" s="94" t="s">
        <v>240</v>
      </c>
      <c r="C150" s="95"/>
      <c r="D150" s="95"/>
      <c r="E150" s="105">
        <v>3.1</v>
      </c>
      <c r="F150" s="105">
        <v>2.0</v>
      </c>
      <c r="G150" s="105">
        <v>3.5</v>
      </c>
      <c r="H150" s="105">
        <v>5.5</v>
      </c>
      <c r="I150" s="105">
        <v>1.5</v>
      </c>
      <c r="J150" s="105">
        <v>0.5</v>
      </c>
      <c r="K150" s="105">
        <v>1.9</v>
      </c>
      <c r="L150" s="105">
        <v>12.8</v>
      </c>
      <c r="M150" s="105">
        <v>77.0</v>
      </c>
      <c r="N150" s="106">
        <f>+0.6</f>
        <v>0.6</v>
      </c>
      <c r="O150" t="str">
        <f>IFERROR(__xludf.DUMMYFUNCTION("regexextract(B150,""[\w]* [\w]*"")"),"Darius Bazley")</f>
        <v>Darius Bazley</v>
      </c>
      <c r="P150" t="str">
        <f t="shared" si="2"/>
        <v>Darius Bazley</v>
      </c>
      <c r="Q150" t="str">
        <f t="shared" si="3"/>
        <v>Darius Bazley</v>
      </c>
      <c r="R150" t="s">
        <v>94</v>
      </c>
      <c r="S150" s="60" t="s">
        <v>94</v>
      </c>
      <c r="T150" t="s">
        <v>45</v>
      </c>
      <c r="U150" t="s">
        <v>46</v>
      </c>
      <c r="V150" t="s">
        <v>47</v>
      </c>
      <c r="W150" t="str">
        <f t="shared" si="1"/>
        <v>SFPFC</v>
      </c>
    </row>
    <row r="151">
      <c r="A151" s="90">
        <v>145.0</v>
      </c>
      <c r="B151" s="91" t="s">
        <v>241</v>
      </c>
      <c r="C151" s="92"/>
      <c r="D151" s="92"/>
      <c r="E151" s="104">
        <v>3.8</v>
      </c>
      <c r="F151" s="104">
        <v>1.4</v>
      </c>
      <c r="G151" s="104">
        <v>3.6</v>
      </c>
      <c r="H151" s="104">
        <v>5.3</v>
      </c>
      <c r="I151" s="104">
        <v>1.0</v>
      </c>
      <c r="J151" s="104">
        <v>0.2</v>
      </c>
      <c r="K151" s="104">
        <v>2.6</v>
      </c>
      <c r="L151" s="104">
        <v>16.3</v>
      </c>
      <c r="M151" s="104">
        <v>78.9</v>
      </c>
      <c r="N151" s="108">
        <v>-0.8</v>
      </c>
      <c r="O151" t="str">
        <f>IFERROR(__xludf.DUMMYFUNCTION("regexextract(B151,""[\w]* [\w]*"")"),"Otto Porter")</f>
        <v>Otto Porter</v>
      </c>
      <c r="P151" t="str">
        <f t="shared" si="2"/>
        <v>Otto Porter</v>
      </c>
      <c r="Q151" t="str">
        <f t="shared" si="3"/>
        <v>Otto Porter</v>
      </c>
      <c r="R151" t="s">
        <v>94</v>
      </c>
      <c r="S151" s="60" t="s">
        <v>94</v>
      </c>
      <c r="T151" t="s">
        <v>45</v>
      </c>
      <c r="U151" t="s">
        <v>94</v>
      </c>
      <c r="V151" t="s">
        <v>94</v>
      </c>
      <c r="W151" t="str">
        <f t="shared" si="1"/>
        <v>SF</v>
      </c>
    </row>
    <row r="152">
      <c r="A152" s="93">
        <v>146.0</v>
      </c>
      <c r="B152" s="94" t="s">
        <v>242</v>
      </c>
      <c r="C152" s="95"/>
      <c r="D152" s="95"/>
      <c r="E152" s="105">
        <v>1.3</v>
      </c>
      <c r="F152" s="105">
        <v>3.1</v>
      </c>
      <c r="G152" s="105">
        <v>3.5</v>
      </c>
      <c r="H152" s="105">
        <v>3.3</v>
      </c>
      <c r="I152" s="105">
        <v>1.1</v>
      </c>
      <c r="J152" s="105">
        <v>0.3</v>
      </c>
      <c r="K152" s="105">
        <v>1.3</v>
      </c>
      <c r="L152" s="105">
        <v>15.8</v>
      </c>
      <c r="M152" s="105">
        <v>82.2</v>
      </c>
      <c r="N152" s="109">
        <v>-0.8</v>
      </c>
      <c r="O152" t="str">
        <f>IFERROR(__xludf.DUMMYFUNCTION("regexextract(B152,""[\w]* [\w]*"")"),"Serge IbakaDTD")</f>
        <v>Serge IbakaDTD</v>
      </c>
      <c r="P152" t="str">
        <f t="shared" si="2"/>
        <v>Serge Ibaka</v>
      </c>
      <c r="Q152" t="str">
        <f t="shared" si="3"/>
        <v>Serge Ibaka</v>
      </c>
      <c r="R152" t="s">
        <v>94</v>
      </c>
      <c r="S152" s="60" t="s">
        <v>94</v>
      </c>
      <c r="T152" t="s">
        <v>94</v>
      </c>
      <c r="U152" t="s">
        <v>46</v>
      </c>
      <c r="V152" t="s">
        <v>47</v>
      </c>
      <c r="W152" t="str">
        <f t="shared" si="1"/>
        <v>PFC</v>
      </c>
    </row>
    <row r="153">
      <c r="A153" s="90">
        <v>147.0</v>
      </c>
      <c r="B153" s="91" t="s">
        <v>243</v>
      </c>
      <c r="C153" s="92"/>
      <c r="D153" s="92"/>
      <c r="E153" s="104">
        <v>3.9</v>
      </c>
      <c r="F153" s="104">
        <v>1.7</v>
      </c>
      <c r="G153" s="104">
        <v>5.8</v>
      </c>
      <c r="H153" s="104">
        <v>2.8</v>
      </c>
      <c r="I153" s="104">
        <v>0.7</v>
      </c>
      <c r="J153" s="104">
        <v>0.2</v>
      </c>
      <c r="K153" s="104">
        <v>1.5</v>
      </c>
      <c r="L153" s="104">
        <v>15.8</v>
      </c>
      <c r="M153" s="104">
        <v>78.4</v>
      </c>
      <c r="N153" s="108">
        <v>-0.9</v>
      </c>
      <c r="O153" t="str">
        <f>IFERROR(__xludf.DUMMYFUNCTION("regexextract(B153,""[\w]* [\w]*"")"),"Al Horford")</f>
        <v>Al Horford</v>
      </c>
      <c r="P153" t="str">
        <f t="shared" si="2"/>
        <v>Al Horford</v>
      </c>
      <c r="Q153" t="str">
        <f t="shared" si="3"/>
        <v>Al Horford</v>
      </c>
      <c r="R153" t="s">
        <v>94</v>
      </c>
      <c r="S153" s="60" t="s">
        <v>94</v>
      </c>
      <c r="T153" t="s">
        <v>94</v>
      </c>
      <c r="U153" t="s">
        <v>46</v>
      </c>
      <c r="V153" t="s">
        <v>47</v>
      </c>
      <c r="W153" t="str">
        <f t="shared" si="1"/>
        <v>PFC</v>
      </c>
    </row>
    <row r="154">
      <c r="A154" s="93">
        <v>148.0</v>
      </c>
      <c r="B154" s="94" t="s">
        <v>244</v>
      </c>
      <c r="C154" s="95"/>
      <c r="D154" s="95"/>
      <c r="E154" s="105">
        <v>2.2</v>
      </c>
      <c r="F154" s="105">
        <v>2.5</v>
      </c>
      <c r="G154" s="105">
        <v>3.7</v>
      </c>
      <c r="H154" s="105">
        <v>4.5</v>
      </c>
      <c r="I154" s="105">
        <v>0.8</v>
      </c>
      <c r="J154" s="105">
        <v>0.1</v>
      </c>
      <c r="K154" s="105">
        <v>1.7</v>
      </c>
      <c r="L154" s="105">
        <v>15.5</v>
      </c>
      <c r="M154" s="105">
        <v>32.0</v>
      </c>
      <c r="N154" s="106">
        <f>+15.1</f>
        <v>15.1</v>
      </c>
      <c r="O154" t="str">
        <f>IFERROR(__xludf.DUMMYFUNCTION("regexextract(B154,""[\w]* [\w]*"")"),"Kelly Oubre")</f>
        <v>Kelly Oubre</v>
      </c>
      <c r="P154" t="str">
        <f t="shared" si="2"/>
        <v>Kelly Oubre</v>
      </c>
      <c r="Q154" t="str">
        <f t="shared" si="3"/>
        <v>Kelly Oubre</v>
      </c>
      <c r="R154" t="s">
        <v>94</v>
      </c>
      <c r="S154" s="60" t="s">
        <v>94</v>
      </c>
      <c r="T154" t="s">
        <v>45</v>
      </c>
      <c r="U154" t="s">
        <v>46</v>
      </c>
      <c r="V154" t="s">
        <v>47</v>
      </c>
      <c r="W154" t="str">
        <f t="shared" si="1"/>
        <v>SFPFC</v>
      </c>
    </row>
    <row r="155">
      <c r="A155" s="90">
        <v>149.0</v>
      </c>
      <c r="B155" s="91" t="s">
        <v>245</v>
      </c>
      <c r="C155" s="92"/>
      <c r="D155" s="92"/>
      <c r="E155" s="104">
        <v>4.1</v>
      </c>
      <c r="F155" s="104">
        <v>1.3</v>
      </c>
      <c r="G155" s="104">
        <v>6.8</v>
      </c>
      <c r="H155" s="104">
        <v>2.0</v>
      </c>
      <c r="I155" s="104">
        <v>0.7</v>
      </c>
      <c r="J155" s="104">
        <v>0.4</v>
      </c>
      <c r="K155" s="104">
        <v>1.3</v>
      </c>
      <c r="L155" s="104">
        <v>16.9</v>
      </c>
      <c r="M155" s="104">
        <v>29.4</v>
      </c>
      <c r="N155" s="107">
        <f>+17.4</f>
        <v>17.4</v>
      </c>
      <c r="O155" t="str">
        <f>IFERROR(__xludf.DUMMYFUNCTION("regexextract(B155,""[\w]* [\w]*"")"),"Dillon Brooks")</f>
        <v>Dillon Brooks</v>
      </c>
      <c r="P155" t="str">
        <f t="shared" si="2"/>
        <v>Dillon Brooks</v>
      </c>
      <c r="Q155" t="str">
        <f t="shared" si="3"/>
        <v>Dillon Brooks</v>
      </c>
      <c r="R155" t="s">
        <v>94</v>
      </c>
      <c r="S155" s="60" t="s">
        <v>44</v>
      </c>
      <c r="T155" t="s">
        <v>45</v>
      </c>
      <c r="U155" t="s">
        <v>94</v>
      </c>
      <c r="V155" t="s">
        <v>94</v>
      </c>
      <c r="W155" t="str">
        <f t="shared" si="1"/>
        <v>SGSF</v>
      </c>
    </row>
    <row r="156">
      <c r="A156" s="93">
        <v>150.0</v>
      </c>
      <c r="B156" s="94" t="s">
        <v>246</v>
      </c>
      <c r="C156" s="95"/>
      <c r="D156" s="95"/>
      <c r="E156" s="105">
        <v>2.8</v>
      </c>
      <c r="F156" s="105">
        <v>3.2</v>
      </c>
      <c r="G156" s="105">
        <v>3.6</v>
      </c>
      <c r="H156" s="105">
        <v>2.0</v>
      </c>
      <c r="I156" s="105">
        <v>0.5</v>
      </c>
      <c r="J156" s="105">
        <v>0.2</v>
      </c>
      <c r="K156" s="105">
        <v>1.0</v>
      </c>
      <c r="L156" s="105">
        <v>18.1</v>
      </c>
      <c r="M156" s="105">
        <v>39.4</v>
      </c>
      <c r="N156" s="106">
        <f>+13.5</f>
        <v>13.5</v>
      </c>
      <c r="O156" t="str">
        <f>IFERROR(__xludf.DUMMYFUNCTION("regexextract(B156,""[\w]* [\w]*"")"),"Rui HachimuraDTD")</f>
        <v>Rui HachimuraDTD</v>
      </c>
      <c r="P156" t="str">
        <f t="shared" si="2"/>
        <v>Rui Hachimura</v>
      </c>
      <c r="Q156" t="str">
        <f t="shared" si="3"/>
        <v>Rui Hachimura</v>
      </c>
      <c r="R156" t="s">
        <v>94</v>
      </c>
      <c r="S156" s="60" t="s">
        <v>94</v>
      </c>
      <c r="T156" t="s">
        <v>45</v>
      </c>
      <c r="U156" t="s">
        <v>46</v>
      </c>
      <c r="V156" t="s">
        <v>47</v>
      </c>
      <c r="W156" t="str">
        <f t="shared" si="1"/>
        <v>SFPFC</v>
      </c>
    </row>
    <row r="157">
      <c r="A157" s="82" t="s">
        <v>87</v>
      </c>
      <c r="C157" s="82" t="s">
        <v>88</v>
      </c>
      <c r="E157" s="100"/>
      <c r="F157" s="100"/>
      <c r="G157" s="100"/>
      <c r="H157" s="100"/>
      <c r="I157" s="100"/>
      <c r="J157" s="100"/>
      <c r="K157" s="100"/>
      <c r="L157" s="100"/>
      <c r="M157" s="100" t="s">
        <v>194</v>
      </c>
      <c r="N157" s="100"/>
      <c r="O157" t="str">
        <f>IFERROR(__xludf.DUMMYFUNCTION("regexextract(B157,""[\w]* [\w]*"")"),"#N/A")</f>
        <v>#N/A</v>
      </c>
      <c r="P157" t="str">
        <f t="shared" si="2"/>
        <v>#N/A</v>
      </c>
      <c r="Q157" t="str">
        <f t="shared" si="3"/>
        <v>#N/A</v>
      </c>
      <c r="R157" t="s">
        <v>94</v>
      </c>
      <c r="S157" s="60" t="s">
        <v>94</v>
      </c>
      <c r="T157" t="s">
        <v>94</v>
      </c>
      <c r="U157" t="s">
        <v>94</v>
      </c>
      <c r="V157" t="s">
        <v>94</v>
      </c>
      <c r="W157" t="str">
        <f t="shared" si="1"/>
        <v/>
      </c>
    </row>
    <row r="158">
      <c r="A158" s="85" t="s">
        <v>89</v>
      </c>
      <c r="B158" s="86" t="s">
        <v>90</v>
      </c>
      <c r="C158" s="85" t="s">
        <v>91</v>
      </c>
      <c r="D158" s="87" t="s">
        <v>92</v>
      </c>
      <c r="E158" s="101" t="s">
        <v>195</v>
      </c>
      <c r="F158" s="102">
        <v>0.625</v>
      </c>
      <c r="G158" s="101" t="s">
        <v>36</v>
      </c>
      <c r="H158" s="101" t="s">
        <v>37</v>
      </c>
      <c r="I158" s="101" t="s">
        <v>38</v>
      </c>
      <c r="J158" s="101" t="s">
        <v>61</v>
      </c>
      <c r="K158" s="101" t="s">
        <v>42</v>
      </c>
      <c r="L158" s="101" t="s">
        <v>34</v>
      </c>
      <c r="M158" s="101" t="s">
        <v>196</v>
      </c>
      <c r="N158" s="103" t="str">
        <f>+/-</f>
        <v>#ERROR!</v>
      </c>
      <c r="O158" t="str">
        <f>IFERROR(__xludf.DUMMYFUNCTION("regexextract(B158,""[\w]* [\w]*"")"),"#N/A")</f>
        <v>#N/A</v>
      </c>
      <c r="P158" t="str">
        <f t="shared" si="2"/>
        <v>#N/A</v>
      </c>
      <c r="Q158" t="str">
        <f t="shared" si="3"/>
        <v>#N/A</v>
      </c>
      <c r="R158" t="s">
        <v>94</v>
      </c>
      <c r="S158" s="60" t="s">
        <v>94</v>
      </c>
      <c r="T158" t="s">
        <v>94</v>
      </c>
      <c r="U158" t="s">
        <v>94</v>
      </c>
      <c r="V158" t="s">
        <v>94</v>
      </c>
      <c r="W158" t="str">
        <f t="shared" si="1"/>
        <v/>
      </c>
    </row>
    <row r="159">
      <c r="A159" s="90">
        <v>151.0</v>
      </c>
      <c r="B159" s="91" t="s">
        <v>247</v>
      </c>
      <c r="C159" s="92"/>
      <c r="D159" s="92"/>
      <c r="E159" s="104">
        <v>2.5</v>
      </c>
      <c r="F159" s="104">
        <v>1.4</v>
      </c>
      <c r="G159" s="104">
        <v>5.3</v>
      </c>
      <c r="H159" s="104">
        <v>3.9</v>
      </c>
      <c r="I159" s="104">
        <v>1.2</v>
      </c>
      <c r="J159" s="104">
        <v>0.9</v>
      </c>
      <c r="K159" s="104">
        <v>2.1</v>
      </c>
      <c r="L159" s="104">
        <v>10.5</v>
      </c>
      <c r="M159" s="104">
        <v>31.5</v>
      </c>
      <c r="N159" s="107">
        <f>+15.1</f>
        <v>15.1</v>
      </c>
      <c r="O159" t="str">
        <f>IFERROR(__xludf.DUMMYFUNCTION("regexextract(B159,""[\w]* [\w]*"")"),"Seth Curry")</f>
        <v>Seth Curry</v>
      </c>
      <c r="P159" t="str">
        <f t="shared" si="2"/>
        <v>Seth Curry</v>
      </c>
      <c r="Q159" t="str">
        <f t="shared" si="3"/>
        <v>Seth Curry</v>
      </c>
      <c r="R159" t="s">
        <v>43</v>
      </c>
      <c r="S159" s="60" t="s">
        <v>44</v>
      </c>
      <c r="T159" t="s">
        <v>94</v>
      </c>
      <c r="U159" t="s">
        <v>94</v>
      </c>
      <c r="V159" t="s">
        <v>47</v>
      </c>
      <c r="W159" t="str">
        <f t="shared" si="1"/>
        <v>PGSGC</v>
      </c>
    </row>
    <row r="160">
      <c r="A160" s="93">
        <v>152.0</v>
      </c>
      <c r="B160" s="94" t="s">
        <v>248</v>
      </c>
      <c r="C160" s="95"/>
      <c r="D160" s="95"/>
      <c r="E160" s="105">
        <v>1.3</v>
      </c>
      <c r="F160" s="105">
        <v>2.0</v>
      </c>
      <c r="G160" s="105">
        <v>6.3</v>
      </c>
      <c r="H160" s="105">
        <v>3.3</v>
      </c>
      <c r="I160" s="105">
        <v>1.4</v>
      </c>
      <c r="J160" s="105">
        <v>0.3</v>
      </c>
      <c r="K160" s="105">
        <v>1.6</v>
      </c>
      <c r="L160" s="105">
        <v>11.7</v>
      </c>
      <c r="M160" s="105">
        <v>19.1</v>
      </c>
      <c r="N160" s="106">
        <f>+16.2</f>
        <v>16.2</v>
      </c>
      <c r="O160" t="str">
        <f>IFERROR(__xludf.DUMMYFUNCTION("regexextract(B160,""[\w]* [\w]*"")"),"Marcus Morris")</f>
        <v>Marcus Morris</v>
      </c>
      <c r="P160" t="str">
        <f t="shared" si="2"/>
        <v>Marcus Morris</v>
      </c>
      <c r="Q160" t="str">
        <f t="shared" si="3"/>
        <v>Marcus Morris</v>
      </c>
      <c r="R160" t="s">
        <v>94</v>
      </c>
      <c r="S160" s="60" t="s">
        <v>94</v>
      </c>
      <c r="T160" t="s">
        <v>45</v>
      </c>
      <c r="U160" t="s">
        <v>46</v>
      </c>
      <c r="V160" t="s">
        <v>47</v>
      </c>
      <c r="W160" t="str">
        <f t="shared" si="1"/>
        <v>SFPFC</v>
      </c>
    </row>
    <row r="161">
      <c r="A161" s="90">
        <v>153.0</v>
      </c>
      <c r="B161" s="91" t="s">
        <v>249</v>
      </c>
      <c r="C161" s="92"/>
      <c r="D161" s="92"/>
      <c r="E161" s="104">
        <v>3.1</v>
      </c>
      <c r="F161" s="104">
        <v>3.2</v>
      </c>
      <c r="G161" s="104">
        <v>5.1</v>
      </c>
      <c r="H161" s="104">
        <v>1.5</v>
      </c>
      <c r="I161" s="104">
        <v>0.8</v>
      </c>
      <c r="J161" s="104">
        <v>0.2</v>
      </c>
      <c r="K161" s="104">
        <v>1.0</v>
      </c>
      <c r="L161" s="104">
        <v>15.9</v>
      </c>
      <c r="M161" s="104">
        <v>24.2</v>
      </c>
      <c r="N161" s="107">
        <f>+15.5</f>
        <v>15.5</v>
      </c>
      <c r="O161" t="str">
        <f>IFERROR(__xludf.DUMMYFUNCTION("regexextract(B161,""[\w]* [\w]*"")"),"Doug McDermott")</f>
        <v>Doug McDermott</v>
      </c>
      <c r="P161" t="str">
        <f t="shared" si="2"/>
        <v>Doug McDermott</v>
      </c>
      <c r="Q161" t="str">
        <f t="shared" si="3"/>
        <v>Doug McDermott</v>
      </c>
      <c r="R161" t="s">
        <v>94</v>
      </c>
      <c r="S161" s="60" t="s">
        <v>94</v>
      </c>
      <c r="T161" t="s">
        <v>45</v>
      </c>
      <c r="U161" t="s">
        <v>46</v>
      </c>
      <c r="V161" t="s">
        <v>47</v>
      </c>
      <c r="W161" t="str">
        <f t="shared" si="1"/>
        <v>SFPFC</v>
      </c>
    </row>
    <row r="162">
      <c r="A162" s="93">
        <v>154.0</v>
      </c>
      <c r="B162" s="94" t="s">
        <v>250</v>
      </c>
      <c r="C162" s="95"/>
      <c r="D162" s="95"/>
      <c r="E162" s="105">
        <v>1.4</v>
      </c>
      <c r="F162" s="105">
        <v>2.4</v>
      </c>
      <c r="G162" s="105">
        <v>3.8</v>
      </c>
      <c r="H162" s="105">
        <v>5.0</v>
      </c>
      <c r="I162" s="105">
        <v>0.8</v>
      </c>
      <c r="J162" s="105">
        <v>0.2</v>
      </c>
      <c r="K162" s="105">
        <v>1.9</v>
      </c>
      <c r="L162" s="105">
        <v>11.4</v>
      </c>
      <c r="M162" s="105">
        <v>69.3</v>
      </c>
      <c r="N162" s="106">
        <f>+1.5</f>
        <v>1.5</v>
      </c>
      <c r="O162" t="str">
        <f>IFERROR(__xludf.DUMMYFUNCTION("regexextract(B162,""[\w]* [\w]*"")"),"Nerlens Noel")</f>
        <v>Nerlens Noel</v>
      </c>
      <c r="P162" t="str">
        <f t="shared" si="2"/>
        <v>Nerlens Noel</v>
      </c>
      <c r="Q162" t="str">
        <f t="shared" si="3"/>
        <v>Nerlens Noel</v>
      </c>
      <c r="R162" t="s">
        <v>94</v>
      </c>
      <c r="S162" s="60" t="s">
        <v>94</v>
      </c>
      <c r="T162" t="s">
        <v>94</v>
      </c>
      <c r="U162" t="s">
        <v>94</v>
      </c>
      <c r="V162" t="s">
        <v>47</v>
      </c>
      <c r="W162" t="str">
        <f t="shared" si="1"/>
        <v>C</v>
      </c>
    </row>
    <row r="163">
      <c r="A163" s="90">
        <v>155.0</v>
      </c>
      <c r="B163" s="91" t="s">
        <v>251</v>
      </c>
      <c r="C163" s="92"/>
      <c r="D163" s="92"/>
      <c r="E163" s="104">
        <v>1.7</v>
      </c>
      <c r="F163" s="104">
        <v>1.7</v>
      </c>
      <c r="G163" s="104">
        <v>6.1</v>
      </c>
      <c r="H163" s="104">
        <v>2.2</v>
      </c>
      <c r="I163" s="104">
        <v>0.7</v>
      </c>
      <c r="J163" s="104">
        <v>0.8</v>
      </c>
      <c r="K163" s="104">
        <v>1.6</v>
      </c>
      <c r="L163" s="104">
        <v>12.6</v>
      </c>
      <c r="M163" s="104">
        <v>81.6</v>
      </c>
      <c r="N163" s="108">
        <v>-1.7</v>
      </c>
      <c r="O163" t="str">
        <f>IFERROR(__xludf.DUMMYFUNCTION("regexextract(B163,""[\w]* [\w]*"")"),"LaMarcus Aldridge")</f>
        <v>LaMarcus Aldridge</v>
      </c>
      <c r="P163" t="str">
        <f t="shared" si="2"/>
        <v>LaMarcus Aldridge</v>
      </c>
      <c r="Q163" t="str">
        <f t="shared" si="3"/>
        <v>LaMarcus Aldridge</v>
      </c>
      <c r="R163" t="s">
        <v>94</v>
      </c>
      <c r="S163" s="60" t="s">
        <v>94</v>
      </c>
      <c r="T163" t="s">
        <v>94</v>
      </c>
      <c r="U163" t="s">
        <v>46</v>
      </c>
      <c r="V163" t="s">
        <v>47</v>
      </c>
      <c r="W163" t="str">
        <f t="shared" si="1"/>
        <v>PFC</v>
      </c>
    </row>
    <row r="164">
      <c r="A164" s="93">
        <v>156.0</v>
      </c>
      <c r="B164" s="94" t="s">
        <v>252</v>
      </c>
      <c r="C164" s="95"/>
      <c r="D164" s="95"/>
      <c r="E164" s="105">
        <v>1.9</v>
      </c>
      <c r="F164" s="105">
        <v>1.5</v>
      </c>
      <c r="G164" s="105">
        <v>4.7</v>
      </c>
      <c r="H164" s="105">
        <v>1.0</v>
      </c>
      <c r="I164" s="105">
        <v>0.6</v>
      </c>
      <c r="J164" s="105">
        <v>1.8</v>
      </c>
      <c r="K164" s="105">
        <v>0.9</v>
      </c>
      <c r="L164" s="105">
        <v>11.7</v>
      </c>
      <c r="M164" s="105">
        <v>48.8</v>
      </c>
      <c r="N164" s="106">
        <f>+8.8</f>
        <v>8.8</v>
      </c>
      <c r="O164" t="str">
        <f>IFERROR(__xludf.DUMMYFUNCTION("regexextract(B164,""[\w]* [\w]*"")"),"Moses Brown")</f>
        <v>Moses Brown</v>
      </c>
      <c r="P164" t="str">
        <f t="shared" si="2"/>
        <v>Moses Brown</v>
      </c>
      <c r="Q164" t="str">
        <f t="shared" si="3"/>
        <v>Moses Brown</v>
      </c>
      <c r="R164" t="s">
        <v>94</v>
      </c>
      <c r="S164" s="60" t="s">
        <v>94</v>
      </c>
      <c r="T164" t="s">
        <v>94</v>
      </c>
      <c r="U164" t="s">
        <v>94</v>
      </c>
      <c r="V164" t="s">
        <v>47</v>
      </c>
      <c r="W164" t="str">
        <f t="shared" si="1"/>
        <v>C</v>
      </c>
    </row>
    <row r="165">
      <c r="A165" s="90">
        <v>157.0</v>
      </c>
      <c r="B165" s="91" t="s">
        <v>253</v>
      </c>
      <c r="C165" s="92"/>
      <c r="D165" s="92"/>
      <c r="E165" s="104">
        <v>2.0</v>
      </c>
      <c r="F165" s="104">
        <v>0.7</v>
      </c>
      <c r="G165" s="104">
        <v>6.6</v>
      </c>
      <c r="H165" s="104">
        <v>1.9</v>
      </c>
      <c r="I165" s="104">
        <v>0.7</v>
      </c>
      <c r="J165" s="104">
        <v>1.2</v>
      </c>
      <c r="K165" s="104">
        <v>1.1</v>
      </c>
      <c r="L165" s="104">
        <v>10.8</v>
      </c>
      <c r="M165" s="104">
        <v>55.0</v>
      </c>
      <c r="N165" s="107">
        <f>+2.1</f>
        <v>2.1</v>
      </c>
      <c r="O165" t="str">
        <f>IFERROR(__xludf.DUMMYFUNCTION("regexextract(B165,""[\w]* [\w]*"")"),"Cole Anthony")</f>
        <v>Cole Anthony</v>
      </c>
      <c r="P165" t="str">
        <f t="shared" si="2"/>
        <v>Cole Anthony</v>
      </c>
      <c r="Q165" t="str">
        <f t="shared" si="3"/>
        <v>Cole Anthony</v>
      </c>
      <c r="R165" t="s">
        <v>43</v>
      </c>
      <c r="S165" s="60" t="s">
        <v>94</v>
      </c>
      <c r="T165" t="s">
        <v>94</v>
      </c>
      <c r="U165" t="s">
        <v>94</v>
      </c>
      <c r="V165" t="s">
        <v>47</v>
      </c>
      <c r="W165" t="str">
        <f t="shared" si="1"/>
        <v>PGC</v>
      </c>
    </row>
    <row r="166">
      <c r="A166" s="93">
        <v>158.0</v>
      </c>
      <c r="B166" s="94" t="s">
        <v>254</v>
      </c>
      <c r="C166" s="95"/>
      <c r="D166" s="95"/>
      <c r="E166" s="105">
        <v>2.3</v>
      </c>
      <c r="F166" s="105">
        <v>0.0</v>
      </c>
      <c r="G166" s="105">
        <v>8.3</v>
      </c>
      <c r="H166" s="105">
        <v>0.6</v>
      </c>
      <c r="I166" s="105">
        <v>1.1</v>
      </c>
      <c r="J166" s="105">
        <v>2.1</v>
      </c>
      <c r="K166" s="105">
        <v>0.8</v>
      </c>
      <c r="L166" s="105">
        <v>9.6</v>
      </c>
      <c r="M166" s="105">
        <v>65.4</v>
      </c>
      <c r="N166" s="109">
        <v>-1.3</v>
      </c>
      <c r="O166" t="str">
        <f>IFERROR(__xludf.DUMMYFUNCTION("regexextract(B166,""[\w]* [\w]*"")"),"Duncan Robinson")</f>
        <v>Duncan Robinson</v>
      </c>
      <c r="P166" t="str">
        <f t="shared" si="2"/>
        <v>Duncan Robinson</v>
      </c>
      <c r="Q166" t="str">
        <f t="shared" si="3"/>
        <v>Duncan Robinson</v>
      </c>
      <c r="R166" t="s">
        <v>94</v>
      </c>
      <c r="S166" s="60" t="s">
        <v>44</v>
      </c>
      <c r="T166" t="s">
        <v>45</v>
      </c>
      <c r="U166" t="s">
        <v>94</v>
      </c>
      <c r="V166" t="s">
        <v>47</v>
      </c>
      <c r="W166" t="str">
        <f t="shared" si="1"/>
        <v>SGSFC</v>
      </c>
    </row>
    <row r="167">
      <c r="A167" s="90">
        <v>159.0</v>
      </c>
      <c r="B167" s="91" t="s">
        <v>255</v>
      </c>
      <c r="C167" s="92"/>
      <c r="D167" s="92"/>
      <c r="E167" s="104">
        <v>2.2</v>
      </c>
      <c r="F167" s="104">
        <v>2.5</v>
      </c>
      <c r="G167" s="104">
        <v>3.5</v>
      </c>
      <c r="H167" s="104">
        <v>2.3</v>
      </c>
      <c r="I167" s="104">
        <v>0.8</v>
      </c>
      <c r="J167" s="104">
        <v>0.2</v>
      </c>
      <c r="K167" s="104">
        <v>1.6</v>
      </c>
      <c r="L167" s="104">
        <v>17.3</v>
      </c>
      <c r="M167" s="104">
        <v>74.2</v>
      </c>
      <c r="N167" s="107">
        <f>+1.1</f>
        <v>1.1</v>
      </c>
      <c r="O167" t="str">
        <f>IFERROR(__xludf.DUMMYFUNCTION("regexextract(B167,""[\w]* [\w]*"")"),"Enes Kanter")</f>
        <v>Enes Kanter</v>
      </c>
      <c r="P167" t="str">
        <f t="shared" si="2"/>
        <v>Enes Kanter</v>
      </c>
      <c r="Q167" t="str">
        <f t="shared" si="3"/>
        <v>Enes Kanter</v>
      </c>
      <c r="R167" t="s">
        <v>94</v>
      </c>
      <c r="S167" s="60" t="s">
        <v>94</v>
      </c>
      <c r="T167" t="s">
        <v>94</v>
      </c>
      <c r="U167" t="s">
        <v>94</v>
      </c>
      <c r="V167" t="s">
        <v>47</v>
      </c>
      <c r="W167" t="str">
        <f t="shared" si="1"/>
        <v>C</v>
      </c>
    </row>
    <row r="168">
      <c r="A168" s="93">
        <v>160.0</v>
      </c>
      <c r="B168" s="94" t="s">
        <v>256</v>
      </c>
      <c r="C168" s="95"/>
      <c r="D168" s="95"/>
      <c r="E168" s="105">
        <v>2.2</v>
      </c>
      <c r="F168" s="105">
        <v>1.5</v>
      </c>
      <c r="G168" s="105">
        <v>3.2</v>
      </c>
      <c r="H168" s="105">
        <v>6.5</v>
      </c>
      <c r="I168" s="105">
        <v>1.3</v>
      </c>
      <c r="J168" s="105">
        <v>0.5</v>
      </c>
      <c r="K168" s="105">
        <v>3.9</v>
      </c>
      <c r="L168" s="105">
        <v>14.2</v>
      </c>
      <c r="M168" s="105">
        <v>17.5</v>
      </c>
      <c r="N168" s="106">
        <f>+15.6</f>
        <v>15.6</v>
      </c>
      <c r="O168" t="str">
        <f>IFERROR(__xludf.DUMMYFUNCTION("regexextract(B168,""[\w]* [\w]*"")"),"Talen Horton")</f>
        <v>Talen Horton</v>
      </c>
      <c r="P168" t="str">
        <f t="shared" si="2"/>
        <v>Talen Horton</v>
      </c>
      <c r="Q168" t="str">
        <f t="shared" si="3"/>
        <v>Talen Horton</v>
      </c>
      <c r="R168" t="s">
        <v>94</v>
      </c>
      <c r="S168" s="60" t="s">
        <v>44</v>
      </c>
      <c r="T168" t="s">
        <v>45</v>
      </c>
      <c r="U168" t="s">
        <v>94</v>
      </c>
      <c r="V168" t="s">
        <v>47</v>
      </c>
      <c r="W168" t="str">
        <f t="shared" si="1"/>
        <v>SGSFC</v>
      </c>
    </row>
    <row r="169">
      <c r="A169" s="90">
        <v>161.0</v>
      </c>
      <c r="B169" s="91" t="s">
        <v>257</v>
      </c>
      <c r="C169" s="92"/>
      <c r="D169" s="92"/>
      <c r="E169" s="104">
        <v>4.0</v>
      </c>
      <c r="F169" s="104">
        <v>0.8</v>
      </c>
      <c r="G169" s="104">
        <v>8.9</v>
      </c>
      <c r="H169" s="104">
        <v>1.2</v>
      </c>
      <c r="I169" s="104">
        <v>0.6</v>
      </c>
      <c r="J169" s="104">
        <v>0.8</v>
      </c>
      <c r="K169" s="104">
        <v>1.7</v>
      </c>
      <c r="L169" s="104">
        <v>17.3</v>
      </c>
      <c r="M169" s="104">
        <v>70.3</v>
      </c>
      <c r="N169" s="108">
        <v>-0.3</v>
      </c>
      <c r="O169" t="str">
        <f>IFERROR(__xludf.DUMMYFUNCTION("regexextract(B169,""[\w]* [\w]*"")"),"Jalen Brunson")</f>
        <v>Jalen Brunson</v>
      </c>
      <c r="P169" t="str">
        <f t="shared" si="2"/>
        <v>Jalen Brunson</v>
      </c>
      <c r="Q169" t="str">
        <f t="shared" si="3"/>
        <v>Jalen Brunson</v>
      </c>
      <c r="R169" t="s">
        <v>43</v>
      </c>
      <c r="S169" s="60" t="s">
        <v>94</v>
      </c>
      <c r="T169" t="s">
        <v>94</v>
      </c>
      <c r="U169" t="s">
        <v>94</v>
      </c>
      <c r="V169" t="s">
        <v>94</v>
      </c>
      <c r="W169" t="str">
        <f t="shared" si="1"/>
        <v>PG</v>
      </c>
    </row>
    <row r="170">
      <c r="A170" s="93">
        <v>162.0</v>
      </c>
      <c r="B170" s="94" t="s">
        <v>258</v>
      </c>
      <c r="C170" s="95"/>
      <c r="D170" s="95"/>
      <c r="E170" s="105">
        <v>3.7</v>
      </c>
      <c r="F170" s="105">
        <v>1.7</v>
      </c>
      <c r="G170" s="105">
        <v>5.3</v>
      </c>
      <c r="H170" s="105">
        <v>3.7</v>
      </c>
      <c r="I170" s="105">
        <v>1.0</v>
      </c>
      <c r="J170" s="105">
        <v>0.3</v>
      </c>
      <c r="K170" s="105">
        <v>1.8</v>
      </c>
      <c r="L170" s="105">
        <v>17.3</v>
      </c>
      <c r="M170" s="105">
        <v>83.5</v>
      </c>
      <c r="N170" s="109">
        <v>-2.9</v>
      </c>
      <c r="O170" t="str">
        <f>IFERROR(__xludf.DUMMYFUNCTION("regexextract(B170,""[\w]* [\w]*"")"),"Jae Crowder")</f>
        <v>Jae Crowder</v>
      </c>
      <c r="P170" t="str">
        <f t="shared" si="2"/>
        <v>Jae Crowder</v>
      </c>
      <c r="Q170" t="str">
        <f t="shared" si="3"/>
        <v>Jae Crowder</v>
      </c>
      <c r="R170" t="s">
        <v>94</v>
      </c>
      <c r="S170" s="60" t="s">
        <v>94</v>
      </c>
      <c r="T170" t="s">
        <v>45</v>
      </c>
      <c r="U170" t="s">
        <v>46</v>
      </c>
      <c r="V170" t="s">
        <v>47</v>
      </c>
      <c r="W170" t="str">
        <f t="shared" si="1"/>
        <v>SFPFC</v>
      </c>
    </row>
    <row r="171">
      <c r="A171" s="90">
        <v>163.0</v>
      </c>
      <c r="B171" s="91" t="s">
        <v>259</v>
      </c>
      <c r="C171" s="92"/>
      <c r="D171" s="92"/>
      <c r="E171" s="104">
        <v>2.1</v>
      </c>
      <c r="F171" s="104">
        <v>2.7</v>
      </c>
      <c r="G171" s="104">
        <v>2.9</v>
      </c>
      <c r="H171" s="104">
        <v>3.4</v>
      </c>
      <c r="I171" s="104">
        <v>1.1</v>
      </c>
      <c r="J171" s="104">
        <v>0.3</v>
      </c>
      <c r="K171" s="104">
        <v>1.9</v>
      </c>
      <c r="L171" s="104">
        <v>14.8</v>
      </c>
      <c r="M171" s="104">
        <v>67.8</v>
      </c>
      <c r="N171" s="108">
        <v>-0.2</v>
      </c>
      <c r="O171" t="str">
        <f>IFERROR(__xludf.DUMMYFUNCTION("regexextract(B171,""[\w]* [\w]*"")"),"Danny Green")</f>
        <v>Danny Green</v>
      </c>
      <c r="P171" t="str">
        <f t="shared" si="2"/>
        <v>Danny Green</v>
      </c>
      <c r="Q171" t="str">
        <f t="shared" si="3"/>
        <v>Danny Green</v>
      </c>
      <c r="R171" t="s">
        <v>94</v>
      </c>
      <c r="S171" s="60" t="s">
        <v>44</v>
      </c>
      <c r="T171" t="s">
        <v>45</v>
      </c>
      <c r="U171" t="s">
        <v>94</v>
      </c>
      <c r="V171" t="s">
        <v>94</v>
      </c>
      <c r="W171" t="str">
        <f t="shared" si="1"/>
        <v>SGSF</v>
      </c>
    </row>
    <row r="172">
      <c r="A172" s="93">
        <v>164.0</v>
      </c>
      <c r="B172" s="94" t="s">
        <v>260</v>
      </c>
      <c r="C172" s="95"/>
      <c r="D172" s="95"/>
      <c r="E172" s="105">
        <v>2.1</v>
      </c>
      <c r="F172" s="105">
        <v>0.4</v>
      </c>
      <c r="G172" s="105">
        <v>6.2</v>
      </c>
      <c r="H172" s="105">
        <v>1.7</v>
      </c>
      <c r="I172" s="105">
        <v>1.0</v>
      </c>
      <c r="J172" s="105">
        <v>0.9</v>
      </c>
      <c r="K172" s="105">
        <v>0.7</v>
      </c>
      <c r="L172" s="105">
        <v>11.9</v>
      </c>
      <c r="M172" s="105">
        <v>18.6</v>
      </c>
      <c r="N172" s="106">
        <f>+14</f>
        <v>14</v>
      </c>
      <c r="O172" t="str">
        <f>IFERROR(__xludf.DUMMYFUNCTION("regexextract(B172,""[\w]* [\w]*"")"),"Terrence Ross")</f>
        <v>Terrence Ross</v>
      </c>
      <c r="P172" t="str">
        <f t="shared" si="2"/>
        <v>Terrence Ross</v>
      </c>
      <c r="Q172" t="str">
        <f t="shared" si="3"/>
        <v>Terrence Ross</v>
      </c>
      <c r="R172" t="s">
        <v>94</v>
      </c>
      <c r="S172" s="60" t="s">
        <v>44</v>
      </c>
      <c r="T172" t="s">
        <v>45</v>
      </c>
      <c r="U172" t="s">
        <v>94</v>
      </c>
      <c r="V172" t="s">
        <v>47</v>
      </c>
      <c r="W172" t="str">
        <f t="shared" si="1"/>
        <v>SGSFC</v>
      </c>
    </row>
    <row r="173">
      <c r="A173" s="90">
        <v>165.0</v>
      </c>
      <c r="B173" s="91" t="s">
        <v>261</v>
      </c>
      <c r="C173" s="92"/>
      <c r="D173" s="92"/>
      <c r="E173" s="104">
        <v>2.1</v>
      </c>
      <c r="F173" s="104">
        <v>0.4</v>
      </c>
      <c r="G173" s="104">
        <v>11.9</v>
      </c>
      <c r="H173" s="104">
        <v>1.8</v>
      </c>
      <c r="I173" s="104">
        <v>0.5</v>
      </c>
      <c r="J173" s="104">
        <v>1.0</v>
      </c>
      <c r="K173" s="104">
        <v>1.6</v>
      </c>
      <c r="L173" s="104">
        <v>13.0</v>
      </c>
      <c r="M173" s="104">
        <v>85.9</v>
      </c>
      <c r="N173" s="108">
        <v>-1.6</v>
      </c>
      <c r="O173" t="str">
        <f>IFERROR(__xludf.DUMMYFUNCTION("regexextract(B173,""[\w]* [\w]*"")"),"James WisemanO")</f>
        <v>James WisemanO</v>
      </c>
      <c r="P173" t="str">
        <f t="shared" si="2"/>
        <v>James WisemanO</v>
      </c>
      <c r="Q173" t="str">
        <f t="shared" si="3"/>
        <v>James Wiseman</v>
      </c>
      <c r="R173" t="s">
        <v>94</v>
      </c>
      <c r="S173" s="60" t="s">
        <v>94</v>
      </c>
      <c r="T173" t="s">
        <v>94</v>
      </c>
      <c r="U173" t="s">
        <v>94</v>
      </c>
      <c r="V173" t="s">
        <v>47</v>
      </c>
      <c r="W173" t="str">
        <f t="shared" si="1"/>
        <v>C</v>
      </c>
    </row>
    <row r="174">
      <c r="A174" s="93">
        <v>166.0</v>
      </c>
      <c r="B174" s="94" t="s">
        <v>262</v>
      </c>
      <c r="C174" s="95"/>
      <c r="D174" s="95"/>
      <c r="E174" s="105">
        <v>3.0</v>
      </c>
      <c r="F174" s="105">
        <v>0.0</v>
      </c>
      <c r="G174" s="105">
        <v>10.2</v>
      </c>
      <c r="H174" s="105">
        <v>0.8</v>
      </c>
      <c r="I174" s="105">
        <v>0.4</v>
      </c>
      <c r="J174" s="105">
        <v>2.1</v>
      </c>
      <c r="K174" s="105">
        <v>1.5</v>
      </c>
      <c r="L174" s="105">
        <v>12.0</v>
      </c>
      <c r="M174" s="105">
        <v>15.7</v>
      </c>
      <c r="N174" s="106">
        <f>+14.2</f>
        <v>14.2</v>
      </c>
      <c r="O174" t="str">
        <f>IFERROR(__xludf.DUMMYFUNCTION("regexextract(B174,""[\w]* [\w]*"")"),"Daniel Gafford")</f>
        <v>Daniel Gafford</v>
      </c>
      <c r="P174" t="str">
        <f t="shared" si="2"/>
        <v>Daniel Gafford</v>
      </c>
      <c r="Q174" t="str">
        <f t="shared" si="3"/>
        <v>Daniel Gafford</v>
      </c>
      <c r="R174" t="s">
        <v>94</v>
      </c>
      <c r="S174" s="60" t="s">
        <v>94</v>
      </c>
      <c r="T174" t="s">
        <v>94</v>
      </c>
      <c r="U174" t="s">
        <v>46</v>
      </c>
      <c r="V174" t="s">
        <v>47</v>
      </c>
      <c r="W174" t="str">
        <f t="shared" si="1"/>
        <v>PFC</v>
      </c>
    </row>
    <row r="175">
      <c r="A175" s="90">
        <v>167.0</v>
      </c>
      <c r="B175" s="91" t="s">
        <v>263</v>
      </c>
      <c r="C175" s="92"/>
      <c r="D175" s="92"/>
      <c r="E175" s="104">
        <v>1.0</v>
      </c>
      <c r="F175" s="104">
        <v>3.0</v>
      </c>
      <c r="G175" s="104">
        <v>3.7</v>
      </c>
      <c r="H175" s="104">
        <v>1.9</v>
      </c>
      <c r="I175" s="104">
        <v>0.7</v>
      </c>
      <c r="J175" s="104">
        <v>0.2</v>
      </c>
      <c r="K175" s="104">
        <v>1.0</v>
      </c>
      <c r="L175" s="104">
        <v>14.1</v>
      </c>
      <c r="M175" s="104">
        <v>50.2</v>
      </c>
      <c r="N175" s="107">
        <f>+4.4</f>
        <v>4.4</v>
      </c>
      <c r="O175" t="str">
        <f>IFERROR(__xludf.DUMMYFUNCTION("regexextract(B175,""[\w]* [\w]*"")"),"Goran Dragic")</f>
        <v>Goran Dragic</v>
      </c>
      <c r="P175" t="str">
        <f t="shared" si="2"/>
        <v>Goran Dragic</v>
      </c>
      <c r="Q175" t="str">
        <f t="shared" si="3"/>
        <v>Goran Dragic</v>
      </c>
      <c r="R175" t="s">
        <v>43</v>
      </c>
      <c r="S175" s="60" t="s">
        <v>94</v>
      </c>
      <c r="T175" t="s">
        <v>94</v>
      </c>
      <c r="U175" t="s">
        <v>94</v>
      </c>
      <c r="V175" t="s">
        <v>47</v>
      </c>
      <c r="W175" t="str">
        <f t="shared" si="1"/>
        <v>PGC</v>
      </c>
    </row>
    <row r="176">
      <c r="A176" s="93">
        <v>168.0</v>
      </c>
      <c r="B176" s="94" t="s">
        <v>264</v>
      </c>
      <c r="C176" s="95"/>
      <c r="D176" s="95"/>
      <c r="E176" s="105">
        <v>1.9</v>
      </c>
      <c r="F176" s="105">
        <v>3.0</v>
      </c>
      <c r="G176" s="105">
        <v>3.9</v>
      </c>
      <c r="H176" s="105">
        <v>2.1</v>
      </c>
      <c r="I176" s="105">
        <v>0.8</v>
      </c>
      <c r="J176" s="105">
        <v>0.2</v>
      </c>
      <c r="K176" s="105">
        <v>1.5</v>
      </c>
      <c r="L176" s="105">
        <v>17.2</v>
      </c>
      <c r="M176" s="105">
        <v>69.7</v>
      </c>
      <c r="N176" s="109">
        <v>-2.6</v>
      </c>
      <c r="O176" t="str">
        <f>IFERROR(__xludf.DUMMYFUNCTION("regexextract(B176,""[\w]* [\w]*"")"),"Kevin Huerter")</f>
        <v>Kevin Huerter</v>
      </c>
      <c r="P176" t="str">
        <f t="shared" si="2"/>
        <v>Kevin Huerter</v>
      </c>
      <c r="Q176" t="str">
        <f t="shared" si="3"/>
        <v>Kevin Huerter</v>
      </c>
      <c r="R176" t="s">
        <v>94</v>
      </c>
      <c r="S176" s="60" t="s">
        <v>44</v>
      </c>
      <c r="T176" t="s">
        <v>45</v>
      </c>
      <c r="U176" t="s">
        <v>94</v>
      </c>
      <c r="V176" t="s">
        <v>94</v>
      </c>
      <c r="W176" t="str">
        <f t="shared" si="1"/>
        <v>SGSF</v>
      </c>
    </row>
    <row r="177">
      <c r="A177" s="90">
        <v>169.0</v>
      </c>
      <c r="B177" s="91" t="s">
        <v>265</v>
      </c>
      <c r="C177" s="92"/>
      <c r="D177" s="92"/>
      <c r="E177" s="104">
        <v>2.2</v>
      </c>
      <c r="F177" s="104">
        <v>2.0</v>
      </c>
      <c r="G177" s="104">
        <v>6.1</v>
      </c>
      <c r="H177" s="104">
        <v>2.0</v>
      </c>
      <c r="I177" s="104">
        <v>0.5</v>
      </c>
      <c r="J177" s="104">
        <v>0.6</v>
      </c>
      <c r="K177" s="104">
        <v>1.8</v>
      </c>
      <c r="L177" s="104">
        <v>15.0</v>
      </c>
      <c r="M177" s="104">
        <v>74.3</v>
      </c>
      <c r="N177" s="108">
        <v>-1.8</v>
      </c>
      <c r="O177" t="str">
        <f>IFERROR(__xludf.DUMMYFUNCTION("regexextract(B177,""[\w]* [\w]*"")"),"Alec Burks")</f>
        <v>Alec Burks</v>
      </c>
      <c r="P177" t="str">
        <f t="shared" si="2"/>
        <v>Alec Burks</v>
      </c>
      <c r="Q177" t="str">
        <f t="shared" si="3"/>
        <v>Alec Burks</v>
      </c>
      <c r="R177" t="s">
        <v>94</v>
      </c>
      <c r="S177" s="60" t="s">
        <v>44</v>
      </c>
      <c r="T177" t="s">
        <v>94</v>
      </c>
      <c r="U177" t="s">
        <v>94</v>
      </c>
      <c r="V177" t="s">
        <v>47</v>
      </c>
      <c r="W177" t="str">
        <f t="shared" si="1"/>
        <v>SGC</v>
      </c>
    </row>
    <row r="178">
      <c r="A178" s="93">
        <v>170.0</v>
      </c>
      <c r="B178" s="94" t="s">
        <v>266</v>
      </c>
      <c r="C178" s="95"/>
      <c r="D178" s="95"/>
      <c r="E178" s="105">
        <v>0.6</v>
      </c>
      <c r="F178" s="105">
        <v>0.2</v>
      </c>
      <c r="G178" s="105">
        <v>3.1</v>
      </c>
      <c r="H178" s="105">
        <v>5.5</v>
      </c>
      <c r="I178" s="105">
        <v>1.4</v>
      </c>
      <c r="J178" s="105">
        <v>0.3</v>
      </c>
      <c r="K178" s="105">
        <v>1.6</v>
      </c>
      <c r="L178" s="105">
        <v>7.5</v>
      </c>
      <c r="M178" s="105">
        <v>65.3</v>
      </c>
      <c r="N178" s="109">
        <v>-5.6</v>
      </c>
      <c r="O178" t="str">
        <f>IFERROR(__xludf.DUMMYFUNCTION("regexextract(B178,""[\w]* [\w]*"")"),"Aleksej Pokusevski")</f>
        <v>Aleksej Pokusevski</v>
      </c>
      <c r="P178" t="str">
        <f t="shared" si="2"/>
        <v>Aleksej Pokusevski</v>
      </c>
      <c r="Q178" t="str">
        <f t="shared" si="3"/>
        <v>Aleksej Pokusevski</v>
      </c>
      <c r="R178" t="s">
        <v>94</v>
      </c>
      <c r="S178" s="60" t="s">
        <v>94</v>
      </c>
      <c r="T178" t="s">
        <v>94</v>
      </c>
      <c r="U178" t="s">
        <v>46</v>
      </c>
      <c r="V178" t="s">
        <v>47</v>
      </c>
      <c r="W178" t="str">
        <f t="shared" si="1"/>
        <v>PFC</v>
      </c>
    </row>
    <row r="179">
      <c r="A179" s="90">
        <v>171.0</v>
      </c>
      <c r="B179" s="91" t="s">
        <v>267</v>
      </c>
      <c r="C179" s="92"/>
      <c r="D179" s="92"/>
      <c r="E179" s="104">
        <v>3.1</v>
      </c>
      <c r="F179" s="104">
        <v>2.8</v>
      </c>
      <c r="G179" s="104">
        <v>6.5</v>
      </c>
      <c r="H179" s="104">
        <v>1.2</v>
      </c>
      <c r="I179" s="104">
        <v>0.7</v>
      </c>
      <c r="J179" s="104">
        <v>0.4</v>
      </c>
      <c r="K179" s="104">
        <v>1.4</v>
      </c>
      <c r="L179" s="104">
        <v>17.8</v>
      </c>
      <c r="M179" s="104">
        <v>23.9</v>
      </c>
      <c r="N179" s="107">
        <f>+11.6</f>
        <v>11.6</v>
      </c>
      <c r="O179" t="str">
        <f>IFERROR(__xludf.DUMMYFUNCTION("regexextract(B179,""[\w]* [\w]*"")"),"Evan Mobley")</f>
        <v>Evan Mobley</v>
      </c>
      <c r="P179" t="str">
        <f t="shared" si="2"/>
        <v>Evan Mobley</v>
      </c>
      <c r="Q179" t="str">
        <f t="shared" si="3"/>
        <v>Evan Mobley</v>
      </c>
      <c r="R179" t="s">
        <v>94</v>
      </c>
      <c r="S179" s="60" t="s">
        <v>94</v>
      </c>
      <c r="T179" t="s">
        <v>94</v>
      </c>
      <c r="U179" t="s">
        <v>46</v>
      </c>
      <c r="V179" t="s">
        <v>47</v>
      </c>
      <c r="W179" t="str">
        <f t="shared" si="1"/>
        <v>PFC</v>
      </c>
    </row>
    <row r="180">
      <c r="A180" s="93">
        <v>172.0</v>
      </c>
      <c r="B180" s="94" t="s">
        <v>268</v>
      </c>
      <c r="C180" s="95"/>
      <c r="D180" s="95"/>
      <c r="E180" s="105">
        <v>2.8</v>
      </c>
      <c r="F180" s="105">
        <v>0.7</v>
      </c>
      <c r="G180" s="105">
        <v>8.0</v>
      </c>
      <c r="H180" s="105">
        <v>1.9</v>
      </c>
      <c r="I180" s="105">
        <v>0.4</v>
      </c>
      <c r="J180" s="105">
        <v>1.1</v>
      </c>
      <c r="K180" s="105">
        <v>1.3</v>
      </c>
      <c r="L180" s="105">
        <v>14.9</v>
      </c>
      <c r="M180" s="105">
        <v>49.2</v>
      </c>
      <c r="N180" s="109">
        <v>-7.5</v>
      </c>
      <c r="O180" t="str">
        <f>IFERROR(__xludf.DUMMYFUNCTION("regexextract(B180,""[\w]* [\w]*"")"),"Dorian Finney")</f>
        <v>Dorian Finney</v>
      </c>
      <c r="P180" t="str">
        <f t="shared" si="2"/>
        <v>Dorian Finney</v>
      </c>
      <c r="Q180" t="str">
        <f t="shared" si="3"/>
        <v>Dorian Finney</v>
      </c>
      <c r="R180" t="s">
        <v>94</v>
      </c>
      <c r="S180" s="60" t="s">
        <v>94</v>
      </c>
      <c r="T180" t="s">
        <v>45</v>
      </c>
      <c r="U180" t="s">
        <v>46</v>
      </c>
      <c r="V180" t="s">
        <v>94</v>
      </c>
      <c r="W180" t="str">
        <f t="shared" si="1"/>
        <v>SFPF</v>
      </c>
    </row>
    <row r="181">
      <c r="A181" s="90">
        <v>173.0</v>
      </c>
      <c r="B181" s="91" t="s">
        <v>269</v>
      </c>
      <c r="C181" s="92"/>
      <c r="D181" s="92"/>
      <c r="E181" s="104">
        <v>2.9</v>
      </c>
      <c r="F181" s="104">
        <v>1.2</v>
      </c>
      <c r="G181" s="104">
        <v>3.8</v>
      </c>
      <c r="H181" s="104">
        <v>1.4</v>
      </c>
      <c r="I181" s="104">
        <v>1.1</v>
      </c>
      <c r="J181" s="104">
        <v>0.5</v>
      </c>
      <c r="K181" s="104">
        <v>1.2</v>
      </c>
      <c r="L181" s="104">
        <v>17.6</v>
      </c>
      <c r="M181" s="104">
        <v>50.9</v>
      </c>
      <c r="N181" s="108">
        <v>-7.1</v>
      </c>
      <c r="O181" t="str">
        <f>IFERROR(__xludf.DUMMYFUNCTION("regexextract(B181,""[\w]* [\w]*"")"),"Chuma OkekeDTD")</f>
        <v>Chuma OkekeDTD</v>
      </c>
      <c r="P181" t="str">
        <f t="shared" si="2"/>
        <v>Chuma Okeke</v>
      </c>
      <c r="Q181" t="str">
        <f t="shared" si="3"/>
        <v>Chuma Okeke</v>
      </c>
      <c r="R181" t="s">
        <v>94</v>
      </c>
      <c r="S181" s="60" t="s">
        <v>94</v>
      </c>
      <c r="T181" t="s">
        <v>94</v>
      </c>
      <c r="U181" t="s">
        <v>46</v>
      </c>
      <c r="V181" t="s">
        <v>47</v>
      </c>
      <c r="W181" t="str">
        <f t="shared" si="1"/>
        <v>PFC</v>
      </c>
    </row>
    <row r="182">
      <c r="A182" s="93">
        <v>174.0</v>
      </c>
      <c r="B182" s="94" t="s">
        <v>270</v>
      </c>
      <c r="C182" s="95"/>
      <c r="D182" s="95"/>
      <c r="E182" s="105">
        <v>3.9</v>
      </c>
      <c r="F182" s="105">
        <v>2.6</v>
      </c>
      <c r="G182" s="105">
        <v>4.0</v>
      </c>
      <c r="H182" s="105">
        <v>2.0</v>
      </c>
      <c r="I182" s="105">
        <v>0.6</v>
      </c>
      <c r="J182" s="105">
        <v>0.1</v>
      </c>
      <c r="K182" s="105">
        <v>2.0</v>
      </c>
      <c r="L182" s="105">
        <v>18.1</v>
      </c>
      <c r="M182" s="105">
        <v>55.7</v>
      </c>
      <c r="N182" s="109">
        <v>-0.2</v>
      </c>
      <c r="O182" t="str">
        <f>IFERROR(__xludf.DUMMYFUNCTION("regexextract(B182,""[\w]* [\w]*"")"),"Khem Birch")</f>
        <v>Khem Birch</v>
      </c>
      <c r="P182" t="str">
        <f t="shared" si="2"/>
        <v>Khem Birch</v>
      </c>
      <c r="Q182" t="str">
        <f t="shared" si="3"/>
        <v>Khem Birch</v>
      </c>
      <c r="R182" t="s">
        <v>94</v>
      </c>
      <c r="S182" s="60" t="s">
        <v>94</v>
      </c>
      <c r="T182" t="s">
        <v>94</v>
      </c>
      <c r="U182" t="s">
        <v>94</v>
      </c>
      <c r="V182" t="s">
        <v>47</v>
      </c>
      <c r="W182" t="str">
        <f t="shared" si="1"/>
        <v>C</v>
      </c>
    </row>
    <row r="183">
      <c r="A183" s="90">
        <v>175.0</v>
      </c>
      <c r="B183" s="91" t="s">
        <v>271</v>
      </c>
      <c r="C183" s="92"/>
      <c r="D183" s="92"/>
      <c r="E183" s="104">
        <v>2.8</v>
      </c>
      <c r="F183" s="104">
        <v>0.0</v>
      </c>
      <c r="G183" s="104">
        <v>9.1</v>
      </c>
      <c r="H183" s="104">
        <v>2.0</v>
      </c>
      <c r="I183" s="104">
        <v>1.0</v>
      </c>
      <c r="J183" s="104">
        <v>0.8</v>
      </c>
      <c r="K183" s="104">
        <v>1.5</v>
      </c>
      <c r="L183" s="104">
        <v>9.7</v>
      </c>
      <c r="M183" s="104">
        <v>17.5</v>
      </c>
      <c r="N183" s="107">
        <f>+7.4</f>
        <v>7.4</v>
      </c>
      <c r="O183" t="str">
        <f>IFERROR(__xludf.DUMMYFUNCTION("regexextract(B183,""[\w]* [\w]*"")"),"Terance Mann")</f>
        <v>Terance Mann</v>
      </c>
      <c r="P183" t="str">
        <f t="shared" si="2"/>
        <v>Terance Mann</v>
      </c>
      <c r="Q183" t="str">
        <f t="shared" si="3"/>
        <v>Terance Mann</v>
      </c>
      <c r="R183" t="s">
        <v>94</v>
      </c>
      <c r="S183" s="60" t="s">
        <v>94</v>
      </c>
      <c r="T183" t="s">
        <v>45</v>
      </c>
      <c r="U183" t="s">
        <v>94</v>
      </c>
      <c r="V183" t="s">
        <v>47</v>
      </c>
      <c r="W183" t="str">
        <f t="shared" si="1"/>
        <v>SFC</v>
      </c>
    </row>
    <row r="184">
      <c r="A184" s="93">
        <v>176.0</v>
      </c>
      <c r="B184" s="94" t="s">
        <v>272</v>
      </c>
      <c r="C184" s="95"/>
      <c r="D184" s="95"/>
      <c r="E184" s="105">
        <v>1.5</v>
      </c>
      <c r="F184" s="105">
        <v>1.3</v>
      </c>
      <c r="G184" s="105">
        <v>7.6</v>
      </c>
      <c r="H184" s="105">
        <v>1.4</v>
      </c>
      <c r="I184" s="105">
        <v>0.8</v>
      </c>
      <c r="J184" s="105">
        <v>0.4</v>
      </c>
      <c r="K184" s="105">
        <v>1.2</v>
      </c>
      <c r="L184" s="105">
        <v>13.0</v>
      </c>
      <c r="M184" s="105">
        <v>13.8</v>
      </c>
      <c r="N184" s="106">
        <f>+4.6</f>
        <v>4.6</v>
      </c>
      <c r="O184" t="str">
        <f>IFERROR(__xludf.DUMMYFUNCTION("regexextract(B184,""[\w]* [\w]*"")"),"Larry Nance")</f>
        <v>Larry Nance</v>
      </c>
      <c r="P184" t="str">
        <f t="shared" si="2"/>
        <v>Larry Nance</v>
      </c>
      <c r="Q184" t="str">
        <f t="shared" si="3"/>
        <v>Larry Nance</v>
      </c>
      <c r="R184" t="s">
        <v>94</v>
      </c>
      <c r="S184" s="60" t="s">
        <v>94</v>
      </c>
      <c r="T184" t="s">
        <v>94</v>
      </c>
      <c r="U184" t="s">
        <v>46</v>
      </c>
      <c r="V184" t="s">
        <v>47</v>
      </c>
      <c r="W184" t="str">
        <f t="shared" si="1"/>
        <v>PFC</v>
      </c>
    </row>
    <row r="185">
      <c r="A185" s="90">
        <v>177.0</v>
      </c>
      <c r="B185" s="91" t="s">
        <v>273</v>
      </c>
      <c r="C185" s="92"/>
      <c r="D185" s="92"/>
      <c r="E185" s="104">
        <v>2.8</v>
      </c>
      <c r="F185" s="104">
        <v>0.0</v>
      </c>
      <c r="G185" s="104">
        <v>8.4</v>
      </c>
      <c r="H185" s="104">
        <v>3.3</v>
      </c>
      <c r="I185" s="104">
        <v>0.7</v>
      </c>
      <c r="J185" s="104">
        <v>0.8</v>
      </c>
      <c r="K185" s="104">
        <v>1.7</v>
      </c>
      <c r="L185" s="104">
        <v>9.6</v>
      </c>
      <c r="M185" s="104">
        <v>59.5</v>
      </c>
      <c r="N185" s="108">
        <v>-13.6</v>
      </c>
      <c r="O185" t="str">
        <f>IFERROR(__xludf.DUMMYFUNCTION("regexextract(B185,""[\w]* [\w]*"")"),"Franz Wagner")</f>
        <v>Franz Wagner</v>
      </c>
      <c r="P185" t="str">
        <f t="shared" si="2"/>
        <v>Franz Wagner</v>
      </c>
      <c r="Q185" t="str">
        <f t="shared" si="3"/>
        <v>Franz Wagner</v>
      </c>
      <c r="R185" t="s">
        <v>94</v>
      </c>
      <c r="S185" s="60" t="s">
        <v>94</v>
      </c>
      <c r="T185" t="s">
        <v>45</v>
      </c>
      <c r="U185" t="s">
        <v>94</v>
      </c>
      <c r="V185" t="s">
        <v>94</v>
      </c>
      <c r="W185" t="str">
        <f t="shared" si="1"/>
        <v>SF</v>
      </c>
    </row>
    <row r="186">
      <c r="A186" s="93">
        <v>178.0</v>
      </c>
      <c r="B186" s="94" t="s">
        <v>274</v>
      </c>
      <c r="C186" s="95"/>
      <c r="D186" s="95"/>
      <c r="E186" s="105">
        <v>2.5</v>
      </c>
      <c r="F186" s="105">
        <v>1.0</v>
      </c>
      <c r="G186" s="105">
        <v>3.4</v>
      </c>
      <c r="H186" s="105">
        <v>6.4</v>
      </c>
      <c r="I186" s="105">
        <v>1.3</v>
      </c>
      <c r="J186" s="105">
        <v>0.1</v>
      </c>
      <c r="K186" s="105">
        <v>1.9</v>
      </c>
      <c r="L186" s="105">
        <v>9.5</v>
      </c>
      <c r="M186" s="105">
        <v>8.7</v>
      </c>
      <c r="N186" s="106">
        <f>+2.9</f>
        <v>2.9</v>
      </c>
      <c r="O186" t="str">
        <f>IFERROR(__xludf.DUMMYFUNCTION("regexextract(B186,""[\w]* [\w]*"")"),"Coby WhiteO")</f>
        <v>Coby WhiteO</v>
      </c>
      <c r="P186" t="str">
        <f t="shared" si="2"/>
        <v>Coby WhiteO</v>
      </c>
      <c r="Q186" t="str">
        <f t="shared" si="3"/>
        <v>Coby White</v>
      </c>
      <c r="R186" t="s">
        <v>43</v>
      </c>
      <c r="S186" s="60" t="s">
        <v>94</v>
      </c>
      <c r="T186" t="s">
        <v>94</v>
      </c>
      <c r="U186" t="s">
        <v>94</v>
      </c>
      <c r="V186" t="s">
        <v>47</v>
      </c>
      <c r="W186" t="str">
        <f t="shared" si="1"/>
        <v>PGC</v>
      </c>
    </row>
    <row r="187">
      <c r="A187" s="90">
        <v>179.0</v>
      </c>
      <c r="B187" s="91" t="s">
        <v>275</v>
      </c>
      <c r="C187" s="92"/>
      <c r="D187" s="92"/>
      <c r="E187" s="104">
        <v>1.8</v>
      </c>
      <c r="F187" s="104">
        <v>2.7</v>
      </c>
      <c r="G187" s="104">
        <v>3.4</v>
      </c>
      <c r="H187" s="104">
        <v>2.1</v>
      </c>
      <c r="I187" s="104">
        <v>1.0</v>
      </c>
      <c r="J187" s="104">
        <v>0.5</v>
      </c>
      <c r="K187" s="104">
        <v>1.3</v>
      </c>
      <c r="L187" s="104">
        <v>18.8</v>
      </c>
      <c r="M187" s="104">
        <v>88.5</v>
      </c>
      <c r="N187" s="108">
        <v>-2.1</v>
      </c>
      <c r="O187" t="str">
        <f>IFERROR(__xludf.DUMMYFUNCTION("regexextract(B187,""[\w]* [\w]*"")"),"Blake Griffin")</f>
        <v>Blake Griffin</v>
      </c>
      <c r="P187" t="str">
        <f t="shared" si="2"/>
        <v>Blake Griffin</v>
      </c>
      <c r="Q187" t="str">
        <f t="shared" si="3"/>
        <v>Blake Griffin</v>
      </c>
      <c r="R187" t="s">
        <v>94</v>
      </c>
      <c r="S187" s="60" t="s">
        <v>94</v>
      </c>
      <c r="T187" t="s">
        <v>94</v>
      </c>
      <c r="U187" t="s">
        <v>46</v>
      </c>
      <c r="V187" t="s">
        <v>94</v>
      </c>
      <c r="W187" t="str">
        <f t="shared" si="1"/>
        <v>PF</v>
      </c>
    </row>
    <row r="188">
      <c r="A188" s="93">
        <v>180.0</v>
      </c>
      <c r="B188" s="94" t="s">
        <v>276</v>
      </c>
      <c r="C188" s="95"/>
      <c r="D188" s="95"/>
      <c r="E188" s="105">
        <v>2.2</v>
      </c>
      <c r="F188" s="105">
        <v>1.6</v>
      </c>
      <c r="G188" s="105">
        <v>5.9</v>
      </c>
      <c r="H188" s="105">
        <v>2.4</v>
      </c>
      <c r="I188" s="105">
        <v>0.9</v>
      </c>
      <c r="J188" s="105">
        <v>0.5</v>
      </c>
      <c r="K188" s="105">
        <v>1.5</v>
      </c>
      <c r="L188" s="105">
        <v>11.4</v>
      </c>
      <c r="M188" s="105">
        <v>62.7</v>
      </c>
      <c r="N188" s="109">
        <v>-10.5</v>
      </c>
      <c r="O188" t="str">
        <f>IFERROR(__xludf.DUMMYFUNCTION("regexextract(B188,""[\w]* [\w]*"")"),"Rudy GayO")</f>
        <v>Rudy GayO</v>
      </c>
      <c r="P188" t="str">
        <f t="shared" si="2"/>
        <v>Rudy GayO</v>
      </c>
      <c r="Q188" t="str">
        <f t="shared" si="3"/>
        <v>Rudy Gay</v>
      </c>
      <c r="R188" t="s">
        <v>94</v>
      </c>
      <c r="S188" s="60" t="s">
        <v>94</v>
      </c>
      <c r="T188" t="s">
        <v>94</v>
      </c>
      <c r="U188" t="s">
        <v>46</v>
      </c>
      <c r="V188" t="s">
        <v>94</v>
      </c>
      <c r="W188" t="str">
        <f t="shared" si="1"/>
        <v>PF</v>
      </c>
    </row>
    <row r="189">
      <c r="A189" s="90">
        <v>181.0</v>
      </c>
      <c r="B189" s="91" t="s">
        <v>277</v>
      </c>
      <c r="C189" s="92"/>
      <c r="D189" s="92"/>
      <c r="E189" s="104">
        <v>1.8</v>
      </c>
      <c r="F189" s="104">
        <v>1.3</v>
      </c>
      <c r="G189" s="104">
        <v>2.6</v>
      </c>
      <c r="H189" s="104">
        <v>4.1</v>
      </c>
      <c r="I189" s="104">
        <v>0.9</v>
      </c>
      <c r="J189" s="104">
        <v>0.3</v>
      </c>
      <c r="K189" s="104">
        <v>0.9</v>
      </c>
      <c r="L189" s="104">
        <v>12.6</v>
      </c>
      <c r="M189" s="104">
        <v>3.9</v>
      </c>
      <c r="N189" s="107">
        <f>+2</f>
        <v>2</v>
      </c>
      <c r="O189" t="str">
        <f>IFERROR(__xludf.DUMMYFUNCTION("regexextract(B189,""[\w]* [\w]*"")"),"Josh Hart")</f>
        <v>Josh Hart</v>
      </c>
      <c r="P189" t="str">
        <f t="shared" si="2"/>
        <v>Josh Hart</v>
      </c>
      <c r="Q189" t="str">
        <f t="shared" si="3"/>
        <v>Josh Hart</v>
      </c>
      <c r="R189" t="s">
        <v>94</v>
      </c>
      <c r="S189" s="60" t="s">
        <v>44</v>
      </c>
      <c r="T189" t="s">
        <v>45</v>
      </c>
      <c r="U189" t="s">
        <v>94</v>
      </c>
      <c r="V189" t="s">
        <v>94</v>
      </c>
      <c r="W189" t="str">
        <f t="shared" si="1"/>
        <v>SGSF</v>
      </c>
    </row>
    <row r="190">
      <c r="A190" s="93">
        <v>182.0</v>
      </c>
      <c r="B190" s="94" t="s">
        <v>278</v>
      </c>
      <c r="C190" s="95"/>
      <c r="D190" s="95"/>
      <c r="E190" s="105">
        <v>4.9</v>
      </c>
      <c r="F190" s="105">
        <v>1.7</v>
      </c>
      <c r="G190" s="105">
        <v>3.1</v>
      </c>
      <c r="H190" s="105">
        <v>6.8</v>
      </c>
      <c r="I190" s="105">
        <v>1.1</v>
      </c>
      <c r="J190" s="105">
        <v>0.7</v>
      </c>
      <c r="K190" s="105">
        <v>3.3</v>
      </c>
      <c r="L190" s="105">
        <v>18.8</v>
      </c>
      <c r="M190" s="105">
        <v>63.9</v>
      </c>
      <c r="N190" s="109">
        <v>-11.4</v>
      </c>
      <c r="O190" t="str">
        <f>IFERROR(__xludf.DUMMYFUNCTION("regexextract(B190,""[\w]* [\w]*"")"),"Kenrich Williams")</f>
        <v>Kenrich Williams</v>
      </c>
      <c r="P190" t="str">
        <f t="shared" si="2"/>
        <v>Kenrich Williams</v>
      </c>
      <c r="Q190" t="str">
        <f t="shared" si="3"/>
        <v>Kenrich Williams</v>
      </c>
      <c r="R190" t="s">
        <v>94</v>
      </c>
      <c r="S190" s="60" t="s">
        <v>94</v>
      </c>
      <c r="T190" t="s">
        <v>45</v>
      </c>
      <c r="U190" t="s">
        <v>94</v>
      </c>
      <c r="V190" t="s">
        <v>47</v>
      </c>
      <c r="W190" t="str">
        <f t="shared" si="1"/>
        <v>SFC</v>
      </c>
    </row>
    <row r="191">
      <c r="A191" s="90">
        <v>183.0</v>
      </c>
      <c r="B191" s="91" t="s">
        <v>279</v>
      </c>
      <c r="C191" s="92"/>
      <c r="D191" s="92"/>
      <c r="E191" s="104">
        <v>2.1</v>
      </c>
      <c r="F191" s="104">
        <v>0.9</v>
      </c>
      <c r="G191" s="104">
        <v>5.4</v>
      </c>
      <c r="H191" s="104">
        <v>3.2</v>
      </c>
      <c r="I191" s="104">
        <v>1.1</v>
      </c>
      <c r="J191" s="104">
        <v>0.7</v>
      </c>
      <c r="K191" s="104">
        <v>1.2</v>
      </c>
      <c r="L191" s="104">
        <v>10.1</v>
      </c>
      <c r="M191" s="104">
        <v>63.1</v>
      </c>
      <c r="N191" s="108">
        <v>-12.7</v>
      </c>
      <c r="O191" t="str">
        <f>IFERROR(__xludf.DUMMYFUNCTION("regexextract(B191,""[\w]* [\w]*"")"),"Terence Davis")</f>
        <v>Terence Davis</v>
      </c>
      <c r="P191" t="str">
        <f t="shared" si="2"/>
        <v>Terence Davis</v>
      </c>
      <c r="Q191" t="str">
        <f t="shared" si="3"/>
        <v>Terence Davis</v>
      </c>
      <c r="R191" t="s">
        <v>94</v>
      </c>
      <c r="S191" s="60" t="s">
        <v>44</v>
      </c>
      <c r="T191" t="s">
        <v>94</v>
      </c>
      <c r="U191" t="s">
        <v>94</v>
      </c>
      <c r="V191" t="s">
        <v>47</v>
      </c>
      <c r="W191" t="str">
        <f t="shared" si="1"/>
        <v>SGC</v>
      </c>
    </row>
    <row r="192">
      <c r="A192" s="93">
        <v>184.0</v>
      </c>
      <c r="B192" s="94" t="s">
        <v>280</v>
      </c>
      <c r="C192" s="95"/>
      <c r="D192" s="95"/>
      <c r="E192" s="105">
        <v>3.5</v>
      </c>
      <c r="F192" s="105">
        <v>1.8</v>
      </c>
      <c r="G192" s="105">
        <v>3.9</v>
      </c>
      <c r="H192" s="105">
        <v>5.1</v>
      </c>
      <c r="I192" s="105">
        <v>0.8</v>
      </c>
      <c r="J192" s="105">
        <v>0.3</v>
      </c>
      <c r="K192" s="105">
        <v>3.3</v>
      </c>
      <c r="L192" s="105">
        <v>16.1</v>
      </c>
      <c r="M192" s="105">
        <v>70.7</v>
      </c>
      <c r="N192" s="109">
        <v>-3.2</v>
      </c>
      <c r="O192" t="str">
        <f>IFERROR(__xludf.DUMMYFUNCTION("regexextract(B192,""[\w]* [\w]*"")"),"Tomas Satoransky")</f>
        <v>Tomas Satoransky</v>
      </c>
      <c r="P192" t="str">
        <f t="shared" si="2"/>
        <v>Tomas Satoransky</v>
      </c>
      <c r="Q192" t="str">
        <f t="shared" si="3"/>
        <v>Tomas Satoransky</v>
      </c>
      <c r="R192" t="s">
        <v>43</v>
      </c>
      <c r="S192" s="60" t="s">
        <v>44</v>
      </c>
      <c r="T192" t="s">
        <v>94</v>
      </c>
      <c r="U192" t="s">
        <v>94</v>
      </c>
      <c r="V192" t="s">
        <v>94</v>
      </c>
      <c r="W192" t="str">
        <f t="shared" si="1"/>
        <v>PGSG</v>
      </c>
    </row>
    <row r="193">
      <c r="A193" s="90">
        <v>185.0</v>
      </c>
      <c r="B193" s="91" t="s">
        <v>281</v>
      </c>
      <c r="C193" s="92"/>
      <c r="D193" s="92"/>
      <c r="E193" s="104">
        <v>2.4</v>
      </c>
      <c r="F193" s="104">
        <v>0.6</v>
      </c>
      <c r="G193" s="104">
        <v>6.3</v>
      </c>
      <c r="H193" s="104">
        <v>2.7</v>
      </c>
      <c r="I193" s="104">
        <v>0.6</v>
      </c>
      <c r="J193" s="104">
        <v>1.2</v>
      </c>
      <c r="K193" s="104">
        <v>1.6</v>
      </c>
      <c r="L193" s="104">
        <v>9.7</v>
      </c>
      <c r="M193" s="104">
        <v>7.2</v>
      </c>
      <c r="N193" s="107">
        <f>+1</f>
        <v>1</v>
      </c>
      <c r="O193" t="str">
        <f>IFERROR(__xludf.DUMMYFUNCTION("regexextract(B193,""[\w]* [\w]*"")"),"Kendrick Nunn")</f>
        <v>Kendrick Nunn</v>
      </c>
      <c r="P193" t="str">
        <f t="shared" si="2"/>
        <v>Kendrick Nunn</v>
      </c>
      <c r="Q193" t="str">
        <f t="shared" si="3"/>
        <v>Kendrick Nunn</v>
      </c>
      <c r="R193" t="s">
        <v>94</v>
      </c>
      <c r="S193" s="60" t="s">
        <v>44</v>
      </c>
      <c r="T193" t="s">
        <v>94</v>
      </c>
      <c r="U193" t="s">
        <v>94</v>
      </c>
      <c r="V193" t="s">
        <v>47</v>
      </c>
      <c r="W193" t="str">
        <f t="shared" si="1"/>
        <v>SGC</v>
      </c>
    </row>
    <row r="194">
      <c r="A194" s="93">
        <v>186.0</v>
      </c>
      <c r="B194" s="94" t="s">
        <v>282</v>
      </c>
      <c r="C194" s="95"/>
      <c r="D194" s="95"/>
      <c r="E194" s="105">
        <v>2.1</v>
      </c>
      <c r="F194" s="105">
        <v>2.1</v>
      </c>
      <c r="G194" s="105">
        <v>4.8</v>
      </c>
      <c r="H194" s="105">
        <v>3.0</v>
      </c>
      <c r="I194" s="105">
        <v>0.7</v>
      </c>
      <c r="J194" s="105">
        <v>0.3</v>
      </c>
      <c r="K194" s="105">
        <v>1.8</v>
      </c>
      <c r="L194" s="105">
        <v>14.8</v>
      </c>
      <c r="M194" s="105">
        <v>44.5</v>
      </c>
      <c r="N194" s="106">
        <f>+0.7</f>
        <v>0.7</v>
      </c>
      <c r="O194" t="str">
        <f>IFERROR(__xludf.DUMMYFUNCTION("regexextract(B194,""[\w]* [\w]*"")"),"Luguentz Dort")</f>
        <v>Luguentz Dort</v>
      </c>
      <c r="P194" t="str">
        <f t="shared" si="2"/>
        <v>Luguentz Dort</v>
      </c>
      <c r="Q194" t="str">
        <f t="shared" si="3"/>
        <v>Luguentz Dort</v>
      </c>
      <c r="R194" t="s">
        <v>94</v>
      </c>
      <c r="S194" s="60" t="s">
        <v>44</v>
      </c>
      <c r="T194" t="s">
        <v>45</v>
      </c>
      <c r="U194" t="s">
        <v>94</v>
      </c>
      <c r="V194" t="s">
        <v>47</v>
      </c>
      <c r="W194" t="str">
        <f t="shared" si="1"/>
        <v>SGSFC</v>
      </c>
    </row>
    <row r="195">
      <c r="A195" s="90">
        <v>187.0</v>
      </c>
      <c r="B195" s="91" t="s">
        <v>283</v>
      </c>
      <c r="C195" s="92"/>
      <c r="D195" s="92"/>
      <c r="E195" s="104">
        <v>2.5</v>
      </c>
      <c r="F195" s="104">
        <v>0.7</v>
      </c>
      <c r="G195" s="104">
        <v>7.3</v>
      </c>
      <c r="H195" s="104">
        <v>2.3</v>
      </c>
      <c r="I195" s="104">
        <v>1.1</v>
      </c>
      <c r="J195" s="104">
        <v>0.8</v>
      </c>
      <c r="K195" s="104">
        <v>2.4</v>
      </c>
      <c r="L195" s="104">
        <v>11.6</v>
      </c>
      <c r="M195" s="104">
        <v>2.8</v>
      </c>
      <c r="N195" s="107">
        <f>+1.3</f>
        <v>1.3</v>
      </c>
      <c r="O195" t="str">
        <f>IFERROR(__xludf.DUMMYFUNCTION("regexextract(B195,""[\w]* [\w]*"")"),"Shake Milton")</f>
        <v>Shake Milton</v>
      </c>
      <c r="P195" t="str">
        <f t="shared" si="2"/>
        <v>Shake Milton</v>
      </c>
      <c r="Q195" t="str">
        <f t="shared" si="3"/>
        <v>Shake Milton</v>
      </c>
      <c r="R195" t="s">
        <v>43</v>
      </c>
      <c r="S195" s="60" t="s">
        <v>44</v>
      </c>
      <c r="T195" t="s">
        <v>94</v>
      </c>
      <c r="U195" t="s">
        <v>94</v>
      </c>
      <c r="V195" t="s">
        <v>94</v>
      </c>
      <c r="W195" t="str">
        <f t="shared" si="1"/>
        <v>PGSG</v>
      </c>
    </row>
    <row r="196">
      <c r="A196" s="93">
        <v>188.0</v>
      </c>
      <c r="B196" s="94" t="s">
        <v>284</v>
      </c>
      <c r="C196" s="95"/>
      <c r="D196" s="95"/>
      <c r="E196" s="105">
        <v>2.7</v>
      </c>
      <c r="F196" s="105">
        <v>0.0</v>
      </c>
      <c r="G196" s="105">
        <v>9.4</v>
      </c>
      <c r="H196" s="105">
        <v>1.4</v>
      </c>
      <c r="I196" s="105">
        <v>1.1</v>
      </c>
      <c r="J196" s="105">
        <v>0.9</v>
      </c>
      <c r="K196" s="105">
        <v>1.9</v>
      </c>
      <c r="L196" s="105">
        <v>9.9</v>
      </c>
      <c r="M196" s="105">
        <v>52.2</v>
      </c>
      <c r="N196" s="109">
        <v>-6.2</v>
      </c>
      <c r="O196" t="str">
        <f>IFERROR(__xludf.DUMMYFUNCTION("regexextract(B196,""[\w]* [\w]*"")"),"Nicolas Batum")</f>
        <v>Nicolas Batum</v>
      </c>
      <c r="P196" t="str">
        <f t="shared" si="2"/>
        <v>Nicolas Batum</v>
      </c>
      <c r="Q196" t="str">
        <f t="shared" si="3"/>
        <v>Nicolas Batum</v>
      </c>
      <c r="R196" t="s">
        <v>94</v>
      </c>
      <c r="S196" s="60" t="s">
        <v>44</v>
      </c>
      <c r="T196" t="s">
        <v>45</v>
      </c>
      <c r="U196" t="s">
        <v>94</v>
      </c>
      <c r="V196" t="s">
        <v>47</v>
      </c>
      <c r="W196" t="str">
        <f t="shared" si="1"/>
        <v>SGSFC</v>
      </c>
    </row>
    <row r="197">
      <c r="A197" s="90">
        <v>189.0</v>
      </c>
      <c r="B197" s="91" t="s">
        <v>285</v>
      </c>
      <c r="C197" s="92"/>
      <c r="D197" s="92"/>
      <c r="E197" s="104">
        <v>3.1</v>
      </c>
      <c r="F197" s="104">
        <v>1.3</v>
      </c>
      <c r="G197" s="104">
        <v>4.4</v>
      </c>
      <c r="H197" s="104">
        <v>2.2</v>
      </c>
      <c r="I197" s="104">
        <v>1.1</v>
      </c>
      <c r="J197" s="104">
        <v>0.6</v>
      </c>
      <c r="K197" s="104">
        <v>1.4</v>
      </c>
      <c r="L197" s="104">
        <v>12.3</v>
      </c>
      <c r="M197" s="104">
        <v>3.3</v>
      </c>
      <c r="N197" s="107">
        <f>+1.5</f>
        <v>1.5</v>
      </c>
      <c r="O197" t="str">
        <f>IFERROR(__xludf.DUMMYFUNCTION("regexextract(B197,""[\w]* [\w]*"")"),"Jaxson Hayes")</f>
        <v>Jaxson Hayes</v>
      </c>
      <c r="P197" t="str">
        <f t="shared" si="2"/>
        <v>Jaxson Hayes</v>
      </c>
      <c r="Q197" t="str">
        <f t="shared" si="3"/>
        <v>Jaxson Hayes</v>
      </c>
      <c r="R197" t="s">
        <v>94</v>
      </c>
      <c r="S197" s="60" t="s">
        <v>94</v>
      </c>
      <c r="T197" t="s">
        <v>94</v>
      </c>
      <c r="U197" t="s">
        <v>94</v>
      </c>
      <c r="V197" t="s">
        <v>47</v>
      </c>
      <c r="W197" t="str">
        <f t="shared" si="1"/>
        <v>C</v>
      </c>
    </row>
    <row r="198">
      <c r="A198" s="93">
        <v>190.0</v>
      </c>
      <c r="B198" s="94" t="s">
        <v>286</v>
      </c>
      <c r="C198" s="95"/>
      <c r="D198" s="95"/>
      <c r="E198" s="105">
        <v>2.6</v>
      </c>
      <c r="F198" s="105">
        <v>1.0</v>
      </c>
      <c r="G198" s="105">
        <v>2.6</v>
      </c>
      <c r="H198" s="105">
        <v>4.4</v>
      </c>
      <c r="I198" s="105">
        <v>0.9</v>
      </c>
      <c r="J198" s="105">
        <v>0.4</v>
      </c>
      <c r="K198" s="105">
        <v>1.7</v>
      </c>
      <c r="L198" s="105">
        <v>15.3</v>
      </c>
      <c r="M198" s="105">
        <v>67.5</v>
      </c>
      <c r="N198" s="109">
        <v>-9.7</v>
      </c>
      <c r="O198" t="str">
        <f>IFERROR(__xludf.DUMMYFUNCTION("regexextract(B198,""[\w]* [\w]*"")"),"Matisse Thybulle")</f>
        <v>Matisse Thybulle</v>
      </c>
      <c r="P198" t="str">
        <f t="shared" si="2"/>
        <v>Matisse Thybulle</v>
      </c>
      <c r="Q198" t="str">
        <f t="shared" si="3"/>
        <v>Matisse Thybulle</v>
      </c>
      <c r="R198" t="s">
        <v>94</v>
      </c>
      <c r="S198" s="60" t="s">
        <v>44</v>
      </c>
      <c r="T198" t="s">
        <v>45</v>
      </c>
      <c r="U198" t="s">
        <v>94</v>
      </c>
      <c r="V198" t="s">
        <v>94</v>
      </c>
      <c r="W198" t="str">
        <f t="shared" si="1"/>
        <v>SGSF</v>
      </c>
    </row>
    <row r="199">
      <c r="A199" s="90">
        <v>191.0</v>
      </c>
      <c r="B199" s="91" t="s">
        <v>287</v>
      </c>
      <c r="C199" s="92"/>
      <c r="D199" s="92"/>
      <c r="E199" s="104">
        <v>3.0</v>
      </c>
      <c r="F199" s="104">
        <v>1.2</v>
      </c>
      <c r="G199" s="104">
        <v>5.9</v>
      </c>
      <c r="H199" s="104">
        <v>3.3</v>
      </c>
      <c r="I199" s="104">
        <v>0.7</v>
      </c>
      <c r="J199" s="104">
        <v>0.7</v>
      </c>
      <c r="K199" s="104">
        <v>1.9</v>
      </c>
      <c r="L199" s="104">
        <v>12.6</v>
      </c>
      <c r="M199" s="104">
        <v>18.9</v>
      </c>
      <c r="N199" s="107">
        <f>+2.5</f>
        <v>2.5</v>
      </c>
      <c r="O199" t="str">
        <f>IFERROR(__xludf.DUMMYFUNCTION("regexextract(B199,""[\w]* [\w]*"")"),"Royce O")</f>
        <v>Royce O</v>
      </c>
      <c r="P199" t="str">
        <f t="shared" si="2"/>
        <v>Royce O</v>
      </c>
      <c r="Q199" t="str">
        <f t="shared" si="3"/>
        <v>Royce </v>
      </c>
      <c r="R199" t="s">
        <v>94</v>
      </c>
      <c r="S199" s="60" t="s">
        <v>94</v>
      </c>
      <c r="T199" t="s">
        <v>45</v>
      </c>
      <c r="U199" t="s">
        <v>46</v>
      </c>
      <c r="V199" t="s">
        <v>47</v>
      </c>
      <c r="W199" t="str">
        <f t="shared" si="1"/>
        <v>SFPFC</v>
      </c>
    </row>
    <row r="200">
      <c r="A200" s="93">
        <v>192.0</v>
      </c>
      <c r="B200" s="94" t="s">
        <v>288</v>
      </c>
      <c r="C200" s="95"/>
      <c r="D200" s="95"/>
      <c r="E200" s="105">
        <v>2.0</v>
      </c>
      <c r="F200" s="105">
        <v>1.5</v>
      </c>
      <c r="G200" s="105">
        <v>5.1</v>
      </c>
      <c r="H200" s="105">
        <v>1.6</v>
      </c>
      <c r="I200" s="105">
        <v>1.0</v>
      </c>
      <c r="J200" s="105">
        <v>0.7</v>
      </c>
      <c r="K200" s="105">
        <v>1.5</v>
      </c>
      <c r="L200" s="105">
        <v>10.9</v>
      </c>
      <c r="M200" s="105">
        <v>5.8</v>
      </c>
      <c r="N200" s="106">
        <f>+1.5</f>
        <v>1.5</v>
      </c>
      <c r="O200" t="str">
        <f>IFERROR(__xludf.DUMMYFUNCTION("regexextract(B200,""[\w]* [\w]*"")"),"Devin Vassell")</f>
        <v>Devin Vassell</v>
      </c>
      <c r="P200" t="str">
        <f t="shared" si="2"/>
        <v>Devin Vassell</v>
      </c>
      <c r="Q200" t="str">
        <f t="shared" si="3"/>
        <v>Devin Vassell</v>
      </c>
      <c r="R200" t="s">
        <v>94</v>
      </c>
      <c r="S200" s="60" t="s">
        <v>44</v>
      </c>
      <c r="T200" t="s">
        <v>45</v>
      </c>
      <c r="U200" t="s">
        <v>94</v>
      </c>
      <c r="V200" t="s">
        <v>94</v>
      </c>
      <c r="W200" t="str">
        <f t="shared" si="1"/>
        <v>SGSF</v>
      </c>
    </row>
    <row r="201">
      <c r="A201" s="90">
        <v>193.0</v>
      </c>
      <c r="B201" s="91" t="s">
        <v>289</v>
      </c>
      <c r="C201" s="92"/>
      <c r="D201" s="92"/>
      <c r="E201" s="104">
        <v>2.4</v>
      </c>
      <c r="F201" s="104">
        <v>0.6</v>
      </c>
      <c r="G201" s="104">
        <v>3.5</v>
      </c>
      <c r="H201" s="104">
        <v>5.5</v>
      </c>
      <c r="I201" s="104">
        <v>1.2</v>
      </c>
      <c r="J201" s="104">
        <v>0.2</v>
      </c>
      <c r="K201" s="104">
        <v>2.3</v>
      </c>
      <c r="L201" s="104">
        <v>13.7</v>
      </c>
      <c r="M201" s="104">
        <v>39.4</v>
      </c>
      <c r="N201" s="108">
        <v>-12.1</v>
      </c>
      <c r="O201" t="str">
        <f>IFERROR(__xludf.DUMMYFUNCTION("regexextract(B201,""[\w]* [\w]*"")"),"Victor OladipoO")</f>
        <v>Victor OladipoO</v>
      </c>
      <c r="P201" t="str">
        <f t="shared" si="2"/>
        <v>Victor OladipoO</v>
      </c>
      <c r="Q201" t="str">
        <f t="shared" si="3"/>
        <v>Victor Oladipo</v>
      </c>
      <c r="R201" t="s">
        <v>94</v>
      </c>
      <c r="S201" s="60" t="s">
        <v>44</v>
      </c>
      <c r="T201" t="s">
        <v>94</v>
      </c>
      <c r="U201" t="s">
        <v>94</v>
      </c>
      <c r="V201" t="s">
        <v>47</v>
      </c>
      <c r="W201" t="str">
        <f t="shared" si="1"/>
        <v>SGC</v>
      </c>
    </row>
    <row r="202">
      <c r="A202" s="93">
        <v>194.0</v>
      </c>
      <c r="B202" s="94" t="s">
        <v>290</v>
      </c>
      <c r="C202" s="95"/>
      <c r="D202" s="95"/>
      <c r="E202" s="105">
        <v>3.3</v>
      </c>
      <c r="F202" s="105">
        <v>1.7</v>
      </c>
      <c r="G202" s="105">
        <v>7.5</v>
      </c>
      <c r="H202" s="105">
        <v>1.8</v>
      </c>
      <c r="I202" s="105">
        <v>0.6</v>
      </c>
      <c r="J202" s="105">
        <v>0.5</v>
      </c>
      <c r="K202" s="105">
        <v>2.3</v>
      </c>
      <c r="L202" s="105">
        <v>14.9</v>
      </c>
      <c r="M202" s="105">
        <v>5.8</v>
      </c>
      <c r="N202" s="106">
        <f t="shared" ref="N202:N203" si="8">+1.4</f>
        <v>1.4</v>
      </c>
      <c r="O202" t="str">
        <f>IFERROR(__xludf.DUMMYFUNCTION("regexextract(B202,""[\w]* [\w]*"")"),"Davis Bertans")</f>
        <v>Davis Bertans</v>
      </c>
      <c r="P202" t="str">
        <f t="shared" si="2"/>
        <v>Davis Bertans</v>
      </c>
      <c r="Q202" t="str">
        <f t="shared" si="3"/>
        <v>Davis Bertans</v>
      </c>
      <c r="R202" t="s">
        <v>94</v>
      </c>
      <c r="S202" s="60" t="s">
        <v>94</v>
      </c>
      <c r="T202" t="s">
        <v>94</v>
      </c>
      <c r="U202" t="s">
        <v>46</v>
      </c>
      <c r="V202" t="s">
        <v>94</v>
      </c>
      <c r="W202" t="str">
        <f t="shared" si="1"/>
        <v>PF</v>
      </c>
    </row>
    <row r="203">
      <c r="A203" s="90">
        <v>195.0</v>
      </c>
      <c r="B203" s="91" t="s">
        <v>291</v>
      </c>
      <c r="C203" s="92"/>
      <c r="D203" s="92"/>
      <c r="E203" s="104">
        <v>1.9</v>
      </c>
      <c r="F203" s="104">
        <v>1.8</v>
      </c>
      <c r="G203" s="104">
        <v>6.0</v>
      </c>
      <c r="H203" s="104">
        <v>2.3</v>
      </c>
      <c r="I203" s="104">
        <v>1.0</v>
      </c>
      <c r="J203" s="104">
        <v>0.4</v>
      </c>
      <c r="K203" s="104">
        <v>1.1</v>
      </c>
      <c r="L203" s="104">
        <v>13.0</v>
      </c>
      <c r="M203" s="104">
        <v>2.9</v>
      </c>
      <c r="N203" s="107">
        <f t="shared" si="8"/>
        <v>1.4</v>
      </c>
      <c r="O203" t="str">
        <f>IFERROR(__xludf.DUMMYFUNCTION("regexextract(B203,""[\w]* [\w]*"")"),"Kevin Love")</f>
        <v>Kevin Love</v>
      </c>
      <c r="P203" t="str">
        <f t="shared" si="2"/>
        <v>Kevin Love</v>
      </c>
      <c r="Q203" t="str">
        <f t="shared" si="3"/>
        <v>Kevin Love</v>
      </c>
      <c r="R203" t="s">
        <v>94</v>
      </c>
      <c r="S203" s="60" t="s">
        <v>94</v>
      </c>
      <c r="T203" t="s">
        <v>94</v>
      </c>
      <c r="U203" t="s">
        <v>46</v>
      </c>
      <c r="V203" t="s">
        <v>47</v>
      </c>
      <c r="W203" t="str">
        <f t="shared" si="1"/>
        <v>PFC</v>
      </c>
    </row>
    <row r="204">
      <c r="A204" s="93">
        <v>196.0</v>
      </c>
      <c r="B204" s="94" t="s">
        <v>292</v>
      </c>
      <c r="C204" s="95"/>
      <c r="D204" s="95"/>
      <c r="E204" s="105">
        <v>1.9</v>
      </c>
      <c r="F204" s="105">
        <v>1.0</v>
      </c>
      <c r="G204" s="105">
        <v>7.5</v>
      </c>
      <c r="H204" s="105">
        <v>1.6</v>
      </c>
      <c r="I204" s="105">
        <v>0.3</v>
      </c>
      <c r="J204" s="105">
        <v>1.1</v>
      </c>
      <c r="K204" s="105">
        <v>1.4</v>
      </c>
      <c r="L204" s="105">
        <v>13.4</v>
      </c>
      <c r="M204" s="105">
        <v>7.3</v>
      </c>
      <c r="N204" s="106">
        <f>+0.2</f>
        <v>0.2</v>
      </c>
      <c r="O204" t="str">
        <f>IFERROR(__xludf.DUMMYFUNCTION("regexextract(B204,""[\w]* [\w]*"")"),"Jeremy Lamb")</f>
        <v>Jeremy Lamb</v>
      </c>
      <c r="P204" t="str">
        <f t="shared" si="2"/>
        <v>Jeremy Lamb</v>
      </c>
      <c r="Q204" t="str">
        <f t="shared" si="3"/>
        <v>Jeremy Lamb</v>
      </c>
      <c r="R204" t="s">
        <v>94</v>
      </c>
      <c r="S204" s="60" t="s">
        <v>44</v>
      </c>
      <c r="T204" t="s">
        <v>45</v>
      </c>
      <c r="U204" t="s">
        <v>94</v>
      </c>
      <c r="V204" t="s">
        <v>94</v>
      </c>
      <c r="W204" t="str">
        <f t="shared" si="1"/>
        <v>SGSF</v>
      </c>
    </row>
    <row r="205">
      <c r="A205" s="90">
        <v>197.0</v>
      </c>
      <c r="B205" s="91" t="s">
        <v>293</v>
      </c>
      <c r="C205" s="92"/>
      <c r="D205" s="92"/>
      <c r="E205" s="104">
        <v>0.8</v>
      </c>
      <c r="F205" s="104">
        <v>1.5</v>
      </c>
      <c r="G205" s="104">
        <v>5.5</v>
      </c>
      <c r="H205" s="104">
        <v>2.9</v>
      </c>
      <c r="I205" s="104">
        <v>0.7</v>
      </c>
      <c r="J205" s="104">
        <v>0.8</v>
      </c>
      <c r="K205" s="104">
        <v>0.9</v>
      </c>
      <c r="L205" s="104">
        <v>11.3</v>
      </c>
      <c r="M205" s="104">
        <v>57.1</v>
      </c>
      <c r="N205" s="108">
        <v>-14.7</v>
      </c>
      <c r="O205" t="str">
        <f>IFERROR(__xludf.DUMMYFUNCTION("regexextract(B205,""[\w]* [\w]*"")"),"Bruce Brown")</f>
        <v>Bruce Brown</v>
      </c>
      <c r="P205" t="str">
        <f t="shared" si="2"/>
        <v>Bruce Brown</v>
      </c>
      <c r="Q205" t="str">
        <f t="shared" si="3"/>
        <v>Bruce Brown</v>
      </c>
      <c r="R205" t="s">
        <v>94</v>
      </c>
      <c r="S205" s="60" t="s">
        <v>44</v>
      </c>
      <c r="T205" t="s">
        <v>94</v>
      </c>
      <c r="U205" t="s">
        <v>94</v>
      </c>
      <c r="V205" t="s">
        <v>47</v>
      </c>
      <c r="W205" t="str">
        <f t="shared" si="1"/>
        <v>SGC</v>
      </c>
    </row>
    <row r="206">
      <c r="A206" s="93">
        <v>198.0</v>
      </c>
      <c r="B206" s="94" t="s">
        <v>294</v>
      </c>
      <c r="C206" s="95"/>
      <c r="D206" s="95"/>
      <c r="E206" s="105">
        <v>3.1</v>
      </c>
      <c r="F206" s="105">
        <v>1.5</v>
      </c>
      <c r="G206" s="105">
        <v>5.1</v>
      </c>
      <c r="H206" s="105">
        <v>1.2</v>
      </c>
      <c r="I206" s="105">
        <v>1.0</v>
      </c>
      <c r="J206" s="105">
        <v>0.7</v>
      </c>
      <c r="K206" s="105">
        <v>1.2</v>
      </c>
      <c r="L206" s="105">
        <v>14.1</v>
      </c>
      <c r="M206" s="105">
        <v>46.8</v>
      </c>
      <c r="N206" s="109">
        <v>-7.8</v>
      </c>
      <c r="O206" t="str">
        <f>IFERROR(__xludf.DUMMYFUNCTION("regexextract(B206,""[\w]* [\w]*"")"),"Derrick Favors")</f>
        <v>Derrick Favors</v>
      </c>
      <c r="P206" t="str">
        <f t="shared" si="2"/>
        <v>Derrick Favors</v>
      </c>
      <c r="Q206" t="str">
        <f t="shared" si="3"/>
        <v>Derrick Favors</v>
      </c>
      <c r="R206" t="s">
        <v>94</v>
      </c>
      <c r="S206" s="60" t="s">
        <v>94</v>
      </c>
      <c r="T206" t="s">
        <v>94</v>
      </c>
      <c r="U206" t="s">
        <v>46</v>
      </c>
      <c r="V206" t="s">
        <v>47</v>
      </c>
      <c r="W206" t="str">
        <f t="shared" si="1"/>
        <v>PFC</v>
      </c>
    </row>
    <row r="207">
      <c r="A207" s="90">
        <v>199.0</v>
      </c>
      <c r="B207" s="91" t="s">
        <v>295</v>
      </c>
      <c r="C207" s="92"/>
      <c r="D207" s="92"/>
      <c r="E207" s="104">
        <v>3.0</v>
      </c>
      <c r="F207" s="104">
        <v>2.0</v>
      </c>
      <c r="G207" s="104">
        <v>3.2</v>
      </c>
      <c r="H207" s="104">
        <v>2.3</v>
      </c>
      <c r="I207" s="104">
        <v>1.1</v>
      </c>
      <c r="J207" s="104">
        <v>0.4</v>
      </c>
      <c r="K207" s="104">
        <v>1.8</v>
      </c>
      <c r="L207" s="104">
        <v>17.4</v>
      </c>
      <c r="M207" s="104">
        <v>44.4</v>
      </c>
      <c r="N207" s="108">
        <v>-7.4</v>
      </c>
      <c r="O207" t="str">
        <f>IFERROR(__xludf.DUMMYFUNCTION("regexextract(B207,""[\w]* [\w]*"")"),"Ish Smith")</f>
        <v>Ish Smith</v>
      </c>
      <c r="P207" t="str">
        <f t="shared" si="2"/>
        <v>Ish Smith</v>
      </c>
      <c r="Q207" t="str">
        <f t="shared" si="3"/>
        <v>Ish Smith</v>
      </c>
      <c r="R207" t="s">
        <v>43</v>
      </c>
      <c r="S207" s="60" t="s">
        <v>94</v>
      </c>
      <c r="T207" t="s">
        <v>94</v>
      </c>
      <c r="U207" t="s">
        <v>94</v>
      </c>
      <c r="V207" t="s">
        <v>47</v>
      </c>
      <c r="W207" t="str">
        <f t="shared" si="1"/>
        <v>PGC</v>
      </c>
    </row>
    <row r="208">
      <c r="A208" s="93">
        <v>200.0</v>
      </c>
      <c r="B208" s="94" t="s">
        <v>296</v>
      </c>
      <c r="C208" s="95"/>
      <c r="D208" s="95"/>
      <c r="E208" s="105">
        <v>3.0</v>
      </c>
      <c r="F208" s="105">
        <v>0.8</v>
      </c>
      <c r="G208" s="105">
        <v>6.1</v>
      </c>
      <c r="H208" s="105">
        <v>1.6</v>
      </c>
      <c r="I208" s="105">
        <v>0.9</v>
      </c>
      <c r="J208" s="105">
        <v>0.1</v>
      </c>
      <c r="K208" s="105">
        <v>1.2</v>
      </c>
      <c r="L208" s="105">
        <v>14.9</v>
      </c>
      <c r="M208" s="105">
        <v>10.2</v>
      </c>
      <c r="N208" s="106">
        <f>+1</f>
        <v>1</v>
      </c>
      <c r="O208" t="str">
        <f>IFERROR(__xludf.DUMMYFUNCTION("regexextract(B208,""[\w]* [\w]*"")"),"Cedi Osman")</f>
        <v>Cedi Osman</v>
      </c>
      <c r="P208" t="str">
        <f t="shared" si="2"/>
        <v>Cedi Osman</v>
      </c>
      <c r="Q208" t="str">
        <f t="shared" si="3"/>
        <v>Cedi Osman</v>
      </c>
      <c r="R208" t="s">
        <v>94</v>
      </c>
      <c r="S208" s="60" t="s">
        <v>94</v>
      </c>
      <c r="T208" t="s">
        <v>45</v>
      </c>
      <c r="U208" t="s">
        <v>94</v>
      </c>
      <c r="V208" t="s">
        <v>47</v>
      </c>
      <c r="W208" t="str">
        <f t="shared" si="1"/>
        <v>SFC</v>
      </c>
    </row>
    <row r="209">
      <c r="A209" s="82" t="s">
        <v>87</v>
      </c>
      <c r="C209" s="82" t="s">
        <v>88</v>
      </c>
      <c r="E209" s="100"/>
      <c r="F209" s="100"/>
      <c r="G209" s="100"/>
      <c r="H209" s="100"/>
      <c r="I209" s="100"/>
      <c r="J209" s="100"/>
      <c r="K209" s="100"/>
      <c r="L209" s="100"/>
      <c r="M209" s="100" t="s">
        <v>194</v>
      </c>
      <c r="N209" s="100"/>
      <c r="O209" t="str">
        <f>IFERROR(__xludf.DUMMYFUNCTION("regexextract(B209,""[\w]* [\w]*"")"),"#N/A")</f>
        <v>#N/A</v>
      </c>
      <c r="P209" t="str">
        <f t="shared" si="2"/>
        <v>#N/A</v>
      </c>
      <c r="Q209" t="str">
        <f t="shared" si="3"/>
        <v>#N/A</v>
      </c>
      <c r="R209" t="s">
        <v>94</v>
      </c>
      <c r="S209" s="60" t="s">
        <v>94</v>
      </c>
      <c r="T209" t="s">
        <v>94</v>
      </c>
      <c r="U209" t="s">
        <v>94</v>
      </c>
      <c r="V209" t="s">
        <v>94</v>
      </c>
      <c r="W209" t="str">
        <f t="shared" si="1"/>
        <v/>
      </c>
    </row>
    <row r="210">
      <c r="A210" s="85" t="s">
        <v>89</v>
      </c>
      <c r="B210" s="86" t="s">
        <v>90</v>
      </c>
      <c r="C210" s="85" t="s">
        <v>91</v>
      </c>
      <c r="D210" s="87" t="s">
        <v>92</v>
      </c>
      <c r="E210" s="101" t="s">
        <v>195</v>
      </c>
      <c r="F210" s="102">
        <v>0.625</v>
      </c>
      <c r="G210" s="101" t="s">
        <v>36</v>
      </c>
      <c r="H210" s="101" t="s">
        <v>37</v>
      </c>
      <c r="I210" s="101" t="s">
        <v>38</v>
      </c>
      <c r="J210" s="101" t="s">
        <v>61</v>
      </c>
      <c r="K210" s="101" t="s">
        <v>42</v>
      </c>
      <c r="L210" s="101" t="s">
        <v>34</v>
      </c>
      <c r="M210" s="101" t="s">
        <v>196</v>
      </c>
      <c r="N210" s="103" t="str">
        <f>+/-</f>
        <v>#ERROR!</v>
      </c>
      <c r="O210" t="str">
        <f>IFERROR(__xludf.DUMMYFUNCTION("regexextract(B210,""[\w]* [\w]*"")"),"#N/A")</f>
        <v>#N/A</v>
      </c>
      <c r="P210" t="str">
        <f t="shared" si="2"/>
        <v>#N/A</v>
      </c>
      <c r="Q210" t="str">
        <f t="shared" si="3"/>
        <v>#N/A</v>
      </c>
      <c r="R210" t="s">
        <v>94</v>
      </c>
      <c r="S210" s="60" t="s">
        <v>94</v>
      </c>
      <c r="T210" t="s">
        <v>94</v>
      </c>
      <c r="U210" t="s">
        <v>94</v>
      </c>
      <c r="V210" t="s">
        <v>94</v>
      </c>
      <c r="W210" t="str">
        <f t="shared" si="1"/>
        <v/>
      </c>
    </row>
    <row r="211">
      <c r="A211" s="90">
        <v>201.0</v>
      </c>
      <c r="B211" s="91" t="s">
        <v>297</v>
      </c>
      <c r="C211" s="92"/>
      <c r="D211" s="92"/>
      <c r="E211" s="104">
        <v>1.4</v>
      </c>
      <c r="F211" s="104">
        <v>2.3</v>
      </c>
      <c r="G211" s="104">
        <v>2.5</v>
      </c>
      <c r="H211" s="104">
        <v>2.8</v>
      </c>
      <c r="I211" s="104">
        <v>0.8</v>
      </c>
      <c r="J211" s="104">
        <v>0.2</v>
      </c>
      <c r="K211" s="104">
        <v>1.2</v>
      </c>
      <c r="L211" s="104">
        <v>13.1</v>
      </c>
      <c r="M211" s="104">
        <v>33.4</v>
      </c>
      <c r="N211" s="108">
        <v>-1.1</v>
      </c>
      <c r="O211" t="str">
        <f>IFERROR(__xludf.DUMMYFUNCTION("regexextract(B211,""[\w]* [\w]*"")"),"Cameron Johnson")</f>
        <v>Cameron Johnson</v>
      </c>
      <c r="P211" t="str">
        <f t="shared" si="2"/>
        <v>Cameron Johnson</v>
      </c>
      <c r="Q211" t="str">
        <f t="shared" si="3"/>
        <v>Cameron Johnson</v>
      </c>
      <c r="R211" t="s">
        <v>94</v>
      </c>
      <c r="S211" s="60" t="s">
        <v>94</v>
      </c>
      <c r="T211" t="s">
        <v>45</v>
      </c>
      <c r="U211" t="s">
        <v>94</v>
      </c>
      <c r="V211" t="s">
        <v>47</v>
      </c>
      <c r="W211" t="str">
        <f t="shared" si="1"/>
        <v>SFC</v>
      </c>
    </row>
    <row r="212">
      <c r="A212" s="93">
        <v>202.0</v>
      </c>
      <c r="B212" s="94" t="s">
        <v>298</v>
      </c>
      <c r="C212" s="95"/>
      <c r="D212" s="95"/>
      <c r="E212" s="105">
        <v>2.3</v>
      </c>
      <c r="F212" s="105">
        <v>2.3</v>
      </c>
      <c r="G212" s="105">
        <v>4.8</v>
      </c>
      <c r="H212" s="105">
        <v>1.2</v>
      </c>
      <c r="I212" s="105">
        <v>0.6</v>
      </c>
      <c r="J212" s="105">
        <v>0.3</v>
      </c>
      <c r="K212" s="105">
        <v>1.2</v>
      </c>
      <c r="L212" s="105">
        <v>14.6</v>
      </c>
      <c r="M212" s="105">
        <v>18.9</v>
      </c>
      <c r="N212" s="109">
        <v>-3.9</v>
      </c>
      <c r="O212" t="str">
        <f>IFERROR(__xludf.DUMMYFUNCTION("regexextract(B212,""[\w]* [\w]*"")"),"Tyus Jones")</f>
        <v>Tyus Jones</v>
      </c>
      <c r="P212" t="str">
        <f t="shared" si="2"/>
        <v>Tyus Jones</v>
      </c>
      <c r="Q212" t="str">
        <f t="shared" si="3"/>
        <v>Tyus Jones</v>
      </c>
      <c r="R212" t="s">
        <v>43</v>
      </c>
      <c r="S212" s="60" t="s">
        <v>94</v>
      </c>
      <c r="T212" t="s">
        <v>94</v>
      </c>
      <c r="U212" t="s">
        <v>94</v>
      </c>
      <c r="V212" t="s">
        <v>94</v>
      </c>
      <c r="W212" t="str">
        <f t="shared" si="1"/>
        <v>PG</v>
      </c>
    </row>
    <row r="213">
      <c r="A213" s="90">
        <v>203.0</v>
      </c>
      <c r="B213" s="91" t="s">
        <v>299</v>
      </c>
      <c r="C213" s="92"/>
      <c r="D213" s="92"/>
      <c r="E213" s="104">
        <v>1.6</v>
      </c>
      <c r="F213" s="104">
        <v>2.1</v>
      </c>
      <c r="G213" s="104">
        <v>3.5</v>
      </c>
      <c r="H213" s="104">
        <v>1.5</v>
      </c>
      <c r="I213" s="104">
        <v>0.3</v>
      </c>
      <c r="J213" s="104">
        <v>0.1</v>
      </c>
      <c r="K213" s="104">
        <v>0.9</v>
      </c>
      <c r="L213" s="104">
        <v>14.9</v>
      </c>
      <c r="M213" s="104">
        <v>5.2</v>
      </c>
      <c r="N213" s="104">
        <v>0.0</v>
      </c>
      <c r="O213" t="str">
        <f>IFERROR(__xludf.DUMMYFUNCTION("regexextract(B213,""[\w]* [\w]*"")"),"Gary Trent")</f>
        <v>Gary Trent</v>
      </c>
      <c r="P213" t="str">
        <f t="shared" si="2"/>
        <v>Gary Trent</v>
      </c>
      <c r="Q213" t="str">
        <f t="shared" si="3"/>
        <v>Gary Trent</v>
      </c>
      <c r="R213" t="s">
        <v>94</v>
      </c>
      <c r="S213" s="60" t="s">
        <v>44</v>
      </c>
      <c r="T213" t="s">
        <v>45</v>
      </c>
      <c r="U213" t="s">
        <v>94</v>
      </c>
      <c r="V213" t="s">
        <v>94</v>
      </c>
      <c r="W213" t="str">
        <f t="shared" si="1"/>
        <v>SGSF</v>
      </c>
    </row>
    <row r="214">
      <c r="A214" s="93">
        <v>204.0</v>
      </c>
      <c r="B214" s="94" t="s">
        <v>300</v>
      </c>
      <c r="C214" s="95"/>
      <c r="D214" s="95"/>
      <c r="E214" s="105">
        <v>1.2</v>
      </c>
      <c r="F214" s="105">
        <v>0.0</v>
      </c>
      <c r="G214" s="105">
        <v>6.1</v>
      </c>
      <c r="H214" s="105">
        <v>0.7</v>
      </c>
      <c r="I214" s="105">
        <v>1.1</v>
      </c>
      <c r="J214" s="105">
        <v>2.1</v>
      </c>
      <c r="K214" s="105">
        <v>1.0</v>
      </c>
      <c r="L214" s="105">
        <v>5.4</v>
      </c>
      <c r="M214" s="105">
        <v>4.0</v>
      </c>
      <c r="N214" s="106">
        <f>+1.6</f>
        <v>1.6</v>
      </c>
      <c r="O214" t="str">
        <f>IFERROR(__xludf.DUMMYFUNCTION("regexextract(B214,""[\w]* [\w]*"")"),"Reggie BullockO")</f>
        <v>Reggie BullockO</v>
      </c>
      <c r="P214" t="str">
        <f t="shared" si="2"/>
        <v>Reggie BullockO</v>
      </c>
      <c r="Q214" t="str">
        <f t="shared" si="3"/>
        <v>Reggie Bullock</v>
      </c>
      <c r="R214" t="s">
        <v>94</v>
      </c>
      <c r="S214" s="60" t="s">
        <v>44</v>
      </c>
      <c r="T214" t="s">
        <v>45</v>
      </c>
      <c r="U214" t="s">
        <v>94</v>
      </c>
      <c r="V214" t="s">
        <v>47</v>
      </c>
      <c r="W214" t="str">
        <f t="shared" si="1"/>
        <v>SGSFC</v>
      </c>
    </row>
    <row r="215">
      <c r="A215" s="90">
        <v>205.0</v>
      </c>
      <c r="B215" s="91" t="s">
        <v>301</v>
      </c>
      <c r="C215" s="92"/>
      <c r="D215" s="92"/>
      <c r="E215" s="104">
        <v>2.2</v>
      </c>
      <c r="F215" s="104">
        <v>0.9</v>
      </c>
      <c r="G215" s="104">
        <v>5.0</v>
      </c>
      <c r="H215" s="104">
        <v>1.8</v>
      </c>
      <c r="I215" s="104">
        <v>0.4</v>
      </c>
      <c r="J215" s="104">
        <v>1.1</v>
      </c>
      <c r="K215" s="104">
        <v>1.1</v>
      </c>
      <c r="L215" s="104">
        <v>13.6</v>
      </c>
      <c r="M215" s="104">
        <v>4.3</v>
      </c>
      <c r="N215" s="107">
        <f>+1.8</f>
        <v>1.8</v>
      </c>
      <c r="O215" t="str">
        <f>IFERROR(__xludf.DUMMYFUNCTION("regexextract(B215,""[\w]* [\w]*"")"),"Willie Cauley")</f>
        <v>Willie Cauley</v>
      </c>
      <c r="P215" t="str">
        <f t="shared" si="2"/>
        <v>Willie Cauley</v>
      </c>
      <c r="Q215" t="str">
        <f t="shared" si="3"/>
        <v>Willie Cauley</v>
      </c>
      <c r="R215" t="s">
        <v>94</v>
      </c>
      <c r="S215" s="60" t="s">
        <v>94</v>
      </c>
      <c r="T215" t="s">
        <v>94</v>
      </c>
      <c r="U215" t="s">
        <v>94</v>
      </c>
      <c r="V215" t="s">
        <v>47</v>
      </c>
      <c r="W215" t="str">
        <f t="shared" si="1"/>
        <v>C</v>
      </c>
    </row>
    <row r="216">
      <c r="A216" s="93">
        <v>206.0</v>
      </c>
      <c r="B216" s="94" t="s">
        <v>302</v>
      </c>
      <c r="C216" s="95"/>
      <c r="D216" s="95"/>
      <c r="E216" s="105">
        <v>3.1</v>
      </c>
      <c r="F216" s="105">
        <v>0.0</v>
      </c>
      <c r="G216" s="105">
        <v>9.4</v>
      </c>
      <c r="H216" s="105">
        <v>0.2</v>
      </c>
      <c r="I216" s="105">
        <v>0.8</v>
      </c>
      <c r="J216" s="105">
        <v>1.2</v>
      </c>
      <c r="K216" s="105">
        <v>1.1</v>
      </c>
      <c r="L216" s="105">
        <v>9.1</v>
      </c>
      <c r="M216" s="105">
        <v>3.3</v>
      </c>
      <c r="N216" s="106">
        <f>+1.1</f>
        <v>1.1</v>
      </c>
      <c r="O216" t="str">
        <f>IFERROR(__xludf.DUMMYFUNCTION("regexextract(B216,""[\w]* [\w]*"")"),"Hamidou Diallo")</f>
        <v>Hamidou Diallo</v>
      </c>
      <c r="P216" t="str">
        <f t="shared" si="2"/>
        <v>Hamidou Diallo</v>
      </c>
      <c r="Q216" t="str">
        <f t="shared" si="3"/>
        <v>Hamidou Diall</v>
      </c>
      <c r="R216" t="s">
        <v>94</v>
      </c>
      <c r="S216" s="60" t="s">
        <v>44</v>
      </c>
      <c r="T216" t="s">
        <v>94</v>
      </c>
      <c r="U216" t="s">
        <v>94</v>
      </c>
      <c r="V216" t="s">
        <v>94</v>
      </c>
      <c r="W216" t="str">
        <f t="shared" si="1"/>
        <v>SG</v>
      </c>
    </row>
    <row r="217">
      <c r="A217" s="90">
        <v>207.0</v>
      </c>
      <c r="B217" s="91" t="s">
        <v>303</v>
      </c>
      <c r="C217" s="92"/>
      <c r="D217" s="92"/>
      <c r="E217" s="104">
        <v>2.8</v>
      </c>
      <c r="F217" s="104">
        <v>1.3</v>
      </c>
      <c r="G217" s="104">
        <v>4.6</v>
      </c>
      <c r="H217" s="104">
        <v>4.0</v>
      </c>
      <c r="I217" s="104">
        <v>0.6</v>
      </c>
      <c r="J217" s="104">
        <v>0.4</v>
      </c>
      <c r="K217" s="104">
        <v>2.2</v>
      </c>
      <c r="L217" s="104">
        <v>13.3</v>
      </c>
      <c r="M217" s="104">
        <v>15.7</v>
      </c>
      <c r="N217" s="108">
        <v>-2.0</v>
      </c>
      <c r="O217" t="str">
        <f>IFERROR(__xludf.DUMMYFUNCTION("regexextract(B217,""[\w]* [\w]*"")"),"Carmelo AnthonyO")</f>
        <v>Carmelo AnthonyO</v>
      </c>
      <c r="P217" t="str">
        <f t="shared" si="2"/>
        <v>Carmelo AnthonyO</v>
      </c>
      <c r="Q217" t="str">
        <f t="shared" si="3"/>
        <v>Carmelo Anthony</v>
      </c>
      <c r="R217" t="s">
        <v>94</v>
      </c>
      <c r="S217" s="60" t="s">
        <v>94</v>
      </c>
      <c r="T217" t="s">
        <v>45</v>
      </c>
      <c r="U217" t="s">
        <v>46</v>
      </c>
      <c r="V217" t="s">
        <v>47</v>
      </c>
      <c r="W217" t="str">
        <f t="shared" si="1"/>
        <v>SFPFC</v>
      </c>
    </row>
    <row r="218">
      <c r="A218" s="93">
        <v>208.0</v>
      </c>
      <c r="B218" s="94" t="s">
        <v>304</v>
      </c>
      <c r="C218" s="95"/>
      <c r="D218" s="95"/>
      <c r="E218" s="105">
        <v>1.0</v>
      </c>
      <c r="F218" s="105">
        <v>3.6</v>
      </c>
      <c r="G218" s="105">
        <v>3.4</v>
      </c>
      <c r="H218" s="105">
        <v>1.6</v>
      </c>
      <c r="I218" s="105">
        <v>0.6</v>
      </c>
      <c r="J218" s="105">
        <v>0.3</v>
      </c>
      <c r="K218" s="105">
        <v>1.1</v>
      </c>
      <c r="L218" s="105">
        <v>13.2</v>
      </c>
      <c r="M218" s="105">
        <v>13.9</v>
      </c>
      <c r="N218" s="106">
        <f>+0.3</f>
        <v>0.3</v>
      </c>
      <c r="O218" t="str">
        <f>IFERROR(__xludf.DUMMYFUNCTION("regexextract(B218,""[\w]* [\w]*"")"),"Naz Reid")</f>
        <v>Naz Reid</v>
      </c>
      <c r="P218" t="str">
        <f t="shared" si="2"/>
        <v>Naz Reid</v>
      </c>
      <c r="Q218" t="str">
        <f t="shared" si="3"/>
        <v>Naz Reid</v>
      </c>
      <c r="R218" t="s">
        <v>94</v>
      </c>
      <c r="S218" s="60" t="s">
        <v>94</v>
      </c>
      <c r="T218" t="s">
        <v>94</v>
      </c>
      <c r="U218" t="s">
        <v>94</v>
      </c>
      <c r="V218" t="s">
        <v>47</v>
      </c>
      <c r="W218" t="str">
        <f t="shared" si="1"/>
        <v>C</v>
      </c>
    </row>
    <row r="219">
      <c r="A219" s="90">
        <v>209.0</v>
      </c>
      <c r="B219" s="91" t="s">
        <v>305</v>
      </c>
      <c r="C219" s="92"/>
      <c r="D219" s="92"/>
      <c r="E219" s="104">
        <v>2.0</v>
      </c>
      <c r="F219" s="104">
        <v>0.0</v>
      </c>
      <c r="G219" s="104">
        <v>9.4</v>
      </c>
      <c r="H219" s="104">
        <v>1.1</v>
      </c>
      <c r="I219" s="104">
        <v>0.4</v>
      </c>
      <c r="J219" s="104">
        <v>0.6</v>
      </c>
      <c r="K219" s="104">
        <v>1.0</v>
      </c>
      <c r="L219" s="104">
        <v>9.7</v>
      </c>
      <c r="M219" s="104">
        <v>12.9</v>
      </c>
      <c r="N219" s="108">
        <v>-1.7</v>
      </c>
      <c r="O219" t="str">
        <f>IFERROR(__xludf.DUMMYFUNCTION("regexextract(B219,""[\w]* [\w]*"")"),"Anthony Melton")</f>
        <v>Anthony Melton</v>
      </c>
      <c r="P219" t="str">
        <f t="shared" si="2"/>
        <v>Anthony Melton</v>
      </c>
      <c r="Q219" t="str">
        <f t="shared" si="3"/>
        <v>Anthony Melton</v>
      </c>
      <c r="R219" t="s">
        <v>43</v>
      </c>
      <c r="S219" s="60" t="s">
        <v>94</v>
      </c>
      <c r="T219" t="s">
        <v>94</v>
      </c>
      <c r="U219" t="s">
        <v>94</v>
      </c>
      <c r="V219" t="s">
        <v>94</v>
      </c>
      <c r="W219" t="str">
        <f t="shared" si="1"/>
        <v>PG</v>
      </c>
    </row>
    <row r="220">
      <c r="A220" s="93">
        <v>210.0</v>
      </c>
      <c r="B220" s="94" t="s">
        <v>306</v>
      </c>
      <c r="C220" s="95"/>
      <c r="D220" s="95"/>
      <c r="E220" s="105">
        <v>2.5</v>
      </c>
      <c r="F220" s="105">
        <v>0.7</v>
      </c>
      <c r="G220" s="105">
        <v>3.2</v>
      </c>
      <c r="H220" s="105">
        <v>3.5</v>
      </c>
      <c r="I220" s="105">
        <v>1.2</v>
      </c>
      <c r="J220" s="105">
        <v>0.4</v>
      </c>
      <c r="K220" s="105">
        <v>2.0</v>
      </c>
      <c r="L220" s="105">
        <v>11.2</v>
      </c>
      <c r="M220" s="105">
        <v>4.0</v>
      </c>
      <c r="N220" s="106">
        <f>+1.3</f>
        <v>1.3</v>
      </c>
      <c r="O220" t="str">
        <f>IFERROR(__xludf.DUMMYFUNCTION("regexextract(B220,""[\w]* [\w]*"")"),"Nicolas Claxton")</f>
        <v>Nicolas Claxton</v>
      </c>
      <c r="P220" t="str">
        <f t="shared" si="2"/>
        <v>Nicolas Claxton</v>
      </c>
      <c r="Q220" t="str">
        <f t="shared" si="3"/>
        <v>Nicolas Claxton</v>
      </c>
      <c r="R220" t="s">
        <v>94</v>
      </c>
      <c r="S220" s="60" t="s">
        <v>94</v>
      </c>
      <c r="T220" t="s">
        <v>94</v>
      </c>
      <c r="U220" t="s">
        <v>46</v>
      </c>
      <c r="V220" t="s">
        <v>47</v>
      </c>
      <c r="W220" t="str">
        <f t="shared" si="1"/>
        <v>PFC</v>
      </c>
    </row>
    <row r="221">
      <c r="A221" s="90">
        <v>211.0</v>
      </c>
      <c r="B221" s="91" t="s">
        <v>307</v>
      </c>
      <c r="C221" s="92"/>
      <c r="D221" s="92"/>
      <c r="E221" s="104">
        <v>2.0</v>
      </c>
      <c r="F221" s="104">
        <v>1.1</v>
      </c>
      <c r="G221" s="104">
        <v>3.1</v>
      </c>
      <c r="H221" s="104">
        <v>3.3</v>
      </c>
      <c r="I221" s="104">
        <v>0.5</v>
      </c>
      <c r="J221" s="104">
        <v>0.0</v>
      </c>
      <c r="K221" s="104">
        <v>1.1</v>
      </c>
      <c r="L221" s="104">
        <v>11.5</v>
      </c>
      <c r="M221" s="104">
        <v>2.6</v>
      </c>
      <c r="N221" s="107">
        <f>+0.3</f>
        <v>0.3</v>
      </c>
      <c r="O221" t="str">
        <f>IFERROR(__xludf.DUMMYFUNCTION("regexextract(B221,""[\w]* [\w]*"")"),"Andre Hunter")</f>
        <v>Andre Hunter</v>
      </c>
      <c r="P221" t="str">
        <f t="shared" si="2"/>
        <v>Andre Hunter</v>
      </c>
      <c r="Q221" t="str">
        <f t="shared" si="3"/>
        <v>Andre Hunter</v>
      </c>
      <c r="R221" t="s">
        <v>94</v>
      </c>
      <c r="S221" s="60" t="s">
        <v>94</v>
      </c>
      <c r="T221" t="s">
        <v>45</v>
      </c>
      <c r="U221" t="s">
        <v>46</v>
      </c>
      <c r="V221" t="s">
        <v>94</v>
      </c>
      <c r="W221" t="str">
        <f t="shared" si="1"/>
        <v>SFPF</v>
      </c>
    </row>
    <row r="222">
      <c r="A222" s="93">
        <v>212.0</v>
      </c>
      <c r="B222" s="94" t="s">
        <v>308</v>
      </c>
      <c r="C222" s="95"/>
      <c r="D222" s="95"/>
      <c r="E222" s="105">
        <v>1.7</v>
      </c>
      <c r="F222" s="105">
        <v>2.2</v>
      </c>
      <c r="G222" s="105">
        <v>4.9</v>
      </c>
      <c r="H222" s="105">
        <v>2.1</v>
      </c>
      <c r="I222" s="105">
        <v>0.9</v>
      </c>
      <c r="J222" s="105">
        <v>0.4</v>
      </c>
      <c r="K222" s="105">
        <v>1.0</v>
      </c>
      <c r="L222" s="105">
        <v>10.2</v>
      </c>
      <c r="M222" s="105">
        <v>6.1</v>
      </c>
      <c r="N222" s="106">
        <f>+1.2</f>
        <v>1.2</v>
      </c>
      <c r="O222" t="str">
        <f>IFERROR(__xludf.DUMMYFUNCTION("regexextract(B222,""[\w]* [\w]*"")"),"Josh Jackson")</f>
        <v>Josh Jackson</v>
      </c>
      <c r="P222" t="str">
        <f t="shared" si="2"/>
        <v>Josh Jackson</v>
      </c>
      <c r="Q222" t="str">
        <f t="shared" si="3"/>
        <v>Josh Jackson</v>
      </c>
      <c r="R222" t="s">
        <v>94</v>
      </c>
      <c r="S222" s="60" t="s">
        <v>44</v>
      </c>
      <c r="T222" t="s">
        <v>45</v>
      </c>
      <c r="U222" t="s">
        <v>94</v>
      </c>
      <c r="V222" t="s">
        <v>47</v>
      </c>
      <c r="W222" t="str">
        <f t="shared" si="1"/>
        <v>SGSFC</v>
      </c>
    </row>
    <row r="223">
      <c r="A223" s="90">
        <v>213.0</v>
      </c>
      <c r="B223" s="91" t="s">
        <v>309</v>
      </c>
      <c r="C223" s="92"/>
      <c r="D223" s="92"/>
      <c r="E223" s="104">
        <v>0.6</v>
      </c>
      <c r="F223" s="104">
        <v>2.4</v>
      </c>
      <c r="G223" s="104">
        <v>3.7</v>
      </c>
      <c r="H223" s="104">
        <v>1.6</v>
      </c>
      <c r="I223" s="104">
        <v>1.2</v>
      </c>
      <c r="J223" s="104">
        <v>0.7</v>
      </c>
      <c r="K223" s="104">
        <v>0.9</v>
      </c>
      <c r="L223" s="104">
        <v>9.3</v>
      </c>
      <c r="M223" s="104">
        <v>15.5</v>
      </c>
      <c r="N223" s="108">
        <v>-3.3</v>
      </c>
      <c r="O223" t="str">
        <f>IFERROR(__xludf.DUMMYFUNCTION("regexextract(B223,""[\w]* [\w]*"")"),"Marc Gasol")</f>
        <v>Marc Gasol</v>
      </c>
      <c r="P223" t="str">
        <f t="shared" si="2"/>
        <v>Marc Gasol</v>
      </c>
      <c r="Q223" t="str">
        <f t="shared" si="3"/>
        <v>Marc Gasol</v>
      </c>
      <c r="R223" t="s">
        <v>94</v>
      </c>
      <c r="S223" s="60" t="s">
        <v>94</v>
      </c>
      <c r="T223" t="s">
        <v>94</v>
      </c>
      <c r="U223" t="s">
        <v>94</v>
      </c>
      <c r="V223" t="s">
        <v>47</v>
      </c>
      <c r="W223" t="str">
        <f t="shared" si="1"/>
        <v>C</v>
      </c>
    </row>
    <row r="224">
      <c r="A224" s="93">
        <v>214.0</v>
      </c>
      <c r="B224" s="94" t="s">
        <v>310</v>
      </c>
      <c r="C224" s="95"/>
      <c r="D224" s="95"/>
      <c r="E224" s="105">
        <v>2.7</v>
      </c>
      <c r="F224" s="105">
        <v>1.9</v>
      </c>
      <c r="G224" s="105">
        <v>3.2</v>
      </c>
      <c r="H224" s="105">
        <v>2.0</v>
      </c>
      <c r="I224" s="105">
        <v>1.0</v>
      </c>
      <c r="J224" s="105">
        <v>0.4</v>
      </c>
      <c r="K224" s="105">
        <v>1.4</v>
      </c>
      <c r="L224" s="105">
        <v>14.4</v>
      </c>
      <c r="M224" s="105">
        <v>3.1</v>
      </c>
      <c r="N224" s="106">
        <f>+0.5</f>
        <v>0.5</v>
      </c>
      <c r="O224" t="str">
        <f>IFERROR(__xludf.DUMMYFUNCTION("regexextract(B224,""[\w]* [\w]*"")"),"Bryn Forbes")</f>
        <v>Bryn Forbes</v>
      </c>
      <c r="P224" t="str">
        <f t="shared" si="2"/>
        <v>Bryn Forbes</v>
      </c>
      <c r="Q224" t="str">
        <f t="shared" si="3"/>
        <v>Bryn Forbes</v>
      </c>
      <c r="R224" t="s">
        <v>43</v>
      </c>
      <c r="S224" s="60" t="s">
        <v>44</v>
      </c>
      <c r="T224" t="s">
        <v>94</v>
      </c>
      <c r="U224" t="s">
        <v>94</v>
      </c>
      <c r="V224" t="s">
        <v>94</v>
      </c>
      <c r="W224" t="str">
        <f t="shared" si="1"/>
        <v>PGSG</v>
      </c>
    </row>
    <row r="225">
      <c r="A225" s="90">
        <v>215.0</v>
      </c>
      <c r="B225" s="91" t="s">
        <v>311</v>
      </c>
      <c r="C225" s="92"/>
      <c r="D225" s="92"/>
      <c r="E225" s="104">
        <v>2.3</v>
      </c>
      <c r="F225" s="104">
        <v>0.4</v>
      </c>
      <c r="G225" s="104">
        <v>7.0</v>
      </c>
      <c r="H225" s="104">
        <v>0.9</v>
      </c>
      <c r="I225" s="104">
        <v>0.4</v>
      </c>
      <c r="J225" s="104">
        <v>1.2</v>
      </c>
      <c r="K225" s="104">
        <v>1.8</v>
      </c>
      <c r="L225" s="104">
        <v>12.6</v>
      </c>
      <c r="M225" s="104">
        <v>15.8</v>
      </c>
      <c r="N225" s="108">
        <v>-1.1</v>
      </c>
      <c r="O225" t="str">
        <f>IFERROR(__xludf.DUMMYFUNCTION("regexextract(B225,""[\w]* [\w]*"")"),"Lou Williams")</f>
        <v>Lou Williams</v>
      </c>
      <c r="P225" t="str">
        <f t="shared" si="2"/>
        <v>Lou Williams</v>
      </c>
      <c r="Q225" t="str">
        <f t="shared" si="3"/>
        <v>Lou Williams</v>
      </c>
      <c r="R225" t="s">
        <v>94</v>
      </c>
      <c r="S225" s="60" t="s">
        <v>44</v>
      </c>
      <c r="T225" t="s">
        <v>94</v>
      </c>
      <c r="U225" t="s">
        <v>94</v>
      </c>
      <c r="V225" t="s">
        <v>94</v>
      </c>
      <c r="W225" t="str">
        <f t="shared" si="1"/>
        <v>SG</v>
      </c>
    </row>
    <row r="226">
      <c r="A226" s="93">
        <v>216.0</v>
      </c>
      <c r="B226" s="94" t="s">
        <v>312</v>
      </c>
      <c r="C226" s="95"/>
      <c r="D226" s="95"/>
      <c r="E226" s="105">
        <v>2.4</v>
      </c>
      <c r="F226" s="105">
        <v>0.0</v>
      </c>
      <c r="G226" s="105">
        <v>4.9</v>
      </c>
      <c r="H226" s="105">
        <v>0.7</v>
      </c>
      <c r="I226" s="105">
        <v>0.6</v>
      </c>
      <c r="J226" s="105">
        <v>1.8</v>
      </c>
      <c r="K226" s="105">
        <v>0.9</v>
      </c>
      <c r="L226" s="105">
        <v>8.4</v>
      </c>
      <c r="M226" s="105">
        <v>4.6</v>
      </c>
      <c r="N226" s="106">
        <f>+0.6</f>
        <v>0.6</v>
      </c>
      <c r="O226" t="str">
        <f>IFERROR(__xludf.DUMMYFUNCTION("regexextract(B226,""[\w]* [\w]*"")"),"Josh Richardson")</f>
        <v>Josh Richardson</v>
      </c>
      <c r="P226" t="str">
        <f t="shared" si="2"/>
        <v>Josh Richardson</v>
      </c>
      <c r="Q226" t="str">
        <f t="shared" si="3"/>
        <v>Josh Richardson</v>
      </c>
      <c r="R226" t="s">
        <v>94</v>
      </c>
      <c r="S226" s="60" t="s">
        <v>44</v>
      </c>
      <c r="T226" t="s">
        <v>45</v>
      </c>
      <c r="U226" t="s">
        <v>94</v>
      </c>
      <c r="V226" t="s">
        <v>47</v>
      </c>
      <c r="W226" t="str">
        <f t="shared" si="1"/>
        <v>SGSFC</v>
      </c>
    </row>
    <row r="227">
      <c r="A227" s="90">
        <v>217.0</v>
      </c>
      <c r="B227" s="91" t="s">
        <v>313</v>
      </c>
      <c r="C227" s="92"/>
      <c r="D227" s="92"/>
      <c r="E227" s="104">
        <v>3.0</v>
      </c>
      <c r="F227" s="104">
        <v>2.2</v>
      </c>
      <c r="G227" s="104">
        <v>3.2</v>
      </c>
      <c r="H227" s="104">
        <v>4.3</v>
      </c>
      <c r="I227" s="104">
        <v>0.6</v>
      </c>
      <c r="J227" s="104">
        <v>0.1</v>
      </c>
      <c r="K227" s="104">
        <v>2.3</v>
      </c>
      <c r="L227" s="104">
        <v>14.7</v>
      </c>
      <c r="M227" s="104">
        <v>11.6</v>
      </c>
      <c r="N227" s="108">
        <v>-2.1</v>
      </c>
      <c r="O227" t="str">
        <f>IFERROR(__xludf.DUMMYFUNCTION("regexextract(B227,""[\w]* [\w]*"")"),"Paul Millsap")</f>
        <v>Paul Millsap</v>
      </c>
      <c r="P227" t="str">
        <f t="shared" si="2"/>
        <v>Paul Millsap</v>
      </c>
      <c r="Q227" t="str">
        <f t="shared" si="3"/>
        <v>Paul Millsap</v>
      </c>
      <c r="R227" t="s">
        <v>94</v>
      </c>
      <c r="S227" s="60" t="s">
        <v>94</v>
      </c>
      <c r="T227" t="s">
        <v>94</v>
      </c>
      <c r="U227" t="s">
        <v>46</v>
      </c>
      <c r="V227" t="s">
        <v>94</v>
      </c>
      <c r="W227" t="str">
        <f t="shared" si="1"/>
        <v>PF</v>
      </c>
    </row>
    <row r="228">
      <c r="A228" s="93">
        <v>218.0</v>
      </c>
      <c r="B228" s="94" t="s">
        <v>314</v>
      </c>
      <c r="C228" s="95"/>
      <c r="D228" s="95"/>
      <c r="E228" s="105">
        <v>0.9</v>
      </c>
      <c r="F228" s="105">
        <v>1.9</v>
      </c>
      <c r="G228" s="105">
        <v>3.2</v>
      </c>
      <c r="H228" s="105">
        <v>3.1</v>
      </c>
      <c r="I228" s="105">
        <v>1.0</v>
      </c>
      <c r="J228" s="105">
        <v>0.3</v>
      </c>
      <c r="K228" s="105">
        <v>1.2</v>
      </c>
      <c r="L228" s="105">
        <v>10.6</v>
      </c>
      <c r="M228" s="105">
        <v>41.0</v>
      </c>
      <c r="N228" s="109">
        <v>-12.2</v>
      </c>
      <c r="O228" t="str">
        <f>IFERROR(__xludf.DUMMYFUNCTION("regexextract(B228,""[\w]* [\w]*"")"),"Maxi Kleber")</f>
        <v>Maxi Kleber</v>
      </c>
      <c r="P228" t="str">
        <f t="shared" si="2"/>
        <v>Maxi Kleber</v>
      </c>
      <c r="Q228" t="str">
        <f t="shared" si="3"/>
        <v>Maxi Kleber</v>
      </c>
      <c r="R228" t="s">
        <v>94</v>
      </c>
      <c r="S228" s="60" t="s">
        <v>94</v>
      </c>
      <c r="T228" t="s">
        <v>94</v>
      </c>
      <c r="U228" t="s">
        <v>46</v>
      </c>
      <c r="V228" t="s">
        <v>94</v>
      </c>
      <c r="W228" t="str">
        <f t="shared" si="1"/>
        <v>PF</v>
      </c>
    </row>
    <row r="229">
      <c r="A229" s="90">
        <v>219.0</v>
      </c>
      <c r="B229" s="91" t="s">
        <v>315</v>
      </c>
      <c r="C229" s="92"/>
      <c r="D229" s="92"/>
      <c r="E229" s="104">
        <v>2.9</v>
      </c>
      <c r="F229" s="104">
        <v>1.7</v>
      </c>
      <c r="G229" s="104">
        <v>4.3</v>
      </c>
      <c r="H229" s="104">
        <v>2.3</v>
      </c>
      <c r="I229" s="104">
        <v>0.7</v>
      </c>
      <c r="J229" s="104">
        <v>0.3</v>
      </c>
      <c r="K229" s="104">
        <v>1.1</v>
      </c>
      <c r="L229" s="104">
        <v>12.4</v>
      </c>
      <c r="M229" s="104">
        <v>1.2</v>
      </c>
      <c r="N229" s="107">
        <f>+0.5</f>
        <v>0.5</v>
      </c>
      <c r="O229" t="str">
        <f>IFERROR(__xludf.DUMMYFUNCTION("regexextract(B229,""[\w]* [\w]*"")"),"Danilo Gallinari")</f>
        <v>Danilo Gallinari</v>
      </c>
      <c r="P229" t="str">
        <f t="shared" si="2"/>
        <v>Danilo Gallinari</v>
      </c>
      <c r="Q229" t="str">
        <f t="shared" si="3"/>
        <v>Danilo Gallinari</v>
      </c>
      <c r="R229" t="s">
        <v>94</v>
      </c>
      <c r="S229" s="60" t="s">
        <v>94</v>
      </c>
      <c r="T229" t="s">
        <v>45</v>
      </c>
      <c r="U229" t="s">
        <v>46</v>
      </c>
      <c r="V229" t="s">
        <v>94</v>
      </c>
      <c r="W229" t="str">
        <f t="shared" si="1"/>
        <v>SFPF</v>
      </c>
    </row>
    <row r="230">
      <c r="A230" s="93">
        <v>220.0</v>
      </c>
      <c r="B230" s="94" t="s">
        <v>316</v>
      </c>
      <c r="C230" s="95"/>
      <c r="D230" s="95"/>
      <c r="E230" s="105">
        <v>1.1</v>
      </c>
      <c r="F230" s="105">
        <v>1.8</v>
      </c>
      <c r="G230" s="105">
        <v>5.7</v>
      </c>
      <c r="H230" s="105">
        <v>2.6</v>
      </c>
      <c r="I230" s="105">
        <v>0.5</v>
      </c>
      <c r="J230" s="105">
        <v>1.1</v>
      </c>
      <c r="K230" s="105">
        <v>2.7</v>
      </c>
      <c r="L230" s="105">
        <v>11.7</v>
      </c>
      <c r="M230" s="105">
        <v>3.0</v>
      </c>
      <c r="N230" s="106">
        <f>+0.7</f>
        <v>0.7</v>
      </c>
      <c r="O230" t="str">
        <f>IFERROR(__xludf.DUMMYFUNCTION("regexextract(B230,""[\w]* [\w]*"")"),"Dwight Howard")</f>
        <v>Dwight Howard</v>
      </c>
      <c r="P230" t="str">
        <f t="shared" si="2"/>
        <v>Dwight Howard</v>
      </c>
      <c r="Q230" t="str">
        <f t="shared" si="3"/>
        <v>Dwight Howard</v>
      </c>
      <c r="R230" t="s">
        <v>94</v>
      </c>
      <c r="S230" s="60" t="s">
        <v>94</v>
      </c>
      <c r="T230" t="s">
        <v>94</v>
      </c>
      <c r="U230" t="s">
        <v>94</v>
      </c>
      <c r="V230" t="s">
        <v>47</v>
      </c>
      <c r="W230" t="str">
        <f t="shared" si="1"/>
        <v>C</v>
      </c>
    </row>
    <row r="231">
      <c r="A231" s="90">
        <v>221.0</v>
      </c>
      <c r="B231" s="91" t="s">
        <v>317</v>
      </c>
      <c r="C231" s="92"/>
      <c r="D231" s="92"/>
      <c r="E231" s="104">
        <v>3.1</v>
      </c>
      <c r="F231" s="104">
        <v>0.9</v>
      </c>
      <c r="G231" s="104">
        <v>5.9</v>
      </c>
      <c r="H231" s="104">
        <v>0.9</v>
      </c>
      <c r="I231" s="104">
        <v>0.6</v>
      </c>
      <c r="J231" s="104">
        <v>1.2</v>
      </c>
      <c r="K231" s="104">
        <v>1.1</v>
      </c>
      <c r="L231" s="104">
        <v>10.8</v>
      </c>
      <c r="M231" s="104">
        <v>61.5</v>
      </c>
      <c r="N231" s="108">
        <v>-12.0</v>
      </c>
      <c r="O231" t="str">
        <f>IFERROR(__xludf.DUMMYFUNCTION("regexextract(B231,""[\w]* [\w]*"")"),"Kentavious Caldwell")</f>
        <v>Kentavious Caldwell</v>
      </c>
      <c r="P231" t="str">
        <f t="shared" si="2"/>
        <v>Kentavious Caldwell</v>
      </c>
      <c r="Q231" t="str">
        <f t="shared" si="3"/>
        <v>Kentavious Caldwell</v>
      </c>
      <c r="R231" t="s">
        <v>94</v>
      </c>
      <c r="S231" s="60" t="s">
        <v>44</v>
      </c>
      <c r="T231" t="s">
        <v>45</v>
      </c>
      <c r="U231" t="s">
        <v>94</v>
      </c>
      <c r="V231" t="s">
        <v>47</v>
      </c>
      <c r="W231" t="str">
        <f t="shared" si="1"/>
        <v>SGSFC</v>
      </c>
    </row>
    <row r="232">
      <c r="A232" s="93">
        <v>222.0</v>
      </c>
      <c r="B232" s="94" t="s">
        <v>318</v>
      </c>
      <c r="C232" s="95"/>
      <c r="D232" s="95"/>
      <c r="E232" s="105">
        <v>1.0</v>
      </c>
      <c r="F232" s="105">
        <v>1.7</v>
      </c>
      <c r="G232" s="105">
        <v>5.3</v>
      </c>
      <c r="H232" s="105">
        <v>1.6</v>
      </c>
      <c r="I232" s="105">
        <v>0.8</v>
      </c>
      <c r="J232" s="105">
        <v>0.5</v>
      </c>
      <c r="K232" s="105">
        <v>0.9</v>
      </c>
      <c r="L232" s="105">
        <v>9.1</v>
      </c>
      <c r="M232" s="105">
        <v>28.5</v>
      </c>
      <c r="N232" s="109">
        <v>-9.3</v>
      </c>
      <c r="O232" t="str">
        <f>IFERROR(__xludf.DUMMYFUNCTION("regexextract(B232,""[\w]* [\w]*"")"),"Dwight Powell")</f>
        <v>Dwight Powell</v>
      </c>
      <c r="P232" t="str">
        <f t="shared" si="2"/>
        <v>Dwight Powell</v>
      </c>
      <c r="Q232" t="str">
        <f t="shared" si="3"/>
        <v>Dwight Powell</v>
      </c>
      <c r="R232" t="s">
        <v>94</v>
      </c>
      <c r="S232" s="60" t="s">
        <v>94</v>
      </c>
      <c r="T232" t="s">
        <v>94</v>
      </c>
      <c r="U232" t="s">
        <v>94</v>
      </c>
      <c r="V232" t="s">
        <v>47</v>
      </c>
      <c r="W232" t="str">
        <f t="shared" si="1"/>
        <v>C</v>
      </c>
    </row>
    <row r="233">
      <c r="A233" s="90">
        <v>223.0</v>
      </c>
      <c r="B233" s="91" t="s">
        <v>319</v>
      </c>
      <c r="C233" s="92"/>
      <c r="D233" s="92"/>
      <c r="E233" s="104">
        <v>0.9</v>
      </c>
      <c r="F233" s="104">
        <v>1.2</v>
      </c>
      <c r="G233" s="104">
        <v>4.3</v>
      </c>
      <c r="H233" s="104">
        <v>2.4</v>
      </c>
      <c r="I233" s="104">
        <v>1.1</v>
      </c>
      <c r="J233" s="104">
        <v>0.5</v>
      </c>
      <c r="K233" s="104">
        <v>0.9</v>
      </c>
      <c r="L233" s="104">
        <v>8.8</v>
      </c>
      <c r="M233" s="104">
        <v>1.1</v>
      </c>
      <c r="N233" s="107">
        <f>+0.5</f>
        <v>0.5</v>
      </c>
      <c r="O233" t="str">
        <f>IFERROR(__xludf.DUMMYFUNCTION("regexextract(B233,""[\w]* [\w]*"")"),"Onyeka OkongwuO")</f>
        <v>Onyeka OkongwuO</v>
      </c>
      <c r="P233" t="str">
        <f t="shared" si="2"/>
        <v>Onyeka OkongwuO</v>
      </c>
      <c r="Q233" t="str">
        <f t="shared" si="3"/>
        <v>Onyeka Okongwu</v>
      </c>
      <c r="R233" t="s">
        <v>94</v>
      </c>
      <c r="S233" s="60" t="s">
        <v>94</v>
      </c>
      <c r="T233" t="s">
        <v>94</v>
      </c>
      <c r="U233" t="s">
        <v>94</v>
      </c>
      <c r="V233" t="s">
        <v>47</v>
      </c>
      <c r="W233" t="str">
        <f t="shared" si="1"/>
        <v>C</v>
      </c>
    </row>
    <row r="234">
      <c r="A234" s="93">
        <v>224.0</v>
      </c>
      <c r="B234" s="94" t="s">
        <v>320</v>
      </c>
      <c r="C234" s="95"/>
      <c r="D234" s="95"/>
      <c r="E234" s="105">
        <v>2.1</v>
      </c>
      <c r="F234" s="105">
        <v>0.2</v>
      </c>
      <c r="G234" s="105">
        <v>6.3</v>
      </c>
      <c r="H234" s="105">
        <v>1.4</v>
      </c>
      <c r="I234" s="105">
        <v>0.8</v>
      </c>
      <c r="J234" s="105">
        <v>0.8</v>
      </c>
      <c r="K234" s="105">
        <v>0.7</v>
      </c>
      <c r="L234" s="105">
        <v>7.7</v>
      </c>
      <c r="M234" s="105">
        <v>3.2</v>
      </c>
      <c r="N234" s="105">
        <v>0.0</v>
      </c>
      <c r="O234" t="str">
        <f>IFERROR(__xludf.DUMMYFUNCTION("regexextract(B234,""[\w]* [\w]*"")"),"Justin Holiday")</f>
        <v>Justin Holiday</v>
      </c>
      <c r="P234" t="str">
        <f t="shared" si="2"/>
        <v>Justin Holiday</v>
      </c>
      <c r="Q234" t="str">
        <f t="shared" si="3"/>
        <v>Justin Holiday</v>
      </c>
      <c r="R234" t="s">
        <v>94</v>
      </c>
      <c r="S234" s="60" t="s">
        <v>44</v>
      </c>
      <c r="T234" t="s">
        <v>45</v>
      </c>
      <c r="U234" t="s">
        <v>94</v>
      </c>
      <c r="V234" t="s">
        <v>94</v>
      </c>
      <c r="W234" t="str">
        <f t="shared" si="1"/>
        <v>SGSF</v>
      </c>
    </row>
    <row r="235">
      <c r="A235" s="90">
        <v>225.0</v>
      </c>
      <c r="B235" s="91" t="s">
        <v>321</v>
      </c>
      <c r="C235" s="92"/>
      <c r="D235" s="92"/>
      <c r="E235" s="104">
        <v>1.8</v>
      </c>
      <c r="F235" s="104">
        <v>1.7</v>
      </c>
      <c r="G235" s="104">
        <v>4.7</v>
      </c>
      <c r="H235" s="104">
        <v>2.3</v>
      </c>
      <c r="I235" s="104">
        <v>0.6</v>
      </c>
      <c r="J235" s="104">
        <v>0.3</v>
      </c>
      <c r="K235" s="104">
        <v>0.9</v>
      </c>
      <c r="L235" s="104">
        <v>10.1</v>
      </c>
      <c r="M235" s="104">
        <v>2.7</v>
      </c>
      <c r="N235" s="107">
        <f>+0.7</f>
        <v>0.7</v>
      </c>
      <c r="O235" t="str">
        <f>IFERROR(__xludf.DUMMYFUNCTION("regexextract(B235,""[\w]* [\w]*"")"),"Taurean PrinceO")</f>
        <v>Taurean PrinceO</v>
      </c>
      <c r="P235" t="str">
        <f t="shared" si="2"/>
        <v>Taurean PrinceO</v>
      </c>
      <c r="Q235" t="str">
        <f t="shared" si="3"/>
        <v>Taurean Prince</v>
      </c>
      <c r="R235" t="s">
        <v>94</v>
      </c>
      <c r="S235" s="60" t="s">
        <v>94</v>
      </c>
      <c r="T235" t="s">
        <v>45</v>
      </c>
      <c r="U235" t="s">
        <v>46</v>
      </c>
      <c r="V235" t="s">
        <v>47</v>
      </c>
      <c r="W235" t="str">
        <f t="shared" si="1"/>
        <v>SFPFC</v>
      </c>
    </row>
    <row r="236">
      <c r="A236" s="93">
        <v>226.0</v>
      </c>
      <c r="B236" s="94" t="s">
        <v>322</v>
      </c>
      <c r="C236" s="95"/>
      <c r="D236" s="95"/>
      <c r="E236" s="105">
        <v>1.4</v>
      </c>
      <c r="F236" s="105">
        <v>0.9</v>
      </c>
      <c r="G236" s="105">
        <v>6.8</v>
      </c>
      <c r="H236" s="105">
        <v>2.6</v>
      </c>
      <c r="I236" s="105">
        <v>1.3</v>
      </c>
      <c r="J236" s="105">
        <v>0.4</v>
      </c>
      <c r="K236" s="105">
        <v>1.3</v>
      </c>
      <c r="L236" s="105">
        <v>8.9</v>
      </c>
      <c r="M236" s="105">
        <v>4.2</v>
      </c>
      <c r="N236" s="106">
        <f>+0.1</f>
        <v>0.1</v>
      </c>
      <c r="O236" t="str">
        <f>IFERROR(__xludf.DUMMYFUNCTION("regexextract(B236,""[\w]* [\w]*"")"),"Patrick BeverleyO")</f>
        <v>Patrick BeverleyO</v>
      </c>
      <c r="P236" t="str">
        <f t="shared" si="2"/>
        <v>Patrick BeverleyO</v>
      </c>
      <c r="Q236" t="str">
        <f t="shared" si="3"/>
        <v>Patrick Beverley</v>
      </c>
      <c r="R236" t="s">
        <v>43</v>
      </c>
      <c r="S236" s="60" t="s">
        <v>94</v>
      </c>
      <c r="T236" t="s">
        <v>94</v>
      </c>
      <c r="U236" t="s">
        <v>94</v>
      </c>
      <c r="V236" t="s">
        <v>47</v>
      </c>
      <c r="W236" t="str">
        <f t="shared" si="1"/>
        <v>PGC</v>
      </c>
    </row>
    <row r="237">
      <c r="A237" s="90">
        <v>227.0</v>
      </c>
      <c r="B237" s="91" t="s">
        <v>323</v>
      </c>
      <c r="C237" s="92"/>
      <c r="D237" s="92"/>
      <c r="E237" s="104">
        <v>1.9</v>
      </c>
      <c r="F237" s="104">
        <v>0.9</v>
      </c>
      <c r="G237" s="104">
        <v>4.8</v>
      </c>
      <c r="H237" s="104">
        <v>2.4</v>
      </c>
      <c r="I237" s="104">
        <v>1.1</v>
      </c>
      <c r="J237" s="104">
        <v>0.9</v>
      </c>
      <c r="K237" s="104">
        <v>1.8</v>
      </c>
      <c r="L237" s="104">
        <v>8.6</v>
      </c>
      <c r="M237" s="104">
        <v>2.6</v>
      </c>
      <c r="N237" s="108">
        <v>-0.1</v>
      </c>
      <c r="O237" t="str">
        <f>IFERROR(__xludf.DUMMYFUNCTION("regexextract(B237,""[\w]* [\w]*"")"),"Rajon Rondo")</f>
        <v>Rajon Rondo</v>
      </c>
      <c r="P237" t="str">
        <f t="shared" si="2"/>
        <v>Rajon Rondo</v>
      </c>
      <c r="Q237" t="str">
        <f t="shared" si="3"/>
        <v>Rajon Rond</v>
      </c>
      <c r="R237" t="s">
        <v>43</v>
      </c>
      <c r="S237" s="60" t="s">
        <v>94</v>
      </c>
      <c r="T237" t="s">
        <v>94</v>
      </c>
      <c r="U237" t="s">
        <v>94</v>
      </c>
      <c r="V237" t="s">
        <v>94</v>
      </c>
      <c r="W237" t="str">
        <f t="shared" si="1"/>
        <v>PG</v>
      </c>
    </row>
    <row r="238">
      <c r="A238" s="93">
        <v>228.0</v>
      </c>
      <c r="B238" s="94" t="s">
        <v>324</v>
      </c>
      <c r="C238" s="95"/>
      <c r="D238" s="95"/>
      <c r="E238" s="105">
        <v>1.8</v>
      </c>
      <c r="F238" s="105">
        <v>2.0</v>
      </c>
      <c r="G238" s="105">
        <v>3.5</v>
      </c>
      <c r="H238" s="105">
        <v>3.7</v>
      </c>
      <c r="I238" s="105">
        <v>0.6</v>
      </c>
      <c r="J238" s="105">
        <v>0.2</v>
      </c>
      <c r="K238" s="105">
        <v>1.8</v>
      </c>
      <c r="L238" s="105">
        <v>13.1</v>
      </c>
      <c r="M238" s="105">
        <v>46.6</v>
      </c>
      <c r="N238" s="109">
        <v>-15.7</v>
      </c>
      <c r="O238" t="str">
        <f>IFERROR(__xludf.DUMMYFUNCTION("regexextract(B238,""[\w]* [\w]*"")"),"Tristan Thompson")</f>
        <v>Tristan Thompson</v>
      </c>
      <c r="P238" t="str">
        <f t="shared" si="2"/>
        <v>Tristan Thompson</v>
      </c>
      <c r="Q238" t="str">
        <f t="shared" si="3"/>
        <v>Tristan Thompson</v>
      </c>
      <c r="R238" t="s">
        <v>94</v>
      </c>
      <c r="S238" s="60" t="s">
        <v>94</v>
      </c>
      <c r="T238" t="s">
        <v>94</v>
      </c>
      <c r="U238" t="s">
        <v>46</v>
      </c>
      <c r="V238" t="s">
        <v>47</v>
      </c>
      <c r="W238" t="str">
        <f t="shared" si="1"/>
        <v>PFC</v>
      </c>
    </row>
    <row r="239">
      <c r="A239" s="90">
        <v>229.0</v>
      </c>
      <c r="B239" s="91" t="s">
        <v>325</v>
      </c>
      <c r="C239" s="92"/>
      <c r="D239" s="92"/>
      <c r="E239" s="104">
        <v>2.9</v>
      </c>
      <c r="F239" s="104">
        <v>1.6</v>
      </c>
      <c r="G239" s="104">
        <v>5.0</v>
      </c>
      <c r="H239" s="104">
        <v>3.2</v>
      </c>
      <c r="I239" s="104">
        <v>0.7</v>
      </c>
      <c r="J239" s="104">
        <v>0.3</v>
      </c>
      <c r="K239" s="104">
        <v>1.5</v>
      </c>
      <c r="L239" s="104">
        <v>11.8</v>
      </c>
      <c r="M239" s="104">
        <v>18.4</v>
      </c>
      <c r="N239" s="108">
        <v>-1.4</v>
      </c>
      <c r="O239" t="str">
        <f>IFERROR(__xludf.DUMMYFUNCTION("regexextract(B239,""[\w]* [\w]*"")"),"Jeff Green")</f>
        <v>Jeff Green</v>
      </c>
      <c r="P239" t="str">
        <f t="shared" si="2"/>
        <v>Jeff Green</v>
      </c>
      <c r="Q239" t="str">
        <f t="shared" si="3"/>
        <v>Jeff Green</v>
      </c>
      <c r="R239" t="s">
        <v>94</v>
      </c>
      <c r="S239" s="60" t="s">
        <v>94</v>
      </c>
      <c r="T239" t="s">
        <v>94</v>
      </c>
      <c r="U239" t="s">
        <v>46</v>
      </c>
      <c r="V239" t="s">
        <v>94</v>
      </c>
      <c r="W239" t="str">
        <f t="shared" si="1"/>
        <v>PF</v>
      </c>
    </row>
    <row r="240">
      <c r="A240" s="93">
        <v>230.0</v>
      </c>
      <c r="B240" s="94" t="s">
        <v>326</v>
      </c>
      <c r="C240" s="95"/>
      <c r="D240" s="95"/>
      <c r="E240" s="105">
        <v>1.8</v>
      </c>
      <c r="F240" s="105">
        <v>1.4</v>
      </c>
      <c r="G240" s="105">
        <v>5.3</v>
      </c>
      <c r="H240" s="105">
        <v>1.7</v>
      </c>
      <c r="I240" s="105">
        <v>0.6</v>
      </c>
      <c r="J240" s="105">
        <v>0.6</v>
      </c>
      <c r="K240" s="105">
        <v>1.2</v>
      </c>
      <c r="L240" s="105">
        <v>11.4</v>
      </c>
      <c r="M240" s="105">
        <v>3.4</v>
      </c>
      <c r="N240" s="105">
        <v>0.0</v>
      </c>
      <c r="O240" t="str">
        <f>IFERROR(__xludf.DUMMYFUNCTION("regexextract(B240,""[\w]* [\w]*"")"),"Cory Joseph")</f>
        <v>Cory Joseph</v>
      </c>
      <c r="P240" t="str">
        <f t="shared" si="2"/>
        <v>Cory Joseph</v>
      </c>
      <c r="Q240" t="str">
        <f t="shared" si="3"/>
        <v>Cory Joseph</v>
      </c>
      <c r="R240" t="s">
        <v>43</v>
      </c>
      <c r="S240" s="60" t="s">
        <v>94</v>
      </c>
      <c r="T240" t="s">
        <v>94</v>
      </c>
      <c r="U240" t="s">
        <v>94</v>
      </c>
      <c r="V240" t="s">
        <v>47</v>
      </c>
      <c r="W240" t="str">
        <f t="shared" si="1"/>
        <v>PGC</v>
      </c>
    </row>
    <row r="241">
      <c r="A241" s="90">
        <v>231.0</v>
      </c>
      <c r="B241" s="91" t="s">
        <v>327</v>
      </c>
      <c r="C241" s="92"/>
      <c r="D241" s="92"/>
      <c r="E241" s="104">
        <v>1.6</v>
      </c>
      <c r="F241" s="104">
        <v>1.5</v>
      </c>
      <c r="G241" s="104">
        <v>6.5</v>
      </c>
      <c r="H241" s="104">
        <v>1.9</v>
      </c>
      <c r="I241" s="104">
        <v>0.9</v>
      </c>
      <c r="J241" s="104">
        <v>0.3</v>
      </c>
      <c r="K241" s="104">
        <v>1.0</v>
      </c>
      <c r="L241" s="104">
        <v>8.9</v>
      </c>
      <c r="M241" s="104">
        <v>3.2</v>
      </c>
      <c r="N241" s="108">
        <v>-0.1</v>
      </c>
      <c r="O241" t="str">
        <f>IFERROR(__xludf.DUMMYFUNCTION("regexextract(B241,""[\w]* [\w]*"")"),"Patty Mills")</f>
        <v>Patty Mills</v>
      </c>
      <c r="P241" t="str">
        <f t="shared" si="2"/>
        <v>Patty Mills</v>
      </c>
      <c r="Q241" t="str">
        <f t="shared" si="3"/>
        <v>Patty Mills</v>
      </c>
      <c r="R241" t="s">
        <v>43</v>
      </c>
      <c r="S241" s="60" t="s">
        <v>94</v>
      </c>
      <c r="T241" t="s">
        <v>94</v>
      </c>
      <c r="U241" t="s">
        <v>94</v>
      </c>
      <c r="V241" t="s">
        <v>94</v>
      </c>
      <c r="W241" t="str">
        <f t="shared" si="1"/>
        <v>PG</v>
      </c>
    </row>
    <row r="242">
      <c r="A242" s="93">
        <v>232.0</v>
      </c>
      <c r="B242" s="94" t="s">
        <v>328</v>
      </c>
      <c r="C242" s="95"/>
      <c r="D242" s="95"/>
      <c r="E242" s="105">
        <v>1.1</v>
      </c>
      <c r="F242" s="105">
        <v>0.9</v>
      </c>
      <c r="G242" s="105">
        <v>4.9</v>
      </c>
      <c r="H242" s="105">
        <v>2.6</v>
      </c>
      <c r="I242" s="105">
        <v>1.0</v>
      </c>
      <c r="J242" s="105">
        <v>0.3</v>
      </c>
      <c r="K242" s="105">
        <v>1.3</v>
      </c>
      <c r="L242" s="105">
        <v>8.9</v>
      </c>
      <c r="M242" s="105">
        <v>0.8</v>
      </c>
      <c r="N242" s="106">
        <f>+0.1</f>
        <v>0.1</v>
      </c>
      <c r="O242" t="str">
        <f>IFERROR(__xludf.DUMMYFUNCTION("regexextract(B242,""[\w]* [\w]*"")"),"Kira Lewis")</f>
        <v>Kira Lewis</v>
      </c>
      <c r="P242" t="str">
        <f t="shared" si="2"/>
        <v>Kira Lewis</v>
      </c>
      <c r="Q242" t="str">
        <f t="shared" si="3"/>
        <v>Kira Lewis</v>
      </c>
      <c r="R242" t="s">
        <v>43</v>
      </c>
      <c r="S242" s="60" t="s">
        <v>94</v>
      </c>
      <c r="T242" t="s">
        <v>94</v>
      </c>
      <c r="U242" t="s">
        <v>94</v>
      </c>
      <c r="V242" t="s">
        <v>94</v>
      </c>
      <c r="W242" t="str">
        <f t="shared" si="1"/>
        <v>PG</v>
      </c>
    </row>
    <row r="243">
      <c r="A243" s="90">
        <v>233.0</v>
      </c>
      <c r="B243" s="91" t="s">
        <v>329</v>
      </c>
      <c r="C243" s="92"/>
      <c r="D243" s="92"/>
      <c r="E243" s="104">
        <v>1.2</v>
      </c>
      <c r="F243" s="104">
        <v>2.0</v>
      </c>
      <c r="G243" s="104">
        <v>3.8</v>
      </c>
      <c r="H243" s="104">
        <v>2.0</v>
      </c>
      <c r="I243" s="104">
        <v>0.9</v>
      </c>
      <c r="J243" s="104">
        <v>0.3</v>
      </c>
      <c r="K243" s="104">
        <v>1.4</v>
      </c>
      <c r="L243" s="104">
        <v>11.3</v>
      </c>
      <c r="M243" s="104">
        <v>0.6</v>
      </c>
      <c r="N243" s="107">
        <f>+0.3</f>
        <v>0.3</v>
      </c>
      <c r="O243" t="str">
        <f>IFERROR(__xludf.DUMMYFUNCTION("regexextract(B243,""[\w]* [\w]*"")"),"James Bouknight")</f>
        <v>James Bouknight</v>
      </c>
      <c r="P243" t="str">
        <f t="shared" si="2"/>
        <v>James Bouknight</v>
      </c>
      <c r="Q243" t="str">
        <f t="shared" si="3"/>
        <v>James Bouknight</v>
      </c>
      <c r="R243" t="s">
        <v>94</v>
      </c>
      <c r="S243" s="60" t="s">
        <v>44</v>
      </c>
      <c r="T243" t="s">
        <v>94</v>
      </c>
      <c r="U243" t="s">
        <v>94</v>
      </c>
      <c r="V243" t="s">
        <v>47</v>
      </c>
      <c r="W243" t="str">
        <f t="shared" si="1"/>
        <v>SGC</v>
      </c>
    </row>
    <row r="244">
      <c r="A244" s="93">
        <v>234.0</v>
      </c>
      <c r="B244" s="94" t="s">
        <v>330</v>
      </c>
      <c r="C244" s="95"/>
      <c r="D244" s="95"/>
      <c r="E244" s="105">
        <v>1.5</v>
      </c>
      <c r="F244" s="105">
        <v>0.8</v>
      </c>
      <c r="G244" s="105">
        <v>2.8</v>
      </c>
      <c r="H244" s="105">
        <v>4.6</v>
      </c>
      <c r="I244" s="105">
        <v>0.8</v>
      </c>
      <c r="J244" s="105">
        <v>0.2</v>
      </c>
      <c r="K244" s="105">
        <v>1.6</v>
      </c>
      <c r="L244" s="105">
        <v>8.0</v>
      </c>
      <c r="M244" s="105">
        <v>0.9</v>
      </c>
      <c r="N244" s="106">
        <f>+0.2</f>
        <v>0.2</v>
      </c>
      <c r="O244" t="str">
        <f>IFERROR(__xludf.DUMMYFUNCTION("regexextract(B244,""[\w]* [\w]*"")"),"Saben Lee")</f>
        <v>Saben Lee</v>
      </c>
      <c r="P244" t="str">
        <f t="shared" si="2"/>
        <v>Saben Lee</v>
      </c>
      <c r="Q244" t="str">
        <f t="shared" si="3"/>
        <v>Saben Lee</v>
      </c>
      <c r="R244" t="s">
        <v>43</v>
      </c>
      <c r="S244" s="60" t="s">
        <v>94</v>
      </c>
      <c r="T244" t="s">
        <v>94</v>
      </c>
      <c r="U244" t="s">
        <v>94</v>
      </c>
      <c r="V244" t="s">
        <v>94</v>
      </c>
      <c r="W244" t="str">
        <f t="shared" si="1"/>
        <v>PG</v>
      </c>
    </row>
    <row r="245">
      <c r="A245" s="90">
        <v>235.0</v>
      </c>
      <c r="B245" s="91" t="s">
        <v>331</v>
      </c>
      <c r="C245" s="92"/>
      <c r="D245" s="92"/>
      <c r="E245" s="104">
        <v>1.0</v>
      </c>
      <c r="F245" s="104">
        <v>1.8</v>
      </c>
      <c r="G245" s="104">
        <v>2.5</v>
      </c>
      <c r="H245" s="104">
        <v>2.5</v>
      </c>
      <c r="I245" s="104">
        <v>0.8</v>
      </c>
      <c r="J245" s="104">
        <v>0.2</v>
      </c>
      <c r="K245" s="104">
        <v>1.3</v>
      </c>
      <c r="L245" s="104">
        <v>12.5</v>
      </c>
      <c r="M245" s="104">
        <v>7.7</v>
      </c>
      <c r="N245" s="108">
        <v>-1.6</v>
      </c>
      <c r="O245" t="str">
        <f>IFERROR(__xludf.DUMMYFUNCTION("regexextract(B245,""[\w]* [\w]*"")"),"Delon Wright")</f>
        <v>Delon Wright</v>
      </c>
      <c r="P245" t="str">
        <f t="shared" si="2"/>
        <v>Delon Wright</v>
      </c>
      <c r="Q245" t="str">
        <f t="shared" si="3"/>
        <v>Delon Wright</v>
      </c>
      <c r="R245" t="s">
        <v>43</v>
      </c>
      <c r="S245" s="60" t="s">
        <v>44</v>
      </c>
      <c r="T245" t="s">
        <v>94</v>
      </c>
      <c r="U245" t="s">
        <v>94</v>
      </c>
      <c r="V245" t="s">
        <v>94</v>
      </c>
      <c r="W245" t="str">
        <f t="shared" si="1"/>
        <v>PGSG</v>
      </c>
    </row>
    <row r="246">
      <c r="A246" s="93">
        <v>236.0</v>
      </c>
      <c r="B246" s="94" t="s">
        <v>332</v>
      </c>
      <c r="C246" s="95"/>
      <c r="D246" s="95"/>
      <c r="E246" s="105">
        <v>3.2</v>
      </c>
      <c r="F246" s="105">
        <v>2.2</v>
      </c>
      <c r="G246" s="105">
        <v>3.7</v>
      </c>
      <c r="H246" s="105">
        <v>1.7</v>
      </c>
      <c r="I246" s="105">
        <v>0.9</v>
      </c>
      <c r="J246" s="105">
        <v>0.4</v>
      </c>
      <c r="K246" s="105">
        <v>1.5</v>
      </c>
      <c r="L246" s="105">
        <v>14.3</v>
      </c>
      <c r="M246" s="105">
        <v>6.7</v>
      </c>
      <c r="N246" s="109">
        <v>-0.1</v>
      </c>
      <c r="O246" t="str">
        <f>IFERROR(__xludf.DUMMYFUNCTION("regexextract(B246,""[\w]* [\w]*"")"),"Pat Connaughton")</f>
        <v>Pat Connaughton</v>
      </c>
      <c r="P246" t="str">
        <f t="shared" si="2"/>
        <v>Pat Connaughton</v>
      </c>
      <c r="Q246" t="str">
        <f t="shared" si="3"/>
        <v>Pat Connaughton</v>
      </c>
      <c r="R246" t="s">
        <v>94</v>
      </c>
      <c r="S246" s="60" t="s">
        <v>44</v>
      </c>
      <c r="T246" t="s">
        <v>45</v>
      </c>
      <c r="U246" t="s">
        <v>94</v>
      </c>
      <c r="V246" t="s">
        <v>47</v>
      </c>
      <c r="W246" t="str">
        <f t="shared" si="1"/>
        <v>SGSFC</v>
      </c>
    </row>
    <row r="247">
      <c r="A247" s="90">
        <v>237.0</v>
      </c>
      <c r="B247" s="91" t="s">
        <v>333</v>
      </c>
      <c r="C247" s="92"/>
      <c r="D247" s="92"/>
      <c r="E247" s="104">
        <v>2.6</v>
      </c>
      <c r="F247" s="104">
        <v>1.3</v>
      </c>
      <c r="G247" s="104">
        <v>2.5</v>
      </c>
      <c r="H247" s="104">
        <v>3.0</v>
      </c>
      <c r="I247" s="104">
        <v>0.7</v>
      </c>
      <c r="J247" s="104">
        <v>0.3</v>
      </c>
      <c r="K247" s="104">
        <v>1.6</v>
      </c>
      <c r="L247" s="104">
        <v>12.9</v>
      </c>
      <c r="M247" s="104">
        <v>2.3</v>
      </c>
      <c r="N247" s="107">
        <f t="shared" ref="N247:N248" si="9">+0.1</f>
        <v>0.1</v>
      </c>
      <c r="O247" t="str">
        <f>IFERROR(__xludf.DUMMYFUNCTION("regexextract(B247,""[\w]* [\w]*"")"),"Anfernee Simons")</f>
        <v>Anfernee Simons</v>
      </c>
      <c r="P247" t="str">
        <f t="shared" si="2"/>
        <v>Anfernee Simons</v>
      </c>
      <c r="Q247" t="str">
        <f t="shared" si="3"/>
        <v>Anfernee Simons</v>
      </c>
      <c r="R247" t="s">
        <v>43</v>
      </c>
      <c r="S247" s="60" t="s">
        <v>44</v>
      </c>
      <c r="T247" t="s">
        <v>94</v>
      </c>
      <c r="U247" t="s">
        <v>94</v>
      </c>
      <c r="V247" t="s">
        <v>94</v>
      </c>
      <c r="W247" t="str">
        <f t="shared" si="1"/>
        <v>PGSG</v>
      </c>
    </row>
    <row r="248">
      <c r="A248" s="93">
        <v>238.0</v>
      </c>
      <c r="B248" s="94" t="s">
        <v>334</v>
      </c>
      <c r="C248" s="95"/>
      <c r="D248" s="95"/>
      <c r="E248" s="105">
        <v>0.9</v>
      </c>
      <c r="F248" s="105">
        <v>1.5</v>
      </c>
      <c r="G248" s="105">
        <v>4.8</v>
      </c>
      <c r="H248" s="105">
        <v>2.5</v>
      </c>
      <c r="I248" s="105">
        <v>1.0</v>
      </c>
      <c r="J248" s="105">
        <v>0.5</v>
      </c>
      <c r="K248" s="105">
        <v>1.0</v>
      </c>
      <c r="L248" s="105">
        <v>7.8</v>
      </c>
      <c r="M248" s="105">
        <v>2.0</v>
      </c>
      <c r="N248" s="106">
        <f t="shared" si="9"/>
        <v>0.1</v>
      </c>
      <c r="O248" t="str">
        <f>IFERROR(__xludf.DUMMYFUNCTION("regexextract(B248,""[\w]* [\w]*"")"),"George Hill")</f>
        <v>George Hill</v>
      </c>
      <c r="P248" t="str">
        <f t="shared" si="2"/>
        <v>George Hill</v>
      </c>
      <c r="Q248" t="str">
        <f t="shared" si="3"/>
        <v>George Hill</v>
      </c>
      <c r="R248" t="s">
        <v>43</v>
      </c>
      <c r="S248" s="60" t="s">
        <v>44</v>
      </c>
      <c r="T248" t="s">
        <v>94</v>
      </c>
      <c r="U248" t="s">
        <v>94</v>
      </c>
      <c r="V248" t="s">
        <v>94</v>
      </c>
      <c r="W248" t="str">
        <f t="shared" si="1"/>
        <v>PGSG</v>
      </c>
    </row>
    <row r="249">
      <c r="A249" s="90">
        <v>239.0</v>
      </c>
      <c r="B249" s="91" t="s">
        <v>335</v>
      </c>
      <c r="C249" s="92"/>
      <c r="D249" s="92"/>
      <c r="E249" s="104">
        <v>3.1</v>
      </c>
      <c r="F249" s="104">
        <v>0.1</v>
      </c>
      <c r="G249" s="104">
        <v>5.5</v>
      </c>
      <c r="H249" s="104">
        <v>0.9</v>
      </c>
      <c r="I249" s="104">
        <v>0.5</v>
      </c>
      <c r="J249" s="104">
        <v>1.0</v>
      </c>
      <c r="K249" s="104">
        <v>0.9</v>
      </c>
      <c r="L249" s="104">
        <v>9.8</v>
      </c>
      <c r="M249" s="104">
        <v>1.0</v>
      </c>
      <c r="N249" s="107">
        <f>+0.3</f>
        <v>0.3</v>
      </c>
      <c r="O249" t="str">
        <f>IFERROR(__xludf.DUMMYFUNCTION("regexextract(B249,""[\w]* [\w]*"")"),"Lonnie Walker")</f>
        <v>Lonnie Walker</v>
      </c>
      <c r="P249" t="str">
        <f t="shared" si="2"/>
        <v>Lonnie Walker</v>
      </c>
      <c r="Q249" t="str">
        <f t="shared" si="3"/>
        <v>Lonnie Walker</v>
      </c>
      <c r="R249" t="s">
        <v>94</v>
      </c>
      <c r="S249" s="60" t="s">
        <v>44</v>
      </c>
      <c r="T249" t="s">
        <v>45</v>
      </c>
      <c r="U249" t="s">
        <v>94</v>
      </c>
      <c r="V249" t="s">
        <v>94</v>
      </c>
      <c r="W249" t="str">
        <f t="shared" si="1"/>
        <v>SGSF</v>
      </c>
    </row>
    <row r="250">
      <c r="A250" s="93">
        <v>240.0</v>
      </c>
      <c r="B250" s="94" t="s">
        <v>336</v>
      </c>
      <c r="C250" s="95"/>
      <c r="D250" s="95"/>
      <c r="E250" s="105">
        <v>0.5</v>
      </c>
      <c r="F250" s="105">
        <v>0.9</v>
      </c>
      <c r="G250" s="105">
        <v>2.2</v>
      </c>
      <c r="H250" s="105">
        <v>1.3</v>
      </c>
      <c r="I250" s="105">
        <v>1.9</v>
      </c>
      <c r="J250" s="105">
        <v>1.2</v>
      </c>
      <c r="K250" s="105">
        <v>0.7</v>
      </c>
      <c r="L250" s="105">
        <v>5.0</v>
      </c>
      <c r="M250" s="105">
        <v>4.5</v>
      </c>
      <c r="N250" s="106">
        <f>+0.2</f>
        <v>0.2</v>
      </c>
      <c r="O250" t="str">
        <f>IFERROR(__xludf.DUMMYFUNCTION("regexextract(B250,""[\w]* [\w]*"")")," Augustin")</f>
        <v> Augustin</v>
      </c>
      <c r="P250" t="str">
        <f t="shared" si="2"/>
        <v> Augustin</v>
      </c>
      <c r="Q250" t="str">
        <f t="shared" si="3"/>
        <v> Augustin</v>
      </c>
      <c r="R250" t="s">
        <v>43</v>
      </c>
      <c r="S250" s="60" t="s">
        <v>94</v>
      </c>
      <c r="T250" t="s">
        <v>94</v>
      </c>
      <c r="U250" t="s">
        <v>94</v>
      </c>
      <c r="V250" t="s">
        <v>94</v>
      </c>
      <c r="W250" t="str">
        <f t="shared" si="1"/>
        <v>PG</v>
      </c>
    </row>
    <row r="251">
      <c r="A251" s="90">
        <v>241.0</v>
      </c>
      <c r="B251" s="91" t="s">
        <v>337</v>
      </c>
      <c r="C251" s="92"/>
      <c r="D251" s="92"/>
      <c r="E251" s="104">
        <v>0.6</v>
      </c>
      <c r="F251" s="104">
        <v>1.3</v>
      </c>
      <c r="G251" s="104">
        <v>5.8</v>
      </c>
      <c r="H251" s="104">
        <v>2.4</v>
      </c>
      <c r="I251" s="104">
        <v>0.8</v>
      </c>
      <c r="J251" s="104">
        <v>0.4</v>
      </c>
      <c r="K251" s="104">
        <v>1.0</v>
      </c>
      <c r="L251" s="104">
        <v>6.3</v>
      </c>
      <c r="M251" s="104">
        <v>2.8</v>
      </c>
      <c r="N251" s="108">
        <v>-0.5</v>
      </c>
      <c r="O251" t="str">
        <f>IFERROR(__xludf.DUMMYFUNCTION("regexextract(B251,""[\w]* [\w]*"")"),"Mo Bamba")</f>
        <v>Mo Bamba</v>
      </c>
      <c r="P251" t="str">
        <f t="shared" si="2"/>
        <v>Mo Bamba</v>
      </c>
      <c r="Q251" t="str">
        <f t="shared" si="3"/>
        <v>Mo Bamba</v>
      </c>
      <c r="R251" t="s">
        <v>94</v>
      </c>
      <c r="S251" s="60" t="s">
        <v>94</v>
      </c>
      <c r="T251" t="s">
        <v>94</v>
      </c>
      <c r="U251" t="s">
        <v>94</v>
      </c>
      <c r="V251" t="s">
        <v>47</v>
      </c>
      <c r="W251" t="str">
        <f t="shared" si="1"/>
        <v>C</v>
      </c>
    </row>
    <row r="252">
      <c r="A252" s="93">
        <v>242.0</v>
      </c>
      <c r="B252" s="94" t="s">
        <v>338</v>
      </c>
      <c r="C252" s="95"/>
      <c r="D252" s="95"/>
      <c r="E252" s="105">
        <v>1.6</v>
      </c>
      <c r="F252" s="105">
        <v>1.5</v>
      </c>
      <c r="G252" s="105">
        <v>4.0</v>
      </c>
      <c r="H252" s="105">
        <v>1.3</v>
      </c>
      <c r="I252" s="105">
        <v>1.0</v>
      </c>
      <c r="J252" s="105">
        <v>0.4</v>
      </c>
      <c r="K252" s="105">
        <v>0.5</v>
      </c>
      <c r="L252" s="105">
        <v>10.2</v>
      </c>
      <c r="M252" s="105">
        <v>0.8</v>
      </c>
      <c r="N252" s="106">
        <f>+0.2</f>
        <v>0.2</v>
      </c>
      <c r="O252" t="str">
        <f>IFERROR(__xludf.DUMMYFUNCTION("regexextract(B252,""[\w]* [\w]*"")"),"JaMychal Green")</f>
        <v>JaMychal Green</v>
      </c>
      <c r="P252" t="str">
        <f t="shared" si="2"/>
        <v>JaMychal Green</v>
      </c>
      <c r="Q252" t="str">
        <f t="shared" si="3"/>
        <v>JaMychal Green</v>
      </c>
      <c r="R252" t="s">
        <v>94</v>
      </c>
      <c r="S252" s="60" t="s">
        <v>94</v>
      </c>
      <c r="T252" t="s">
        <v>94</v>
      </c>
      <c r="U252" t="s">
        <v>46</v>
      </c>
      <c r="V252" t="s">
        <v>47</v>
      </c>
      <c r="W252" t="str">
        <f t="shared" si="1"/>
        <v>PFC</v>
      </c>
    </row>
    <row r="253">
      <c r="A253" s="90">
        <v>243.0</v>
      </c>
      <c r="B253" s="91" t="s">
        <v>339</v>
      </c>
      <c r="C253" s="92"/>
      <c r="D253" s="92"/>
      <c r="E253" s="104">
        <v>3.7</v>
      </c>
      <c r="F253" s="104">
        <v>2.0</v>
      </c>
      <c r="G253" s="104">
        <v>4.5</v>
      </c>
      <c r="H253" s="104">
        <v>4.2</v>
      </c>
      <c r="I253" s="104">
        <v>1.3</v>
      </c>
      <c r="J253" s="104">
        <v>0.3</v>
      </c>
      <c r="K253" s="104">
        <v>2.3</v>
      </c>
      <c r="L253" s="104">
        <v>17.4</v>
      </c>
      <c r="M253" s="104">
        <v>22.9</v>
      </c>
      <c r="N253" s="108">
        <v>-4.2</v>
      </c>
      <c r="O253" t="str">
        <f>IFERROR(__xludf.DUMMYFUNCTION("regexextract(B253,""[\w]* [\w]*"")"),"Danuel House")</f>
        <v>Danuel House</v>
      </c>
      <c r="P253" t="str">
        <f t="shared" si="2"/>
        <v>Danuel House</v>
      </c>
      <c r="Q253" t="str">
        <f t="shared" si="3"/>
        <v>Danuel House</v>
      </c>
      <c r="R253" t="s">
        <v>94</v>
      </c>
      <c r="S253" s="60" t="s">
        <v>44</v>
      </c>
      <c r="T253" t="s">
        <v>45</v>
      </c>
      <c r="U253" t="s">
        <v>94</v>
      </c>
      <c r="V253" t="s">
        <v>94</v>
      </c>
      <c r="W253" t="str">
        <f t="shared" si="1"/>
        <v>SGSF</v>
      </c>
    </row>
    <row r="254">
      <c r="A254" s="93">
        <v>244.0</v>
      </c>
      <c r="B254" s="94" t="s">
        <v>340</v>
      </c>
      <c r="C254" s="95"/>
      <c r="D254" s="95"/>
      <c r="E254" s="105">
        <v>1.8</v>
      </c>
      <c r="F254" s="105">
        <v>2.9</v>
      </c>
      <c r="G254" s="105">
        <v>3.5</v>
      </c>
      <c r="H254" s="105">
        <v>1.2</v>
      </c>
      <c r="I254" s="105">
        <v>0.6</v>
      </c>
      <c r="J254" s="105">
        <v>0.4</v>
      </c>
      <c r="K254" s="105">
        <v>0.7</v>
      </c>
      <c r="L254" s="105">
        <v>11.8</v>
      </c>
      <c r="M254" s="105">
        <v>1.0</v>
      </c>
      <c r="N254" s="106">
        <f>+0.2</f>
        <v>0.2</v>
      </c>
      <c r="O254" t="str">
        <f>IFERROR(__xludf.DUMMYFUNCTION("regexextract(B254,""[\w]* [\w]*"")"),"Cam Reddish")</f>
        <v>Cam Reddish</v>
      </c>
      <c r="P254" t="str">
        <f t="shared" si="2"/>
        <v>Cam Reddish</v>
      </c>
      <c r="Q254" t="str">
        <f t="shared" si="3"/>
        <v>Cam Reddish</v>
      </c>
      <c r="R254" t="s">
        <v>94</v>
      </c>
      <c r="S254" s="60" t="s">
        <v>44</v>
      </c>
      <c r="T254" t="s">
        <v>45</v>
      </c>
      <c r="U254" t="s">
        <v>94</v>
      </c>
      <c r="V254" t="s">
        <v>47</v>
      </c>
      <c r="W254" t="str">
        <f t="shared" si="1"/>
        <v>SGSFC</v>
      </c>
    </row>
    <row r="255">
      <c r="A255" s="90">
        <v>245.0</v>
      </c>
      <c r="B255" s="91" t="s">
        <v>341</v>
      </c>
      <c r="C255" s="92"/>
      <c r="D255" s="92"/>
      <c r="E255" s="104">
        <v>2.8</v>
      </c>
      <c r="F255" s="104">
        <v>2.2</v>
      </c>
      <c r="G255" s="104">
        <v>7.8</v>
      </c>
      <c r="H255" s="104">
        <v>2.4</v>
      </c>
      <c r="I255" s="104">
        <v>0.5</v>
      </c>
      <c r="J255" s="104">
        <v>0.2</v>
      </c>
      <c r="K255" s="104">
        <v>1.8</v>
      </c>
      <c r="L255" s="104">
        <v>13.4</v>
      </c>
      <c r="M255" s="104">
        <v>8.2</v>
      </c>
      <c r="N255" s="108">
        <v>-0.9</v>
      </c>
      <c r="O255" t="str">
        <f>IFERROR(__xludf.DUMMYFUNCTION("regexextract(B255,""[\w]* [\w]*"")"),"Landry Shamet")</f>
        <v>Landry Shamet</v>
      </c>
      <c r="P255" t="str">
        <f t="shared" si="2"/>
        <v>Landry Shamet</v>
      </c>
      <c r="Q255" t="str">
        <f t="shared" si="3"/>
        <v>Landry Shamet</v>
      </c>
      <c r="R255" t="s">
        <v>94</v>
      </c>
      <c r="S255" s="60" t="s">
        <v>44</v>
      </c>
      <c r="T255" t="s">
        <v>94</v>
      </c>
      <c r="U255" t="s">
        <v>94</v>
      </c>
      <c r="V255" t="s">
        <v>94</v>
      </c>
      <c r="W255" t="str">
        <f t="shared" si="1"/>
        <v>SG</v>
      </c>
    </row>
    <row r="256">
      <c r="A256" s="93">
        <v>246.0</v>
      </c>
      <c r="B256" s="94" t="s">
        <v>342</v>
      </c>
      <c r="C256" s="95"/>
      <c r="D256" s="95"/>
      <c r="E256" s="105">
        <v>2.2</v>
      </c>
      <c r="F256" s="105">
        <v>1.2</v>
      </c>
      <c r="G256" s="105">
        <v>3.8</v>
      </c>
      <c r="H256" s="105">
        <v>1.6</v>
      </c>
      <c r="I256" s="105">
        <v>0.9</v>
      </c>
      <c r="J256" s="105">
        <v>0.5</v>
      </c>
      <c r="K256" s="105">
        <v>0.7</v>
      </c>
      <c r="L256" s="105">
        <v>10.7</v>
      </c>
      <c r="M256" s="105">
        <v>2.7</v>
      </c>
      <c r="N256" s="109">
        <v>-0.5</v>
      </c>
      <c r="O256" t="str">
        <f>IFERROR(__xludf.DUMMYFUNCTION("regexextract(B256,""[\w]* [\w]*"")"),"Deni AvdijaDTD")</f>
        <v>Deni AvdijaDTD</v>
      </c>
      <c r="P256" t="str">
        <f t="shared" si="2"/>
        <v>Deni Avdija</v>
      </c>
      <c r="Q256" t="str">
        <f t="shared" si="3"/>
        <v>Deni Avdija</v>
      </c>
      <c r="R256" t="s">
        <v>94</v>
      </c>
      <c r="S256" s="60" t="s">
        <v>94</v>
      </c>
      <c r="T256" t="s">
        <v>45</v>
      </c>
      <c r="U256" t="s">
        <v>94</v>
      </c>
      <c r="V256" t="s">
        <v>94</v>
      </c>
      <c r="W256" t="str">
        <f t="shared" si="1"/>
        <v>SF</v>
      </c>
    </row>
    <row r="257">
      <c r="A257" s="90">
        <v>247.0</v>
      </c>
      <c r="B257" s="91" t="s">
        <v>343</v>
      </c>
      <c r="C257" s="92"/>
      <c r="D257" s="92"/>
      <c r="E257" s="104">
        <v>1.8</v>
      </c>
      <c r="F257" s="104">
        <v>0.3</v>
      </c>
      <c r="G257" s="104">
        <v>5.1</v>
      </c>
      <c r="H257" s="104">
        <v>1.8</v>
      </c>
      <c r="I257" s="104">
        <v>0.9</v>
      </c>
      <c r="J257" s="104">
        <v>0.4</v>
      </c>
      <c r="K257" s="104">
        <v>0.9</v>
      </c>
      <c r="L257" s="104">
        <v>8.3</v>
      </c>
      <c r="M257" s="104">
        <v>1.3</v>
      </c>
      <c r="N257" s="104">
        <v>0.0</v>
      </c>
      <c r="O257" t="str">
        <f>IFERROR(__xludf.DUMMYFUNCTION("regexextract(B257,""[\w]* [\w]*"")"),"Willy Hernangomez")</f>
        <v>Willy Hernangomez</v>
      </c>
      <c r="P257" t="str">
        <f t="shared" si="2"/>
        <v>Willy Hernangomez</v>
      </c>
      <c r="Q257" t="str">
        <f t="shared" si="3"/>
        <v>Willy Hernangomez</v>
      </c>
      <c r="R257" t="s">
        <v>94</v>
      </c>
      <c r="S257" s="60" t="s">
        <v>94</v>
      </c>
      <c r="T257" t="s">
        <v>94</v>
      </c>
      <c r="U257" t="s">
        <v>94</v>
      </c>
      <c r="V257" t="s">
        <v>47</v>
      </c>
      <c r="W257" t="str">
        <f t="shared" si="1"/>
        <v>C</v>
      </c>
    </row>
    <row r="258">
      <c r="A258" s="93">
        <v>248.0</v>
      </c>
      <c r="B258" s="94" t="s">
        <v>344</v>
      </c>
      <c r="C258" s="95"/>
      <c r="D258" s="95"/>
      <c r="E258" s="105">
        <v>1.5</v>
      </c>
      <c r="F258" s="105">
        <v>0.0</v>
      </c>
      <c r="G258" s="105">
        <v>6.8</v>
      </c>
      <c r="H258" s="105">
        <v>1.0</v>
      </c>
      <c r="I258" s="105">
        <v>0.5</v>
      </c>
      <c r="J258" s="105">
        <v>1.1</v>
      </c>
      <c r="K258" s="105">
        <v>0.8</v>
      </c>
      <c r="L258" s="105">
        <v>7.4</v>
      </c>
      <c r="M258" s="105">
        <v>1.1</v>
      </c>
      <c r="N258" s="106">
        <f>+0.2</f>
        <v>0.2</v>
      </c>
      <c r="O258" t="str">
        <f>IFERROR(__xludf.DUMMYFUNCTION("regexextract(B258,""[\w]* [\w]*"")"),"Gorgui Dieng")</f>
        <v>Gorgui Dieng</v>
      </c>
      <c r="P258" t="str">
        <f t="shared" si="2"/>
        <v>Gorgui Dieng</v>
      </c>
      <c r="Q258" t="str">
        <f t="shared" si="3"/>
        <v>Gorgui Dieng</v>
      </c>
      <c r="R258" t="s">
        <v>94</v>
      </c>
      <c r="S258" s="60" t="s">
        <v>94</v>
      </c>
      <c r="T258" t="s">
        <v>94</v>
      </c>
      <c r="U258" t="s">
        <v>46</v>
      </c>
      <c r="V258" t="s">
        <v>47</v>
      </c>
      <c r="W258" t="str">
        <f t="shared" si="1"/>
        <v>PFC</v>
      </c>
    </row>
    <row r="259">
      <c r="A259" s="90">
        <v>249.0</v>
      </c>
      <c r="B259" s="91" t="s">
        <v>345</v>
      </c>
      <c r="C259" s="92"/>
      <c r="D259" s="92"/>
      <c r="E259" s="104">
        <v>1.0</v>
      </c>
      <c r="F259" s="104">
        <v>0.6</v>
      </c>
      <c r="G259" s="104">
        <v>3.2</v>
      </c>
      <c r="H259" s="104">
        <v>4.2</v>
      </c>
      <c r="I259" s="104">
        <v>0.7</v>
      </c>
      <c r="J259" s="104">
        <v>0.3</v>
      </c>
      <c r="K259" s="104">
        <v>1.1</v>
      </c>
      <c r="L259" s="104">
        <v>8.4</v>
      </c>
      <c r="M259" s="104">
        <v>0.5</v>
      </c>
      <c r="N259" s="107">
        <f>+0.1</f>
        <v>0.1</v>
      </c>
      <c r="O259" t="str">
        <f>IFERROR(__xludf.DUMMYFUNCTION("regexextract(B259,""[\w]* [\w]*"")"),"Garrett Temple")</f>
        <v>Garrett Temple</v>
      </c>
      <c r="P259" t="str">
        <f t="shared" si="2"/>
        <v>Garrett Temple</v>
      </c>
      <c r="Q259" t="str">
        <f t="shared" si="3"/>
        <v>Garrett Temple</v>
      </c>
      <c r="R259" t="s">
        <v>94</v>
      </c>
      <c r="S259" s="60" t="s">
        <v>44</v>
      </c>
      <c r="T259" t="s">
        <v>45</v>
      </c>
      <c r="U259" t="s">
        <v>94</v>
      </c>
      <c r="V259" t="s">
        <v>94</v>
      </c>
      <c r="W259" t="str">
        <f t="shared" si="1"/>
        <v>SGSF</v>
      </c>
    </row>
    <row r="260">
      <c r="A260" s="93">
        <v>250.0</v>
      </c>
      <c r="B260" s="94" t="s">
        <v>346</v>
      </c>
      <c r="C260" s="95"/>
      <c r="D260" s="95"/>
      <c r="E260" s="105">
        <v>1.6</v>
      </c>
      <c r="F260" s="105">
        <v>1.7</v>
      </c>
      <c r="G260" s="105">
        <v>3.5</v>
      </c>
      <c r="H260" s="105">
        <v>2.6</v>
      </c>
      <c r="I260" s="105">
        <v>0.8</v>
      </c>
      <c r="J260" s="105">
        <v>0.2</v>
      </c>
      <c r="K260" s="105">
        <v>1.3</v>
      </c>
      <c r="L260" s="105">
        <v>10.6</v>
      </c>
      <c r="M260" s="105">
        <v>1.3</v>
      </c>
      <c r="N260" s="109">
        <v>-0.1</v>
      </c>
      <c r="O260" t="str">
        <f>IFERROR(__xludf.DUMMYFUNCTION("regexextract(B260,""[\w]* [\w]*"")"),"Eric Gordon")</f>
        <v>Eric Gordon</v>
      </c>
      <c r="P260" t="str">
        <f t="shared" si="2"/>
        <v>Eric Gordon</v>
      </c>
      <c r="Q260" t="str">
        <f t="shared" si="3"/>
        <v>Eric Gordon</v>
      </c>
      <c r="R260" t="s">
        <v>94</v>
      </c>
      <c r="S260" s="60" t="s">
        <v>44</v>
      </c>
      <c r="T260" t="s">
        <v>94</v>
      </c>
      <c r="U260" t="s">
        <v>94</v>
      </c>
      <c r="V260" t="s">
        <v>47</v>
      </c>
      <c r="W260" t="str">
        <f t="shared" si="1"/>
        <v>SGC</v>
      </c>
    </row>
    <row r="261">
      <c r="A261" s="82" t="s">
        <v>87</v>
      </c>
      <c r="C261" s="82" t="s">
        <v>88</v>
      </c>
      <c r="E261" s="100"/>
      <c r="F261" s="100"/>
      <c r="G261" s="100"/>
      <c r="H261" s="100"/>
      <c r="I261" s="100"/>
      <c r="J261" s="100"/>
      <c r="K261" s="100"/>
      <c r="L261" s="100"/>
      <c r="M261" s="100" t="s">
        <v>194</v>
      </c>
      <c r="N261" s="100"/>
      <c r="O261" t="str">
        <f>IFERROR(__xludf.DUMMYFUNCTION("regexextract(B261,""[\w]* [\w]*"")"),"#N/A")</f>
        <v>#N/A</v>
      </c>
      <c r="P261" t="str">
        <f t="shared" si="2"/>
        <v>#N/A</v>
      </c>
      <c r="Q261" t="str">
        <f t="shared" si="3"/>
        <v>#N/A</v>
      </c>
      <c r="R261" t="s">
        <v>94</v>
      </c>
      <c r="S261" s="60" t="s">
        <v>94</v>
      </c>
      <c r="T261" t="s">
        <v>94</v>
      </c>
      <c r="U261" t="s">
        <v>94</v>
      </c>
      <c r="V261" t="s">
        <v>94</v>
      </c>
      <c r="W261" t="str">
        <f t="shared" si="1"/>
        <v/>
      </c>
    </row>
    <row r="262">
      <c r="A262" s="85" t="s">
        <v>89</v>
      </c>
      <c r="B262" s="86" t="s">
        <v>90</v>
      </c>
      <c r="C262" s="85" t="s">
        <v>91</v>
      </c>
      <c r="D262" s="87" t="s">
        <v>92</v>
      </c>
      <c r="E262" s="101" t="s">
        <v>195</v>
      </c>
      <c r="F262" s="102">
        <v>0.625</v>
      </c>
      <c r="G262" s="101" t="s">
        <v>36</v>
      </c>
      <c r="H262" s="101" t="s">
        <v>37</v>
      </c>
      <c r="I262" s="101" t="s">
        <v>38</v>
      </c>
      <c r="J262" s="101" t="s">
        <v>61</v>
      </c>
      <c r="K262" s="101" t="s">
        <v>42</v>
      </c>
      <c r="L262" s="101" t="s">
        <v>34</v>
      </c>
      <c r="M262" s="101" t="s">
        <v>196</v>
      </c>
      <c r="N262" s="103" t="str">
        <f>+/-</f>
        <v>#ERROR!</v>
      </c>
      <c r="O262" t="str">
        <f>IFERROR(__xludf.DUMMYFUNCTION("regexextract(B262,""[\w]* [\w]*"")"),"#N/A")</f>
        <v>#N/A</v>
      </c>
      <c r="P262" t="str">
        <f t="shared" si="2"/>
        <v>#N/A</v>
      </c>
      <c r="Q262" t="str">
        <f t="shared" si="3"/>
        <v>#N/A</v>
      </c>
      <c r="R262" t="s">
        <v>94</v>
      </c>
      <c r="S262" s="60" t="s">
        <v>94</v>
      </c>
      <c r="T262" t="s">
        <v>94</v>
      </c>
      <c r="U262" t="s">
        <v>94</v>
      </c>
      <c r="V262" t="s">
        <v>94</v>
      </c>
      <c r="W262" t="str">
        <f t="shared" si="1"/>
        <v/>
      </c>
    </row>
    <row r="263">
      <c r="A263" s="90">
        <v>251.0</v>
      </c>
      <c r="B263" s="91" t="s">
        <v>347</v>
      </c>
      <c r="C263" s="92"/>
      <c r="D263" s="92"/>
      <c r="E263" s="104">
        <v>1.1</v>
      </c>
      <c r="F263" s="104">
        <v>2.2</v>
      </c>
      <c r="G263" s="104">
        <v>3.7</v>
      </c>
      <c r="H263" s="104">
        <v>1.5</v>
      </c>
      <c r="I263" s="104">
        <v>0.7</v>
      </c>
      <c r="J263" s="104">
        <v>0.3</v>
      </c>
      <c r="K263" s="104">
        <v>0.8</v>
      </c>
      <c r="L263" s="104">
        <v>10.6</v>
      </c>
      <c r="M263" s="104">
        <v>1.5</v>
      </c>
      <c r="N263" s="107">
        <f>+0.2</f>
        <v>0.2</v>
      </c>
      <c r="O263" t="str">
        <f>IFERROR(__xludf.DUMMYFUNCTION("regexextract(B263,""[\w]* [\w]*"")"),"Kent Bazemore")</f>
        <v>Kent Bazemore</v>
      </c>
      <c r="P263" t="str">
        <f t="shared" si="2"/>
        <v>Kent Bazemore</v>
      </c>
      <c r="Q263" t="str">
        <f t="shared" si="3"/>
        <v>Kent Bazemore</v>
      </c>
      <c r="R263" t="s">
        <v>94</v>
      </c>
      <c r="S263" s="60" t="s">
        <v>44</v>
      </c>
      <c r="T263" t="s">
        <v>45</v>
      </c>
      <c r="U263" t="s">
        <v>94</v>
      </c>
      <c r="V263" t="s">
        <v>94</v>
      </c>
      <c r="W263" t="str">
        <f t="shared" si="1"/>
        <v>SGSF</v>
      </c>
    </row>
    <row r="264">
      <c r="A264" s="93">
        <v>252.0</v>
      </c>
      <c r="B264" s="94" t="s">
        <v>348</v>
      </c>
      <c r="C264" s="95"/>
      <c r="D264" s="95"/>
      <c r="E264" s="105">
        <v>0.8</v>
      </c>
      <c r="F264" s="105">
        <v>0.6</v>
      </c>
      <c r="G264" s="105">
        <v>1.9</v>
      </c>
      <c r="H264" s="105">
        <v>4.1</v>
      </c>
      <c r="I264" s="105">
        <v>0.9</v>
      </c>
      <c r="J264" s="105">
        <v>0.1</v>
      </c>
      <c r="K264" s="105">
        <v>0.7</v>
      </c>
      <c r="L264" s="105">
        <v>6.8</v>
      </c>
      <c r="M264" s="105">
        <v>0.4</v>
      </c>
      <c r="N264" s="106">
        <f>+0.1</f>
        <v>0.1</v>
      </c>
      <c r="O264" t="str">
        <f>IFERROR(__xludf.DUMMYFUNCTION("regexextract(B264,""[\w]* [\w]*"")"),"Alex Caruso")</f>
        <v>Alex Caruso</v>
      </c>
      <c r="P264" t="str">
        <f t="shared" si="2"/>
        <v>Alex Caruso</v>
      </c>
      <c r="Q264" t="str">
        <f t="shared" si="3"/>
        <v>Alex Carus</v>
      </c>
      <c r="R264" t="s">
        <v>43</v>
      </c>
      <c r="S264" s="60" t="s">
        <v>44</v>
      </c>
      <c r="T264" t="s">
        <v>94</v>
      </c>
      <c r="U264" t="s">
        <v>94</v>
      </c>
      <c r="V264" t="s">
        <v>47</v>
      </c>
      <c r="W264" t="str">
        <f t="shared" si="1"/>
        <v>PGSGC</v>
      </c>
    </row>
    <row r="265">
      <c r="A265" s="90">
        <v>253.0</v>
      </c>
      <c r="B265" s="91" t="s">
        <v>349</v>
      </c>
      <c r="C265" s="92"/>
      <c r="D265" s="92"/>
      <c r="E265" s="104">
        <v>1.5</v>
      </c>
      <c r="F265" s="104">
        <v>2.4</v>
      </c>
      <c r="G265" s="104">
        <v>2.3</v>
      </c>
      <c r="H265" s="104">
        <v>1.2</v>
      </c>
      <c r="I265" s="104">
        <v>0.9</v>
      </c>
      <c r="J265" s="104">
        <v>0.2</v>
      </c>
      <c r="K265" s="104">
        <v>0.6</v>
      </c>
      <c r="L265" s="104">
        <v>12.8</v>
      </c>
      <c r="M265" s="104">
        <v>11.6</v>
      </c>
      <c r="N265" s="108">
        <v>-0.8</v>
      </c>
      <c r="O265" t="str">
        <f>IFERROR(__xludf.DUMMYFUNCTION("regexextract(B265,""[\w]* [\w]*"")"),"Grayson Allen")</f>
        <v>Grayson Allen</v>
      </c>
      <c r="P265" t="str">
        <f t="shared" si="2"/>
        <v>Grayson Allen</v>
      </c>
      <c r="Q265" t="str">
        <f t="shared" si="3"/>
        <v>Grayson Allen</v>
      </c>
      <c r="R265" t="s">
        <v>94</v>
      </c>
      <c r="S265" s="60" t="s">
        <v>44</v>
      </c>
      <c r="T265" t="s">
        <v>94</v>
      </c>
      <c r="U265" t="s">
        <v>94</v>
      </c>
      <c r="V265" t="s">
        <v>94</v>
      </c>
      <c r="W265" t="str">
        <f t="shared" si="1"/>
        <v>SG</v>
      </c>
    </row>
    <row r="266">
      <c r="A266" s="93">
        <v>254.0</v>
      </c>
      <c r="B266" s="94" t="s">
        <v>350</v>
      </c>
      <c r="C266" s="95"/>
      <c r="D266" s="95"/>
      <c r="E266" s="105">
        <v>0.9</v>
      </c>
      <c r="F266" s="105">
        <v>2.3</v>
      </c>
      <c r="G266" s="105">
        <v>3.1</v>
      </c>
      <c r="H266" s="105">
        <v>1.6</v>
      </c>
      <c r="I266" s="105">
        <v>0.8</v>
      </c>
      <c r="J266" s="105">
        <v>0.2</v>
      </c>
      <c r="K266" s="105">
        <v>0.7</v>
      </c>
      <c r="L266" s="105">
        <v>10.5</v>
      </c>
      <c r="M266" s="105">
        <v>2.1</v>
      </c>
      <c r="N266" s="109">
        <v>-0.4</v>
      </c>
      <c r="O266" t="str">
        <f>IFERROR(__xludf.DUMMYFUNCTION("regexextract(B266,""[\w]* [\w]*"")"),"Elfrid Payton")</f>
        <v>Elfrid Payton</v>
      </c>
      <c r="P266" t="str">
        <f t="shared" si="2"/>
        <v>Elfrid Payton</v>
      </c>
      <c r="Q266" t="str">
        <f t="shared" si="3"/>
        <v>Elfrid Payton</v>
      </c>
      <c r="R266" t="s">
        <v>43</v>
      </c>
      <c r="S266" s="60" t="s">
        <v>94</v>
      </c>
      <c r="T266" t="s">
        <v>94</v>
      </c>
      <c r="U266" t="s">
        <v>94</v>
      </c>
      <c r="V266" t="s">
        <v>94</v>
      </c>
      <c r="W266" t="str">
        <f t="shared" si="1"/>
        <v>PG</v>
      </c>
    </row>
    <row r="267">
      <c r="A267" s="90">
        <v>255.0</v>
      </c>
      <c r="B267" s="91" t="s">
        <v>351</v>
      </c>
      <c r="C267" s="92"/>
      <c r="D267" s="92"/>
      <c r="E267" s="104">
        <v>1.8</v>
      </c>
      <c r="F267" s="104">
        <v>0.0</v>
      </c>
      <c r="G267" s="104">
        <v>5.7</v>
      </c>
      <c r="H267" s="104">
        <v>1.2</v>
      </c>
      <c r="I267" s="104">
        <v>0.7</v>
      </c>
      <c r="J267" s="104">
        <v>0.9</v>
      </c>
      <c r="K267" s="104">
        <v>0.7</v>
      </c>
      <c r="L267" s="104">
        <v>7.3</v>
      </c>
      <c r="M267" s="104">
        <v>0.4</v>
      </c>
      <c r="N267" s="107">
        <f>+0.2</f>
        <v>0.2</v>
      </c>
      <c r="O267" t="str">
        <f>IFERROR(__xludf.DUMMYFUNCTION("regexextract(B267,""[\w]* [\w]*"")"),"Frank Kaminsky")</f>
        <v>Frank Kaminsky</v>
      </c>
      <c r="P267" t="str">
        <f t="shared" si="2"/>
        <v>Frank Kaminsky</v>
      </c>
      <c r="Q267" t="str">
        <f t="shared" si="3"/>
        <v>Frank Kaminsky</v>
      </c>
      <c r="R267" t="s">
        <v>94</v>
      </c>
      <c r="S267" s="60" t="s">
        <v>94</v>
      </c>
      <c r="T267" t="s">
        <v>94</v>
      </c>
      <c r="U267" t="s">
        <v>46</v>
      </c>
      <c r="V267" t="s">
        <v>47</v>
      </c>
      <c r="W267" t="str">
        <f t="shared" si="1"/>
        <v>PFC</v>
      </c>
    </row>
    <row r="268">
      <c r="A268" s="93">
        <v>256.0</v>
      </c>
      <c r="B268" s="94" t="s">
        <v>352</v>
      </c>
      <c r="C268" s="95"/>
      <c r="D268" s="95"/>
      <c r="E268" s="105">
        <v>3.7</v>
      </c>
      <c r="F268" s="105">
        <v>0.5</v>
      </c>
      <c r="G268" s="105">
        <v>5.1</v>
      </c>
      <c r="H268" s="105">
        <v>1.9</v>
      </c>
      <c r="I268" s="105">
        <v>0.8</v>
      </c>
      <c r="J268" s="105">
        <v>0.4</v>
      </c>
      <c r="K268" s="105">
        <v>1.4</v>
      </c>
      <c r="L268" s="105">
        <v>11.2</v>
      </c>
      <c r="M268" s="105">
        <v>0.9</v>
      </c>
      <c r="N268" s="105">
        <v>0.0</v>
      </c>
      <c r="O268" t="str">
        <f>IFERROR(__xludf.DUMMYFUNCTION("regexextract(B268,""[\w]* [\w]*"")"),"Gary Harris")</f>
        <v>Gary Harris</v>
      </c>
      <c r="P268" t="str">
        <f t="shared" si="2"/>
        <v>Gary Harris</v>
      </c>
      <c r="Q268" t="str">
        <f t="shared" si="3"/>
        <v>Gary Harris</v>
      </c>
      <c r="R268" t="s">
        <v>94</v>
      </c>
      <c r="S268" s="60" t="s">
        <v>44</v>
      </c>
      <c r="T268" t="s">
        <v>94</v>
      </c>
      <c r="U268" t="s">
        <v>94</v>
      </c>
      <c r="V268" t="s">
        <v>94</v>
      </c>
      <c r="W268" t="str">
        <f t="shared" si="1"/>
        <v>SG</v>
      </c>
    </row>
    <row r="269">
      <c r="A269" s="90">
        <v>257.0</v>
      </c>
      <c r="B269" s="91" t="s">
        <v>353</v>
      </c>
      <c r="C269" s="92"/>
      <c r="D269" s="92"/>
      <c r="E269" s="104">
        <v>2.1</v>
      </c>
      <c r="F269" s="104">
        <v>1.6</v>
      </c>
      <c r="G269" s="104">
        <v>3.6</v>
      </c>
      <c r="H269" s="104">
        <v>1.3</v>
      </c>
      <c r="I269" s="104">
        <v>0.6</v>
      </c>
      <c r="J269" s="104">
        <v>0.5</v>
      </c>
      <c r="K269" s="104">
        <v>1.0</v>
      </c>
      <c r="L269" s="104">
        <v>12.3</v>
      </c>
      <c r="M269" s="104">
        <v>31.3</v>
      </c>
      <c r="N269" s="108">
        <v>-2.4</v>
      </c>
      <c r="O269" t="str">
        <f>IFERROR(__xludf.DUMMYFUNCTION("regexextract(B269,""[\w]* [\w]*"")"),"Furkan Korkmaz")</f>
        <v>Furkan Korkmaz</v>
      </c>
      <c r="P269" t="str">
        <f t="shared" si="2"/>
        <v>Furkan Korkmaz</v>
      </c>
      <c r="Q269" t="str">
        <f t="shared" si="3"/>
        <v>Furkan Korkmaz</v>
      </c>
      <c r="R269" t="s">
        <v>94</v>
      </c>
      <c r="S269" s="60" t="s">
        <v>44</v>
      </c>
      <c r="T269" t="s">
        <v>94</v>
      </c>
      <c r="U269" t="s">
        <v>94</v>
      </c>
      <c r="V269" t="s">
        <v>94</v>
      </c>
      <c r="W269" t="str">
        <f t="shared" si="1"/>
        <v>SG</v>
      </c>
    </row>
    <row r="270">
      <c r="A270" s="93">
        <v>258.0</v>
      </c>
      <c r="B270" s="94" t="s">
        <v>354</v>
      </c>
      <c r="C270" s="95"/>
      <c r="D270" s="95"/>
      <c r="E270" s="105">
        <v>2.1</v>
      </c>
      <c r="F270" s="105">
        <v>0.8</v>
      </c>
      <c r="G270" s="105">
        <v>4.2</v>
      </c>
      <c r="H270" s="105">
        <v>1.0</v>
      </c>
      <c r="I270" s="105">
        <v>0.5</v>
      </c>
      <c r="J270" s="105">
        <v>0.9</v>
      </c>
      <c r="K270" s="105">
        <v>0.9</v>
      </c>
      <c r="L270" s="105">
        <v>9.9</v>
      </c>
      <c r="M270" s="105">
        <v>1.7</v>
      </c>
      <c r="N270" s="109">
        <v>-0.2</v>
      </c>
      <c r="O270" t="str">
        <f>IFERROR(__xludf.DUMMYFUNCTION("regexextract(B270,""[\w]* [\w]*"")"),"Austin Rivers")</f>
        <v>Austin Rivers</v>
      </c>
      <c r="P270" t="str">
        <f t="shared" si="2"/>
        <v>Austin Rivers</v>
      </c>
      <c r="Q270" t="str">
        <f t="shared" si="3"/>
        <v>Austin Rivers</v>
      </c>
      <c r="R270" t="s">
        <v>94</v>
      </c>
      <c r="S270" s="60" t="s">
        <v>44</v>
      </c>
      <c r="T270" t="s">
        <v>94</v>
      </c>
      <c r="U270" t="s">
        <v>94</v>
      </c>
      <c r="V270" t="s">
        <v>94</v>
      </c>
      <c r="W270" t="str">
        <f t="shared" si="1"/>
        <v>SG</v>
      </c>
    </row>
    <row r="271">
      <c r="A271" s="90">
        <v>259.0</v>
      </c>
      <c r="B271" s="91" t="s">
        <v>355</v>
      </c>
      <c r="C271" s="92"/>
      <c r="D271" s="92"/>
      <c r="E271" s="104">
        <v>1.2</v>
      </c>
      <c r="F271" s="104">
        <v>1.2</v>
      </c>
      <c r="G271" s="104">
        <v>3.2</v>
      </c>
      <c r="H271" s="104">
        <v>2.8</v>
      </c>
      <c r="I271" s="104">
        <v>1.2</v>
      </c>
      <c r="J271" s="104">
        <v>0.5</v>
      </c>
      <c r="K271" s="104">
        <v>1.4</v>
      </c>
      <c r="L271" s="104">
        <v>8.2</v>
      </c>
      <c r="M271" s="104">
        <v>1.2</v>
      </c>
      <c r="N271" s="104">
        <v>0.0</v>
      </c>
      <c r="O271" t="str">
        <f>IFERROR(__xludf.DUMMYFUNCTION("regexextract(B271,""[\w]* [\w]*"")"),"Jamal MurrayO")</f>
        <v>Jamal MurrayO</v>
      </c>
      <c r="P271" t="str">
        <f t="shared" si="2"/>
        <v>Jamal MurrayO</v>
      </c>
      <c r="Q271" t="str">
        <f t="shared" si="3"/>
        <v>Jamal Murray</v>
      </c>
      <c r="R271" t="s">
        <v>43</v>
      </c>
      <c r="S271" s="60" t="s">
        <v>44</v>
      </c>
      <c r="T271" t="s">
        <v>94</v>
      </c>
      <c r="U271" t="s">
        <v>94</v>
      </c>
      <c r="V271" t="s">
        <v>94</v>
      </c>
      <c r="W271" t="str">
        <f t="shared" si="1"/>
        <v>PGSG</v>
      </c>
    </row>
    <row r="272">
      <c r="A272" s="93">
        <v>260.0</v>
      </c>
      <c r="B272" s="94" t="s">
        <v>356</v>
      </c>
      <c r="C272" s="95"/>
      <c r="D272" s="95"/>
      <c r="E272" s="105">
        <v>2.1</v>
      </c>
      <c r="F272" s="105">
        <v>0.0</v>
      </c>
      <c r="G272" s="105">
        <v>5.3</v>
      </c>
      <c r="H272" s="105">
        <v>1.0</v>
      </c>
      <c r="I272" s="105">
        <v>0.7</v>
      </c>
      <c r="J272" s="105">
        <v>1.2</v>
      </c>
      <c r="K272" s="105">
        <v>0.6</v>
      </c>
      <c r="L272" s="105">
        <v>6.9</v>
      </c>
      <c r="M272" s="105">
        <v>1.7</v>
      </c>
      <c r="N272" s="106">
        <f>+0.2</f>
        <v>0.2</v>
      </c>
      <c r="O272" t="str">
        <f>IFERROR(__xludf.DUMMYFUNCTION("regexextract(B272,""[\w]* [\w]*"")"),"Trevor ArizaO")</f>
        <v>Trevor ArizaO</v>
      </c>
      <c r="P272" t="str">
        <f t="shared" si="2"/>
        <v>Trevor ArizaO</v>
      </c>
      <c r="Q272" t="str">
        <f t="shared" si="3"/>
        <v>Trevor Ariza</v>
      </c>
      <c r="R272" t="s">
        <v>94</v>
      </c>
      <c r="S272" s="60" t="s">
        <v>94</v>
      </c>
      <c r="T272" t="s">
        <v>45</v>
      </c>
      <c r="U272" t="s">
        <v>94</v>
      </c>
      <c r="V272" t="s">
        <v>94</v>
      </c>
      <c r="W272" t="str">
        <f t="shared" si="1"/>
        <v>SF</v>
      </c>
    </row>
    <row r="273">
      <c r="A273" s="90">
        <v>261.0</v>
      </c>
      <c r="B273" s="91" t="s">
        <v>357</v>
      </c>
      <c r="C273" s="92"/>
      <c r="D273" s="92"/>
      <c r="E273" s="104">
        <v>2.8</v>
      </c>
      <c r="F273" s="104">
        <v>1.5</v>
      </c>
      <c r="G273" s="104">
        <v>4.5</v>
      </c>
      <c r="H273" s="104">
        <v>1.8</v>
      </c>
      <c r="I273" s="104">
        <v>0.8</v>
      </c>
      <c r="J273" s="104">
        <v>0.4</v>
      </c>
      <c r="K273" s="104">
        <v>1.5</v>
      </c>
      <c r="L273" s="104">
        <v>13.2</v>
      </c>
      <c r="M273" s="104">
        <v>42.9</v>
      </c>
      <c r="N273" s="108">
        <v>-13.0</v>
      </c>
      <c r="O273" t="str">
        <f>IFERROR(__xludf.DUMMYFUNCTION("regexextract(B273,""[\w]* [\w]*"")"),"Luke Kennard")</f>
        <v>Luke Kennard</v>
      </c>
      <c r="P273" t="str">
        <f t="shared" si="2"/>
        <v>Luke Kennard</v>
      </c>
      <c r="Q273" t="str">
        <f t="shared" si="3"/>
        <v>Luke Kennard</v>
      </c>
      <c r="R273" t="s">
        <v>94</v>
      </c>
      <c r="S273" s="60" t="s">
        <v>44</v>
      </c>
      <c r="T273" t="s">
        <v>94</v>
      </c>
      <c r="U273" t="s">
        <v>94</v>
      </c>
      <c r="V273" t="s">
        <v>47</v>
      </c>
      <c r="W273" t="str">
        <f t="shared" si="1"/>
        <v>SGC</v>
      </c>
    </row>
    <row r="274">
      <c r="A274" s="93">
        <v>262.0</v>
      </c>
      <c r="B274" s="94" t="s">
        <v>358</v>
      </c>
      <c r="C274" s="95"/>
      <c r="D274" s="95"/>
      <c r="E274" s="105">
        <v>3.3</v>
      </c>
      <c r="F274" s="105">
        <v>1.2</v>
      </c>
      <c r="G274" s="105">
        <v>3.9</v>
      </c>
      <c r="H274" s="105">
        <v>2.2</v>
      </c>
      <c r="I274" s="105">
        <v>0.8</v>
      </c>
      <c r="J274" s="105">
        <v>0.7</v>
      </c>
      <c r="K274" s="105">
        <v>2.1</v>
      </c>
      <c r="L274" s="105">
        <v>12.5</v>
      </c>
      <c r="M274" s="105">
        <v>1.7</v>
      </c>
      <c r="N274" s="109">
        <v>-0.2</v>
      </c>
      <c r="O274" t="str">
        <f>IFERROR(__xludf.DUMMYFUNCTION("regexextract(B274,""[\w]* [\w]*"")"),"Wayne Ellington")</f>
        <v>Wayne Ellington</v>
      </c>
      <c r="P274" t="str">
        <f t="shared" si="2"/>
        <v>Wayne Ellington</v>
      </c>
      <c r="Q274" t="str">
        <f t="shared" si="3"/>
        <v>Wayne Ellington</v>
      </c>
      <c r="R274" t="s">
        <v>94</v>
      </c>
      <c r="S274" s="60" t="s">
        <v>44</v>
      </c>
      <c r="T274" t="s">
        <v>94</v>
      </c>
      <c r="U274" t="s">
        <v>94</v>
      </c>
      <c r="V274" t="s">
        <v>94</v>
      </c>
      <c r="W274" t="str">
        <f t="shared" si="1"/>
        <v>SG</v>
      </c>
    </row>
    <row r="275">
      <c r="A275" s="90">
        <v>263.0</v>
      </c>
      <c r="B275" s="91" t="s">
        <v>359</v>
      </c>
      <c r="C275" s="92"/>
      <c r="D275" s="92"/>
      <c r="E275" s="104">
        <v>1.3</v>
      </c>
      <c r="F275" s="104">
        <v>1.0</v>
      </c>
      <c r="G275" s="104">
        <v>4.8</v>
      </c>
      <c r="H275" s="104">
        <v>2.6</v>
      </c>
      <c r="I275" s="104">
        <v>0.6</v>
      </c>
      <c r="J275" s="104">
        <v>0.9</v>
      </c>
      <c r="K275" s="104">
        <v>1.1</v>
      </c>
      <c r="L275" s="104">
        <v>6.6</v>
      </c>
      <c r="M275" s="104">
        <v>1.5</v>
      </c>
      <c r="N275" s="104">
        <v>0.0</v>
      </c>
      <c r="O275" t="str">
        <f>IFERROR(__xludf.DUMMYFUNCTION("regexextract(B275,""[\w]* [\w]*"")"),"Kenyon Martin")</f>
        <v>Kenyon Martin</v>
      </c>
      <c r="P275" t="str">
        <f t="shared" si="2"/>
        <v>Kenyon Martin</v>
      </c>
      <c r="Q275" t="str">
        <f t="shared" si="3"/>
        <v>Kenyon Martin</v>
      </c>
      <c r="R275" t="s">
        <v>94</v>
      </c>
      <c r="S275" s="60" t="s">
        <v>94</v>
      </c>
      <c r="T275" t="s">
        <v>45</v>
      </c>
      <c r="U275" t="s">
        <v>94</v>
      </c>
      <c r="V275" t="s">
        <v>94</v>
      </c>
      <c r="W275" t="str">
        <f t="shared" si="1"/>
        <v>SF</v>
      </c>
    </row>
    <row r="276">
      <c r="A276" s="93">
        <v>264.0</v>
      </c>
      <c r="B276" s="94" t="s">
        <v>360</v>
      </c>
      <c r="C276" s="95"/>
      <c r="D276" s="95"/>
      <c r="E276" s="105">
        <v>1.2</v>
      </c>
      <c r="F276" s="105">
        <v>2.5</v>
      </c>
      <c r="G276" s="105">
        <v>2.2</v>
      </c>
      <c r="H276" s="105">
        <v>1.4</v>
      </c>
      <c r="I276" s="105">
        <v>0.5</v>
      </c>
      <c r="J276" s="105">
        <v>0.0</v>
      </c>
      <c r="K276" s="105">
        <v>0.9</v>
      </c>
      <c r="L276" s="105">
        <v>12.2</v>
      </c>
      <c r="M276" s="105">
        <v>0.6</v>
      </c>
      <c r="N276" s="106">
        <f t="shared" ref="N276:N277" si="10">+0.1</f>
        <v>0.1</v>
      </c>
      <c r="O276" t="str">
        <f>IFERROR(__xludf.DUMMYFUNCTION("regexextract(B276,""[\w]* [\w]*"")"),"Justise Winslow")</f>
        <v>Justise Winslow</v>
      </c>
      <c r="P276" t="str">
        <f t="shared" si="2"/>
        <v>Justise Winslow</v>
      </c>
      <c r="Q276" t="str">
        <f t="shared" si="3"/>
        <v>Justise Winslow</v>
      </c>
      <c r="R276" t="s">
        <v>94</v>
      </c>
      <c r="S276" s="60" t="s">
        <v>94</v>
      </c>
      <c r="T276" t="s">
        <v>45</v>
      </c>
      <c r="U276" t="s">
        <v>94</v>
      </c>
      <c r="V276" t="s">
        <v>47</v>
      </c>
      <c r="W276" t="str">
        <f t="shared" si="1"/>
        <v>SFC</v>
      </c>
    </row>
    <row r="277">
      <c r="A277" s="90">
        <v>265.0</v>
      </c>
      <c r="B277" s="91" t="s">
        <v>361</v>
      </c>
      <c r="C277" s="92"/>
      <c r="D277" s="92"/>
      <c r="E277" s="104">
        <v>2.9</v>
      </c>
      <c r="F277" s="104">
        <v>1.1</v>
      </c>
      <c r="G277" s="104">
        <v>2.1</v>
      </c>
      <c r="H277" s="104">
        <v>3.5</v>
      </c>
      <c r="I277" s="104">
        <v>0.7</v>
      </c>
      <c r="J277" s="104">
        <v>0.1</v>
      </c>
      <c r="K277" s="104">
        <v>1.7</v>
      </c>
      <c r="L277" s="104">
        <v>11.8</v>
      </c>
      <c r="M277" s="104">
        <v>1.8</v>
      </c>
      <c r="N277" s="107">
        <f t="shared" si="10"/>
        <v>0.1</v>
      </c>
      <c r="O277" t="str">
        <f>IFERROR(__xludf.DUMMYFUNCTION("regexextract(B277,""[\w]* [\w]*"")"),"JaVale McGee")</f>
        <v>JaVale McGee</v>
      </c>
      <c r="P277" t="str">
        <f t="shared" si="2"/>
        <v>JaVale McGee</v>
      </c>
      <c r="Q277" t="str">
        <f t="shared" si="3"/>
        <v>JaVale McGee</v>
      </c>
      <c r="R277" t="s">
        <v>94</v>
      </c>
      <c r="S277" s="60" t="s">
        <v>94</v>
      </c>
      <c r="T277" t="s">
        <v>94</v>
      </c>
      <c r="U277" t="s">
        <v>94</v>
      </c>
      <c r="V277" t="s">
        <v>47</v>
      </c>
      <c r="W277" t="str">
        <f t="shared" si="1"/>
        <v>C</v>
      </c>
    </row>
    <row r="278">
      <c r="A278" s="93">
        <v>266.0</v>
      </c>
      <c r="B278" s="94" t="s">
        <v>362</v>
      </c>
      <c r="C278" s="95"/>
      <c r="D278" s="95"/>
      <c r="E278" s="105">
        <v>1.7</v>
      </c>
      <c r="F278" s="105">
        <v>1.3</v>
      </c>
      <c r="G278" s="105">
        <v>2.9</v>
      </c>
      <c r="H278" s="105">
        <v>2.4</v>
      </c>
      <c r="I278" s="105">
        <v>0.9</v>
      </c>
      <c r="J278" s="105">
        <v>0.4</v>
      </c>
      <c r="K278" s="105">
        <v>1.2</v>
      </c>
      <c r="L278" s="105">
        <v>10.9</v>
      </c>
      <c r="M278" s="105">
        <v>2.1</v>
      </c>
      <c r="N278" s="109">
        <v>-0.2</v>
      </c>
      <c r="O278" t="str">
        <f>IFERROR(__xludf.DUMMYFUNCTION("regexextract(B278,""[\w]* [\w]*"")"),"Jordan Poole")</f>
        <v>Jordan Poole</v>
      </c>
      <c r="P278" t="str">
        <f t="shared" si="2"/>
        <v>Jordan Poole</v>
      </c>
      <c r="Q278" t="str">
        <f t="shared" si="3"/>
        <v>Jordan Poole</v>
      </c>
      <c r="R278" t="s">
        <v>43</v>
      </c>
      <c r="S278" s="60" t="s">
        <v>44</v>
      </c>
      <c r="T278" t="s">
        <v>94</v>
      </c>
      <c r="U278" t="s">
        <v>94</v>
      </c>
      <c r="V278" t="s">
        <v>94</v>
      </c>
      <c r="W278" t="str">
        <f t="shared" si="1"/>
        <v>PGSG</v>
      </c>
    </row>
    <row r="279">
      <c r="A279" s="90">
        <v>267.0</v>
      </c>
      <c r="B279" s="91" t="s">
        <v>363</v>
      </c>
      <c r="C279" s="92"/>
      <c r="D279" s="92"/>
      <c r="E279" s="104">
        <v>2.0</v>
      </c>
      <c r="F279" s="104">
        <v>0.7</v>
      </c>
      <c r="G279" s="104">
        <v>4.5</v>
      </c>
      <c r="H279" s="104">
        <v>1.5</v>
      </c>
      <c r="I279" s="104">
        <v>0.8</v>
      </c>
      <c r="J279" s="104">
        <v>0.6</v>
      </c>
      <c r="K279" s="104">
        <v>0.9</v>
      </c>
      <c r="L279" s="104">
        <v>8.6</v>
      </c>
      <c r="M279" s="104">
        <v>1.5</v>
      </c>
      <c r="N279" s="108">
        <v>-0.1</v>
      </c>
      <c r="O279" t="str">
        <f>IFERROR(__xludf.DUMMYFUNCTION("regexextract(B279,""[\w]* [\w]*"")"),"Juancho HernangomezDTD")</f>
        <v>Juancho HernangomezDTD</v>
      </c>
      <c r="P279" t="str">
        <f t="shared" si="2"/>
        <v>Juancho Hernangomez</v>
      </c>
      <c r="Q279" t="str">
        <f t="shared" si="3"/>
        <v>Juancho Hernangomez</v>
      </c>
      <c r="R279" t="s">
        <v>94</v>
      </c>
      <c r="S279" s="60" t="s">
        <v>94</v>
      </c>
      <c r="T279" t="s">
        <v>45</v>
      </c>
      <c r="U279" t="s">
        <v>46</v>
      </c>
      <c r="V279" t="s">
        <v>47</v>
      </c>
      <c r="W279" t="str">
        <f t="shared" si="1"/>
        <v>SFPFC</v>
      </c>
    </row>
    <row r="280">
      <c r="A280" s="93">
        <v>268.0</v>
      </c>
      <c r="B280" s="94" t="s">
        <v>364</v>
      </c>
      <c r="C280" s="95"/>
      <c r="D280" s="95"/>
      <c r="E280" s="105">
        <v>1.0</v>
      </c>
      <c r="F280" s="105">
        <v>1.6</v>
      </c>
      <c r="G280" s="105">
        <v>5.2</v>
      </c>
      <c r="H280" s="105">
        <v>1.2</v>
      </c>
      <c r="I280" s="105">
        <v>0.4</v>
      </c>
      <c r="J280" s="105">
        <v>0.9</v>
      </c>
      <c r="K280" s="105">
        <v>0.7</v>
      </c>
      <c r="L280" s="105">
        <v>7.7</v>
      </c>
      <c r="M280" s="105">
        <v>0.6</v>
      </c>
      <c r="N280" s="106">
        <f>+0.1</f>
        <v>0.1</v>
      </c>
      <c r="O280" t="str">
        <f>IFERROR(__xludf.DUMMYFUNCTION("regexextract(B280,""[\w]* [\w]*"")"),"PJ Dozier")</f>
        <v>PJ Dozier</v>
      </c>
      <c r="P280" t="str">
        <f t="shared" si="2"/>
        <v>PJ Dozier</v>
      </c>
      <c r="Q280" t="str">
        <f t="shared" si="3"/>
        <v>PJ Dozier</v>
      </c>
      <c r="R280" t="s">
        <v>43</v>
      </c>
      <c r="S280" s="60" t="s">
        <v>94</v>
      </c>
      <c r="T280" t="s">
        <v>94</v>
      </c>
      <c r="U280" t="s">
        <v>94</v>
      </c>
      <c r="V280" t="s">
        <v>94</v>
      </c>
      <c r="W280" t="str">
        <f t="shared" si="1"/>
        <v>PG</v>
      </c>
    </row>
    <row r="281">
      <c r="A281" s="90">
        <v>269.0</v>
      </c>
      <c r="B281" s="91" t="s">
        <v>365</v>
      </c>
      <c r="C281" s="92"/>
      <c r="D281" s="92"/>
      <c r="E281" s="104">
        <v>3.6</v>
      </c>
      <c r="F281" s="104">
        <v>2.0</v>
      </c>
      <c r="G281" s="104">
        <v>4.2</v>
      </c>
      <c r="H281" s="104">
        <v>1.6</v>
      </c>
      <c r="I281" s="104">
        <v>0.6</v>
      </c>
      <c r="J281" s="104">
        <v>0.2</v>
      </c>
      <c r="K281" s="104">
        <v>0.9</v>
      </c>
      <c r="L281" s="104">
        <v>13.7</v>
      </c>
      <c r="M281" s="104">
        <v>4.9</v>
      </c>
      <c r="N281" s="108">
        <v>-0.6</v>
      </c>
      <c r="O281" t="str">
        <f>IFERROR(__xludf.DUMMYFUNCTION("regexextract(B281,""[\w]* [\w]*"")"),"Torrey Craig")</f>
        <v>Torrey Craig</v>
      </c>
      <c r="P281" t="str">
        <f t="shared" si="2"/>
        <v>Torrey Craig</v>
      </c>
      <c r="Q281" t="str">
        <f t="shared" si="3"/>
        <v>Torrey Craig</v>
      </c>
      <c r="R281" t="s">
        <v>94</v>
      </c>
      <c r="S281" s="60" t="s">
        <v>94</v>
      </c>
      <c r="T281" t="s">
        <v>45</v>
      </c>
      <c r="U281" t="s">
        <v>94</v>
      </c>
      <c r="V281" t="s">
        <v>47</v>
      </c>
      <c r="W281" t="str">
        <f t="shared" si="1"/>
        <v>SFC</v>
      </c>
    </row>
    <row r="282">
      <c r="A282" s="93">
        <v>270.0</v>
      </c>
      <c r="B282" s="94" t="s">
        <v>366</v>
      </c>
      <c r="C282" s="95"/>
      <c r="D282" s="95"/>
      <c r="E282" s="105">
        <v>2.9</v>
      </c>
      <c r="F282" s="105">
        <v>0.1</v>
      </c>
      <c r="G282" s="105">
        <v>7.7</v>
      </c>
      <c r="H282" s="105">
        <v>0.8</v>
      </c>
      <c r="I282" s="105">
        <v>0.4</v>
      </c>
      <c r="J282" s="105">
        <v>0.9</v>
      </c>
      <c r="K282" s="105">
        <v>1.4</v>
      </c>
      <c r="L282" s="105">
        <v>7.0</v>
      </c>
      <c r="M282" s="105">
        <v>10.4</v>
      </c>
      <c r="N282" s="109">
        <v>-0.4</v>
      </c>
      <c r="O282" t="str">
        <f>IFERROR(__xludf.DUMMYFUNCTION("regexextract(B282,""[\w]* [\w]*"")"),"DeAndre Jordan")</f>
        <v>DeAndre Jordan</v>
      </c>
      <c r="P282" t="str">
        <f t="shared" si="2"/>
        <v>DeAndre Jordan</v>
      </c>
      <c r="Q282" t="str">
        <f t="shared" si="3"/>
        <v>DeAndre Jordan</v>
      </c>
      <c r="R282" t="s">
        <v>94</v>
      </c>
      <c r="S282" s="60" t="s">
        <v>94</v>
      </c>
      <c r="T282" t="s">
        <v>94</v>
      </c>
      <c r="U282" t="s">
        <v>94</v>
      </c>
      <c r="V282" t="s">
        <v>47</v>
      </c>
      <c r="W282" t="str">
        <f t="shared" si="1"/>
        <v>C</v>
      </c>
    </row>
    <row r="283">
      <c r="A283" s="90">
        <v>271.0</v>
      </c>
      <c r="B283" s="91" t="s">
        <v>367</v>
      </c>
      <c r="C283" s="92"/>
      <c r="D283" s="92"/>
      <c r="E283" s="104">
        <v>1.6</v>
      </c>
      <c r="F283" s="104">
        <v>1.6</v>
      </c>
      <c r="G283" s="104">
        <v>2.4</v>
      </c>
      <c r="H283" s="104">
        <v>1.6</v>
      </c>
      <c r="I283" s="104">
        <v>0.8</v>
      </c>
      <c r="J283" s="104">
        <v>0.3</v>
      </c>
      <c r="K283" s="104">
        <v>0.9</v>
      </c>
      <c r="L283" s="104">
        <v>9.4</v>
      </c>
      <c r="M283" s="104">
        <v>3.5</v>
      </c>
      <c r="N283" s="108">
        <v>-0.6</v>
      </c>
      <c r="O283" t="str">
        <f>IFERROR(__xludf.DUMMYFUNCTION("regexextract(B283,""[\w]* [\w]*"")"),"Eric Paschall")</f>
        <v>Eric Paschall</v>
      </c>
      <c r="P283" t="str">
        <f t="shared" si="2"/>
        <v>Eric Paschall</v>
      </c>
      <c r="Q283" t="str">
        <f t="shared" si="3"/>
        <v>Eric Paschall</v>
      </c>
      <c r="R283" t="s">
        <v>94</v>
      </c>
      <c r="S283" s="60" t="s">
        <v>94</v>
      </c>
      <c r="T283" t="s">
        <v>94</v>
      </c>
      <c r="U283" t="s">
        <v>46</v>
      </c>
      <c r="V283" t="s">
        <v>47</v>
      </c>
      <c r="W283" t="str">
        <f t="shared" si="1"/>
        <v>PFC</v>
      </c>
    </row>
    <row r="284">
      <c r="A284" s="93">
        <v>272.0</v>
      </c>
      <c r="B284" s="94" t="s">
        <v>368</v>
      </c>
      <c r="C284" s="95"/>
      <c r="D284" s="95"/>
      <c r="E284" s="105">
        <v>2.5</v>
      </c>
      <c r="F284" s="105">
        <v>0.2</v>
      </c>
      <c r="G284" s="105">
        <v>4.7</v>
      </c>
      <c r="H284" s="105">
        <v>1.2</v>
      </c>
      <c r="I284" s="105">
        <v>0.7</v>
      </c>
      <c r="J284" s="105">
        <v>0.6</v>
      </c>
      <c r="K284" s="105">
        <v>0.8</v>
      </c>
      <c r="L284" s="105">
        <v>7.7</v>
      </c>
      <c r="M284" s="105">
        <v>0.4</v>
      </c>
      <c r="N284" s="106">
        <f>+0.1</f>
        <v>0.1</v>
      </c>
      <c r="O284" t="str">
        <f>IFERROR(__xludf.DUMMYFUNCTION("regexextract(B284,""[\w]* [\w]*"")"),"Aaron Holiday")</f>
        <v>Aaron Holiday</v>
      </c>
      <c r="P284" t="str">
        <f t="shared" si="2"/>
        <v>Aaron Holiday</v>
      </c>
      <c r="Q284" t="str">
        <f t="shared" si="3"/>
        <v>Aaron Holiday</v>
      </c>
      <c r="R284" t="s">
        <v>43</v>
      </c>
      <c r="S284" s="60" t="s">
        <v>44</v>
      </c>
      <c r="T284" t="s">
        <v>94</v>
      </c>
      <c r="U284" t="s">
        <v>94</v>
      </c>
      <c r="V284" t="s">
        <v>94</v>
      </c>
      <c r="W284" t="str">
        <f t="shared" si="1"/>
        <v>PGSG</v>
      </c>
    </row>
    <row r="285">
      <c r="A285" s="90">
        <v>273.0</v>
      </c>
      <c r="B285" s="91" t="s">
        <v>369</v>
      </c>
      <c r="C285" s="92"/>
      <c r="D285" s="92"/>
      <c r="E285" s="104">
        <v>1.8</v>
      </c>
      <c r="F285" s="104">
        <v>0.0</v>
      </c>
      <c r="G285" s="104">
        <v>5.2</v>
      </c>
      <c r="H285" s="104">
        <v>0.6</v>
      </c>
      <c r="I285" s="104">
        <v>0.7</v>
      </c>
      <c r="J285" s="104">
        <v>1.1</v>
      </c>
      <c r="K285" s="104">
        <v>0.9</v>
      </c>
      <c r="L285" s="104">
        <v>7.1</v>
      </c>
      <c r="M285" s="104">
        <v>0.7</v>
      </c>
      <c r="N285" s="104">
        <v>0.0</v>
      </c>
      <c r="O285" t="str">
        <f>IFERROR(__xludf.DUMMYFUNCTION("regexextract(B285,""[\w]* [\w]*"")"),"Raul Neto")</f>
        <v>Raul Neto</v>
      </c>
      <c r="P285" t="str">
        <f t="shared" si="2"/>
        <v>Raul Neto</v>
      </c>
      <c r="Q285" t="str">
        <f t="shared" si="3"/>
        <v>Raul Net</v>
      </c>
      <c r="R285" t="s">
        <v>43</v>
      </c>
      <c r="S285" s="60" t="s">
        <v>94</v>
      </c>
      <c r="T285" t="s">
        <v>94</v>
      </c>
      <c r="U285" t="s">
        <v>94</v>
      </c>
      <c r="V285" t="s">
        <v>94</v>
      </c>
      <c r="W285" t="str">
        <f t="shared" si="1"/>
        <v>PG</v>
      </c>
    </row>
    <row r="286">
      <c r="A286" s="93">
        <v>274.0</v>
      </c>
      <c r="B286" s="94" t="s">
        <v>370</v>
      </c>
      <c r="C286" s="95"/>
      <c r="D286" s="95"/>
      <c r="E286" s="105">
        <v>0.9</v>
      </c>
      <c r="F286" s="105">
        <v>1.8</v>
      </c>
      <c r="G286" s="105">
        <v>2.9</v>
      </c>
      <c r="H286" s="105">
        <v>1.3</v>
      </c>
      <c r="I286" s="105">
        <v>0.9</v>
      </c>
      <c r="J286" s="105">
        <v>0.5</v>
      </c>
      <c r="K286" s="105">
        <v>0.7</v>
      </c>
      <c r="L286" s="105">
        <v>8.1</v>
      </c>
      <c r="M286" s="105">
        <v>3.0</v>
      </c>
      <c r="N286" s="109">
        <v>-0.4</v>
      </c>
      <c r="O286" t="str">
        <f>IFERROR(__xludf.DUMMYFUNCTION("regexextract(B286,""[\w]* [\w]*"")"),"Sterling Brown")</f>
        <v>Sterling Brown</v>
      </c>
      <c r="P286" t="str">
        <f t="shared" si="2"/>
        <v>Sterling Brown</v>
      </c>
      <c r="Q286" t="str">
        <f t="shared" si="3"/>
        <v>Sterling Brown</v>
      </c>
      <c r="R286" t="s">
        <v>94</v>
      </c>
      <c r="S286" s="60" t="s">
        <v>44</v>
      </c>
      <c r="T286" t="s">
        <v>45</v>
      </c>
      <c r="U286" t="s">
        <v>94</v>
      </c>
      <c r="V286" t="s">
        <v>94</v>
      </c>
      <c r="W286" t="str">
        <f t="shared" si="1"/>
        <v>SGSF</v>
      </c>
    </row>
    <row r="287">
      <c r="A287" s="90">
        <v>275.0</v>
      </c>
      <c r="B287" s="91" t="s">
        <v>371</v>
      </c>
      <c r="C287" s="92"/>
      <c r="D287" s="92"/>
      <c r="E287" s="104">
        <v>1.5</v>
      </c>
      <c r="F287" s="104">
        <v>1.7</v>
      </c>
      <c r="G287" s="104">
        <v>3.9</v>
      </c>
      <c r="H287" s="104">
        <v>1.7</v>
      </c>
      <c r="I287" s="104">
        <v>0.7</v>
      </c>
      <c r="J287" s="104">
        <v>0.4</v>
      </c>
      <c r="K287" s="104">
        <v>1.4</v>
      </c>
      <c r="L287" s="104">
        <v>9.9</v>
      </c>
      <c r="M287" s="104">
        <v>0.4</v>
      </c>
      <c r="N287" s="104">
        <v>0.0</v>
      </c>
      <c r="O287" t="str">
        <f>IFERROR(__xludf.DUMMYFUNCTION("regexextract(B287,""[\w]* [\w]*"")"),"Moritz Wagner")</f>
        <v>Moritz Wagner</v>
      </c>
      <c r="P287" t="str">
        <f t="shared" si="2"/>
        <v>Moritz Wagner</v>
      </c>
      <c r="Q287" t="str">
        <f t="shared" si="3"/>
        <v>Moritz Wagner</v>
      </c>
      <c r="R287" t="s">
        <v>94</v>
      </c>
      <c r="S287" s="60" t="s">
        <v>94</v>
      </c>
      <c r="T287" t="s">
        <v>94</v>
      </c>
      <c r="U287" t="s">
        <v>46</v>
      </c>
      <c r="V287" t="s">
        <v>47</v>
      </c>
      <c r="W287" t="str">
        <f t="shared" si="1"/>
        <v>PFC</v>
      </c>
    </row>
    <row r="288">
      <c r="A288" s="93">
        <v>276.0</v>
      </c>
      <c r="B288" s="94" t="s">
        <v>372</v>
      </c>
      <c r="C288" s="95"/>
      <c r="D288" s="95"/>
      <c r="E288" s="105">
        <v>1.1</v>
      </c>
      <c r="F288" s="105">
        <v>1.4</v>
      </c>
      <c r="G288" s="105">
        <v>4.1</v>
      </c>
      <c r="H288" s="105">
        <v>2.8</v>
      </c>
      <c r="I288" s="105">
        <v>0.8</v>
      </c>
      <c r="J288" s="105">
        <v>0.6</v>
      </c>
      <c r="K288" s="105">
        <v>1.0</v>
      </c>
      <c r="L288" s="105">
        <v>7.1</v>
      </c>
      <c r="M288" s="105">
        <v>1.5</v>
      </c>
      <c r="N288" s="109">
        <v>-0.2</v>
      </c>
      <c r="O288" t="str">
        <f>IFERROR(__xludf.DUMMYFUNCTION("regexextract(B288,""[\w]* [\w]*"")"),"Jalen McDaniels")</f>
        <v>Jalen McDaniels</v>
      </c>
      <c r="P288" t="str">
        <f t="shared" si="2"/>
        <v>Jalen McDaniels</v>
      </c>
      <c r="Q288" t="str">
        <f t="shared" si="3"/>
        <v>Jalen McDaniels</v>
      </c>
      <c r="R288" t="s">
        <v>94</v>
      </c>
      <c r="S288" s="60" t="s">
        <v>94</v>
      </c>
      <c r="T288" t="s">
        <v>94</v>
      </c>
      <c r="U288" t="s">
        <v>46</v>
      </c>
      <c r="V288" t="s">
        <v>47</v>
      </c>
      <c r="W288" t="str">
        <f t="shared" si="1"/>
        <v>PFC</v>
      </c>
    </row>
    <row r="289">
      <c r="A289" s="90">
        <v>277.0</v>
      </c>
      <c r="B289" s="91" t="s">
        <v>373</v>
      </c>
      <c r="C289" s="92"/>
      <c r="D289" s="92"/>
      <c r="E289" s="104">
        <v>0.6</v>
      </c>
      <c r="F289" s="104">
        <v>0.8</v>
      </c>
      <c r="G289" s="104">
        <v>3.0</v>
      </c>
      <c r="H289" s="104">
        <v>5.2</v>
      </c>
      <c r="I289" s="104">
        <v>0.9</v>
      </c>
      <c r="J289" s="104">
        <v>0.1</v>
      </c>
      <c r="K289" s="104">
        <v>2.0</v>
      </c>
      <c r="L289" s="104">
        <v>6.5</v>
      </c>
      <c r="M289" s="104">
        <v>3.1</v>
      </c>
      <c r="N289" s="107">
        <f>+0.3</f>
        <v>0.3</v>
      </c>
      <c r="O289" t="str">
        <f>IFERROR(__xludf.DUMMYFUNCTION("regexextract(B289,""[\w]* [\w]*"")"),"Dwayne Bacon")</f>
        <v>Dwayne Bacon</v>
      </c>
      <c r="P289" t="str">
        <f t="shared" si="2"/>
        <v>Dwayne Bacon</v>
      </c>
      <c r="Q289" t="str">
        <f t="shared" si="3"/>
        <v>Dwayne Bacon</v>
      </c>
      <c r="R289" t="s">
        <v>94</v>
      </c>
      <c r="S289" s="60" t="s">
        <v>44</v>
      </c>
      <c r="T289" t="s">
        <v>94</v>
      </c>
      <c r="U289" t="s">
        <v>94</v>
      </c>
      <c r="V289" t="s">
        <v>47</v>
      </c>
      <c r="W289" t="str">
        <f t="shared" si="1"/>
        <v>SGC</v>
      </c>
    </row>
    <row r="290">
      <c r="A290" s="93">
        <v>278.0</v>
      </c>
      <c r="B290" s="94" t="s">
        <v>374</v>
      </c>
      <c r="C290" s="95"/>
      <c r="D290" s="95"/>
      <c r="E290" s="105">
        <v>2.1</v>
      </c>
      <c r="F290" s="105">
        <v>0.0</v>
      </c>
      <c r="G290" s="105">
        <v>7.6</v>
      </c>
      <c r="H290" s="105">
        <v>1.4</v>
      </c>
      <c r="I290" s="105">
        <v>0.4</v>
      </c>
      <c r="J290" s="105">
        <v>0.6</v>
      </c>
      <c r="K290" s="105">
        <v>1.2</v>
      </c>
      <c r="L290" s="105">
        <v>7.9</v>
      </c>
      <c r="M290" s="105">
        <v>1.5</v>
      </c>
      <c r="N290" s="109">
        <v>-0.1</v>
      </c>
      <c r="O290" t="str">
        <f>IFERROR(__xludf.DUMMYFUNCTION("regexextract(B290,""[\w]* [\w]*"")"),"Damion Lee")</f>
        <v>Damion Lee</v>
      </c>
      <c r="P290" t="str">
        <f t="shared" si="2"/>
        <v>Damion Lee</v>
      </c>
      <c r="Q290" t="str">
        <f t="shared" si="3"/>
        <v>Damion Lee</v>
      </c>
      <c r="R290" t="s">
        <v>94</v>
      </c>
      <c r="S290" s="60" t="s">
        <v>44</v>
      </c>
      <c r="T290" t="s">
        <v>45</v>
      </c>
      <c r="U290" t="s">
        <v>94</v>
      </c>
      <c r="V290" t="s">
        <v>94</v>
      </c>
      <c r="W290" t="str">
        <f t="shared" si="1"/>
        <v>SGSF</v>
      </c>
    </row>
    <row r="291">
      <c r="A291" s="90">
        <v>279.0</v>
      </c>
      <c r="B291" s="91" t="s">
        <v>375</v>
      </c>
      <c r="C291" s="92"/>
      <c r="D291" s="92"/>
      <c r="E291" s="104">
        <v>2.1</v>
      </c>
      <c r="F291" s="104">
        <v>1.3</v>
      </c>
      <c r="G291" s="104">
        <v>3.3</v>
      </c>
      <c r="H291" s="104">
        <v>1.3</v>
      </c>
      <c r="I291" s="104">
        <v>0.5</v>
      </c>
      <c r="J291" s="104">
        <v>0.4</v>
      </c>
      <c r="K291" s="104">
        <v>0.8</v>
      </c>
      <c r="L291" s="104">
        <v>9.6</v>
      </c>
      <c r="M291" s="104">
        <v>1.8</v>
      </c>
      <c r="N291" s="108">
        <v>-0.4</v>
      </c>
      <c r="O291" t="str">
        <f>IFERROR(__xludf.DUMMYFUNCTION("regexextract(B291,""[\w]* [\w]*"")"),"Aaron Nesmith")</f>
        <v>Aaron Nesmith</v>
      </c>
      <c r="P291" t="str">
        <f t="shared" si="2"/>
        <v>Aaron Nesmith</v>
      </c>
      <c r="Q291" t="str">
        <f t="shared" si="3"/>
        <v>Aaron Nesmith</v>
      </c>
      <c r="R291" t="s">
        <v>94</v>
      </c>
      <c r="S291" s="60" t="s">
        <v>94</v>
      </c>
      <c r="T291" t="s">
        <v>45</v>
      </c>
      <c r="U291" t="s">
        <v>94</v>
      </c>
      <c r="V291" t="s">
        <v>94</v>
      </c>
      <c r="W291" t="str">
        <f t="shared" si="1"/>
        <v>SF</v>
      </c>
    </row>
    <row r="292">
      <c r="A292" s="93">
        <v>280.0</v>
      </c>
      <c r="B292" s="94" t="s">
        <v>376</v>
      </c>
      <c r="C292" s="95"/>
      <c r="D292" s="95"/>
      <c r="E292" s="105">
        <v>1.0</v>
      </c>
      <c r="F292" s="105">
        <v>0.6</v>
      </c>
      <c r="G292" s="105">
        <v>2.5</v>
      </c>
      <c r="H292" s="105">
        <v>3.2</v>
      </c>
      <c r="I292" s="105">
        <v>0.8</v>
      </c>
      <c r="J292" s="105">
        <v>0.3</v>
      </c>
      <c r="K292" s="105">
        <v>1.0</v>
      </c>
      <c r="L292" s="105">
        <v>6.7</v>
      </c>
      <c r="M292" s="105">
        <v>2.1</v>
      </c>
      <c r="N292" s="109">
        <v>-0.7</v>
      </c>
      <c r="O292" t="str">
        <f>IFERROR(__xludf.DUMMYFUNCTION("regexextract(B292,""[\w]* [\w]*"")"),"Juan Toscano")</f>
        <v>Juan Toscano</v>
      </c>
      <c r="P292" t="str">
        <f t="shared" si="2"/>
        <v>Juan Toscano</v>
      </c>
      <c r="Q292" t="str">
        <f t="shared" si="3"/>
        <v>Juan Toscan</v>
      </c>
      <c r="R292" t="s">
        <v>94</v>
      </c>
      <c r="S292" s="60" t="s">
        <v>94</v>
      </c>
      <c r="T292" t="s">
        <v>45</v>
      </c>
      <c r="U292" t="s">
        <v>46</v>
      </c>
      <c r="V292" t="s">
        <v>47</v>
      </c>
      <c r="W292" t="str">
        <f t="shared" si="1"/>
        <v>SFPFC</v>
      </c>
    </row>
    <row r="293">
      <c r="A293" s="90">
        <v>281.0</v>
      </c>
      <c r="B293" s="91" t="s">
        <v>377</v>
      </c>
      <c r="C293" s="92"/>
      <c r="D293" s="92"/>
      <c r="E293" s="104">
        <v>1.2</v>
      </c>
      <c r="F293" s="104">
        <v>2.1</v>
      </c>
      <c r="G293" s="104">
        <v>1.6</v>
      </c>
      <c r="H293" s="104">
        <v>2.1</v>
      </c>
      <c r="I293" s="104">
        <v>0.6</v>
      </c>
      <c r="J293" s="104">
        <v>0.1</v>
      </c>
      <c r="K293" s="104">
        <v>0.9</v>
      </c>
      <c r="L293" s="104">
        <v>9.8</v>
      </c>
      <c r="M293" s="104">
        <v>3.2</v>
      </c>
      <c r="N293" s="104">
        <v>0.0</v>
      </c>
      <c r="O293" t="str">
        <f>IFERROR(__xludf.DUMMYFUNCTION("regexextract(B293,""[\w]* [\w]*"")"),"Josh Okogie")</f>
        <v>Josh Okogie</v>
      </c>
      <c r="P293" t="str">
        <f t="shared" si="2"/>
        <v>Josh Okogie</v>
      </c>
      <c r="Q293" t="str">
        <f t="shared" si="3"/>
        <v>Josh Okogie</v>
      </c>
      <c r="R293" t="s">
        <v>94</v>
      </c>
      <c r="S293" s="60" t="s">
        <v>44</v>
      </c>
      <c r="T293" t="s">
        <v>45</v>
      </c>
      <c r="U293" t="s">
        <v>94</v>
      </c>
      <c r="V293" t="s">
        <v>94</v>
      </c>
      <c r="W293" t="str">
        <f t="shared" si="1"/>
        <v>SGSF</v>
      </c>
    </row>
    <row r="294">
      <c r="A294" s="93">
        <v>282.0</v>
      </c>
      <c r="B294" s="94" t="s">
        <v>378</v>
      </c>
      <c r="C294" s="95"/>
      <c r="D294" s="95"/>
      <c r="E294" s="105">
        <v>1.2</v>
      </c>
      <c r="F294" s="105">
        <v>1.0</v>
      </c>
      <c r="G294" s="105">
        <v>1.7</v>
      </c>
      <c r="H294" s="105">
        <v>3.0</v>
      </c>
      <c r="I294" s="105">
        <v>0.9</v>
      </c>
      <c r="J294" s="105">
        <v>0.2</v>
      </c>
      <c r="K294" s="105">
        <v>0.8</v>
      </c>
      <c r="L294" s="105">
        <v>8.5</v>
      </c>
      <c r="M294" s="105">
        <v>0.9</v>
      </c>
      <c r="N294" s="109">
        <v>-0.1</v>
      </c>
      <c r="O294" t="str">
        <f>IFERROR(__xludf.DUMMYFUNCTION("regexextract(B294,""[\w]* [\w]*"")"),"Andre Iguodala")</f>
        <v>Andre Iguodala</v>
      </c>
      <c r="P294" t="str">
        <f t="shared" si="2"/>
        <v>Andre Iguodala</v>
      </c>
      <c r="Q294" t="str">
        <f t="shared" si="3"/>
        <v>Andre Iguodala</v>
      </c>
      <c r="R294" t="s">
        <v>94</v>
      </c>
      <c r="S294" s="60" t="s">
        <v>44</v>
      </c>
      <c r="T294" t="s">
        <v>45</v>
      </c>
      <c r="U294" t="s">
        <v>94</v>
      </c>
      <c r="V294" t="s">
        <v>94</v>
      </c>
      <c r="W294" t="str">
        <f t="shared" si="1"/>
        <v>SGSF</v>
      </c>
    </row>
    <row r="295">
      <c r="A295" s="90">
        <v>283.0</v>
      </c>
      <c r="B295" s="91" t="s">
        <v>379</v>
      </c>
      <c r="C295" s="92"/>
      <c r="D295" s="92"/>
      <c r="E295" s="104">
        <v>1.9</v>
      </c>
      <c r="F295" s="104">
        <v>1.4</v>
      </c>
      <c r="G295" s="104">
        <v>2.3</v>
      </c>
      <c r="H295" s="104">
        <v>2.1</v>
      </c>
      <c r="I295" s="104">
        <v>0.9</v>
      </c>
      <c r="J295" s="104">
        <v>0.3</v>
      </c>
      <c r="K295" s="104">
        <v>1.7</v>
      </c>
      <c r="L295" s="104">
        <v>9.7</v>
      </c>
      <c r="M295" s="104">
        <v>3.2</v>
      </c>
      <c r="N295" s="108">
        <v>-0.5</v>
      </c>
      <c r="O295" t="str">
        <f>IFERROR(__xludf.DUMMYFUNCTION("regexextract(B295,""[\w]* [\w]*"")"),"Kevon Looney")</f>
        <v>Kevon Looney</v>
      </c>
      <c r="P295" t="str">
        <f t="shared" si="2"/>
        <v>Kevon Looney</v>
      </c>
      <c r="Q295" t="str">
        <f t="shared" si="3"/>
        <v>Kevon Looney</v>
      </c>
      <c r="R295" t="s">
        <v>94</v>
      </c>
      <c r="S295" s="60" t="s">
        <v>94</v>
      </c>
      <c r="T295" t="s">
        <v>94</v>
      </c>
      <c r="U295" t="s">
        <v>46</v>
      </c>
      <c r="V295" t="s">
        <v>94</v>
      </c>
      <c r="W295" t="str">
        <f t="shared" si="1"/>
        <v>PF</v>
      </c>
    </row>
    <row r="296">
      <c r="A296" s="93">
        <v>284.0</v>
      </c>
      <c r="B296" s="94" t="s">
        <v>380</v>
      </c>
      <c r="C296" s="95"/>
      <c r="D296" s="95"/>
      <c r="E296" s="105">
        <v>2.2</v>
      </c>
      <c r="F296" s="105">
        <v>0.2</v>
      </c>
      <c r="G296" s="105">
        <v>2.4</v>
      </c>
      <c r="H296" s="105">
        <v>4.2</v>
      </c>
      <c r="I296" s="105">
        <v>0.8</v>
      </c>
      <c r="J296" s="105">
        <v>0.3</v>
      </c>
      <c r="K296" s="105">
        <v>1.3</v>
      </c>
      <c r="L296" s="105">
        <v>6.5</v>
      </c>
      <c r="M296" s="105">
        <v>0.2</v>
      </c>
      <c r="N296" s="106">
        <f>+0.1</f>
        <v>0.1</v>
      </c>
      <c r="O296" t="str">
        <f>IFERROR(__xludf.DUMMYFUNCTION("regexextract(B296,""[\w]* [\w]*"")"),"Mike Muscala")</f>
        <v>Mike Muscala</v>
      </c>
      <c r="P296" t="str">
        <f t="shared" si="2"/>
        <v>Mike Muscala</v>
      </c>
      <c r="Q296" t="str">
        <f t="shared" si="3"/>
        <v>Mike Muscala</v>
      </c>
      <c r="R296" t="s">
        <v>94</v>
      </c>
      <c r="S296" s="60" t="s">
        <v>94</v>
      </c>
      <c r="T296" t="s">
        <v>94</v>
      </c>
      <c r="U296" t="s">
        <v>46</v>
      </c>
      <c r="V296" t="s">
        <v>47</v>
      </c>
      <c r="W296" t="str">
        <f t="shared" si="1"/>
        <v>PFC</v>
      </c>
    </row>
    <row r="297">
      <c r="A297" s="90">
        <v>285.0</v>
      </c>
      <c r="B297" s="91" t="s">
        <v>381</v>
      </c>
      <c r="C297" s="92"/>
      <c r="D297" s="92"/>
      <c r="E297" s="104">
        <v>1.3</v>
      </c>
      <c r="F297" s="104">
        <v>0.6</v>
      </c>
      <c r="G297" s="104">
        <v>2.8</v>
      </c>
      <c r="H297" s="104">
        <v>2.7</v>
      </c>
      <c r="I297" s="104">
        <v>1.0</v>
      </c>
      <c r="J297" s="104">
        <v>0.3</v>
      </c>
      <c r="K297" s="104">
        <v>0.8</v>
      </c>
      <c r="L297" s="104">
        <v>6.3</v>
      </c>
      <c r="M297" s="104">
        <v>50.4</v>
      </c>
      <c r="N297" s="108">
        <v>-17.3</v>
      </c>
      <c r="O297" t="str">
        <f>IFERROR(__xludf.DUMMYFUNCTION("regexextract(B297,""[\w]* [\w]*"")"),"DeMarcus Cousins")</f>
        <v>DeMarcus Cousins</v>
      </c>
      <c r="P297" t="str">
        <f t="shared" si="2"/>
        <v>DeMarcus Cousins</v>
      </c>
      <c r="Q297" t="str">
        <f t="shared" si="3"/>
        <v>DeMarcus Cousins</v>
      </c>
      <c r="R297" t="s">
        <v>94</v>
      </c>
      <c r="S297" s="60" t="s">
        <v>94</v>
      </c>
      <c r="T297" t="s">
        <v>94</v>
      </c>
      <c r="U297" t="s">
        <v>94</v>
      </c>
      <c r="V297" t="s">
        <v>47</v>
      </c>
      <c r="W297" t="str">
        <f t="shared" si="1"/>
        <v>C</v>
      </c>
    </row>
    <row r="298">
      <c r="A298" s="93">
        <v>286.0</v>
      </c>
      <c r="B298" s="94" t="s">
        <v>382</v>
      </c>
      <c r="C298" s="95"/>
      <c r="D298" s="95"/>
      <c r="E298" s="105">
        <v>0.6</v>
      </c>
      <c r="F298" s="105">
        <v>1.2</v>
      </c>
      <c r="G298" s="105">
        <v>4.6</v>
      </c>
      <c r="H298" s="105">
        <v>1.4</v>
      </c>
      <c r="I298" s="105">
        <v>0.6</v>
      </c>
      <c r="J298" s="105">
        <v>0.4</v>
      </c>
      <c r="K298" s="105">
        <v>0.6</v>
      </c>
      <c r="L298" s="105">
        <v>6.4</v>
      </c>
      <c r="M298" s="105">
        <v>0.8</v>
      </c>
      <c r="N298" s="105">
        <v>0.0</v>
      </c>
      <c r="O298" t="str">
        <f>IFERROR(__xludf.DUMMYFUNCTION("regexextract(B298,""[\w]* [\w]*"")"),"Jarrett CulverDTD")</f>
        <v>Jarrett CulverDTD</v>
      </c>
      <c r="P298" t="str">
        <f t="shared" si="2"/>
        <v>Jarrett Culver</v>
      </c>
      <c r="Q298" t="str">
        <f t="shared" si="3"/>
        <v>Jarrett Culver</v>
      </c>
      <c r="R298" t="s">
        <v>94</v>
      </c>
      <c r="S298" s="60" t="s">
        <v>44</v>
      </c>
      <c r="T298" t="s">
        <v>45</v>
      </c>
      <c r="U298" t="s">
        <v>94</v>
      </c>
      <c r="V298" t="s">
        <v>47</v>
      </c>
      <c r="W298" t="str">
        <f t="shared" si="1"/>
        <v>SGSFC</v>
      </c>
    </row>
    <row r="299">
      <c r="A299" s="90">
        <v>287.0</v>
      </c>
      <c r="B299" s="91" t="s">
        <v>383</v>
      </c>
      <c r="C299" s="92"/>
      <c r="D299" s="92"/>
      <c r="E299" s="104">
        <v>1.4</v>
      </c>
      <c r="F299" s="104">
        <v>2.0</v>
      </c>
      <c r="G299" s="104">
        <v>2.8</v>
      </c>
      <c r="H299" s="104">
        <v>1.8</v>
      </c>
      <c r="I299" s="104">
        <v>0.4</v>
      </c>
      <c r="J299" s="104">
        <v>0.2</v>
      </c>
      <c r="K299" s="104">
        <v>1.0</v>
      </c>
      <c r="L299" s="104">
        <v>10.2</v>
      </c>
      <c r="M299" s="104">
        <v>0.6</v>
      </c>
      <c r="N299" s="104">
        <v>0.0</v>
      </c>
      <c r="O299" t="str">
        <f>IFERROR(__xludf.DUMMYFUNCTION("regexextract(B299,""[\w]* [\w]*"")"),"Bismack Biyombo")</f>
        <v>Bismack Biyombo</v>
      </c>
      <c r="P299" t="str">
        <f t="shared" si="2"/>
        <v>Bismack Biyombo</v>
      </c>
      <c r="Q299" t="str">
        <f t="shared" si="3"/>
        <v>Bismack Biyomb</v>
      </c>
      <c r="R299" t="s">
        <v>94</v>
      </c>
      <c r="S299" s="60" t="s">
        <v>94</v>
      </c>
      <c r="T299" t="s">
        <v>94</v>
      </c>
      <c r="U299" t="s">
        <v>94</v>
      </c>
      <c r="V299" t="s">
        <v>47</v>
      </c>
      <c r="W299" t="str">
        <f t="shared" si="1"/>
        <v>C</v>
      </c>
    </row>
    <row r="300">
      <c r="A300" s="93">
        <v>288.0</v>
      </c>
      <c r="B300" s="94" t="s">
        <v>384</v>
      </c>
      <c r="C300" s="95"/>
      <c r="D300" s="95"/>
      <c r="E300" s="105">
        <v>1.6</v>
      </c>
      <c r="F300" s="105">
        <v>1.1</v>
      </c>
      <c r="G300" s="105">
        <v>2.5</v>
      </c>
      <c r="H300" s="105">
        <v>2.6</v>
      </c>
      <c r="I300" s="105">
        <v>0.8</v>
      </c>
      <c r="J300" s="105">
        <v>0.1</v>
      </c>
      <c r="K300" s="105">
        <v>1.0</v>
      </c>
      <c r="L300" s="105">
        <v>8.8</v>
      </c>
      <c r="M300" s="105">
        <v>0.4</v>
      </c>
      <c r="N300" s="106">
        <f t="shared" ref="N300:N301" si="11">+0.1</f>
        <v>0.1</v>
      </c>
      <c r="O300" t="str">
        <f>IFERROR(__xludf.DUMMYFUNCTION("regexextract(B300,""[\w]* [\w]*"")"),"Maurice Harkless")</f>
        <v>Maurice Harkless</v>
      </c>
      <c r="P300" t="str">
        <f t="shared" si="2"/>
        <v>Maurice Harkless</v>
      </c>
      <c r="Q300" t="str">
        <f t="shared" si="3"/>
        <v>Maurice Harkless</v>
      </c>
      <c r="R300" t="s">
        <v>94</v>
      </c>
      <c r="S300" s="60" t="s">
        <v>94</v>
      </c>
      <c r="T300" t="s">
        <v>45</v>
      </c>
      <c r="U300" t="s">
        <v>94</v>
      </c>
      <c r="V300" t="s">
        <v>47</v>
      </c>
      <c r="W300" t="str">
        <f t="shared" si="1"/>
        <v>SFC</v>
      </c>
    </row>
    <row r="301">
      <c r="A301" s="90">
        <v>289.0</v>
      </c>
      <c r="B301" s="91" t="s">
        <v>385</v>
      </c>
      <c r="C301" s="92"/>
      <c r="D301" s="92"/>
      <c r="E301" s="104">
        <v>1.3</v>
      </c>
      <c r="F301" s="104">
        <v>1.5</v>
      </c>
      <c r="G301" s="104">
        <v>2.8</v>
      </c>
      <c r="H301" s="104">
        <v>1.6</v>
      </c>
      <c r="I301" s="104">
        <v>0.6</v>
      </c>
      <c r="J301" s="104">
        <v>0.3</v>
      </c>
      <c r="K301" s="104">
        <v>1.0</v>
      </c>
      <c r="L301" s="104">
        <v>10.5</v>
      </c>
      <c r="M301" s="104">
        <v>1.1</v>
      </c>
      <c r="N301" s="107">
        <f t="shared" si="11"/>
        <v>0.1</v>
      </c>
      <c r="O301" t="str">
        <f>IFERROR(__xludf.DUMMYFUNCTION("regexextract(B301,""[\w]* [\w]*"")"),"James Johnson")</f>
        <v>James Johnson</v>
      </c>
      <c r="P301" t="str">
        <f t="shared" si="2"/>
        <v>James Johnson</v>
      </c>
      <c r="Q301" t="str">
        <f t="shared" si="3"/>
        <v>James Johnson</v>
      </c>
      <c r="R301" t="s">
        <v>94</v>
      </c>
      <c r="S301" s="60" t="s">
        <v>94</v>
      </c>
      <c r="T301" t="s">
        <v>45</v>
      </c>
      <c r="U301" t="s">
        <v>46</v>
      </c>
      <c r="V301" t="s">
        <v>94</v>
      </c>
      <c r="W301" t="str">
        <f t="shared" si="1"/>
        <v>SFPF</v>
      </c>
    </row>
    <row r="302">
      <c r="A302" s="93">
        <v>290.0</v>
      </c>
      <c r="B302" s="94" t="s">
        <v>386</v>
      </c>
      <c r="C302" s="95"/>
      <c r="D302" s="95"/>
      <c r="E302" s="105">
        <v>2.0</v>
      </c>
      <c r="F302" s="105">
        <v>1.3</v>
      </c>
      <c r="G302" s="105">
        <v>1.8</v>
      </c>
      <c r="H302" s="105">
        <v>3.7</v>
      </c>
      <c r="I302" s="105">
        <v>0.5</v>
      </c>
      <c r="J302" s="105">
        <v>0.0</v>
      </c>
      <c r="K302" s="105">
        <v>1.2</v>
      </c>
      <c r="L302" s="105">
        <v>8.3</v>
      </c>
      <c r="M302" s="105">
        <v>0.2</v>
      </c>
      <c r="N302" s="105">
        <v>0.0</v>
      </c>
      <c r="O302" t="str">
        <f>IFERROR(__xludf.DUMMYFUNCTION("regexextract(B302,""[\w]* [\w]*"")"),"Cody Martin")</f>
        <v>Cody Martin</v>
      </c>
      <c r="P302" t="str">
        <f t="shared" si="2"/>
        <v>Cody Martin</v>
      </c>
      <c r="Q302" t="str">
        <f t="shared" si="3"/>
        <v>Cody Martin</v>
      </c>
      <c r="R302" t="s">
        <v>94</v>
      </c>
      <c r="S302" s="60" t="s">
        <v>94</v>
      </c>
      <c r="T302" t="s">
        <v>45</v>
      </c>
      <c r="U302" t="s">
        <v>94</v>
      </c>
      <c r="V302" t="s">
        <v>47</v>
      </c>
      <c r="W302" t="str">
        <f t="shared" si="1"/>
        <v>SFC</v>
      </c>
    </row>
    <row r="303">
      <c r="A303" s="90">
        <v>291.0</v>
      </c>
      <c r="B303" s="91" t="s">
        <v>387</v>
      </c>
      <c r="C303" s="92"/>
      <c r="D303" s="92"/>
      <c r="E303" s="104">
        <v>1.4</v>
      </c>
      <c r="F303" s="104">
        <v>0.8</v>
      </c>
      <c r="G303" s="104">
        <v>5.8</v>
      </c>
      <c r="H303" s="104">
        <v>0.8</v>
      </c>
      <c r="I303" s="104">
        <v>0.3</v>
      </c>
      <c r="J303" s="104">
        <v>1.3</v>
      </c>
      <c r="K303" s="104">
        <v>0.8</v>
      </c>
      <c r="L303" s="104">
        <v>7.8</v>
      </c>
      <c r="M303" s="104">
        <v>5.0</v>
      </c>
      <c r="N303" s="108">
        <v>-0.7</v>
      </c>
      <c r="O303" t="str">
        <f>IFERROR(__xludf.DUMMYFUNCTION("regexextract(B303,""[\w]* [\w]*"")"),"Michael Carter")</f>
        <v>Michael Carter</v>
      </c>
      <c r="P303" t="str">
        <f t="shared" si="2"/>
        <v>Michael Carter</v>
      </c>
      <c r="Q303" t="str">
        <f t="shared" si="3"/>
        <v>Michael Carter</v>
      </c>
      <c r="R303" t="s">
        <v>43</v>
      </c>
      <c r="S303" s="60" t="s">
        <v>94</v>
      </c>
      <c r="T303" t="s">
        <v>94</v>
      </c>
      <c r="U303" t="s">
        <v>94</v>
      </c>
      <c r="V303" t="s">
        <v>47</v>
      </c>
      <c r="W303" t="str">
        <f t="shared" si="1"/>
        <v>PGC</v>
      </c>
    </row>
    <row r="304">
      <c r="A304" s="93">
        <v>292.0</v>
      </c>
      <c r="B304" s="94" t="s">
        <v>388</v>
      </c>
      <c r="C304" s="95"/>
      <c r="D304" s="95"/>
      <c r="E304" s="105">
        <v>1.0</v>
      </c>
      <c r="F304" s="105">
        <v>1.3</v>
      </c>
      <c r="G304" s="105">
        <v>5.4</v>
      </c>
      <c r="H304" s="105">
        <v>0.8</v>
      </c>
      <c r="I304" s="105">
        <v>0.5</v>
      </c>
      <c r="J304" s="105">
        <v>0.4</v>
      </c>
      <c r="K304" s="105">
        <v>1.0</v>
      </c>
      <c r="L304" s="105">
        <v>7.8</v>
      </c>
      <c r="M304" s="105">
        <v>0.4</v>
      </c>
      <c r="N304" s="105">
        <v>0.0</v>
      </c>
      <c r="O304" t="str">
        <f>IFERROR(__xludf.DUMMYFUNCTION("regexextract(B304,""[\w]* [\w]*"")"),"Farouq Aminu")</f>
        <v>Farouq Aminu</v>
      </c>
      <c r="P304" t="str">
        <f t="shared" si="2"/>
        <v>Farouq Aminu</v>
      </c>
      <c r="Q304" t="str">
        <f t="shared" si="3"/>
        <v>Farouq Aminu</v>
      </c>
      <c r="R304" t="s">
        <v>94</v>
      </c>
      <c r="S304" s="60" t="s">
        <v>94</v>
      </c>
      <c r="T304" t="s">
        <v>94</v>
      </c>
      <c r="U304" t="s">
        <v>46</v>
      </c>
      <c r="V304" t="s">
        <v>94</v>
      </c>
      <c r="W304" t="str">
        <f t="shared" si="1"/>
        <v>PF</v>
      </c>
    </row>
    <row r="305">
      <c r="A305" s="90">
        <v>293.0</v>
      </c>
      <c r="B305" s="91" t="s">
        <v>389</v>
      </c>
      <c r="C305" s="92"/>
      <c r="D305" s="92"/>
      <c r="E305" s="104">
        <v>1.4</v>
      </c>
      <c r="F305" s="104">
        <v>1.5</v>
      </c>
      <c r="G305" s="104">
        <v>3.4</v>
      </c>
      <c r="H305" s="104">
        <v>1.3</v>
      </c>
      <c r="I305" s="104">
        <v>0.7</v>
      </c>
      <c r="J305" s="104">
        <v>0.4</v>
      </c>
      <c r="K305" s="104">
        <v>0.8</v>
      </c>
      <c r="L305" s="104">
        <v>8.2</v>
      </c>
      <c r="M305" s="104">
        <v>0.3</v>
      </c>
      <c r="N305" s="107">
        <f>+0.1</f>
        <v>0.1</v>
      </c>
      <c r="O305" t="str">
        <f>IFERROR(__xludf.DUMMYFUNCTION("regexextract(B305,""[\w]* [\w]*"")")," Wilson")</f>
        <v> Wilson</v>
      </c>
      <c r="P305" t="str">
        <f t="shared" si="2"/>
        <v> Wilson</v>
      </c>
      <c r="Q305" t="str">
        <f t="shared" si="3"/>
        <v> Wilson</v>
      </c>
      <c r="R305" t="s">
        <v>94</v>
      </c>
      <c r="S305" s="60" t="s">
        <v>94</v>
      </c>
      <c r="T305" t="s">
        <v>94</v>
      </c>
      <c r="U305" t="s">
        <v>46</v>
      </c>
      <c r="V305" t="s">
        <v>47</v>
      </c>
      <c r="W305" t="str">
        <f t="shared" si="1"/>
        <v>PFC</v>
      </c>
    </row>
    <row r="306">
      <c r="A306" s="93">
        <v>294.0</v>
      </c>
      <c r="B306" s="94" t="s">
        <v>390</v>
      </c>
      <c r="C306" s="95"/>
      <c r="D306" s="95"/>
      <c r="E306" s="105">
        <v>2.4</v>
      </c>
      <c r="F306" s="105">
        <v>1.5</v>
      </c>
      <c r="G306" s="105">
        <v>3.5</v>
      </c>
      <c r="H306" s="105">
        <v>1.3</v>
      </c>
      <c r="I306" s="105">
        <v>1.1</v>
      </c>
      <c r="J306" s="105">
        <v>0.4</v>
      </c>
      <c r="K306" s="105">
        <v>1.4</v>
      </c>
      <c r="L306" s="105">
        <v>11.0</v>
      </c>
      <c r="M306" s="105">
        <v>3.9</v>
      </c>
      <c r="N306" s="109">
        <v>-0.2</v>
      </c>
      <c r="O306" t="str">
        <f>IFERROR(__xludf.DUMMYFUNCTION("regexextract(B306,""[\w]* [\w]*"")"),"Trey Burke")</f>
        <v>Trey Burke</v>
      </c>
      <c r="P306" t="str">
        <f t="shared" si="2"/>
        <v>Trey Burke</v>
      </c>
      <c r="Q306" t="str">
        <f t="shared" si="3"/>
        <v>Trey Burke</v>
      </c>
      <c r="R306" t="s">
        <v>43</v>
      </c>
      <c r="S306" s="60" t="s">
        <v>44</v>
      </c>
      <c r="T306" t="s">
        <v>94</v>
      </c>
      <c r="U306" t="s">
        <v>94</v>
      </c>
      <c r="V306" t="s">
        <v>94</v>
      </c>
      <c r="W306" t="str">
        <f t="shared" si="1"/>
        <v>PGSG</v>
      </c>
    </row>
    <row r="307">
      <c r="A307" s="90">
        <v>295.0</v>
      </c>
      <c r="B307" s="91" t="s">
        <v>391</v>
      </c>
      <c r="C307" s="92"/>
      <c r="D307" s="92"/>
      <c r="E307" s="104">
        <v>1.3</v>
      </c>
      <c r="F307" s="104">
        <v>2.1</v>
      </c>
      <c r="G307" s="104">
        <v>1.8</v>
      </c>
      <c r="H307" s="104">
        <v>1.6</v>
      </c>
      <c r="I307" s="104">
        <v>0.5</v>
      </c>
      <c r="J307" s="104">
        <v>0.2</v>
      </c>
      <c r="K307" s="104">
        <v>0.7</v>
      </c>
      <c r="L307" s="104">
        <v>9.4</v>
      </c>
      <c r="M307" s="104">
        <v>0.6</v>
      </c>
      <c r="N307" s="108">
        <v>-0.1</v>
      </c>
      <c r="O307" t="str">
        <f>IFERROR(__xludf.DUMMYFUNCTION("regexextract(B307,""[\w]* [\w]*"")"),"Zach CollinsO")</f>
        <v>Zach CollinsO</v>
      </c>
      <c r="P307" t="str">
        <f t="shared" si="2"/>
        <v>Zach CollinsO</v>
      </c>
      <c r="Q307" t="str">
        <f t="shared" si="3"/>
        <v>Zach Collins</v>
      </c>
      <c r="R307" t="s">
        <v>94</v>
      </c>
      <c r="S307" s="60" t="s">
        <v>94</v>
      </c>
      <c r="T307" t="s">
        <v>94</v>
      </c>
      <c r="U307" t="s">
        <v>94</v>
      </c>
      <c r="V307" t="s">
        <v>47</v>
      </c>
      <c r="W307" t="str">
        <f t="shared" si="1"/>
        <v>C</v>
      </c>
    </row>
    <row r="308">
      <c r="A308" s="93">
        <v>296.0</v>
      </c>
      <c r="B308" s="94" t="s">
        <v>392</v>
      </c>
      <c r="C308" s="95"/>
      <c r="D308" s="95"/>
      <c r="E308" s="105">
        <v>0.9</v>
      </c>
      <c r="F308" s="105">
        <v>1.1</v>
      </c>
      <c r="G308" s="105">
        <v>5.3</v>
      </c>
      <c r="H308" s="105">
        <v>1.3</v>
      </c>
      <c r="I308" s="105">
        <v>0.7</v>
      </c>
      <c r="J308" s="105">
        <v>0.3</v>
      </c>
      <c r="K308" s="105">
        <v>0.7</v>
      </c>
      <c r="L308" s="105">
        <v>7.0</v>
      </c>
      <c r="M308" s="105">
        <v>1.1</v>
      </c>
      <c r="N308" s="109">
        <v>-0.1</v>
      </c>
      <c r="O308" t="str">
        <f>IFERROR(__xludf.DUMMYFUNCTION("regexextract(B308,""[\w]* [\w]*"")"),"Edmond SumnerO")</f>
        <v>Edmond SumnerO</v>
      </c>
      <c r="P308" t="str">
        <f t="shared" si="2"/>
        <v>Edmond SumnerO</v>
      </c>
      <c r="Q308" t="str">
        <f t="shared" si="3"/>
        <v>Edmond Sumner</v>
      </c>
      <c r="R308" t="s">
        <v>94</v>
      </c>
      <c r="S308" s="60" t="s">
        <v>44</v>
      </c>
      <c r="T308" t="s">
        <v>94</v>
      </c>
      <c r="U308" t="s">
        <v>94</v>
      </c>
      <c r="V308" t="s">
        <v>94</v>
      </c>
      <c r="W308" t="str">
        <f t="shared" si="1"/>
        <v>SG</v>
      </c>
    </row>
    <row r="309">
      <c r="A309" s="90">
        <v>297.0</v>
      </c>
      <c r="B309" s="91" t="s">
        <v>393</v>
      </c>
      <c r="C309" s="92"/>
      <c r="D309" s="92"/>
      <c r="E309" s="104">
        <v>2.1</v>
      </c>
      <c r="F309" s="104">
        <v>0.1</v>
      </c>
      <c r="G309" s="104">
        <v>6.2</v>
      </c>
      <c r="H309" s="104">
        <v>1.0</v>
      </c>
      <c r="I309" s="104">
        <v>0.4</v>
      </c>
      <c r="J309" s="104">
        <v>0.4</v>
      </c>
      <c r="K309" s="104">
        <v>0.8</v>
      </c>
      <c r="L309" s="104">
        <v>7.3</v>
      </c>
      <c r="M309" s="104">
        <v>0.6</v>
      </c>
      <c r="N309" s="108">
        <v>-0.1</v>
      </c>
      <c r="O309" t="str">
        <f>IFERROR(__xludf.DUMMYFUNCTION("regexextract(B309,""[\w]* [\w]*"")"),"Georges Niang")</f>
        <v>Georges Niang</v>
      </c>
      <c r="P309" t="str">
        <f t="shared" si="2"/>
        <v>Georges Niang</v>
      </c>
      <c r="Q309" t="str">
        <f t="shared" si="3"/>
        <v>Georges Niang</v>
      </c>
      <c r="R309" t="s">
        <v>94</v>
      </c>
      <c r="S309" s="60" t="s">
        <v>94</v>
      </c>
      <c r="T309" t="s">
        <v>94</v>
      </c>
      <c r="U309" t="s">
        <v>46</v>
      </c>
      <c r="V309" t="s">
        <v>94</v>
      </c>
      <c r="W309" t="str">
        <f t="shared" si="1"/>
        <v>PF</v>
      </c>
    </row>
    <row r="310">
      <c r="A310" s="93">
        <v>298.0</v>
      </c>
      <c r="B310" s="94" t="s">
        <v>394</v>
      </c>
      <c r="C310" s="95"/>
      <c r="D310" s="95"/>
      <c r="E310" s="105">
        <v>1.5</v>
      </c>
      <c r="F310" s="105">
        <v>0.6</v>
      </c>
      <c r="G310" s="105">
        <v>4.2</v>
      </c>
      <c r="H310" s="105">
        <v>1.1</v>
      </c>
      <c r="I310" s="105">
        <v>0.7</v>
      </c>
      <c r="J310" s="105">
        <v>0.6</v>
      </c>
      <c r="K310" s="105">
        <v>0.8</v>
      </c>
      <c r="L310" s="105">
        <v>6.5</v>
      </c>
      <c r="M310" s="105">
        <v>0.2</v>
      </c>
      <c r="N310" s="105">
        <v>0.0</v>
      </c>
      <c r="O310" t="str">
        <f>IFERROR(__xludf.DUMMYFUNCTION("regexextract(B310,""[\w]* [\w]*"")"),"Aron Baynes")</f>
        <v>Aron Baynes</v>
      </c>
      <c r="P310" t="str">
        <f t="shared" si="2"/>
        <v>Aron Baynes</v>
      </c>
      <c r="Q310" t="str">
        <f t="shared" si="3"/>
        <v>Aron Baynes</v>
      </c>
      <c r="R310" t="s">
        <v>94</v>
      </c>
      <c r="S310" s="60" t="s">
        <v>94</v>
      </c>
      <c r="T310" t="s">
        <v>94</v>
      </c>
      <c r="U310" t="s">
        <v>94</v>
      </c>
      <c r="V310" t="s">
        <v>47</v>
      </c>
      <c r="W310" t="str">
        <f t="shared" si="1"/>
        <v>C</v>
      </c>
    </row>
    <row r="311">
      <c r="A311" s="90">
        <v>299.0</v>
      </c>
      <c r="B311" s="91" t="s">
        <v>395</v>
      </c>
      <c r="C311" s="92"/>
      <c r="D311" s="92"/>
      <c r="E311" s="104">
        <v>1.0</v>
      </c>
      <c r="F311" s="104">
        <v>1.3</v>
      </c>
      <c r="G311" s="104">
        <v>2.7</v>
      </c>
      <c r="H311" s="104">
        <v>2.0</v>
      </c>
      <c r="I311" s="104">
        <v>0.7</v>
      </c>
      <c r="J311" s="104">
        <v>0.4</v>
      </c>
      <c r="K311" s="104">
        <v>0.9</v>
      </c>
      <c r="L311" s="104">
        <v>7.5</v>
      </c>
      <c r="M311" s="104">
        <v>0.2</v>
      </c>
      <c r="N311" s="104">
        <v>0.0</v>
      </c>
      <c r="O311" t="str">
        <f>IFERROR(__xludf.DUMMYFUNCTION("regexextract(B311,""[\w]* [\w]*"")"),"Brad Wanamaker")</f>
        <v>Brad Wanamaker</v>
      </c>
      <c r="P311" t="str">
        <f t="shared" si="2"/>
        <v>Brad Wanamaker</v>
      </c>
      <c r="Q311" t="str">
        <f t="shared" si="3"/>
        <v>Brad Wanamaker</v>
      </c>
      <c r="R311" t="s">
        <v>43</v>
      </c>
      <c r="S311" s="60" t="s">
        <v>94</v>
      </c>
      <c r="T311" t="s">
        <v>94</v>
      </c>
      <c r="U311" t="s">
        <v>94</v>
      </c>
      <c r="V311" t="s">
        <v>47</v>
      </c>
      <c r="W311" t="str">
        <f t="shared" si="1"/>
        <v>PGC</v>
      </c>
    </row>
    <row r="312">
      <c r="A312" s="93">
        <v>300.0</v>
      </c>
      <c r="B312" s="94" t="s">
        <v>396</v>
      </c>
      <c r="C312" s="95"/>
      <c r="D312" s="95"/>
      <c r="E312" s="105">
        <v>2.7</v>
      </c>
      <c r="F312" s="105">
        <v>2.3</v>
      </c>
      <c r="G312" s="105">
        <v>1.7</v>
      </c>
      <c r="H312" s="105">
        <v>1.7</v>
      </c>
      <c r="I312" s="105">
        <v>0.5</v>
      </c>
      <c r="J312" s="105">
        <v>0.3</v>
      </c>
      <c r="K312" s="105">
        <v>1.2</v>
      </c>
      <c r="L312" s="105">
        <v>13.4</v>
      </c>
      <c r="M312" s="105">
        <v>5.2</v>
      </c>
      <c r="N312" s="109">
        <v>-1.5</v>
      </c>
      <c r="O312" t="str">
        <f>IFERROR(__xludf.DUMMYFUNCTION("regexextract(B312,""[\w]* [\w]*"")"),"Robin Lopez")</f>
        <v>Robin Lopez</v>
      </c>
      <c r="P312" t="str">
        <f t="shared" si="2"/>
        <v>Robin Lopez</v>
      </c>
      <c r="Q312" t="str">
        <f t="shared" si="3"/>
        <v>Robin Lopez</v>
      </c>
      <c r="R312" t="s">
        <v>94</v>
      </c>
      <c r="S312" s="60" t="s">
        <v>94</v>
      </c>
      <c r="T312" t="s">
        <v>94</v>
      </c>
      <c r="U312" t="s">
        <v>94</v>
      </c>
      <c r="V312" t="s">
        <v>47</v>
      </c>
      <c r="W312" t="str">
        <f t="shared" si="1"/>
        <v>C</v>
      </c>
    </row>
    <row r="313">
      <c r="A313" s="100" t="s">
        <v>397</v>
      </c>
      <c r="M313" s="100" t="s">
        <v>194</v>
      </c>
      <c r="O313" t="str">
        <f>IFERROR(__xludf.DUMMYFUNCTION("regexextract(B313,""[\w]* [\w]*"")"),"#N/A")</f>
        <v>#N/A</v>
      </c>
      <c r="P313" t="str">
        <f t="shared" si="2"/>
        <v>#N/A</v>
      </c>
      <c r="Q313" t="str">
        <f t="shared" si="3"/>
        <v>#N/A</v>
      </c>
      <c r="R313" t="s">
        <v>94</v>
      </c>
      <c r="S313" s="60" t="s">
        <v>94</v>
      </c>
      <c r="T313" t="s">
        <v>94</v>
      </c>
      <c r="U313" t="s">
        <v>94</v>
      </c>
      <c r="V313" t="s">
        <v>94</v>
      </c>
      <c r="W313" t="str">
        <f t="shared" si="1"/>
        <v/>
      </c>
    </row>
    <row r="314">
      <c r="A314" s="101" t="s">
        <v>398</v>
      </c>
      <c r="B314" s="101" t="s">
        <v>399</v>
      </c>
      <c r="C314" s="101" t="s">
        <v>400</v>
      </c>
      <c r="D314" s="101" t="s">
        <v>401</v>
      </c>
      <c r="E314" s="101" t="s">
        <v>195</v>
      </c>
      <c r="F314" s="102">
        <v>0.625</v>
      </c>
      <c r="G314" s="101" t="s">
        <v>36</v>
      </c>
      <c r="H314" s="101" t="s">
        <v>37</v>
      </c>
      <c r="I314" s="101" t="s">
        <v>38</v>
      </c>
      <c r="J314" s="101" t="s">
        <v>61</v>
      </c>
      <c r="K314" s="101" t="s">
        <v>42</v>
      </c>
      <c r="L314" s="101" t="s">
        <v>34</v>
      </c>
      <c r="M314" s="101" t="s">
        <v>196</v>
      </c>
      <c r="N314" s="103" t="str">
        <f>+/-</f>
        <v>#ERROR!</v>
      </c>
      <c r="O314" t="str">
        <f>IFERROR(__xludf.DUMMYFUNCTION("regexextract(B314,""[\w]* [\w]*"")"),"#N/A")</f>
        <v>#N/A</v>
      </c>
      <c r="P314" t="str">
        <f t="shared" si="2"/>
        <v>#N/A</v>
      </c>
      <c r="Q314" t="str">
        <f t="shared" si="3"/>
        <v>#N/A</v>
      </c>
      <c r="R314" t="s">
        <v>94</v>
      </c>
      <c r="S314" s="60" t="s">
        <v>94</v>
      </c>
      <c r="T314" t="s">
        <v>94</v>
      </c>
      <c r="U314" t="s">
        <v>94</v>
      </c>
      <c r="V314" t="s">
        <v>94</v>
      </c>
      <c r="W314" t="str">
        <f t="shared" si="1"/>
        <v/>
      </c>
    </row>
    <row r="315">
      <c r="A315" s="104">
        <v>19.2</v>
      </c>
      <c r="B315" s="104">
        <v>2.5</v>
      </c>
      <c r="C315" s="104">
        <v>6.1</v>
      </c>
      <c r="D315" s="104">
        <v>1.1</v>
      </c>
      <c r="E315" s="104">
        <v>1.5</v>
      </c>
      <c r="F315" s="104">
        <v>1.0</v>
      </c>
      <c r="G315" s="104">
        <v>3.3</v>
      </c>
      <c r="H315" s="104">
        <v>1.4</v>
      </c>
      <c r="I315" s="104">
        <v>0.9</v>
      </c>
      <c r="J315" s="104">
        <v>0.5</v>
      </c>
      <c r="K315" s="104">
        <v>1.2</v>
      </c>
      <c r="L315" s="104">
        <v>7.2</v>
      </c>
      <c r="M315" s="104">
        <v>1.1</v>
      </c>
      <c r="N315" s="108">
        <v>-0.2</v>
      </c>
      <c r="O315" t="str">
        <f>IFERROR(__xludf.DUMMYFUNCTION("regexextract(B315,""[\w]* [\w]*"")"),"#VALUE!")</f>
        <v>#VALUE!</v>
      </c>
      <c r="P315" t="str">
        <f t="shared" si="2"/>
        <v>#VALUE!</v>
      </c>
      <c r="Q315" t="str">
        <f t="shared" si="3"/>
        <v>#VALUE!</v>
      </c>
      <c r="R315" t="s">
        <v>94</v>
      </c>
      <c r="S315" s="60" t="s">
        <v>94</v>
      </c>
      <c r="T315" t="s">
        <v>94</v>
      </c>
      <c r="U315" t="s">
        <v>94</v>
      </c>
      <c r="V315" t="s">
        <v>94</v>
      </c>
      <c r="W315" t="str">
        <f t="shared" si="1"/>
        <v/>
      </c>
    </row>
    <row r="316">
      <c r="A316" s="105">
        <v>20.0</v>
      </c>
      <c r="B316" s="105">
        <v>2.2</v>
      </c>
      <c r="C316" s="105">
        <v>5.1</v>
      </c>
      <c r="D316" s="105">
        <v>1.0</v>
      </c>
      <c r="E316" s="105">
        <v>1.4</v>
      </c>
      <c r="F316" s="105">
        <v>0.9</v>
      </c>
      <c r="G316" s="105">
        <v>2.6</v>
      </c>
      <c r="H316" s="105">
        <v>2.5</v>
      </c>
      <c r="I316" s="105">
        <v>1.1</v>
      </c>
      <c r="J316" s="105">
        <v>0.3</v>
      </c>
      <c r="K316" s="105">
        <v>1.2</v>
      </c>
      <c r="L316" s="105">
        <v>6.3</v>
      </c>
      <c r="M316" s="105">
        <v>5.8</v>
      </c>
      <c r="N316" s="109">
        <v>-0.2</v>
      </c>
      <c r="O316" t="str">
        <f>IFERROR(__xludf.DUMMYFUNCTION("regexextract(B316,""[\w]* [\w]*"")"),"#VALUE!")</f>
        <v>#VALUE!</v>
      </c>
      <c r="P316" t="str">
        <f t="shared" si="2"/>
        <v>#VALUE!</v>
      </c>
      <c r="Q316" t="str">
        <f t="shared" si="3"/>
        <v>#VALUE!</v>
      </c>
      <c r="R316" t="s">
        <v>94</v>
      </c>
      <c r="S316" s="60" t="s">
        <v>94</v>
      </c>
      <c r="T316" t="s">
        <v>94</v>
      </c>
      <c r="U316" t="s">
        <v>94</v>
      </c>
      <c r="V316" t="s">
        <v>94</v>
      </c>
      <c r="W316" t="str">
        <f t="shared" si="1"/>
        <v/>
      </c>
    </row>
    <row r="317">
      <c r="A317" s="104">
        <v>21.4</v>
      </c>
      <c r="B317" s="104">
        <v>3.1</v>
      </c>
      <c r="C317" s="104">
        <v>7.3</v>
      </c>
      <c r="D317" s="104">
        <v>1.4</v>
      </c>
      <c r="E317" s="104">
        <v>1.6</v>
      </c>
      <c r="F317" s="104">
        <v>1.7</v>
      </c>
      <c r="G317" s="104">
        <v>2.6</v>
      </c>
      <c r="H317" s="104">
        <v>1.8</v>
      </c>
      <c r="I317" s="104">
        <v>0.7</v>
      </c>
      <c r="J317" s="104">
        <v>0.1</v>
      </c>
      <c r="K317" s="104">
        <v>0.9</v>
      </c>
      <c r="L317" s="104">
        <v>9.2</v>
      </c>
      <c r="M317" s="104">
        <v>0.9</v>
      </c>
      <c r="N317" s="108">
        <v>-0.1</v>
      </c>
      <c r="O317" t="str">
        <f>IFERROR(__xludf.DUMMYFUNCTION("regexextract(B317,""[\w]* [\w]*"")"),"#VALUE!")</f>
        <v>#VALUE!</v>
      </c>
      <c r="P317" t="str">
        <f t="shared" si="2"/>
        <v>#VALUE!</v>
      </c>
      <c r="Q317" t="str">
        <f t="shared" si="3"/>
        <v>#VALUE!</v>
      </c>
      <c r="R317" t="s">
        <v>94</v>
      </c>
      <c r="S317" s="60" t="s">
        <v>94</v>
      </c>
      <c r="T317" t="s">
        <v>94</v>
      </c>
      <c r="U317" t="s">
        <v>94</v>
      </c>
      <c r="V317" t="s">
        <v>94</v>
      </c>
      <c r="W317" t="str">
        <f t="shared" si="1"/>
        <v/>
      </c>
    </row>
    <row r="318">
      <c r="A318" s="105">
        <v>18.2</v>
      </c>
      <c r="B318" s="105">
        <v>3.1</v>
      </c>
      <c r="C318" s="105">
        <v>7.1</v>
      </c>
      <c r="D318" s="105">
        <v>0.8</v>
      </c>
      <c r="E318" s="105">
        <v>1.2</v>
      </c>
      <c r="F318" s="105">
        <v>0.3</v>
      </c>
      <c r="G318" s="105">
        <v>2.8</v>
      </c>
      <c r="H318" s="105">
        <v>3.4</v>
      </c>
      <c r="I318" s="105">
        <v>0.7</v>
      </c>
      <c r="J318" s="105">
        <v>0.2</v>
      </c>
      <c r="K318" s="105">
        <v>1.3</v>
      </c>
      <c r="L318" s="105">
        <v>7.3</v>
      </c>
      <c r="M318" s="105">
        <v>0.6</v>
      </c>
      <c r="N318" s="105">
        <v>0.0</v>
      </c>
      <c r="O318" t="str">
        <f>IFERROR(__xludf.DUMMYFUNCTION("regexextract(B318,""[\w]* [\w]*"")"),"#VALUE!")</f>
        <v>#VALUE!</v>
      </c>
      <c r="P318" t="str">
        <f t="shared" si="2"/>
        <v>#VALUE!</v>
      </c>
      <c r="Q318" t="str">
        <f t="shared" si="3"/>
        <v>#VALUE!</v>
      </c>
      <c r="R318" t="s">
        <v>94</v>
      </c>
      <c r="S318" s="60" t="s">
        <v>94</v>
      </c>
      <c r="T318" t="s">
        <v>94</v>
      </c>
      <c r="U318" t="s">
        <v>94</v>
      </c>
      <c r="V318" t="s">
        <v>94</v>
      </c>
      <c r="W318" t="str">
        <f t="shared" si="1"/>
        <v/>
      </c>
    </row>
    <row r="319">
      <c r="A319" s="104">
        <v>17.0</v>
      </c>
      <c r="B319" s="104">
        <v>2.9</v>
      </c>
      <c r="C319" s="104">
        <v>6.3</v>
      </c>
      <c r="D319" s="104">
        <v>1.2</v>
      </c>
      <c r="E319" s="104">
        <v>1.8</v>
      </c>
      <c r="F319" s="104">
        <v>0.9</v>
      </c>
      <c r="G319" s="104">
        <v>4.1</v>
      </c>
      <c r="H319" s="104">
        <v>1.7</v>
      </c>
      <c r="I319" s="104">
        <v>0.3</v>
      </c>
      <c r="J319" s="104">
        <v>0.3</v>
      </c>
      <c r="K319" s="104">
        <v>0.7</v>
      </c>
      <c r="L319" s="104">
        <v>7.9</v>
      </c>
      <c r="M319" s="104">
        <v>0.2</v>
      </c>
      <c r="N319" s="104">
        <v>0.0</v>
      </c>
      <c r="O319" t="str">
        <f>IFERROR(__xludf.DUMMYFUNCTION("regexextract(B319,""[\w]* [\w]*"")"),"#VALUE!")</f>
        <v>#VALUE!</v>
      </c>
      <c r="P319" t="str">
        <f t="shared" si="2"/>
        <v>#VALUE!</v>
      </c>
      <c r="Q319" t="str">
        <f t="shared" si="3"/>
        <v>#VALUE!</v>
      </c>
      <c r="R319" t="s">
        <v>94</v>
      </c>
      <c r="S319" s="60" t="s">
        <v>94</v>
      </c>
      <c r="T319" t="s">
        <v>94</v>
      </c>
      <c r="U319" t="s">
        <v>94</v>
      </c>
      <c r="V319" t="s">
        <v>94</v>
      </c>
      <c r="W319" t="str">
        <f t="shared" si="1"/>
        <v/>
      </c>
    </row>
    <row r="320">
      <c r="A320" s="105">
        <v>23.7</v>
      </c>
      <c r="B320" s="105">
        <v>3.1</v>
      </c>
      <c r="C320" s="105">
        <v>7.6</v>
      </c>
      <c r="D320" s="105">
        <v>1.3</v>
      </c>
      <c r="E320" s="105">
        <v>1.6</v>
      </c>
      <c r="F320" s="105">
        <v>1.0</v>
      </c>
      <c r="G320" s="105">
        <v>2.0</v>
      </c>
      <c r="H320" s="105">
        <v>1.7</v>
      </c>
      <c r="I320" s="105">
        <v>0.8</v>
      </c>
      <c r="J320" s="105">
        <v>0.2</v>
      </c>
      <c r="K320" s="105">
        <v>0.8</v>
      </c>
      <c r="L320" s="105">
        <v>8.6</v>
      </c>
      <c r="M320" s="105">
        <v>0.5</v>
      </c>
      <c r="N320" s="105">
        <v>0.0</v>
      </c>
      <c r="O320" t="str">
        <f>IFERROR(__xludf.DUMMYFUNCTION("regexextract(B320,""[\w]* [\w]*"")"),"#VALUE!")</f>
        <v>#VALUE!</v>
      </c>
      <c r="P320" t="str">
        <f t="shared" si="2"/>
        <v>#VALUE!</v>
      </c>
      <c r="Q320" t="str">
        <f t="shared" si="3"/>
        <v>#VALUE!</v>
      </c>
      <c r="R320" t="s">
        <v>94</v>
      </c>
      <c r="S320" s="60" t="s">
        <v>94</v>
      </c>
      <c r="T320" t="s">
        <v>94</v>
      </c>
      <c r="U320" t="s">
        <v>94</v>
      </c>
      <c r="V320" t="s">
        <v>94</v>
      </c>
      <c r="W320" t="str">
        <f t="shared" si="1"/>
        <v/>
      </c>
    </row>
    <row r="321">
      <c r="A321" s="104">
        <v>19.5</v>
      </c>
      <c r="B321" s="104">
        <v>3.1</v>
      </c>
      <c r="C321" s="104">
        <v>7.5</v>
      </c>
      <c r="D321" s="104">
        <v>1.0</v>
      </c>
      <c r="E321" s="104">
        <v>1.3</v>
      </c>
      <c r="F321" s="104">
        <v>1.8</v>
      </c>
      <c r="G321" s="104">
        <v>2.2</v>
      </c>
      <c r="H321" s="104">
        <v>1.3</v>
      </c>
      <c r="I321" s="104">
        <v>0.7</v>
      </c>
      <c r="J321" s="104">
        <v>0.2</v>
      </c>
      <c r="K321" s="104">
        <v>0.8</v>
      </c>
      <c r="L321" s="104">
        <v>8.9</v>
      </c>
      <c r="M321" s="104">
        <v>0.5</v>
      </c>
      <c r="N321" s="104">
        <v>0.0</v>
      </c>
      <c r="O321" t="str">
        <f>IFERROR(__xludf.DUMMYFUNCTION("regexextract(B321,""[\w]* [\w]*"")"),"#VALUE!")</f>
        <v>#VALUE!</v>
      </c>
      <c r="P321" t="str">
        <f t="shared" si="2"/>
        <v>#VALUE!</v>
      </c>
      <c r="Q321" t="str">
        <f t="shared" si="3"/>
        <v>#VALUE!</v>
      </c>
      <c r="R321" t="s">
        <v>94</v>
      </c>
      <c r="S321" s="60" t="s">
        <v>94</v>
      </c>
      <c r="T321" t="s">
        <v>94</v>
      </c>
      <c r="U321" t="s">
        <v>94</v>
      </c>
      <c r="V321" t="s">
        <v>94</v>
      </c>
      <c r="W321" t="str">
        <f t="shared" si="1"/>
        <v/>
      </c>
    </row>
    <row r="322">
      <c r="A322" s="105">
        <v>23.6</v>
      </c>
      <c r="B322" s="105">
        <v>2.9</v>
      </c>
      <c r="C322" s="105">
        <v>6.9</v>
      </c>
      <c r="D322" s="105">
        <v>0.6</v>
      </c>
      <c r="E322" s="105">
        <v>0.9</v>
      </c>
      <c r="F322" s="105">
        <v>1.5</v>
      </c>
      <c r="G322" s="105">
        <v>2.3</v>
      </c>
      <c r="H322" s="105">
        <v>2.2</v>
      </c>
      <c r="I322" s="105">
        <v>0.8</v>
      </c>
      <c r="J322" s="105">
        <v>0.1</v>
      </c>
      <c r="K322" s="105">
        <v>1.0</v>
      </c>
      <c r="L322" s="105">
        <v>7.9</v>
      </c>
      <c r="M322" s="105">
        <v>0.5</v>
      </c>
      <c r="N322" s="109">
        <v>-0.1</v>
      </c>
      <c r="O322" t="str">
        <f>IFERROR(__xludf.DUMMYFUNCTION("regexextract(B322,""[\w]* [\w]*"")"),"#VALUE!")</f>
        <v>#VALUE!</v>
      </c>
      <c r="P322" t="str">
        <f t="shared" si="2"/>
        <v>#VALUE!</v>
      </c>
      <c r="Q322" t="str">
        <f t="shared" si="3"/>
        <v>#VALUE!</v>
      </c>
      <c r="R322" t="s">
        <v>94</v>
      </c>
      <c r="S322" s="60" t="s">
        <v>94</v>
      </c>
      <c r="T322" t="s">
        <v>94</v>
      </c>
      <c r="U322" t="s">
        <v>94</v>
      </c>
      <c r="V322" t="s">
        <v>94</v>
      </c>
      <c r="W322" t="str">
        <f t="shared" si="1"/>
        <v/>
      </c>
    </row>
    <row r="323">
      <c r="A323" s="104">
        <v>34.4</v>
      </c>
      <c r="B323" s="104">
        <v>7.5</v>
      </c>
      <c r="C323" s="104">
        <v>16.1</v>
      </c>
      <c r="D323" s="104">
        <v>2.8</v>
      </c>
      <c r="E323" s="104">
        <v>3.2</v>
      </c>
      <c r="F323" s="104">
        <v>2.4</v>
      </c>
      <c r="G323" s="104">
        <v>4.0</v>
      </c>
      <c r="H323" s="104">
        <v>4.8</v>
      </c>
      <c r="I323" s="104">
        <v>1.2</v>
      </c>
      <c r="J323" s="104">
        <v>0.3</v>
      </c>
      <c r="K323" s="104">
        <v>2.2</v>
      </c>
      <c r="L323" s="104">
        <v>20.2</v>
      </c>
      <c r="M323" s="104">
        <v>67.6</v>
      </c>
      <c r="N323" s="108">
        <v>-13.2</v>
      </c>
      <c r="O323" t="str">
        <f>IFERROR(__xludf.DUMMYFUNCTION("regexextract(B323,""[\w]* [\w]*"")"),"#VALUE!")</f>
        <v>#VALUE!</v>
      </c>
      <c r="P323" t="str">
        <f t="shared" si="2"/>
        <v>#VALUE!</v>
      </c>
      <c r="Q323" t="str">
        <f t="shared" si="3"/>
        <v>#VALUE!</v>
      </c>
      <c r="R323" t="s">
        <v>94</v>
      </c>
      <c r="S323" s="60" t="s">
        <v>94</v>
      </c>
      <c r="T323" t="s">
        <v>94</v>
      </c>
      <c r="U323" t="s">
        <v>94</v>
      </c>
      <c r="V323" t="s">
        <v>94</v>
      </c>
      <c r="W323" t="str">
        <f t="shared" si="1"/>
        <v/>
      </c>
    </row>
    <row r="324">
      <c r="A324" s="105">
        <v>21.4</v>
      </c>
      <c r="B324" s="105">
        <v>2.4</v>
      </c>
      <c r="C324" s="105">
        <v>5.8</v>
      </c>
      <c r="D324" s="105">
        <v>1.0</v>
      </c>
      <c r="E324" s="105">
        <v>1.2</v>
      </c>
      <c r="F324" s="105">
        <v>1.2</v>
      </c>
      <c r="G324" s="105">
        <v>3.5</v>
      </c>
      <c r="H324" s="105">
        <v>1.6</v>
      </c>
      <c r="I324" s="105">
        <v>0.9</v>
      </c>
      <c r="J324" s="105">
        <v>0.3</v>
      </c>
      <c r="K324" s="105">
        <v>0.7</v>
      </c>
      <c r="L324" s="105">
        <v>7.0</v>
      </c>
      <c r="M324" s="105">
        <v>2.7</v>
      </c>
      <c r="N324" s="109">
        <v>-0.8</v>
      </c>
      <c r="O324" t="str">
        <f>IFERROR(__xludf.DUMMYFUNCTION("regexextract(B324,""[\w]* [\w]*"")"),"#VALUE!")</f>
        <v>#VALUE!</v>
      </c>
      <c r="P324" t="str">
        <f t="shared" si="2"/>
        <v>#VALUE!</v>
      </c>
      <c r="Q324" t="str">
        <f t="shared" si="3"/>
        <v>#VALUE!</v>
      </c>
      <c r="R324" t="s">
        <v>94</v>
      </c>
      <c r="S324" s="60" t="s">
        <v>94</v>
      </c>
      <c r="T324" t="s">
        <v>94</v>
      </c>
      <c r="U324" t="s">
        <v>94</v>
      </c>
      <c r="V324" t="s">
        <v>94</v>
      </c>
      <c r="W324" t="str">
        <f t="shared" si="1"/>
        <v/>
      </c>
    </row>
    <row r="325">
      <c r="A325" s="104">
        <v>20.6</v>
      </c>
      <c r="B325" s="104">
        <v>3.3</v>
      </c>
      <c r="C325" s="104">
        <v>7.2</v>
      </c>
      <c r="D325" s="104">
        <v>0.8</v>
      </c>
      <c r="E325" s="104">
        <v>0.9</v>
      </c>
      <c r="F325" s="104">
        <v>1.7</v>
      </c>
      <c r="G325" s="104">
        <v>2.6</v>
      </c>
      <c r="H325" s="104">
        <v>1.9</v>
      </c>
      <c r="I325" s="104">
        <v>0.3</v>
      </c>
      <c r="J325" s="104">
        <v>0.1</v>
      </c>
      <c r="K325" s="104">
        <v>0.8</v>
      </c>
      <c r="L325" s="104">
        <v>9.1</v>
      </c>
      <c r="M325" s="104">
        <v>0.5</v>
      </c>
      <c r="N325" s="104">
        <v>0.0</v>
      </c>
      <c r="O325" t="str">
        <f>IFERROR(__xludf.DUMMYFUNCTION("regexextract(B325,""[\w]* [\w]*"")"),"#VALUE!")</f>
        <v>#VALUE!</v>
      </c>
      <c r="P325" t="str">
        <f t="shared" si="2"/>
        <v>#VALUE!</v>
      </c>
      <c r="Q325" t="str">
        <f t="shared" si="3"/>
        <v>#VALUE!</v>
      </c>
      <c r="R325" t="s">
        <v>94</v>
      </c>
      <c r="S325" s="60" t="s">
        <v>94</v>
      </c>
      <c r="T325" t="s">
        <v>94</v>
      </c>
      <c r="U325" t="s">
        <v>94</v>
      </c>
      <c r="V325" t="s">
        <v>94</v>
      </c>
      <c r="W325" t="str">
        <f t="shared" si="1"/>
        <v/>
      </c>
    </row>
    <row r="326">
      <c r="A326" s="105">
        <v>21.6</v>
      </c>
      <c r="B326" s="105">
        <v>3.0</v>
      </c>
      <c r="C326" s="105">
        <v>7.2</v>
      </c>
      <c r="D326" s="105">
        <v>0.6</v>
      </c>
      <c r="E326" s="105">
        <v>0.7</v>
      </c>
      <c r="F326" s="105">
        <v>2.4</v>
      </c>
      <c r="G326" s="105">
        <v>1.9</v>
      </c>
      <c r="H326" s="105">
        <v>1.4</v>
      </c>
      <c r="I326" s="105">
        <v>0.5</v>
      </c>
      <c r="J326" s="105">
        <v>0.2</v>
      </c>
      <c r="K326" s="105">
        <v>0.7</v>
      </c>
      <c r="L326" s="105">
        <v>9.0</v>
      </c>
      <c r="M326" s="105">
        <v>0.3</v>
      </c>
      <c r="N326" s="106">
        <f>+0.1</f>
        <v>0.1</v>
      </c>
      <c r="O326" t="str">
        <f>IFERROR(__xludf.DUMMYFUNCTION("regexextract(B326,""[\w]* [\w]*"")"),"#VALUE!")</f>
        <v>#VALUE!</v>
      </c>
      <c r="P326" t="str">
        <f t="shared" si="2"/>
        <v>#VALUE!</v>
      </c>
      <c r="Q326" t="str">
        <f t="shared" si="3"/>
        <v>#VALUE!</v>
      </c>
      <c r="R326" t="s">
        <v>94</v>
      </c>
      <c r="S326" s="60" t="s">
        <v>94</v>
      </c>
      <c r="T326" t="s">
        <v>94</v>
      </c>
      <c r="U326" t="s">
        <v>94</v>
      </c>
      <c r="V326" t="s">
        <v>94</v>
      </c>
      <c r="W326" t="str">
        <f t="shared" si="1"/>
        <v/>
      </c>
    </row>
    <row r="327">
      <c r="A327" s="104">
        <v>18.2</v>
      </c>
      <c r="B327" s="104">
        <v>2.7</v>
      </c>
      <c r="C327" s="104">
        <v>5.4</v>
      </c>
      <c r="D327" s="104">
        <v>1.0</v>
      </c>
      <c r="E327" s="104">
        <v>1.4</v>
      </c>
      <c r="F327" s="104">
        <v>0.6</v>
      </c>
      <c r="G327" s="104">
        <v>4.1</v>
      </c>
      <c r="H327" s="104">
        <v>0.8</v>
      </c>
      <c r="I327" s="104">
        <v>0.5</v>
      </c>
      <c r="J327" s="104">
        <v>0.7</v>
      </c>
      <c r="K327" s="104">
        <v>0.6</v>
      </c>
      <c r="L327" s="104">
        <v>7.0</v>
      </c>
      <c r="M327" s="104">
        <v>1.9</v>
      </c>
      <c r="N327" s="108">
        <v>-0.3</v>
      </c>
      <c r="O327" t="str">
        <f>IFERROR(__xludf.DUMMYFUNCTION("regexextract(B327,""[\w]* [\w]*"")"),"#VALUE!")</f>
        <v>#VALUE!</v>
      </c>
      <c r="P327" t="str">
        <f t="shared" si="2"/>
        <v>#VALUE!</v>
      </c>
      <c r="Q327" t="str">
        <f t="shared" si="3"/>
        <v>#VALUE!</v>
      </c>
      <c r="R327" t="s">
        <v>94</v>
      </c>
      <c r="S327" s="60" t="s">
        <v>94</v>
      </c>
      <c r="T327" t="s">
        <v>94</v>
      </c>
      <c r="U327" t="s">
        <v>94</v>
      </c>
      <c r="V327" t="s">
        <v>94</v>
      </c>
      <c r="W327" t="str">
        <f t="shared" si="1"/>
        <v/>
      </c>
    </row>
    <row r="328">
      <c r="A328" s="105">
        <v>21.1</v>
      </c>
      <c r="B328" s="105">
        <v>3.2</v>
      </c>
      <c r="C328" s="105">
        <v>8.3</v>
      </c>
      <c r="D328" s="105">
        <v>0.9</v>
      </c>
      <c r="E328" s="105">
        <v>1.5</v>
      </c>
      <c r="F328" s="105">
        <v>0.7</v>
      </c>
      <c r="G328" s="105">
        <v>4.3</v>
      </c>
      <c r="H328" s="105">
        <v>2.6</v>
      </c>
      <c r="I328" s="105">
        <v>0.7</v>
      </c>
      <c r="J328" s="105">
        <v>0.3</v>
      </c>
      <c r="K328" s="105">
        <v>1.5</v>
      </c>
      <c r="L328" s="105">
        <v>8.1</v>
      </c>
      <c r="M328" s="105">
        <v>0.3</v>
      </c>
      <c r="N328" s="105">
        <v>0.0</v>
      </c>
      <c r="O328" t="str">
        <f>IFERROR(__xludf.DUMMYFUNCTION("regexextract(B328,""[\w]* [\w]*"")"),"#VALUE!")</f>
        <v>#VALUE!</v>
      </c>
      <c r="P328" t="str">
        <f t="shared" si="2"/>
        <v>#VALUE!</v>
      </c>
      <c r="Q328" t="str">
        <f t="shared" si="3"/>
        <v>#VALUE!</v>
      </c>
      <c r="R328" t="s">
        <v>94</v>
      </c>
      <c r="S328" s="60" t="s">
        <v>94</v>
      </c>
      <c r="T328" t="s">
        <v>94</v>
      </c>
      <c r="U328" t="s">
        <v>94</v>
      </c>
      <c r="V328" t="s">
        <v>94</v>
      </c>
      <c r="W328" t="str">
        <f t="shared" si="1"/>
        <v/>
      </c>
    </row>
    <row r="329">
      <c r="A329" s="104">
        <v>13.9</v>
      </c>
      <c r="B329" s="104">
        <v>2.9</v>
      </c>
      <c r="C329" s="104">
        <v>5.0</v>
      </c>
      <c r="D329" s="104">
        <v>0.8</v>
      </c>
      <c r="E329" s="104">
        <v>1.2</v>
      </c>
      <c r="F329" s="104">
        <v>0.1</v>
      </c>
      <c r="G329" s="104">
        <v>4.8</v>
      </c>
      <c r="H329" s="104">
        <v>0.6</v>
      </c>
      <c r="I329" s="104">
        <v>0.4</v>
      </c>
      <c r="J329" s="104">
        <v>1.2</v>
      </c>
      <c r="K329" s="104">
        <v>1.0</v>
      </c>
      <c r="L329" s="104">
        <v>6.6</v>
      </c>
      <c r="M329" s="104">
        <v>1.3</v>
      </c>
      <c r="N329" s="108">
        <v>-0.1</v>
      </c>
      <c r="O329" t="str">
        <f>IFERROR(__xludf.DUMMYFUNCTION("regexextract(B329,""[\w]* [\w]*"")"),"#VALUE!")</f>
        <v>#VALUE!</v>
      </c>
      <c r="P329" t="str">
        <f t="shared" si="2"/>
        <v>#VALUE!</v>
      </c>
      <c r="Q329" t="str">
        <f t="shared" si="3"/>
        <v>#VALUE!</v>
      </c>
      <c r="R329" t="s">
        <v>94</v>
      </c>
      <c r="S329" s="60" t="s">
        <v>94</v>
      </c>
      <c r="T329" t="s">
        <v>94</v>
      </c>
      <c r="U329" t="s">
        <v>94</v>
      </c>
      <c r="V329" t="s">
        <v>94</v>
      </c>
      <c r="W329" t="str">
        <f t="shared" si="1"/>
        <v/>
      </c>
    </row>
    <row r="330">
      <c r="A330" s="105">
        <v>19.3</v>
      </c>
      <c r="B330" s="105">
        <v>3.4</v>
      </c>
      <c r="C330" s="105">
        <v>8.6</v>
      </c>
      <c r="D330" s="105">
        <v>1.8</v>
      </c>
      <c r="E330" s="105">
        <v>2.1</v>
      </c>
      <c r="F330" s="105">
        <v>1.6</v>
      </c>
      <c r="G330" s="105">
        <v>1.8</v>
      </c>
      <c r="H330" s="105">
        <v>2.0</v>
      </c>
      <c r="I330" s="105">
        <v>0.5</v>
      </c>
      <c r="J330" s="105">
        <v>0.2</v>
      </c>
      <c r="K330" s="105">
        <v>1.0</v>
      </c>
      <c r="L330" s="105">
        <v>10.2</v>
      </c>
      <c r="M330" s="105">
        <v>3.3</v>
      </c>
      <c r="N330" s="106">
        <f>+0.1</f>
        <v>0.1</v>
      </c>
      <c r="O330" t="str">
        <f>IFERROR(__xludf.DUMMYFUNCTION("regexextract(B330,""[\w]* [\w]*"")"),"#VALUE!")</f>
        <v>#VALUE!</v>
      </c>
      <c r="P330" t="str">
        <f t="shared" si="2"/>
        <v>#VALUE!</v>
      </c>
      <c r="Q330" t="str">
        <f t="shared" si="3"/>
        <v>#VALUE!</v>
      </c>
      <c r="R330" t="s">
        <v>94</v>
      </c>
      <c r="S330" s="60" t="s">
        <v>94</v>
      </c>
      <c r="T330" t="s">
        <v>94</v>
      </c>
      <c r="U330" t="s">
        <v>94</v>
      </c>
      <c r="V330" t="s">
        <v>94</v>
      </c>
      <c r="W330" t="str">
        <f t="shared" si="1"/>
        <v/>
      </c>
    </row>
    <row r="331">
      <c r="A331" s="104">
        <v>21.3</v>
      </c>
      <c r="B331" s="104">
        <v>2.7</v>
      </c>
      <c r="C331" s="104">
        <v>6.4</v>
      </c>
      <c r="D331" s="104">
        <v>1.3</v>
      </c>
      <c r="E331" s="104">
        <v>2.0</v>
      </c>
      <c r="F331" s="104">
        <v>1.2</v>
      </c>
      <c r="G331" s="104">
        <v>4.7</v>
      </c>
      <c r="H331" s="104">
        <v>0.9</v>
      </c>
      <c r="I331" s="104">
        <v>0.5</v>
      </c>
      <c r="J331" s="104">
        <v>0.2</v>
      </c>
      <c r="K331" s="104">
        <v>0.7</v>
      </c>
      <c r="L331" s="104">
        <v>7.9</v>
      </c>
      <c r="M331" s="104">
        <v>0.2</v>
      </c>
      <c r="N331" s="104">
        <v>0.0</v>
      </c>
      <c r="O331" t="str">
        <f>IFERROR(__xludf.DUMMYFUNCTION("regexextract(B331,""[\w]* [\w]*"")"),"#VALUE!")</f>
        <v>#VALUE!</v>
      </c>
      <c r="P331" t="str">
        <f t="shared" si="2"/>
        <v>#VALUE!</v>
      </c>
      <c r="Q331" t="str">
        <f t="shared" si="3"/>
        <v>#VALUE!</v>
      </c>
      <c r="R331" t="s">
        <v>94</v>
      </c>
      <c r="S331" s="60" t="s">
        <v>94</v>
      </c>
      <c r="T331" t="s">
        <v>94</v>
      </c>
      <c r="U331" t="s">
        <v>94</v>
      </c>
      <c r="V331" t="s">
        <v>94</v>
      </c>
      <c r="W331" t="str">
        <f t="shared" si="1"/>
        <v/>
      </c>
    </row>
    <row r="332">
      <c r="A332" s="105">
        <v>19.4</v>
      </c>
      <c r="B332" s="105">
        <v>2.6</v>
      </c>
      <c r="C332" s="105">
        <v>6.3</v>
      </c>
      <c r="D332" s="105">
        <v>0.8</v>
      </c>
      <c r="E332" s="105">
        <v>1.2</v>
      </c>
      <c r="F332" s="105">
        <v>0.8</v>
      </c>
      <c r="G332" s="105">
        <v>3.2</v>
      </c>
      <c r="H332" s="105">
        <v>1.7</v>
      </c>
      <c r="I332" s="105">
        <v>0.6</v>
      </c>
      <c r="J332" s="105">
        <v>0.4</v>
      </c>
      <c r="K332" s="105">
        <v>0.8</v>
      </c>
      <c r="L332" s="105">
        <v>6.8</v>
      </c>
      <c r="M332" s="105">
        <v>0.3</v>
      </c>
      <c r="N332" s="109">
        <v>-0.1</v>
      </c>
      <c r="O332" t="str">
        <f>IFERROR(__xludf.DUMMYFUNCTION("regexextract(B332,""[\w]* [\w]*"")"),"#VALUE!")</f>
        <v>#VALUE!</v>
      </c>
      <c r="P332" t="str">
        <f t="shared" si="2"/>
        <v>#VALUE!</v>
      </c>
      <c r="Q332" t="str">
        <f t="shared" si="3"/>
        <v>#VALUE!</v>
      </c>
      <c r="R332" t="s">
        <v>94</v>
      </c>
      <c r="S332" s="60" t="s">
        <v>94</v>
      </c>
      <c r="T332" t="s">
        <v>94</v>
      </c>
      <c r="U332" t="s">
        <v>94</v>
      </c>
      <c r="V332" t="s">
        <v>94</v>
      </c>
      <c r="W332" t="str">
        <f t="shared" si="1"/>
        <v/>
      </c>
    </row>
    <row r="333">
      <c r="A333" s="104">
        <v>17.6</v>
      </c>
      <c r="B333" s="104">
        <v>2.2</v>
      </c>
      <c r="C333" s="104">
        <v>4.6</v>
      </c>
      <c r="D333" s="104">
        <v>0.4</v>
      </c>
      <c r="E333" s="104">
        <v>0.6</v>
      </c>
      <c r="F333" s="104">
        <v>0.8</v>
      </c>
      <c r="G333" s="104">
        <v>3.7</v>
      </c>
      <c r="H333" s="104">
        <v>0.9</v>
      </c>
      <c r="I333" s="104">
        <v>0.5</v>
      </c>
      <c r="J333" s="104">
        <v>0.6</v>
      </c>
      <c r="K333" s="104">
        <v>0.5</v>
      </c>
      <c r="L333" s="104">
        <v>5.5</v>
      </c>
      <c r="M333" s="104">
        <v>0.2</v>
      </c>
      <c r="N333" s="104">
        <v>0.0</v>
      </c>
      <c r="O333" t="str">
        <f>IFERROR(__xludf.DUMMYFUNCTION("regexextract(B333,""[\w]* [\w]*"")"),"#VALUE!")</f>
        <v>#VALUE!</v>
      </c>
      <c r="P333" t="str">
        <f t="shared" si="2"/>
        <v>#VALUE!</v>
      </c>
      <c r="Q333" t="str">
        <f t="shared" si="3"/>
        <v>#VALUE!</v>
      </c>
      <c r="R333" t="s">
        <v>94</v>
      </c>
      <c r="S333" s="60" t="s">
        <v>94</v>
      </c>
      <c r="T333" t="s">
        <v>94</v>
      </c>
      <c r="U333" t="s">
        <v>94</v>
      </c>
      <c r="V333" t="s">
        <v>94</v>
      </c>
      <c r="W333" t="str">
        <f t="shared" si="1"/>
        <v/>
      </c>
    </row>
    <row r="334">
      <c r="A334" s="105">
        <v>16.0</v>
      </c>
      <c r="B334" s="105">
        <v>2.4</v>
      </c>
      <c r="C334" s="105">
        <v>3.3</v>
      </c>
      <c r="D334" s="105">
        <v>0.7</v>
      </c>
      <c r="E334" s="105">
        <v>1.3</v>
      </c>
      <c r="F334" s="105">
        <v>0.0</v>
      </c>
      <c r="G334" s="105">
        <v>5.8</v>
      </c>
      <c r="H334" s="105">
        <v>1.2</v>
      </c>
      <c r="I334" s="105">
        <v>0.2</v>
      </c>
      <c r="J334" s="105">
        <v>0.8</v>
      </c>
      <c r="K334" s="105">
        <v>1.1</v>
      </c>
      <c r="L334" s="105">
        <v>5.6</v>
      </c>
      <c r="M334" s="105">
        <v>4.1</v>
      </c>
      <c r="N334" s="109">
        <v>-0.6</v>
      </c>
      <c r="O334" t="str">
        <f>IFERROR(__xludf.DUMMYFUNCTION("regexextract(B334,""[\w]* [\w]*"")"),"#VALUE!")</f>
        <v>#VALUE!</v>
      </c>
      <c r="P334" t="str">
        <f t="shared" si="2"/>
        <v>#VALUE!</v>
      </c>
      <c r="Q334" t="str">
        <f t="shared" si="3"/>
        <v>#VALUE!</v>
      </c>
      <c r="R334" t="s">
        <v>94</v>
      </c>
      <c r="S334" s="60" t="s">
        <v>94</v>
      </c>
      <c r="T334" t="s">
        <v>94</v>
      </c>
      <c r="U334" t="s">
        <v>94</v>
      </c>
      <c r="V334" t="s">
        <v>94</v>
      </c>
      <c r="W334" t="str">
        <f t="shared" si="1"/>
        <v/>
      </c>
    </row>
    <row r="335">
      <c r="A335" s="104">
        <v>19.7</v>
      </c>
      <c r="B335" s="104">
        <v>4.0</v>
      </c>
      <c r="C335" s="104">
        <v>8.0</v>
      </c>
      <c r="D335" s="104">
        <v>1.9</v>
      </c>
      <c r="E335" s="104">
        <v>2.6</v>
      </c>
      <c r="F335" s="104">
        <v>0.5</v>
      </c>
      <c r="G335" s="104">
        <v>3.4</v>
      </c>
      <c r="H335" s="104">
        <v>1.5</v>
      </c>
      <c r="I335" s="104">
        <v>0.4</v>
      </c>
      <c r="J335" s="104">
        <v>0.2</v>
      </c>
      <c r="K335" s="104">
        <v>1.2</v>
      </c>
      <c r="L335" s="104">
        <v>10.4</v>
      </c>
      <c r="M335" s="104">
        <v>0.4</v>
      </c>
      <c r="N335" s="104">
        <v>0.0</v>
      </c>
      <c r="O335" t="str">
        <f>IFERROR(__xludf.DUMMYFUNCTION("regexextract(B335,""[\w]* [\w]*"")"),"#VALUE!")</f>
        <v>#VALUE!</v>
      </c>
      <c r="P335" t="str">
        <f t="shared" si="2"/>
        <v>#VALUE!</v>
      </c>
      <c r="Q335" t="str">
        <f t="shared" si="3"/>
        <v>#VALUE!</v>
      </c>
      <c r="R335" t="s">
        <v>94</v>
      </c>
      <c r="S335" s="60" t="s">
        <v>94</v>
      </c>
      <c r="T335" t="s">
        <v>94</v>
      </c>
      <c r="U335" t="s">
        <v>94</v>
      </c>
      <c r="V335" t="s">
        <v>94</v>
      </c>
      <c r="W335" t="str">
        <f t="shared" si="1"/>
        <v/>
      </c>
    </row>
    <row r="336">
      <c r="A336" s="105">
        <v>18.8</v>
      </c>
      <c r="B336" s="105">
        <v>2.8</v>
      </c>
      <c r="C336" s="105">
        <v>7.0</v>
      </c>
      <c r="D336" s="105">
        <v>1.0</v>
      </c>
      <c r="E336" s="105">
        <v>1.2</v>
      </c>
      <c r="F336" s="105">
        <v>1.1</v>
      </c>
      <c r="G336" s="105">
        <v>1.6</v>
      </c>
      <c r="H336" s="105">
        <v>2.3</v>
      </c>
      <c r="I336" s="105">
        <v>0.7</v>
      </c>
      <c r="J336" s="105">
        <v>0.2</v>
      </c>
      <c r="K336" s="105">
        <v>1.1</v>
      </c>
      <c r="L336" s="105">
        <v>7.7</v>
      </c>
      <c r="M336" s="105">
        <v>0.7</v>
      </c>
      <c r="N336" s="109">
        <v>-0.1</v>
      </c>
      <c r="O336" t="str">
        <f>IFERROR(__xludf.DUMMYFUNCTION("regexextract(B336,""[\w]* [\w]*"")"),"#VALUE!")</f>
        <v>#VALUE!</v>
      </c>
      <c r="P336" t="str">
        <f t="shared" si="2"/>
        <v>#VALUE!</v>
      </c>
      <c r="Q336" t="str">
        <f t="shared" si="3"/>
        <v>#VALUE!</v>
      </c>
      <c r="R336" t="s">
        <v>94</v>
      </c>
      <c r="S336" s="60" t="s">
        <v>94</v>
      </c>
      <c r="T336" t="s">
        <v>94</v>
      </c>
      <c r="U336" t="s">
        <v>94</v>
      </c>
      <c r="V336" t="s">
        <v>94</v>
      </c>
      <c r="W336" t="str">
        <f t="shared" si="1"/>
        <v/>
      </c>
    </row>
    <row r="337">
      <c r="A337" s="104">
        <v>17.2</v>
      </c>
      <c r="B337" s="104">
        <v>2.6</v>
      </c>
      <c r="C337" s="104">
        <v>5.5</v>
      </c>
      <c r="D337" s="104">
        <v>0.9</v>
      </c>
      <c r="E337" s="104">
        <v>1.0</v>
      </c>
      <c r="F337" s="104">
        <v>0.8</v>
      </c>
      <c r="G337" s="104">
        <v>1.9</v>
      </c>
      <c r="H337" s="104">
        <v>2.0</v>
      </c>
      <c r="I337" s="104">
        <v>0.8</v>
      </c>
      <c r="J337" s="104">
        <v>0.1</v>
      </c>
      <c r="K337" s="104">
        <v>0.8</v>
      </c>
      <c r="L337" s="104">
        <v>6.8</v>
      </c>
      <c r="M337" s="104">
        <v>0.6</v>
      </c>
      <c r="N337" s="108">
        <v>-0.2</v>
      </c>
      <c r="O337" t="str">
        <f>IFERROR(__xludf.DUMMYFUNCTION("regexextract(B337,""[\w]* [\w]*"")"),"#VALUE!")</f>
        <v>#VALUE!</v>
      </c>
      <c r="P337" t="str">
        <f t="shared" si="2"/>
        <v>#VALUE!</v>
      </c>
      <c r="Q337" t="str">
        <f t="shared" si="3"/>
        <v>#VALUE!</v>
      </c>
      <c r="R337" t="s">
        <v>94</v>
      </c>
      <c r="S337" s="60" t="s">
        <v>94</v>
      </c>
      <c r="T337" t="s">
        <v>94</v>
      </c>
      <c r="U337" t="s">
        <v>94</v>
      </c>
      <c r="V337" t="s">
        <v>94</v>
      </c>
      <c r="W337" t="str">
        <f t="shared" si="1"/>
        <v/>
      </c>
    </row>
    <row r="338">
      <c r="A338" s="105">
        <v>20.5</v>
      </c>
      <c r="B338" s="105">
        <v>2.6</v>
      </c>
      <c r="C338" s="105">
        <v>5.9</v>
      </c>
      <c r="D338" s="105">
        <v>0.5</v>
      </c>
      <c r="E338" s="105">
        <v>0.7</v>
      </c>
      <c r="F338" s="105">
        <v>1.4</v>
      </c>
      <c r="G338" s="105">
        <v>4.0</v>
      </c>
      <c r="H338" s="105">
        <v>1.3</v>
      </c>
      <c r="I338" s="105">
        <v>0.6</v>
      </c>
      <c r="J338" s="105">
        <v>0.2</v>
      </c>
      <c r="K338" s="105">
        <v>0.8</v>
      </c>
      <c r="L338" s="105">
        <v>7.0</v>
      </c>
      <c r="M338" s="105">
        <v>0.3</v>
      </c>
      <c r="N338" s="109">
        <v>-0.1</v>
      </c>
      <c r="O338" t="str">
        <f>IFERROR(__xludf.DUMMYFUNCTION("regexextract(B338,""[\w]* [\w]*"")"),"#VALUE!")</f>
        <v>#VALUE!</v>
      </c>
      <c r="P338" t="str">
        <f t="shared" si="2"/>
        <v>#VALUE!</v>
      </c>
      <c r="Q338" t="str">
        <f t="shared" si="3"/>
        <v>#VALUE!</v>
      </c>
      <c r="R338" t="s">
        <v>94</v>
      </c>
      <c r="S338" s="60" t="s">
        <v>94</v>
      </c>
      <c r="T338" t="s">
        <v>94</v>
      </c>
      <c r="U338" t="s">
        <v>94</v>
      </c>
      <c r="V338" t="s">
        <v>94</v>
      </c>
      <c r="W338" t="str">
        <f t="shared" si="1"/>
        <v/>
      </c>
    </row>
    <row r="339">
      <c r="A339" s="104">
        <v>16.2</v>
      </c>
      <c r="B339" s="104">
        <v>2.4</v>
      </c>
      <c r="C339" s="104">
        <v>5.2</v>
      </c>
      <c r="D339" s="104">
        <v>1.5</v>
      </c>
      <c r="E339" s="104">
        <v>1.9</v>
      </c>
      <c r="F339" s="104">
        <v>0.7</v>
      </c>
      <c r="G339" s="104">
        <v>3.4</v>
      </c>
      <c r="H339" s="104">
        <v>1.1</v>
      </c>
      <c r="I339" s="104">
        <v>0.6</v>
      </c>
      <c r="J339" s="104">
        <v>0.4</v>
      </c>
      <c r="K339" s="104">
        <v>1.0</v>
      </c>
      <c r="L339" s="104">
        <v>7.1</v>
      </c>
      <c r="M339" s="104">
        <v>0.4</v>
      </c>
      <c r="N339" s="104">
        <v>0.0</v>
      </c>
      <c r="O339" t="str">
        <f>IFERROR(__xludf.DUMMYFUNCTION("regexextract(B339,""[\w]* [\w]*"")"),"#VALUE!")</f>
        <v>#VALUE!</v>
      </c>
      <c r="P339" t="str">
        <f t="shared" si="2"/>
        <v>#VALUE!</v>
      </c>
      <c r="Q339" t="str">
        <f t="shared" si="3"/>
        <v>#VALUE!</v>
      </c>
      <c r="R339" t="s">
        <v>94</v>
      </c>
      <c r="S339" s="60" t="s">
        <v>94</v>
      </c>
      <c r="T339" t="s">
        <v>94</v>
      </c>
      <c r="U339" t="s">
        <v>94</v>
      </c>
      <c r="V339" t="s">
        <v>94</v>
      </c>
      <c r="W339" t="str">
        <f t="shared" si="1"/>
        <v/>
      </c>
    </row>
    <row r="340">
      <c r="A340" s="105">
        <v>19.2</v>
      </c>
      <c r="B340" s="105">
        <v>2.8</v>
      </c>
      <c r="C340" s="105">
        <v>6.0</v>
      </c>
      <c r="D340" s="105">
        <v>0.9</v>
      </c>
      <c r="E340" s="105">
        <v>1.3</v>
      </c>
      <c r="F340" s="105">
        <v>0.7</v>
      </c>
      <c r="G340" s="105">
        <v>3.6</v>
      </c>
      <c r="H340" s="105">
        <v>1.1</v>
      </c>
      <c r="I340" s="105">
        <v>0.6</v>
      </c>
      <c r="J340" s="105">
        <v>0.4</v>
      </c>
      <c r="K340" s="105">
        <v>0.9</v>
      </c>
      <c r="L340" s="105">
        <v>7.3</v>
      </c>
      <c r="M340" s="105">
        <v>0.3</v>
      </c>
      <c r="N340" s="105">
        <v>0.0</v>
      </c>
      <c r="O340" t="str">
        <f>IFERROR(__xludf.DUMMYFUNCTION("regexextract(B340,""[\w]* [\w]*"")"),"#VALUE!")</f>
        <v>#VALUE!</v>
      </c>
      <c r="P340" t="str">
        <f t="shared" si="2"/>
        <v>#VALUE!</v>
      </c>
      <c r="Q340" t="str">
        <f t="shared" si="3"/>
        <v>#VALUE!</v>
      </c>
      <c r="R340" t="s">
        <v>94</v>
      </c>
      <c r="S340" s="60" t="s">
        <v>94</v>
      </c>
      <c r="T340" t="s">
        <v>94</v>
      </c>
      <c r="U340" t="s">
        <v>94</v>
      </c>
      <c r="V340" t="s">
        <v>94</v>
      </c>
      <c r="W340" t="str">
        <f t="shared" si="1"/>
        <v/>
      </c>
    </row>
    <row r="341">
      <c r="A341" s="104">
        <v>22.3</v>
      </c>
      <c r="B341" s="104">
        <v>3.4</v>
      </c>
      <c r="C341" s="104">
        <v>8.5</v>
      </c>
      <c r="D341" s="104">
        <v>1.6</v>
      </c>
      <c r="E341" s="104">
        <v>2.0</v>
      </c>
      <c r="F341" s="104">
        <v>0.7</v>
      </c>
      <c r="G341" s="104">
        <v>2.8</v>
      </c>
      <c r="H341" s="104">
        <v>1.2</v>
      </c>
      <c r="I341" s="104">
        <v>0.5</v>
      </c>
      <c r="J341" s="104">
        <v>0.1</v>
      </c>
      <c r="K341" s="104">
        <v>0.6</v>
      </c>
      <c r="L341" s="104">
        <v>9.1</v>
      </c>
      <c r="M341" s="104">
        <v>0.5</v>
      </c>
      <c r="N341" s="108">
        <v>-0.1</v>
      </c>
      <c r="O341" t="str">
        <f>IFERROR(__xludf.DUMMYFUNCTION("regexextract(B341,""[\w]* [\w]*"")"),"#VALUE!")</f>
        <v>#VALUE!</v>
      </c>
      <c r="P341" t="str">
        <f t="shared" si="2"/>
        <v>#VALUE!</v>
      </c>
      <c r="Q341" t="str">
        <f t="shared" si="3"/>
        <v>#VALUE!</v>
      </c>
      <c r="R341" t="s">
        <v>94</v>
      </c>
      <c r="S341" s="60" t="s">
        <v>94</v>
      </c>
      <c r="T341" t="s">
        <v>94</v>
      </c>
      <c r="U341" t="s">
        <v>94</v>
      </c>
      <c r="V341" t="s">
        <v>94</v>
      </c>
      <c r="W341" t="str">
        <f t="shared" si="1"/>
        <v/>
      </c>
    </row>
    <row r="342">
      <c r="A342" s="105">
        <v>18.9</v>
      </c>
      <c r="B342" s="105">
        <v>2.5</v>
      </c>
      <c r="C342" s="105">
        <v>5.7</v>
      </c>
      <c r="D342" s="105">
        <v>1.0</v>
      </c>
      <c r="E342" s="105">
        <v>1.1</v>
      </c>
      <c r="F342" s="105">
        <v>1.3</v>
      </c>
      <c r="G342" s="105">
        <v>3.2</v>
      </c>
      <c r="H342" s="105">
        <v>1.4</v>
      </c>
      <c r="I342" s="105">
        <v>0.7</v>
      </c>
      <c r="J342" s="105">
        <v>0.1</v>
      </c>
      <c r="K342" s="105">
        <v>0.7</v>
      </c>
      <c r="L342" s="105">
        <v>7.3</v>
      </c>
      <c r="M342" s="105">
        <v>0.3</v>
      </c>
      <c r="N342" s="105">
        <v>0.0</v>
      </c>
      <c r="O342" t="str">
        <f>IFERROR(__xludf.DUMMYFUNCTION("regexextract(B342,""[\w]* [\w]*"")"),"#VALUE!")</f>
        <v>#VALUE!</v>
      </c>
      <c r="P342" t="str">
        <f t="shared" si="2"/>
        <v>#VALUE!</v>
      </c>
      <c r="Q342" t="str">
        <f t="shared" si="3"/>
        <v>#VALUE!</v>
      </c>
      <c r="R342" t="s">
        <v>94</v>
      </c>
      <c r="S342" s="60" t="s">
        <v>94</v>
      </c>
      <c r="T342" t="s">
        <v>94</v>
      </c>
      <c r="U342" t="s">
        <v>94</v>
      </c>
      <c r="V342" t="s">
        <v>94</v>
      </c>
      <c r="W342" t="str">
        <f t="shared" si="1"/>
        <v/>
      </c>
    </row>
    <row r="343">
      <c r="A343" s="104">
        <v>19.4</v>
      </c>
      <c r="B343" s="104">
        <v>2.5</v>
      </c>
      <c r="C343" s="104">
        <v>5.5</v>
      </c>
      <c r="D343" s="104">
        <v>0.6</v>
      </c>
      <c r="E343" s="104">
        <v>0.8</v>
      </c>
      <c r="F343" s="104">
        <v>1.4</v>
      </c>
      <c r="G343" s="104">
        <v>3.7</v>
      </c>
      <c r="H343" s="104">
        <v>0.7</v>
      </c>
      <c r="I343" s="104">
        <v>0.4</v>
      </c>
      <c r="J343" s="104">
        <v>0.3</v>
      </c>
      <c r="K343" s="104">
        <v>0.7</v>
      </c>
      <c r="L343" s="104">
        <v>7.0</v>
      </c>
      <c r="M343" s="104">
        <v>0.5</v>
      </c>
      <c r="N343" s="104">
        <v>0.0</v>
      </c>
      <c r="O343" t="str">
        <f>IFERROR(__xludf.DUMMYFUNCTION("regexextract(B343,""[\w]* [\w]*"")"),"#VALUE!")</f>
        <v>#VALUE!</v>
      </c>
      <c r="P343" t="str">
        <f t="shared" si="2"/>
        <v>#VALUE!</v>
      </c>
      <c r="Q343" t="str">
        <f t="shared" si="3"/>
        <v>#VALUE!</v>
      </c>
      <c r="R343" t="s">
        <v>94</v>
      </c>
      <c r="S343" s="60" t="s">
        <v>94</v>
      </c>
      <c r="T343" t="s">
        <v>94</v>
      </c>
      <c r="U343" t="s">
        <v>94</v>
      </c>
      <c r="V343" t="s">
        <v>94</v>
      </c>
      <c r="W343" t="str">
        <f t="shared" si="1"/>
        <v/>
      </c>
    </row>
    <row r="344">
      <c r="A344" s="105">
        <v>19.4</v>
      </c>
      <c r="B344" s="105">
        <v>2.1</v>
      </c>
      <c r="C344" s="105">
        <v>3.7</v>
      </c>
      <c r="D344" s="105">
        <v>0.3</v>
      </c>
      <c r="E344" s="105">
        <v>0.5</v>
      </c>
      <c r="F344" s="105">
        <v>0.6</v>
      </c>
      <c r="G344" s="105">
        <v>4.0</v>
      </c>
      <c r="H344" s="105">
        <v>2.5</v>
      </c>
      <c r="I344" s="105">
        <v>0.7</v>
      </c>
      <c r="J344" s="105">
        <v>0.4</v>
      </c>
      <c r="K344" s="105">
        <v>1.1</v>
      </c>
      <c r="L344" s="105">
        <v>5.2</v>
      </c>
      <c r="M344" s="105">
        <v>1.1</v>
      </c>
      <c r="N344" s="109">
        <v>-0.3</v>
      </c>
      <c r="O344" t="str">
        <f>IFERROR(__xludf.DUMMYFUNCTION("regexextract(B344,""[\w]* [\w]*"")"),"#VALUE!")</f>
        <v>#VALUE!</v>
      </c>
      <c r="P344" t="str">
        <f t="shared" si="2"/>
        <v>#VALUE!</v>
      </c>
      <c r="Q344" t="str">
        <f t="shared" si="3"/>
        <v>#VALUE!</v>
      </c>
      <c r="R344" t="s">
        <v>94</v>
      </c>
      <c r="S344" s="60" t="s">
        <v>94</v>
      </c>
      <c r="T344" t="s">
        <v>94</v>
      </c>
      <c r="U344" t="s">
        <v>94</v>
      </c>
      <c r="V344" t="s">
        <v>94</v>
      </c>
      <c r="W344" t="str">
        <f t="shared" si="1"/>
        <v/>
      </c>
    </row>
    <row r="345">
      <c r="A345" s="104">
        <v>20.3</v>
      </c>
      <c r="B345" s="104">
        <v>2.0</v>
      </c>
      <c r="C345" s="104">
        <v>4.9</v>
      </c>
      <c r="D345" s="104">
        <v>1.6</v>
      </c>
      <c r="E345" s="104">
        <v>2.1</v>
      </c>
      <c r="F345" s="104">
        <v>0.5</v>
      </c>
      <c r="G345" s="104">
        <v>2.9</v>
      </c>
      <c r="H345" s="104">
        <v>1.1</v>
      </c>
      <c r="I345" s="104">
        <v>0.9</v>
      </c>
      <c r="J345" s="104">
        <v>0.4</v>
      </c>
      <c r="K345" s="104">
        <v>0.9</v>
      </c>
      <c r="L345" s="104">
        <v>6.2</v>
      </c>
      <c r="M345" s="104">
        <v>0.2</v>
      </c>
      <c r="N345" s="104">
        <v>0.0</v>
      </c>
      <c r="O345" t="str">
        <f>IFERROR(__xludf.DUMMYFUNCTION("regexextract(B345,""[\w]* [\w]*"")"),"#VALUE!")</f>
        <v>#VALUE!</v>
      </c>
      <c r="P345" t="str">
        <f t="shared" si="2"/>
        <v>#VALUE!</v>
      </c>
      <c r="Q345" t="str">
        <f t="shared" si="3"/>
        <v>#VALUE!</v>
      </c>
      <c r="R345" t="s">
        <v>94</v>
      </c>
      <c r="S345" s="60" t="s">
        <v>94</v>
      </c>
      <c r="T345" t="s">
        <v>94</v>
      </c>
      <c r="U345" t="s">
        <v>94</v>
      </c>
      <c r="V345" t="s">
        <v>94</v>
      </c>
      <c r="W345" t="str">
        <f t="shared" si="1"/>
        <v/>
      </c>
    </row>
    <row r="346">
      <c r="A346" s="105">
        <v>19.3</v>
      </c>
      <c r="B346" s="105">
        <v>1.5</v>
      </c>
      <c r="C346" s="105">
        <v>3.6</v>
      </c>
      <c r="D346" s="105">
        <v>0.4</v>
      </c>
      <c r="E346" s="105">
        <v>0.6</v>
      </c>
      <c r="F346" s="105">
        <v>0.8</v>
      </c>
      <c r="G346" s="105">
        <v>3.2</v>
      </c>
      <c r="H346" s="105">
        <v>2.2</v>
      </c>
      <c r="I346" s="105">
        <v>0.8</v>
      </c>
      <c r="J346" s="105">
        <v>0.6</v>
      </c>
      <c r="K346" s="105">
        <v>0.9</v>
      </c>
      <c r="L346" s="105">
        <v>4.2</v>
      </c>
      <c r="M346" s="105">
        <v>3.7</v>
      </c>
      <c r="N346" s="109">
        <v>-0.6</v>
      </c>
      <c r="O346" t="str">
        <f>IFERROR(__xludf.DUMMYFUNCTION("regexextract(B346,""[\w]* [\w]*"")"),"#VALUE!")</f>
        <v>#VALUE!</v>
      </c>
      <c r="P346" t="str">
        <f t="shared" si="2"/>
        <v>#VALUE!</v>
      </c>
      <c r="Q346" t="str">
        <f t="shared" si="3"/>
        <v>#VALUE!</v>
      </c>
      <c r="R346" t="s">
        <v>94</v>
      </c>
      <c r="S346" s="60" t="s">
        <v>94</v>
      </c>
      <c r="T346" t="s">
        <v>94</v>
      </c>
      <c r="U346" t="s">
        <v>94</v>
      </c>
      <c r="V346" t="s">
        <v>94</v>
      </c>
      <c r="W346" t="str">
        <f t="shared" si="1"/>
        <v/>
      </c>
    </row>
    <row r="347">
      <c r="A347" s="104">
        <v>17.1</v>
      </c>
      <c r="B347" s="104">
        <v>1.8</v>
      </c>
      <c r="C347" s="104">
        <v>3.3</v>
      </c>
      <c r="D347" s="104">
        <v>0.5</v>
      </c>
      <c r="E347" s="104">
        <v>0.8</v>
      </c>
      <c r="F347" s="104">
        <v>0.1</v>
      </c>
      <c r="G347" s="104">
        <v>4.7</v>
      </c>
      <c r="H347" s="104">
        <v>1.6</v>
      </c>
      <c r="I347" s="104">
        <v>0.4</v>
      </c>
      <c r="J347" s="104">
        <v>0.4</v>
      </c>
      <c r="K347" s="104">
        <v>0.6</v>
      </c>
      <c r="L347" s="104">
        <v>4.2</v>
      </c>
      <c r="M347" s="104">
        <v>0.4</v>
      </c>
      <c r="N347" s="104">
        <v>0.0</v>
      </c>
      <c r="O347" t="str">
        <f>IFERROR(__xludf.DUMMYFUNCTION("regexextract(B347,""[\w]* [\w]*"")"),"#VALUE!")</f>
        <v>#VALUE!</v>
      </c>
      <c r="P347" t="str">
        <f t="shared" si="2"/>
        <v>#VALUE!</v>
      </c>
      <c r="Q347" t="str">
        <f t="shared" si="3"/>
        <v>#VALUE!</v>
      </c>
      <c r="R347" t="s">
        <v>94</v>
      </c>
      <c r="S347" s="60" t="s">
        <v>94</v>
      </c>
      <c r="T347" t="s">
        <v>94</v>
      </c>
      <c r="U347" t="s">
        <v>94</v>
      </c>
      <c r="V347" t="s">
        <v>94</v>
      </c>
      <c r="W347" t="str">
        <f t="shared" si="1"/>
        <v/>
      </c>
    </row>
    <row r="348">
      <c r="A348" s="105">
        <v>17.0</v>
      </c>
      <c r="B348" s="105">
        <v>2.6</v>
      </c>
      <c r="C348" s="105">
        <v>6.0</v>
      </c>
      <c r="D348" s="105">
        <v>0.9</v>
      </c>
      <c r="E348" s="105">
        <v>1.0</v>
      </c>
      <c r="F348" s="105">
        <v>1.6</v>
      </c>
      <c r="G348" s="105">
        <v>3.3</v>
      </c>
      <c r="H348" s="105">
        <v>0.9</v>
      </c>
      <c r="I348" s="105">
        <v>0.2</v>
      </c>
      <c r="J348" s="105">
        <v>0.4</v>
      </c>
      <c r="K348" s="105">
        <v>0.6</v>
      </c>
      <c r="L348" s="105">
        <v>7.5</v>
      </c>
      <c r="M348" s="105">
        <v>0.2</v>
      </c>
      <c r="N348" s="105">
        <v>0.0</v>
      </c>
      <c r="O348" t="str">
        <f>IFERROR(__xludf.DUMMYFUNCTION("regexextract(B348,""[\w]* [\w]*"")"),"#VALUE!")</f>
        <v>#VALUE!</v>
      </c>
      <c r="P348" t="str">
        <f t="shared" si="2"/>
        <v>#VALUE!</v>
      </c>
      <c r="Q348" t="str">
        <f t="shared" si="3"/>
        <v>#VALUE!</v>
      </c>
      <c r="R348" t="s">
        <v>94</v>
      </c>
      <c r="S348" s="60" t="s">
        <v>94</v>
      </c>
      <c r="T348" t="s">
        <v>94</v>
      </c>
      <c r="U348" t="s">
        <v>94</v>
      </c>
      <c r="V348" t="s">
        <v>94</v>
      </c>
      <c r="W348" t="str">
        <f t="shared" si="1"/>
        <v/>
      </c>
    </row>
    <row r="349">
      <c r="A349" s="104">
        <v>19.7</v>
      </c>
      <c r="B349" s="104">
        <v>3.9</v>
      </c>
      <c r="C349" s="104">
        <v>8.8</v>
      </c>
      <c r="D349" s="104">
        <v>2.1</v>
      </c>
      <c r="E349" s="104">
        <v>2.8</v>
      </c>
      <c r="F349" s="104">
        <v>1.1</v>
      </c>
      <c r="G349" s="104">
        <v>6.9</v>
      </c>
      <c r="H349" s="104">
        <v>2.3</v>
      </c>
      <c r="I349" s="104">
        <v>1.0</v>
      </c>
      <c r="J349" s="104">
        <v>0.8</v>
      </c>
      <c r="K349" s="104">
        <v>1.8</v>
      </c>
      <c r="L349" s="104">
        <v>11.0</v>
      </c>
      <c r="M349" s="104">
        <v>2.9</v>
      </c>
      <c r="N349" s="108">
        <v>-0.5</v>
      </c>
      <c r="O349" t="str">
        <f>IFERROR(__xludf.DUMMYFUNCTION("regexextract(B349,""[\w]* [\w]*"")"),"#VALUE!")</f>
        <v>#VALUE!</v>
      </c>
      <c r="P349" t="str">
        <f t="shared" si="2"/>
        <v>#VALUE!</v>
      </c>
      <c r="Q349" t="str">
        <f t="shared" si="3"/>
        <v>#VALUE!</v>
      </c>
      <c r="R349" t="s">
        <v>94</v>
      </c>
      <c r="S349" s="60" t="s">
        <v>94</v>
      </c>
      <c r="T349" t="s">
        <v>94</v>
      </c>
      <c r="U349" t="s">
        <v>94</v>
      </c>
      <c r="V349" t="s">
        <v>94</v>
      </c>
      <c r="W349" t="str">
        <f t="shared" si="1"/>
        <v/>
      </c>
    </row>
    <row r="350">
      <c r="A350" s="105">
        <v>19.3</v>
      </c>
      <c r="B350" s="105">
        <v>2.8</v>
      </c>
      <c r="C350" s="105">
        <v>7.0</v>
      </c>
      <c r="D350" s="105">
        <v>0.8</v>
      </c>
      <c r="E350" s="105">
        <v>1.6</v>
      </c>
      <c r="F350" s="105">
        <v>0.7</v>
      </c>
      <c r="G350" s="105">
        <v>3.2</v>
      </c>
      <c r="H350" s="105">
        <v>1.2</v>
      </c>
      <c r="I350" s="105">
        <v>0.7</v>
      </c>
      <c r="J350" s="105">
        <v>0.4</v>
      </c>
      <c r="K350" s="105">
        <v>1.1</v>
      </c>
      <c r="L350" s="105">
        <v>7.2</v>
      </c>
      <c r="M350" s="105">
        <v>0.2</v>
      </c>
      <c r="N350" s="105">
        <v>0.0</v>
      </c>
      <c r="O350" t="str">
        <f>IFERROR(__xludf.DUMMYFUNCTION("regexextract(B350,""[\w]* [\w]*"")"),"#VALUE!")</f>
        <v>#VALUE!</v>
      </c>
      <c r="P350" t="str">
        <f t="shared" si="2"/>
        <v>#VALUE!</v>
      </c>
      <c r="Q350" t="str">
        <f t="shared" si="3"/>
        <v>#VALUE!</v>
      </c>
      <c r="R350" t="s">
        <v>94</v>
      </c>
      <c r="S350" s="60" t="s">
        <v>94</v>
      </c>
      <c r="T350" t="s">
        <v>94</v>
      </c>
      <c r="U350" t="s">
        <v>94</v>
      </c>
      <c r="V350" t="s">
        <v>94</v>
      </c>
      <c r="W350" t="str">
        <f t="shared" si="1"/>
        <v/>
      </c>
    </row>
    <row r="351">
      <c r="A351" s="104">
        <v>19.5</v>
      </c>
      <c r="B351" s="104">
        <v>2.3</v>
      </c>
      <c r="C351" s="104">
        <v>4.0</v>
      </c>
      <c r="D351" s="104">
        <v>1.0</v>
      </c>
      <c r="E351" s="104">
        <v>1.9</v>
      </c>
      <c r="F351" s="104">
        <v>0.0</v>
      </c>
      <c r="G351" s="104">
        <v>5.4</v>
      </c>
      <c r="H351" s="104">
        <v>1.1</v>
      </c>
      <c r="I351" s="104">
        <v>0.2</v>
      </c>
      <c r="J351" s="104">
        <v>1.0</v>
      </c>
      <c r="K351" s="104">
        <v>1.0</v>
      </c>
      <c r="L351" s="104">
        <v>5.5</v>
      </c>
      <c r="M351" s="104">
        <v>0.3</v>
      </c>
      <c r="N351" s="104">
        <v>0.0</v>
      </c>
      <c r="O351" t="str">
        <f>IFERROR(__xludf.DUMMYFUNCTION("regexextract(B351,""[\w]* [\w]*"")"),"#VALUE!")</f>
        <v>#VALUE!</v>
      </c>
      <c r="P351" t="str">
        <f t="shared" si="2"/>
        <v>#VALUE!</v>
      </c>
      <c r="Q351" t="str">
        <f t="shared" si="3"/>
        <v>#VALUE!</v>
      </c>
      <c r="R351" t="s">
        <v>94</v>
      </c>
      <c r="S351" s="60" t="s">
        <v>94</v>
      </c>
      <c r="T351" t="s">
        <v>94</v>
      </c>
      <c r="U351" t="s">
        <v>94</v>
      </c>
      <c r="V351" t="s">
        <v>94</v>
      </c>
      <c r="W351" t="str">
        <f t="shared" si="1"/>
        <v/>
      </c>
    </row>
    <row r="352">
      <c r="A352" s="105">
        <v>19.2</v>
      </c>
      <c r="B352" s="105">
        <v>2.0</v>
      </c>
      <c r="C352" s="105">
        <v>4.2</v>
      </c>
      <c r="D352" s="105">
        <v>0.7</v>
      </c>
      <c r="E352" s="105">
        <v>1.0</v>
      </c>
      <c r="F352" s="105">
        <v>0.5</v>
      </c>
      <c r="G352" s="105">
        <v>2.9</v>
      </c>
      <c r="H352" s="105">
        <v>1.0</v>
      </c>
      <c r="I352" s="105">
        <v>0.8</v>
      </c>
      <c r="J352" s="105">
        <v>0.5</v>
      </c>
      <c r="K352" s="105">
        <v>0.6</v>
      </c>
      <c r="L352" s="105">
        <v>5.1</v>
      </c>
      <c r="M352" s="105">
        <v>0.1</v>
      </c>
      <c r="N352" s="105">
        <v>0.0</v>
      </c>
      <c r="O352" t="str">
        <f>IFERROR(__xludf.DUMMYFUNCTION("regexextract(B352,""[\w]* [\w]*"")"),"#VALUE!")</f>
        <v>#VALUE!</v>
      </c>
      <c r="P352" t="str">
        <f t="shared" si="2"/>
        <v>#VALUE!</v>
      </c>
      <c r="Q352" t="str">
        <f t="shared" si="3"/>
        <v>#VALUE!</v>
      </c>
      <c r="R352" t="s">
        <v>94</v>
      </c>
      <c r="S352" s="60" t="s">
        <v>94</v>
      </c>
      <c r="T352" t="s">
        <v>94</v>
      </c>
      <c r="U352" t="s">
        <v>94</v>
      </c>
      <c r="V352" t="s">
        <v>94</v>
      </c>
      <c r="W352" t="str">
        <f t="shared" si="1"/>
        <v/>
      </c>
    </row>
    <row r="353">
      <c r="A353" s="104">
        <v>18.2</v>
      </c>
      <c r="B353" s="104">
        <v>2.6</v>
      </c>
      <c r="C353" s="104">
        <v>5.8</v>
      </c>
      <c r="D353" s="104">
        <v>0.8</v>
      </c>
      <c r="E353" s="104">
        <v>1.3</v>
      </c>
      <c r="F353" s="104">
        <v>0.7</v>
      </c>
      <c r="G353" s="104">
        <v>3.1</v>
      </c>
      <c r="H353" s="104">
        <v>1.9</v>
      </c>
      <c r="I353" s="104">
        <v>0.7</v>
      </c>
      <c r="J353" s="104">
        <v>0.7</v>
      </c>
      <c r="K353" s="104">
        <v>1.1</v>
      </c>
      <c r="L353" s="104">
        <v>6.7</v>
      </c>
      <c r="M353" s="104">
        <v>0.2</v>
      </c>
      <c r="N353" s="104">
        <v>0.0</v>
      </c>
      <c r="O353" t="str">
        <f>IFERROR(__xludf.DUMMYFUNCTION("regexextract(B353,""[\w]* [\w]*"")"),"#VALUE!")</f>
        <v>#VALUE!</v>
      </c>
      <c r="P353" t="str">
        <f t="shared" si="2"/>
        <v>#VALUE!</v>
      </c>
      <c r="Q353" t="str">
        <f t="shared" si="3"/>
        <v>#VALUE!</v>
      </c>
      <c r="R353" t="s">
        <v>94</v>
      </c>
      <c r="S353" s="60" t="s">
        <v>94</v>
      </c>
      <c r="T353" t="s">
        <v>94</v>
      </c>
      <c r="U353" t="s">
        <v>94</v>
      </c>
      <c r="V353" t="s">
        <v>94</v>
      </c>
      <c r="W353" t="str">
        <f t="shared" si="1"/>
        <v/>
      </c>
    </row>
    <row r="354">
      <c r="A354" s="105">
        <v>17.2</v>
      </c>
      <c r="B354" s="105">
        <v>1.7</v>
      </c>
      <c r="C354" s="105">
        <v>3.9</v>
      </c>
      <c r="D354" s="105">
        <v>0.6</v>
      </c>
      <c r="E354" s="105">
        <v>1.0</v>
      </c>
      <c r="F354" s="105">
        <v>0.3</v>
      </c>
      <c r="G354" s="105">
        <v>3.2</v>
      </c>
      <c r="H354" s="105">
        <v>1.8</v>
      </c>
      <c r="I354" s="105">
        <v>0.8</v>
      </c>
      <c r="J354" s="105">
        <v>0.2</v>
      </c>
      <c r="K354" s="105">
        <v>0.8</v>
      </c>
      <c r="L354" s="105">
        <v>4.3</v>
      </c>
      <c r="M354" s="105">
        <v>0.1</v>
      </c>
      <c r="N354" s="105">
        <v>0.0</v>
      </c>
      <c r="O354" t="str">
        <f>IFERROR(__xludf.DUMMYFUNCTION("regexextract(B354,""[\w]* [\w]*"")"),"#VALUE!")</f>
        <v>#VALUE!</v>
      </c>
      <c r="P354" t="str">
        <f t="shared" si="2"/>
        <v>#VALUE!</v>
      </c>
      <c r="Q354" t="str">
        <f t="shared" si="3"/>
        <v>#VALUE!</v>
      </c>
      <c r="R354" t="s">
        <v>94</v>
      </c>
      <c r="S354" s="60" t="s">
        <v>94</v>
      </c>
      <c r="T354" t="s">
        <v>94</v>
      </c>
      <c r="U354" t="s">
        <v>94</v>
      </c>
      <c r="V354" t="s">
        <v>94</v>
      </c>
      <c r="W354" t="str">
        <f t="shared" si="1"/>
        <v/>
      </c>
    </row>
    <row r="355">
      <c r="A355" s="104">
        <v>16.9</v>
      </c>
      <c r="B355" s="104">
        <v>2.2</v>
      </c>
      <c r="C355" s="104">
        <v>5.6</v>
      </c>
      <c r="D355" s="104">
        <v>1.2</v>
      </c>
      <c r="E355" s="104">
        <v>1.8</v>
      </c>
      <c r="F355" s="104">
        <v>0.4</v>
      </c>
      <c r="G355" s="104">
        <v>3.0</v>
      </c>
      <c r="H355" s="104">
        <v>2.6</v>
      </c>
      <c r="I355" s="104">
        <v>0.7</v>
      </c>
      <c r="J355" s="104">
        <v>0.4</v>
      </c>
      <c r="K355" s="104">
        <v>1.3</v>
      </c>
      <c r="L355" s="104">
        <v>6.1</v>
      </c>
      <c r="M355" s="104">
        <v>0.4</v>
      </c>
      <c r="N355" s="108">
        <v>-0.1</v>
      </c>
      <c r="O355" t="str">
        <f>IFERROR(__xludf.DUMMYFUNCTION("regexextract(B355,""[\w]* [\w]*"")"),"#VALUE!")</f>
        <v>#VALUE!</v>
      </c>
      <c r="P355" t="str">
        <f t="shared" si="2"/>
        <v>#VALUE!</v>
      </c>
      <c r="Q355" t="str">
        <f t="shared" si="3"/>
        <v>#VALUE!</v>
      </c>
      <c r="R355" t="s">
        <v>94</v>
      </c>
      <c r="S355" s="60" t="s">
        <v>94</v>
      </c>
      <c r="T355" t="s">
        <v>94</v>
      </c>
      <c r="U355" t="s">
        <v>94</v>
      </c>
      <c r="V355" t="s">
        <v>94</v>
      </c>
      <c r="W355" t="str">
        <f t="shared" si="1"/>
        <v/>
      </c>
    </row>
    <row r="356">
      <c r="A356" s="105">
        <v>18.0</v>
      </c>
      <c r="B356" s="105">
        <v>1.7</v>
      </c>
      <c r="C356" s="105">
        <v>4.4</v>
      </c>
      <c r="D356" s="105">
        <v>1.0</v>
      </c>
      <c r="E356" s="105">
        <v>1.2</v>
      </c>
      <c r="F356" s="105">
        <v>0.6</v>
      </c>
      <c r="G356" s="105">
        <v>4.6</v>
      </c>
      <c r="H356" s="105">
        <v>1.0</v>
      </c>
      <c r="I356" s="105">
        <v>0.7</v>
      </c>
      <c r="J356" s="105">
        <v>0.3</v>
      </c>
      <c r="K356" s="105">
        <v>0.8</v>
      </c>
      <c r="L356" s="105">
        <v>5.0</v>
      </c>
      <c r="M356" s="105">
        <v>0.1</v>
      </c>
      <c r="N356" s="105">
        <v>0.0</v>
      </c>
      <c r="O356" t="str">
        <f>IFERROR(__xludf.DUMMYFUNCTION("regexextract(B356,""[\w]* [\w]*"")"),"#VALUE!")</f>
        <v>#VALUE!</v>
      </c>
      <c r="P356" t="str">
        <f t="shared" si="2"/>
        <v>#VALUE!</v>
      </c>
      <c r="Q356" t="str">
        <f t="shared" si="3"/>
        <v>#VALUE!</v>
      </c>
      <c r="R356" t="s">
        <v>94</v>
      </c>
      <c r="S356" s="60" t="s">
        <v>94</v>
      </c>
      <c r="T356" t="s">
        <v>94</v>
      </c>
      <c r="U356" t="s">
        <v>94</v>
      </c>
      <c r="V356" t="s">
        <v>94</v>
      </c>
      <c r="W356" t="str">
        <f t="shared" si="1"/>
        <v/>
      </c>
    </row>
    <row r="357">
      <c r="A357" s="104">
        <v>12.7</v>
      </c>
      <c r="B357" s="104">
        <v>1.8</v>
      </c>
      <c r="C357" s="104">
        <v>4.4</v>
      </c>
      <c r="D357" s="104">
        <v>0.5</v>
      </c>
      <c r="E357" s="104">
        <v>0.7</v>
      </c>
      <c r="F357" s="104">
        <v>0.8</v>
      </c>
      <c r="G357" s="104">
        <v>3.2</v>
      </c>
      <c r="H357" s="104">
        <v>0.8</v>
      </c>
      <c r="I357" s="104">
        <v>0.3</v>
      </c>
      <c r="J357" s="104">
        <v>0.4</v>
      </c>
      <c r="K357" s="104">
        <v>0.6</v>
      </c>
      <c r="L357" s="104">
        <v>4.8</v>
      </c>
      <c r="M357" s="104">
        <v>0.1</v>
      </c>
      <c r="N357" s="104">
        <v>0.0</v>
      </c>
      <c r="O357" t="str">
        <f>IFERROR(__xludf.DUMMYFUNCTION("regexextract(B357,""[\w]* [\w]*"")"),"#VALUE!")</f>
        <v>#VALUE!</v>
      </c>
      <c r="P357" t="str">
        <f t="shared" si="2"/>
        <v>#VALUE!</v>
      </c>
      <c r="Q357" t="str">
        <f t="shared" si="3"/>
        <v>#VALUE!</v>
      </c>
      <c r="R357" t="s">
        <v>94</v>
      </c>
      <c r="S357" s="60" t="s">
        <v>94</v>
      </c>
      <c r="T357" t="s">
        <v>94</v>
      </c>
      <c r="U357" t="s">
        <v>94</v>
      </c>
      <c r="V357" t="s">
        <v>94</v>
      </c>
      <c r="W357" t="str">
        <f t="shared" si="1"/>
        <v/>
      </c>
    </row>
    <row r="358">
      <c r="A358" s="105">
        <v>15.4</v>
      </c>
      <c r="B358" s="105">
        <v>2.7</v>
      </c>
      <c r="C358" s="105">
        <v>6.3</v>
      </c>
      <c r="D358" s="105">
        <v>0.9</v>
      </c>
      <c r="E358" s="105">
        <v>1.1</v>
      </c>
      <c r="F358" s="105">
        <v>0.9</v>
      </c>
      <c r="G358" s="105">
        <v>1.1</v>
      </c>
      <c r="H358" s="105">
        <v>1.7</v>
      </c>
      <c r="I358" s="105">
        <v>0.5</v>
      </c>
      <c r="J358" s="105">
        <v>0.1</v>
      </c>
      <c r="K358" s="105">
        <v>0.6</v>
      </c>
      <c r="L358" s="105">
        <v>7.3</v>
      </c>
      <c r="M358" s="105">
        <v>0.2</v>
      </c>
      <c r="N358" s="105">
        <v>0.0</v>
      </c>
      <c r="O358" t="str">
        <f>IFERROR(__xludf.DUMMYFUNCTION("regexextract(B358,""[\w]* [\w]*"")"),"#VALUE!")</f>
        <v>#VALUE!</v>
      </c>
      <c r="P358" t="str">
        <f t="shared" si="2"/>
        <v>#VALUE!</v>
      </c>
      <c r="Q358" t="str">
        <f t="shared" si="3"/>
        <v>#VALUE!</v>
      </c>
      <c r="R358" t="s">
        <v>94</v>
      </c>
      <c r="S358" s="60" t="s">
        <v>94</v>
      </c>
      <c r="T358" t="s">
        <v>94</v>
      </c>
      <c r="U358" t="s">
        <v>94</v>
      </c>
      <c r="V358" t="s">
        <v>94</v>
      </c>
      <c r="W358" t="str">
        <f t="shared" si="1"/>
        <v/>
      </c>
    </row>
    <row r="359">
      <c r="A359" s="104">
        <v>18.4</v>
      </c>
      <c r="B359" s="104">
        <v>2.5</v>
      </c>
      <c r="C359" s="104">
        <v>5.3</v>
      </c>
      <c r="D359" s="104">
        <v>1.3</v>
      </c>
      <c r="E359" s="104">
        <v>1.7</v>
      </c>
      <c r="F359" s="104">
        <v>0.5</v>
      </c>
      <c r="G359" s="104">
        <v>4.2</v>
      </c>
      <c r="H359" s="104">
        <v>1.0</v>
      </c>
      <c r="I359" s="104">
        <v>0.3</v>
      </c>
      <c r="J359" s="104">
        <v>0.8</v>
      </c>
      <c r="K359" s="104">
        <v>1.1</v>
      </c>
      <c r="L359" s="104">
        <v>6.9</v>
      </c>
      <c r="M359" s="104">
        <v>0.7</v>
      </c>
      <c r="N359" s="108">
        <v>-0.2</v>
      </c>
      <c r="O359" t="str">
        <f>IFERROR(__xludf.DUMMYFUNCTION("regexextract(B359,""[\w]* [\w]*"")"),"#VALUE!")</f>
        <v>#VALUE!</v>
      </c>
      <c r="P359" t="str">
        <f t="shared" si="2"/>
        <v>#VALUE!</v>
      </c>
      <c r="Q359" t="str">
        <f t="shared" si="3"/>
        <v>#VALUE!</v>
      </c>
      <c r="R359" t="s">
        <v>94</v>
      </c>
      <c r="S359" s="60" t="s">
        <v>94</v>
      </c>
      <c r="T359" t="s">
        <v>94</v>
      </c>
      <c r="U359" t="s">
        <v>94</v>
      </c>
      <c r="V359" t="s">
        <v>94</v>
      </c>
      <c r="W359" t="str">
        <f t="shared" si="1"/>
        <v/>
      </c>
    </row>
    <row r="360">
      <c r="A360" s="105">
        <v>15.6</v>
      </c>
      <c r="B360" s="105">
        <v>2.6</v>
      </c>
      <c r="C360" s="105">
        <v>5.1</v>
      </c>
      <c r="D360" s="105">
        <v>1.1</v>
      </c>
      <c r="E360" s="105">
        <v>1.4</v>
      </c>
      <c r="F360" s="105">
        <v>0.6</v>
      </c>
      <c r="G360" s="105">
        <v>1.7</v>
      </c>
      <c r="H360" s="105">
        <v>1.0</v>
      </c>
      <c r="I360" s="105">
        <v>0.6</v>
      </c>
      <c r="J360" s="105">
        <v>0.2</v>
      </c>
      <c r="K360" s="105">
        <v>0.9</v>
      </c>
      <c r="L360" s="105">
        <v>6.8</v>
      </c>
      <c r="M360" s="105">
        <v>0.2</v>
      </c>
      <c r="N360" s="109">
        <v>-0.1</v>
      </c>
      <c r="O360" t="str">
        <f>IFERROR(__xludf.DUMMYFUNCTION("regexextract(B360,""[\w]* [\w]*"")"),"#VALUE!")</f>
        <v>#VALUE!</v>
      </c>
      <c r="P360" t="str">
        <f t="shared" si="2"/>
        <v>#VALUE!</v>
      </c>
      <c r="Q360" t="str">
        <f t="shared" si="3"/>
        <v>#VALUE!</v>
      </c>
      <c r="R360" t="s">
        <v>94</v>
      </c>
      <c r="S360" s="60" t="s">
        <v>94</v>
      </c>
      <c r="T360" t="s">
        <v>94</v>
      </c>
      <c r="U360" t="s">
        <v>94</v>
      </c>
      <c r="V360" t="s">
        <v>94</v>
      </c>
      <c r="W360" t="str">
        <f t="shared" si="1"/>
        <v/>
      </c>
    </row>
    <row r="361">
      <c r="A361" s="104">
        <v>14.4</v>
      </c>
      <c r="B361" s="104">
        <v>2.2</v>
      </c>
      <c r="C361" s="104">
        <v>5.0</v>
      </c>
      <c r="D361" s="104">
        <v>0.3</v>
      </c>
      <c r="E361" s="104">
        <v>0.3</v>
      </c>
      <c r="F361" s="104">
        <v>1.5</v>
      </c>
      <c r="G361" s="104">
        <v>2.2</v>
      </c>
      <c r="H361" s="104">
        <v>0.7</v>
      </c>
      <c r="I361" s="104">
        <v>0.3</v>
      </c>
      <c r="J361" s="104">
        <v>0.1</v>
      </c>
      <c r="K361" s="104">
        <v>0.6</v>
      </c>
      <c r="L361" s="104">
        <v>6.2</v>
      </c>
      <c r="M361" s="104">
        <v>0.1</v>
      </c>
      <c r="N361" s="104">
        <v>0.0</v>
      </c>
      <c r="O361" t="str">
        <f>IFERROR(__xludf.DUMMYFUNCTION("regexextract(B361,""[\w]* [\w]*"")"),"#VALUE!")</f>
        <v>#VALUE!</v>
      </c>
      <c r="P361" t="str">
        <f t="shared" si="2"/>
        <v>#VALUE!</v>
      </c>
      <c r="Q361" t="str">
        <f t="shared" si="3"/>
        <v>#VALUE!</v>
      </c>
      <c r="R361" t="s">
        <v>94</v>
      </c>
      <c r="S361" s="60" t="s">
        <v>94</v>
      </c>
      <c r="T361" t="s">
        <v>94</v>
      </c>
      <c r="U361" t="s">
        <v>94</v>
      </c>
      <c r="V361" t="s">
        <v>94</v>
      </c>
      <c r="W361" t="str">
        <f t="shared" si="1"/>
        <v/>
      </c>
    </row>
    <row r="362">
      <c r="A362" s="105">
        <v>19.0</v>
      </c>
      <c r="B362" s="105">
        <v>2.9</v>
      </c>
      <c r="C362" s="105">
        <v>6.3</v>
      </c>
      <c r="D362" s="105">
        <v>0.8</v>
      </c>
      <c r="E362" s="105">
        <v>1.1</v>
      </c>
      <c r="F362" s="105">
        <v>0.7</v>
      </c>
      <c r="G362" s="105">
        <v>5.2</v>
      </c>
      <c r="H362" s="105">
        <v>1.1</v>
      </c>
      <c r="I362" s="105">
        <v>0.3</v>
      </c>
      <c r="J362" s="105">
        <v>0.5</v>
      </c>
      <c r="K362" s="105">
        <v>0.9</v>
      </c>
      <c r="L362" s="105">
        <v>7.4</v>
      </c>
      <c r="M362" s="105">
        <v>0.2</v>
      </c>
      <c r="N362" s="105">
        <v>0.0</v>
      </c>
      <c r="O362" t="str">
        <f>IFERROR(__xludf.DUMMYFUNCTION("regexextract(B362,""[\w]* [\w]*"")"),"#VALUE!")</f>
        <v>#VALUE!</v>
      </c>
      <c r="P362" t="str">
        <f t="shared" si="2"/>
        <v>#VALUE!</v>
      </c>
      <c r="Q362" t="str">
        <f t="shared" si="3"/>
        <v>#VALUE!</v>
      </c>
      <c r="R362" t="s">
        <v>94</v>
      </c>
      <c r="S362" s="60" t="s">
        <v>94</v>
      </c>
      <c r="T362" t="s">
        <v>94</v>
      </c>
      <c r="U362" t="s">
        <v>94</v>
      </c>
      <c r="V362" t="s">
        <v>94</v>
      </c>
      <c r="W362" t="str">
        <f t="shared" si="1"/>
        <v/>
      </c>
    </row>
    <row r="363">
      <c r="A363" s="104">
        <v>17.2</v>
      </c>
      <c r="B363" s="104">
        <v>1.9</v>
      </c>
      <c r="C363" s="104">
        <v>4.8</v>
      </c>
      <c r="D363" s="104">
        <v>1.4</v>
      </c>
      <c r="E363" s="104">
        <v>1.6</v>
      </c>
      <c r="F363" s="104">
        <v>0.4</v>
      </c>
      <c r="G363" s="104">
        <v>1.7</v>
      </c>
      <c r="H363" s="104">
        <v>2.6</v>
      </c>
      <c r="I363" s="104">
        <v>0.7</v>
      </c>
      <c r="J363" s="104">
        <v>0.2</v>
      </c>
      <c r="K363" s="104">
        <v>1.1</v>
      </c>
      <c r="L363" s="104">
        <v>5.7</v>
      </c>
      <c r="M363" s="104">
        <v>0.1</v>
      </c>
      <c r="N363" s="104">
        <v>0.0</v>
      </c>
      <c r="O363" t="str">
        <f>IFERROR(__xludf.DUMMYFUNCTION("regexextract(B363,""[\w]* [\w]*"")"),"#VALUE!")</f>
        <v>#VALUE!</v>
      </c>
      <c r="P363" t="str">
        <f t="shared" si="2"/>
        <v>#VALUE!</v>
      </c>
      <c r="Q363" t="str">
        <f t="shared" si="3"/>
        <v>#VALUE!</v>
      </c>
      <c r="R363" t="s">
        <v>94</v>
      </c>
      <c r="S363" s="60" t="s">
        <v>94</v>
      </c>
      <c r="T363" t="s">
        <v>94</v>
      </c>
      <c r="U363" t="s">
        <v>94</v>
      </c>
      <c r="V363" t="s">
        <v>94</v>
      </c>
      <c r="W363" t="str">
        <f t="shared" si="1"/>
        <v/>
      </c>
    </row>
    <row r="364">
      <c r="A364" s="105">
        <v>13.3</v>
      </c>
      <c r="B364" s="105">
        <v>2.5</v>
      </c>
      <c r="C364" s="105">
        <v>4.2</v>
      </c>
      <c r="D364" s="105">
        <v>0.8</v>
      </c>
      <c r="E364" s="105">
        <v>1.1</v>
      </c>
      <c r="F364" s="105">
        <v>0.1</v>
      </c>
      <c r="G364" s="105">
        <v>2.5</v>
      </c>
      <c r="H364" s="105">
        <v>0.6</v>
      </c>
      <c r="I364" s="105">
        <v>0.1</v>
      </c>
      <c r="J364" s="105">
        <v>0.5</v>
      </c>
      <c r="K364" s="105">
        <v>0.8</v>
      </c>
      <c r="L364" s="105">
        <v>5.9</v>
      </c>
      <c r="M364" s="105">
        <v>0.3</v>
      </c>
      <c r="N364" s="105">
        <v>0.0</v>
      </c>
      <c r="O364" t="str">
        <f>IFERROR(__xludf.DUMMYFUNCTION("regexextract(B364,""[\w]* [\w]*"")"),"#VALUE!")</f>
        <v>#VALUE!</v>
      </c>
      <c r="P364" t="str">
        <f t="shared" si="2"/>
        <v>#VALUE!</v>
      </c>
      <c r="Q364" t="str">
        <f t="shared" si="3"/>
        <v>#VALUE!</v>
      </c>
      <c r="R364" t="s">
        <v>94</v>
      </c>
      <c r="S364" s="60" t="s">
        <v>94</v>
      </c>
      <c r="T364" t="s">
        <v>94</v>
      </c>
      <c r="U364" t="s">
        <v>94</v>
      </c>
      <c r="V364" t="s">
        <v>94</v>
      </c>
      <c r="W364" t="str">
        <f t="shared" si="1"/>
        <v/>
      </c>
    </row>
    <row r="365">
      <c r="A365" s="82" t="s">
        <v>402</v>
      </c>
      <c r="C365" s="84"/>
      <c r="D365" s="84"/>
      <c r="E365" s="84"/>
      <c r="F365" s="84"/>
      <c r="G365" s="84"/>
      <c r="O365" t="str">
        <f>IFERROR(__xludf.DUMMYFUNCTION("regexextract(B365,""[\w]* [\w]*"")"),"#N/A")</f>
        <v>#N/A</v>
      </c>
      <c r="P365" t="str">
        <f t="shared" si="2"/>
        <v>#N/A</v>
      </c>
      <c r="Q365" t="str">
        <f t="shared" si="3"/>
        <v>#N/A</v>
      </c>
      <c r="R365" t="s">
        <v>94</v>
      </c>
      <c r="S365" s="60" t="s">
        <v>94</v>
      </c>
      <c r="T365" t="s">
        <v>94</v>
      </c>
      <c r="U365" t="s">
        <v>94</v>
      </c>
      <c r="V365" t="s">
        <v>94</v>
      </c>
      <c r="W365" t="str">
        <f t="shared" si="1"/>
        <v/>
      </c>
    </row>
    <row r="366">
      <c r="A366" s="110" t="s">
        <v>403</v>
      </c>
      <c r="B366" s="110" t="s">
        <v>404</v>
      </c>
      <c r="C366" s="88"/>
      <c r="D366" s="88"/>
      <c r="E366" s="88"/>
      <c r="F366" s="88"/>
      <c r="G366" s="88"/>
      <c r="O366" t="str">
        <f>IFERROR(__xludf.DUMMYFUNCTION("regexextract(B366,""[\w]* [\w]*"")"),"#N/A")</f>
        <v>#N/A</v>
      </c>
      <c r="P366" t="str">
        <f t="shared" si="2"/>
        <v>#N/A</v>
      </c>
      <c r="Q366" t="str">
        <f t="shared" si="3"/>
        <v>#N/A</v>
      </c>
      <c r="R366" t="s">
        <v>94</v>
      </c>
      <c r="S366" s="60" t="s">
        <v>94</v>
      </c>
      <c r="T366" t="s">
        <v>94</v>
      </c>
      <c r="U366" t="s">
        <v>94</v>
      </c>
      <c r="V366" t="s">
        <v>94</v>
      </c>
      <c r="W366" t="str">
        <f t="shared" si="1"/>
        <v/>
      </c>
    </row>
    <row r="367">
      <c r="A367" s="104">
        <v>1176.0</v>
      </c>
      <c r="B367" s="104">
        <v>16.1</v>
      </c>
      <c r="C367" s="84"/>
      <c r="D367" s="84"/>
      <c r="E367" s="84"/>
      <c r="F367" s="84"/>
      <c r="G367" s="84"/>
      <c r="O367" t="str">
        <f>IFERROR(__xludf.DUMMYFUNCTION("regexextract(B367,""[\w]* [\w]*"")"),"#VALUE!")</f>
        <v>#VALUE!</v>
      </c>
      <c r="P367" t="str">
        <f t="shared" si="2"/>
        <v>#VALUE!</v>
      </c>
      <c r="Q367" t="str">
        <f t="shared" si="3"/>
        <v>#VALUE!</v>
      </c>
      <c r="R367" t="s">
        <v>94</v>
      </c>
      <c r="S367" s="60" t="s">
        <v>94</v>
      </c>
      <c r="T367" t="s">
        <v>94</v>
      </c>
      <c r="U367" t="s">
        <v>94</v>
      </c>
      <c r="V367" t="s">
        <v>94</v>
      </c>
      <c r="W367" t="str">
        <f t="shared" si="1"/>
        <v/>
      </c>
    </row>
    <row r="368">
      <c r="A368" s="111">
        <v>1166.0</v>
      </c>
      <c r="B368" s="111">
        <v>16.9</v>
      </c>
      <c r="C368" s="88"/>
      <c r="D368" s="88"/>
      <c r="E368" s="88"/>
      <c r="F368" s="88"/>
      <c r="G368" s="88"/>
      <c r="O368" t="str">
        <f>IFERROR(__xludf.DUMMYFUNCTION("regexextract(B368,""[\w]* [\w]*"")"),"#VALUE!")</f>
        <v>#VALUE!</v>
      </c>
      <c r="P368" t="str">
        <f t="shared" si="2"/>
        <v>#VALUE!</v>
      </c>
      <c r="Q368" t="str">
        <f t="shared" si="3"/>
        <v>#VALUE!</v>
      </c>
      <c r="R368" t="s">
        <v>94</v>
      </c>
      <c r="S368" s="60" t="s">
        <v>94</v>
      </c>
      <c r="T368" t="s">
        <v>94</v>
      </c>
      <c r="U368" t="s">
        <v>94</v>
      </c>
      <c r="V368" t="s">
        <v>94</v>
      </c>
      <c r="W368" t="str">
        <f t="shared" si="1"/>
        <v/>
      </c>
    </row>
    <row r="369">
      <c r="A369" s="104">
        <v>1152.0</v>
      </c>
      <c r="B369" s="104">
        <v>17.2</v>
      </c>
      <c r="C369" s="84"/>
      <c r="D369" s="84"/>
      <c r="E369" s="84"/>
      <c r="F369" s="84"/>
      <c r="G369" s="84"/>
      <c r="O369" t="str">
        <f>IFERROR(__xludf.DUMMYFUNCTION("regexextract(B369,""[\w]* [\w]*"")"),"#VALUE!")</f>
        <v>#VALUE!</v>
      </c>
      <c r="P369" t="str">
        <f t="shared" si="2"/>
        <v>#VALUE!</v>
      </c>
      <c r="Q369" t="str">
        <f t="shared" si="3"/>
        <v>#VALUE!</v>
      </c>
      <c r="R369" t="s">
        <v>94</v>
      </c>
      <c r="S369" s="60" t="s">
        <v>94</v>
      </c>
      <c r="T369" t="s">
        <v>94</v>
      </c>
      <c r="U369" t="s">
        <v>94</v>
      </c>
      <c r="V369" t="s">
        <v>94</v>
      </c>
      <c r="W369" t="str">
        <f t="shared" si="1"/>
        <v/>
      </c>
    </row>
    <row r="370">
      <c r="A370" s="111">
        <v>1151.0</v>
      </c>
      <c r="B370" s="111">
        <v>16.9</v>
      </c>
      <c r="C370" s="88"/>
      <c r="D370" s="88"/>
      <c r="E370" s="88"/>
      <c r="F370" s="88"/>
      <c r="G370" s="88"/>
      <c r="O370" t="str">
        <f>IFERROR(__xludf.DUMMYFUNCTION("regexextract(B370,""[\w]* [\w]*"")"),"#VALUE!")</f>
        <v>#VALUE!</v>
      </c>
      <c r="P370" t="str">
        <f t="shared" si="2"/>
        <v>#VALUE!</v>
      </c>
      <c r="Q370" t="str">
        <f t="shared" si="3"/>
        <v>#VALUE!</v>
      </c>
      <c r="R370" t="s">
        <v>94</v>
      </c>
      <c r="S370" s="60" t="s">
        <v>94</v>
      </c>
      <c r="T370" t="s">
        <v>94</v>
      </c>
      <c r="U370" t="s">
        <v>94</v>
      </c>
      <c r="V370" t="s">
        <v>94</v>
      </c>
      <c r="W370" t="str">
        <f t="shared" si="1"/>
        <v/>
      </c>
    </row>
    <row r="371">
      <c r="A371" s="104">
        <v>1148.0</v>
      </c>
      <c r="B371" s="104">
        <v>16.2</v>
      </c>
      <c r="C371" s="84"/>
      <c r="D371" s="84"/>
      <c r="E371" s="84"/>
      <c r="F371" s="84"/>
      <c r="G371" s="84"/>
      <c r="O371" t="str">
        <f>IFERROR(__xludf.DUMMYFUNCTION("regexextract(B371,""[\w]* [\w]*"")"),"#VALUE!")</f>
        <v>#VALUE!</v>
      </c>
      <c r="P371" t="str">
        <f t="shared" si="2"/>
        <v>#VALUE!</v>
      </c>
      <c r="Q371" t="str">
        <f t="shared" si="3"/>
        <v>#VALUE!</v>
      </c>
      <c r="R371" t="s">
        <v>94</v>
      </c>
      <c r="S371" s="60" t="s">
        <v>94</v>
      </c>
      <c r="T371" t="s">
        <v>94</v>
      </c>
      <c r="U371" t="s">
        <v>94</v>
      </c>
      <c r="V371" t="s">
        <v>94</v>
      </c>
      <c r="W371" t="str">
        <f t="shared" si="1"/>
        <v/>
      </c>
    </row>
    <row r="372">
      <c r="A372" s="111">
        <v>1136.0</v>
      </c>
      <c r="B372" s="111">
        <v>15.8</v>
      </c>
      <c r="C372" s="88"/>
      <c r="D372" s="88"/>
      <c r="E372" s="88"/>
      <c r="F372" s="88"/>
      <c r="G372" s="88"/>
      <c r="O372" t="str">
        <f>IFERROR(__xludf.DUMMYFUNCTION("regexextract(B372,""[\w]* [\w]*"")"),"#VALUE!")</f>
        <v>#VALUE!</v>
      </c>
      <c r="P372" t="str">
        <f t="shared" si="2"/>
        <v>#VALUE!</v>
      </c>
      <c r="Q372" t="str">
        <f t="shared" si="3"/>
        <v>#VALUE!</v>
      </c>
      <c r="R372" t="s">
        <v>94</v>
      </c>
      <c r="S372" s="60" t="s">
        <v>94</v>
      </c>
      <c r="T372" t="s">
        <v>94</v>
      </c>
      <c r="U372" t="s">
        <v>94</v>
      </c>
      <c r="V372" t="s">
        <v>94</v>
      </c>
      <c r="W372" t="str">
        <f t="shared" si="1"/>
        <v/>
      </c>
    </row>
    <row r="373">
      <c r="A373" s="104">
        <v>1134.0</v>
      </c>
      <c r="B373" s="104">
        <v>15.8</v>
      </c>
      <c r="C373" s="84"/>
      <c r="D373" s="84"/>
      <c r="E373" s="84"/>
      <c r="F373" s="84"/>
      <c r="G373" s="84"/>
      <c r="O373" t="str">
        <f>IFERROR(__xludf.DUMMYFUNCTION("regexextract(B373,""[\w]* [\w]*"")"),"#VALUE!")</f>
        <v>#VALUE!</v>
      </c>
      <c r="P373" t="str">
        <f t="shared" si="2"/>
        <v>#VALUE!</v>
      </c>
      <c r="Q373" t="str">
        <f t="shared" si="3"/>
        <v>#VALUE!</v>
      </c>
      <c r="R373" t="s">
        <v>94</v>
      </c>
      <c r="S373" s="60" t="s">
        <v>94</v>
      </c>
      <c r="T373" t="s">
        <v>94</v>
      </c>
      <c r="U373" t="s">
        <v>94</v>
      </c>
      <c r="V373" t="s">
        <v>94</v>
      </c>
      <c r="W373" t="str">
        <f t="shared" si="1"/>
        <v/>
      </c>
    </row>
    <row r="374">
      <c r="A374" s="111">
        <v>1131.0</v>
      </c>
      <c r="B374" s="111">
        <v>16.4</v>
      </c>
      <c r="C374" s="88"/>
      <c r="D374" s="88"/>
      <c r="E374" s="88"/>
      <c r="F374" s="88"/>
      <c r="G374" s="88"/>
      <c r="O374" t="str">
        <f>IFERROR(__xludf.DUMMYFUNCTION("regexextract(B374,""[\w]* [\w]*"")"),"#VALUE!")</f>
        <v>#VALUE!</v>
      </c>
      <c r="P374" t="str">
        <f t="shared" si="2"/>
        <v>#VALUE!</v>
      </c>
      <c r="Q374" t="str">
        <f t="shared" si="3"/>
        <v>#VALUE!</v>
      </c>
      <c r="R374" t="s">
        <v>94</v>
      </c>
      <c r="S374" s="60" t="s">
        <v>94</v>
      </c>
      <c r="T374" t="s">
        <v>94</v>
      </c>
      <c r="U374" t="s">
        <v>94</v>
      </c>
      <c r="V374" t="s">
        <v>94</v>
      </c>
      <c r="W374" t="str">
        <f t="shared" si="1"/>
        <v/>
      </c>
    </row>
    <row r="375">
      <c r="A375" s="104">
        <v>1126.0</v>
      </c>
      <c r="B375" s="104">
        <v>36.3</v>
      </c>
      <c r="C375" s="84"/>
      <c r="D375" s="84"/>
      <c r="E375" s="84"/>
      <c r="F375" s="84"/>
      <c r="G375" s="84"/>
      <c r="O375" t="str">
        <f>IFERROR(__xludf.DUMMYFUNCTION("regexextract(B375,""[\w]* [\w]*"")"),"#VALUE!")</f>
        <v>#VALUE!</v>
      </c>
      <c r="P375" t="str">
        <f t="shared" si="2"/>
        <v>#VALUE!</v>
      </c>
      <c r="Q375" t="str">
        <f t="shared" si="3"/>
        <v>#VALUE!</v>
      </c>
      <c r="R375" t="s">
        <v>94</v>
      </c>
      <c r="S375" s="60" t="s">
        <v>94</v>
      </c>
      <c r="T375" t="s">
        <v>94</v>
      </c>
      <c r="U375" t="s">
        <v>94</v>
      </c>
      <c r="V375" t="s">
        <v>94</v>
      </c>
      <c r="W375" t="str">
        <f t="shared" si="1"/>
        <v/>
      </c>
    </row>
    <row r="376">
      <c r="A376" s="111">
        <v>1123.0</v>
      </c>
      <c r="B376" s="111">
        <v>17.0</v>
      </c>
      <c r="C376" s="88"/>
      <c r="D376" s="88"/>
      <c r="E376" s="88"/>
      <c r="F376" s="88"/>
      <c r="G376" s="88"/>
      <c r="O376" t="str">
        <f>IFERROR(__xludf.DUMMYFUNCTION("regexextract(B376,""[\w]* [\w]*"")"),"#VALUE!")</f>
        <v>#VALUE!</v>
      </c>
      <c r="P376" t="str">
        <f t="shared" si="2"/>
        <v>#VALUE!</v>
      </c>
      <c r="Q376" t="str">
        <f t="shared" si="3"/>
        <v>#VALUE!</v>
      </c>
      <c r="R376" t="s">
        <v>94</v>
      </c>
      <c r="S376" s="60" t="s">
        <v>94</v>
      </c>
      <c r="T376" t="s">
        <v>94</v>
      </c>
      <c r="U376" t="s">
        <v>94</v>
      </c>
      <c r="V376" t="s">
        <v>94</v>
      </c>
      <c r="W376" t="str">
        <f t="shared" si="1"/>
        <v/>
      </c>
    </row>
    <row r="377">
      <c r="A377" s="104">
        <v>1116.0</v>
      </c>
      <c r="B377" s="104">
        <v>16.4</v>
      </c>
      <c r="C377" s="84"/>
      <c r="D377" s="84"/>
      <c r="E377" s="84"/>
      <c r="F377" s="84"/>
      <c r="G377" s="84"/>
      <c r="O377" t="str">
        <f>IFERROR(__xludf.DUMMYFUNCTION("regexextract(B377,""[\w]* [\w]*"")"),"#VALUE!")</f>
        <v>#VALUE!</v>
      </c>
      <c r="P377" t="str">
        <f t="shared" si="2"/>
        <v>#VALUE!</v>
      </c>
      <c r="Q377" t="str">
        <f t="shared" si="3"/>
        <v>#VALUE!</v>
      </c>
      <c r="R377" t="s">
        <v>94</v>
      </c>
      <c r="S377" s="60" t="s">
        <v>94</v>
      </c>
      <c r="T377" t="s">
        <v>94</v>
      </c>
      <c r="U377" t="s">
        <v>94</v>
      </c>
      <c r="V377" t="s">
        <v>94</v>
      </c>
      <c r="W377" t="str">
        <f t="shared" si="1"/>
        <v/>
      </c>
    </row>
    <row r="378">
      <c r="A378" s="111">
        <v>1116.0</v>
      </c>
      <c r="B378" s="111">
        <v>16.2</v>
      </c>
      <c r="C378" s="88"/>
      <c r="D378" s="88"/>
      <c r="E378" s="88"/>
      <c r="F378" s="88"/>
      <c r="G378" s="88"/>
      <c r="O378" t="str">
        <f>IFERROR(__xludf.DUMMYFUNCTION("regexextract(B378,""[\w]* [\w]*"")"),"#VALUE!")</f>
        <v>#VALUE!</v>
      </c>
      <c r="P378" t="str">
        <f t="shared" si="2"/>
        <v>#VALUE!</v>
      </c>
      <c r="Q378" t="str">
        <f t="shared" si="3"/>
        <v>#VALUE!</v>
      </c>
      <c r="R378" t="s">
        <v>94</v>
      </c>
      <c r="S378" s="60" t="s">
        <v>94</v>
      </c>
      <c r="T378" t="s">
        <v>94</v>
      </c>
      <c r="U378" t="s">
        <v>94</v>
      </c>
      <c r="V378" t="s">
        <v>94</v>
      </c>
      <c r="W378" t="str">
        <f t="shared" si="1"/>
        <v/>
      </c>
    </row>
    <row r="379">
      <c r="A379" s="104">
        <v>1115.0</v>
      </c>
      <c r="B379" s="104">
        <v>16.6</v>
      </c>
      <c r="C379" s="84"/>
      <c r="D379" s="84"/>
      <c r="E379" s="84"/>
      <c r="F379" s="84"/>
      <c r="G379" s="84"/>
      <c r="O379" t="str">
        <f>IFERROR(__xludf.DUMMYFUNCTION("regexextract(B379,""[\w]* [\w]*"")"),"#VALUE!")</f>
        <v>#VALUE!</v>
      </c>
      <c r="P379" t="str">
        <f t="shared" si="2"/>
        <v>#VALUE!</v>
      </c>
      <c r="Q379" t="str">
        <f t="shared" si="3"/>
        <v>#VALUE!</v>
      </c>
      <c r="R379" t="s">
        <v>94</v>
      </c>
      <c r="S379" s="60" t="s">
        <v>94</v>
      </c>
      <c r="T379" t="s">
        <v>94</v>
      </c>
      <c r="U379" t="s">
        <v>94</v>
      </c>
      <c r="V379" t="s">
        <v>94</v>
      </c>
      <c r="W379" t="str">
        <f t="shared" si="1"/>
        <v/>
      </c>
    </row>
    <row r="380">
      <c r="A380" s="111">
        <v>1115.0</v>
      </c>
      <c r="B380" s="111">
        <v>16.9</v>
      </c>
      <c r="C380" s="88"/>
      <c r="D380" s="88"/>
      <c r="E380" s="88"/>
      <c r="F380" s="88"/>
      <c r="G380" s="88"/>
      <c r="O380" t="str">
        <f>IFERROR(__xludf.DUMMYFUNCTION("regexextract(B380,""[\w]* [\w]*"")"),"#VALUE!")</f>
        <v>#VALUE!</v>
      </c>
      <c r="P380" t="str">
        <f t="shared" si="2"/>
        <v>#VALUE!</v>
      </c>
      <c r="Q380" t="str">
        <f t="shared" si="3"/>
        <v>#VALUE!</v>
      </c>
      <c r="R380" t="s">
        <v>94</v>
      </c>
      <c r="S380" s="60" t="s">
        <v>94</v>
      </c>
      <c r="T380" t="s">
        <v>94</v>
      </c>
      <c r="U380" t="s">
        <v>94</v>
      </c>
      <c r="V380" t="s">
        <v>94</v>
      </c>
      <c r="W380" t="str">
        <f t="shared" si="1"/>
        <v/>
      </c>
    </row>
    <row r="381">
      <c r="A381" s="104">
        <v>1114.0</v>
      </c>
      <c r="B381" s="104">
        <v>17.4</v>
      </c>
      <c r="C381" s="84"/>
      <c r="D381" s="99"/>
      <c r="E381" s="84"/>
      <c r="F381" s="84"/>
      <c r="G381" s="84"/>
      <c r="O381" t="str">
        <f>IFERROR(__xludf.DUMMYFUNCTION("regexextract(B381,""[\w]* [\w]*"")"),"#VALUE!")</f>
        <v>#VALUE!</v>
      </c>
      <c r="P381" t="str">
        <f t="shared" si="2"/>
        <v>#VALUE!</v>
      </c>
      <c r="Q381" t="str">
        <f t="shared" si="3"/>
        <v>#VALUE!</v>
      </c>
      <c r="R381" t="s">
        <v>94</v>
      </c>
      <c r="S381" s="60" t="s">
        <v>94</v>
      </c>
      <c r="T381" t="s">
        <v>94</v>
      </c>
      <c r="U381" t="s">
        <v>94</v>
      </c>
      <c r="V381" t="s">
        <v>94</v>
      </c>
      <c r="W381" t="str">
        <f t="shared" si="1"/>
        <v/>
      </c>
    </row>
    <row r="382">
      <c r="A382" s="111">
        <v>1104.0</v>
      </c>
      <c r="B382" s="111">
        <v>16.2</v>
      </c>
      <c r="C382" s="88"/>
      <c r="D382" s="88"/>
      <c r="E382" s="88"/>
      <c r="F382" s="88"/>
      <c r="G382" s="88"/>
      <c r="O382" t="str">
        <f>IFERROR(__xludf.DUMMYFUNCTION("regexextract(B382,""[\w]* [\w]*"")"),"#VALUE!")</f>
        <v>#VALUE!</v>
      </c>
      <c r="P382" t="str">
        <f t="shared" si="2"/>
        <v>#VALUE!</v>
      </c>
      <c r="Q382" t="str">
        <f t="shared" si="3"/>
        <v>#VALUE!</v>
      </c>
      <c r="R382" t="s">
        <v>94</v>
      </c>
      <c r="S382" s="60" t="s">
        <v>94</v>
      </c>
      <c r="T382" t="s">
        <v>94</v>
      </c>
      <c r="U382" t="s">
        <v>94</v>
      </c>
      <c r="V382" t="s">
        <v>94</v>
      </c>
      <c r="W382" t="str">
        <f t="shared" si="1"/>
        <v/>
      </c>
    </row>
    <row r="383">
      <c r="A383" s="104">
        <v>1090.0</v>
      </c>
      <c r="B383" s="104">
        <v>15.4</v>
      </c>
      <c r="C383" s="84"/>
      <c r="D383" s="84"/>
      <c r="E383" s="84"/>
      <c r="F383" s="84"/>
      <c r="G383" s="84"/>
      <c r="O383" t="str">
        <f>IFERROR(__xludf.DUMMYFUNCTION("regexextract(B383,""[\w]* [\w]*"")"),"#VALUE!")</f>
        <v>#VALUE!</v>
      </c>
      <c r="P383" t="str">
        <f t="shared" si="2"/>
        <v>#VALUE!</v>
      </c>
      <c r="Q383" t="str">
        <f t="shared" si="3"/>
        <v>#VALUE!</v>
      </c>
      <c r="R383" t="s">
        <v>94</v>
      </c>
      <c r="S383" s="60" t="s">
        <v>94</v>
      </c>
      <c r="T383" t="s">
        <v>94</v>
      </c>
      <c r="U383" t="s">
        <v>94</v>
      </c>
      <c r="V383" t="s">
        <v>94</v>
      </c>
      <c r="W383" t="str">
        <f t="shared" si="1"/>
        <v/>
      </c>
    </row>
    <row r="384">
      <c r="A384" s="111">
        <v>1079.0</v>
      </c>
      <c r="B384" s="111">
        <v>15.2</v>
      </c>
      <c r="C384" s="88"/>
      <c r="D384" s="88"/>
      <c r="E384" s="88"/>
      <c r="F384" s="88"/>
      <c r="G384" s="88"/>
      <c r="O384" t="str">
        <f>IFERROR(__xludf.DUMMYFUNCTION("regexextract(B384,""[\w]* [\w]*"")"),"#VALUE!")</f>
        <v>#VALUE!</v>
      </c>
      <c r="P384" t="str">
        <f t="shared" si="2"/>
        <v>#VALUE!</v>
      </c>
      <c r="Q384" t="str">
        <f t="shared" si="3"/>
        <v>#VALUE!</v>
      </c>
      <c r="R384" t="s">
        <v>94</v>
      </c>
      <c r="S384" s="60" t="s">
        <v>94</v>
      </c>
      <c r="T384" t="s">
        <v>94</v>
      </c>
      <c r="U384" t="s">
        <v>94</v>
      </c>
      <c r="V384" t="s">
        <v>94</v>
      </c>
      <c r="W384" t="str">
        <f t="shared" si="1"/>
        <v/>
      </c>
    </row>
    <row r="385">
      <c r="A385" s="104">
        <v>1078.0</v>
      </c>
      <c r="B385" s="104">
        <v>14.8</v>
      </c>
      <c r="C385" s="84"/>
      <c r="D385" s="84"/>
      <c r="E385" s="84"/>
      <c r="F385" s="84"/>
      <c r="G385" s="84"/>
      <c r="O385" t="str">
        <f>IFERROR(__xludf.DUMMYFUNCTION("regexextract(B385,""[\w]* [\w]*"")"),"#VALUE!")</f>
        <v>#VALUE!</v>
      </c>
      <c r="P385" t="str">
        <f t="shared" si="2"/>
        <v>#VALUE!</v>
      </c>
      <c r="Q385" t="str">
        <f t="shared" si="3"/>
        <v>#VALUE!</v>
      </c>
      <c r="R385" t="s">
        <v>94</v>
      </c>
      <c r="S385" s="60" t="s">
        <v>94</v>
      </c>
      <c r="T385" t="s">
        <v>94</v>
      </c>
      <c r="U385" t="s">
        <v>94</v>
      </c>
      <c r="V385" t="s">
        <v>94</v>
      </c>
      <c r="W385" t="str">
        <f t="shared" si="1"/>
        <v/>
      </c>
    </row>
    <row r="386">
      <c r="A386" s="111">
        <v>1077.0</v>
      </c>
      <c r="B386" s="111">
        <v>16.6</v>
      </c>
      <c r="C386" s="88"/>
      <c r="D386" s="88"/>
      <c r="E386" s="88"/>
      <c r="F386" s="88"/>
      <c r="G386" s="88"/>
      <c r="O386" t="str">
        <f>IFERROR(__xludf.DUMMYFUNCTION("regexextract(B386,""[\w]* [\w]*"")"),"#VALUE!")</f>
        <v>#VALUE!</v>
      </c>
      <c r="P386" t="str">
        <f t="shared" si="2"/>
        <v>#VALUE!</v>
      </c>
      <c r="Q386" t="str">
        <f t="shared" si="3"/>
        <v>#VALUE!</v>
      </c>
      <c r="R386" t="s">
        <v>94</v>
      </c>
      <c r="S386" s="60" t="s">
        <v>94</v>
      </c>
      <c r="T386" t="s">
        <v>94</v>
      </c>
      <c r="U386" t="s">
        <v>94</v>
      </c>
      <c r="V386" t="s">
        <v>94</v>
      </c>
      <c r="W386" t="str">
        <f t="shared" si="1"/>
        <v/>
      </c>
    </row>
    <row r="387">
      <c r="A387" s="104">
        <v>1076.0</v>
      </c>
      <c r="B387" s="104">
        <v>16.6</v>
      </c>
      <c r="C387" s="84"/>
      <c r="D387" s="84"/>
      <c r="E387" s="84"/>
      <c r="F387" s="84"/>
      <c r="G387" s="84"/>
      <c r="O387" t="str">
        <f>IFERROR(__xludf.DUMMYFUNCTION("regexextract(B387,""[\w]* [\w]*"")"),"#VALUE!")</f>
        <v>#VALUE!</v>
      </c>
      <c r="P387" t="str">
        <f t="shared" si="2"/>
        <v>#VALUE!</v>
      </c>
      <c r="Q387" t="str">
        <f t="shared" si="3"/>
        <v>#VALUE!</v>
      </c>
      <c r="R387" t="s">
        <v>94</v>
      </c>
      <c r="S387" s="60" t="s">
        <v>94</v>
      </c>
      <c r="T387" t="s">
        <v>94</v>
      </c>
      <c r="U387" t="s">
        <v>94</v>
      </c>
      <c r="V387" t="s">
        <v>94</v>
      </c>
      <c r="W387" t="str">
        <f t="shared" si="1"/>
        <v/>
      </c>
    </row>
    <row r="388">
      <c r="A388" s="111">
        <v>1076.0</v>
      </c>
      <c r="B388" s="111">
        <v>14.7</v>
      </c>
      <c r="C388" s="88"/>
      <c r="D388" s="88"/>
      <c r="E388" s="88"/>
      <c r="F388" s="88"/>
      <c r="G388" s="88"/>
      <c r="O388" t="str">
        <f>IFERROR(__xludf.DUMMYFUNCTION("regexextract(B388,""[\w]* [\w]*"")"),"#VALUE!")</f>
        <v>#VALUE!</v>
      </c>
      <c r="P388" t="str">
        <f t="shared" si="2"/>
        <v>#VALUE!</v>
      </c>
      <c r="Q388" t="str">
        <f t="shared" si="3"/>
        <v>#VALUE!</v>
      </c>
      <c r="R388" t="s">
        <v>94</v>
      </c>
      <c r="S388" s="60" t="s">
        <v>94</v>
      </c>
      <c r="T388" t="s">
        <v>94</v>
      </c>
      <c r="U388" t="s">
        <v>94</v>
      </c>
      <c r="V388" t="s">
        <v>94</v>
      </c>
      <c r="W388" t="str">
        <f t="shared" si="1"/>
        <v/>
      </c>
    </row>
    <row r="389">
      <c r="A389" s="104">
        <v>1075.0</v>
      </c>
      <c r="B389" s="104">
        <v>14.9</v>
      </c>
      <c r="C389" s="84"/>
      <c r="D389" s="84"/>
      <c r="E389" s="84"/>
      <c r="F389" s="84"/>
      <c r="G389" s="84"/>
      <c r="O389" t="str">
        <f>IFERROR(__xludf.DUMMYFUNCTION("regexextract(B389,""[\w]* [\w]*"")"),"#VALUE!")</f>
        <v>#VALUE!</v>
      </c>
      <c r="P389" t="str">
        <f t="shared" si="2"/>
        <v>#VALUE!</v>
      </c>
      <c r="Q389" t="str">
        <f t="shared" si="3"/>
        <v>#VALUE!</v>
      </c>
      <c r="R389" t="s">
        <v>94</v>
      </c>
      <c r="S389" s="60" t="s">
        <v>94</v>
      </c>
      <c r="T389" t="s">
        <v>94</v>
      </c>
      <c r="U389" t="s">
        <v>94</v>
      </c>
      <c r="V389" t="s">
        <v>94</v>
      </c>
      <c r="W389" t="str">
        <f t="shared" si="1"/>
        <v/>
      </c>
    </row>
    <row r="390">
      <c r="A390" s="111">
        <v>1069.0</v>
      </c>
      <c r="B390" s="111">
        <v>15.7</v>
      </c>
      <c r="C390" s="88"/>
      <c r="D390" s="88"/>
      <c r="E390" s="88"/>
      <c r="F390" s="88"/>
      <c r="G390" s="88"/>
      <c r="O390" t="str">
        <f>IFERROR(__xludf.DUMMYFUNCTION("regexextract(B390,""[\w]* [\w]*"")"),"#VALUE!")</f>
        <v>#VALUE!</v>
      </c>
      <c r="P390" t="str">
        <f t="shared" si="2"/>
        <v>#VALUE!</v>
      </c>
      <c r="Q390" t="str">
        <f t="shared" si="3"/>
        <v>#VALUE!</v>
      </c>
      <c r="R390" t="s">
        <v>94</v>
      </c>
      <c r="S390" s="60" t="s">
        <v>94</v>
      </c>
      <c r="T390" t="s">
        <v>94</v>
      </c>
      <c r="U390" t="s">
        <v>94</v>
      </c>
      <c r="V390" t="s">
        <v>94</v>
      </c>
      <c r="W390" t="str">
        <f t="shared" si="1"/>
        <v/>
      </c>
    </row>
    <row r="391">
      <c r="A391" s="104">
        <v>1065.0</v>
      </c>
      <c r="B391" s="104">
        <v>14.6</v>
      </c>
      <c r="C391" s="84"/>
      <c r="D391" s="84"/>
      <c r="E391" s="84"/>
      <c r="F391" s="84"/>
      <c r="G391" s="84"/>
      <c r="O391" t="str">
        <f>IFERROR(__xludf.DUMMYFUNCTION("regexextract(B391,""[\w]* [\w]*"")"),"#VALUE!")</f>
        <v>#VALUE!</v>
      </c>
      <c r="P391" t="str">
        <f t="shared" si="2"/>
        <v>#VALUE!</v>
      </c>
      <c r="Q391" t="str">
        <f t="shared" si="3"/>
        <v>#VALUE!</v>
      </c>
      <c r="R391" t="s">
        <v>94</v>
      </c>
      <c r="S391" s="60" t="s">
        <v>94</v>
      </c>
      <c r="T391" t="s">
        <v>94</v>
      </c>
      <c r="U391" t="s">
        <v>94</v>
      </c>
      <c r="V391" t="s">
        <v>94</v>
      </c>
      <c r="W391" t="str">
        <f t="shared" si="1"/>
        <v/>
      </c>
    </row>
    <row r="392">
      <c r="A392" s="111">
        <v>1052.0</v>
      </c>
      <c r="B392" s="111">
        <v>15.2</v>
      </c>
      <c r="C392" s="88"/>
      <c r="D392" s="88"/>
      <c r="E392" s="88"/>
      <c r="F392" s="88"/>
      <c r="G392" s="88"/>
      <c r="O392" t="str">
        <f>IFERROR(__xludf.DUMMYFUNCTION("regexextract(B392,""[\w]* [\w]*"")"),"#VALUE!")</f>
        <v>#VALUE!</v>
      </c>
      <c r="P392" t="str">
        <f t="shared" si="2"/>
        <v>#VALUE!</v>
      </c>
      <c r="Q392" t="str">
        <f t="shared" si="3"/>
        <v>#VALUE!</v>
      </c>
      <c r="R392" t="s">
        <v>94</v>
      </c>
      <c r="S392" s="60" t="s">
        <v>94</v>
      </c>
      <c r="T392" t="s">
        <v>94</v>
      </c>
      <c r="U392" t="s">
        <v>94</v>
      </c>
      <c r="V392" t="s">
        <v>94</v>
      </c>
      <c r="W392" t="str">
        <f t="shared" si="1"/>
        <v/>
      </c>
    </row>
    <row r="393">
      <c r="A393" s="104">
        <v>1029.0</v>
      </c>
      <c r="B393" s="104">
        <v>14.1</v>
      </c>
      <c r="C393" s="84"/>
      <c r="D393" s="84"/>
      <c r="E393" s="84"/>
      <c r="F393" s="84"/>
      <c r="G393" s="84"/>
      <c r="O393" t="str">
        <f>IFERROR(__xludf.DUMMYFUNCTION("regexextract(B393,""[\w]* [\w]*"")"),"#VALUE!")</f>
        <v>#VALUE!</v>
      </c>
      <c r="P393" t="str">
        <f t="shared" si="2"/>
        <v>#VALUE!</v>
      </c>
      <c r="Q393" t="str">
        <f t="shared" si="3"/>
        <v>#VALUE!</v>
      </c>
      <c r="R393" t="s">
        <v>94</v>
      </c>
      <c r="S393" s="60" t="s">
        <v>94</v>
      </c>
      <c r="T393" t="s">
        <v>94</v>
      </c>
      <c r="U393" t="s">
        <v>94</v>
      </c>
      <c r="V393" t="s">
        <v>94</v>
      </c>
      <c r="W393" t="str">
        <f t="shared" si="1"/>
        <v/>
      </c>
    </row>
    <row r="394">
      <c r="A394" s="111">
        <v>1024.0</v>
      </c>
      <c r="B394" s="111">
        <v>15.5</v>
      </c>
      <c r="C394" s="88"/>
      <c r="D394" s="88"/>
      <c r="E394" s="88"/>
      <c r="F394" s="88"/>
      <c r="G394" s="88"/>
      <c r="O394" t="str">
        <f>IFERROR(__xludf.DUMMYFUNCTION("regexextract(B394,""[\w]* [\w]*"")"),"#VALUE!")</f>
        <v>#VALUE!</v>
      </c>
      <c r="P394" t="str">
        <f t="shared" si="2"/>
        <v>#VALUE!</v>
      </c>
      <c r="Q394" t="str">
        <f t="shared" si="3"/>
        <v>#VALUE!</v>
      </c>
      <c r="R394" t="s">
        <v>94</v>
      </c>
      <c r="S394" s="60" t="s">
        <v>94</v>
      </c>
      <c r="T394" t="s">
        <v>94</v>
      </c>
      <c r="U394" t="s">
        <v>94</v>
      </c>
      <c r="V394" t="s">
        <v>94</v>
      </c>
      <c r="W394" t="str">
        <f t="shared" si="1"/>
        <v/>
      </c>
    </row>
    <row r="395">
      <c r="A395" s="104">
        <v>1022.0</v>
      </c>
      <c r="B395" s="104">
        <v>14.2</v>
      </c>
      <c r="C395" s="84"/>
      <c r="D395" s="84"/>
      <c r="E395" s="84"/>
      <c r="F395" s="84"/>
      <c r="G395" s="84"/>
      <c r="O395" t="str">
        <f>IFERROR(__xludf.DUMMYFUNCTION("regexextract(B395,""[\w]* [\w]*"")"),"#VALUE!")</f>
        <v>#VALUE!</v>
      </c>
      <c r="P395" t="str">
        <f t="shared" si="2"/>
        <v>#VALUE!</v>
      </c>
      <c r="Q395" t="str">
        <f t="shared" si="3"/>
        <v>#VALUE!</v>
      </c>
      <c r="R395" t="s">
        <v>94</v>
      </c>
      <c r="S395" s="60" t="s">
        <v>94</v>
      </c>
      <c r="T395" t="s">
        <v>94</v>
      </c>
      <c r="U395" t="s">
        <v>94</v>
      </c>
      <c r="V395" t="s">
        <v>94</v>
      </c>
      <c r="W395" t="str">
        <f t="shared" si="1"/>
        <v/>
      </c>
    </row>
    <row r="396">
      <c r="A396" s="111">
        <v>1004.0</v>
      </c>
      <c r="B396" s="111">
        <v>17.3</v>
      </c>
      <c r="C396" s="88"/>
      <c r="D396" s="88"/>
      <c r="E396" s="88"/>
      <c r="F396" s="88"/>
      <c r="G396" s="88"/>
      <c r="O396" t="str">
        <f>IFERROR(__xludf.DUMMYFUNCTION("regexextract(B396,""[\w]* [\w]*"")"),"#VALUE!")</f>
        <v>#VALUE!</v>
      </c>
      <c r="P396" t="str">
        <f t="shared" si="2"/>
        <v>#VALUE!</v>
      </c>
      <c r="Q396" t="str">
        <f t="shared" si="3"/>
        <v>#VALUE!</v>
      </c>
      <c r="R396" t="s">
        <v>94</v>
      </c>
      <c r="S396" s="60" t="s">
        <v>94</v>
      </c>
      <c r="T396" t="s">
        <v>94</v>
      </c>
      <c r="U396" t="s">
        <v>94</v>
      </c>
      <c r="V396" t="s">
        <v>94</v>
      </c>
      <c r="W396" t="str">
        <f t="shared" si="1"/>
        <v/>
      </c>
    </row>
    <row r="397">
      <c r="A397" s="104">
        <v>997.0</v>
      </c>
      <c r="B397" s="104">
        <v>13.8</v>
      </c>
      <c r="C397" s="84"/>
      <c r="D397" s="84"/>
      <c r="E397" s="84"/>
      <c r="F397" s="84"/>
      <c r="G397" s="84"/>
      <c r="O397" t="str">
        <f>IFERROR(__xludf.DUMMYFUNCTION("regexextract(B397,""[\w]* [\w]*"")"),"#VALUE!")</f>
        <v>#VALUE!</v>
      </c>
      <c r="P397" t="str">
        <f t="shared" si="2"/>
        <v>#VALUE!</v>
      </c>
      <c r="Q397" t="str">
        <f t="shared" si="3"/>
        <v>#VALUE!</v>
      </c>
      <c r="R397" t="s">
        <v>94</v>
      </c>
      <c r="S397" s="60" t="s">
        <v>94</v>
      </c>
      <c r="T397" t="s">
        <v>94</v>
      </c>
      <c r="U397" t="s">
        <v>94</v>
      </c>
      <c r="V397" t="s">
        <v>94</v>
      </c>
      <c r="W397" t="str">
        <f t="shared" si="1"/>
        <v/>
      </c>
    </row>
    <row r="398">
      <c r="A398" s="111">
        <v>991.0</v>
      </c>
      <c r="B398" s="111">
        <v>15.5</v>
      </c>
      <c r="C398" s="88"/>
      <c r="D398" s="88"/>
      <c r="E398" s="88"/>
      <c r="F398" s="88"/>
      <c r="G398" s="88"/>
      <c r="O398" t="str">
        <f>IFERROR(__xludf.DUMMYFUNCTION("regexextract(B398,""[\w]* [\w]*"")"),"#VALUE!")</f>
        <v>#VALUE!</v>
      </c>
      <c r="P398" t="str">
        <f t="shared" si="2"/>
        <v>#VALUE!</v>
      </c>
      <c r="Q398" t="str">
        <f t="shared" si="3"/>
        <v>#VALUE!</v>
      </c>
      <c r="R398" t="s">
        <v>94</v>
      </c>
      <c r="S398" s="60" t="s">
        <v>94</v>
      </c>
      <c r="T398" t="s">
        <v>94</v>
      </c>
      <c r="U398" t="s">
        <v>94</v>
      </c>
      <c r="V398" t="s">
        <v>94</v>
      </c>
      <c r="W398" t="str">
        <f t="shared" si="1"/>
        <v/>
      </c>
    </row>
    <row r="399">
      <c r="A399" s="104">
        <v>952.0</v>
      </c>
      <c r="B399" s="104">
        <v>14.2</v>
      </c>
      <c r="C399" s="84"/>
      <c r="D399" s="84"/>
      <c r="E399" s="84"/>
      <c r="F399" s="84"/>
      <c r="G399" s="84"/>
      <c r="O399" t="str">
        <f>IFERROR(__xludf.DUMMYFUNCTION("regexextract(B399,""[\w]* [\w]*"")"),"#VALUE!")</f>
        <v>#VALUE!</v>
      </c>
      <c r="P399" t="str">
        <f t="shared" si="2"/>
        <v>#VALUE!</v>
      </c>
      <c r="Q399" t="str">
        <f t="shared" si="3"/>
        <v>#VALUE!</v>
      </c>
      <c r="R399" t="s">
        <v>94</v>
      </c>
      <c r="S399" s="60" t="s">
        <v>94</v>
      </c>
      <c r="T399" t="s">
        <v>94</v>
      </c>
      <c r="U399" t="s">
        <v>94</v>
      </c>
      <c r="V399" t="s">
        <v>94</v>
      </c>
      <c r="W399" t="str">
        <f t="shared" si="1"/>
        <v/>
      </c>
    </row>
    <row r="400">
      <c r="A400" s="111">
        <v>946.0</v>
      </c>
      <c r="B400" s="111">
        <v>14.3</v>
      </c>
      <c r="C400" s="88"/>
      <c r="D400" s="88"/>
      <c r="E400" s="88"/>
      <c r="F400" s="88"/>
      <c r="G400" s="88"/>
      <c r="O400" t="str">
        <f>IFERROR(__xludf.DUMMYFUNCTION("regexextract(B400,""[\w]* [\w]*"")"),"#VALUE!")</f>
        <v>#VALUE!</v>
      </c>
      <c r="P400" t="str">
        <f t="shared" si="2"/>
        <v>#VALUE!</v>
      </c>
      <c r="Q400" t="str">
        <f t="shared" si="3"/>
        <v>#VALUE!</v>
      </c>
      <c r="R400" t="s">
        <v>94</v>
      </c>
      <c r="S400" s="60" t="s">
        <v>94</v>
      </c>
      <c r="T400" t="s">
        <v>94</v>
      </c>
      <c r="U400" t="s">
        <v>94</v>
      </c>
      <c r="V400" t="s">
        <v>94</v>
      </c>
      <c r="W400" t="str">
        <f t="shared" si="1"/>
        <v/>
      </c>
    </row>
    <row r="401">
      <c r="A401" s="104">
        <v>945.0</v>
      </c>
      <c r="B401" s="104">
        <v>25.5</v>
      </c>
      <c r="C401" s="84"/>
      <c r="D401" s="84"/>
      <c r="E401" s="84"/>
      <c r="F401" s="84"/>
      <c r="G401" s="84"/>
      <c r="O401" t="str">
        <f>IFERROR(__xludf.DUMMYFUNCTION("regexextract(B401,""[\w]* [\w]*"")"),"#VALUE!")</f>
        <v>#VALUE!</v>
      </c>
      <c r="P401" t="str">
        <f t="shared" si="2"/>
        <v>#VALUE!</v>
      </c>
      <c r="Q401" t="str">
        <f t="shared" si="3"/>
        <v>#VALUE!</v>
      </c>
      <c r="R401" t="s">
        <v>94</v>
      </c>
      <c r="S401" s="60" t="s">
        <v>94</v>
      </c>
      <c r="T401" t="s">
        <v>94</v>
      </c>
      <c r="U401" t="s">
        <v>94</v>
      </c>
      <c r="V401" t="s">
        <v>94</v>
      </c>
      <c r="W401" t="str">
        <f t="shared" si="1"/>
        <v/>
      </c>
    </row>
    <row r="402">
      <c r="A402" s="111">
        <v>942.0</v>
      </c>
      <c r="B402" s="111">
        <v>13.7</v>
      </c>
      <c r="C402" s="88"/>
      <c r="D402" s="88"/>
      <c r="E402" s="88"/>
      <c r="F402" s="88"/>
      <c r="G402" s="88"/>
      <c r="O402" t="str">
        <f>IFERROR(__xludf.DUMMYFUNCTION("regexextract(B402,""[\w]* [\w]*"")"),"#VALUE!")</f>
        <v>#VALUE!</v>
      </c>
      <c r="P402" t="str">
        <f t="shared" si="2"/>
        <v>#VALUE!</v>
      </c>
      <c r="Q402" t="str">
        <f t="shared" si="3"/>
        <v>#VALUE!</v>
      </c>
      <c r="R402" t="s">
        <v>94</v>
      </c>
      <c r="S402" s="60" t="s">
        <v>94</v>
      </c>
      <c r="T402" t="s">
        <v>94</v>
      </c>
      <c r="U402" t="s">
        <v>94</v>
      </c>
      <c r="V402" t="s">
        <v>94</v>
      </c>
      <c r="W402" t="str">
        <f t="shared" si="1"/>
        <v/>
      </c>
    </row>
    <row r="403">
      <c r="A403" s="104">
        <v>934.0</v>
      </c>
      <c r="B403" s="104">
        <v>15.6</v>
      </c>
      <c r="C403" s="84"/>
      <c r="D403" s="84"/>
      <c r="E403" s="84"/>
      <c r="F403" s="84"/>
      <c r="G403" s="84"/>
      <c r="O403" t="str">
        <f>IFERROR(__xludf.DUMMYFUNCTION("regexextract(B403,""[\w]* [\w]*"")"),"#VALUE!")</f>
        <v>#VALUE!</v>
      </c>
      <c r="P403" t="str">
        <f t="shared" si="2"/>
        <v>#VALUE!</v>
      </c>
      <c r="Q403" t="str">
        <f t="shared" si="3"/>
        <v>#VALUE!</v>
      </c>
      <c r="R403" t="s">
        <v>94</v>
      </c>
      <c r="S403" s="60" t="s">
        <v>94</v>
      </c>
      <c r="T403" t="s">
        <v>94</v>
      </c>
      <c r="U403" t="s">
        <v>94</v>
      </c>
      <c r="V403" t="s">
        <v>94</v>
      </c>
      <c r="W403" t="str">
        <f t="shared" si="1"/>
        <v/>
      </c>
    </row>
    <row r="404">
      <c r="A404" s="111">
        <v>905.0</v>
      </c>
      <c r="B404" s="111">
        <v>13.9</v>
      </c>
      <c r="C404" s="88"/>
      <c r="D404" s="88"/>
      <c r="E404" s="88"/>
      <c r="F404" s="88"/>
      <c r="G404" s="88"/>
      <c r="O404" t="str">
        <f>IFERROR(__xludf.DUMMYFUNCTION("regexextract(B404,""[\w]* [\w]*"")"),"#VALUE!")</f>
        <v>#VALUE!</v>
      </c>
      <c r="P404" t="str">
        <f t="shared" si="2"/>
        <v>#VALUE!</v>
      </c>
      <c r="Q404" t="str">
        <f t="shared" si="3"/>
        <v>#VALUE!</v>
      </c>
      <c r="R404" t="s">
        <v>94</v>
      </c>
      <c r="S404" s="60" t="s">
        <v>94</v>
      </c>
      <c r="T404" t="s">
        <v>94</v>
      </c>
      <c r="U404" t="s">
        <v>94</v>
      </c>
      <c r="V404" t="s">
        <v>94</v>
      </c>
      <c r="W404" t="str">
        <f t="shared" si="1"/>
        <v/>
      </c>
    </row>
    <row r="405">
      <c r="A405" s="104">
        <v>902.0</v>
      </c>
      <c r="B405" s="104">
        <v>16.7</v>
      </c>
      <c r="C405" s="84"/>
      <c r="D405" s="84"/>
      <c r="E405" s="84"/>
      <c r="F405" s="84"/>
      <c r="G405" s="84"/>
      <c r="O405" t="str">
        <f>IFERROR(__xludf.DUMMYFUNCTION("regexextract(B405,""[\w]* [\w]*"")"),"#VALUE!")</f>
        <v>#VALUE!</v>
      </c>
      <c r="P405" t="str">
        <f t="shared" si="2"/>
        <v>#VALUE!</v>
      </c>
      <c r="Q405" t="str">
        <f t="shared" si="3"/>
        <v>#VALUE!</v>
      </c>
      <c r="R405" t="s">
        <v>94</v>
      </c>
      <c r="S405" s="60" t="s">
        <v>94</v>
      </c>
      <c r="T405" t="s">
        <v>94</v>
      </c>
      <c r="U405" t="s">
        <v>94</v>
      </c>
      <c r="V405" t="s">
        <v>94</v>
      </c>
      <c r="W405" t="str">
        <f t="shared" si="1"/>
        <v/>
      </c>
    </row>
    <row r="406">
      <c r="A406" s="111">
        <v>891.0</v>
      </c>
      <c r="B406" s="111">
        <v>12.9</v>
      </c>
      <c r="C406" s="88"/>
      <c r="D406" s="88"/>
      <c r="E406" s="88"/>
      <c r="F406" s="88"/>
      <c r="G406" s="88"/>
      <c r="O406" t="str">
        <f>IFERROR(__xludf.DUMMYFUNCTION("regexextract(B406,""[\w]* [\w]*"")"),"#VALUE!")</f>
        <v>#VALUE!</v>
      </c>
      <c r="P406" t="str">
        <f t="shared" si="2"/>
        <v>#VALUE!</v>
      </c>
      <c r="Q406" t="str">
        <f t="shared" si="3"/>
        <v>#VALUE!</v>
      </c>
      <c r="R406" t="s">
        <v>94</v>
      </c>
      <c r="S406" s="60" t="s">
        <v>94</v>
      </c>
      <c r="T406" t="s">
        <v>94</v>
      </c>
      <c r="U406" t="s">
        <v>94</v>
      </c>
      <c r="V406" t="s">
        <v>94</v>
      </c>
      <c r="W406" t="str">
        <f t="shared" si="1"/>
        <v/>
      </c>
    </row>
    <row r="407">
      <c r="A407" s="104">
        <v>882.0</v>
      </c>
      <c r="B407" s="104">
        <v>14.7</v>
      </c>
      <c r="C407" s="84"/>
      <c r="D407" s="84"/>
      <c r="E407" s="84"/>
      <c r="F407" s="84"/>
      <c r="G407" s="84"/>
      <c r="O407" t="str">
        <f>IFERROR(__xludf.DUMMYFUNCTION("regexextract(B407,""[\w]* [\w]*"")"),"#VALUE!")</f>
        <v>#VALUE!</v>
      </c>
      <c r="P407" t="str">
        <f t="shared" si="2"/>
        <v>#VALUE!</v>
      </c>
      <c r="Q407" t="str">
        <f t="shared" si="3"/>
        <v>#VALUE!</v>
      </c>
      <c r="R407" t="s">
        <v>94</v>
      </c>
      <c r="S407" s="60" t="s">
        <v>94</v>
      </c>
      <c r="T407" t="s">
        <v>94</v>
      </c>
      <c r="U407" t="s">
        <v>94</v>
      </c>
      <c r="V407" t="s">
        <v>94</v>
      </c>
      <c r="W407" t="str">
        <f t="shared" si="1"/>
        <v/>
      </c>
    </row>
    <row r="408">
      <c r="A408" s="111">
        <v>877.0</v>
      </c>
      <c r="B408" s="111">
        <v>13.5</v>
      </c>
      <c r="C408" s="88"/>
      <c r="D408" s="88"/>
      <c r="E408" s="88"/>
      <c r="F408" s="88"/>
      <c r="G408" s="88"/>
      <c r="O408" t="str">
        <f>IFERROR(__xludf.DUMMYFUNCTION("regexextract(B408,""[\w]* [\w]*"")"),"#VALUE!")</f>
        <v>#VALUE!</v>
      </c>
      <c r="P408" t="str">
        <f t="shared" si="2"/>
        <v>#VALUE!</v>
      </c>
      <c r="Q408" t="str">
        <f t="shared" si="3"/>
        <v>#VALUE!</v>
      </c>
      <c r="R408" t="s">
        <v>94</v>
      </c>
      <c r="S408" s="60" t="s">
        <v>94</v>
      </c>
      <c r="T408" t="s">
        <v>94</v>
      </c>
      <c r="U408" t="s">
        <v>94</v>
      </c>
      <c r="V408" t="s">
        <v>94</v>
      </c>
      <c r="W408" t="str">
        <f t="shared" si="1"/>
        <v/>
      </c>
    </row>
    <row r="409">
      <c r="A409" s="104">
        <v>381.0</v>
      </c>
      <c r="B409" s="104">
        <v>10.9</v>
      </c>
      <c r="C409" s="84"/>
      <c r="D409" s="84"/>
      <c r="E409" s="84"/>
      <c r="F409" s="84"/>
      <c r="G409" s="84"/>
      <c r="O409" t="str">
        <f>IFERROR(__xludf.DUMMYFUNCTION("regexextract(B409,""[\w]* [\w]*"")"),"#VALUE!")</f>
        <v>#VALUE!</v>
      </c>
      <c r="P409" t="str">
        <f t="shared" si="2"/>
        <v>#VALUE!</v>
      </c>
      <c r="Q409" t="str">
        <f t="shared" si="3"/>
        <v>#VALUE!</v>
      </c>
      <c r="R409" t="s">
        <v>94</v>
      </c>
      <c r="S409" s="60" t="s">
        <v>94</v>
      </c>
      <c r="T409" t="s">
        <v>94</v>
      </c>
      <c r="U409" t="s">
        <v>94</v>
      </c>
      <c r="V409" t="s">
        <v>94</v>
      </c>
      <c r="W409" t="str">
        <f t="shared" si="1"/>
        <v/>
      </c>
    </row>
    <row r="410">
      <c r="A410" s="111">
        <v>876.0</v>
      </c>
      <c r="B410" s="111">
        <v>12.9</v>
      </c>
      <c r="C410" s="88"/>
      <c r="D410" s="88"/>
      <c r="E410" s="88"/>
      <c r="F410" s="88"/>
      <c r="G410" s="88"/>
      <c r="O410" t="str">
        <f>IFERROR(__xludf.DUMMYFUNCTION("regexextract(B410,""[\w]* [\w]*"")"),"#VALUE!")</f>
        <v>#VALUE!</v>
      </c>
      <c r="P410" t="str">
        <f t="shared" si="2"/>
        <v>#VALUE!</v>
      </c>
      <c r="Q410" t="str">
        <f t="shared" si="3"/>
        <v>#VALUE!</v>
      </c>
      <c r="R410" t="s">
        <v>94</v>
      </c>
      <c r="S410" s="60" t="s">
        <v>94</v>
      </c>
      <c r="T410" t="s">
        <v>94</v>
      </c>
      <c r="U410" t="s">
        <v>94</v>
      </c>
      <c r="V410" t="s">
        <v>94</v>
      </c>
      <c r="W410" t="str">
        <f t="shared" si="1"/>
        <v/>
      </c>
    </row>
    <row r="411">
      <c r="A411" s="104">
        <v>862.0</v>
      </c>
      <c r="B411" s="104">
        <v>15.1</v>
      </c>
      <c r="C411" s="84"/>
      <c r="D411" s="84"/>
      <c r="E411" s="84"/>
      <c r="F411" s="84"/>
      <c r="G411" s="84"/>
      <c r="O411" t="str">
        <f>IFERROR(__xludf.DUMMYFUNCTION("regexextract(B411,""[\w]* [\w]*"")"),"#VALUE!")</f>
        <v>#VALUE!</v>
      </c>
      <c r="P411" t="str">
        <f t="shared" si="2"/>
        <v>#VALUE!</v>
      </c>
      <c r="Q411" t="str">
        <f t="shared" si="3"/>
        <v>#VALUE!</v>
      </c>
      <c r="R411" t="s">
        <v>94</v>
      </c>
      <c r="S411" s="60" t="s">
        <v>94</v>
      </c>
      <c r="T411" t="s">
        <v>94</v>
      </c>
      <c r="U411" t="s">
        <v>94</v>
      </c>
      <c r="V411" t="s">
        <v>94</v>
      </c>
      <c r="W411" t="str">
        <f t="shared" si="1"/>
        <v/>
      </c>
    </row>
    <row r="412">
      <c r="A412" s="111">
        <v>846.0</v>
      </c>
      <c r="B412" s="111">
        <v>12.3</v>
      </c>
      <c r="C412" s="88"/>
      <c r="D412" s="88"/>
      <c r="E412" s="88"/>
      <c r="F412" s="88"/>
      <c r="G412" s="88"/>
      <c r="O412" t="str">
        <f>IFERROR(__xludf.DUMMYFUNCTION("regexextract(B412,""[\w]* [\w]*"")"),"#VALUE!")</f>
        <v>#VALUE!</v>
      </c>
      <c r="P412" t="str">
        <f t="shared" si="2"/>
        <v>#VALUE!</v>
      </c>
      <c r="Q412" t="str">
        <f t="shared" si="3"/>
        <v>#VALUE!</v>
      </c>
      <c r="R412" t="s">
        <v>94</v>
      </c>
      <c r="S412" s="60" t="s">
        <v>94</v>
      </c>
      <c r="T412" t="s">
        <v>94</v>
      </c>
      <c r="U412" t="s">
        <v>94</v>
      </c>
      <c r="V412" t="s">
        <v>94</v>
      </c>
      <c r="W412" t="str">
        <f t="shared" si="1"/>
        <v/>
      </c>
    </row>
    <row r="413">
      <c r="A413" s="104">
        <v>808.0</v>
      </c>
      <c r="B413" s="104">
        <v>11.1</v>
      </c>
      <c r="C413" s="84"/>
      <c r="D413" s="84"/>
      <c r="E413" s="84"/>
      <c r="F413" s="84"/>
      <c r="G413" s="84"/>
      <c r="O413" t="str">
        <f>IFERROR(__xludf.DUMMYFUNCTION("regexextract(B413,""[\w]* [\w]*"")"),"#VALUE!")</f>
        <v>#VALUE!</v>
      </c>
      <c r="P413" t="str">
        <f t="shared" si="2"/>
        <v>#VALUE!</v>
      </c>
      <c r="Q413" t="str">
        <f t="shared" si="3"/>
        <v>#VALUE!</v>
      </c>
      <c r="R413" t="s">
        <v>94</v>
      </c>
      <c r="S413" s="60" t="s">
        <v>94</v>
      </c>
      <c r="T413" t="s">
        <v>94</v>
      </c>
      <c r="U413" t="s">
        <v>94</v>
      </c>
      <c r="V413" t="s">
        <v>94</v>
      </c>
      <c r="W413" t="str">
        <f t="shared" si="1"/>
        <v/>
      </c>
    </row>
    <row r="414">
      <c r="A414" s="111">
        <v>794.0</v>
      </c>
      <c r="B414" s="111">
        <v>16.2</v>
      </c>
      <c r="C414" s="88"/>
      <c r="D414" s="88"/>
      <c r="E414" s="88"/>
      <c r="F414" s="88"/>
      <c r="G414" s="88"/>
      <c r="O414" t="str">
        <f>IFERROR(__xludf.DUMMYFUNCTION("regexextract(B414,""[\w]* [\w]*"")"),"#VALUE!")</f>
        <v>#VALUE!</v>
      </c>
      <c r="P414" t="str">
        <f t="shared" si="2"/>
        <v>#VALUE!</v>
      </c>
      <c r="Q414" t="str">
        <f t="shared" si="3"/>
        <v>#VALUE!</v>
      </c>
      <c r="R414" t="s">
        <v>94</v>
      </c>
      <c r="S414" s="60" t="s">
        <v>94</v>
      </c>
      <c r="T414" t="s">
        <v>94</v>
      </c>
      <c r="U414" t="s">
        <v>94</v>
      </c>
      <c r="V414" t="s">
        <v>94</v>
      </c>
      <c r="W414" t="str">
        <f t="shared" si="1"/>
        <v/>
      </c>
    </row>
    <row r="415">
      <c r="A415" s="104">
        <v>778.0</v>
      </c>
      <c r="B415" s="104">
        <v>13.4</v>
      </c>
      <c r="C415" s="84"/>
      <c r="D415" s="84"/>
      <c r="E415" s="84"/>
      <c r="F415" s="84"/>
      <c r="G415" s="84"/>
      <c r="O415" t="str">
        <f>IFERROR(__xludf.DUMMYFUNCTION("regexextract(B415,""[\w]* [\w]*"")"),"#VALUE!")</f>
        <v>#VALUE!</v>
      </c>
      <c r="P415" t="str">
        <f t="shared" si="2"/>
        <v>#VALUE!</v>
      </c>
      <c r="Q415" t="str">
        <f t="shared" si="3"/>
        <v>#VALUE!</v>
      </c>
      <c r="R415" t="s">
        <v>94</v>
      </c>
      <c r="S415" s="60" t="s">
        <v>94</v>
      </c>
      <c r="T415" t="s">
        <v>94</v>
      </c>
      <c r="U415" t="s">
        <v>94</v>
      </c>
      <c r="V415" t="s">
        <v>94</v>
      </c>
      <c r="W415" t="str">
        <f t="shared" si="1"/>
        <v/>
      </c>
    </row>
    <row r="416">
      <c r="A416" s="111">
        <v>747.0</v>
      </c>
      <c r="B416" s="111">
        <v>11.0</v>
      </c>
      <c r="C416" s="88"/>
      <c r="D416" s="88"/>
      <c r="E416" s="88"/>
      <c r="F416" s="88"/>
      <c r="G416" s="88"/>
      <c r="O416" t="str">
        <f>IFERROR(__xludf.DUMMYFUNCTION("regexextract(B416,""[\w]* [\w]*"")"),"#VALUE!")</f>
        <v>#VALUE!</v>
      </c>
      <c r="P416" t="str">
        <f t="shared" si="2"/>
        <v>#VALUE!</v>
      </c>
      <c r="Q416" t="str">
        <f t="shared" si="3"/>
        <v>#VALUE!</v>
      </c>
      <c r="R416" t="s">
        <v>94</v>
      </c>
      <c r="S416" s="60" t="s">
        <v>94</v>
      </c>
      <c r="T416" t="s">
        <v>94</v>
      </c>
      <c r="U416" t="s">
        <v>94</v>
      </c>
      <c r="V416" t="s">
        <v>94</v>
      </c>
      <c r="W416" t="str">
        <f t="shared" si="1"/>
        <v/>
      </c>
    </row>
    <row r="417">
      <c r="A417" s="84"/>
      <c r="B417" s="91"/>
      <c r="C417" s="84"/>
      <c r="D417" s="84"/>
      <c r="E417" s="84"/>
      <c r="F417" s="84"/>
      <c r="G417" s="84"/>
      <c r="O417" t="str">
        <f>IFERROR(__xludf.DUMMYFUNCTION("regexextract(B417,""[\w]* [\w]*"")"),"#N/A")</f>
        <v>#N/A</v>
      </c>
      <c r="P417" t="str">
        <f t="shared" si="2"/>
        <v>#N/A</v>
      </c>
      <c r="Q417" t="str">
        <f t="shared" si="3"/>
        <v>#N/A</v>
      </c>
      <c r="R417" t="s">
        <v>94</v>
      </c>
      <c r="S417" s="60" t="s">
        <v>94</v>
      </c>
      <c r="T417" t="s">
        <v>94</v>
      </c>
      <c r="U417" t="s">
        <v>94</v>
      </c>
      <c r="V417" t="s">
        <v>94</v>
      </c>
      <c r="W417" t="str">
        <f t="shared" si="1"/>
        <v/>
      </c>
    </row>
    <row r="418">
      <c r="A418" s="88"/>
      <c r="B418" s="94"/>
      <c r="C418" s="88"/>
      <c r="D418" s="88"/>
      <c r="E418" s="88"/>
      <c r="F418" s="88"/>
      <c r="G418" s="88"/>
      <c r="O418" t="str">
        <f>IFERROR(__xludf.DUMMYFUNCTION("regexextract(B418,""[\w]* [\w]*"")"),"#N/A")</f>
        <v>#N/A</v>
      </c>
      <c r="P418" t="str">
        <f t="shared" si="2"/>
        <v>#N/A</v>
      </c>
      <c r="Q418" t="str">
        <f t="shared" si="3"/>
        <v>#N/A</v>
      </c>
      <c r="R418" t="s">
        <v>94</v>
      </c>
      <c r="S418" s="60" t="s">
        <v>94</v>
      </c>
      <c r="T418" t="s">
        <v>94</v>
      </c>
      <c r="U418" t="s">
        <v>94</v>
      </c>
      <c r="V418" t="s">
        <v>94</v>
      </c>
      <c r="W418" t="str">
        <f t="shared" si="1"/>
        <v/>
      </c>
    </row>
    <row r="419">
      <c r="A419" s="84"/>
      <c r="B419" s="91"/>
      <c r="C419" s="84"/>
      <c r="D419" s="84"/>
      <c r="E419" s="84"/>
      <c r="F419" s="84"/>
      <c r="G419" s="84"/>
      <c r="O419" t="str">
        <f>IFERROR(__xludf.DUMMYFUNCTION("regexextract(B419,""[\w]* [\w]*"")"),"#N/A")</f>
        <v>#N/A</v>
      </c>
      <c r="P419" t="str">
        <f t="shared" si="2"/>
        <v>#N/A</v>
      </c>
      <c r="Q419" t="str">
        <f t="shared" si="3"/>
        <v>#N/A</v>
      </c>
      <c r="R419" t="s">
        <v>94</v>
      </c>
      <c r="S419" s="60" t="s">
        <v>94</v>
      </c>
      <c r="T419" t="s">
        <v>94</v>
      </c>
      <c r="U419" t="s">
        <v>94</v>
      </c>
      <c r="V419" t="s">
        <v>94</v>
      </c>
      <c r="W419" t="str">
        <f t="shared" si="1"/>
        <v/>
      </c>
    </row>
    <row r="420">
      <c r="A420" s="88"/>
      <c r="B420" s="94"/>
      <c r="C420" s="88"/>
      <c r="D420" s="88"/>
      <c r="E420" s="88"/>
      <c r="F420" s="88"/>
      <c r="G420" s="88"/>
      <c r="O420" t="str">
        <f>IFERROR(__xludf.DUMMYFUNCTION("regexextract(B420,""[\w]* [\w]*"")"),"#N/A")</f>
        <v>#N/A</v>
      </c>
      <c r="P420" t="str">
        <f t="shared" si="2"/>
        <v>#N/A</v>
      </c>
      <c r="Q420" t="str">
        <f t="shared" si="3"/>
        <v>#N/A</v>
      </c>
      <c r="R420" t="s">
        <v>94</v>
      </c>
      <c r="S420" s="60" t="s">
        <v>94</v>
      </c>
      <c r="T420" t="s">
        <v>94</v>
      </c>
      <c r="U420" t="s">
        <v>94</v>
      </c>
      <c r="V420" t="s">
        <v>94</v>
      </c>
      <c r="W420" t="str">
        <f t="shared" si="1"/>
        <v/>
      </c>
    </row>
    <row r="421">
      <c r="A421" s="84"/>
      <c r="B421" s="91"/>
      <c r="C421" s="84"/>
      <c r="D421" s="84"/>
      <c r="E421" s="84"/>
      <c r="F421" s="84"/>
      <c r="G421" s="84"/>
      <c r="O421" t="str">
        <f>IFERROR(__xludf.DUMMYFUNCTION("regexextract(B421,""[\w]* [\w]*"")"),"#N/A")</f>
        <v>#N/A</v>
      </c>
      <c r="P421" t="str">
        <f t="shared" si="2"/>
        <v>#N/A</v>
      </c>
      <c r="Q421" t="str">
        <f t="shared" si="3"/>
        <v>#N/A</v>
      </c>
      <c r="R421" t="s">
        <v>94</v>
      </c>
      <c r="S421" s="60" t="s">
        <v>94</v>
      </c>
      <c r="T421" t="s">
        <v>94</v>
      </c>
      <c r="U421" t="s">
        <v>94</v>
      </c>
      <c r="V421" t="s">
        <v>94</v>
      </c>
      <c r="W421" t="str">
        <f t="shared" si="1"/>
        <v/>
      </c>
    </row>
    <row r="422">
      <c r="A422" s="88"/>
      <c r="B422" s="94"/>
      <c r="C422" s="88"/>
      <c r="D422" s="88"/>
      <c r="E422" s="88"/>
      <c r="F422" s="88"/>
      <c r="G422" s="88"/>
      <c r="O422" t="str">
        <f>IFERROR(__xludf.DUMMYFUNCTION("regexextract(B422,""[\w]* [\w]*"")"),"#N/A")</f>
        <v>#N/A</v>
      </c>
      <c r="P422" t="str">
        <f t="shared" si="2"/>
        <v>#N/A</v>
      </c>
      <c r="Q422" t="str">
        <f t="shared" si="3"/>
        <v>#N/A</v>
      </c>
      <c r="R422" t="s">
        <v>94</v>
      </c>
      <c r="S422" s="60" t="s">
        <v>94</v>
      </c>
      <c r="T422" t="s">
        <v>94</v>
      </c>
      <c r="U422" t="s">
        <v>94</v>
      </c>
      <c r="V422" t="s">
        <v>94</v>
      </c>
      <c r="W422" t="str">
        <f t="shared" si="1"/>
        <v/>
      </c>
    </row>
    <row r="423">
      <c r="A423" s="84"/>
      <c r="B423" s="91"/>
      <c r="C423" s="84"/>
      <c r="D423" s="84"/>
      <c r="E423" s="84"/>
      <c r="F423" s="84"/>
      <c r="G423" s="84"/>
      <c r="O423" t="str">
        <f>IFERROR(__xludf.DUMMYFUNCTION("regexextract(B423,""[\w]* [\w]*"")"),"#N/A")</f>
        <v>#N/A</v>
      </c>
      <c r="P423" t="str">
        <f t="shared" si="2"/>
        <v>#N/A</v>
      </c>
      <c r="Q423" t="str">
        <f t="shared" si="3"/>
        <v>#N/A</v>
      </c>
      <c r="R423" t="s">
        <v>94</v>
      </c>
      <c r="S423" s="60" t="s">
        <v>94</v>
      </c>
      <c r="T423" t="s">
        <v>94</v>
      </c>
      <c r="U423" t="s">
        <v>94</v>
      </c>
      <c r="V423" t="s">
        <v>94</v>
      </c>
      <c r="W423" t="str">
        <f t="shared" si="1"/>
        <v/>
      </c>
    </row>
    <row r="424">
      <c r="A424" s="88"/>
      <c r="B424" s="94"/>
      <c r="C424" s="88"/>
      <c r="D424" s="88"/>
      <c r="E424" s="88"/>
      <c r="F424" s="88"/>
      <c r="G424" s="88"/>
      <c r="O424" t="str">
        <f>IFERROR(__xludf.DUMMYFUNCTION("regexextract(B424,""[\w]* [\w]*"")"),"#N/A")</f>
        <v>#N/A</v>
      </c>
      <c r="P424" t="str">
        <f t="shared" si="2"/>
        <v>#N/A</v>
      </c>
      <c r="Q424" t="str">
        <f t="shared" si="3"/>
        <v>#N/A</v>
      </c>
      <c r="R424" t="s">
        <v>94</v>
      </c>
      <c r="S424" s="60" t="s">
        <v>94</v>
      </c>
      <c r="T424" t="s">
        <v>94</v>
      </c>
      <c r="U424" t="s">
        <v>94</v>
      </c>
      <c r="V424" t="s">
        <v>94</v>
      </c>
      <c r="W424" t="str">
        <f t="shared" si="1"/>
        <v/>
      </c>
    </row>
    <row r="425">
      <c r="A425" s="84"/>
      <c r="B425" s="91"/>
      <c r="C425" s="84"/>
      <c r="D425" s="84"/>
      <c r="E425" s="84"/>
      <c r="F425" s="84"/>
      <c r="G425" s="84"/>
      <c r="O425" t="str">
        <f>IFERROR(__xludf.DUMMYFUNCTION("regexextract(B425,""[\w]* [\w]*"")"),"#N/A")</f>
        <v>#N/A</v>
      </c>
      <c r="P425" t="str">
        <f t="shared" si="2"/>
        <v>#N/A</v>
      </c>
      <c r="Q425" t="str">
        <f t="shared" si="3"/>
        <v>#N/A</v>
      </c>
      <c r="R425" t="s">
        <v>94</v>
      </c>
      <c r="S425" s="60" t="s">
        <v>94</v>
      </c>
      <c r="T425" t="s">
        <v>94</v>
      </c>
      <c r="U425" t="s">
        <v>94</v>
      </c>
      <c r="V425" t="s">
        <v>94</v>
      </c>
      <c r="W425" t="str">
        <f t="shared" si="1"/>
        <v/>
      </c>
    </row>
    <row r="426">
      <c r="A426" s="88"/>
      <c r="B426" s="94"/>
      <c r="C426" s="88"/>
      <c r="D426" s="88"/>
      <c r="E426" s="88"/>
      <c r="F426" s="88"/>
      <c r="G426" s="88"/>
      <c r="O426" t="str">
        <f>IFERROR(__xludf.DUMMYFUNCTION("regexextract(B426,""[\w]* [\w]*"")"),"#N/A")</f>
        <v>#N/A</v>
      </c>
      <c r="P426" t="str">
        <f t="shared" si="2"/>
        <v>#N/A</v>
      </c>
      <c r="Q426" t="str">
        <f t="shared" si="3"/>
        <v>#N/A</v>
      </c>
      <c r="R426" t="s">
        <v>94</v>
      </c>
      <c r="S426" s="60" t="s">
        <v>94</v>
      </c>
      <c r="T426" t="s">
        <v>94</v>
      </c>
      <c r="U426" t="s">
        <v>94</v>
      </c>
      <c r="V426" t="s">
        <v>94</v>
      </c>
      <c r="W426" t="str">
        <f t="shared" si="1"/>
        <v/>
      </c>
    </row>
    <row r="427">
      <c r="A427" s="84"/>
      <c r="B427" s="91"/>
      <c r="C427" s="84"/>
      <c r="D427" s="84"/>
      <c r="E427" s="84"/>
      <c r="F427" s="84"/>
      <c r="G427" s="84"/>
      <c r="O427" t="str">
        <f>IFERROR(__xludf.DUMMYFUNCTION("regexextract(B427,""[\w]* [\w]*"")"),"#N/A")</f>
        <v>#N/A</v>
      </c>
      <c r="P427" t="str">
        <f t="shared" si="2"/>
        <v>#N/A</v>
      </c>
      <c r="Q427" t="str">
        <f t="shared" si="3"/>
        <v>#N/A</v>
      </c>
      <c r="R427" t="s">
        <v>94</v>
      </c>
      <c r="S427" s="60" t="s">
        <v>94</v>
      </c>
      <c r="T427" t="s">
        <v>94</v>
      </c>
      <c r="U427" t="s">
        <v>94</v>
      </c>
      <c r="V427" t="s">
        <v>94</v>
      </c>
      <c r="W427" t="str">
        <f t="shared" si="1"/>
        <v/>
      </c>
    </row>
    <row r="428">
      <c r="A428" s="88"/>
      <c r="B428" s="94"/>
      <c r="C428" s="88"/>
      <c r="D428" s="88"/>
      <c r="E428" s="88"/>
      <c r="F428" s="88"/>
      <c r="G428" s="88"/>
      <c r="O428" t="str">
        <f>IFERROR(__xludf.DUMMYFUNCTION("regexextract(B428,""[\w]* [\w]*"")"),"#N/A")</f>
        <v>#N/A</v>
      </c>
      <c r="P428" t="str">
        <f t="shared" si="2"/>
        <v>#N/A</v>
      </c>
      <c r="Q428" t="str">
        <f t="shared" si="3"/>
        <v>#N/A</v>
      </c>
      <c r="R428" t="s">
        <v>94</v>
      </c>
      <c r="S428" s="60" t="s">
        <v>94</v>
      </c>
      <c r="T428" t="s">
        <v>94</v>
      </c>
      <c r="U428" t="s">
        <v>94</v>
      </c>
      <c r="V428" t="s">
        <v>94</v>
      </c>
      <c r="W428" t="str">
        <f t="shared" si="1"/>
        <v/>
      </c>
    </row>
    <row r="429">
      <c r="A429" s="84"/>
      <c r="B429" s="91"/>
      <c r="C429" s="84"/>
      <c r="D429" s="84"/>
      <c r="E429" s="84"/>
      <c r="F429" s="84"/>
      <c r="G429" s="84"/>
      <c r="O429" t="str">
        <f>IFERROR(__xludf.DUMMYFUNCTION("regexextract(B429,""[\w]* [\w]*"")"),"#N/A")</f>
        <v>#N/A</v>
      </c>
      <c r="P429" t="str">
        <f t="shared" si="2"/>
        <v>#N/A</v>
      </c>
      <c r="Q429" t="str">
        <f t="shared" si="3"/>
        <v>#N/A</v>
      </c>
      <c r="R429" t="s">
        <v>94</v>
      </c>
      <c r="S429" s="60" t="s">
        <v>94</v>
      </c>
      <c r="T429" t="s">
        <v>94</v>
      </c>
      <c r="U429" t="s">
        <v>94</v>
      </c>
      <c r="V429" t="s">
        <v>94</v>
      </c>
      <c r="W429" t="str">
        <f t="shared" si="1"/>
        <v/>
      </c>
    </row>
    <row r="430">
      <c r="A430" s="88"/>
      <c r="B430" s="94"/>
      <c r="C430" s="88"/>
      <c r="D430" s="88"/>
      <c r="E430" s="88"/>
      <c r="F430" s="88"/>
      <c r="G430" s="88"/>
      <c r="O430" t="str">
        <f>IFERROR(__xludf.DUMMYFUNCTION("regexextract(B430,""[\w]* [\w]*"")"),"#N/A")</f>
        <v>#N/A</v>
      </c>
      <c r="P430" t="str">
        <f t="shared" si="2"/>
        <v>#N/A</v>
      </c>
      <c r="Q430" t="str">
        <f t="shared" si="3"/>
        <v>#N/A</v>
      </c>
      <c r="R430" t="s">
        <v>94</v>
      </c>
      <c r="S430" s="60" t="s">
        <v>94</v>
      </c>
      <c r="T430" t="s">
        <v>94</v>
      </c>
      <c r="U430" t="s">
        <v>94</v>
      </c>
      <c r="V430" t="s">
        <v>94</v>
      </c>
      <c r="W430" t="str">
        <f t="shared" si="1"/>
        <v/>
      </c>
    </row>
    <row r="431">
      <c r="A431" s="84"/>
      <c r="B431" s="91"/>
      <c r="C431" s="84"/>
      <c r="D431" s="84"/>
      <c r="E431" s="84"/>
      <c r="F431" s="84"/>
      <c r="G431" s="84"/>
      <c r="O431" t="str">
        <f>IFERROR(__xludf.DUMMYFUNCTION("regexextract(B431,""[\w]* [\w]*"")"),"#N/A")</f>
        <v>#N/A</v>
      </c>
      <c r="P431" t="str">
        <f t="shared" si="2"/>
        <v>#N/A</v>
      </c>
      <c r="Q431" t="str">
        <f t="shared" si="3"/>
        <v>#N/A</v>
      </c>
      <c r="R431" t="s">
        <v>94</v>
      </c>
      <c r="S431" s="60" t="s">
        <v>94</v>
      </c>
      <c r="T431" t="s">
        <v>94</v>
      </c>
      <c r="U431" t="s">
        <v>94</v>
      </c>
      <c r="V431" t="s">
        <v>94</v>
      </c>
      <c r="W431" t="str">
        <f t="shared" si="1"/>
        <v/>
      </c>
    </row>
    <row r="432">
      <c r="A432" s="88"/>
      <c r="B432" s="94"/>
      <c r="C432" s="88"/>
      <c r="D432" s="88"/>
      <c r="E432" s="88"/>
      <c r="F432" s="88"/>
      <c r="G432" s="88"/>
      <c r="O432" t="str">
        <f>IFERROR(__xludf.DUMMYFUNCTION("regexextract(B432,""[\w]* [\w]*"")"),"#N/A")</f>
        <v>#N/A</v>
      </c>
      <c r="P432" t="str">
        <f t="shared" si="2"/>
        <v>#N/A</v>
      </c>
      <c r="Q432" t="str">
        <f t="shared" si="3"/>
        <v>#N/A</v>
      </c>
      <c r="R432" t="s">
        <v>94</v>
      </c>
      <c r="S432" s="60" t="s">
        <v>94</v>
      </c>
      <c r="T432" t="s">
        <v>94</v>
      </c>
      <c r="U432" t="s">
        <v>94</v>
      </c>
      <c r="V432" t="s">
        <v>94</v>
      </c>
      <c r="W432" t="str">
        <f t="shared" si="1"/>
        <v/>
      </c>
    </row>
    <row r="433">
      <c r="A433" s="84"/>
      <c r="B433" s="91"/>
      <c r="C433" s="84"/>
      <c r="D433" s="84"/>
      <c r="E433" s="84"/>
      <c r="F433" s="84"/>
      <c r="G433" s="84"/>
      <c r="O433" t="str">
        <f>IFERROR(__xludf.DUMMYFUNCTION("regexextract(B433,""[\w]* [\w]*"")"),"#N/A")</f>
        <v>#N/A</v>
      </c>
      <c r="P433" t="str">
        <f t="shared" si="2"/>
        <v>#N/A</v>
      </c>
      <c r="Q433" t="str">
        <f t="shared" si="3"/>
        <v>#N/A</v>
      </c>
      <c r="R433" t="s">
        <v>94</v>
      </c>
      <c r="S433" s="60" t="s">
        <v>94</v>
      </c>
      <c r="T433" t="s">
        <v>94</v>
      </c>
      <c r="U433" t="s">
        <v>94</v>
      </c>
      <c r="V433" t="s">
        <v>94</v>
      </c>
      <c r="W433" t="str">
        <f t="shared" si="1"/>
        <v/>
      </c>
    </row>
    <row r="434">
      <c r="A434" s="88"/>
      <c r="B434" s="94"/>
      <c r="C434" s="88"/>
      <c r="D434" s="88"/>
      <c r="E434" s="88"/>
      <c r="F434" s="88"/>
      <c r="G434" s="88"/>
      <c r="O434" t="str">
        <f>IFERROR(__xludf.DUMMYFUNCTION("regexextract(B434,""[\w]* [\w]*"")"),"#N/A")</f>
        <v>#N/A</v>
      </c>
      <c r="P434" t="str">
        <f t="shared" si="2"/>
        <v>#N/A</v>
      </c>
      <c r="Q434" t="str">
        <f t="shared" si="3"/>
        <v>#N/A</v>
      </c>
      <c r="R434" t="s">
        <v>94</v>
      </c>
      <c r="S434" s="60" t="s">
        <v>94</v>
      </c>
      <c r="T434" t="s">
        <v>94</v>
      </c>
      <c r="U434" t="s">
        <v>94</v>
      </c>
      <c r="V434" t="s">
        <v>94</v>
      </c>
      <c r="W434" t="str">
        <f t="shared" si="1"/>
        <v/>
      </c>
    </row>
    <row r="435">
      <c r="A435" s="84"/>
      <c r="B435" s="91"/>
      <c r="C435" s="84"/>
      <c r="D435" s="84"/>
      <c r="E435" s="84"/>
      <c r="F435" s="84"/>
      <c r="G435" s="84"/>
      <c r="O435" t="str">
        <f>IFERROR(__xludf.DUMMYFUNCTION("regexextract(B435,""[\w]* [\w]*"")"),"#N/A")</f>
        <v>#N/A</v>
      </c>
      <c r="P435" t="str">
        <f t="shared" si="2"/>
        <v>#N/A</v>
      </c>
      <c r="Q435" t="str">
        <f t="shared" si="3"/>
        <v>#N/A</v>
      </c>
      <c r="R435" t="s">
        <v>94</v>
      </c>
      <c r="S435" s="60" t="s">
        <v>94</v>
      </c>
      <c r="T435" t="s">
        <v>94</v>
      </c>
      <c r="U435" t="s">
        <v>94</v>
      </c>
      <c r="V435" t="s">
        <v>94</v>
      </c>
      <c r="W435" t="str">
        <f t="shared" si="1"/>
        <v/>
      </c>
    </row>
    <row r="436">
      <c r="A436" s="88"/>
      <c r="B436" s="94"/>
      <c r="C436" s="88"/>
      <c r="D436" s="88"/>
      <c r="E436" s="88"/>
      <c r="F436" s="88"/>
      <c r="G436" s="88"/>
      <c r="O436" t="str">
        <f>IFERROR(__xludf.DUMMYFUNCTION("regexextract(B436,""[\w]* [\w]*"")"),"#N/A")</f>
        <v>#N/A</v>
      </c>
      <c r="P436" t="str">
        <f t="shared" si="2"/>
        <v>#N/A</v>
      </c>
      <c r="Q436" t="str">
        <f t="shared" si="3"/>
        <v>#N/A</v>
      </c>
      <c r="R436" t="s">
        <v>94</v>
      </c>
      <c r="S436" s="60" t="s">
        <v>94</v>
      </c>
      <c r="T436" t="s">
        <v>94</v>
      </c>
      <c r="U436" t="s">
        <v>94</v>
      </c>
      <c r="V436" t="s">
        <v>94</v>
      </c>
      <c r="W436" t="str">
        <f t="shared" si="1"/>
        <v/>
      </c>
    </row>
    <row r="437">
      <c r="A437" s="84"/>
      <c r="B437" s="91"/>
      <c r="C437" s="84"/>
      <c r="D437" s="84"/>
      <c r="E437" s="84"/>
      <c r="F437" s="84"/>
      <c r="G437" s="84"/>
      <c r="O437" t="str">
        <f>IFERROR(__xludf.DUMMYFUNCTION("regexextract(B437,""[\w]* [\w]*"")"),"#N/A")</f>
        <v>#N/A</v>
      </c>
      <c r="P437" t="str">
        <f t="shared" si="2"/>
        <v>#N/A</v>
      </c>
      <c r="Q437" t="str">
        <f t="shared" si="3"/>
        <v>#N/A</v>
      </c>
      <c r="R437" t="s">
        <v>94</v>
      </c>
      <c r="S437" s="60" t="s">
        <v>94</v>
      </c>
      <c r="T437" t="s">
        <v>94</v>
      </c>
      <c r="U437" t="s">
        <v>94</v>
      </c>
      <c r="V437" t="s">
        <v>94</v>
      </c>
      <c r="W437" t="str">
        <f t="shared" si="1"/>
        <v/>
      </c>
    </row>
    <row r="438">
      <c r="A438" s="88"/>
      <c r="B438" s="94"/>
      <c r="C438" s="88"/>
      <c r="D438" s="88"/>
      <c r="E438" s="88"/>
      <c r="F438" s="88"/>
      <c r="G438" s="88"/>
      <c r="O438" t="str">
        <f>IFERROR(__xludf.DUMMYFUNCTION("regexextract(B438,""[\w]* [\w]*"")"),"#N/A")</f>
        <v>#N/A</v>
      </c>
      <c r="P438" t="str">
        <f t="shared" si="2"/>
        <v>#N/A</v>
      </c>
      <c r="Q438" t="str">
        <f t="shared" si="3"/>
        <v>#N/A</v>
      </c>
      <c r="R438" t="s">
        <v>94</v>
      </c>
      <c r="S438" s="60" t="s">
        <v>94</v>
      </c>
      <c r="T438" t="s">
        <v>94</v>
      </c>
      <c r="U438" t="s">
        <v>94</v>
      </c>
      <c r="V438" t="s">
        <v>94</v>
      </c>
      <c r="W438" t="str">
        <f t="shared" si="1"/>
        <v/>
      </c>
    </row>
    <row r="439">
      <c r="A439" s="84"/>
      <c r="B439" s="91"/>
      <c r="C439" s="84"/>
      <c r="D439" s="84"/>
      <c r="E439" s="84"/>
      <c r="F439" s="84"/>
      <c r="G439" s="84"/>
      <c r="O439" t="str">
        <f>IFERROR(__xludf.DUMMYFUNCTION("regexextract(B439,""[\w]* [\w]*"")"),"#N/A")</f>
        <v>#N/A</v>
      </c>
      <c r="P439" t="str">
        <f t="shared" si="2"/>
        <v>#N/A</v>
      </c>
      <c r="Q439" t="str">
        <f t="shared" si="3"/>
        <v>#N/A</v>
      </c>
      <c r="R439" t="s">
        <v>94</v>
      </c>
      <c r="S439" s="60" t="s">
        <v>94</v>
      </c>
      <c r="T439" t="s">
        <v>94</v>
      </c>
      <c r="U439" t="s">
        <v>94</v>
      </c>
      <c r="V439" t="s">
        <v>94</v>
      </c>
      <c r="W439" t="str">
        <f t="shared" si="1"/>
        <v/>
      </c>
    </row>
    <row r="440">
      <c r="A440" s="88"/>
      <c r="B440" s="94"/>
      <c r="C440" s="88"/>
      <c r="D440" s="88"/>
      <c r="E440" s="88"/>
      <c r="F440" s="88"/>
      <c r="G440" s="88"/>
      <c r="O440" t="str">
        <f>IFERROR(__xludf.DUMMYFUNCTION("regexextract(B440,""[\w]* [\w]*"")"),"#N/A")</f>
        <v>#N/A</v>
      </c>
      <c r="P440" t="str">
        <f t="shared" si="2"/>
        <v>#N/A</v>
      </c>
      <c r="Q440" t="str">
        <f t="shared" si="3"/>
        <v>#N/A</v>
      </c>
      <c r="R440" t="s">
        <v>94</v>
      </c>
      <c r="S440" s="60" t="s">
        <v>94</v>
      </c>
      <c r="T440" t="s">
        <v>94</v>
      </c>
      <c r="U440" t="s">
        <v>94</v>
      </c>
      <c r="V440" t="s">
        <v>94</v>
      </c>
      <c r="W440" t="str">
        <f t="shared" si="1"/>
        <v/>
      </c>
    </row>
    <row r="441">
      <c r="A441" s="84"/>
      <c r="B441" s="91"/>
      <c r="C441" s="84"/>
      <c r="D441" s="84"/>
      <c r="E441" s="84"/>
      <c r="F441" s="84"/>
      <c r="G441" s="84"/>
      <c r="O441" t="str">
        <f>IFERROR(__xludf.DUMMYFUNCTION("regexextract(B441,""[\w]* [\w]*"")"),"#N/A")</f>
        <v>#N/A</v>
      </c>
      <c r="P441" t="str">
        <f t="shared" si="2"/>
        <v>#N/A</v>
      </c>
      <c r="Q441" t="str">
        <f t="shared" si="3"/>
        <v>#N/A</v>
      </c>
      <c r="R441" t="s">
        <v>94</v>
      </c>
      <c r="S441" s="60" t="s">
        <v>94</v>
      </c>
      <c r="T441" t="s">
        <v>94</v>
      </c>
      <c r="U441" t="s">
        <v>94</v>
      </c>
      <c r="V441" t="s">
        <v>94</v>
      </c>
      <c r="W441" t="str">
        <f t="shared" si="1"/>
        <v/>
      </c>
    </row>
    <row r="442">
      <c r="A442" s="88"/>
      <c r="B442" s="94"/>
      <c r="C442" s="88"/>
      <c r="D442" s="88"/>
      <c r="E442" s="88"/>
      <c r="F442" s="88"/>
      <c r="G442" s="88"/>
      <c r="O442" t="str">
        <f>IFERROR(__xludf.DUMMYFUNCTION("regexextract(B442,""[\w]* [\w]*"")"),"#N/A")</f>
        <v>#N/A</v>
      </c>
      <c r="P442" t="str">
        <f t="shared" si="2"/>
        <v>#N/A</v>
      </c>
      <c r="Q442" t="str">
        <f t="shared" si="3"/>
        <v>#N/A</v>
      </c>
      <c r="R442" t="s">
        <v>94</v>
      </c>
      <c r="S442" s="60" t="s">
        <v>94</v>
      </c>
      <c r="T442" t="s">
        <v>94</v>
      </c>
      <c r="U442" t="s">
        <v>94</v>
      </c>
      <c r="V442" t="s">
        <v>94</v>
      </c>
      <c r="W442" t="str">
        <f t="shared" si="1"/>
        <v/>
      </c>
    </row>
    <row r="443">
      <c r="A443" s="84"/>
      <c r="B443" s="91"/>
      <c r="C443" s="84"/>
      <c r="D443" s="84"/>
      <c r="E443" s="84"/>
      <c r="F443" s="84"/>
      <c r="G443" s="84"/>
      <c r="O443" t="str">
        <f>IFERROR(__xludf.DUMMYFUNCTION("regexextract(B443,""[\w]* [\w]*"")"),"#N/A")</f>
        <v>#N/A</v>
      </c>
      <c r="P443" t="str">
        <f t="shared" si="2"/>
        <v>#N/A</v>
      </c>
      <c r="Q443" t="str">
        <f t="shared" si="3"/>
        <v>#N/A</v>
      </c>
      <c r="R443" t="s">
        <v>94</v>
      </c>
      <c r="S443" s="60" t="s">
        <v>94</v>
      </c>
      <c r="T443" t="s">
        <v>94</v>
      </c>
      <c r="U443" t="s">
        <v>94</v>
      </c>
      <c r="V443" t="s">
        <v>94</v>
      </c>
      <c r="W443" t="str">
        <f t="shared" si="1"/>
        <v/>
      </c>
    </row>
    <row r="444">
      <c r="A444" s="88"/>
      <c r="B444" s="94"/>
      <c r="C444" s="88"/>
      <c r="D444" s="88"/>
      <c r="E444" s="88"/>
      <c r="F444" s="88"/>
      <c r="G444" s="88"/>
      <c r="O444" t="str">
        <f>IFERROR(__xludf.DUMMYFUNCTION("regexextract(B444,""[\w]* [\w]*"")"),"#N/A")</f>
        <v>#N/A</v>
      </c>
      <c r="P444" t="str">
        <f t="shared" si="2"/>
        <v>#N/A</v>
      </c>
      <c r="Q444" t="str">
        <f t="shared" si="3"/>
        <v>#N/A</v>
      </c>
      <c r="R444" t="s">
        <v>94</v>
      </c>
      <c r="S444" s="60" t="s">
        <v>94</v>
      </c>
      <c r="T444" t="s">
        <v>94</v>
      </c>
      <c r="U444" t="s">
        <v>94</v>
      </c>
      <c r="V444" t="s">
        <v>94</v>
      </c>
      <c r="W444" t="str">
        <f t="shared" si="1"/>
        <v/>
      </c>
    </row>
    <row r="445">
      <c r="A445" s="84"/>
      <c r="B445" s="91"/>
      <c r="C445" s="84"/>
      <c r="D445" s="84"/>
      <c r="E445" s="84"/>
      <c r="F445" s="84"/>
      <c r="G445" s="84"/>
      <c r="O445" t="str">
        <f>IFERROR(__xludf.DUMMYFUNCTION("regexextract(B445,""[\w]* [\w]*"")"),"#N/A")</f>
        <v>#N/A</v>
      </c>
      <c r="P445" t="str">
        <f t="shared" si="2"/>
        <v>#N/A</v>
      </c>
      <c r="Q445" t="str">
        <f t="shared" si="3"/>
        <v>#N/A</v>
      </c>
      <c r="R445" t="s">
        <v>94</v>
      </c>
      <c r="S445" s="60" t="s">
        <v>94</v>
      </c>
      <c r="T445" t="s">
        <v>94</v>
      </c>
      <c r="U445" t="s">
        <v>94</v>
      </c>
      <c r="V445" t="s">
        <v>94</v>
      </c>
      <c r="W445" t="str">
        <f t="shared" si="1"/>
        <v/>
      </c>
    </row>
    <row r="446">
      <c r="A446" s="88"/>
      <c r="B446" s="94"/>
      <c r="C446" s="88"/>
      <c r="D446" s="88"/>
      <c r="E446" s="88"/>
      <c r="F446" s="88"/>
      <c r="G446" s="88"/>
      <c r="O446" t="str">
        <f>IFERROR(__xludf.DUMMYFUNCTION("regexextract(B446,""[\w]* [\w]*"")"),"#N/A")</f>
        <v>#N/A</v>
      </c>
      <c r="P446" t="str">
        <f t="shared" si="2"/>
        <v>#N/A</v>
      </c>
      <c r="Q446" t="str">
        <f t="shared" si="3"/>
        <v>#N/A</v>
      </c>
      <c r="R446" t="s">
        <v>94</v>
      </c>
      <c r="S446" s="60" t="s">
        <v>94</v>
      </c>
      <c r="T446" t="s">
        <v>94</v>
      </c>
      <c r="U446" t="s">
        <v>94</v>
      </c>
      <c r="V446" t="s">
        <v>94</v>
      </c>
      <c r="W446" t="str">
        <f t="shared" si="1"/>
        <v/>
      </c>
    </row>
    <row r="447">
      <c r="A447" s="84"/>
      <c r="B447" s="91"/>
      <c r="C447" s="84"/>
      <c r="D447" s="84"/>
      <c r="E447" s="84"/>
      <c r="F447" s="84"/>
      <c r="G447" s="84"/>
      <c r="O447" t="str">
        <f>IFERROR(__xludf.DUMMYFUNCTION("regexextract(B447,""[\w]* [\w]*"")"),"#N/A")</f>
        <v>#N/A</v>
      </c>
      <c r="P447" t="str">
        <f t="shared" si="2"/>
        <v>#N/A</v>
      </c>
      <c r="Q447" t="str">
        <f t="shared" si="3"/>
        <v>#N/A</v>
      </c>
      <c r="R447" t="s">
        <v>94</v>
      </c>
      <c r="S447" s="60" t="s">
        <v>94</v>
      </c>
      <c r="T447" t="s">
        <v>94</v>
      </c>
      <c r="U447" t="s">
        <v>94</v>
      </c>
      <c r="V447" t="s">
        <v>94</v>
      </c>
      <c r="W447" t="str">
        <f t="shared" si="1"/>
        <v/>
      </c>
    </row>
    <row r="448">
      <c r="A448" s="88"/>
      <c r="B448" s="94"/>
      <c r="C448" s="88"/>
      <c r="D448" s="88"/>
      <c r="E448" s="88"/>
      <c r="F448" s="88"/>
      <c r="G448" s="88"/>
      <c r="O448" t="str">
        <f>IFERROR(__xludf.DUMMYFUNCTION("regexextract(B448,""[\w]* [\w]*"")"),"#N/A")</f>
        <v>#N/A</v>
      </c>
      <c r="P448" t="str">
        <f t="shared" si="2"/>
        <v>#N/A</v>
      </c>
      <c r="Q448" t="str">
        <f t="shared" si="3"/>
        <v>#N/A</v>
      </c>
      <c r="R448" t="s">
        <v>94</v>
      </c>
      <c r="S448" s="60" t="s">
        <v>94</v>
      </c>
      <c r="T448" t="s">
        <v>94</v>
      </c>
      <c r="U448" t="s">
        <v>94</v>
      </c>
      <c r="V448" t="s">
        <v>94</v>
      </c>
      <c r="W448" t="str">
        <f t="shared" si="1"/>
        <v/>
      </c>
    </row>
    <row r="449">
      <c r="A449" s="84"/>
      <c r="B449" s="91"/>
      <c r="C449" s="84"/>
      <c r="D449" s="84"/>
      <c r="E449" s="84"/>
      <c r="F449" s="84"/>
      <c r="G449" s="84"/>
      <c r="O449" t="str">
        <f>IFERROR(__xludf.DUMMYFUNCTION("regexextract(B449,""[\w]* [\w]*"")"),"#N/A")</f>
        <v>#N/A</v>
      </c>
      <c r="P449" t="str">
        <f t="shared" si="2"/>
        <v>#N/A</v>
      </c>
      <c r="Q449" t="str">
        <f t="shared" si="3"/>
        <v>#N/A</v>
      </c>
      <c r="R449" t="s">
        <v>94</v>
      </c>
      <c r="S449" s="60" t="s">
        <v>94</v>
      </c>
      <c r="T449" t="s">
        <v>94</v>
      </c>
      <c r="U449" t="s">
        <v>94</v>
      </c>
      <c r="V449" t="s">
        <v>94</v>
      </c>
      <c r="W449" t="str">
        <f t="shared" si="1"/>
        <v/>
      </c>
    </row>
    <row r="450">
      <c r="A450" s="88"/>
      <c r="B450" s="94"/>
      <c r="C450" s="88"/>
      <c r="D450" s="88"/>
      <c r="E450" s="88"/>
      <c r="F450" s="88"/>
      <c r="G450" s="88"/>
      <c r="O450" t="str">
        <f>IFERROR(__xludf.DUMMYFUNCTION("regexextract(B450,""[\w]* [\w]*"")"),"#N/A")</f>
        <v>#N/A</v>
      </c>
      <c r="P450" t="str">
        <f t="shared" si="2"/>
        <v>#N/A</v>
      </c>
      <c r="Q450" t="str">
        <f t="shared" si="3"/>
        <v>#N/A</v>
      </c>
      <c r="R450" t="s">
        <v>94</v>
      </c>
      <c r="S450" s="60" t="s">
        <v>94</v>
      </c>
      <c r="T450" t="s">
        <v>94</v>
      </c>
      <c r="U450" t="s">
        <v>94</v>
      </c>
      <c r="V450" t="s">
        <v>94</v>
      </c>
      <c r="W450" t="str">
        <f t="shared" si="1"/>
        <v/>
      </c>
    </row>
    <row r="451">
      <c r="A451" s="84"/>
      <c r="B451" s="91"/>
      <c r="C451" s="84"/>
      <c r="D451" s="84"/>
      <c r="E451" s="84"/>
      <c r="F451" s="84"/>
      <c r="G451" s="84"/>
      <c r="O451" t="str">
        <f>IFERROR(__xludf.DUMMYFUNCTION("regexextract(B451,""[\w]* [\w]*"")"),"#N/A")</f>
        <v>#N/A</v>
      </c>
      <c r="P451" t="str">
        <f t="shared" si="2"/>
        <v>#N/A</v>
      </c>
      <c r="Q451" t="str">
        <f t="shared" si="3"/>
        <v>#N/A</v>
      </c>
      <c r="R451" t="s">
        <v>94</v>
      </c>
      <c r="S451" s="60" t="s">
        <v>94</v>
      </c>
      <c r="T451" t="s">
        <v>94</v>
      </c>
      <c r="U451" t="s">
        <v>94</v>
      </c>
      <c r="V451" t="s">
        <v>94</v>
      </c>
      <c r="W451" t="str">
        <f t="shared" si="1"/>
        <v/>
      </c>
    </row>
    <row r="452">
      <c r="A452" s="88"/>
      <c r="B452" s="94"/>
      <c r="C452" s="88"/>
      <c r="D452" s="88"/>
      <c r="E452" s="88"/>
      <c r="F452" s="88"/>
      <c r="G452" s="88"/>
      <c r="O452" t="str">
        <f>IFERROR(__xludf.DUMMYFUNCTION("regexextract(B452,""[\w]* [\w]*"")"),"#N/A")</f>
        <v>#N/A</v>
      </c>
      <c r="P452" t="str">
        <f t="shared" si="2"/>
        <v>#N/A</v>
      </c>
      <c r="Q452" t="str">
        <f t="shared" si="3"/>
        <v>#N/A</v>
      </c>
      <c r="R452" t="s">
        <v>94</v>
      </c>
      <c r="S452" s="60" t="s">
        <v>94</v>
      </c>
      <c r="T452" t="s">
        <v>94</v>
      </c>
      <c r="U452" t="s">
        <v>94</v>
      </c>
      <c r="V452" t="s">
        <v>94</v>
      </c>
      <c r="W452" t="str">
        <f t="shared" si="1"/>
        <v/>
      </c>
    </row>
    <row r="453">
      <c r="A453" s="84"/>
      <c r="B453" s="91"/>
      <c r="C453" s="84"/>
      <c r="D453" s="84"/>
      <c r="E453" s="84"/>
      <c r="F453" s="84"/>
      <c r="G453" s="84"/>
      <c r="O453" t="str">
        <f>IFERROR(__xludf.DUMMYFUNCTION("regexextract(B453,""[\w]* [\w]*"")"),"#N/A")</f>
        <v>#N/A</v>
      </c>
      <c r="P453" t="str">
        <f t="shared" si="2"/>
        <v>#N/A</v>
      </c>
      <c r="Q453" t="str">
        <f t="shared" si="3"/>
        <v>#N/A</v>
      </c>
      <c r="R453" t="s">
        <v>94</v>
      </c>
      <c r="S453" s="60" t="s">
        <v>94</v>
      </c>
      <c r="T453" t="s">
        <v>94</v>
      </c>
      <c r="U453" t="s">
        <v>94</v>
      </c>
      <c r="V453" t="s">
        <v>94</v>
      </c>
      <c r="W453" t="str">
        <f t="shared" si="1"/>
        <v/>
      </c>
    </row>
    <row r="454">
      <c r="A454" s="88"/>
      <c r="B454" s="94"/>
      <c r="C454" s="88"/>
      <c r="D454" s="88"/>
      <c r="E454" s="88"/>
      <c r="F454" s="88"/>
      <c r="G454" s="88"/>
      <c r="O454" t="str">
        <f>IFERROR(__xludf.DUMMYFUNCTION("regexextract(B454,""[\w]* [\w]*"")"),"#N/A")</f>
        <v>#N/A</v>
      </c>
      <c r="P454" t="str">
        <f t="shared" si="2"/>
        <v>#N/A</v>
      </c>
      <c r="Q454" t="str">
        <f t="shared" si="3"/>
        <v>#N/A</v>
      </c>
      <c r="R454" t="s">
        <v>94</v>
      </c>
      <c r="S454" s="60" t="s">
        <v>94</v>
      </c>
      <c r="T454" t="s">
        <v>94</v>
      </c>
      <c r="U454" t="s">
        <v>94</v>
      </c>
      <c r="V454" t="s">
        <v>94</v>
      </c>
      <c r="W454" t="str">
        <f t="shared" si="1"/>
        <v/>
      </c>
    </row>
    <row r="455">
      <c r="A455" s="84"/>
      <c r="B455" s="91"/>
      <c r="C455" s="84"/>
      <c r="D455" s="84"/>
      <c r="E455" s="84"/>
      <c r="F455" s="84"/>
      <c r="G455" s="84"/>
      <c r="O455" t="str">
        <f>IFERROR(__xludf.DUMMYFUNCTION("regexextract(B455,""[\w]* [\w]*"")"),"#N/A")</f>
        <v>#N/A</v>
      </c>
      <c r="P455" t="str">
        <f t="shared" si="2"/>
        <v>#N/A</v>
      </c>
      <c r="Q455" t="str">
        <f t="shared" si="3"/>
        <v>#N/A</v>
      </c>
      <c r="R455" t="s">
        <v>94</v>
      </c>
      <c r="S455" s="60" t="s">
        <v>94</v>
      </c>
      <c r="T455" t="s">
        <v>94</v>
      </c>
      <c r="U455" t="s">
        <v>94</v>
      </c>
      <c r="V455" t="s">
        <v>94</v>
      </c>
      <c r="W455" t="str">
        <f t="shared" si="1"/>
        <v/>
      </c>
    </row>
    <row r="456">
      <c r="A456" s="88"/>
      <c r="B456" s="94"/>
      <c r="C456" s="88"/>
      <c r="D456" s="88"/>
      <c r="E456" s="88"/>
      <c r="F456" s="88"/>
      <c r="G456" s="88"/>
      <c r="O456" t="str">
        <f>IFERROR(__xludf.DUMMYFUNCTION("regexextract(B456,""[\w]* [\w]*"")"),"#N/A")</f>
        <v>#N/A</v>
      </c>
      <c r="P456" t="str">
        <f t="shared" si="2"/>
        <v>#N/A</v>
      </c>
      <c r="Q456" t="str">
        <f t="shared" si="3"/>
        <v>#N/A</v>
      </c>
      <c r="R456" t="s">
        <v>94</v>
      </c>
      <c r="S456" s="60" t="s">
        <v>94</v>
      </c>
      <c r="T456" t="s">
        <v>94</v>
      </c>
      <c r="U456" t="s">
        <v>94</v>
      </c>
      <c r="V456" t="s">
        <v>94</v>
      </c>
      <c r="W456" t="str">
        <f t="shared" si="1"/>
        <v/>
      </c>
    </row>
    <row r="457">
      <c r="A457" s="84"/>
      <c r="B457" s="91"/>
      <c r="C457" s="84"/>
      <c r="D457" s="84"/>
      <c r="E457" s="84"/>
      <c r="F457" s="84"/>
      <c r="G457" s="84"/>
      <c r="O457" t="str">
        <f>IFERROR(__xludf.DUMMYFUNCTION("regexextract(B457,""[\w]* [\w]*"")"),"#N/A")</f>
        <v>#N/A</v>
      </c>
      <c r="P457" t="str">
        <f t="shared" si="2"/>
        <v>#N/A</v>
      </c>
      <c r="Q457" t="str">
        <f t="shared" si="3"/>
        <v>#N/A</v>
      </c>
      <c r="R457" t="s">
        <v>94</v>
      </c>
      <c r="S457" s="60" t="s">
        <v>94</v>
      </c>
      <c r="T457" t="s">
        <v>94</v>
      </c>
      <c r="U457" t="s">
        <v>94</v>
      </c>
      <c r="V457" t="s">
        <v>94</v>
      </c>
      <c r="W457" t="str">
        <f t="shared" si="1"/>
        <v/>
      </c>
    </row>
    <row r="458">
      <c r="A458" s="88"/>
      <c r="B458" s="94"/>
      <c r="C458" s="88"/>
      <c r="D458" s="88"/>
      <c r="E458" s="88"/>
      <c r="F458" s="88"/>
      <c r="G458" s="88"/>
      <c r="O458" t="str">
        <f>IFERROR(__xludf.DUMMYFUNCTION("regexextract(B458,""[\w]* [\w]*"")"),"#N/A")</f>
        <v>#N/A</v>
      </c>
      <c r="P458" t="str">
        <f t="shared" si="2"/>
        <v>#N/A</v>
      </c>
      <c r="Q458" t="str">
        <f t="shared" si="3"/>
        <v>#N/A</v>
      </c>
      <c r="R458" t="s">
        <v>94</v>
      </c>
      <c r="S458" s="60" t="s">
        <v>94</v>
      </c>
      <c r="T458" t="s">
        <v>94</v>
      </c>
      <c r="U458" t="s">
        <v>94</v>
      </c>
      <c r="V458" t="s">
        <v>94</v>
      </c>
      <c r="W458" t="str">
        <f t="shared" si="1"/>
        <v/>
      </c>
    </row>
    <row r="459">
      <c r="A459" s="84"/>
      <c r="B459" s="91"/>
      <c r="C459" s="84"/>
      <c r="D459" s="84"/>
      <c r="E459" s="84"/>
      <c r="F459" s="84"/>
      <c r="G459" s="84"/>
      <c r="O459" t="str">
        <f>IFERROR(__xludf.DUMMYFUNCTION("regexextract(B459,""[\w]* [\w]*"")"),"#N/A")</f>
        <v>#N/A</v>
      </c>
      <c r="P459" t="str">
        <f t="shared" si="2"/>
        <v>#N/A</v>
      </c>
      <c r="Q459" t="str">
        <f t="shared" si="3"/>
        <v>#N/A</v>
      </c>
      <c r="R459" t="s">
        <v>94</v>
      </c>
      <c r="S459" s="60" t="s">
        <v>94</v>
      </c>
      <c r="T459" t="s">
        <v>94</v>
      </c>
      <c r="U459" t="s">
        <v>94</v>
      </c>
      <c r="V459" t="s">
        <v>94</v>
      </c>
      <c r="W459" t="str">
        <f t="shared" si="1"/>
        <v/>
      </c>
    </row>
    <row r="460">
      <c r="A460" s="88"/>
      <c r="B460" s="94"/>
      <c r="C460" s="88"/>
      <c r="D460" s="88"/>
      <c r="E460" s="88"/>
      <c r="F460" s="88"/>
      <c r="G460" s="88"/>
      <c r="O460" t="str">
        <f>IFERROR(__xludf.DUMMYFUNCTION("regexextract(B460,""[\w]* [\w]*"")"),"#N/A")</f>
        <v>#N/A</v>
      </c>
      <c r="P460" t="str">
        <f t="shared" si="2"/>
        <v>#N/A</v>
      </c>
      <c r="Q460" t="str">
        <f t="shared" si="3"/>
        <v>#N/A</v>
      </c>
      <c r="R460" t="s">
        <v>94</v>
      </c>
      <c r="S460" s="60" t="s">
        <v>94</v>
      </c>
      <c r="T460" t="s">
        <v>94</v>
      </c>
      <c r="U460" t="s">
        <v>94</v>
      </c>
      <c r="V460" t="s">
        <v>94</v>
      </c>
      <c r="W460" t="str">
        <f t="shared" si="1"/>
        <v/>
      </c>
    </row>
    <row r="461">
      <c r="A461" s="84"/>
      <c r="B461" s="91"/>
      <c r="C461" s="84"/>
      <c r="D461" s="84"/>
      <c r="E461" s="84"/>
      <c r="F461" s="84"/>
      <c r="G461" s="84"/>
      <c r="O461" t="str">
        <f>IFERROR(__xludf.DUMMYFUNCTION("regexextract(B461,""[\w]* [\w]*"")"),"#N/A")</f>
        <v>#N/A</v>
      </c>
      <c r="P461" t="str">
        <f t="shared" si="2"/>
        <v>#N/A</v>
      </c>
      <c r="Q461" t="str">
        <f t="shared" si="3"/>
        <v>#N/A</v>
      </c>
      <c r="R461" t="s">
        <v>94</v>
      </c>
      <c r="S461" s="60" t="s">
        <v>94</v>
      </c>
      <c r="T461" t="s">
        <v>94</v>
      </c>
      <c r="U461" t="s">
        <v>94</v>
      </c>
      <c r="V461" t="s">
        <v>94</v>
      </c>
      <c r="W461" t="str">
        <f t="shared" si="1"/>
        <v/>
      </c>
    </row>
    <row r="462">
      <c r="A462" s="88"/>
      <c r="B462" s="94"/>
      <c r="C462" s="88"/>
      <c r="D462" s="88"/>
      <c r="E462" s="88"/>
      <c r="F462" s="88"/>
      <c r="G462" s="88"/>
      <c r="O462" t="str">
        <f>IFERROR(__xludf.DUMMYFUNCTION("regexextract(B462,""[\w]* [\w]*"")"),"#N/A")</f>
        <v>#N/A</v>
      </c>
      <c r="P462" t="str">
        <f t="shared" si="2"/>
        <v>#N/A</v>
      </c>
      <c r="Q462" t="str">
        <f t="shared" si="3"/>
        <v>#N/A</v>
      </c>
      <c r="R462" t="s">
        <v>94</v>
      </c>
      <c r="S462" s="60" t="s">
        <v>94</v>
      </c>
      <c r="T462" t="s">
        <v>94</v>
      </c>
      <c r="U462" t="s">
        <v>94</v>
      </c>
      <c r="V462" t="s">
        <v>94</v>
      </c>
      <c r="W462" t="str">
        <f t="shared" si="1"/>
        <v/>
      </c>
    </row>
    <row r="463">
      <c r="A463" s="84"/>
      <c r="B463" s="91"/>
      <c r="C463" s="84"/>
      <c r="D463" s="84"/>
      <c r="E463" s="84"/>
      <c r="F463" s="84"/>
      <c r="G463" s="84"/>
      <c r="O463" t="str">
        <f>IFERROR(__xludf.DUMMYFUNCTION("regexextract(B463,""[\w]* [\w]*"")"),"#N/A")</f>
        <v>#N/A</v>
      </c>
      <c r="P463" t="str">
        <f t="shared" si="2"/>
        <v>#N/A</v>
      </c>
      <c r="Q463" t="str">
        <f t="shared" si="3"/>
        <v>#N/A</v>
      </c>
      <c r="R463" t="s">
        <v>94</v>
      </c>
      <c r="S463" s="60" t="s">
        <v>94</v>
      </c>
      <c r="T463" t="s">
        <v>94</v>
      </c>
      <c r="U463" t="s">
        <v>94</v>
      </c>
      <c r="V463" t="s">
        <v>94</v>
      </c>
      <c r="W463" t="str">
        <f t="shared" si="1"/>
        <v/>
      </c>
    </row>
    <row r="464">
      <c r="A464" s="88"/>
      <c r="B464" s="94"/>
      <c r="C464" s="88"/>
      <c r="D464" s="88"/>
      <c r="E464" s="88"/>
      <c r="F464" s="88"/>
      <c r="G464" s="88"/>
      <c r="O464" t="str">
        <f>IFERROR(__xludf.DUMMYFUNCTION("regexextract(B464,""[\w]* [\w]*"")"),"#N/A")</f>
        <v>#N/A</v>
      </c>
      <c r="P464" t="str">
        <f t="shared" si="2"/>
        <v>#N/A</v>
      </c>
      <c r="Q464" t="str">
        <f t="shared" si="3"/>
        <v>#N/A</v>
      </c>
      <c r="R464" t="s">
        <v>94</v>
      </c>
      <c r="S464" s="60" t="s">
        <v>94</v>
      </c>
      <c r="T464" t="s">
        <v>94</v>
      </c>
      <c r="U464" t="s">
        <v>94</v>
      </c>
      <c r="V464" t="s">
        <v>94</v>
      </c>
      <c r="W464" t="str">
        <f t="shared" si="1"/>
        <v/>
      </c>
    </row>
    <row r="465">
      <c r="A465" s="84"/>
      <c r="B465" s="91"/>
      <c r="C465" s="84"/>
      <c r="D465" s="84"/>
      <c r="E465" s="84"/>
      <c r="F465" s="84"/>
      <c r="G465" s="84"/>
      <c r="O465" t="str">
        <f>IFERROR(__xludf.DUMMYFUNCTION("regexextract(B465,""[\w]* [\w]*"")"),"#N/A")</f>
        <v>#N/A</v>
      </c>
      <c r="P465" t="str">
        <f t="shared" si="2"/>
        <v>#N/A</v>
      </c>
      <c r="Q465" t="str">
        <f t="shared" si="3"/>
        <v>#N/A</v>
      </c>
      <c r="R465" t="s">
        <v>94</v>
      </c>
      <c r="S465" s="60" t="s">
        <v>94</v>
      </c>
      <c r="T465" t="s">
        <v>94</v>
      </c>
      <c r="U465" t="s">
        <v>94</v>
      </c>
      <c r="V465" t="s">
        <v>94</v>
      </c>
      <c r="W465" t="str">
        <f t="shared" si="1"/>
        <v/>
      </c>
    </row>
    <row r="466">
      <c r="A466" s="88"/>
      <c r="B466" s="94"/>
      <c r="C466" s="88"/>
      <c r="D466" s="88"/>
      <c r="E466" s="88"/>
      <c r="F466" s="88"/>
      <c r="G466" s="88"/>
      <c r="O466" t="str">
        <f>IFERROR(__xludf.DUMMYFUNCTION("regexextract(B466,""[\w]* [\w]*"")"),"#N/A")</f>
        <v>#N/A</v>
      </c>
      <c r="P466" t="str">
        <f t="shared" si="2"/>
        <v>#N/A</v>
      </c>
      <c r="Q466" t="str">
        <f t="shared" si="3"/>
        <v>#N/A</v>
      </c>
      <c r="R466" t="s">
        <v>94</v>
      </c>
      <c r="S466" s="60" t="s">
        <v>94</v>
      </c>
      <c r="T466" t="s">
        <v>94</v>
      </c>
      <c r="U466" t="s">
        <v>94</v>
      </c>
      <c r="V466" t="s">
        <v>94</v>
      </c>
      <c r="W466" t="str">
        <f t="shared" si="1"/>
        <v/>
      </c>
    </row>
    <row r="467">
      <c r="A467" s="84"/>
      <c r="B467" s="91"/>
      <c r="C467" s="84"/>
      <c r="D467" s="84"/>
      <c r="E467" s="84"/>
      <c r="F467" s="84"/>
      <c r="G467" s="84"/>
      <c r="O467" t="str">
        <f>IFERROR(__xludf.DUMMYFUNCTION("regexextract(B467,""[\w]* [\w]*"")"),"#N/A")</f>
        <v>#N/A</v>
      </c>
      <c r="P467" t="str">
        <f t="shared" si="2"/>
        <v>#N/A</v>
      </c>
      <c r="Q467" t="str">
        <f t="shared" si="3"/>
        <v>#N/A</v>
      </c>
      <c r="R467" t="s">
        <v>94</v>
      </c>
      <c r="S467" s="60" t="s">
        <v>94</v>
      </c>
      <c r="T467" t="s">
        <v>94</v>
      </c>
      <c r="U467" t="s">
        <v>94</v>
      </c>
      <c r="V467" t="s">
        <v>94</v>
      </c>
      <c r="W467" t="str">
        <f t="shared" si="1"/>
        <v/>
      </c>
    </row>
    <row r="468">
      <c r="A468" s="88"/>
      <c r="B468" s="94"/>
      <c r="C468" s="88"/>
      <c r="D468" s="88"/>
      <c r="E468" s="88"/>
      <c r="F468" s="88"/>
      <c r="G468" s="88"/>
      <c r="O468" t="str">
        <f>IFERROR(__xludf.DUMMYFUNCTION("regexextract(B468,""[\w]* [\w]*"")"),"#N/A")</f>
        <v>#N/A</v>
      </c>
      <c r="P468" t="str">
        <f t="shared" si="2"/>
        <v>#N/A</v>
      </c>
      <c r="Q468" t="str">
        <f t="shared" si="3"/>
        <v>#N/A</v>
      </c>
      <c r="R468" t="s">
        <v>94</v>
      </c>
      <c r="S468" s="60" t="s">
        <v>94</v>
      </c>
      <c r="T468" t="s">
        <v>94</v>
      </c>
      <c r="U468" t="s">
        <v>94</v>
      </c>
      <c r="V468" t="s">
        <v>94</v>
      </c>
      <c r="W468" t="str">
        <f t="shared" si="1"/>
        <v/>
      </c>
    </row>
    <row r="469">
      <c r="A469" s="84"/>
      <c r="B469" s="91"/>
      <c r="C469" s="84"/>
      <c r="D469" s="84"/>
      <c r="E469" s="84"/>
      <c r="F469" s="84"/>
      <c r="G469" s="84"/>
      <c r="O469" t="str">
        <f>IFERROR(__xludf.DUMMYFUNCTION("regexextract(B469,""[\w]* [\w]*"")"),"#N/A")</f>
        <v>#N/A</v>
      </c>
      <c r="P469" t="str">
        <f t="shared" si="2"/>
        <v>#N/A</v>
      </c>
      <c r="Q469" t="str">
        <f t="shared" si="3"/>
        <v>#N/A</v>
      </c>
      <c r="R469" t="s">
        <v>94</v>
      </c>
      <c r="S469" s="60" t="s">
        <v>94</v>
      </c>
      <c r="T469" t="s">
        <v>94</v>
      </c>
      <c r="U469" t="s">
        <v>94</v>
      </c>
      <c r="V469" t="s">
        <v>94</v>
      </c>
      <c r="W469" t="str">
        <f t="shared" si="1"/>
        <v/>
      </c>
    </row>
    <row r="470">
      <c r="A470" s="88"/>
      <c r="B470" s="94"/>
      <c r="C470" s="88"/>
      <c r="D470" s="88"/>
      <c r="E470" s="88"/>
      <c r="F470" s="88"/>
      <c r="G470" s="88"/>
      <c r="O470" t="str">
        <f>IFERROR(__xludf.DUMMYFUNCTION("regexextract(B470,""[\w]* [\w]*"")"),"#N/A")</f>
        <v>#N/A</v>
      </c>
      <c r="P470" t="str">
        <f t="shared" si="2"/>
        <v>#N/A</v>
      </c>
      <c r="Q470" t="str">
        <f t="shared" si="3"/>
        <v>#N/A</v>
      </c>
      <c r="R470" t="s">
        <v>94</v>
      </c>
      <c r="S470" s="60" t="s">
        <v>94</v>
      </c>
      <c r="T470" t="s">
        <v>94</v>
      </c>
      <c r="U470" t="s">
        <v>94</v>
      </c>
      <c r="V470" t="s">
        <v>94</v>
      </c>
      <c r="W470" t="str">
        <f t="shared" si="1"/>
        <v/>
      </c>
    </row>
    <row r="471">
      <c r="A471" s="84"/>
      <c r="B471" s="91"/>
      <c r="C471" s="84"/>
      <c r="D471" s="84"/>
      <c r="E471" s="84"/>
      <c r="F471" s="84"/>
      <c r="G471" s="84"/>
      <c r="O471" t="str">
        <f>IFERROR(__xludf.DUMMYFUNCTION("regexextract(B471,""[\w]* [\w]*"")"),"#N/A")</f>
        <v>#N/A</v>
      </c>
      <c r="P471" t="str">
        <f t="shared" si="2"/>
        <v>#N/A</v>
      </c>
      <c r="Q471" t="str">
        <f t="shared" si="3"/>
        <v>#N/A</v>
      </c>
      <c r="R471" t="s">
        <v>94</v>
      </c>
      <c r="S471" s="60" t="s">
        <v>94</v>
      </c>
      <c r="T471" t="s">
        <v>94</v>
      </c>
      <c r="U471" t="s">
        <v>94</v>
      </c>
      <c r="V471" t="s">
        <v>94</v>
      </c>
      <c r="W471" t="str">
        <f t="shared" si="1"/>
        <v/>
      </c>
    </row>
    <row r="472">
      <c r="A472" s="88"/>
      <c r="B472" s="94"/>
      <c r="C472" s="88"/>
      <c r="D472" s="88"/>
      <c r="E472" s="88"/>
      <c r="F472" s="88"/>
      <c r="G472" s="88"/>
      <c r="O472" t="str">
        <f>IFERROR(__xludf.DUMMYFUNCTION("regexextract(B472,""[\w]* [\w]*"")"),"#N/A")</f>
        <v>#N/A</v>
      </c>
      <c r="P472" t="str">
        <f t="shared" si="2"/>
        <v>#N/A</v>
      </c>
      <c r="Q472" t="str">
        <f t="shared" si="3"/>
        <v>#N/A</v>
      </c>
      <c r="R472" t="s">
        <v>94</v>
      </c>
      <c r="S472" s="60" t="s">
        <v>94</v>
      </c>
      <c r="T472" t="s">
        <v>94</v>
      </c>
      <c r="U472" t="s">
        <v>94</v>
      </c>
      <c r="V472" t="s">
        <v>94</v>
      </c>
      <c r="W472" t="str">
        <f t="shared" si="1"/>
        <v/>
      </c>
    </row>
    <row r="473">
      <c r="A473" s="84"/>
      <c r="B473" s="91"/>
      <c r="C473" s="84"/>
      <c r="D473" s="84"/>
      <c r="E473" s="84"/>
      <c r="F473" s="84"/>
      <c r="G473" s="84"/>
      <c r="O473" t="str">
        <f>IFERROR(__xludf.DUMMYFUNCTION("regexextract(B473,""[\w]* [\w]*"")"),"#N/A")</f>
        <v>#N/A</v>
      </c>
      <c r="P473" t="str">
        <f t="shared" si="2"/>
        <v>#N/A</v>
      </c>
      <c r="Q473" t="str">
        <f t="shared" si="3"/>
        <v>#N/A</v>
      </c>
      <c r="R473" t="s">
        <v>94</v>
      </c>
      <c r="S473" s="60" t="s">
        <v>94</v>
      </c>
      <c r="T473" t="s">
        <v>94</v>
      </c>
      <c r="U473" t="s">
        <v>94</v>
      </c>
      <c r="V473" t="s">
        <v>94</v>
      </c>
      <c r="W473" t="str">
        <f t="shared" si="1"/>
        <v/>
      </c>
    </row>
    <row r="474">
      <c r="A474" s="88"/>
      <c r="B474" s="94"/>
      <c r="C474" s="88"/>
      <c r="D474" s="88"/>
      <c r="E474" s="88"/>
      <c r="F474" s="88"/>
      <c r="G474" s="88"/>
      <c r="O474" t="str">
        <f>IFERROR(__xludf.DUMMYFUNCTION("regexextract(B474,""[\w]* [\w]*"")"),"#N/A")</f>
        <v>#N/A</v>
      </c>
      <c r="P474" t="str">
        <f t="shared" si="2"/>
        <v>#N/A</v>
      </c>
      <c r="Q474" t="str">
        <f t="shared" si="3"/>
        <v>#N/A</v>
      </c>
      <c r="R474" t="s">
        <v>94</v>
      </c>
      <c r="S474" s="60" t="s">
        <v>94</v>
      </c>
      <c r="T474" t="s">
        <v>94</v>
      </c>
      <c r="U474" t="s">
        <v>94</v>
      </c>
      <c r="V474" t="s">
        <v>94</v>
      </c>
      <c r="W474" t="str">
        <f t="shared" si="1"/>
        <v/>
      </c>
    </row>
    <row r="475">
      <c r="A475" s="84"/>
      <c r="B475" s="91"/>
      <c r="C475" s="84"/>
      <c r="D475" s="84"/>
      <c r="E475" s="84"/>
      <c r="F475" s="84"/>
      <c r="G475" s="84"/>
      <c r="O475" t="str">
        <f>IFERROR(__xludf.DUMMYFUNCTION("regexextract(B475,""[\w]* [\w]*"")"),"#N/A")</f>
        <v>#N/A</v>
      </c>
      <c r="P475" t="str">
        <f t="shared" si="2"/>
        <v>#N/A</v>
      </c>
      <c r="Q475" t="str">
        <f t="shared" si="3"/>
        <v>#N/A</v>
      </c>
      <c r="R475" t="s">
        <v>94</v>
      </c>
      <c r="S475" s="60" t="s">
        <v>94</v>
      </c>
      <c r="T475" t="s">
        <v>94</v>
      </c>
      <c r="U475" t="s">
        <v>94</v>
      </c>
      <c r="V475" t="s">
        <v>94</v>
      </c>
      <c r="W475" t="str">
        <f t="shared" si="1"/>
        <v/>
      </c>
    </row>
    <row r="476">
      <c r="A476" s="88"/>
      <c r="B476" s="94"/>
      <c r="C476" s="88"/>
      <c r="D476" s="88"/>
      <c r="E476" s="88"/>
      <c r="F476" s="88"/>
      <c r="G476" s="88"/>
      <c r="O476" t="str">
        <f>IFERROR(__xludf.DUMMYFUNCTION("regexextract(B476,""[\w]* [\w]*"")"),"#N/A")</f>
        <v>#N/A</v>
      </c>
      <c r="P476" t="str">
        <f t="shared" si="2"/>
        <v>#N/A</v>
      </c>
      <c r="Q476" t="str">
        <f t="shared" si="3"/>
        <v>#N/A</v>
      </c>
      <c r="R476" t="s">
        <v>94</v>
      </c>
      <c r="S476" s="60" t="s">
        <v>94</v>
      </c>
      <c r="T476" t="s">
        <v>94</v>
      </c>
      <c r="U476" t="s">
        <v>94</v>
      </c>
      <c r="V476" t="s">
        <v>94</v>
      </c>
      <c r="W476" t="str">
        <f t="shared" si="1"/>
        <v/>
      </c>
    </row>
    <row r="477">
      <c r="A477" s="84"/>
      <c r="B477" s="91"/>
      <c r="C477" s="84"/>
      <c r="D477" s="84"/>
      <c r="E477" s="84"/>
      <c r="F477" s="84"/>
      <c r="G477" s="84"/>
      <c r="O477" t="str">
        <f>IFERROR(__xludf.DUMMYFUNCTION("regexextract(B477,""[\w]* [\w]*"")"),"#N/A")</f>
        <v>#N/A</v>
      </c>
      <c r="P477" t="str">
        <f t="shared" si="2"/>
        <v>#N/A</v>
      </c>
      <c r="Q477" t="str">
        <f t="shared" si="3"/>
        <v>#N/A</v>
      </c>
      <c r="R477" t="s">
        <v>94</v>
      </c>
      <c r="S477" s="60" t="s">
        <v>94</v>
      </c>
      <c r="T477" t="s">
        <v>94</v>
      </c>
      <c r="U477" t="s">
        <v>94</v>
      </c>
      <c r="V477" t="s">
        <v>94</v>
      </c>
      <c r="W477" t="str">
        <f t="shared" si="1"/>
        <v/>
      </c>
    </row>
    <row r="478">
      <c r="A478" s="88"/>
      <c r="B478" s="94"/>
      <c r="C478" s="88"/>
      <c r="D478" s="88"/>
      <c r="E478" s="88"/>
      <c r="F478" s="88"/>
      <c r="G478" s="88"/>
      <c r="O478" t="str">
        <f>IFERROR(__xludf.DUMMYFUNCTION("regexextract(B478,""[\w]* [\w]*"")"),"#N/A")</f>
        <v>#N/A</v>
      </c>
      <c r="P478" t="str">
        <f t="shared" si="2"/>
        <v>#N/A</v>
      </c>
      <c r="Q478" t="str">
        <f t="shared" si="3"/>
        <v>#N/A</v>
      </c>
      <c r="R478" t="s">
        <v>94</v>
      </c>
      <c r="S478" s="60" t="s">
        <v>94</v>
      </c>
      <c r="T478" t="s">
        <v>94</v>
      </c>
      <c r="U478" t="s">
        <v>94</v>
      </c>
      <c r="V478" t="s">
        <v>94</v>
      </c>
      <c r="W478" t="str">
        <f t="shared" si="1"/>
        <v/>
      </c>
    </row>
    <row r="479">
      <c r="A479" s="84"/>
      <c r="B479" s="91"/>
      <c r="C479" s="84"/>
      <c r="D479" s="84"/>
      <c r="E479" s="84"/>
      <c r="F479" s="84"/>
      <c r="G479" s="84"/>
      <c r="O479" t="str">
        <f>IFERROR(__xludf.DUMMYFUNCTION("regexextract(B479,""[\w]* [\w]*"")"),"#N/A")</f>
        <v>#N/A</v>
      </c>
      <c r="P479" t="str">
        <f t="shared" si="2"/>
        <v>#N/A</v>
      </c>
      <c r="Q479" t="str">
        <f t="shared" si="3"/>
        <v>#N/A</v>
      </c>
      <c r="R479" t="s">
        <v>94</v>
      </c>
      <c r="S479" s="60" t="s">
        <v>94</v>
      </c>
      <c r="T479" t="s">
        <v>94</v>
      </c>
      <c r="U479" t="s">
        <v>94</v>
      </c>
      <c r="V479" t="s">
        <v>94</v>
      </c>
      <c r="W479" t="str">
        <f t="shared" si="1"/>
        <v/>
      </c>
    </row>
    <row r="480">
      <c r="A480" s="88"/>
      <c r="B480" s="94"/>
      <c r="C480" s="88"/>
      <c r="D480" s="88"/>
      <c r="E480" s="88"/>
      <c r="F480" s="88"/>
      <c r="G480" s="88"/>
      <c r="O480" t="str">
        <f>IFERROR(__xludf.DUMMYFUNCTION("regexextract(B480,""[\w]* [\w]*"")"),"#N/A")</f>
        <v>#N/A</v>
      </c>
      <c r="P480" t="str">
        <f t="shared" si="2"/>
        <v>#N/A</v>
      </c>
      <c r="Q480" t="str">
        <f t="shared" si="3"/>
        <v>#N/A</v>
      </c>
      <c r="R480" t="s">
        <v>94</v>
      </c>
      <c r="S480" s="60" t="s">
        <v>94</v>
      </c>
      <c r="T480" t="s">
        <v>94</v>
      </c>
      <c r="U480" t="s">
        <v>94</v>
      </c>
      <c r="V480" t="s">
        <v>94</v>
      </c>
      <c r="W480" t="str">
        <f t="shared" si="1"/>
        <v/>
      </c>
    </row>
    <row r="481">
      <c r="A481" s="84"/>
      <c r="B481" s="91"/>
      <c r="C481" s="84"/>
      <c r="D481" s="84"/>
      <c r="E481" s="84"/>
      <c r="F481" s="84"/>
      <c r="G481" s="84"/>
      <c r="O481" t="str">
        <f>IFERROR(__xludf.DUMMYFUNCTION("regexextract(B481,""[\w]* [\w]*"")"),"#N/A")</f>
        <v>#N/A</v>
      </c>
      <c r="P481" t="str">
        <f t="shared" si="2"/>
        <v>#N/A</v>
      </c>
      <c r="Q481" t="str">
        <f t="shared" si="3"/>
        <v>#N/A</v>
      </c>
      <c r="R481" t="s">
        <v>94</v>
      </c>
      <c r="S481" s="60" t="s">
        <v>94</v>
      </c>
      <c r="T481" t="s">
        <v>94</v>
      </c>
      <c r="U481" t="s">
        <v>94</v>
      </c>
      <c r="V481" t="s">
        <v>94</v>
      </c>
      <c r="W481" t="str">
        <f t="shared" si="1"/>
        <v/>
      </c>
    </row>
    <row r="482">
      <c r="A482" s="88"/>
      <c r="B482" s="94"/>
      <c r="C482" s="88"/>
      <c r="D482" s="88"/>
      <c r="E482" s="88"/>
      <c r="F482" s="88"/>
      <c r="G482" s="88"/>
      <c r="O482" t="str">
        <f>IFERROR(__xludf.DUMMYFUNCTION("regexextract(B482,""[\w]* [\w]*"")"),"#N/A")</f>
        <v>#N/A</v>
      </c>
      <c r="P482" t="str">
        <f t="shared" si="2"/>
        <v>#N/A</v>
      </c>
      <c r="Q482" t="str">
        <f t="shared" si="3"/>
        <v>#N/A</v>
      </c>
      <c r="R482" t="s">
        <v>94</v>
      </c>
      <c r="S482" s="60" t="s">
        <v>94</v>
      </c>
      <c r="T482" t="s">
        <v>94</v>
      </c>
      <c r="U482" t="s">
        <v>94</v>
      </c>
      <c r="V482" t="s">
        <v>94</v>
      </c>
      <c r="W482" t="str">
        <f t="shared" si="1"/>
        <v/>
      </c>
    </row>
    <row r="483">
      <c r="A483" s="84"/>
      <c r="B483" s="91"/>
      <c r="C483" s="84"/>
      <c r="D483" s="84"/>
      <c r="E483" s="84"/>
      <c r="F483" s="84"/>
      <c r="G483" s="84"/>
      <c r="O483" t="str">
        <f>IFERROR(__xludf.DUMMYFUNCTION("regexextract(B483,""[\w]* [\w]*"")"),"#N/A")</f>
        <v>#N/A</v>
      </c>
      <c r="P483" t="str">
        <f t="shared" si="2"/>
        <v>#N/A</v>
      </c>
      <c r="Q483" t="str">
        <f t="shared" si="3"/>
        <v>#N/A</v>
      </c>
      <c r="R483" t="s">
        <v>94</v>
      </c>
      <c r="S483" s="60" t="s">
        <v>94</v>
      </c>
      <c r="T483" t="s">
        <v>94</v>
      </c>
      <c r="U483" t="s">
        <v>94</v>
      </c>
      <c r="V483" t="s">
        <v>94</v>
      </c>
      <c r="W483" t="str">
        <f t="shared" si="1"/>
        <v/>
      </c>
    </row>
    <row r="484">
      <c r="A484" s="88"/>
      <c r="B484" s="94"/>
      <c r="C484" s="88"/>
      <c r="D484" s="88"/>
      <c r="E484" s="88"/>
      <c r="F484" s="88"/>
      <c r="G484" s="88"/>
      <c r="O484" t="str">
        <f>IFERROR(__xludf.DUMMYFUNCTION("regexextract(B484,""[\w]* [\w]*"")"),"#N/A")</f>
        <v>#N/A</v>
      </c>
      <c r="P484" t="str">
        <f t="shared" si="2"/>
        <v>#N/A</v>
      </c>
      <c r="Q484" t="str">
        <f t="shared" si="3"/>
        <v>#N/A</v>
      </c>
      <c r="R484" t="s">
        <v>94</v>
      </c>
      <c r="S484" s="60" t="s">
        <v>94</v>
      </c>
      <c r="T484" t="s">
        <v>94</v>
      </c>
      <c r="U484" t="s">
        <v>94</v>
      </c>
      <c r="V484" t="s">
        <v>94</v>
      </c>
      <c r="W484" t="str">
        <f t="shared" si="1"/>
        <v/>
      </c>
    </row>
    <row r="485">
      <c r="A485" s="84"/>
      <c r="B485" s="91"/>
      <c r="C485" s="84"/>
      <c r="D485" s="84"/>
      <c r="E485" s="84"/>
      <c r="F485" s="84"/>
      <c r="G485" s="84"/>
      <c r="O485" t="str">
        <f>IFERROR(__xludf.DUMMYFUNCTION("regexextract(B485,""[\w]* [\w]*"")"),"#N/A")</f>
        <v>#N/A</v>
      </c>
      <c r="P485" t="str">
        <f t="shared" si="2"/>
        <v>#N/A</v>
      </c>
      <c r="Q485" t="str">
        <f t="shared" si="3"/>
        <v>#N/A</v>
      </c>
      <c r="R485" t="s">
        <v>94</v>
      </c>
      <c r="S485" s="60" t="s">
        <v>94</v>
      </c>
      <c r="T485" t="s">
        <v>94</v>
      </c>
      <c r="U485" t="s">
        <v>94</v>
      </c>
      <c r="V485" t="s">
        <v>94</v>
      </c>
      <c r="W485" t="str">
        <f t="shared" si="1"/>
        <v/>
      </c>
    </row>
    <row r="486">
      <c r="A486" s="88"/>
      <c r="B486" s="94"/>
      <c r="C486" s="88"/>
      <c r="D486" s="89"/>
      <c r="E486" s="88"/>
      <c r="F486" s="89"/>
      <c r="G486" s="88"/>
      <c r="O486" t="str">
        <f>IFERROR(__xludf.DUMMYFUNCTION("regexextract(B486,""[\w]* [\w]*"")"),"#N/A")</f>
        <v>#N/A</v>
      </c>
      <c r="P486" t="str">
        <f t="shared" si="2"/>
        <v>#N/A</v>
      </c>
      <c r="Q486" t="str">
        <f t="shared" si="3"/>
        <v>#N/A</v>
      </c>
      <c r="R486" t="s">
        <v>94</v>
      </c>
      <c r="S486" s="60" t="s">
        <v>94</v>
      </c>
      <c r="T486" t="s">
        <v>94</v>
      </c>
      <c r="U486" t="s">
        <v>94</v>
      </c>
      <c r="V486" t="s">
        <v>94</v>
      </c>
      <c r="W486" t="str">
        <f t="shared" si="1"/>
        <v/>
      </c>
    </row>
    <row r="487">
      <c r="A487" s="84"/>
      <c r="B487" s="91"/>
      <c r="C487" s="84"/>
      <c r="D487" s="84"/>
      <c r="E487" s="84"/>
      <c r="F487" s="84"/>
      <c r="G487" s="84"/>
      <c r="O487" t="str">
        <f>IFERROR(__xludf.DUMMYFUNCTION("regexextract(B487,""[\w]* [\w]*"")"),"#N/A")</f>
        <v>#N/A</v>
      </c>
      <c r="P487" t="str">
        <f t="shared" si="2"/>
        <v>#N/A</v>
      </c>
      <c r="Q487" t="str">
        <f t="shared" si="3"/>
        <v>#N/A</v>
      </c>
      <c r="R487" t="s">
        <v>94</v>
      </c>
      <c r="S487" s="60" t="s">
        <v>94</v>
      </c>
      <c r="T487" t="s">
        <v>94</v>
      </c>
      <c r="U487" t="s">
        <v>94</v>
      </c>
      <c r="V487" t="s">
        <v>94</v>
      </c>
      <c r="W487" t="str">
        <f t="shared" si="1"/>
        <v/>
      </c>
    </row>
    <row r="488">
      <c r="A488" s="88"/>
      <c r="B488" s="94"/>
      <c r="C488" s="88"/>
      <c r="D488" s="88"/>
      <c r="E488" s="88"/>
      <c r="F488" s="88"/>
      <c r="G488" s="88"/>
      <c r="O488" t="str">
        <f>IFERROR(__xludf.DUMMYFUNCTION("regexextract(B488,""[\w]* [\w]*"")"),"#N/A")</f>
        <v>#N/A</v>
      </c>
      <c r="P488" t="str">
        <f t="shared" si="2"/>
        <v>#N/A</v>
      </c>
      <c r="Q488" t="str">
        <f t="shared" si="3"/>
        <v>#N/A</v>
      </c>
      <c r="R488" t="s">
        <v>94</v>
      </c>
      <c r="S488" s="60" t="s">
        <v>94</v>
      </c>
      <c r="T488" t="s">
        <v>94</v>
      </c>
      <c r="U488" t="s">
        <v>94</v>
      </c>
      <c r="V488" t="s">
        <v>94</v>
      </c>
      <c r="W488" t="str">
        <f t="shared" si="1"/>
        <v/>
      </c>
    </row>
    <row r="489">
      <c r="A489" s="84"/>
      <c r="B489" s="91"/>
      <c r="C489" s="84"/>
      <c r="D489" s="84"/>
      <c r="E489" s="84"/>
      <c r="F489" s="84"/>
      <c r="G489" s="84"/>
      <c r="O489" t="str">
        <f>IFERROR(__xludf.DUMMYFUNCTION("regexextract(B489,""[\w]* [\w]*"")"),"#N/A")</f>
        <v>#N/A</v>
      </c>
      <c r="P489" t="str">
        <f t="shared" si="2"/>
        <v>#N/A</v>
      </c>
      <c r="Q489" t="str">
        <f t="shared" si="3"/>
        <v>#N/A</v>
      </c>
      <c r="R489" t="s">
        <v>94</v>
      </c>
      <c r="S489" s="60" t="s">
        <v>94</v>
      </c>
      <c r="T489" t="s">
        <v>94</v>
      </c>
      <c r="U489" t="s">
        <v>94</v>
      </c>
      <c r="V489" t="s">
        <v>94</v>
      </c>
      <c r="W489" t="str">
        <f t="shared" si="1"/>
        <v/>
      </c>
    </row>
    <row r="490">
      <c r="A490" s="88"/>
      <c r="B490" s="94"/>
      <c r="C490" s="88"/>
      <c r="D490" s="88"/>
      <c r="E490" s="88"/>
      <c r="F490" s="88"/>
      <c r="G490" s="88"/>
      <c r="O490" t="str">
        <f>IFERROR(__xludf.DUMMYFUNCTION("regexextract(B490,""[\w]* [\w]*"")"),"#N/A")</f>
        <v>#N/A</v>
      </c>
      <c r="P490" t="str">
        <f t="shared" si="2"/>
        <v>#N/A</v>
      </c>
      <c r="Q490" t="str">
        <f t="shared" si="3"/>
        <v>#N/A</v>
      </c>
      <c r="R490" t="s">
        <v>94</v>
      </c>
      <c r="S490" s="60" t="s">
        <v>94</v>
      </c>
      <c r="T490" t="s">
        <v>94</v>
      </c>
      <c r="U490" t="s">
        <v>94</v>
      </c>
      <c r="V490" t="s">
        <v>94</v>
      </c>
      <c r="W490" t="str">
        <f t="shared" si="1"/>
        <v/>
      </c>
    </row>
    <row r="491">
      <c r="A491" s="84"/>
      <c r="B491" s="91"/>
      <c r="C491" s="84"/>
      <c r="D491" s="84"/>
      <c r="E491" s="84"/>
      <c r="F491" s="84"/>
      <c r="G491" s="84"/>
      <c r="O491" t="str">
        <f>IFERROR(__xludf.DUMMYFUNCTION("regexextract(B491,""[\w]* [\w]*"")"),"#N/A")</f>
        <v>#N/A</v>
      </c>
      <c r="P491" t="str">
        <f t="shared" si="2"/>
        <v>#N/A</v>
      </c>
      <c r="Q491" t="str">
        <f t="shared" si="3"/>
        <v>#N/A</v>
      </c>
      <c r="R491" t="s">
        <v>94</v>
      </c>
      <c r="S491" s="60" t="s">
        <v>94</v>
      </c>
      <c r="T491" t="s">
        <v>94</v>
      </c>
      <c r="U491" t="s">
        <v>94</v>
      </c>
      <c r="V491" t="s">
        <v>94</v>
      </c>
      <c r="W491" t="str">
        <f t="shared" si="1"/>
        <v/>
      </c>
    </row>
    <row r="492">
      <c r="A492" s="88"/>
      <c r="B492" s="94"/>
      <c r="C492" s="88"/>
      <c r="D492" s="88"/>
      <c r="E492" s="88"/>
      <c r="F492" s="88"/>
      <c r="G492" s="88"/>
      <c r="O492" t="str">
        <f>IFERROR(__xludf.DUMMYFUNCTION("regexextract(B492,""[\w]* [\w]*"")"),"#N/A")</f>
        <v>#N/A</v>
      </c>
      <c r="P492" t="str">
        <f t="shared" si="2"/>
        <v>#N/A</v>
      </c>
      <c r="Q492" t="str">
        <f t="shared" si="3"/>
        <v>#N/A</v>
      </c>
      <c r="R492" t="s">
        <v>94</v>
      </c>
      <c r="S492" s="60" t="s">
        <v>94</v>
      </c>
      <c r="T492" t="s">
        <v>94</v>
      </c>
      <c r="U492" t="s">
        <v>94</v>
      </c>
      <c r="V492" t="s">
        <v>94</v>
      </c>
      <c r="W492" t="str">
        <f t="shared" si="1"/>
        <v/>
      </c>
    </row>
    <row r="493">
      <c r="A493" s="84"/>
      <c r="B493" s="91"/>
      <c r="C493" s="84"/>
      <c r="D493" s="84"/>
      <c r="E493" s="84"/>
      <c r="F493" s="84"/>
      <c r="G493" s="84"/>
      <c r="O493" t="str">
        <f>IFERROR(__xludf.DUMMYFUNCTION("regexextract(B493,""[\w]* [\w]*"")"),"#N/A")</f>
        <v>#N/A</v>
      </c>
      <c r="P493" t="str">
        <f t="shared" si="2"/>
        <v>#N/A</v>
      </c>
      <c r="Q493" t="str">
        <f t="shared" si="3"/>
        <v>#N/A</v>
      </c>
      <c r="R493" t="s">
        <v>94</v>
      </c>
      <c r="S493" s="60" t="s">
        <v>94</v>
      </c>
      <c r="T493" t="s">
        <v>94</v>
      </c>
      <c r="U493" t="s">
        <v>94</v>
      </c>
      <c r="V493" t="s">
        <v>94</v>
      </c>
      <c r="W493" t="str">
        <f t="shared" si="1"/>
        <v/>
      </c>
    </row>
    <row r="494">
      <c r="A494" s="88"/>
      <c r="B494" s="94"/>
      <c r="C494" s="88"/>
      <c r="D494" s="88"/>
      <c r="E494" s="88"/>
      <c r="F494" s="88"/>
      <c r="G494" s="88"/>
      <c r="O494" t="str">
        <f>IFERROR(__xludf.DUMMYFUNCTION("regexextract(B494,""[\w]* [\w]*"")"),"#N/A")</f>
        <v>#N/A</v>
      </c>
      <c r="P494" t="str">
        <f t="shared" si="2"/>
        <v>#N/A</v>
      </c>
      <c r="Q494" t="str">
        <f t="shared" si="3"/>
        <v>#N/A</v>
      </c>
      <c r="R494" t="s">
        <v>94</v>
      </c>
      <c r="S494" s="60" t="s">
        <v>94</v>
      </c>
      <c r="T494" t="s">
        <v>94</v>
      </c>
      <c r="U494" t="s">
        <v>94</v>
      </c>
      <c r="V494" t="s">
        <v>94</v>
      </c>
      <c r="W494" t="str">
        <f t="shared" si="1"/>
        <v/>
      </c>
    </row>
    <row r="495">
      <c r="A495" s="84"/>
      <c r="B495" s="91"/>
      <c r="C495" s="84"/>
      <c r="D495" s="84"/>
      <c r="E495" s="84"/>
      <c r="F495" s="84"/>
      <c r="G495" s="84"/>
      <c r="O495" t="str">
        <f>IFERROR(__xludf.DUMMYFUNCTION("regexextract(B495,""[\w]* [\w]*"")"),"#N/A")</f>
        <v>#N/A</v>
      </c>
      <c r="P495" t="str">
        <f t="shared" si="2"/>
        <v>#N/A</v>
      </c>
      <c r="Q495" t="str">
        <f t="shared" si="3"/>
        <v>#N/A</v>
      </c>
      <c r="R495" t="s">
        <v>94</v>
      </c>
      <c r="S495" s="60" t="s">
        <v>94</v>
      </c>
      <c r="T495" t="s">
        <v>94</v>
      </c>
      <c r="U495" t="s">
        <v>94</v>
      </c>
      <c r="V495" t="s">
        <v>94</v>
      </c>
      <c r="W495" t="str">
        <f t="shared" si="1"/>
        <v/>
      </c>
    </row>
    <row r="496">
      <c r="A496" s="88"/>
      <c r="B496" s="94"/>
      <c r="C496" s="88"/>
      <c r="D496" s="88"/>
      <c r="E496" s="88"/>
      <c r="F496" s="88"/>
      <c r="G496" s="88"/>
      <c r="O496" t="str">
        <f>IFERROR(__xludf.DUMMYFUNCTION("regexextract(B496,""[\w]* [\w]*"")"),"#N/A")</f>
        <v>#N/A</v>
      </c>
      <c r="P496" t="str">
        <f t="shared" si="2"/>
        <v>#N/A</v>
      </c>
      <c r="Q496" t="str">
        <f t="shared" si="3"/>
        <v>#N/A</v>
      </c>
      <c r="R496" t="s">
        <v>94</v>
      </c>
      <c r="S496" s="60" t="s">
        <v>94</v>
      </c>
      <c r="T496" t="s">
        <v>94</v>
      </c>
      <c r="U496" t="s">
        <v>94</v>
      </c>
      <c r="V496" t="s">
        <v>94</v>
      </c>
      <c r="W496" t="str">
        <f t="shared" si="1"/>
        <v/>
      </c>
    </row>
    <row r="497">
      <c r="A497" s="84"/>
      <c r="B497" s="91"/>
      <c r="C497" s="84"/>
      <c r="D497" s="84"/>
      <c r="E497" s="84"/>
      <c r="F497" s="84"/>
      <c r="G497" s="84"/>
      <c r="O497" t="str">
        <f>IFERROR(__xludf.DUMMYFUNCTION("regexextract(B497,""[\w]* [\w]*"")"),"#N/A")</f>
        <v>#N/A</v>
      </c>
      <c r="P497" t="str">
        <f t="shared" si="2"/>
        <v>#N/A</v>
      </c>
      <c r="Q497" t="str">
        <f t="shared" si="3"/>
        <v>#N/A</v>
      </c>
      <c r="R497" t="s">
        <v>94</v>
      </c>
      <c r="S497" s="60" t="s">
        <v>94</v>
      </c>
      <c r="T497" t="s">
        <v>94</v>
      </c>
      <c r="U497" t="s">
        <v>94</v>
      </c>
      <c r="V497" t="s">
        <v>94</v>
      </c>
      <c r="W497" t="str">
        <f t="shared" si="1"/>
        <v/>
      </c>
    </row>
    <row r="498">
      <c r="A498" s="88"/>
      <c r="B498" s="94"/>
      <c r="C498" s="88"/>
      <c r="D498" s="98"/>
      <c r="E498" s="88"/>
      <c r="F498" s="88"/>
      <c r="G498" s="88"/>
      <c r="O498" t="str">
        <f>IFERROR(__xludf.DUMMYFUNCTION("regexextract(B498,""[\w]* [\w]*"")"),"#N/A")</f>
        <v>#N/A</v>
      </c>
      <c r="P498" t="str">
        <f t="shared" si="2"/>
        <v>#N/A</v>
      </c>
      <c r="Q498" t="str">
        <f t="shared" si="3"/>
        <v>#N/A</v>
      </c>
      <c r="R498" t="s">
        <v>94</v>
      </c>
      <c r="S498" s="60" t="s">
        <v>94</v>
      </c>
      <c r="T498" t="s">
        <v>94</v>
      </c>
      <c r="U498" t="s">
        <v>94</v>
      </c>
      <c r="V498" t="s">
        <v>94</v>
      </c>
      <c r="W498" t="str">
        <f t="shared" si="1"/>
        <v/>
      </c>
    </row>
    <row r="499">
      <c r="A499" s="84"/>
      <c r="B499" s="91"/>
      <c r="C499" s="84"/>
      <c r="D499" s="84"/>
      <c r="E499" s="84"/>
      <c r="F499" s="84"/>
      <c r="G499" s="84"/>
      <c r="O499" t="str">
        <f>IFERROR(__xludf.DUMMYFUNCTION("regexextract(B499,""[\w]* [\w]*"")"),"#N/A")</f>
        <v>#N/A</v>
      </c>
      <c r="P499" t="str">
        <f t="shared" si="2"/>
        <v>#N/A</v>
      </c>
      <c r="Q499" t="str">
        <f t="shared" si="3"/>
        <v>#N/A</v>
      </c>
      <c r="R499" t="s">
        <v>94</v>
      </c>
      <c r="S499" s="60" t="s">
        <v>94</v>
      </c>
      <c r="T499" t="s">
        <v>94</v>
      </c>
      <c r="U499" t="s">
        <v>94</v>
      </c>
      <c r="V499" t="s">
        <v>94</v>
      </c>
      <c r="W499" t="str">
        <f t="shared" si="1"/>
        <v/>
      </c>
    </row>
    <row r="500">
      <c r="A500" s="88"/>
      <c r="B500" s="94"/>
      <c r="C500" s="88"/>
      <c r="D500" s="88"/>
      <c r="E500" s="88"/>
      <c r="F500" s="88"/>
      <c r="G500" s="88"/>
      <c r="O500" t="str">
        <f>IFERROR(__xludf.DUMMYFUNCTION("regexextract(B500,""[\w]* [\w]*"")"),"#N/A")</f>
        <v>#N/A</v>
      </c>
      <c r="P500" t="str">
        <f t="shared" si="2"/>
        <v>#N/A</v>
      </c>
      <c r="Q500" t="str">
        <f t="shared" si="3"/>
        <v>#N/A</v>
      </c>
      <c r="R500" t="s">
        <v>94</v>
      </c>
      <c r="S500" s="60" t="s">
        <v>94</v>
      </c>
      <c r="T500" t="s">
        <v>94</v>
      </c>
      <c r="U500" t="s">
        <v>94</v>
      </c>
      <c r="V500" t="s">
        <v>94</v>
      </c>
      <c r="W500" t="str">
        <f t="shared" si="1"/>
        <v/>
      </c>
    </row>
    <row r="501">
      <c r="R501" t="s">
        <v>94</v>
      </c>
      <c r="S501" t="s">
        <v>94</v>
      </c>
      <c r="T501" t="s">
        <v>94</v>
      </c>
      <c r="U501" t="s">
        <v>94</v>
      </c>
      <c r="V501" t="s">
        <v>94</v>
      </c>
    </row>
    <row r="502">
      <c r="R502" t="s">
        <v>94</v>
      </c>
      <c r="S502" t="s">
        <v>94</v>
      </c>
      <c r="T502" t="s">
        <v>94</v>
      </c>
      <c r="U502" t="s">
        <v>94</v>
      </c>
      <c r="V502" t="s">
        <v>94</v>
      </c>
    </row>
    <row r="503">
      <c r="R503" t="s">
        <v>94</v>
      </c>
      <c r="S503" t="s">
        <v>94</v>
      </c>
      <c r="T503" t="s">
        <v>94</v>
      </c>
      <c r="U503" t="s">
        <v>94</v>
      </c>
      <c r="V503" t="s">
        <v>94</v>
      </c>
    </row>
    <row r="504">
      <c r="R504" t="s">
        <v>94</v>
      </c>
      <c r="S504" t="s">
        <v>94</v>
      </c>
      <c r="T504" t="s">
        <v>94</v>
      </c>
      <c r="U504" t="s">
        <v>94</v>
      </c>
      <c r="V504" t="s">
        <v>94</v>
      </c>
    </row>
    <row r="505">
      <c r="R505" t="s">
        <v>94</v>
      </c>
      <c r="S505" t="s">
        <v>94</v>
      </c>
      <c r="T505" t="s">
        <v>94</v>
      </c>
      <c r="U505" t="s">
        <v>94</v>
      </c>
      <c r="V505" t="s">
        <v>94</v>
      </c>
    </row>
    <row r="506">
      <c r="R506" t="s">
        <v>94</v>
      </c>
      <c r="S506" t="s">
        <v>94</v>
      </c>
      <c r="T506" t="s">
        <v>94</v>
      </c>
      <c r="U506" t="s">
        <v>94</v>
      </c>
      <c r="V506" t="s">
        <v>94</v>
      </c>
    </row>
    <row r="507">
      <c r="R507" t="s">
        <v>94</v>
      </c>
      <c r="S507" t="s">
        <v>94</v>
      </c>
      <c r="T507" t="s">
        <v>94</v>
      </c>
      <c r="U507" t="s">
        <v>94</v>
      </c>
      <c r="V507" t="s">
        <v>94</v>
      </c>
    </row>
    <row r="508">
      <c r="R508" t="s">
        <v>94</v>
      </c>
      <c r="S508" t="s">
        <v>94</v>
      </c>
      <c r="T508" t="s">
        <v>94</v>
      </c>
      <c r="U508" t="s">
        <v>94</v>
      </c>
      <c r="V508" t="s">
        <v>94</v>
      </c>
    </row>
    <row r="509">
      <c r="R509" t="s">
        <v>94</v>
      </c>
      <c r="S509" t="s">
        <v>94</v>
      </c>
      <c r="T509" t="s">
        <v>94</v>
      </c>
      <c r="U509" t="s">
        <v>94</v>
      </c>
      <c r="V509" t="s">
        <v>94</v>
      </c>
    </row>
    <row r="510">
      <c r="R510" t="s">
        <v>94</v>
      </c>
      <c r="S510" t="s">
        <v>94</v>
      </c>
      <c r="T510" t="s">
        <v>94</v>
      </c>
      <c r="U510" t="s">
        <v>94</v>
      </c>
      <c r="V510" t="s">
        <v>94</v>
      </c>
    </row>
    <row r="511">
      <c r="R511" t="s">
        <v>94</v>
      </c>
      <c r="S511" t="s">
        <v>94</v>
      </c>
      <c r="T511" t="s">
        <v>94</v>
      </c>
      <c r="U511" t="s">
        <v>94</v>
      </c>
      <c r="V511" t="s">
        <v>94</v>
      </c>
    </row>
    <row r="512">
      <c r="R512" t="s">
        <v>94</v>
      </c>
      <c r="S512" t="s">
        <v>94</v>
      </c>
      <c r="T512" t="s">
        <v>94</v>
      </c>
      <c r="U512" t="s">
        <v>94</v>
      </c>
      <c r="V512" t="s">
        <v>94</v>
      </c>
    </row>
    <row r="513">
      <c r="R513" t="s">
        <v>94</v>
      </c>
      <c r="S513" t="s">
        <v>94</v>
      </c>
      <c r="T513" t="s">
        <v>94</v>
      </c>
      <c r="U513" t="s">
        <v>94</v>
      </c>
      <c r="V513" t="s">
        <v>94</v>
      </c>
    </row>
    <row r="514">
      <c r="R514" t="s">
        <v>94</v>
      </c>
      <c r="S514" t="s">
        <v>94</v>
      </c>
      <c r="T514" t="s">
        <v>94</v>
      </c>
      <c r="U514" t="s">
        <v>94</v>
      </c>
      <c r="V514" t="s">
        <v>94</v>
      </c>
    </row>
    <row r="515">
      <c r="R515" t="s">
        <v>94</v>
      </c>
      <c r="S515" t="s">
        <v>94</v>
      </c>
      <c r="T515" t="s">
        <v>94</v>
      </c>
      <c r="U515" t="s">
        <v>94</v>
      </c>
      <c r="V515" t="s">
        <v>94</v>
      </c>
    </row>
    <row r="516">
      <c r="R516" t="s">
        <v>94</v>
      </c>
      <c r="S516" t="s">
        <v>94</v>
      </c>
      <c r="T516" t="s">
        <v>94</v>
      </c>
      <c r="U516" t="s">
        <v>94</v>
      </c>
      <c r="V516" t="s">
        <v>94</v>
      </c>
    </row>
    <row r="517">
      <c r="R517" t="s">
        <v>94</v>
      </c>
      <c r="S517" t="s">
        <v>94</v>
      </c>
      <c r="T517" t="s">
        <v>94</v>
      </c>
      <c r="U517" t="s">
        <v>94</v>
      </c>
      <c r="V517" t="s">
        <v>94</v>
      </c>
    </row>
    <row r="518">
      <c r="R518" t="s">
        <v>94</v>
      </c>
      <c r="S518" t="s">
        <v>94</v>
      </c>
      <c r="T518" t="s">
        <v>94</v>
      </c>
      <c r="U518" t="s">
        <v>94</v>
      </c>
      <c r="V518" t="s">
        <v>94</v>
      </c>
    </row>
    <row r="519">
      <c r="R519" t="s">
        <v>94</v>
      </c>
      <c r="S519" t="s">
        <v>94</v>
      </c>
      <c r="T519" t="s">
        <v>94</v>
      </c>
      <c r="U519" t="s">
        <v>94</v>
      </c>
      <c r="V519" t="s">
        <v>94</v>
      </c>
    </row>
    <row r="520">
      <c r="R520" t="s">
        <v>94</v>
      </c>
      <c r="S520" t="s">
        <v>94</v>
      </c>
      <c r="T520" t="s">
        <v>94</v>
      </c>
      <c r="U520" t="s">
        <v>94</v>
      </c>
      <c r="V520" t="s">
        <v>94</v>
      </c>
    </row>
    <row r="521">
      <c r="R521" t="s">
        <v>94</v>
      </c>
      <c r="S521" t="s">
        <v>94</v>
      </c>
      <c r="T521" t="s">
        <v>94</v>
      </c>
      <c r="U521" t="s">
        <v>94</v>
      </c>
      <c r="V521" t="s">
        <v>94</v>
      </c>
    </row>
    <row r="522">
      <c r="R522" t="s">
        <v>94</v>
      </c>
      <c r="S522" t="s">
        <v>94</v>
      </c>
      <c r="T522" t="s">
        <v>94</v>
      </c>
      <c r="U522" t="s">
        <v>94</v>
      </c>
      <c r="V522" t="s">
        <v>94</v>
      </c>
    </row>
    <row r="523">
      <c r="R523" t="s">
        <v>94</v>
      </c>
      <c r="S523" t="s">
        <v>94</v>
      </c>
      <c r="T523" t="s">
        <v>94</v>
      </c>
      <c r="U523" t="s">
        <v>94</v>
      </c>
      <c r="V523" t="s">
        <v>94</v>
      </c>
    </row>
    <row r="524">
      <c r="R524" t="s">
        <v>94</v>
      </c>
      <c r="S524" t="s">
        <v>94</v>
      </c>
      <c r="T524" t="s">
        <v>94</v>
      </c>
      <c r="U524" t="s">
        <v>94</v>
      </c>
      <c r="V524" t="s">
        <v>94</v>
      </c>
    </row>
    <row r="525">
      <c r="R525" t="s">
        <v>94</v>
      </c>
      <c r="S525" t="s">
        <v>94</v>
      </c>
      <c r="T525" t="s">
        <v>94</v>
      </c>
      <c r="U525" t="s">
        <v>94</v>
      </c>
      <c r="V525" t="s">
        <v>94</v>
      </c>
    </row>
    <row r="526">
      <c r="R526" t="s">
        <v>94</v>
      </c>
      <c r="S526" t="s">
        <v>94</v>
      </c>
      <c r="T526" t="s">
        <v>94</v>
      </c>
      <c r="U526" t="s">
        <v>94</v>
      </c>
      <c r="V526" t="s">
        <v>94</v>
      </c>
    </row>
    <row r="527">
      <c r="R527" t="s">
        <v>94</v>
      </c>
      <c r="S527" t="s">
        <v>94</v>
      </c>
      <c r="T527" t="s">
        <v>94</v>
      </c>
      <c r="U527" t="s">
        <v>94</v>
      </c>
      <c r="V527" t="s">
        <v>94</v>
      </c>
    </row>
    <row r="528">
      <c r="R528" t="s">
        <v>94</v>
      </c>
      <c r="S528" t="s">
        <v>94</v>
      </c>
      <c r="T528" t="s">
        <v>94</v>
      </c>
      <c r="U528" t="s">
        <v>94</v>
      </c>
      <c r="V528" t="s">
        <v>94</v>
      </c>
    </row>
    <row r="529">
      <c r="R529" t="s">
        <v>94</v>
      </c>
      <c r="S529" t="s">
        <v>94</v>
      </c>
      <c r="T529" t="s">
        <v>94</v>
      </c>
      <c r="U529" t="s">
        <v>94</v>
      </c>
      <c r="V529" t="s">
        <v>94</v>
      </c>
    </row>
    <row r="530">
      <c r="R530" t="s">
        <v>94</v>
      </c>
      <c r="S530" t="s">
        <v>94</v>
      </c>
      <c r="T530" t="s">
        <v>94</v>
      </c>
      <c r="U530" t="s">
        <v>94</v>
      </c>
      <c r="V530" t="s">
        <v>94</v>
      </c>
    </row>
    <row r="531">
      <c r="R531" t="s">
        <v>94</v>
      </c>
      <c r="S531" t="s">
        <v>94</v>
      </c>
      <c r="T531" t="s">
        <v>94</v>
      </c>
      <c r="U531" t="s">
        <v>94</v>
      </c>
      <c r="V531" t="s">
        <v>94</v>
      </c>
    </row>
    <row r="532">
      <c r="R532" t="s">
        <v>94</v>
      </c>
      <c r="S532" t="s">
        <v>94</v>
      </c>
      <c r="T532" t="s">
        <v>94</v>
      </c>
      <c r="U532" t="s">
        <v>94</v>
      </c>
      <c r="V532" t="s">
        <v>94</v>
      </c>
    </row>
    <row r="533">
      <c r="R533" t="s">
        <v>94</v>
      </c>
      <c r="S533" t="s">
        <v>94</v>
      </c>
      <c r="T533" t="s">
        <v>94</v>
      </c>
      <c r="U533" t="s">
        <v>94</v>
      </c>
      <c r="V533" t="s">
        <v>94</v>
      </c>
    </row>
    <row r="534">
      <c r="R534" t="s">
        <v>94</v>
      </c>
      <c r="S534" t="s">
        <v>94</v>
      </c>
      <c r="T534" t="s">
        <v>94</v>
      </c>
      <c r="U534" t="s">
        <v>94</v>
      </c>
      <c r="V534" t="s">
        <v>94</v>
      </c>
    </row>
    <row r="535">
      <c r="R535" t="s">
        <v>94</v>
      </c>
      <c r="S535" t="s">
        <v>94</v>
      </c>
      <c r="T535" t="s">
        <v>94</v>
      </c>
      <c r="U535" t="s">
        <v>94</v>
      </c>
      <c r="V535" t="s">
        <v>94</v>
      </c>
    </row>
    <row r="536">
      <c r="R536" t="s">
        <v>94</v>
      </c>
      <c r="S536" t="s">
        <v>94</v>
      </c>
      <c r="T536" t="s">
        <v>94</v>
      </c>
      <c r="U536" t="s">
        <v>94</v>
      </c>
      <c r="V536" t="s">
        <v>94</v>
      </c>
    </row>
    <row r="537">
      <c r="R537" t="s">
        <v>94</v>
      </c>
      <c r="S537" t="s">
        <v>94</v>
      </c>
      <c r="T537" t="s">
        <v>94</v>
      </c>
      <c r="U537" t="s">
        <v>94</v>
      </c>
      <c r="V537" t="s">
        <v>94</v>
      </c>
    </row>
    <row r="538">
      <c r="R538" t="s">
        <v>94</v>
      </c>
      <c r="S538" t="s">
        <v>94</v>
      </c>
      <c r="T538" t="s">
        <v>94</v>
      </c>
      <c r="U538" t="s">
        <v>94</v>
      </c>
      <c r="V538" t="s">
        <v>94</v>
      </c>
    </row>
    <row r="539">
      <c r="R539" t="s">
        <v>94</v>
      </c>
      <c r="S539" t="s">
        <v>94</v>
      </c>
      <c r="T539" t="s">
        <v>94</v>
      </c>
      <c r="U539" t="s">
        <v>94</v>
      </c>
      <c r="V539" t="s">
        <v>94</v>
      </c>
    </row>
    <row r="540">
      <c r="R540" t="s">
        <v>94</v>
      </c>
      <c r="S540" t="s">
        <v>94</v>
      </c>
      <c r="T540" t="s">
        <v>94</v>
      </c>
      <c r="U540" t="s">
        <v>94</v>
      </c>
      <c r="V540" t="s">
        <v>94</v>
      </c>
    </row>
    <row r="541">
      <c r="R541" t="s">
        <v>94</v>
      </c>
      <c r="S541" t="s">
        <v>94</v>
      </c>
      <c r="T541" t="s">
        <v>94</v>
      </c>
      <c r="U541" t="s">
        <v>94</v>
      </c>
      <c r="V541" t="s">
        <v>94</v>
      </c>
    </row>
    <row r="542">
      <c r="R542" t="s">
        <v>94</v>
      </c>
      <c r="S542" t="s">
        <v>94</v>
      </c>
      <c r="T542" t="s">
        <v>94</v>
      </c>
      <c r="U542" t="s">
        <v>94</v>
      </c>
      <c r="V542" t="s">
        <v>94</v>
      </c>
    </row>
    <row r="543">
      <c r="R543" t="s">
        <v>94</v>
      </c>
      <c r="S543" t="s">
        <v>94</v>
      </c>
      <c r="T543" t="s">
        <v>94</v>
      </c>
      <c r="U543" t="s">
        <v>94</v>
      </c>
      <c r="V543" t="s">
        <v>94</v>
      </c>
    </row>
    <row r="544">
      <c r="R544" t="s">
        <v>94</v>
      </c>
      <c r="S544" t="s">
        <v>94</v>
      </c>
      <c r="T544" t="s">
        <v>94</v>
      </c>
      <c r="U544" t="s">
        <v>94</v>
      </c>
      <c r="V544" t="s">
        <v>94</v>
      </c>
    </row>
    <row r="545">
      <c r="R545" t="s">
        <v>94</v>
      </c>
      <c r="S545" t="s">
        <v>94</v>
      </c>
      <c r="T545" t="s">
        <v>94</v>
      </c>
      <c r="U545" t="s">
        <v>94</v>
      </c>
      <c r="V545" t="s">
        <v>94</v>
      </c>
    </row>
    <row r="546">
      <c r="R546" t="s">
        <v>94</v>
      </c>
      <c r="S546" t="s">
        <v>94</v>
      </c>
      <c r="T546" t="s">
        <v>94</v>
      </c>
      <c r="U546" t="s">
        <v>94</v>
      </c>
      <c r="V546" t="s">
        <v>94</v>
      </c>
    </row>
    <row r="547">
      <c r="R547" t="s">
        <v>94</v>
      </c>
      <c r="S547" t="s">
        <v>94</v>
      </c>
      <c r="T547" t="s">
        <v>94</v>
      </c>
      <c r="U547" t="s">
        <v>94</v>
      </c>
      <c r="V547" t="s">
        <v>94</v>
      </c>
    </row>
    <row r="548">
      <c r="R548" t="s">
        <v>94</v>
      </c>
      <c r="S548" t="s">
        <v>94</v>
      </c>
      <c r="T548" t="s">
        <v>94</v>
      </c>
      <c r="U548" t="s">
        <v>94</v>
      </c>
      <c r="V548" t="s">
        <v>94</v>
      </c>
    </row>
    <row r="549">
      <c r="R549" t="s">
        <v>94</v>
      </c>
      <c r="S549" t="s">
        <v>94</v>
      </c>
      <c r="T549" t="s">
        <v>94</v>
      </c>
      <c r="U549" t="s">
        <v>94</v>
      </c>
      <c r="V549" t="s">
        <v>94</v>
      </c>
    </row>
    <row r="550">
      <c r="R550" t="s">
        <v>94</v>
      </c>
      <c r="S550" t="s">
        <v>94</v>
      </c>
      <c r="T550" t="s">
        <v>94</v>
      </c>
      <c r="U550" t="s">
        <v>94</v>
      </c>
      <c r="V550" t="s">
        <v>94</v>
      </c>
    </row>
    <row r="551">
      <c r="R551" t="s">
        <v>94</v>
      </c>
      <c r="S551" t="s">
        <v>94</v>
      </c>
      <c r="T551" t="s">
        <v>94</v>
      </c>
      <c r="U551" t="s">
        <v>94</v>
      </c>
      <c r="V551" t="s">
        <v>94</v>
      </c>
    </row>
    <row r="552">
      <c r="R552" t="s">
        <v>94</v>
      </c>
      <c r="S552" t="s">
        <v>94</v>
      </c>
      <c r="T552" t="s">
        <v>94</v>
      </c>
      <c r="U552" t="s">
        <v>94</v>
      </c>
      <c r="V552" t="s">
        <v>94</v>
      </c>
    </row>
    <row r="553">
      <c r="R553" t="s">
        <v>94</v>
      </c>
      <c r="S553" t="s">
        <v>94</v>
      </c>
      <c r="T553" t="s">
        <v>94</v>
      </c>
      <c r="U553" t="s">
        <v>94</v>
      </c>
      <c r="V553" t="s">
        <v>94</v>
      </c>
    </row>
    <row r="554">
      <c r="R554" t="s">
        <v>94</v>
      </c>
      <c r="S554" t="s">
        <v>94</v>
      </c>
      <c r="T554" t="s">
        <v>94</v>
      </c>
      <c r="U554" t="s">
        <v>94</v>
      </c>
      <c r="V554" t="s">
        <v>94</v>
      </c>
    </row>
    <row r="555">
      <c r="R555" t="s">
        <v>94</v>
      </c>
      <c r="S555" t="s">
        <v>94</v>
      </c>
      <c r="T555" t="s">
        <v>94</v>
      </c>
      <c r="U555" t="s">
        <v>94</v>
      </c>
      <c r="V555" t="s">
        <v>94</v>
      </c>
    </row>
    <row r="556">
      <c r="R556" t="s">
        <v>94</v>
      </c>
      <c r="S556" t="s">
        <v>94</v>
      </c>
      <c r="T556" t="s">
        <v>94</v>
      </c>
      <c r="U556" t="s">
        <v>94</v>
      </c>
      <c r="V556" t="s">
        <v>94</v>
      </c>
    </row>
    <row r="557">
      <c r="R557" t="s">
        <v>94</v>
      </c>
      <c r="S557" t="s">
        <v>94</v>
      </c>
      <c r="T557" t="s">
        <v>94</v>
      </c>
      <c r="U557" t="s">
        <v>94</v>
      </c>
      <c r="V557" t="s">
        <v>94</v>
      </c>
    </row>
    <row r="558">
      <c r="R558" t="s">
        <v>94</v>
      </c>
      <c r="S558" t="s">
        <v>94</v>
      </c>
      <c r="T558" t="s">
        <v>94</v>
      </c>
      <c r="U558" t="s">
        <v>94</v>
      </c>
      <c r="V558" t="s">
        <v>94</v>
      </c>
    </row>
    <row r="559">
      <c r="R559" t="s">
        <v>94</v>
      </c>
      <c r="S559" t="s">
        <v>94</v>
      </c>
      <c r="T559" t="s">
        <v>94</v>
      </c>
      <c r="U559" t="s">
        <v>94</v>
      </c>
      <c r="V559" t="s">
        <v>94</v>
      </c>
    </row>
    <row r="560">
      <c r="R560" t="s">
        <v>94</v>
      </c>
      <c r="S560" t="s">
        <v>94</v>
      </c>
      <c r="T560" t="s">
        <v>94</v>
      </c>
      <c r="U560" t="s">
        <v>94</v>
      </c>
      <c r="V560" t="s">
        <v>94</v>
      </c>
    </row>
    <row r="561">
      <c r="R561" t="s">
        <v>94</v>
      </c>
      <c r="S561" t="s">
        <v>94</v>
      </c>
      <c r="T561" t="s">
        <v>94</v>
      </c>
      <c r="U561" t="s">
        <v>94</v>
      </c>
      <c r="V561" t="s">
        <v>94</v>
      </c>
    </row>
    <row r="562">
      <c r="R562" t="s">
        <v>94</v>
      </c>
      <c r="S562" t="s">
        <v>94</v>
      </c>
      <c r="T562" t="s">
        <v>94</v>
      </c>
      <c r="U562" t="s">
        <v>94</v>
      </c>
      <c r="V562" t="s">
        <v>94</v>
      </c>
    </row>
    <row r="563">
      <c r="R563" t="s">
        <v>94</v>
      </c>
      <c r="S563" t="s">
        <v>94</v>
      </c>
      <c r="T563" t="s">
        <v>94</v>
      </c>
      <c r="U563" t="s">
        <v>94</v>
      </c>
      <c r="V563" t="s">
        <v>94</v>
      </c>
    </row>
    <row r="564">
      <c r="R564" t="s">
        <v>94</v>
      </c>
      <c r="S564" t="s">
        <v>94</v>
      </c>
      <c r="T564" t="s">
        <v>94</v>
      </c>
      <c r="U564" t="s">
        <v>94</v>
      </c>
      <c r="V564" t="s">
        <v>94</v>
      </c>
    </row>
    <row r="565">
      <c r="R565" t="s">
        <v>94</v>
      </c>
      <c r="S565" t="s">
        <v>94</v>
      </c>
      <c r="T565" t="s">
        <v>94</v>
      </c>
      <c r="U565" t="s">
        <v>94</v>
      </c>
      <c r="V565" t="s">
        <v>94</v>
      </c>
    </row>
    <row r="566">
      <c r="R566" t="s">
        <v>94</v>
      </c>
      <c r="S566" t="s">
        <v>94</v>
      </c>
      <c r="T566" t="s">
        <v>94</v>
      </c>
      <c r="U566" t="s">
        <v>94</v>
      </c>
      <c r="V566" t="s">
        <v>94</v>
      </c>
    </row>
    <row r="567">
      <c r="R567" t="s">
        <v>94</v>
      </c>
      <c r="S567" t="s">
        <v>94</v>
      </c>
      <c r="T567" t="s">
        <v>94</v>
      </c>
      <c r="U567" t="s">
        <v>94</v>
      </c>
      <c r="V567" t="s">
        <v>94</v>
      </c>
    </row>
    <row r="568">
      <c r="R568" t="s">
        <v>94</v>
      </c>
      <c r="S568" t="s">
        <v>94</v>
      </c>
      <c r="T568" t="s">
        <v>94</v>
      </c>
      <c r="U568" t="s">
        <v>94</v>
      </c>
      <c r="V568" t="s">
        <v>94</v>
      </c>
    </row>
    <row r="569">
      <c r="R569" t="s">
        <v>94</v>
      </c>
      <c r="S569" t="s">
        <v>94</v>
      </c>
      <c r="T569" t="s">
        <v>94</v>
      </c>
      <c r="U569" t="s">
        <v>94</v>
      </c>
      <c r="V569" t="s">
        <v>94</v>
      </c>
    </row>
    <row r="570">
      <c r="R570" t="s">
        <v>94</v>
      </c>
      <c r="S570" t="s">
        <v>94</v>
      </c>
      <c r="T570" t="s">
        <v>94</v>
      </c>
      <c r="U570" t="s">
        <v>94</v>
      </c>
      <c r="V570" t="s">
        <v>94</v>
      </c>
    </row>
    <row r="571">
      <c r="R571" t="s">
        <v>94</v>
      </c>
      <c r="S571" t="s">
        <v>94</v>
      </c>
      <c r="T571" t="s">
        <v>94</v>
      </c>
      <c r="U571" t="s">
        <v>94</v>
      </c>
      <c r="V571" t="s">
        <v>94</v>
      </c>
    </row>
    <row r="572">
      <c r="R572" t="s">
        <v>94</v>
      </c>
      <c r="S572" t="s">
        <v>94</v>
      </c>
      <c r="T572" t="s">
        <v>94</v>
      </c>
      <c r="U572" t="s">
        <v>94</v>
      </c>
      <c r="V572" t="s">
        <v>94</v>
      </c>
    </row>
    <row r="573">
      <c r="R573" t="s">
        <v>94</v>
      </c>
      <c r="S573" t="s">
        <v>94</v>
      </c>
      <c r="T573" t="s">
        <v>94</v>
      </c>
      <c r="U573" t="s">
        <v>94</v>
      </c>
      <c r="V573" t="s">
        <v>94</v>
      </c>
    </row>
    <row r="574">
      <c r="R574" t="s">
        <v>94</v>
      </c>
      <c r="S574" t="s">
        <v>94</v>
      </c>
      <c r="T574" t="s">
        <v>94</v>
      </c>
      <c r="U574" t="s">
        <v>94</v>
      </c>
      <c r="V574" t="s">
        <v>94</v>
      </c>
    </row>
    <row r="575">
      <c r="R575" t="s">
        <v>94</v>
      </c>
      <c r="S575" t="s">
        <v>94</v>
      </c>
      <c r="T575" t="s">
        <v>94</v>
      </c>
      <c r="U575" t="s">
        <v>94</v>
      </c>
      <c r="V575" t="s">
        <v>94</v>
      </c>
    </row>
    <row r="576">
      <c r="R576" t="s">
        <v>94</v>
      </c>
      <c r="S576" t="s">
        <v>94</v>
      </c>
      <c r="T576" t="s">
        <v>94</v>
      </c>
      <c r="U576" t="s">
        <v>94</v>
      </c>
      <c r="V576" t="s">
        <v>94</v>
      </c>
    </row>
    <row r="577">
      <c r="R577" t="s">
        <v>94</v>
      </c>
      <c r="S577" t="s">
        <v>94</v>
      </c>
      <c r="T577" t="s">
        <v>94</v>
      </c>
      <c r="U577" t="s">
        <v>94</v>
      </c>
      <c r="V577" t="s">
        <v>94</v>
      </c>
    </row>
    <row r="578">
      <c r="R578" t="s">
        <v>94</v>
      </c>
      <c r="S578" t="s">
        <v>94</v>
      </c>
      <c r="T578" t="s">
        <v>94</v>
      </c>
      <c r="U578" t="s">
        <v>94</v>
      </c>
      <c r="V578" t="s">
        <v>94</v>
      </c>
    </row>
    <row r="579">
      <c r="R579" t="s">
        <v>94</v>
      </c>
      <c r="S579" t="s">
        <v>94</v>
      </c>
      <c r="T579" t="s">
        <v>94</v>
      </c>
      <c r="U579" t="s">
        <v>94</v>
      </c>
      <c r="V579" t="s">
        <v>94</v>
      </c>
    </row>
    <row r="580">
      <c r="R580" t="s">
        <v>94</v>
      </c>
      <c r="S580" t="s">
        <v>94</v>
      </c>
      <c r="T580" t="s">
        <v>94</v>
      </c>
      <c r="U580" t="s">
        <v>94</v>
      </c>
      <c r="V580" t="s">
        <v>94</v>
      </c>
    </row>
    <row r="581">
      <c r="R581" t="s">
        <v>94</v>
      </c>
      <c r="S581" t="s">
        <v>94</v>
      </c>
      <c r="T581" t="s">
        <v>94</v>
      </c>
      <c r="U581" t="s">
        <v>94</v>
      </c>
      <c r="V581" t="s">
        <v>94</v>
      </c>
    </row>
    <row r="582">
      <c r="R582" t="s">
        <v>94</v>
      </c>
      <c r="S582" t="s">
        <v>94</v>
      </c>
      <c r="T582" t="s">
        <v>94</v>
      </c>
      <c r="U582" t="s">
        <v>94</v>
      </c>
      <c r="V582" t="s">
        <v>94</v>
      </c>
    </row>
    <row r="583">
      <c r="R583" t="s">
        <v>94</v>
      </c>
      <c r="S583" t="s">
        <v>94</v>
      </c>
      <c r="T583" t="s">
        <v>94</v>
      </c>
      <c r="U583" t="s">
        <v>94</v>
      </c>
      <c r="V583" t="s">
        <v>94</v>
      </c>
    </row>
    <row r="584">
      <c r="R584" t="s">
        <v>94</v>
      </c>
      <c r="S584" t="s">
        <v>94</v>
      </c>
      <c r="T584" t="s">
        <v>94</v>
      </c>
      <c r="U584" t="s">
        <v>94</v>
      </c>
      <c r="V584" t="s">
        <v>94</v>
      </c>
    </row>
    <row r="585">
      <c r="R585" t="s">
        <v>94</v>
      </c>
      <c r="S585" t="s">
        <v>94</v>
      </c>
      <c r="T585" t="s">
        <v>94</v>
      </c>
      <c r="U585" t="s">
        <v>94</v>
      </c>
      <c r="V585" t="s">
        <v>94</v>
      </c>
    </row>
    <row r="586">
      <c r="R586" t="s">
        <v>94</v>
      </c>
      <c r="S586" t="s">
        <v>94</v>
      </c>
      <c r="T586" t="s">
        <v>94</v>
      </c>
      <c r="U586" t="s">
        <v>94</v>
      </c>
      <c r="V586" t="s">
        <v>94</v>
      </c>
    </row>
    <row r="587">
      <c r="R587" t="s">
        <v>94</v>
      </c>
      <c r="S587" t="s">
        <v>94</v>
      </c>
      <c r="T587" t="s">
        <v>94</v>
      </c>
      <c r="U587" t="s">
        <v>94</v>
      </c>
      <c r="V587" t="s">
        <v>94</v>
      </c>
    </row>
    <row r="588">
      <c r="R588" t="s">
        <v>94</v>
      </c>
      <c r="S588" t="s">
        <v>94</v>
      </c>
      <c r="T588" t="s">
        <v>94</v>
      </c>
      <c r="U588" t="s">
        <v>94</v>
      </c>
      <c r="V588" t="s">
        <v>94</v>
      </c>
    </row>
    <row r="589">
      <c r="R589" t="s">
        <v>94</v>
      </c>
      <c r="S589" t="s">
        <v>94</v>
      </c>
      <c r="T589" t="s">
        <v>94</v>
      </c>
      <c r="U589" t="s">
        <v>94</v>
      </c>
      <c r="V589" t="s">
        <v>94</v>
      </c>
    </row>
    <row r="590">
      <c r="R590" t="s">
        <v>94</v>
      </c>
      <c r="S590" t="s">
        <v>94</v>
      </c>
      <c r="T590" t="s">
        <v>94</v>
      </c>
      <c r="U590" t="s">
        <v>94</v>
      </c>
      <c r="V590" t="s">
        <v>94</v>
      </c>
    </row>
    <row r="591">
      <c r="R591" t="s">
        <v>94</v>
      </c>
      <c r="S591" t="s">
        <v>94</v>
      </c>
      <c r="T591" t="s">
        <v>94</v>
      </c>
      <c r="U591" t="s">
        <v>94</v>
      </c>
      <c r="V591" t="s">
        <v>94</v>
      </c>
    </row>
    <row r="592">
      <c r="R592" t="s">
        <v>94</v>
      </c>
      <c r="S592" t="s">
        <v>94</v>
      </c>
      <c r="T592" t="s">
        <v>94</v>
      </c>
      <c r="U592" t="s">
        <v>94</v>
      </c>
      <c r="V592" t="s">
        <v>94</v>
      </c>
    </row>
    <row r="593">
      <c r="R593" t="s">
        <v>94</v>
      </c>
      <c r="S593" t="s">
        <v>94</v>
      </c>
      <c r="T593" t="s">
        <v>94</v>
      </c>
      <c r="U593" t="s">
        <v>94</v>
      </c>
      <c r="V593" t="s">
        <v>94</v>
      </c>
    </row>
    <row r="594">
      <c r="R594" t="s">
        <v>94</v>
      </c>
      <c r="S594" t="s">
        <v>94</v>
      </c>
      <c r="T594" t="s">
        <v>94</v>
      </c>
      <c r="U594" t="s">
        <v>94</v>
      </c>
      <c r="V594" t="s">
        <v>94</v>
      </c>
    </row>
    <row r="595">
      <c r="R595" t="s">
        <v>94</v>
      </c>
      <c r="S595" t="s">
        <v>94</v>
      </c>
      <c r="T595" t="s">
        <v>94</v>
      </c>
      <c r="U595" t="s">
        <v>94</v>
      </c>
      <c r="V595" t="s">
        <v>94</v>
      </c>
    </row>
    <row r="596">
      <c r="R596" t="s">
        <v>94</v>
      </c>
      <c r="S596" t="s">
        <v>94</v>
      </c>
      <c r="T596" t="s">
        <v>94</v>
      </c>
      <c r="U596" t="s">
        <v>94</v>
      </c>
      <c r="V596" t="s">
        <v>94</v>
      </c>
    </row>
    <row r="597">
      <c r="R597" t="s">
        <v>94</v>
      </c>
      <c r="S597" t="s">
        <v>94</v>
      </c>
      <c r="T597" t="s">
        <v>94</v>
      </c>
      <c r="U597" t="s">
        <v>94</v>
      </c>
      <c r="V597" t="s">
        <v>94</v>
      </c>
    </row>
    <row r="598">
      <c r="R598" t="s">
        <v>94</v>
      </c>
      <c r="S598" t="s">
        <v>94</v>
      </c>
      <c r="T598" t="s">
        <v>94</v>
      </c>
      <c r="U598" t="s">
        <v>94</v>
      </c>
      <c r="V598" t="s">
        <v>94</v>
      </c>
    </row>
    <row r="599">
      <c r="R599" t="s">
        <v>94</v>
      </c>
      <c r="S599" t="s">
        <v>94</v>
      </c>
      <c r="T599" t="s">
        <v>94</v>
      </c>
      <c r="U599" t="s">
        <v>94</v>
      </c>
      <c r="V599" t="s">
        <v>94</v>
      </c>
    </row>
    <row r="600">
      <c r="R600" t="s">
        <v>94</v>
      </c>
      <c r="S600" t="s">
        <v>94</v>
      </c>
      <c r="T600" t="s">
        <v>94</v>
      </c>
      <c r="U600" t="s">
        <v>94</v>
      </c>
      <c r="V600" t="s">
        <v>94</v>
      </c>
    </row>
    <row r="601">
      <c r="R601" t="s">
        <v>94</v>
      </c>
      <c r="S601" t="s">
        <v>94</v>
      </c>
      <c r="T601" t="s">
        <v>94</v>
      </c>
      <c r="U601" t="s">
        <v>94</v>
      </c>
      <c r="V601" t="s">
        <v>94</v>
      </c>
    </row>
    <row r="602">
      <c r="R602" t="s">
        <v>94</v>
      </c>
      <c r="S602" t="s">
        <v>94</v>
      </c>
      <c r="T602" t="s">
        <v>94</v>
      </c>
      <c r="U602" t="s">
        <v>94</v>
      </c>
      <c r="V602" t="s">
        <v>94</v>
      </c>
    </row>
    <row r="603">
      <c r="R603" t="s">
        <v>94</v>
      </c>
      <c r="S603" t="s">
        <v>94</v>
      </c>
      <c r="T603" t="s">
        <v>94</v>
      </c>
      <c r="U603" t="s">
        <v>94</v>
      </c>
      <c r="V603" t="s">
        <v>94</v>
      </c>
    </row>
    <row r="604">
      <c r="R604" t="s">
        <v>94</v>
      </c>
      <c r="S604" t="s">
        <v>94</v>
      </c>
      <c r="T604" t="s">
        <v>94</v>
      </c>
      <c r="U604" t="s">
        <v>94</v>
      </c>
      <c r="V604" t="s">
        <v>94</v>
      </c>
    </row>
    <row r="605">
      <c r="R605" t="s">
        <v>94</v>
      </c>
      <c r="S605" t="s">
        <v>94</v>
      </c>
      <c r="T605" t="s">
        <v>94</v>
      </c>
      <c r="U605" t="s">
        <v>94</v>
      </c>
      <c r="V605" t="s">
        <v>94</v>
      </c>
    </row>
    <row r="606">
      <c r="R606" t="s">
        <v>94</v>
      </c>
      <c r="S606" t="s">
        <v>94</v>
      </c>
      <c r="T606" t="s">
        <v>94</v>
      </c>
      <c r="U606" t="s">
        <v>94</v>
      </c>
      <c r="V606" t="s">
        <v>94</v>
      </c>
    </row>
    <row r="607">
      <c r="R607" t="s">
        <v>94</v>
      </c>
      <c r="S607" t="s">
        <v>94</v>
      </c>
      <c r="T607" t="s">
        <v>94</v>
      </c>
      <c r="U607" t="s">
        <v>94</v>
      </c>
      <c r="V607" t="s">
        <v>94</v>
      </c>
    </row>
    <row r="608">
      <c r="R608" t="s">
        <v>94</v>
      </c>
      <c r="S608" t="s">
        <v>94</v>
      </c>
      <c r="T608" t="s">
        <v>94</v>
      </c>
      <c r="U608" t="s">
        <v>94</v>
      </c>
      <c r="V608" t="s">
        <v>94</v>
      </c>
    </row>
    <row r="609">
      <c r="R609" t="s">
        <v>94</v>
      </c>
      <c r="S609" t="s">
        <v>94</v>
      </c>
      <c r="T609" t="s">
        <v>94</v>
      </c>
      <c r="U609" t="s">
        <v>94</v>
      </c>
      <c r="V609" t="s">
        <v>94</v>
      </c>
    </row>
    <row r="610">
      <c r="R610" t="s">
        <v>94</v>
      </c>
      <c r="S610" t="s">
        <v>94</v>
      </c>
      <c r="T610" t="s">
        <v>94</v>
      </c>
      <c r="U610" t="s">
        <v>94</v>
      </c>
      <c r="V610" t="s">
        <v>94</v>
      </c>
    </row>
    <row r="611">
      <c r="R611" t="s">
        <v>94</v>
      </c>
      <c r="S611" t="s">
        <v>94</v>
      </c>
      <c r="T611" t="s">
        <v>94</v>
      </c>
      <c r="U611" t="s">
        <v>94</v>
      </c>
      <c r="V611" t="s">
        <v>94</v>
      </c>
    </row>
    <row r="612">
      <c r="R612" t="s">
        <v>94</v>
      </c>
      <c r="S612" t="s">
        <v>94</v>
      </c>
      <c r="T612" t="s">
        <v>94</v>
      </c>
      <c r="U612" t="s">
        <v>94</v>
      </c>
      <c r="V612" t="s">
        <v>94</v>
      </c>
    </row>
    <row r="613">
      <c r="R613" t="s">
        <v>94</v>
      </c>
      <c r="S613" t="s">
        <v>94</v>
      </c>
      <c r="T613" t="s">
        <v>94</v>
      </c>
      <c r="U613" t="s">
        <v>94</v>
      </c>
      <c r="V613" t="s">
        <v>94</v>
      </c>
    </row>
    <row r="614">
      <c r="R614" t="s">
        <v>94</v>
      </c>
      <c r="S614" t="s">
        <v>94</v>
      </c>
      <c r="T614" t="s">
        <v>94</v>
      </c>
      <c r="U614" t="s">
        <v>94</v>
      </c>
      <c r="V614" t="s">
        <v>94</v>
      </c>
    </row>
    <row r="615">
      <c r="R615" t="s">
        <v>94</v>
      </c>
      <c r="S615" t="s">
        <v>94</v>
      </c>
      <c r="T615" t="s">
        <v>94</v>
      </c>
      <c r="U615" t="s">
        <v>94</v>
      </c>
      <c r="V615" t="s">
        <v>94</v>
      </c>
    </row>
    <row r="616">
      <c r="R616" t="s">
        <v>94</v>
      </c>
      <c r="S616" t="s">
        <v>94</v>
      </c>
      <c r="T616" t="s">
        <v>94</v>
      </c>
      <c r="U616" t="s">
        <v>94</v>
      </c>
      <c r="V616" t="s">
        <v>94</v>
      </c>
    </row>
    <row r="617">
      <c r="R617" t="s">
        <v>94</v>
      </c>
      <c r="S617" t="s">
        <v>94</v>
      </c>
      <c r="T617" t="s">
        <v>94</v>
      </c>
      <c r="U617" t="s">
        <v>94</v>
      </c>
      <c r="V617" t="s">
        <v>94</v>
      </c>
    </row>
    <row r="618">
      <c r="R618" t="s">
        <v>94</v>
      </c>
      <c r="S618" t="s">
        <v>94</v>
      </c>
      <c r="T618" t="s">
        <v>94</v>
      </c>
      <c r="U618" t="s">
        <v>94</v>
      </c>
      <c r="V618" t="s">
        <v>94</v>
      </c>
    </row>
    <row r="619">
      <c r="R619" t="s">
        <v>94</v>
      </c>
      <c r="S619" t="s">
        <v>94</v>
      </c>
      <c r="T619" t="s">
        <v>94</v>
      </c>
      <c r="U619" t="s">
        <v>94</v>
      </c>
      <c r="V619" t="s">
        <v>94</v>
      </c>
    </row>
    <row r="620">
      <c r="R620" t="s">
        <v>94</v>
      </c>
      <c r="S620" t="s">
        <v>94</v>
      </c>
      <c r="T620" t="s">
        <v>94</v>
      </c>
      <c r="U620" t="s">
        <v>94</v>
      </c>
      <c r="V620" t="s">
        <v>94</v>
      </c>
    </row>
    <row r="621">
      <c r="R621" t="s">
        <v>94</v>
      </c>
      <c r="S621" t="s">
        <v>94</v>
      </c>
      <c r="T621" t="s">
        <v>94</v>
      </c>
      <c r="U621" t="s">
        <v>94</v>
      </c>
      <c r="V621" t="s">
        <v>94</v>
      </c>
    </row>
    <row r="622">
      <c r="R622" t="s">
        <v>94</v>
      </c>
      <c r="S622" t="s">
        <v>94</v>
      </c>
      <c r="T622" t="s">
        <v>94</v>
      </c>
      <c r="U622" t="s">
        <v>94</v>
      </c>
      <c r="V622" t="s">
        <v>94</v>
      </c>
    </row>
    <row r="623">
      <c r="R623" t="s">
        <v>94</v>
      </c>
      <c r="S623" t="s">
        <v>94</v>
      </c>
      <c r="T623" t="s">
        <v>94</v>
      </c>
      <c r="U623" t="s">
        <v>94</v>
      </c>
      <c r="V623" t="s">
        <v>94</v>
      </c>
    </row>
    <row r="624">
      <c r="R624" t="s">
        <v>94</v>
      </c>
      <c r="S624" t="s">
        <v>94</v>
      </c>
      <c r="T624" t="s">
        <v>94</v>
      </c>
      <c r="U624" t="s">
        <v>94</v>
      </c>
      <c r="V624" t="s">
        <v>94</v>
      </c>
    </row>
    <row r="625">
      <c r="R625" t="s">
        <v>94</v>
      </c>
      <c r="S625" t="s">
        <v>94</v>
      </c>
      <c r="T625" t="s">
        <v>94</v>
      </c>
      <c r="U625" t="s">
        <v>94</v>
      </c>
      <c r="V625" t="s">
        <v>94</v>
      </c>
    </row>
    <row r="626">
      <c r="R626" t="s">
        <v>94</v>
      </c>
      <c r="S626" t="s">
        <v>94</v>
      </c>
      <c r="T626" t="s">
        <v>94</v>
      </c>
      <c r="U626" t="s">
        <v>94</v>
      </c>
      <c r="V626" t="s">
        <v>94</v>
      </c>
    </row>
    <row r="627">
      <c r="R627" t="s">
        <v>94</v>
      </c>
      <c r="S627" t="s">
        <v>94</v>
      </c>
      <c r="T627" t="s">
        <v>94</v>
      </c>
      <c r="U627" t="s">
        <v>94</v>
      </c>
      <c r="V627" t="s">
        <v>94</v>
      </c>
    </row>
    <row r="628">
      <c r="R628" t="s">
        <v>94</v>
      </c>
      <c r="S628" t="s">
        <v>94</v>
      </c>
      <c r="T628" t="s">
        <v>94</v>
      </c>
      <c r="U628" t="s">
        <v>94</v>
      </c>
      <c r="V628" t="s">
        <v>94</v>
      </c>
    </row>
    <row r="629">
      <c r="R629" t="s">
        <v>94</v>
      </c>
      <c r="S629" t="s">
        <v>94</v>
      </c>
      <c r="T629" t="s">
        <v>94</v>
      </c>
      <c r="U629" t="s">
        <v>94</v>
      </c>
      <c r="V629" t="s">
        <v>94</v>
      </c>
    </row>
    <row r="630">
      <c r="R630" t="s">
        <v>94</v>
      </c>
      <c r="S630" t="s">
        <v>94</v>
      </c>
      <c r="T630" t="s">
        <v>94</v>
      </c>
      <c r="U630" t="s">
        <v>94</v>
      </c>
      <c r="V630" t="s">
        <v>94</v>
      </c>
    </row>
    <row r="631">
      <c r="R631" t="s">
        <v>94</v>
      </c>
      <c r="S631" t="s">
        <v>94</v>
      </c>
      <c r="T631" t="s">
        <v>94</v>
      </c>
      <c r="U631" t="s">
        <v>94</v>
      </c>
      <c r="V631" t="s">
        <v>94</v>
      </c>
    </row>
    <row r="632">
      <c r="R632" t="s">
        <v>94</v>
      </c>
      <c r="S632" t="s">
        <v>94</v>
      </c>
      <c r="T632" t="s">
        <v>94</v>
      </c>
      <c r="U632" t="s">
        <v>94</v>
      </c>
      <c r="V632" t="s">
        <v>94</v>
      </c>
    </row>
    <row r="633">
      <c r="R633" t="s">
        <v>94</v>
      </c>
      <c r="S633" t="s">
        <v>94</v>
      </c>
      <c r="T633" t="s">
        <v>94</v>
      </c>
      <c r="U633" t="s">
        <v>94</v>
      </c>
      <c r="V633" t="s">
        <v>94</v>
      </c>
    </row>
    <row r="634">
      <c r="R634" t="s">
        <v>94</v>
      </c>
      <c r="S634" t="s">
        <v>94</v>
      </c>
      <c r="T634" t="s">
        <v>94</v>
      </c>
      <c r="U634" t="s">
        <v>94</v>
      </c>
      <c r="V634" t="s">
        <v>94</v>
      </c>
    </row>
    <row r="635">
      <c r="R635" t="s">
        <v>94</v>
      </c>
      <c r="S635" t="s">
        <v>94</v>
      </c>
      <c r="T635" t="s">
        <v>94</v>
      </c>
      <c r="U635" t="s">
        <v>94</v>
      </c>
      <c r="V635" t="s">
        <v>94</v>
      </c>
    </row>
    <row r="636">
      <c r="R636" t="s">
        <v>94</v>
      </c>
      <c r="S636" t="s">
        <v>94</v>
      </c>
      <c r="T636" t="s">
        <v>94</v>
      </c>
      <c r="U636" t="s">
        <v>94</v>
      </c>
      <c r="V636" t="s">
        <v>94</v>
      </c>
    </row>
    <row r="637">
      <c r="R637" t="s">
        <v>94</v>
      </c>
      <c r="S637" t="s">
        <v>94</v>
      </c>
      <c r="T637" t="s">
        <v>94</v>
      </c>
      <c r="U637" t="s">
        <v>94</v>
      </c>
      <c r="V637" t="s">
        <v>94</v>
      </c>
    </row>
    <row r="638">
      <c r="R638" t="s">
        <v>94</v>
      </c>
      <c r="S638" t="s">
        <v>94</v>
      </c>
      <c r="T638" t="s">
        <v>94</v>
      </c>
      <c r="U638" t="s">
        <v>94</v>
      </c>
      <c r="V638" t="s">
        <v>94</v>
      </c>
    </row>
    <row r="639">
      <c r="R639" t="s">
        <v>94</v>
      </c>
      <c r="S639" t="s">
        <v>94</v>
      </c>
      <c r="T639" t="s">
        <v>94</v>
      </c>
      <c r="U639" t="s">
        <v>94</v>
      </c>
      <c r="V639" t="s">
        <v>94</v>
      </c>
    </row>
    <row r="640">
      <c r="R640" t="s">
        <v>94</v>
      </c>
      <c r="S640" t="s">
        <v>94</v>
      </c>
      <c r="T640" t="s">
        <v>94</v>
      </c>
      <c r="U640" t="s">
        <v>94</v>
      </c>
      <c r="V640" t="s">
        <v>94</v>
      </c>
    </row>
    <row r="641">
      <c r="R641" t="s">
        <v>94</v>
      </c>
      <c r="S641" t="s">
        <v>94</v>
      </c>
      <c r="T641" t="s">
        <v>94</v>
      </c>
      <c r="U641" t="s">
        <v>94</v>
      </c>
      <c r="V641" t="s">
        <v>94</v>
      </c>
    </row>
    <row r="642">
      <c r="R642" t="s">
        <v>94</v>
      </c>
      <c r="S642" t="s">
        <v>94</v>
      </c>
      <c r="T642" t="s">
        <v>94</v>
      </c>
      <c r="U642" t="s">
        <v>94</v>
      </c>
      <c r="V642" t="s">
        <v>94</v>
      </c>
    </row>
    <row r="643">
      <c r="R643" t="s">
        <v>94</v>
      </c>
      <c r="S643" t="s">
        <v>94</v>
      </c>
      <c r="T643" t="s">
        <v>94</v>
      </c>
      <c r="U643" t="s">
        <v>94</v>
      </c>
      <c r="V643" t="s">
        <v>94</v>
      </c>
    </row>
    <row r="644">
      <c r="R644" t="s">
        <v>94</v>
      </c>
      <c r="S644" t="s">
        <v>94</v>
      </c>
      <c r="T644" t="s">
        <v>94</v>
      </c>
      <c r="U644" t="s">
        <v>94</v>
      </c>
      <c r="V644" t="s">
        <v>94</v>
      </c>
    </row>
    <row r="645">
      <c r="R645" t="s">
        <v>94</v>
      </c>
      <c r="S645" t="s">
        <v>94</v>
      </c>
      <c r="T645" t="s">
        <v>94</v>
      </c>
      <c r="U645" t="s">
        <v>94</v>
      </c>
      <c r="V645" t="s">
        <v>94</v>
      </c>
    </row>
    <row r="646">
      <c r="R646" t="s">
        <v>94</v>
      </c>
      <c r="S646" t="s">
        <v>94</v>
      </c>
      <c r="T646" t="s">
        <v>94</v>
      </c>
      <c r="U646" t="s">
        <v>94</v>
      </c>
      <c r="V646" t="s">
        <v>94</v>
      </c>
    </row>
    <row r="647">
      <c r="R647" t="s">
        <v>94</v>
      </c>
      <c r="S647" t="s">
        <v>94</v>
      </c>
      <c r="T647" t="s">
        <v>94</v>
      </c>
      <c r="U647" t="s">
        <v>94</v>
      </c>
      <c r="V647" t="s">
        <v>94</v>
      </c>
    </row>
    <row r="648">
      <c r="R648" t="s">
        <v>94</v>
      </c>
      <c r="S648" t="s">
        <v>94</v>
      </c>
      <c r="T648" t="s">
        <v>94</v>
      </c>
      <c r="U648" t="s">
        <v>94</v>
      </c>
      <c r="V648" t="s">
        <v>94</v>
      </c>
    </row>
    <row r="649">
      <c r="R649" t="s">
        <v>94</v>
      </c>
      <c r="S649" t="s">
        <v>94</v>
      </c>
      <c r="T649" t="s">
        <v>94</v>
      </c>
      <c r="U649" t="s">
        <v>94</v>
      </c>
      <c r="V649" t="s">
        <v>94</v>
      </c>
    </row>
    <row r="650">
      <c r="R650" t="s">
        <v>94</v>
      </c>
      <c r="S650" t="s">
        <v>94</v>
      </c>
      <c r="T650" t="s">
        <v>94</v>
      </c>
      <c r="U650" t="s">
        <v>94</v>
      </c>
      <c r="V650" t="s">
        <v>94</v>
      </c>
    </row>
    <row r="651">
      <c r="R651" t="s">
        <v>94</v>
      </c>
      <c r="S651" t="s">
        <v>94</v>
      </c>
      <c r="T651" t="s">
        <v>94</v>
      </c>
      <c r="U651" t="s">
        <v>94</v>
      </c>
      <c r="V651" t="s">
        <v>94</v>
      </c>
    </row>
    <row r="652">
      <c r="R652" t="s">
        <v>94</v>
      </c>
      <c r="S652" t="s">
        <v>94</v>
      </c>
      <c r="T652" t="s">
        <v>94</v>
      </c>
      <c r="U652" t="s">
        <v>94</v>
      </c>
      <c r="V652" t="s">
        <v>94</v>
      </c>
    </row>
    <row r="653">
      <c r="R653" t="s">
        <v>94</v>
      </c>
      <c r="S653" t="s">
        <v>94</v>
      </c>
      <c r="T653" t="s">
        <v>94</v>
      </c>
      <c r="U653" t="s">
        <v>94</v>
      </c>
      <c r="V653" t="s">
        <v>94</v>
      </c>
    </row>
    <row r="654">
      <c r="R654" t="s">
        <v>94</v>
      </c>
      <c r="S654" t="s">
        <v>94</v>
      </c>
      <c r="T654" t="s">
        <v>94</v>
      </c>
      <c r="U654" t="s">
        <v>94</v>
      </c>
      <c r="V654" t="s">
        <v>94</v>
      </c>
    </row>
    <row r="655">
      <c r="R655" t="s">
        <v>94</v>
      </c>
      <c r="S655" t="s">
        <v>94</v>
      </c>
      <c r="T655" t="s">
        <v>94</v>
      </c>
      <c r="U655" t="s">
        <v>94</v>
      </c>
      <c r="V655" t="s">
        <v>94</v>
      </c>
    </row>
    <row r="656">
      <c r="R656" t="s">
        <v>94</v>
      </c>
      <c r="S656" t="s">
        <v>94</v>
      </c>
      <c r="T656" t="s">
        <v>94</v>
      </c>
      <c r="U656" t="s">
        <v>94</v>
      </c>
      <c r="V656" t="s">
        <v>94</v>
      </c>
    </row>
    <row r="657">
      <c r="R657" t="s">
        <v>94</v>
      </c>
      <c r="S657" t="s">
        <v>94</v>
      </c>
      <c r="T657" t="s">
        <v>94</v>
      </c>
      <c r="U657" t="s">
        <v>94</v>
      </c>
      <c r="V657" t="s">
        <v>94</v>
      </c>
    </row>
    <row r="658">
      <c r="R658" t="s">
        <v>94</v>
      </c>
      <c r="S658" t="s">
        <v>94</v>
      </c>
      <c r="T658" t="s">
        <v>94</v>
      </c>
      <c r="U658" t="s">
        <v>94</v>
      </c>
      <c r="V658" t="s">
        <v>94</v>
      </c>
    </row>
    <row r="659">
      <c r="R659" t="s">
        <v>94</v>
      </c>
      <c r="S659" t="s">
        <v>94</v>
      </c>
      <c r="T659" t="s">
        <v>94</v>
      </c>
      <c r="U659" t="s">
        <v>94</v>
      </c>
      <c r="V659" t="s">
        <v>94</v>
      </c>
    </row>
    <row r="660">
      <c r="R660" t="s">
        <v>94</v>
      </c>
      <c r="S660" t="s">
        <v>94</v>
      </c>
      <c r="T660" t="s">
        <v>94</v>
      </c>
      <c r="U660" t="s">
        <v>94</v>
      </c>
      <c r="V660" t="s">
        <v>94</v>
      </c>
    </row>
    <row r="661">
      <c r="R661" t="s">
        <v>94</v>
      </c>
      <c r="S661" t="s">
        <v>94</v>
      </c>
      <c r="T661" t="s">
        <v>94</v>
      </c>
      <c r="U661" t="s">
        <v>94</v>
      </c>
      <c r="V661" t="s">
        <v>94</v>
      </c>
    </row>
    <row r="662">
      <c r="R662" t="s">
        <v>94</v>
      </c>
      <c r="S662" t="s">
        <v>94</v>
      </c>
      <c r="T662" t="s">
        <v>94</v>
      </c>
      <c r="U662" t="s">
        <v>94</v>
      </c>
      <c r="V662" t="s">
        <v>94</v>
      </c>
    </row>
    <row r="663">
      <c r="R663" t="s">
        <v>94</v>
      </c>
      <c r="S663" t="s">
        <v>94</v>
      </c>
      <c r="T663" t="s">
        <v>94</v>
      </c>
      <c r="U663" t="s">
        <v>94</v>
      </c>
      <c r="V663" t="s">
        <v>94</v>
      </c>
    </row>
    <row r="664">
      <c r="R664" t="s">
        <v>94</v>
      </c>
      <c r="S664" t="s">
        <v>94</v>
      </c>
      <c r="T664" t="s">
        <v>94</v>
      </c>
      <c r="U664" t="s">
        <v>94</v>
      </c>
      <c r="V664" t="s">
        <v>94</v>
      </c>
    </row>
    <row r="665">
      <c r="R665" t="s">
        <v>94</v>
      </c>
      <c r="S665" t="s">
        <v>94</v>
      </c>
      <c r="T665" t="s">
        <v>94</v>
      </c>
      <c r="U665" t="s">
        <v>94</v>
      </c>
      <c r="V665" t="s">
        <v>94</v>
      </c>
    </row>
    <row r="666">
      <c r="R666" t="s">
        <v>94</v>
      </c>
      <c r="S666" t="s">
        <v>94</v>
      </c>
      <c r="T666" t="s">
        <v>94</v>
      </c>
      <c r="U666" t="s">
        <v>94</v>
      </c>
      <c r="V666" t="s">
        <v>94</v>
      </c>
    </row>
    <row r="667">
      <c r="R667" t="s">
        <v>94</v>
      </c>
      <c r="S667" t="s">
        <v>94</v>
      </c>
      <c r="T667" t="s">
        <v>94</v>
      </c>
      <c r="U667" t="s">
        <v>94</v>
      </c>
      <c r="V667" t="s">
        <v>94</v>
      </c>
    </row>
    <row r="668">
      <c r="R668" t="s">
        <v>94</v>
      </c>
      <c r="S668" t="s">
        <v>94</v>
      </c>
      <c r="T668" t="s">
        <v>94</v>
      </c>
      <c r="U668" t="s">
        <v>94</v>
      </c>
      <c r="V668" t="s">
        <v>94</v>
      </c>
    </row>
    <row r="669">
      <c r="R669" t="s">
        <v>94</v>
      </c>
      <c r="S669" t="s">
        <v>94</v>
      </c>
      <c r="T669" t="s">
        <v>94</v>
      </c>
      <c r="U669" t="s">
        <v>94</v>
      </c>
      <c r="V669" t="s">
        <v>94</v>
      </c>
    </row>
    <row r="670">
      <c r="R670" t="s">
        <v>94</v>
      </c>
      <c r="S670" t="s">
        <v>94</v>
      </c>
      <c r="T670" t="s">
        <v>94</v>
      </c>
      <c r="U670" t="s">
        <v>94</v>
      </c>
      <c r="V670" t="s">
        <v>94</v>
      </c>
    </row>
    <row r="671">
      <c r="R671" t="s">
        <v>94</v>
      </c>
      <c r="S671" t="s">
        <v>94</v>
      </c>
      <c r="T671" t="s">
        <v>94</v>
      </c>
      <c r="U671" t="s">
        <v>94</v>
      </c>
      <c r="V671" t="s">
        <v>94</v>
      </c>
    </row>
    <row r="672">
      <c r="R672" t="s">
        <v>94</v>
      </c>
      <c r="S672" t="s">
        <v>94</v>
      </c>
      <c r="T672" t="s">
        <v>94</v>
      </c>
      <c r="U672" t="s">
        <v>94</v>
      </c>
      <c r="V672" t="s">
        <v>94</v>
      </c>
    </row>
    <row r="673">
      <c r="R673" t="s">
        <v>94</v>
      </c>
      <c r="S673" t="s">
        <v>94</v>
      </c>
      <c r="T673" t="s">
        <v>94</v>
      </c>
      <c r="U673" t="s">
        <v>94</v>
      </c>
      <c r="V673" t="s">
        <v>94</v>
      </c>
    </row>
    <row r="674">
      <c r="R674" t="s">
        <v>94</v>
      </c>
      <c r="S674" t="s">
        <v>94</v>
      </c>
      <c r="T674" t="s">
        <v>94</v>
      </c>
      <c r="U674" t="s">
        <v>94</v>
      </c>
      <c r="V674" t="s">
        <v>94</v>
      </c>
    </row>
    <row r="675">
      <c r="R675" t="s">
        <v>94</v>
      </c>
      <c r="S675" t="s">
        <v>94</v>
      </c>
      <c r="T675" t="s">
        <v>94</v>
      </c>
      <c r="U675" t="s">
        <v>94</v>
      </c>
      <c r="V675" t="s">
        <v>94</v>
      </c>
    </row>
    <row r="676">
      <c r="R676" t="s">
        <v>94</v>
      </c>
      <c r="S676" t="s">
        <v>94</v>
      </c>
      <c r="T676" t="s">
        <v>94</v>
      </c>
      <c r="U676" t="s">
        <v>94</v>
      </c>
      <c r="V676" t="s">
        <v>94</v>
      </c>
    </row>
    <row r="677">
      <c r="R677" t="s">
        <v>94</v>
      </c>
      <c r="S677" t="s">
        <v>94</v>
      </c>
      <c r="T677" t="s">
        <v>94</v>
      </c>
      <c r="U677" t="s">
        <v>94</v>
      </c>
      <c r="V677" t="s">
        <v>94</v>
      </c>
    </row>
    <row r="678">
      <c r="R678" t="s">
        <v>94</v>
      </c>
      <c r="S678" t="s">
        <v>94</v>
      </c>
      <c r="T678" t="s">
        <v>94</v>
      </c>
      <c r="U678" t="s">
        <v>94</v>
      </c>
      <c r="V678" t="s">
        <v>94</v>
      </c>
    </row>
    <row r="679">
      <c r="R679" t="s">
        <v>94</v>
      </c>
      <c r="S679" t="s">
        <v>94</v>
      </c>
      <c r="T679" t="s">
        <v>94</v>
      </c>
      <c r="U679" t="s">
        <v>94</v>
      </c>
      <c r="V679" t="s">
        <v>94</v>
      </c>
    </row>
    <row r="680">
      <c r="R680" t="s">
        <v>94</v>
      </c>
      <c r="S680" t="s">
        <v>94</v>
      </c>
      <c r="T680" t="s">
        <v>94</v>
      </c>
      <c r="U680" t="s">
        <v>94</v>
      </c>
      <c r="V680" t="s">
        <v>94</v>
      </c>
    </row>
    <row r="681">
      <c r="R681" t="s">
        <v>94</v>
      </c>
      <c r="S681" t="s">
        <v>94</v>
      </c>
      <c r="T681" t="s">
        <v>94</v>
      </c>
      <c r="U681" t="s">
        <v>94</v>
      </c>
      <c r="V681" t="s">
        <v>94</v>
      </c>
    </row>
    <row r="682">
      <c r="R682" t="s">
        <v>94</v>
      </c>
      <c r="S682" t="s">
        <v>94</v>
      </c>
      <c r="T682" t="s">
        <v>94</v>
      </c>
      <c r="U682" t="s">
        <v>94</v>
      </c>
      <c r="V682" t="s">
        <v>94</v>
      </c>
    </row>
    <row r="683">
      <c r="R683" t="s">
        <v>94</v>
      </c>
      <c r="S683" t="s">
        <v>94</v>
      </c>
      <c r="T683" t="s">
        <v>94</v>
      </c>
      <c r="U683" t="s">
        <v>94</v>
      </c>
      <c r="V683" t="s">
        <v>94</v>
      </c>
    </row>
    <row r="684">
      <c r="R684" t="s">
        <v>94</v>
      </c>
      <c r="S684" t="s">
        <v>94</v>
      </c>
      <c r="T684" t="s">
        <v>94</v>
      </c>
      <c r="U684" t="s">
        <v>94</v>
      </c>
      <c r="V684" t="s">
        <v>94</v>
      </c>
    </row>
    <row r="685">
      <c r="R685" t="s">
        <v>94</v>
      </c>
      <c r="S685" t="s">
        <v>94</v>
      </c>
      <c r="T685" t="s">
        <v>94</v>
      </c>
      <c r="U685" t="s">
        <v>94</v>
      </c>
      <c r="V685" t="s">
        <v>94</v>
      </c>
    </row>
    <row r="686">
      <c r="R686" t="s">
        <v>94</v>
      </c>
      <c r="S686" t="s">
        <v>94</v>
      </c>
      <c r="T686" t="s">
        <v>94</v>
      </c>
      <c r="U686" t="s">
        <v>94</v>
      </c>
      <c r="V686" t="s">
        <v>94</v>
      </c>
    </row>
    <row r="687">
      <c r="R687" t="s">
        <v>94</v>
      </c>
      <c r="S687" t="s">
        <v>94</v>
      </c>
      <c r="T687" t="s">
        <v>94</v>
      </c>
      <c r="U687" t="s">
        <v>94</v>
      </c>
      <c r="V687" t="s">
        <v>94</v>
      </c>
    </row>
    <row r="688">
      <c r="R688" t="s">
        <v>94</v>
      </c>
      <c r="S688" t="s">
        <v>94</v>
      </c>
      <c r="T688" t="s">
        <v>94</v>
      </c>
      <c r="U688" t="s">
        <v>94</v>
      </c>
      <c r="V688" t="s">
        <v>94</v>
      </c>
    </row>
    <row r="689">
      <c r="R689" t="s">
        <v>94</v>
      </c>
      <c r="S689" t="s">
        <v>94</v>
      </c>
      <c r="T689" t="s">
        <v>94</v>
      </c>
      <c r="U689" t="s">
        <v>94</v>
      </c>
      <c r="V689" t="s">
        <v>94</v>
      </c>
    </row>
    <row r="690">
      <c r="R690" t="s">
        <v>94</v>
      </c>
      <c r="S690" t="s">
        <v>94</v>
      </c>
      <c r="T690" t="s">
        <v>94</v>
      </c>
      <c r="U690" t="s">
        <v>94</v>
      </c>
      <c r="V690" t="s">
        <v>94</v>
      </c>
    </row>
    <row r="691">
      <c r="R691" t="s">
        <v>94</v>
      </c>
      <c r="S691" t="s">
        <v>94</v>
      </c>
      <c r="T691" t="s">
        <v>94</v>
      </c>
      <c r="U691" t="s">
        <v>94</v>
      </c>
      <c r="V691" t="s">
        <v>94</v>
      </c>
    </row>
    <row r="692">
      <c r="R692" t="s">
        <v>94</v>
      </c>
      <c r="S692" t="s">
        <v>94</v>
      </c>
      <c r="T692" t="s">
        <v>94</v>
      </c>
      <c r="U692" t="s">
        <v>94</v>
      </c>
      <c r="V692" t="s">
        <v>94</v>
      </c>
    </row>
    <row r="693">
      <c r="R693" t="s">
        <v>94</v>
      </c>
      <c r="S693" t="s">
        <v>94</v>
      </c>
      <c r="T693" t="s">
        <v>94</v>
      </c>
      <c r="U693" t="s">
        <v>94</v>
      </c>
      <c r="V693" t="s">
        <v>94</v>
      </c>
    </row>
    <row r="694">
      <c r="R694" t="s">
        <v>94</v>
      </c>
      <c r="S694" t="s">
        <v>94</v>
      </c>
      <c r="T694" t="s">
        <v>94</v>
      </c>
      <c r="U694" t="s">
        <v>94</v>
      </c>
      <c r="V694" t="s">
        <v>94</v>
      </c>
    </row>
    <row r="695">
      <c r="R695" t="s">
        <v>94</v>
      </c>
      <c r="S695" t="s">
        <v>94</v>
      </c>
      <c r="T695" t="s">
        <v>94</v>
      </c>
      <c r="U695" t="s">
        <v>94</v>
      </c>
      <c r="V695" t="s">
        <v>94</v>
      </c>
    </row>
    <row r="696">
      <c r="R696" t="s">
        <v>94</v>
      </c>
      <c r="S696" t="s">
        <v>94</v>
      </c>
      <c r="T696" t="s">
        <v>94</v>
      </c>
      <c r="U696" t="s">
        <v>94</v>
      </c>
      <c r="V696" t="s">
        <v>94</v>
      </c>
    </row>
    <row r="697">
      <c r="R697" t="s">
        <v>94</v>
      </c>
      <c r="S697" t="s">
        <v>94</v>
      </c>
      <c r="T697" t="s">
        <v>94</v>
      </c>
      <c r="U697" t="s">
        <v>94</v>
      </c>
      <c r="V697" t="s">
        <v>94</v>
      </c>
    </row>
    <row r="698">
      <c r="R698" t="s">
        <v>94</v>
      </c>
      <c r="S698" t="s">
        <v>94</v>
      </c>
      <c r="T698" t="s">
        <v>94</v>
      </c>
      <c r="U698" t="s">
        <v>94</v>
      </c>
      <c r="V698" t="s">
        <v>94</v>
      </c>
    </row>
    <row r="699">
      <c r="R699" t="s">
        <v>94</v>
      </c>
      <c r="S699" t="s">
        <v>94</v>
      </c>
      <c r="T699" t="s">
        <v>94</v>
      </c>
      <c r="U699" t="s">
        <v>94</v>
      </c>
      <c r="V699" t="s">
        <v>94</v>
      </c>
    </row>
    <row r="700">
      <c r="R700" t="s">
        <v>94</v>
      </c>
      <c r="S700" t="s">
        <v>94</v>
      </c>
      <c r="T700" t="s">
        <v>94</v>
      </c>
      <c r="U700" t="s">
        <v>94</v>
      </c>
      <c r="V700" t="s">
        <v>94</v>
      </c>
    </row>
    <row r="701">
      <c r="R701" t="s">
        <v>94</v>
      </c>
      <c r="S701" t="s">
        <v>94</v>
      </c>
      <c r="T701" t="s">
        <v>94</v>
      </c>
      <c r="U701" t="s">
        <v>94</v>
      </c>
      <c r="V701" t="s">
        <v>94</v>
      </c>
    </row>
    <row r="702">
      <c r="R702" t="s">
        <v>94</v>
      </c>
      <c r="S702" t="s">
        <v>94</v>
      </c>
      <c r="T702" t="s">
        <v>94</v>
      </c>
      <c r="U702" t="s">
        <v>94</v>
      </c>
      <c r="V702" t="s">
        <v>94</v>
      </c>
    </row>
    <row r="703">
      <c r="R703" t="s">
        <v>94</v>
      </c>
      <c r="S703" t="s">
        <v>94</v>
      </c>
      <c r="T703" t="s">
        <v>94</v>
      </c>
      <c r="U703" t="s">
        <v>94</v>
      </c>
      <c r="V703" t="s">
        <v>94</v>
      </c>
    </row>
    <row r="704">
      <c r="R704" t="s">
        <v>94</v>
      </c>
      <c r="S704" t="s">
        <v>94</v>
      </c>
      <c r="T704" t="s">
        <v>94</v>
      </c>
      <c r="U704" t="s">
        <v>94</v>
      </c>
      <c r="V704" t="s">
        <v>94</v>
      </c>
    </row>
    <row r="705">
      <c r="R705" t="s">
        <v>94</v>
      </c>
      <c r="S705" t="s">
        <v>94</v>
      </c>
      <c r="T705" t="s">
        <v>94</v>
      </c>
      <c r="U705" t="s">
        <v>94</v>
      </c>
      <c r="V705" t="s">
        <v>94</v>
      </c>
    </row>
    <row r="706">
      <c r="R706" t="s">
        <v>94</v>
      </c>
      <c r="S706" t="s">
        <v>94</v>
      </c>
      <c r="T706" t="s">
        <v>94</v>
      </c>
      <c r="U706" t="s">
        <v>94</v>
      </c>
      <c r="V706" t="s">
        <v>94</v>
      </c>
    </row>
    <row r="707">
      <c r="R707" t="s">
        <v>94</v>
      </c>
      <c r="S707" t="s">
        <v>94</v>
      </c>
      <c r="T707" t="s">
        <v>94</v>
      </c>
      <c r="U707" t="s">
        <v>94</v>
      </c>
      <c r="V707" t="s">
        <v>94</v>
      </c>
    </row>
    <row r="708">
      <c r="R708" t="s">
        <v>94</v>
      </c>
      <c r="S708" t="s">
        <v>94</v>
      </c>
      <c r="T708" t="s">
        <v>94</v>
      </c>
      <c r="U708" t="s">
        <v>94</v>
      </c>
      <c r="V708" t="s">
        <v>94</v>
      </c>
    </row>
    <row r="709">
      <c r="R709" t="s">
        <v>94</v>
      </c>
      <c r="S709" t="s">
        <v>94</v>
      </c>
      <c r="T709" t="s">
        <v>94</v>
      </c>
      <c r="U709" t="s">
        <v>94</v>
      </c>
      <c r="V709" t="s">
        <v>94</v>
      </c>
    </row>
    <row r="710">
      <c r="R710" t="s">
        <v>94</v>
      </c>
      <c r="S710" t="s">
        <v>94</v>
      </c>
      <c r="T710" t="s">
        <v>94</v>
      </c>
      <c r="U710" t="s">
        <v>94</v>
      </c>
      <c r="V710" t="s">
        <v>94</v>
      </c>
    </row>
    <row r="711">
      <c r="R711" t="s">
        <v>94</v>
      </c>
      <c r="S711" t="s">
        <v>94</v>
      </c>
      <c r="T711" t="s">
        <v>94</v>
      </c>
      <c r="U711" t="s">
        <v>94</v>
      </c>
      <c r="V711" t="s">
        <v>94</v>
      </c>
    </row>
    <row r="712">
      <c r="R712" t="s">
        <v>94</v>
      </c>
      <c r="S712" t="s">
        <v>94</v>
      </c>
      <c r="T712" t="s">
        <v>94</v>
      </c>
      <c r="U712" t="s">
        <v>94</v>
      </c>
      <c r="V712" t="s">
        <v>94</v>
      </c>
    </row>
    <row r="713">
      <c r="R713" t="s">
        <v>94</v>
      </c>
      <c r="S713" t="s">
        <v>94</v>
      </c>
      <c r="T713" t="s">
        <v>94</v>
      </c>
      <c r="U713" t="s">
        <v>94</v>
      </c>
      <c r="V713" t="s">
        <v>94</v>
      </c>
    </row>
    <row r="714">
      <c r="R714" t="s">
        <v>94</v>
      </c>
      <c r="S714" t="s">
        <v>94</v>
      </c>
      <c r="T714" t="s">
        <v>94</v>
      </c>
      <c r="U714" t="s">
        <v>94</v>
      </c>
      <c r="V714" t="s">
        <v>94</v>
      </c>
    </row>
    <row r="715">
      <c r="R715" t="s">
        <v>94</v>
      </c>
      <c r="S715" t="s">
        <v>94</v>
      </c>
      <c r="T715" t="s">
        <v>94</v>
      </c>
      <c r="U715" t="s">
        <v>94</v>
      </c>
      <c r="V715" t="s">
        <v>94</v>
      </c>
    </row>
    <row r="716">
      <c r="R716" t="s">
        <v>94</v>
      </c>
      <c r="S716" t="s">
        <v>94</v>
      </c>
      <c r="T716" t="s">
        <v>94</v>
      </c>
      <c r="U716" t="s">
        <v>94</v>
      </c>
      <c r="V716" t="s">
        <v>94</v>
      </c>
    </row>
    <row r="717">
      <c r="R717" t="s">
        <v>94</v>
      </c>
      <c r="S717" t="s">
        <v>94</v>
      </c>
      <c r="T717" t="s">
        <v>94</v>
      </c>
      <c r="U717" t="s">
        <v>94</v>
      </c>
      <c r="V717" t="s">
        <v>94</v>
      </c>
    </row>
    <row r="718">
      <c r="R718" t="s">
        <v>94</v>
      </c>
      <c r="S718" t="s">
        <v>94</v>
      </c>
      <c r="T718" t="s">
        <v>94</v>
      </c>
      <c r="U718" t="s">
        <v>94</v>
      </c>
      <c r="V718" t="s">
        <v>94</v>
      </c>
    </row>
    <row r="719">
      <c r="R719" t="s">
        <v>94</v>
      </c>
      <c r="S719" t="s">
        <v>94</v>
      </c>
      <c r="T719" t="s">
        <v>94</v>
      </c>
      <c r="U719" t="s">
        <v>94</v>
      </c>
      <c r="V719" t="s">
        <v>94</v>
      </c>
    </row>
    <row r="720">
      <c r="R720" t="s">
        <v>94</v>
      </c>
      <c r="S720" t="s">
        <v>94</v>
      </c>
      <c r="T720" t="s">
        <v>94</v>
      </c>
      <c r="U720" t="s">
        <v>94</v>
      </c>
      <c r="V720" t="s">
        <v>94</v>
      </c>
    </row>
    <row r="721">
      <c r="R721" t="s">
        <v>94</v>
      </c>
      <c r="S721" t="s">
        <v>94</v>
      </c>
      <c r="T721" t="s">
        <v>94</v>
      </c>
      <c r="U721" t="s">
        <v>94</v>
      </c>
      <c r="V721" t="s">
        <v>94</v>
      </c>
    </row>
    <row r="722">
      <c r="R722" t="s">
        <v>94</v>
      </c>
      <c r="S722" t="s">
        <v>94</v>
      </c>
      <c r="T722" t="s">
        <v>94</v>
      </c>
      <c r="U722" t="s">
        <v>94</v>
      </c>
      <c r="V722" t="s">
        <v>94</v>
      </c>
    </row>
    <row r="723">
      <c r="R723" t="s">
        <v>94</v>
      </c>
      <c r="S723" t="s">
        <v>94</v>
      </c>
      <c r="T723" t="s">
        <v>94</v>
      </c>
      <c r="U723" t="s">
        <v>94</v>
      </c>
      <c r="V723" t="s">
        <v>94</v>
      </c>
    </row>
    <row r="724">
      <c r="R724" t="s">
        <v>94</v>
      </c>
      <c r="S724" t="s">
        <v>94</v>
      </c>
      <c r="T724" t="s">
        <v>94</v>
      </c>
      <c r="U724" t="s">
        <v>94</v>
      </c>
      <c r="V724" t="s">
        <v>94</v>
      </c>
    </row>
    <row r="725">
      <c r="R725" t="s">
        <v>94</v>
      </c>
      <c r="S725" t="s">
        <v>94</v>
      </c>
      <c r="T725" t="s">
        <v>94</v>
      </c>
      <c r="U725" t="s">
        <v>94</v>
      </c>
      <c r="V725" t="s">
        <v>94</v>
      </c>
    </row>
    <row r="726">
      <c r="R726" t="s">
        <v>94</v>
      </c>
      <c r="S726" t="s">
        <v>94</v>
      </c>
      <c r="T726" t="s">
        <v>94</v>
      </c>
      <c r="U726" t="s">
        <v>94</v>
      </c>
      <c r="V726" t="s">
        <v>94</v>
      </c>
    </row>
    <row r="727">
      <c r="R727" t="s">
        <v>94</v>
      </c>
      <c r="S727" t="s">
        <v>94</v>
      </c>
      <c r="T727" t="s">
        <v>94</v>
      </c>
      <c r="U727" t="s">
        <v>94</v>
      </c>
      <c r="V727" t="s">
        <v>94</v>
      </c>
    </row>
    <row r="728">
      <c r="R728" t="s">
        <v>94</v>
      </c>
      <c r="S728" t="s">
        <v>94</v>
      </c>
      <c r="T728" t="s">
        <v>94</v>
      </c>
      <c r="U728" t="s">
        <v>94</v>
      </c>
      <c r="V728" t="s">
        <v>94</v>
      </c>
    </row>
    <row r="729">
      <c r="R729" t="s">
        <v>94</v>
      </c>
      <c r="S729" t="s">
        <v>94</v>
      </c>
      <c r="T729" t="s">
        <v>94</v>
      </c>
      <c r="U729" t="s">
        <v>94</v>
      </c>
      <c r="V729" t="s">
        <v>94</v>
      </c>
    </row>
    <row r="730">
      <c r="R730" t="s">
        <v>94</v>
      </c>
      <c r="S730" t="s">
        <v>94</v>
      </c>
      <c r="T730" t="s">
        <v>94</v>
      </c>
      <c r="U730" t="s">
        <v>94</v>
      </c>
      <c r="V730" t="s">
        <v>94</v>
      </c>
    </row>
    <row r="731">
      <c r="R731" t="s">
        <v>94</v>
      </c>
      <c r="S731" t="s">
        <v>94</v>
      </c>
      <c r="T731" t="s">
        <v>94</v>
      </c>
      <c r="U731" t="s">
        <v>94</v>
      </c>
      <c r="V731" t="s">
        <v>94</v>
      </c>
    </row>
    <row r="732">
      <c r="R732" t="s">
        <v>94</v>
      </c>
      <c r="S732" t="s">
        <v>94</v>
      </c>
      <c r="T732" t="s">
        <v>94</v>
      </c>
      <c r="U732" t="s">
        <v>94</v>
      </c>
      <c r="V732" t="s">
        <v>94</v>
      </c>
    </row>
    <row r="733">
      <c r="R733" t="s">
        <v>94</v>
      </c>
      <c r="S733" t="s">
        <v>94</v>
      </c>
      <c r="T733" t="s">
        <v>94</v>
      </c>
      <c r="U733" t="s">
        <v>94</v>
      </c>
      <c r="V733" t="s">
        <v>94</v>
      </c>
    </row>
    <row r="734">
      <c r="R734" t="s">
        <v>94</v>
      </c>
      <c r="S734" t="s">
        <v>94</v>
      </c>
      <c r="T734" t="s">
        <v>94</v>
      </c>
      <c r="U734" t="s">
        <v>94</v>
      </c>
      <c r="V734" t="s">
        <v>94</v>
      </c>
    </row>
    <row r="735">
      <c r="R735" t="s">
        <v>94</v>
      </c>
      <c r="S735" t="s">
        <v>94</v>
      </c>
      <c r="T735" t="s">
        <v>94</v>
      </c>
      <c r="U735" t="s">
        <v>94</v>
      </c>
      <c r="V735" t="s">
        <v>94</v>
      </c>
    </row>
    <row r="736">
      <c r="R736" t="s">
        <v>94</v>
      </c>
      <c r="S736" t="s">
        <v>94</v>
      </c>
      <c r="T736" t="s">
        <v>94</v>
      </c>
      <c r="U736" t="s">
        <v>94</v>
      </c>
      <c r="V736" t="s">
        <v>94</v>
      </c>
    </row>
    <row r="737">
      <c r="R737" t="s">
        <v>94</v>
      </c>
      <c r="S737" t="s">
        <v>94</v>
      </c>
      <c r="T737" t="s">
        <v>94</v>
      </c>
      <c r="U737" t="s">
        <v>94</v>
      </c>
      <c r="V737" t="s">
        <v>94</v>
      </c>
    </row>
    <row r="738">
      <c r="R738" t="s">
        <v>94</v>
      </c>
      <c r="S738" t="s">
        <v>94</v>
      </c>
      <c r="T738" t="s">
        <v>94</v>
      </c>
      <c r="U738" t="s">
        <v>94</v>
      </c>
      <c r="V738" t="s">
        <v>94</v>
      </c>
    </row>
    <row r="739">
      <c r="R739" t="s">
        <v>94</v>
      </c>
      <c r="S739" t="s">
        <v>94</v>
      </c>
      <c r="T739" t="s">
        <v>94</v>
      </c>
      <c r="U739" t="s">
        <v>94</v>
      </c>
      <c r="V739" t="s">
        <v>94</v>
      </c>
    </row>
    <row r="740">
      <c r="R740" t="s">
        <v>94</v>
      </c>
      <c r="S740" t="s">
        <v>94</v>
      </c>
      <c r="T740" t="s">
        <v>94</v>
      </c>
      <c r="U740" t="s">
        <v>94</v>
      </c>
      <c r="V740" t="s">
        <v>94</v>
      </c>
    </row>
    <row r="741">
      <c r="R741" t="s">
        <v>94</v>
      </c>
      <c r="S741" t="s">
        <v>94</v>
      </c>
      <c r="T741" t="s">
        <v>94</v>
      </c>
      <c r="U741" t="s">
        <v>94</v>
      </c>
      <c r="V741" t="s">
        <v>94</v>
      </c>
    </row>
    <row r="742">
      <c r="R742" t="s">
        <v>94</v>
      </c>
      <c r="S742" t="s">
        <v>94</v>
      </c>
      <c r="T742" t="s">
        <v>94</v>
      </c>
      <c r="U742" t="s">
        <v>94</v>
      </c>
      <c r="V742" t="s">
        <v>94</v>
      </c>
    </row>
    <row r="743">
      <c r="R743" t="s">
        <v>94</v>
      </c>
      <c r="S743" t="s">
        <v>94</v>
      </c>
      <c r="T743" t="s">
        <v>94</v>
      </c>
      <c r="U743" t="s">
        <v>94</v>
      </c>
      <c r="V743" t="s">
        <v>94</v>
      </c>
    </row>
    <row r="744">
      <c r="R744" t="s">
        <v>94</v>
      </c>
      <c r="S744" t="s">
        <v>94</v>
      </c>
      <c r="T744" t="s">
        <v>94</v>
      </c>
      <c r="U744" t="s">
        <v>94</v>
      </c>
      <c r="V744" t="s">
        <v>94</v>
      </c>
    </row>
    <row r="745">
      <c r="R745" t="s">
        <v>94</v>
      </c>
      <c r="S745" t="s">
        <v>94</v>
      </c>
      <c r="T745" t="s">
        <v>94</v>
      </c>
      <c r="U745" t="s">
        <v>94</v>
      </c>
      <c r="V745" t="s">
        <v>94</v>
      </c>
    </row>
    <row r="746">
      <c r="R746" t="s">
        <v>94</v>
      </c>
      <c r="S746" t="s">
        <v>94</v>
      </c>
      <c r="T746" t="s">
        <v>94</v>
      </c>
      <c r="U746" t="s">
        <v>94</v>
      </c>
      <c r="V746" t="s">
        <v>94</v>
      </c>
    </row>
    <row r="747">
      <c r="R747" t="s">
        <v>94</v>
      </c>
      <c r="S747" t="s">
        <v>94</v>
      </c>
      <c r="T747" t="s">
        <v>94</v>
      </c>
      <c r="U747" t="s">
        <v>94</v>
      </c>
      <c r="V747" t="s">
        <v>94</v>
      </c>
    </row>
    <row r="748">
      <c r="R748" t="s">
        <v>94</v>
      </c>
      <c r="S748" t="s">
        <v>94</v>
      </c>
      <c r="T748" t="s">
        <v>94</v>
      </c>
      <c r="U748" t="s">
        <v>94</v>
      </c>
      <c r="V748" t="s">
        <v>94</v>
      </c>
    </row>
    <row r="749">
      <c r="R749" t="s">
        <v>94</v>
      </c>
      <c r="S749" t="s">
        <v>94</v>
      </c>
      <c r="T749" t="s">
        <v>94</v>
      </c>
      <c r="U749" t="s">
        <v>94</v>
      </c>
      <c r="V749" t="s">
        <v>94</v>
      </c>
    </row>
    <row r="750">
      <c r="R750" t="s">
        <v>94</v>
      </c>
      <c r="S750" t="s">
        <v>94</v>
      </c>
      <c r="T750" t="s">
        <v>94</v>
      </c>
      <c r="U750" t="s">
        <v>94</v>
      </c>
      <c r="V750" t="s">
        <v>94</v>
      </c>
    </row>
    <row r="751">
      <c r="R751" t="s">
        <v>94</v>
      </c>
      <c r="S751" t="s">
        <v>94</v>
      </c>
      <c r="T751" t="s">
        <v>94</v>
      </c>
      <c r="U751" t="s">
        <v>94</v>
      </c>
      <c r="V751" t="s">
        <v>94</v>
      </c>
    </row>
    <row r="752">
      <c r="R752" t="s">
        <v>94</v>
      </c>
      <c r="S752" t="s">
        <v>94</v>
      </c>
      <c r="T752" t="s">
        <v>94</v>
      </c>
      <c r="U752" t="s">
        <v>94</v>
      </c>
      <c r="V752" t="s">
        <v>94</v>
      </c>
    </row>
    <row r="753">
      <c r="R753" t="s">
        <v>94</v>
      </c>
      <c r="S753" t="s">
        <v>94</v>
      </c>
      <c r="T753" t="s">
        <v>94</v>
      </c>
      <c r="U753" t="s">
        <v>94</v>
      </c>
      <c r="V753" t="s">
        <v>94</v>
      </c>
    </row>
    <row r="754">
      <c r="R754" t="s">
        <v>94</v>
      </c>
      <c r="S754" t="s">
        <v>94</v>
      </c>
      <c r="T754" t="s">
        <v>94</v>
      </c>
      <c r="U754" t="s">
        <v>94</v>
      </c>
      <c r="V754" t="s">
        <v>94</v>
      </c>
    </row>
    <row r="755">
      <c r="R755" t="s">
        <v>94</v>
      </c>
      <c r="S755" t="s">
        <v>94</v>
      </c>
      <c r="T755" t="s">
        <v>94</v>
      </c>
      <c r="U755" t="s">
        <v>94</v>
      </c>
      <c r="V755" t="s">
        <v>94</v>
      </c>
    </row>
    <row r="756">
      <c r="R756" t="s">
        <v>94</v>
      </c>
      <c r="S756" t="s">
        <v>94</v>
      </c>
      <c r="T756" t="s">
        <v>94</v>
      </c>
      <c r="U756" t="s">
        <v>94</v>
      </c>
      <c r="V756" t="s">
        <v>94</v>
      </c>
    </row>
    <row r="757">
      <c r="R757" t="s">
        <v>94</v>
      </c>
      <c r="S757" t="s">
        <v>94</v>
      </c>
      <c r="T757" t="s">
        <v>94</v>
      </c>
      <c r="U757" t="s">
        <v>94</v>
      </c>
      <c r="V757" t="s">
        <v>94</v>
      </c>
    </row>
    <row r="758">
      <c r="R758" t="s">
        <v>94</v>
      </c>
      <c r="S758" t="s">
        <v>94</v>
      </c>
      <c r="T758" t="s">
        <v>94</v>
      </c>
      <c r="U758" t="s">
        <v>94</v>
      </c>
      <c r="V758" t="s">
        <v>94</v>
      </c>
    </row>
    <row r="759">
      <c r="R759" t="s">
        <v>94</v>
      </c>
      <c r="S759" t="s">
        <v>94</v>
      </c>
      <c r="T759" t="s">
        <v>94</v>
      </c>
      <c r="U759" t="s">
        <v>94</v>
      </c>
      <c r="V759" t="s">
        <v>94</v>
      </c>
    </row>
    <row r="760">
      <c r="R760" t="s">
        <v>94</v>
      </c>
      <c r="S760" t="s">
        <v>94</v>
      </c>
      <c r="T760" t="s">
        <v>94</v>
      </c>
      <c r="U760" t="s">
        <v>94</v>
      </c>
      <c r="V760" t="s">
        <v>94</v>
      </c>
    </row>
    <row r="761">
      <c r="R761" t="s">
        <v>94</v>
      </c>
      <c r="S761" t="s">
        <v>94</v>
      </c>
      <c r="T761" t="s">
        <v>94</v>
      </c>
      <c r="U761" t="s">
        <v>94</v>
      </c>
      <c r="V761" t="s">
        <v>94</v>
      </c>
    </row>
    <row r="762">
      <c r="R762" t="s">
        <v>94</v>
      </c>
      <c r="S762" t="s">
        <v>94</v>
      </c>
      <c r="T762" t="s">
        <v>94</v>
      </c>
      <c r="U762" t="s">
        <v>94</v>
      </c>
      <c r="V762" t="s">
        <v>94</v>
      </c>
    </row>
    <row r="763">
      <c r="R763" t="s">
        <v>94</v>
      </c>
      <c r="S763" t="s">
        <v>94</v>
      </c>
      <c r="T763" t="s">
        <v>94</v>
      </c>
      <c r="U763" t="s">
        <v>94</v>
      </c>
      <c r="V763" t="s">
        <v>94</v>
      </c>
    </row>
    <row r="764">
      <c r="R764" t="s">
        <v>94</v>
      </c>
      <c r="S764" t="s">
        <v>94</v>
      </c>
      <c r="T764" t="s">
        <v>94</v>
      </c>
      <c r="U764" t="s">
        <v>94</v>
      </c>
      <c r="V764" t="s">
        <v>94</v>
      </c>
    </row>
    <row r="765">
      <c r="R765" t="s">
        <v>94</v>
      </c>
      <c r="S765" t="s">
        <v>94</v>
      </c>
      <c r="T765" t="s">
        <v>94</v>
      </c>
      <c r="U765" t="s">
        <v>94</v>
      </c>
      <c r="V765" t="s">
        <v>94</v>
      </c>
    </row>
    <row r="766">
      <c r="R766" t="s">
        <v>94</v>
      </c>
      <c r="S766" t="s">
        <v>94</v>
      </c>
      <c r="T766" t="s">
        <v>94</v>
      </c>
      <c r="U766" t="s">
        <v>94</v>
      </c>
      <c r="V766" t="s">
        <v>94</v>
      </c>
    </row>
    <row r="767">
      <c r="R767" t="s">
        <v>94</v>
      </c>
      <c r="S767" t="s">
        <v>94</v>
      </c>
      <c r="T767" t="s">
        <v>94</v>
      </c>
      <c r="U767" t="s">
        <v>94</v>
      </c>
      <c r="V767" t="s">
        <v>94</v>
      </c>
    </row>
    <row r="768">
      <c r="R768" t="s">
        <v>94</v>
      </c>
      <c r="S768" t="s">
        <v>94</v>
      </c>
      <c r="T768" t="s">
        <v>94</v>
      </c>
      <c r="U768" t="s">
        <v>94</v>
      </c>
      <c r="V768" t="s">
        <v>94</v>
      </c>
    </row>
    <row r="769">
      <c r="R769" t="s">
        <v>94</v>
      </c>
      <c r="S769" t="s">
        <v>94</v>
      </c>
      <c r="T769" t="s">
        <v>94</v>
      </c>
      <c r="U769" t="s">
        <v>94</v>
      </c>
      <c r="V769" t="s">
        <v>94</v>
      </c>
    </row>
    <row r="770">
      <c r="R770" t="s">
        <v>94</v>
      </c>
      <c r="S770" t="s">
        <v>94</v>
      </c>
      <c r="T770" t="s">
        <v>94</v>
      </c>
      <c r="U770" t="s">
        <v>94</v>
      </c>
      <c r="V770" t="s">
        <v>94</v>
      </c>
    </row>
    <row r="771">
      <c r="R771" t="s">
        <v>94</v>
      </c>
      <c r="S771" t="s">
        <v>94</v>
      </c>
      <c r="T771" t="s">
        <v>94</v>
      </c>
      <c r="U771" t="s">
        <v>94</v>
      </c>
      <c r="V771" t="s">
        <v>94</v>
      </c>
    </row>
    <row r="772">
      <c r="R772" t="s">
        <v>94</v>
      </c>
      <c r="S772" t="s">
        <v>94</v>
      </c>
      <c r="T772" t="s">
        <v>94</v>
      </c>
      <c r="U772" t="s">
        <v>94</v>
      </c>
      <c r="V772" t="s">
        <v>94</v>
      </c>
    </row>
    <row r="773">
      <c r="R773" t="s">
        <v>94</v>
      </c>
      <c r="S773" t="s">
        <v>94</v>
      </c>
      <c r="T773" t="s">
        <v>94</v>
      </c>
      <c r="U773" t="s">
        <v>94</v>
      </c>
      <c r="V773" t="s">
        <v>94</v>
      </c>
    </row>
    <row r="774">
      <c r="R774" t="s">
        <v>94</v>
      </c>
      <c r="S774" t="s">
        <v>94</v>
      </c>
      <c r="T774" t="s">
        <v>94</v>
      </c>
      <c r="U774" t="s">
        <v>94</v>
      </c>
      <c r="V774" t="s">
        <v>94</v>
      </c>
    </row>
    <row r="775">
      <c r="R775" t="s">
        <v>94</v>
      </c>
      <c r="S775" t="s">
        <v>94</v>
      </c>
      <c r="T775" t="s">
        <v>94</v>
      </c>
      <c r="U775" t="s">
        <v>94</v>
      </c>
      <c r="V775" t="s">
        <v>94</v>
      </c>
    </row>
    <row r="776">
      <c r="R776" t="s">
        <v>94</v>
      </c>
      <c r="S776" t="s">
        <v>94</v>
      </c>
      <c r="T776" t="s">
        <v>94</v>
      </c>
      <c r="U776" t="s">
        <v>94</v>
      </c>
      <c r="V776" t="s">
        <v>94</v>
      </c>
    </row>
    <row r="777">
      <c r="R777" t="s">
        <v>94</v>
      </c>
      <c r="S777" t="s">
        <v>94</v>
      </c>
      <c r="T777" t="s">
        <v>94</v>
      </c>
      <c r="U777" t="s">
        <v>94</v>
      </c>
      <c r="V777" t="s">
        <v>94</v>
      </c>
    </row>
    <row r="778">
      <c r="R778" t="s">
        <v>94</v>
      </c>
      <c r="S778" t="s">
        <v>94</v>
      </c>
      <c r="T778" t="s">
        <v>94</v>
      </c>
      <c r="U778" t="s">
        <v>94</v>
      </c>
      <c r="V778" t="s">
        <v>94</v>
      </c>
    </row>
    <row r="779">
      <c r="R779" t="s">
        <v>94</v>
      </c>
      <c r="S779" t="s">
        <v>94</v>
      </c>
      <c r="T779" t="s">
        <v>94</v>
      </c>
      <c r="U779" t="s">
        <v>94</v>
      </c>
      <c r="V779" t="s">
        <v>94</v>
      </c>
    </row>
    <row r="780">
      <c r="R780" t="s">
        <v>94</v>
      </c>
      <c r="S780" t="s">
        <v>94</v>
      </c>
      <c r="T780" t="s">
        <v>94</v>
      </c>
      <c r="U780" t="s">
        <v>94</v>
      </c>
      <c r="V780" t="s">
        <v>94</v>
      </c>
    </row>
    <row r="781">
      <c r="R781" t="s">
        <v>94</v>
      </c>
      <c r="S781" t="s">
        <v>94</v>
      </c>
      <c r="T781" t="s">
        <v>94</v>
      </c>
      <c r="U781" t="s">
        <v>94</v>
      </c>
      <c r="V781" t="s">
        <v>94</v>
      </c>
    </row>
    <row r="782">
      <c r="R782" t="s">
        <v>94</v>
      </c>
      <c r="S782" t="s">
        <v>94</v>
      </c>
      <c r="T782" t="s">
        <v>94</v>
      </c>
      <c r="U782" t="s">
        <v>94</v>
      </c>
      <c r="V782" t="s">
        <v>94</v>
      </c>
    </row>
    <row r="783">
      <c r="R783" t="s">
        <v>94</v>
      </c>
      <c r="S783" t="s">
        <v>94</v>
      </c>
      <c r="T783" t="s">
        <v>94</v>
      </c>
      <c r="U783" t="s">
        <v>94</v>
      </c>
      <c r="V783" t="s">
        <v>94</v>
      </c>
    </row>
    <row r="784">
      <c r="R784" t="s">
        <v>94</v>
      </c>
      <c r="S784" t="s">
        <v>94</v>
      </c>
      <c r="T784" t="s">
        <v>94</v>
      </c>
      <c r="U784" t="s">
        <v>94</v>
      </c>
      <c r="V784" t="s">
        <v>94</v>
      </c>
    </row>
    <row r="785">
      <c r="R785" t="s">
        <v>94</v>
      </c>
      <c r="S785" t="s">
        <v>94</v>
      </c>
      <c r="T785" t="s">
        <v>94</v>
      </c>
      <c r="U785" t="s">
        <v>94</v>
      </c>
      <c r="V785" t="s">
        <v>94</v>
      </c>
    </row>
    <row r="786">
      <c r="R786" t="s">
        <v>94</v>
      </c>
      <c r="S786" t="s">
        <v>94</v>
      </c>
      <c r="T786" t="s">
        <v>94</v>
      </c>
      <c r="U786" t="s">
        <v>94</v>
      </c>
      <c r="V786" t="s">
        <v>94</v>
      </c>
    </row>
    <row r="787">
      <c r="R787" t="s">
        <v>94</v>
      </c>
      <c r="S787" t="s">
        <v>94</v>
      </c>
      <c r="T787" t="s">
        <v>94</v>
      </c>
      <c r="U787" t="s">
        <v>94</v>
      </c>
      <c r="V787" t="s">
        <v>94</v>
      </c>
    </row>
    <row r="788">
      <c r="R788" t="s">
        <v>94</v>
      </c>
      <c r="S788" t="s">
        <v>94</v>
      </c>
      <c r="T788" t="s">
        <v>94</v>
      </c>
      <c r="U788" t="s">
        <v>94</v>
      </c>
      <c r="V788" t="s">
        <v>94</v>
      </c>
    </row>
    <row r="789">
      <c r="R789" t="s">
        <v>94</v>
      </c>
      <c r="S789" t="s">
        <v>94</v>
      </c>
      <c r="T789" t="s">
        <v>94</v>
      </c>
      <c r="U789" t="s">
        <v>94</v>
      </c>
      <c r="V789" t="s">
        <v>94</v>
      </c>
    </row>
    <row r="790">
      <c r="R790" t="s">
        <v>94</v>
      </c>
      <c r="S790" t="s">
        <v>94</v>
      </c>
      <c r="T790" t="s">
        <v>94</v>
      </c>
      <c r="U790" t="s">
        <v>94</v>
      </c>
      <c r="V790" t="s">
        <v>94</v>
      </c>
    </row>
    <row r="791">
      <c r="R791" t="s">
        <v>94</v>
      </c>
      <c r="S791" t="s">
        <v>94</v>
      </c>
      <c r="T791" t="s">
        <v>94</v>
      </c>
      <c r="U791" t="s">
        <v>94</v>
      </c>
      <c r="V791" t="s">
        <v>94</v>
      </c>
    </row>
    <row r="792">
      <c r="R792" t="s">
        <v>94</v>
      </c>
      <c r="S792" t="s">
        <v>94</v>
      </c>
      <c r="T792" t="s">
        <v>94</v>
      </c>
      <c r="U792" t="s">
        <v>94</v>
      </c>
      <c r="V792" t="s">
        <v>94</v>
      </c>
    </row>
    <row r="793">
      <c r="R793" t="s">
        <v>94</v>
      </c>
      <c r="S793" t="s">
        <v>94</v>
      </c>
      <c r="T793" t="s">
        <v>94</v>
      </c>
      <c r="U793" t="s">
        <v>94</v>
      </c>
      <c r="V793" t="s">
        <v>94</v>
      </c>
    </row>
    <row r="794">
      <c r="R794" t="s">
        <v>94</v>
      </c>
      <c r="S794" t="s">
        <v>94</v>
      </c>
      <c r="T794" t="s">
        <v>94</v>
      </c>
      <c r="U794" t="s">
        <v>94</v>
      </c>
      <c r="V794" t="s">
        <v>94</v>
      </c>
    </row>
    <row r="795">
      <c r="R795" t="s">
        <v>94</v>
      </c>
      <c r="S795" t="s">
        <v>94</v>
      </c>
      <c r="T795" t="s">
        <v>94</v>
      </c>
      <c r="U795" t="s">
        <v>94</v>
      </c>
      <c r="V795" t="s">
        <v>94</v>
      </c>
    </row>
    <row r="796">
      <c r="R796" t="s">
        <v>94</v>
      </c>
      <c r="S796" t="s">
        <v>94</v>
      </c>
      <c r="T796" t="s">
        <v>94</v>
      </c>
      <c r="U796" t="s">
        <v>94</v>
      </c>
      <c r="V796" t="s">
        <v>94</v>
      </c>
    </row>
    <row r="797">
      <c r="R797" t="s">
        <v>94</v>
      </c>
      <c r="S797" t="s">
        <v>94</v>
      </c>
      <c r="T797" t="s">
        <v>94</v>
      </c>
      <c r="U797" t="s">
        <v>94</v>
      </c>
      <c r="V797" t="s">
        <v>94</v>
      </c>
    </row>
    <row r="798">
      <c r="R798" t="s">
        <v>94</v>
      </c>
      <c r="S798" t="s">
        <v>94</v>
      </c>
      <c r="T798" t="s">
        <v>94</v>
      </c>
      <c r="U798" t="s">
        <v>94</v>
      </c>
      <c r="V798" t="s">
        <v>94</v>
      </c>
    </row>
    <row r="799">
      <c r="R799" t="s">
        <v>94</v>
      </c>
      <c r="S799" t="s">
        <v>94</v>
      </c>
      <c r="T799" t="s">
        <v>94</v>
      </c>
      <c r="U799" t="s">
        <v>94</v>
      </c>
      <c r="V799" t="s">
        <v>94</v>
      </c>
    </row>
    <row r="800">
      <c r="R800" t="s">
        <v>94</v>
      </c>
      <c r="S800" t="s">
        <v>94</v>
      </c>
      <c r="T800" t="s">
        <v>94</v>
      </c>
      <c r="U800" t="s">
        <v>94</v>
      </c>
      <c r="V800" t="s">
        <v>94</v>
      </c>
    </row>
    <row r="801">
      <c r="R801" t="s">
        <v>94</v>
      </c>
      <c r="S801" t="s">
        <v>94</v>
      </c>
      <c r="T801" t="s">
        <v>94</v>
      </c>
      <c r="U801" t="s">
        <v>94</v>
      </c>
      <c r="V801" t="s">
        <v>94</v>
      </c>
    </row>
    <row r="802">
      <c r="R802" t="s">
        <v>94</v>
      </c>
      <c r="S802" t="s">
        <v>94</v>
      </c>
      <c r="T802" t="s">
        <v>94</v>
      </c>
      <c r="U802" t="s">
        <v>94</v>
      </c>
      <c r="V802" t="s">
        <v>94</v>
      </c>
    </row>
    <row r="803">
      <c r="R803" t="s">
        <v>94</v>
      </c>
      <c r="S803" t="s">
        <v>94</v>
      </c>
      <c r="T803" t="s">
        <v>94</v>
      </c>
      <c r="U803" t="s">
        <v>94</v>
      </c>
      <c r="V803" t="s">
        <v>94</v>
      </c>
    </row>
    <row r="804">
      <c r="R804" t="s">
        <v>94</v>
      </c>
      <c r="S804" t="s">
        <v>94</v>
      </c>
      <c r="T804" t="s">
        <v>94</v>
      </c>
      <c r="U804" t="s">
        <v>94</v>
      </c>
      <c r="V804" t="s">
        <v>94</v>
      </c>
    </row>
    <row r="805">
      <c r="R805" t="s">
        <v>94</v>
      </c>
      <c r="S805" t="s">
        <v>94</v>
      </c>
      <c r="T805" t="s">
        <v>94</v>
      </c>
      <c r="U805" t="s">
        <v>94</v>
      </c>
      <c r="V805" t="s">
        <v>94</v>
      </c>
    </row>
    <row r="806">
      <c r="R806" t="s">
        <v>94</v>
      </c>
      <c r="S806" t="s">
        <v>94</v>
      </c>
      <c r="T806" t="s">
        <v>94</v>
      </c>
      <c r="U806" t="s">
        <v>94</v>
      </c>
      <c r="V806" t="s">
        <v>94</v>
      </c>
    </row>
    <row r="807">
      <c r="R807" t="s">
        <v>94</v>
      </c>
      <c r="S807" t="s">
        <v>94</v>
      </c>
      <c r="T807" t="s">
        <v>94</v>
      </c>
      <c r="U807" t="s">
        <v>94</v>
      </c>
      <c r="V807" t="s">
        <v>94</v>
      </c>
    </row>
    <row r="808">
      <c r="R808" t="s">
        <v>94</v>
      </c>
      <c r="S808" t="s">
        <v>94</v>
      </c>
      <c r="T808" t="s">
        <v>94</v>
      </c>
      <c r="U808" t="s">
        <v>94</v>
      </c>
      <c r="V808" t="s">
        <v>94</v>
      </c>
    </row>
    <row r="809">
      <c r="R809" t="s">
        <v>94</v>
      </c>
      <c r="S809" t="s">
        <v>94</v>
      </c>
      <c r="T809" t="s">
        <v>94</v>
      </c>
      <c r="U809" t="s">
        <v>94</v>
      </c>
      <c r="V809" t="s">
        <v>94</v>
      </c>
    </row>
    <row r="810">
      <c r="R810" t="s">
        <v>94</v>
      </c>
      <c r="S810" t="s">
        <v>94</v>
      </c>
      <c r="T810" t="s">
        <v>94</v>
      </c>
      <c r="U810" t="s">
        <v>94</v>
      </c>
      <c r="V810" t="s">
        <v>94</v>
      </c>
    </row>
    <row r="811">
      <c r="R811" t="s">
        <v>94</v>
      </c>
      <c r="S811" t="s">
        <v>94</v>
      </c>
      <c r="T811" t="s">
        <v>94</v>
      </c>
      <c r="U811" t="s">
        <v>94</v>
      </c>
      <c r="V811" t="s">
        <v>94</v>
      </c>
    </row>
    <row r="812">
      <c r="R812" t="s">
        <v>94</v>
      </c>
      <c r="S812" t="s">
        <v>94</v>
      </c>
      <c r="T812" t="s">
        <v>94</v>
      </c>
      <c r="U812" t="s">
        <v>94</v>
      </c>
      <c r="V812" t="s">
        <v>94</v>
      </c>
    </row>
    <row r="813">
      <c r="R813" t="s">
        <v>94</v>
      </c>
      <c r="S813" t="s">
        <v>94</v>
      </c>
      <c r="T813" t="s">
        <v>94</v>
      </c>
      <c r="U813" t="s">
        <v>94</v>
      </c>
      <c r="V813" t="s">
        <v>94</v>
      </c>
    </row>
    <row r="814">
      <c r="R814" t="s">
        <v>94</v>
      </c>
      <c r="S814" t="s">
        <v>94</v>
      </c>
      <c r="T814" t="s">
        <v>94</v>
      </c>
      <c r="U814" t="s">
        <v>94</v>
      </c>
      <c r="V814" t="s">
        <v>94</v>
      </c>
    </row>
    <row r="815">
      <c r="R815" t="s">
        <v>94</v>
      </c>
      <c r="S815" t="s">
        <v>94</v>
      </c>
      <c r="T815" t="s">
        <v>94</v>
      </c>
      <c r="U815" t="s">
        <v>94</v>
      </c>
      <c r="V815" t="s">
        <v>94</v>
      </c>
    </row>
    <row r="816">
      <c r="R816" t="s">
        <v>94</v>
      </c>
      <c r="S816" t="s">
        <v>94</v>
      </c>
      <c r="T816" t="s">
        <v>94</v>
      </c>
      <c r="U816" t="s">
        <v>94</v>
      </c>
      <c r="V816" t="s">
        <v>94</v>
      </c>
    </row>
    <row r="817">
      <c r="R817" t="s">
        <v>94</v>
      </c>
      <c r="S817" t="s">
        <v>94</v>
      </c>
      <c r="T817" t="s">
        <v>94</v>
      </c>
      <c r="U817" t="s">
        <v>94</v>
      </c>
      <c r="V817" t="s">
        <v>94</v>
      </c>
    </row>
    <row r="818">
      <c r="R818" t="s">
        <v>94</v>
      </c>
      <c r="S818" t="s">
        <v>94</v>
      </c>
      <c r="T818" t="s">
        <v>94</v>
      </c>
      <c r="U818" t="s">
        <v>94</v>
      </c>
      <c r="V818" t="s">
        <v>94</v>
      </c>
    </row>
    <row r="819">
      <c r="R819" t="s">
        <v>94</v>
      </c>
      <c r="S819" t="s">
        <v>94</v>
      </c>
      <c r="T819" t="s">
        <v>94</v>
      </c>
      <c r="U819" t="s">
        <v>94</v>
      </c>
      <c r="V819" t="s">
        <v>94</v>
      </c>
    </row>
    <row r="820">
      <c r="R820" t="s">
        <v>94</v>
      </c>
      <c r="S820" t="s">
        <v>94</v>
      </c>
      <c r="T820" t="s">
        <v>94</v>
      </c>
      <c r="U820" t="s">
        <v>94</v>
      </c>
      <c r="V820" t="s">
        <v>94</v>
      </c>
    </row>
    <row r="821">
      <c r="R821" t="s">
        <v>94</v>
      </c>
      <c r="S821" t="s">
        <v>94</v>
      </c>
      <c r="T821" t="s">
        <v>94</v>
      </c>
      <c r="U821" t="s">
        <v>94</v>
      </c>
      <c r="V821" t="s">
        <v>94</v>
      </c>
    </row>
    <row r="822">
      <c r="R822" t="s">
        <v>94</v>
      </c>
      <c r="S822" t="s">
        <v>94</v>
      </c>
      <c r="T822" t="s">
        <v>94</v>
      </c>
      <c r="U822" t="s">
        <v>94</v>
      </c>
      <c r="V822" t="s">
        <v>94</v>
      </c>
    </row>
    <row r="823">
      <c r="R823" t="s">
        <v>94</v>
      </c>
      <c r="S823" t="s">
        <v>94</v>
      </c>
      <c r="T823" t="s">
        <v>94</v>
      </c>
      <c r="U823" t="s">
        <v>94</v>
      </c>
      <c r="V823" t="s">
        <v>94</v>
      </c>
    </row>
    <row r="824">
      <c r="R824" t="s">
        <v>94</v>
      </c>
      <c r="S824" t="s">
        <v>94</v>
      </c>
      <c r="T824" t="s">
        <v>94</v>
      </c>
      <c r="U824" t="s">
        <v>94</v>
      </c>
      <c r="V824" t="s">
        <v>94</v>
      </c>
    </row>
    <row r="825">
      <c r="R825" t="s">
        <v>94</v>
      </c>
      <c r="S825" t="s">
        <v>94</v>
      </c>
      <c r="T825" t="s">
        <v>94</v>
      </c>
      <c r="U825" t="s">
        <v>94</v>
      </c>
      <c r="V825" t="s">
        <v>94</v>
      </c>
    </row>
    <row r="826">
      <c r="R826" t="s">
        <v>94</v>
      </c>
      <c r="S826" t="s">
        <v>94</v>
      </c>
      <c r="T826" t="s">
        <v>94</v>
      </c>
      <c r="U826" t="s">
        <v>94</v>
      </c>
      <c r="V826" t="s">
        <v>94</v>
      </c>
    </row>
    <row r="827">
      <c r="R827" t="s">
        <v>94</v>
      </c>
      <c r="S827" t="s">
        <v>94</v>
      </c>
      <c r="T827" t="s">
        <v>94</v>
      </c>
      <c r="U827" t="s">
        <v>94</v>
      </c>
      <c r="V827" t="s">
        <v>94</v>
      </c>
    </row>
    <row r="828">
      <c r="R828" t="s">
        <v>94</v>
      </c>
      <c r="S828" t="s">
        <v>94</v>
      </c>
      <c r="T828" t="s">
        <v>94</v>
      </c>
      <c r="U828" t="s">
        <v>94</v>
      </c>
      <c r="V828" t="s">
        <v>94</v>
      </c>
    </row>
    <row r="829">
      <c r="R829" t="s">
        <v>94</v>
      </c>
      <c r="S829" t="s">
        <v>94</v>
      </c>
      <c r="T829" t="s">
        <v>94</v>
      </c>
      <c r="U829" t="s">
        <v>94</v>
      </c>
      <c r="V829" t="s">
        <v>94</v>
      </c>
    </row>
    <row r="830">
      <c r="R830" t="s">
        <v>94</v>
      </c>
      <c r="S830" t="s">
        <v>94</v>
      </c>
      <c r="T830" t="s">
        <v>94</v>
      </c>
      <c r="U830" t="s">
        <v>94</v>
      </c>
      <c r="V830" t="s">
        <v>94</v>
      </c>
    </row>
    <row r="831">
      <c r="R831" t="s">
        <v>94</v>
      </c>
      <c r="S831" t="s">
        <v>94</v>
      </c>
      <c r="T831" t="s">
        <v>94</v>
      </c>
      <c r="U831" t="s">
        <v>94</v>
      </c>
      <c r="V831" t="s">
        <v>94</v>
      </c>
    </row>
    <row r="832">
      <c r="R832" t="s">
        <v>94</v>
      </c>
      <c r="S832" t="s">
        <v>94</v>
      </c>
      <c r="T832" t="s">
        <v>94</v>
      </c>
      <c r="U832" t="s">
        <v>94</v>
      </c>
      <c r="V832" t="s">
        <v>94</v>
      </c>
    </row>
    <row r="833">
      <c r="R833" t="s">
        <v>94</v>
      </c>
      <c r="S833" t="s">
        <v>94</v>
      </c>
      <c r="T833" t="s">
        <v>94</v>
      </c>
      <c r="U833" t="s">
        <v>94</v>
      </c>
      <c r="V833" t="s">
        <v>94</v>
      </c>
    </row>
    <row r="834">
      <c r="R834" t="s">
        <v>94</v>
      </c>
      <c r="S834" t="s">
        <v>94</v>
      </c>
      <c r="T834" t="s">
        <v>94</v>
      </c>
      <c r="U834" t="s">
        <v>94</v>
      </c>
      <c r="V834" t="s">
        <v>94</v>
      </c>
    </row>
    <row r="835">
      <c r="R835" t="s">
        <v>94</v>
      </c>
      <c r="S835" t="s">
        <v>94</v>
      </c>
      <c r="T835" t="s">
        <v>94</v>
      </c>
      <c r="U835" t="s">
        <v>94</v>
      </c>
      <c r="V835" t="s">
        <v>94</v>
      </c>
    </row>
    <row r="836">
      <c r="R836" t="s">
        <v>94</v>
      </c>
      <c r="S836" t="s">
        <v>94</v>
      </c>
      <c r="T836" t="s">
        <v>94</v>
      </c>
      <c r="U836" t="s">
        <v>94</v>
      </c>
      <c r="V836" t="s">
        <v>94</v>
      </c>
    </row>
    <row r="837">
      <c r="R837" t="s">
        <v>94</v>
      </c>
      <c r="S837" t="s">
        <v>94</v>
      </c>
      <c r="T837" t="s">
        <v>94</v>
      </c>
      <c r="U837" t="s">
        <v>94</v>
      </c>
      <c r="V837" t="s">
        <v>94</v>
      </c>
    </row>
    <row r="838">
      <c r="R838" t="s">
        <v>94</v>
      </c>
      <c r="S838" t="s">
        <v>94</v>
      </c>
      <c r="T838" t="s">
        <v>94</v>
      </c>
      <c r="U838" t="s">
        <v>94</v>
      </c>
      <c r="V838" t="s">
        <v>94</v>
      </c>
    </row>
    <row r="839">
      <c r="R839" t="s">
        <v>94</v>
      </c>
      <c r="S839" t="s">
        <v>94</v>
      </c>
      <c r="T839" t="s">
        <v>94</v>
      </c>
      <c r="U839" t="s">
        <v>94</v>
      </c>
      <c r="V839" t="s">
        <v>94</v>
      </c>
    </row>
    <row r="840">
      <c r="R840" t="s">
        <v>94</v>
      </c>
      <c r="S840" t="s">
        <v>94</v>
      </c>
      <c r="T840" t="s">
        <v>94</v>
      </c>
      <c r="U840" t="s">
        <v>94</v>
      </c>
      <c r="V840" t="s">
        <v>94</v>
      </c>
    </row>
    <row r="841">
      <c r="R841" t="s">
        <v>94</v>
      </c>
      <c r="S841" t="s">
        <v>94</v>
      </c>
      <c r="T841" t="s">
        <v>94</v>
      </c>
      <c r="U841" t="s">
        <v>94</v>
      </c>
      <c r="V841" t="s">
        <v>94</v>
      </c>
    </row>
    <row r="842">
      <c r="R842" t="s">
        <v>94</v>
      </c>
      <c r="S842" t="s">
        <v>94</v>
      </c>
      <c r="T842" t="s">
        <v>94</v>
      </c>
      <c r="U842" t="s">
        <v>94</v>
      </c>
      <c r="V842" t="s">
        <v>94</v>
      </c>
    </row>
    <row r="843">
      <c r="R843" t="s">
        <v>94</v>
      </c>
      <c r="S843" t="s">
        <v>94</v>
      </c>
      <c r="T843" t="s">
        <v>94</v>
      </c>
      <c r="U843" t="s">
        <v>94</v>
      </c>
      <c r="V843" t="s">
        <v>94</v>
      </c>
    </row>
    <row r="844">
      <c r="R844" t="s">
        <v>94</v>
      </c>
      <c r="S844" t="s">
        <v>94</v>
      </c>
      <c r="T844" t="s">
        <v>94</v>
      </c>
      <c r="U844" t="s">
        <v>94</v>
      </c>
      <c r="V844" t="s">
        <v>94</v>
      </c>
    </row>
    <row r="845">
      <c r="R845" t="s">
        <v>94</v>
      </c>
      <c r="S845" t="s">
        <v>94</v>
      </c>
      <c r="T845" t="s">
        <v>94</v>
      </c>
      <c r="U845" t="s">
        <v>94</v>
      </c>
      <c r="V845" t="s">
        <v>94</v>
      </c>
    </row>
    <row r="846">
      <c r="R846" t="s">
        <v>94</v>
      </c>
      <c r="S846" t="s">
        <v>94</v>
      </c>
      <c r="T846" t="s">
        <v>94</v>
      </c>
      <c r="U846" t="s">
        <v>94</v>
      </c>
      <c r="V846" t="s">
        <v>94</v>
      </c>
    </row>
    <row r="847">
      <c r="R847" t="s">
        <v>94</v>
      </c>
      <c r="S847" t="s">
        <v>94</v>
      </c>
      <c r="T847" t="s">
        <v>94</v>
      </c>
      <c r="U847" t="s">
        <v>94</v>
      </c>
      <c r="V847" t="s">
        <v>94</v>
      </c>
    </row>
    <row r="848">
      <c r="R848" t="s">
        <v>94</v>
      </c>
      <c r="S848" t="s">
        <v>94</v>
      </c>
      <c r="T848" t="s">
        <v>94</v>
      </c>
      <c r="U848" t="s">
        <v>94</v>
      </c>
      <c r="V848" t="s">
        <v>94</v>
      </c>
    </row>
    <row r="849">
      <c r="R849" t="s">
        <v>94</v>
      </c>
      <c r="S849" t="s">
        <v>94</v>
      </c>
      <c r="T849" t="s">
        <v>94</v>
      </c>
      <c r="U849" t="s">
        <v>94</v>
      </c>
      <c r="V849" t="s">
        <v>94</v>
      </c>
    </row>
    <row r="850">
      <c r="R850" t="s">
        <v>94</v>
      </c>
      <c r="S850" t="s">
        <v>94</v>
      </c>
      <c r="T850" t="s">
        <v>94</v>
      </c>
      <c r="U850" t="s">
        <v>94</v>
      </c>
      <c r="V850" t="s">
        <v>94</v>
      </c>
    </row>
    <row r="851">
      <c r="R851" t="s">
        <v>94</v>
      </c>
      <c r="S851" t="s">
        <v>94</v>
      </c>
      <c r="T851" t="s">
        <v>94</v>
      </c>
      <c r="U851" t="s">
        <v>94</v>
      </c>
      <c r="V851" t="s">
        <v>94</v>
      </c>
    </row>
    <row r="852">
      <c r="R852" t="s">
        <v>94</v>
      </c>
      <c r="S852" t="s">
        <v>94</v>
      </c>
      <c r="T852" t="s">
        <v>94</v>
      </c>
      <c r="U852" t="s">
        <v>94</v>
      </c>
      <c r="V852" t="s">
        <v>94</v>
      </c>
    </row>
    <row r="853">
      <c r="R853" t="s">
        <v>94</v>
      </c>
      <c r="S853" t="s">
        <v>94</v>
      </c>
      <c r="T853" t="s">
        <v>94</v>
      </c>
      <c r="U853" t="s">
        <v>94</v>
      </c>
      <c r="V853" t="s">
        <v>94</v>
      </c>
    </row>
    <row r="854">
      <c r="R854" t="s">
        <v>94</v>
      </c>
      <c r="S854" t="s">
        <v>94</v>
      </c>
      <c r="T854" t="s">
        <v>94</v>
      </c>
      <c r="U854" t="s">
        <v>94</v>
      </c>
      <c r="V854" t="s">
        <v>94</v>
      </c>
    </row>
    <row r="855">
      <c r="R855" t="s">
        <v>94</v>
      </c>
      <c r="S855" t="s">
        <v>94</v>
      </c>
      <c r="T855" t="s">
        <v>94</v>
      </c>
      <c r="U855" t="s">
        <v>94</v>
      </c>
      <c r="V855" t="s">
        <v>94</v>
      </c>
    </row>
    <row r="856">
      <c r="R856" t="s">
        <v>94</v>
      </c>
      <c r="S856" t="s">
        <v>94</v>
      </c>
      <c r="T856" t="s">
        <v>94</v>
      </c>
      <c r="U856" t="s">
        <v>94</v>
      </c>
      <c r="V856" t="s">
        <v>94</v>
      </c>
    </row>
    <row r="857">
      <c r="R857" t="s">
        <v>94</v>
      </c>
      <c r="S857" t="s">
        <v>94</v>
      </c>
      <c r="T857" t="s">
        <v>94</v>
      </c>
      <c r="U857" t="s">
        <v>94</v>
      </c>
      <c r="V857" t="s">
        <v>94</v>
      </c>
    </row>
    <row r="858">
      <c r="R858" t="s">
        <v>94</v>
      </c>
      <c r="S858" t="s">
        <v>94</v>
      </c>
      <c r="T858" t="s">
        <v>94</v>
      </c>
      <c r="U858" t="s">
        <v>94</v>
      </c>
      <c r="V858" t="s">
        <v>94</v>
      </c>
    </row>
    <row r="859">
      <c r="R859" t="s">
        <v>94</v>
      </c>
      <c r="S859" t="s">
        <v>94</v>
      </c>
      <c r="T859" t="s">
        <v>94</v>
      </c>
      <c r="U859" t="s">
        <v>94</v>
      </c>
      <c r="V859" t="s">
        <v>94</v>
      </c>
    </row>
    <row r="860">
      <c r="R860" t="s">
        <v>94</v>
      </c>
      <c r="S860" t="s">
        <v>94</v>
      </c>
      <c r="T860" t="s">
        <v>94</v>
      </c>
      <c r="U860" t="s">
        <v>94</v>
      </c>
      <c r="V860" t="s">
        <v>94</v>
      </c>
    </row>
    <row r="861">
      <c r="R861" t="s">
        <v>94</v>
      </c>
      <c r="S861" t="s">
        <v>94</v>
      </c>
      <c r="T861" t="s">
        <v>94</v>
      </c>
      <c r="U861" t="s">
        <v>94</v>
      </c>
      <c r="V861" t="s">
        <v>94</v>
      </c>
    </row>
    <row r="862">
      <c r="R862" t="s">
        <v>94</v>
      </c>
      <c r="S862" t="s">
        <v>94</v>
      </c>
      <c r="T862" t="s">
        <v>94</v>
      </c>
      <c r="U862" t="s">
        <v>94</v>
      </c>
      <c r="V862" t="s">
        <v>94</v>
      </c>
    </row>
    <row r="863">
      <c r="R863" t="s">
        <v>94</v>
      </c>
      <c r="S863" t="s">
        <v>94</v>
      </c>
      <c r="T863" t="s">
        <v>94</v>
      </c>
      <c r="U863" t="s">
        <v>94</v>
      </c>
      <c r="V863" t="s">
        <v>94</v>
      </c>
    </row>
    <row r="864">
      <c r="R864" t="s">
        <v>94</v>
      </c>
      <c r="S864" t="s">
        <v>94</v>
      </c>
      <c r="T864" t="s">
        <v>94</v>
      </c>
      <c r="U864" t="s">
        <v>94</v>
      </c>
      <c r="V864" t="s">
        <v>94</v>
      </c>
    </row>
    <row r="865">
      <c r="R865" t="s">
        <v>94</v>
      </c>
      <c r="S865" t="s">
        <v>94</v>
      </c>
      <c r="T865" t="s">
        <v>94</v>
      </c>
      <c r="U865" t="s">
        <v>94</v>
      </c>
      <c r="V865" t="s">
        <v>94</v>
      </c>
    </row>
    <row r="866">
      <c r="R866" t="s">
        <v>94</v>
      </c>
      <c r="S866" t="s">
        <v>94</v>
      </c>
      <c r="T866" t="s">
        <v>94</v>
      </c>
      <c r="U866" t="s">
        <v>94</v>
      </c>
      <c r="V866" t="s">
        <v>94</v>
      </c>
    </row>
    <row r="867">
      <c r="R867" t="s">
        <v>94</v>
      </c>
      <c r="S867" t="s">
        <v>94</v>
      </c>
      <c r="T867" t="s">
        <v>94</v>
      </c>
      <c r="U867" t="s">
        <v>94</v>
      </c>
      <c r="V867" t="s">
        <v>94</v>
      </c>
    </row>
    <row r="868">
      <c r="R868" t="s">
        <v>94</v>
      </c>
      <c r="S868" t="s">
        <v>94</v>
      </c>
      <c r="T868" t="s">
        <v>94</v>
      </c>
      <c r="U868" t="s">
        <v>94</v>
      </c>
      <c r="V868" t="s">
        <v>94</v>
      </c>
    </row>
    <row r="869">
      <c r="R869" t="s">
        <v>94</v>
      </c>
      <c r="S869" t="s">
        <v>94</v>
      </c>
      <c r="T869" t="s">
        <v>94</v>
      </c>
      <c r="U869" t="s">
        <v>94</v>
      </c>
      <c r="V869" t="s">
        <v>94</v>
      </c>
    </row>
    <row r="870">
      <c r="R870" t="s">
        <v>94</v>
      </c>
      <c r="S870" t="s">
        <v>94</v>
      </c>
      <c r="T870" t="s">
        <v>94</v>
      </c>
      <c r="U870" t="s">
        <v>94</v>
      </c>
      <c r="V870" t="s">
        <v>94</v>
      </c>
    </row>
    <row r="871">
      <c r="R871" t="s">
        <v>94</v>
      </c>
      <c r="S871" t="s">
        <v>94</v>
      </c>
      <c r="T871" t="s">
        <v>94</v>
      </c>
      <c r="U871" t="s">
        <v>94</v>
      </c>
      <c r="V871" t="s">
        <v>94</v>
      </c>
    </row>
    <row r="872">
      <c r="R872" t="s">
        <v>94</v>
      </c>
      <c r="S872" t="s">
        <v>94</v>
      </c>
      <c r="T872" t="s">
        <v>94</v>
      </c>
      <c r="U872" t="s">
        <v>94</v>
      </c>
      <c r="V872" t="s">
        <v>94</v>
      </c>
    </row>
    <row r="873">
      <c r="R873" t="s">
        <v>94</v>
      </c>
      <c r="S873" t="s">
        <v>94</v>
      </c>
      <c r="T873" t="s">
        <v>94</v>
      </c>
      <c r="U873" t="s">
        <v>94</v>
      </c>
      <c r="V873" t="s">
        <v>94</v>
      </c>
    </row>
    <row r="874">
      <c r="R874" t="s">
        <v>94</v>
      </c>
      <c r="S874" t="s">
        <v>94</v>
      </c>
      <c r="T874" t="s">
        <v>94</v>
      </c>
      <c r="U874" t="s">
        <v>94</v>
      </c>
      <c r="V874" t="s">
        <v>94</v>
      </c>
    </row>
    <row r="875">
      <c r="R875" t="s">
        <v>94</v>
      </c>
      <c r="S875" t="s">
        <v>94</v>
      </c>
      <c r="T875" t="s">
        <v>94</v>
      </c>
      <c r="U875" t="s">
        <v>94</v>
      </c>
      <c r="V875" t="s">
        <v>94</v>
      </c>
    </row>
    <row r="876">
      <c r="R876" t="s">
        <v>94</v>
      </c>
      <c r="S876" t="s">
        <v>94</v>
      </c>
      <c r="T876" t="s">
        <v>94</v>
      </c>
      <c r="U876" t="s">
        <v>94</v>
      </c>
      <c r="V876" t="s">
        <v>94</v>
      </c>
    </row>
    <row r="877">
      <c r="R877" t="s">
        <v>94</v>
      </c>
      <c r="S877" t="s">
        <v>94</v>
      </c>
      <c r="T877" t="s">
        <v>94</v>
      </c>
      <c r="U877" t="s">
        <v>94</v>
      </c>
      <c r="V877" t="s">
        <v>94</v>
      </c>
    </row>
    <row r="878">
      <c r="R878" t="s">
        <v>94</v>
      </c>
      <c r="S878" t="s">
        <v>94</v>
      </c>
      <c r="T878" t="s">
        <v>94</v>
      </c>
      <c r="U878" t="s">
        <v>94</v>
      </c>
      <c r="V878" t="s">
        <v>94</v>
      </c>
    </row>
    <row r="879">
      <c r="R879" t="s">
        <v>94</v>
      </c>
      <c r="S879" t="s">
        <v>94</v>
      </c>
      <c r="T879" t="s">
        <v>94</v>
      </c>
      <c r="U879" t="s">
        <v>94</v>
      </c>
      <c r="V879" t="s">
        <v>94</v>
      </c>
    </row>
    <row r="880">
      <c r="R880" t="s">
        <v>94</v>
      </c>
      <c r="S880" t="s">
        <v>94</v>
      </c>
      <c r="T880" t="s">
        <v>94</v>
      </c>
      <c r="U880" t="s">
        <v>94</v>
      </c>
      <c r="V880" t="s">
        <v>94</v>
      </c>
    </row>
    <row r="881">
      <c r="R881" t="s">
        <v>94</v>
      </c>
      <c r="S881" t="s">
        <v>94</v>
      </c>
      <c r="T881" t="s">
        <v>94</v>
      </c>
      <c r="U881" t="s">
        <v>94</v>
      </c>
      <c r="V881" t="s">
        <v>94</v>
      </c>
    </row>
    <row r="882">
      <c r="R882" t="s">
        <v>94</v>
      </c>
      <c r="S882" t="s">
        <v>94</v>
      </c>
      <c r="T882" t="s">
        <v>94</v>
      </c>
      <c r="U882" t="s">
        <v>94</v>
      </c>
      <c r="V882" t="s">
        <v>94</v>
      </c>
    </row>
    <row r="883">
      <c r="R883" t="s">
        <v>94</v>
      </c>
      <c r="S883" t="s">
        <v>94</v>
      </c>
      <c r="T883" t="s">
        <v>94</v>
      </c>
      <c r="U883" t="s">
        <v>94</v>
      </c>
      <c r="V883" t="s">
        <v>94</v>
      </c>
    </row>
    <row r="884">
      <c r="R884" t="s">
        <v>94</v>
      </c>
      <c r="S884" t="s">
        <v>94</v>
      </c>
      <c r="T884" t="s">
        <v>94</v>
      </c>
      <c r="U884" t="s">
        <v>94</v>
      </c>
      <c r="V884" t="s">
        <v>94</v>
      </c>
    </row>
    <row r="885">
      <c r="R885" t="s">
        <v>94</v>
      </c>
      <c r="S885" t="s">
        <v>94</v>
      </c>
      <c r="T885" t="s">
        <v>94</v>
      </c>
      <c r="U885" t="s">
        <v>94</v>
      </c>
      <c r="V885" t="s">
        <v>94</v>
      </c>
    </row>
    <row r="886">
      <c r="R886" t="s">
        <v>94</v>
      </c>
      <c r="S886" t="s">
        <v>94</v>
      </c>
      <c r="T886" t="s">
        <v>94</v>
      </c>
      <c r="U886" t="s">
        <v>94</v>
      </c>
      <c r="V886" t="s">
        <v>94</v>
      </c>
    </row>
    <row r="887">
      <c r="R887" t="s">
        <v>94</v>
      </c>
      <c r="S887" t="s">
        <v>94</v>
      </c>
      <c r="T887" t="s">
        <v>94</v>
      </c>
      <c r="U887" t="s">
        <v>94</v>
      </c>
      <c r="V887" t="s">
        <v>94</v>
      </c>
    </row>
    <row r="888">
      <c r="R888" t="s">
        <v>94</v>
      </c>
      <c r="S888" t="s">
        <v>94</v>
      </c>
      <c r="T888" t="s">
        <v>94</v>
      </c>
      <c r="U888" t="s">
        <v>94</v>
      </c>
      <c r="V888" t="s">
        <v>94</v>
      </c>
    </row>
    <row r="889">
      <c r="R889" t="s">
        <v>94</v>
      </c>
      <c r="S889" t="s">
        <v>94</v>
      </c>
      <c r="T889" t="s">
        <v>94</v>
      </c>
      <c r="U889" t="s">
        <v>94</v>
      </c>
      <c r="V889" t="s">
        <v>94</v>
      </c>
    </row>
    <row r="890">
      <c r="R890" t="s">
        <v>94</v>
      </c>
      <c r="S890" t="s">
        <v>94</v>
      </c>
      <c r="T890" t="s">
        <v>94</v>
      </c>
      <c r="U890" t="s">
        <v>94</v>
      </c>
      <c r="V890" t="s">
        <v>94</v>
      </c>
    </row>
    <row r="891">
      <c r="R891" t="s">
        <v>94</v>
      </c>
      <c r="S891" t="s">
        <v>94</v>
      </c>
      <c r="T891" t="s">
        <v>94</v>
      </c>
      <c r="U891" t="s">
        <v>94</v>
      </c>
      <c r="V891" t="s">
        <v>94</v>
      </c>
    </row>
    <row r="892">
      <c r="R892" t="s">
        <v>94</v>
      </c>
      <c r="S892" t="s">
        <v>94</v>
      </c>
      <c r="T892" t="s">
        <v>94</v>
      </c>
      <c r="U892" t="s">
        <v>94</v>
      </c>
      <c r="V892" t="s">
        <v>94</v>
      </c>
    </row>
    <row r="893">
      <c r="R893" t="s">
        <v>94</v>
      </c>
      <c r="S893" t="s">
        <v>94</v>
      </c>
      <c r="T893" t="s">
        <v>94</v>
      </c>
      <c r="U893" t="s">
        <v>94</v>
      </c>
      <c r="V893" t="s">
        <v>94</v>
      </c>
    </row>
    <row r="894">
      <c r="R894" t="s">
        <v>94</v>
      </c>
      <c r="S894" t="s">
        <v>94</v>
      </c>
      <c r="T894" t="s">
        <v>94</v>
      </c>
      <c r="U894" t="s">
        <v>94</v>
      </c>
      <c r="V894" t="s">
        <v>94</v>
      </c>
    </row>
    <row r="895">
      <c r="R895" t="s">
        <v>94</v>
      </c>
      <c r="S895" t="s">
        <v>94</v>
      </c>
      <c r="T895" t="s">
        <v>94</v>
      </c>
      <c r="U895" t="s">
        <v>94</v>
      </c>
      <c r="V895" t="s">
        <v>94</v>
      </c>
    </row>
    <row r="896">
      <c r="R896" t="s">
        <v>94</v>
      </c>
      <c r="S896" t="s">
        <v>94</v>
      </c>
      <c r="T896" t="s">
        <v>94</v>
      </c>
      <c r="U896" t="s">
        <v>94</v>
      </c>
      <c r="V896" t="s">
        <v>94</v>
      </c>
    </row>
    <row r="897">
      <c r="R897" t="s">
        <v>94</v>
      </c>
      <c r="S897" t="s">
        <v>94</v>
      </c>
      <c r="T897" t="s">
        <v>94</v>
      </c>
      <c r="U897" t="s">
        <v>94</v>
      </c>
      <c r="V897" t="s">
        <v>94</v>
      </c>
    </row>
    <row r="898">
      <c r="R898" t="s">
        <v>94</v>
      </c>
      <c r="S898" t="s">
        <v>94</v>
      </c>
      <c r="T898" t="s">
        <v>94</v>
      </c>
      <c r="U898" t="s">
        <v>94</v>
      </c>
      <c r="V898" t="s">
        <v>94</v>
      </c>
    </row>
    <row r="899">
      <c r="R899" t="s">
        <v>94</v>
      </c>
      <c r="S899" t="s">
        <v>94</v>
      </c>
      <c r="T899" t="s">
        <v>94</v>
      </c>
      <c r="U899" t="s">
        <v>94</v>
      </c>
      <c r="V899" t="s">
        <v>94</v>
      </c>
    </row>
    <row r="900">
      <c r="R900" t="s">
        <v>94</v>
      </c>
      <c r="S900" t="s">
        <v>94</v>
      </c>
      <c r="T900" t="s">
        <v>94</v>
      </c>
      <c r="U900" t="s">
        <v>94</v>
      </c>
      <c r="V900" t="s">
        <v>94</v>
      </c>
    </row>
    <row r="901">
      <c r="R901" t="s">
        <v>94</v>
      </c>
      <c r="S901" t="s">
        <v>94</v>
      </c>
      <c r="T901" t="s">
        <v>94</v>
      </c>
      <c r="U901" t="s">
        <v>94</v>
      </c>
      <c r="V901" t="s">
        <v>94</v>
      </c>
    </row>
    <row r="902">
      <c r="R902" t="s">
        <v>94</v>
      </c>
      <c r="S902" t="s">
        <v>94</v>
      </c>
      <c r="T902" t="s">
        <v>94</v>
      </c>
      <c r="U902" t="s">
        <v>94</v>
      </c>
      <c r="V902" t="s">
        <v>94</v>
      </c>
    </row>
    <row r="903">
      <c r="R903" t="s">
        <v>94</v>
      </c>
      <c r="S903" t="s">
        <v>94</v>
      </c>
      <c r="T903" t="s">
        <v>94</v>
      </c>
      <c r="U903" t="s">
        <v>94</v>
      </c>
      <c r="V903" t="s">
        <v>94</v>
      </c>
    </row>
    <row r="904">
      <c r="R904" t="s">
        <v>94</v>
      </c>
      <c r="S904" t="s">
        <v>94</v>
      </c>
      <c r="T904" t="s">
        <v>94</v>
      </c>
      <c r="U904" t="s">
        <v>94</v>
      </c>
      <c r="V904" t="s">
        <v>94</v>
      </c>
    </row>
    <row r="905">
      <c r="R905" t="s">
        <v>94</v>
      </c>
      <c r="S905" t="s">
        <v>94</v>
      </c>
      <c r="T905" t="s">
        <v>94</v>
      </c>
      <c r="U905" t="s">
        <v>94</v>
      </c>
      <c r="V905" t="s">
        <v>94</v>
      </c>
    </row>
    <row r="906">
      <c r="R906" t="s">
        <v>94</v>
      </c>
      <c r="S906" t="s">
        <v>94</v>
      </c>
      <c r="T906" t="s">
        <v>94</v>
      </c>
      <c r="U906" t="s">
        <v>94</v>
      </c>
      <c r="V906" t="s">
        <v>94</v>
      </c>
    </row>
    <row r="907">
      <c r="R907" t="s">
        <v>94</v>
      </c>
      <c r="S907" t="s">
        <v>94</v>
      </c>
      <c r="T907" t="s">
        <v>94</v>
      </c>
      <c r="U907" t="s">
        <v>94</v>
      </c>
      <c r="V907" t="s">
        <v>94</v>
      </c>
    </row>
    <row r="908">
      <c r="R908" t="s">
        <v>94</v>
      </c>
      <c r="S908" t="s">
        <v>94</v>
      </c>
      <c r="T908" t="s">
        <v>94</v>
      </c>
      <c r="U908" t="s">
        <v>94</v>
      </c>
      <c r="V908" t="s">
        <v>94</v>
      </c>
    </row>
    <row r="909">
      <c r="R909" t="s">
        <v>94</v>
      </c>
      <c r="S909" t="s">
        <v>94</v>
      </c>
      <c r="T909" t="s">
        <v>94</v>
      </c>
      <c r="U909" t="s">
        <v>94</v>
      </c>
      <c r="V909" t="s">
        <v>94</v>
      </c>
    </row>
    <row r="910">
      <c r="R910" t="s">
        <v>94</v>
      </c>
      <c r="S910" t="s">
        <v>94</v>
      </c>
      <c r="T910" t="s">
        <v>94</v>
      </c>
      <c r="U910" t="s">
        <v>94</v>
      </c>
      <c r="V910" t="s">
        <v>94</v>
      </c>
    </row>
    <row r="911">
      <c r="R911" t="s">
        <v>94</v>
      </c>
      <c r="S911" t="s">
        <v>94</v>
      </c>
      <c r="T911" t="s">
        <v>94</v>
      </c>
      <c r="U911" t="s">
        <v>94</v>
      </c>
      <c r="V911" t="s">
        <v>94</v>
      </c>
    </row>
    <row r="912">
      <c r="R912" t="s">
        <v>94</v>
      </c>
      <c r="S912" t="s">
        <v>94</v>
      </c>
      <c r="T912" t="s">
        <v>94</v>
      </c>
      <c r="U912" t="s">
        <v>94</v>
      </c>
      <c r="V912" t="s">
        <v>94</v>
      </c>
    </row>
    <row r="913">
      <c r="R913" t="s">
        <v>94</v>
      </c>
      <c r="S913" t="s">
        <v>94</v>
      </c>
      <c r="T913" t="s">
        <v>94</v>
      </c>
      <c r="U913" t="s">
        <v>94</v>
      </c>
      <c r="V913" t="s">
        <v>94</v>
      </c>
    </row>
    <row r="914">
      <c r="R914" t="s">
        <v>94</v>
      </c>
      <c r="S914" t="s">
        <v>94</v>
      </c>
      <c r="T914" t="s">
        <v>94</v>
      </c>
      <c r="U914" t="s">
        <v>94</v>
      </c>
      <c r="V914" t="s">
        <v>94</v>
      </c>
    </row>
    <row r="915">
      <c r="R915" t="s">
        <v>94</v>
      </c>
      <c r="S915" t="s">
        <v>94</v>
      </c>
      <c r="T915" t="s">
        <v>94</v>
      </c>
      <c r="U915" t="s">
        <v>94</v>
      </c>
      <c r="V915" t="s">
        <v>94</v>
      </c>
    </row>
    <row r="916">
      <c r="R916" t="s">
        <v>94</v>
      </c>
      <c r="S916" t="s">
        <v>94</v>
      </c>
      <c r="T916" t="s">
        <v>94</v>
      </c>
      <c r="U916" t="s">
        <v>94</v>
      </c>
      <c r="V916" t="s">
        <v>94</v>
      </c>
    </row>
    <row r="917">
      <c r="R917" t="s">
        <v>94</v>
      </c>
      <c r="S917" t="s">
        <v>94</v>
      </c>
      <c r="T917" t="s">
        <v>94</v>
      </c>
      <c r="U917" t="s">
        <v>94</v>
      </c>
      <c r="V917" t="s">
        <v>94</v>
      </c>
    </row>
    <row r="918">
      <c r="R918" t="s">
        <v>94</v>
      </c>
      <c r="S918" t="s">
        <v>94</v>
      </c>
      <c r="T918" t="s">
        <v>94</v>
      </c>
      <c r="U918" t="s">
        <v>94</v>
      </c>
      <c r="V918" t="s">
        <v>94</v>
      </c>
    </row>
    <row r="919">
      <c r="R919" t="s">
        <v>94</v>
      </c>
      <c r="S919" t="s">
        <v>94</v>
      </c>
      <c r="T919" t="s">
        <v>94</v>
      </c>
      <c r="U919" t="s">
        <v>94</v>
      </c>
      <c r="V919" t="s">
        <v>94</v>
      </c>
    </row>
    <row r="920">
      <c r="R920" t="s">
        <v>94</v>
      </c>
      <c r="S920" t="s">
        <v>94</v>
      </c>
      <c r="T920" t="s">
        <v>94</v>
      </c>
      <c r="U920" t="s">
        <v>94</v>
      </c>
      <c r="V920" t="s">
        <v>94</v>
      </c>
    </row>
    <row r="921">
      <c r="R921" t="s">
        <v>94</v>
      </c>
      <c r="S921" t="s">
        <v>94</v>
      </c>
      <c r="T921" t="s">
        <v>94</v>
      </c>
      <c r="U921" t="s">
        <v>94</v>
      </c>
      <c r="V921" t="s">
        <v>94</v>
      </c>
    </row>
    <row r="922">
      <c r="R922" t="s">
        <v>94</v>
      </c>
      <c r="S922" t="s">
        <v>94</v>
      </c>
      <c r="T922" t="s">
        <v>94</v>
      </c>
      <c r="U922" t="s">
        <v>94</v>
      </c>
      <c r="V922" t="s">
        <v>94</v>
      </c>
    </row>
    <row r="923">
      <c r="R923" t="s">
        <v>94</v>
      </c>
      <c r="S923" t="s">
        <v>94</v>
      </c>
      <c r="T923" t="s">
        <v>94</v>
      </c>
      <c r="U923" t="s">
        <v>94</v>
      </c>
      <c r="V923" t="s">
        <v>94</v>
      </c>
    </row>
    <row r="924">
      <c r="R924" t="s">
        <v>94</v>
      </c>
      <c r="S924" t="s">
        <v>94</v>
      </c>
      <c r="T924" t="s">
        <v>94</v>
      </c>
      <c r="U924" t="s">
        <v>94</v>
      </c>
      <c r="V924" t="s">
        <v>94</v>
      </c>
    </row>
    <row r="925">
      <c r="R925" t="s">
        <v>94</v>
      </c>
      <c r="S925" t="s">
        <v>94</v>
      </c>
      <c r="T925" t="s">
        <v>94</v>
      </c>
      <c r="U925" t="s">
        <v>94</v>
      </c>
      <c r="V925" t="s">
        <v>94</v>
      </c>
    </row>
    <row r="926">
      <c r="R926" t="s">
        <v>94</v>
      </c>
      <c r="S926" t="s">
        <v>94</v>
      </c>
      <c r="T926" t="s">
        <v>94</v>
      </c>
      <c r="U926" t="s">
        <v>94</v>
      </c>
      <c r="V926" t="s">
        <v>94</v>
      </c>
    </row>
    <row r="927">
      <c r="R927" t="s">
        <v>94</v>
      </c>
      <c r="S927" t="s">
        <v>94</v>
      </c>
      <c r="T927" t="s">
        <v>94</v>
      </c>
      <c r="U927" t="s">
        <v>94</v>
      </c>
      <c r="V927" t="s">
        <v>94</v>
      </c>
    </row>
    <row r="928">
      <c r="R928" t="s">
        <v>94</v>
      </c>
      <c r="S928" t="s">
        <v>94</v>
      </c>
      <c r="T928" t="s">
        <v>94</v>
      </c>
      <c r="U928" t="s">
        <v>94</v>
      </c>
      <c r="V928" t="s">
        <v>94</v>
      </c>
    </row>
    <row r="929">
      <c r="R929" t="s">
        <v>94</v>
      </c>
      <c r="S929" t="s">
        <v>94</v>
      </c>
      <c r="T929" t="s">
        <v>94</v>
      </c>
      <c r="U929" t="s">
        <v>94</v>
      </c>
      <c r="V929" t="s">
        <v>94</v>
      </c>
    </row>
    <row r="930">
      <c r="R930" t="s">
        <v>94</v>
      </c>
      <c r="S930" t="s">
        <v>94</v>
      </c>
      <c r="T930" t="s">
        <v>94</v>
      </c>
      <c r="U930" t="s">
        <v>94</v>
      </c>
      <c r="V930" t="s">
        <v>94</v>
      </c>
    </row>
    <row r="931">
      <c r="R931" t="s">
        <v>94</v>
      </c>
      <c r="S931" t="s">
        <v>94</v>
      </c>
      <c r="T931" t="s">
        <v>94</v>
      </c>
      <c r="U931" t="s">
        <v>94</v>
      </c>
      <c r="V931" t="s">
        <v>94</v>
      </c>
    </row>
    <row r="932">
      <c r="R932" t="s">
        <v>94</v>
      </c>
      <c r="S932" t="s">
        <v>94</v>
      </c>
      <c r="T932" t="s">
        <v>94</v>
      </c>
      <c r="U932" t="s">
        <v>94</v>
      </c>
      <c r="V932" t="s">
        <v>94</v>
      </c>
    </row>
    <row r="933">
      <c r="R933" t="s">
        <v>94</v>
      </c>
      <c r="S933" t="s">
        <v>94</v>
      </c>
      <c r="T933" t="s">
        <v>94</v>
      </c>
      <c r="U933" t="s">
        <v>94</v>
      </c>
      <c r="V933" t="s">
        <v>94</v>
      </c>
    </row>
    <row r="934">
      <c r="R934" t="s">
        <v>94</v>
      </c>
      <c r="S934" t="s">
        <v>94</v>
      </c>
      <c r="T934" t="s">
        <v>94</v>
      </c>
      <c r="U934" t="s">
        <v>94</v>
      </c>
      <c r="V934" t="s">
        <v>94</v>
      </c>
    </row>
    <row r="935">
      <c r="R935" t="s">
        <v>94</v>
      </c>
      <c r="S935" t="s">
        <v>94</v>
      </c>
      <c r="T935" t="s">
        <v>94</v>
      </c>
      <c r="U935" t="s">
        <v>94</v>
      </c>
      <c r="V935" t="s">
        <v>94</v>
      </c>
    </row>
    <row r="936">
      <c r="R936" t="s">
        <v>94</v>
      </c>
      <c r="S936" t="s">
        <v>94</v>
      </c>
      <c r="T936" t="s">
        <v>94</v>
      </c>
      <c r="U936" t="s">
        <v>94</v>
      </c>
      <c r="V936" t="s">
        <v>94</v>
      </c>
    </row>
    <row r="937">
      <c r="R937" t="s">
        <v>94</v>
      </c>
      <c r="S937" t="s">
        <v>94</v>
      </c>
      <c r="T937" t="s">
        <v>94</v>
      </c>
      <c r="U937" t="s">
        <v>94</v>
      </c>
      <c r="V937" t="s">
        <v>94</v>
      </c>
    </row>
    <row r="938">
      <c r="R938" t="s">
        <v>94</v>
      </c>
      <c r="S938" t="s">
        <v>94</v>
      </c>
      <c r="T938" t="s">
        <v>94</v>
      </c>
      <c r="U938" t="s">
        <v>94</v>
      </c>
      <c r="V938" t="s">
        <v>94</v>
      </c>
    </row>
    <row r="939">
      <c r="R939" t="s">
        <v>94</v>
      </c>
      <c r="S939" t="s">
        <v>94</v>
      </c>
      <c r="T939" t="s">
        <v>94</v>
      </c>
      <c r="U939" t="s">
        <v>94</v>
      </c>
      <c r="V939" t="s">
        <v>94</v>
      </c>
    </row>
    <row r="940">
      <c r="R940" t="s">
        <v>94</v>
      </c>
      <c r="S940" t="s">
        <v>94</v>
      </c>
      <c r="T940" t="s">
        <v>94</v>
      </c>
      <c r="U940" t="s">
        <v>94</v>
      </c>
      <c r="V940" t="s">
        <v>94</v>
      </c>
    </row>
    <row r="941">
      <c r="R941" t="s">
        <v>94</v>
      </c>
      <c r="S941" t="s">
        <v>94</v>
      </c>
      <c r="T941" t="s">
        <v>94</v>
      </c>
      <c r="U941" t="s">
        <v>94</v>
      </c>
      <c r="V941" t="s">
        <v>94</v>
      </c>
    </row>
    <row r="942">
      <c r="R942" t="s">
        <v>94</v>
      </c>
      <c r="S942" t="s">
        <v>94</v>
      </c>
      <c r="T942" t="s">
        <v>94</v>
      </c>
      <c r="U942" t="s">
        <v>94</v>
      </c>
      <c r="V942" t="s">
        <v>94</v>
      </c>
    </row>
    <row r="943">
      <c r="R943" t="s">
        <v>94</v>
      </c>
      <c r="S943" t="s">
        <v>94</v>
      </c>
      <c r="T943" t="s">
        <v>94</v>
      </c>
      <c r="U943" t="s">
        <v>94</v>
      </c>
      <c r="V943" t="s">
        <v>94</v>
      </c>
    </row>
    <row r="944">
      <c r="R944" t="s">
        <v>94</v>
      </c>
      <c r="S944" t="s">
        <v>94</v>
      </c>
      <c r="T944" t="s">
        <v>94</v>
      </c>
      <c r="U944" t="s">
        <v>94</v>
      </c>
      <c r="V944" t="s">
        <v>94</v>
      </c>
    </row>
    <row r="945">
      <c r="R945" t="s">
        <v>94</v>
      </c>
      <c r="S945" t="s">
        <v>94</v>
      </c>
      <c r="T945" t="s">
        <v>94</v>
      </c>
      <c r="U945" t="s">
        <v>94</v>
      </c>
      <c r="V945" t="s">
        <v>94</v>
      </c>
    </row>
    <row r="946">
      <c r="R946" t="s">
        <v>94</v>
      </c>
      <c r="S946" t="s">
        <v>94</v>
      </c>
      <c r="T946" t="s">
        <v>94</v>
      </c>
      <c r="U946" t="s">
        <v>94</v>
      </c>
      <c r="V946" t="s">
        <v>94</v>
      </c>
    </row>
    <row r="947">
      <c r="R947" t="s">
        <v>94</v>
      </c>
      <c r="S947" t="s">
        <v>94</v>
      </c>
      <c r="T947" t="s">
        <v>94</v>
      </c>
      <c r="U947" t="s">
        <v>94</v>
      </c>
      <c r="V947" t="s">
        <v>94</v>
      </c>
    </row>
    <row r="948">
      <c r="R948" t="s">
        <v>94</v>
      </c>
      <c r="S948" t="s">
        <v>94</v>
      </c>
      <c r="T948" t="s">
        <v>94</v>
      </c>
      <c r="U948" t="s">
        <v>94</v>
      </c>
      <c r="V948" t="s">
        <v>94</v>
      </c>
    </row>
    <row r="949">
      <c r="R949" t="s">
        <v>94</v>
      </c>
      <c r="S949" t="s">
        <v>94</v>
      </c>
      <c r="T949" t="s">
        <v>94</v>
      </c>
      <c r="U949" t="s">
        <v>94</v>
      </c>
      <c r="V949" t="s">
        <v>94</v>
      </c>
    </row>
    <row r="950">
      <c r="R950" t="s">
        <v>94</v>
      </c>
      <c r="S950" t="s">
        <v>94</v>
      </c>
      <c r="T950" t="s">
        <v>94</v>
      </c>
      <c r="U950" t="s">
        <v>94</v>
      </c>
      <c r="V950" t="s">
        <v>94</v>
      </c>
    </row>
    <row r="951">
      <c r="R951" t="s">
        <v>94</v>
      </c>
      <c r="S951" t="s">
        <v>94</v>
      </c>
      <c r="T951" t="s">
        <v>94</v>
      </c>
      <c r="U951" t="s">
        <v>94</v>
      </c>
      <c r="V951" t="s">
        <v>94</v>
      </c>
    </row>
    <row r="952">
      <c r="R952" t="s">
        <v>94</v>
      </c>
      <c r="S952" t="s">
        <v>94</v>
      </c>
      <c r="T952" t="s">
        <v>94</v>
      </c>
      <c r="U952" t="s">
        <v>94</v>
      </c>
      <c r="V952" t="s">
        <v>94</v>
      </c>
    </row>
    <row r="953">
      <c r="R953" t="s">
        <v>94</v>
      </c>
      <c r="S953" t="s">
        <v>94</v>
      </c>
      <c r="T953" t="s">
        <v>94</v>
      </c>
      <c r="U953" t="s">
        <v>94</v>
      </c>
      <c r="V953" t="s">
        <v>94</v>
      </c>
    </row>
    <row r="954">
      <c r="R954" t="s">
        <v>94</v>
      </c>
      <c r="S954" t="s">
        <v>94</v>
      </c>
      <c r="T954" t="s">
        <v>94</v>
      </c>
      <c r="U954" t="s">
        <v>94</v>
      </c>
      <c r="V954" t="s">
        <v>94</v>
      </c>
    </row>
    <row r="955">
      <c r="R955" t="s">
        <v>94</v>
      </c>
      <c r="S955" t="s">
        <v>94</v>
      </c>
      <c r="T955" t="s">
        <v>94</v>
      </c>
      <c r="U955" t="s">
        <v>94</v>
      </c>
      <c r="V955" t="s">
        <v>94</v>
      </c>
    </row>
    <row r="956">
      <c r="R956" t="s">
        <v>94</v>
      </c>
      <c r="S956" t="s">
        <v>94</v>
      </c>
      <c r="T956" t="s">
        <v>94</v>
      </c>
      <c r="U956" t="s">
        <v>94</v>
      </c>
      <c r="V956" t="s">
        <v>94</v>
      </c>
    </row>
    <row r="957">
      <c r="R957" t="s">
        <v>94</v>
      </c>
      <c r="S957" t="s">
        <v>94</v>
      </c>
      <c r="T957" t="s">
        <v>94</v>
      </c>
      <c r="U957" t="s">
        <v>94</v>
      </c>
      <c r="V957" t="s">
        <v>94</v>
      </c>
    </row>
    <row r="958">
      <c r="R958" t="s">
        <v>94</v>
      </c>
      <c r="S958" t="s">
        <v>94</v>
      </c>
      <c r="T958" t="s">
        <v>94</v>
      </c>
      <c r="U958" t="s">
        <v>94</v>
      </c>
      <c r="V958" t="s">
        <v>94</v>
      </c>
    </row>
    <row r="959">
      <c r="R959" t="s">
        <v>94</v>
      </c>
      <c r="S959" t="s">
        <v>94</v>
      </c>
      <c r="T959" t="s">
        <v>94</v>
      </c>
      <c r="U959" t="s">
        <v>94</v>
      </c>
      <c r="V959" t="s">
        <v>94</v>
      </c>
    </row>
    <row r="960">
      <c r="R960" t="s">
        <v>94</v>
      </c>
      <c r="S960" t="s">
        <v>94</v>
      </c>
      <c r="T960" t="s">
        <v>94</v>
      </c>
      <c r="U960" t="s">
        <v>94</v>
      </c>
      <c r="V960" t="s">
        <v>94</v>
      </c>
    </row>
    <row r="961">
      <c r="R961" t="s">
        <v>94</v>
      </c>
      <c r="S961" t="s">
        <v>94</v>
      </c>
      <c r="T961" t="s">
        <v>94</v>
      </c>
      <c r="U961" t="s">
        <v>94</v>
      </c>
      <c r="V961" t="s">
        <v>94</v>
      </c>
    </row>
    <row r="962">
      <c r="R962" t="s">
        <v>94</v>
      </c>
      <c r="S962" t="s">
        <v>94</v>
      </c>
      <c r="T962" t="s">
        <v>94</v>
      </c>
      <c r="U962" t="s">
        <v>94</v>
      </c>
      <c r="V962" t="s">
        <v>94</v>
      </c>
    </row>
    <row r="963">
      <c r="R963" t="s">
        <v>94</v>
      </c>
      <c r="S963" t="s">
        <v>94</v>
      </c>
      <c r="T963" t="s">
        <v>94</v>
      </c>
      <c r="U963" t="s">
        <v>94</v>
      </c>
      <c r="V963" t="s">
        <v>94</v>
      </c>
    </row>
    <row r="964">
      <c r="R964" t="s">
        <v>94</v>
      </c>
      <c r="S964" t="s">
        <v>94</v>
      </c>
      <c r="T964" t="s">
        <v>94</v>
      </c>
      <c r="U964" t="s">
        <v>94</v>
      </c>
      <c r="V964" t="s">
        <v>94</v>
      </c>
    </row>
    <row r="965">
      <c r="R965" t="s">
        <v>94</v>
      </c>
      <c r="S965" t="s">
        <v>94</v>
      </c>
      <c r="T965" t="s">
        <v>94</v>
      </c>
      <c r="U965" t="s">
        <v>94</v>
      </c>
      <c r="V965" t="s">
        <v>94</v>
      </c>
    </row>
    <row r="966">
      <c r="R966" t="s">
        <v>94</v>
      </c>
      <c r="S966" t="s">
        <v>94</v>
      </c>
      <c r="T966" t="s">
        <v>94</v>
      </c>
      <c r="U966" t="s">
        <v>94</v>
      </c>
      <c r="V966" t="s">
        <v>94</v>
      </c>
    </row>
    <row r="967">
      <c r="R967" t="s">
        <v>94</v>
      </c>
      <c r="S967" t="s">
        <v>94</v>
      </c>
      <c r="T967" t="s">
        <v>94</v>
      </c>
      <c r="U967" t="s">
        <v>94</v>
      </c>
      <c r="V967" t="s">
        <v>94</v>
      </c>
    </row>
    <row r="968">
      <c r="R968" t="s">
        <v>94</v>
      </c>
      <c r="S968" t="s">
        <v>94</v>
      </c>
      <c r="T968" t="s">
        <v>94</v>
      </c>
      <c r="U968" t="s">
        <v>94</v>
      </c>
      <c r="V968" t="s">
        <v>94</v>
      </c>
    </row>
    <row r="969">
      <c r="R969" t="s">
        <v>94</v>
      </c>
      <c r="S969" t="s">
        <v>94</v>
      </c>
      <c r="T969" t="s">
        <v>94</v>
      </c>
      <c r="U969" t="s">
        <v>94</v>
      </c>
      <c r="V969" t="s">
        <v>94</v>
      </c>
    </row>
    <row r="970">
      <c r="R970" t="s">
        <v>94</v>
      </c>
      <c r="S970" t="s">
        <v>94</v>
      </c>
      <c r="T970" t="s">
        <v>94</v>
      </c>
      <c r="U970" t="s">
        <v>94</v>
      </c>
      <c r="V970" t="s">
        <v>94</v>
      </c>
    </row>
    <row r="971">
      <c r="R971" t="s">
        <v>94</v>
      </c>
      <c r="S971" t="s">
        <v>94</v>
      </c>
      <c r="T971" t="s">
        <v>94</v>
      </c>
      <c r="U971" t="s">
        <v>94</v>
      </c>
      <c r="V971" t="s">
        <v>94</v>
      </c>
    </row>
    <row r="972">
      <c r="R972" t="s">
        <v>94</v>
      </c>
      <c r="S972" t="s">
        <v>94</v>
      </c>
      <c r="T972" t="s">
        <v>94</v>
      </c>
      <c r="U972" t="s">
        <v>94</v>
      </c>
      <c r="V972" t="s">
        <v>94</v>
      </c>
    </row>
    <row r="973">
      <c r="R973" t="s">
        <v>94</v>
      </c>
      <c r="S973" t="s">
        <v>94</v>
      </c>
      <c r="T973" t="s">
        <v>94</v>
      </c>
      <c r="U973" t="s">
        <v>94</v>
      </c>
      <c r="V973" t="s">
        <v>94</v>
      </c>
    </row>
    <row r="974">
      <c r="R974" t="s">
        <v>94</v>
      </c>
      <c r="S974" t="s">
        <v>94</v>
      </c>
      <c r="T974" t="s">
        <v>94</v>
      </c>
      <c r="U974" t="s">
        <v>94</v>
      </c>
      <c r="V974" t="s">
        <v>94</v>
      </c>
    </row>
    <row r="975">
      <c r="R975" t="s">
        <v>94</v>
      </c>
      <c r="S975" t="s">
        <v>94</v>
      </c>
      <c r="T975" t="s">
        <v>94</v>
      </c>
      <c r="U975" t="s">
        <v>94</v>
      </c>
      <c r="V975" t="s">
        <v>94</v>
      </c>
    </row>
    <row r="976">
      <c r="R976" t="s">
        <v>94</v>
      </c>
      <c r="S976" t="s">
        <v>94</v>
      </c>
      <c r="T976" t="s">
        <v>94</v>
      </c>
      <c r="U976" t="s">
        <v>94</v>
      </c>
      <c r="V976" t="s">
        <v>94</v>
      </c>
    </row>
    <row r="977">
      <c r="R977" t="s">
        <v>94</v>
      </c>
      <c r="S977" t="s">
        <v>94</v>
      </c>
      <c r="T977" t="s">
        <v>94</v>
      </c>
      <c r="U977" t="s">
        <v>94</v>
      </c>
      <c r="V977" t="s">
        <v>94</v>
      </c>
    </row>
    <row r="978">
      <c r="R978" t="s">
        <v>94</v>
      </c>
      <c r="S978" t="s">
        <v>94</v>
      </c>
      <c r="T978" t="s">
        <v>94</v>
      </c>
      <c r="U978" t="s">
        <v>94</v>
      </c>
      <c r="V978" t="s">
        <v>94</v>
      </c>
    </row>
    <row r="979">
      <c r="R979" t="s">
        <v>94</v>
      </c>
      <c r="S979" t="s">
        <v>94</v>
      </c>
      <c r="T979" t="s">
        <v>94</v>
      </c>
      <c r="U979" t="s">
        <v>94</v>
      </c>
      <c r="V979" t="s">
        <v>94</v>
      </c>
    </row>
    <row r="980">
      <c r="R980" t="s">
        <v>94</v>
      </c>
      <c r="S980" t="s">
        <v>94</v>
      </c>
      <c r="T980" t="s">
        <v>94</v>
      </c>
      <c r="U980" t="s">
        <v>94</v>
      </c>
      <c r="V980" t="s">
        <v>94</v>
      </c>
    </row>
    <row r="981">
      <c r="R981" t="s">
        <v>94</v>
      </c>
      <c r="S981" t="s">
        <v>94</v>
      </c>
      <c r="T981" t="s">
        <v>94</v>
      </c>
      <c r="U981" t="s">
        <v>94</v>
      </c>
      <c r="V981" t="s">
        <v>94</v>
      </c>
    </row>
    <row r="982">
      <c r="R982" t="s">
        <v>94</v>
      </c>
      <c r="S982" t="s">
        <v>94</v>
      </c>
      <c r="T982" t="s">
        <v>94</v>
      </c>
      <c r="U982" t="s">
        <v>94</v>
      </c>
      <c r="V982" t="s">
        <v>94</v>
      </c>
    </row>
    <row r="983">
      <c r="R983" t="s">
        <v>94</v>
      </c>
      <c r="S983" t="s">
        <v>94</v>
      </c>
      <c r="T983" t="s">
        <v>94</v>
      </c>
      <c r="U983" t="s">
        <v>94</v>
      </c>
      <c r="V983" t="s">
        <v>94</v>
      </c>
    </row>
    <row r="984">
      <c r="R984" t="s">
        <v>94</v>
      </c>
      <c r="S984" t="s">
        <v>94</v>
      </c>
      <c r="T984" t="s">
        <v>94</v>
      </c>
      <c r="U984" t="s">
        <v>94</v>
      </c>
      <c r="V984" t="s">
        <v>94</v>
      </c>
    </row>
    <row r="985">
      <c r="R985" t="s">
        <v>94</v>
      </c>
      <c r="S985" t="s">
        <v>94</v>
      </c>
      <c r="T985" t="s">
        <v>94</v>
      </c>
      <c r="U985" t="s">
        <v>94</v>
      </c>
      <c r="V985" t="s">
        <v>94</v>
      </c>
    </row>
    <row r="986">
      <c r="R986" t="s">
        <v>94</v>
      </c>
      <c r="S986" t="s">
        <v>94</v>
      </c>
      <c r="T986" t="s">
        <v>94</v>
      </c>
      <c r="U986" t="s">
        <v>94</v>
      </c>
      <c r="V986" t="s">
        <v>94</v>
      </c>
    </row>
    <row r="987">
      <c r="R987" t="s">
        <v>94</v>
      </c>
      <c r="S987" t="s">
        <v>94</v>
      </c>
      <c r="T987" t="s">
        <v>94</v>
      </c>
      <c r="U987" t="s">
        <v>94</v>
      </c>
      <c r="V987" t="s">
        <v>94</v>
      </c>
    </row>
    <row r="988">
      <c r="R988" t="s">
        <v>94</v>
      </c>
      <c r="S988" t="s">
        <v>94</v>
      </c>
      <c r="T988" t="s">
        <v>94</v>
      </c>
      <c r="U988" t="s">
        <v>94</v>
      </c>
      <c r="V988" t="s">
        <v>94</v>
      </c>
    </row>
    <row r="989">
      <c r="R989" t="s">
        <v>94</v>
      </c>
      <c r="S989" t="s">
        <v>94</v>
      </c>
      <c r="T989" t="s">
        <v>94</v>
      </c>
      <c r="U989" t="s">
        <v>94</v>
      </c>
      <c r="V989" t="s">
        <v>94</v>
      </c>
    </row>
    <row r="990">
      <c r="R990" t="s">
        <v>94</v>
      </c>
      <c r="S990" t="s">
        <v>94</v>
      </c>
      <c r="T990" t="s">
        <v>94</v>
      </c>
      <c r="U990" t="s">
        <v>94</v>
      </c>
      <c r="V990" t="s">
        <v>94</v>
      </c>
    </row>
    <row r="991">
      <c r="R991" t="s">
        <v>94</v>
      </c>
      <c r="S991" t="s">
        <v>94</v>
      </c>
      <c r="T991" t="s">
        <v>94</v>
      </c>
      <c r="U991" t="s">
        <v>94</v>
      </c>
      <c r="V991" t="s">
        <v>94</v>
      </c>
    </row>
    <row r="992">
      <c r="R992" t="s">
        <v>94</v>
      </c>
      <c r="S992" t="s">
        <v>94</v>
      </c>
      <c r="T992" t="s">
        <v>94</v>
      </c>
      <c r="U992" t="s">
        <v>94</v>
      </c>
      <c r="V992" t="s">
        <v>94</v>
      </c>
    </row>
    <row r="993">
      <c r="R993" t="s">
        <v>94</v>
      </c>
      <c r="S993" t="s">
        <v>94</v>
      </c>
      <c r="T993" t="s">
        <v>94</v>
      </c>
      <c r="U993" t="s">
        <v>94</v>
      </c>
      <c r="V993" t="s">
        <v>94</v>
      </c>
    </row>
    <row r="994">
      <c r="R994" t="s">
        <v>94</v>
      </c>
      <c r="S994" t="s">
        <v>94</v>
      </c>
      <c r="T994" t="s">
        <v>94</v>
      </c>
      <c r="U994" t="s">
        <v>94</v>
      </c>
      <c r="V994" t="s">
        <v>94</v>
      </c>
    </row>
    <row r="995">
      <c r="R995" t="s">
        <v>94</v>
      </c>
      <c r="S995" t="s">
        <v>94</v>
      </c>
      <c r="T995" t="s">
        <v>94</v>
      </c>
      <c r="U995" t="s">
        <v>94</v>
      </c>
      <c r="V995" t="s">
        <v>94</v>
      </c>
    </row>
    <row r="996">
      <c r="R996" t="s">
        <v>94</v>
      </c>
      <c r="S996" t="s">
        <v>94</v>
      </c>
      <c r="T996" t="s">
        <v>94</v>
      </c>
      <c r="U996" t="s">
        <v>94</v>
      </c>
      <c r="V996" t="s">
        <v>94</v>
      </c>
    </row>
    <row r="997">
      <c r="R997" t="s">
        <v>94</v>
      </c>
      <c r="S997" t="s">
        <v>94</v>
      </c>
      <c r="T997" t="s">
        <v>94</v>
      </c>
      <c r="U997" t="s">
        <v>94</v>
      </c>
      <c r="V997" t="s">
        <v>94</v>
      </c>
    </row>
    <row r="998">
      <c r="R998" t="s">
        <v>94</v>
      </c>
      <c r="S998" t="s">
        <v>94</v>
      </c>
      <c r="T998" t="s">
        <v>94</v>
      </c>
      <c r="U998" t="s">
        <v>94</v>
      </c>
      <c r="V998" t="s">
        <v>94</v>
      </c>
    </row>
    <row r="999">
      <c r="R999" t="s">
        <v>94</v>
      </c>
      <c r="S999" t="s">
        <v>94</v>
      </c>
      <c r="T999" t="s">
        <v>94</v>
      </c>
      <c r="U999" t="s">
        <v>94</v>
      </c>
      <c r="V999" t="s">
        <v>94</v>
      </c>
    </row>
    <row r="1000">
      <c r="R1000" t="s">
        <v>94</v>
      </c>
      <c r="S1000" t="s">
        <v>94</v>
      </c>
      <c r="T1000" t="s">
        <v>94</v>
      </c>
      <c r="U1000" t="s">
        <v>94</v>
      </c>
      <c r="V1000" t="s">
        <v>94</v>
      </c>
    </row>
  </sheetData>
  <mergeCells count="15">
    <mergeCell ref="A157:B157"/>
    <mergeCell ref="A209:B209"/>
    <mergeCell ref="C209:D209"/>
    <mergeCell ref="A261:B261"/>
    <mergeCell ref="C261:D261"/>
    <mergeCell ref="A313:L313"/>
    <mergeCell ref="M313:N313"/>
    <mergeCell ref="A365:B365"/>
    <mergeCell ref="A1:B1"/>
    <mergeCell ref="C1:D1"/>
    <mergeCell ref="A53:B53"/>
    <mergeCell ref="C53:D53"/>
    <mergeCell ref="A105:B105"/>
    <mergeCell ref="C105:D105"/>
    <mergeCell ref="C157:D15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t="str">
        <f>IF(Projections!$H$3,Draft!C3,"")</f>
        <v/>
      </c>
      <c r="B5" s="55" t="str">
        <f>IFERROR(__xludf.DUMMYFUNCTION("IF(Projections!G3=""LeagV"", QUERY('NO USAR1'!N20:AL420, ""select * order by R desc ""),IF(Projections!G3=""PuntV"",QUERY('NO USAR1'!N20:AL420, ""select * order by S desc ""),IF(Projections!G3=""Punt+"",QUERY('NO USAR1'!N20:AL420, ""select * order by T de"&amp;"sc ""),IF(Projections!G3=""PTS"",QUERY('NO USAR1'!N20:AL420, ""select * order by U desc ""),IF(Projections!G3=""3P"",QUERY('NO USAR1'!N20:AL420, ""select * order by V desc ""),IF(Projections!G3=""REB"",QUERY('NO USAR1'!N20:AL420, ""select * order by W des"&amp;"c ""),IF(Projections!G3=""AST"",QUERY('NO USAR1'!N20:AL420, ""select * order by X desc ""),IF(Projections!G3=""STL"",QUERY('NO USAR1'!N20:AL420, ""select * order by Y desc ""),IF(Projections!G3=""BLK"",QUERY('NO USAR1'!N20:AL420, ""select * order by Z des"&amp;"c ""),IF(Projections!G3=""FG%"",QUERY('NO USAR1'!N20:AL420, ""select * order by AA desc ""),IF(Projections!G3=""FT%"",QUERY('NO USAR1'!N20:AL420, ""select * order by AB desc ""),IF(Projections!G3=""TO"",QUERY('NO USAR1'!N20:AL420, ""select * order by AC d"&amp;"esc ""),IF(Projections!G3=""z p/g"", QUERY('NO USAR1'!N20:AL420, ""select * order by AD desc ""),IF(Projections!G3=""z 3/g"",QUERY('NO USAR1'!N20:AL420, ""select * order by AE desc ""),IF(Projections!G3=""z r/g"",QUERY('NO USAR1'!N20:AL420, ""select * ord"&amp;"er by AF desc ""),IF(Projections!G3=""z a/g"",QUERY('NO USAR1'!N20:AL420, ""select * order by AG desc ""),IF(Projections!G3=""z s/g"",QUERY('NO USAR1'!N20:AL420, ""select * order by AH desc ""),IF(Projections!G3=""z b/g"",QUERY('NO USAR1'!N20:AL420, ""sel"&amp;"ect * order by AI desc ""),IF(Projections!G3=""z fg%"", QUERY('NO USAR1'!N20:AL420, ""select * order by AJ desc ""),IF(Projections!G3=""z ft%"",QUERY('NO USAR1'!N20:AL420, ""select * order by AK desc ""),IF(Projections!G3=""z to/g"",QUERY('NO USAR1'!N20:A"&amp;"L420, ""select * order by AL desc ""))))))))))))))))))))))"),"Rank")</f>
        <v>Rank</v>
      </c>
      <c r="C5" t="str">
        <f>IFERROR(__xludf.DUMMYFUNCTION("""COMPUTED_VALUE"""),"Player")</f>
        <v>Player</v>
      </c>
      <c r="D5" t="str">
        <f>IFERROR(__xludf.DUMMYFUNCTION("""COMPUTED_VALUE"""),"GP")</f>
        <v>GP</v>
      </c>
      <c r="E5" t="str">
        <f>IFERROR(__xludf.DUMMYFUNCTION("""COMPUTED_VALUE"""),"Pos")</f>
        <v>Pos</v>
      </c>
      <c r="F5" t="str">
        <f>IFERROR(__xludf.DUMMYFUNCTION("""COMPUTED_VALUE"""),"LeagV")</f>
        <v>LeagV</v>
      </c>
      <c r="G5" t="str">
        <f>IFERROR(__xludf.DUMMYFUNCTION("""COMPUTED_VALUE"""),"PuntV")</f>
        <v>PuntV</v>
      </c>
      <c r="H5" t="str">
        <f>IFERROR(__xludf.DUMMYFUNCTION("""COMPUTED_VALUE"""),"Punt+")</f>
        <v>Punt+</v>
      </c>
      <c r="I5" t="str">
        <f>IFERROR(__xludf.DUMMYFUNCTION("""COMPUTED_VALUE"""),"PTS")</f>
        <v>PTS</v>
      </c>
      <c r="J5" t="str">
        <f>IFERROR(__xludf.DUMMYFUNCTION("""COMPUTED_VALUE"""),"3P")</f>
        <v>3P</v>
      </c>
      <c r="K5" t="str">
        <f>IFERROR(__xludf.DUMMYFUNCTION("""COMPUTED_VALUE"""),"REB")</f>
        <v>REB</v>
      </c>
      <c r="L5" t="str">
        <f>IFERROR(__xludf.DUMMYFUNCTION("""COMPUTED_VALUE"""),"AST")</f>
        <v>AST</v>
      </c>
      <c r="M5" t="str">
        <f>IFERROR(__xludf.DUMMYFUNCTION("""COMPUTED_VALUE"""),"STL")</f>
        <v>STL</v>
      </c>
      <c r="N5" t="str">
        <f>IFERROR(__xludf.DUMMYFUNCTION("""COMPUTED_VALUE"""),"BLK")</f>
        <v>BLK</v>
      </c>
      <c r="O5" t="str">
        <f>IFERROR(__xludf.DUMMYFUNCTION("""COMPUTED_VALUE"""),"FG%")</f>
        <v>FG%</v>
      </c>
      <c r="P5" t="str">
        <f>IFERROR(__xludf.DUMMYFUNCTION("""COMPUTED_VALUE"""),"FT%")</f>
        <v>FT%</v>
      </c>
      <c r="Q5" t="str">
        <f>IFERROR(__xludf.DUMMYFUNCTION("""COMPUTED_VALUE"""),"TO")</f>
        <v>TO</v>
      </c>
      <c r="R5" t="str">
        <f>IFERROR(__xludf.DUMMYFUNCTION("""COMPUTED_VALUE"""),"z p/g")</f>
        <v>z p/g</v>
      </c>
      <c r="S5" t="str">
        <f>IFERROR(__xludf.DUMMYFUNCTION("""COMPUTED_VALUE"""),"z 3/g")</f>
        <v>z 3/g</v>
      </c>
      <c r="T5" t="str">
        <f>IFERROR(__xludf.DUMMYFUNCTION("""COMPUTED_VALUE"""),"z r/g")</f>
        <v>z r/g</v>
      </c>
      <c r="U5" t="str">
        <f>IFERROR(__xludf.DUMMYFUNCTION("""COMPUTED_VALUE"""),"z a/g")</f>
        <v>z a/g</v>
      </c>
      <c r="V5" t="str">
        <f>IFERROR(__xludf.DUMMYFUNCTION("""COMPUTED_VALUE"""),"z s/g")</f>
        <v>z s/g</v>
      </c>
      <c r="W5" t="str">
        <f>IFERROR(__xludf.DUMMYFUNCTION("""COMPUTED_VALUE"""),"z b/g")</f>
        <v>z b/g</v>
      </c>
      <c r="X5" t="str">
        <f>IFERROR(__xludf.DUMMYFUNCTION("""COMPUTED_VALUE"""),"z fg%")</f>
        <v>z fg%</v>
      </c>
      <c r="Y5" t="str">
        <f>IFERROR(__xludf.DUMMYFUNCTION("""COMPUTED_VALUE"""),"z ft%")</f>
        <v>z ft%</v>
      </c>
      <c r="Z5" t="str">
        <f>IFERROR(__xludf.DUMMYFUNCTION("""COMPUTED_VALUE"""),"z to/g")</f>
        <v>z to/g</v>
      </c>
    </row>
    <row r="6">
      <c r="A6" t="str">
        <f>IF(Projections!$H$3,Draft!C4,"")</f>
        <v/>
      </c>
      <c r="B6">
        <f>IFERROR(__xludf.DUMMYFUNCTION("""COMPUTED_VALUE"""),1.0)</f>
        <v>1</v>
      </c>
      <c r="C6" t="str">
        <f>IFERROR(__xludf.DUMMYFUNCTION("""COMPUTED_VALUE"""),"Nikola Jokic")</f>
        <v>Nikola Jokic</v>
      </c>
      <c r="D6">
        <f>IFERROR(__xludf.DUMMYFUNCTION("""COMPUTED_VALUE"""),72.0)</f>
        <v>72</v>
      </c>
      <c r="E6" t="str">
        <f>IFERROR(__xludf.DUMMYFUNCTION("""COMPUTED_VALUE"""),"C")</f>
        <v>C</v>
      </c>
      <c r="F6" s="53">
        <f>IFERROR(__xludf.DUMMYFUNCTION("""COMPUTED_VALUE"""),9.54924845456491)</f>
        <v>9.549248455</v>
      </c>
      <c r="G6" s="53">
        <f>IFERROR(__xludf.DUMMYFUNCTION("""COMPUTED_VALUE"""),9.214627913768442)</f>
        <v>9.214627914</v>
      </c>
      <c r="H6" s="53">
        <f>IFERROR(__xludf.DUMMYFUNCTION("""COMPUTED_VALUE"""),-0.3346205407964682)</f>
        <v>-0.3346205408</v>
      </c>
      <c r="I6" s="53">
        <f>IFERROR(__xludf.DUMMYFUNCTION("""COMPUTED_VALUE"""),24.5)</f>
        <v>24.5</v>
      </c>
      <c r="J6" s="53">
        <f>IFERROR(__xludf.DUMMYFUNCTION("""COMPUTED_VALUE"""),1.0)</f>
        <v>1</v>
      </c>
      <c r="K6" s="53">
        <f>IFERROR(__xludf.DUMMYFUNCTION("""COMPUTED_VALUE"""),11.7)</f>
        <v>11.7</v>
      </c>
      <c r="L6" s="53">
        <f>IFERROR(__xludf.DUMMYFUNCTION("""COMPUTED_VALUE"""),9.7)</f>
        <v>9.7</v>
      </c>
      <c r="M6" s="53">
        <f>IFERROR(__xludf.DUMMYFUNCTION("""COMPUTED_VALUE"""),1.4)</f>
        <v>1.4</v>
      </c>
      <c r="N6" s="53">
        <f>IFERROR(__xludf.DUMMYFUNCTION("""COMPUTED_VALUE"""),0.7)</f>
        <v>0.7</v>
      </c>
      <c r="O6" s="53">
        <f>IFERROR(__xludf.DUMMYFUNCTION("""COMPUTED_VALUE"""),62.16216216216215)</f>
        <v>62.16216216</v>
      </c>
      <c r="P6" s="53">
        <f>IFERROR(__xludf.DUMMYFUNCTION("""COMPUTED_VALUE"""),81.9672131147541)</f>
        <v>81.96721311</v>
      </c>
      <c r="Q6" s="53">
        <f>IFERROR(__xludf.DUMMYFUNCTION("""COMPUTED_VALUE"""),3.7)</f>
        <v>3.7</v>
      </c>
      <c r="R6" s="53">
        <f>IFERROR(__xludf.DUMMYFUNCTION("""COMPUTED_VALUE"""),1.2206927237691836)</f>
        <v>1.220692724</v>
      </c>
      <c r="S6" s="53">
        <f>IFERROR(__xludf.DUMMYFUNCTION("""COMPUTED_VALUE"""),-0.5590090246596284)</f>
        <v>-0.5590090247</v>
      </c>
      <c r="T6" s="53">
        <f>IFERROR(__xludf.DUMMYFUNCTION("""COMPUTED_VALUE"""),2.3436120958610913)</f>
        <v>2.343612096</v>
      </c>
      <c r="U6" s="53">
        <f>IFERROR(__xludf.DUMMYFUNCTION("""COMPUTED_VALUE"""),2.986704087554234)</f>
        <v>2.986704088</v>
      </c>
      <c r="V6" s="53">
        <f>IFERROR(__xludf.DUMMYFUNCTION("""COMPUTED_VALUE"""),0.883828931240691)</f>
        <v>0.8838289312</v>
      </c>
      <c r="W6" s="53">
        <f>IFERROR(__xludf.DUMMYFUNCTION("""COMPUTED_VALUE"""),-0.0017508778622903794)</f>
        <v>-0.001750877862</v>
      </c>
      <c r="X6" s="53">
        <f>IFERROR(__xludf.DUMMYFUNCTION("""COMPUTED_VALUE"""),1.857320056544927)</f>
        <v>1.857320057</v>
      </c>
      <c r="Y6" s="53">
        <f>IFERROR(__xludf.DUMMYFUNCTION("""COMPUTED_VALUE"""),0.4536630262097989)</f>
        <v>0.4536630262</v>
      </c>
      <c r="Z6" s="53">
        <f>IFERROR(__xludf.DUMMYFUNCTION("""COMPUTED_VALUE"""),-0.5294421295491943)</f>
        <v>-0.5294421295</v>
      </c>
      <c r="AA6" t="str">
        <f>IFERROR(__xludf.DUMMYFUNCTION("SUBSTITUTE(REGEXREPLACE(REGEXREPLACE(REGEXREPLACE(REGEXREPLACE(REGEXREPLACE(REGEXREPLACE(E6,"","",),IF(Projections!$U$3="""",""PG"",),),IF(Projections!$V$3="""",""SG"",),),IF(Projections!$W$3="""",""SF"",),),IF(Projections!$X$3="""",""PF"",),),IF(Projecti"&amp;"ons!$Y$3="""",""C"",),),""/"","""")"),"C")</f>
        <v>C</v>
      </c>
      <c r="AB6">
        <f>COUNTIF('NO USAR3'!A5:AB200,'NO USAR3'!C5:C405)</f>
        <v>1</v>
      </c>
    </row>
    <row r="7">
      <c r="A7" t="str">
        <f>IF(Projections!$H$3,Draft!C5,"")</f>
        <v/>
      </c>
      <c r="B7">
        <f>IFERROR(__xludf.DUMMYFUNCTION("""COMPUTED_VALUE"""),2.0)</f>
        <v>2</v>
      </c>
      <c r="C7" t="str">
        <f>IFERROR(__xludf.DUMMYFUNCTION("""COMPUTED_VALUE"""),"Joel Embiid")</f>
        <v>Joel Embiid</v>
      </c>
      <c r="D7">
        <f>IFERROR(__xludf.DUMMYFUNCTION("""COMPUTED_VALUE"""),67.0)</f>
        <v>67</v>
      </c>
      <c r="E7" t="str">
        <f>IFERROR(__xludf.DUMMYFUNCTION("""COMPUTED_VALUE"""),"C")</f>
        <v>C</v>
      </c>
      <c r="F7" s="53">
        <f>IFERROR(__xludf.DUMMYFUNCTION("""COMPUTED_VALUE"""),8.589996039505778)</f>
        <v>8.58999604</v>
      </c>
      <c r="G7" s="53">
        <f>IFERROR(__xludf.DUMMYFUNCTION("""COMPUTED_VALUE"""),7.635406106501781)</f>
        <v>7.635406107</v>
      </c>
      <c r="H7" s="53">
        <f>IFERROR(__xludf.DUMMYFUNCTION("""COMPUTED_VALUE"""),-0.9545899330039962)</f>
        <v>-0.954589933</v>
      </c>
      <c r="I7" s="53">
        <f>IFERROR(__xludf.DUMMYFUNCTION("""COMPUTED_VALUE"""),32.6)</f>
        <v>32.6</v>
      </c>
      <c r="J7" s="53">
        <f>IFERROR(__xludf.DUMMYFUNCTION("""COMPUTED_VALUE"""),1.2)</f>
        <v>1.2</v>
      </c>
      <c r="K7" s="53">
        <f>IFERROR(__xludf.DUMMYFUNCTION("""COMPUTED_VALUE"""),10.2)</f>
        <v>10.2</v>
      </c>
      <c r="L7" s="53">
        <f>IFERROR(__xludf.DUMMYFUNCTION("""COMPUTED_VALUE"""),4.2)</f>
        <v>4.2</v>
      </c>
      <c r="M7" s="53">
        <f>IFERROR(__xludf.DUMMYFUNCTION("""COMPUTED_VALUE"""),1.1)</f>
        <v>1.1</v>
      </c>
      <c r="N7" s="53">
        <f>IFERROR(__xludf.DUMMYFUNCTION("""COMPUTED_VALUE"""),1.6)</f>
        <v>1.6</v>
      </c>
      <c r="O7" s="53">
        <f>IFERROR(__xludf.DUMMYFUNCTION("""COMPUTED_VALUE"""),54.0)</f>
        <v>54</v>
      </c>
      <c r="P7" s="53">
        <f>IFERROR(__xludf.DUMMYFUNCTION("""COMPUTED_VALUE"""),83.19327731092437)</f>
        <v>83.19327731</v>
      </c>
      <c r="Q7" s="53">
        <f>IFERROR(__xludf.DUMMYFUNCTION("""COMPUTED_VALUE"""),3.3)</f>
        <v>3.3</v>
      </c>
      <c r="R7" s="53">
        <f>IFERROR(__xludf.DUMMYFUNCTION("""COMPUTED_VALUE"""),2.5857563771327903)</f>
        <v>2.585756377</v>
      </c>
      <c r="S7" s="53">
        <f>IFERROR(__xludf.DUMMYFUNCTION("""COMPUTED_VALUE"""),-0.38558326726780967)</f>
        <v>-0.3855832673</v>
      </c>
      <c r="T7" s="53">
        <f>IFERROR(__xludf.DUMMYFUNCTION("""COMPUTED_VALUE"""),1.7163815480214986)</f>
        <v>1.716381548</v>
      </c>
      <c r="U7" s="53">
        <f>IFERROR(__xludf.DUMMYFUNCTION("""COMPUTED_VALUE"""),0.18156875942098802)</f>
        <v>0.1815687594</v>
      </c>
      <c r="V7" s="53">
        <f>IFERROR(__xludf.DUMMYFUNCTION("""COMPUTED_VALUE"""),0.22967922884215308)</f>
        <v>0.2296792288</v>
      </c>
      <c r="W7" s="53">
        <f>IFERROR(__xludf.DUMMYFUNCTION("""COMPUTED_VALUE"""),1.1800916791835507)</f>
        <v>1.180091679</v>
      </c>
      <c r="X7" s="53">
        <f>IFERROR(__xludf.DUMMYFUNCTION("""COMPUTED_VALUE"""),0.8793122989733448)</f>
        <v>0.879312299</v>
      </c>
      <c r="Y7" s="53">
        <f>IFERROR(__xludf.DUMMYFUNCTION("""COMPUTED_VALUE"""),1.2481994821952669)</f>
        <v>1.248199482</v>
      </c>
      <c r="Z7" s="53">
        <f>IFERROR(__xludf.DUMMYFUNCTION("""COMPUTED_VALUE"""),-0.40525711089027455)</f>
        <v>-0.4052571109</v>
      </c>
      <c r="AA7" t="str">
        <f>IFERROR(__xludf.DUMMYFUNCTION("SUBSTITUTE(REGEXREPLACE(REGEXREPLACE(REGEXREPLACE(REGEXREPLACE(REGEXREPLACE(REGEXREPLACE(E7,"","",),IF(Projections!$U$3="""",""PG"",),),IF(Projections!$V$3="""",""SG"",),),IF(Projections!$W$3="""",""SF"",),),IF(Projections!$X$3="""",""PF"",),),IF(Projecti"&amp;"ons!$Y$3="""",""C"",),),""/"","""")"),"C")</f>
        <v>C</v>
      </c>
      <c r="AB7">
        <f>COUNTIF('NO USAR3'!A6:AB201,'NO USAR3'!C6:C406)</f>
        <v>1</v>
      </c>
    </row>
    <row r="8">
      <c r="A8" t="str">
        <f>IF(Projections!$H$3,Draft!C6,"")</f>
        <v/>
      </c>
      <c r="B8">
        <f>IFERROR(__xludf.DUMMYFUNCTION("""COMPUTED_VALUE"""),3.0)</f>
        <v>3</v>
      </c>
      <c r="C8" t="str">
        <f>IFERROR(__xludf.DUMMYFUNCTION("""COMPUTED_VALUE"""),"Luka Doncic")</f>
        <v>Luka Doncic</v>
      </c>
      <c r="D8">
        <f>IFERROR(__xludf.DUMMYFUNCTION("""COMPUTED_VALUE"""),66.0)</f>
        <v>66</v>
      </c>
      <c r="E8" t="str">
        <f>IFERROR(__xludf.DUMMYFUNCTION("""COMPUTED_VALUE"""),"PG")</f>
        <v>PG</v>
      </c>
      <c r="F8" s="53">
        <f>IFERROR(__xludf.DUMMYFUNCTION("""COMPUTED_VALUE"""),6.6677410644050665)</f>
        <v>6.667741064</v>
      </c>
      <c r="G8" s="53">
        <f>IFERROR(__xludf.DUMMYFUNCTION("""COMPUTED_VALUE"""),6.872562954664767)</f>
        <v>6.872562955</v>
      </c>
      <c r="H8" s="53">
        <f>IFERROR(__xludf.DUMMYFUNCTION("""COMPUTED_VALUE"""),0.20482189025970055)</f>
        <v>0.2048218903</v>
      </c>
      <c r="I8" s="53">
        <f>IFERROR(__xludf.DUMMYFUNCTION("""COMPUTED_VALUE"""),32.7)</f>
        <v>32.7</v>
      </c>
      <c r="J8" s="53">
        <f>IFERROR(__xludf.DUMMYFUNCTION("""COMPUTED_VALUE"""),3.0)</f>
        <v>3</v>
      </c>
      <c r="K8" s="53">
        <f>IFERROR(__xludf.DUMMYFUNCTION("""COMPUTED_VALUE"""),8.8)</f>
        <v>8.8</v>
      </c>
      <c r="L8" s="53">
        <f>IFERROR(__xludf.DUMMYFUNCTION("""COMPUTED_VALUE"""),8.1)</f>
        <v>8.1</v>
      </c>
      <c r="M8" s="53">
        <f>IFERROR(__xludf.DUMMYFUNCTION("""COMPUTED_VALUE"""),1.3)</f>
        <v>1.3</v>
      </c>
      <c r="N8" s="53">
        <f>IFERROR(__xludf.DUMMYFUNCTION("""COMPUTED_VALUE"""),0.5)</f>
        <v>0.5</v>
      </c>
      <c r="O8" s="53">
        <f>IFERROR(__xludf.DUMMYFUNCTION("""COMPUTED_VALUE"""),49.10714285714286)</f>
        <v>49.10714286</v>
      </c>
      <c r="P8" s="53">
        <f>IFERROR(__xludf.DUMMYFUNCTION("""COMPUTED_VALUE"""),76.47058823529413)</f>
        <v>76.47058824</v>
      </c>
      <c r="Q8" s="53">
        <f>IFERROR(__xludf.DUMMYFUNCTION("""COMPUTED_VALUE"""),3.6)</f>
        <v>3.6</v>
      </c>
      <c r="R8" s="53">
        <f>IFERROR(__xludf.DUMMYFUNCTION("""COMPUTED_VALUE"""),2.602609014828637)</f>
        <v>2.602609015</v>
      </c>
      <c r="S8" s="53">
        <f>IFERROR(__xludf.DUMMYFUNCTION("""COMPUTED_VALUE"""),1.1752485492585598)</f>
        <v>1.175248549</v>
      </c>
      <c r="T8" s="53">
        <f>IFERROR(__xludf.DUMMYFUNCTION("""COMPUTED_VALUE"""),1.1309663700378794)</f>
        <v>1.13096637</v>
      </c>
      <c r="U8" s="53">
        <f>IFERROR(__xludf.DUMMYFUNCTION("""COMPUTED_VALUE"""),2.170664719370017)</f>
        <v>2.170664719</v>
      </c>
      <c r="V8" s="53">
        <f>IFERROR(__xludf.DUMMYFUNCTION("""COMPUTED_VALUE"""),0.6657790304411786)</f>
        <v>0.6657790304</v>
      </c>
      <c r="W8" s="53">
        <f>IFERROR(__xludf.DUMMYFUNCTION("""COMPUTED_VALUE"""),-0.2643825572058105)</f>
        <v>-0.2643825572</v>
      </c>
      <c r="X8" s="53">
        <f>IFERROR(__xludf.DUMMYFUNCTION("""COMPUTED_VALUE"""),-0.10992629718122864)</f>
        <v>-0.1099262972</v>
      </c>
      <c r="Y8" s="53">
        <f>IFERROR(__xludf.DUMMYFUNCTION("""COMPUTED_VALUE"""),-0.6370246463324157)</f>
        <v>-0.6370246463</v>
      </c>
      <c r="Z8" s="53">
        <f>IFERROR(__xludf.DUMMYFUNCTION("""COMPUTED_VALUE"""),-0.49839587488446435)</f>
        <v>-0.4983958749</v>
      </c>
      <c r="AA8" t="str">
        <f>IFERROR(__xludf.DUMMYFUNCTION("SUBSTITUTE(REGEXREPLACE(REGEXREPLACE(REGEXREPLACE(REGEXREPLACE(REGEXREPLACE(REGEXREPLACE(E8,"","",),IF(Projections!$U$3="""",""PG"",),),IF(Projections!$V$3="""",""SG"",),),IF(Projections!$W$3="""",""SF"",),),IF(Projections!$X$3="""",""PF"",),),IF(Projecti"&amp;"ons!$Y$3="""",""C"",),),""/"","""")"),"PG")</f>
        <v>PG</v>
      </c>
      <c r="AB8">
        <f>COUNTIF('NO USAR3'!A7:AB202,'NO USAR3'!C7:C407)</f>
        <v>1</v>
      </c>
    </row>
    <row r="9">
      <c r="A9" t="str">
        <f>IF(Projections!$H$3,Draft!C7,"")</f>
        <v/>
      </c>
      <c r="B9">
        <f>IFERROR(__xludf.DUMMYFUNCTION("""COMPUTED_VALUE"""),5.0)</f>
        <v>5</v>
      </c>
      <c r="C9" t="str">
        <f>IFERROR(__xludf.DUMMYFUNCTION("""COMPUTED_VALUE"""),"Tyrese Haliburton")</f>
        <v>Tyrese Haliburton</v>
      </c>
      <c r="D9">
        <f>IFERROR(__xludf.DUMMYFUNCTION("""COMPUTED_VALUE"""),73.0)</f>
        <v>73</v>
      </c>
      <c r="E9" t="str">
        <f>IFERROR(__xludf.DUMMYFUNCTION("""COMPUTED_VALUE"""),"PG,SG")</f>
        <v>PG,SG</v>
      </c>
      <c r="F9" s="53">
        <f>IFERROR(__xludf.DUMMYFUNCTION("""COMPUTED_VALUE"""),6.550969880100022)</f>
        <v>6.55096988</v>
      </c>
      <c r="G9" s="53">
        <f>IFERROR(__xludf.DUMMYFUNCTION("""COMPUTED_VALUE"""),6.817439699232969)</f>
        <v>6.817439699</v>
      </c>
      <c r="H9" s="53">
        <f>IFERROR(__xludf.DUMMYFUNCTION("""COMPUTED_VALUE"""),0.2664698191329471)</f>
        <v>0.2664698191</v>
      </c>
      <c r="I9" s="53">
        <f>IFERROR(__xludf.DUMMYFUNCTION("""COMPUTED_VALUE"""),23.3)</f>
        <v>23.3</v>
      </c>
      <c r="J9" s="53">
        <f>IFERROR(__xludf.DUMMYFUNCTION("""COMPUTED_VALUE"""),2.8)</f>
        <v>2.8</v>
      </c>
      <c r="K9" s="53">
        <f>IFERROR(__xludf.DUMMYFUNCTION("""COMPUTED_VALUE"""),4.0)</f>
        <v>4</v>
      </c>
      <c r="L9" s="53">
        <f>IFERROR(__xludf.DUMMYFUNCTION("""COMPUTED_VALUE"""),10.5)</f>
        <v>10.5</v>
      </c>
      <c r="M9" s="53">
        <f>IFERROR(__xludf.DUMMYFUNCTION("""COMPUTED_VALUE"""),1.7)</f>
        <v>1.7</v>
      </c>
      <c r="N9" s="53">
        <f>IFERROR(__xludf.DUMMYFUNCTION("""COMPUTED_VALUE"""),0.4)</f>
        <v>0.4</v>
      </c>
      <c r="O9" s="53">
        <f>IFERROR(__xludf.DUMMYFUNCTION("""COMPUTED_VALUE"""),48.913043478260875)</f>
        <v>48.91304348</v>
      </c>
      <c r="P9" s="53">
        <f>IFERROR(__xludf.DUMMYFUNCTION("""COMPUTED_VALUE"""),86.66666666666667)</f>
        <v>86.66666667</v>
      </c>
      <c r="Q9" s="53">
        <f>IFERROR(__xludf.DUMMYFUNCTION("""COMPUTED_VALUE"""),2.6)</f>
        <v>2.6</v>
      </c>
      <c r="R9" s="53">
        <f>IFERROR(__xludf.DUMMYFUNCTION("""COMPUTED_VALUE"""),1.0184610714190199)</f>
        <v>1.018461071</v>
      </c>
      <c r="S9" s="53">
        <f>IFERROR(__xludf.DUMMYFUNCTION("""COMPUTED_VALUE"""),1.001822791866741)</f>
        <v>1.001822792</v>
      </c>
      <c r="T9" s="53">
        <f>IFERROR(__xludf.DUMMYFUNCTION("""COMPUTED_VALUE"""),-0.8761713830488173)</f>
        <v>-0.876171383</v>
      </c>
      <c r="U9" s="53">
        <f>IFERROR(__xludf.DUMMYFUNCTION("""COMPUTED_VALUE"""),3.3947237716463428)</f>
        <v>3.394723772</v>
      </c>
      <c r="V9" s="53">
        <f>IFERROR(__xludf.DUMMYFUNCTION("""COMPUTED_VALUE"""),1.5379786336392296)</f>
        <v>1.537978634</v>
      </c>
      <c r="W9" s="53">
        <f>IFERROR(__xludf.DUMMYFUNCTION("""COMPUTED_VALUE"""),-0.39569839687757064)</f>
        <v>-0.3956983969</v>
      </c>
      <c r="X9" s="53">
        <f>IFERROR(__xludf.DUMMYFUNCTION("""COMPUTED_VALUE"""),-0.12597035229978393)</f>
        <v>-0.1259703523</v>
      </c>
      <c r="Y9" s="53">
        <f>IFERROR(__xludf.DUMMYFUNCTION("""COMPUTED_VALUE"""),0.5740555080761552)</f>
        <v>0.5740555081</v>
      </c>
      <c r="Z9" s="53">
        <f>IFERROR(__xludf.DUMMYFUNCTION("""COMPUTED_VALUE"""),-0.18793332823716524)</f>
        <v>-0.1879333282</v>
      </c>
      <c r="AA9" t="str">
        <f>IFERROR(__xludf.DUMMYFUNCTION("SUBSTITUTE(REGEXREPLACE(REGEXREPLACE(REGEXREPLACE(REGEXREPLACE(REGEXREPLACE(REGEXREPLACE(E9,"","",),IF(Projections!$U$3="""",""PG"",),),IF(Projections!$V$3="""",""SG"",),),IF(Projections!$W$3="""",""SF"",),),IF(Projections!$X$3="""",""PF"",),),IF(Projecti"&amp;"ons!$Y$3="""",""C"",),),""/"","""")"),"PGSG")</f>
        <v>PGSG</v>
      </c>
      <c r="AB9">
        <f>COUNTIF('NO USAR3'!A8:AB203,'NO USAR3'!C8:C408)</f>
        <v>1</v>
      </c>
    </row>
    <row r="10">
      <c r="A10" t="str">
        <f>IF(Projections!$H$3,Draft!C8,"")</f>
        <v/>
      </c>
      <c r="B10">
        <f>IFERROR(__xludf.DUMMYFUNCTION("""COMPUTED_VALUE"""),7.0)</f>
        <v>7</v>
      </c>
      <c r="C10" t="str">
        <f>IFERROR(__xludf.DUMMYFUNCTION("""COMPUTED_VALUE"""),"LaMelo Ball")</f>
        <v>LaMelo Ball</v>
      </c>
      <c r="D10">
        <f>IFERROR(__xludf.DUMMYFUNCTION("""COMPUTED_VALUE"""),69.0)</f>
        <v>69</v>
      </c>
      <c r="E10" t="str">
        <f>IFERROR(__xludf.DUMMYFUNCTION("""COMPUTED_VALUE"""),"PG,SG")</f>
        <v>PG,SG</v>
      </c>
      <c r="F10" s="53">
        <f>IFERROR(__xludf.DUMMYFUNCTION("""COMPUTED_VALUE"""),6.185474007494449)</f>
        <v>6.185474007</v>
      </c>
      <c r="G10" s="53">
        <f>IFERROR(__xludf.DUMMYFUNCTION("""COMPUTED_VALUE"""),6.634110243347756)</f>
        <v>6.634110243</v>
      </c>
      <c r="H10" s="53">
        <f>IFERROR(__xludf.DUMMYFUNCTION("""COMPUTED_VALUE"""),0.44863623585330714)</f>
        <v>0.4486362359</v>
      </c>
      <c r="I10" s="53">
        <f>IFERROR(__xludf.DUMMYFUNCTION("""COMPUTED_VALUE"""),23.4)</f>
        <v>23.4</v>
      </c>
      <c r="J10" s="53">
        <f>IFERROR(__xludf.DUMMYFUNCTION("""COMPUTED_VALUE"""),3.7)</f>
        <v>3.7</v>
      </c>
      <c r="K10" s="53">
        <f>IFERROR(__xludf.DUMMYFUNCTION("""COMPUTED_VALUE"""),7.0)</f>
        <v>7</v>
      </c>
      <c r="L10" s="53">
        <f>IFERROR(__xludf.DUMMYFUNCTION("""COMPUTED_VALUE"""),8.6)</f>
        <v>8.6</v>
      </c>
      <c r="M10" s="53">
        <f>IFERROR(__xludf.DUMMYFUNCTION("""COMPUTED_VALUE"""),1.6)</f>
        <v>1.6</v>
      </c>
      <c r="N10" s="53">
        <f>IFERROR(__xludf.DUMMYFUNCTION("""COMPUTED_VALUE"""),0.4)</f>
        <v>0.4</v>
      </c>
      <c r="O10" s="53">
        <f>IFERROR(__xludf.DUMMYFUNCTION("""COMPUTED_VALUE"""),42.78350515463919)</f>
        <v>42.78350515</v>
      </c>
      <c r="P10" s="53">
        <f>IFERROR(__xludf.DUMMYFUNCTION("""COMPUTED_VALUE"""),85.71428571428571)</f>
        <v>85.71428571</v>
      </c>
      <c r="Q10" s="53">
        <f>IFERROR(__xludf.DUMMYFUNCTION("""COMPUTED_VALUE"""),3.6)</f>
        <v>3.6</v>
      </c>
      <c r="R10" s="53">
        <f>IFERROR(__xludf.DUMMYFUNCTION("""COMPUTED_VALUE"""),1.0353137091148663)</f>
        <v>1.035313709</v>
      </c>
      <c r="S10" s="53">
        <f>IFERROR(__xludf.DUMMYFUNCTION("""COMPUTED_VALUE"""),1.7822387001299258)</f>
        <v>1.7822387</v>
      </c>
      <c r="T10" s="53">
        <f>IFERROR(__xludf.DUMMYFUNCTION("""COMPUTED_VALUE"""),0.3782897126303679)</f>
        <v>0.3782897126</v>
      </c>
      <c r="U10" s="53">
        <f>IFERROR(__xludf.DUMMYFUNCTION("""COMPUTED_VALUE"""),2.4256770219275845)</f>
        <v>2.425677022</v>
      </c>
      <c r="V10" s="53">
        <f>IFERROR(__xludf.DUMMYFUNCTION("""COMPUTED_VALUE"""),1.319928732839717)</f>
        <v>1.319928733</v>
      </c>
      <c r="W10" s="53">
        <f>IFERROR(__xludf.DUMMYFUNCTION("""COMPUTED_VALUE"""),-0.39569839687757064)</f>
        <v>-0.3956983969</v>
      </c>
      <c r="X10" s="53">
        <f>IFERROR(__xludf.DUMMYFUNCTION("""COMPUTED_VALUE"""),-1.3205973735909926)</f>
        <v>-1.320597374</v>
      </c>
      <c r="Y10" s="53">
        <f>IFERROR(__xludf.DUMMYFUNCTION("""COMPUTED_VALUE"""),0.5867566384673297)</f>
        <v>0.5867566385</v>
      </c>
      <c r="Z10" s="53">
        <f>IFERROR(__xludf.DUMMYFUNCTION("""COMPUTED_VALUE"""),-0.49839587488446435)</f>
        <v>-0.4983958749</v>
      </c>
      <c r="AA10" t="str">
        <f>IFERROR(__xludf.DUMMYFUNCTION("SUBSTITUTE(REGEXREPLACE(REGEXREPLACE(REGEXREPLACE(REGEXREPLACE(REGEXREPLACE(REGEXREPLACE(E10,"","",),IF(Projections!$U$3="""",""PG"",),),IF(Projections!$V$3="""",""SG"",),),IF(Projections!$W$3="""",""SF"",),),IF(Projections!$X$3="""",""PF"",),),IF(Project"&amp;"ions!$Y$3="""",""C"",),),""/"","""")"),"PGSG")</f>
        <v>PGSG</v>
      </c>
      <c r="AB10">
        <f>COUNTIF('NO USAR3'!A9:AB204,'NO USAR3'!C9:C409)</f>
        <v>1</v>
      </c>
    </row>
    <row r="11">
      <c r="A11" t="str">
        <f>IF(Projections!$H$3,Draft!C9,"")</f>
        <v/>
      </c>
      <c r="B11">
        <f>IFERROR(__xludf.DUMMYFUNCTION("""COMPUTED_VALUE"""),6.0)</f>
        <v>6</v>
      </c>
      <c r="C11" t="str">
        <f>IFERROR(__xludf.DUMMYFUNCTION("""COMPUTED_VALUE"""),"Jayson Tatum")</f>
        <v>Jayson Tatum</v>
      </c>
      <c r="D11">
        <f>IFERROR(__xludf.DUMMYFUNCTION("""COMPUTED_VALUE"""),75.0)</f>
        <v>75</v>
      </c>
      <c r="E11" t="str">
        <f>IFERROR(__xludf.DUMMYFUNCTION("""COMPUTED_VALUE"""),"SF,PF")</f>
        <v>SF,PF</v>
      </c>
      <c r="F11" s="53">
        <f>IFERROR(__xludf.DUMMYFUNCTION("""COMPUTED_VALUE"""),6.237419142116777)</f>
        <v>6.237419142</v>
      </c>
      <c r="G11" s="53">
        <f>IFERROR(__xludf.DUMMYFUNCTION("""COMPUTED_VALUE"""),6.073044076011835)</f>
        <v>6.073044076</v>
      </c>
      <c r="H11" s="53">
        <f>IFERROR(__xludf.DUMMYFUNCTION("""COMPUTED_VALUE"""),-0.16437506610494168)</f>
        <v>-0.1643750661</v>
      </c>
      <c r="I11" s="53">
        <f>IFERROR(__xludf.DUMMYFUNCTION("""COMPUTED_VALUE"""),29.5)</f>
        <v>29.5</v>
      </c>
      <c r="J11" s="53">
        <f>IFERROR(__xludf.DUMMYFUNCTION("""COMPUTED_VALUE"""),3.3)</f>
        <v>3.3</v>
      </c>
      <c r="K11" s="53">
        <f>IFERROR(__xludf.DUMMYFUNCTION("""COMPUTED_VALUE"""),8.2)</f>
        <v>8.2</v>
      </c>
      <c r="L11" s="53">
        <f>IFERROR(__xludf.DUMMYFUNCTION("""COMPUTED_VALUE"""),4.8)</f>
        <v>4.8</v>
      </c>
      <c r="M11" s="53">
        <f>IFERROR(__xludf.DUMMYFUNCTION("""COMPUTED_VALUE"""),1.1)</f>
        <v>1.1</v>
      </c>
      <c r="N11" s="53">
        <f>IFERROR(__xludf.DUMMYFUNCTION("""COMPUTED_VALUE"""),0.7)</f>
        <v>0.7</v>
      </c>
      <c r="O11" s="53">
        <f>IFERROR(__xludf.DUMMYFUNCTION("""COMPUTED_VALUE"""),46.666666666666664)</f>
        <v>46.66666667</v>
      </c>
      <c r="P11" s="53">
        <f>IFERROR(__xludf.DUMMYFUNCTION("""COMPUTED_VALUE"""),85.71428571428571)</f>
        <v>85.71428571</v>
      </c>
      <c r="Q11" s="53">
        <f>IFERROR(__xludf.DUMMYFUNCTION("""COMPUTED_VALUE"""),3.0)</f>
        <v>3</v>
      </c>
      <c r="R11" s="53">
        <f>IFERROR(__xludf.DUMMYFUNCTION("""COMPUTED_VALUE"""),2.0633246085615333)</f>
        <v>2.063324609</v>
      </c>
      <c r="S11" s="53">
        <f>IFERROR(__xludf.DUMMYFUNCTION("""COMPUTED_VALUE"""),1.435387185346288)</f>
        <v>1.435387185</v>
      </c>
      <c r="T11" s="53">
        <f>IFERROR(__xludf.DUMMYFUNCTION("""COMPUTED_VALUE"""),0.8800741509020418)</f>
        <v>0.8800741509</v>
      </c>
      <c r="U11" s="53">
        <f>IFERROR(__xludf.DUMMYFUNCTION("""COMPUTED_VALUE"""),0.4875835224900693)</f>
        <v>0.4875835225</v>
      </c>
      <c r="V11" s="53">
        <f>IFERROR(__xludf.DUMMYFUNCTION("""COMPUTED_VALUE"""),0.22967922884215308)</f>
        <v>0.2296792288</v>
      </c>
      <c r="W11" s="53">
        <f>IFERROR(__xludf.DUMMYFUNCTION("""COMPUTED_VALUE"""),-0.0017508778622903794)</f>
        <v>-0.001750877862</v>
      </c>
      <c r="X11" s="53">
        <f>IFERROR(__xludf.DUMMYFUNCTION("""COMPUTED_VALUE"""),-0.6149742310855772)</f>
        <v>-0.6149742311</v>
      </c>
      <c r="Y11" s="53">
        <f>IFERROR(__xludf.DUMMYFUNCTION("""COMPUTED_VALUE"""),1.2908646046281254)</f>
        <v>1.290864605</v>
      </c>
      <c r="Z11" s="53">
        <f>IFERROR(__xludf.DUMMYFUNCTION("""COMPUTED_VALUE"""),-0.31211834689608486)</f>
        <v>-0.3121183469</v>
      </c>
      <c r="AA11" t="str">
        <f>IFERROR(__xludf.DUMMYFUNCTION("SUBSTITUTE(REGEXREPLACE(REGEXREPLACE(REGEXREPLACE(REGEXREPLACE(REGEXREPLACE(REGEXREPLACE(E11,"","",),IF(Projections!$U$3="""",""PG"",),),IF(Projections!$V$3="""",""SG"",),),IF(Projections!$W$3="""",""SF"",),),IF(Projections!$X$3="""",""PF"",),),IF(Project"&amp;"ions!$Y$3="""",""C"",),),""/"","""")"),"SFPF")</f>
        <v>SFPF</v>
      </c>
      <c r="AB11">
        <f>COUNTIF('NO USAR3'!A10:AB205,'NO USAR3'!C10:C410)</f>
        <v>1</v>
      </c>
    </row>
    <row r="12">
      <c r="A12" t="str">
        <f>IF(Projections!$H$3,Draft!C10,"")</f>
        <v/>
      </c>
      <c r="B12">
        <f>IFERROR(__xludf.DUMMYFUNCTION("""COMPUTED_VALUE"""),4.0)</f>
        <v>4</v>
      </c>
      <c r="C12" t="str">
        <f>IFERROR(__xludf.DUMMYFUNCTION("""COMPUTED_VALUE"""),"Shai Gilgeous-Alexander")</f>
        <v>Shai Gilgeous-Alexander</v>
      </c>
      <c r="D12">
        <f>IFERROR(__xludf.DUMMYFUNCTION("""COMPUTED_VALUE"""),67.0)</f>
        <v>67</v>
      </c>
      <c r="E12" t="str">
        <f>IFERROR(__xludf.DUMMYFUNCTION("""COMPUTED_VALUE"""),"PG,SG")</f>
        <v>PG,SG</v>
      </c>
      <c r="F12" s="53">
        <f>IFERROR(__xludf.DUMMYFUNCTION("""COMPUTED_VALUE"""),6.586598644459562)</f>
        <v>6.586598644</v>
      </c>
      <c r="G12" s="53">
        <f>IFERROR(__xludf.DUMMYFUNCTION("""COMPUTED_VALUE"""),5.834728981810113)</f>
        <v>5.834728982</v>
      </c>
      <c r="H12" s="53">
        <f>IFERROR(__xludf.DUMMYFUNCTION("""COMPUTED_VALUE"""),-0.7518696626494483)</f>
        <v>-0.7518696626</v>
      </c>
      <c r="I12" s="53">
        <f>IFERROR(__xludf.DUMMYFUNCTION("""COMPUTED_VALUE"""),29.6)</f>
        <v>29.6</v>
      </c>
      <c r="J12" s="53">
        <f>IFERROR(__xludf.DUMMYFUNCTION("""COMPUTED_VALUE"""),1.0)</f>
        <v>1</v>
      </c>
      <c r="K12" s="53">
        <f>IFERROR(__xludf.DUMMYFUNCTION("""COMPUTED_VALUE"""),5.0)</f>
        <v>5</v>
      </c>
      <c r="L12" s="53">
        <f>IFERROR(__xludf.DUMMYFUNCTION("""COMPUTED_VALUE"""),5.6)</f>
        <v>5.6</v>
      </c>
      <c r="M12" s="53">
        <f>IFERROR(__xludf.DUMMYFUNCTION("""COMPUTED_VALUE"""),1.5)</f>
        <v>1.5</v>
      </c>
      <c r="N12" s="53">
        <f>IFERROR(__xludf.DUMMYFUNCTION("""COMPUTED_VALUE"""),0.9)</f>
        <v>0.9</v>
      </c>
      <c r="O12" s="53">
        <f>IFERROR(__xludf.DUMMYFUNCTION("""COMPUTED_VALUE"""),48.5)</f>
        <v>48.5</v>
      </c>
      <c r="P12" s="53">
        <f>IFERROR(__xludf.DUMMYFUNCTION("""COMPUTED_VALUE"""),88.46153846153845)</f>
        <v>88.46153846</v>
      </c>
      <c r="Q12" s="53">
        <f>IFERROR(__xludf.DUMMYFUNCTION("""COMPUTED_VALUE"""),2.9)</f>
        <v>2.9</v>
      </c>
      <c r="R12" s="53">
        <f>IFERROR(__xludf.DUMMYFUNCTION("""COMPUTED_VALUE"""),2.08017724625738)</f>
        <v>2.080177246</v>
      </c>
      <c r="S12" s="53">
        <f>IFERROR(__xludf.DUMMYFUNCTION("""COMPUTED_VALUE"""),-0.5590090246596284)</f>
        <v>-0.5590090247</v>
      </c>
      <c r="T12" s="53">
        <f>IFERROR(__xludf.DUMMYFUNCTION("""COMPUTED_VALUE"""),-0.45801768448908886)</f>
        <v>-0.4580176845</v>
      </c>
      <c r="U12" s="53">
        <f>IFERROR(__xludf.DUMMYFUNCTION("""COMPUTED_VALUE"""),0.8956032065821777)</f>
        <v>0.8956032066</v>
      </c>
      <c r="V12" s="53">
        <f>IFERROR(__xludf.DUMMYFUNCTION("""COMPUTED_VALUE"""),1.101878832040204)</f>
        <v>1.101878832</v>
      </c>
      <c r="W12" s="53">
        <f>IFERROR(__xludf.DUMMYFUNCTION("""COMPUTED_VALUE"""),0.2608808014812299)</f>
        <v>0.2608808015</v>
      </c>
      <c r="X12" s="53">
        <f>IFERROR(__xludf.DUMMYFUNCTION("""COMPUTED_VALUE"""),-0.21943923317493375)</f>
        <v>-0.2194392332</v>
      </c>
      <c r="Y12" s="53">
        <f>IFERROR(__xludf.DUMMYFUNCTION("""COMPUTED_VALUE"""),2.4547179053444985)</f>
        <v>2.454717905</v>
      </c>
      <c r="Z12" s="53">
        <f>IFERROR(__xludf.DUMMYFUNCTION("""COMPUTED_VALUE"""),-0.28107209223135493)</f>
        <v>-0.2810720922</v>
      </c>
      <c r="AA12" t="str">
        <f>IFERROR(__xludf.DUMMYFUNCTION("SUBSTITUTE(REGEXREPLACE(REGEXREPLACE(REGEXREPLACE(REGEXREPLACE(REGEXREPLACE(REGEXREPLACE(E12,"","",),IF(Projections!$U$3="""",""PG"",),),IF(Projections!$V$3="""",""SG"",),),IF(Projections!$W$3="""",""SF"",),),IF(Projections!$X$3="""",""PF"",),),IF(Project"&amp;"ions!$Y$3="""",""C"",),),""/"","""")"),"PGSG")</f>
        <v>PGSG</v>
      </c>
      <c r="AB12">
        <f>COUNTIF('NO USAR3'!A11:AB206,'NO USAR3'!C11:C411)</f>
        <v>1</v>
      </c>
    </row>
    <row r="13">
      <c r="A13" t="str">
        <f>IF(Projections!$H$3,Draft!C11,"")</f>
        <v/>
      </c>
      <c r="B13">
        <f>IFERROR(__xludf.DUMMYFUNCTION("""COMPUTED_VALUE"""),29.0)</f>
        <v>29</v>
      </c>
      <c r="C13" t="str">
        <f>IFERROR(__xludf.DUMMYFUNCTION("""COMPUTED_VALUE"""),"Giannis Antetokounmpo")</f>
        <v>Giannis Antetokounmpo</v>
      </c>
      <c r="D13">
        <f>IFERROR(__xludf.DUMMYFUNCTION("""COMPUTED_VALUE"""),65.0)</f>
        <v>65</v>
      </c>
      <c r="E13" t="str">
        <f>IFERROR(__xludf.DUMMYFUNCTION("""COMPUTED_VALUE"""),"PF,C")</f>
        <v>PF,C</v>
      </c>
      <c r="F13" s="53">
        <f>IFERROR(__xludf.DUMMYFUNCTION("""COMPUTED_VALUE"""),2.440947221287024)</f>
        <v>2.440947221</v>
      </c>
      <c r="G13" s="53">
        <f>IFERROR(__xludf.DUMMYFUNCTION("""COMPUTED_VALUE"""),5.804536560306708)</f>
        <v>5.80453656</v>
      </c>
      <c r="H13" s="53">
        <f>IFERROR(__xludf.DUMMYFUNCTION("""COMPUTED_VALUE"""),3.3635893390196845)</f>
        <v>3.363589339</v>
      </c>
      <c r="I13" s="53">
        <f>IFERROR(__xludf.DUMMYFUNCTION("""COMPUTED_VALUE"""),28.3)</f>
        <v>28.3</v>
      </c>
      <c r="J13" s="53">
        <f>IFERROR(__xludf.DUMMYFUNCTION("""COMPUTED_VALUE"""),0.9)</f>
        <v>0.9</v>
      </c>
      <c r="K13" s="53">
        <f>IFERROR(__xludf.DUMMYFUNCTION("""COMPUTED_VALUE"""),11.6)</f>
        <v>11.6</v>
      </c>
      <c r="L13" s="53">
        <f>IFERROR(__xludf.DUMMYFUNCTION("""COMPUTED_VALUE"""),5.7)</f>
        <v>5.7</v>
      </c>
      <c r="M13" s="53">
        <f>IFERROR(__xludf.DUMMYFUNCTION("""COMPUTED_VALUE"""),1.1)</f>
        <v>1.1</v>
      </c>
      <c r="N13" s="53">
        <f>IFERROR(__xludf.DUMMYFUNCTION("""COMPUTED_VALUE"""),1.0)</f>
        <v>1</v>
      </c>
      <c r="O13" s="53">
        <f>IFERROR(__xludf.DUMMYFUNCTION("""COMPUTED_VALUE"""),56.7251461988304)</f>
        <v>56.7251462</v>
      </c>
      <c r="P13" s="53">
        <f>IFERROR(__xludf.DUMMYFUNCTION("""COMPUTED_VALUE"""),67.79661016949152)</f>
        <v>67.79661017</v>
      </c>
      <c r="Q13" s="53">
        <f>IFERROR(__xludf.DUMMYFUNCTION("""COMPUTED_VALUE"""),3.6)</f>
        <v>3.6</v>
      </c>
      <c r="R13" s="53">
        <f>IFERROR(__xludf.DUMMYFUNCTION("""COMPUTED_VALUE"""),1.8610929562113694)</f>
        <v>1.861092956</v>
      </c>
      <c r="S13" s="53">
        <f>IFERROR(__xludf.DUMMYFUNCTION("""COMPUTED_VALUE"""),-0.6457219033555379)</f>
        <v>-0.6457219034</v>
      </c>
      <c r="T13" s="53">
        <f>IFERROR(__xludf.DUMMYFUNCTION("""COMPUTED_VALUE"""),2.3017967260051186)</f>
        <v>2.301796726</v>
      </c>
      <c r="U13" s="53">
        <f>IFERROR(__xludf.DUMMYFUNCTION("""COMPUTED_VALUE"""),0.9466056670936915)</f>
        <v>0.9466056671</v>
      </c>
      <c r="V13" s="53">
        <f>IFERROR(__xludf.DUMMYFUNCTION("""COMPUTED_VALUE"""),0.22967922884215308)</f>
        <v>0.2296792288</v>
      </c>
      <c r="W13" s="53">
        <f>IFERROR(__xludf.DUMMYFUNCTION("""COMPUTED_VALUE"""),0.39219664115299)</f>
        <v>0.3921966412</v>
      </c>
      <c r="X13" s="53">
        <f>IFERROR(__xludf.DUMMYFUNCTION("""COMPUTED_VALUE"""),1.2172831192413873)</f>
        <v>1.217283119</v>
      </c>
      <c r="Y13" s="53">
        <f>IFERROR(__xludf.DUMMYFUNCTION("""COMPUTED_VALUE"""),-3.2847641480178242)</f>
        <v>-3.284764148</v>
      </c>
      <c r="Z13" s="53">
        <f>IFERROR(__xludf.DUMMYFUNCTION("""COMPUTED_VALUE"""),-0.49839587488446435)</f>
        <v>-0.4983958749</v>
      </c>
      <c r="AA13" t="str">
        <f>IFERROR(__xludf.DUMMYFUNCTION("SUBSTITUTE(REGEXREPLACE(REGEXREPLACE(REGEXREPLACE(REGEXREPLACE(REGEXREPLACE(REGEXREPLACE(E13,"","",),IF(Projections!$U$3="""",""PG"",),),IF(Projections!$V$3="""",""SG"",),),IF(Projections!$W$3="""",""SF"",),),IF(Projections!$X$3="""",""PF"",),),IF(Project"&amp;"ions!$Y$3="""",""C"",),),""/"","""")"),"PFC")</f>
        <v>PFC</v>
      </c>
      <c r="AB13">
        <f>COUNTIF('NO USAR3'!A12:AB207,'NO USAR3'!C12:C412)</f>
        <v>1</v>
      </c>
    </row>
    <row r="14">
      <c r="A14" t="str">
        <f>IF(Projections!$H$3,Draft!C12,"")</f>
        <v/>
      </c>
      <c r="B14">
        <f>IFERROR(__xludf.DUMMYFUNCTION("""COMPUTED_VALUE"""),9.0)</f>
        <v>9</v>
      </c>
      <c r="C14" t="str">
        <f>IFERROR(__xludf.DUMMYFUNCTION("""COMPUTED_VALUE"""),"Damian Lillard")</f>
        <v>Damian Lillard</v>
      </c>
      <c r="D14">
        <f>IFERROR(__xludf.DUMMYFUNCTION("""COMPUTED_VALUE"""),67.0)</f>
        <v>67</v>
      </c>
      <c r="E14" t="str">
        <f>IFERROR(__xludf.DUMMYFUNCTION("""COMPUTED_VALUE"""),"PG")</f>
        <v>PG</v>
      </c>
      <c r="F14" s="53">
        <f>IFERROR(__xludf.DUMMYFUNCTION("""COMPUTED_VALUE"""),5.471375355219976)</f>
        <v>5.471375355</v>
      </c>
      <c r="G14" s="53">
        <f>IFERROR(__xludf.DUMMYFUNCTION("""COMPUTED_VALUE"""),5.737778982304781)</f>
        <v>5.737778982</v>
      </c>
      <c r="H14" s="53">
        <f>IFERROR(__xludf.DUMMYFUNCTION("""COMPUTED_VALUE"""),0.2664036270848049)</f>
        <v>0.2664036271</v>
      </c>
      <c r="I14" s="53">
        <f>IFERROR(__xludf.DUMMYFUNCTION("""COMPUTED_VALUE"""),27.2)</f>
        <v>27.2</v>
      </c>
      <c r="J14" s="53">
        <f>IFERROR(__xludf.DUMMYFUNCTION("""COMPUTED_VALUE"""),3.8)</f>
        <v>3.8</v>
      </c>
      <c r="K14" s="53">
        <f>IFERROR(__xludf.DUMMYFUNCTION("""COMPUTED_VALUE"""),4.0)</f>
        <v>4</v>
      </c>
      <c r="L14" s="53">
        <f>IFERROR(__xludf.DUMMYFUNCTION("""COMPUTED_VALUE"""),6.9)</f>
        <v>6.9</v>
      </c>
      <c r="M14" s="53">
        <f>IFERROR(__xludf.DUMMYFUNCTION("""COMPUTED_VALUE"""),0.9)</f>
        <v>0.9</v>
      </c>
      <c r="N14" s="53">
        <f>IFERROR(__xludf.DUMMYFUNCTION("""COMPUTED_VALUE"""),0.3)</f>
        <v>0.3</v>
      </c>
      <c r="O14" s="53">
        <f>IFERROR(__xludf.DUMMYFUNCTION("""COMPUTED_VALUE"""),46.067415730337075)</f>
        <v>46.06741573</v>
      </c>
      <c r="P14" s="53">
        <f>IFERROR(__xludf.DUMMYFUNCTION("""COMPUTED_VALUE"""),91.02564102564102)</f>
        <v>91.02564103</v>
      </c>
      <c r="Q14" s="53">
        <f>IFERROR(__xludf.DUMMYFUNCTION("""COMPUTED_VALUE"""),3.1)</f>
        <v>3.1</v>
      </c>
      <c r="R14" s="53">
        <f>IFERROR(__xludf.DUMMYFUNCTION("""COMPUTED_VALUE"""),1.6757139415570521)</f>
        <v>1.675713942</v>
      </c>
      <c r="S14" s="53">
        <f>IFERROR(__xludf.DUMMYFUNCTION("""COMPUTED_VALUE"""),1.868951578825835)</f>
        <v>1.868951579</v>
      </c>
      <c r="T14" s="53">
        <f>IFERROR(__xludf.DUMMYFUNCTION("""COMPUTED_VALUE"""),-0.8761713830488173)</f>
        <v>-0.876171383</v>
      </c>
      <c r="U14" s="53">
        <f>IFERROR(__xludf.DUMMYFUNCTION("""COMPUTED_VALUE"""),1.5586351932318547)</f>
        <v>1.558635193</v>
      </c>
      <c r="V14" s="53">
        <f>IFERROR(__xludf.DUMMYFUNCTION("""COMPUTED_VALUE"""),-0.2064205727568726)</f>
        <v>-0.2064205728</v>
      </c>
      <c r="W14" s="53">
        <f>IFERROR(__xludf.DUMMYFUNCTION("""COMPUTED_VALUE"""),-0.5270142365493308)</f>
        <v>-0.5270142365</v>
      </c>
      <c r="X14" s="53">
        <f>IFERROR(__xludf.DUMMYFUNCTION("""COMPUTED_VALUE"""),-0.6278094751804226)</f>
        <v>-0.6278094752</v>
      </c>
      <c r="Y14" s="53">
        <f>IFERROR(__xludf.DUMMYFUNCTION("""COMPUTED_VALUE"""),2.3388871547374808)</f>
        <v>2.338887155</v>
      </c>
      <c r="Z14" s="53">
        <f>IFERROR(__xludf.DUMMYFUNCTION("""COMPUTED_VALUE"""),-0.3431646015608148)</f>
        <v>-0.3431646016</v>
      </c>
      <c r="AA14" t="str">
        <f>IFERROR(__xludf.DUMMYFUNCTION("SUBSTITUTE(REGEXREPLACE(REGEXREPLACE(REGEXREPLACE(REGEXREPLACE(REGEXREPLACE(REGEXREPLACE(E14,"","",),IF(Projections!$U$3="""",""PG"",),),IF(Projections!$V$3="""",""SG"",),),IF(Projections!$W$3="""",""SF"",),),IF(Projections!$X$3="""",""PF"",),),IF(Project"&amp;"ions!$Y$3="""",""C"",),),""/"","""")"),"PG")</f>
        <v>PG</v>
      </c>
      <c r="AB14">
        <f>COUNTIF('NO USAR3'!A13:AB208,'NO USAR3'!C13:C413)</f>
        <v>1</v>
      </c>
    </row>
    <row r="15">
      <c r="A15" t="str">
        <f>IF(Projections!$H$3,Draft!C13,"")</f>
        <v/>
      </c>
      <c r="B15">
        <f>IFERROR(__xludf.DUMMYFUNCTION("""COMPUTED_VALUE"""),8.0)</f>
        <v>8</v>
      </c>
      <c r="C15" t="str">
        <f>IFERROR(__xludf.DUMMYFUNCTION("""COMPUTED_VALUE"""),"Stephen Curry")</f>
        <v>Stephen Curry</v>
      </c>
      <c r="D15">
        <f>IFERROR(__xludf.DUMMYFUNCTION("""COMPUTED_VALUE"""),65.0)</f>
        <v>65</v>
      </c>
      <c r="E15" t="str">
        <f>IFERROR(__xludf.DUMMYFUNCTION("""COMPUTED_VALUE"""),"PG")</f>
        <v>PG</v>
      </c>
      <c r="F15" s="53">
        <f>IFERROR(__xludf.DUMMYFUNCTION("""COMPUTED_VALUE"""),5.8071797150291085)</f>
        <v>5.807179715</v>
      </c>
      <c r="G15" s="53">
        <f>IFERROR(__xludf.DUMMYFUNCTION("""COMPUTED_VALUE"""),5.6849205284665425)</f>
        <v>5.684920528</v>
      </c>
      <c r="H15" s="53">
        <f>IFERROR(__xludf.DUMMYFUNCTION("""COMPUTED_VALUE"""),-0.12225918656256596)</f>
        <v>-0.1222591866</v>
      </c>
      <c r="I15" s="53">
        <f>IFERROR(__xludf.DUMMYFUNCTION("""COMPUTED_VALUE"""),28.0)</f>
        <v>28</v>
      </c>
      <c r="J15" s="53">
        <f>IFERROR(__xludf.DUMMYFUNCTION("""COMPUTED_VALUE"""),4.7)</f>
        <v>4.7</v>
      </c>
      <c r="K15" s="53">
        <f>IFERROR(__xludf.DUMMYFUNCTION("""COMPUTED_VALUE"""),5.6)</f>
        <v>5.6</v>
      </c>
      <c r="L15" s="53">
        <f>IFERROR(__xludf.DUMMYFUNCTION("""COMPUTED_VALUE"""),5.6)</f>
        <v>5.6</v>
      </c>
      <c r="M15" s="53">
        <f>IFERROR(__xludf.DUMMYFUNCTION("""COMPUTED_VALUE"""),0.9)</f>
        <v>0.9</v>
      </c>
      <c r="N15" s="53">
        <f>IFERROR(__xludf.DUMMYFUNCTION("""COMPUTED_VALUE"""),0.3)</f>
        <v>0.3</v>
      </c>
      <c r="O15" s="53">
        <f>IFERROR(__xludf.DUMMYFUNCTION("""COMPUTED_VALUE"""),47.474747474747474)</f>
        <v>47.47474747</v>
      </c>
      <c r="P15" s="53">
        <f>IFERROR(__xludf.DUMMYFUNCTION("""COMPUTED_VALUE"""),91.83673469387755)</f>
        <v>91.83673469</v>
      </c>
      <c r="Q15" s="53">
        <f>IFERROR(__xludf.DUMMYFUNCTION("""COMPUTED_VALUE"""),3.3)</f>
        <v>3.3</v>
      </c>
      <c r="R15" s="53">
        <f>IFERROR(__xludf.DUMMYFUNCTION("""COMPUTED_VALUE"""),1.8105350431238283)</f>
        <v>1.810535043</v>
      </c>
      <c r="S15" s="53">
        <f>IFERROR(__xludf.DUMMYFUNCTION("""COMPUTED_VALUE"""),2.64936748708902)</f>
        <v>2.649367487</v>
      </c>
      <c r="T15" s="53">
        <f>IFERROR(__xludf.DUMMYFUNCTION("""COMPUTED_VALUE"""),-0.207125465353252)</f>
        <v>-0.2071254654</v>
      </c>
      <c r="U15" s="53">
        <f>IFERROR(__xludf.DUMMYFUNCTION("""COMPUTED_VALUE"""),0.8956032065821777)</f>
        <v>0.8956032066</v>
      </c>
      <c r="V15" s="53">
        <f>IFERROR(__xludf.DUMMYFUNCTION("""COMPUTED_VALUE"""),-0.2064205727568726)</f>
        <v>-0.2064205728</v>
      </c>
      <c r="W15" s="53">
        <f>IFERROR(__xludf.DUMMYFUNCTION("""COMPUTED_VALUE"""),-0.5270142365493308)</f>
        <v>-0.5270142365</v>
      </c>
      <c r="X15" s="53">
        <f>IFERROR(__xludf.DUMMYFUNCTION("""COMPUTED_VALUE"""),-0.4200144417760026)</f>
        <v>-0.4200144418</v>
      </c>
      <c r="Y15" s="53">
        <f>IFERROR(__xludf.DUMMYFUNCTION("""COMPUTED_VALUE"""),1.5682323824479183)</f>
        <v>1.568232382</v>
      </c>
      <c r="Z15" s="53">
        <f>IFERROR(__xludf.DUMMYFUNCTION("""COMPUTED_VALUE"""),-0.40525711089027455)</f>
        <v>-0.4052571109</v>
      </c>
      <c r="AA15" t="str">
        <f>IFERROR(__xludf.DUMMYFUNCTION("SUBSTITUTE(REGEXREPLACE(REGEXREPLACE(REGEXREPLACE(REGEXREPLACE(REGEXREPLACE(REGEXREPLACE(E15,"","",),IF(Projections!$U$3="""",""PG"",),),IF(Projections!$V$3="""",""SG"",),),IF(Projections!$W$3="""",""SF"",),),IF(Projections!$X$3="""",""PF"",),),IF(Project"&amp;"ions!$Y$3="""",""C"",),),""/"","""")"),"PG")</f>
        <v>PG</v>
      </c>
    </row>
    <row r="16">
      <c r="A16" t="str">
        <f>IF(Projections!$H$3,Draft!C14,"")</f>
        <v/>
      </c>
      <c r="B16">
        <f>IFERROR(__xludf.DUMMYFUNCTION("""COMPUTED_VALUE"""),10.0)</f>
        <v>10</v>
      </c>
      <c r="C16" t="str">
        <f>IFERROR(__xludf.DUMMYFUNCTION("""COMPUTED_VALUE"""),"Kyrie Irving")</f>
        <v>Kyrie Irving</v>
      </c>
      <c r="D16">
        <f>IFERROR(__xludf.DUMMYFUNCTION("""COMPUTED_VALUE"""),62.0)</f>
        <v>62</v>
      </c>
      <c r="E16" t="str">
        <f>IFERROR(__xludf.DUMMYFUNCTION("""COMPUTED_VALUE"""),"PG,SG")</f>
        <v>PG,SG</v>
      </c>
      <c r="F16" s="53">
        <f>IFERROR(__xludf.DUMMYFUNCTION("""COMPUTED_VALUE"""),5.39863539570384)</f>
        <v>5.398635396</v>
      </c>
      <c r="G16" s="53">
        <f>IFERROR(__xludf.DUMMYFUNCTION("""COMPUTED_VALUE"""),5.304467756856497)</f>
        <v>5.304467757</v>
      </c>
      <c r="H16" s="53">
        <f>IFERROR(__xludf.DUMMYFUNCTION("""COMPUTED_VALUE"""),-0.0941676388473427)</f>
        <v>-0.09416763885</v>
      </c>
      <c r="I16" s="53">
        <f>IFERROR(__xludf.DUMMYFUNCTION("""COMPUTED_VALUE"""),26.7)</f>
        <v>26.7</v>
      </c>
      <c r="J16" s="53">
        <f>IFERROR(__xludf.DUMMYFUNCTION("""COMPUTED_VALUE"""),3.2)</f>
        <v>3.2</v>
      </c>
      <c r="K16" s="53">
        <f>IFERROR(__xludf.DUMMYFUNCTION("""COMPUTED_VALUE"""),4.8)</f>
        <v>4.8</v>
      </c>
      <c r="L16" s="53">
        <f>IFERROR(__xludf.DUMMYFUNCTION("""COMPUTED_VALUE"""),5.5)</f>
        <v>5.5</v>
      </c>
      <c r="M16" s="53">
        <f>IFERROR(__xludf.DUMMYFUNCTION("""COMPUTED_VALUE"""),1.2)</f>
        <v>1.2</v>
      </c>
      <c r="N16" s="53">
        <f>IFERROR(__xludf.DUMMYFUNCTION("""COMPUTED_VALUE"""),0.7)</f>
        <v>0.7</v>
      </c>
      <c r="O16" s="53">
        <f>IFERROR(__xludf.DUMMYFUNCTION("""COMPUTED_VALUE"""),48.756218905472636)</f>
        <v>48.75621891</v>
      </c>
      <c r="P16" s="53">
        <f>IFERROR(__xludf.DUMMYFUNCTION("""COMPUTED_VALUE"""),90.9090909090909)</f>
        <v>90.90909091</v>
      </c>
      <c r="Q16" s="53">
        <f>IFERROR(__xludf.DUMMYFUNCTION("""COMPUTED_VALUE"""),2.2)</f>
        <v>2.2</v>
      </c>
      <c r="R16" s="53">
        <f>IFERROR(__xludf.DUMMYFUNCTION("""COMPUTED_VALUE"""),1.5914507530778172)</f>
        <v>1.591450753</v>
      </c>
      <c r="S16" s="53">
        <f>IFERROR(__xludf.DUMMYFUNCTION("""COMPUTED_VALUE"""),1.3486743066503788)</f>
        <v>1.348674307</v>
      </c>
      <c r="T16" s="53">
        <f>IFERROR(__xludf.DUMMYFUNCTION("""COMPUTED_VALUE"""),-0.5416484242010347)</f>
        <v>-0.5416484242</v>
      </c>
      <c r="U16" s="53">
        <f>IFERROR(__xludf.DUMMYFUNCTION("""COMPUTED_VALUE"""),0.8446007460706644)</f>
        <v>0.8446007461</v>
      </c>
      <c r="V16" s="53">
        <f>IFERROR(__xludf.DUMMYFUNCTION("""COMPUTED_VALUE"""),0.44772912964166556)</f>
        <v>0.4477291296</v>
      </c>
      <c r="W16" s="53">
        <f>IFERROR(__xludf.DUMMYFUNCTION("""COMPUTED_VALUE"""),-0.0017508778622903794)</f>
        <v>-0.001750877862</v>
      </c>
      <c r="X16" s="53">
        <f>IFERROR(__xludf.DUMMYFUNCTION("""COMPUTED_VALUE"""),-0.16909488033568423)</f>
        <v>-0.1690948803</v>
      </c>
      <c r="Y16" s="53">
        <f>IFERROR(__xludf.DUMMYFUNCTION("""COMPUTED_VALUE"""),1.3066068891921918)</f>
        <v>1.306606889</v>
      </c>
      <c r="Z16" s="53">
        <f>IFERROR(__xludf.DUMMYFUNCTION("""COMPUTED_VALUE"""),-0.06374830957824563)</f>
        <v>-0.06374830958</v>
      </c>
      <c r="AA16" t="str">
        <f>IFERROR(__xludf.DUMMYFUNCTION("SUBSTITUTE(REGEXREPLACE(REGEXREPLACE(REGEXREPLACE(REGEXREPLACE(REGEXREPLACE(REGEXREPLACE(E16,"","",),IF(Projections!$U$3="""",""PG"",),),IF(Projections!$V$3="""",""SG"",),),IF(Projections!$W$3="""",""SF"",),),IF(Projections!$X$3="""",""PF"",),),IF(Project"&amp;"ions!$Y$3="""",""C"",),),""/"","""")"),"PGSG")</f>
        <v>PGSG</v>
      </c>
    </row>
    <row r="17">
      <c r="A17" t="str">
        <f>IF(Projections!$H$3,Draft!D3,"")</f>
        <v/>
      </c>
      <c r="B17">
        <f>IFERROR(__xludf.DUMMYFUNCTION("""COMPUTED_VALUE"""),12.0)</f>
        <v>12</v>
      </c>
      <c r="C17" t="str">
        <f>IFERROR(__xludf.DUMMYFUNCTION("""COMPUTED_VALUE"""),"Anthony Davis")</f>
        <v>Anthony Davis</v>
      </c>
      <c r="D17">
        <f>IFERROR(__xludf.DUMMYFUNCTION("""COMPUTED_VALUE"""),60.0)</f>
        <v>60</v>
      </c>
      <c r="E17" t="str">
        <f>IFERROR(__xludf.DUMMYFUNCTION("""COMPUTED_VALUE"""),"PF,C")</f>
        <v>PF,C</v>
      </c>
      <c r="F17" s="53">
        <f>IFERROR(__xludf.DUMMYFUNCTION("""COMPUTED_VALUE"""),4.746284103456114)</f>
        <v>4.746284103</v>
      </c>
      <c r="G17" s="53">
        <f>IFERROR(__xludf.DUMMYFUNCTION("""COMPUTED_VALUE"""),5.121027053206726)</f>
        <v>5.121027053</v>
      </c>
      <c r="H17" s="53">
        <f>IFERROR(__xludf.DUMMYFUNCTION("""COMPUTED_VALUE"""),0.37474294975061184)</f>
        <v>0.3747429498</v>
      </c>
      <c r="I17" s="53">
        <f>IFERROR(__xludf.DUMMYFUNCTION("""COMPUTED_VALUE"""),24.3)</f>
        <v>24.3</v>
      </c>
      <c r="J17" s="53">
        <f>IFERROR(__xludf.DUMMYFUNCTION("""COMPUTED_VALUE"""),0.3)</f>
        <v>0.3</v>
      </c>
      <c r="K17" s="53">
        <f>IFERROR(__xludf.DUMMYFUNCTION("""COMPUTED_VALUE"""),11.2)</f>
        <v>11.2</v>
      </c>
      <c r="L17" s="53">
        <f>IFERROR(__xludf.DUMMYFUNCTION("""COMPUTED_VALUE"""),2.8)</f>
        <v>2.8</v>
      </c>
      <c r="M17" s="53">
        <f>IFERROR(__xludf.DUMMYFUNCTION("""COMPUTED_VALUE"""),1.1)</f>
        <v>1.1</v>
      </c>
      <c r="N17" s="53">
        <f>IFERROR(__xludf.DUMMYFUNCTION("""COMPUTED_VALUE"""),2.1)</f>
        <v>2.1</v>
      </c>
      <c r="O17" s="53">
        <f>IFERROR(__xludf.DUMMYFUNCTION("""COMPUTED_VALUE"""),54.70588235294118)</f>
        <v>54.70588235</v>
      </c>
      <c r="P17" s="53">
        <f>IFERROR(__xludf.DUMMYFUNCTION("""COMPUTED_VALUE"""),75.71428571428571)</f>
        <v>75.71428571</v>
      </c>
      <c r="Q17" s="53">
        <f>IFERROR(__xludf.DUMMYFUNCTION("""COMPUTED_VALUE"""),2.1)</f>
        <v>2.1</v>
      </c>
      <c r="R17" s="53">
        <f>IFERROR(__xludf.DUMMYFUNCTION("""COMPUTED_VALUE"""),1.1869874483774896)</f>
        <v>1.186987448</v>
      </c>
      <c r="S17" s="53">
        <f>IFERROR(__xludf.DUMMYFUNCTION("""COMPUTED_VALUE"""),-1.1659991755309944)</f>
        <v>-1.165999176</v>
      </c>
      <c r="T17" s="53">
        <f>IFERROR(__xludf.DUMMYFUNCTION("""COMPUTED_VALUE"""),2.134535246581227)</f>
        <v>2.134535247</v>
      </c>
      <c r="U17" s="53">
        <f>IFERROR(__xludf.DUMMYFUNCTION("""COMPUTED_VALUE"""),-0.5324656877402022)</f>
        <v>-0.5324656877</v>
      </c>
      <c r="V17" s="53">
        <f>IFERROR(__xludf.DUMMYFUNCTION("""COMPUTED_VALUE"""),0.22967922884215308)</f>
        <v>0.2296792288</v>
      </c>
      <c r="W17" s="53">
        <f>IFERROR(__xludf.DUMMYFUNCTION("""COMPUTED_VALUE"""),1.8366708775423515)</f>
        <v>1.836670878</v>
      </c>
      <c r="X17" s="53">
        <f>IFERROR(__xludf.DUMMYFUNCTION("""COMPUTED_VALUE"""),0.8672792576344284)</f>
        <v>0.8672792576</v>
      </c>
      <c r="Y17" s="53">
        <f>IFERROR(__xludf.DUMMYFUNCTION("""COMPUTED_VALUE"""),-0.5689572631172066)</f>
        <v>-0.5689572631</v>
      </c>
      <c r="Z17" s="53">
        <f>IFERROR(__xludf.DUMMYFUNCTION("""COMPUTED_VALUE"""),-0.032702054913515695)</f>
        <v>-0.03270205491</v>
      </c>
      <c r="AA17" t="str">
        <f>IFERROR(__xludf.DUMMYFUNCTION("SUBSTITUTE(REGEXREPLACE(REGEXREPLACE(REGEXREPLACE(REGEXREPLACE(REGEXREPLACE(REGEXREPLACE(E17,"","",),IF(Projections!$U$3="""",""PG"",),),IF(Projections!$V$3="""",""SG"",),),IF(Projections!$W$3="""",""SF"",),),IF(Projections!$X$3="""",""PF"",),),IF(Project"&amp;"ions!$Y$3="""",""C"",),),""/"","""")"),"PFC")</f>
        <v>PFC</v>
      </c>
    </row>
    <row r="18">
      <c r="A18" t="str">
        <f>IF(Projections!$H$3,Draft!D4,"")</f>
        <v/>
      </c>
      <c r="B18">
        <f>IFERROR(__xludf.DUMMYFUNCTION("""COMPUTED_VALUE"""),15.0)</f>
        <v>15</v>
      </c>
      <c r="C18" t="str">
        <f>IFERROR(__xludf.DUMMYFUNCTION("""COMPUTED_VALUE"""),"Trae Young")</f>
        <v>Trae Young</v>
      </c>
      <c r="D18">
        <f>IFERROR(__xludf.DUMMYFUNCTION("""COMPUTED_VALUE"""),75.0)</f>
        <v>75</v>
      </c>
      <c r="E18" t="str">
        <f>IFERROR(__xludf.DUMMYFUNCTION("""COMPUTED_VALUE"""),"PG")</f>
        <v>PG</v>
      </c>
      <c r="F18" s="53">
        <f>IFERROR(__xludf.DUMMYFUNCTION("""COMPUTED_VALUE"""),4.266807449081796)</f>
        <v>4.266807449</v>
      </c>
      <c r="G18" s="53">
        <f>IFERROR(__xludf.DUMMYFUNCTION("""COMPUTED_VALUE"""),4.937474580159613)</f>
        <v>4.93747458</v>
      </c>
      <c r="H18" s="53">
        <f>IFERROR(__xludf.DUMMYFUNCTION("""COMPUTED_VALUE"""),0.670667131077817)</f>
        <v>0.6706671311</v>
      </c>
      <c r="I18" s="53">
        <f>IFERROR(__xludf.DUMMYFUNCTION("""COMPUTED_VALUE"""),27.1)</f>
        <v>27.1</v>
      </c>
      <c r="J18" s="53">
        <f>IFERROR(__xludf.DUMMYFUNCTION("""COMPUTED_VALUE"""),2.2)</f>
        <v>2.2</v>
      </c>
      <c r="K18" s="53">
        <f>IFERROR(__xludf.DUMMYFUNCTION("""COMPUTED_VALUE"""),3.4)</f>
        <v>3.4</v>
      </c>
      <c r="L18" s="53">
        <f>IFERROR(__xludf.DUMMYFUNCTION("""COMPUTED_VALUE"""),10.0)</f>
        <v>10</v>
      </c>
      <c r="M18" s="53">
        <f>IFERROR(__xludf.DUMMYFUNCTION("""COMPUTED_VALUE"""),1.1)</f>
        <v>1.1</v>
      </c>
      <c r="N18" s="53">
        <f>IFERROR(__xludf.DUMMYFUNCTION("""COMPUTED_VALUE"""),0.1)</f>
        <v>0.1</v>
      </c>
      <c r="O18" s="53">
        <f>IFERROR(__xludf.DUMMYFUNCTION("""COMPUTED_VALUE"""),43.62745098039216)</f>
        <v>43.62745098</v>
      </c>
      <c r="P18" s="53">
        <f>IFERROR(__xludf.DUMMYFUNCTION("""COMPUTED_VALUE"""),88.8888888888889)</f>
        <v>88.88888889</v>
      </c>
      <c r="Q18" s="53">
        <f>IFERROR(__xludf.DUMMYFUNCTION("""COMPUTED_VALUE"""),4.1)</f>
        <v>4.1</v>
      </c>
      <c r="R18" s="53">
        <f>IFERROR(__xludf.DUMMYFUNCTION("""COMPUTED_VALUE"""),1.6588613038612057)</f>
        <v>1.658861304</v>
      </c>
      <c r="S18" s="53">
        <f>IFERROR(__xludf.DUMMYFUNCTION("""COMPUTED_VALUE"""),0.48154551969128473)</f>
        <v>0.4815455197</v>
      </c>
      <c r="T18" s="53">
        <f>IFERROR(__xludf.DUMMYFUNCTION("""COMPUTED_VALUE"""),-1.1270636021846543)</f>
        <v>-1.127063602</v>
      </c>
      <c r="U18" s="53">
        <f>IFERROR(__xludf.DUMMYFUNCTION("""COMPUTED_VALUE"""),3.1397114690887746)</f>
        <v>3.139711469</v>
      </c>
      <c r="V18" s="53">
        <f>IFERROR(__xludf.DUMMYFUNCTION("""COMPUTED_VALUE"""),0.22967922884215308)</f>
        <v>0.2296792288</v>
      </c>
      <c r="W18" s="53">
        <f>IFERROR(__xludf.DUMMYFUNCTION("""COMPUTED_VALUE"""),-0.7896459158928509)</f>
        <v>-0.7896459159</v>
      </c>
      <c r="X18" s="53">
        <f>IFERROR(__xludf.DUMMYFUNCTION("""COMPUTED_VALUE"""),-1.2166998568887837)</f>
        <v>-1.216699857</v>
      </c>
      <c r="Y18" s="53">
        <f>IFERROR(__xludf.DUMMYFUNCTION("""COMPUTED_VALUE"""),1.9980137249618144)</f>
        <v>1.998013725</v>
      </c>
      <c r="Z18" s="53">
        <f>IFERROR(__xludf.DUMMYFUNCTION("""COMPUTED_VALUE"""),-0.6536271482081137)</f>
        <v>-0.6536271482</v>
      </c>
      <c r="AA18" t="str">
        <f>IFERROR(__xludf.DUMMYFUNCTION("SUBSTITUTE(REGEXREPLACE(REGEXREPLACE(REGEXREPLACE(REGEXREPLACE(REGEXREPLACE(REGEXREPLACE(E18,"","",),IF(Projections!$U$3="""",""PG"",),),IF(Projections!$V$3="""",""SG"",),),IF(Projections!$W$3="""",""SF"",),),IF(Projections!$X$3="""",""PF"",),),IF(Project"&amp;"ions!$Y$3="""",""C"",),),""/"","""")"),"PG")</f>
        <v>PG</v>
      </c>
    </row>
    <row r="19">
      <c r="A19" t="str">
        <f>IF(Projections!$H$3,Draft!D5,"")</f>
        <v/>
      </c>
      <c r="B19">
        <f>IFERROR(__xludf.DUMMYFUNCTION("""COMPUTED_VALUE"""),14.0)</f>
        <v>14</v>
      </c>
      <c r="C19" t="str">
        <f>IFERROR(__xludf.DUMMYFUNCTION("""COMPUTED_VALUE"""),"James Harden")</f>
        <v>James Harden</v>
      </c>
      <c r="D19">
        <f>IFERROR(__xludf.DUMMYFUNCTION("""COMPUTED_VALUE"""),60.0)</f>
        <v>60</v>
      </c>
      <c r="E19" t="str">
        <f>IFERROR(__xludf.DUMMYFUNCTION("""COMPUTED_VALUE"""),"PG,SG")</f>
        <v>PG,SG</v>
      </c>
      <c r="F19" s="53">
        <f>IFERROR(__xludf.DUMMYFUNCTION("""COMPUTED_VALUE"""),4.432903750997129)</f>
        <v>4.432903751</v>
      </c>
      <c r="G19" s="53">
        <f>IFERROR(__xludf.DUMMYFUNCTION("""COMPUTED_VALUE"""),4.82347949870555)</f>
        <v>4.823479499</v>
      </c>
      <c r="H19" s="53">
        <f>IFERROR(__xludf.DUMMYFUNCTION("""COMPUTED_VALUE"""),0.39057574770842063)</f>
        <v>0.3905757477</v>
      </c>
      <c r="I19" s="53">
        <f>IFERROR(__xludf.DUMMYFUNCTION("""COMPUTED_VALUE"""),20.0)</f>
        <v>20</v>
      </c>
      <c r="J19" s="53">
        <f>IFERROR(__xludf.DUMMYFUNCTION("""COMPUTED_VALUE"""),2.4)</f>
        <v>2.4</v>
      </c>
      <c r="K19" s="53">
        <f>IFERROR(__xludf.DUMMYFUNCTION("""COMPUTED_VALUE"""),5.6)</f>
        <v>5.6</v>
      </c>
      <c r="L19" s="53">
        <f>IFERROR(__xludf.DUMMYFUNCTION("""COMPUTED_VALUE"""),10.1)</f>
        <v>10.1</v>
      </c>
      <c r="M19" s="53">
        <f>IFERROR(__xludf.DUMMYFUNCTION("""COMPUTED_VALUE"""),1.1)</f>
        <v>1.1</v>
      </c>
      <c r="N19" s="53">
        <f>IFERROR(__xludf.DUMMYFUNCTION("""COMPUTED_VALUE"""),0.5)</f>
        <v>0.5</v>
      </c>
      <c r="O19" s="53">
        <f>IFERROR(__xludf.DUMMYFUNCTION("""COMPUTED_VALUE"""),42.7536231884058)</f>
        <v>42.75362319</v>
      </c>
      <c r="P19" s="53">
        <f>IFERROR(__xludf.DUMMYFUNCTION("""COMPUTED_VALUE"""),86.76470588235294)</f>
        <v>86.76470588</v>
      </c>
      <c r="Q19" s="53">
        <f>IFERROR(__xludf.DUMMYFUNCTION("""COMPUTED_VALUE"""),3.8)</f>
        <v>3.8</v>
      </c>
      <c r="R19" s="53">
        <f>IFERROR(__xludf.DUMMYFUNCTION("""COMPUTED_VALUE"""),0.46232402745606893)</f>
        <v>0.4623240275</v>
      </c>
      <c r="S19" s="53">
        <f>IFERROR(__xludf.DUMMYFUNCTION("""COMPUTED_VALUE"""),0.6549712770831033)</f>
        <v>0.6549712771</v>
      </c>
      <c r="T19" s="53">
        <f>IFERROR(__xludf.DUMMYFUNCTION("""COMPUTED_VALUE"""),-0.207125465353252)</f>
        <v>-0.2071254654</v>
      </c>
      <c r="U19" s="53">
        <f>IFERROR(__xludf.DUMMYFUNCTION("""COMPUTED_VALUE"""),3.190713929600288)</f>
        <v>3.19071393</v>
      </c>
      <c r="V19" s="53">
        <f>IFERROR(__xludf.DUMMYFUNCTION("""COMPUTED_VALUE"""),0.22967922884215308)</f>
        <v>0.2296792288</v>
      </c>
      <c r="W19" s="53">
        <f>IFERROR(__xludf.DUMMYFUNCTION("""COMPUTED_VALUE"""),-0.2643825572058105)</f>
        <v>-0.2643825572</v>
      </c>
      <c r="X19" s="53">
        <f>IFERROR(__xludf.DUMMYFUNCTION("""COMPUTED_VALUE"""),-0.9435130390666896)</f>
        <v>-0.9435130391</v>
      </c>
      <c r="Y19" s="53">
        <f>IFERROR(__xludf.DUMMYFUNCTION("""COMPUTED_VALUE"""),1.3177874424969223)</f>
        <v>1.317787442</v>
      </c>
      <c r="Z19" s="53">
        <f>IFERROR(__xludf.DUMMYFUNCTION("""COMPUTED_VALUE"""),-0.5604883842139241)</f>
        <v>-0.5604883842</v>
      </c>
      <c r="AA19" t="str">
        <f>IFERROR(__xludf.DUMMYFUNCTION("SUBSTITUTE(REGEXREPLACE(REGEXREPLACE(REGEXREPLACE(REGEXREPLACE(REGEXREPLACE(REGEXREPLACE(E19,"","",),IF(Projections!$U$3="""",""PG"",),),IF(Projections!$V$3="""",""SG"",),),IF(Projections!$W$3="""",""SF"",),),IF(Projections!$X$3="""",""PF"",),),IF(Project"&amp;"ions!$Y$3="""",""C"",),),""/"","""")"),"PGSG")</f>
        <v>PGSG</v>
      </c>
    </row>
    <row r="20">
      <c r="A20" t="str">
        <f>IF(Projections!$H$3,Draft!D6,"")</f>
        <v/>
      </c>
      <c r="B20">
        <f>IFERROR(__xludf.DUMMYFUNCTION("""COMPUTED_VALUE"""),18.0)</f>
        <v>18</v>
      </c>
      <c r="C20" t="str">
        <f>IFERROR(__xludf.DUMMYFUNCTION("""COMPUTED_VALUE"""),"Domantas Sabonis")</f>
        <v>Domantas Sabonis</v>
      </c>
      <c r="D20">
        <f>IFERROR(__xludf.DUMMYFUNCTION("""COMPUTED_VALUE"""),72.0)</f>
        <v>72</v>
      </c>
      <c r="E20" t="str">
        <f>IFERROR(__xludf.DUMMYFUNCTION("""COMPUTED_VALUE"""),"PF,C")</f>
        <v>PF,C</v>
      </c>
      <c r="F20" s="53">
        <f>IFERROR(__xludf.DUMMYFUNCTION("""COMPUTED_VALUE"""),3.579700592395934)</f>
        <v>3.579700592</v>
      </c>
      <c r="G20" s="53">
        <f>IFERROR(__xludf.DUMMYFUNCTION("""COMPUTED_VALUE"""),4.734502334063159)</f>
        <v>4.734502334</v>
      </c>
      <c r="H20" s="53">
        <f>IFERROR(__xludf.DUMMYFUNCTION("""COMPUTED_VALUE"""),1.1548017416672254)</f>
        <v>1.154801742</v>
      </c>
      <c r="I20" s="53">
        <f>IFERROR(__xludf.DUMMYFUNCTION("""COMPUTED_VALUE"""),19.5)</f>
        <v>19.5</v>
      </c>
      <c r="J20" s="53">
        <f>IFERROR(__xludf.DUMMYFUNCTION("""COMPUTED_VALUE"""),0.5)</f>
        <v>0.5</v>
      </c>
      <c r="K20" s="53">
        <f>IFERROR(__xludf.DUMMYFUNCTION("""COMPUTED_VALUE"""),12.4)</f>
        <v>12.4</v>
      </c>
      <c r="L20" s="53">
        <f>IFERROR(__xludf.DUMMYFUNCTION("""COMPUTED_VALUE"""),7.3)</f>
        <v>7.3</v>
      </c>
      <c r="M20" s="53">
        <f>IFERROR(__xludf.DUMMYFUNCTION("""COMPUTED_VALUE"""),0.9)</f>
        <v>0.9</v>
      </c>
      <c r="N20" s="53">
        <f>IFERROR(__xludf.DUMMYFUNCTION("""COMPUTED_VALUE"""),0.5)</f>
        <v>0.5</v>
      </c>
      <c r="O20" s="53">
        <f>IFERROR(__xludf.DUMMYFUNCTION("""COMPUTED_VALUE"""),60.655737704918046)</f>
        <v>60.6557377</v>
      </c>
      <c r="P20" s="53">
        <f>IFERROR(__xludf.DUMMYFUNCTION("""COMPUTED_VALUE"""),74.54545454545453)</f>
        <v>74.54545455</v>
      </c>
      <c r="Q20" s="53">
        <f>IFERROR(__xludf.DUMMYFUNCTION("""COMPUTED_VALUE"""),3.0)</f>
        <v>3</v>
      </c>
      <c r="R20" s="53">
        <f>IFERROR(__xludf.DUMMYFUNCTION("""COMPUTED_VALUE"""),0.378060838976834)</f>
        <v>0.378060839</v>
      </c>
      <c r="S20" s="53">
        <f>IFERROR(__xludf.DUMMYFUNCTION("""COMPUTED_VALUE"""),-0.9925734181391757)</f>
        <v>-0.9925734181</v>
      </c>
      <c r="T20" s="53">
        <f>IFERROR(__xludf.DUMMYFUNCTION("""COMPUTED_VALUE"""),2.6363196848529014)</f>
        <v>2.636319685</v>
      </c>
      <c r="U20" s="53">
        <f>IFERROR(__xludf.DUMMYFUNCTION("""COMPUTED_VALUE"""),1.7626450352779086)</f>
        <v>1.762645035</v>
      </c>
      <c r="V20" s="53">
        <f>IFERROR(__xludf.DUMMYFUNCTION("""COMPUTED_VALUE"""),-0.2064205727568726)</f>
        <v>-0.2064205728</v>
      </c>
      <c r="W20" s="53">
        <f>IFERROR(__xludf.DUMMYFUNCTION("""COMPUTED_VALUE"""),-0.2643825572058105)</f>
        <v>-0.2643825572</v>
      </c>
      <c r="X20" s="53">
        <f>IFERROR(__xludf.DUMMYFUNCTION("""COMPUTED_VALUE"""),1.3474589061050153)</f>
        <v>1.347458906</v>
      </c>
      <c r="Y20" s="53">
        <f>IFERROR(__xludf.DUMMYFUNCTION("""COMPUTED_VALUE"""),-0.6070606542907326)</f>
        <v>-0.6070606543</v>
      </c>
      <c r="Z20" s="53">
        <f>IFERROR(__xludf.DUMMYFUNCTION("""COMPUTED_VALUE"""),-0.31211834689608486)</f>
        <v>-0.3121183469</v>
      </c>
      <c r="AA20" t="str">
        <f>IFERROR(__xludf.DUMMYFUNCTION("SUBSTITUTE(REGEXREPLACE(REGEXREPLACE(REGEXREPLACE(REGEXREPLACE(REGEXREPLACE(REGEXREPLACE(E20,"","",),IF(Projections!$U$3="""",""PG"",),),IF(Projections!$V$3="""",""SG"",),),IF(Projections!$W$3="""",""SF"",),),IF(Projections!$X$3="""",""PF"",),),IF(Project"&amp;"ions!$Y$3="""",""C"",),),""/"","""")"),"PFC")</f>
        <v>PFC</v>
      </c>
    </row>
    <row r="21">
      <c r="A21" t="str">
        <f>IF(Projections!$H$3,Draft!D7,"")</f>
        <v/>
      </c>
      <c r="B21">
        <f>IFERROR(__xludf.DUMMYFUNCTION("""COMPUTED_VALUE"""),11.0)</f>
        <v>11</v>
      </c>
      <c r="C21" t="str">
        <f>IFERROR(__xludf.DUMMYFUNCTION("""COMPUTED_VALUE"""),"Donovan Mitchell")</f>
        <v>Donovan Mitchell</v>
      </c>
      <c r="D21">
        <f>IFERROR(__xludf.DUMMYFUNCTION("""COMPUTED_VALUE"""),69.0)</f>
        <v>69</v>
      </c>
      <c r="E21" t="str">
        <f>IFERROR(__xludf.DUMMYFUNCTION("""COMPUTED_VALUE"""),"PG,SG")</f>
        <v>PG,SG</v>
      </c>
      <c r="F21" s="53">
        <f>IFERROR(__xludf.DUMMYFUNCTION("""COMPUTED_VALUE"""),4.8289869003301185)</f>
        <v>4.8289869</v>
      </c>
      <c r="G21" s="53">
        <f>IFERROR(__xludf.DUMMYFUNCTION("""COMPUTED_VALUE"""),4.706132753642026)</f>
        <v>4.706132754</v>
      </c>
      <c r="H21" s="53">
        <f>IFERROR(__xludf.DUMMYFUNCTION("""COMPUTED_VALUE"""),-0.12285414668809214)</f>
        <v>-0.1228541467</v>
      </c>
      <c r="I21" s="53">
        <f>IFERROR(__xludf.DUMMYFUNCTION("""COMPUTED_VALUE"""),27.7)</f>
        <v>27.7</v>
      </c>
      <c r="J21" s="53">
        <f>IFERROR(__xludf.DUMMYFUNCTION("""COMPUTED_VALUE"""),3.6)</f>
        <v>3.6</v>
      </c>
      <c r="K21" s="53">
        <f>IFERROR(__xludf.DUMMYFUNCTION("""COMPUTED_VALUE"""),4.4)</f>
        <v>4.4</v>
      </c>
      <c r="L21" s="53">
        <f>IFERROR(__xludf.DUMMYFUNCTION("""COMPUTED_VALUE"""),4.4)</f>
        <v>4.4</v>
      </c>
      <c r="M21" s="53">
        <f>IFERROR(__xludf.DUMMYFUNCTION("""COMPUTED_VALUE"""),1.5)</f>
        <v>1.5</v>
      </c>
      <c r="N21" s="53">
        <f>IFERROR(__xludf.DUMMYFUNCTION("""COMPUTED_VALUE"""),0.3)</f>
        <v>0.3</v>
      </c>
      <c r="O21" s="53">
        <f>IFERROR(__xludf.DUMMYFUNCTION("""COMPUTED_VALUE"""),47.804878048780495)</f>
        <v>47.80487805</v>
      </c>
      <c r="P21" s="53">
        <f>IFERROR(__xludf.DUMMYFUNCTION("""COMPUTED_VALUE"""),86.53846153846153)</f>
        <v>86.53846154</v>
      </c>
      <c r="Q21" s="53">
        <f>IFERROR(__xludf.DUMMYFUNCTION("""COMPUTED_VALUE"""),2.7)</f>
        <v>2.7</v>
      </c>
      <c r="R21" s="53">
        <f>IFERROR(__xludf.DUMMYFUNCTION("""COMPUTED_VALUE"""),1.7599771300362872)</f>
        <v>1.75997713</v>
      </c>
      <c r="S21" s="53">
        <f>IFERROR(__xludf.DUMMYFUNCTION("""COMPUTED_VALUE"""),1.6955258214340165)</f>
        <v>1.695525821</v>
      </c>
      <c r="T21" s="53">
        <f>IFERROR(__xludf.DUMMYFUNCTION("""COMPUTED_VALUE"""),-0.7089099036249258)</f>
        <v>-0.7089099036</v>
      </c>
      <c r="U21" s="53">
        <f>IFERROR(__xludf.DUMMYFUNCTION("""COMPUTED_VALUE"""),0.28357368044401526)</f>
        <v>0.2835736804</v>
      </c>
      <c r="V21" s="53">
        <f>IFERROR(__xludf.DUMMYFUNCTION("""COMPUTED_VALUE"""),1.101878832040204)</f>
        <v>1.101878832</v>
      </c>
      <c r="W21" s="53">
        <f>IFERROR(__xludf.DUMMYFUNCTION("""COMPUTED_VALUE"""),-0.5270142365493308)</f>
        <v>-0.5270142365</v>
      </c>
      <c r="X21" s="53">
        <f>IFERROR(__xludf.DUMMYFUNCTION("""COMPUTED_VALUE"""),-0.3672634806689693)</f>
        <v>-0.3672634807</v>
      </c>
      <c r="Y21" s="53">
        <f>IFERROR(__xludf.DUMMYFUNCTION("""COMPUTED_VALUE"""),0.9784345898076978)</f>
        <v>0.9784345898</v>
      </c>
      <c r="Z21" s="53">
        <f>IFERROR(__xludf.DUMMYFUNCTION("""COMPUTED_VALUE"""),-0.2189795829018952)</f>
        <v>-0.2189795829</v>
      </c>
      <c r="AA21" t="str">
        <f>IFERROR(__xludf.DUMMYFUNCTION("SUBSTITUTE(REGEXREPLACE(REGEXREPLACE(REGEXREPLACE(REGEXREPLACE(REGEXREPLACE(REGEXREPLACE(E21,"","",),IF(Projections!$U$3="""",""PG"",),),IF(Projections!$V$3="""",""SG"",),),IF(Projections!$W$3="""",""SF"",),),IF(Projections!$X$3="""",""PF"",),),IF(Project"&amp;"ions!$Y$3="""",""C"",),),""/"","""")"),"PGSG")</f>
        <v>PGSG</v>
      </c>
    </row>
    <row r="22">
      <c r="A22" t="str">
        <f>IF(Projections!$H$3,Draft!D8,"")</f>
        <v/>
      </c>
      <c r="B22">
        <f>IFERROR(__xludf.DUMMYFUNCTION("""COMPUTED_VALUE"""),13.0)</f>
        <v>13</v>
      </c>
      <c r="C22" t="str">
        <f>IFERROR(__xludf.DUMMYFUNCTION("""COMPUTED_VALUE"""),"Kevin Durant")</f>
        <v>Kevin Durant</v>
      </c>
      <c r="D22">
        <f>IFERROR(__xludf.DUMMYFUNCTION("""COMPUTED_VALUE"""),60.0)</f>
        <v>60</v>
      </c>
      <c r="E22" t="str">
        <f>IFERROR(__xludf.DUMMYFUNCTION("""COMPUTED_VALUE"""),"SF,PF")</f>
        <v>SF,PF</v>
      </c>
      <c r="F22" s="53">
        <f>IFERROR(__xludf.DUMMYFUNCTION("""COMPUTED_VALUE"""),4.606663231954464)</f>
        <v>4.606663232</v>
      </c>
      <c r="G22" s="53">
        <f>IFERROR(__xludf.DUMMYFUNCTION("""COMPUTED_VALUE"""),4.562671069507245)</f>
        <v>4.56267107</v>
      </c>
      <c r="H22" s="53">
        <f>IFERROR(__xludf.DUMMYFUNCTION("""COMPUTED_VALUE"""),-0.0439921624472186)</f>
        <v>-0.04399216245</v>
      </c>
      <c r="I22" s="53">
        <f>IFERROR(__xludf.DUMMYFUNCTION("""COMPUTED_VALUE"""),25.3)</f>
        <v>25.3</v>
      </c>
      <c r="J22" s="53">
        <f>IFERROR(__xludf.DUMMYFUNCTION("""COMPUTED_VALUE"""),1.9)</f>
        <v>1.9</v>
      </c>
      <c r="K22" s="53">
        <f>IFERROR(__xludf.DUMMYFUNCTION("""COMPUTED_VALUE"""),6.5)</f>
        <v>6.5</v>
      </c>
      <c r="L22" s="53">
        <f>IFERROR(__xludf.DUMMYFUNCTION("""COMPUTED_VALUE"""),5.0)</f>
        <v>5</v>
      </c>
      <c r="M22" s="53">
        <f>IFERROR(__xludf.DUMMYFUNCTION("""COMPUTED_VALUE"""),0.7)</f>
        <v>0.7</v>
      </c>
      <c r="N22" s="53">
        <f>IFERROR(__xludf.DUMMYFUNCTION("""COMPUTED_VALUE"""),1.0)</f>
        <v>1</v>
      </c>
      <c r="O22" s="53">
        <f>IFERROR(__xludf.DUMMYFUNCTION("""COMPUTED_VALUE"""),52.38095238095239)</f>
        <v>52.38095238</v>
      </c>
      <c r="P22" s="53">
        <f>IFERROR(__xludf.DUMMYFUNCTION("""COMPUTED_VALUE"""),89.3939393939394)</f>
        <v>89.39393939</v>
      </c>
      <c r="Q22" s="53">
        <f>IFERROR(__xludf.DUMMYFUNCTION("""COMPUTED_VALUE"""),3.1)</f>
        <v>3.1</v>
      </c>
      <c r="R22" s="53">
        <f>IFERROR(__xludf.DUMMYFUNCTION("""COMPUTED_VALUE"""),1.3555138253359595)</f>
        <v>1.355513825</v>
      </c>
      <c r="S22" s="53">
        <f>IFERROR(__xludf.DUMMYFUNCTION("""COMPUTED_VALUE"""),0.2214068836035562)</f>
        <v>0.2214068836</v>
      </c>
      <c r="T22" s="53">
        <f>IFERROR(__xludf.DUMMYFUNCTION("""COMPUTED_VALUE"""),0.16921286335050373)</f>
        <v>0.1692128634</v>
      </c>
      <c r="U22" s="53">
        <f>IFERROR(__xludf.DUMMYFUNCTION("""COMPUTED_VALUE"""),0.5895884435130965)</f>
        <v>0.5895884435</v>
      </c>
      <c r="V22" s="53">
        <f>IFERROR(__xludf.DUMMYFUNCTION("""COMPUTED_VALUE"""),-0.6425203743558983)</f>
        <v>-0.6425203744</v>
      </c>
      <c r="W22" s="53">
        <f>IFERROR(__xludf.DUMMYFUNCTION("""COMPUTED_VALUE"""),0.39219664115299)</f>
        <v>0.3921966412</v>
      </c>
      <c r="X22" s="53">
        <f>IFERROR(__xludf.DUMMYFUNCTION("""COMPUTED_VALUE"""),0.4669310431882173)</f>
        <v>0.4669310432</v>
      </c>
      <c r="Y22" s="53">
        <f>IFERROR(__xludf.DUMMYFUNCTION("""COMPUTED_VALUE"""),1.710985970923737)</f>
        <v>1.710985971</v>
      </c>
      <c r="Z22" s="53">
        <f>IFERROR(__xludf.DUMMYFUNCTION("""COMPUTED_VALUE"""),-0.3431646015608148)</f>
        <v>-0.3431646016</v>
      </c>
      <c r="AA22" t="str">
        <f>IFERROR(__xludf.DUMMYFUNCTION("SUBSTITUTE(REGEXREPLACE(REGEXREPLACE(REGEXREPLACE(REGEXREPLACE(REGEXREPLACE(REGEXREPLACE(E22,"","",),IF(Projections!$U$3="""",""PG"",),),IF(Projections!$V$3="""",""SG"",),),IF(Projections!$W$3="""",""SF"",),),IF(Projections!$X$3="""",""PF"",),),IF(Project"&amp;"ions!$Y$3="""",""C"",),),""/"","""")"),"SFPF")</f>
        <v>SFPF</v>
      </c>
    </row>
    <row r="23">
      <c r="A23" t="str">
        <f>IF(Projections!$H$3,Draft!D9,"")</f>
        <v/>
      </c>
      <c r="B23">
        <f>IFERROR(__xludf.DUMMYFUNCTION("""COMPUTED_VALUE"""),16.0)</f>
        <v>16</v>
      </c>
      <c r="C23" t="str">
        <f>IFERROR(__xludf.DUMMYFUNCTION("""COMPUTED_VALUE"""),"Devin Booker")</f>
        <v>Devin Booker</v>
      </c>
      <c r="D23">
        <f>IFERROR(__xludf.DUMMYFUNCTION("""COMPUTED_VALUE"""),68.0)</f>
        <v>68</v>
      </c>
      <c r="E23" t="str">
        <f>IFERROR(__xludf.DUMMYFUNCTION("""COMPUTED_VALUE"""),"SG,SF")</f>
        <v>SG,SF</v>
      </c>
      <c r="F23" s="53">
        <f>IFERROR(__xludf.DUMMYFUNCTION("""COMPUTED_VALUE"""),4.021516656325469)</f>
        <v>4.021516656</v>
      </c>
      <c r="G23" s="53">
        <f>IFERROR(__xludf.DUMMYFUNCTION("""COMPUTED_VALUE"""),4.17398150830221)</f>
        <v>4.173981508</v>
      </c>
      <c r="H23" s="53">
        <f>IFERROR(__xludf.DUMMYFUNCTION("""COMPUTED_VALUE"""),0.15246485197674087)</f>
        <v>0.152464852</v>
      </c>
      <c r="I23" s="53">
        <f>IFERROR(__xludf.DUMMYFUNCTION("""COMPUTED_VALUE"""),27.2)</f>
        <v>27.2</v>
      </c>
      <c r="J23" s="53">
        <f>IFERROR(__xludf.DUMMYFUNCTION("""COMPUTED_VALUE"""),2.3)</f>
        <v>2.3</v>
      </c>
      <c r="K23" s="53">
        <f>IFERROR(__xludf.DUMMYFUNCTION("""COMPUTED_VALUE"""),4.9)</f>
        <v>4.9</v>
      </c>
      <c r="L23" s="53">
        <f>IFERROR(__xludf.DUMMYFUNCTION("""COMPUTED_VALUE"""),6.3)</f>
        <v>6.3</v>
      </c>
      <c r="M23" s="53">
        <f>IFERROR(__xludf.DUMMYFUNCTION("""COMPUTED_VALUE"""),1.1)</f>
        <v>1.1</v>
      </c>
      <c r="N23" s="53">
        <f>IFERROR(__xludf.DUMMYFUNCTION("""COMPUTED_VALUE"""),0.4)</f>
        <v>0.4</v>
      </c>
      <c r="O23" s="53">
        <f>IFERROR(__xludf.DUMMYFUNCTION("""COMPUTED_VALUE"""),48.756218905472636)</f>
        <v>48.75621891</v>
      </c>
      <c r="P23" s="53">
        <f>IFERROR(__xludf.DUMMYFUNCTION("""COMPUTED_VALUE"""),86.88524590163935)</f>
        <v>86.8852459</v>
      </c>
      <c r="Q23" s="53">
        <f>IFERROR(__xludf.DUMMYFUNCTION("""COMPUTED_VALUE"""),2.6)</f>
        <v>2.6</v>
      </c>
      <c r="R23" s="53">
        <f>IFERROR(__xludf.DUMMYFUNCTION("""COMPUTED_VALUE"""),1.6757139415570521)</f>
        <v>1.675713942</v>
      </c>
      <c r="S23" s="53">
        <f>IFERROR(__xludf.DUMMYFUNCTION("""COMPUTED_VALUE"""),0.5682583983871938)</f>
        <v>0.5682583984</v>
      </c>
      <c r="T23" s="53">
        <f>IFERROR(__xludf.DUMMYFUNCTION("""COMPUTED_VALUE"""),-0.4998330543450616)</f>
        <v>-0.4998330543</v>
      </c>
      <c r="U23" s="53">
        <f>IFERROR(__xludf.DUMMYFUNCTION("""COMPUTED_VALUE"""),1.2526204301627728)</f>
        <v>1.25262043</v>
      </c>
      <c r="V23" s="53">
        <f>IFERROR(__xludf.DUMMYFUNCTION("""COMPUTED_VALUE"""),0.22967922884215308)</f>
        <v>0.2296792288</v>
      </c>
      <c r="W23" s="53">
        <f>IFERROR(__xludf.DUMMYFUNCTION("""COMPUTED_VALUE"""),-0.39569839687757064)</f>
        <v>-0.3956983969</v>
      </c>
      <c r="X23" s="53">
        <f>IFERROR(__xludf.DUMMYFUNCTION("""COMPUTED_VALUE"""),-0.16909488033568423)</f>
        <v>-0.1690948803</v>
      </c>
      <c r="Y23" s="53">
        <f>IFERROR(__xludf.DUMMYFUNCTION("""COMPUTED_VALUE"""),1.200436114803457)</f>
        <v>1.200436115</v>
      </c>
      <c r="Z23" s="53">
        <f>IFERROR(__xludf.DUMMYFUNCTION("""COMPUTED_VALUE"""),-0.18793332823716524)</f>
        <v>-0.1879333282</v>
      </c>
      <c r="AA23" t="str">
        <f>IFERROR(__xludf.DUMMYFUNCTION("SUBSTITUTE(REGEXREPLACE(REGEXREPLACE(REGEXREPLACE(REGEXREPLACE(REGEXREPLACE(REGEXREPLACE(E23,"","",),IF(Projections!$U$3="""",""PG"",),),IF(Projections!$V$3="""",""SG"",),),IF(Projections!$W$3="""",""SF"",),),IF(Projections!$X$3="""",""PF"",),),IF(Project"&amp;"ions!$Y$3="""",""C"",),),""/"","""")"),"SGSF")</f>
        <v>SGSF</v>
      </c>
    </row>
    <row r="24">
      <c r="A24" t="str">
        <f>IF(Projections!$H$3,Draft!D10,"")</f>
        <v/>
      </c>
      <c r="B24">
        <f>IFERROR(__xludf.DUMMYFUNCTION("""COMPUTED_VALUE"""),20.0)</f>
        <v>20</v>
      </c>
      <c r="C24" t="str">
        <f>IFERROR(__xludf.DUMMYFUNCTION("""COMPUTED_VALUE"""),"Jimmy Butler")</f>
        <v>Jimmy Butler</v>
      </c>
      <c r="D24">
        <f>IFERROR(__xludf.DUMMYFUNCTION("""COMPUTED_VALUE"""),65.0)</f>
        <v>65</v>
      </c>
      <c r="E24" t="str">
        <f>IFERROR(__xludf.DUMMYFUNCTION("""COMPUTED_VALUE"""),"SF,PF")</f>
        <v>SF,PF</v>
      </c>
      <c r="F24" s="53">
        <f>IFERROR(__xludf.DUMMYFUNCTION("""COMPUTED_VALUE"""),3.3619381711080165)</f>
        <v>3.361938171</v>
      </c>
      <c r="G24" s="53">
        <f>IFERROR(__xludf.DUMMYFUNCTION("""COMPUTED_VALUE"""),3.792516404390513)</f>
        <v>3.792516404</v>
      </c>
      <c r="H24" s="53">
        <f>IFERROR(__xludf.DUMMYFUNCTION("""COMPUTED_VALUE"""),0.43057823328249656)</f>
        <v>0.4305782333</v>
      </c>
      <c r="I24" s="53">
        <f>IFERROR(__xludf.DUMMYFUNCTION("""COMPUTED_VALUE"""),21.3)</f>
        <v>21.3</v>
      </c>
      <c r="J24" s="53">
        <f>IFERROR(__xludf.DUMMYFUNCTION("""COMPUTED_VALUE"""),0.5)</f>
        <v>0.5</v>
      </c>
      <c r="K24" s="53">
        <f>IFERROR(__xludf.DUMMYFUNCTION("""COMPUTED_VALUE"""),5.7)</f>
        <v>5.7</v>
      </c>
      <c r="L24" s="53">
        <f>IFERROR(__xludf.DUMMYFUNCTION("""COMPUTED_VALUE"""),5.0)</f>
        <v>5</v>
      </c>
      <c r="M24" s="53">
        <f>IFERROR(__xludf.DUMMYFUNCTION("""COMPUTED_VALUE"""),1.6)</f>
        <v>1.6</v>
      </c>
      <c r="N24" s="53">
        <f>IFERROR(__xludf.DUMMYFUNCTION("""COMPUTED_VALUE"""),0.4)</f>
        <v>0.4</v>
      </c>
      <c r="O24" s="53">
        <f>IFERROR(__xludf.DUMMYFUNCTION("""COMPUTED_VALUE"""),51.47058823529412)</f>
        <v>51.47058824</v>
      </c>
      <c r="P24" s="53">
        <f>IFERROR(__xludf.DUMMYFUNCTION("""COMPUTED_VALUE"""),86.25)</f>
        <v>86.25</v>
      </c>
      <c r="Q24" s="53">
        <f>IFERROR(__xludf.DUMMYFUNCTION("""COMPUTED_VALUE"""),1.8)</f>
        <v>1.8</v>
      </c>
      <c r="R24" s="53">
        <f>IFERROR(__xludf.DUMMYFUNCTION("""COMPUTED_VALUE"""),0.68140831750208)</f>
        <v>0.6814083175</v>
      </c>
      <c r="S24" s="53">
        <f>IFERROR(__xludf.DUMMYFUNCTION("""COMPUTED_VALUE"""),-0.9925734181391757)</f>
        <v>-0.9925734181</v>
      </c>
      <c r="T24" s="53">
        <f>IFERROR(__xludf.DUMMYFUNCTION("""COMPUTED_VALUE"""),-0.16531009549727893)</f>
        <v>-0.1653100955</v>
      </c>
      <c r="U24" s="53">
        <f>IFERROR(__xludf.DUMMYFUNCTION("""COMPUTED_VALUE"""),0.5895884435130965)</f>
        <v>0.5895884435</v>
      </c>
      <c r="V24" s="53">
        <f>IFERROR(__xludf.DUMMYFUNCTION("""COMPUTED_VALUE"""),1.319928732839717)</f>
        <v>1.319928733</v>
      </c>
      <c r="W24" s="53">
        <f>IFERROR(__xludf.DUMMYFUNCTION("""COMPUTED_VALUE"""),-0.39569839687757064)</f>
        <v>-0.3956983969</v>
      </c>
      <c r="X24" s="53">
        <f>IFERROR(__xludf.DUMMYFUNCTION("""COMPUTED_VALUE"""),0.2543227932482316)</f>
        <v>0.2543227932</v>
      </c>
      <c r="Y24" s="53">
        <f>IFERROR(__xludf.DUMMYFUNCTION("""COMPUTED_VALUE"""),1.4478399005815639)</f>
        <v>1.447839901</v>
      </c>
      <c r="Z24" s="53">
        <f>IFERROR(__xludf.DUMMYFUNCTION("""COMPUTED_VALUE"""),0.06043670908067405)</f>
        <v>0.06043670908</v>
      </c>
      <c r="AA24" t="str">
        <f>IFERROR(__xludf.DUMMYFUNCTION("SUBSTITUTE(REGEXREPLACE(REGEXREPLACE(REGEXREPLACE(REGEXREPLACE(REGEXREPLACE(REGEXREPLACE(E24,"","",),IF(Projections!$U$3="""",""PG"",),),IF(Projections!$V$3="""",""SG"",),),IF(Projections!$W$3="""",""SF"",),),IF(Projections!$X$3="""",""PF"",),),IF(Project"&amp;"ions!$Y$3="""",""C"",),),""/"","""")"),"SFPF")</f>
        <v>SFPF</v>
      </c>
    </row>
    <row r="25">
      <c r="A25" t="str">
        <f>IF(Projections!$H$3,Draft!D11,"")</f>
        <v/>
      </c>
      <c r="B25">
        <f>IFERROR(__xludf.DUMMYFUNCTION("""COMPUTED_VALUE"""),24.0)</f>
        <v>24</v>
      </c>
      <c r="C25" t="str">
        <f>IFERROR(__xludf.DUMMYFUNCTION("""COMPUTED_VALUE"""),"Fred VanVleet")</f>
        <v>Fred VanVleet</v>
      </c>
      <c r="D25">
        <f>IFERROR(__xludf.DUMMYFUNCTION("""COMPUTED_VALUE"""),67.0)</f>
        <v>67</v>
      </c>
      <c r="E25" t="str">
        <f>IFERROR(__xludf.DUMMYFUNCTION("""COMPUTED_VALUE"""),"PG")</f>
        <v>PG</v>
      </c>
      <c r="F25" s="53">
        <f>IFERROR(__xludf.DUMMYFUNCTION("""COMPUTED_VALUE"""),2.762430198240379)</f>
        <v>2.762430198</v>
      </c>
      <c r="G25" s="53">
        <f>IFERROR(__xludf.DUMMYFUNCTION("""COMPUTED_VALUE"""),3.6988045120987563)</f>
        <v>3.698804512</v>
      </c>
      <c r="H25" s="53">
        <f>IFERROR(__xludf.DUMMYFUNCTION("""COMPUTED_VALUE"""),0.9363743138583773)</f>
        <v>0.9363743139</v>
      </c>
      <c r="I25" s="53">
        <f>IFERROR(__xludf.DUMMYFUNCTION("""COMPUTED_VALUE"""),18.4)</f>
        <v>18.4</v>
      </c>
      <c r="J25" s="53">
        <f>IFERROR(__xludf.DUMMYFUNCTION("""COMPUTED_VALUE"""),3.1)</f>
        <v>3.1</v>
      </c>
      <c r="K25" s="53">
        <f>IFERROR(__xludf.DUMMYFUNCTION("""COMPUTED_VALUE"""),3.9)</f>
        <v>3.9</v>
      </c>
      <c r="L25" s="53">
        <f>IFERROR(__xludf.DUMMYFUNCTION("""COMPUTED_VALUE"""),6.4)</f>
        <v>6.4</v>
      </c>
      <c r="M25" s="53">
        <f>IFERROR(__xludf.DUMMYFUNCTION("""COMPUTED_VALUE"""),1.6)</f>
        <v>1.6</v>
      </c>
      <c r="N25" s="53">
        <f>IFERROR(__xludf.DUMMYFUNCTION("""COMPUTED_VALUE"""),0.5)</f>
        <v>0.5</v>
      </c>
      <c r="O25" s="53">
        <f>IFERROR(__xludf.DUMMYFUNCTION("""COMPUTED_VALUE"""),39.869281045751634)</f>
        <v>39.86928105</v>
      </c>
      <c r="P25" s="53">
        <f>IFERROR(__xludf.DUMMYFUNCTION("""COMPUTED_VALUE"""),88.57142857142858)</f>
        <v>88.57142857</v>
      </c>
      <c r="Q25" s="53">
        <f>IFERROR(__xludf.DUMMYFUNCTION("""COMPUTED_VALUE"""),2.1)</f>
        <v>2.1</v>
      </c>
      <c r="R25" s="53">
        <f>IFERROR(__xludf.DUMMYFUNCTION("""COMPUTED_VALUE"""),0.19268182432251685)</f>
        <v>0.1926818243</v>
      </c>
      <c r="S25" s="53">
        <f>IFERROR(__xludf.DUMMYFUNCTION("""COMPUTED_VALUE"""),1.2619614279544695)</f>
        <v>1.261961428</v>
      </c>
      <c r="T25" s="53">
        <f>IFERROR(__xludf.DUMMYFUNCTION("""COMPUTED_VALUE"""),-0.9179867529047901)</f>
        <v>-0.9179867529</v>
      </c>
      <c r="U25" s="53">
        <f>IFERROR(__xludf.DUMMYFUNCTION("""COMPUTED_VALUE"""),1.3036228906742866)</f>
        <v>1.303622891</v>
      </c>
      <c r="V25" s="53">
        <f>IFERROR(__xludf.DUMMYFUNCTION("""COMPUTED_VALUE"""),1.319928732839717)</f>
        <v>1.319928733</v>
      </c>
      <c r="W25" s="53">
        <f>IFERROR(__xludf.DUMMYFUNCTION("""COMPUTED_VALUE"""),-0.2643825572058105)</f>
        <v>-0.2643825572</v>
      </c>
      <c r="X25" s="53">
        <f>IFERROR(__xludf.DUMMYFUNCTION("""COMPUTED_VALUE"""),-1.4868722844713707)</f>
        <v>-1.486872284</v>
      </c>
      <c r="Y25" s="53">
        <f>IFERROR(__xludf.DUMMYFUNCTION("""COMPUTED_VALUE"""),0.8356810013318832)</f>
        <v>0.8356810013</v>
      </c>
      <c r="Z25" s="53">
        <f>IFERROR(__xludf.DUMMYFUNCTION("""COMPUTED_VALUE"""),-0.032702054913515695)</f>
        <v>-0.03270205491</v>
      </c>
      <c r="AA25" t="str">
        <f>IFERROR(__xludf.DUMMYFUNCTION("SUBSTITUTE(REGEXREPLACE(REGEXREPLACE(REGEXREPLACE(REGEXREPLACE(REGEXREPLACE(REGEXREPLACE(E25,"","",),IF(Projections!$U$3="""",""PG"",),),IF(Projections!$V$3="""",""SG"",),),IF(Projections!$W$3="""",""SF"",),),IF(Projections!$X$3="""",""PF"",),),IF(Project"&amp;"ions!$Y$3="""",""C"",),),""/"","""")"),"PG")</f>
        <v>PG</v>
      </c>
    </row>
    <row r="26">
      <c r="A26" t="str">
        <f>IF(Projections!$H$3,Draft!D12,"")</f>
        <v/>
      </c>
      <c r="B26">
        <f>IFERROR(__xludf.DUMMYFUNCTION("""COMPUTED_VALUE"""),19.0)</f>
        <v>19</v>
      </c>
      <c r="C26" t="str">
        <f>IFERROR(__xludf.DUMMYFUNCTION("""COMPUTED_VALUE"""),"Paul George")</f>
        <v>Paul George</v>
      </c>
      <c r="D26">
        <f>IFERROR(__xludf.DUMMYFUNCTION("""COMPUTED_VALUE"""),60.0)</f>
        <v>60</v>
      </c>
      <c r="E26" t="str">
        <f>IFERROR(__xludf.DUMMYFUNCTION("""COMPUTED_VALUE"""),"SG,SF,PF")</f>
        <v>SG,SF,PF</v>
      </c>
      <c r="F26" s="53">
        <f>IFERROR(__xludf.DUMMYFUNCTION("""COMPUTED_VALUE"""),3.569957191869557)</f>
        <v>3.569957192</v>
      </c>
      <c r="G26" s="53">
        <f>IFERROR(__xludf.DUMMYFUNCTION("""COMPUTED_VALUE"""),3.683648395764549)</f>
        <v>3.683648396</v>
      </c>
      <c r="H26" s="53">
        <f>IFERROR(__xludf.DUMMYFUNCTION("""COMPUTED_VALUE"""),0.11369120389499177)</f>
        <v>0.1136912039</v>
      </c>
      <c r="I26" s="53">
        <f>IFERROR(__xludf.DUMMYFUNCTION("""COMPUTED_VALUE"""),23.0)</f>
        <v>23</v>
      </c>
      <c r="J26" s="53">
        <f>IFERROR(__xludf.DUMMYFUNCTION("""COMPUTED_VALUE"""),2.8)</f>
        <v>2.8</v>
      </c>
      <c r="K26" s="53">
        <f>IFERROR(__xludf.DUMMYFUNCTION("""COMPUTED_VALUE"""),6.1)</f>
        <v>6.1</v>
      </c>
      <c r="L26" s="53">
        <f>IFERROR(__xludf.DUMMYFUNCTION("""COMPUTED_VALUE"""),5.0)</f>
        <v>5</v>
      </c>
      <c r="M26" s="53">
        <f>IFERROR(__xludf.DUMMYFUNCTION("""COMPUTED_VALUE"""),1.5)</f>
        <v>1.5</v>
      </c>
      <c r="N26" s="53">
        <f>IFERROR(__xludf.DUMMYFUNCTION("""COMPUTED_VALUE"""),0.4)</f>
        <v>0.4</v>
      </c>
      <c r="O26" s="53">
        <f>IFERROR(__xludf.DUMMYFUNCTION("""COMPUTED_VALUE"""),44.19889502762431)</f>
        <v>44.19889503</v>
      </c>
      <c r="P26" s="53">
        <f>IFERROR(__xludf.DUMMYFUNCTION("""COMPUTED_VALUE"""),85.71428571428571)</f>
        <v>85.71428571</v>
      </c>
      <c r="Q26" s="53">
        <f>IFERROR(__xludf.DUMMYFUNCTION("""COMPUTED_VALUE"""),3.3)</f>
        <v>3.3</v>
      </c>
      <c r="R26" s="53">
        <f>IFERROR(__xludf.DUMMYFUNCTION("""COMPUTED_VALUE"""),0.9679031583314787)</f>
        <v>0.9679031583</v>
      </c>
      <c r="S26" s="53">
        <f>IFERROR(__xludf.DUMMYFUNCTION("""COMPUTED_VALUE"""),1.001822791866741)</f>
        <v>1.001822792</v>
      </c>
      <c r="T26" s="53">
        <f>IFERROR(__xludf.DUMMYFUNCTION("""COMPUTED_VALUE"""),0.0019513839266122224)</f>
        <v>0.001951383927</v>
      </c>
      <c r="U26" s="53">
        <f>IFERROR(__xludf.DUMMYFUNCTION("""COMPUTED_VALUE"""),0.5895884435130965)</f>
        <v>0.5895884435</v>
      </c>
      <c r="V26" s="53">
        <f>IFERROR(__xludf.DUMMYFUNCTION("""COMPUTED_VALUE"""),1.101878832040204)</f>
        <v>1.101878832</v>
      </c>
      <c r="W26" s="53">
        <f>IFERROR(__xludf.DUMMYFUNCTION("""COMPUTED_VALUE"""),-0.39569839687757064)</f>
        <v>-0.3956983969</v>
      </c>
      <c r="X26" s="53">
        <f>IFERROR(__xludf.DUMMYFUNCTION("""COMPUTED_VALUE"""),-0.9762089312755282)</f>
        <v>-0.9762089313</v>
      </c>
      <c r="Y26" s="53">
        <f>IFERROR(__xludf.DUMMYFUNCTION("""COMPUTED_VALUE"""),0.8214592938542618)</f>
        <v>0.8214592939</v>
      </c>
      <c r="Z26" s="53">
        <f>IFERROR(__xludf.DUMMYFUNCTION("""COMPUTED_VALUE"""),-0.40525711089027455)</f>
        <v>-0.4052571109</v>
      </c>
      <c r="AA26" t="str">
        <f>IFERROR(__xludf.DUMMYFUNCTION("SUBSTITUTE(REGEXREPLACE(REGEXREPLACE(REGEXREPLACE(REGEXREPLACE(REGEXREPLACE(REGEXREPLACE(E26,"","",),IF(Projections!$U$3="""",""PG"",),),IF(Projections!$V$3="""",""SG"",),),IF(Projections!$W$3="""",""SF"",),),IF(Projections!$X$3="""",""PF"",),),IF(Project"&amp;"ions!$Y$3="""",""C"",),),""/"","""")"),"SGSFPF")</f>
        <v>SGSFPF</v>
      </c>
    </row>
    <row r="27">
      <c r="A27" t="str">
        <f>IF(Projections!$H$3,Draft!D13,"")</f>
        <v/>
      </c>
      <c r="B27">
        <f>IFERROR(__xludf.DUMMYFUNCTION("""COMPUTED_VALUE"""),17.0)</f>
        <v>17</v>
      </c>
      <c r="C27" t="str">
        <f>IFERROR(__xludf.DUMMYFUNCTION("""COMPUTED_VALUE"""),"Anthony Edwards")</f>
        <v>Anthony Edwards</v>
      </c>
      <c r="D27">
        <f>IFERROR(__xludf.DUMMYFUNCTION("""COMPUTED_VALUE"""),76.0)</f>
        <v>76</v>
      </c>
      <c r="E27" t="str">
        <f>IFERROR(__xludf.DUMMYFUNCTION("""COMPUTED_VALUE"""),"SG,SF")</f>
        <v>SG,SF</v>
      </c>
      <c r="F27" s="53">
        <f>IFERROR(__xludf.DUMMYFUNCTION("""COMPUTED_VALUE"""),3.7807040648571326)</f>
        <v>3.780704065</v>
      </c>
      <c r="G27" s="53">
        <f>IFERROR(__xludf.DUMMYFUNCTION("""COMPUTED_VALUE"""),3.5754547960433927)</f>
        <v>3.575454796</v>
      </c>
      <c r="H27" s="53">
        <f>IFERROR(__xludf.DUMMYFUNCTION("""COMPUTED_VALUE"""),-0.20524926881373995)</f>
        <v>-0.2052492688</v>
      </c>
      <c r="I27" s="53">
        <f>IFERROR(__xludf.DUMMYFUNCTION("""COMPUTED_VALUE"""),25.8)</f>
        <v>25.8</v>
      </c>
      <c r="J27" s="53">
        <f>IFERROR(__xludf.DUMMYFUNCTION("""COMPUTED_VALUE"""),3.0)</f>
        <v>3</v>
      </c>
      <c r="K27" s="53">
        <f>IFERROR(__xludf.DUMMYFUNCTION("""COMPUTED_VALUE"""),5.7)</f>
        <v>5.7</v>
      </c>
      <c r="L27" s="53">
        <f>IFERROR(__xludf.DUMMYFUNCTION("""COMPUTED_VALUE"""),4.8)</f>
        <v>4.8</v>
      </c>
      <c r="M27" s="53">
        <f>IFERROR(__xludf.DUMMYFUNCTION("""COMPUTED_VALUE"""),1.6)</f>
        <v>1.6</v>
      </c>
      <c r="N27" s="53">
        <f>IFERROR(__xludf.DUMMYFUNCTION("""COMPUTED_VALUE"""),0.7)</f>
        <v>0.7</v>
      </c>
      <c r="O27" s="53">
        <f>IFERROR(__xludf.DUMMYFUNCTION("""COMPUTED_VALUE"""),46.231155778894475)</f>
        <v>46.23115578</v>
      </c>
      <c r="P27" s="53">
        <f>IFERROR(__xludf.DUMMYFUNCTION("""COMPUTED_VALUE"""),76.78571428571429)</f>
        <v>76.78571429</v>
      </c>
      <c r="Q27" s="53">
        <f>IFERROR(__xludf.DUMMYFUNCTION("""COMPUTED_VALUE"""),3.2)</f>
        <v>3.2</v>
      </c>
      <c r="R27" s="53">
        <f>IFERROR(__xludf.DUMMYFUNCTION("""COMPUTED_VALUE"""),1.4397770138151946)</f>
        <v>1.439777014</v>
      </c>
      <c r="S27" s="53">
        <f>IFERROR(__xludf.DUMMYFUNCTION("""COMPUTED_VALUE"""),1.1752485492585598)</f>
        <v>1.175248549</v>
      </c>
      <c r="T27" s="53">
        <f>IFERROR(__xludf.DUMMYFUNCTION("""COMPUTED_VALUE"""),-0.16531009549727893)</f>
        <v>-0.1653100955</v>
      </c>
      <c r="U27" s="53">
        <f>IFERROR(__xludf.DUMMYFUNCTION("""COMPUTED_VALUE"""),0.4875835224900693)</f>
        <v>0.4875835225</v>
      </c>
      <c r="V27" s="53">
        <f>IFERROR(__xludf.DUMMYFUNCTION("""COMPUTED_VALUE"""),1.319928732839717)</f>
        <v>1.319928733</v>
      </c>
      <c r="W27" s="53">
        <f>IFERROR(__xludf.DUMMYFUNCTION("""COMPUTED_VALUE"""),-0.0017508778622903794)</f>
        <v>-0.001750877862</v>
      </c>
      <c r="X27" s="53">
        <f>IFERROR(__xludf.DUMMYFUNCTION("""COMPUTED_VALUE"""),-0.6693295977044654)</f>
        <v>-0.6693295977</v>
      </c>
      <c r="Y27" s="53">
        <f>IFERROR(__xludf.DUMMYFUNCTION("""COMPUTED_VALUE"""),-0.3058111927750329)</f>
        <v>-0.3058111928</v>
      </c>
      <c r="Z27" s="53">
        <f>IFERROR(__xludf.DUMMYFUNCTION("""COMPUTED_VALUE"""),-0.37421085622554473)</f>
        <v>-0.3742108562</v>
      </c>
      <c r="AA27" t="str">
        <f>IFERROR(__xludf.DUMMYFUNCTION("SUBSTITUTE(REGEXREPLACE(REGEXREPLACE(REGEXREPLACE(REGEXREPLACE(REGEXREPLACE(REGEXREPLACE(E27,"","",),IF(Projections!$U$3="""",""PG"",),),IF(Projections!$V$3="""",""SG"",),),IF(Projections!$W$3="""",""SF"",),),IF(Projections!$X$3="""",""PF"",),),IF(Project"&amp;"ions!$Y$3="""",""C"",),),""/"","""")"),"SGSF")</f>
        <v>SGSF</v>
      </c>
    </row>
    <row r="28">
      <c r="A28" t="str">
        <f>IF(Projections!$H$3,Draft!D14,"")</f>
        <v/>
      </c>
      <c r="B28">
        <f>IFERROR(__xludf.DUMMYFUNCTION("""COMPUTED_VALUE"""),28.0)</f>
        <v>28</v>
      </c>
      <c r="C28" t="str">
        <f>IFERROR(__xludf.DUMMYFUNCTION("""COMPUTED_VALUE"""),"Lauri Markkanen")</f>
        <v>Lauri Markkanen</v>
      </c>
      <c r="D28">
        <f>IFERROR(__xludf.DUMMYFUNCTION("""COMPUTED_VALUE"""),66.0)</f>
        <v>66</v>
      </c>
      <c r="E28" t="str">
        <f>IFERROR(__xludf.DUMMYFUNCTION("""COMPUTED_VALUE"""),"SF,PF")</f>
        <v>SF,PF</v>
      </c>
      <c r="F28" s="53">
        <f>IFERROR(__xludf.DUMMYFUNCTION("""COMPUTED_VALUE"""),2.5173649342499935)</f>
        <v>2.517364934</v>
      </c>
      <c r="G28" s="53">
        <f>IFERROR(__xludf.DUMMYFUNCTION("""COMPUTED_VALUE"""),3.364427045077207)</f>
        <v>3.364427045</v>
      </c>
      <c r="H28" s="53">
        <f>IFERROR(__xludf.DUMMYFUNCTION("""COMPUTED_VALUE"""),0.8470621108272134)</f>
        <v>0.8470621108</v>
      </c>
      <c r="I28" s="53">
        <f>IFERROR(__xludf.DUMMYFUNCTION("""COMPUTED_VALUE"""),23.9)</f>
        <v>23.9</v>
      </c>
      <c r="J28" s="53">
        <f>IFERROR(__xludf.DUMMYFUNCTION("""COMPUTED_VALUE"""),2.9)</f>
        <v>2.9</v>
      </c>
      <c r="K28" s="53">
        <f>IFERROR(__xludf.DUMMYFUNCTION("""COMPUTED_VALUE"""),8.0)</f>
        <v>8</v>
      </c>
      <c r="L28" s="53">
        <f>IFERROR(__xludf.DUMMYFUNCTION("""COMPUTED_VALUE"""),1.9)</f>
        <v>1.9</v>
      </c>
      <c r="M28" s="53">
        <f>IFERROR(__xludf.DUMMYFUNCTION("""COMPUTED_VALUE"""),0.7)</f>
        <v>0.7</v>
      </c>
      <c r="N28" s="53">
        <f>IFERROR(__xludf.DUMMYFUNCTION("""COMPUTED_VALUE"""),0.6)</f>
        <v>0.6</v>
      </c>
      <c r="O28" s="53">
        <f>IFERROR(__xludf.DUMMYFUNCTION("""COMPUTED_VALUE"""),48.78048780487806)</f>
        <v>48.7804878</v>
      </c>
      <c r="P28" s="53">
        <f>IFERROR(__xludf.DUMMYFUNCTION("""COMPUTED_VALUE"""),87.71929824561403)</f>
        <v>87.71929825</v>
      </c>
      <c r="Q28" s="53">
        <f>IFERROR(__xludf.DUMMYFUNCTION("""COMPUTED_VALUE"""),1.9)</f>
        <v>1.9</v>
      </c>
      <c r="R28" s="53">
        <f>IFERROR(__xludf.DUMMYFUNCTION("""COMPUTED_VALUE"""),1.1195768975941014)</f>
        <v>1.119576898</v>
      </c>
      <c r="S28" s="53">
        <f>IFERROR(__xludf.DUMMYFUNCTION("""COMPUTED_VALUE"""),1.0885356705626503)</f>
        <v>1.088535671</v>
      </c>
      <c r="T28" s="53">
        <f>IFERROR(__xludf.DUMMYFUNCTION("""COMPUTED_VALUE"""),0.7964434111900963)</f>
        <v>0.7964434112</v>
      </c>
      <c r="U28" s="53">
        <f>IFERROR(__xludf.DUMMYFUNCTION("""COMPUTED_VALUE"""),-0.9914878323438243)</f>
        <v>-0.9914878323</v>
      </c>
      <c r="V28" s="53">
        <f>IFERROR(__xludf.DUMMYFUNCTION("""COMPUTED_VALUE"""),-0.6425203743558983)</f>
        <v>-0.6425203744</v>
      </c>
      <c r="W28" s="53">
        <f>IFERROR(__xludf.DUMMYFUNCTION("""COMPUTED_VALUE"""),-0.13306671753405044)</f>
        <v>-0.1330667175</v>
      </c>
      <c r="X28" s="53">
        <f>IFERROR(__xludf.DUMMYFUNCTION("""COMPUTED_VALUE"""),-0.1339923798590622)</f>
        <v>-0.1339923799</v>
      </c>
      <c r="Y28" s="53">
        <f>IFERROR(__xludf.DUMMYFUNCTION("""COMPUTED_VALUE"""),1.2400600830634254)</f>
        <v>1.240060083</v>
      </c>
      <c r="Z28" s="53">
        <f>IFERROR(__xludf.DUMMYFUNCTION("""COMPUTED_VALUE"""),0.029390454415944182)</f>
        <v>0.02939045442</v>
      </c>
      <c r="AA28" t="str">
        <f>IFERROR(__xludf.DUMMYFUNCTION("SUBSTITUTE(REGEXREPLACE(REGEXREPLACE(REGEXREPLACE(REGEXREPLACE(REGEXREPLACE(REGEXREPLACE(E28,"","",),IF(Projections!$U$3="""",""PG"",),),IF(Projections!$V$3="""",""SG"",),),IF(Projections!$W$3="""",""SF"",),),IF(Projections!$X$3="""",""PF"",),),IF(Project"&amp;"ions!$Y$3="""",""C"",),),""/"","""")"),"SFPF")</f>
        <v>SFPF</v>
      </c>
    </row>
    <row r="29">
      <c r="A29" t="str">
        <f>IF(Projections!$H$3,Draft!E3,"")</f>
        <v/>
      </c>
      <c r="B29">
        <f>IFERROR(__xludf.DUMMYFUNCTION("""COMPUTED_VALUE"""),30.0)</f>
        <v>30</v>
      </c>
      <c r="C29" t="str">
        <f>IFERROR(__xludf.DUMMYFUNCTION("""COMPUTED_VALUE"""),"Bam Adebayo")</f>
        <v>Bam Adebayo</v>
      </c>
      <c r="D29">
        <f>IFERROR(__xludf.DUMMYFUNCTION("""COMPUTED_VALUE"""),72.0)</f>
        <v>72</v>
      </c>
      <c r="E29" t="str">
        <f>IFERROR(__xludf.DUMMYFUNCTION("""COMPUTED_VALUE"""),"C")</f>
        <v>C</v>
      </c>
      <c r="F29" s="53">
        <f>IFERROR(__xludf.DUMMYFUNCTION("""COMPUTED_VALUE"""),2.3532365615340547)</f>
        <v>2.353236562</v>
      </c>
      <c r="G29" s="53">
        <f>IFERROR(__xludf.DUMMYFUNCTION("""COMPUTED_VALUE"""),3.27748677288815)</f>
        <v>3.277486773</v>
      </c>
      <c r="H29" s="53">
        <f>IFERROR(__xludf.DUMMYFUNCTION("""COMPUTED_VALUE"""),0.9242502113540954)</f>
        <v>0.9242502114</v>
      </c>
      <c r="I29" s="53">
        <f>IFERROR(__xludf.DUMMYFUNCTION("""COMPUTED_VALUE"""),20.2)</f>
        <v>20.2</v>
      </c>
      <c r="J29" s="53">
        <f>IFERROR(__xludf.DUMMYFUNCTION("""COMPUTED_VALUE"""),0.0)</f>
        <v>0</v>
      </c>
      <c r="K29" s="53">
        <f>IFERROR(__xludf.DUMMYFUNCTION("""COMPUTED_VALUE"""),9.8)</f>
        <v>9.8</v>
      </c>
      <c r="L29" s="53">
        <f>IFERROR(__xludf.DUMMYFUNCTION("""COMPUTED_VALUE"""),3.5)</f>
        <v>3.5</v>
      </c>
      <c r="M29" s="53">
        <f>IFERROR(__xludf.DUMMYFUNCTION("""COMPUTED_VALUE"""),1.3)</f>
        <v>1.3</v>
      </c>
      <c r="N29" s="53">
        <f>IFERROR(__xludf.DUMMYFUNCTION("""COMPUTED_VALUE"""),0.8)</f>
        <v>0.8</v>
      </c>
      <c r="O29" s="53">
        <f>IFERROR(__xludf.DUMMYFUNCTION("""COMPUTED_VALUE"""),53.74149659863946)</f>
        <v>53.7414966</v>
      </c>
      <c r="P29" s="53">
        <f>IFERROR(__xludf.DUMMYFUNCTION("""COMPUTED_VALUE"""),80.35714285714286)</f>
        <v>80.35714286</v>
      </c>
      <c r="Q29" s="53">
        <f>IFERROR(__xludf.DUMMYFUNCTION("""COMPUTED_VALUE"""),2.6)</f>
        <v>2.6</v>
      </c>
      <c r="R29" s="53">
        <f>IFERROR(__xludf.DUMMYFUNCTION("""COMPUTED_VALUE"""),0.4960293028477628)</f>
        <v>0.4960293028</v>
      </c>
      <c r="S29" s="53">
        <f>IFERROR(__xludf.DUMMYFUNCTION("""COMPUTED_VALUE"""),-1.4261378116187227)</f>
        <v>-1.426137812</v>
      </c>
      <c r="T29" s="53">
        <f>IFERROR(__xludf.DUMMYFUNCTION("""COMPUTED_VALUE"""),1.5491200685976079)</f>
        <v>1.549120069</v>
      </c>
      <c r="U29" s="53">
        <f>IFERROR(__xludf.DUMMYFUNCTION("""COMPUTED_VALUE"""),-0.17544846415960708)</f>
        <v>-0.1754484642</v>
      </c>
      <c r="V29" s="53">
        <f>IFERROR(__xludf.DUMMYFUNCTION("""COMPUTED_VALUE"""),0.6657790304411786)</f>
        <v>0.6657790304</v>
      </c>
      <c r="W29" s="53">
        <f>IFERROR(__xludf.DUMMYFUNCTION("""COMPUTED_VALUE"""),0.12956496180946983)</f>
        <v>0.1295649618</v>
      </c>
      <c r="X29" s="53">
        <f>IFERROR(__xludf.DUMMYFUNCTION("""COMPUTED_VALUE"""),0.6083376686348317)</f>
        <v>0.6083376686</v>
      </c>
      <c r="Y29" s="53">
        <f>IFERROR(__xludf.DUMMYFUNCTION("""COMPUTED_VALUE"""),0.19203753295407164)</f>
        <v>0.192037533</v>
      </c>
      <c r="Z29" s="53">
        <f>IFERROR(__xludf.DUMMYFUNCTION("""COMPUTED_VALUE"""),-0.18793332823716524)</f>
        <v>-0.1879333282</v>
      </c>
      <c r="AA29" t="str">
        <f>IFERROR(__xludf.DUMMYFUNCTION("SUBSTITUTE(REGEXREPLACE(REGEXREPLACE(REGEXREPLACE(REGEXREPLACE(REGEXREPLACE(REGEXREPLACE(E29,"","",),IF(Projections!$U$3="""",""PG"",),),IF(Projections!$V$3="""",""SG"",),),IF(Projections!$W$3="""",""SF"",),),IF(Projections!$X$3="""",""PF"",),),IF(Project"&amp;"ions!$Y$3="""",""C"",),),""/"","""")"),"C")</f>
        <v>C</v>
      </c>
    </row>
    <row r="30">
      <c r="A30" t="str">
        <f>IF(Projections!$H$3,Draft!E4,"")</f>
        <v/>
      </c>
      <c r="B30">
        <f>IFERROR(__xludf.DUMMYFUNCTION("""COMPUTED_VALUE"""),21.0)</f>
        <v>21</v>
      </c>
      <c r="C30" t="str">
        <f>IFERROR(__xludf.DUMMYFUNCTION("""COMPUTED_VALUE"""),"Jaren Jackson Jr.")</f>
        <v>Jaren Jackson Jr.</v>
      </c>
      <c r="D30">
        <f>IFERROR(__xludf.DUMMYFUNCTION("""COMPUTED_VALUE"""),69.0)</f>
        <v>69</v>
      </c>
      <c r="E30" t="str">
        <f>IFERROR(__xludf.DUMMYFUNCTION("""COMPUTED_VALUE"""),"PF,C")</f>
        <v>PF,C</v>
      </c>
      <c r="F30" s="53">
        <f>IFERROR(__xludf.DUMMYFUNCTION("""COMPUTED_VALUE"""),3.111693059921107)</f>
        <v>3.11169306</v>
      </c>
      <c r="G30" s="53">
        <f>IFERROR(__xludf.DUMMYFUNCTION("""COMPUTED_VALUE"""),3.2521358853925335)</f>
        <v>3.252135885</v>
      </c>
      <c r="H30" s="53">
        <f>IFERROR(__xludf.DUMMYFUNCTION("""COMPUTED_VALUE"""),0.1404428254714265)</f>
        <v>0.1404428255</v>
      </c>
      <c r="I30" s="53">
        <f>IFERROR(__xludf.DUMMYFUNCTION("""COMPUTED_VALUE"""),19.6)</f>
        <v>19.6</v>
      </c>
      <c r="J30" s="53">
        <f>IFERROR(__xludf.DUMMYFUNCTION("""COMPUTED_VALUE"""),1.7)</f>
        <v>1.7</v>
      </c>
      <c r="K30" s="53">
        <f>IFERROR(__xludf.DUMMYFUNCTION("""COMPUTED_VALUE"""),7.1)</f>
        <v>7.1</v>
      </c>
      <c r="L30" s="53">
        <f>IFERROR(__xludf.DUMMYFUNCTION("""COMPUTED_VALUE"""),1.2)</f>
        <v>1.2</v>
      </c>
      <c r="M30" s="53">
        <f>IFERROR(__xludf.DUMMYFUNCTION("""COMPUTED_VALUE"""),1.0)</f>
        <v>1</v>
      </c>
      <c r="N30" s="53">
        <f>IFERROR(__xludf.DUMMYFUNCTION("""COMPUTED_VALUE"""),2.6)</f>
        <v>2.6</v>
      </c>
      <c r="O30" s="53">
        <f>IFERROR(__xludf.DUMMYFUNCTION("""COMPUTED_VALUE"""),47.945205479452056)</f>
        <v>47.94520548</v>
      </c>
      <c r="P30" s="53">
        <f>IFERROR(__xludf.DUMMYFUNCTION("""COMPUTED_VALUE"""),80.0)</f>
        <v>80</v>
      </c>
      <c r="Q30" s="53">
        <f>IFERROR(__xludf.DUMMYFUNCTION("""COMPUTED_VALUE"""),2.0)</f>
        <v>2</v>
      </c>
      <c r="R30" s="53">
        <f>IFERROR(__xludf.DUMMYFUNCTION("""COMPUTED_VALUE"""),0.39491347667268123)</f>
        <v>0.3949134767</v>
      </c>
      <c r="S30" s="53">
        <f>IFERROR(__xludf.DUMMYFUNCTION("""COMPUTED_VALUE"""),0.047981126211737425)</f>
        <v>0.04798112621</v>
      </c>
      <c r="T30" s="53">
        <f>IFERROR(__xludf.DUMMYFUNCTION("""COMPUTED_VALUE"""),0.42010508248634065)</f>
        <v>0.4201050825</v>
      </c>
      <c r="U30" s="53">
        <f>IFERROR(__xludf.DUMMYFUNCTION("""COMPUTED_VALUE"""),-1.3485050559244194)</f>
        <v>-1.348505056</v>
      </c>
      <c r="V30" s="53">
        <f>IFERROR(__xludf.DUMMYFUNCTION("""COMPUTED_VALUE"""),0.011629328042640127)</f>
        <v>0.01162932804</v>
      </c>
      <c r="W30" s="53">
        <f>IFERROR(__xludf.DUMMYFUNCTION("""COMPUTED_VALUE"""),2.4932500759011518)</f>
        <v>2.493250076</v>
      </c>
      <c r="X30" s="53">
        <f>IFERROR(__xludf.DUMMYFUNCTION("""COMPUTED_VALUE"""),-0.24109870758498325)</f>
        <v>-0.2410987076</v>
      </c>
      <c r="Y30" s="53">
        <f>IFERROR(__xludf.DUMMYFUNCTION("""COMPUTED_VALUE"""),0.12701130391175117)</f>
        <v>0.1270113039</v>
      </c>
      <c r="Z30" s="53">
        <f>IFERROR(__xludf.DUMMYFUNCTION("""COMPUTED_VALUE"""),-0.0016558002487857576)</f>
        <v>-0.001655800249</v>
      </c>
      <c r="AA30" t="str">
        <f>IFERROR(__xludf.DUMMYFUNCTION("SUBSTITUTE(REGEXREPLACE(REGEXREPLACE(REGEXREPLACE(REGEXREPLACE(REGEXREPLACE(REGEXREPLACE(E30,"","",),IF(Projections!$U$3="""",""PG"",),),IF(Projections!$V$3="""",""SG"",),),IF(Projections!$W$3="""",""SF"",),),IF(Projections!$X$3="""",""PF"",),),IF(Project"&amp;"ions!$Y$3="""",""C"",),),""/"","""")"),"PFC")</f>
        <v>PFC</v>
      </c>
    </row>
    <row r="31">
      <c r="A31" t="str">
        <f>IF(Projections!$H$3,Draft!E5,"")</f>
        <v/>
      </c>
      <c r="B31">
        <f>IFERROR(__xludf.DUMMYFUNCTION("""COMPUTED_VALUE"""),33.0)</f>
        <v>33</v>
      </c>
      <c r="C31" t="str">
        <f>IFERROR(__xludf.DUMMYFUNCTION("""COMPUTED_VALUE"""),"Darius Garland")</f>
        <v>Darius Garland</v>
      </c>
      <c r="D31">
        <f>IFERROR(__xludf.DUMMYFUNCTION("""COMPUTED_VALUE"""),69.0)</f>
        <v>69</v>
      </c>
      <c r="E31" t="str">
        <f>IFERROR(__xludf.DUMMYFUNCTION("""COMPUTED_VALUE"""),"PG")</f>
        <v>PG</v>
      </c>
      <c r="F31" s="53">
        <f>IFERROR(__xludf.DUMMYFUNCTION("""COMPUTED_VALUE"""),2.0659739313453347)</f>
        <v>2.065973931</v>
      </c>
      <c r="G31" s="53">
        <f>IFERROR(__xludf.DUMMYFUNCTION("""COMPUTED_VALUE"""),3.140666810618605)</f>
        <v>3.140666811</v>
      </c>
      <c r="H31" s="53">
        <f>IFERROR(__xludf.DUMMYFUNCTION("""COMPUTED_VALUE"""),1.0746928792732704)</f>
        <v>1.074692879</v>
      </c>
      <c r="I31" s="53">
        <f>IFERROR(__xludf.DUMMYFUNCTION("""COMPUTED_VALUE"""),21.8)</f>
        <v>21.8</v>
      </c>
      <c r="J31" s="53">
        <f>IFERROR(__xludf.DUMMYFUNCTION("""COMPUTED_VALUE"""),2.5)</f>
        <v>2.5</v>
      </c>
      <c r="K31" s="53">
        <f>IFERROR(__xludf.DUMMYFUNCTION("""COMPUTED_VALUE"""),3.0)</f>
        <v>3</v>
      </c>
      <c r="L31" s="53">
        <f>IFERROR(__xludf.DUMMYFUNCTION("""COMPUTED_VALUE"""),7.8)</f>
        <v>7.8</v>
      </c>
      <c r="M31" s="53">
        <f>IFERROR(__xludf.DUMMYFUNCTION("""COMPUTED_VALUE"""),1.2)</f>
        <v>1.2</v>
      </c>
      <c r="N31" s="53">
        <f>IFERROR(__xludf.DUMMYFUNCTION("""COMPUTED_VALUE"""),0.1)</f>
        <v>0.1</v>
      </c>
      <c r="O31" s="53">
        <f>IFERROR(__xludf.DUMMYFUNCTION("""COMPUTED_VALUE"""),45.88235294117647)</f>
        <v>45.88235294</v>
      </c>
      <c r="P31" s="53">
        <f>IFERROR(__xludf.DUMMYFUNCTION("""COMPUTED_VALUE"""),87.8048780487805)</f>
        <v>87.80487805</v>
      </c>
      <c r="Q31" s="53">
        <f>IFERROR(__xludf.DUMMYFUNCTION("""COMPUTED_VALUE"""),3.0)</f>
        <v>3</v>
      </c>
      <c r="R31" s="53">
        <f>IFERROR(__xludf.DUMMYFUNCTION("""COMPUTED_VALUE"""),0.765671505981315)</f>
        <v>0.765671506</v>
      </c>
      <c r="S31" s="53">
        <f>IFERROR(__xludf.DUMMYFUNCTION("""COMPUTED_VALUE"""),0.7416841557790128)</f>
        <v>0.7416841558</v>
      </c>
      <c r="T31" s="53">
        <f>IFERROR(__xludf.DUMMYFUNCTION("""COMPUTED_VALUE"""),-1.2943250816085456)</f>
        <v>-1.294325082</v>
      </c>
      <c r="U31" s="53">
        <f>IFERROR(__xludf.DUMMYFUNCTION("""COMPUTED_VALUE"""),2.0176573378354767)</f>
        <v>2.017657338</v>
      </c>
      <c r="V31" s="53">
        <f>IFERROR(__xludf.DUMMYFUNCTION("""COMPUTED_VALUE"""),0.44772912964166556)</f>
        <v>0.4477291296</v>
      </c>
      <c r="W31" s="53">
        <f>IFERROR(__xludf.DUMMYFUNCTION("""COMPUTED_VALUE"""),-0.7896459158928509)</f>
        <v>-0.7896459159</v>
      </c>
      <c r="X31" s="53">
        <f>IFERROR(__xludf.DUMMYFUNCTION("""COMPUTED_VALUE"""),-0.6310182862041335)</f>
        <v>-0.6310182862</v>
      </c>
      <c r="Y31" s="53">
        <f>IFERROR(__xludf.DUMMYFUNCTION("""COMPUTED_VALUE"""),0.9007072303742041)</f>
        <v>0.9007072304</v>
      </c>
      <c r="Z31" s="53">
        <f>IFERROR(__xludf.DUMMYFUNCTION("""COMPUTED_VALUE"""),-0.31211834689608486)</f>
        <v>-0.3121183469</v>
      </c>
      <c r="AA31" t="str">
        <f>IFERROR(__xludf.DUMMYFUNCTION("SUBSTITUTE(REGEXREPLACE(REGEXREPLACE(REGEXREPLACE(REGEXREPLACE(REGEXREPLACE(REGEXREPLACE(E31,"","",),IF(Projections!$U$3="""",""PG"",),),IF(Projections!$V$3="""",""SG"",),),IF(Projections!$W$3="""",""SF"",),),IF(Projections!$X$3="""",""PF"",),),IF(Project"&amp;"ions!$Y$3="""",""C"",),),""/"","""")"),"PG")</f>
        <v>PG</v>
      </c>
    </row>
    <row r="32">
      <c r="A32" t="str">
        <f>IF(Projections!$H$3,Draft!E6,"")</f>
        <v/>
      </c>
      <c r="B32">
        <f>IFERROR(__xludf.DUMMYFUNCTION("""COMPUTED_VALUE"""),23.0)</f>
        <v>23</v>
      </c>
      <c r="C32" t="str">
        <f>IFERROR(__xludf.DUMMYFUNCTION("""COMPUTED_VALUE"""),"Desmond Bane")</f>
        <v>Desmond Bane</v>
      </c>
      <c r="D32">
        <f>IFERROR(__xludf.DUMMYFUNCTION("""COMPUTED_VALUE"""),70.0)</f>
        <v>70</v>
      </c>
      <c r="E32" t="str">
        <f>IFERROR(__xludf.DUMMYFUNCTION("""COMPUTED_VALUE"""),"SG,SF")</f>
        <v>SG,SF</v>
      </c>
      <c r="F32" s="53">
        <f>IFERROR(__xludf.DUMMYFUNCTION("""COMPUTED_VALUE"""),2.9542778715853353)</f>
        <v>2.954277872</v>
      </c>
      <c r="G32" s="53">
        <f>IFERROR(__xludf.DUMMYFUNCTION("""COMPUTED_VALUE"""),3.0749876977007533)</f>
        <v>3.074987698</v>
      </c>
      <c r="H32" s="53">
        <f>IFERROR(__xludf.DUMMYFUNCTION("""COMPUTED_VALUE"""),0.12070982611541803)</f>
        <v>0.1207098261</v>
      </c>
      <c r="I32" s="53">
        <f>IFERROR(__xludf.DUMMYFUNCTION("""COMPUTED_VALUE"""),22.6)</f>
        <v>22.6</v>
      </c>
      <c r="J32" s="53">
        <f>IFERROR(__xludf.DUMMYFUNCTION("""COMPUTED_VALUE"""),3.4)</f>
        <v>3.4</v>
      </c>
      <c r="K32" s="53">
        <f>IFERROR(__xludf.DUMMYFUNCTION("""COMPUTED_VALUE"""),5.4)</f>
        <v>5.4</v>
      </c>
      <c r="L32" s="53">
        <f>IFERROR(__xludf.DUMMYFUNCTION("""COMPUTED_VALUE"""),4.0)</f>
        <v>4</v>
      </c>
      <c r="M32" s="53">
        <f>IFERROR(__xludf.DUMMYFUNCTION("""COMPUTED_VALUE"""),1.2)</f>
        <v>1.2</v>
      </c>
      <c r="N32" s="53">
        <f>IFERROR(__xludf.DUMMYFUNCTION("""COMPUTED_VALUE"""),0.4)</f>
        <v>0.4</v>
      </c>
      <c r="O32" s="53">
        <f>IFERROR(__xludf.DUMMYFUNCTION("""COMPUTED_VALUE"""),46.59090909090908)</f>
        <v>46.59090909</v>
      </c>
      <c r="P32" s="53">
        <f>IFERROR(__xludf.DUMMYFUNCTION("""COMPUTED_VALUE"""),90.32258064516128)</f>
        <v>90.32258065</v>
      </c>
      <c r="Q32" s="53">
        <f>IFERROR(__xludf.DUMMYFUNCTION("""COMPUTED_VALUE"""),2.2)</f>
        <v>2.2</v>
      </c>
      <c r="R32" s="53">
        <f>IFERROR(__xludf.DUMMYFUNCTION("""COMPUTED_VALUE"""),0.900492607548091)</f>
        <v>0.9004926075</v>
      </c>
      <c r="S32" s="53">
        <f>IFERROR(__xludf.DUMMYFUNCTION("""COMPUTED_VALUE"""),1.5221000640421976)</f>
        <v>1.522100064</v>
      </c>
      <c r="T32" s="53">
        <f>IFERROR(__xludf.DUMMYFUNCTION("""COMPUTED_VALUE"""),-0.2907562050651974)</f>
        <v>-0.2907562051</v>
      </c>
      <c r="U32" s="53">
        <f>IFERROR(__xludf.DUMMYFUNCTION("""COMPUTED_VALUE"""),0.07956383839796079)</f>
        <v>0.0795638384</v>
      </c>
      <c r="V32" s="53">
        <f>IFERROR(__xludf.DUMMYFUNCTION("""COMPUTED_VALUE"""),0.44772912964166556)</f>
        <v>0.4477291296</v>
      </c>
      <c r="W32" s="53">
        <f>IFERROR(__xludf.DUMMYFUNCTION("""COMPUTED_VALUE"""),-0.39569839687757064)</f>
        <v>-0.3956983969</v>
      </c>
      <c r="X32" s="53">
        <f>IFERROR(__xludf.DUMMYFUNCTION("""COMPUTED_VALUE"""),-0.5287251750137805)</f>
        <v>-0.528725175</v>
      </c>
      <c r="Y32" s="53">
        <f>IFERROR(__xludf.DUMMYFUNCTION("""COMPUTED_VALUE"""),0.875304969591852)</f>
        <v>0.8753049696</v>
      </c>
      <c r="Z32" s="53">
        <f>IFERROR(__xludf.DUMMYFUNCTION("""COMPUTED_VALUE"""),-0.06374830957824563)</f>
        <v>-0.06374830958</v>
      </c>
      <c r="AA32" t="str">
        <f>IFERROR(__xludf.DUMMYFUNCTION("SUBSTITUTE(REGEXREPLACE(REGEXREPLACE(REGEXREPLACE(REGEXREPLACE(REGEXREPLACE(REGEXREPLACE(E32,"","",),IF(Projections!$U$3="""",""PG"",),),IF(Projections!$V$3="""",""SG"",),),IF(Projections!$W$3="""",""SF"",),),IF(Projections!$X$3="""",""PF"",),),IF(Project"&amp;"ions!$Y$3="""",""C"",),),""/"","""")"),"SGSF")</f>
        <v>SGSF</v>
      </c>
    </row>
    <row r="33">
      <c r="A33" t="str">
        <f>IF(Projections!$H$3,Draft!E7,"")</f>
        <v/>
      </c>
      <c r="B33">
        <f>IFERROR(__xludf.DUMMYFUNCTION("""COMPUTED_VALUE"""),25.0)</f>
        <v>25</v>
      </c>
      <c r="C33" t="str">
        <f>IFERROR(__xludf.DUMMYFUNCTION("""COMPUTED_VALUE"""),"LeBron James")</f>
        <v>LeBron James</v>
      </c>
      <c r="D33">
        <f>IFERROR(__xludf.DUMMYFUNCTION("""COMPUTED_VALUE"""),56.0)</f>
        <v>56</v>
      </c>
      <c r="E33" t="str">
        <f>IFERROR(__xludf.DUMMYFUNCTION("""COMPUTED_VALUE"""),"SF,PF")</f>
        <v>SF,PF</v>
      </c>
      <c r="F33" s="53">
        <f>IFERROR(__xludf.DUMMYFUNCTION("""COMPUTED_VALUE"""),2.565004818154389)</f>
        <v>2.565004818</v>
      </c>
      <c r="G33" s="53">
        <f>IFERROR(__xludf.DUMMYFUNCTION("""COMPUTED_VALUE"""),3.0533853100986708)</f>
        <v>3.05338531</v>
      </c>
      <c r="H33" s="53">
        <f>IFERROR(__xludf.DUMMYFUNCTION("""COMPUTED_VALUE"""),0.48838049194428157)</f>
        <v>0.4883804919</v>
      </c>
      <c r="I33" s="53">
        <f>IFERROR(__xludf.DUMMYFUNCTION("""COMPUTED_VALUE"""),26.7)</f>
        <v>26.7</v>
      </c>
      <c r="J33" s="53">
        <f>IFERROR(__xludf.DUMMYFUNCTION("""COMPUTED_VALUE"""),2.3)</f>
        <v>2.3</v>
      </c>
      <c r="K33" s="53">
        <f>IFERROR(__xludf.DUMMYFUNCTION("""COMPUTED_VALUE"""),7.6)</f>
        <v>7.6</v>
      </c>
      <c r="L33" s="53">
        <f>IFERROR(__xludf.DUMMYFUNCTION("""COMPUTED_VALUE"""),6.0)</f>
        <v>6</v>
      </c>
      <c r="M33" s="53">
        <f>IFERROR(__xludf.DUMMYFUNCTION("""COMPUTED_VALUE"""),0.8)</f>
        <v>0.8</v>
      </c>
      <c r="N33" s="53">
        <f>IFERROR(__xludf.DUMMYFUNCTION("""COMPUTED_VALUE"""),0.5)</f>
        <v>0.5</v>
      </c>
      <c r="O33" s="53">
        <f>IFERROR(__xludf.DUMMYFUNCTION("""COMPUTED_VALUE"""),50.24875621890546)</f>
        <v>50.24875622</v>
      </c>
      <c r="P33" s="53">
        <f>IFERROR(__xludf.DUMMYFUNCTION("""COMPUTED_VALUE"""),76.36363636363637)</f>
        <v>76.36363636</v>
      </c>
      <c r="Q33" s="53">
        <f>IFERROR(__xludf.DUMMYFUNCTION("""COMPUTED_VALUE"""),3.1)</f>
        <v>3.1</v>
      </c>
      <c r="R33" s="53">
        <f>IFERROR(__xludf.DUMMYFUNCTION("""COMPUTED_VALUE"""),1.5914507530778172)</f>
        <v>1.591450753</v>
      </c>
      <c r="S33" s="53">
        <f>IFERROR(__xludf.DUMMYFUNCTION("""COMPUTED_VALUE"""),0.5682583983871938)</f>
        <v>0.5682583984</v>
      </c>
      <c r="T33" s="53">
        <f>IFERROR(__xludf.DUMMYFUNCTION("""COMPUTED_VALUE"""),0.6291819317662048)</f>
        <v>0.6291819318</v>
      </c>
      <c r="U33" s="53">
        <f>IFERROR(__xludf.DUMMYFUNCTION("""COMPUTED_VALUE"""),1.0996130486282323)</f>
        <v>1.099613049</v>
      </c>
      <c r="V33" s="53">
        <f>IFERROR(__xludf.DUMMYFUNCTION("""COMPUTED_VALUE"""),-0.42447047355638534)</f>
        <v>-0.4244704736</v>
      </c>
      <c r="W33" s="53">
        <f>IFERROR(__xludf.DUMMYFUNCTION("""COMPUTED_VALUE"""),-0.2643825572058105)</f>
        <v>-0.2643825572</v>
      </c>
      <c r="X33" s="53">
        <f>IFERROR(__xludf.DUMMYFUNCTION("""COMPUTED_VALUE"""),0.1305646284320265)</f>
        <v>0.1305646284</v>
      </c>
      <c r="Y33" s="53">
        <f>IFERROR(__xludf.DUMMYFUNCTION("""COMPUTED_VALUE"""),-0.3581362914261786)</f>
        <v>-0.3581362914</v>
      </c>
      <c r="Z33" s="53">
        <f>IFERROR(__xludf.DUMMYFUNCTION("""COMPUTED_VALUE"""),-0.3431646015608148)</f>
        <v>-0.3431646016</v>
      </c>
      <c r="AA33" t="str">
        <f>IFERROR(__xludf.DUMMYFUNCTION("SUBSTITUTE(REGEXREPLACE(REGEXREPLACE(REGEXREPLACE(REGEXREPLACE(REGEXREPLACE(REGEXREPLACE(E33,"","",),IF(Projections!$U$3="""",""PG"",),),IF(Projections!$V$3="""",""SG"",),),IF(Projections!$W$3="""",""SF"",),),IF(Projections!$X$3="""",""PF"",),),IF(Project"&amp;"ions!$Y$3="""",""C"",),),""/"","""")"),"SFPF")</f>
        <v>SFPF</v>
      </c>
    </row>
    <row r="34">
      <c r="A34" t="str">
        <f>IF(Projections!$H$3,Draft!E8,"")</f>
        <v/>
      </c>
      <c r="B34">
        <f>IFERROR(__xludf.DUMMYFUNCTION("""COMPUTED_VALUE"""),32.0)</f>
        <v>32</v>
      </c>
      <c r="C34" t="str">
        <f>IFERROR(__xludf.DUMMYFUNCTION("""COMPUTED_VALUE"""),"Cade Cunningham")</f>
        <v>Cade Cunningham</v>
      </c>
      <c r="D34">
        <f>IFERROR(__xludf.DUMMYFUNCTION("""COMPUTED_VALUE"""),65.0)</f>
        <v>65</v>
      </c>
      <c r="E34" t="str">
        <f>IFERROR(__xludf.DUMMYFUNCTION("""COMPUTED_VALUE"""),"PG,SG")</f>
        <v>PG,SG</v>
      </c>
      <c r="F34" s="53">
        <f>IFERROR(__xludf.DUMMYFUNCTION("""COMPUTED_VALUE"""),2.155030414297245)</f>
        <v>2.155030414</v>
      </c>
      <c r="G34" s="53">
        <f>IFERROR(__xludf.DUMMYFUNCTION("""COMPUTED_VALUE"""),3.0352956900630117)</f>
        <v>3.03529569</v>
      </c>
      <c r="H34" s="53">
        <f>IFERROR(__xludf.DUMMYFUNCTION("""COMPUTED_VALUE"""),0.8802652757657667)</f>
        <v>0.8802652758</v>
      </c>
      <c r="I34" s="53">
        <f>IFERROR(__xludf.DUMMYFUNCTION("""COMPUTED_VALUE"""),20.9)</f>
        <v>20.9</v>
      </c>
      <c r="J34" s="53">
        <f>IFERROR(__xludf.DUMMYFUNCTION("""COMPUTED_VALUE"""),1.8)</f>
        <v>1.8</v>
      </c>
      <c r="K34" s="53">
        <f>IFERROR(__xludf.DUMMYFUNCTION("""COMPUTED_VALUE"""),6.4)</f>
        <v>6.4</v>
      </c>
      <c r="L34" s="53">
        <f>IFERROR(__xludf.DUMMYFUNCTION("""COMPUTED_VALUE"""),6.6)</f>
        <v>6.6</v>
      </c>
      <c r="M34" s="53">
        <f>IFERROR(__xludf.DUMMYFUNCTION("""COMPUTED_VALUE"""),1.3)</f>
        <v>1.3</v>
      </c>
      <c r="N34" s="53">
        <f>IFERROR(__xludf.DUMMYFUNCTION("""COMPUTED_VALUE"""),0.7)</f>
        <v>0.7</v>
      </c>
      <c r="O34" s="53">
        <f>IFERROR(__xludf.DUMMYFUNCTION("""COMPUTED_VALUE"""),42.02127659574468)</f>
        <v>42.0212766</v>
      </c>
      <c r="P34" s="53">
        <f>IFERROR(__xludf.DUMMYFUNCTION("""COMPUTED_VALUE"""),84.21052631578948)</f>
        <v>84.21052632</v>
      </c>
      <c r="Q34" s="53">
        <f>IFERROR(__xludf.DUMMYFUNCTION("""COMPUTED_VALUE"""),3.3)</f>
        <v>3.3</v>
      </c>
      <c r="R34" s="53">
        <f>IFERROR(__xludf.DUMMYFUNCTION("""COMPUTED_VALUE"""),0.6139977667186917)</f>
        <v>0.6139977667</v>
      </c>
      <c r="S34" s="53">
        <f>IFERROR(__xludf.DUMMYFUNCTION("""COMPUTED_VALUE"""),0.13469400490764694)</f>
        <v>0.1346940049</v>
      </c>
      <c r="T34" s="53">
        <f>IFERROR(__xludf.DUMMYFUNCTION("""COMPUTED_VALUE"""),0.12739749349453106)</f>
        <v>0.1273974935</v>
      </c>
      <c r="U34" s="53">
        <f>IFERROR(__xludf.DUMMYFUNCTION("""COMPUTED_VALUE"""),1.4056278116973135)</f>
        <v>1.405627812</v>
      </c>
      <c r="V34" s="53">
        <f>IFERROR(__xludf.DUMMYFUNCTION("""COMPUTED_VALUE"""),0.6657790304411786)</f>
        <v>0.6657790304</v>
      </c>
      <c r="W34" s="53">
        <f>IFERROR(__xludf.DUMMYFUNCTION("""COMPUTED_VALUE"""),-0.0017508778622903794)</f>
        <v>-0.001750877862</v>
      </c>
      <c r="X34" s="53">
        <f>IFERROR(__xludf.DUMMYFUNCTION("""COMPUTED_VALUE"""),-1.4228904847813482)</f>
        <v>-1.422890485</v>
      </c>
      <c r="Y34" s="53">
        <f>IFERROR(__xludf.DUMMYFUNCTION("""COMPUTED_VALUE"""),0.4948075715562148)</f>
        <v>0.4948075716</v>
      </c>
      <c r="Z34" s="53">
        <f>IFERROR(__xludf.DUMMYFUNCTION("""COMPUTED_VALUE"""),-0.40525711089027455)</f>
        <v>-0.4052571109</v>
      </c>
      <c r="AA34" t="str">
        <f>IFERROR(__xludf.DUMMYFUNCTION("SUBSTITUTE(REGEXREPLACE(REGEXREPLACE(REGEXREPLACE(REGEXREPLACE(REGEXREPLACE(REGEXREPLACE(E34,"","",),IF(Projections!$U$3="""",""PG"",),),IF(Projections!$V$3="""",""SG"",),),IF(Projections!$W$3="""",""SF"",),),IF(Projections!$X$3="""",""PF"",),),IF(Project"&amp;"ions!$Y$3="""",""C"",),),""/"","""")"),"PGSG")</f>
        <v>PGSG</v>
      </c>
    </row>
    <row r="35">
      <c r="A35" t="str">
        <f>IF(Projections!$H$3,Draft!E9,"")</f>
        <v/>
      </c>
      <c r="B35">
        <f>IFERROR(__xludf.DUMMYFUNCTION("""COMPUTED_VALUE"""),26.0)</f>
        <v>26</v>
      </c>
      <c r="C35" t="str">
        <f>IFERROR(__xludf.DUMMYFUNCTION("""COMPUTED_VALUE"""),"Karl-Anthony Towns")</f>
        <v>Karl-Anthony Towns</v>
      </c>
      <c r="D35">
        <f>IFERROR(__xludf.DUMMYFUNCTION("""COMPUTED_VALUE"""),70.0)</f>
        <v>70</v>
      </c>
      <c r="E35" t="str">
        <f>IFERROR(__xludf.DUMMYFUNCTION("""COMPUTED_VALUE"""),"PF,C")</f>
        <v>PF,C</v>
      </c>
      <c r="F35" s="53">
        <f>IFERROR(__xludf.DUMMYFUNCTION("""COMPUTED_VALUE"""),2.551360661611608)</f>
        <v>2.551360662</v>
      </c>
      <c r="G35" s="53">
        <f>IFERROR(__xludf.DUMMYFUNCTION("""COMPUTED_VALUE"""),3.02209117633912)</f>
        <v>3.022091176</v>
      </c>
      <c r="H35" s="53">
        <f>IFERROR(__xludf.DUMMYFUNCTION("""COMPUTED_VALUE"""),0.4707305147275118)</f>
        <v>0.4707305147</v>
      </c>
      <c r="I35" s="53">
        <f>IFERROR(__xludf.DUMMYFUNCTION("""COMPUTED_VALUE"""),21.4)</f>
        <v>21.4</v>
      </c>
      <c r="J35" s="53">
        <f>IFERROR(__xludf.DUMMYFUNCTION("""COMPUTED_VALUE"""),2.1)</f>
        <v>2.1</v>
      </c>
      <c r="K35" s="53">
        <f>IFERROR(__xludf.DUMMYFUNCTION("""COMPUTED_VALUE"""),8.5)</f>
        <v>8.5</v>
      </c>
      <c r="L35" s="53">
        <f>IFERROR(__xludf.DUMMYFUNCTION("""COMPUTED_VALUE"""),4.6)</f>
        <v>4.6</v>
      </c>
      <c r="M35" s="53">
        <f>IFERROR(__xludf.DUMMYFUNCTION("""COMPUTED_VALUE"""),0.7)</f>
        <v>0.7</v>
      </c>
      <c r="N35" s="53">
        <f>IFERROR(__xludf.DUMMYFUNCTION("""COMPUTED_VALUE"""),0.7)</f>
        <v>0.7</v>
      </c>
      <c r="O35" s="53">
        <f>IFERROR(__xludf.DUMMYFUNCTION("""COMPUTED_VALUE"""),50.0)</f>
        <v>50</v>
      </c>
      <c r="P35" s="53">
        <f>IFERROR(__xludf.DUMMYFUNCTION("""COMPUTED_VALUE"""),84.61538461538461)</f>
        <v>84.61538462</v>
      </c>
      <c r="Q35" s="53">
        <f>IFERROR(__xludf.DUMMYFUNCTION("""COMPUTED_VALUE"""),2.8)</f>
        <v>2.8</v>
      </c>
      <c r="R35" s="53">
        <f>IFERROR(__xludf.DUMMYFUNCTION("""COMPUTED_VALUE"""),0.6982609551979266)</f>
        <v>0.6982609552</v>
      </c>
      <c r="S35" s="53">
        <f>IFERROR(__xludf.DUMMYFUNCTION("""COMPUTED_VALUE"""),0.39483264099537524)</f>
        <v>0.394832641</v>
      </c>
      <c r="T35" s="53">
        <f>IFERROR(__xludf.DUMMYFUNCTION("""COMPUTED_VALUE"""),1.0055202604699605)</f>
        <v>1.00552026</v>
      </c>
      <c r="U35" s="53">
        <f>IFERROR(__xludf.DUMMYFUNCTION("""COMPUTED_VALUE"""),0.38557860146704204)</f>
        <v>0.3855786015</v>
      </c>
      <c r="V35" s="53">
        <f>IFERROR(__xludf.DUMMYFUNCTION("""COMPUTED_VALUE"""),-0.6425203743558983)</f>
        <v>-0.6425203744</v>
      </c>
      <c r="W35" s="53">
        <f>IFERROR(__xludf.DUMMYFUNCTION("""COMPUTED_VALUE"""),-0.0017508778622903794)</f>
        <v>-0.001750877862</v>
      </c>
      <c r="X35" s="53">
        <f>IFERROR(__xludf.DUMMYFUNCTION("""COMPUTED_VALUE"""),0.06016520669458396)</f>
        <v>0.06016520669</v>
      </c>
      <c r="Y35" s="53">
        <f>IFERROR(__xludf.DUMMYFUNCTION("""COMPUTED_VALUE"""),0.7295102269431463)</f>
        <v>0.7295102269</v>
      </c>
      <c r="Z35" s="53">
        <f>IFERROR(__xludf.DUMMYFUNCTION("""COMPUTED_VALUE"""),-0.250025837566625)</f>
        <v>-0.2500258376</v>
      </c>
      <c r="AA35" t="str">
        <f>IFERROR(__xludf.DUMMYFUNCTION("SUBSTITUTE(REGEXREPLACE(REGEXREPLACE(REGEXREPLACE(REGEXREPLACE(REGEXREPLACE(REGEXREPLACE(E35,"","",),IF(Projections!$U$3="""",""PG"",),),IF(Projections!$V$3="""",""SG"",),),IF(Projections!$W$3="""",""SF"",),),IF(Projections!$X$3="""",""PF"",),),IF(Project"&amp;"ions!$Y$3="""",""C"",),),""/"","""")"),"PFC")</f>
        <v>PFC</v>
      </c>
    </row>
    <row r="36">
      <c r="A36" t="str">
        <f>IF(Projections!$H$3,Draft!E10,"")</f>
        <v/>
      </c>
      <c r="B36">
        <f>IFERROR(__xludf.DUMMYFUNCTION("""COMPUTED_VALUE"""),22.0)</f>
        <v>22</v>
      </c>
      <c r="C36" t="str">
        <f>IFERROR(__xludf.DUMMYFUNCTION("""COMPUTED_VALUE"""),"Kawhi Leonard")</f>
        <v>Kawhi Leonard</v>
      </c>
      <c r="D36">
        <f>IFERROR(__xludf.DUMMYFUNCTION("""COMPUTED_VALUE"""),56.0)</f>
        <v>56</v>
      </c>
      <c r="E36" t="str">
        <f>IFERROR(__xludf.DUMMYFUNCTION("""COMPUTED_VALUE"""),"SG,SF")</f>
        <v>SG,SF</v>
      </c>
      <c r="F36" s="53">
        <f>IFERROR(__xludf.DUMMYFUNCTION("""COMPUTED_VALUE"""),3.0855954663421805)</f>
        <v>3.085595466</v>
      </c>
      <c r="G36" s="53">
        <f>IFERROR(__xludf.DUMMYFUNCTION("""COMPUTED_VALUE"""),2.9936371948971283)</f>
        <v>2.993637195</v>
      </c>
      <c r="H36" s="53">
        <f>IFERROR(__xludf.DUMMYFUNCTION("""COMPUTED_VALUE"""),-0.0919582714450522)</f>
        <v>-0.09195827145</v>
      </c>
      <c r="I36" s="53">
        <f>IFERROR(__xludf.DUMMYFUNCTION("""COMPUTED_VALUE"""),23.2)</f>
        <v>23.2</v>
      </c>
      <c r="J36" s="53">
        <f>IFERROR(__xludf.DUMMYFUNCTION("""COMPUTED_VALUE"""),1.9)</f>
        <v>1.9</v>
      </c>
      <c r="K36" s="53">
        <f>IFERROR(__xludf.DUMMYFUNCTION("""COMPUTED_VALUE"""),6.2)</f>
        <v>6.2</v>
      </c>
      <c r="L36" s="53">
        <f>IFERROR(__xludf.DUMMYFUNCTION("""COMPUTED_VALUE"""),3.7)</f>
        <v>3.7</v>
      </c>
      <c r="M36" s="53">
        <f>IFERROR(__xludf.DUMMYFUNCTION("""COMPUTED_VALUE"""),1.3)</f>
        <v>1.3</v>
      </c>
      <c r="N36" s="53">
        <f>IFERROR(__xludf.DUMMYFUNCTION("""COMPUTED_VALUE"""),0.5)</f>
        <v>0.5</v>
      </c>
      <c r="O36" s="53">
        <f>IFERROR(__xludf.DUMMYFUNCTION("""COMPUTED_VALUE"""),50.2994011976048)</f>
        <v>50.2994012</v>
      </c>
      <c r="P36" s="53">
        <f>IFERROR(__xludf.DUMMYFUNCTION("""COMPUTED_VALUE"""),86.27450980392159)</f>
        <v>86.2745098</v>
      </c>
      <c r="Q36" s="53">
        <f>IFERROR(__xludf.DUMMYFUNCTION("""COMPUTED_VALUE"""),1.7)</f>
        <v>1.7</v>
      </c>
      <c r="R36" s="53">
        <f>IFERROR(__xludf.DUMMYFUNCTION("""COMPUTED_VALUE"""),1.0016084337231725)</f>
        <v>1.001608434</v>
      </c>
      <c r="S36" s="53">
        <f>IFERROR(__xludf.DUMMYFUNCTION("""COMPUTED_VALUE"""),0.2214068836035562)</f>
        <v>0.2214068836</v>
      </c>
      <c r="T36" s="53">
        <f>IFERROR(__xludf.DUMMYFUNCTION("""COMPUTED_VALUE"""),0.04376675378258529)</f>
        <v>0.04376675378</v>
      </c>
      <c r="U36" s="53">
        <f>IFERROR(__xludf.DUMMYFUNCTION("""COMPUTED_VALUE"""),-0.07344354313657983)</f>
        <v>-0.07344354314</v>
      </c>
      <c r="V36" s="53">
        <f>IFERROR(__xludf.DUMMYFUNCTION("""COMPUTED_VALUE"""),0.6657790304411786)</f>
        <v>0.6657790304</v>
      </c>
      <c r="W36" s="53">
        <f>IFERROR(__xludf.DUMMYFUNCTION("""COMPUTED_VALUE"""),-0.2643825572058105)</f>
        <v>-0.2643825572</v>
      </c>
      <c r="X36" s="53">
        <f>IFERROR(__xludf.DUMMYFUNCTION("""COMPUTED_VALUE"""),0.11692718158125681)</f>
        <v>0.1169271816</v>
      </c>
      <c r="Y36" s="53">
        <f>IFERROR(__xludf.DUMMYFUNCTION("""COMPUTED_VALUE"""),0.926109491156555)</f>
        <v>0.9261094912</v>
      </c>
      <c r="Z36" s="53">
        <f>IFERROR(__xludf.DUMMYFUNCTION("""COMPUTED_VALUE"""),0.09148296374540399)</f>
        <v>0.09148296375</v>
      </c>
      <c r="AA36" t="str">
        <f>IFERROR(__xludf.DUMMYFUNCTION("SUBSTITUTE(REGEXREPLACE(REGEXREPLACE(REGEXREPLACE(REGEXREPLACE(REGEXREPLACE(REGEXREPLACE(E36,"","",),IF(Projections!$U$3="""",""PG"",),),IF(Projections!$V$3="""",""SG"",),),IF(Projections!$W$3="""",""SF"",),),IF(Projections!$X$3="""",""PF"",),),IF(Project"&amp;"ions!$Y$3="""",""C"",),),""/"","""")"),"SGSF")</f>
        <v>SGSF</v>
      </c>
    </row>
    <row r="37">
      <c r="A37" t="str">
        <f>IF(Projections!$H$3,Draft!E11,"")</f>
        <v/>
      </c>
      <c r="B37">
        <f>IFERROR(__xludf.DUMMYFUNCTION("""COMPUTED_VALUE"""),27.0)</f>
        <v>27</v>
      </c>
      <c r="C37" t="str">
        <f>IFERROR(__xludf.DUMMYFUNCTION("""COMPUTED_VALUE"""),"Dejounte Murray")</f>
        <v>Dejounte Murray</v>
      </c>
      <c r="D37">
        <f>IFERROR(__xludf.DUMMYFUNCTION("""COMPUTED_VALUE"""),74.0)</f>
        <v>74</v>
      </c>
      <c r="E37" t="str">
        <f>IFERROR(__xludf.DUMMYFUNCTION("""COMPUTED_VALUE"""),"PG,SG")</f>
        <v>PG,SG</v>
      </c>
      <c r="F37" s="53">
        <f>IFERROR(__xludf.DUMMYFUNCTION("""COMPUTED_VALUE"""),2.529259984972202)</f>
        <v>2.529259985</v>
      </c>
      <c r="G37" s="53">
        <f>IFERROR(__xludf.DUMMYFUNCTION("""COMPUTED_VALUE"""),2.8593934301867776)</f>
        <v>2.85939343</v>
      </c>
      <c r="H37" s="53">
        <f>IFERROR(__xludf.DUMMYFUNCTION("""COMPUTED_VALUE"""),0.33013344521457544)</f>
        <v>0.3301334452</v>
      </c>
      <c r="I37" s="53">
        <f>IFERROR(__xludf.DUMMYFUNCTION("""COMPUTED_VALUE"""),20.7)</f>
        <v>20.7</v>
      </c>
      <c r="J37" s="53">
        <f>IFERROR(__xludf.DUMMYFUNCTION("""COMPUTED_VALUE"""),1.6)</f>
        <v>1.6</v>
      </c>
      <c r="K37" s="53">
        <f>IFERROR(__xludf.DUMMYFUNCTION("""COMPUTED_VALUE"""),6.5)</f>
        <v>6.5</v>
      </c>
      <c r="L37" s="53">
        <f>IFERROR(__xludf.DUMMYFUNCTION("""COMPUTED_VALUE"""),6.4)</f>
        <v>6.4</v>
      </c>
      <c r="M37" s="53">
        <f>IFERROR(__xludf.DUMMYFUNCTION("""COMPUTED_VALUE"""),1.6)</f>
        <v>1.6</v>
      </c>
      <c r="N37" s="53">
        <f>IFERROR(__xludf.DUMMYFUNCTION("""COMPUTED_VALUE"""),0.3)</f>
        <v>0.3</v>
      </c>
      <c r="O37" s="53">
        <f>IFERROR(__xludf.DUMMYFUNCTION("""COMPUTED_VALUE"""),46.448087431693985)</f>
        <v>46.44808743</v>
      </c>
      <c r="P37" s="53">
        <f>IFERROR(__xludf.DUMMYFUNCTION("""COMPUTED_VALUE"""),80.76923076923077)</f>
        <v>80.76923077</v>
      </c>
      <c r="Q37" s="53">
        <f>IFERROR(__xludf.DUMMYFUNCTION("""COMPUTED_VALUE"""),2.2)</f>
        <v>2.2</v>
      </c>
      <c r="R37" s="53">
        <f>IFERROR(__xludf.DUMMYFUNCTION("""COMPUTED_VALUE"""),0.5802924913269978)</f>
        <v>0.5802924913</v>
      </c>
      <c r="S37" s="53">
        <f>IFERROR(__xludf.DUMMYFUNCTION("""COMPUTED_VALUE"""),-0.03873175248417188)</f>
        <v>-0.03873175248</v>
      </c>
      <c r="T37" s="53">
        <f>IFERROR(__xludf.DUMMYFUNCTION("""COMPUTED_VALUE"""),0.16921286335050373)</f>
        <v>0.1692128634</v>
      </c>
      <c r="U37" s="53">
        <f>IFERROR(__xludf.DUMMYFUNCTION("""COMPUTED_VALUE"""),1.3036228906742866)</f>
        <v>1.303622891</v>
      </c>
      <c r="V37" s="53">
        <f>IFERROR(__xludf.DUMMYFUNCTION("""COMPUTED_VALUE"""),1.319928732839717)</f>
        <v>1.319928733</v>
      </c>
      <c r="W37" s="53">
        <f>IFERROR(__xludf.DUMMYFUNCTION("""COMPUTED_VALUE"""),-0.5270142365493308)</f>
        <v>-0.5270142365</v>
      </c>
      <c r="X37" s="53">
        <f>IFERROR(__xludf.DUMMYFUNCTION("""COMPUTED_VALUE"""),-0.5758607168293178)</f>
        <v>-0.5758607168</v>
      </c>
      <c r="Y37" s="53">
        <f>IFERROR(__xludf.DUMMYFUNCTION("""COMPUTED_VALUE"""),0.11583075060702093)</f>
        <v>0.1158307506</v>
      </c>
      <c r="Z37" s="53">
        <f>IFERROR(__xludf.DUMMYFUNCTION("""COMPUTED_VALUE"""),-0.06374830957824563)</f>
        <v>-0.06374830958</v>
      </c>
      <c r="AA37" t="str">
        <f>IFERROR(__xludf.DUMMYFUNCTION("SUBSTITUTE(REGEXREPLACE(REGEXREPLACE(REGEXREPLACE(REGEXREPLACE(REGEXREPLACE(REGEXREPLACE(E37,"","",),IF(Projections!$U$3="""",""PG"",),),IF(Projections!$V$3="""",""SG"",),),IF(Projections!$W$3="""",""SF"",),),IF(Projections!$X$3="""",""PF"",),),IF(Project"&amp;"ions!$Y$3="""",""C"",),),""/"","""")"),"PGSG")</f>
        <v>PGSG</v>
      </c>
    </row>
    <row r="38">
      <c r="A38" t="str">
        <f>IF(Projections!$H$3,Draft!E12,"")</f>
        <v/>
      </c>
      <c r="B38">
        <f>IFERROR(__xludf.DUMMYFUNCTION("""COMPUTED_VALUE"""),36.0)</f>
        <v>36</v>
      </c>
      <c r="C38" t="str">
        <f>IFERROR(__xludf.DUMMYFUNCTION("""COMPUTED_VALUE"""),"Jalen Brunson")</f>
        <v>Jalen Brunson</v>
      </c>
      <c r="D38">
        <f>IFERROR(__xludf.DUMMYFUNCTION("""COMPUTED_VALUE"""),72.0)</f>
        <v>72</v>
      </c>
      <c r="E38" t="str">
        <f>IFERROR(__xludf.DUMMYFUNCTION("""COMPUTED_VALUE"""),"PG")</f>
        <v>PG</v>
      </c>
      <c r="F38" s="53">
        <f>IFERROR(__xludf.DUMMYFUNCTION("""COMPUTED_VALUE"""),1.514646802178458)</f>
        <v>1.514646802</v>
      </c>
      <c r="G38" s="53">
        <f>IFERROR(__xludf.DUMMYFUNCTION("""COMPUTED_VALUE"""),2.6708626938346045)</f>
        <v>2.670862694</v>
      </c>
      <c r="H38" s="53">
        <f>IFERROR(__xludf.DUMMYFUNCTION("""COMPUTED_VALUE"""),1.1562158916561465)</f>
        <v>1.156215892</v>
      </c>
      <c r="I38" s="53">
        <f>IFERROR(__xludf.DUMMYFUNCTION("""COMPUTED_VALUE"""),24.2)</f>
        <v>24.2</v>
      </c>
      <c r="J38" s="53">
        <f>IFERROR(__xludf.DUMMYFUNCTION("""COMPUTED_VALUE"""),2.0)</f>
        <v>2</v>
      </c>
      <c r="K38" s="53">
        <f>IFERROR(__xludf.DUMMYFUNCTION("""COMPUTED_VALUE"""),3.7)</f>
        <v>3.7</v>
      </c>
      <c r="L38" s="53">
        <f>IFERROR(__xludf.DUMMYFUNCTION("""COMPUTED_VALUE"""),6.5)</f>
        <v>6.5</v>
      </c>
      <c r="M38" s="53">
        <f>IFERROR(__xludf.DUMMYFUNCTION("""COMPUTED_VALUE"""),1.0)</f>
        <v>1</v>
      </c>
      <c r="N38" s="53">
        <f>IFERROR(__xludf.DUMMYFUNCTION("""COMPUTED_VALUE"""),0.2)</f>
        <v>0.2</v>
      </c>
      <c r="O38" s="53">
        <f>IFERROR(__xludf.DUMMYFUNCTION("""COMPUTED_VALUE"""),49.18032786885246)</f>
        <v>49.18032787</v>
      </c>
      <c r="P38" s="53">
        <f>IFERROR(__xludf.DUMMYFUNCTION("""COMPUTED_VALUE"""),84.00000000000001)</f>
        <v>84</v>
      </c>
      <c r="Q38" s="53">
        <f>IFERROR(__xludf.DUMMYFUNCTION("""COMPUTED_VALUE"""),2.2)</f>
        <v>2.2</v>
      </c>
      <c r="R38" s="53">
        <f>IFERROR(__xludf.DUMMYFUNCTION("""COMPUTED_VALUE"""),1.1701348106816425)</f>
        <v>1.170134811</v>
      </c>
      <c r="S38" s="53">
        <f>IFERROR(__xludf.DUMMYFUNCTION("""COMPUTED_VALUE"""),0.30811976229946575)</f>
        <v>0.3081197623</v>
      </c>
      <c r="T38" s="53">
        <f>IFERROR(__xludf.DUMMYFUNCTION("""COMPUTED_VALUE"""),-1.0016174926167358)</f>
        <v>-1.001617493</v>
      </c>
      <c r="U38" s="53">
        <f>IFERROR(__xludf.DUMMYFUNCTION("""COMPUTED_VALUE"""),1.3546253511858)</f>
        <v>1.354625351</v>
      </c>
      <c r="V38" s="53">
        <f>IFERROR(__xludf.DUMMYFUNCTION("""COMPUTED_VALUE"""),0.011629328042640127)</f>
        <v>0.01162932804</v>
      </c>
      <c r="W38" s="53">
        <f>IFERROR(__xludf.DUMMYFUNCTION("""COMPUTED_VALUE"""),-0.6583300762210907)</f>
        <v>-0.6583300762</v>
      </c>
      <c r="X38" s="53">
        <f>IFERROR(__xludf.DUMMYFUNCTION("""COMPUTED_VALUE"""),-0.07642820221646378)</f>
        <v>-0.07642820222</v>
      </c>
      <c r="Y38" s="53">
        <f>IFERROR(__xludf.DUMMYFUNCTION("""COMPUTED_VALUE"""),0.6248600296408564)</f>
        <v>0.6248600296</v>
      </c>
      <c r="Z38" s="53">
        <f>IFERROR(__xludf.DUMMYFUNCTION("""COMPUTED_VALUE"""),-0.06374830957824563)</f>
        <v>-0.06374830958</v>
      </c>
      <c r="AA38" t="str">
        <f>IFERROR(__xludf.DUMMYFUNCTION("SUBSTITUTE(REGEXREPLACE(REGEXREPLACE(REGEXREPLACE(REGEXREPLACE(REGEXREPLACE(REGEXREPLACE(E38,"","",),IF(Projections!$U$3="""",""PG"",),),IF(Projections!$V$3="""",""SG"",),),IF(Projections!$W$3="""",""SF"",),),IF(Projections!$X$3="""",""PF"",),),IF(Project"&amp;"ions!$Y$3="""",""C"",),),""/"","""")"),"PG")</f>
        <v>PG</v>
      </c>
    </row>
    <row r="39">
      <c r="A39" t="str">
        <f>IF(Projections!$H$3,Draft!E13,"")</f>
        <v/>
      </c>
      <c r="B39">
        <f>IFERROR(__xludf.DUMMYFUNCTION("""COMPUTED_VALUE"""),31.0)</f>
        <v>31</v>
      </c>
      <c r="C39" t="str">
        <f>IFERROR(__xludf.DUMMYFUNCTION("""COMPUTED_VALUE"""),"Mikal Bridges")</f>
        <v>Mikal Bridges</v>
      </c>
      <c r="D39">
        <f>IFERROR(__xludf.DUMMYFUNCTION("""COMPUTED_VALUE"""),80.0)</f>
        <v>80</v>
      </c>
      <c r="E39" t="str">
        <f>IFERROR(__xludf.DUMMYFUNCTION("""COMPUTED_VALUE"""),"SG,SF")</f>
        <v>SG,SF</v>
      </c>
      <c r="F39" s="53">
        <f>IFERROR(__xludf.DUMMYFUNCTION("""COMPUTED_VALUE"""),2.2914858204846524)</f>
        <v>2.29148582</v>
      </c>
      <c r="G39" s="53">
        <f>IFERROR(__xludf.DUMMYFUNCTION("""COMPUTED_VALUE"""),2.6185997728987687)</f>
        <v>2.618599773</v>
      </c>
      <c r="H39" s="53">
        <f>IFERROR(__xludf.DUMMYFUNCTION("""COMPUTED_VALUE"""),0.3271139524141162)</f>
        <v>0.3271139524</v>
      </c>
      <c r="I39" s="53">
        <f>IFERROR(__xludf.DUMMYFUNCTION("""COMPUTED_VALUE"""),25.4)</f>
        <v>25.4</v>
      </c>
      <c r="J39" s="53">
        <f>IFERROR(__xludf.DUMMYFUNCTION("""COMPUTED_VALUE"""),2.4)</f>
        <v>2.4</v>
      </c>
      <c r="K39" s="53">
        <f>IFERROR(__xludf.DUMMYFUNCTION("""COMPUTED_VALUE"""),4.6)</f>
        <v>4.6</v>
      </c>
      <c r="L39" s="53">
        <f>IFERROR(__xludf.DUMMYFUNCTION("""COMPUTED_VALUE"""),3.4)</f>
        <v>3.4</v>
      </c>
      <c r="M39" s="53">
        <f>IFERROR(__xludf.DUMMYFUNCTION("""COMPUTED_VALUE"""),1.1)</f>
        <v>1.1</v>
      </c>
      <c r="N39" s="53">
        <f>IFERROR(__xludf.DUMMYFUNCTION("""COMPUTED_VALUE"""),0.6)</f>
        <v>0.6</v>
      </c>
      <c r="O39" s="53">
        <f>IFERROR(__xludf.DUMMYFUNCTION("""COMPUTED_VALUE"""),47.39583333333333)</f>
        <v>47.39583333</v>
      </c>
      <c r="P39" s="53">
        <f>IFERROR(__xludf.DUMMYFUNCTION("""COMPUTED_VALUE"""),87.03703703703704)</f>
        <v>87.03703704</v>
      </c>
      <c r="Q39" s="53">
        <f>IFERROR(__xludf.DUMMYFUNCTION("""COMPUTED_VALUE"""),1.8)</f>
        <v>1.8</v>
      </c>
      <c r="R39" s="53">
        <f>IFERROR(__xludf.DUMMYFUNCTION("""COMPUTED_VALUE"""),1.3723664630318062)</f>
        <v>1.372366463</v>
      </c>
      <c r="S39" s="53">
        <f>IFERROR(__xludf.DUMMYFUNCTION("""COMPUTED_VALUE"""),0.6549712770831033)</f>
        <v>0.6549712771</v>
      </c>
      <c r="T39" s="53">
        <f>IFERROR(__xludf.DUMMYFUNCTION("""COMPUTED_VALUE"""),-0.6252791639129804)</f>
        <v>-0.6252791639</v>
      </c>
      <c r="U39" s="53">
        <f>IFERROR(__xludf.DUMMYFUNCTION("""COMPUTED_VALUE"""),-0.22645092467112066)</f>
        <v>-0.2264509247</v>
      </c>
      <c r="V39" s="53">
        <f>IFERROR(__xludf.DUMMYFUNCTION("""COMPUTED_VALUE"""),0.22967922884215308)</f>
        <v>0.2296792288</v>
      </c>
      <c r="W39" s="53">
        <f>IFERROR(__xludf.DUMMYFUNCTION("""COMPUTED_VALUE"""),-0.13306671753405044)</f>
        <v>-0.1330667175</v>
      </c>
      <c r="X39" s="53">
        <f>IFERROR(__xludf.DUMMYFUNCTION("""COMPUTED_VALUE"""),-0.4224210500437864)</f>
        <v>-0.42242105</v>
      </c>
      <c r="Y39" s="53">
        <f>IFERROR(__xludf.DUMMYFUNCTION("""COMPUTED_VALUE"""),1.0830847871099896)</f>
        <v>1.083084787</v>
      </c>
      <c r="Z39" s="53">
        <f>IFERROR(__xludf.DUMMYFUNCTION("""COMPUTED_VALUE"""),0.06043670908067405)</f>
        <v>0.06043670908</v>
      </c>
      <c r="AA39" t="str">
        <f>IFERROR(__xludf.DUMMYFUNCTION("SUBSTITUTE(REGEXREPLACE(REGEXREPLACE(REGEXREPLACE(REGEXREPLACE(REGEXREPLACE(REGEXREPLACE(E39,"","",),IF(Projections!$U$3="""",""PG"",),),IF(Projections!$V$3="""",""SG"",),),IF(Projections!$W$3="""",""SF"",),),IF(Projections!$X$3="""",""PF"",),),IF(Project"&amp;"ions!$Y$3="""",""C"",),),""/"","""")"),"SGSF")</f>
        <v>SGSF</v>
      </c>
    </row>
    <row r="40">
      <c r="A40" t="str">
        <f>IF(Projections!$H$3,Draft!E14,"")</f>
        <v/>
      </c>
      <c r="B40">
        <f>IFERROR(__xludf.DUMMYFUNCTION("""COMPUTED_VALUE"""),34.0)</f>
        <v>34</v>
      </c>
      <c r="C40" t="str">
        <f>IFERROR(__xludf.DUMMYFUNCTION("""COMPUTED_VALUE"""),"Kristaps Porzingis")</f>
        <v>Kristaps Porzingis</v>
      </c>
      <c r="D40">
        <f>IFERROR(__xludf.DUMMYFUNCTION("""COMPUTED_VALUE"""),60.0)</f>
        <v>60</v>
      </c>
      <c r="E40" t="str">
        <f>IFERROR(__xludf.DUMMYFUNCTION("""COMPUTED_VALUE"""),"PF,C")</f>
        <v>PF,C</v>
      </c>
      <c r="F40" s="53">
        <f>IFERROR(__xludf.DUMMYFUNCTION("""COMPUTED_VALUE"""),1.9094858334976885)</f>
        <v>1.909485833</v>
      </c>
      <c r="G40" s="53">
        <f>IFERROR(__xludf.DUMMYFUNCTION("""COMPUTED_VALUE"""),2.3385453839585777)</f>
        <v>2.338545384</v>
      </c>
      <c r="H40" s="53">
        <f>IFERROR(__xludf.DUMMYFUNCTION("""COMPUTED_VALUE"""),0.42905955046088917)</f>
        <v>0.4290595505</v>
      </c>
      <c r="I40" s="53">
        <f>IFERROR(__xludf.DUMMYFUNCTION("""COMPUTED_VALUE"""),18.7)</f>
        <v>18.7</v>
      </c>
      <c r="J40" s="53">
        <f>IFERROR(__xludf.DUMMYFUNCTION("""COMPUTED_VALUE"""),1.8)</f>
        <v>1.8</v>
      </c>
      <c r="K40" s="53">
        <f>IFERROR(__xludf.DUMMYFUNCTION("""COMPUTED_VALUE"""),7.9)</f>
        <v>7.9</v>
      </c>
      <c r="L40" s="53">
        <f>IFERROR(__xludf.DUMMYFUNCTION("""COMPUTED_VALUE"""),2.1)</f>
        <v>2.1</v>
      </c>
      <c r="M40" s="53">
        <f>IFERROR(__xludf.DUMMYFUNCTION("""COMPUTED_VALUE"""),0.8)</f>
        <v>0.8</v>
      </c>
      <c r="N40" s="53">
        <f>IFERROR(__xludf.DUMMYFUNCTION("""COMPUTED_VALUE"""),1.5)</f>
        <v>1.5</v>
      </c>
      <c r="O40" s="53">
        <f>IFERROR(__xludf.DUMMYFUNCTION("""COMPUTED_VALUE"""),48.148148148148145)</f>
        <v>48.14814815</v>
      </c>
      <c r="P40" s="53">
        <f>IFERROR(__xludf.DUMMYFUNCTION("""COMPUTED_VALUE"""),85.1063829787234)</f>
        <v>85.10638298</v>
      </c>
      <c r="Q40" s="53">
        <f>IFERROR(__xludf.DUMMYFUNCTION("""COMPUTED_VALUE"""),1.8)</f>
        <v>1.8</v>
      </c>
      <c r="R40" s="53">
        <f>IFERROR(__xludf.DUMMYFUNCTION("""COMPUTED_VALUE"""),0.24323973741005794)</f>
        <v>0.2432397374</v>
      </c>
      <c r="S40" s="53">
        <f>IFERROR(__xludf.DUMMYFUNCTION("""COMPUTED_VALUE"""),0.13469400490764694)</f>
        <v>0.1346940049</v>
      </c>
      <c r="T40" s="53">
        <f>IFERROR(__xludf.DUMMYFUNCTION("""COMPUTED_VALUE"""),0.7546280413341236)</f>
        <v>0.7546280413</v>
      </c>
      <c r="U40" s="53">
        <f>IFERROR(__xludf.DUMMYFUNCTION("""COMPUTED_VALUE"""),-0.8894829113207969)</f>
        <v>-0.8894829113</v>
      </c>
      <c r="V40" s="53">
        <f>IFERROR(__xludf.DUMMYFUNCTION("""COMPUTED_VALUE"""),-0.42447047355638534)</f>
        <v>-0.4244704736</v>
      </c>
      <c r="W40" s="53">
        <f>IFERROR(__xludf.DUMMYFUNCTION("""COMPUTED_VALUE"""),1.0487758395117905)</f>
        <v>1.04877584</v>
      </c>
      <c r="X40" s="53">
        <f>IFERROR(__xludf.DUMMYFUNCTION("""COMPUTED_VALUE"""),-0.19556757128130153)</f>
        <v>-0.1955675713</v>
      </c>
      <c r="Y40" s="53">
        <f>IFERROR(__xludf.DUMMYFUNCTION("""COMPUTED_VALUE"""),0.7168090965519713)</f>
        <v>0.7168090966</v>
      </c>
      <c r="Z40" s="53">
        <f>IFERROR(__xludf.DUMMYFUNCTION("""COMPUTED_VALUE"""),0.06043670908067405)</f>
        <v>0.06043670908</v>
      </c>
      <c r="AA40" t="str">
        <f>IFERROR(__xludf.DUMMYFUNCTION("SUBSTITUTE(REGEXREPLACE(REGEXREPLACE(REGEXREPLACE(REGEXREPLACE(REGEXREPLACE(REGEXREPLACE(E40,"","",),IF(Projections!$U$3="""",""PG"",),),IF(Projections!$V$3="""",""SG"",),),IF(Projections!$W$3="""",""SF"",),),IF(Projections!$X$3="""",""PF"",),),IF(Project"&amp;"ions!$Y$3="""",""C"",),),""/"","""")"),"PFC")</f>
        <v>PFC</v>
      </c>
    </row>
    <row r="41">
      <c r="A41" t="str">
        <f>IF(Projections!$H$3,Draft!F3,"")</f>
        <v/>
      </c>
      <c r="B41">
        <f>IFERROR(__xludf.DUMMYFUNCTION("""COMPUTED_VALUE"""),37.0)</f>
        <v>37</v>
      </c>
      <c r="C41" t="str">
        <f>IFERROR(__xludf.DUMMYFUNCTION("""COMPUTED_VALUE"""),"DeMar DeRozan")</f>
        <v>DeMar DeRozan</v>
      </c>
      <c r="D41">
        <f>IFERROR(__xludf.DUMMYFUNCTION("""COMPUTED_VALUE"""),74.0)</f>
        <v>74</v>
      </c>
      <c r="E41" t="str">
        <f>IFERROR(__xludf.DUMMYFUNCTION("""COMPUTED_VALUE"""),"SG")</f>
        <v>SG</v>
      </c>
      <c r="F41" s="53">
        <f>IFERROR(__xludf.DUMMYFUNCTION("""COMPUTED_VALUE"""),1.4674066026054566)</f>
        <v>1.467406603</v>
      </c>
      <c r="G41" s="53">
        <f>IFERROR(__xludf.DUMMYFUNCTION("""COMPUTED_VALUE"""),2.293130986605172)</f>
        <v>2.293130987</v>
      </c>
      <c r="H41" s="53">
        <f>IFERROR(__xludf.DUMMYFUNCTION("""COMPUTED_VALUE"""),0.8257243839997153)</f>
        <v>0.825724384</v>
      </c>
      <c r="I41" s="53">
        <f>IFERROR(__xludf.DUMMYFUNCTION("""COMPUTED_VALUE"""),24.7)</f>
        <v>24.7</v>
      </c>
      <c r="J41" s="53">
        <f>IFERROR(__xludf.DUMMYFUNCTION("""COMPUTED_VALUE"""),0.6)</f>
        <v>0.6</v>
      </c>
      <c r="K41" s="53">
        <f>IFERROR(__xludf.DUMMYFUNCTION("""COMPUTED_VALUE"""),4.6)</f>
        <v>4.6</v>
      </c>
      <c r="L41" s="53">
        <f>IFERROR(__xludf.DUMMYFUNCTION("""COMPUTED_VALUE"""),4.9)</f>
        <v>4.9</v>
      </c>
      <c r="M41" s="53">
        <f>IFERROR(__xludf.DUMMYFUNCTION("""COMPUTED_VALUE"""),1.0)</f>
        <v>1</v>
      </c>
      <c r="N41" s="53">
        <f>IFERROR(__xludf.DUMMYFUNCTION("""COMPUTED_VALUE"""),0.4)</f>
        <v>0.4</v>
      </c>
      <c r="O41" s="53">
        <f>IFERROR(__xludf.DUMMYFUNCTION("""COMPUTED_VALUE"""),50.55555555555556)</f>
        <v>50.55555556</v>
      </c>
      <c r="P41" s="53">
        <f>IFERROR(__xludf.DUMMYFUNCTION("""COMPUTED_VALUE"""),86.95652173913044)</f>
        <v>86.95652174</v>
      </c>
      <c r="Q41" s="53">
        <f>IFERROR(__xludf.DUMMYFUNCTION("""COMPUTED_VALUE"""),2.1)</f>
        <v>2.1</v>
      </c>
      <c r="R41" s="53">
        <f>IFERROR(__xludf.DUMMYFUNCTION("""COMPUTED_VALUE"""),1.2543979991608774)</f>
        <v>1.254397999</v>
      </c>
      <c r="S41" s="53">
        <f>IFERROR(__xludf.DUMMYFUNCTION("""COMPUTED_VALUE"""),-0.9058605394432663)</f>
        <v>-0.9058605394</v>
      </c>
      <c r="T41" s="53">
        <f>IFERROR(__xludf.DUMMYFUNCTION("""COMPUTED_VALUE"""),-0.6252791639129804)</f>
        <v>-0.6252791639</v>
      </c>
      <c r="U41" s="53">
        <f>IFERROR(__xludf.DUMMYFUNCTION("""COMPUTED_VALUE"""),0.5385859830015831)</f>
        <v>0.538585983</v>
      </c>
      <c r="V41" s="53">
        <f>IFERROR(__xludf.DUMMYFUNCTION("""COMPUTED_VALUE"""),0.011629328042640127)</f>
        <v>0.01162932804</v>
      </c>
      <c r="W41" s="53">
        <f>IFERROR(__xludf.DUMMYFUNCTION("""COMPUTED_VALUE"""),-0.39569839687757064)</f>
        <v>-0.3956983969</v>
      </c>
      <c r="X41" s="53">
        <f>IFERROR(__xludf.DUMMYFUNCTION("""COMPUTED_VALUE"""),0.17208475095607112)</f>
        <v>0.172084751</v>
      </c>
      <c r="Y41" s="53">
        <f>IFERROR(__xludf.DUMMYFUNCTION("""COMPUTED_VALUE"""),1.370112541148067)</f>
        <v>1.370112541</v>
      </c>
      <c r="Z41" s="53">
        <f>IFERROR(__xludf.DUMMYFUNCTION("""COMPUTED_VALUE"""),-0.032702054913515695)</f>
        <v>-0.03270205491</v>
      </c>
      <c r="AA41" t="str">
        <f>IFERROR(__xludf.DUMMYFUNCTION("SUBSTITUTE(REGEXREPLACE(REGEXREPLACE(REGEXREPLACE(REGEXREPLACE(REGEXREPLACE(REGEXREPLACE(E41,"","",),IF(Projections!$U$3="""",""PG"",),),IF(Projections!$V$3="""",""SG"",),),IF(Projections!$W$3="""",""SF"",),),IF(Projections!$X$3="""",""PF"",),),IF(Project"&amp;"ions!$Y$3="""",""C"",),),""/"","""")"),"SG")</f>
        <v>SG</v>
      </c>
    </row>
    <row r="42">
      <c r="A42" t="str">
        <f>IF(Projections!$H$3,Draft!F4,"")</f>
        <v/>
      </c>
      <c r="B42">
        <f>IFERROR(__xludf.DUMMYFUNCTION("""COMPUTED_VALUE"""),35.0)</f>
        <v>35</v>
      </c>
      <c r="C42" t="str">
        <f>IFERROR(__xludf.DUMMYFUNCTION("""COMPUTED_VALUE"""),"Jaylen Brown")</f>
        <v>Jaylen Brown</v>
      </c>
      <c r="D42">
        <f>IFERROR(__xludf.DUMMYFUNCTION("""COMPUTED_VALUE"""),69.0)</f>
        <v>69</v>
      </c>
      <c r="E42" t="str">
        <f>IFERROR(__xludf.DUMMYFUNCTION("""COMPUTED_VALUE"""),"SG,SF")</f>
        <v>SG,SF</v>
      </c>
      <c r="F42" s="53">
        <f>IFERROR(__xludf.DUMMYFUNCTION("""COMPUTED_VALUE"""),1.7571801338935376)</f>
        <v>1.757180134</v>
      </c>
      <c r="G42" s="53">
        <f>IFERROR(__xludf.DUMMYFUNCTION("""COMPUTED_VALUE"""),2.1089182627502807)</f>
        <v>2.108918263</v>
      </c>
      <c r="H42" s="53">
        <f>IFERROR(__xludf.DUMMYFUNCTION("""COMPUTED_VALUE"""),0.35173812885674316)</f>
        <v>0.3517381289</v>
      </c>
      <c r="I42" s="53">
        <f>IFERROR(__xludf.DUMMYFUNCTION("""COMPUTED_VALUE"""),26.4)</f>
        <v>26.4</v>
      </c>
      <c r="J42" s="53">
        <f>IFERROR(__xludf.DUMMYFUNCTION("""COMPUTED_VALUE"""),2.6)</f>
        <v>2.6</v>
      </c>
      <c r="K42" s="53">
        <f>IFERROR(__xludf.DUMMYFUNCTION("""COMPUTED_VALUE"""),6.7)</f>
        <v>6.7</v>
      </c>
      <c r="L42" s="53">
        <f>IFERROR(__xludf.DUMMYFUNCTION("""COMPUTED_VALUE"""),3.6)</f>
        <v>3.6</v>
      </c>
      <c r="M42" s="53">
        <f>IFERROR(__xludf.DUMMYFUNCTION("""COMPUTED_VALUE"""),1.1)</f>
        <v>1.1</v>
      </c>
      <c r="N42" s="53">
        <f>IFERROR(__xludf.DUMMYFUNCTION("""COMPUTED_VALUE"""),0.3)</f>
        <v>0.3</v>
      </c>
      <c r="O42" s="53">
        <f>IFERROR(__xludf.DUMMYFUNCTION("""COMPUTED_VALUE"""),49.504950495049506)</f>
        <v>49.5049505</v>
      </c>
      <c r="P42" s="53">
        <f>IFERROR(__xludf.DUMMYFUNCTION("""COMPUTED_VALUE"""),76.47058823529413)</f>
        <v>76.47058824</v>
      </c>
      <c r="Q42" s="53">
        <f>IFERROR(__xludf.DUMMYFUNCTION("""COMPUTED_VALUE"""),2.9)</f>
        <v>2.9</v>
      </c>
      <c r="R42" s="53">
        <f>IFERROR(__xludf.DUMMYFUNCTION("""COMPUTED_VALUE"""),1.5408928399902762)</f>
        <v>1.54089284</v>
      </c>
      <c r="S42" s="53">
        <f>IFERROR(__xludf.DUMMYFUNCTION("""COMPUTED_VALUE"""),0.8283970344749224)</f>
        <v>0.8283970345</v>
      </c>
      <c r="T42" s="53">
        <f>IFERROR(__xludf.DUMMYFUNCTION("""COMPUTED_VALUE"""),0.2528436030624495)</f>
        <v>0.2528436031</v>
      </c>
      <c r="U42" s="53">
        <f>IFERROR(__xludf.DUMMYFUNCTION("""COMPUTED_VALUE"""),-0.12444600364809345)</f>
        <v>-0.1244460036</v>
      </c>
      <c r="V42" s="53">
        <f>IFERROR(__xludf.DUMMYFUNCTION("""COMPUTED_VALUE"""),0.22967922884215308)</f>
        <v>0.2296792288</v>
      </c>
      <c r="W42" s="53">
        <f>IFERROR(__xludf.DUMMYFUNCTION("""COMPUTED_VALUE"""),-0.5270142365493308)</f>
        <v>-0.5270142365</v>
      </c>
      <c r="X42" s="53">
        <f>IFERROR(__xludf.DUMMYFUNCTION("""COMPUTED_VALUE"""),-0.018864024573864387)</f>
        <v>-0.01886402457</v>
      </c>
      <c r="Y42" s="53">
        <f>IFERROR(__xludf.DUMMYFUNCTION("""COMPUTED_VALUE"""),-0.31851232316620787)</f>
        <v>-0.3185123232</v>
      </c>
      <c r="Z42" s="53">
        <f>IFERROR(__xludf.DUMMYFUNCTION("""COMPUTED_VALUE"""),-0.28107209223135493)</f>
        <v>-0.2810720922</v>
      </c>
      <c r="AA42" t="str">
        <f>IFERROR(__xludf.DUMMYFUNCTION("SUBSTITUTE(REGEXREPLACE(REGEXREPLACE(REGEXREPLACE(REGEXREPLACE(REGEXREPLACE(REGEXREPLACE(E42,"","",),IF(Projections!$U$3="""",""PG"",),),IF(Projections!$V$3="""",""SG"",),),IF(Projections!$W$3="""",""SF"",),),IF(Projections!$X$3="""",""PF"",),),IF(Project"&amp;"ions!$Y$3="""",""C"",),),""/"","""")"),"SGSF")</f>
        <v>SGSF</v>
      </c>
    </row>
    <row r="43">
      <c r="A43" t="str">
        <f>IF(Projections!$H$3,Draft!F5,"")</f>
        <v/>
      </c>
      <c r="B43">
        <f>IFERROR(__xludf.DUMMYFUNCTION("""COMPUTED_VALUE"""),40.0)</f>
        <v>40</v>
      </c>
      <c r="C43" t="str">
        <f>IFERROR(__xludf.DUMMYFUNCTION("""COMPUTED_VALUE"""),"Jamal Murray")</f>
        <v>Jamal Murray</v>
      </c>
      <c r="D43">
        <f>IFERROR(__xludf.DUMMYFUNCTION("""COMPUTED_VALUE"""),70.0)</f>
        <v>70</v>
      </c>
      <c r="E43" t="str">
        <f>IFERROR(__xludf.DUMMYFUNCTION("""COMPUTED_VALUE"""),"PG,SG")</f>
        <v>PG,SG</v>
      </c>
      <c r="F43" s="53">
        <f>IFERROR(__xludf.DUMMYFUNCTION("""COMPUTED_VALUE"""),1.091704750004179)</f>
        <v>1.09170475</v>
      </c>
      <c r="G43" s="53">
        <f>IFERROR(__xludf.DUMMYFUNCTION("""COMPUTED_VALUE"""),2.0410587660792614)</f>
        <v>2.041058766</v>
      </c>
      <c r="H43" s="53">
        <f>IFERROR(__xludf.DUMMYFUNCTION("""COMPUTED_VALUE"""),0.9493540160750824)</f>
        <v>0.9493540161</v>
      </c>
      <c r="I43" s="53">
        <f>IFERROR(__xludf.DUMMYFUNCTION("""COMPUTED_VALUE"""),21.0)</f>
        <v>21</v>
      </c>
      <c r="J43" s="53">
        <f>IFERROR(__xludf.DUMMYFUNCTION("""COMPUTED_VALUE"""),2.7)</f>
        <v>2.7</v>
      </c>
      <c r="K43" s="53">
        <f>IFERROR(__xludf.DUMMYFUNCTION("""COMPUTED_VALUE"""),4.1)</f>
        <v>4.1</v>
      </c>
      <c r="L43" s="53">
        <f>IFERROR(__xludf.DUMMYFUNCTION("""COMPUTED_VALUE"""),6.3)</f>
        <v>6.3</v>
      </c>
      <c r="M43" s="53">
        <f>IFERROR(__xludf.DUMMYFUNCTION("""COMPUTED_VALUE"""),1.0)</f>
        <v>1</v>
      </c>
      <c r="N43" s="53">
        <f>IFERROR(__xludf.DUMMYFUNCTION("""COMPUTED_VALUE"""),0.3)</f>
        <v>0.3</v>
      </c>
      <c r="O43" s="53">
        <f>IFERROR(__xludf.DUMMYFUNCTION("""COMPUTED_VALUE"""),46.98795180722891)</f>
        <v>46.98795181</v>
      </c>
      <c r="P43" s="53">
        <f>IFERROR(__xludf.DUMMYFUNCTION("""COMPUTED_VALUE"""),82.35294117647058)</f>
        <v>82.35294118</v>
      </c>
      <c r="Q43" s="53">
        <f>IFERROR(__xludf.DUMMYFUNCTION("""COMPUTED_VALUE"""),2.3)</f>
        <v>2.3</v>
      </c>
      <c r="R43" s="53">
        <f>IFERROR(__xludf.DUMMYFUNCTION("""COMPUTED_VALUE"""),0.6308504044145389)</f>
        <v>0.6308504044</v>
      </c>
      <c r="S43" s="53">
        <f>IFERROR(__xludf.DUMMYFUNCTION("""COMPUTED_VALUE"""),0.9151099131708318)</f>
        <v>0.9151099132</v>
      </c>
      <c r="T43" s="53">
        <f>IFERROR(__xludf.DUMMYFUNCTION("""COMPUTED_VALUE"""),-0.8343560131928446)</f>
        <v>-0.8343560132</v>
      </c>
      <c r="U43" s="53">
        <f>IFERROR(__xludf.DUMMYFUNCTION("""COMPUTED_VALUE"""),1.2526204301627728)</f>
        <v>1.25262043</v>
      </c>
      <c r="V43" s="53">
        <f>IFERROR(__xludf.DUMMYFUNCTION("""COMPUTED_VALUE"""),0.011629328042640127)</f>
        <v>0.01162932804</v>
      </c>
      <c r="W43" s="53">
        <f>IFERROR(__xludf.DUMMYFUNCTION("""COMPUTED_VALUE"""),-0.5270142365493308)</f>
        <v>-0.5270142365</v>
      </c>
      <c r="X43" s="53">
        <f>IFERROR(__xludf.DUMMYFUNCTION("""COMPUTED_VALUE"""),-0.43284968587084793)</f>
        <v>-0.4328496859</v>
      </c>
      <c r="Y43" s="53">
        <f>IFERROR(__xludf.DUMMYFUNCTION("""COMPUTED_VALUE"""),0.28550717695163197)</f>
        <v>0.285507177</v>
      </c>
      <c r="Z43" s="53">
        <f>IFERROR(__xludf.DUMMYFUNCTION("""COMPUTED_VALUE"""),-0.09479456424297544)</f>
        <v>-0.09479456424</v>
      </c>
      <c r="AA43" t="str">
        <f>IFERROR(__xludf.DUMMYFUNCTION("SUBSTITUTE(REGEXREPLACE(REGEXREPLACE(REGEXREPLACE(REGEXREPLACE(REGEXREPLACE(REGEXREPLACE(E43,"","",),IF(Projections!$U$3="""",""PG"",),),IF(Projections!$V$3="""",""SG"",),),IF(Projections!$W$3="""",""SF"",),),IF(Projections!$X$3="""",""PF"",),),IF(Project"&amp;"ions!$Y$3="""",""C"",),),""/"","""")"),"PGSG")</f>
        <v>PGSG</v>
      </c>
    </row>
    <row r="44">
      <c r="A44" t="str">
        <f>IF(Projections!$H$3,Draft!F6,"")</f>
        <v/>
      </c>
      <c r="B44">
        <f>IFERROR(__xludf.DUMMYFUNCTION("""COMPUTED_VALUE"""),39.0)</f>
        <v>39</v>
      </c>
      <c r="C44" t="str">
        <f>IFERROR(__xludf.DUMMYFUNCTION("""COMPUTED_VALUE"""),"Myles Turner")</f>
        <v>Myles Turner</v>
      </c>
      <c r="D44">
        <f>IFERROR(__xludf.DUMMYFUNCTION("""COMPUTED_VALUE"""),64.0)</f>
        <v>64</v>
      </c>
      <c r="E44" t="str">
        <f>IFERROR(__xludf.DUMMYFUNCTION("""COMPUTED_VALUE"""),"C")</f>
        <v>C</v>
      </c>
      <c r="F44" s="53">
        <f>IFERROR(__xludf.DUMMYFUNCTION("""COMPUTED_VALUE"""),1.2250648558666697)</f>
        <v>1.225064856</v>
      </c>
      <c r="G44" s="53">
        <f>IFERROR(__xludf.DUMMYFUNCTION("""COMPUTED_VALUE"""),2.0057863834398137)</f>
        <v>2.005786383</v>
      </c>
      <c r="H44" s="53">
        <f>IFERROR(__xludf.DUMMYFUNCTION("""COMPUTED_VALUE"""),0.7807215275731441)</f>
        <v>0.7807215276</v>
      </c>
      <c r="I44" s="53">
        <f>IFERROR(__xludf.DUMMYFUNCTION("""COMPUTED_VALUE"""),16.1)</f>
        <v>16.1</v>
      </c>
      <c r="J44" s="53">
        <f>IFERROR(__xludf.DUMMYFUNCTION("""COMPUTED_VALUE"""),1.5)</f>
        <v>1.5</v>
      </c>
      <c r="K44" s="53">
        <f>IFERROR(__xludf.DUMMYFUNCTION("""COMPUTED_VALUE"""),7.4)</f>
        <v>7.4</v>
      </c>
      <c r="L44" s="53">
        <f>IFERROR(__xludf.DUMMYFUNCTION("""COMPUTED_VALUE"""),1.3)</f>
        <v>1.3</v>
      </c>
      <c r="M44" s="53">
        <f>IFERROR(__xludf.DUMMYFUNCTION("""COMPUTED_VALUE"""),0.6)</f>
        <v>0.6</v>
      </c>
      <c r="N44" s="53">
        <f>IFERROR(__xludf.DUMMYFUNCTION("""COMPUTED_VALUE"""),2.3)</f>
        <v>2.3</v>
      </c>
      <c r="O44" s="53">
        <f>IFERROR(__xludf.DUMMYFUNCTION("""COMPUTED_VALUE"""),53.63636363636364)</f>
        <v>53.63636364</v>
      </c>
      <c r="P44" s="53">
        <f>IFERROR(__xludf.DUMMYFUNCTION("""COMPUTED_VALUE"""),78.37837837837837)</f>
        <v>78.37837838</v>
      </c>
      <c r="Q44" s="53">
        <f>IFERROR(__xludf.DUMMYFUNCTION("""COMPUTED_VALUE"""),1.5)</f>
        <v>1.5</v>
      </c>
      <c r="R44" s="53">
        <f>IFERROR(__xludf.DUMMYFUNCTION("""COMPUTED_VALUE"""),-0.19492884268196348)</f>
        <v>-0.1949288427</v>
      </c>
      <c r="S44" s="53">
        <f>IFERROR(__xludf.DUMMYFUNCTION("""COMPUTED_VALUE"""),-0.12544463118008137)</f>
        <v>-0.1254446312</v>
      </c>
      <c r="T44" s="53">
        <f>IFERROR(__xludf.DUMMYFUNCTION("""COMPUTED_VALUE"""),0.5455511920542595)</f>
        <v>0.5455511921</v>
      </c>
      <c r="U44" s="53">
        <f>IFERROR(__xludf.DUMMYFUNCTION("""COMPUTED_VALUE"""),-1.2975025954129054)</f>
        <v>-1.297502595</v>
      </c>
      <c r="V44" s="53">
        <f>IFERROR(__xludf.DUMMYFUNCTION("""COMPUTED_VALUE"""),-0.860570275155411)</f>
        <v>-0.8605702752</v>
      </c>
      <c r="W44" s="53">
        <f>IFERROR(__xludf.DUMMYFUNCTION("""COMPUTED_VALUE"""),2.0993025568858714)</f>
        <v>2.099302557</v>
      </c>
      <c r="X44" s="53">
        <f>IFERROR(__xludf.DUMMYFUNCTION("""COMPUTED_VALUE"""),0.4436671632663111)</f>
        <v>0.4436671633</v>
      </c>
      <c r="Y44" s="53">
        <f>IFERROR(__xludf.DUMMYFUNCTION("""COMPUTED_VALUE"""),-0.055366252824036045)</f>
        <v>-0.05536625282</v>
      </c>
      <c r="Z44" s="53">
        <f>IFERROR(__xludf.DUMMYFUNCTION("""COMPUTED_VALUE"""),0.1535754730748638)</f>
        <v>0.1535754731</v>
      </c>
      <c r="AA44" t="str">
        <f>IFERROR(__xludf.DUMMYFUNCTION("SUBSTITUTE(REGEXREPLACE(REGEXREPLACE(REGEXREPLACE(REGEXREPLACE(REGEXREPLACE(REGEXREPLACE(E44,"","",),IF(Projections!$U$3="""",""PG"",),),IF(Projections!$V$3="""",""SG"",),),IF(Projections!$W$3="""",""SF"",),),IF(Projections!$X$3="""",""PF"",),),IF(Project"&amp;"ions!$Y$3="""",""C"",),),""/"","""")"),"C")</f>
        <v>C</v>
      </c>
    </row>
    <row r="45">
      <c r="A45" t="str">
        <f>IF(Projections!$H$3,Draft!F7,"")</f>
        <v/>
      </c>
      <c r="B45">
        <f>IFERROR(__xludf.DUMMYFUNCTION("""COMPUTED_VALUE"""),38.0)</f>
        <v>38</v>
      </c>
      <c r="C45" t="str">
        <f>IFERROR(__xludf.DUMMYFUNCTION("""COMPUTED_VALUE"""),"De'Aaron Fox")</f>
        <v>De'Aaron Fox</v>
      </c>
      <c r="D45">
        <f>IFERROR(__xludf.DUMMYFUNCTION("""COMPUTED_VALUE"""),70.0)</f>
        <v>70</v>
      </c>
      <c r="E45" t="str">
        <f>IFERROR(__xludf.DUMMYFUNCTION("""COMPUTED_VALUE"""),"PG")</f>
        <v>PG</v>
      </c>
      <c r="F45" s="53">
        <f>IFERROR(__xludf.DUMMYFUNCTION("""COMPUTED_VALUE"""),1.2689275532907445)</f>
        <v>1.268927553</v>
      </c>
      <c r="G45" s="53">
        <f>IFERROR(__xludf.DUMMYFUNCTION("""COMPUTED_VALUE"""),1.9994983030520739)</f>
        <v>1.999498303</v>
      </c>
      <c r="H45" s="53">
        <f>IFERROR(__xludf.DUMMYFUNCTION("""COMPUTED_VALUE"""),0.7305707497613294)</f>
        <v>0.7305707498</v>
      </c>
      <c r="I45" s="53">
        <f>IFERROR(__xludf.DUMMYFUNCTION("""COMPUTED_VALUE"""),25.1)</f>
        <v>25.1</v>
      </c>
      <c r="J45" s="53">
        <f>IFERROR(__xludf.DUMMYFUNCTION("""COMPUTED_VALUE"""),1.6)</f>
        <v>1.6</v>
      </c>
      <c r="K45" s="53">
        <f>IFERROR(__xludf.DUMMYFUNCTION("""COMPUTED_VALUE"""),4.2)</f>
        <v>4.2</v>
      </c>
      <c r="L45" s="53">
        <f>IFERROR(__xludf.DUMMYFUNCTION("""COMPUTED_VALUE"""),6.1)</f>
        <v>6.1</v>
      </c>
      <c r="M45" s="53">
        <f>IFERROR(__xludf.DUMMYFUNCTION("""COMPUTED_VALUE"""),1.2)</f>
        <v>1.2</v>
      </c>
      <c r="N45" s="53">
        <f>IFERROR(__xludf.DUMMYFUNCTION("""COMPUTED_VALUE"""),0.4)</f>
        <v>0.4</v>
      </c>
      <c r="O45" s="53">
        <f>IFERROR(__xludf.DUMMYFUNCTION("""COMPUTED_VALUE"""),49.73544973544974)</f>
        <v>49.73544974</v>
      </c>
      <c r="P45" s="53">
        <f>IFERROR(__xludf.DUMMYFUNCTION("""COMPUTED_VALUE"""),77.04918032786885)</f>
        <v>77.04918033</v>
      </c>
      <c r="Q45" s="53">
        <f>IFERROR(__xludf.DUMMYFUNCTION("""COMPUTED_VALUE"""),2.7)</f>
        <v>2.7</v>
      </c>
      <c r="R45" s="53">
        <f>IFERROR(__xludf.DUMMYFUNCTION("""COMPUTED_VALUE"""),1.3218085499442658)</f>
        <v>1.32180855</v>
      </c>
      <c r="S45" s="53">
        <f>IFERROR(__xludf.DUMMYFUNCTION("""COMPUTED_VALUE"""),-0.03873175248417188)</f>
        <v>-0.03873175248</v>
      </c>
      <c r="T45" s="53">
        <f>IFERROR(__xludf.DUMMYFUNCTION("""COMPUTED_VALUE"""),-0.7925406433368716)</f>
        <v>-0.7925406433</v>
      </c>
      <c r="U45" s="53">
        <f>IFERROR(__xludf.DUMMYFUNCTION("""COMPUTED_VALUE"""),1.1506155091397456)</f>
        <v>1.150615509</v>
      </c>
      <c r="V45" s="53">
        <f>IFERROR(__xludf.DUMMYFUNCTION("""COMPUTED_VALUE"""),0.44772912964166556)</f>
        <v>0.4477291296</v>
      </c>
      <c r="W45" s="53">
        <f>IFERROR(__xludf.DUMMYFUNCTION("""COMPUTED_VALUE"""),-0.39569839687757064)</f>
        <v>-0.3956983969</v>
      </c>
      <c r="X45" s="53">
        <f>IFERROR(__xludf.DUMMYFUNCTION("""COMPUTED_VALUE"""),0.025864908973892015)</f>
        <v>0.02586490897</v>
      </c>
      <c r="Y45" s="53">
        <f>IFERROR(__xludf.DUMMYFUNCTION("""COMPUTED_VALUE"""),-0.29311006238385734)</f>
        <v>-0.2931100624</v>
      </c>
      <c r="Z45" s="53">
        <f>IFERROR(__xludf.DUMMYFUNCTION("""COMPUTED_VALUE"""),-0.2189795829018952)</f>
        <v>-0.2189795829</v>
      </c>
      <c r="AA45" t="str">
        <f>IFERROR(__xludf.DUMMYFUNCTION("SUBSTITUTE(REGEXREPLACE(REGEXREPLACE(REGEXREPLACE(REGEXREPLACE(REGEXREPLACE(REGEXREPLACE(E45,"","",),IF(Projections!$U$3="""",""PG"",),),IF(Projections!$V$3="""",""SG"",),),IF(Projections!$W$3="""",""SF"",),),IF(Projections!$X$3="""",""PF"",),),IF(Project"&amp;"ions!$Y$3="""",""C"",),),""/"","""")"),"PG")</f>
        <v>PG</v>
      </c>
    </row>
    <row r="46">
      <c r="A46" t="str">
        <f>IF(Projections!$H$3,Draft!F8,"")</f>
        <v/>
      </c>
      <c r="B46">
        <f>IFERROR(__xludf.DUMMYFUNCTION("""COMPUTED_VALUE"""),50.0)</f>
        <v>50</v>
      </c>
      <c r="C46" t="str">
        <f>IFERROR(__xludf.DUMMYFUNCTION("""COMPUTED_VALUE"""),"Anfernee Simons")</f>
        <v>Anfernee Simons</v>
      </c>
      <c r="D46">
        <f>IFERROR(__xludf.DUMMYFUNCTION("""COMPUTED_VALUE"""),65.0)</f>
        <v>65</v>
      </c>
      <c r="E46" t="str">
        <f>IFERROR(__xludf.DUMMYFUNCTION("""COMPUTED_VALUE"""),"PG,SG")</f>
        <v>PG,SG</v>
      </c>
      <c r="F46" s="53">
        <f>IFERROR(__xludf.DUMMYFUNCTION("""COMPUTED_VALUE"""),0.41968418169714083)</f>
        <v>0.4196841817</v>
      </c>
      <c r="G46" s="53">
        <f>IFERROR(__xludf.DUMMYFUNCTION("""COMPUTED_VALUE"""),1.9896988794779378)</f>
        <v>1.989698879</v>
      </c>
      <c r="H46" s="53">
        <f>IFERROR(__xludf.DUMMYFUNCTION("""COMPUTED_VALUE"""),1.570014697780797)</f>
        <v>1.570014698</v>
      </c>
      <c r="I46" s="53">
        <f>IFERROR(__xludf.DUMMYFUNCTION("""COMPUTED_VALUE"""),21.6)</f>
        <v>21.6</v>
      </c>
      <c r="J46" s="53">
        <f>IFERROR(__xludf.DUMMYFUNCTION("""COMPUTED_VALUE"""),3.7)</f>
        <v>3.7</v>
      </c>
      <c r="K46" s="53">
        <f>IFERROR(__xludf.DUMMYFUNCTION("""COMPUTED_VALUE"""),2.9)</f>
        <v>2.9</v>
      </c>
      <c r="L46" s="53">
        <f>IFERROR(__xludf.DUMMYFUNCTION("""COMPUTED_VALUE"""),5.4)</f>
        <v>5.4</v>
      </c>
      <c r="M46" s="53">
        <f>IFERROR(__xludf.DUMMYFUNCTION("""COMPUTED_VALUE"""),0.7)</f>
        <v>0.7</v>
      </c>
      <c r="N46" s="53">
        <f>IFERROR(__xludf.DUMMYFUNCTION("""COMPUTED_VALUE"""),0.2)</f>
        <v>0.2</v>
      </c>
      <c r="O46" s="53">
        <f>IFERROR(__xludf.DUMMYFUNCTION("""COMPUTED_VALUE"""),44.37869822485207)</f>
        <v>44.37869822</v>
      </c>
      <c r="P46" s="53">
        <f>IFERROR(__xludf.DUMMYFUNCTION("""COMPUTED_VALUE"""),90.62499999999999)</f>
        <v>90.625</v>
      </c>
      <c r="Q46" s="53">
        <f>IFERROR(__xludf.DUMMYFUNCTION("""COMPUTED_VALUE"""),2.2)</f>
        <v>2.2</v>
      </c>
      <c r="R46" s="53">
        <f>IFERROR(__xludf.DUMMYFUNCTION("""COMPUTED_VALUE"""),0.7319662305896211)</f>
        <v>0.7319662306</v>
      </c>
      <c r="S46" s="53">
        <f>IFERROR(__xludf.DUMMYFUNCTION("""COMPUTED_VALUE"""),1.7822387001299258)</f>
        <v>1.7822387</v>
      </c>
      <c r="T46" s="53">
        <f>IFERROR(__xludf.DUMMYFUNCTION("""COMPUTED_VALUE"""),-1.3361404514645185)</f>
        <v>-1.336140451</v>
      </c>
      <c r="U46" s="53">
        <f>IFERROR(__xludf.DUMMYFUNCTION("""COMPUTED_VALUE"""),0.7935982855591509)</f>
        <v>0.7935982856</v>
      </c>
      <c r="V46" s="53">
        <f>IFERROR(__xludf.DUMMYFUNCTION("""COMPUTED_VALUE"""),-0.6425203743558983)</f>
        <v>-0.6425203744</v>
      </c>
      <c r="W46" s="53">
        <f>IFERROR(__xludf.DUMMYFUNCTION("""COMPUTED_VALUE"""),-0.6583300762210907)</f>
        <v>-0.6583300762</v>
      </c>
      <c r="X46" s="53">
        <f>IFERROR(__xludf.DUMMYFUNCTION("""COMPUTED_VALUE"""),-0.8811356448885229)</f>
        <v>-0.8811356449</v>
      </c>
      <c r="Y46" s="53">
        <f>IFERROR(__xludf.DUMMYFUNCTION("""COMPUTED_VALUE"""),0.9276300682429975)</f>
        <v>0.9276300682</v>
      </c>
      <c r="Z46" s="53">
        <f>IFERROR(__xludf.DUMMYFUNCTION("""COMPUTED_VALUE"""),-0.06374830957824563)</f>
        <v>-0.06374830958</v>
      </c>
      <c r="AA46" t="str">
        <f>IFERROR(__xludf.DUMMYFUNCTION("SUBSTITUTE(REGEXREPLACE(REGEXREPLACE(REGEXREPLACE(REGEXREPLACE(REGEXREPLACE(REGEXREPLACE(E46,"","",),IF(Projections!$U$3="""",""PG"",),),IF(Projections!$V$3="""",""SG"",),),IF(Projections!$W$3="""",""SF"",),),IF(Projections!$X$3="""",""PF"",),),IF(Project"&amp;"ions!$Y$3="""",""C"",),),""/"","""")"),"PGSG")</f>
        <v>PGSG</v>
      </c>
    </row>
    <row r="47">
      <c r="A47" t="str">
        <f>IF(Projections!$H$3,Draft!F9,"")</f>
        <v/>
      </c>
      <c r="B47">
        <f>IFERROR(__xludf.DUMMYFUNCTION("""COMPUTED_VALUE"""),52.0)</f>
        <v>52</v>
      </c>
      <c r="C47" t="str">
        <f>IFERROR(__xludf.DUMMYFUNCTION("""COMPUTED_VALUE"""),"Tyrese Maxey")</f>
        <v>Tyrese Maxey</v>
      </c>
      <c r="D47">
        <f>IFERROR(__xludf.DUMMYFUNCTION("""COMPUTED_VALUE"""),70.0)</f>
        <v>70</v>
      </c>
      <c r="E47" t="str">
        <f>IFERROR(__xludf.DUMMYFUNCTION("""COMPUTED_VALUE"""),"PG,SG")</f>
        <v>PG,SG</v>
      </c>
      <c r="F47" s="53">
        <f>IFERROR(__xludf.DUMMYFUNCTION("""COMPUTED_VALUE"""),0.3024381591671205)</f>
        <v>0.3024381592</v>
      </c>
      <c r="G47" s="53">
        <f>IFERROR(__xludf.DUMMYFUNCTION("""COMPUTED_VALUE"""),1.8548911679466045)</f>
        <v>1.854891168</v>
      </c>
      <c r="H47" s="53">
        <f>IFERROR(__xludf.DUMMYFUNCTION("""COMPUTED_VALUE"""),1.552453008779484)</f>
        <v>1.552453009</v>
      </c>
      <c r="I47" s="53">
        <f>IFERROR(__xludf.DUMMYFUNCTION("""COMPUTED_VALUE"""),21.5)</f>
        <v>21.5</v>
      </c>
      <c r="J47" s="53">
        <f>IFERROR(__xludf.DUMMYFUNCTION("""COMPUTED_VALUE"""),2.9)</f>
        <v>2.9</v>
      </c>
      <c r="K47" s="53">
        <f>IFERROR(__xludf.DUMMYFUNCTION("""COMPUTED_VALUE"""),3.3)</f>
        <v>3.3</v>
      </c>
      <c r="L47" s="53">
        <f>IFERROR(__xludf.DUMMYFUNCTION("""COMPUTED_VALUE"""),4.4)</f>
        <v>4.4</v>
      </c>
      <c r="M47" s="53">
        <f>IFERROR(__xludf.DUMMYFUNCTION("""COMPUTED_VALUE"""),0.8)</f>
        <v>0.8</v>
      </c>
      <c r="N47" s="53">
        <f>IFERROR(__xludf.DUMMYFUNCTION("""COMPUTED_VALUE"""),0.3)</f>
        <v>0.3</v>
      </c>
      <c r="O47" s="53">
        <f>IFERROR(__xludf.DUMMYFUNCTION("""COMPUTED_VALUE"""),48.75)</f>
        <v>48.75</v>
      </c>
      <c r="P47" s="53">
        <f>IFERROR(__xludf.DUMMYFUNCTION("""COMPUTED_VALUE"""),86.11111111111111)</f>
        <v>86.11111111</v>
      </c>
      <c r="Q47" s="53">
        <f>IFERROR(__xludf.DUMMYFUNCTION("""COMPUTED_VALUE"""),1.3)</f>
        <v>1.3</v>
      </c>
      <c r="R47" s="53">
        <f>IFERROR(__xludf.DUMMYFUNCTION("""COMPUTED_VALUE"""),0.7151135928937739)</f>
        <v>0.7151135929</v>
      </c>
      <c r="S47" s="53">
        <f>IFERROR(__xludf.DUMMYFUNCTION("""COMPUTED_VALUE"""),1.0885356705626503)</f>
        <v>1.088535671</v>
      </c>
      <c r="T47" s="53">
        <f>IFERROR(__xludf.DUMMYFUNCTION("""COMPUTED_VALUE"""),-1.1688789720406272)</f>
        <v>-1.168878972</v>
      </c>
      <c r="U47" s="53">
        <f>IFERROR(__xludf.DUMMYFUNCTION("""COMPUTED_VALUE"""),0.28357368044401526)</f>
        <v>0.2835736804</v>
      </c>
      <c r="V47" s="53">
        <f>IFERROR(__xludf.DUMMYFUNCTION("""COMPUTED_VALUE"""),-0.42447047355638534)</f>
        <v>-0.4244704736</v>
      </c>
      <c r="W47" s="53">
        <f>IFERROR(__xludf.DUMMYFUNCTION("""COMPUTED_VALUE"""),-0.5270142365493308)</f>
        <v>-0.5270142365</v>
      </c>
      <c r="X47" s="53">
        <f>IFERROR(__xludf.DUMMYFUNCTION("""COMPUTED_VALUE"""),-0.13559678537091868)</f>
        <v>-0.1355967854</v>
      </c>
      <c r="Y47" s="53">
        <f>IFERROR(__xludf.DUMMYFUNCTION("""COMPUTED_VALUE"""),0.6390817371184762)</f>
        <v>0.6390817371</v>
      </c>
      <c r="Z47" s="53">
        <f>IFERROR(__xludf.DUMMYFUNCTION("""COMPUTED_VALUE"""),0.2156679824043236)</f>
        <v>0.2156679824</v>
      </c>
      <c r="AA47" t="str">
        <f>IFERROR(__xludf.DUMMYFUNCTION("SUBSTITUTE(REGEXREPLACE(REGEXREPLACE(REGEXREPLACE(REGEXREPLACE(REGEXREPLACE(REGEXREPLACE(E47,"","",),IF(Projections!$U$3="""",""PG"",),),IF(Projections!$V$3="""",""SG"",),),IF(Projections!$W$3="""",""SF"",),),IF(Projections!$X$3="""",""PF"",),),IF(Project"&amp;"ions!$Y$3="""",""C"",),),""/"","""")"),"PGSG")</f>
        <v>PGSG</v>
      </c>
    </row>
    <row r="48">
      <c r="A48" t="str">
        <f>IF(Projections!$H$3,Draft!F10,"")</f>
        <v/>
      </c>
      <c r="B48">
        <f>IFERROR(__xludf.DUMMYFUNCTION("""COMPUTED_VALUE"""),42.0)</f>
        <v>42</v>
      </c>
      <c r="C48" t="str">
        <f>IFERROR(__xludf.DUMMYFUNCTION("""COMPUTED_VALUE"""),"Ja Morant")</f>
        <v>Ja Morant</v>
      </c>
      <c r="D48">
        <f>IFERROR(__xludf.DUMMYFUNCTION("""COMPUTED_VALUE"""),48.0)</f>
        <v>48</v>
      </c>
      <c r="E48" t="str">
        <f>IFERROR(__xludf.DUMMYFUNCTION("""COMPUTED_VALUE"""),"PG")</f>
        <v>PG</v>
      </c>
      <c r="F48" s="53">
        <f>IFERROR(__xludf.DUMMYFUNCTION("""COMPUTED_VALUE"""),1.03921344977379)</f>
        <v>1.03921345</v>
      </c>
      <c r="G48" s="53">
        <f>IFERROR(__xludf.DUMMYFUNCTION("""COMPUTED_VALUE"""),1.8173978255932877)</f>
        <v>1.817397826</v>
      </c>
      <c r="H48" s="53">
        <f>IFERROR(__xludf.DUMMYFUNCTION("""COMPUTED_VALUE"""),0.7781843758194977)</f>
        <v>0.7781843758</v>
      </c>
      <c r="I48" s="53">
        <f>IFERROR(__xludf.DUMMYFUNCTION("""COMPUTED_VALUE"""),26.5)</f>
        <v>26.5</v>
      </c>
      <c r="J48" s="53">
        <f>IFERROR(__xludf.DUMMYFUNCTION("""COMPUTED_VALUE"""),1.5)</f>
        <v>1.5</v>
      </c>
      <c r="K48" s="53">
        <f>IFERROR(__xludf.DUMMYFUNCTION("""COMPUTED_VALUE"""),5.8)</f>
        <v>5.8</v>
      </c>
      <c r="L48" s="53">
        <f>IFERROR(__xludf.DUMMYFUNCTION("""COMPUTED_VALUE"""),7.1)</f>
        <v>7.1</v>
      </c>
      <c r="M48" s="53">
        <f>IFERROR(__xludf.DUMMYFUNCTION("""COMPUTED_VALUE"""),1.1)</f>
        <v>1.1</v>
      </c>
      <c r="N48" s="53">
        <f>IFERROR(__xludf.DUMMYFUNCTION("""COMPUTED_VALUE"""),0.3)</f>
        <v>0.3</v>
      </c>
      <c r="O48" s="53">
        <f>IFERROR(__xludf.DUMMYFUNCTION("""COMPUTED_VALUE"""),47.524752475247524)</f>
        <v>47.52475248</v>
      </c>
      <c r="P48" s="53">
        <f>IFERROR(__xludf.DUMMYFUNCTION("""COMPUTED_VALUE"""),75.32467532467531)</f>
        <v>75.32467532</v>
      </c>
      <c r="Q48" s="53">
        <f>IFERROR(__xludf.DUMMYFUNCTION("""COMPUTED_VALUE"""),3.4)</f>
        <v>3.4</v>
      </c>
      <c r="R48" s="53">
        <f>IFERROR(__xludf.DUMMYFUNCTION("""COMPUTED_VALUE"""),1.5577454776861235)</f>
        <v>1.557745478</v>
      </c>
      <c r="S48" s="53">
        <f>IFERROR(__xludf.DUMMYFUNCTION("""COMPUTED_VALUE"""),-0.12544463118008137)</f>
        <v>-0.1254446312</v>
      </c>
      <c r="T48" s="53">
        <f>IFERROR(__xludf.DUMMYFUNCTION("""COMPUTED_VALUE"""),-0.12349472564130623)</f>
        <v>-0.1234947256</v>
      </c>
      <c r="U48" s="53">
        <f>IFERROR(__xludf.DUMMYFUNCTION("""COMPUTED_VALUE"""),1.6606401142548812)</f>
        <v>1.660640114</v>
      </c>
      <c r="V48" s="53">
        <f>IFERROR(__xludf.DUMMYFUNCTION("""COMPUTED_VALUE"""),0.22967922884215308)</f>
        <v>0.2296792288</v>
      </c>
      <c r="W48" s="53">
        <f>IFERROR(__xludf.DUMMYFUNCTION("""COMPUTED_VALUE"""),-0.5270142365493308)</f>
        <v>-0.5270142365</v>
      </c>
      <c r="X48" s="53">
        <f>IFERROR(__xludf.DUMMYFUNCTION("""COMPUTED_VALUE"""),-0.4184100362641475)</f>
        <v>-0.4184100363</v>
      </c>
      <c r="Y48" s="53">
        <f>IFERROR(__xludf.DUMMYFUNCTION("""COMPUTED_VALUE"""),-0.7005302982882942)</f>
        <v>-0.7005302983</v>
      </c>
      <c r="Z48" s="53">
        <f>IFERROR(__xludf.DUMMYFUNCTION("""COMPUTED_VALUE"""),-0.4363033655550045)</f>
        <v>-0.4363033656</v>
      </c>
      <c r="AA48" t="str">
        <f>IFERROR(__xludf.DUMMYFUNCTION("SUBSTITUTE(REGEXREPLACE(REGEXREPLACE(REGEXREPLACE(REGEXREPLACE(REGEXREPLACE(REGEXREPLACE(E48,"","",),IF(Projections!$U$3="""",""PG"",),),IF(Projections!$V$3="""",""SG"",),),IF(Projections!$W$3="""",""SF"",),),IF(Projections!$X$3="""",""PF"",),),IF(Project"&amp;"ions!$Y$3="""",""C"",),),""/"","""")"),"PG")</f>
        <v>PG</v>
      </c>
    </row>
    <row r="49">
      <c r="A49" t="str">
        <f>IF(Projections!$H$3,Draft!F11,"")</f>
        <v/>
      </c>
      <c r="B49">
        <f>IFERROR(__xludf.DUMMYFUNCTION("""COMPUTED_VALUE"""),46.0)</f>
        <v>46</v>
      </c>
      <c r="C49" t="str">
        <f>IFERROR(__xludf.DUMMYFUNCTION("""COMPUTED_VALUE"""),"Julius Randle")</f>
        <v>Julius Randle</v>
      </c>
      <c r="D49">
        <f>IFERROR(__xludf.DUMMYFUNCTION("""COMPUTED_VALUE"""),74.0)</f>
        <v>74</v>
      </c>
      <c r="E49" t="str">
        <f>IFERROR(__xludf.DUMMYFUNCTION("""COMPUTED_VALUE"""),"PF")</f>
        <v>PF</v>
      </c>
      <c r="F49" s="53">
        <f>IFERROR(__xludf.DUMMYFUNCTION("""COMPUTED_VALUE"""),0.7168108727800732)</f>
        <v>0.7168108728</v>
      </c>
      <c r="G49" s="53">
        <f>IFERROR(__xludf.DUMMYFUNCTION("""COMPUTED_VALUE"""),1.7698731885705303)</f>
        <v>1.769873189</v>
      </c>
      <c r="H49" s="53">
        <f>IFERROR(__xludf.DUMMYFUNCTION("""COMPUTED_VALUE"""),1.053062315790457)</f>
        <v>1.053062316</v>
      </c>
      <c r="I49" s="53">
        <f>IFERROR(__xludf.DUMMYFUNCTION("""COMPUTED_VALUE"""),22.9)</f>
        <v>22.9</v>
      </c>
      <c r="J49" s="53">
        <f>IFERROR(__xludf.DUMMYFUNCTION("""COMPUTED_VALUE"""),2.3)</f>
        <v>2.3</v>
      </c>
      <c r="K49" s="53">
        <f>IFERROR(__xludf.DUMMYFUNCTION("""COMPUTED_VALUE"""),10.0)</f>
        <v>10</v>
      </c>
      <c r="L49" s="53">
        <f>IFERROR(__xludf.DUMMYFUNCTION("""COMPUTED_VALUE"""),4.7)</f>
        <v>4.7</v>
      </c>
      <c r="M49" s="53">
        <f>IFERROR(__xludf.DUMMYFUNCTION("""COMPUTED_VALUE"""),0.7)</f>
        <v>0.7</v>
      </c>
      <c r="N49" s="53">
        <f>IFERROR(__xludf.DUMMYFUNCTION("""COMPUTED_VALUE"""),0.4)</f>
        <v>0.4</v>
      </c>
      <c r="O49" s="53">
        <f>IFERROR(__xludf.DUMMYFUNCTION("""COMPUTED_VALUE"""),45.142857142857146)</f>
        <v>45.14285714</v>
      </c>
      <c r="P49" s="53">
        <f>IFERROR(__xludf.DUMMYFUNCTION("""COMPUTED_VALUE"""),76.19047619047619)</f>
        <v>76.19047619</v>
      </c>
      <c r="Q49" s="53">
        <f>IFERROR(__xludf.DUMMYFUNCTION("""COMPUTED_VALUE"""),3.1)</f>
        <v>3.1</v>
      </c>
      <c r="R49" s="53">
        <f>IFERROR(__xludf.DUMMYFUNCTION("""COMPUTED_VALUE"""),0.9510505206356314)</f>
        <v>0.9510505206</v>
      </c>
      <c r="S49" s="53">
        <f>IFERROR(__xludf.DUMMYFUNCTION("""COMPUTED_VALUE"""),0.5682583983871938)</f>
        <v>0.5682583984</v>
      </c>
      <c r="T49" s="53">
        <f>IFERROR(__xludf.DUMMYFUNCTION("""COMPUTED_VALUE"""),1.6327508083095532)</f>
        <v>1.632750808</v>
      </c>
      <c r="U49" s="53">
        <f>IFERROR(__xludf.DUMMYFUNCTION("""COMPUTED_VALUE"""),0.4365810619785559)</f>
        <v>0.436581062</v>
      </c>
      <c r="V49" s="53">
        <f>IFERROR(__xludf.DUMMYFUNCTION("""COMPUTED_VALUE"""),-0.6425203743558983)</f>
        <v>-0.6425203744</v>
      </c>
      <c r="W49" s="53">
        <f>IFERROR(__xludf.DUMMYFUNCTION("""COMPUTED_VALUE"""),-0.39569839687757064)</f>
        <v>-0.3956983969</v>
      </c>
      <c r="X49" s="53">
        <f>IFERROR(__xludf.DUMMYFUNCTION("""COMPUTED_VALUE"""),-0.7788425336981692)</f>
        <v>-0.7788425337</v>
      </c>
      <c r="Y49" s="53">
        <f>IFERROR(__xludf.DUMMYFUNCTION("""COMPUTED_VALUE"""),-0.43738422794612053)</f>
        <v>-0.4373842279</v>
      </c>
      <c r="Z49" s="53">
        <f>IFERROR(__xludf.DUMMYFUNCTION("""COMPUTED_VALUE"""),-0.3431646015608148)</f>
        <v>-0.3431646016</v>
      </c>
      <c r="AA49" t="str">
        <f>IFERROR(__xludf.DUMMYFUNCTION("SUBSTITUTE(REGEXREPLACE(REGEXREPLACE(REGEXREPLACE(REGEXREPLACE(REGEXREPLACE(REGEXREPLACE(E49,"","",),IF(Projections!$U$3="""",""PG"",),),IF(Projections!$V$3="""",""SG"",),),IF(Projections!$W$3="""",""SF"",),),IF(Projections!$X$3="""",""PF"",),),IF(Project"&amp;"ions!$Y$3="""",""C"",),),""/"","""")"),"PF")</f>
        <v>PF</v>
      </c>
    </row>
    <row r="50">
      <c r="A50" t="str">
        <f>IF(Projections!$H$3,Draft!F12,"")</f>
        <v/>
      </c>
      <c r="B50">
        <f>IFERROR(__xludf.DUMMYFUNCTION("""COMPUTED_VALUE"""),66.0)</f>
        <v>66</v>
      </c>
      <c r="C50" t="str">
        <f>IFERROR(__xludf.DUMMYFUNCTION("""COMPUTED_VALUE"""),"Zion Williamson")</f>
        <v>Zion Williamson</v>
      </c>
      <c r="D50">
        <f>IFERROR(__xludf.DUMMYFUNCTION("""COMPUTED_VALUE"""),52.0)</f>
        <v>52</v>
      </c>
      <c r="E50" t="str">
        <f>IFERROR(__xludf.DUMMYFUNCTION("""COMPUTED_VALUE"""),"PF,C")</f>
        <v>PF,C</v>
      </c>
      <c r="F50" s="53">
        <f>IFERROR(__xludf.DUMMYFUNCTION("""COMPUTED_VALUE"""),-0.1812825818664714)</f>
        <v>-0.1812825819</v>
      </c>
      <c r="G50" s="53">
        <f>IFERROR(__xludf.DUMMYFUNCTION("""COMPUTED_VALUE"""),1.7548827075835067)</f>
        <v>1.754882708</v>
      </c>
      <c r="H50" s="53">
        <f>IFERROR(__xludf.DUMMYFUNCTION("""COMPUTED_VALUE"""),1.9361652894499781)</f>
        <v>1.936165289</v>
      </c>
      <c r="I50" s="53">
        <f>IFERROR(__xludf.DUMMYFUNCTION("""COMPUTED_VALUE"""),25.3)</f>
        <v>25.3</v>
      </c>
      <c r="J50" s="53">
        <f>IFERROR(__xludf.DUMMYFUNCTION("""COMPUTED_VALUE"""),0.2)</f>
        <v>0.2</v>
      </c>
      <c r="K50" s="53">
        <f>IFERROR(__xludf.DUMMYFUNCTION("""COMPUTED_VALUE"""),6.8)</f>
        <v>6.8</v>
      </c>
      <c r="L50" s="53">
        <f>IFERROR(__xludf.DUMMYFUNCTION("""COMPUTED_VALUE"""),4.5)</f>
        <v>4.5</v>
      </c>
      <c r="M50" s="53">
        <f>IFERROR(__xludf.DUMMYFUNCTION("""COMPUTED_VALUE"""),1.0)</f>
        <v>1</v>
      </c>
      <c r="N50" s="53">
        <f>IFERROR(__xludf.DUMMYFUNCTION("""COMPUTED_VALUE"""),0.5)</f>
        <v>0.5</v>
      </c>
      <c r="O50" s="53">
        <f>IFERROR(__xludf.DUMMYFUNCTION("""COMPUTED_VALUE"""),60.37735849056604)</f>
        <v>60.37735849</v>
      </c>
      <c r="P50" s="53">
        <f>IFERROR(__xludf.DUMMYFUNCTION("""COMPUTED_VALUE"""),70.23809523809524)</f>
        <v>70.23809524</v>
      </c>
      <c r="Q50" s="53">
        <f>IFERROR(__xludf.DUMMYFUNCTION("""COMPUTED_VALUE"""),3.4)</f>
        <v>3.4</v>
      </c>
      <c r="R50" s="53">
        <f>IFERROR(__xludf.DUMMYFUNCTION("""COMPUTED_VALUE"""),1.3555138253359595)</f>
        <v>1.355513825</v>
      </c>
      <c r="S50" s="53">
        <f>IFERROR(__xludf.DUMMYFUNCTION("""COMPUTED_VALUE"""),-1.252712054226904)</f>
        <v>-1.252712054</v>
      </c>
      <c r="T50" s="53">
        <f>IFERROR(__xludf.DUMMYFUNCTION("""COMPUTED_VALUE"""),0.2946589729184222)</f>
        <v>0.2946589729</v>
      </c>
      <c r="U50" s="53">
        <f>IFERROR(__xludf.DUMMYFUNCTION("""COMPUTED_VALUE"""),0.3345761409555286)</f>
        <v>0.334576141</v>
      </c>
      <c r="V50" s="53">
        <f>IFERROR(__xludf.DUMMYFUNCTION("""COMPUTED_VALUE"""),0.011629328042640127)</f>
        <v>0.01162932804</v>
      </c>
      <c r="W50" s="53">
        <f>IFERROR(__xludf.DUMMYFUNCTION("""COMPUTED_VALUE"""),-0.2643825572058105)</f>
        <v>-0.2643825572</v>
      </c>
      <c r="X50" s="53">
        <f>IFERROR(__xludf.DUMMYFUNCTION("""COMPUTED_VALUE"""),1.7119024173186752)</f>
        <v>1.711902417</v>
      </c>
      <c r="Y50" s="53">
        <f>IFERROR(__xludf.DUMMYFUNCTION("""COMPUTED_VALUE"""),-1.8278007849175868)</f>
        <v>-1.827800785</v>
      </c>
      <c r="Z50" s="53">
        <f>IFERROR(__xludf.DUMMYFUNCTION("""COMPUTED_VALUE"""),-0.4363033655550045)</f>
        <v>-0.4363033656</v>
      </c>
      <c r="AA50" t="str">
        <f>IFERROR(__xludf.DUMMYFUNCTION("SUBSTITUTE(REGEXREPLACE(REGEXREPLACE(REGEXREPLACE(REGEXREPLACE(REGEXREPLACE(REGEXREPLACE(E50,"","",),IF(Projections!$U$3="""",""PG"",),),IF(Projections!$V$3="""",""SG"",),),IF(Projections!$W$3="""",""SF"",),),IF(Projections!$X$3="""",""PF"",),),IF(Project"&amp;"ions!$Y$3="""",""C"",),),""/"","""")"),"PFC")</f>
        <v>PFC</v>
      </c>
    </row>
    <row r="51">
      <c r="A51" t="str">
        <f>IF(Projections!$H$3,Draft!F13,"")</f>
        <v/>
      </c>
      <c r="B51">
        <f>IFERROR(__xludf.DUMMYFUNCTION("""COMPUTED_VALUE"""),45.0)</f>
        <v>45</v>
      </c>
      <c r="C51" t="str">
        <f>IFERROR(__xludf.DUMMYFUNCTION("""COMPUTED_VALUE"""),"Nikola Vucevic")</f>
        <v>Nikola Vucevic</v>
      </c>
      <c r="D51">
        <f>IFERROR(__xludf.DUMMYFUNCTION("""COMPUTED_VALUE"""),74.0)</f>
        <v>74</v>
      </c>
      <c r="E51" t="str">
        <f>IFERROR(__xludf.DUMMYFUNCTION("""COMPUTED_VALUE"""),"C")</f>
        <v>C</v>
      </c>
      <c r="F51" s="53">
        <f>IFERROR(__xludf.DUMMYFUNCTION("""COMPUTED_VALUE"""),0.804530549852021)</f>
        <v>0.8045305499</v>
      </c>
      <c r="G51" s="53">
        <f>IFERROR(__xludf.DUMMYFUNCTION("""COMPUTED_VALUE"""),1.7345139937979592)</f>
        <v>1.734513994</v>
      </c>
      <c r="H51" s="53">
        <f>IFERROR(__xludf.DUMMYFUNCTION("""COMPUTED_VALUE"""),0.9299834439459382)</f>
        <v>0.9299834439</v>
      </c>
      <c r="I51" s="53">
        <f>IFERROR(__xludf.DUMMYFUNCTION("""COMPUTED_VALUE"""),17.4)</f>
        <v>17.4</v>
      </c>
      <c r="J51" s="53">
        <f>IFERROR(__xludf.DUMMYFUNCTION("""COMPUTED_VALUE"""),1.5)</f>
        <v>1.5</v>
      </c>
      <c r="K51" s="53">
        <f>IFERROR(__xludf.DUMMYFUNCTION("""COMPUTED_VALUE"""),11.0)</f>
        <v>11</v>
      </c>
      <c r="L51" s="53">
        <f>IFERROR(__xludf.DUMMYFUNCTION("""COMPUTED_VALUE"""),3.2)</f>
        <v>3.2</v>
      </c>
      <c r="M51" s="53">
        <f>IFERROR(__xludf.DUMMYFUNCTION("""COMPUTED_VALUE"""),0.7)</f>
        <v>0.7</v>
      </c>
      <c r="N51" s="53">
        <f>IFERROR(__xludf.DUMMYFUNCTION("""COMPUTED_VALUE"""),0.7)</f>
        <v>0.7</v>
      </c>
      <c r="O51" s="53">
        <f>IFERROR(__xludf.DUMMYFUNCTION("""COMPUTED_VALUE"""),48.648648648648646)</f>
        <v>48.64864865</v>
      </c>
      <c r="P51" s="53">
        <f>IFERROR(__xludf.DUMMYFUNCTION("""COMPUTED_VALUE"""),83.33333333333333)</f>
        <v>83.33333333</v>
      </c>
      <c r="Q51" s="53">
        <f>IFERROR(__xludf.DUMMYFUNCTION("""COMPUTED_VALUE"""),1.8)</f>
        <v>1.8</v>
      </c>
      <c r="R51" s="53">
        <f>IFERROR(__xludf.DUMMYFUNCTION("""COMPUTED_VALUE"""),0.02415544736404694)</f>
        <v>0.02415544736</v>
      </c>
      <c r="S51" s="53">
        <f>IFERROR(__xludf.DUMMYFUNCTION("""COMPUTED_VALUE"""),-0.12544463118008137)</f>
        <v>-0.1254446312</v>
      </c>
      <c r="T51" s="53">
        <f>IFERROR(__xludf.DUMMYFUNCTION("""COMPUTED_VALUE"""),2.0509045068692817)</f>
        <v>2.050904507</v>
      </c>
      <c r="U51" s="53">
        <f>IFERROR(__xludf.DUMMYFUNCTION("""COMPUTED_VALUE"""),-0.32845584569414765)</f>
        <v>-0.3284558457</v>
      </c>
      <c r="V51" s="53">
        <f>IFERROR(__xludf.DUMMYFUNCTION("""COMPUTED_VALUE"""),-0.6425203743558983)</f>
        <v>-0.6425203744</v>
      </c>
      <c r="W51" s="53">
        <f>IFERROR(__xludf.DUMMYFUNCTION("""COMPUTED_VALUE"""),-0.0017508778622903794)</f>
        <v>-0.001750877862</v>
      </c>
      <c r="X51" s="53">
        <f>IFERROR(__xludf.DUMMYFUNCTION("""COMPUTED_VALUE"""),-0.14041000190648567)</f>
        <v>-0.1404100019</v>
      </c>
      <c r="Y51" s="53">
        <f>IFERROR(__xludf.DUMMYFUNCTION("""COMPUTED_VALUE"""),0.19507868712696136)</f>
        <v>0.1950786871</v>
      </c>
      <c r="Z51" s="53">
        <f>IFERROR(__xludf.DUMMYFUNCTION("""COMPUTED_VALUE"""),0.06043670908067405)</f>
        <v>0.06043670908</v>
      </c>
      <c r="AA51" t="str">
        <f>IFERROR(__xludf.DUMMYFUNCTION("SUBSTITUTE(REGEXREPLACE(REGEXREPLACE(REGEXREPLACE(REGEXREPLACE(REGEXREPLACE(REGEXREPLACE(E51,"","",),IF(Projections!$U$3="""",""PG"",),),IF(Projections!$V$3="""",""SG"",),),IF(Projections!$W$3="""",""SF"",),),IF(Projections!$X$3="""",""PF"",),),IF(Project"&amp;"ions!$Y$3="""",""C"",),),""/"","""")"),"C")</f>
        <v>C</v>
      </c>
    </row>
    <row r="52">
      <c r="A52" t="str">
        <f>IF(Projections!$H$3,Draft!F14,"")</f>
        <v/>
      </c>
      <c r="B52">
        <f>IFERROR(__xludf.DUMMYFUNCTION("""COMPUTED_VALUE"""),44.0)</f>
        <v>44</v>
      </c>
      <c r="C52" t="str">
        <f>IFERROR(__xludf.DUMMYFUNCTION("""COMPUTED_VALUE"""),"Zach LaVine")</f>
        <v>Zach LaVine</v>
      </c>
      <c r="D52">
        <f>IFERROR(__xludf.DUMMYFUNCTION("""COMPUTED_VALUE"""),74.0)</f>
        <v>74</v>
      </c>
      <c r="E52" t="str">
        <f>IFERROR(__xludf.DUMMYFUNCTION("""COMPUTED_VALUE"""),"SG,SF")</f>
        <v>SG,SF</v>
      </c>
      <c r="F52" s="53">
        <f>IFERROR(__xludf.DUMMYFUNCTION("""COMPUTED_VALUE"""),0.9167348261884019)</f>
        <v>0.9167348262</v>
      </c>
      <c r="G52" s="53">
        <f>IFERROR(__xludf.DUMMYFUNCTION("""COMPUTED_VALUE"""),1.62531928705058)</f>
        <v>1.625319287</v>
      </c>
      <c r="H52" s="53">
        <f>IFERROR(__xludf.DUMMYFUNCTION("""COMPUTED_VALUE"""),0.7085844608621781)</f>
        <v>0.7085844609</v>
      </c>
      <c r="I52" s="53">
        <f>IFERROR(__xludf.DUMMYFUNCTION("""COMPUTED_VALUE"""),24.9)</f>
        <v>24.9</v>
      </c>
      <c r="J52" s="53">
        <f>IFERROR(__xludf.DUMMYFUNCTION("""COMPUTED_VALUE"""),2.6)</f>
        <v>2.6</v>
      </c>
      <c r="K52" s="53">
        <f>IFERROR(__xludf.DUMMYFUNCTION("""COMPUTED_VALUE"""),4.4)</f>
        <v>4.4</v>
      </c>
      <c r="L52" s="53">
        <f>IFERROR(__xludf.DUMMYFUNCTION("""COMPUTED_VALUE"""),4.3)</f>
        <v>4.3</v>
      </c>
      <c r="M52" s="53">
        <f>IFERROR(__xludf.DUMMYFUNCTION("""COMPUTED_VALUE"""),0.8)</f>
        <v>0.8</v>
      </c>
      <c r="N52" s="53">
        <f>IFERROR(__xludf.DUMMYFUNCTION("""COMPUTED_VALUE"""),0.3)</f>
        <v>0.3</v>
      </c>
      <c r="O52" s="53">
        <f>IFERROR(__xludf.DUMMYFUNCTION("""COMPUTED_VALUE"""),47.802197802197796)</f>
        <v>47.8021978</v>
      </c>
      <c r="P52" s="53">
        <f>IFERROR(__xludf.DUMMYFUNCTION("""COMPUTED_VALUE"""),84.21052631578947)</f>
        <v>84.21052632</v>
      </c>
      <c r="Q52" s="53">
        <f>IFERROR(__xludf.DUMMYFUNCTION("""COMPUTED_VALUE"""),2.6)</f>
        <v>2.6</v>
      </c>
      <c r="R52" s="53">
        <f>IFERROR(__xludf.DUMMYFUNCTION("""COMPUTED_VALUE"""),1.2881032745525713)</f>
        <v>1.288103275</v>
      </c>
      <c r="S52" s="53">
        <f>IFERROR(__xludf.DUMMYFUNCTION("""COMPUTED_VALUE"""),0.8283970344749224)</f>
        <v>0.8283970345</v>
      </c>
      <c r="T52" s="53">
        <f>IFERROR(__xludf.DUMMYFUNCTION("""COMPUTED_VALUE"""),-0.7089099036249258)</f>
        <v>-0.7089099036</v>
      </c>
      <c r="U52" s="53">
        <f>IFERROR(__xludf.DUMMYFUNCTION("""COMPUTED_VALUE"""),0.2325712199325014)</f>
        <v>0.2325712199</v>
      </c>
      <c r="V52" s="53">
        <f>IFERROR(__xludf.DUMMYFUNCTION("""COMPUTED_VALUE"""),-0.42447047355638534)</f>
        <v>-0.4244704736</v>
      </c>
      <c r="W52" s="53">
        <f>IFERROR(__xludf.DUMMYFUNCTION("""COMPUTED_VALUE"""),-0.5270142365493308)</f>
        <v>-0.5270142365</v>
      </c>
      <c r="X52" s="53">
        <f>IFERROR(__xludf.DUMMYFUNCTION("""COMPUTED_VALUE"""),-0.32654556090085485)</f>
        <v>-0.3265455609</v>
      </c>
      <c r="Y52" s="53">
        <f>IFERROR(__xludf.DUMMYFUNCTION("""COMPUTED_VALUE"""),0.7422113573343209)</f>
        <v>0.7422113573</v>
      </c>
      <c r="Z52" s="53">
        <f>IFERROR(__xludf.DUMMYFUNCTION("""COMPUTED_VALUE"""),-0.18793332823716524)</f>
        <v>-0.1879333282</v>
      </c>
      <c r="AA52" t="str">
        <f>IFERROR(__xludf.DUMMYFUNCTION("SUBSTITUTE(REGEXREPLACE(REGEXREPLACE(REGEXREPLACE(REGEXREPLACE(REGEXREPLACE(REGEXREPLACE(E52,"","",),IF(Projections!$U$3="""",""PG"",),),IF(Projections!$V$3="""",""SG"",),),IF(Projections!$W$3="""",""SF"",),),IF(Projections!$X$3="""",""PF"",),),IF(Project"&amp;"ions!$Y$3="""",""C"",),),""/"","""")"),"SGSF")</f>
        <v>SGSF</v>
      </c>
    </row>
    <row r="53">
      <c r="A53" t="str">
        <f>IF(Projections!$H$3,Draft!G3,"")</f>
        <v/>
      </c>
      <c r="B53">
        <f>IFERROR(__xludf.DUMMYFUNCTION("""COMPUTED_VALUE"""),43.0)</f>
        <v>43</v>
      </c>
      <c r="C53" t="str">
        <f>IFERROR(__xludf.DUMMYFUNCTION("""COMPUTED_VALUE"""),"Pascal Siakam")</f>
        <v>Pascal Siakam</v>
      </c>
      <c r="D53">
        <f>IFERROR(__xludf.DUMMYFUNCTION("""COMPUTED_VALUE"""),70.0)</f>
        <v>70</v>
      </c>
      <c r="E53" t="str">
        <f>IFERROR(__xludf.DUMMYFUNCTION("""COMPUTED_VALUE"""),"PF,C")</f>
        <v>PF,C</v>
      </c>
      <c r="F53" s="53">
        <f>IFERROR(__xludf.DUMMYFUNCTION("""COMPUTED_VALUE"""),0.9813544754951018)</f>
        <v>0.9813544755</v>
      </c>
      <c r="G53" s="53">
        <f>IFERROR(__xludf.DUMMYFUNCTION("""COMPUTED_VALUE"""),1.5653361394165863)</f>
        <v>1.565336139</v>
      </c>
      <c r="H53" s="53">
        <f>IFERROR(__xludf.DUMMYFUNCTION("""COMPUTED_VALUE"""),0.5839816639214845)</f>
        <v>0.5839816639</v>
      </c>
      <c r="I53" s="53">
        <f>IFERROR(__xludf.DUMMYFUNCTION("""COMPUTED_VALUE"""),22.1)</f>
        <v>22.1</v>
      </c>
      <c r="J53" s="53">
        <f>IFERROR(__xludf.DUMMYFUNCTION("""COMPUTED_VALUE"""),1.2)</f>
        <v>1.2</v>
      </c>
      <c r="K53" s="53">
        <f>IFERROR(__xludf.DUMMYFUNCTION("""COMPUTED_VALUE"""),7.8)</f>
        <v>7.8</v>
      </c>
      <c r="L53" s="53">
        <f>IFERROR(__xludf.DUMMYFUNCTION("""COMPUTED_VALUE"""),5.7)</f>
        <v>5.7</v>
      </c>
      <c r="M53" s="53">
        <f>IFERROR(__xludf.DUMMYFUNCTION("""COMPUTED_VALUE"""),1.0)</f>
        <v>1</v>
      </c>
      <c r="N53" s="53">
        <f>IFERROR(__xludf.DUMMYFUNCTION("""COMPUTED_VALUE"""),0.5)</f>
        <v>0.5</v>
      </c>
      <c r="O53" s="53">
        <f>IFERROR(__xludf.DUMMYFUNCTION("""COMPUTED_VALUE"""),47.67441860465116)</f>
        <v>47.6744186</v>
      </c>
      <c r="P53" s="53">
        <f>IFERROR(__xludf.DUMMYFUNCTION("""COMPUTED_VALUE"""),77.58620689655173)</f>
        <v>77.5862069</v>
      </c>
      <c r="Q53" s="53">
        <f>IFERROR(__xludf.DUMMYFUNCTION("""COMPUTED_VALUE"""),2.4)</f>
        <v>2.4</v>
      </c>
      <c r="R53" s="53">
        <f>IFERROR(__xludf.DUMMYFUNCTION("""COMPUTED_VALUE"""),0.816229419068856)</f>
        <v>0.8162294191</v>
      </c>
      <c r="S53" s="53">
        <f>IFERROR(__xludf.DUMMYFUNCTION("""COMPUTED_VALUE"""),-0.38558326726780967)</f>
        <v>-0.3855832673</v>
      </c>
      <c r="T53" s="53">
        <f>IFERROR(__xludf.DUMMYFUNCTION("""COMPUTED_VALUE"""),0.7128126714781506)</f>
        <v>0.7128126715</v>
      </c>
      <c r="U53" s="53">
        <f>IFERROR(__xludf.DUMMYFUNCTION("""COMPUTED_VALUE"""),0.9466056670936915)</f>
        <v>0.9466056671</v>
      </c>
      <c r="V53" s="53">
        <f>IFERROR(__xludf.DUMMYFUNCTION("""COMPUTED_VALUE"""),0.011629328042640127)</f>
        <v>0.01162932804</v>
      </c>
      <c r="W53" s="53">
        <f>IFERROR(__xludf.DUMMYFUNCTION("""COMPUTED_VALUE"""),-0.2643825572058105)</f>
        <v>-0.2643825572</v>
      </c>
      <c r="X53" s="53">
        <f>IFERROR(__xludf.DUMMYFUNCTION("""COMPUTED_VALUE"""),-0.33055657468049393)</f>
        <v>-0.3305565747</v>
      </c>
      <c r="Y53" s="53">
        <f>IFERROR(__xludf.DUMMYFUNCTION("""COMPUTED_VALUE"""),-0.2011609954727426)</f>
        <v>-0.2011609955</v>
      </c>
      <c r="Z53" s="53">
        <f>IFERROR(__xludf.DUMMYFUNCTION("""COMPUTED_VALUE"""),-0.12584081890770538)</f>
        <v>-0.1258408189</v>
      </c>
      <c r="AA53" t="str">
        <f>IFERROR(__xludf.DUMMYFUNCTION("SUBSTITUTE(REGEXREPLACE(REGEXREPLACE(REGEXREPLACE(REGEXREPLACE(REGEXREPLACE(REGEXREPLACE(E53,"","",),IF(Projections!$U$3="""",""PG"",),),IF(Projections!$V$3="""",""SG"",),),IF(Projections!$W$3="""",""SF"",),),IF(Projections!$X$3="""",""PF"",),),IF(Project"&amp;"ions!$Y$3="""",""C"",),),""/"","""")"),"PFC")</f>
        <v>PFC</v>
      </c>
    </row>
    <row r="54">
      <c r="A54" t="str">
        <f>IF(Projections!$H$3,Draft!G4,"")</f>
        <v/>
      </c>
      <c r="B54">
        <f>IFERROR(__xludf.DUMMYFUNCTION("""COMPUTED_VALUE"""),49.0)</f>
        <v>49</v>
      </c>
      <c r="C54" t="str">
        <f>IFERROR(__xludf.DUMMYFUNCTION("""COMPUTED_VALUE"""),"Evan Mobley")</f>
        <v>Evan Mobley</v>
      </c>
      <c r="D54">
        <f>IFERROR(__xludf.DUMMYFUNCTION("""COMPUTED_VALUE"""),76.0)</f>
        <v>76</v>
      </c>
      <c r="E54" t="str">
        <f>IFERROR(__xludf.DUMMYFUNCTION("""COMPUTED_VALUE"""),"PF,C")</f>
        <v>PF,C</v>
      </c>
      <c r="F54" s="53">
        <f>IFERROR(__xludf.DUMMYFUNCTION("""COMPUTED_VALUE"""),0.52592544364058)</f>
        <v>0.5259254436</v>
      </c>
      <c r="G54" s="53">
        <f>IFERROR(__xludf.DUMMYFUNCTION("""COMPUTED_VALUE"""),1.5413991401364808)</f>
        <v>1.54139914</v>
      </c>
      <c r="H54" s="53">
        <f>IFERROR(__xludf.DUMMYFUNCTION("""COMPUTED_VALUE"""),1.0154736964959008)</f>
        <v>1.015473696</v>
      </c>
      <c r="I54" s="53">
        <f>IFERROR(__xludf.DUMMYFUNCTION("""COMPUTED_VALUE"""),17.2)</f>
        <v>17.2</v>
      </c>
      <c r="J54" s="53">
        <f>IFERROR(__xludf.DUMMYFUNCTION("""COMPUTED_VALUE"""),0.3)</f>
        <v>0.3</v>
      </c>
      <c r="K54" s="53">
        <f>IFERROR(__xludf.DUMMYFUNCTION("""COMPUTED_VALUE"""),9.3)</f>
        <v>9.3</v>
      </c>
      <c r="L54" s="53">
        <f>IFERROR(__xludf.DUMMYFUNCTION("""COMPUTED_VALUE"""),2.9)</f>
        <v>2.9</v>
      </c>
      <c r="M54" s="53">
        <f>IFERROR(__xludf.DUMMYFUNCTION("""COMPUTED_VALUE"""),0.9)</f>
        <v>0.9</v>
      </c>
      <c r="N54" s="53">
        <f>IFERROR(__xludf.DUMMYFUNCTION("""COMPUTED_VALUE"""),1.7)</f>
        <v>1.7</v>
      </c>
      <c r="O54" s="53">
        <f>IFERROR(__xludf.DUMMYFUNCTION("""COMPUTED_VALUE"""),55.03875968992248)</f>
        <v>55.03875969</v>
      </c>
      <c r="P54" s="53">
        <f>IFERROR(__xludf.DUMMYFUNCTION("""COMPUTED_VALUE"""),67.5)</f>
        <v>67.5</v>
      </c>
      <c r="Q54" s="53">
        <f>IFERROR(__xludf.DUMMYFUNCTION("""COMPUTED_VALUE"""),1.9)</f>
        <v>1.9</v>
      </c>
      <c r="R54" s="53">
        <f>IFERROR(__xludf.DUMMYFUNCTION("""COMPUTED_VALUE"""),-0.009549828027646924)</f>
        <v>-0.009549828028</v>
      </c>
      <c r="S54" s="53">
        <f>IFERROR(__xludf.DUMMYFUNCTION("""COMPUTED_VALUE"""),-1.1659991755309944)</f>
        <v>-1.165999176</v>
      </c>
      <c r="T54" s="53">
        <f>IFERROR(__xludf.DUMMYFUNCTION("""COMPUTED_VALUE"""),1.3400432193177436)</f>
        <v>1.340043219</v>
      </c>
      <c r="U54" s="53">
        <f>IFERROR(__xludf.DUMMYFUNCTION("""COMPUTED_VALUE"""),-0.48146322722868856)</f>
        <v>-0.4814632272</v>
      </c>
      <c r="V54" s="53">
        <f>IFERROR(__xludf.DUMMYFUNCTION("""COMPUTED_VALUE"""),-0.2064205727568726)</f>
        <v>-0.2064205728</v>
      </c>
      <c r="W54" s="53">
        <f>IFERROR(__xludf.DUMMYFUNCTION("""COMPUTED_VALUE"""),1.3114075188553107)</f>
        <v>1.311407519</v>
      </c>
      <c r="X54" s="53">
        <f>IFERROR(__xludf.DUMMYFUNCTION("""COMPUTED_VALUE"""),0.7010043467540514)</f>
        <v>0.7010043468</v>
      </c>
      <c r="Y54" s="53">
        <f>IFERROR(__xludf.DUMMYFUNCTION("""COMPUTED_VALUE"""),-1.143012771193361)</f>
        <v>-1.143012771</v>
      </c>
      <c r="Z54" s="53">
        <f>IFERROR(__xludf.DUMMYFUNCTION("""COMPUTED_VALUE"""),0.029390454415944182)</f>
        <v>0.02939045442</v>
      </c>
      <c r="AA54" t="str">
        <f>IFERROR(__xludf.DUMMYFUNCTION("SUBSTITUTE(REGEXREPLACE(REGEXREPLACE(REGEXREPLACE(REGEXREPLACE(REGEXREPLACE(REGEXREPLACE(E54,"","",),IF(Projections!$U$3="""",""PG"",),),IF(Projections!$V$3="""",""SG"",),),IF(Projections!$W$3="""",""SF"",),),IF(Projections!$X$3="""",""PF"",),),IF(Project"&amp;"ions!$Y$3="""",""C"",),),""/"","""")"),"PFC")</f>
        <v>PFC</v>
      </c>
    </row>
    <row r="55">
      <c r="A55" t="str">
        <f>IF(Projections!$H$3,Draft!G5,"")</f>
        <v/>
      </c>
      <c r="B55">
        <f>IFERROR(__xludf.DUMMYFUNCTION("""COMPUTED_VALUE"""),48.0)</f>
        <v>48</v>
      </c>
      <c r="C55" t="str">
        <f>IFERROR(__xludf.DUMMYFUNCTION("""COMPUTED_VALUE"""),"Jordan Poole")</f>
        <v>Jordan Poole</v>
      </c>
      <c r="D55">
        <f>IFERROR(__xludf.DUMMYFUNCTION("""COMPUTED_VALUE"""),78.0)</f>
        <v>78</v>
      </c>
      <c r="E55" t="str">
        <f>IFERROR(__xludf.DUMMYFUNCTION("""COMPUTED_VALUE"""),"PG,SG")</f>
        <v>PG,SG</v>
      </c>
      <c r="F55" s="53">
        <f>IFERROR(__xludf.DUMMYFUNCTION("""COMPUTED_VALUE"""),0.6625176306904432)</f>
        <v>0.6625176307</v>
      </c>
      <c r="G55" s="53">
        <f>IFERROR(__xludf.DUMMYFUNCTION("""COMPUTED_VALUE"""),1.4741687484064105)</f>
        <v>1.474168748</v>
      </c>
      <c r="H55" s="53">
        <f>IFERROR(__xludf.DUMMYFUNCTION("""COMPUTED_VALUE"""),0.8116511177159673)</f>
        <v>0.8116511177</v>
      </c>
      <c r="I55" s="53">
        <f>IFERROR(__xludf.DUMMYFUNCTION("""COMPUTED_VALUE"""),22.0)</f>
        <v>22</v>
      </c>
      <c r="J55" s="53">
        <f>IFERROR(__xludf.DUMMYFUNCTION("""COMPUTED_VALUE"""),3.0)</f>
        <v>3</v>
      </c>
      <c r="K55" s="53">
        <f>IFERROR(__xludf.DUMMYFUNCTION("""COMPUTED_VALUE"""),3.5)</f>
        <v>3.5</v>
      </c>
      <c r="L55" s="53">
        <f>IFERROR(__xludf.DUMMYFUNCTION("""COMPUTED_VALUE"""),4.8)</f>
        <v>4.8</v>
      </c>
      <c r="M55" s="53">
        <f>IFERROR(__xludf.DUMMYFUNCTION("""COMPUTED_VALUE"""),0.9)</f>
        <v>0.9</v>
      </c>
      <c r="N55" s="53">
        <f>IFERROR(__xludf.DUMMYFUNCTION("""COMPUTED_VALUE"""),0.3)</f>
        <v>0.3</v>
      </c>
      <c r="O55" s="53">
        <f>IFERROR(__xludf.DUMMYFUNCTION("""COMPUTED_VALUE"""),43.712574850299404)</f>
        <v>43.71257485</v>
      </c>
      <c r="P55" s="53">
        <f>IFERROR(__xludf.DUMMYFUNCTION("""COMPUTED_VALUE"""),87.75510204081631)</f>
        <v>87.75510204</v>
      </c>
      <c r="Q55" s="53">
        <f>IFERROR(__xludf.DUMMYFUNCTION("""COMPUTED_VALUE"""),3.1)</f>
        <v>3.1</v>
      </c>
      <c r="R55" s="53">
        <f>IFERROR(__xludf.DUMMYFUNCTION("""COMPUTED_VALUE"""),0.7993767813730088)</f>
        <v>0.7993767814</v>
      </c>
      <c r="S55" s="53">
        <f>IFERROR(__xludf.DUMMYFUNCTION("""COMPUTED_VALUE"""),1.1752485492585598)</f>
        <v>1.175248549</v>
      </c>
      <c r="T55" s="53">
        <f>IFERROR(__xludf.DUMMYFUNCTION("""COMPUTED_VALUE"""),-1.0852482323286814)</f>
        <v>-1.085248232</v>
      </c>
      <c r="U55" s="53">
        <f>IFERROR(__xludf.DUMMYFUNCTION("""COMPUTED_VALUE"""),0.4875835224900693)</f>
        <v>0.4875835225</v>
      </c>
      <c r="V55" s="53">
        <f>IFERROR(__xludf.DUMMYFUNCTION("""COMPUTED_VALUE"""),-0.2064205727568726)</f>
        <v>-0.2064205728</v>
      </c>
      <c r="W55" s="53">
        <f>IFERROR(__xludf.DUMMYFUNCTION("""COMPUTED_VALUE"""),-0.5270142365493308)</f>
        <v>-0.5270142365</v>
      </c>
      <c r="X55" s="53">
        <f>IFERROR(__xludf.DUMMYFUNCTION("""COMPUTED_VALUE"""),-0.9818243505670221)</f>
        <v>-0.9818243506</v>
      </c>
      <c r="Y55" s="53">
        <f>IFERROR(__xludf.DUMMYFUNCTION("""COMPUTED_VALUE"""),1.070383656718813)</f>
        <v>1.070383657</v>
      </c>
      <c r="Z55" s="53">
        <f>IFERROR(__xludf.DUMMYFUNCTION("""COMPUTED_VALUE"""),-0.3431646015608148)</f>
        <v>-0.3431646016</v>
      </c>
      <c r="AA55" t="str">
        <f>IFERROR(__xludf.DUMMYFUNCTION("SUBSTITUTE(REGEXREPLACE(REGEXREPLACE(REGEXREPLACE(REGEXREPLACE(REGEXREPLACE(REGEXREPLACE(E55,"","",),IF(Projections!$U$3="""",""PG"",),),IF(Projections!$V$3="""",""SG"",),),IF(Projections!$W$3="""",""SF"",),),IF(Projections!$X$3="""",""PF"",),),IF(Project"&amp;"ions!$Y$3="""",""C"",),),""/"","""")"),"PGSG")</f>
        <v>PGSG</v>
      </c>
    </row>
    <row r="56">
      <c r="A56" t="str">
        <f>IF(Projections!$H$3,Draft!G6,"")</f>
        <v/>
      </c>
      <c r="B56">
        <f>IFERROR(__xludf.DUMMYFUNCTION("""COMPUTED_VALUE"""),53.0)</f>
        <v>53</v>
      </c>
      <c r="C56" t="str">
        <f>IFERROR(__xludf.DUMMYFUNCTION("""COMPUTED_VALUE"""),"Terry Rozier")</f>
        <v>Terry Rozier</v>
      </c>
      <c r="D56">
        <f>IFERROR(__xludf.DUMMYFUNCTION("""COMPUTED_VALUE"""),68.0)</f>
        <v>68</v>
      </c>
      <c r="E56" t="str">
        <f>IFERROR(__xludf.DUMMYFUNCTION("""COMPUTED_VALUE"""),"PG,SG")</f>
        <v>PG,SG</v>
      </c>
      <c r="F56" s="53">
        <f>IFERROR(__xludf.DUMMYFUNCTION("""COMPUTED_VALUE"""),0.29670248832251644)</f>
        <v>0.2967024883</v>
      </c>
      <c r="G56" s="53">
        <f>IFERROR(__xludf.DUMMYFUNCTION("""COMPUTED_VALUE"""),1.429562024425223)</f>
        <v>1.429562024</v>
      </c>
      <c r="H56" s="53">
        <f>IFERROR(__xludf.DUMMYFUNCTION("""COMPUTED_VALUE"""),1.1328595361027065)</f>
        <v>1.132859536</v>
      </c>
      <c r="I56" s="53">
        <f>IFERROR(__xludf.DUMMYFUNCTION("""COMPUTED_VALUE"""),19.6)</f>
        <v>19.6</v>
      </c>
      <c r="J56" s="53">
        <f>IFERROR(__xludf.DUMMYFUNCTION("""COMPUTED_VALUE"""),2.8)</f>
        <v>2.8</v>
      </c>
      <c r="K56" s="53">
        <f>IFERROR(__xludf.DUMMYFUNCTION("""COMPUTED_VALUE"""),4.1)</f>
        <v>4.1</v>
      </c>
      <c r="L56" s="53">
        <f>IFERROR(__xludf.DUMMYFUNCTION("""COMPUTED_VALUE"""),4.6)</f>
        <v>4.6</v>
      </c>
      <c r="M56" s="53">
        <f>IFERROR(__xludf.DUMMYFUNCTION("""COMPUTED_VALUE"""),1.2)</f>
        <v>1.2</v>
      </c>
      <c r="N56" s="53">
        <f>IFERROR(__xludf.DUMMYFUNCTION("""COMPUTED_VALUE"""),0.3)</f>
        <v>0.3</v>
      </c>
      <c r="O56" s="53">
        <f>IFERROR(__xludf.DUMMYFUNCTION("""COMPUTED_VALUE"""),43.19526627218935)</f>
        <v>43.19526627</v>
      </c>
      <c r="P56" s="53">
        <f>IFERROR(__xludf.DUMMYFUNCTION("""COMPUTED_VALUE"""),85.71428571428572)</f>
        <v>85.71428571</v>
      </c>
      <c r="Q56" s="53">
        <f>IFERROR(__xludf.DUMMYFUNCTION("""COMPUTED_VALUE"""),1.7)</f>
        <v>1.7</v>
      </c>
      <c r="R56" s="53">
        <f>IFERROR(__xludf.DUMMYFUNCTION("""COMPUTED_VALUE"""),0.39491347667268123)</f>
        <v>0.3949134767</v>
      </c>
      <c r="S56" s="53">
        <f>IFERROR(__xludf.DUMMYFUNCTION("""COMPUTED_VALUE"""),1.001822791866741)</f>
        <v>1.001822792</v>
      </c>
      <c r="T56" s="53">
        <f>IFERROR(__xludf.DUMMYFUNCTION("""COMPUTED_VALUE"""),-0.8343560131928446)</f>
        <v>-0.8343560132</v>
      </c>
      <c r="U56" s="53">
        <f>IFERROR(__xludf.DUMMYFUNCTION("""COMPUTED_VALUE"""),0.38557860146704204)</f>
        <v>0.3855786015</v>
      </c>
      <c r="V56" s="53">
        <f>IFERROR(__xludf.DUMMYFUNCTION("""COMPUTED_VALUE"""),0.44772912964166556)</f>
        <v>0.4477291296</v>
      </c>
      <c r="W56" s="53">
        <f>IFERROR(__xludf.DUMMYFUNCTION("""COMPUTED_VALUE"""),-0.5270142365493308)</f>
        <v>-0.5270142365</v>
      </c>
      <c r="X56" s="53">
        <f>IFERROR(__xludf.DUMMYFUNCTION("""COMPUTED_VALUE"""),-1.0809086507336643)</f>
        <v>-1.080908651</v>
      </c>
      <c r="Y56" s="53">
        <f>IFERROR(__xludf.DUMMYFUNCTION("""COMPUTED_VALUE"""),0.4694053107738645)</f>
        <v>0.4694053108</v>
      </c>
      <c r="Z56" s="53">
        <f>IFERROR(__xludf.DUMMYFUNCTION("""COMPUTED_VALUE"""),0.09148296374540399)</f>
        <v>0.09148296375</v>
      </c>
      <c r="AA56" t="str">
        <f>IFERROR(__xludf.DUMMYFUNCTION("SUBSTITUTE(REGEXREPLACE(REGEXREPLACE(REGEXREPLACE(REGEXREPLACE(REGEXREPLACE(REGEXREPLACE(E56,"","",),IF(Projections!$U$3="""",""PG"",),),IF(Projections!$V$3="""",""SG"",),),IF(Projections!$W$3="""",""SF"",),),IF(Projections!$X$3="""",""PF"",),),IF(Project"&amp;"ions!$Y$3="""",""C"",),),""/"","""")"),"PGSG")</f>
        <v>PGSG</v>
      </c>
    </row>
    <row r="57">
      <c r="A57" t="str">
        <f>IF(Projections!$H$3,Draft!G7,"")</f>
        <v/>
      </c>
      <c r="B57">
        <f>IFERROR(__xludf.DUMMYFUNCTION("""COMPUTED_VALUE"""),51.0)</f>
        <v>51</v>
      </c>
      <c r="C57" t="str">
        <f>IFERROR(__xludf.DUMMYFUNCTION("""COMPUTED_VALUE"""),"Devin Vassell")</f>
        <v>Devin Vassell</v>
      </c>
      <c r="D57">
        <f>IFERROR(__xludf.DUMMYFUNCTION("""COMPUTED_VALUE"""),69.0)</f>
        <v>69</v>
      </c>
      <c r="E57" t="str">
        <f>IFERROR(__xludf.DUMMYFUNCTION("""COMPUTED_VALUE"""),"SG,SF")</f>
        <v>SG,SF</v>
      </c>
      <c r="F57" s="53">
        <f>IFERROR(__xludf.DUMMYFUNCTION("""COMPUTED_VALUE"""),0.30666566088871827)</f>
        <v>0.3066656609</v>
      </c>
      <c r="G57" s="53">
        <f>IFERROR(__xludf.DUMMYFUNCTION("""COMPUTED_VALUE"""),1.325381196820481)</f>
        <v>1.325381197</v>
      </c>
      <c r="H57" s="53">
        <f>IFERROR(__xludf.DUMMYFUNCTION("""COMPUTED_VALUE"""),1.0187155359317628)</f>
        <v>1.018715536</v>
      </c>
      <c r="I57" s="53">
        <f>IFERROR(__xludf.DUMMYFUNCTION("""COMPUTED_VALUE"""),18.3)</f>
        <v>18.3</v>
      </c>
      <c r="J57" s="53">
        <f>IFERROR(__xludf.DUMMYFUNCTION("""COMPUTED_VALUE"""),2.9)</f>
        <v>2.9</v>
      </c>
      <c r="K57" s="53">
        <f>IFERROR(__xludf.DUMMYFUNCTION("""COMPUTED_VALUE"""),4.3)</f>
        <v>4.3</v>
      </c>
      <c r="L57" s="53">
        <f>IFERROR(__xludf.DUMMYFUNCTION("""COMPUTED_VALUE"""),3.8)</f>
        <v>3.8</v>
      </c>
      <c r="M57" s="53">
        <f>IFERROR(__xludf.DUMMYFUNCTION("""COMPUTED_VALUE"""),1.2)</f>
        <v>1.2</v>
      </c>
      <c r="N57" s="53">
        <f>IFERROR(__xludf.DUMMYFUNCTION("""COMPUTED_VALUE"""),0.6)</f>
        <v>0.6</v>
      </c>
      <c r="O57" s="53">
        <f>IFERROR(__xludf.DUMMYFUNCTION("""COMPUTED_VALUE"""),43.046357615894046)</f>
        <v>43.04635762</v>
      </c>
      <c r="P57" s="53">
        <f>IFERROR(__xludf.DUMMYFUNCTION("""COMPUTED_VALUE"""),82.75862068965517)</f>
        <v>82.75862069</v>
      </c>
      <c r="Q57" s="53">
        <f>IFERROR(__xludf.DUMMYFUNCTION("""COMPUTED_VALUE"""),1.2)</f>
        <v>1.2</v>
      </c>
      <c r="R57" s="53">
        <f>IFERROR(__xludf.DUMMYFUNCTION("""COMPUTED_VALUE"""),0.17582918662667021)</f>
        <v>0.1758291866</v>
      </c>
      <c r="S57" s="53">
        <f>IFERROR(__xludf.DUMMYFUNCTION("""COMPUTED_VALUE"""),1.0885356705626503)</f>
        <v>1.088535671</v>
      </c>
      <c r="T57" s="53">
        <f>IFERROR(__xludf.DUMMYFUNCTION("""COMPUTED_VALUE"""),-0.7507252734808988)</f>
        <v>-0.7507252735</v>
      </c>
      <c r="U57" s="53">
        <f>IFERROR(__xludf.DUMMYFUNCTION("""COMPUTED_VALUE"""),-0.022441082625066444)</f>
        <v>-0.02244108263</v>
      </c>
      <c r="V57" s="53">
        <f>IFERROR(__xludf.DUMMYFUNCTION("""COMPUTED_VALUE"""),0.44772912964166556)</f>
        <v>0.4477291296</v>
      </c>
      <c r="W57" s="53">
        <f>IFERROR(__xludf.DUMMYFUNCTION("""COMPUTED_VALUE"""),-0.13306671753405044)</f>
        <v>-0.1330667175</v>
      </c>
      <c r="X57" s="53">
        <f>IFERROR(__xludf.DUMMYFUNCTION("""COMPUTED_VALUE"""),-0.9882419726144438)</f>
        <v>-0.9882419726</v>
      </c>
      <c r="Y57" s="53">
        <f>IFERROR(__xludf.DUMMYFUNCTION("""COMPUTED_VALUE"""),0.2728060465604572)</f>
        <v>0.2728060466</v>
      </c>
      <c r="Z57" s="53">
        <f>IFERROR(__xludf.DUMMYFUNCTION("""COMPUTED_VALUE"""),0.24671423706905354)</f>
        <v>0.2467142371</v>
      </c>
      <c r="AA57" t="str">
        <f>IFERROR(__xludf.DUMMYFUNCTION("SUBSTITUTE(REGEXREPLACE(REGEXREPLACE(REGEXREPLACE(REGEXREPLACE(REGEXREPLACE(REGEXREPLACE(E57,"","",),IF(Projections!$U$3="""",""PG"",),),IF(Projections!$V$3="""",""SG"",),),IF(Projections!$W$3="""",""SF"",),),IF(Projections!$X$3="""",""PF"",),),IF(Project"&amp;"ions!$Y$3="""",""C"",),),""/"","""")"),"SGSF")</f>
        <v>SGSF</v>
      </c>
    </row>
    <row r="58">
      <c r="A58" t="str">
        <f>IF(Projections!$H$3,Draft!G8,"")</f>
        <v/>
      </c>
      <c r="B58">
        <f>IFERROR(__xludf.DUMMYFUNCTION("""COMPUTED_VALUE"""),72.0)</f>
        <v>72</v>
      </c>
      <c r="C58" t="str">
        <f>IFERROR(__xludf.DUMMYFUNCTION("""COMPUTED_VALUE"""),"Deandre Ayton")</f>
        <v>Deandre Ayton</v>
      </c>
      <c r="D58">
        <f>IFERROR(__xludf.DUMMYFUNCTION("""COMPUTED_VALUE"""),69.0)</f>
        <v>69</v>
      </c>
      <c r="E58" t="str">
        <f>IFERROR(__xludf.DUMMYFUNCTION("""COMPUTED_VALUE"""),"C")</f>
        <v>C</v>
      </c>
      <c r="F58" s="53">
        <f>IFERROR(__xludf.DUMMYFUNCTION("""COMPUTED_VALUE"""),-0.39556400842121375)</f>
        <v>-0.3955640084</v>
      </c>
      <c r="G58" s="53">
        <f>IFERROR(__xludf.DUMMYFUNCTION("""COMPUTED_VALUE"""),1.2394522214943406)</f>
        <v>1.239452221</v>
      </c>
      <c r="H58" s="53">
        <f>IFERROR(__xludf.DUMMYFUNCTION("""COMPUTED_VALUE"""),1.6350162299155544)</f>
        <v>1.63501623</v>
      </c>
      <c r="I58" s="53">
        <f>IFERROR(__xludf.DUMMYFUNCTION("""COMPUTED_VALUE"""),18.9)</f>
        <v>18.9</v>
      </c>
      <c r="J58" s="53">
        <f>IFERROR(__xludf.DUMMYFUNCTION("""COMPUTED_VALUE"""),0.1)</f>
        <v>0.1</v>
      </c>
      <c r="K58" s="53">
        <f>IFERROR(__xludf.DUMMYFUNCTION("""COMPUTED_VALUE"""),10.1)</f>
        <v>10.1</v>
      </c>
      <c r="L58" s="53">
        <f>IFERROR(__xludf.DUMMYFUNCTION("""COMPUTED_VALUE"""),1.7)</f>
        <v>1.7</v>
      </c>
      <c r="M58" s="53">
        <f>IFERROR(__xludf.DUMMYFUNCTION("""COMPUTED_VALUE"""),0.7)</f>
        <v>0.7</v>
      </c>
      <c r="N58" s="53">
        <f>IFERROR(__xludf.DUMMYFUNCTION("""COMPUTED_VALUE"""),0.8)</f>
        <v>0.8</v>
      </c>
      <c r="O58" s="53">
        <f>IFERROR(__xludf.DUMMYFUNCTION("""COMPUTED_VALUE"""),58.450704225352126)</f>
        <v>58.45070423</v>
      </c>
      <c r="P58" s="53">
        <f>IFERROR(__xludf.DUMMYFUNCTION("""COMPUTED_VALUE"""),73.33333333333334)</f>
        <v>73.33333333</v>
      </c>
      <c r="Q58" s="53">
        <f>IFERROR(__xludf.DUMMYFUNCTION("""COMPUTED_VALUE"""),1.8)</f>
        <v>1.8</v>
      </c>
      <c r="R58" s="53">
        <f>IFERROR(__xludf.DUMMYFUNCTION("""COMPUTED_VALUE"""),0.2769450128017518)</f>
        <v>0.2769450128</v>
      </c>
      <c r="S58" s="53">
        <f>IFERROR(__xludf.DUMMYFUNCTION("""COMPUTED_VALUE"""),-1.3394249329228134)</f>
        <v>-1.339424933</v>
      </c>
      <c r="T58" s="53">
        <f>IFERROR(__xludf.DUMMYFUNCTION("""COMPUTED_VALUE"""),1.6745661781655259)</f>
        <v>1.674566178</v>
      </c>
      <c r="U58" s="53">
        <f>IFERROR(__xludf.DUMMYFUNCTION("""COMPUTED_VALUE"""),-1.0934927533668515)</f>
        <v>-1.093492753</v>
      </c>
      <c r="V58" s="53">
        <f>IFERROR(__xludf.DUMMYFUNCTION("""COMPUTED_VALUE"""),-0.6425203743558983)</f>
        <v>-0.6425203744</v>
      </c>
      <c r="W58" s="53">
        <f>IFERROR(__xludf.DUMMYFUNCTION("""COMPUTED_VALUE"""),0.12956496180946983)</f>
        <v>0.1295649618</v>
      </c>
      <c r="X58" s="53">
        <f>IFERROR(__xludf.DUMMYFUNCTION("""COMPUTED_VALUE"""),1.2555944307417226)</f>
        <v>1.255594431</v>
      </c>
      <c r="Y58" s="53">
        <f>IFERROR(__xludf.DUMMYFUNCTION("""COMPUTED_VALUE"""),-0.4216419433820539)</f>
        <v>-0.4216419434</v>
      </c>
      <c r="Z58" s="53">
        <f>IFERROR(__xludf.DUMMYFUNCTION("""COMPUTED_VALUE"""),0.06043670908067405)</f>
        <v>0.06043670908</v>
      </c>
      <c r="AA58" t="str">
        <f>IFERROR(__xludf.DUMMYFUNCTION("SUBSTITUTE(REGEXREPLACE(REGEXREPLACE(REGEXREPLACE(REGEXREPLACE(REGEXREPLACE(REGEXREPLACE(E58,"","",),IF(Projections!$U$3="""",""PG"",),),IF(Projections!$V$3="""",""SG"",),),IF(Projections!$W$3="""",""SF"",),),IF(Projections!$X$3="""",""PF"",),),IF(Project"&amp;"ions!$Y$3="""",""C"",),),""/"","""")"),"C")</f>
        <v>C</v>
      </c>
    </row>
    <row r="59">
      <c r="A59" t="str">
        <f>IF(Projections!$H$3,Draft!G9,"")</f>
        <v/>
      </c>
      <c r="B59">
        <f>IFERROR(__xludf.DUMMYFUNCTION("""COMPUTED_VALUE"""),47.0)</f>
        <v>47</v>
      </c>
      <c r="C59" t="str">
        <f>IFERROR(__xludf.DUMMYFUNCTION("""COMPUTED_VALUE"""),"Victor Wembanyama")</f>
        <v>Victor Wembanyama</v>
      </c>
      <c r="D59">
        <f>IFERROR(__xludf.DUMMYFUNCTION("""COMPUTED_VALUE"""),65.0)</f>
        <v>65</v>
      </c>
      <c r="E59" t="str">
        <f>IFERROR(__xludf.DUMMYFUNCTION("""COMPUTED_VALUE"""),"PF,C")</f>
        <v>PF,C</v>
      </c>
      <c r="F59" s="53">
        <f>IFERROR(__xludf.DUMMYFUNCTION("""COMPUTED_VALUE"""),0.6932769424569138)</f>
        <v>0.6932769425</v>
      </c>
      <c r="G59" s="53">
        <f>IFERROR(__xludf.DUMMYFUNCTION("""COMPUTED_VALUE"""),1.2201329122079514)</f>
        <v>1.220132912</v>
      </c>
      <c r="H59" s="53">
        <f>IFERROR(__xludf.DUMMYFUNCTION("""COMPUTED_VALUE"""),0.5268559697510375)</f>
        <v>0.5268559698</v>
      </c>
      <c r="I59" s="53">
        <f>IFERROR(__xludf.DUMMYFUNCTION("""COMPUTED_VALUE"""),17.3)</f>
        <v>17.3</v>
      </c>
      <c r="J59" s="53">
        <f>IFERROR(__xludf.DUMMYFUNCTION("""COMPUTED_VALUE"""),1.0)</f>
        <v>1</v>
      </c>
      <c r="K59" s="53">
        <f>IFERROR(__xludf.DUMMYFUNCTION("""COMPUTED_VALUE"""),8.2)</f>
        <v>8.2</v>
      </c>
      <c r="L59" s="53">
        <f>IFERROR(__xludf.DUMMYFUNCTION("""COMPUTED_VALUE"""),1.8)</f>
        <v>1.8</v>
      </c>
      <c r="M59" s="53">
        <f>IFERROR(__xludf.DUMMYFUNCTION("""COMPUTED_VALUE"""),0.7)</f>
        <v>0.7</v>
      </c>
      <c r="N59" s="53">
        <f>IFERROR(__xludf.DUMMYFUNCTION("""COMPUTED_VALUE"""),2.3)</f>
        <v>2.3</v>
      </c>
      <c r="O59" s="53">
        <f>IFERROR(__xludf.DUMMYFUNCTION("""COMPUTED_VALUE"""),45.714285714285715)</f>
        <v>45.71428571</v>
      </c>
      <c r="P59" s="53">
        <f>IFERROR(__xludf.DUMMYFUNCTION("""COMPUTED_VALUE"""),78.26086956521739)</f>
        <v>78.26086957</v>
      </c>
      <c r="Q59" s="53">
        <f>IFERROR(__xludf.DUMMYFUNCTION("""COMPUTED_VALUE"""),1.8)</f>
        <v>1.8</v>
      </c>
      <c r="R59" s="53">
        <f>IFERROR(__xludf.DUMMYFUNCTION("""COMPUTED_VALUE"""),0.007302809668200307)</f>
        <v>0.007302809668</v>
      </c>
      <c r="S59" s="53">
        <f>IFERROR(__xludf.DUMMYFUNCTION("""COMPUTED_VALUE"""),-0.5590090246596284)</f>
        <v>-0.5590090247</v>
      </c>
      <c r="T59" s="53">
        <f>IFERROR(__xludf.DUMMYFUNCTION("""COMPUTED_VALUE"""),0.8800741509020418)</f>
        <v>0.8800741509</v>
      </c>
      <c r="U59" s="53">
        <f>IFERROR(__xludf.DUMMYFUNCTION("""COMPUTED_VALUE"""),-1.0424902928553377)</f>
        <v>-1.042490293</v>
      </c>
      <c r="V59" s="53">
        <f>IFERROR(__xludf.DUMMYFUNCTION("""COMPUTED_VALUE"""),-0.6425203743558983)</f>
        <v>-0.6425203744</v>
      </c>
      <c r="W59" s="53">
        <f>IFERROR(__xludf.DUMMYFUNCTION("""COMPUTED_VALUE"""),2.0993025568858714)</f>
        <v>2.099302557</v>
      </c>
      <c r="X59" s="53">
        <f>IFERROR(__xludf.DUMMYFUNCTION("""COMPUTED_VALUE"""),-0.5431648246204785)</f>
        <v>-0.5431648246</v>
      </c>
      <c r="Y59" s="53">
        <f>IFERROR(__xludf.DUMMYFUNCTION("""COMPUTED_VALUE"""),-0.08228909069283091)</f>
        <v>-0.08228909069</v>
      </c>
      <c r="Z59" s="53">
        <f>IFERROR(__xludf.DUMMYFUNCTION("""COMPUTED_VALUE"""),0.06043670908067405)</f>
        <v>0.06043670908</v>
      </c>
      <c r="AA59" t="str">
        <f>IFERROR(__xludf.DUMMYFUNCTION("SUBSTITUTE(REGEXREPLACE(REGEXREPLACE(REGEXREPLACE(REGEXREPLACE(REGEXREPLACE(REGEXREPLACE(E59,"","",),IF(Projections!$U$3="""",""PG"",),),IF(Projections!$V$3="""",""SG"",),),IF(Projections!$W$3="""",""SF"",),),IF(Projections!$X$3="""",""PF"",),),IF(Project"&amp;"ions!$Y$3="""",""C"",),),""/"","""")"),"PFC")</f>
        <v>PFC</v>
      </c>
    </row>
    <row r="60">
      <c r="A60" t="str">
        <f>IF(Projections!$H$3,Draft!G10,"")</f>
        <v/>
      </c>
      <c r="B60">
        <f>IFERROR(__xludf.DUMMYFUNCTION("""COMPUTED_VALUE"""),68.0)</f>
        <v>68</v>
      </c>
      <c r="C60" t="str">
        <f>IFERROR(__xludf.DUMMYFUNCTION("""COMPUTED_VALUE"""),"Tyus Jones")</f>
        <v>Tyus Jones</v>
      </c>
      <c r="D60">
        <f>IFERROR(__xludf.DUMMYFUNCTION("""COMPUTED_VALUE"""),72.0)</f>
        <v>72</v>
      </c>
      <c r="E60" t="str">
        <f>IFERROR(__xludf.DUMMYFUNCTION("""COMPUTED_VALUE"""),"PG")</f>
        <v>PG</v>
      </c>
      <c r="F60" s="53">
        <f>IFERROR(__xludf.DUMMYFUNCTION("""COMPUTED_VALUE"""),-0.3106504941592282)</f>
        <v>-0.3106504942</v>
      </c>
      <c r="G60" s="53">
        <f>IFERROR(__xludf.DUMMYFUNCTION("""COMPUTED_VALUE"""),1.2096704470992077)</f>
        <v>1.209670447</v>
      </c>
      <c r="H60" s="53">
        <f>IFERROR(__xludf.DUMMYFUNCTION("""COMPUTED_VALUE"""),1.520320941258436)</f>
        <v>1.520320941</v>
      </c>
      <c r="I60" s="53">
        <f>IFERROR(__xludf.DUMMYFUNCTION("""COMPUTED_VALUE"""),13.5)</f>
        <v>13.5</v>
      </c>
      <c r="J60" s="53">
        <f>IFERROR(__xludf.DUMMYFUNCTION("""COMPUTED_VALUE"""),1.9)</f>
        <v>1.9</v>
      </c>
      <c r="K60" s="53">
        <f>IFERROR(__xludf.DUMMYFUNCTION("""COMPUTED_VALUE"""),3.5)</f>
        <v>3.5</v>
      </c>
      <c r="L60" s="53">
        <f>IFERROR(__xludf.DUMMYFUNCTION("""COMPUTED_VALUE"""),7.4)</f>
        <v>7.4</v>
      </c>
      <c r="M60" s="53">
        <f>IFERROR(__xludf.DUMMYFUNCTION("""COMPUTED_VALUE"""),1.4)</f>
        <v>1.4</v>
      </c>
      <c r="N60" s="53">
        <f>IFERROR(__xludf.DUMMYFUNCTION("""COMPUTED_VALUE"""),0.1)</f>
        <v>0.1</v>
      </c>
      <c r="O60" s="53">
        <f>IFERROR(__xludf.DUMMYFUNCTION("""COMPUTED_VALUE"""),44.44444444444445)</f>
        <v>44.44444444</v>
      </c>
      <c r="P60" s="53">
        <f>IFERROR(__xludf.DUMMYFUNCTION("""COMPUTED_VALUE"""),80.0)</f>
        <v>80</v>
      </c>
      <c r="Q60" s="53">
        <f>IFERROR(__xludf.DUMMYFUNCTION("""COMPUTED_VALUE"""),1.1)</f>
        <v>1.1</v>
      </c>
      <c r="R60" s="53">
        <f>IFERROR(__xludf.DUMMYFUNCTION("""COMPUTED_VALUE"""),-0.6330974227739855)</f>
        <v>-0.6330974228</v>
      </c>
      <c r="S60" s="53">
        <f>IFERROR(__xludf.DUMMYFUNCTION("""COMPUTED_VALUE"""),0.2214068836035562)</f>
        <v>0.2214068836</v>
      </c>
      <c r="T60" s="53">
        <f>IFERROR(__xludf.DUMMYFUNCTION("""COMPUTED_VALUE"""),-1.0852482323286814)</f>
        <v>-1.085248232</v>
      </c>
      <c r="U60" s="53">
        <f>IFERROR(__xludf.DUMMYFUNCTION("""COMPUTED_VALUE"""),1.8136474957894224)</f>
        <v>1.813647496</v>
      </c>
      <c r="V60" s="53">
        <f>IFERROR(__xludf.DUMMYFUNCTION("""COMPUTED_VALUE"""),0.883828931240691)</f>
        <v>0.8838289312</v>
      </c>
      <c r="W60" s="53">
        <f>IFERROR(__xludf.DUMMYFUNCTION("""COMPUTED_VALUE"""),-0.7896459158928509)</f>
        <v>-0.7896459159</v>
      </c>
      <c r="X60" s="53">
        <f>IFERROR(__xludf.DUMMYFUNCTION("""COMPUTED_VALUE"""),-0.6023334077749337)</f>
        <v>-0.6023334078</v>
      </c>
      <c r="Y60" s="53">
        <f>IFERROR(__xludf.DUMMYFUNCTION("""COMPUTED_VALUE"""),0.038103391173524945)</f>
        <v>0.03810339117</v>
      </c>
      <c r="Z60" s="53">
        <f>IFERROR(__xludf.DUMMYFUNCTION("""COMPUTED_VALUE"""),0.2777604917337834)</f>
        <v>0.2777604917</v>
      </c>
      <c r="AA60" t="str">
        <f>IFERROR(__xludf.DUMMYFUNCTION("SUBSTITUTE(REGEXREPLACE(REGEXREPLACE(REGEXREPLACE(REGEXREPLACE(REGEXREPLACE(REGEXREPLACE(E60,"","",),IF(Projections!$U$3="""",""PG"",),),IF(Projections!$V$3="""",""SG"",),),IF(Projections!$W$3="""",""SF"",),),IF(Projections!$X$3="""",""PF"",),),IF(Project"&amp;"ions!$Y$3="""",""C"",),),""/"","""")"),"PG")</f>
        <v>PG</v>
      </c>
    </row>
    <row r="61">
      <c r="A61" t="str">
        <f>IF(Projections!$H$3,Draft!G11,"")</f>
        <v/>
      </c>
      <c r="B61">
        <f>IFERROR(__xludf.DUMMYFUNCTION("""COMPUTED_VALUE"""),67.0)</f>
        <v>67</v>
      </c>
      <c r="C61" t="str">
        <f>IFERROR(__xludf.DUMMYFUNCTION("""COMPUTED_VALUE"""),"Nicolas Claxton")</f>
        <v>Nicolas Claxton</v>
      </c>
      <c r="D61">
        <f>IFERROR(__xludf.DUMMYFUNCTION("""COMPUTED_VALUE"""),75.0)</f>
        <v>75</v>
      </c>
      <c r="E61" t="str">
        <f>IFERROR(__xludf.DUMMYFUNCTION("""COMPUTED_VALUE"""),"C")</f>
        <v>C</v>
      </c>
      <c r="F61" s="53">
        <f>IFERROR(__xludf.DUMMYFUNCTION("""COMPUTED_VALUE"""),-0.29782674528811226)</f>
        <v>-0.2978267453</v>
      </c>
      <c r="G61" s="53">
        <f>IFERROR(__xludf.DUMMYFUNCTION("""COMPUTED_VALUE"""),1.1536372348776487)</f>
        <v>1.153637235</v>
      </c>
      <c r="H61" s="53">
        <f>IFERROR(__xludf.DUMMYFUNCTION("""COMPUTED_VALUE"""),1.451463980165761)</f>
        <v>1.45146398</v>
      </c>
      <c r="I61" s="53">
        <f>IFERROR(__xludf.DUMMYFUNCTION("""COMPUTED_VALUE"""),12.0)</f>
        <v>12</v>
      </c>
      <c r="J61" s="53">
        <f>IFERROR(__xludf.DUMMYFUNCTION("""COMPUTED_VALUE"""),0.0)</f>
        <v>0</v>
      </c>
      <c r="K61" s="53">
        <f>IFERROR(__xludf.DUMMYFUNCTION("""COMPUTED_VALUE"""),9.1)</f>
        <v>9.1</v>
      </c>
      <c r="L61" s="53">
        <f>IFERROR(__xludf.DUMMYFUNCTION("""COMPUTED_VALUE"""),1.8)</f>
        <v>1.8</v>
      </c>
      <c r="M61" s="53">
        <f>IFERROR(__xludf.DUMMYFUNCTION("""COMPUTED_VALUE"""),0.8)</f>
        <v>0.8</v>
      </c>
      <c r="N61" s="53">
        <f>IFERROR(__xludf.DUMMYFUNCTION("""COMPUTED_VALUE"""),2.4)</f>
        <v>2.4</v>
      </c>
      <c r="O61" s="53">
        <f>IFERROR(__xludf.DUMMYFUNCTION("""COMPUTED_VALUE"""),65.38461538461539)</f>
        <v>65.38461538</v>
      </c>
      <c r="P61" s="53">
        <f>IFERROR(__xludf.DUMMYFUNCTION("""COMPUTED_VALUE"""),56.666666666666664)</f>
        <v>56.66666667</v>
      </c>
      <c r="Q61" s="53">
        <f>IFERROR(__xludf.DUMMYFUNCTION("""COMPUTED_VALUE"""),1.3)</f>
        <v>1.3</v>
      </c>
      <c r="R61" s="53">
        <f>IFERROR(__xludf.DUMMYFUNCTION("""COMPUTED_VALUE"""),-0.8858869882116903)</f>
        <v>-0.8858869882</v>
      </c>
      <c r="S61" s="53">
        <f>IFERROR(__xludf.DUMMYFUNCTION("""COMPUTED_VALUE"""),-1.4261378116187227)</f>
        <v>-1.426137812</v>
      </c>
      <c r="T61" s="53">
        <f>IFERROR(__xludf.DUMMYFUNCTION("""COMPUTED_VALUE"""),1.2564124796057974)</f>
        <v>1.25641248</v>
      </c>
      <c r="U61" s="53">
        <f>IFERROR(__xludf.DUMMYFUNCTION("""COMPUTED_VALUE"""),-1.0424902928553377)</f>
        <v>-1.042490293</v>
      </c>
      <c r="V61" s="53">
        <f>IFERROR(__xludf.DUMMYFUNCTION("""COMPUTED_VALUE"""),-0.42447047355638534)</f>
        <v>-0.4244704736</v>
      </c>
      <c r="W61" s="53">
        <f>IFERROR(__xludf.DUMMYFUNCTION("""COMPUTED_VALUE"""),2.2306183965576314)</f>
        <v>2.230618397</v>
      </c>
      <c r="X61" s="53">
        <f>IFERROR(__xludf.DUMMYFUNCTION("""COMPUTED_VALUE"""),1.229923942552032)</f>
        <v>1.229923943</v>
      </c>
      <c r="Y61" s="53">
        <f>IFERROR(__xludf.DUMMYFUNCTION("""COMPUTED_VALUE"""),-1.6662637577048163)</f>
        <v>-1.666263758</v>
      </c>
      <c r="Z61" s="53">
        <f>IFERROR(__xludf.DUMMYFUNCTION("""COMPUTED_VALUE"""),0.2156679824043236)</f>
        <v>0.2156679824</v>
      </c>
      <c r="AA61" t="str">
        <f>IFERROR(__xludf.DUMMYFUNCTION("SUBSTITUTE(REGEXREPLACE(REGEXREPLACE(REGEXREPLACE(REGEXREPLACE(REGEXREPLACE(REGEXREPLACE(E61,"","",),IF(Projections!$U$3="""",""PG"",),),IF(Projections!$V$3="""",""SG"",),),IF(Projections!$W$3="""",""SF"",),),IF(Projections!$X$3="""",""PF"",),),IF(Project"&amp;"ions!$Y$3="""",""C"",),),""/"","""")"),"C")</f>
        <v>C</v>
      </c>
    </row>
    <row r="62">
      <c r="A62" t="str">
        <f>IF(Projections!$H$3,Draft!G12,"")</f>
        <v/>
      </c>
      <c r="B62">
        <f>IFERROR(__xludf.DUMMYFUNCTION("""COMPUTED_VALUE"""),41.0)</f>
        <v>41</v>
      </c>
      <c r="C62" t="str">
        <f>IFERROR(__xludf.DUMMYFUNCTION("""COMPUTED_VALUE"""),"Jrue Holiday")</f>
        <v>Jrue Holiday</v>
      </c>
      <c r="D62">
        <f>IFERROR(__xludf.DUMMYFUNCTION("""COMPUTED_VALUE"""),67.0)</f>
        <v>67</v>
      </c>
      <c r="E62" t="str">
        <f>IFERROR(__xludf.DUMMYFUNCTION("""COMPUTED_VALUE"""),"PG,SG")</f>
        <v>PG,SG</v>
      </c>
      <c r="F62" s="53">
        <f>IFERROR(__xludf.DUMMYFUNCTION("""COMPUTED_VALUE"""),1.0452572827887654)</f>
        <v>1.045257283</v>
      </c>
      <c r="G62" s="53">
        <f>IFERROR(__xludf.DUMMYFUNCTION("""COMPUTED_VALUE"""),1.1180526673360256)</f>
        <v>1.118052667</v>
      </c>
      <c r="H62" s="53">
        <f>IFERROR(__xludf.DUMMYFUNCTION("""COMPUTED_VALUE"""),0.0727953845472602)</f>
        <v>0.07279538455</v>
      </c>
      <c r="I62" s="53">
        <f>IFERROR(__xludf.DUMMYFUNCTION("""COMPUTED_VALUE"""),16.3)</f>
        <v>16.3</v>
      </c>
      <c r="J62" s="53">
        <f>IFERROR(__xludf.DUMMYFUNCTION("""COMPUTED_VALUE"""),2.2)</f>
        <v>2.2</v>
      </c>
      <c r="K62" s="53">
        <f>IFERROR(__xludf.DUMMYFUNCTION("""COMPUTED_VALUE"""),4.8)</f>
        <v>4.8</v>
      </c>
      <c r="L62" s="53">
        <f>IFERROR(__xludf.DUMMYFUNCTION("""COMPUTED_VALUE"""),5.1)</f>
        <v>5.1</v>
      </c>
      <c r="M62" s="53">
        <f>IFERROR(__xludf.DUMMYFUNCTION("""COMPUTED_VALUE"""),1.4)</f>
        <v>1.4</v>
      </c>
      <c r="N62" s="53">
        <f>IFERROR(__xludf.DUMMYFUNCTION("""COMPUTED_VALUE"""),0.4)</f>
        <v>0.4</v>
      </c>
      <c r="O62" s="53">
        <f>IFERROR(__xludf.DUMMYFUNCTION("""COMPUTED_VALUE"""),47.61904761904762)</f>
        <v>47.61904762</v>
      </c>
      <c r="P62" s="53">
        <f>IFERROR(__xludf.DUMMYFUNCTION("""COMPUTED_VALUE"""),81.4814814814815)</f>
        <v>81.48148148</v>
      </c>
      <c r="Q62" s="53">
        <f>IFERROR(__xludf.DUMMYFUNCTION("""COMPUTED_VALUE"""),2.8)</f>
        <v>2.8</v>
      </c>
      <c r="R62" s="53">
        <f>IFERROR(__xludf.DUMMYFUNCTION("""COMPUTED_VALUE"""),-0.1612235672902696)</f>
        <v>-0.1612235673</v>
      </c>
      <c r="S62" s="53">
        <f>IFERROR(__xludf.DUMMYFUNCTION("""COMPUTED_VALUE"""),0.48154551969128473)</f>
        <v>0.4815455197</v>
      </c>
      <c r="T62" s="53">
        <f>IFERROR(__xludf.DUMMYFUNCTION("""COMPUTED_VALUE"""),-0.5416484242010347)</f>
        <v>-0.5416484242</v>
      </c>
      <c r="U62" s="53">
        <f>IFERROR(__xludf.DUMMYFUNCTION("""COMPUTED_VALUE"""),0.6405909040246098)</f>
        <v>0.640590904</v>
      </c>
      <c r="V62" s="53">
        <f>IFERROR(__xludf.DUMMYFUNCTION("""COMPUTED_VALUE"""),0.883828931240691)</f>
        <v>0.8838289312</v>
      </c>
      <c r="W62" s="53">
        <f>IFERROR(__xludf.DUMMYFUNCTION("""COMPUTED_VALUE"""),-0.39569839687757064)</f>
        <v>-0.3956983969</v>
      </c>
      <c r="X62" s="53">
        <f>IFERROR(__xludf.DUMMYFUNCTION("""COMPUTED_VALUE"""),-0.24912073514426122)</f>
        <v>-0.2491207351</v>
      </c>
      <c r="Y62" s="53">
        <f>IFERROR(__xludf.DUMMYFUNCTION("""COMPUTED_VALUE"""),0.16815584925816673)</f>
        <v>0.1681558493</v>
      </c>
      <c r="Z62" s="53">
        <f>IFERROR(__xludf.DUMMYFUNCTION("""COMPUTED_VALUE"""),-0.250025837566625)</f>
        <v>-0.2500258376</v>
      </c>
      <c r="AA62" t="str">
        <f>IFERROR(__xludf.DUMMYFUNCTION("SUBSTITUTE(REGEXREPLACE(REGEXREPLACE(REGEXREPLACE(REGEXREPLACE(REGEXREPLACE(REGEXREPLACE(E62,"","",),IF(Projections!$U$3="""",""PG"",),),IF(Projections!$V$3="""",""SG"",),),IF(Projections!$W$3="""",""SF"",),),IF(Projections!$X$3="""",""PF"",),),IF(Project"&amp;"ions!$Y$3="""",""C"",),),""/"","""")"),"PGSG")</f>
        <v>PGSG</v>
      </c>
    </row>
    <row r="63">
      <c r="A63" t="str">
        <f>IF(Projections!$H$3,Draft!G13,"")</f>
        <v/>
      </c>
      <c r="B63">
        <f>IFERROR(__xludf.DUMMYFUNCTION("""COMPUTED_VALUE"""),74.0)</f>
        <v>74</v>
      </c>
      <c r="C63" t="str">
        <f>IFERROR(__xludf.DUMMYFUNCTION("""COMPUTED_VALUE"""),"Walker Kessler")</f>
        <v>Walker Kessler</v>
      </c>
      <c r="D63">
        <f>IFERROR(__xludf.DUMMYFUNCTION("""COMPUTED_VALUE"""),74.0)</f>
        <v>74</v>
      </c>
      <c r="E63" t="str">
        <f>IFERROR(__xludf.DUMMYFUNCTION("""COMPUTED_VALUE"""),"C")</f>
        <v>C</v>
      </c>
      <c r="F63" s="53">
        <f>IFERROR(__xludf.DUMMYFUNCTION("""COMPUTED_VALUE"""),-0.5606134959579641)</f>
        <v>-0.560613496</v>
      </c>
      <c r="G63" s="53">
        <f>IFERROR(__xludf.DUMMYFUNCTION("""COMPUTED_VALUE"""),1.074118522801445)</f>
        <v>1.074118523</v>
      </c>
      <c r="H63" s="53">
        <f>IFERROR(__xludf.DUMMYFUNCTION("""COMPUTED_VALUE"""),1.634732018759409)</f>
        <v>1.634732019</v>
      </c>
      <c r="I63" s="53">
        <f>IFERROR(__xludf.DUMMYFUNCTION("""COMPUTED_VALUE"""),11.2)</f>
        <v>11.2</v>
      </c>
      <c r="J63" s="53">
        <f>IFERROR(__xludf.DUMMYFUNCTION("""COMPUTED_VALUE"""),0.0)</f>
        <v>0</v>
      </c>
      <c r="K63" s="53">
        <f>IFERROR(__xludf.DUMMYFUNCTION("""COMPUTED_VALUE"""),10.3)</f>
        <v>10.3</v>
      </c>
      <c r="L63" s="53">
        <f>IFERROR(__xludf.DUMMYFUNCTION("""COMPUTED_VALUE"""),1.1)</f>
        <v>1.1</v>
      </c>
      <c r="M63" s="53">
        <f>IFERROR(__xludf.DUMMYFUNCTION("""COMPUTED_VALUE"""),0.4)</f>
        <v>0.4</v>
      </c>
      <c r="N63" s="53">
        <f>IFERROR(__xludf.DUMMYFUNCTION("""COMPUTED_VALUE"""),2.7)</f>
        <v>2.7</v>
      </c>
      <c r="O63" s="53">
        <f>IFERROR(__xludf.DUMMYFUNCTION("""COMPUTED_VALUE"""),72.05882352941177)</f>
        <v>72.05882353</v>
      </c>
      <c r="P63" s="53">
        <f>IFERROR(__xludf.DUMMYFUNCTION("""COMPUTED_VALUE"""),53.84615384615385)</f>
        <v>53.84615385</v>
      </c>
      <c r="Q63" s="53">
        <f>IFERROR(__xludf.DUMMYFUNCTION("""COMPUTED_VALUE"""),1.0)</f>
        <v>1</v>
      </c>
      <c r="R63" s="53">
        <f>IFERROR(__xludf.DUMMYFUNCTION("""COMPUTED_VALUE"""),-1.0207080897784664)</f>
        <v>-1.02070809</v>
      </c>
      <c r="S63" s="53">
        <f>IFERROR(__xludf.DUMMYFUNCTION("""COMPUTED_VALUE"""),-1.4261378116187227)</f>
        <v>-1.426137812</v>
      </c>
      <c r="T63" s="53">
        <f>IFERROR(__xludf.DUMMYFUNCTION("""COMPUTED_VALUE"""),1.758196917877472)</f>
        <v>1.758196918</v>
      </c>
      <c r="U63" s="53">
        <f>IFERROR(__xludf.DUMMYFUNCTION("""COMPUTED_VALUE"""),-1.3995075164359327)</f>
        <v>-1.399507516</v>
      </c>
      <c r="V63" s="53">
        <f>IFERROR(__xludf.DUMMYFUNCTION("""COMPUTED_VALUE"""),-1.2966700767544366)</f>
        <v>-1.296670077</v>
      </c>
      <c r="W63" s="53">
        <f>IFERROR(__xludf.DUMMYFUNCTION("""COMPUTED_VALUE"""),2.624565915572912)</f>
        <v>2.624565916</v>
      </c>
      <c r="X63" s="53">
        <f>IFERROR(__xludf.DUMMYFUNCTION("""COMPUTED_VALUE"""),1.5255724375401056)</f>
        <v>1.525572438</v>
      </c>
      <c r="Y63" s="53">
        <f>IFERROR(__xludf.DUMMYFUNCTION("""COMPUTED_VALUE"""),-1.626639789444846)</f>
        <v>-1.626639789</v>
      </c>
      <c r="Z63" s="53">
        <f>IFERROR(__xludf.DUMMYFUNCTION("""COMPUTED_VALUE"""),0.30880674639851335)</f>
        <v>0.3088067464</v>
      </c>
      <c r="AA63" t="str">
        <f>IFERROR(__xludf.DUMMYFUNCTION("SUBSTITUTE(REGEXREPLACE(REGEXREPLACE(REGEXREPLACE(REGEXREPLACE(REGEXREPLACE(REGEXREPLACE(E63,"","",),IF(Projections!$U$3="""",""PG"",),),IF(Projections!$V$3="""",""SG"",),),IF(Projections!$W$3="""",""SF"",),),IF(Projections!$X$3="""",""PF"",),),IF(Project"&amp;"ions!$Y$3="""",""C"",),),""/"","""")"),"C")</f>
        <v>C</v>
      </c>
    </row>
    <row r="64">
      <c r="A64" t="str">
        <f>IF(Projections!$H$3,Draft!G14,"")</f>
        <v/>
      </c>
      <c r="B64">
        <f>IFERROR(__xludf.DUMMYFUNCTION("""COMPUTED_VALUE"""),54.0)</f>
        <v>54</v>
      </c>
      <c r="C64" t="str">
        <f>IFERROR(__xludf.DUMMYFUNCTION("""COMPUTED_VALUE"""),"Alperen Sengün")</f>
        <v>Alperen Sengün</v>
      </c>
      <c r="D64">
        <f>IFERROR(__xludf.DUMMYFUNCTION("""COMPUTED_VALUE"""),74.0)</f>
        <v>74</v>
      </c>
      <c r="E64" t="str">
        <f>IFERROR(__xludf.DUMMYFUNCTION("""COMPUTED_VALUE"""),"C")</f>
        <v>C</v>
      </c>
      <c r="F64" s="53">
        <f>IFERROR(__xludf.DUMMYFUNCTION("""COMPUTED_VALUE"""),0.20614322636306415)</f>
        <v>0.2061432264</v>
      </c>
      <c r="G64" s="53">
        <f>IFERROR(__xludf.DUMMYFUNCTION("""COMPUTED_VALUE"""),1.017024972285074)</f>
        <v>1.017024972</v>
      </c>
      <c r="H64" s="53">
        <f>IFERROR(__xludf.DUMMYFUNCTION("""COMPUTED_VALUE"""),0.8108817459220098)</f>
        <v>0.8108817459</v>
      </c>
      <c r="I64" s="53">
        <f>IFERROR(__xludf.DUMMYFUNCTION("""COMPUTED_VALUE"""),15.6)</f>
        <v>15.6</v>
      </c>
      <c r="J64" s="53">
        <f>IFERROR(__xludf.DUMMYFUNCTION("""COMPUTED_VALUE"""),0.5)</f>
        <v>0.5</v>
      </c>
      <c r="K64" s="53">
        <f>IFERROR(__xludf.DUMMYFUNCTION("""COMPUTED_VALUE"""),9.1)</f>
        <v>9.1</v>
      </c>
      <c r="L64" s="53">
        <f>IFERROR(__xludf.DUMMYFUNCTION("""COMPUTED_VALUE"""),4.0)</f>
        <v>4</v>
      </c>
      <c r="M64" s="53">
        <f>IFERROR(__xludf.DUMMYFUNCTION("""COMPUTED_VALUE"""),1.0)</f>
        <v>1</v>
      </c>
      <c r="N64" s="53">
        <f>IFERROR(__xludf.DUMMYFUNCTION("""COMPUTED_VALUE"""),1.0)</f>
        <v>1</v>
      </c>
      <c r="O64" s="53">
        <f>IFERROR(__xludf.DUMMYFUNCTION("""COMPUTED_VALUE"""),54.54545454545454)</f>
        <v>54.54545455</v>
      </c>
      <c r="P64" s="53">
        <f>IFERROR(__xludf.DUMMYFUNCTION("""COMPUTED_VALUE"""),72.09302325581396)</f>
        <v>72.09302326</v>
      </c>
      <c r="Q64" s="53">
        <f>IFERROR(__xludf.DUMMYFUNCTION("""COMPUTED_VALUE"""),2.8)</f>
        <v>2.8</v>
      </c>
      <c r="R64" s="53">
        <f>IFERROR(__xludf.DUMMYFUNCTION("""COMPUTED_VALUE"""),-0.27919203116119873)</f>
        <v>-0.2791920312</v>
      </c>
      <c r="S64" s="53">
        <f>IFERROR(__xludf.DUMMYFUNCTION("""COMPUTED_VALUE"""),-0.9925734181391757)</f>
        <v>-0.9925734181</v>
      </c>
      <c r="T64" s="53">
        <f>IFERROR(__xludf.DUMMYFUNCTION("""COMPUTED_VALUE"""),1.2564124796057974)</f>
        <v>1.25641248</v>
      </c>
      <c r="U64" s="53">
        <f>IFERROR(__xludf.DUMMYFUNCTION("""COMPUTED_VALUE"""),0.07956383839796079)</f>
        <v>0.0795638384</v>
      </c>
      <c r="V64" s="53">
        <f>IFERROR(__xludf.DUMMYFUNCTION("""COMPUTED_VALUE"""),0.011629328042640127)</f>
        <v>0.01162932804</v>
      </c>
      <c r="W64" s="53">
        <f>IFERROR(__xludf.DUMMYFUNCTION("""COMPUTED_VALUE"""),0.39219664115299)</f>
        <v>0.3921966412</v>
      </c>
      <c r="X64" s="53">
        <f>IFERROR(__xludf.DUMMYFUNCTION("""COMPUTED_VALUE"""),0.5435536661888812)</f>
        <v>0.5435536662</v>
      </c>
      <c r="Y64" s="53">
        <f>IFERROR(__xludf.DUMMYFUNCTION("""COMPUTED_VALUE"""),-0.7371131123753718)</f>
        <v>-0.7371131124</v>
      </c>
      <c r="Z64" s="53">
        <f>IFERROR(__xludf.DUMMYFUNCTION("""COMPUTED_VALUE"""),-0.250025837566625)</f>
        <v>-0.2500258376</v>
      </c>
      <c r="AA64" t="str">
        <f>IFERROR(__xludf.DUMMYFUNCTION("SUBSTITUTE(REGEXREPLACE(REGEXREPLACE(REGEXREPLACE(REGEXREPLACE(REGEXREPLACE(REGEXREPLACE(E64,"","",),IF(Projections!$U$3="""",""PG"",),),IF(Projections!$V$3="""",""SG"",),),IF(Projections!$W$3="""",""SF"",),),IF(Projections!$X$3="""",""PF"",),),IF(Project"&amp;"ions!$Y$3="""",""C"",),),""/"","""")"),"C")</f>
        <v>C</v>
      </c>
    </row>
    <row r="65">
      <c r="A65" t="str">
        <f>IF(Projections!$H$3,Draft!H3,"")</f>
        <v/>
      </c>
      <c r="B65">
        <f>IFERROR(__xludf.DUMMYFUNCTION("""COMPUTED_VALUE"""),60.0)</f>
        <v>60</v>
      </c>
      <c r="C65" t="str">
        <f>IFERROR(__xludf.DUMMYFUNCTION("""COMPUTED_VALUE"""),"Cameron Johnson")</f>
        <v>Cameron Johnson</v>
      </c>
      <c r="D65">
        <f>IFERROR(__xludf.DUMMYFUNCTION("""COMPUTED_VALUE"""),68.0)</f>
        <v>68</v>
      </c>
      <c r="E65" t="str">
        <f>IFERROR(__xludf.DUMMYFUNCTION("""COMPUTED_VALUE"""),"SF,PF")</f>
        <v>SF,PF</v>
      </c>
      <c r="F65" s="53">
        <f>IFERROR(__xludf.DUMMYFUNCTION("""COMPUTED_VALUE"""),0.022532442860348)</f>
        <v>0.02253244286</v>
      </c>
      <c r="G65" s="53">
        <f>IFERROR(__xludf.DUMMYFUNCTION("""COMPUTED_VALUE"""),0.980769369036153)</f>
        <v>0.980769369</v>
      </c>
      <c r="H65" s="53">
        <f>IFERROR(__xludf.DUMMYFUNCTION("""COMPUTED_VALUE"""),0.958236926175805)</f>
        <v>0.9582369262</v>
      </c>
      <c r="I65" s="53">
        <f>IFERROR(__xludf.DUMMYFUNCTION("""COMPUTED_VALUE"""),16.2)</f>
        <v>16.2</v>
      </c>
      <c r="J65" s="53">
        <f>IFERROR(__xludf.DUMMYFUNCTION("""COMPUTED_VALUE"""),3.0)</f>
        <v>3</v>
      </c>
      <c r="K65" s="53">
        <f>IFERROR(__xludf.DUMMYFUNCTION("""COMPUTED_VALUE"""),5.0)</f>
        <v>5</v>
      </c>
      <c r="L65" s="53">
        <f>IFERROR(__xludf.DUMMYFUNCTION("""COMPUTED_VALUE"""),2.0)</f>
        <v>2</v>
      </c>
      <c r="M65" s="53">
        <f>IFERROR(__xludf.DUMMYFUNCTION("""COMPUTED_VALUE"""),1.3)</f>
        <v>1.3</v>
      </c>
      <c r="N65" s="53">
        <f>IFERROR(__xludf.DUMMYFUNCTION("""COMPUTED_VALUE"""),0.3)</f>
        <v>0.3</v>
      </c>
      <c r="O65" s="53">
        <f>IFERROR(__xludf.DUMMYFUNCTION("""COMPUTED_VALUE"""),46.21848739495798)</f>
        <v>46.21848739</v>
      </c>
      <c r="P65" s="53">
        <f>IFERROR(__xludf.DUMMYFUNCTION("""COMPUTED_VALUE"""),84.61538461538461)</f>
        <v>84.61538462</v>
      </c>
      <c r="Q65" s="53">
        <f>IFERROR(__xludf.DUMMYFUNCTION("""COMPUTED_VALUE"""),0.9)</f>
        <v>0.9</v>
      </c>
      <c r="R65" s="53">
        <f>IFERROR(__xludf.DUMMYFUNCTION("""COMPUTED_VALUE"""),-0.17807620498611684)</f>
        <v>-0.178076205</v>
      </c>
      <c r="S65" s="53">
        <f>IFERROR(__xludf.DUMMYFUNCTION("""COMPUTED_VALUE"""),1.1752485492585598)</f>
        <v>1.175248549</v>
      </c>
      <c r="T65" s="53">
        <f>IFERROR(__xludf.DUMMYFUNCTION("""COMPUTED_VALUE"""),-0.45801768448908886)</f>
        <v>-0.4580176845</v>
      </c>
      <c r="U65" s="53">
        <f>IFERROR(__xludf.DUMMYFUNCTION("""COMPUTED_VALUE"""),-0.9404853718323106)</f>
        <v>-0.9404853718</v>
      </c>
      <c r="V65" s="53">
        <f>IFERROR(__xludf.DUMMYFUNCTION("""COMPUTED_VALUE"""),0.6657790304411786)</f>
        <v>0.6657790304</v>
      </c>
      <c r="W65" s="53">
        <f>IFERROR(__xludf.DUMMYFUNCTION("""COMPUTED_VALUE"""),-0.5270142365493308)</f>
        <v>-0.5270142365</v>
      </c>
      <c r="X65" s="53">
        <f>IFERROR(__xludf.DUMMYFUNCTION("""COMPUTED_VALUE"""),-0.40175819917386524)</f>
        <v>-0.4017581992</v>
      </c>
      <c r="Y65" s="53">
        <f>IFERROR(__xludf.DUMMYFUNCTION("""COMPUTED_VALUE"""),0.36475511347157313)</f>
        <v>0.3647551135</v>
      </c>
      <c r="Z65" s="53">
        <f>IFERROR(__xludf.DUMMYFUNCTION("""COMPUTED_VALUE"""),0.33985300106324323)</f>
        <v>0.3398530011</v>
      </c>
      <c r="AA65" t="str">
        <f>IFERROR(__xludf.DUMMYFUNCTION("SUBSTITUTE(REGEXREPLACE(REGEXREPLACE(REGEXREPLACE(REGEXREPLACE(REGEXREPLACE(REGEXREPLACE(E65,"","",),IF(Projections!$U$3="""",""PG"",),),IF(Projections!$V$3="""",""SG"",),),IF(Projections!$W$3="""",""SF"",),),IF(Projections!$X$3="""",""PF"",),),IF(Project"&amp;"ions!$Y$3="""",""C"",),),""/"","""")"),"SFPF")</f>
        <v>SFPF</v>
      </c>
    </row>
    <row r="66">
      <c r="A66" t="str">
        <f>IF(Projections!$H$3,Draft!H4,"")</f>
        <v/>
      </c>
      <c r="B66">
        <f>IFERROR(__xludf.DUMMYFUNCTION("""COMPUTED_VALUE"""),65.0)</f>
        <v>65</v>
      </c>
      <c r="C66" t="str">
        <f>IFERROR(__xludf.DUMMYFUNCTION("""COMPUTED_VALUE"""),"Tyler Herro")</f>
        <v>Tyler Herro</v>
      </c>
      <c r="D66">
        <f>IFERROR(__xludf.DUMMYFUNCTION("""COMPUTED_VALUE"""),67.0)</f>
        <v>67</v>
      </c>
      <c r="E66" t="str">
        <f>IFERROR(__xludf.DUMMYFUNCTION("""COMPUTED_VALUE"""),"PG,SG")</f>
        <v>PG,SG</v>
      </c>
      <c r="F66" s="53">
        <f>IFERROR(__xludf.DUMMYFUNCTION("""COMPUTED_VALUE"""),-0.10325470251580615)</f>
        <v>-0.1032547025</v>
      </c>
      <c r="G66" s="53">
        <f>IFERROR(__xludf.DUMMYFUNCTION("""COMPUTED_VALUE"""),0.9522454295277405)</f>
        <v>0.9522454295</v>
      </c>
      <c r="H66" s="53">
        <f>IFERROR(__xludf.DUMMYFUNCTION("""COMPUTED_VALUE"""),1.0555001320435466)</f>
        <v>1.055500132</v>
      </c>
      <c r="I66" s="53">
        <f>IFERROR(__xludf.DUMMYFUNCTION("""COMPUTED_VALUE"""),20.8)</f>
        <v>20.8</v>
      </c>
      <c r="J66" s="53">
        <f>IFERROR(__xludf.DUMMYFUNCTION("""COMPUTED_VALUE"""),2.9)</f>
        <v>2.9</v>
      </c>
      <c r="K66" s="53">
        <f>IFERROR(__xludf.DUMMYFUNCTION("""COMPUTED_VALUE"""),5.3)</f>
        <v>5.3</v>
      </c>
      <c r="L66" s="53">
        <f>IFERROR(__xludf.DUMMYFUNCTION("""COMPUTED_VALUE"""),4.2)</f>
        <v>4.2</v>
      </c>
      <c r="M66" s="53">
        <f>IFERROR(__xludf.DUMMYFUNCTION("""COMPUTED_VALUE"""),0.7)</f>
        <v>0.7</v>
      </c>
      <c r="N66" s="53">
        <f>IFERROR(__xludf.DUMMYFUNCTION("""COMPUTED_VALUE"""),0.2)</f>
        <v>0.2</v>
      </c>
      <c r="O66" s="53">
        <f>IFERROR(__xludf.DUMMYFUNCTION("""COMPUTED_VALUE"""),44.444444444444436)</f>
        <v>44.44444444</v>
      </c>
      <c r="P66" s="53">
        <f>IFERROR(__xludf.DUMMYFUNCTION("""COMPUTED_VALUE"""),90.32258064516128)</f>
        <v>90.32258065</v>
      </c>
      <c r="Q66" s="53">
        <f>IFERROR(__xludf.DUMMYFUNCTION("""COMPUTED_VALUE"""),2.5)</f>
        <v>2.5</v>
      </c>
      <c r="R66" s="53">
        <f>IFERROR(__xludf.DUMMYFUNCTION("""COMPUTED_VALUE"""),0.597145129022845)</f>
        <v>0.597145129</v>
      </c>
      <c r="S66" s="53">
        <f>IFERROR(__xludf.DUMMYFUNCTION("""COMPUTED_VALUE"""),1.0885356705626503)</f>
        <v>1.088535671</v>
      </c>
      <c r="T66" s="53">
        <f>IFERROR(__xludf.DUMMYFUNCTION("""COMPUTED_VALUE"""),-0.33257157492117045)</f>
        <v>-0.3325715749</v>
      </c>
      <c r="U66" s="53">
        <f>IFERROR(__xludf.DUMMYFUNCTION("""COMPUTED_VALUE"""),0.18156875942098802)</f>
        <v>0.1815687594</v>
      </c>
      <c r="V66" s="53">
        <f>IFERROR(__xludf.DUMMYFUNCTION("""COMPUTED_VALUE"""),-0.6425203743558983)</f>
        <v>-0.6425203744</v>
      </c>
      <c r="W66" s="53">
        <f>IFERROR(__xludf.DUMMYFUNCTION("""COMPUTED_VALUE"""),-0.6583300762210907)</f>
        <v>-0.6583300762</v>
      </c>
      <c r="X66" s="53">
        <f>IFERROR(__xludf.DUMMYFUNCTION("""COMPUTED_VALUE"""),-0.8803334421325975)</f>
        <v>-0.8803334421</v>
      </c>
      <c r="Y66" s="53">
        <f>IFERROR(__xludf.DUMMYFUNCTION("""COMPUTED_VALUE"""),0.875304969591852)</f>
        <v>0.8753049696</v>
      </c>
      <c r="Z66" s="53">
        <f>IFERROR(__xludf.DUMMYFUNCTION("""COMPUTED_VALUE"""),-0.1568870735724353)</f>
        <v>-0.1568870736</v>
      </c>
      <c r="AA66" t="str">
        <f>IFERROR(__xludf.DUMMYFUNCTION("SUBSTITUTE(REGEXREPLACE(REGEXREPLACE(REGEXREPLACE(REGEXREPLACE(REGEXREPLACE(REGEXREPLACE(E66,"","",),IF(Projections!$U$3="""",""PG"",),),IF(Projections!$V$3="""",""SG"",),),IF(Projections!$W$3="""",""SF"",),),IF(Projections!$X$3="""",""PF"",),),IF(Project"&amp;"ions!$Y$3="""",""C"",),),""/"","""")"),"PGSG")</f>
        <v>PGSG</v>
      </c>
    </row>
    <row r="67">
      <c r="A67" t="str">
        <f>IF(Projections!$H$3,Draft!H5,"")</f>
        <v/>
      </c>
      <c r="B67">
        <f>IFERROR(__xludf.DUMMYFUNCTION("""COMPUTED_VALUE"""),76.0)</f>
        <v>76</v>
      </c>
      <c r="C67" t="str">
        <f>IFERROR(__xludf.DUMMYFUNCTION("""COMPUTED_VALUE"""),"Jarrett Allen")</f>
        <v>Jarrett Allen</v>
      </c>
      <c r="D67">
        <f>IFERROR(__xludf.DUMMYFUNCTION("""COMPUTED_VALUE"""),68.0)</f>
        <v>68</v>
      </c>
      <c r="E67" t="str">
        <f>IFERROR(__xludf.DUMMYFUNCTION("""COMPUTED_VALUE"""),"C")</f>
        <v>C</v>
      </c>
      <c r="F67" s="53">
        <f>IFERROR(__xludf.DUMMYFUNCTION("""COMPUTED_VALUE"""),-0.6620812964382108)</f>
        <v>-0.6620812964</v>
      </c>
      <c r="G67" s="53">
        <f>IFERROR(__xludf.DUMMYFUNCTION("""COMPUTED_VALUE"""),0.9491971521678456)</f>
        <v>0.9491971522</v>
      </c>
      <c r="H67" s="53">
        <f>IFERROR(__xludf.DUMMYFUNCTION("""COMPUTED_VALUE"""),1.6112784486060563)</f>
        <v>1.611278449</v>
      </c>
      <c r="I67" s="53">
        <f>IFERROR(__xludf.DUMMYFUNCTION("""COMPUTED_VALUE"""),14.1)</f>
        <v>14.1</v>
      </c>
      <c r="J67" s="53">
        <f>IFERROR(__xludf.DUMMYFUNCTION("""COMPUTED_VALUE"""),0.0)</f>
        <v>0</v>
      </c>
      <c r="K67" s="53">
        <f>IFERROR(__xludf.DUMMYFUNCTION("""COMPUTED_VALUE"""),9.7)</f>
        <v>9.7</v>
      </c>
      <c r="L67" s="53">
        <f>IFERROR(__xludf.DUMMYFUNCTION("""COMPUTED_VALUE"""),1.5)</f>
        <v>1.5</v>
      </c>
      <c r="M67" s="53">
        <f>IFERROR(__xludf.DUMMYFUNCTION("""COMPUTED_VALUE"""),0.7)</f>
        <v>0.7</v>
      </c>
      <c r="N67" s="53">
        <f>IFERROR(__xludf.DUMMYFUNCTION("""COMPUTED_VALUE"""),1.2)</f>
        <v>1.2</v>
      </c>
      <c r="O67" s="53">
        <f>IFERROR(__xludf.DUMMYFUNCTION("""COMPUTED_VALUE"""),65.9090909090909)</f>
        <v>65.90909091</v>
      </c>
      <c r="P67" s="53">
        <f>IFERROR(__xludf.DUMMYFUNCTION("""COMPUTED_VALUE"""),73.52941176470588)</f>
        <v>73.52941176</v>
      </c>
      <c r="Q67" s="53">
        <f>IFERROR(__xludf.DUMMYFUNCTION("""COMPUTED_VALUE"""),1.4)</f>
        <v>1.4</v>
      </c>
      <c r="R67" s="53">
        <f>IFERROR(__xludf.DUMMYFUNCTION("""COMPUTED_VALUE"""),-0.5319815965989035)</f>
        <v>-0.5319815966</v>
      </c>
      <c r="S67" s="53">
        <f>IFERROR(__xludf.DUMMYFUNCTION("""COMPUTED_VALUE"""),-1.4261378116187227)</f>
        <v>-1.426137812</v>
      </c>
      <c r="T67" s="53">
        <f>IFERROR(__xludf.DUMMYFUNCTION("""COMPUTED_VALUE"""),1.5073046987416343)</f>
        <v>1.507304699</v>
      </c>
      <c r="U67" s="53">
        <f>IFERROR(__xludf.DUMMYFUNCTION("""COMPUTED_VALUE"""),-1.1954976743898784)</f>
        <v>-1.195497674</v>
      </c>
      <c r="V67" s="53">
        <f>IFERROR(__xludf.DUMMYFUNCTION("""COMPUTED_VALUE"""),-0.6425203743558983)</f>
        <v>-0.6425203744</v>
      </c>
      <c r="W67" s="53">
        <f>IFERROR(__xludf.DUMMYFUNCTION("""COMPUTED_VALUE"""),0.6548283204965102)</f>
        <v>0.6548283205</v>
      </c>
      <c r="X67" s="53">
        <f>IFERROR(__xludf.DUMMYFUNCTION("""COMPUTED_VALUE"""),1.433707962176812)</f>
        <v>1.433707962</v>
      </c>
      <c r="Y67" s="53">
        <f>IFERROR(__xludf.DUMMYFUNCTION("""COMPUTED_VALUE"""),-0.46126591164202435)</f>
        <v>-0.4612659116</v>
      </c>
      <c r="Z67" s="53">
        <f>IFERROR(__xludf.DUMMYFUNCTION("""COMPUTED_VALUE"""),0.18462172773959373)</f>
        <v>0.1846217277</v>
      </c>
      <c r="AA67" t="str">
        <f>IFERROR(__xludf.DUMMYFUNCTION("SUBSTITUTE(REGEXREPLACE(REGEXREPLACE(REGEXREPLACE(REGEXREPLACE(REGEXREPLACE(REGEXREPLACE(E67,"","",),IF(Projections!$U$3="""",""PG"",),),IF(Projections!$V$3="""",""SG"",),),IF(Projections!$W$3="""",""SF"",),),IF(Projections!$X$3="""",""PF"",),),IF(Project"&amp;"ions!$Y$3="""",""C"",),),""/"","""")"),"C")</f>
        <v>C</v>
      </c>
    </row>
    <row r="68">
      <c r="A68" t="str">
        <f>IF(Projections!$H$3,Draft!H6,"")</f>
        <v/>
      </c>
      <c r="B68">
        <f>IFERROR(__xludf.DUMMYFUNCTION("""COMPUTED_VALUE"""),63.0)</f>
        <v>63</v>
      </c>
      <c r="C68" t="str">
        <f>IFERROR(__xludf.DUMMYFUNCTION("""COMPUTED_VALUE"""),"Kyle Kuzma")</f>
        <v>Kyle Kuzma</v>
      </c>
      <c r="D68">
        <f>IFERROR(__xludf.DUMMYFUNCTION("""COMPUTED_VALUE"""),65.0)</f>
        <v>65</v>
      </c>
      <c r="E68" t="str">
        <f>IFERROR(__xludf.DUMMYFUNCTION("""COMPUTED_VALUE"""),"SF,PF")</f>
        <v>SF,PF</v>
      </c>
      <c r="F68" s="53">
        <f>IFERROR(__xludf.DUMMYFUNCTION("""COMPUTED_VALUE"""),-0.011675885692122301)</f>
        <v>-0.01167588569</v>
      </c>
      <c r="G68" s="53">
        <f>IFERROR(__xludf.DUMMYFUNCTION("""COMPUTED_VALUE"""),0.9281138377285512)</f>
        <v>0.9281138377</v>
      </c>
      <c r="H68" s="53">
        <f>IFERROR(__xludf.DUMMYFUNCTION("""COMPUTED_VALUE"""),0.9397897234206735)</f>
        <v>0.9397897234</v>
      </c>
      <c r="I68" s="53">
        <f>IFERROR(__xludf.DUMMYFUNCTION("""COMPUTED_VALUE"""),22.1)</f>
        <v>22.1</v>
      </c>
      <c r="J68" s="53">
        <f>IFERROR(__xludf.DUMMYFUNCTION("""COMPUTED_VALUE"""),2.6)</f>
        <v>2.6</v>
      </c>
      <c r="K68" s="53">
        <f>IFERROR(__xludf.DUMMYFUNCTION("""COMPUTED_VALUE"""),8.1)</f>
        <v>8.1</v>
      </c>
      <c r="L68" s="53">
        <f>IFERROR(__xludf.DUMMYFUNCTION("""COMPUTED_VALUE"""),3.8)</f>
        <v>3.8</v>
      </c>
      <c r="M68" s="53">
        <f>IFERROR(__xludf.DUMMYFUNCTION("""COMPUTED_VALUE"""),0.7)</f>
        <v>0.7</v>
      </c>
      <c r="N68" s="53">
        <f>IFERROR(__xludf.DUMMYFUNCTION("""COMPUTED_VALUE"""),0.8)</f>
        <v>0.8</v>
      </c>
      <c r="O68" s="53">
        <f>IFERROR(__xludf.DUMMYFUNCTION("""COMPUTED_VALUE"""),44.623655913978496)</f>
        <v>44.62365591</v>
      </c>
      <c r="P68" s="53">
        <f>IFERROR(__xludf.DUMMYFUNCTION("""COMPUTED_VALUE"""),72.5)</f>
        <v>72.5</v>
      </c>
      <c r="Q68" s="53">
        <f>IFERROR(__xludf.DUMMYFUNCTION("""COMPUTED_VALUE"""),3.2)</f>
        <v>3.2</v>
      </c>
      <c r="R68" s="53">
        <f>IFERROR(__xludf.DUMMYFUNCTION("""COMPUTED_VALUE"""),0.816229419068856)</f>
        <v>0.8162294191</v>
      </c>
      <c r="S68" s="53">
        <f>IFERROR(__xludf.DUMMYFUNCTION("""COMPUTED_VALUE"""),0.8283970344749224)</f>
        <v>0.8283970345</v>
      </c>
      <c r="T68" s="53">
        <f>IFERROR(__xludf.DUMMYFUNCTION("""COMPUTED_VALUE"""),0.838258781046069)</f>
        <v>0.838258781</v>
      </c>
      <c r="U68" s="53">
        <f>IFERROR(__xludf.DUMMYFUNCTION("""COMPUTED_VALUE"""),-0.022441082625066444)</f>
        <v>-0.02244108263</v>
      </c>
      <c r="V68" s="53">
        <f>IFERROR(__xludf.DUMMYFUNCTION("""COMPUTED_VALUE"""),-0.6425203743558983)</f>
        <v>-0.6425203744</v>
      </c>
      <c r="W68" s="53">
        <f>IFERROR(__xludf.DUMMYFUNCTION("""COMPUTED_VALUE"""),0.12956496180946983)</f>
        <v>0.1295649618</v>
      </c>
      <c r="X68" s="53">
        <f>IFERROR(__xludf.DUMMYFUNCTION("""COMPUTED_VALUE"""),-0.9242601729244231)</f>
        <v>-0.9242601729</v>
      </c>
      <c r="Y68" s="53">
        <f>IFERROR(__xludf.DUMMYFUNCTION("""COMPUTED_VALUE"""),-0.6451640454642568)</f>
        <v>-0.6451640455</v>
      </c>
      <c r="Z68" s="53">
        <f>IFERROR(__xludf.DUMMYFUNCTION("""COMPUTED_VALUE"""),-0.37421085622554473)</f>
        <v>-0.3742108562</v>
      </c>
      <c r="AA68" t="str">
        <f>IFERROR(__xludf.DUMMYFUNCTION("SUBSTITUTE(REGEXREPLACE(REGEXREPLACE(REGEXREPLACE(REGEXREPLACE(REGEXREPLACE(REGEXREPLACE(E68,"","",),IF(Projections!$U$3="""",""PG"",),),IF(Projections!$V$3="""",""SG"",),),IF(Projections!$W$3="""",""SF"",),),IF(Projections!$X$3="""",""PF"",),),IF(Project"&amp;"ions!$Y$3="""",""C"",),),""/"","""")"),"SFPF")</f>
        <v>SFPF</v>
      </c>
    </row>
    <row r="69">
      <c r="A69" t="str">
        <f>IF(Projections!$H$3,Draft!H7,"")</f>
        <v/>
      </c>
      <c r="B69">
        <f>IFERROR(__xludf.DUMMYFUNCTION("""COMPUTED_VALUE"""),57.0)</f>
        <v>57</v>
      </c>
      <c r="C69" t="str">
        <f>IFERROR(__xludf.DUMMYFUNCTION("""COMPUTED_VALUE"""),"Brandon Ingram")</f>
        <v>Brandon Ingram</v>
      </c>
      <c r="D69">
        <f>IFERROR(__xludf.DUMMYFUNCTION("""COMPUTED_VALUE"""),60.0)</f>
        <v>60</v>
      </c>
      <c r="E69" t="str">
        <f>IFERROR(__xludf.DUMMYFUNCTION("""COMPUTED_VALUE"""),"SG,SF,PF")</f>
        <v>SG,SF,PF</v>
      </c>
      <c r="F69" s="53">
        <f>IFERROR(__xludf.DUMMYFUNCTION("""COMPUTED_VALUE"""),0.13316962359273943)</f>
        <v>0.1331696236</v>
      </c>
      <c r="G69" s="53">
        <f>IFERROR(__xludf.DUMMYFUNCTION("""COMPUTED_VALUE"""),0.9040778253230328)</f>
        <v>0.9040778253</v>
      </c>
      <c r="H69" s="53">
        <f>IFERROR(__xludf.DUMMYFUNCTION("""COMPUTED_VALUE"""),0.7709082017302934)</f>
        <v>0.7709082017</v>
      </c>
      <c r="I69" s="53">
        <f>IFERROR(__xludf.DUMMYFUNCTION("""COMPUTED_VALUE"""),23.0)</f>
        <v>23</v>
      </c>
      <c r="J69" s="53">
        <f>IFERROR(__xludf.DUMMYFUNCTION("""COMPUTED_VALUE"""),1.3)</f>
        <v>1.3</v>
      </c>
      <c r="K69" s="53">
        <f>IFERROR(__xludf.DUMMYFUNCTION("""COMPUTED_VALUE"""),5.5)</f>
        <v>5.5</v>
      </c>
      <c r="L69" s="53">
        <f>IFERROR(__xludf.DUMMYFUNCTION("""COMPUTED_VALUE"""),5.5)</f>
        <v>5.5</v>
      </c>
      <c r="M69" s="53">
        <f>IFERROR(__xludf.DUMMYFUNCTION("""COMPUTED_VALUE"""),0.7)</f>
        <v>0.7</v>
      </c>
      <c r="N69" s="53">
        <f>IFERROR(__xludf.DUMMYFUNCTION("""COMPUTED_VALUE"""),0.4)</f>
        <v>0.4</v>
      </c>
      <c r="O69" s="53">
        <f>IFERROR(__xludf.DUMMYFUNCTION("""COMPUTED_VALUE"""),46.89265536723165)</f>
        <v>46.89265537</v>
      </c>
      <c r="P69" s="53">
        <f>IFERROR(__xludf.DUMMYFUNCTION("""COMPUTED_VALUE"""),84.48275862068967)</f>
        <v>84.48275862</v>
      </c>
      <c r="Q69" s="53">
        <f>IFERROR(__xludf.DUMMYFUNCTION("""COMPUTED_VALUE"""),2.9)</f>
        <v>2.9</v>
      </c>
      <c r="R69" s="53">
        <f>IFERROR(__xludf.DUMMYFUNCTION("""COMPUTED_VALUE"""),0.9679031583314787)</f>
        <v>0.9679031583</v>
      </c>
      <c r="S69" s="53">
        <f>IFERROR(__xludf.DUMMYFUNCTION("""COMPUTED_VALUE"""),-0.2988703885719002)</f>
        <v>-0.2988703886</v>
      </c>
      <c r="T69" s="53">
        <f>IFERROR(__xludf.DUMMYFUNCTION("""COMPUTED_VALUE"""),-0.24894083520922466)</f>
        <v>-0.2489408352</v>
      </c>
      <c r="U69" s="53">
        <f>IFERROR(__xludf.DUMMYFUNCTION("""COMPUTED_VALUE"""),0.8446007460706644)</f>
        <v>0.8446007461</v>
      </c>
      <c r="V69" s="53">
        <f>IFERROR(__xludf.DUMMYFUNCTION("""COMPUTED_VALUE"""),-0.6425203743558983)</f>
        <v>-0.6425203744</v>
      </c>
      <c r="W69" s="53">
        <f>IFERROR(__xludf.DUMMYFUNCTION("""COMPUTED_VALUE"""),-0.39569839687757064)</f>
        <v>-0.3956983969</v>
      </c>
      <c r="X69" s="53">
        <f>IFERROR(__xludf.DUMMYFUNCTION("""COMPUTED_VALUE"""),-0.47838082217452865)</f>
        <v>-0.4783808222</v>
      </c>
      <c r="Y69" s="53">
        <f>IFERROR(__xludf.DUMMYFUNCTION("""COMPUTED_VALUE"""),0.7945364559854688)</f>
        <v>0.794536456</v>
      </c>
      <c r="Z69" s="53">
        <f>IFERROR(__xludf.DUMMYFUNCTION("""COMPUTED_VALUE"""),-0.28107209223135493)</f>
        <v>-0.2810720922</v>
      </c>
      <c r="AA69" t="str">
        <f>IFERROR(__xludf.DUMMYFUNCTION("SUBSTITUTE(REGEXREPLACE(REGEXREPLACE(REGEXREPLACE(REGEXREPLACE(REGEXREPLACE(REGEXREPLACE(E69,"","",),IF(Projections!$U$3="""",""PG"",),),IF(Projections!$V$3="""",""SG"",),),IF(Projections!$W$3="""",""SF"",),),IF(Projections!$X$3="""",""PF"",),),IF(Project"&amp;"ions!$Y$3="""",""C"",),),""/"","""")"),"SGSFPF")</f>
        <v>SGSFPF</v>
      </c>
    </row>
    <row r="70">
      <c r="A70" t="str">
        <f>IF(Projections!$H$3,Draft!H8,"")</f>
        <v/>
      </c>
      <c r="B70">
        <f>IFERROR(__xludf.DUMMYFUNCTION("""COMPUTED_VALUE"""),56.0)</f>
        <v>56</v>
      </c>
      <c r="C70" t="str">
        <f>IFERROR(__xludf.DUMMYFUNCTION("""COMPUTED_VALUE"""),"Bradley Beal")</f>
        <v>Bradley Beal</v>
      </c>
      <c r="D70">
        <f>IFERROR(__xludf.DUMMYFUNCTION("""COMPUTED_VALUE"""),62.0)</f>
        <v>62</v>
      </c>
      <c r="E70" t="str">
        <f>IFERROR(__xludf.DUMMYFUNCTION("""COMPUTED_VALUE"""),"PG,SG")</f>
        <v>PG,SG</v>
      </c>
      <c r="F70" s="53">
        <f>IFERROR(__xludf.DUMMYFUNCTION("""COMPUTED_VALUE"""),0.16176672740822007)</f>
        <v>0.1617667274</v>
      </c>
      <c r="G70" s="53">
        <f>IFERROR(__xludf.DUMMYFUNCTION("""COMPUTED_VALUE"""),0.8235662545802251)</f>
        <v>0.8235662546</v>
      </c>
      <c r="H70" s="53">
        <f>IFERROR(__xludf.DUMMYFUNCTION("""COMPUTED_VALUE"""),0.6617995271720051)</f>
        <v>0.6617995272</v>
      </c>
      <c r="I70" s="53">
        <f>IFERROR(__xludf.DUMMYFUNCTION("""COMPUTED_VALUE"""),20.8)</f>
        <v>20.8</v>
      </c>
      <c r="J70" s="53">
        <f>IFERROR(__xludf.DUMMYFUNCTION("""COMPUTED_VALUE"""),1.6)</f>
        <v>1.6</v>
      </c>
      <c r="K70" s="53">
        <f>IFERROR(__xludf.DUMMYFUNCTION("""COMPUTED_VALUE"""),4.2)</f>
        <v>4.2</v>
      </c>
      <c r="L70" s="53">
        <f>IFERROR(__xludf.DUMMYFUNCTION("""COMPUTED_VALUE"""),5.7)</f>
        <v>5.7</v>
      </c>
      <c r="M70" s="53">
        <f>IFERROR(__xludf.DUMMYFUNCTION("""COMPUTED_VALUE"""),0.9)</f>
        <v>0.9</v>
      </c>
      <c r="N70" s="53">
        <f>IFERROR(__xludf.DUMMYFUNCTION("""COMPUTED_VALUE"""),0.5)</f>
        <v>0.5</v>
      </c>
      <c r="O70" s="53">
        <f>IFERROR(__xludf.DUMMYFUNCTION("""COMPUTED_VALUE"""),47.5)</f>
        <v>47.5</v>
      </c>
      <c r="P70" s="53">
        <f>IFERROR(__xludf.DUMMYFUNCTION("""COMPUTED_VALUE"""),82.97872340425532)</f>
        <v>82.9787234</v>
      </c>
      <c r="Q70" s="53">
        <f>IFERROR(__xludf.DUMMYFUNCTION("""COMPUTED_VALUE"""),3.1)</f>
        <v>3.1</v>
      </c>
      <c r="R70" s="53">
        <f>IFERROR(__xludf.DUMMYFUNCTION("""COMPUTED_VALUE"""),0.597145129022845)</f>
        <v>0.597145129</v>
      </c>
      <c r="S70" s="53">
        <f>IFERROR(__xludf.DUMMYFUNCTION("""COMPUTED_VALUE"""),-0.03873175248417188)</f>
        <v>-0.03873175248</v>
      </c>
      <c r="T70" s="53">
        <f>IFERROR(__xludf.DUMMYFUNCTION("""COMPUTED_VALUE"""),-0.7925406433368716)</f>
        <v>-0.7925406433</v>
      </c>
      <c r="U70" s="53">
        <f>IFERROR(__xludf.DUMMYFUNCTION("""COMPUTED_VALUE"""),0.9466056670936915)</f>
        <v>0.9466056671</v>
      </c>
      <c r="V70" s="53">
        <f>IFERROR(__xludf.DUMMYFUNCTION("""COMPUTED_VALUE"""),-0.2064205727568726)</f>
        <v>-0.2064205728</v>
      </c>
      <c r="W70" s="53">
        <f>IFERROR(__xludf.DUMMYFUNCTION("""COMPUTED_VALUE"""),-0.2643825572058105)</f>
        <v>-0.2643825572</v>
      </c>
      <c r="X70" s="53">
        <f>IFERROR(__xludf.DUMMYFUNCTION("""COMPUTED_VALUE"""),-0.3353697912160603)</f>
        <v>-0.3353697912</v>
      </c>
      <c r="Y70" s="53">
        <f>IFERROR(__xludf.DUMMYFUNCTION("""COMPUTED_VALUE"""),0.4678847336874187)</f>
        <v>0.4678847337</v>
      </c>
      <c r="Z70" s="53">
        <f>IFERROR(__xludf.DUMMYFUNCTION("""COMPUTED_VALUE"""),-0.3431646015608148)</f>
        <v>-0.3431646016</v>
      </c>
      <c r="AA70" t="str">
        <f>IFERROR(__xludf.DUMMYFUNCTION("SUBSTITUTE(REGEXREPLACE(REGEXREPLACE(REGEXREPLACE(REGEXREPLACE(REGEXREPLACE(REGEXREPLACE(E70,"","",),IF(Projections!$U$3="""",""PG"",),),IF(Projections!$V$3="""",""SG"",),),IF(Projections!$W$3="""",""SF"",),),IF(Projections!$X$3="""",""PF"",),),IF(Project"&amp;"ions!$Y$3="""",""C"",),),""/"","""")"),"PGSG")</f>
        <v>PGSG</v>
      </c>
    </row>
    <row r="71">
      <c r="A71" t="str">
        <f>IF(Projections!$H$3,Draft!H9,"")</f>
        <v/>
      </c>
      <c r="B71">
        <f>IFERROR(__xludf.DUMMYFUNCTION("""COMPUTED_VALUE"""),70.0)</f>
        <v>70</v>
      </c>
      <c r="C71" t="str">
        <f>IFERROR(__xludf.DUMMYFUNCTION("""COMPUTED_VALUE"""),"Chet Holmgren")</f>
        <v>Chet Holmgren</v>
      </c>
      <c r="D71">
        <f>IFERROR(__xludf.DUMMYFUNCTION("""COMPUTED_VALUE"""),64.0)</f>
        <v>64</v>
      </c>
      <c r="E71" t="str">
        <f>IFERROR(__xludf.DUMMYFUNCTION("""COMPUTED_VALUE"""),"PF,C")</f>
        <v>PF,C</v>
      </c>
      <c r="F71" s="53">
        <f>IFERROR(__xludf.DUMMYFUNCTION("""COMPUTED_VALUE"""),-0.34816147586178403)</f>
        <v>-0.3481614759</v>
      </c>
      <c r="G71" s="53">
        <f>IFERROR(__xludf.DUMMYFUNCTION("""COMPUTED_VALUE"""),0.8202320935307801)</f>
        <v>0.8202320935</v>
      </c>
      <c r="H71" s="53">
        <f>IFERROR(__xludf.DUMMYFUNCTION("""COMPUTED_VALUE"""),1.1683935693925642)</f>
        <v>1.168393569</v>
      </c>
      <c r="I71" s="53">
        <f>IFERROR(__xludf.DUMMYFUNCTION("""COMPUTED_VALUE"""),14.3)</f>
        <v>14.3</v>
      </c>
      <c r="J71" s="53">
        <f>IFERROR(__xludf.DUMMYFUNCTION("""COMPUTED_VALUE"""),1.3)</f>
        <v>1.3</v>
      </c>
      <c r="K71" s="53">
        <f>IFERROR(__xludf.DUMMYFUNCTION("""COMPUTED_VALUE"""),9.2)</f>
        <v>9.2</v>
      </c>
      <c r="L71" s="53">
        <f>IFERROR(__xludf.DUMMYFUNCTION("""COMPUTED_VALUE"""),1.6)</f>
        <v>1.6</v>
      </c>
      <c r="M71" s="53">
        <f>IFERROR(__xludf.DUMMYFUNCTION("""COMPUTED_VALUE"""),0.5)</f>
        <v>0.5</v>
      </c>
      <c r="N71" s="53">
        <f>IFERROR(__xludf.DUMMYFUNCTION("""COMPUTED_VALUE"""),2.0)</f>
        <v>2</v>
      </c>
      <c r="O71" s="53">
        <f>IFERROR(__xludf.DUMMYFUNCTION("""COMPUTED_VALUE"""),48.07692307692307)</f>
        <v>48.07692308</v>
      </c>
      <c r="P71" s="53">
        <f>IFERROR(__xludf.DUMMYFUNCTION("""COMPUTED_VALUE"""),75.0)</f>
        <v>75</v>
      </c>
      <c r="Q71" s="53">
        <f>IFERROR(__xludf.DUMMYFUNCTION("""COMPUTED_VALUE"""),1.2)</f>
        <v>1.2</v>
      </c>
      <c r="R71" s="53">
        <f>IFERROR(__xludf.DUMMYFUNCTION("""COMPUTED_VALUE"""),-0.49827632120720944)</f>
        <v>-0.4982763212</v>
      </c>
      <c r="S71" s="53">
        <f>IFERROR(__xludf.DUMMYFUNCTION("""COMPUTED_VALUE"""),-0.2988703885719002)</f>
        <v>-0.2988703886</v>
      </c>
      <c r="T71" s="53">
        <f>IFERROR(__xludf.DUMMYFUNCTION("""COMPUTED_VALUE"""),1.29822784946177)</f>
        <v>1.298227849</v>
      </c>
      <c r="U71" s="53">
        <f>IFERROR(__xludf.DUMMYFUNCTION("""COMPUTED_VALUE"""),-1.144495213878365)</f>
        <v>-1.144495214</v>
      </c>
      <c r="V71" s="53">
        <f>IFERROR(__xludf.DUMMYFUNCTION("""COMPUTED_VALUE"""),-1.0786201759549239)</f>
        <v>-1.078620176</v>
      </c>
      <c r="W71" s="53">
        <f>IFERROR(__xludf.DUMMYFUNCTION("""COMPUTED_VALUE"""),1.705355037870591)</f>
        <v>1.705355038</v>
      </c>
      <c r="X71" s="53">
        <f>IFERROR(__xludf.DUMMYFUNCTION("""COMPUTED_VALUE"""),-0.15805846253689695)</f>
        <v>-0.1580584625</v>
      </c>
      <c r="Y71" s="53">
        <f>IFERROR(__xludf.DUMMYFUNCTION("""COMPUTED_VALUE"""),-0.3962396825997042)</f>
        <v>-0.3962396826</v>
      </c>
      <c r="Z71" s="53">
        <f>IFERROR(__xludf.DUMMYFUNCTION("""COMPUTED_VALUE"""),0.24671423706905354)</f>
        <v>0.2467142371</v>
      </c>
      <c r="AA71" t="str">
        <f>IFERROR(__xludf.DUMMYFUNCTION("SUBSTITUTE(REGEXREPLACE(REGEXREPLACE(REGEXREPLACE(REGEXREPLACE(REGEXREPLACE(REGEXREPLACE(E71,"","",),IF(Projections!$U$3="""",""PG"",),),IF(Projections!$V$3="""",""SG"",),),IF(Projections!$W$3="""",""SF"",),),IF(Projections!$X$3="""",""PF"",),),IF(Project"&amp;"ions!$Y$3="""",""C"",),),""/"","""")"),"PFC")</f>
        <v>PFC</v>
      </c>
    </row>
    <row r="72">
      <c r="A72" t="str">
        <f>IF(Projections!$H$3,Draft!H10,"")</f>
        <v/>
      </c>
      <c r="B72">
        <f>IFERROR(__xludf.DUMMYFUNCTION("""COMPUTED_VALUE"""),62.0)</f>
        <v>62</v>
      </c>
      <c r="C72" t="str">
        <f>IFERROR(__xludf.DUMMYFUNCTION("""COMPUTED_VALUE"""),"Scottie Barnes")</f>
        <v>Scottie Barnes</v>
      </c>
      <c r="D72">
        <f>IFERROR(__xludf.DUMMYFUNCTION("""COMPUTED_VALUE"""),76.0)</f>
        <v>76</v>
      </c>
      <c r="E72" t="str">
        <f>IFERROR(__xludf.DUMMYFUNCTION("""COMPUTED_VALUE"""),"SF,PF")</f>
        <v>SF,PF</v>
      </c>
      <c r="F72" s="53">
        <f>IFERROR(__xludf.DUMMYFUNCTION("""COMPUTED_VALUE"""),-0.009037297330294312)</f>
        <v>-0.00903729733</v>
      </c>
      <c r="G72" s="53">
        <f>IFERROR(__xludf.DUMMYFUNCTION("""COMPUTED_VALUE"""),0.7601529830819346)</f>
        <v>0.7601529831</v>
      </c>
      <c r="H72" s="53">
        <f>IFERROR(__xludf.DUMMYFUNCTION("""COMPUTED_VALUE"""),0.7691902804122289)</f>
        <v>0.7691902804</v>
      </c>
      <c r="I72" s="53">
        <f>IFERROR(__xludf.DUMMYFUNCTION("""COMPUTED_VALUE"""),15.0)</f>
        <v>15</v>
      </c>
      <c r="J72" s="53">
        <f>IFERROR(__xludf.DUMMYFUNCTION("""COMPUTED_VALUE"""),0.8)</f>
        <v>0.8</v>
      </c>
      <c r="K72" s="53">
        <f>IFERROR(__xludf.DUMMYFUNCTION("""COMPUTED_VALUE"""),6.9)</f>
        <v>6.9</v>
      </c>
      <c r="L72" s="53">
        <f>IFERROR(__xludf.DUMMYFUNCTION("""COMPUTED_VALUE"""),5.1)</f>
        <v>5.1</v>
      </c>
      <c r="M72" s="53">
        <f>IFERROR(__xludf.DUMMYFUNCTION("""COMPUTED_VALUE"""),1.1)</f>
        <v>1.1</v>
      </c>
      <c r="N72" s="53">
        <f>IFERROR(__xludf.DUMMYFUNCTION("""COMPUTED_VALUE"""),0.8)</f>
        <v>0.8</v>
      </c>
      <c r="O72" s="53">
        <f>IFERROR(__xludf.DUMMYFUNCTION("""COMPUTED_VALUE"""),47.61904761904762)</f>
        <v>47.61904762</v>
      </c>
      <c r="P72" s="53">
        <f>IFERROR(__xludf.DUMMYFUNCTION("""COMPUTED_VALUE"""),79.31034482758619)</f>
        <v>79.31034483</v>
      </c>
      <c r="Q72" s="53">
        <f>IFERROR(__xludf.DUMMYFUNCTION("""COMPUTED_VALUE"""),1.9)</f>
        <v>1.9</v>
      </c>
      <c r="R72" s="53">
        <f>IFERROR(__xludf.DUMMYFUNCTION("""COMPUTED_VALUE"""),-0.3803078573362806)</f>
        <v>-0.3803078573</v>
      </c>
      <c r="S72" s="53">
        <f>IFERROR(__xludf.DUMMYFUNCTION("""COMPUTED_VALUE"""),-0.7324347820514473)</f>
        <v>-0.7324347821</v>
      </c>
      <c r="T72" s="53">
        <f>IFERROR(__xludf.DUMMYFUNCTION("""COMPUTED_VALUE"""),0.33647434277439525)</f>
        <v>0.3364743428</v>
      </c>
      <c r="U72" s="53">
        <f>IFERROR(__xludf.DUMMYFUNCTION("""COMPUTED_VALUE"""),0.6405909040246098)</f>
        <v>0.640590904</v>
      </c>
      <c r="V72" s="53">
        <f>IFERROR(__xludf.DUMMYFUNCTION("""COMPUTED_VALUE"""),0.22967922884215308)</f>
        <v>0.2296792288</v>
      </c>
      <c r="W72" s="53">
        <f>IFERROR(__xludf.DUMMYFUNCTION("""COMPUTED_VALUE"""),0.12956496180946983)</f>
        <v>0.1295649618</v>
      </c>
      <c r="X72" s="53">
        <f>IFERROR(__xludf.DUMMYFUNCTION("""COMPUTED_VALUE"""),-0.24912073514426122)</f>
        <v>-0.2491207351</v>
      </c>
      <c r="Y72" s="53">
        <f>IFERROR(__xludf.DUMMYFUNCTION("""COMPUTED_VALUE"""),0.023881683695904318)</f>
        <v>0.0238816837</v>
      </c>
      <c r="Z72" s="53">
        <f>IFERROR(__xludf.DUMMYFUNCTION("""COMPUTED_VALUE"""),0.029390454415944182)</f>
        <v>0.02939045442</v>
      </c>
      <c r="AA72" t="str">
        <f>IFERROR(__xludf.DUMMYFUNCTION("SUBSTITUTE(REGEXREPLACE(REGEXREPLACE(REGEXREPLACE(REGEXREPLACE(REGEXREPLACE(REGEXREPLACE(E72,"","",),IF(Projections!$U$3="""",""PG"",),),IF(Projections!$V$3="""",""SG"",),),IF(Projections!$W$3="""",""SF"",),),IF(Projections!$X$3="""",""PF"",),),IF(Project"&amp;"ions!$Y$3="""",""C"",),),""/"","""")"),"SFPF")</f>
        <v>SFPF</v>
      </c>
    </row>
    <row r="73">
      <c r="A73" t="str">
        <f>IF(Projections!$H$3,Draft!H11,"")</f>
        <v/>
      </c>
      <c r="B73">
        <f>IFERROR(__xludf.DUMMYFUNCTION("""COMPUTED_VALUE"""),80.0)</f>
        <v>80</v>
      </c>
      <c r="C73" t="str">
        <f>IFERROR(__xludf.DUMMYFUNCTION("""COMPUTED_VALUE"""),"D'Angelo Russell")</f>
        <v>D'Angelo Russell</v>
      </c>
      <c r="D73">
        <f>IFERROR(__xludf.DUMMYFUNCTION("""COMPUTED_VALUE"""),70.0)</f>
        <v>70</v>
      </c>
      <c r="E73" t="str">
        <f>IFERROR(__xludf.DUMMYFUNCTION("""COMPUTED_VALUE"""),"PG,SG")</f>
        <v>PG,SG</v>
      </c>
      <c r="F73" s="53">
        <f>IFERROR(__xludf.DUMMYFUNCTION("""COMPUTED_VALUE"""),-0.7488240870115215)</f>
        <v>-0.748824087</v>
      </c>
      <c r="G73" s="53">
        <f>IFERROR(__xludf.DUMMYFUNCTION("""COMPUTED_VALUE"""),0.727002165468104)</f>
        <v>0.7270021655</v>
      </c>
      <c r="H73" s="53">
        <f>IFERROR(__xludf.DUMMYFUNCTION("""COMPUTED_VALUE"""),1.4758262524796255)</f>
        <v>1.475826252</v>
      </c>
      <c r="I73" s="53">
        <f>IFERROR(__xludf.DUMMYFUNCTION("""COMPUTED_VALUE"""),16.9)</f>
        <v>16.9</v>
      </c>
      <c r="J73" s="53">
        <f>IFERROR(__xludf.DUMMYFUNCTION("""COMPUTED_VALUE"""),2.6)</f>
        <v>2.6</v>
      </c>
      <c r="K73" s="53">
        <f>IFERROR(__xludf.DUMMYFUNCTION("""COMPUTED_VALUE"""),3.0)</f>
        <v>3</v>
      </c>
      <c r="L73" s="53">
        <f>IFERROR(__xludf.DUMMYFUNCTION("""COMPUTED_VALUE"""),6.2)</f>
        <v>6.2</v>
      </c>
      <c r="M73" s="53">
        <f>IFERROR(__xludf.DUMMYFUNCTION("""COMPUTED_VALUE"""),0.9)</f>
        <v>0.9</v>
      </c>
      <c r="N73" s="53">
        <f>IFERROR(__xludf.DUMMYFUNCTION("""COMPUTED_VALUE"""),0.4)</f>
        <v>0.4</v>
      </c>
      <c r="O73" s="53">
        <f>IFERROR(__xludf.DUMMYFUNCTION("""COMPUTED_VALUE"""),44.3609022556391)</f>
        <v>44.36090226</v>
      </c>
      <c r="P73" s="53">
        <f>IFERROR(__xludf.DUMMYFUNCTION("""COMPUTED_VALUE"""),81.25)</f>
        <v>81.25</v>
      </c>
      <c r="Q73" s="53">
        <f>IFERROR(__xludf.DUMMYFUNCTION("""COMPUTED_VALUE"""),2.4)</f>
        <v>2.4</v>
      </c>
      <c r="R73" s="53">
        <f>IFERROR(__xludf.DUMMYFUNCTION("""COMPUTED_VALUE"""),-0.06010774111518802)</f>
        <v>-0.06010774112</v>
      </c>
      <c r="S73" s="53">
        <f>IFERROR(__xludf.DUMMYFUNCTION("""COMPUTED_VALUE"""),0.8283970344749224)</f>
        <v>0.8283970345</v>
      </c>
      <c r="T73" s="53">
        <f>IFERROR(__xludf.DUMMYFUNCTION("""COMPUTED_VALUE"""),-1.2943250816085456)</f>
        <v>-1.294325082</v>
      </c>
      <c r="U73" s="53">
        <f>IFERROR(__xludf.DUMMYFUNCTION("""COMPUTED_VALUE"""),1.2016179696512597)</f>
        <v>1.20161797</v>
      </c>
      <c r="V73" s="53">
        <f>IFERROR(__xludf.DUMMYFUNCTION("""COMPUTED_VALUE"""),-0.2064205727568726)</f>
        <v>-0.2064205728</v>
      </c>
      <c r="W73" s="53">
        <f>IFERROR(__xludf.DUMMYFUNCTION("""COMPUTED_VALUE"""),-0.39569839687757064)</f>
        <v>-0.3956983969</v>
      </c>
      <c r="X73" s="53">
        <f>IFERROR(__xludf.DUMMYFUNCTION("""COMPUTED_VALUE"""),-0.6958022886500829)</f>
        <v>-0.6958022887</v>
      </c>
      <c r="Y73" s="53">
        <f>IFERROR(__xludf.DUMMYFUNCTION("""COMPUTED_VALUE"""),0.1808569796493414)</f>
        <v>0.1808569796</v>
      </c>
      <c r="Z73" s="53">
        <f>IFERROR(__xludf.DUMMYFUNCTION("""COMPUTED_VALUE"""),-0.12584081890770538)</f>
        <v>-0.1258408189</v>
      </c>
      <c r="AA73" t="str">
        <f>IFERROR(__xludf.DUMMYFUNCTION("SUBSTITUTE(REGEXREPLACE(REGEXREPLACE(REGEXREPLACE(REGEXREPLACE(REGEXREPLACE(REGEXREPLACE(E73,"","",),IF(Projections!$U$3="""",""PG"",),),IF(Projections!$V$3="""",""SG"",),),IF(Projections!$W$3="""",""SF"",),),IF(Projections!$X$3="""",""PF"",),),IF(Project"&amp;"ions!$Y$3="""",""C"",),),""/"","""")"),"PGSG")</f>
        <v>PGSG</v>
      </c>
    </row>
    <row r="74">
      <c r="A74" t="str">
        <f>IF(Projections!$H$3,Draft!H12,"")</f>
        <v/>
      </c>
      <c r="B74">
        <f>IFERROR(__xludf.DUMMYFUNCTION("""COMPUTED_VALUE"""),78.0)</f>
        <v>78</v>
      </c>
      <c r="C74" t="str">
        <f>IFERROR(__xludf.DUMMYFUNCTION("""COMPUTED_VALUE"""),"Klay Thompson")</f>
        <v>Klay Thompson</v>
      </c>
      <c r="D74">
        <f>IFERROR(__xludf.DUMMYFUNCTION("""COMPUTED_VALUE"""),68.0)</f>
        <v>68</v>
      </c>
      <c r="E74" t="str">
        <f>IFERROR(__xludf.DUMMYFUNCTION("""COMPUTED_VALUE"""),"SG,SF")</f>
        <v>SG,SF</v>
      </c>
      <c r="F74" s="53">
        <f>IFERROR(__xludf.DUMMYFUNCTION("""COMPUTED_VALUE"""),-0.7236982368779811)</f>
        <v>-0.7236982369</v>
      </c>
      <c r="G74" s="53">
        <f>IFERROR(__xludf.DUMMYFUNCTION("""COMPUTED_VALUE"""),0.7092912966210585)</f>
        <v>0.7092912966</v>
      </c>
      <c r="H74" s="53">
        <f>IFERROR(__xludf.DUMMYFUNCTION("""COMPUTED_VALUE"""),1.4329895334990397)</f>
        <v>1.432989533</v>
      </c>
      <c r="I74" s="53">
        <f>IFERROR(__xludf.DUMMYFUNCTION("""COMPUTED_VALUE"""),21.2)</f>
        <v>21.2</v>
      </c>
      <c r="J74" s="53">
        <f>IFERROR(__xludf.DUMMYFUNCTION("""COMPUTED_VALUE"""),4.2)</f>
        <v>4.2</v>
      </c>
      <c r="K74" s="53">
        <f>IFERROR(__xludf.DUMMYFUNCTION("""COMPUTED_VALUE"""),4.0)</f>
        <v>4</v>
      </c>
      <c r="L74" s="53">
        <f>IFERROR(__xludf.DUMMYFUNCTION("""COMPUTED_VALUE"""),2.4)</f>
        <v>2.4</v>
      </c>
      <c r="M74" s="53">
        <f>IFERROR(__xludf.DUMMYFUNCTION("""COMPUTED_VALUE"""),0.6)</f>
        <v>0.6</v>
      </c>
      <c r="N74" s="53">
        <f>IFERROR(__xludf.DUMMYFUNCTION("""COMPUTED_VALUE"""),0.5)</f>
        <v>0.5</v>
      </c>
      <c r="O74" s="53">
        <f>IFERROR(__xludf.DUMMYFUNCTION("""COMPUTED_VALUE"""),43.258426966292134)</f>
        <v>43.25842697</v>
      </c>
      <c r="P74" s="53">
        <f>IFERROR(__xludf.DUMMYFUNCTION("""COMPUTED_VALUE"""),88.8888888888889)</f>
        <v>88.88888889</v>
      </c>
      <c r="Q74" s="53">
        <f>IFERROR(__xludf.DUMMYFUNCTION("""COMPUTED_VALUE"""),1.6)</f>
        <v>1.6</v>
      </c>
      <c r="R74" s="53">
        <f>IFERROR(__xludf.DUMMYFUNCTION("""COMPUTED_VALUE"""),0.6645556798062328)</f>
        <v>0.6645556798</v>
      </c>
      <c r="S74" s="53">
        <f>IFERROR(__xludf.DUMMYFUNCTION("""COMPUTED_VALUE"""),2.215803093609473)</f>
        <v>2.215803094</v>
      </c>
      <c r="T74" s="53">
        <f>IFERROR(__xludf.DUMMYFUNCTION("""COMPUTED_VALUE"""),-0.8761713830488173)</f>
        <v>-0.876171383</v>
      </c>
      <c r="U74" s="53">
        <f>IFERROR(__xludf.DUMMYFUNCTION("""COMPUTED_VALUE"""),-0.7364755297862564)</f>
        <v>-0.7364755298</v>
      </c>
      <c r="V74" s="53">
        <f>IFERROR(__xludf.DUMMYFUNCTION("""COMPUTED_VALUE"""),-0.860570275155411)</f>
        <v>-0.8605702752</v>
      </c>
      <c r="W74" s="53">
        <f>IFERROR(__xludf.DUMMYFUNCTION("""COMPUTED_VALUE"""),-0.2643825572058105)</f>
        <v>-0.2643825572</v>
      </c>
      <c r="X74" s="53">
        <f>IFERROR(__xludf.DUMMYFUNCTION("""COMPUTED_VALUE"""),-1.1272419897932755)</f>
        <v>-1.12724199</v>
      </c>
      <c r="Y74" s="53">
        <f>IFERROR(__xludf.DUMMYFUNCTION("""COMPUTED_VALUE"""),0.44400304999151435)</f>
        <v>0.44400305</v>
      </c>
      <c r="Z74" s="53">
        <f>IFERROR(__xludf.DUMMYFUNCTION("""COMPUTED_VALUE"""),0.12252921841013387)</f>
        <v>0.1225292184</v>
      </c>
      <c r="AA74" t="str">
        <f>IFERROR(__xludf.DUMMYFUNCTION("SUBSTITUTE(REGEXREPLACE(REGEXREPLACE(REGEXREPLACE(REGEXREPLACE(REGEXREPLACE(REGEXREPLACE(E74,"","",),IF(Projections!$U$3="""",""PG"",),),IF(Projections!$V$3="""",""SG"",),),IF(Projections!$W$3="""",""SF"",),),IF(Projections!$X$3="""",""PF"",),),IF(Project"&amp;"ions!$Y$3="""",""C"",),),""/"","""")"),"SGSF")</f>
        <v>SGSF</v>
      </c>
    </row>
    <row r="75">
      <c r="A75" t="str">
        <f>IF(Projections!$H$3,Draft!H13,"")</f>
        <v/>
      </c>
      <c r="B75">
        <f>IFERROR(__xludf.DUMMYFUNCTION("""COMPUTED_VALUE"""),61.0)</f>
        <v>61</v>
      </c>
      <c r="C75" t="str">
        <f>IFERROR(__xludf.DUMMYFUNCTION("""COMPUTED_VALUE"""),"Josh Giddey")</f>
        <v>Josh Giddey</v>
      </c>
      <c r="D75">
        <f>IFERROR(__xludf.DUMMYFUNCTION("""COMPUTED_VALUE"""),74.0)</f>
        <v>74</v>
      </c>
      <c r="E75" t="str">
        <f>IFERROR(__xludf.DUMMYFUNCTION("""COMPUTED_VALUE"""),"SG,SF,PF")</f>
        <v>SG,SF,PF</v>
      </c>
      <c r="F75" s="53">
        <f>IFERROR(__xludf.DUMMYFUNCTION("""COMPUTED_VALUE"""),-0.004844422007935556)</f>
        <v>-0.004844422008</v>
      </c>
      <c r="G75" s="53">
        <f>IFERROR(__xludf.DUMMYFUNCTION("""COMPUTED_VALUE"""),0.6965497428787317)</f>
        <v>0.6965497429</v>
      </c>
      <c r="H75" s="53">
        <f>IFERROR(__xludf.DUMMYFUNCTION("""COMPUTED_VALUE"""),0.7013941648866673)</f>
        <v>0.7013941649</v>
      </c>
      <c r="I75" s="53">
        <f>IFERROR(__xludf.DUMMYFUNCTION("""COMPUTED_VALUE"""),17.3)</f>
        <v>17.3</v>
      </c>
      <c r="J75" s="53">
        <f>IFERROR(__xludf.DUMMYFUNCTION("""COMPUTED_VALUE"""),1.1)</f>
        <v>1.1</v>
      </c>
      <c r="K75" s="53">
        <f>IFERROR(__xludf.DUMMYFUNCTION("""COMPUTED_VALUE"""),8.1)</f>
        <v>8.1</v>
      </c>
      <c r="L75" s="53">
        <f>IFERROR(__xludf.DUMMYFUNCTION("""COMPUTED_VALUE"""),6.5)</f>
        <v>6.5</v>
      </c>
      <c r="M75" s="53">
        <f>IFERROR(__xludf.DUMMYFUNCTION("""COMPUTED_VALUE"""),0.9)</f>
        <v>0.9</v>
      </c>
      <c r="N75" s="53">
        <f>IFERROR(__xludf.DUMMYFUNCTION("""COMPUTED_VALUE"""),0.4)</f>
        <v>0.4</v>
      </c>
      <c r="O75" s="53">
        <f>IFERROR(__xludf.DUMMYFUNCTION("""COMPUTED_VALUE"""),47.77070063694268)</f>
        <v>47.77070064</v>
      </c>
      <c r="P75" s="53">
        <f>IFERROR(__xludf.DUMMYFUNCTION("""COMPUTED_VALUE"""),72.22222222222221)</f>
        <v>72.22222222</v>
      </c>
      <c r="Q75" s="53">
        <f>IFERROR(__xludf.DUMMYFUNCTION("""COMPUTED_VALUE"""),3.0)</f>
        <v>3</v>
      </c>
      <c r="R75" s="53">
        <f>IFERROR(__xludf.DUMMYFUNCTION("""COMPUTED_VALUE"""),0.007302809668200307)</f>
        <v>0.007302809668</v>
      </c>
      <c r="S75" s="53">
        <f>IFERROR(__xludf.DUMMYFUNCTION("""COMPUTED_VALUE"""),-0.472296145963719)</f>
        <v>-0.472296146</v>
      </c>
      <c r="T75" s="53">
        <f>IFERROR(__xludf.DUMMYFUNCTION("""COMPUTED_VALUE"""),0.838258781046069)</f>
        <v>0.838258781</v>
      </c>
      <c r="U75" s="53">
        <f>IFERROR(__xludf.DUMMYFUNCTION("""COMPUTED_VALUE"""),1.3546253511858)</f>
        <v>1.354625351</v>
      </c>
      <c r="V75" s="53">
        <f>IFERROR(__xludf.DUMMYFUNCTION("""COMPUTED_VALUE"""),-0.2064205727568726)</f>
        <v>-0.2064205728</v>
      </c>
      <c r="W75" s="53">
        <f>IFERROR(__xludf.DUMMYFUNCTION("""COMPUTED_VALUE"""),-0.39569839687757064)</f>
        <v>-0.3956983969</v>
      </c>
      <c r="X75" s="53">
        <f>IFERROR(__xludf.DUMMYFUNCTION("""COMPUTED_VALUE"""),-0.2866298438886661)</f>
        <v>-0.2866298439</v>
      </c>
      <c r="Y75" s="53">
        <f>IFERROR(__xludf.DUMMYFUNCTION("""COMPUTED_VALUE"""),-0.3027700386021432)</f>
        <v>-0.3027700386</v>
      </c>
      <c r="Z75" s="53">
        <f>IFERROR(__xludf.DUMMYFUNCTION("""COMPUTED_VALUE"""),-0.31211834689608486)</f>
        <v>-0.3121183469</v>
      </c>
      <c r="AA75" t="str">
        <f>IFERROR(__xludf.DUMMYFUNCTION("SUBSTITUTE(REGEXREPLACE(REGEXREPLACE(REGEXREPLACE(REGEXREPLACE(REGEXREPLACE(REGEXREPLACE(E75,"","",),IF(Projections!$U$3="""",""PG"",),),IF(Projections!$V$3="""",""SG"",),),IF(Projections!$W$3="""",""SF"",),),IF(Projections!$X$3="""",""PF"",),),IF(Project"&amp;"ions!$Y$3="""",""C"",),),""/"","""")"),"SGSFPF")</f>
        <v>SGSFPF</v>
      </c>
    </row>
    <row r="76">
      <c r="A76" t="str">
        <f>IF(Projections!$H$3,Draft!H14,"")</f>
        <v/>
      </c>
      <c r="B76">
        <f>IFERROR(__xludf.DUMMYFUNCTION("""COMPUTED_VALUE"""),73.0)</f>
        <v>73</v>
      </c>
      <c r="C76" t="str">
        <f>IFERROR(__xludf.DUMMYFUNCTION("""COMPUTED_VALUE"""),"CJ McCollum")</f>
        <v>CJ McCollum</v>
      </c>
      <c r="D76">
        <f>IFERROR(__xludf.DUMMYFUNCTION("""COMPUTED_VALUE"""),72.0)</f>
        <v>72</v>
      </c>
      <c r="E76" t="str">
        <f>IFERROR(__xludf.DUMMYFUNCTION("""COMPUTED_VALUE"""),"PG,SG")</f>
        <v>PG,SG</v>
      </c>
      <c r="F76" s="53">
        <f>IFERROR(__xludf.DUMMYFUNCTION("""COMPUTED_VALUE"""),-0.4721888113577693)</f>
        <v>-0.4721888114</v>
      </c>
      <c r="G76" s="53">
        <f>IFERROR(__xludf.DUMMYFUNCTION("""COMPUTED_VALUE"""),0.6355646940724191)</f>
        <v>0.6355646941</v>
      </c>
      <c r="H76" s="53">
        <f>IFERROR(__xludf.DUMMYFUNCTION("""COMPUTED_VALUE"""),1.1077535054301884)</f>
        <v>1.107753505</v>
      </c>
      <c r="I76" s="53">
        <f>IFERROR(__xludf.DUMMYFUNCTION("""COMPUTED_VALUE"""),20.5)</f>
        <v>20.5</v>
      </c>
      <c r="J76" s="53">
        <f>IFERROR(__xludf.DUMMYFUNCTION("""COMPUTED_VALUE"""),2.7)</f>
        <v>2.7</v>
      </c>
      <c r="K76" s="53">
        <f>IFERROR(__xludf.DUMMYFUNCTION("""COMPUTED_VALUE"""),4.2)</f>
        <v>4.2</v>
      </c>
      <c r="L76" s="53">
        <f>IFERROR(__xludf.DUMMYFUNCTION("""COMPUTED_VALUE"""),5.2)</f>
        <v>5.2</v>
      </c>
      <c r="M76" s="53">
        <f>IFERROR(__xludf.DUMMYFUNCTION("""COMPUTED_VALUE"""),1.0)</f>
        <v>1</v>
      </c>
      <c r="N76" s="53">
        <f>IFERROR(__xludf.DUMMYFUNCTION("""COMPUTED_VALUE"""),0.4)</f>
        <v>0.4</v>
      </c>
      <c r="O76" s="53">
        <f>IFERROR(__xludf.DUMMYFUNCTION("""COMPUTED_VALUE"""),44.57142857142857)</f>
        <v>44.57142857</v>
      </c>
      <c r="P76" s="53">
        <f>IFERROR(__xludf.DUMMYFUNCTION("""COMPUTED_VALUE"""),75.00000000000001)</f>
        <v>75</v>
      </c>
      <c r="Q76" s="53">
        <f>IFERROR(__xludf.DUMMYFUNCTION("""COMPUTED_VALUE"""),2.2)</f>
        <v>2.2</v>
      </c>
      <c r="R76" s="53">
        <f>IFERROR(__xludf.DUMMYFUNCTION("""COMPUTED_VALUE"""),0.5465872159353039)</f>
        <v>0.5465872159</v>
      </c>
      <c r="S76" s="53">
        <f>IFERROR(__xludf.DUMMYFUNCTION("""COMPUTED_VALUE"""),0.9151099131708318)</f>
        <v>0.9151099132</v>
      </c>
      <c r="T76" s="53">
        <f>IFERROR(__xludf.DUMMYFUNCTION("""COMPUTED_VALUE"""),-0.7925406433368716)</f>
        <v>-0.7925406433</v>
      </c>
      <c r="U76" s="53">
        <f>IFERROR(__xludf.DUMMYFUNCTION("""COMPUTED_VALUE"""),0.6915933645361237)</f>
        <v>0.6915933645</v>
      </c>
      <c r="V76" s="53">
        <f>IFERROR(__xludf.DUMMYFUNCTION("""COMPUTED_VALUE"""),0.011629328042640127)</f>
        <v>0.01162932804</v>
      </c>
      <c r="W76" s="53">
        <f>IFERROR(__xludf.DUMMYFUNCTION("""COMPUTED_VALUE"""),-0.39569839687757064)</f>
        <v>-0.3956983969</v>
      </c>
      <c r="X76" s="53">
        <f>IFERROR(__xludf.DUMMYFUNCTION("""COMPUTED_VALUE"""),-0.8787290366207401)</f>
        <v>-0.8787290366</v>
      </c>
      <c r="Y76" s="53">
        <f>IFERROR(__xludf.DUMMYFUNCTION("""COMPUTED_VALUE"""),-0.2773677778197922)</f>
        <v>-0.2773677778</v>
      </c>
      <c r="Z76" s="53">
        <f>IFERROR(__xludf.DUMMYFUNCTION("""COMPUTED_VALUE"""),-0.06374830957824563)</f>
        <v>-0.06374830958</v>
      </c>
      <c r="AA76" t="str">
        <f>IFERROR(__xludf.DUMMYFUNCTION("SUBSTITUTE(REGEXREPLACE(REGEXREPLACE(REGEXREPLACE(REGEXREPLACE(REGEXREPLACE(REGEXREPLACE(E76,"","",),IF(Projections!$U$3="""",""PG"",),),IF(Projections!$V$3="""",""SG"",),),IF(Projections!$W$3="""",""SF"",),),IF(Projections!$X$3="""",""PF"",),),IF(Project"&amp;"ions!$Y$3="""",""C"",),),""/"","""")"),"PGSG")</f>
        <v>PGSG</v>
      </c>
    </row>
    <row r="77">
      <c r="A77" t="str">
        <f>IF(Projections!$H$3,Draft!I3,"")</f>
        <v/>
      </c>
      <c r="B77">
        <f>IFERROR(__xludf.DUMMYFUNCTION("""COMPUTED_VALUE"""),85.0)</f>
        <v>85</v>
      </c>
      <c r="C77" t="str">
        <f>IFERROR(__xludf.DUMMYFUNCTION("""COMPUTED_VALUE"""),"Mark Williams")</f>
        <v>Mark Williams</v>
      </c>
      <c r="D77">
        <f>IFERROR(__xludf.DUMMYFUNCTION("""COMPUTED_VALUE"""),70.0)</f>
        <v>70</v>
      </c>
      <c r="E77" t="str">
        <f>IFERROR(__xludf.DUMMYFUNCTION("""COMPUTED_VALUE"""),"C")</f>
        <v>C</v>
      </c>
      <c r="F77" s="53">
        <f>IFERROR(__xludf.DUMMYFUNCTION("""COMPUTED_VALUE"""),-1.0279423701134938)</f>
        <v>-1.02794237</v>
      </c>
      <c r="G77" s="53">
        <f>IFERROR(__xludf.DUMMYFUNCTION("""COMPUTED_VALUE"""),0.6235352476181801)</f>
        <v>0.6235352476</v>
      </c>
      <c r="H77" s="53">
        <f>IFERROR(__xludf.DUMMYFUNCTION("""COMPUTED_VALUE"""),1.651477617731674)</f>
        <v>1.651477618</v>
      </c>
      <c r="I77" s="53">
        <f>IFERROR(__xludf.DUMMYFUNCTION("""COMPUTED_VALUE"""),12.6)</f>
        <v>12.6</v>
      </c>
      <c r="J77" s="53">
        <f>IFERROR(__xludf.DUMMYFUNCTION("""COMPUTED_VALUE"""),0.0)</f>
        <v>0</v>
      </c>
      <c r="K77" s="53">
        <f>IFERROR(__xludf.DUMMYFUNCTION("""COMPUTED_VALUE"""),9.9)</f>
        <v>9.9</v>
      </c>
      <c r="L77" s="53">
        <f>IFERROR(__xludf.DUMMYFUNCTION("""COMPUTED_VALUE"""),0.6)</f>
        <v>0.6</v>
      </c>
      <c r="M77" s="53">
        <f>IFERROR(__xludf.DUMMYFUNCTION("""COMPUTED_VALUE"""),0.9)</f>
        <v>0.9</v>
      </c>
      <c r="N77" s="53">
        <f>IFERROR(__xludf.DUMMYFUNCTION("""COMPUTED_VALUE"""),1.4)</f>
        <v>1.4</v>
      </c>
      <c r="O77" s="53">
        <f>IFERROR(__xludf.DUMMYFUNCTION("""COMPUTED_VALUE"""),63.41463414634148)</f>
        <v>63.41463415</v>
      </c>
      <c r="P77" s="53">
        <f>IFERROR(__xludf.DUMMYFUNCTION("""COMPUTED_VALUE"""),68.75)</f>
        <v>68.75</v>
      </c>
      <c r="Q77" s="53">
        <f>IFERROR(__xludf.DUMMYFUNCTION("""COMPUTED_VALUE"""),1.3)</f>
        <v>1.3</v>
      </c>
      <c r="R77" s="53">
        <f>IFERROR(__xludf.DUMMYFUNCTION("""COMPUTED_VALUE"""),-0.7847711620366085)</f>
        <v>-0.784771162</v>
      </c>
      <c r="S77" s="53">
        <f>IFERROR(__xludf.DUMMYFUNCTION("""COMPUTED_VALUE"""),-1.4261378116187227)</f>
        <v>-1.426137812</v>
      </c>
      <c r="T77" s="53">
        <f>IFERROR(__xludf.DUMMYFUNCTION("""COMPUTED_VALUE"""),1.5909354384535805)</f>
        <v>1.590935438</v>
      </c>
      <c r="U77" s="53">
        <f>IFERROR(__xludf.DUMMYFUNCTION("""COMPUTED_VALUE"""),-1.6545198189935006)</f>
        <v>-1.654519819</v>
      </c>
      <c r="V77" s="53">
        <f>IFERROR(__xludf.DUMMYFUNCTION("""COMPUTED_VALUE"""),-0.2064205727568726)</f>
        <v>-0.2064205728</v>
      </c>
      <c r="W77" s="53">
        <f>IFERROR(__xludf.DUMMYFUNCTION("""COMPUTED_VALUE"""),0.9174599998400302)</f>
        <v>0.9174599998</v>
      </c>
      <c r="X77" s="53">
        <f>IFERROR(__xludf.DUMMYFUNCTION("""COMPUTED_VALUE"""),1.131641845141318)</f>
        <v>1.131641845</v>
      </c>
      <c r="Y77" s="53">
        <f>IFERROR(__xludf.DUMMYFUNCTION("""COMPUTED_VALUE"""),-0.8148404718088682)</f>
        <v>-0.8148404718</v>
      </c>
      <c r="Z77" s="53">
        <f>IFERROR(__xludf.DUMMYFUNCTION("""COMPUTED_VALUE"""),0.2156679824043236)</f>
        <v>0.2156679824</v>
      </c>
      <c r="AA77" t="str">
        <f>IFERROR(__xludf.DUMMYFUNCTION("SUBSTITUTE(REGEXREPLACE(REGEXREPLACE(REGEXREPLACE(REGEXREPLACE(REGEXREPLACE(REGEXREPLACE(E77,"","",),IF(Projections!$U$3="""",""PG"",),),IF(Projections!$V$3="""",""SG"",),),IF(Projections!$W$3="""",""SF"",),),IF(Projections!$X$3="""",""PF"",),),IF(Project"&amp;"ions!$Y$3="""",""C"",),),""/"","""")"),"C")</f>
        <v>C</v>
      </c>
    </row>
    <row r="78">
      <c r="A78" t="str">
        <f>IF(Projections!$H$3,Draft!I4,"")</f>
        <v/>
      </c>
      <c r="B78">
        <f>IFERROR(__xludf.DUMMYFUNCTION("""COMPUTED_VALUE"""),55.0)</f>
        <v>55</v>
      </c>
      <c r="C78" t="str">
        <f>IFERROR(__xludf.DUMMYFUNCTION("""COMPUTED_VALUE"""),"Khris Middleton")</f>
        <v>Khris Middleton</v>
      </c>
      <c r="D78">
        <f>IFERROR(__xludf.DUMMYFUNCTION("""COMPUTED_VALUE"""),65.0)</f>
        <v>65</v>
      </c>
      <c r="E78" t="str">
        <f>IFERROR(__xludf.DUMMYFUNCTION("""COMPUTED_VALUE"""),"SF,PF")</f>
        <v>SF,PF</v>
      </c>
      <c r="F78" s="53">
        <f>IFERROR(__xludf.DUMMYFUNCTION("""COMPUTED_VALUE"""),0.17016415538602003)</f>
        <v>0.1701641554</v>
      </c>
      <c r="G78" s="53">
        <f>IFERROR(__xludf.DUMMYFUNCTION("""COMPUTED_VALUE"""),0.6058181685500269)</f>
        <v>0.6058181686</v>
      </c>
      <c r="H78" s="53">
        <f>IFERROR(__xludf.DUMMYFUNCTION("""COMPUTED_VALUE"""),0.43565401316400687)</f>
        <v>0.4356540132</v>
      </c>
      <c r="I78" s="53">
        <f>IFERROR(__xludf.DUMMYFUNCTION("""COMPUTED_VALUE"""),17.6)</f>
        <v>17.6</v>
      </c>
      <c r="J78" s="53">
        <f>IFERROR(__xludf.DUMMYFUNCTION("""COMPUTED_VALUE"""),2.0)</f>
        <v>2</v>
      </c>
      <c r="K78" s="53">
        <f>IFERROR(__xludf.DUMMYFUNCTION("""COMPUTED_VALUE"""),4.9)</f>
        <v>4.9</v>
      </c>
      <c r="L78" s="53">
        <f>IFERROR(__xludf.DUMMYFUNCTION("""COMPUTED_VALUE"""),4.1)</f>
        <v>4.1</v>
      </c>
      <c r="M78" s="53">
        <f>IFERROR(__xludf.DUMMYFUNCTION("""COMPUTED_VALUE"""),1.1)</f>
        <v>1.1</v>
      </c>
      <c r="N78" s="53">
        <f>IFERROR(__xludf.DUMMYFUNCTION("""COMPUTED_VALUE"""),0.3)</f>
        <v>0.3</v>
      </c>
      <c r="O78" s="53">
        <f>IFERROR(__xludf.DUMMYFUNCTION("""COMPUTED_VALUE"""),45.0)</f>
        <v>45</v>
      </c>
      <c r="P78" s="53">
        <f>IFERROR(__xludf.DUMMYFUNCTION("""COMPUTED_VALUE"""),91.1764705882353)</f>
        <v>91.17647059</v>
      </c>
      <c r="Q78" s="53">
        <f>IFERROR(__xludf.DUMMYFUNCTION("""COMPUTED_VALUE"""),2.4)</f>
        <v>2.4</v>
      </c>
      <c r="R78" s="53">
        <f>IFERROR(__xludf.DUMMYFUNCTION("""COMPUTED_VALUE"""),0.0578607227557414)</f>
        <v>0.05786072276</v>
      </c>
      <c r="S78" s="53">
        <f>IFERROR(__xludf.DUMMYFUNCTION("""COMPUTED_VALUE"""),0.30811976229946575)</f>
        <v>0.3081197623</v>
      </c>
      <c r="T78" s="53">
        <f>IFERROR(__xludf.DUMMYFUNCTION("""COMPUTED_VALUE"""),-0.4998330543450616)</f>
        <v>-0.4998330543</v>
      </c>
      <c r="U78" s="53">
        <f>IFERROR(__xludf.DUMMYFUNCTION("""COMPUTED_VALUE"""),0.1305662989094742)</f>
        <v>0.1305662989</v>
      </c>
      <c r="V78" s="53">
        <f>IFERROR(__xludf.DUMMYFUNCTION("""COMPUTED_VALUE"""),0.22967922884215308)</f>
        <v>0.2296792288</v>
      </c>
      <c r="W78" s="53">
        <f>IFERROR(__xludf.DUMMYFUNCTION("""COMPUTED_VALUE"""),-0.5270142365493308)</f>
        <v>-0.5270142365</v>
      </c>
      <c r="X78" s="53">
        <f>IFERROR(__xludf.DUMMYFUNCTION("""COMPUTED_VALUE"""),-0.6430513275430497)</f>
        <v>-0.6430513275</v>
      </c>
      <c r="Y78" s="53">
        <f>IFERROR(__xludf.DUMMYFUNCTION("""COMPUTED_VALUE"""),1.0322802655452903)</f>
        <v>1.032280266</v>
      </c>
      <c r="Z78" s="53">
        <f>IFERROR(__xludf.DUMMYFUNCTION("""COMPUTED_VALUE"""),-0.12584081890770538)</f>
        <v>-0.1258408189</v>
      </c>
      <c r="AA78" t="str">
        <f>IFERROR(__xludf.DUMMYFUNCTION("SUBSTITUTE(REGEXREPLACE(REGEXREPLACE(REGEXREPLACE(REGEXREPLACE(REGEXREPLACE(REGEXREPLACE(E78,"","",),IF(Projections!$U$3="""",""PG"",),),IF(Projections!$V$3="""",""SG"",),),IF(Projections!$W$3="""",""SF"",),),IF(Projections!$X$3="""",""PF"",),),IF(Project"&amp;"ions!$Y$3="""",""C"",),),""/"","""")"),"SFPF")</f>
        <v>SFPF</v>
      </c>
    </row>
    <row r="79">
      <c r="A79" t="str">
        <f>IF(Projections!$H$3,Draft!I5,"")</f>
        <v/>
      </c>
      <c r="B79">
        <f>IFERROR(__xludf.DUMMYFUNCTION("""COMPUTED_VALUE"""),91.0)</f>
        <v>91</v>
      </c>
      <c r="C79" t="str">
        <f>IFERROR(__xludf.DUMMYFUNCTION("""COMPUTED_VALUE"""),"Rudy Gobert")</f>
        <v>Rudy Gobert</v>
      </c>
      <c r="D79">
        <f>IFERROR(__xludf.DUMMYFUNCTION("""COMPUTED_VALUE"""),68.0)</f>
        <v>68</v>
      </c>
      <c r="E79" t="str">
        <f>IFERROR(__xludf.DUMMYFUNCTION("""COMPUTED_VALUE"""),"C")</f>
        <v>C</v>
      </c>
      <c r="F79" s="53">
        <f>IFERROR(__xludf.DUMMYFUNCTION("""COMPUTED_VALUE"""),-1.3201981517384154)</f>
        <v>-1.320198152</v>
      </c>
      <c r="G79" s="53">
        <f>IFERROR(__xludf.DUMMYFUNCTION("""COMPUTED_VALUE"""),0.5949515346794312)</f>
        <v>0.5949515347</v>
      </c>
      <c r="H79" s="53">
        <f>IFERROR(__xludf.DUMMYFUNCTION("""COMPUTED_VALUE"""),1.9151496864178466)</f>
        <v>1.915149686</v>
      </c>
      <c r="I79" s="53">
        <f>IFERROR(__xludf.DUMMYFUNCTION("""COMPUTED_VALUE"""),13.5)</f>
        <v>13.5</v>
      </c>
      <c r="J79" s="53">
        <f>IFERROR(__xludf.DUMMYFUNCTION("""COMPUTED_VALUE"""),0.0)</f>
        <v>0</v>
      </c>
      <c r="K79" s="53">
        <f>IFERROR(__xludf.DUMMYFUNCTION("""COMPUTED_VALUE"""),11.5)</f>
        <v>11.5</v>
      </c>
      <c r="L79" s="53">
        <f>IFERROR(__xludf.DUMMYFUNCTION("""COMPUTED_VALUE"""),1.1)</f>
        <v>1.1</v>
      </c>
      <c r="M79" s="53">
        <f>IFERROR(__xludf.DUMMYFUNCTION("""COMPUTED_VALUE"""),0.7)</f>
        <v>0.7</v>
      </c>
      <c r="N79" s="53">
        <f>IFERROR(__xludf.DUMMYFUNCTION("""COMPUTED_VALUE"""),1.4)</f>
        <v>1.4</v>
      </c>
      <c r="O79" s="53">
        <f>IFERROR(__xludf.DUMMYFUNCTION("""COMPUTED_VALUE"""),69.44444444444444)</f>
        <v>69.44444444</v>
      </c>
      <c r="P79" s="53">
        <f>IFERROR(__xludf.DUMMYFUNCTION("""COMPUTED_VALUE"""),66.66666666666666)</f>
        <v>66.66666667</v>
      </c>
      <c r="Q79" s="53">
        <f>IFERROR(__xludf.DUMMYFUNCTION("""COMPUTED_VALUE"""),1.7)</f>
        <v>1.7</v>
      </c>
      <c r="R79" s="53">
        <f>IFERROR(__xludf.DUMMYFUNCTION("""COMPUTED_VALUE"""),-0.6330974227739855)</f>
        <v>-0.6330974228</v>
      </c>
      <c r="S79" s="53">
        <f>IFERROR(__xludf.DUMMYFUNCTION("""COMPUTED_VALUE"""),-1.4261378116187227)</f>
        <v>-1.426137812</v>
      </c>
      <c r="T79" s="53">
        <f>IFERROR(__xludf.DUMMYFUNCTION("""COMPUTED_VALUE"""),2.259981356149146)</f>
        <v>2.259981356</v>
      </c>
      <c r="U79" s="53">
        <f>IFERROR(__xludf.DUMMYFUNCTION("""COMPUTED_VALUE"""),-1.3995075164359327)</f>
        <v>-1.399507516</v>
      </c>
      <c r="V79" s="53">
        <f>IFERROR(__xludf.DUMMYFUNCTION("""COMPUTED_VALUE"""),-0.6425203743558983)</f>
        <v>-0.6425203744</v>
      </c>
      <c r="W79" s="53">
        <f>IFERROR(__xludf.DUMMYFUNCTION("""COMPUTED_VALUE"""),0.9174599998400302)</f>
        <v>0.9174599998</v>
      </c>
      <c r="X79" s="53">
        <f>IFERROR(__xludf.DUMMYFUNCTION("""COMPUTED_VALUE"""),1.42729034012939)</f>
        <v>1.42729034</v>
      </c>
      <c r="Y79" s="53">
        <f>IFERROR(__xludf.DUMMYFUNCTION("""COMPUTED_VALUE"""),-1.6550832044000867)</f>
        <v>-1.655083204</v>
      </c>
      <c r="Z79" s="53">
        <f>IFERROR(__xludf.DUMMYFUNCTION("""COMPUTED_VALUE"""),0.09148296374540399)</f>
        <v>0.09148296375</v>
      </c>
      <c r="AA79" t="str">
        <f>IFERROR(__xludf.DUMMYFUNCTION("SUBSTITUTE(REGEXREPLACE(REGEXREPLACE(REGEXREPLACE(REGEXREPLACE(REGEXREPLACE(REGEXREPLACE(E79,"","",),IF(Projections!$U$3="""",""PG"",),),IF(Projections!$V$3="""",""SG"",),),IF(Projections!$W$3="""",""SF"",),),IF(Projections!$X$3="""",""PF"",),),IF(Project"&amp;"ions!$Y$3="""",""C"",),),""/"","""")"),"C")</f>
        <v>C</v>
      </c>
    </row>
    <row r="80">
      <c r="A80" t="str">
        <f>IF(Projections!$H$3,Draft!I6,"")</f>
        <v/>
      </c>
      <c r="B80">
        <f>IFERROR(__xludf.DUMMYFUNCTION("""COMPUTED_VALUE"""),69.0)</f>
        <v>69</v>
      </c>
      <c r="C80" t="str">
        <f>IFERROR(__xludf.DUMMYFUNCTION("""COMPUTED_VALUE"""),"Markelle Fultz")</f>
        <v>Markelle Fultz</v>
      </c>
      <c r="D80">
        <f>IFERROR(__xludf.DUMMYFUNCTION("""COMPUTED_VALUE"""),60.0)</f>
        <v>60</v>
      </c>
      <c r="E80" t="str">
        <f>IFERROR(__xludf.DUMMYFUNCTION("""COMPUTED_VALUE"""),"PG,SG")</f>
        <v>PG,SG</v>
      </c>
      <c r="F80" s="53">
        <f>IFERROR(__xludf.DUMMYFUNCTION("""COMPUTED_VALUE"""),-0.33309018875855173)</f>
        <v>-0.3330901888</v>
      </c>
      <c r="G80" s="53">
        <f>IFERROR(__xludf.DUMMYFUNCTION("""COMPUTED_VALUE"""),0.5021711334249961)</f>
        <v>0.5021711334</v>
      </c>
      <c r="H80" s="53">
        <f>IFERROR(__xludf.DUMMYFUNCTION("""COMPUTED_VALUE"""),0.8352613221835479)</f>
        <v>0.8352613222</v>
      </c>
      <c r="I80" s="53">
        <f>IFERROR(__xludf.DUMMYFUNCTION("""COMPUTED_VALUE"""),14.4)</f>
        <v>14.4</v>
      </c>
      <c r="J80" s="53">
        <f>IFERROR(__xludf.DUMMYFUNCTION("""COMPUTED_VALUE"""),0.4)</f>
        <v>0.4</v>
      </c>
      <c r="K80" s="53">
        <f>IFERROR(__xludf.DUMMYFUNCTION("""COMPUTED_VALUE"""),4.0)</f>
        <v>4</v>
      </c>
      <c r="L80" s="53">
        <f>IFERROR(__xludf.DUMMYFUNCTION("""COMPUTED_VALUE"""),6.2)</f>
        <v>6.2</v>
      </c>
      <c r="M80" s="53">
        <f>IFERROR(__xludf.DUMMYFUNCTION("""COMPUTED_VALUE"""),1.5)</f>
        <v>1.5</v>
      </c>
      <c r="N80" s="53">
        <f>IFERROR(__xludf.DUMMYFUNCTION("""COMPUTED_VALUE"""),0.4)</f>
        <v>0.4</v>
      </c>
      <c r="O80" s="53">
        <f>IFERROR(__xludf.DUMMYFUNCTION("""COMPUTED_VALUE"""),50.42016806722689)</f>
        <v>50.42016807</v>
      </c>
      <c r="P80" s="53">
        <f>IFERROR(__xludf.DUMMYFUNCTION("""COMPUTED_VALUE"""),79.16666666666666)</f>
        <v>79.16666667</v>
      </c>
      <c r="Q80" s="53">
        <f>IFERROR(__xludf.DUMMYFUNCTION("""COMPUTED_VALUE"""),2.5)</f>
        <v>2.5</v>
      </c>
      <c r="R80" s="53">
        <f>IFERROR(__xludf.DUMMYFUNCTION("""COMPUTED_VALUE"""),-0.4814236835113625)</f>
        <v>-0.4814236835</v>
      </c>
      <c r="S80" s="53">
        <f>IFERROR(__xludf.DUMMYFUNCTION("""COMPUTED_VALUE"""),-1.079286296835085)</f>
        <v>-1.079286297</v>
      </c>
      <c r="T80" s="53">
        <f>IFERROR(__xludf.DUMMYFUNCTION("""COMPUTED_VALUE"""),-0.8761713830488173)</f>
        <v>-0.876171383</v>
      </c>
      <c r="U80" s="53">
        <f>IFERROR(__xludf.DUMMYFUNCTION("""COMPUTED_VALUE"""),1.2016179696512597)</f>
        <v>1.20161797</v>
      </c>
      <c r="V80" s="53">
        <f>IFERROR(__xludf.DUMMYFUNCTION("""COMPUTED_VALUE"""),1.101878832040204)</f>
        <v>1.101878832</v>
      </c>
      <c r="W80" s="53">
        <f>IFERROR(__xludf.DUMMYFUNCTION("""COMPUTED_VALUE"""),-0.39569839687757064)</f>
        <v>-0.3956983969</v>
      </c>
      <c r="X80" s="53">
        <f>IFERROR(__xludf.DUMMYFUNCTION("""COMPUTED_VALUE"""),0.09767431543898845)</f>
        <v>0.09767431544</v>
      </c>
      <c r="Y80" s="53">
        <f>IFERROR(__xludf.DUMMYFUNCTION("""COMPUTED_VALUE"""),0.011180553304729612)</f>
        <v>0.0111805533</v>
      </c>
      <c r="Z80" s="53">
        <f>IFERROR(__xludf.DUMMYFUNCTION("""COMPUTED_VALUE"""),-0.1568870735724353)</f>
        <v>-0.1568870736</v>
      </c>
      <c r="AA80" t="str">
        <f>IFERROR(__xludf.DUMMYFUNCTION("SUBSTITUTE(REGEXREPLACE(REGEXREPLACE(REGEXREPLACE(REGEXREPLACE(REGEXREPLACE(REGEXREPLACE(E80,"","",),IF(Projections!$U$3="""",""PG"",),),IF(Projections!$V$3="""",""SG"",),),IF(Projections!$W$3="""",""SF"",),),IF(Projections!$X$3="""",""PF"",),),IF(Project"&amp;"ions!$Y$3="""",""C"",),),""/"","""")"),"PGSG")</f>
        <v>PGSG</v>
      </c>
    </row>
    <row r="81">
      <c r="A81" t="str">
        <f>IF(Projections!$H$3,Draft!I7,"")</f>
        <v/>
      </c>
      <c r="B81">
        <f>IFERROR(__xludf.DUMMYFUNCTION("""COMPUTED_VALUE"""),71.0)</f>
        <v>71</v>
      </c>
      <c r="C81" t="str">
        <f>IFERROR(__xludf.DUMMYFUNCTION("""COMPUTED_VALUE"""),"Josh Hart")</f>
        <v>Josh Hart</v>
      </c>
      <c r="D81">
        <f>IFERROR(__xludf.DUMMYFUNCTION("""COMPUTED_VALUE"""),74.0)</f>
        <v>74</v>
      </c>
      <c r="E81" t="str">
        <f>IFERROR(__xludf.DUMMYFUNCTION("""COMPUTED_VALUE"""),"SG,SF")</f>
        <v>SG,SF</v>
      </c>
      <c r="F81" s="53">
        <f>IFERROR(__xludf.DUMMYFUNCTION("""COMPUTED_VALUE"""),-0.3660430236821618)</f>
        <v>-0.3660430237</v>
      </c>
      <c r="G81" s="53">
        <f>IFERROR(__xludf.DUMMYFUNCTION("""COMPUTED_VALUE"""),0.4982812236254099)</f>
        <v>0.4982812236</v>
      </c>
      <c r="H81" s="53">
        <f>IFERROR(__xludf.DUMMYFUNCTION("""COMPUTED_VALUE"""),0.8643242473075716)</f>
        <v>0.8643242473</v>
      </c>
      <c r="I81" s="53">
        <f>IFERROR(__xludf.DUMMYFUNCTION("""COMPUTED_VALUE"""),11.8)</f>
        <v>11.8</v>
      </c>
      <c r="J81" s="53">
        <f>IFERROR(__xludf.DUMMYFUNCTION("""COMPUTED_VALUE"""),1.0)</f>
        <v>1</v>
      </c>
      <c r="K81" s="53">
        <f>IFERROR(__xludf.DUMMYFUNCTION("""COMPUTED_VALUE"""),7.5)</f>
        <v>7.5</v>
      </c>
      <c r="L81" s="53">
        <f>IFERROR(__xludf.DUMMYFUNCTION("""COMPUTED_VALUE"""),3.9)</f>
        <v>3.9</v>
      </c>
      <c r="M81" s="53">
        <f>IFERROR(__xludf.DUMMYFUNCTION("""COMPUTED_VALUE"""),1.4)</f>
        <v>1.4</v>
      </c>
      <c r="N81" s="53">
        <f>IFERROR(__xludf.DUMMYFUNCTION("""COMPUTED_VALUE"""),0.5)</f>
        <v>0.5</v>
      </c>
      <c r="O81" s="53">
        <f>IFERROR(__xludf.DUMMYFUNCTION("""COMPUTED_VALUE"""),51.80722891566264)</f>
        <v>51.80722892</v>
      </c>
      <c r="P81" s="53">
        <f>IFERROR(__xludf.DUMMYFUNCTION("""COMPUTED_VALUE"""),73.33333333333334)</f>
        <v>73.33333333</v>
      </c>
      <c r="Q81" s="53">
        <f>IFERROR(__xludf.DUMMYFUNCTION("""COMPUTED_VALUE"""),1.8)</f>
        <v>1.8</v>
      </c>
      <c r="R81" s="53">
        <f>IFERROR(__xludf.DUMMYFUNCTION("""COMPUTED_VALUE"""),-0.9195922636033842)</f>
        <v>-0.9195922636</v>
      </c>
      <c r="S81" s="53">
        <f>IFERROR(__xludf.DUMMYFUNCTION("""COMPUTED_VALUE"""),-0.5590090246596284)</f>
        <v>-0.5590090247</v>
      </c>
      <c r="T81" s="53">
        <f>IFERROR(__xludf.DUMMYFUNCTION("""COMPUTED_VALUE"""),0.5873665619102322)</f>
        <v>0.5873665619</v>
      </c>
      <c r="U81" s="53">
        <f>IFERROR(__xludf.DUMMYFUNCTION("""COMPUTED_VALUE"""),0.02856137788644717)</f>
        <v>0.02856137789</v>
      </c>
      <c r="V81" s="53">
        <f>IFERROR(__xludf.DUMMYFUNCTION("""COMPUTED_VALUE"""),0.883828931240691)</f>
        <v>0.8838289312</v>
      </c>
      <c r="W81" s="53">
        <f>IFERROR(__xludf.DUMMYFUNCTION("""COMPUTED_VALUE"""),-0.2643825572058105)</f>
        <v>-0.2643825572</v>
      </c>
      <c r="X81" s="53">
        <f>IFERROR(__xludf.DUMMYFUNCTION("""COMPUTED_VALUE"""),0.18312116875485832)</f>
        <v>0.1831211688</v>
      </c>
      <c r="Y81" s="53">
        <f>IFERROR(__xludf.DUMMYFUNCTION("""COMPUTED_VALUE"""),-0.4216419433820539)</f>
        <v>-0.4216419434</v>
      </c>
      <c r="Z81" s="53">
        <f>IFERROR(__xludf.DUMMYFUNCTION("""COMPUTED_VALUE"""),0.06043670908067405)</f>
        <v>0.06043670908</v>
      </c>
      <c r="AA81" t="str">
        <f>IFERROR(__xludf.DUMMYFUNCTION("SUBSTITUTE(REGEXREPLACE(REGEXREPLACE(REGEXREPLACE(REGEXREPLACE(REGEXREPLACE(REGEXREPLACE(E81,"","",),IF(Projections!$U$3="""",""PG"",),),IF(Projections!$V$3="""",""SG"",),),IF(Projections!$W$3="""",""SF"",),),IF(Projections!$X$3="""",""PF"",),),IF(Project"&amp;"ions!$Y$3="""",""C"",),),""/"","""")"),"SGSF")</f>
        <v>SGSF</v>
      </c>
    </row>
    <row r="82">
      <c r="A82" t="str">
        <f>IF(Projections!$H$3,Draft!I8,"")</f>
        <v/>
      </c>
      <c r="B82">
        <f>IFERROR(__xludf.DUMMYFUNCTION("""COMPUTED_VALUE"""),64.0)</f>
        <v>64</v>
      </c>
      <c r="C82" t="str">
        <f>IFERROR(__xludf.DUMMYFUNCTION("""COMPUTED_VALUE"""),"Franz Wagner")</f>
        <v>Franz Wagner</v>
      </c>
      <c r="D82">
        <f>IFERROR(__xludf.DUMMYFUNCTION("""COMPUTED_VALUE"""),78.0)</f>
        <v>78</v>
      </c>
      <c r="E82" t="str">
        <f>IFERROR(__xludf.DUMMYFUNCTION("""COMPUTED_VALUE"""),"SG,SF,PF")</f>
        <v>SG,SF,PF</v>
      </c>
      <c r="F82" s="53">
        <f>IFERROR(__xludf.DUMMYFUNCTION("""COMPUTED_VALUE"""),-0.07416612134772715)</f>
        <v>-0.07416612135</v>
      </c>
      <c r="G82" s="53">
        <f>IFERROR(__xludf.DUMMYFUNCTION("""COMPUTED_VALUE"""),0.49466799302750597)</f>
        <v>0.494667993</v>
      </c>
      <c r="H82" s="53">
        <f>IFERROR(__xludf.DUMMYFUNCTION("""COMPUTED_VALUE"""),0.5688341143752331)</f>
        <v>0.5688341144</v>
      </c>
      <c r="I82" s="53">
        <f>IFERROR(__xludf.DUMMYFUNCTION("""COMPUTED_VALUE"""),18.8)</f>
        <v>18.8</v>
      </c>
      <c r="J82" s="53">
        <f>IFERROR(__xludf.DUMMYFUNCTION("""COMPUTED_VALUE"""),1.7)</f>
        <v>1.7</v>
      </c>
      <c r="K82" s="53">
        <f>IFERROR(__xludf.DUMMYFUNCTION("""COMPUTED_VALUE"""),4.6)</f>
        <v>4.6</v>
      </c>
      <c r="L82" s="53">
        <f>IFERROR(__xludf.DUMMYFUNCTION("""COMPUTED_VALUE"""),3.6)</f>
        <v>3.6</v>
      </c>
      <c r="M82" s="53">
        <f>IFERROR(__xludf.DUMMYFUNCTION("""COMPUTED_VALUE"""),1.1)</f>
        <v>1.1</v>
      </c>
      <c r="N82" s="53">
        <f>IFERROR(__xludf.DUMMYFUNCTION("""COMPUTED_VALUE"""),0.3)</f>
        <v>0.3</v>
      </c>
      <c r="O82" s="53">
        <f>IFERROR(__xludf.DUMMYFUNCTION("""COMPUTED_VALUE"""),48.92086330935251)</f>
        <v>48.92086331</v>
      </c>
      <c r="P82" s="53">
        <f>IFERROR(__xludf.DUMMYFUNCTION("""COMPUTED_VALUE"""),85.71428571428571)</f>
        <v>85.71428571</v>
      </c>
      <c r="Q82" s="53">
        <f>IFERROR(__xludf.DUMMYFUNCTION("""COMPUTED_VALUE"""),2.0)</f>
        <v>2</v>
      </c>
      <c r="R82" s="53">
        <f>IFERROR(__xludf.DUMMYFUNCTION("""COMPUTED_VALUE"""),0.26009237510590516)</f>
        <v>0.2600923751</v>
      </c>
      <c r="S82" s="53">
        <f>IFERROR(__xludf.DUMMYFUNCTION("""COMPUTED_VALUE"""),0.047981126211737425)</f>
        <v>0.04798112621</v>
      </c>
      <c r="T82" s="53">
        <f>IFERROR(__xludf.DUMMYFUNCTION("""COMPUTED_VALUE"""),-0.6252791639129804)</f>
        <v>-0.6252791639</v>
      </c>
      <c r="U82" s="53">
        <f>IFERROR(__xludf.DUMMYFUNCTION("""COMPUTED_VALUE"""),-0.12444600364809345)</f>
        <v>-0.1244460036</v>
      </c>
      <c r="V82" s="53">
        <f>IFERROR(__xludf.DUMMYFUNCTION("""COMPUTED_VALUE"""),0.22967922884215308)</f>
        <v>0.2296792288</v>
      </c>
      <c r="W82" s="53">
        <f>IFERROR(__xludf.DUMMYFUNCTION("""COMPUTED_VALUE"""),-0.5270142365493308)</f>
        <v>-0.5270142365</v>
      </c>
      <c r="X82" s="53">
        <f>IFERROR(__xludf.DUMMYFUNCTION("""COMPUTED_VALUE"""),-0.09407666284687553)</f>
        <v>-0.09407666285</v>
      </c>
      <c r="Y82" s="53">
        <f>IFERROR(__xludf.DUMMYFUNCTION("""COMPUTED_VALUE"""),0.7041079661607959)</f>
        <v>0.7041079662</v>
      </c>
      <c r="Z82" s="53">
        <f>IFERROR(__xludf.DUMMYFUNCTION("""COMPUTED_VALUE"""),-0.0016558002487857576)</f>
        <v>-0.001655800249</v>
      </c>
      <c r="AA82" t="str">
        <f>IFERROR(__xludf.DUMMYFUNCTION("SUBSTITUTE(REGEXREPLACE(REGEXREPLACE(REGEXREPLACE(REGEXREPLACE(REGEXREPLACE(REGEXREPLACE(E82,"","",),IF(Projections!$U$3="""",""PG"",),),IF(Projections!$V$3="""",""SG"",),),IF(Projections!$W$3="""",""SF"",),),IF(Projections!$X$3="""",""PF"",),),IF(Project"&amp;"ions!$Y$3="""",""C"",),),""/"","""")"),"SGSFPF")</f>
        <v>SGSFPF</v>
      </c>
    </row>
    <row r="83">
      <c r="A83" t="str">
        <f>IF(Projections!$H$3,Draft!I9,"")</f>
        <v/>
      </c>
      <c r="B83">
        <f>IFERROR(__xludf.DUMMYFUNCTION("""COMPUTED_VALUE"""),58.0)</f>
        <v>58</v>
      </c>
      <c r="C83" t="str">
        <f>IFERROR(__xludf.DUMMYFUNCTION("""COMPUTED_VALUE"""),"OG Anunoby")</f>
        <v>OG Anunoby</v>
      </c>
      <c r="D83">
        <f>IFERROR(__xludf.DUMMYFUNCTION("""COMPUTED_VALUE"""),68.0)</f>
        <v>68</v>
      </c>
      <c r="E83" t="str">
        <f>IFERROR(__xludf.DUMMYFUNCTION("""COMPUTED_VALUE"""),"SG,SF")</f>
        <v>SG,SF</v>
      </c>
      <c r="F83" s="53">
        <f>IFERROR(__xludf.DUMMYFUNCTION("""COMPUTED_VALUE"""),0.09277808133560068)</f>
        <v>0.09277808134</v>
      </c>
      <c r="G83" s="53">
        <f>IFERROR(__xludf.DUMMYFUNCTION("""COMPUTED_VALUE"""),0.4617185360985513)</f>
        <v>0.4617185361</v>
      </c>
      <c r="H83" s="53">
        <f>IFERROR(__xludf.DUMMYFUNCTION("""COMPUTED_VALUE"""),0.3689404547629506)</f>
        <v>0.3689404548</v>
      </c>
      <c r="I83" s="53">
        <f>IFERROR(__xludf.DUMMYFUNCTION("""COMPUTED_VALUE"""),16.1)</f>
        <v>16.1</v>
      </c>
      <c r="J83" s="53">
        <f>IFERROR(__xludf.DUMMYFUNCTION("""COMPUTED_VALUE"""),2.1)</f>
        <v>2.1</v>
      </c>
      <c r="K83" s="53">
        <f>IFERROR(__xludf.DUMMYFUNCTION("""COMPUTED_VALUE"""),4.9)</f>
        <v>4.9</v>
      </c>
      <c r="L83" s="53">
        <f>IFERROR(__xludf.DUMMYFUNCTION("""COMPUTED_VALUE"""),2.1)</f>
        <v>2.1</v>
      </c>
      <c r="M83" s="53">
        <f>IFERROR(__xludf.DUMMYFUNCTION("""COMPUTED_VALUE"""),1.6)</f>
        <v>1.6</v>
      </c>
      <c r="N83" s="53">
        <f>IFERROR(__xludf.DUMMYFUNCTION("""COMPUTED_VALUE"""),0.6)</f>
        <v>0.6</v>
      </c>
      <c r="O83" s="53">
        <f>IFERROR(__xludf.DUMMYFUNCTION("""COMPUTED_VALUE"""),45.80152671755725)</f>
        <v>45.80152672</v>
      </c>
      <c r="P83" s="53">
        <f>IFERROR(__xludf.DUMMYFUNCTION("""COMPUTED_VALUE"""),79.16666666666666)</f>
        <v>79.16666667</v>
      </c>
      <c r="Q83" s="53">
        <f>IFERROR(__xludf.DUMMYFUNCTION("""COMPUTED_VALUE"""),1.8)</f>
        <v>1.8</v>
      </c>
      <c r="R83" s="53">
        <f>IFERROR(__xludf.DUMMYFUNCTION("""COMPUTED_VALUE"""),-0.19492884268196348)</f>
        <v>-0.1949288427</v>
      </c>
      <c r="S83" s="53">
        <f>IFERROR(__xludf.DUMMYFUNCTION("""COMPUTED_VALUE"""),0.39483264099537524)</f>
        <v>0.394832641</v>
      </c>
      <c r="T83" s="53">
        <f>IFERROR(__xludf.DUMMYFUNCTION("""COMPUTED_VALUE"""),-0.4998330543450616)</f>
        <v>-0.4998330543</v>
      </c>
      <c r="U83" s="53">
        <f>IFERROR(__xludf.DUMMYFUNCTION("""COMPUTED_VALUE"""),-0.8894829113207969)</f>
        <v>-0.8894829113</v>
      </c>
      <c r="V83" s="53">
        <f>IFERROR(__xludf.DUMMYFUNCTION("""COMPUTED_VALUE"""),1.319928732839717)</f>
        <v>1.319928733</v>
      </c>
      <c r="W83" s="53">
        <f>IFERROR(__xludf.DUMMYFUNCTION("""COMPUTED_VALUE"""),-0.13306671753405044)</f>
        <v>-0.1330667175</v>
      </c>
      <c r="X83" s="53">
        <f>IFERROR(__xludf.DUMMYFUNCTION("""COMPUTED_VALUE"""),-0.4968314855608691)</f>
        <v>-0.4968314856</v>
      </c>
      <c r="Y83" s="53">
        <f>IFERROR(__xludf.DUMMYFUNCTION("""COMPUTED_VALUE"""),0.011180553304729612)</f>
        <v>0.0111805533</v>
      </c>
      <c r="Z83" s="53">
        <f>IFERROR(__xludf.DUMMYFUNCTION("""COMPUTED_VALUE"""),0.06043670908067405)</f>
        <v>0.06043670908</v>
      </c>
      <c r="AA83" t="str">
        <f>IFERROR(__xludf.DUMMYFUNCTION("SUBSTITUTE(REGEXREPLACE(REGEXREPLACE(REGEXREPLACE(REGEXREPLACE(REGEXREPLACE(REGEXREPLACE(E83,"","",),IF(Projections!$U$3="""",""PG"",),),IF(Projections!$V$3="""",""SG"",),),IF(Projections!$W$3="""",""SF"",),),IF(Projections!$X$3="""",""PF"",),),IF(Project"&amp;"ions!$Y$3="""",""C"",),),""/"","""")"),"SGSF")</f>
        <v>SGSF</v>
      </c>
    </row>
    <row r="84">
      <c r="A84" t="str">
        <f>IF(Projections!$H$3,Draft!I10,"")</f>
        <v/>
      </c>
      <c r="B84">
        <f>IFERROR(__xludf.DUMMYFUNCTION("""COMPUTED_VALUE"""),93.0)</f>
        <v>93</v>
      </c>
      <c r="C84" t="str">
        <f>IFERROR(__xludf.DUMMYFUNCTION("""COMPUTED_VALUE"""),"Jakob Poeltl")</f>
        <v>Jakob Poeltl</v>
      </c>
      <c r="D84">
        <f>IFERROR(__xludf.DUMMYFUNCTION("""COMPUTED_VALUE"""),70.0)</f>
        <v>70</v>
      </c>
      <c r="E84" t="str">
        <f>IFERROR(__xludf.DUMMYFUNCTION("""COMPUTED_VALUE"""),"C")</f>
        <v>C</v>
      </c>
      <c r="F84" s="53">
        <f>IFERROR(__xludf.DUMMYFUNCTION("""COMPUTED_VALUE"""),-1.6207190510238796)</f>
        <v>-1.620719051</v>
      </c>
      <c r="G84" s="53">
        <f>IFERROR(__xludf.DUMMYFUNCTION("""COMPUTED_VALUE"""),0.4514014481906983)</f>
        <v>0.4514014482</v>
      </c>
      <c r="H84" s="53">
        <f>IFERROR(__xludf.DUMMYFUNCTION("""COMPUTED_VALUE"""),2.072120499214578)</f>
        <v>2.072120499</v>
      </c>
      <c r="I84" s="53">
        <f>IFERROR(__xludf.DUMMYFUNCTION("""COMPUTED_VALUE"""),13.1)</f>
        <v>13.1</v>
      </c>
      <c r="J84" s="53">
        <f>IFERROR(__xludf.DUMMYFUNCTION("""COMPUTED_VALUE"""),0.0)</f>
        <v>0</v>
      </c>
      <c r="K84" s="53">
        <f>IFERROR(__xludf.DUMMYFUNCTION("""COMPUTED_VALUE"""),9.3)</f>
        <v>9.3</v>
      </c>
      <c r="L84" s="53">
        <f>IFERROR(__xludf.DUMMYFUNCTION("""COMPUTED_VALUE"""),2.8)</f>
        <v>2.8</v>
      </c>
      <c r="M84" s="53">
        <f>IFERROR(__xludf.DUMMYFUNCTION("""COMPUTED_VALUE"""),0.8)</f>
        <v>0.8</v>
      </c>
      <c r="N84" s="53">
        <f>IFERROR(__xludf.DUMMYFUNCTION("""COMPUTED_VALUE"""),1.4)</f>
        <v>1.4</v>
      </c>
      <c r="O84" s="53">
        <f>IFERROR(__xludf.DUMMYFUNCTION("""COMPUTED_VALUE"""),62.36559139784945)</f>
        <v>62.3655914</v>
      </c>
      <c r="P84" s="53">
        <f>IFERROR(__xludf.DUMMYFUNCTION("""COMPUTED_VALUE"""),53.57142857142857)</f>
        <v>53.57142857</v>
      </c>
      <c r="Q84" s="53">
        <f>IFERROR(__xludf.DUMMYFUNCTION("""COMPUTED_VALUE"""),1.7)</f>
        <v>1.7</v>
      </c>
      <c r="R84" s="53">
        <f>IFERROR(__xludf.DUMMYFUNCTION("""COMPUTED_VALUE"""),-0.7005079735573735)</f>
        <v>-0.7005079736</v>
      </c>
      <c r="S84" s="53">
        <f>IFERROR(__xludf.DUMMYFUNCTION("""COMPUTED_VALUE"""),-1.4261378116187227)</f>
        <v>-1.426137812</v>
      </c>
      <c r="T84" s="53">
        <f>IFERROR(__xludf.DUMMYFUNCTION("""COMPUTED_VALUE"""),1.3400432193177436)</f>
        <v>1.340043219</v>
      </c>
      <c r="U84" s="53">
        <f>IFERROR(__xludf.DUMMYFUNCTION("""COMPUTED_VALUE"""),-0.5324656877402022)</f>
        <v>-0.5324656877</v>
      </c>
      <c r="V84" s="53">
        <f>IFERROR(__xludf.DUMMYFUNCTION("""COMPUTED_VALUE"""),-0.42447047355638534)</f>
        <v>-0.4244704736</v>
      </c>
      <c r="W84" s="53">
        <f>IFERROR(__xludf.DUMMYFUNCTION("""COMPUTED_VALUE"""),0.9174599998400302)</f>
        <v>0.9174599998</v>
      </c>
      <c r="X84" s="53">
        <f>IFERROR(__xludf.DUMMYFUNCTION("""COMPUTED_VALUE"""),1.1859972117602042)</f>
        <v>1.185997212</v>
      </c>
      <c r="Y84" s="53">
        <f>IFERROR(__xludf.DUMMYFUNCTION("""COMPUTED_VALUE"""),-1.7709139550071076)</f>
        <v>-1.770913955</v>
      </c>
      <c r="Z84" s="53">
        <f>IFERROR(__xludf.DUMMYFUNCTION("""COMPUTED_VALUE"""),0.09148296374540399)</f>
        <v>0.09148296375</v>
      </c>
      <c r="AA84" t="str">
        <f>IFERROR(__xludf.DUMMYFUNCTION("SUBSTITUTE(REGEXREPLACE(REGEXREPLACE(REGEXREPLACE(REGEXREPLACE(REGEXREPLACE(REGEXREPLACE(E84,"","",),IF(Projections!$U$3="""",""PG"",),),IF(Projections!$V$3="""",""SG"",),),IF(Projections!$W$3="""",""SF"",),),IF(Projections!$X$3="""",""PF"",),),IF(Project"&amp;"ions!$Y$3="""",""C"",),),""/"","""")"),"C")</f>
        <v>C</v>
      </c>
    </row>
    <row r="85">
      <c r="A85" t="str">
        <f>IF(Projections!$H$3,Draft!I11,"")</f>
        <v/>
      </c>
      <c r="B85">
        <f>IFERROR(__xludf.DUMMYFUNCTION("""COMPUTED_VALUE"""),87.0)</f>
        <v>87</v>
      </c>
      <c r="C85" t="str">
        <f>IFERROR(__xludf.DUMMYFUNCTION("""COMPUTED_VALUE"""),"Daniel Gafford")</f>
        <v>Daniel Gafford</v>
      </c>
      <c r="D85">
        <f>IFERROR(__xludf.DUMMYFUNCTION("""COMPUTED_VALUE"""),76.0)</f>
        <v>76</v>
      </c>
      <c r="E85" t="str">
        <f>IFERROR(__xludf.DUMMYFUNCTION("""COMPUTED_VALUE"""),"PF")</f>
        <v>PF</v>
      </c>
      <c r="F85" s="53">
        <f>IFERROR(__xludf.DUMMYFUNCTION("""COMPUTED_VALUE"""),-1.0760415300708148)</f>
        <v>-1.07604153</v>
      </c>
      <c r="G85" s="53">
        <f>IFERROR(__xludf.DUMMYFUNCTION("""COMPUTED_VALUE"""),0.36032996250633564)</f>
        <v>0.3603299625</v>
      </c>
      <c r="H85" s="53">
        <f>IFERROR(__xludf.DUMMYFUNCTION("""COMPUTED_VALUE"""),1.4363714925771505)</f>
        <v>1.436371493</v>
      </c>
      <c r="I85" s="53">
        <f>IFERROR(__xludf.DUMMYFUNCTION("""COMPUTED_VALUE"""),12.8)</f>
        <v>12.8</v>
      </c>
      <c r="J85" s="53">
        <f>IFERROR(__xludf.DUMMYFUNCTION("""COMPUTED_VALUE"""),0.0)</f>
        <v>0</v>
      </c>
      <c r="K85" s="53">
        <f>IFERROR(__xludf.DUMMYFUNCTION("""COMPUTED_VALUE"""),7.8)</f>
        <v>7.8</v>
      </c>
      <c r="L85" s="53">
        <f>IFERROR(__xludf.DUMMYFUNCTION("""COMPUTED_VALUE"""),1.4)</f>
        <v>1.4</v>
      </c>
      <c r="M85" s="53">
        <f>IFERROR(__xludf.DUMMYFUNCTION("""COMPUTED_VALUE"""),0.6)</f>
        <v>0.6</v>
      </c>
      <c r="N85" s="53">
        <f>IFERROR(__xludf.DUMMYFUNCTION("""COMPUTED_VALUE"""),1.7)</f>
        <v>1.7</v>
      </c>
      <c r="O85" s="53">
        <f>IFERROR(__xludf.DUMMYFUNCTION("""COMPUTED_VALUE"""),71.62162162162161)</f>
        <v>71.62162162</v>
      </c>
      <c r="P85" s="53">
        <f>IFERROR(__xludf.DUMMYFUNCTION("""COMPUTED_VALUE"""),70.96774193548387)</f>
        <v>70.96774194</v>
      </c>
      <c r="Q85" s="53">
        <f>IFERROR(__xludf.DUMMYFUNCTION("""COMPUTED_VALUE"""),1.4)</f>
        <v>1.4</v>
      </c>
      <c r="R85" s="53">
        <f>IFERROR(__xludf.DUMMYFUNCTION("""COMPUTED_VALUE"""),-0.7510658866449142)</f>
        <v>-0.7510658866</v>
      </c>
      <c r="S85" s="53">
        <f>IFERROR(__xludf.DUMMYFUNCTION("""COMPUTED_VALUE"""),-1.4261378116187227)</f>
        <v>-1.426137812</v>
      </c>
      <c r="T85" s="53">
        <f>IFERROR(__xludf.DUMMYFUNCTION("""COMPUTED_VALUE"""),0.7128126714781506)</f>
        <v>0.7128126715</v>
      </c>
      <c r="U85" s="53">
        <f>IFERROR(__xludf.DUMMYFUNCTION("""COMPUTED_VALUE"""),-1.246500134901392)</f>
        <v>-1.246500135</v>
      </c>
      <c r="V85" s="53">
        <f>IFERROR(__xludf.DUMMYFUNCTION("""COMPUTED_VALUE"""),-0.860570275155411)</f>
        <v>-0.8605702752</v>
      </c>
      <c r="W85" s="53">
        <f>IFERROR(__xludf.DUMMYFUNCTION("""COMPUTED_VALUE"""),1.3114075188553107)</f>
        <v>1.311407519</v>
      </c>
      <c r="X85" s="53">
        <f>IFERROR(__xludf.DUMMYFUNCTION("""COMPUTED_VALUE"""),1.6278655487304587)</f>
        <v>1.627865549</v>
      </c>
      <c r="Y85" s="53">
        <f>IFERROR(__xludf.DUMMYFUNCTION("""COMPUTED_VALUE"""),-0.6182412075954611)</f>
        <v>-0.6182412076</v>
      </c>
      <c r="Z85" s="53">
        <f>IFERROR(__xludf.DUMMYFUNCTION("""COMPUTED_VALUE"""),0.18462172773959373)</f>
        <v>0.1846217277</v>
      </c>
      <c r="AA85" t="str">
        <f>IFERROR(__xludf.DUMMYFUNCTION("SUBSTITUTE(REGEXREPLACE(REGEXREPLACE(REGEXREPLACE(REGEXREPLACE(REGEXREPLACE(REGEXREPLACE(E85,"","",),IF(Projections!$U$3="""",""PG"",),),IF(Projections!$V$3="""",""SG"",),),IF(Projections!$W$3="""",""SF"",),),IF(Projections!$X$3="""",""PF"",),),IF(Project"&amp;"ions!$Y$3="""",""C"",),),""/"","""")"),"PF")</f>
        <v>PF</v>
      </c>
    </row>
    <row r="86">
      <c r="A86" t="str">
        <f>IF(Projections!$H$3,Draft!I12,"")</f>
        <v/>
      </c>
      <c r="B86">
        <f>IFERROR(__xludf.DUMMYFUNCTION("""COMPUTED_VALUE"""),59.0)</f>
        <v>59</v>
      </c>
      <c r="C86" t="str">
        <f>IFERROR(__xludf.DUMMYFUNCTION("""COMPUTED_VALUE"""),"Jalen Williams")</f>
        <v>Jalen Williams</v>
      </c>
      <c r="D86">
        <f>IFERROR(__xludf.DUMMYFUNCTION("""COMPUTED_VALUE"""),74.0)</f>
        <v>74</v>
      </c>
      <c r="E86" t="str">
        <f>IFERROR(__xludf.DUMMYFUNCTION("""COMPUTED_VALUE"""),"SG,SF")</f>
        <v>SG,SF</v>
      </c>
      <c r="F86" s="53">
        <f>IFERROR(__xludf.DUMMYFUNCTION("""COMPUTED_VALUE"""),0.08691188539517358)</f>
        <v>0.0869118854</v>
      </c>
      <c r="G86" s="53">
        <f>IFERROR(__xludf.DUMMYFUNCTION("""COMPUTED_VALUE"""),0.3443132052407103)</f>
        <v>0.3443132052</v>
      </c>
      <c r="H86" s="53">
        <f>IFERROR(__xludf.DUMMYFUNCTION("""COMPUTED_VALUE"""),0.2574013198455367)</f>
        <v>0.2574013198</v>
      </c>
      <c r="I86" s="53">
        <f>IFERROR(__xludf.DUMMYFUNCTION("""COMPUTED_VALUE"""),15.0)</f>
        <v>15</v>
      </c>
      <c r="J86" s="53">
        <f>IFERROR(__xludf.DUMMYFUNCTION("""COMPUTED_VALUE"""),1.0)</f>
        <v>1</v>
      </c>
      <c r="K86" s="53">
        <f>IFERROR(__xludf.DUMMYFUNCTION("""COMPUTED_VALUE"""),4.8)</f>
        <v>4.8</v>
      </c>
      <c r="L86" s="53">
        <f>IFERROR(__xludf.DUMMYFUNCTION("""COMPUTED_VALUE"""),3.5)</f>
        <v>3.5</v>
      </c>
      <c r="M86" s="53">
        <f>IFERROR(__xludf.DUMMYFUNCTION("""COMPUTED_VALUE"""),1.5)</f>
        <v>1.5</v>
      </c>
      <c r="N86" s="53">
        <f>IFERROR(__xludf.DUMMYFUNCTION("""COMPUTED_VALUE"""),0.5)</f>
        <v>0.5</v>
      </c>
      <c r="O86" s="53">
        <f>IFERROR(__xludf.DUMMYFUNCTION("""COMPUTED_VALUE"""),52.67857142857143)</f>
        <v>52.67857143</v>
      </c>
      <c r="P86" s="53">
        <f>IFERROR(__xludf.DUMMYFUNCTION("""COMPUTED_VALUE"""),81.4814814814815)</f>
        <v>81.48148148</v>
      </c>
      <c r="Q86" s="53">
        <f>IFERROR(__xludf.DUMMYFUNCTION("""COMPUTED_VALUE"""),1.7)</f>
        <v>1.7</v>
      </c>
      <c r="R86" s="53">
        <f>IFERROR(__xludf.DUMMYFUNCTION("""COMPUTED_VALUE"""),-0.3803078573362806)</f>
        <v>-0.3803078573</v>
      </c>
      <c r="S86" s="53">
        <f>IFERROR(__xludf.DUMMYFUNCTION("""COMPUTED_VALUE"""),-0.5590090246596284)</f>
        <v>-0.5590090247</v>
      </c>
      <c r="T86" s="53">
        <f>IFERROR(__xludf.DUMMYFUNCTION("""COMPUTED_VALUE"""),-0.5416484242010347)</f>
        <v>-0.5416484242</v>
      </c>
      <c r="U86" s="53">
        <f>IFERROR(__xludf.DUMMYFUNCTION("""COMPUTED_VALUE"""),-0.17544846415960708)</f>
        <v>-0.1754484642</v>
      </c>
      <c r="V86" s="53">
        <f>IFERROR(__xludf.DUMMYFUNCTION("""COMPUTED_VALUE"""),1.101878832040204)</f>
        <v>1.101878832</v>
      </c>
      <c r="W86" s="53">
        <f>IFERROR(__xludf.DUMMYFUNCTION("""COMPUTED_VALUE"""),-0.2643825572058105)</f>
        <v>-0.2643825572</v>
      </c>
      <c r="X86" s="53">
        <f>IFERROR(__xludf.DUMMYFUNCTION("""COMPUTED_VALUE"""),0.34458286309966835)</f>
        <v>0.3445828631</v>
      </c>
      <c r="Y86" s="53">
        <f>IFERROR(__xludf.DUMMYFUNCTION("""COMPUTED_VALUE"""),0.16815584925816673)</f>
        <v>0.1681558493</v>
      </c>
      <c r="Z86" s="53">
        <f>IFERROR(__xludf.DUMMYFUNCTION("""COMPUTED_VALUE"""),0.09148296374540399)</f>
        <v>0.09148296375</v>
      </c>
      <c r="AA86" t="str">
        <f>IFERROR(__xludf.DUMMYFUNCTION("SUBSTITUTE(REGEXREPLACE(REGEXREPLACE(REGEXREPLACE(REGEXREPLACE(REGEXREPLACE(REGEXREPLACE(E86,"","",),IF(Projections!$U$3="""",""PG"",),),IF(Projections!$V$3="""",""SG"",),),IF(Projections!$W$3="""",""SF"",),),IF(Projections!$X$3="""",""PF"",),),IF(Project"&amp;"ions!$Y$3="""",""C"",),),""/"","""")"),"SGSF")</f>
        <v>SGSF</v>
      </c>
    </row>
    <row r="87">
      <c r="A87" t="str">
        <f>IF(Projections!$H$3,Draft!I13,"")</f>
        <v/>
      </c>
      <c r="B87">
        <f>IFERROR(__xludf.DUMMYFUNCTION("""COMPUTED_VALUE"""),84.0)</f>
        <v>84</v>
      </c>
      <c r="C87" t="str">
        <f>IFERROR(__xludf.DUMMYFUNCTION("""COMPUTED_VALUE"""),"Onyeka Okongwu")</f>
        <v>Onyeka Okongwu</v>
      </c>
      <c r="D87">
        <f>IFERROR(__xludf.DUMMYFUNCTION("""COMPUTED_VALUE"""),76.0)</f>
        <v>76</v>
      </c>
      <c r="E87" t="str">
        <f>IFERROR(__xludf.DUMMYFUNCTION("""COMPUTED_VALUE"""),"C")</f>
        <v>C</v>
      </c>
      <c r="F87" s="53">
        <f>IFERROR(__xludf.DUMMYFUNCTION("""COMPUTED_VALUE"""),-1.0169683664905758)</f>
        <v>-1.016968366</v>
      </c>
      <c r="G87" s="53">
        <f>IFERROR(__xludf.DUMMYFUNCTION("""COMPUTED_VALUE"""),0.3117832511753085)</f>
        <v>0.3117832512</v>
      </c>
      <c r="H87" s="53">
        <f>IFERROR(__xludf.DUMMYFUNCTION("""COMPUTED_VALUE"""),1.3287516176658842)</f>
        <v>1.328751618</v>
      </c>
      <c r="I87" s="53">
        <f>IFERROR(__xludf.DUMMYFUNCTION("""COMPUTED_VALUE"""),11.0)</f>
        <v>11</v>
      </c>
      <c r="J87" s="53">
        <f>IFERROR(__xludf.DUMMYFUNCTION("""COMPUTED_VALUE"""),0.0)</f>
        <v>0</v>
      </c>
      <c r="K87" s="53">
        <f>IFERROR(__xludf.DUMMYFUNCTION("""COMPUTED_VALUE"""),8.0)</f>
        <v>8</v>
      </c>
      <c r="L87" s="53">
        <f>IFERROR(__xludf.DUMMYFUNCTION("""COMPUTED_VALUE"""),1.2)</f>
        <v>1.2</v>
      </c>
      <c r="M87" s="53">
        <f>IFERROR(__xludf.DUMMYFUNCTION("""COMPUTED_VALUE"""),0.8)</f>
        <v>0.8</v>
      </c>
      <c r="N87" s="53">
        <f>IFERROR(__xludf.DUMMYFUNCTION("""COMPUTED_VALUE"""),1.5)</f>
        <v>1.5</v>
      </c>
      <c r="O87" s="53">
        <f>IFERROR(__xludf.DUMMYFUNCTION("""COMPUTED_VALUE"""),65.67164179104478)</f>
        <v>65.67164179</v>
      </c>
      <c r="P87" s="53">
        <f>IFERROR(__xludf.DUMMYFUNCTION("""COMPUTED_VALUE"""),78.57142857142858)</f>
        <v>78.57142857</v>
      </c>
      <c r="Q87" s="53">
        <f>IFERROR(__xludf.DUMMYFUNCTION("""COMPUTED_VALUE"""),1.2)</f>
        <v>1.2</v>
      </c>
      <c r="R87" s="53">
        <f>IFERROR(__xludf.DUMMYFUNCTION("""COMPUTED_VALUE"""),-1.0544133651701602)</f>
        <v>-1.054413365</v>
      </c>
      <c r="S87" s="53">
        <f>IFERROR(__xludf.DUMMYFUNCTION("""COMPUTED_VALUE"""),-1.4261378116187227)</f>
        <v>-1.426137812</v>
      </c>
      <c r="T87" s="53">
        <f>IFERROR(__xludf.DUMMYFUNCTION("""COMPUTED_VALUE"""),0.7964434111900963)</f>
        <v>0.7964434112</v>
      </c>
      <c r="U87" s="53">
        <f>IFERROR(__xludf.DUMMYFUNCTION("""COMPUTED_VALUE"""),-1.3485050559244194)</f>
        <v>-1.348505056</v>
      </c>
      <c r="V87" s="53">
        <f>IFERROR(__xludf.DUMMYFUNCTION("""COMPUTED_VALUE"""),-0.42447047355638534)</f>
        <v>-0.4244704736</v>
      </c>
      <c r="W87" s="53">
        <f>IFERROR(__xludf.DUMMYFUNCTION("""COMPUTED_VALUE"""),1.0487758395117905)</f>
        <v>1.04877584</v>
      </c>
      <c r="X87" s="53">
        <f>IFERROR(__xludf.DUMMYFUNCTION("""COMPUTED_VALUE"""),1.0756820730105732)</f>
        <v>1.075682073</v>
      </c>
      <c r="Y87" s="53">
        <f>IFERROR(__xludf.DUMMYFUNCTION("""COMPUTED_VALUE"""),-0.028443414955239922)</f>
        <v>-0.02844341496</v>
      </c>
      <c r="Z87" s="53">
        <f>IFERROR(__xludf.DUMMYFUNCTION("""COMPUTED_VALUE"""),0.24671423706905354)</f>
        <v>0.2467142371</v>
      </c>
      <c r="AA87" t="str">
        <f>IFERROR(__xludf.DUMMYFUNCTION("SUBSTITUTE(REGEXREPLACE(REGEXREPLACE(REGEXREPLACE(REGEXREPLACE(REGEXREPLACE(REGEXREPLACE(E87,"","",),IF(Projections!$U$3="""",""PG"",),),IF(Projections!$V$3="""",""SG"",),),IF(Projections!$W$3="""",""SF"",),),IF(Projections!$X$3="""",""PF"",),),IF(Project"&amp;"ions!$Y$3="""",""C"",),),""/"","""")"),"C")</f>
        <v>C</v>
      </c>
    </row>
    <row r="88">
      <c r="A88" t="str">
        <f>IF(Projections!$H$3,Draft!I14,"")</f>
        <v/>
      </c>
      <c r="B88">
        <f>IFERROR(__xludf.DUMMYFUNCTION("""COMPUTED_VALUE"""),86.0)</f>
        <v>86</v>
      </c>
      <c r="C88" t="str">
        <f>IFERROR(__xludf.DUMMYFUNCTION("""COMPUTED_VALUE"""),"Chris Paul")</f>
        <v>Chris Paul</v>
      </c>
      <c r="D88">
        <f>IFERROR(__xludf.DUMMYFUNCTION("""COMPUTED_VALUE"""),60.0)</f>
        <v>60</v>
      </c>
      <c r="E88" t="str">
        <f>IFERROR(__xludf.DUMMYFUNCTION("""COMPUTED_VALUE"""),"PG")</f>
        <v>PG</v>
      </c>
      <c r="F88" s="53">
        <f>IFERROR(__xludf.DUMMYFUNCTION("""COMPUTED_VALUE"""),-1.0458227892065626)</f>
        <v>-1.045822789</v>
      </c>
      <c r="G88" s="53">
        <f>IFERROR(__xludf.DUMMYFUNCTION("""COMPUTED_VALUE"""),0.2921230590694298)</f>
        <v>0.2921230591</v>
      </c>
      <c r="H88" s="53">
        <f>IFERROR(__xludf.DUMMYFUNCTION("""COMPUTED_VALUE"""),1.3379458482759925)</f>
        <v>1.337945848</v>
      </c>
      <c r="I88" s="53">
        <f>IFERROR(__xludf.DUMMYFUNCTION("""COMPUTED_VALUE"""),11.6)</f>
        <v>11.6</v>
      </c>
      <c r="J88" s="53">
        <f>IFERROR(__xludf.DUMMYFUNCTION("""COMPUTED_VALUE"""),1.3)</f>
        <v>1.3</v>
      </c>
      <c r="K88" s="53">
        <f>IFERROR(__xludf.DUMMYFUNCTION("""COMPUTED_VALUE"""),3.6)</f>
        <v>3.6</v>
      </c>
      <c r="L88" s="53">
        <f>IFERROR(__xludf.DUMMYFUNCTION("""COMPUTED_VALUE"""),7.5)</f>
        <v>7.5</v>
      </c>
      <c r="M88" s="53">
        <f>IFERROR(__xludf.DUMMYFUNCTION("""COMPUTED_VALUE"""),1.2)</f>
        <v>1.2</v>
      </c>
      <c r="N88" s="53">
        <f>IFERROR(__xludf.DUMMYFUNCTION("""COMPUTED_VALUE"""),0.3)</f>
        <v>0.3</v>
      </c>
      <c r="O88" s="53">
        <f>IFERROR(__xludf.DUMMYFUNCTION("""COMPUTED_VALUE"""),43.61702127659574)</f>
        <v>43.61702128</v>
      </c>
      <c r="P88" s="53">
        <f>IFERROR(__xludf.DUMMYFUNCTION("""COMPUTED_VALUE"""),83.33333333333334)</f>
        <v>83.33333333</v>
      </c>
      <c r="Q88" s="53">
        <f>IFERROR(__xludf.DUMMYFUNCTION("""COMPUTED_VALUE"""),1.8)</f>
        <v>1.8</v>
      </c>
      <c r="R88" s="53">
        <f>IFERROR(__xludf.DUMMYFUNCTION("""COMPUTED_VALUE"""),-0.9532975389950784)</f>
        <v>-0.953297539</v>
      </c>
      <c r="S88" s="53">
        <f>IFERROR(__xludf.DUMMYFUNCTION("""COMPUTED_VALUE"""),-0.2988703885719002)</f>
        <v>-0.2988703886</v>
      </c>
      <c r="T88" s="53">
        <f>IFERROR(__xludf.DUMMYFUNCTION("""COMPUTED_VALUE"""),-1.0434328624727087)</f>
        <v>-1.043432862</v>
      </c>
      <c r="U88" s="53">
        <f>IFERROR(__xludf.DUMMYFUNCTION("""COMPUTED_VALUE"""),1.8646499563009358)</f>
        <v>1.864649956</v>
      </c>
      <c r="V88" s="53">
        <f>IFERROR(__xludf.DUMMYFUNCTION("""COMPUTED_VALUE"""),0.44772912964166556)</f>
        <v>0.4477291296</v>
      </c>
      <c r="W88" s="53">
        <f>IFERROR(__xludf.DUMMYFUNCTION("""COMPUTED_VALUE"""),-0.5270142365493308)</f>
        <v>-0.5270142365</v>
      </c>
      <c r="X88" s="53">
        <f>IFERROR(__xludf.DUMMYFUNCTION("""COMPUTED_VALUE"""),-0.5616154880068186)</f>
        <v>-0.561615488</v>
      </c>
      <c r="Y88" s="53">
        <f>IFERROR(__xludf.DUMMYFUNCTION("""COMPUTED_VALUE"""),0.2601049161692824)</f>
        <v>0.2601049162</v>
      </c>
      <c r="Z88" s="53">
        <f>IFERROR(__xludf.DUMMYFUNCTION("""COMPUTED_VALUE"""),0.06043670908067405)</f>
        <v>0.06043670908</v>
      </c>
      <c r="AA88" t="str">
        <f>IFERROR(__xludf.DUMMYFUNCTION("SUBSTITUTE(REGEXREPLACE(REGEXREPLACE(REGEXREPLACE(REGEXREPLACE(REGEXREPLACE(REGEXREPLACE(E88,"","",),IF(Projections!$U$3="""",""PG"",),),IF(Projections!$V$3="""",""SG"",),),IF(Projections!$W$3="""",""SF"",),),IF(Projections!$X$3="""",""PF"",),),IF(Project"&amp;"ions!$Y$3="""",""C"",),),""/"","""")"),"PG")</f>
        <v>PG</v>
      </c>
    </row>
    <row r="89">
      <c r="A89" t="str">
        <f>IF(Projections!$H$3,Draft!J3,"")</f>
        <v/>
      </c>
      <c r="B89">
        <f>IFERROR(__xludf.DUMMYFUNCTION("""COMPUTED_VALUE"""),88.0)</f>
        <v>88</v>
      </c>
      <c r="C89" t="str">
        <f>IFERROR(__xludf.DUMMYFUNCTION("""COMPUTED_VALUE"""),"Draymond Green")</f>
        <v>Draymond Green</v>
      </c>
      <c r="D89">
        <f>IFERROR(__xludf.DUMMYFUNCTION("""COMPUTED_VALUE"""),55.0)</f>
        <v>55</v>
      </c>
      <c r="E89" t="str">
        <f>IFERROR(__xludf.DUMMYFUNCTION("""COMPUTED_VALUE"""),"PF,C")</f>
        <v>PF,C</v>
      </c>
      <c r="F89" s="53">
        <f>IFERROR(__xludf.DUMMYFUNCTION("""COMPUTED_VALUE"""),-1.1876905895448422)</f>
        <v>-1.18769059</v>
      </c>
      <c r="G89" s="53">
        <f>IFERROR(__xludf.DUMMYFUNCTION("""COMPUTED_VALUE"""),0.2625146524650961)</f>
        <v>0.2625146525</v>
      </c>
      <c r="H89" s="53">
        <f>IFERROR(__xludf.DUMMYFUNCTION("""COMPUTED_VALUE"""),1.4502052420099383)</f>
        <v>1.450205242</v>
      </c>
      <c r="I89" s="53">
        <f>IFERROR(__xludf.DUMMYFUNCTION("""COMPUTED_VALUE"""),8.4)</f>
        <v>8.4</v>
      </c>
      <c r="J89" s="53">
        <f>IFERROR(__xludf.DUMMYFUNCTION("""COMPUTED_VALUE"""),0.5)</f>
        <v>0.5</v>
      </c>
      <c r="K89" s="53">
        <f>IFERROR(__xludf.DUMMYFUNCTION("""COMPUTED_VALUE"""),7.5)</f>
        <v>7.5</v>
      </c>
      <c r="L89" s="53">
        <f>IFERROR(__xludf.DUMMYFUNCTION("""COMPUTED_VALUE"""),6.0)</f>
        <v>6</v>
      </c>
      <c r="M89" s="53">
        <f>IFERROR(__xludf.DUMMYFUNCTION("""COMPUTED_VALUE"""),1.0)</f>
        <v>1</v>
      </c>
      <c r="N89" s="53">
        <f>IFERROR(__xludf.DUMMYFUNCTION("""COMPUTED_VALUE"""),0.7)</f>
        <v>0.7</v>
      </c>
      <c r="O89" s="53">
        <f>IFERROR(__xludf.DUMMYFUNCTION("""COMPUTED_VALUE"""),53.125)</f>
        <v>53.125</v>
      </c>
      <c r="P89" s="53">
        <f>IFERROR(__xludf.DUMMYFUNCTION("""COMPUTED_VALUE"""),70.58823529411765)</f>
        <v>70.58823529</v>
      </c>
      <c r="Q89" s="53">
        <f>IFERROR(__xludf.DUMMYFUNCTION("""COMPUTED_VALUE"""),3.0)</f>
        <v>3</v>
      </c>
      <c r="R89" s="53">
        <f>IFERROR(__xludf.DUMMYFUNCTION("""COMPUTED_VALUE"""),-1.492581945262182)</f>
        <v>-1.492581945</v>
      </c>
      <c r="S89" s="53">
        <f>IFERROR(__xludf.DUMMYFUNCTION("""COMPUTED_VALUE"""),-0.9925734181391757)</f>
        <v>-0.9925734181</v>
      </c>
      <c r="T89" s="53">
        <f>IFERROR(__xludf.DUMMYFUNCTION("""COMPUTED_VALUE"""),0.5873665619102322)</f>
        <v>0.5873665619</v>
      </c>
      <c r="U89" s="53">
        <f>IFERROR(__xludf.DUMMYFUNCTION("""COMPUTED_VALUE"""),1.0996130486282323)</f>
        <v>1.099613049</v>
      </c>
      <c r="V89" s="53">
        <f>IFERROR(__xludf.DUMMYFUNCTION("""COMPUTED_VALUE"""),0.011629328042640127)</f>
        <v>0.01162932804</v>
      </c>
      <c r="W89" s="53">
        <f>IFERROR(__xludf.DUMMYFUNCTION("""COMPUTED_VALUE"""),-0.0017508778622903794)</f>
        <v>-0.001750877862</v>
      </c>
      <c r="X89" s="53">
        <f>IFERROR(__xludf.DUMMYFUNCTION("""COMPUTED_VALUE"""),0.22544349403483055)</f>
        <v>0.225443494</v>
      </c>
      <c r="Y89" s="53">
        <f>IFERROR(__xludf.DUMMYFUNCTION("""COMPUTED_VALUE"""),-0.3550951372532883)</f>
        <v>-0.3550951373</v>
      </c>
      <c r="Z89" s="53">
        <f>IFERROR(__xludf.DUMMYFUNCTION("""COMPUTED_VALUE"""),-0.31211834689608486)</f>
        <v>-0.3121183469</v>
      </c>
      <c r="AA89" t="str">
        <f>IFERROR(__xludf.DUMMYFUNCTION("SUBSTITUTE(REGEXREPLACE(REGEXREPLACE(REGEXREPLACE(REGEXREPLACE(REGEXREPLACE(REGEXREPLACE(E89,"","",),IF(Projections!$U$3="""",""PG"",),),IF(Projections!$V$3="""",""SG"",),),IF(Projections!$W$3="""",""SF"",),),IF(Projections!$X$3="""",""PF"",),),IF(Project"&amp;"ions!$Y$3="""",""C"",),),""/"","""")"),"PFC")</f>
        <v>PFC</v>
      </c>
    </row>
    <row r="90">
      <c r="A90" t="str">
        <f>IF(Projections!$H$3,Draft!J4,"")</f>
        <v/>
      </c>
      <c r="B90">
        <f>IFERROR(__xludf.DUMMYFUNCTION("""COMPUTED_VALUE"""),105.0)</f>
        <v>105</v>
      </c>
      <c r="C90" t="str">
        <f>IFERROR(__xludf.DUMMYFUNCTION("""COMPUTED_VALUE"""),"Clint Capela")</f>
        <v>Clint Capela</v>
      </c>
      <c r="D90">
        <f>IFERROR(__xludf.DUMMYFUNCTION("""COMPUTED_VALUE"""),68.0)</f>
        <v>68</v>
      </c>
      <c r="E90" t="str">
        <f>IFERROR(__xludf.DUMMYFUNCTION("""COMPUTED_VALUE"""),"C")</f>
        <v>C</v>
      </c>
      <c r="F90" s="53">
        <f>IFERROR(__xludf.DUMMYFUNCTION("""COMPUTED_VALUE"""),-1.862138667560545)</f>
        <v>-1.862138668</v>
      </c>
      <c r="G90" s="53">
        <f>IFERROR(__xludf.DUMMYFUNCTION("""COMPUTED_VALUE"""),0.15162582057031004)</f>
        <v>0.1516258206</v>
      </c>
      <c r="H90" s="53">
        <f>IFERROR(__xludf.DUMMYFUNCTION("""COMPUTED_VALUE"""),2.013764488130855)</f>
        <v>2.013764488</v>
      </c>
      <c r="I90" s="53">
        <f>IFERROR(__xludf.DUMMYFUNCTION("""COMPUTED_VALUE"""),11.4)</f>
        <v>11.4</v>
      </c>
      <c r="J90" s="53">
        <f>IFERROR(__xludf.DUMMYFUNCTION("""COMPUTED_VALUE"""),0.0)</f>
        <v>0</v>
      </c>
      <c r="K90" s="53">
        <f>IFERROR(__xludf.DUMMYFUNCTION("""COMPUTED_VALUE"""),11.2)</f>
        <v>11.2</v>
      </c>
      <c r="L90" s="53">
        <f>IFERROR(__xludf.DUMMYFUNCTION("""COMPUTED_VALUE"""),1.1)</f>
        <v>1.1</v>
      </c>
      <c r="M90" s="53">
        <f>IFERROR(__xludf.DUMMYFUNCTION("""COMPUTED_VALUE"""),0.7)</f>
        <v>0.7</v>
      </c>
      <c r="N90" s="53">
        <f>IFERROR(__xludf.DUMMYFUNCTION("""COMPUTED_VALUE"""),1.2)</f>
        <v>1.2</v>
      </c>
      <c r="O90" s="53">
        <f>IFERROR(__xludf.DUMMYFUNCTION("""COMPUTED_VALUE"""),63.74999999999999)</f>
        <v>63.75</v>
      </c>
      <c r="P90" s="53">
        <f>IFERROR(__xludf.DUMMYFUNCTION("""COMPUTED_VALUE"""),57.14285714285714)</f>
        <v>57.14285714</v>
      </c>
      <c r="Q90" s="53">
        <f>IFERROR(__xludf.DUMMYFUNCTION("""COMPUTED_VALUE"""),0.7)</f>
        <v>0.7</v>
      </c>
      <c r="R90" s="53">
        <f>IFERROR(__xludf.DUMMYFUNCTION("""COMPUTED_VALUE"""),-0.9870028143867723)</f>
        <v>-0.9870028144</v>
      </c>
      <c r="S90" s="53">
        <f>IFERROR(__xludf.DUMMYFUNCTION("""COMPUTED_VALUE"""),-1.4261378116187227)</f>
        <v>-1.426137812</v>
      </c>
      <c r="T90" s="53">
        <f>IFERROR(__xludf.DUMMYFUNCTION("""COMPUTED_VALUE"""),2.134535246581227)</f>
        <v>2.134535247</v>
      </c>
      <c r="U90" s="53">
        <f>IFERROR(__xludf.DUMMYFUNCTION("""COMPUTED_VALUE"""),-1.3995075164359327)</f>
        <v>-1.399507516</v>
      </c>
      <c r="V90" s="53">
        <f>IFERROR(__xludf.DUMMYFUNCTION("""COMPUTED_VALUE"""),-0.6425203743558983)</f>
        <v>-0.6425203744</v>
      </c>
      <c r="W90" s="53">
        <f>IFERROR(__xludf.DUMMYFUNCTION("""COMPUTED_VALUE"""),0.6548283204965102)</f>
        <v>0.6548283205</v>
      </c>
      <c r="X90" s="53">
        <f>IFERROR(__xludf.DUMMYFUNCTION("""COMPUTED_VALUE"""),1.130839642385389)</f>
        <v>1.130839642</v>
      </c>
      <c r="Y90" s="53">
        <f>IFERROR(__xludf.DUMMYFUNCTION("""COMPUTED_VALUE"""),-1.1414921941069163)</f>
        <v>-1.141492194</v>
      </c>
      <c r="Z90" s="53">
        <f>IFERROR(__xludf.DUMMYFUNCTION("""COMPUTED_VALUE"""),0.4019455103927031)</f>
        <v>0.4019455104</v>
      </c>
      <c r="AA90" t="str">
        <f>IFERROR(__xludf.DUMMYFUNCTION("SUBSTITUTE(REGEXREPLACE(REGEXREPLACE(REGEXREPLACE(REGEXREPLACE(REGEXREPLACE(REGEXREPLACE(E90,"","",),IF(Projections!$U$3="""",""PG"",),),IF(Projections!$V$3="""",""SG"",),),IF(Projections!$W$3="""",""SF"",),),IF(Projections!$X$3="""",""PF"",),),IF(Project"&amp;"ions!$Y$3="""",""C"",),),""/"","""")"),"C")</f>
        <v>C</v>
      </c>
    </row>
    <row r="91">
      <c r="A91" t="str">
        <f>IF(Projections!$H$3,Draft!J5,"")</f>
        <v/>
      </c>
      <c r="B91">
        <f>IFERROR(__xludf.DUMMYFUNCTION("""COMPUTED_VALUE"""),89.0)</f>
        <v>89</v>
      </c>
      <c r="C91" t="str">
        <f>IFERROR(__xludf.DUMMYFUNCTION("""COMPUTED_VALUE"""),"Brook Lopez")</f>
        <v>Brook Lopez</v>
      </c>
      <c r="D91">
        <f>IFERROR(__xludf.DUMMYFUNCTION("""COMPUTED_VALUE"""),72.0)</f>
        <v>72</v>
      </c>
      <c r="E91" t="str">
        <f>IFERROR(__xludf.DUMMYFUNCTION("""COMPUTED_VALUE"""),"C")</f>
        <v>C</v>
      </c>
      <c r="F91" s="53">
        <f>IFERROR(__xludf.DUMMYFUNCTION("""COMPUTED_VALUE"""),-1.258926998719723)</f>
        <v>-1.258926999</v>
      </c>
      <c r="G91" s="53">
        <f>IFERROR(__xludf.DUMMYFUNCTION("""COMPUTED_VALUE"""),0.10586545365203981)</f>
        <v>0.1058654537</v>
      </c>
      <c r="H91" s="53">
        <f>IFERROR(__xludf.DUMMYFUNCTION("""COMPUTED_VALUE"""),1.3647924523717627)</f>
        <v>1.364792452</v>
      </c>
      <c r="I91" s="53">
        <f>IFERROR(__xludf.DUMMYFUNCTION("""COMPUTED_VALUE"""),13.5)</f>
        <v>13.5</v>
      </c>
      <c r="J91" s="53">
        <f>IFERROR(__xludf.DUMMYFUNCTION("""COMPUTED_VALUE"""),1.5)</f>
        <v>1.5</v>
      </c>
      <c r="K91" s="53">
        <f>IFERROR(__xludf.DUMMYFUNCTION("""COMPUTED_VALUE"""),5.9)</f>
        <v>5.9</v>
      </c>
      <c r="L91" s="53">
        <f>IFERROR(__xludf.DUMMYFUNCTION("""COMPUTED_VALUE"""),1.0)</f>
        <v>1</v>
      </c>
      <c r="M91" s="53">
        <f>IFERROR(__xludf.DUMMYFUNCTION("""COMPUTED_VALUE"""),0.4)</f>
        <v>0.4</v>
      </c>
      <c r="N91" s="53">
        <f>IFERROR(__xludf.DUMMYFUNCTION("""COMPUTED_VALUE"""),2.0)</f>
        <v>2</v>
      </c>
      <c r="O91" s="53">
        <f>IFERROR(__xludf.DUMMYFUNCTION("""COMPUTED_VALUE"""),52.0)</f>
        <v>52</v>
      </c>
      <c r="P91" s="53">
        <f>IFERROR(__xludf.DUMMYFUNCTION("""COMPUTED_VALUE"""),80.0)</f>
        <v>80</v>
      </c>
      <c r="Q91" s="53">
        <f>IFERROR(__xludf.DUMMYFUNCTION("""COMPUTED_VALUE"""),1.2)</f>
        <v>1.2</v>
      </c>
      <c r="R91" s="53">
        <f>IFERROR(__xludf.DUMMYFUNCTION("""COMPUTED_VALUE"""),-0.6330974227739855)</f>
        <v>-0.6330974228</v>
      </c>
      <c r="S91" s="53">
        <f>IFERROR(__xludf.DUMMYFUNCTION("""COMPUTED_VALUE"""),-0.12544463118008137)</f>
        <v>-0.1254446312</v>
      </c>
      <c r="T91" s="53">
        <f>IFERROR(__xludf.DUMMYFUNCTION("""COMPUTED_VALUE"""),-0.08167935578533317)</f>
        <v>-0.08167935579</v>
      </c>
      <c r="U91" s="53">
        <f>IFERROR(__xludf.DUMMYFUNCTION("""COMPUTED_VALUE"""),-1.4505099769474463)</f>
        <v>-1.450509977</v>
      </c>
      <c r="V91" s="53">
        <f>IFERROR(__xludf.DUMMYFUNCTION("""COMPUTED_VALUE"""),-1.2966700767544366)</f>
        <v>-1.296670077</v>
      </c>
      <c r="W91" s="53">
        <f>IFERROR(__xludf.DUMMYFUNCTION("""COMPUTED_VALUE"""),1.705355037870591)</f>
        <v>1.705355038</v>
      </c>
      <c r="X91" s="53">
        <f>IFERROR(__xludf.DUMMYFUNCTION("""COMPUTED_VALUE"""),0.2398831436415309)</f>
        <v>0.2398831436</v>
      </c>
      <c r="Y91" s="53">
        <f>IFERROR(__xludf.DUMMYFUNCTION("""COMPUTED_VALUE"""),0.05080452156470048)</f>
        <v>0.05080452156</v>
      </c>
      <c r="Z91" s="53">
        <f>IFERROR(__xludf.DUMMYFUNCTION("""COMPUTED_VALUE"""),0.24671423706905354)</f>
        <v>0.2467142371</v>
      </c>
      <c r="AA91" t="str">
        <f>IFERROR(__xludf.DUMMYFUNCTION("SUBSTITUTE(REGEXREPLACE(REGEXREPLACE(REGEXREPLACE(REGEXREPLACE(REGEXREPLACE(REGEXREPLACE(E91,"","",),IF(Projections!$U$3="""",""PG"",),),IF(Projections!$V$3="""",""SG"",),),IF(Projections!$W$3="""",""SF"",),),IF(Projections!$X$3="""",""PF"",),),IF(Project"&amp;"ions!$Y$3="""",""C"",),),""/"","""")"),"C")</f>
        <v>C</v>
      </c>
    </row>
    <row r="92">
      <c r="A92" t="str">
        <f>IF(Projections!$H$3,Draft!J6,"")</f>
        <v/>
      </c>
      <c r="B92">
        <f>IFERROR(__xludf.DUMMYFUNCTION("""COMPUTED_VALUE"""),82.0)</f>
        <v>82</v>
      </c>
      <c r="C92" t="str">
        <f>IFERROR(__xludf.DUMMYFUNCTION("""COMPUTED_VALUE"""),"Paolo Banchero")</f>
        <v>Paolo Banchero</v>
      </c>
      <c r="D92">
        <f>IFERROR(__xludf.DUMMYFUNCTION("""COMPUTED_VALUE"""),72.0)</f>
        <v>72</v>
      </c>
      <c r="E92" t="str">
        <f>IFERROR(__xludf.DUMMYFUNCTION("""COMPUTED_VALUE"""),"SF,PF")</f>
        <v>SF,PF</v>
      </c>
      <c r="F92" s="53">
        <f>IFERROR(__xludf.DUMMYFUNCTION("""COMPUTED_VALUE"""),-0.9304531185650247)</f>
        <v>-0.9304531186</v>
      </c>
      <c r="G92" s="53">
        <f>IFERROR(__xludf.DUMMYFUNCTION("""COMPUTED_VALUE"""),0.03784572165320632)</f>
        <v>0.03784572165</v>
      </c>
      <c r="H92" s="53">
        <f>IFERROR(__xludf.DUMMYFUNCTION("""COMPUTED_VALUE"""),0.968298840218231)</f>
        <v>0.9682988402</v>
      </c>
      <c r="I92" s="53">
        <f>IFERROR(__xludf.DUMMYFUNCTION("""COMPUTED_VALUE"""),21.5)</f>
        <v>21.5</v>
      </c>
      <c r="J92" s="53">
        <f>IFERROR(__xludf.DUMMYFUNCTION("""COMPUTED_VALUE"""),1.3)</f>
        <v>1.3</v>
      </c>
      <c r="K92" s="53">
        <f>IFERROR(__xludf.DUMMYFUNCTION("""COMPUTED_VALUE"""),7.5)</f>
        <v>7.5</v>
      </c>
      <c r="L92" s="53">
        <f>IFERROR(__xludf.DUMMYFUNCTION("""COMPUTED_VALUE"""),4.0)</f>
        <v>4</v>
      </c>
      <c r="M92" s="53">
        <f>IFERROR(__xludf.DUMMYFUNCTION("""COMPUTED_VALUE"""),1.0)</f>
        <v>1</v>
      </c>
      <c r="N92" s="53">
        <f>IFERROR(__xludf.DUMMYFUNCTION("""COMPUTED_VALUE"""),0.7)</f>
        <v>0.7</v>
      </c>
      <c r="O92" s="53">
        <f>IFERROR(__xludf.DUMMYFUNCTION("""COMPUTED_VALUE"""),44.242424242424235)</f>
        <v>44.24242424</v>
      </c>
      <c r="P92" s="53">
        <f>IFERROR(__xludf.DUMMYFUNCTION("""COMPUTED_VALUE"""),74.66666666666666)</f>
        <v>74.66666667</v>
      </c>
      <c r="Q92" s="53">
        <f>IFERROR(__xludf.DUMMYFUNCTION("""COMPUTED_VALUE"""),2.8)</f>
        <v>2.8</v>
      </c>
      <c r="R92" s="53">
        <f>IFERROR(__xludf.DUMMYFUNCTION("""COMPUTED_VALUE"""),0.7151135928937739)</f>
        <v>0.7151135929</v>
      </c>
      <c r="S92" s="53">
        <f>IFERROR(__xludf.DUMMYFUNCTION("""COMPUTED_VALUE"""),-0.2988703885719002)</f>
        <v>-0.2988703886</v>
      </c>
      <c r="T92" s="53">
        <f>IFERROR(__xludf.DUMMYFUNCTION("""COMPUTED_VALUE"""),0.5873665619102322)</f>
        <v>0.5873665619</v>
      </c>
      <c r="U92" s="53">
        <f>IFERROR(__xludf.DUMMYFUNCTION("""COMPUTED_VALUE"""),0.07956383839796079)</f>
        <v>0.0795638384</v>
      </c>
      <c r="V92" s="53">
        <f>IFERROR(__xludf.DUMMYFUNCTION("""COMPUTED_VALUE"""),0.011629328042640127)</f>
        <v>0.01162932804</v>
      </c>
      <c r="W92" s="53">
        <f>IFERROR(__xludf.DUMMYFUNCTION("""COMPUTED_VALUE"""),-0.0017508778622903794)</f>
        <v>-0.001750877862</v>
      </c>
      <c r="X92" s="53">
        <f>IFERROR(__xludf.DUMMYFUNCTION("""COMPUTED_VALUE"""),-0.88274005040038)</f>
        <v>-0.8827400504</v>
      </c>
      <c r="Y92" s="53">
        <f>IFERROR(__xludf.DUMMYFUNCTION("""COMPUTED_VALUE"""),-0.805180495590585)</f>
        <v>-0.8051804956</v>
      </c>
      <c r="Z92" s="53">
        <f>IFERROR(__xludf.DUMMYFUNCTION("""COMPUTED_VALUE"""),-0.250025837566625)</f>
        <v>-0.2500258376</v>
      </c>
      <c r="AA92" t="str">
        <f>IFERROR(__xludf.DUMMYFUNCTION("SUBSTITUTE(REGEXREPLACE(REGEXREPLACE(REGEXREPLACE(REGEXREPLACE(REGEXREPLACE(REGEXREPLACE(E92,"","",),IF(Projections!$U$3="""",""PG"",),),IF(Projections!$V$3="""",""SG"",),),IF(Projections!$W$3="""",""SF"",),),IF(Projections!$X$3="""",""PF"",),),IF(Project"&amp;"ions!$Y$3="""",""C"",),),""/"","""")"),"SFPF")</f>
        <v>SFPF</v>
      </c>
    </row>
    <row r="93">
      <c r="A93" t="str">
        <f>IF(Projections!$H$3,Draft!J7,"")</f>
        <v/>
      </c>
      <c r="B93">
        <f>IFERROR(__xludf.DUMMYFUNCTION("""COMPUTED_VALUE"""),75.0)</f>
        <v>75</v>
      </c>
      <c r="C93" t="str">
        <f>IFERROR(__xludf.DUMMYFUNCTION("""COMPUTED_VALUE"""),"Jerami Grant")</f>
        <v>Jerami Grant</v>
      </c>
      <c r="D93">
        <f>IFERROR(__xludf.DUMMYFUNCTION("""COMPUTED_VALUE"""),65.0)</f>
        <v>65</v>
      </c>
      <c r="E93" t="str">
        <f>IFERROR(__xludf.DUMMYFUNCTION("""COMPUTED_VALUE"""),"PF")</f>
        <v>PF</v>
      </c>
      <c r="F93" s="53">
        <f>IFERROR(__xludf.DUMMYFUNCTION("""COMPUTED_VALUE"""),-0.6131414604792693)</f>
        <v>-0.6131414605</v>
      </c>
      <c r="G93" s="53">
        <f>IFERROR(__xludf.DUMMYFUNCTION("""COMPUTED_VALUE"""),0.03526288695947233)</f>
        <v>0.03526288696</v>
      </c>
      <c r="H93" s="53">
        <f>IFERROR(__xludf.DUMMYFUNCTION("""COMPUTED_VALUE"""),0.6484043474387416)</f>
        <v>0.6484043474</v>
      </c>
      <c r="I93" s="53">
        <f>IFERROR(__xludf.DUMMYFUNCTION("""COMPUTED_VALUE"""),19.6)</f>
        <v>19.6</v>
      </c>
      <c r="J93" s="53">
        <f>IFERROR(__xludf.DUMMYFUNCTION("""COMPUTED_VALUE"""),2.1)</f>
        <v>2.1</v>
      </c>
      <c r="K93" s="53">
        <f>IFERROR(__xludf.DUMMYFUNCTION("""COMPUTED_VALUE"""),4.4)</f>
        <v>4.4</v>
      </c>
      <c r="L93" s="53">
        <f>IFERROR(__xludf.DUMMYFUNCTION("""COMPUTED_VALUE"""),2.4)</f>
        <v>2.4</v>
      </c>
      <c r="M93" s="53">
        <f>IFERROR(__xludf.DUMMYFUNCTION("""COMPUTED_VALUE"""),0.9)</f>
        <v>0.9</v>
      </c>
      <c r="N93" s="53">
        <f>IFERROR(__xludf.DUMMYFUNCTION("""COMPUTED_VALUE"""),0.9)</f>
        <v>0.9</v>
      </c>
      <c r="O93" s="53">
        <f>IFERROR(__xludf.DUMMYFUNCTION("""COMPUTED_VALUE"""),46.85314685314685)</f>
        <v>46.85314685</v>
      </c>
      <c r="P93" s="53">
        <f>IFERROR(__xludf.DUMMYFUNCTION("""COMPUTED_VALUE"""),80.76923076923077)</f>
        <v>80.76923077</v>
      </c>
      <c r="Q93" s="53">
        <f>IFERROR(__xludf.DUMMYFUNCTION("""COMPUTED_VALUE"""),1.8)</f>
        <v>1.8</v>
      </c>
      <c r="R93" s="53">
        <f>IFERROR(__xludf.DUMMYFUNCTION("""COMPUTED_VALUE"""),0.39491347667268123)</f>
        <v>0.3949134767</v>
      </c>
      <c r="S93" s="53">
        <f>IFERROR(__xludf.DUMMYFUNCTION("""COMPUTED_VALUE"""),0.39483264099537524)</f>
        <v>0.394832641</v>
      </c>
      <c r="T93" s="53">
        <f>IFERROR(__xludf.DUMMYFUNCTION("""COMPUTED_VALUE"""),-0.7089099036249258)</f>
        <v>-0.7089099036</v>
      </c>
      <c r="U93" s="53">
        <f>IFERROR(__xludf.DUMMYFUNCTION("""COMPUTED_VALUE"""),-0.7364755297862564)</f>
        <v>-0.7364755298</v>
      </c>
      <c r="V93" s="53">
        <f>IFERROR(__xludf.DUMMYFUNCTION("""COMPUTED_VALUE"""),-0.2064205727568726)</f>
        <v>-0.2064205728</v>
      </c>
      <c r="W93" s="53">
        <f>IFERROR(__xludf.DUMMYFUNCTION("""COMPUTED_VALUE"""),0.2608808014812299)</f>
        <v>0.2608808015</v>
      </c>
      <c r="X93" s="53">
        <f>IFERROR(__xludf.DUMMYFUNCTION("""COMPUTED_VALUE"""),-0.39213176610273137)</f>
        <v>-0.3921317661</v>
      </c>
      <c r="Y93" s="53">
        <f>IFERROR(__xludf.DUMMYFUNCTION("""COMPUTED_VALUE"""),0.23166150121404186)</f>
        <v>0.2316615012</v>
      </c>
      <c r="Z93" s="53">
        <f>IFERROR(__xludf.DUMMYFUNCTION("""COMPUTED_VALUE"""),0.06043670908067405)</f>
        <v>0.06043670908</v>
      </c>
      <c r="AA93" t="str">
        <f>IFERROR(__xludf.DUMMYFUNCTION("SUBSTITUTE(REGEXREPLACE(REGEXREPLACE(REGEXREPLACE(REGEXREPLACE(REGEXREPLACE(REGEXREPLACE(E93,"","",),IF(Projections!$U$3="""",""PG"",),),IF(Projections!$V$3="""",""SG"",),),IF(Projections!$W$3="""",""SF"",),),IF(Projections!$X$3="""",""PF"",),),IF(Project"&amp;"ions!$Y$3="""",""C"",),),""/"","""")"),"PF")</f>
        <v>PF</v>
      </c>
    </row>
    <row r="94">
      <c r="A94" t="str">
        <f>IF(Projections!$H$3,Draft!J8,"")</f>
        <v/>
      </c>
      <c r="B94">
        <f>IFERROR(__xludf.DUMMYFUNCTION("""COMPUTED_VALUE"""),97.0)</f>
        <v>97</v>
      </c>
      <c r="C94" t="str">
        <f>IFERROR(__xludf.DUMMYFUNCTION("""COMPUTED_VALUE"""),"Jonas Valanciunas")</f>
        <v>Jonas Valanciunas</v>
      </c>
      <c r="D94">
        <f>IFERROR(__xludf.DUMMYFUNCTION("""COMPUTED_VALUE"""),74.0)</f>
        <v>74</v>
      </c>
      <c r="E94" t="str">
        <f>IFERROR(__xludf.DUMMYFUNCTION("""COMPUTED_VALUE"""),"C")</f>
        <v>C</v>
      </c>
      <c r="F94" s="53">
        <f>IFERROR(__xludf.DUMMYFUNCTION("""COMPUTED_VALUE"""),-1.7206664544266304)</f>
        <v>-1.720666454</v>
      </c>
      <c r="G94" s="53">
        <f>IFERROR(__xludf.DUMMYFUNCTION("""COMPUTED_VALUE"""),0.013236175126229544)</f>
        <v>0.01323617513</v>
      </c>
      <c r="H94" s="53">
        <f>IFERROR(__xludf.DUMMYFUNCTION("""COMPUTED_VALUE"""),1.73390262955286)</f>
        <v>1.73390263</v>
      </c>
      <c r="I94" s="53">
        <f>IFERROR(__xludf.DUMMYFUNCTION("""COMPUTED_VALUE"""),14.1)</f>
        <v>14.1</v>
      </c>
      <c r="J94" s="53">
        <f>IFERROR(__xludf.DUMMYFUNCTION("""COMPUTED_VALUE"""),0.6)</f>
        <v>0.6</v>
      </c>
      <c r="K94" s="53">
        <f>IFERROR(__xludf.DUMMYFUNCTION("""COMPUTED_VALUE"""),9.9)</f>
        <v>9.9</v>
      </c>
      <c r="L94" s="53">
        <f>IFERROR(__xludf.DUMMYFUNCTION("""COMPUTED_VALUE"""),2.0)</f>
        <v>2</v>
      </c>
      <c r="M94" s="53">
        <f>IFERROR(__xludf.DUMMYFUNCTION("""COMPUTED_VALUE"""),0.4)</f>
        <v>0.4</v>
      </c>
      <c r="N94" s="53">
        <f>IFERROR(__xludf.DUMMYFUNCTION("""COMPUTED_VALUE"""),0.7)</f>
        <v>0.7</v>
      </c>
      <c r="O94" s="53">
        <f>IFERROR(__xludf.DUMMYFUNCTION("""COMPUTED_VALUE"""),54.28571428571429)</f>
        <v>54.28571429</v>
      </c>
      <c r="P94" s="53">
        <f>IFERROR(__xludf.DUMMYFUNCTION("""COMPUTED_VALUE"""),84.00000000000001)</f>
        <v>84</v>
      </c>
      <c r="Q94" s="53">
        <f>IFERROR(__xludf.DUMMYFUNCTION("""COMPUTED_VALUE"""),2.0)</f>
        <v>2</v>
      </c>
      <c r="R94" s="53">
        <f>IFERROR(__xludf.DUMMYFUNCTION("""COMPUTED_VALUE"""),-0.5319815965989035)</f>
        <v>-0.5319815966</v>
      </c>
      <c r="S94" s="53">
        <f>IFERROR(__xludf.DUMMYFUNCTION("""COMPUTED_VALUE"""),-0.9058605394432663)</f>
        <v>-0.9058605394</v>
      </c>
      <c r="T94" s="53">
        <f>IFERROR(__xludf.DUMMYFUNCTION("""COMPUTED_VALUE"""),1.5909354384535805)</f>
        <v>1.590935438</v>
      </c>
      <c r="U94" s="53">
        <f>IFERROR(__xludf.DUMMYFUNCTION("""COMPUTED_VALUE"""),-0.9404853718323106)</f>
        <v>-0.9404853718</v>
      </c>
      <c r="V94" s="53">
        <f>IFERROR(__xludf.DUMMYFUNCTION("""COMPUTED_VALUE"""),-1.2966700767544366)</f>
        <v>-1.296670077</v>
      </c>
      <c r="W94" s="53">
        <f>IFERROR(__xludf.DUMMYFUNCTION("""COMPUTED_VALUE"""),-0.0017508778622903794)</f>
        <v>-0.001750877862</v>
      </c>
      <c r="X94" s="53">
        <f>IFERROR(__xludf.DUMMYFUNCTION("""COMPUTED_VALUE"""),0.49160490783777755)</f>
        <v>0.4916049078</v>
      </c>
      <c r="Y94" s="53">
        <f>IFERROR(__xludf.DUMMYFUNCTION("""COMPUTED_VALUE"""),0.3124300148204282)</f>
        <v>0.3124300148</v>
      </c>
      <c r="Z94" s="53">
        <f>IFERROR(__xludf.DUMMYFUNCTION("""COMPUTED_VALUE"""),-0.0016558002487857576)</f>
        <v>-0.001655800249</v>
      </c>
      <c r="AA94" t="str">
        <f>IFERROR(__xludf.DUMMYFUNCTION("SUBSTITUTE(REGEXREPLACE(REGEXREPLACE(REGEXREPLACE(REGEXREPLACE(REGEXREPLACE(REGEXREPLACE(E94,"","",),IF(Projections!$U$3="""",""PG"",),),IF(Projections!$V$3="""",""SG"",),),IF(Projections!$W$3="""",""SF"",),),IF(Projections!$X$3="""",""PF"",),),IF(Project"&amp;"ions!$Y$3="""",""C"",),),""/"","""")"),"C")</f>
        <v>C</v>
      </c>
    </row>
    <row r="95">
      <c r="A95" t="str">
        <f>IF(Projections!$H$3,Draft!J9,"")</f>
        <v/>
      </c>
      <c r="B95">
        <f>IFERROR(__xludf.DUMMYFUNCTION("""COMPUTED_VALUE"""),100.0)</f>
        <v>100</v>
      </c>
      <c r="C95" t="str">
        <f>IFERROR(__xludf.DUMMYFUNCTION("""COMPUTED_VALUE"""),"Michael Porter Jr.")</f>
        <v>Michael Porter Jr.</v>
      </c>
      <c r="D95">
        <f>IFERROR(__xludf.DUMMYFUNCTION("""COMPUTED_VALUE"""),65.0)</f>
        <v>65</v>
      </c>
      <c r="E95" t="str">
        <f>IFERROR(__xludf.DUMMYFUNCTION("""COMPUTED_VALUE"""),"SF")</f>
        <v>SF</v>
      </c>
      <c r="F95" s="53">
        <f>IFERROR(__xludf.DUMMYFUNCTION("""COMPUTED_VALUE"""),-1.7716116308898697)</f>
        <v>-1.771611631</v>
      </c>
      <c r="G95" s="53">
        <f>IFERROR(__xludf.DUMMYFUNCTION("""COMPUTED_VALUE"""),0.007453628579224381)</f>
        <v>0.007453628579</v>
      </c>
      <c r="H95" s="53">
        <f>IFERROR(__xludf.DUMMYFUNCTION("""COMPUTED_VALUE"""),1.779065259469094)</f>
        <v>1.779065259</v>
      </c>
      <c r="I95" s="53">
        <f>IFERROR(__xludf.DUMMYFUNCTION("""COMPUTED_VALUE"""),17.3)</f>
        <v>17.3</v>
      </c>
      <c r="J95" s="53">
        <f>IFERROR(__xludf.DUMMYFUNCTION("""COMPUTED_VALUE"""),2.9)</f>
        <v>2.9</v>
      </c>
      <c r="K95" s="53">
        <f>IFERROR(__xludf.DUMMYFUNCTION("""COMPUTED_VALUE"""),5.9)</f>
        <v>5.9</v>
      </c>
      <c r="L95" s="53">
        <f>IFERROR(__xludf.DUMMYFUNCTION("""COMPUTED_VALUE"""),1.2)</f>
        <v>1.2</v>
      </c>
      <c r="M95" s="53">
        <f>IFERROR(__xludf.DUMMYFUNCTION("""COMPUTED_VALUE"""),0.7)</f>
        <v>0.7</v>
      </c>
      <c r="N95" s="53">
        <f>IFERROR(__xludf.DUMMYFUNCTION("""COMPUTED_VALUE"""),0.5)</f>
        <v>0.5</v>
      </c>
      <c r="O95" s="53">
        <f>IFERROR(__xludf.DUMMYFUNCTION("""COMPUTED_VALUE"""),47.05882352941177)</f>
        <v>47.05882353</v>
      </c>
      <c r="P95" s="53">
        <f>IFERROR(__xludf.DUMMYFUNCTION("""COMPUTED_VALUE"""),78.94736842105263)</f>
        <v>78.94736842</v>
      </c>
      <c r="Q95" s="53">
        <f>IFERROR(__xludf.DUMMYFUNCTION("""COMPUTED_VALUE"""),1.2)</f>
        <v>1.2</v>
      </c>
      <c r="R95" s="53">
        <f>IFERROR(__xludf.DUMMYFUNCTION("""COMPUTED_VALUE"""),0.007302809668200307)</f>
        <v>0.007302809668</v>
      </c>
      <c r="S95" s="53">
        <f>IFERROR(__xludf.DUMMYFUNCTION("""COMPUTED_VALUE"""),1.0885356705626503)</f>
        <v>1.088535671</v>
      </c>
      <c r="T95" s="53">
        <f>IFERROR(__xludf.DUMMYFUNCTION("""COMPUTED_VALUE"""),-0.08167935578533317)</f>
        <v>-0.08167935579</v>
      </c>
      <c r="U95" s="53">
        <f>IFERROR(__xludf.DUMMYFUNCTION("""COMPUTED_VALUE"""),-1.3485050559244194)</f>
        <v>-1.348505056</v>
      </c>
      <c r="V95" s="53">
        <f>IFERROR(__xludf.DUMMYFUNCTION("""COMPUTED_VALUE"""),-0.6425203743558983)</f>
        <v>-0.6425203744</v>
      </c>
      <c r="W95" s="53">
        <f>IFERROR(__xludf.DUMMYFUNCTION("""COMPUTED_VALUE"""),-0.2643825572058105)</f>
        <v>-0.2643825572</v>
      </c>
      <c r="X95" s="53">
        <f>IFERROR(__xludf.DUMMYFUNCTION("""COMPUTED_VALUE"""),-0.3449962242871927)</f>
        <v>-0.3449962243</v>
      </c>
      <c r="Y95" s="53">
        <f>IFERROR(__xludf.DUMMYFUNCTION("""COMPUTED_VALUE"""),-0.0015205770864451739)</f>
        <v>-0.001520577086</v>
      </c>
      <c r="Z95" s="53">
        <f>IFERROR(__xludf.DUMMYFUNCTION("""COMPUTED_VALUE"""),0.24671423706905354)</f>
        <v>0.2467142371</v>
      </c>
      <c r="AA95" t="str">
        <f>IFERROR(__xludf.DUMMYFUNCTION("SUBSTITUTE(REGEXREPLACE(REGEXREPLACE(REGEXREPLACE(REGEXREPLACE(REGEXREPLACE(REGEXREPLACE(E95,"","",),IF(Projections!$U$3="""",""PG"",),),IF(Projections!$V$3="""",""SG"",),),IF(Projections!$W$3="""",""SF"",),),IF(Projections!$X$3="""",""PF"",),),IF(Project"&amp;"ions!$Y$3="""",""C"",),),""/"","""")"),"SF")</f>
        <v>SF</v>
      </c>
    </row>
    <row r="96">
      <c r="A96" t="str">
        <f>IF(Projections!$H$3,Draft!J10,"")</f>
        <v/>
      </c>
      <c r="B96">
        <f>IFERROR(__xludf.DUMMYFUNCTION("""COMPUTED_VALUE"""),102.0)</f>
        <v>102</v>
      </c>
      <c r="C96" t="str">
        <f>IFERROR(__xludf.DUMMYFUNCTION("""COMPUTED_VALUE"""),"Mike Conley")</f>
        <v>Mike Conley</v>
      </c>
      <c r="D96">
        <f>IFERROR(__xludf.DUMMYFUNCTION("""COMPUTED_VALUE"""),68.0)</f>
        <v>68</v>
      </c>
      <c r="E96" t="str">
        <f>IFERROR(__xludf.DUMMYFUNCTION("""COMPUTED_VALUE"""),"PG")</f>
        <v>PG</v>
      </c>
      <c r="F96" s="53">
        <f>IFERROR(__xludf.DUMMYFUNCTION("""COMPUTED_VALUE"""),-1.788887385711535)</f>
        <v>-1.788887386</v>
      </c>
      <c r="G96" s="53">
        <f>IFERROR(__xludf.DUMMYFUNCTION("""COMPUTED_VALUE"""),-0.032727994589573095)</f>
        <v>-0.03272799459</v>
      </c>
      <c r="H96" s="53">
        <f>IFERROR(__xludf.DUMMYFUNCTION("""COMPUTED_VALUE"""),1.756159391121962)</f>
        <v>1.756159391</v>
      </c>
      <c r="I96" s="53">
        <f>IFERROR(__xludf.DUMMYFUNCTION("""COMPUTED_VALUE"""),12.4)</f>
        <v>12.4</v>
      </c>
      <c r="J96" s="53">
        <f>IFERROR(__xludf.DUMMYFUNCTION("""COMPUTED_VALUE"""),2.1)</f>
        <v>2.1</v>
      </c>
      <c r="K96" s="53">
        <f>IFERROR(__xludf.DUMMYFUNCTION("""COMPUTED_VALUE"""),2.8)</f>
        <v>2.8</v>
      </c>
      <c r="L96" s="53">
        <f>IFERROR(__xludf.DUMMYFUNCTION("""COMPUTED_VALUE"""),6.0)</f>
        <v>6</v>
      </c>
      <c r="M96" s="53">
        <f>IFERROR(__xludf.DUMMYFUNCTION("""COMPUTED_VALUE"""),1.1)</f>
        <v>1.1</v>
      </c>
      <c r="N96" s="53">
        <f>IFERROR(__xludf.DUMMYFUNCTION("""COMPUTED_VALUE"""),0.2)</f>
        <v>0.2</v>
      </c>
      <c r="O96" s="53">
        <f>IFERROR(__xludf.DUMMYFUNCTION("""COMPUTED_VALUE"""),43.29896907216496)</f>
        <v>43.29896907</v>
      </c>
      <c r="P96" s="53">
        <f>IFERROR(__xludf.DUMMYFUNCTION("""COMPUTED_VALUE"""),82.6086956521739)</f>
        <v>82.60869565</v>
      </c>
      <c r="Q96" s="53">
        <f>IFERROR(__xludf.DUMMYFUNCTION("""COMPUTED_VALUE"""),1.6)</f>
        <v>1.6</v>
      </c>
      <c r="R96" s="53">
        <f>IFERROR(__xludf.DUMMYFUNCTION("""COMPUTED_VALUE"""),-0.8184764374283023)</f>
        <v>-0.8184764374</v>
      </c>
      <c r="S96" s="53">
        <f>IFERROR(__xludf.DUMMYFUNCTION("""COMPUTED_VALUE"""),0.39483264099537524)</f>
        <v>0.394832641</v>
      </c>
      <c r="T96" s="53">
        <f>IFERROR(__xludf.DUMMYFUNCTION("""COMPUTED_VALUE"""),-1.3779558213204914)</f>
        <v>-1.377955821</v>
      </c>
      <c r="U96" s="53">
        <f>IFERROR(__xludf.DUMMYFUNCTION("""COMPUTED_VALUE"""),1.0996130486282323)</f>
        <v>1.099613049</v>
      </c>
      <c r="V96" s="53">
        <f>IFERROR(__xludf.DUMMYFUNCTION("""COMPUTED_VALUE"""),0.22967922884215308)</f>
        <v>0.2296792288</v>
      </c>
      <c r="W96" s="53">
        <f>IFERROR(__xludf.DUMMYFUNCTION("""COMPUTED_VALUE"""),-0.6583300762210907)</f>
        <v>-0.6583300762</v>
      </c>
      <c r="X96" s="53">
        <f>IFERROR(__xludf.DUMMYFUNCTION("""COMPUTED_VALUE"""),-0.6103554353342111)</f>
        <v>-0.6103554353</v>
      </c>
      <c r="Y96" s="53">
        <f>IFERROR(__xludf.DUMMYFUNCTION("""COMPUTED_VALUE"""),0.20777981751813673)</f>
        <v>0.2077798175</v>
      </c>
      <c r="Z96" s="53">
        <f>IFERROR(__xludf.DUMMYFUNCTION("""COMPUTED_VALUE"""),0.12252921841013387)</f>
        <v>0.1225292184</v>
      </c>
      <c r="AA96" t="str">
        <f>IFERROR(__xludf.DUMMYFUNCTION("SUBSTITUTE(REGEXREPLACE(REGEXREPLACE(REGEXREPLACE(REGEXREPLACE(REGEXREPLACE(REGEXREPLACE(E96,"","",),IF(Projections!$U$3="""",""PG"",),),IF(Projections!$V$3="""",""SG"",),),IF(Projections!$W$3="""",""SF"",),),IF(Projections!$X$3="""",""PF"",),),IF(Project"&amp;"ions!$Y$3="""",""C"",),),""/"","""")"),"PG")</f>
        <v>PG</v>
      </c>
    </row>
    <row r="97">
      <c r="A97" t="str">
        <f>IF(Projections!$H$3,Draft!J11,"")</f>
        <v/>
      </c>
      <c r="B97">
        <f>IFERROR(__xludf.DUMMYFUNCTION("""COMPUTED_VALUE"""),79.0)</f>
        <v>79</v>
      </c>
      <c r="C97" t="str">
        <f>IFERROR(__xludf.DUMMYFUNCTION("""COMPUTED_VALUE"""),"Miles Bridges")</f>
        <v>Miles Bridges</v>
      </c>
      <c r="D97">
        <f>IFERROR(__xludf.DUMMYFUNCTION("""COMPUTED_VALUE"""),60.0)</f>
        <v>60</v>
      </c>
      <c r="E97" t="str">
        <f>IFERROR(__xludf.DUMMYFUNCTION("""COMPUTED_VALUE"""),"SF,PF")</f>
        <v>SF,PF</v>
      </c>
      <c r="F97" s="53">
        <f>IFERROR(__xludf.DUMMYFUNCTION("""COMPUTED_VALUE"""),-0.7301051457281598)</f>
        <v>-0.7301051457</v>
      </c>
      <c r="G97" s="53">
        <f>IFERROR(__xludf.DUMMYFUNCTION("""COMPUTED_VALUE"""),-0.055492187309456265)</f>
        <v>-0.05549218731</v>
      </c>
      <c r="H97" s="53">
        <f>IFERROR(__xludf.DUMMYFUNCTION("""COMPUTED_VALUE"""),0.6746129584187035)</f>
        <v>0.6746129584</v>
      </c>
      <c r="I97" s="53">
        <f>IFERROR(__xludf.DUMMYFUNCTION("""COMPUTED_VALUE"""),17.3)</f>
        <v>17.3</v>
      </c>
      <c r="J97" s="53">
        <f>IFERROR(__xludf.DUMMYFUNCTION("""COMPUTED_VALUE"""),1.7)</f>
        <v>1.7</v>
      </c>
      <c r="K97" s="53">
        <f>IFERROR(__xludf.DUMMYFUNCTION("""COMPUTED_VALUE"""),6.1)</f>
        <v>6.1</v>
      </c>
      <c r="L97" s="53">
        <f>IFERROR(__xludf.DUMMYFUNCTION("""COMPUTED_VALUE"""),3.3)</f>
        <v>3.3</v>
      </c>
      <c r="M97" s="53">
        <f>IFERROR(__xludf.DUMMYFUNCTION("""COMPUTED_VALUE"""),0.8)</f>
        <v>0.8</v>
      </c>
      <c r="N97" s="53">
        <f>IFERROR(__xludf.DUMMYFUNCTION("""COMPUTED_VALUE"""),0.7)</f>
        <v>0.7</v>
      </c>
      <c r="O97" s="53">
        <f>IFERROR(__xludf.DUMMYFUNCTION("""COMPUTED_VALUE"""),48.85496183206107)</f>
        <v>48.85496183</v>
      </c>
      <c r="P97" s="53">
        <f>IFERROR(__xludf.DUMMYFUNCTION("""COMPUTED_VALUE"""),80.55555555555554)</f>
        <v>80.55555556</v>
      </c>
      <c r="Q97" s="53">
        <f>IFERROR(__xludf.DUMMYFUNCTION("""COMPUTED_VALUE"""),1.6)</f>
        <v>1.6</v>
      </c>
      <c r="R97" s="53">
        <f>IFERROR(__xludf.DUMMYFUNCTION("""COMPUTED_VALUE"""),0.007302809668200307)</f>
        <v>0.007302809668</v>
      </c>
      <c r="S97" s="53">
        <f>IFERROR(__xludf.DUMMYFUNCTION("""COMPUTED_VALUE"""),0.047981126211737425)</f>
        <v>0.04798112621</v>
      </c>
      <c r="T97" s="53">
        <f>IFERROR(__xludf.DUMMYFUNCTION("""COMPUTED_VALUE"""),0.0019513839266122224)</f>
        <v>0.001951383927</v>
      </c>
      <c r="U97" s="53">
        <f>IFERROR(__xludf.DUMMYFUNCTION("""COMPUTED_VALUE"""),-0.27745338518263435)</f>
        <v>-0.2774533852</v>
      </c>
      <c r="V97" s="53">
        <f>IFERROR(__xludf.DUMMYFUNCTION("""COMPUTED_VALUE"""),-0.42447047355638534)</f>
        <v>-0.4244704736</v>
      </c>
      <c r="W97" s="53">
        <f>IFERROR(__xludf.DUMMYFUNCTION("""COMPUTED_VALUE"""),-0.0017508778622903794)</f>
        <v>-0.001750877862</v>
      </c>
      <c r="X97" s="53">
        <f>IFERROR(__xludf.DUMMYFUNCTION("""COMPUTED_VALUE"""),-0.09728547387058557)</f>
        <v>-0.09728547387</v>
      </c>
      <c r="Y97" s="53">
        <f>IFERROR(__xludf.DUMMYFUNCTION("""COMPUTED_VALUE"""),0.14123301138937017)</f>
        <v>0.1412330114</v>
      </c>
      <c r="Z97" s="53">
        <f>IFERROR(__xludf.DUMMYFUNCTION("""COMPUTED_VALUE"""),0.12252921841013387)</f>
        <v>0.1225292184</v>
      </c>
      <c r="AA97" t="str">
        <f>IFERROR(__xludf.DUMMYFUNCTION("SUBSTITUTE(REGEXREPLACE(REGEXREPLACE(REGEXREPLACE(REGEXREPLACE(REGEXREPLACE(REGEXREPLACE(E97,"","",),IF(Projections!$U$3="""",""PG"",),),IF(Projections!$V$3="""",""SG"",),),IF(Projections!$W$3="""",""SF"",),),IF(Projections!$X$3="""",""PF"",),),IF(Project"&amp;"ions!$Y$3="""",""C"",),),""/"","""")"),"SFPF")</f>
        <v>SFPF</v>
      </c>
    </row>
    <row r="98">
      <c r="A98" t="str">
        <f>IF(Projections!$H$3,Draft!J12,"")</f>
        <v/>
      </c>
      <c r="B98">
        <f>IFERROR(__xludf.DUMMYFUNCTION("""COMPUTED_VALUE"""),77.0)</f>
        <v>77</v>
      </c>
      <c r="C98" t="str">
        <f>IFERROR(__xludf.DUMMYFUNCTION("""COMPUTED_VALUE"""),"De'Anthony Melton")</f>
        <v>De'Anthony Melton</v>
      </c>
      <c r="D98">
        <f>IFERROR(__xludf.DUMMYFUNCTION("""COMPUTED_VALUE"""),72.0)</f>
        <v>72</v>
      </c>
      <c r="E98" t="str">
        <f>IFERROR(__xludf.DUMMYFUNCTION("""COMPUTED_VALUE"""),"PG,SG")</f>
        <v>PG,SG</v>
      </c>
      <c r="F98" s="53">
        <f>IFERROR(__xludf.DUMMYFUNCTION("""COMPUTED_VALUE"""),-0.6660028014339003)</f>
        <v>-0.6660028014</v>
      </c>
      <c r="G98" s="53">
        <f>IFERROR(__xludf.DUMMYFUNCTION("""COMPUTED_VALUE"""),-0.07674778409818006)</f>
        <v>-0.0767477841</v>
      </c>
      <c r="H98" s="53">
        <f>IFERROR(__xludf.DUMMYFUNCTION("""COMPUTED_VALUE"""),0.5892550173357203)</f>
        <v>0.5892550173</v>
      </c>
      <c r="I98" s="53">
        <f>IFERROR(__xludf.DUMMYFUNCTION("""COMPUTED_VALUE"""),11.3)</f>
        <v>11.3</v>
      </c>
      <c r="J98" s="53">
        <f>IFERROR(__xludf.DUMMYFUNCTION("""COMPUTED_VALUE"""),2.1)</f>
        <v>2.1</v>
      </c>
      <c r="K98" s="53">
        <f>IFERROR(__xludf.DUMMYFUNCTION("""COMPUTED_VALUE"""),4.6)</f>
        <v>4.6</v>
      </c>
      <c r="L98" s="53">
        <f>IFERROR(__xludf.DUMMYFUNCTION("""COMPUTED_VALUE"""),2.8)</f>
        <v>2.8</v>
      </c>
      <c r="M98" s="53">
        <f>IFERROR(__xludf.DUMMYFUNCTION("""COMPUTED_VALUE"""),1.7)</f>
        <v>1.7</v>
      </c>
      <c r="N98" s="53">
        <f>IFERROR(__xludf.DUMMYFUNCTION("""COMPUTED_VALUE"""),0.6)</f>
        <v>0.6</v>
      </c>
      <c r="O98" s="53">
        <f>IFERROR(__xludf.DUMMYFUNCTION("""COMPUTED_VALUE"""),42.5531914893617)</f>
        <v>42.55319149</v>
      </c>
      <c r="P98" s="53">
        <f>IFERROR(__xludf.DUMMYFUNCTION("""COMPUTED_VALUE"""),73.33333333333334)</f>
        <v>73.33333333</v>
      </c>
      <c r="Q98" s="53">
        <f>IFERROR(__xludf.DUMMYFUNCTION("""COMPUTED_VALUE"""),1.5)</f>
        <v>1.5</v>
      </c>
      <c r="R98" s="53">
        <f>IFERROR(__xludf.DUMMYFUNCTION("""COMPUTED_VALUE"""),-1.003855452082619)</f>
        <v>-1.003855452</v>
      </c>
      <c r="S98" s="53">
        <f>IFERROR(__xludf.DUMMYFUNCTION("""COMPUTED_VALUE"""),0.39483264099537524)</f>
        <v>0.394832641</v>
      </c>
      <c r="T98" s="53">
        <f>IFERROR(__xludf.DUMMYFUNCTION("""COMPUTED_VALUE"""),-0.6252791639129804)</f>
        <v>-0.6252791639</v>
      </c>
      <c r="U98" s="53">
        <f>IFERROR(__xludf.DUMMYFUNCTION("""COMPUTED_VALUE"""),-0.5324656877402022)</f>
        <v>-0.5324656877</v>
      </c>
      <c r="V98" s="53">
        <f>IFERROR(__xludf.DUMMYFUNCTION("""COMPUTED_VALUE"""),1.5379786336392296)</f>
        <v>1.537978634</v>
      </c>
      <c r="W98" s="53">
        <f>IFERROR(__xludf.DUMMYFUNCTION("""COMPUTED_VALUE"""),-0.13306671753405044)</f>
        <v>-0.1330667175</v>
      </c>
      <c r="X98" s="53">
        <f>IFERROR(__xludf.DUMMYFUNCTION("""COMPUTED_VALUE"""),-0.6615019909293889)</f>
        <v>-0.6615019909</v>
      </c>
      <c r="Y98" s="53">
        <f>IFERROR(__xludf.DUMMYFUNCTION("""COMPUTED_VALUE"""),-0.21082097169102695)</f>
        <v>-0.2108209717</v>
      </c>
      <c r="Z98" s="53">
        <f>IFERROR(__xludf.DUMMYFUNCTION("""COMPUTED_VALUE"""),0.1535754730748638)</f>
        <v>0.1535754731</v>
      </c>
      <c r="AA98" t="str">
        <f>IFERROR(__xludf.DUMMYFUNCTION("SUBSTITUTE(REGEXREPLACE(REGEXREPLACE(REGEXREPLACE(REGEXREPLACE(REGEXREPLACE(REGEXREPLACE(E98,"","",),IF(Projections!$U$3="""",""PG"",),),IF(Projections!$V$3="""",""SG"",),),IF(Projections!$W$3="""",""SF"",),),IF(Projections!$X$3="""",""PF"",),),IF(Project"&amp;"ions!$Y$3="""",""C"",),),""/"","""")"),"PGSG")</f>
        <v>PGSG</v>
      </c>
    </row>
    <row r="99">
      <c r="A99" t="str">
        <f>IF(Projections!$H$3,Draft!J13,"")</f>
        <v/>
      </c>
      <c r="B99">
        <f>IFERROR(__xludf.DUMMYFUNCTION("""COMPUTED_VALUE"""),83.0)</f>
        <v>83</v>
      </c>
      <c r="C99" t="str">
        <f>IFERROR(__xludf.DUMMYFUNCTION("""COMPUTED_VALUE"""),"Marcus Smart")</f>
        <v>Marcus Smart</v>
      </c>
      <c r="D99">
        <f>IFERROR(__xludf.DUMMYFUNCTION("""COMPUTED_VALUE"""),67.0)</f>
        <v>67</v>
      </c>
      <c r="E99" t="str">
        <f>IFERROR(__xludf.DUMMYFUNCTION("""COMPUTED_VALUE"""),"PG")</f>
        <v>PG</v>
      </c>
      <c r="F99" s="53">
        <f>IFERROR(__xludf.DUMMYFUNCTION("""COMPUTED_VALUE"""),-1.007508643300495)</f>
        <v>-1.007508643</v>
      </c>
      <c r="G99" s="53">
        <f>IFERROR(__xludf.DUMMYFUNCTION("""COMPUTED_VALUE"""),-0.19663403118242684)</f>
        <v>-0.1966340312</v>
      </c>
      <c r="H99" s="53">
        <f>IFERROR(__xludf.DUMMYFUNCTION("""COMPUTED_VALUE"""),0.8108746121180681)</f>
        <v>0.8108746121</v>
      </c>
      <c r="I99" s="53">
        <f>IFERROR(__xludf.DUMMYFUNCTION("""COMPUTED_VALUE"""),11.8)</f>
        <v>11.8</v>
      </c>
      <c r="J99" s="53">
        <f>IFERROR(__xludf.DUMMYFUNCTION("""COMPUTED_VALUE"""),1.8)</f>
        <v>1.8</v>
      </c>
      <c r="K99" s="53">
        <f>IFERROR(__xludf.DUMMYFUNCTION("""COMPUTED_VALUE"""),3.5)</f>
        <v>3.5</v>
      </c>
      <c r="L99" s="53">
        <f>IFERROR(__xludf.DUMMYFUNCTION("""COMPUTED_VALUE"""),5.3)</f>
        <v>5.3</v>
      </c>
      <c r="M99" s="53">
        <f>IFERROR(__xludf.DUMMYFUNCTION("""COMPUTED_VALUE"""),1.6)</f>
        <v>1.6</v>
      </c>
      <c r="N99" s="53">
        <f>IFERROR(__xludf.DUMMYFUNCTION("""COMPUTED_VALUE"""),0.3)</f>
        <v>0.3</v>
      </c>
      <c r="O99" s="53">
        <f>IFERROR(__xludf.DUMMYFUNCTION("""COMPUTED_VALUE"""),42.00000000000001)</f>
        <v>42</v>
      </c>
      <c r="P99" s="53">
        <f>IFERROR(__xludf.DUMMYFUNCTION("""COMPUTED_VALUE"""),77.27272727272727)</f>
        <v>77.27272727</v>
      </c>
      <c r="Q99" s="53">
        <f>IFERROR(__xludf.DUMMYFUNCTION("""COMPUTED_VALUE"""),2.3)</f>
        <v>2.3</v>
      </c>
      <c r="R99" s="53">
        <f>IFERROR(__xludf.DUMMYFUNCTION("""COMPUTED_VALUE"""),-0.9195922636033842)</f>
        <v>-0.9195922636</v>
      </c>
      <c r="S99" s="53">
        <f>IFERROR(__xludf.DUMMYFUNCTION("""COMPUTED_VALUE"""),0.13469400490764694)</f>
        <v>0.1346940049</v>
      </c>
      <c r="T99" s="53">
        <f>IFERROR(__xludf.DUMMYFUNCTION("""COMPUTED_VALUE"""),-1.0852482323286814)</f>
        <v>-1.085248232</v>
      </c>
      <c r="U99" s="53">
        <f>IFERROR(__xludf.DUMMYFUNCTION("""COMPUTED_VALUE"""),0.7425958250476372)</f>
        <v>0.742595825</v>
      </c>
      <c r="V99" s="53">
        <f>IFERROR(__xludf.DUMMYFUNCTION("""COMPUTED_VALUE"""),1.319928732839717)</f>
        <v>1.319928733</v>
      </c>
      <c r="W99" s="53">
        <f>IFERROR(__xludf.DUMMYFUNCTION("""COMPUTED_VALUE"""),-0.5270142365493308)</f>
        <v>-0.5270142365</v>
      </c>
      <c r="X99" s="53">
        <f>IFERROR(__xludf.DUMMYFUNCTION("""COMPUTED_VALUE"""),-0.7589818855841758)</f>
        <v>-0.7589818856</v>
      </c>
      <c r="Y99" s="53">
        <f>IFERROR(__xludf.DUMMYFUNCTION("""COMPUTED_VALUE"""),-0.09346964399756186)</f>
        <v>-0.093469644</v>
      </c>
      <c r="Z99" s="53">
        <f>IFERROR(__xludf.DUMMYFUNCTION("""COMPUTED_VALUE"""),-0.09479456424297544)</f>
        <v>-0.09479456424</v>
      </c>
      <c r="AA99" t="str">
        <f>IFERROR(__xludf.DUMMYFUNCTION("SUBSTITUTE(REGEXREPLACE(REGEXREPLACE(REGEXREPLACE(REGEXREPLACE(REGEXREPLACE(REGEXREPLACE(E99,"","",),IF(Projections!$U$3="""",""PG"",),),IF(Projections!$V$3="""",""SG"",),),IF(Projections!$W$3="""",""SF"",),),IF(Projections!$X$3="""",""PF"",),),IF(Project"&amp;"ions!$Y$3="""",""C"",),),""/"","""")"),"PG")</f>
        <v>PG</v>
      </c>
    </row>
    <row r="100">
      <c r="A100" t="str">
        <f>IF(Projections!$H$3,Draft!J14,"")</f>
        <v/>
      </c>
      <c r="B100">
        <f>IFERROR(__xludf.DUMMYFUNCTION("""COMPUTED_VALUE"""),113.0)</f>
        <v>113</v>
      </c>
      <c r="C100" t="str">
        <f>IFERROR(__xludf.DUMMYFUNCTION("""COMPUTED_VALUE"""),"Bobby Portis")</f>
        <v>Bobby Portis</v>
      </c>
      <c r="D100">
        <f>IFERROR(__xludf.DUMMYFUNCTION("""COMPUTED_VALUE"""),71.0)</f>
        <v>71</v>
      </c>
      <c r="E100" t="str">
        <f>IFERROR(__xludf.DUMMYFUNCTION("""COMPUTED_VALUE"""),"PF,C")</f>
        <v>PF,C</v>
      </c>
      <c r="F100" s="53">
        <f>IFERROR(__xludf.DUMMYFUNCTION("""COMPUTED_VALUE"""),-2.1085404360011433)</f>
        <v>-2.108540436</v>
      </c>
      <c r="G100" s="53">
        <f>IFERROR(__xludf.DUMMYFUNCTION("""COMPUTED_VALUE"""),-0.19882641174452953)</f>
        <v>-0.1988264117</v>
      </c>
      <c r="H100" s="53">
        <f>IFERROR(__xludf.DUMMYFUNCTION("""COMPUTED_VALUE"""),1.9097140242566137)</f>
        <v>1.909714024</v>
      </c>
      <c r="I100" s="53">
        <f>IFERROR(__xludf.DUMMYFUNCTION("""COMPUTED_VALUE"""),14.6)</f>
        <v>14.6</v>
      </c>
      <c r="J100" s="53">
        <f>IFERROR(__xludf.DUMMYFUNCTION("""COMPUTED_VALUE"""),1.6)</f>
        <v>1.6</v>
      </c>
      <c r="K100" s="53">
        <f>IFERROR(__xludf.DUMMYFUNCTION("""COMPUTED_VALUE"""),9.5)</f>
        <v>9.5</v>
      </c>
      <c r="L100" s="53">
        <f>IFERROR(__xludf.DUMMYFUNCTION("""COMPUTED_VALUE"""),1.4)</f>
        <v>1.4</v>
      </c>
      <c r="M100" s="53">
        <f>IFERROR(__xludf.DUMMYFUNCTION("""COMPUTED_VALUE"""),0.6)</f>
        <v>0.6</v>
      </c>
      <c r="N100" s="53">
        <f>IFERROR(__xludf.DUMMYFUNCTION("""COMPUTED_VALUE"""),0.5)</f>
        <v>0.5</v>
      </c>
      <c r="O100" s="53">
        <f>IFERROR(__xludf.DUMMYFUNCTION("""COMPUTED_VALUE"""),48.333333333333336)</f>
        <v>48.33333333</v>
      </c>
      <c r="P100" s="53">
        <f>IFERROR(__xludf.DUMMYFUNCTION("""COMPUTED_VALUE"""),76.47058823529413)</f>
        <v>76.47058824</v>
      </c>
      <c r="Q100" s="53">
        <f>IFERROR(__xludf.DUMMYFUNCTION("""COMPUTED_VALUE"""),1.2)</f>
        <v>1.2</v>
      </c>
      <c r="R100" s="53">
        <f>IFERROR(__xludf.DUMMYFUNCTION("""COMPUTED_VALUE"""),-0.4477184081196686)</f>
        <v>-0.4477184081</v>
      </c>
      <c r="S100" s="53">
        <f>IFERROR(__xludf.DUMMYFUNCTION("""COMPUTED_VALUE"""),-0.03873175248417188)</f>
        <v>-0.03873175248</v>
      </c>
      <c r="T100" s="53">
        <f>IFERROR(__xludf.DUMMYFUNCTION("""COMPUTED_VALUE"""),1.423673959029689)</f>
        <v>1.423673959</v>
      </c>
      <c r="U100" s="53">
        <f>IFERROR(__xludf.DUMMYFUNCTION("""COMPUTED_VALUE"""),-1.246500134901392)</f>
        <v>-1.246500135</v>
      </c>
      <c r="V100" s="53">
        <f>IFERROR(__xludf.DUMMYFUNCTION("""COMPUTED_VALUE"""),-0.860570275155411)</f>
        <v>-0.8605702752</v>
      </c>
      <c r="W100" s="53">
        <f>IFERROR(__xludf.DUMMYFUNCTION("""COMPUTED_VALUE"""),-0.2643825572058105)</f>
        <v>-0.2643825572</v>
      </c>
      <c r="X100" s="53">
        <f>IFERROR(__xludf.DUMMYFUNCTION("""COMPUTED_VALUE"""),-0.15164084048947418)</f>
        <v>-0.1516408405</v>
      </c>
      <c r="Y100" s="53">
        <f>IFERROR(__xludf.DUMMYFUNCTION("""COMPUTED_VALUE"""),-0.10617077438873597)</f>
        <v>-0.1061707744</v>
      </c>
      <c r="Z100" s="53">
        <f>IFERROR(__xludf.DUMMYFUNCTION("""COMPUTED_VALUE"""),0.24671423706905354)</f>
        <v>0.2467142371</v>
      </c>
      <c r="AA100" t="str">
        <f>IFERROR(__xludf.DUMMYFUNCTION("SUBSTITUTE(REGEXREPLACE(REGEXREPLACE(REGEXREPLACE(REGEXREPLACE(REGEXREPLACE(REGEXREPLACE(E100,"","",),IF(Projections!$U$3="""",""PG"",),),IF(Projections!$V$3="""",""SG"",),),IF(Projections!$W$3="""",""SF"",),),IF(Projections!$X$3="""",""PF"",),),IF(Projec"&amp;"tions!$Y$3="""",""C"",),),""/"","""")"),"PFC")</f>
        <v>PFC</v>
      </c>
    </row>
    <row r="101">
      <c r="A101" t="str">
        <f>IF(Projections!$H$3,Draft!K3,"")</f>
        <v/>
      </c>
      <c r="B101">
        <f>IFERROR(__xludf.DUMMYFUNCTION("""COMPUTED_VALUE"""),96.0)</f>
        <v>96</v>
      </c>
      <c r="C101" t="str">
        <f>IFERROR(__xludf.DUMMYFUNCTION("""COMPUTED_VALUE"""),"Austin Reaves")</f>
        <v>Austin Reaves</v>
      </c>
      <c r="D101">
        <f>IFERROR(__xludf.DUMMYFUNCTION("""COMPUTED_VALUE"""),71.0)</f>
        <v>71</v>
      </c>
      <c r="E101" t="str">
        <f>IFERROR(__xludf.DUMMYFUNCTION("""COMPUTED_VALUE"""),"SG,SF")</f>
        <v>SG,SF</v>
      </c>
      <c r="F101" s="53">
        <f>IFERROR(__xludf.DUMMYFUNCTION("""COMPUTED_VALUE"""),-1.7198672624362643)</f>
        <v>-1.719867262</v>
      </c>
      <c r="G101" s="53">
        <f>IFERROR(__xludf.DUMMYFUNCTION("""COMPUTED_VALUE"""),-0.2572504549030832)</f>
        <v>-0.2572504549</v>
      </c>
      <c r="H101" s="53">
        <f>IFERROR(__xludf.DUMMYFUNCTION("""COMPUTED_VALUE"""),1.4626168075331811)</f>
        <v>1.462616808</v>
      </c>
      <c r="I101" s="53">
        <f>IFERROR(__xludf.DUMMYFUNCTION("""COMPUTED_VALUE"""),15.4)</f>
        <v>15.4</v>
      </c>
      <c r="J101" s="53">
        <f>IFERROR(__xludf.DUMMYFUNCTION("""COMPUTED_VALUE"""),1.6)</f>
        <v>1.6</v>
      </c>
      <c r="K101" s="53">
        <f>IFERROR(__xludf.DUMMYFUNCTION("""COMPUTED_VALUE"""),3.3)</f>
        <v>3.3</v>
      </c>
      <c r="L101" s="53">
        <f>IFERROR(__xludf.DUMMYFUNCTION("""COMPUTED_VALUE"""),3.8)</f>
        <v>3.8</v>
      </c>
      <c r="M101" s="53">
        <f>IFERROR(__xludf.DUMMYFUNCTION("""COMPUTED_VALUE"""),0.7)</f>
        <v>0.7</v>
      </c>
      <c r="N101" s="53">
        <f>IFERROR(__xludf.DUMMYFUNCTION("""COMPUTED_VALUE"""),0.5)</f>
        <v>0.5</v>
      </c>
      <c r="O101" s="53">
        <f>IFERROR(__xludf.DUMMYFUNCTION("""COMPUTED_VALUE"""),50.0)</f>
        <v>50</v>
      </c>
      <c r="P101" s="53">
        <f>IFERROR(__xludf.DUMMYFUNCTION("""COMPUTED_VALUE"""),86.66666666666667)</f>
        <v>86.66666667</v>
      </c>
      <c r="Q101" s="53">
        <f>IFERROR(__xludf.DUMMYFUNCTION("""COMPUTED_VALUE"""),1.6)</f>
        <v>1.6</v>
      </c>
      <c r="R101" s="53">
        <f>IFERROR(__xludf.DUMMYFUNCTION("""COMPUTED_VALUE"""),-0.3128973065528926)</f>
        <v>-0.3128973066</v>
      </c>
      <c r="S101" s="53">
        <f>IFERROR(__xludf.DUMMYFUNCTION("""COMPUTED_VALUE"""),-0.03873175248417188)</f>
        <v>-0.03873175248</v>
      </c>
      <c r="T101" s="53">
        <f>IFERROR(__xludf.DUMMYFUNCTION("""COMPUTED_VALUE"""),-1.1688789720406272)</f>
        <v>-1.168878972</v>
      </c>
      <c r="U101" s="53">
        <f>IFERROR(__xludf.DUMMYFUNCTION("""COMPUTED_VALUE"""),-0.022441082625066444)</f>
        <v>-0.02244108263</v>
      </c>
      <c r="V101" s="53">
        <f>IFERROR(__xludf.DUMMYFUNCTION("""COMPUTED_VALUE"""),-0.6425203743558983)</f>
        <v>-0.6425203744</v>
      </c>
      <c r="W101" s="53">
        <f>IFERROR(__xludf.DUMMYFUNCTION("""COMPUTED_VALUE"""),-0.2643825572058105)</f>
        <v>-0.2643825572</v>
      </c>
      <c r="X101" s="53">
        <f>IFERROR(__xludf.DUMMYFUNCTION("""COMPUTED_VALUE"""),0.040110137796389306)</f>
        <v>0.0401101378</v>
      </c>
      <c r="Y101" s="53">
        <f>IFERROR(__xludf.DUMMYFUNCTION("""COMPUTED_VALUE"""),0.8610832621142331)</f>
        <v>0.8610832621</v>
      </c>
      <c r="Z101" s="53">
        <f>IFERROR(__xludf.DUMMYFUNCTION("""COMPUTED_VALUE"""),0.12252921841013387)</f>
        <v>0.1225292184</v>
      </c>
      <c r="AA101" t="str">
        <f>IFERROR(__xludf.DUMMYFUNCTION("SUBSTITUTE(REGEXREPLACE(REGEXREPLACE(REGEXREPLACE(REGEXREPLACE(REGEXREPLACE(REGEXREPLACE(E101,"","",),IF(Projections!$U$3="""",""PG"",),),IF(Projections!$V$3="""",""SG"",),),IF(Projections!$W$3="""",""SF"",),),IF(Projections!$X$3="""",""PF"",),),IF(Projec"&amp;"tions!$Y$3="""",""C"",),),""/"","""")"),"SGSF")</f>
        <v>SGSF</v>
      </c>
    </row>
    <row r="102">
      <c r="A102" t="str">
        <f>IF(Projections!$H$3,Draft!K4,"")</f>
        <v/>
      </c>
      <c r="B102">
        <f>IFERROR(__xludf.DUMMYFUNCTION("""COMPUTED_VALUE"""),90.0)</f>
        <v>90</v>
      </c>
      <c r="C102" t="str">
        <f>IFERROR(__xludf.DUMMYFUNCTION("""COMPUTED_VALUE"""),"Paul Reed")</f>
        <v>Paul Reed</v>
      </c>
      <c r="D102">
        <f>IFERROR(__xludf.DUMMYFUNCTION("""COMPUTED_VALUE"""),69.0)</f>
        <v>69</v>
      </c>
      <c r="E102" t="str">
        <f>IFERROR(__xludf.DUMMYFUNCTION("""COMPUTED_VALUE"""),"PF,C")</f>
        <v>PF,C</v>
      </c>
      <c r="F102" s="53">
        <f>IFERROR(__xludf.DUMMYFUNCTION("""COMPUTED_VALUE"""),-1.3171725185350374)</f>
        <v>-1.317172519</v>
      </c>
      <c r="G102" s="53">
        <f>IFERROR(__xludf.DUMMYFUNCTION("""COMPUTED_VALUE"""),-0.299902903129194)</f>
        <v>-0.2999029031</v>
      </c>
      <c r="H102" s="53">
        <f>IFERROR(__xludf.DUMMYFUNCTION("""COMPUTED_VALUE"""),1.0172696154058434)</f>
        <v>1.017269615</v>
      </c>
      <c r="I102" s="53">
        <f>IFERROR(__xludf.DUMMYFUNCTION("""COMPUTED_VALUE"""),10.2)</f>
        <v>10.2</v>
      </c>
      <c r="J102" s="53">
        <f>IFERROR(__xludf.DUMMYFUNCTION("""COMPUTED_VALUE"""),0.1)</f>
        <v>0.1</v>
      </c>
      <c r="K102" s="53">
        <f>IFERROR(__xludf.DUMMYFUNCTION("""COMPUTED_VALUE"""),7.2)</f>
        <v>7.2</v>
      </c>
      <c r="L102" s="53">
        <f>IFERROR(__xludf.DUMMYFUNCTION("""COMPUTED_VALUE"""),1.4)</f>
        <v>1.4</v>
      </c>
      <c r="M102" s="53">
        <f>IFERROR(__xludf.DUMMYFUNCTION("""COMPUTED_VALUE"""),1.2)</f>
        <v>1.2</v>
      </c>
      <c r="N102" s="53">
        <f>IFERROR(__xludf.DUMMYFUNCTION("""COMPUTED_VALUE"""),1.4)</f>
        <v>1.4</v>
      </c>
      <c r="O102" s="53">
        <f>IFERROR(__xludf.DUMMYFUNCTION("""COMPUTED_VALUE"""),56.25)</f>
        <v>56.25</v>
      </c>
      <c r="P102" s="53">
        <f>IFERROR(__xludf.DUMMYFUNCTION("""COMPUTED_VALUE"""),68.75)</f>
        <v>68.75</v>
      </c>
      <c r="Q102" s="53">
        <f>IFERROR(__xludf.DUMMYFUNCTION("""COMPUTED_VALUE"""),1.4)</f>
        <v>1.4</v>
      </c>
      <c r="R102" s="53">
        <f>IFERROR(__xludf.DUMMYFUNCTION("""COMPUTED_VALUE"""),-1.1892344667369363)</f>
        <v>-1.189234467</v>
      </c>
      <c r="S102" s="53">
        <f>IFERROR(__xludf.DUMMYFUNCTION("""COMPUTED_VALUE"""),-1.3394249329228134)</f>
        <v>-1.339424933</v>
      </c>
      <c r="T102" s="53">
        <f>IFERROR(__xludf.DUMMYFUNCTION("""COMPUTED_VALUE"""),0.4619204523423137)</f>
        <v>0.4619204523</v>
      </c>
      <c r="U102" s="53">
        <f>IFERROR(__xludf.DUMMYFUNCTION("""COMPUTED_VALUE"""),-1.246500134901392)</f>
        <v>-1.246500135</v>
      </c>
      <c r="V102" s="53">
        <f>IFERROR(__xludf.DUMMYFUNCTION("""COMPUTED_VALUE"""),0.44772912964166556)</f>
        <v>0.4477291296</v>
      </c>
      <c r="W102" s="53">
        <f>IFERROR(__xludf.DUMMYFUNCTION("""COMPUTED_VALUE"""),0.9174599998400302)</f>
        <v>0.9174599998</v>
      </c>
      <c r="X102" s="53">
        <f>IFERROR(__xludf.DUMMYFUNCTION("""COMPUTED_VALUE"""),0.531520624849965)</f>
        <v>0.5315206248</v>
      </c>
      <c r="Y102" s="53">
        <f>IFERROR(__xludf.DUMMYFUNCTION("""COMPUTED_VALUE"""),-0.4074202359044341)</f>
        <v>-0.4074202359</v>
      </c>
      <c r="Z102" s="53">
        <f>IFERROR(__xludf.DUMMYFUNCTION("""COMPUTED_VALUE"""),0.18462172773959373)</f>
        <v>0.1846217277</v>
      </c>
      <c r="AA102" t="str">
        <f>IFERROR(__xludf.DUMMYFUNCTION("SUBSTITUTE(REGEXREPLACE(REGEXREPLACE(REGEXREPLACE(REGEXREPLACE(REGEXREPLACE(REGEXREPLACE(E102,"","",),IF(Projections!$U$3="""",""PG"",),),IF(Projections!$V$3="""",""SG"",),),IF(Projections!$W$3="""",""SF"",),),IF(Projections!$X$3="""",""PF"",),),IF(Projec"&amp;"tions!$Y$3="""",""C"",),),""/"","""")"),"PFC")</f>
        <v>PFC</v>
      </c>
    </row>
    <row r="103">
      <c r="A103" t="str">
        <f>IF(Projections!$H$3,Draft!K5,"")</f>
        <v/>
      </c>
      <c r="B103">
        <f>IFERROR(__xludf.DUMMYFUNCTION("""COMPUTED_VALUE"""),98.0)</f>
        <v>98</v>
      </c>
      <c r="C103" t="str">
        <f>IFERROR(__xludf.DUMMYFUNCTION("""COMPUTED_VALUE"""),"Trey Murphy III")</f>
        <v>Trey Murphy III</v>
      </c>
      <c r="D103">
        <f>IFERROR(__xludf.DUMMYFUNCTION("""COMPUTED_VALUE"""),60.0)</f>
        <v>60</v>
      </c>
      <c r="E103" t="str">
        <f>IFERROR(__xludf.DUMMYFUNCTION("""COMPUTED_VALUE"""),"SF,PF")</f>
        <v>SF,PF</v>
      </c>
      <c r="F103" s="53">
        <f>IFERROR(__xludf.DUMMYFUNCTION("""COMPUTED_VALUE"""),-1.7320930680873277)</f>
        <v>-1.732093068</v>
      </c>
      <c r="G103" s="53">
        <f>IFERROR(__xludf.DUMMYFUNCTION("""COMPUTED_VALUE"""),-0.2999453801888601)</f>
        <v>-0.2999453802</v>
      </c>
      <c r="H103" s="53">
        <f>IFERROR(__xludf.DUMMYFUNCTION("""COMPUTED_VALUE"""),1.4321476878984676)</f>
        <v>1.432147688</v>
      </c>
      <c r="I103" s="53">
        <f>IFERROR(__xludf.DUMMYFUNCTION("""COMPUTED_VALUE"""),13.6)</f>
        <v>13.6</v>
      </c>
      <c r="J103" s="53">
        <f>IFERROR(__xludf.DUMMYFUNCTION("""COMPUTED_VALUE"""),2.5)</f>
        <v>2.5</v>
      </c>
      <c r="K103" s="53">
        <f>IFERROR(__xludf.DUMMYFUNCTION("""COMPUTED_VALUE"""),3.9)</f>
        <v>3.9</v>
      </c>
      <c r="L103" s="53">
        <f>IFERROR(__xludf.DUMMYFUNCTION("""COMPUTED_VALUE"""),1.4)</f>
        <v>1.4</v>
      </c>
      <c r="M103" s="53">
        <f>IFERROR(__xludf.DUMMYFUNCTION("""COMPUTED_VALUE"""),1.0)</f>
        <v>1</v>
      </c>
      <c r="N103" s="53">
        <f>IFERROR(__xludf.DUMMYFUNCTION("""COMPUTED_VALUE"""),0.5)</f>
        <v>0.5</v>
      </c>
      <c r="O103" s="53">
        <f>IFERROR(__xludf.DUMMYFUNCTION("""COMPUTED_VALUE"""),46.46464646464646)</f>
        <v>46.46464646</v>
      </c>
      <c r="P103" s="53">
        <f>IFERROR(__xludf.DUMMYFUNCTION("""COMPUTED_VALUE"""),90.9090909090909)</f>
        <v>90.90909091</v>
      </c>
      <c r="Q103" s="53">
        <f>IFERROR(__xludf.DUMMYFUNCTION("""COMPUTED_VALUE"""),0.7)</f>
        <v>0.7</v>
      </c>
      <c r="R103" s="53">
        <f>IFERROR(__xludf.DUMMYFUNCTION("""COMPUTED_VALUE"""),-0.6162447850781385)</f>
        <v>-0.6162447851</v>
      </c>
      <c r="S103" s="53">
        <f>IFERROR(__xludf.DUMMYFUNCTION("""COMPUTED_VALUE"""),0.7416841557790128)</f>
        <v>0.7416841558</v>
      </c>
      <c r="T103" s="53">
        <f>IFERROR(__xludf.DUMMYFUNCTION("""COMPUTED_VALUE"""),-0.9179867529047901)</f>
        <v>-0.9179867529</v>
      </c>
      <c r="U103" s="53">
        <f>IFERROR(__xludf.DUMMYFUNCTION("""COMPUTED_VALUE"""),-1.246500134901392)</f>
        <v>-1.246500135</v>
      </c>
      <c r="V103" s="53">
        <f>IFERROR(__xludf.DUMMYFUNCTION("""COMPUTED_VALUE"""),0.011629328042640127)</f>
        <v>0.01162932804</v>
      </c>
      <c r="W103" s="53">
        <f>IFERROR(__xludf.DUMMYFUNCTION("""COMPUTED_VALUE"""),-0.2643825572058105)</f>
        <v>-0.2643825572</v>
      </c>
      <c r="X103" s="53">
        <f>IFERROR(__xludf.DUMMYFUNCTION("""COMPUTED_VALUE"""),-0.3098937238105726)</f>
        <v>-0.3098937238</v>
      </c>
      <c r="Y103" s="53">
        <f>IFERROR(__xludf.DUMMYFUNCTION("""COMPUTED_VALUE"""),0.6533034445960959)</f>
        <v>0.6533034446</v>
      </c>
      <c r="Z103" s="53">
        <f>IFERROR(__xludf.DUMMYFUNCTION("""COMPUTED_VALUE"""),0.4019455103927031)</f>
        <v>0.4019455104</v>
      </c>
      <c r="AA103" t="str">
        <f>IFERROR(__xludf.DUMMYFUNCTION("SUBSTITUTE(REGEXREPLACE(REGEXREPLACE(REGEXREPLACE(REGEXREPLACE(REGEXREPLACE(REGEXREPLACE(E103,"","",),IF(Projections!$U$3="""",""PG"",),),IF(Projections!$V$3="""",""SG"",),),IF(Projections!$W$3="""",""SF"",),),IF(Projections!$X$3="""",""PF"",),),IF(Projec"&amp;"tions!$Y$3="""",""C"",),),""/"","""")"),"SFPF")</f>
        <v>SFPF</v>
      </c>
    </row>
    <row r="104">
      <c r="A104" t="str">
        <f>IF(Projections!$H$3,Draft!K6,"")</f>
        <v/>
      </c>
      <c r="B104">
        <f>IFERROR(__xludf.DUMMYFUNCTION("""COMPUTED_VALUE"""),81.0)</f>
        <v>81</v>
      </c>
      <c r="C104" t="str">
        <f>IFERROR(__xludf.DUMMYFUNCTION("""COMPUTED_VALUE"""),"Scoot Henderson")</f>
        <v>Scoot Henderson</v>
      </c>
      <c r="D104">
        <f>IFERROR(__xludf.DUMMYFUNCTION("""COMPUTED_VALUE"""),72.0)</f>
        <v>72</v>
      </c>
      <c r="E104" t="str">
        <f>IFERROR(__xludf.DUMMYFUNCTION("""COMPUTED_VALUE"""),"PG")</f>
        <v>PG</v>
      </c>
      <c r="F104" s="53">
        <f>IFERROR(__xludf.DUMMYFUNCTION("""COMPUTED_VALUE"""),-0.8958280156943389)</f>
        <v>-0.8958280157</v>
      </c>
      <c r="G104" s="53">
        <f>IFERROR(__xludf.DUMMYFUNCTION("""COMPUTED_VALUE"""),-0.3062173704575766)</f>
        <v>-0.3062173705</v>
      </c>
      <c r="H104" s="53">
        <f>IFERROR(__xludf.DUMMYFUNCTION("""COMPUTED_VALUE"""),0.5896106452367623)</f>
        <v>0.5896106452</v>
      </c>
      <c r="I104" s="53">
        <f>IFERROR(__xludf.DUMMYFUNCTION("""COMPUTED_VALUE"""),16.4)</f>
        <v>16.4</v>
      </c>
      <c r="J104" s="53">
        <f>IFERROR(__xludf.DUMMYFUNCTION("""COMPUTED_VALUE"""),1.5)</f>
        <v>1.5</v>
      </c>
      <c r="K104" s="53">
        <f>IFERROR(__xludf.DUMMYFUNCTION("""COMPUTED_VALUE"""),5.1)</f>
        <v>5.1</v>
      </c>
      <c r="L104" s="53">
        <f>IFERROR(__xludf.DUMMYFUNCTION("""COMPUTED_VALUE"""),5.8)</f>
        <v>5.8</v>
      </c>
      <c r="M104" s="53">
        <f>IFERROR(__xludf.DUMMYFUNCTION("""COMPUTED_VALUE"""),1.1)</f>
        <v>1.1</v>
      </c>
      <c r="N104" s="53">
        <f>IFERROR(__xludf.DUMMYFUNCTION("""COMPUTED_VALUE"""),0.3)</f>
        <v>0.3</v>
      </c>
      <c r="O104" s="53">
        <f>IFERROR(__xludf.DUMMYFUNCTION("""COMPUTED_VALUE"""),44.52054794520548)</f>
        <v>44.52054795</v>
      </c>
      <c r="P104" s="53">
        <f>IFERROR(__xludf.DUMMYFUNCTION("""COMPUTED_VALUE"""),80.76923076923077)</f>
        <v>80.76923077</v>
      </c>
      <c r="Q104" s="53">
        <f>IFERROR(__xludf.DUMMYFUNCTION("""COMPUTED_VALUE"""),3.4)</f>
        <v>3.4</v>
      </c>
      <c r="R104" s="53">
        <f>IFERROR(__xludf.DUMMYFUNCTION("""COMPUTED_VALUE"""),-0.14437092959442296)</f>
        <v>-0.1443709296</v>
      </c>
      <c r="S104" s="53">
        <f>IFERROR(__xludf.DUMMYFUNCTION("""COMPUTED_VALUE"""),-0.12544463118008137)</f>
        <v>-0.1254446312</v>
      </c>
      <c r="T104" s="53">
        <f>IFERROR(__xludf.DUMMYFUNCTION("""COMPUTED_VALUE"""),-0.4162023146331162)</f>
        <v>-0.4162023146</v>
      </c>
      <c r="U104" s="53">
        <f>IFERROR(__xludf.DUMMYFUNCTION("""COMPUTED_VALUE"""),0.997608127605205)</f>
        <v>0.9976081276</v>
      </c>
      <c r="V104" s="53">
        <f>IFERROR(__xludf.DUMMYFUNCTION("""COMPUTED_VALUE"""),0.22967922884215308)</f>
        <v>0.2296792288</v>
      </c>
      <c r="W104" s="53">
        <f>IFERROR(__xludf.DUMMYFUNCTION("""COMPUTED_VALUE"""),-0.5270142365493308)</f>
        <v>-0.5270142365</v>
      </c>
      <c r="X104" s="53">
        <f>IFERROR(__xludf.DUMMYFUNCTION("""COMPUTED_VALUE"""),-0.7405312221978371)</f>
        <v>-0.7405312222</v>
      </c>
      <c r="Y104" s="53">
        <f>IFERROR(__xludf.DUMMYFUNCTION("""COMPUTED_VALUE"""),0.11583075060702093)</f>
        <v>0.1158307506</v>
      </c>
      <c r="Z104" s="53">
        <f>IFERROR(__xludf.DUMMYFUNCTION("""COMPUTED_VALUE"""),-0.4363033655550045)</f>
        <v>-0.4363033656</v>
      </c>
      <c r="AA104" t="str">
        <f>IFERROR(__xludf.DUMMYFUNCTION("SUBSTITUTE(REGEXREPLACE(REGEXREPLACE(REGEXREPLACE(REGEXREPLACE(REGEXREPLACE(REGEXREPLACE(E104,"","",),IF(Projections!$U$3="""",""PG"",),),IF(Projections!$V$3="""",""SG"",),),IF(Projections!$W$3="""",""SF"",),),IF(Projections!$X$3="""",""PF"",),),IF(Projec"&amp;"tions!$Y$3="""",""C"",),),""/"","""")"),"PG")</f>
        <v>PG</v>
      </c>
    </row>
    <row r="105">
      <c r="A105" t="str">
        <f>IF(Projections!$H$3,Draft!K7,"")</f>
        <v/>
      </c>
      <c r="B105">
        <f>IFERROR(__xludf.DUMMYFUNCTION("""COMPUTED_VALUE"""),104.0)</f>
        <v>104</v>
      </c>
      <c r="C105" t="str">
        <f>IFERROR(__xludf.DUMMYFUNCTION("""COMPUTED_VALUE"""),"Spencer Dinwiddie")</f>
        <v>Spencer Dinwiddie</v>
      </c>
      <c r="D105">
        <f>IFERROR(__xludf.DUMMYFUNCTION("""COMPUTED_VALUE"""),73.0)</f>
        <v>73</v>
      </c>
      <c r="E105" t="str">
        <f>IFERROR(__xludf.DUMMYFUNCTION("""COMPUTED_VALUE"""),"PG")</f>
        <v>PG</v>
      </c>
      <c r="F105" s="53">
        <f>IFERROR(__xludf.DUMMYFUNCTION("""COMPUTED_VALUE"""),-1.8270215426338101)</f>
        <v>-1.827021543</v>
      </c>
      <c r="G105" s="53">
        <f>IFERROR(__xludf.DUMMYFUNCTION("""COMPUTED_VALUE"""),-0.3124183546336031)</f>
        <v>-0.3124183546</v>
      </c>
      <c r="H105" s="53">
        <f>IFERROR(__xludf.DUMMYFUNCTION("""COMPUTED_VALUE"""),1.514603188000207)</f>
        <v>1.514603188</v>
      </c>
      <c r="I105" s="53">
        <f>IFERROR(__xludf.DUMMYFUNCTION("""COMPUTED_VALUE"""),16.5)</f>
        <v>16.5</v>
      </c>
      <c r="J105" s="53">
        <f>IFERROR(__xludf.DUMMYFUNCTION("""COMPUTED_VALUE"""),2.1)</f>
        <v>2.1</v>
      </c>
      <c r="K105" s="53">
        <f>IFERROR(__xludf.DUMMYFUNCTION("""COMPUTED_VALUE"""),4.0)</f>
        <v>4</v>
      </c>
      <c r="L105" s="53">
        <f>IFERROR(__xludf.DUMMYFUNCTION("""COMPUTED_VALUE"""),6.2)</f>
        <v>6.2</v>
      </c>
      <c r="M105" s="53">
        <f>IFERROR(__xludf.DUMMYFUNCTION("""COMPUTED_VALUE"""),0.8)</f>
        <v>0.8</v>
      </c>
      <c r="N105" s="53">
        <f>IFERROR(__xludf.DUMMYFUNCTION("""COMPUTED_VALUE"""),0.3)</f>
        <v>0.3</v>
      </c>
      <c r="O105" s="53">
        <f>IFERROR(__xludf.DUMMYFUNCTION("""COMPUTED_VALUE"""),42.96875)</f>
        <v>42.96875</v>
      </c>
      <c r="P105" s="53">
        <f>IFERROR(__xludf.DUMMYFUNCTION("""COMPUTED_VALUE"""),78.57142857142856)</f>
        <v>78.57142857</v>
      </c>
      <c r="Q105" s="53">
        <f>IFERROR(__xludf.DUMMYFUNCTION("""COMPUTED_VALUE"""),1.8)</f>
        <v>1.8</v>
      </c>
      <c r="R105" s="53">
        <f>IFERROR(__xludf.DUMMYFUNCTION("""COMPUTED_VALUE"""),-0.12751829189857575)</f>
        <v>-0.1275182919</v>
      </c>
      <c r="S105" s="53">
        <f>IFERROR(__xludf.DUMMYFUNCTION("""COMPUTED_VALUE"""),0.39483264099537524)</f>
        <v>0.394832641</v>
      </c>
      <c r="T105" s="53">
        <f>IFERROR(__xludf.DUMMYFUNCTION("""COMPUTED_VALUE"""),-0.8761713830488173)</f>
        <v>-0.876171383</v>
      </c>
      <c r="U105" s="53">
        <f>IFERROR(__xludf.DUMMYFUNCTION("""COMPUTED_VALUE"""),1.2016179696512597)</f>
        <v>1.20161797</v>
      </c>
      <c r="V105" s="53">
        <f>IFERROR(__xludf.DUMMYFUNCTION("""COMPUTED_VALUE"""),-0.42447047355638534)</f>
        <v>-0.4244704736</v>
      </c>
      <c r="W105" s="53">
        <f>IFERROR(__xludf.DUMMYFUNCTION("""COMPUTED_VALUE"""),-0.5270142365493308)</f>
        <v>-0.5270142365</v>
      </c>
      <c r="X105" s="53">
        <f>IFERROR(__xludf.DUMMYFUNCTION("""COMPUTED_VALUE"""),-0.847637549923758)</f>
        <v>-0.8476375499</v>
      </c>
      <c r="Y105" s="53">
        <f>IFERROR(__xludf.DUMMYFUNCTION("""COMPUTED_VALUE"""),-0.04266512243286221)</f>
        <v>-0.04266512243</v>
      </c>
      <c r="Z105" s="53">
        <f>IFERROR(__xludf.DUMMYFUNCTION("""COMPUTED_VALUE"""),0.06043670908067405)</f>
        <v>0.06043670908</v>
      </c>
      <c r="AA105" t="str">
        <f>IFERROR(__xludf.DUMMYFUNCTION("SUBSTITUTE(REGEXREPLACE(REGEXREPLACE(REGEXREPLACE(REGEXREPLACE(REGEXREPLACE(REGEXREPLACE(E105,"","",),IF(Projections!$U$3="""",""PG"",),),IF(Projections!$V$3="""",""SG"",),),IF(Projections!$W$3="""",""SF"",),),IF(Projections!$X$3="""",""PF"",),),IF(Projec"&amp;"tions!$Y$3="""",""C"",),),""/"","""")"),"PG")</f>
        <v>PG</v>
      </c>
    </row>
    <row r="106">
      <c r="A106" t="str">
        <f>IF(Projections!$H$3,Draft!K8,"")</f>
        <v/>
      </c>
      <c r="B106">
        <f>IFERROR(__xludf.DUMMYFUNCTION("""COMPUTED_VALUE"""),117.0)</f>
        <v>117</v>
      </c>
      <c r="C106" t="str">
        <f>IFERROR(__xludf.DUMMYFUNCTION("""COMPUTED_VALUE"""),"Mitchell Robinson")</f>
        <v>Mitchell Robinson</v>
      </c>
      <c r="D106">
        <f>IFERROR(__xludf.DUMMYFUNCTION("""COMPUTED_VALUE"""),68.0)</f>
        <v>68</v>
      </c>
      <c r="E106" t="str">
        <f>IFERROR(__xludf.DUMMYFUNCTION("""COMPUTED_VALUE"""),"C")</f>
        <v>C</v>
      </c>
      <c r="F106" s="53">
        <f>IFERROR(__xludf.DUMMYFUNCTION("""COMPUTED_VALUE"""),-2.1789851296091935)</f>
        <v>-2.17898513</v>
      </c>
      <c r="G106" s="53">
        <f>IFERROR(__xludf.DUMMYFUNCTION("""COMPUTED_VALUE"""),-0.3417220515245909)</f>
        <v>-0.3417220515</v>
      </c>
      <c r="H106" s="53">
        <f>IFERROR(__xludf.DUMMYFUNCTION("""COMPUTED_VALUE"""),1.8372630780846027)</f>
        <v>1.837263078</v>
      </c>
      <c r="I106" s="53">
        <f>IFERROR(__xludf.DUMMYFUNCTION("""COMPUTED_VALUE"""),8.3)</f>
        <v>8.3</v>
      </c>
      <c r="J106" s="53">
        <f>IFERROR(__xludf.DUMMYFUNCTION("""COMPUTED_VALUE"""),0.0)</f>
        <v>0</v>
      </c>
      <c r="K106" s="53">
        <f>IFERROR(__xludf.DUMMYFUNCTION("""COMPUTED_VALUE"""),9.3)</f>
        <v>9.3</v>
      </c>
      <c r="L106" s="53">
        <f>IFERROR(__xludf.DUMMYFUNCTION("""COMPUTED_VALUE"""),0.7)</f>
        <v>0.7</v>
      </c>
      <c r="M106" s="53">
        <f>IFERROR(__xludf.DUMMYFUNCTION("""COMPUTED_VALUE"""),0.9)</f>
        <v>0.9</v>
      </c>
      <c r="N106" s="53">
        <f>IFERROR(__xludf.DUMMYFUNCTION("""COMPUTED_VALUE"""),1.9)</f>
        <v>1.9</v>
      </c>
      <c r="O106" s="53">
        <f>IFERROR(__xludf.DUMMYFUNCTION("""COMPUTED_VALUE"""),72.0)</f>
        <v>72</v>
      </c>
      <c r="P106" s="53">
        <f>IFERROR(__xludf.DUMMYFUNCTION("""COMPUTED_VALUE"""),50.0)</f>
        <v>50</v>
      </c>
      <c r="Q106" s="53">
        <f>IFERROR(__xludf.DUMMYFUNCTION("""COMPUTED_VALUE"""),0.8)</f>
        <v>0.8</v>
      </c>
      <c r="R106" s="53">
        <f>IFERROR(__xludf.DUMMYFUNCTION("""COMPUTED_VALUE"""),-1.509434582958029)</f>
        <v>-1.509434583</v>
      </c>
      <c r="S106" s="53">
        <f>IFERROR(__xludf.DUMMYFUNCTION("""COMPUTED_VALUE"""),-1.4261378116187227)</f>
        <v>-1.426137812</v>
      </c>
      <c r="T106" s="53">
        <f>IFERROR(__xludf.DUMMYFUNCTION("""COMPUTED_VALUE"""),1.3400432193177436)</f>
        <v>1.340043219</v>
      </c>
      <c r="U106" s="53">
        <f>IFERROR(__xludf.DUMMYFUNCTION("""COMPUTED_VALUE"""),-1.603517358481987)</f>
        <v>-1.603517358</v>
      </c>
      <c r="V106" s="53">
        <f>IFERROR(__xludf.DUMMYFUNCTION("""COMPUTED_VALUE"""),-0.2064205727568726)</f>
        <v>-0.2064205728</v>
      </c>
      <c r="W106" s="53">
        <f>IFERROR(__xludf.DUMMYFUNCTION("""COMPUTED_VALUE"""),1.5740391981988309)</f>
        <v>1.574039198</v>
      </c>
      <c r="X106" s="53">
        <f>IFERROR(__xludf.DUMMYFUNCTION("""COMPUTED_VALUE"""),1.1188066010464721)</f>
        <v>1.118806601</v>
      </c>
      <c r="Y106" s="53">
        <f>IFERROR(__xludf.DUMMYFUNCTION("""COMPUTED_VALUE"""),-1.731289986747137)</f>
        <v>-1.731289987</v>
      </c>
      <c r="Z106" s="53">
        <f>IFERROR(__xludf.DUMMYFUNCTION("""COMPUTED_VALUE"""),0.37089925572797316)</f>
        <v>0.3708992557</v>
      </c>
      <c r="AA106" t="str">
        <f>IFERROR(__xludf.DUMMYFUNCTION("SUBSTITUTE(REGEXREPLACE(REGEXREPLACE(REGEXREPLACE(REGEXREPLACE(REGEXREPLACE(REGEXREPLACE(E106,"","",),IF(Projections!$U$3="""",""PG"",),),IF(Projections!$V$3="""",""SG"",),),IF(Projections!$W$3="""",""SF"",),),IF(Projections!$X$3="""",""PF"",),),IF(Projec"&amp;"tions!$Y$3="""",""C"",),),""/"","""")"),"C")</f>
        <v>C</v>
      </c>
    </row>
    <row r="107">
      <c r="A107" t="str">
        <f>IF(Projections!$H$3,Draft!K9,"")</f>
        <v/>
      </c>
      <c r="B107">
        <f>IFERROR(__xludf.DUMMYFUNCTION("""COMPUTED_VALUE"""),120.0)</f>
        <v>120</v>
      </c>
      <c r="C107" t="str">
        <f>IFERROR(__xludf.DUMMYFUNCTION("""COMPUTED_VALUE"""),"Al Horford")</f>
        <v>Al Horford</v>
      </c>
      <c r="D107">
        <f>IFERROR(__xludf.DUMMYFUNCTION("""COMPUTED_VALUE"""),58.0)</f>
        <v>58</v>
      </c>
      <c r="E107" t="str">
        <f>IFERROR(__xludf.DUMMYFUNCTION("""COMPUTED_VALUE"""),"PF,C")</f>
        <v>PF,C</v>
      </c>
      <c r="F107" s="53">
        <f>IFERROR(__xludf.DUMMYFUNCTION("""COMPUTED_VALUE"""),-2.2756513910785765)</f>
        <v>-2.275651391</v>
      </c>
      <c r="G107" s="53">
        <f>IFERROR(__xludf.DUMMYFUNCTION("""COMPUTED_VALUE"""),-0.4054452817159948)</f>
        <v>-0.4054452817</v>
      </c>
      <c r="H107" s="53">
        <f>IFERROR(__xludf.DUMMYFUNCTION("""COMPUTED_VALUE"""),1.8702061093625817)</f>
        <v>1.870206109</v>
      </c>
      <c r="I107" s="53">
        <f>IFERROR(__xludf.DUMMYFUNCTION("""COMPUTED_VALUE"""),9.4)</f>
        <v>9.4</v>
      </c>
      <c r="J107" s="53">
        <f>IFERROR(__xludf.DUMMYFUNCTION("""COMPUTED_VALUE"""),1.7)</f>
        <v>1.7</v>
      </c>
      <c r="K107" s="53">
        <f>IFERROR(__xludf.DUMMYFUNCTION("""COMPUTED_VALUE"""),6.6)</f>
        <v>6.6</v>
      </c>
      <c r="L107" s="53">
        <f>IFERROR(__xludf.DUMMYFUNCTION("""COMPUTED_VALUE"""),3.0)</f>
        <v>3</v>
      </c>
      <c r="M107" s="53">
        <f>IFERROR(__xludf.DUMMYFUNCTION("""COMPUTED_VALUE"""),0.6)</f>
        <v>0.6</v>
      </c>
      <c r="N107" s="53">
        <f>IFERROR(__xludf.DUMMYFUNCTION("""COMPUTED_VALUE"""),1.1)</f>
        <v>1.1</v>
      </c>
      <c r="O107" s="53">
        <f>IFERROR(__xludf.DUMMYFUNCTION("""COMPUTED_VALUE"""),46.666666666666664)</f>
        <v>46.66666667</v>
      </c>
      <c r="P107" s="53">
        <f>IFERROR(__xludf.DUMMYFUNCTION("""COMPUTED_VALUE"""),74.99999999999999)</f>
        <v>75</v>
      </c>
      <c r="Q107" s="53">
        <f>IFERROR(__xludf.DUMMYFUNCTION("""COMPUTED_VALUE"""),0.7)</f>
        <v>0.7</v>
      </c>
      <c r="R107" s="53">
        <f>IFERROR(__xludf.DUMMYFUNCTION("""COMPUTED_VALUE"""),-1.324055568303712)</f>
        <v>-1.324055568</v>
      </c>
      <c r="S107" s="53">
        <f>IFERROR(__xludf.DUMMYFUNCTION("""COMPUTED_VALUE"""),0.047981126211737425)</f>
        <v>0.04798112621</v>
      </c>
      <c r="T107" s="53">
        <f>IFERROR(__xludf.DUMMYFUNCTION("""COMPUTED_VALUE"""),0.21102823320647643)</f>
        <v>0.2110282332</v>
      </c>
      <c r="U107" s="53">
        <f>IFERROR(__xludf.DUMMYFUNCTION("""COMPUTED_VALUE"""),-0.4304607667171749)</f>
        <v>-0.4304607667</v>
      </c>
      <c r="V107" s="53">
        <f>IFERROR(__xludf.DUMMYFUNCTION("""COMPUTED_VALUE"""),-0.860570275155411)</f>
        <v>-0.8605702752</v>
      </c>
      <c r="W107" s="53">
        <f>IFERROR(__xludf.DUMMYFUNCTION("""COMPUTED_VALUE"""),0.5235124808247502)</f>
        <v>0.5235124808</v>
      </c>
      <c r="X107" s="53">
        <f>IFERROR(__xludf.DUMMYFUNCTION("""COMPUTED_VALUE"""),-0.2196336539591347)</f>
        <v>-0.219633654</v>
      </c>
      <c r="Y107" s="53">
        <f>IFERROR(__xludf.DUMMYFUNCTION("""COMPUTED_VALUE"""),-0.07924793651994107)</f>
        <v>-0.07924793652</v>
      </c>
      <c r="Z107" s="53">
        <f>IFERROR(__xludf.DUMMYFUNCTION("""COMPUTED_VALUE"""),0.4019455103927031)</f>
        <v>0.4019455104</v>
      </c>
      <c r="AA107" t="str">
        <f>IFERROR(__xludf.DUMMYFUNCTION("SUBSTITUTE(REGEXREPLACE(REGEXREPLACE(REGEXREPLACE(REGEXREPLACE(REGEXREPLACE(REGEXREPLACE(E107,"","",),IF(Projections!$U$3="""",""PG"",),),IF(Projections!$V$3="""",""SG"",),),IF(Projections!$W$3="""",""SF"",),),IF(Projections!$X$3="""",""PF"",),),IF(Projec"&amp;"tions!$Y$3="""",""C"",),),""/"","""")"),"PFC")</f>
        <v>PFC</v>
      </c>
    </row>
    <row r="108">
      <c r="A108" t="str">
        <f>IF(Projections!$H$3,Draft!K10,"")</f>
        <v/>
      </c>
      <c r="B108">
        <f>IFERROR(__xludf.DUMMYFUNCTION("""COMPUTED_VALUE"""),94.0)</f>
        <v>94</v>
      </c>
      <c r="C108" t="str">
        <f>IFERROR(__xludf.DUMMYFUNCTION("""COMPUTED_VALUE"""),"Immanuel Quickley")</f>
        <v>Immanuel Quickley</v>
      </c>
      <c r="D108">
        <f>IFERROR(__xludf.DUMMYFUNCTION("""COMPUTED_VALUE"""),76.0)</f>
        <v>76</v>
      </c>
      <c r="E108" t="str">
        <f>IFERROR(__xludf.DUMMYFUNCTION("""COMPUTED_VALUE"""),"PG,SG")</f>
        <v>PG,SG</v>
      </c>
      <c r="F108" s="53">
        <f>IFERROR(__xludf.DUMMYFUNCTION("""COMPUTED_VALUE"""),-1.658979790205001)</f>
        <v>-1.65897979</v>
      </c>
      <c r="G108" s="53">
        <f>IFERROR(__xludf.DUMMYFUNCTION("""COMPUTED_VALUE"""),-0.4430140741376932)</f>
        <v>-0.4430140741</v>
      </c>
      <c r="H108" s="53">
        <f>IFERROR(__xludf.DUMMYFUNCTION("""COMPUTED_VALUE"""),1.2159657160673079)</f>
        <v>1.215965716</v>
      </c>
      <c r="I108" s="53">
        <f>IFERROR(__xludf.DUMMYFUNCTION("""COMPUTED_VALUE"""),15.2)</f>
        <v>15.2</v>
      </c>
      <c r="J108" s="53">
        <f>IFERROR(__xludf.DUMMYFUNCTION("""COMPUTED_VALUE"""),2.1)</f>
        <v>2.1</v>
      </c>
      <c r="K108" s="53">
        <f>IFERROR(__xludf.DUMMYFUNCTION("""COMPUTED_VALUE"""),4.1)</f>
        <v>4.1</v>
      </c>
      <c r="L108" s="53">
        <f>IFERROR(__xludf.DUMMYFUNCTION("""COMPUTED_VALUE"""),3.9)</f>
        <v>3.9</v>
      </c>
      <c r="M108" s="53">
        <f>IFERROR(__xludf.DUMMYFUNCTION("""COMPUTED_VALUE"""),1.0)</f>
        <v>1</v>
      </c>
      <c r="N108" s="53">
        <f>IFERROR(__xludf.DUMMYFUNCTION("""COMPUTED_VALUE"""),0.1)</f>
        <v>0.1</v>
      </c>
      <c r="O108" s="53">
        <f>IFERROR(__xludf.DUMMYFUNCTION("""COMPUTED_VALUE"""),44.827586206896555)</f>
        <v>44.82758621</v>
      </c>
      <c r="P108" s="53">
        <f>IFERROR(__xludf.DUMMYFUNCTION("""COMPUTED_VALUE"""),87.09677419354838)</f>
        <v>87.09677419</v>
      </c>
      <c r="Q108" s="53">
        <f>IFERROR(__xludf.DUMMYFUNCTION("""COMPUTED_VALUE"""),1.4)</f>
        <v>1.4</v>
      </c>
      <c r="R108" s="53">
        <f>IFERROR(__xludf.DUMMYFUNCTION("""COMPUTED_VALUE"""),-0.34660258194458676)</f>
        <v>-0.3466025819</v>
      </c>
      <c r="S108" s="53">
        <f>IFERROR(__xludf.DUMMYFUNCTION("""COMPUTED_VALUE"""),0.39483264099537524)</f>
        <v>0.394832641</v>
      </c>
      <c r="T108" s="53">
        <f>IFERROR(__xludf.DUMMYFUNCTION("""COMPUTED_VALUE"""),-0.8343560131928446)</f>
        <v>-0.8343560132</v>
      </c>
      <c r="U108" s="53">
        <f>IFERROR(__xludf.DUMMYFUNCTION("""COMPUTED_VALUE"""),0.02856137788644717)</f>
        <v>0.02856137789</v>
      </c>
      <c r="V108" s="53">
        <f>IFERROR(__xludf.DUMMYFUNCTION("""COMPUTED_VALUE"""),0.011629328042640127)</f>
        <v>0.01162932804</v>
      </c>
      <c r="W108" s="53">
        <f>IFERROR(__xludf.DUMMYFUNCTION("""COMPUTED_VALUE"""),-0.7896459158928509)</f>
        <v>-0.7896459159</v>
      </c>
      <c r="X108" s="53">
        <f>IFERROR(__xludf.DUMMYFUNCTION("""COMPUTED_VALUE"""),-0.5527912576916125)</f>
        <v>-0.5527912577</v>
      </c>
      <c r="Y108" s="53">
        <f>IFERROR(__xludf.DUMMYFUNCTION("""COMPUTED_VALUE"""),0.6263806067273007)</f>
        <v>0.6263806067</v>
      </c>
      <c r="Z108" s="53">
        <f>IFERROR(__xludf.DUMMYFUNCTION("""COMPUTED_VALUE"""),0.18462172773959373)</f>
        <v>0.1846217277</v>
      </c>
      <c r="AA108" t="str">
        <f>IFERROR(__xludf.DUMMYFUNCTION("SUBSTITUTE(REGEXREPLACE(REGEXREPLACE(REGEXREPLACE(REGEXREPLACE(REGEXREPLACE(REGEXREPLACE(E108,"","",),IF(Projections!$U$3="""",""PG"",),),IF(Projections!$V$3="""",""SG"",),),IF(Projections!$W$3="""",""SF"",),),IF(Projections!$X$3="""",""PF"",),),IF(Projec"&amp;"tions!$Y$3="""",""C"",),),""/"","""")"),"PGSG")</f>
        <v>PGSG</v>
      </c>
    </row>
    <row r="109">
      <c r="A109" t="str">
        <f>IF(Projections!$H$3,Draft!K11,"")</f>
        <v/>
      </c>
      <c r="B109">
        <f>IFERROR(__xludf.DUMMYFUNCTION("""COMPUTED_VALUE"""),116.0)</f>
        <v>116</v>
      </c>
      <c r="C109" t="str">
        <f>IFERROR(__xludf.DUMMYFUNCTION("""COMPUTED_VALUE"""),"Ben Simmons")</f>
        <v>Ben Simmons</v>
      </c>
      <c r="D109">
        <f>IFERROR(__xludf.DUMMYFUNCTION("""COMPUTED_VALUE"""),50.0)</f>
        <v>50</v>
      </c>
      <c r="E109" t="str">
        <f>IFERROR(__xludf.DUMMYFUNCTION("""COMPUTED_VALUE"""),"PG,SG,PF")</f>
        <v>PG,SG,PF</v>
      </c>
      <c r="F109" s="53">
        <f>IFERROR(__xludf.DUMMYFUNCTION("""COMPUTED_VALUE"""),-2.163826635713712)</f>
        <v>-2.163826636</v>
      </c>
      <c r="G109" s="53">
        <f>IFERROR(__xludf.DUMMYFUNCTION("""COMPUTED_VALUE"""),-0.48189603047812923)</f>
        <v>-0.4818960305</v>
      </c>
      <c r="H109" s="53">
        <f>IFERROR(__xludf.DUMMYFUNCTION("""COMPUTED_VALUE"""),1.681930605235583)</f>
        <v>1.681930605</v>
      </c>
      <c r="I109" s="53">
        <f>IFERROR(__xludf.DUMMYFUNCTION("""COMPUTED_VALUE"""),8.5)</f>
        <v>8.5</v>
      </c>
      <c r="J109" s="53">
        <f>IFERROR(__xludf.DUMMYFUNCTION("""COMPUTED_VALUE"""),0.0)</f>
        <v>0</v>
      </c>
      <c r="K109" s="53">
        <f>IFERROR(__xludf.DUMMYFUNCTION("""COMPUTED_VALUE"""),6.3)</f>
        <v>6.3</v>
      </c>
      <c r="L109" s="53">
        <f>IFERROR(__xludf.DUMMYFUNCTION("""COMPUTED_VALUE"""),6.2)</f>
        <v>6.2</v>
      </c>
      <c r="M109" s="53">
        <f>IFERROR(__xludf.DUMMYFUNCTION("""COMPUTED_VALUE"""),1.3)</f>
        <v>1.3</v>
      </c>
      <c r="N109" s="53">
        <f>IFERROR(__xludf.DUMMYFUNCTION("""COMPUTED_VALUE"""),0.6)</f>
        <v>0.6</v>
      </c>
      <c r="O109" s="53">
        <f>IFERROR(__xludf.DUMMYFUNCTION("""COMPUTED_VALUE"""),56.33802816901409)</f>
        <v>56.33802817</v>
      </c>
      <c r="P109" s="53">
        <f>IFERROR(__xludf.DUMMYFUNCTION("""COMPUTED_VALUE"""),42.85714285714286)</f>
        <v>42.85714286</v>
      </c>
      <c r="Q109" s="53">
        <f>IFERROR(__xludf.DUMMYFUNCTION("""COMPUTED_VALUE"""),2.3)</f>
        <v>2.3</v>
      </c>
      <c r="R109" s="53">
        <f>IFERROR(__xludf.DUMMYFUNCTION("""COMPUTED_VALUE"""),-1.4757293075663351)</f>
        <v>-1.475729308</v>
      </c>
      <c r="S109" s="53">
        <f>IFERROR(__xludf.DUMMYFUNCTION("""COMPUTED_VALUE"""),-1.4261378116187227)</f>
        <v>-1.426137812</v>
      </c>
      <c r="T109" s="53">
        <f>IFERROR(__xludf.DUMMYFUNCTION("""COMPUTED_VALUE"""),0.08558212363855798)</f>
        <v>0.08558212364</v>
      </c>
      <c r="U109" s="53">
        <f>IFERROR(__xludf.DUMMYFUNCTION("""COMPUTED_VALUE"""),1.2016179696512597)</f>
        <v>1.20161797</v>
      </c>
      <c r="V109" s="53">
        <f>IFERROR(__xludf.DUMMYFUNCTION("""COMPUTED_VALUE"""),0.6657790304411786)</f>
        <v>0.6657790304</v>
      </c>
      <c r="W109" s="53">
        <f>IFERROR(__xludf.DUMMYFUNCTION("""COMPUTED_VALUE"""),-0.13306671753405044)</f>
        <v>-0.1330667175</v>
      </c>
      <c r="X109" s="53">
        <f>IFERROR(__xludf.DUMMYFUNCTION("""COMPUTED_VALUE"""),0.47796746098700477)</f>
        <v>0.477967461</v>
      </c>
      <c r="Y109" s="53">
        <f>IFERROR(__xludf.DUMMYFUNCTION("""COMPUTED_VALUE"""),-1.258843521800382)</f>
        <v>-1.258843522</v>
      </c>
      <c r="Z109" s="53">
        <f>IFERROR(__xludf.DUMMYFUNCTION("""COMPUTED_VALUE"""),-0.09479456424297544)</f>
        <v>-0.09479456424</v>
      </c>
      <c r="AA109" t="str">
        <f>IFERROR(__xludf.DUMMYFUNCTION("SUBSTITUTE(REGEXREPLACE(REGEXREPLACE(REGEXREPLACE(REGEXREPLACE(REGEXREPLACE(REGEXREPLACE(E109,"","",),IF(Projections!$U$3="""",""PG"",),),IF(Projections!$V$3="""",""SG"",),),IF(Projections!$W$3="""",""SF"",),),IF(Projections!$X$3="""",""PF"",),),IF(Projec"&amp;"tions!$Y$3="""",""C"",),),""/"","""")"),"PGSGPF")</f>
        <v>PGSGPF</v>
      </c>
    </row>
    <row r="110">
      <c r="A110" t="str">
        <f>IF(Projections!$H$3,Draft!K12,"")</f>
        <v/>
      </c>
      <c r="B110">
        <f>IFERROR(__xludf.DUMMYFUNCTION("""COMPUTED_VALUE"""),103.0)</f>
        <v>103</v>
      </c>
      <c r="C110" t="str">
        <f>IFERROR(__xludf.DUMMYFUNCTION("""COMPUTED_VALUE"""),"Wendell Carter Jr.")</f>
        <v>Wendell Carter Jr.</v>
      </c>
      <c r="D110">
        <f>IFERROR(__xludf.DUMMYFUNCTION("""COMPUTED_VALUE"""),62.0)</f>
        <v>62</v>
      </c>
      <c r="E110" t="str">
        <f>IFERROR(__xludf.DUMMYFUNCTION("""COMPUTED_VALUE"""),"C")</f>
        <v>C</v>
      </c>
      <c r="F110" s="53">
        <f>IFERROR(__xludf.DUMMYFUNCTION("""COMPUTED_VALUE"""),-1.799617544115744)</f>
        <v>-1.799617544</v>
      </c>
      <c r="G110" s="53">
        <f>IFERROR(__xludf.DUMMYFUNCTION("""COMPUTED_VALUE"""),-0.500484970580122)</f>
        <v>-0.5004849706</v>
      </c>
      <c r="H110" s="53">
        <f>IFERROR(__xludf.DUMMYFUNCTION("""COMPUTED_VALUE"""),1.299132573535622)</f>
        <v>1.299132574</v>
      </c>
      <c r="I110" s="53">
        <f>IFERROR(__xludf.DUMMYFUNCTION("""COMPUTED_VALUE"""),15.4)</f>
        <v>15.4</v>
      </c>
      <c r="J110" s="53">
        <f>IFERROR(__xludf.DUMMYFUNCTION("""COMPUTED_VALUE"""),1.3)</f>
        <v>1.3</v>
      </c>
      <c r="K110" s="53">
        <f>IFERROR(__xludf.DUMMYFUNCTION("""COMPUTED_VALUE"""),8.7)</f>
        <v>8.7</v>
      </c>
      <c r="L110" s="53">
        <f>IFERROR(__xludf.DUMMYFUNCTION("""COMPUTED_VALUE"""),2.2)</f>
        <v>2.2</v>
      </c>
      <c r="M110" s="53">
        <f>IFERROR(__xludf.DUMMYFUNCTION("""COMPUTED_VALUE"""),0.6)</f>
        <v>0.6</v>
      </c>
      <c r="N110" s="53">
        <f>IFERROR(__xludf.DUMMYFUNCTION("""COMPUTED_VALUE"""),0.7)</f>
        <v>0.7</v>
      </c>
      <c r="O110" s="53">
        <f>IFERROR(__xludf.DUMMYFUNCTION("""COMPUTED_VALUE"""),52.25225225225225)</f>
        <v>52.25225225</v>
      </c>
      <c r="P110" s="53">
        <f>IFERROR(__xludf.DUMMYFUNCTION("""COMPUTED_VALUE"""),73.52941176470588)</f>
        <v>73.52941176</v>
      </c>
      <c r="Q110" s="53">
        <f>IFERROR(__xludf.DUMMYFUNCTION("""COMPUTED_VALUE"""),1.9)</f>
        <v>1.9</v>
      </c>
      <c r="R110" s="53">
        <f>IFERROR(__xludf.DUMMYFUNCTION("""COMPUTED_VALUE"""),-0.3128973065528926)</f>
        <v>-0.3128973066</v>
      </c>
      <c r="S110" s="53">
        <f>IFERROR(__xludf.DUMMYFUNCTION("""COMPUTED_VALUE"""),-0.2988703885719002)</f>
        <v>-0.2988703886</v>
      </c>
      <c r="T110" s="53">
        <f>IFERROR(__xludf.DUMMYFUNCTION("""COMPUTED_VALUE"""),1.089151000181906)</f>
        <v>1.089151</v>
      </c>
      <c r="U110" s="53">
        <f>IFERROR(__xludf.DUMMYFUNCTION("""COMPUTED_VALUE"""),-0.8384804508092835)</f>
        <v>-0.8384804508</v>
      </c>
      <c r="V110" s="53">
        <f>IFERROR(__xludf.DUMMYFUNCTION("""COMPUTED_VALUE"""),-0.860570275155411)</f>
        <v>-0.8605702752</v>
      </c>
      <c r="W110" s="53">
        <f>IFERROR(__xludf.DUMMYFUNCTION("""COMPUTED_VALUE"""),-0.0017508778622903794)</f>
        <v>-0.001750877862</v>
      </c>
      <c r="X110" s="53">
        <f>IFERROR(__xludf.DUMMYFUNCTION("""COMPUTED_VALUE"""),0.2942385102604188)</f>
        <v>0.2942385103</v>
      </c>
      <c r="Y110" s="53">
        <f>IFERROR(__xludf.DUMMYFUNCTION("""COMPUTED_VALUE"""),-0.46126591164202435)</f>
        <v>-0.4612659116</v>
      </c>
      <c r="Z110" s="53">
        <f>IFERROR(__xludf.DUMMYFUNCTION("""COMPUTED_VALUE"""),0.029390454415944182)</f>
        <v>0.02939045442</v>
      </c>
      <c r="AA110" t="str">
        <f>IFERROR(__xludf.DUMMYFUNCTION("SUBSTITUTE(REGEXREPLACE(REGEXREPLACE(REGEXREPLACE(REGEXREPLACE(REGEXREPLACE(REGEXREPLACE(E110,"","",),IF(Projections!$U$3="""",""PG"",),),IF(Projections!$V$3="""",""SG"",),),IF(Projections!$W$3="""",""SF"",),),IF(Projections!$X$3="""",""PF"",),),IF(Projec"&amp;"tions!$Y$3="""",""C"",),),""/"","""")"),"C")</f>
        <v>C</v>
      </c>
    </row>
    <row r="111">
      <c r="A111" t="str">
        <f>IF(Projections!$H$3,Draft!K13,"")</f>
        <v/>
      </c>
      <c r="B111">
        <f>IFERROR(__xludf.DUMMYFUNCTION("""COMPUTED_VALUE"""),114.0)</f>
        <v>114</v>
      </c>
      <c r="C111" t="str">
        <f>IFERROR(__xludf.DUMMYFUNCTION("""COMPUTED_VALUE"""),"Keegan Murray")</f>
        <v>Keegan Murray</v>
      </c>
      <c r="D111">
        <f>IFERROR(__xludf.DUMMYFUNCTION("""COMPUTED_VALUE"""),78.0)</f>
        <v>78</v>
      </c>
      <c r="E111" t="str">
        <f>IFERROR(__xludf.DUMMYFUNCTION("""COMPUTED_VALUE"""),"SF,PF")</f>
        <v>SF,PF</v>
      </c>
      <c r="F111" s="53">
        <f>IFERROR(__xludf.DUMMYFUNCTION("""COMPUTED_VALUE"""),-2.1091017990973415)</f>
        <v>-2.109101799</v>
      </c>
      <c r="G111" s="53">
        <f>IFERROR(__xludf.DUMMYFUNCTION("""COMPUTED_VALUE"""),-0.502838232288535)</f>
        <v>-0.5028382323</v>
      </c>
      <c r="H111" s="53">
        <f>IFERROR(__xludf.DUMMYFUNCTION("""COMPUTED_VALUE"""),1.6062635668088066)</f>
        <v>1.606263567</v>
      </c>
      <c r="I111" s="53">
        <f>IFERROR(__xludf.DUMMYFUNCTION("""COMPUTED_VALUE"""),14.0)</f>
        <v>14</v>
      </c>
      <c r="J111" s="53">
        <f>IFERROR(__xludf.DUMMYFUNCTION("""COMPUTED_VALUE"""),2.7)</f>
        <v>2.7</v>
      </c>
      <c r="K111" s="53">
        <f>IFERROR(__xludf.DUMMYFUNCTION("""COMPUTED_VALUE"""),4.9)</f>
        <v>4.9</v>
      </c>
      <c r="L111" s="53">
        <f>IFERROR(__xludf.DUMMYFUNCTION("""COMPUTED_VALUE"""),1.3)</f>
        <v>1.3</v>
      </c>
      <c r="M111" s="53">
        <f>IFERROR(__xludf.DUMMYFUNCTION("""COMPUTED_VALUE"""),0.9)</f>
        <v>0.9</v>
      </c>
      <c r="N111" s="53">
        <f>IFERROR(__xludf.DUMMYFUNCTION("""COMPUTED_VALUE"""),0.6)</f>
        <v>0.6</v>
      </c>
      <c r="O111" s="53">
        <f>IFERROR(__xludf.DUMMYFUNCTION("""COMPUTED_VALUE"""),46.36363636363636)</f>
        <v>46.36363636</v>
      </c>
      <c r="P111" s="53">
        <f>IFERROR(__xludf.DUMMYFUNCTION("""COMPUTED_VALUE"""),78.57142857142858)</f>
        <v>78.57142857</v>
      </c>
      <c r="Q111" s="53">
        <f>IFERROR(__xludf.DUMMYFUNCTION("""COMPUTED_VALUE"""),0.9)</f>
        <v>0.9</v>
      </c>
      <c r="R111" s="53">
        <f>IFERROR(__xludf.DUMMYFUNCTION("""COMPUTED_VALUE"""),-0.5488342342947505)</f>
        <v>-0.5488342343</v>
      </c>
      <c r="S111" s="53">
        <f>IFERROR(__xludf.DUMMYFUNCTION("""COMPUTED_VALUE"""),0.9151099131708318)</f>
        <v>0.9151099132</v>
      </c>
      <c r="T111" s="53">
        <f>IFERROR(__xludf.DUMMYFUNCTION("""COMPUTED_VALUE"""),-0.4998330543450616)</f>
        <v>-0.4998330543</v>
      </c>
      <c r="U111" s="53">
        <f>IFERROR(__xludf.DUMMYFUNCTION("""COMPUTED_VALUE"""),-1.2975025954129054)</f>
        <v>-1.297502595</v>
      </c>
      <c r="V111" s="53">
        <f>IFERROR(__xludf.DUMMYFUNCTION("""COMPUTED_VALUE"""),-0.2064205727568726)</f>
        <v>-0.2064205728</v>
      </c>
      <c r="W111" s="53">
        <f>IFERROR(__xludf.DUMMYFUNCTION("""COMPUTED_VALUE"""),-0.13306671753405044)</f>
        <v>-0.1330667175</v>
      </c>
      <c r="X111" s="53">
        <f>IFERROR(__xludf.DUMMYFUNCTION("""COMPUTED_VALUE"""),-0.35542486011425467)</f>
        <v>-0.3554248601</v>
      </c>
      <c r="Y111" s="53">
        <f>IFERROR(__xludf.DUMMYFUNCTION("""COMPUTED_VALUE"""),-0.014221707477619961)</f>
        <v>-0.01422170748</v>
      </c>
      <c r="Z111" s="53">
        <f>IFERROR(__xludf.DUMMYFUNCTION("""COMPUTED_VALUE"""),0.33985300106324323)</f>
        <v>0.3398530011</v>
      </c>
      <c r="AA111" t="str">
        <f>IFERROR(__xludf.DUMMYFUNCTION("SUBSTITUTE(REGEXREPLACE(REGEXREPLACE(REGEXREPLACE(REGEXREPLACE(REGEXREPLACE(REGEXREPLACE(E111,"","",),IF(Projections!$U$3="""",""PG"",),),IF(Projections!$V$3="""",""SG"",),),IF(Projections!$W$3="""",""SF"",),),IF(Projections!$X$3="""",""PF"",),),IF(Projec"&amp;"tions!$Y$3="""",""C"",),),""/"","""")"),"SFPF")</f>
        <v>SFPF</v>
      </c>
    </row>
    <row r="112">
      <c r="A112" t="str">
        <f>IF(Projections!$H$3,Draft!K14,"")</f>
        <v/>
      </c>
      <c r="B112">
        <f>IFERROR(__xludf.DUMMYFUNCTION("""COMPUTED_VALUE"""),99.0)</f>
        <v>99</v>
      </c>
      <c r="C112" t="str">
        <f>IFERROR(__xludf.DUMMYFUNCTION("""COMPUTED_VALUE"""),"Derrick White")</f>
        <v>Derrick White</v>
      </c>
      <c r="D112">
        <f>IFERROR(__xludf.DUMMYFUNCTION("""COMPUTED_VALUE"""),77.0)</f>
        <v>77</v>
      </c>
      <c r="E112" t="str">
        <f>IFERROR(__xludf.DUMMYFUNCTION("""COMPUTED_VALUE"""),"PG,SG")</f>
        <v>PG,SG</v>
      </c>
      <c r="F112" s="53">
        <f>IFERROR(__xludf.DUMMYFUNCTION("""COMPUTED_VALUE"""),-1.73740460519391)</f>
        <v>-1.737404605</v>
      </c>
      <c r="G112" s="53">
        <f>IFERROR(__xludf.DUMMYFUNCTION("""COMPUTED_VALUE"""),-0.509158506938362)</f>
        <v>-0.5091585069</v>
      </c>
      <c r="H112" s="53">
        <f>IFERROR(__xludf.DUMMYFUNCTION("""COMPUTED_VALUE"""),1.228246098255548)</f>
        <v>1.228246098</v>
      </c>
      <c r="I112" s="53">
        <f>IFERROR(__xludf.DUMMYFUNCTION("""COMPUTED_VALUE"""),13.0)</f>
        <v>13</v>
      </c>
      <c r="J112" s="53">
        <f>IFERROR(__xludf.DUMMYFUNCTION("""COMPUTED_VALUE"""),1.7)</f>
        <v>1.7</v>
      </c>
      <c r="K112" s="53">
        <f>IFERROR(__xludf.DUMMYFUNCTION("""COMPUTED_VALUE"""),3.6)</f>
        <v>3.6</v>
      </c>
      <c r="L112" s="53">
        <f>IFERROR(__xludf.DUMMYFUNCTION("""COMPUTED_VALUE"""),4.0)</f>
        <v>4</v>
      </c>
      <c r="M112" s="53">
        <f>IFERROR(__xludf.DUMMYFUNCTION("""COMPUTED_VALUE"""),0.8)</f>
        <v>0.8</v>
      </c>
      <c r="N112" s="53">
        <f>IFERROR(__xludf.DUMMYFUNCTION("""COMPUTED_VALUE"""),0.9)</f>
        <v>0.9</v>
      </c>
      <c r="O112" s="53">
        <f>IFERROR(__xludf.DUMMYFUNCTION("""COMPUTED_VALUE"""),45.45454545454545)</f>
        <v>45.45454545</v>
      </c>
      <c r="P112" s="53">
        <f>IFERROR(__xludf.DUMMYFUNCTION("""COMPUTED_VALUE"""),85.71428571428572)</f>
        <v>85.71428571</v>
      </c>
      <c r="Q112" s="53">
        <f>IFERROR(__xludf.DUMMYFUNCTION("""COMPUTED_VALUE"""),1.4)</f>
        <v>1.4</v>
      </c>
      <c r="R112" s="53">
        <f>IFERROR(__xludf.DUMMYFUNCTION("""COMPUTED_VALUE"""),-0.7173606112532205)</f>
        <v>-0.7173606113</v>
      </c>
      <c r="S112" s="53">
        <f>IFERROR(__xludf.DUMMYFUNCTION("""COMPUTED_VALUE"""),0.047981126211737425)</f>
        <v>0.04798112621</v>
      </c>
      <c r="T112" s="53">
        <f>IFERROR(__xludf.DUMMYFUNCTION("""COMPUTED_VALUE"""),-1.0434328624727087)</f>
        <v>-1.043432862</v>
      </c>
      <c r="U112" s="53">
        <f>IFERROR(__xludf.DUMMYFUNCTION("""COMPUTED_VALUE"""),0.07956383839796079)</f>
        <v>0.0795638384</v>
      </c>
      <c r="V112" s="53">
        <f>IFERROR(__xludf.DUMMYFUNCTION("""COMPUTED_VALUE"""),-0.42447047355638534)</f>
        <v>-0.4244704736</v>
      </c>
      <c r="W112" s="53">
        <f>IFERROR(__xludf.DUMMYFUNCTION("""COMPUTED_VALUE"""),0.2608808014812299)</f>
        <v>0.2608808015</v>
      </c>
      <c r="X112" s="53">
        <f>IFERROR(__xludf.DUMMYFUNCTION("""COMPUTED_VALUE"""),-0.4097802267331429)</f>
        <v>-0.4097802267</v>
      </c>
      <c r="Y112" s="53">
        <f>IFERROR(__xludf.DUMMYFUNCTION("""COMPUTED_VALUE"""),0.4694053107738645)</f>
        <v>0.4694053108</v>
      </c>
      <c r="Z112" s="53">
        <f>IFERROR(__xludf.DUMMYFUNCTION("""COMPUTED_VALUE"""),0.18462172773959373)</f>
        <v>0.1846217277</v>
      </c>
      <c r="AA112" t="str">
        <f>IFERROR(__xludf.DUMMYFUNCTION("SUBSTITUTE(REGEXREPLACE(REGEXREPLACE(REGEXREPLACE(REGEXREPLACE(REGEXREPLACE(REGEXREPLACE(E112,"","",),IF(Projections!$U$3="""",""PG"",),),IF(Projections!$V$3="""",""SG"",),),IF(Projections!$W$3="""",""SF"",),),IF(Projections!$X$3="""",""PF"",),),IF(Projec"&amp;"tions!$Y$3="""",""C"",),),""/"","""")"),"PGSG")</f>
        <v>PGSG</v>
      </c>
    </row>
    <row r="113">
      <c r="A113" t="str">
        <f>IF(Projections!$H$3,Draft!L3,"")</f>
        <v/>
      </c>
      <c r="B113">
        <f>IFERROR(__xludf.DUMMYFUNCTION("""COMPUTED_VALUE"""),112.0)</f>
        <v>112</v>
      </c>
      <c r="C113" t="str">
        <f>IFERROR(__xludf.DUMMYFUNCTION("""COMPUTED_VALUE"""),"John Collins")</f>
        <v>John Collins</v>
      </c>
      <c r="D113">
        <f>IFERROR(__xludf.DUMMYFUNCTION("""COMPUTED_VALUE"""),70.0)</f>
        <v>70</v>
      </c>
      <c r="E113" t="str">
        <f>IFERROR(__xludf.DUMMYFUNCTION("""COMPUTED_VALUE"""),"PF")</f>
        <v>PF</v>
      </c>
      <c r="F113" s="53">
        <f>IFERROR(__xludf.DUMMYFUNCTION("""COMPUTED_VALUE"""),-2.107465452443239)</f>
        <v>-2.107465452</v>
      </c>
      <c r="G113" s="53">
        <f>IFERROR(__xludf.DUMMYFUNCTION("""COMPUTED_VALUE"""),-0.5095793495473766)</f>
        <v>-0.5095793495</v>
      </c>
      <c r="H113" s="53">
        <f>IFERROR(__xludf.DUMMYFUNCTION("""COMPUTED_VALUE"""),1.5978861028958622)</f>
        <v>1.597886103</v>
      </c>
      <c r="I113" s="53">
        <f>IFERROR(__xludf.DUMMYFUNCTION("""COMPUTED_VALUE"""),14.4)</f>
        <v>14.4</v>
      </c>
      <c r="J113" s="53">
        <f>IFERROR(__xludf.DUMMYFUNCTION("""COMPUTED_VALUE"""),1.1)</f>
        <v>1.1</v>
      </c>
      <c r="K113" s="53">
        <f>IFERROR(__xludf.DUMMYFUNCTION("""COMPUTED_VALUE"""),7.1)</f>
        <v>7.1</v>
      </c>
      <c r="L113" s="53">
        <f>IFERROR(__xludf.DUMMYFUNCTION("""COMPUTED_VALUE"""),1.5)</f>
        <v>1.5</v>
      </c>
      <c r="M113" s="53">
        <f>IFERROR(__xludf.DUMMYFUNCTION("""COMPUTED_VALUE"""),0.6)</f>
        <v>0.6</v>
      </c>
      <c r="N113" s="53">
        <f>IFERROR(__xludf.DUMMYFUNCTION("""COMPUTED_VALUE"""),1.0)</f>
        <v>1</v>
      </c>
      <c r="O113" s="53">
        <f>IFERROR(__xludf.DUMMYFUNCTION("""COMPUTED_VALUE"""),51.85185185185185)</f>
        <v>51.85185185</v>
      </c>
      <c r="P113" s="53">
        <f>IFERROR(__xludf.DUMMYFUNCTION("""COMPUTED_VALUE"""),78.57142857142858)</f>
        <v>78.57142857</v>
      </c>
      <c r="Q113" s="53">
        <f>IFERROR(__xludf.DUMMYFUNCTION("""COMPUTED_VALUE"""),1.1)</f>
        <v>1.1</v>
      </c>
      <c r="R113" s="53">
        <f>IFERROR(__xludf.DUMMYFUNCTION("""COMPUTED_VALUE"""),-0.4814236835113625)</f>
        <v>-0.4814236835</v>
      </c>
      <c r="S113" s="53">
        <f>IFERROR(__xludf.DUMMYFUNCTION("""COMPUTED_VALUE"""),-0.472296145963719)</f>
        <v>-0.472296146</v>
      </c>
      <c r="T113" s="53">
        <f>IFERROR(__xludf.DUMMYFUNCTION("""COMPUTED_VALUE"""),0.42010508248634065)</f>
        <v>0.4201050825</v>
      </c>
      <c r="U113" s="53">
        <f>IFERROR(__xludf.DUMMYFUNCTION("""COMPUTED_VALUE"""),-1.1954976743898784)</f>
        <v>-1.195497674</v>
      </c>
      <c r="V113" s="53">
        <f>IFERROR(__xludf.DUMMYFUNCTION("""COMPUTED_VALUE"""),-0.860570275155411)</f>
        <v>-0.8605702752</v>
      </c>
      <c r="W113" s="53">
        <f>IFERROR(__xludf.DUMMYFUNCTION("""COMPUTED_VALUE"""),0.39219664115299)</f>
        <v>0.3921966412</v>
      </c>
      <c r="X113" s="53">
        <f>IFERROR(__xludf.DUMMYFUNCTION("""COMPUTED_VALUE"""),0.24309195466524158)</f>
        <v>0.2430919547</v>
      </c>
      <c r="Y113" s="53">
        <f>IFERROR(__xludf.DUMMYFUNCTION("""COMPUTED_VALUE"""),-0.028443414955239922)</f>
        <v>-0.02844341496</v>
      </c>
      <c r="Z113" s="53">
        <f>IFERROR(__xludf.DUMMYFUNCTION("""COMPUTED_VALUE"""),0.2777604917337834)</f>
        <v>0.2777604917</v>
      </c>
      <c r="AA113" t="str">
        <f>IFERROR(__xludf.DUMMYFUNCTION("SUBSTITUTE(REGEXREPLACE(REGEXREPLACE(REGEXREPLACE(REGEXREPLACE(REGEXREPLACE(REGEXREPLACE(E113,"","",),IF(Projections!$U$3="""",""PG"",),),IF(Projections!$V$3="""",""SG"",),),IF(Projections!$W$3="""",""SF"",),),IF(Projections!$X$3="""",""PF"",),),IF(Projec"&amp;"tions!$Y$3="""",""C"",),),""/"","""")"),"PF")</f>
        <v>PF</v>
      </c>
    </row>
    <row r="114">
      <c r="A114" t="str">
        <f>IF(Projections!$H$3,Draft!L4,"")</f>
        <v/>
      </c>
      <c r="B114">
        <f>IFERROR(__xludf.DUMMYFUNCTION("""COMPUTED_VALUE"""),109.0)</f>
        <v>109</v>
      </c>
      <c r="C114" t="str">
        <f>IFERROR(__xludf.DUMMYFUNCTION("""COMPUTED_VALUE"""),"Tre Jones")</f>
        <v>Tre Jones</v>
      </c>
      <c r="D114">
        <f>IFERROR(__xludf.DUMMYFUNCTION("""COMPUTED_VALUE"""),69.0)</f>
        <v>69</v>
      </c>
      <c r="E114" t="str">
        <f>IFERROR(__xludf.DUMMYFUNCTION("""COMPUTED_VALUE"""),"PG")</f>
        <v>PG</v>
      </c>
      <c r="F114" s="53">
        <f>IFERROR(__xludf.DUMMYFUNCTION("""COMPUTED_VALUE"""),-1.9444019381303639)</f>
        <v>-1.944401938</v>
      </c>
      <c r="G114" s="53">
        <f>IFERROR(__xludf.DUMMYFUNCTION("""COMPUTED_VALUE"""),-0.5285562095018479)</f>
        <v>-0.5285562095</v>
      </c>
      <c r="H114" s="53">
        <f>IFERROR(__xludf.DUMMYFUNCTION("""COMPUTED_VALUE"""),1.415845728628516)</f>
        <v>1.415845729</v>
      </c>
      <c r="I114" s="53">
        <f>IFERROR(__xludf.DUMMYFUNCTION("""COMPUTED_VALUE"""),12.1)</f>
        <v>12.1</v>
      </c>
      <c r="J114" s="53">
        <f>IFERROR(__xludf.DUMMYFUNCTION("""COMPUTED_VALUE"""),0.5)</f>
        <v>0.5</v>
      </c>
      <c r="K114" s="53">
        <f>IFERROR(__xludf.DUMMYFUNCTION("""COMPUTED_VALUE"""),3.8)</f>
        <v>3.8</v>
      </c>
      <c r="L114" s="53">
        <f>IFERROR(__xludf.DUMMYFUNCTION("""COMPUTED_VALUE"""),6.4)</f>
        <v>6.4</v>
      </c>
      <c r="M114" s="53">
        <f>IFERROR(__xludf.DUMMYFUNCTION("""COMPUTED_VALUE"""),1.2)</f>
        <v>1.2</v>
      </c>
      <c r="N114" s="53">
        <f>IFERROR(__xludf.DUMMYFUNCTION("""COMPUTED_VALUE"""),0.2)</f>
        <v>0.2</v>
      </c>
      <c r="O114" s="53">
        <f>IFERROR(__xludf.DUMMYFUNCTION("""COMPUTED_VALUE"""),47.05882352941176)</f>
        <v>47.05882353</v>
      </c>
      <c r="P114" s="53">
        <f>IFERROR(__xludf.DUMMYFUNCTION("""COMPUTED_VALUE"""),84.00000000000001)</f>
        <v>84</v>
      </c>
      <c r="Q114" s="53">
        <f>IFERROR(__xludf.DUMMYFUNCTION("""COMPUTED_VALUE"""),1.5)</f>
        <v>1.5</v>
      </c>
      <c r="R114" s="53">
        <f>IFERROR(__xludf.DUMMYFUNCTION("""COMPUTED_VALUE"""),-0.8690343505158434)</f>
        <v>-0.8690343505</v>
      </c>
      <c r="S114" s="53">
        <f>IFERROR(__xludf.DUMMYFUNCTION("""COMPUTED_VALUE"""),-0.9925734181391757)</f>
        <v>-0.9925734181</v>
      </c>
      <c r="T114" s="53">
        <f>IFERROR(__xludf.DUMMYFUNCTION("""COMPUTED_VALUE"""),-0.959802122760763)</f>
        <v>-0.9598021228</v>
      </c>
      <c r="U114" s="53">
        <f>IFERROR(__xludf.DUMMYFUNCTION("""COMPUTED_VALUE"""),1.3036228906742866)</f>
        <v>1.303622891</v>
      </c>
      <c r="V114" s="53">
        <f>IFERROR(__xludf.DUMMYFUNCTION("""COMPUTED_VALUE"""),0.44772912964166556)</f>
        <v>0.4477291296</v>
      </c>
      <c r="W114" s="53">
        <f>IFERROR(__xludf.DUMMYFUNCTION("""COMPUTED_VALUE"""),-0.6583300762210907)</f>
        <v>-0.6583300762</v>
      </c>
      <c r="X114" s="53">
        <f>IFERROR(__xludf.DUMMYFUNCTION("""COMPUTED_VALUE"""),-0.25874716821539506)</f>
        <v>-0.2587471682</v>
      </c>
      <c r="Y114" s="53">
        <f>IFERROR(__xludf.DUMMYFUNCTION("""COMPUTED_VALUE"""),0.3124300148204282)</f>
        <v>0.3124300148</v>
      </c>
      <c r="Z114" s="53">
        <f>IFERROR(__xludf.DUMMYFUNCTION("""COMPUTED_VALUE"""),0.1535754730748638)</f>
        <v>0.1535754731</v>
      </c>
      <c r="AA114" t="str">
        <f>IFERROR(__xludf.DUMMYFUNCTION("SUBSTITUTE(REGEXREPLACE(REGEXREPLACE(REGEXREPLACE(REGEXREPLACE(REGEXREPLACE(REGEXREPLACE(E114,"","",),IF(Projections!$U$3="""",""PG"",),),IF(Projections!$V$3="""",""SG"",),),IF(Projections!$W$3="""",""SF"",),),IF(Projections!$X$3="""",""PF"",),),IF(Projec"&amp;"tions!$Y$3="""",""C"",),),""/"","""")"),"PG")</f>
        <v>PG</v>
      </c>
    </row>
    <row r="115">
      <c r="A115" t="str">
        <f>IF(Projections!$H$3,Draft!L5,"")</f>
        <v/>
      </c>
      <c r="B115">
        <f>IFERROR(__xludf.DUMMYFUNCTION("""COMPUTED_VALUE"""),122.0)</f>
        <v>122</v>
      </c>
      <c r="C115" t="str">
        <f>IFERROR(__xludf.DUMMYFUNCTION("""COMPUTED_VALUE"""),"Jarred Vanderbilt")</f>
        <v>Jarred Vanderbilt</v>
      </c>
      <c r="D115">
        <f>IFERROR(__xludf.DUMMYFUNCTION("""COMPUTED_VALUE"""),76.0)</f>
        <v>76</v>
      </c>
      <c r="E115" t="str">
        <f>IFERROR(__xludf.DUMMYFUNCTION("""COMPUTED_VALUE"""),"PF")</f>
        <v>PF</v>
      </c>
      <c r="F115" s="53">
        <f>IFERROR(__xludf.DUMMYFUNCTION("""COMPUTED_VALUE"""),-2.340545176727778)</f>
        <v>-2.340545177</v>
      </c>
      <c r="G115" s="53">
        <f>IFERROR(__xludf.DUMMYFUNCTION("""COMPUTED_VALUE"""),-0.5743104966322206)</f>
        <v>-0.5743104966</v>
      </c>
      <c r="H115" s="53">
        <f>IFERROR(__xludf.DUMMYFUNCTION("""COMPUTED_VALUE"""),1.7662346800955573)</f>
        <v>1.76623468</v>
      </c>
      <c r="I115" s="53">
        <f>IFERROR(__xludf.DUMMYFUNCTION("""COMPUTED_VALUE"""),8.0)</f>
        <v>8</v>
      </c>
      <c r="J115" s="53">
        <f>IFERROR(__xludf.DUMMYFUNCTION("""COMPUTED_VALUE"""),0.2)</f>
        <v>0.2</v>
      </c>
      <c r="K115" s="53">
        <f>IFERROR(__xludf.DUMMYFUNCTION("""COMPUTED_VALUE"""),8.6)</f>
        <v>8.6</v>
      </c>
      <c r="L115" s="53">
        <f>IFERROR(__xludf.DUMMYFUNCTION("""COMPUTED_VALUE"""),2.0)</f>
        <v>2</v>
      </c>
      <c r="M115" s="53">
        <f>IFERROR(__xludf.DUMMYFUNCTION("""COMPUTED_VALUE"""),1.3)</f>
        <v>1.3</v>
      </c>
      <c r="N115" s="53">
        <f>IFERROR(__xludf.DUMMYFUNCTION("""COMPUTED_VALUE"""),0.5)</f>
        <v>0.5</v>
      </c>
      <c r="O115" s="53">
        <f>IFERROR(__xludf.DUMMYFUNCTION("""COMPUTED_VALUE"""),56.896551724137936)</f>
        <v>56.89655172</v>
      </c>
      <c r="P115" s="53">
        <f>IFERROR(__xludf.DUMMYFUNCTION("""COMPUTED_VALUE"""),68.42105263157895)</f>
        <v>68.42105263</v>
      </c>
      <c r="Q115" s="53">
        <f>IFERROR(__xludf.DUMMYFUNCTION("""COMPUTED_VALUE"""),1.2)</f>
        <v>1.2</v>
      </c>
      <c r="R115" s="53">
        <f>IFERROR(__xludf.DUMMYFUNCTION("""COMPUTED_VALUE"""),-1.55999249604557)</f>
        <v>-1.559992496</v>
      </c>
      <c r="S115" s="53">
        <f>IFERROR(__xludf.DUMMYFUNCTION("""COMPUTED_VALUE"""),-1.252712054226904)</f>
        <v>-1.252712054</v>
      </c>
      <c r="T115" s="53">
        <f>IFERROR(__xludf.DUMMYFUNCTION("""COMPUTED_VALUE"""),1.0473356303259334)</f>
        <v>1.04733563</v>
      </c>
      <c r="U115" s="53">
        <f>IFERROR(__xludf.DUMMYFUNCTION("""COMPUTED_VALUE"""),-0.9404853718323106)</f>
        <v>-0.9404853718</v>
      </c>
      <c r="V115" s="53">
        <f>IFERROR(__xludf.DUMMYFUNCTION("""COMPUTED_VALUE"""),0.6657790304411786)</f>
        <v>0.6657790304</v>
      </c>
      <c r="W115" s="53">
        <f>IFERROR(__xludf.DUMMYFUNCTION("""COMPUTED_VALUE"""),-0.2643825572058105)</f>
        <v>-0.2643825572</v>
      </c>
      <c r="X115" s="53">
        <f>IFERROR(__xludf.DUMMYFUNCTION("""COMPUTED_VALUE"""),0.42280989161218874)</f>
        <v>0.4228098916</v>
      </c>
      <c r="Y115" s="53">
        <f>IFERROR(__xludf.DUMMYFUNCTION("""COMPUTED_VALUE"""),-0.4993693028155499)</f>
        <v>-0.4993693028</v>
      </c>
      <c r="Z115" s="53">
        <f>IFERROR(__xludf.DUMMYFUNCTION("""COMPUTED_VALUE"""),0.24671423706905354)</f>
        <v>0.2467142371</v>
      </c>
      <c r="AA115" t="str">
        <f>IFERROR(__xludf.DUMMYFUNCTION("SUBSTITUTE(REGEXREPLACE(REGEXREPLACE(REGEXREPLACE(REGEXREPLACE(REGEXREPLACE(REGEXREPLACE(E115,"","",),IF(Projections!$U$3="""",""PG"",),),IF(Projections!$V$3="""",""SG"",),),IF(Projections!$W$3="""",""SF"",),),IF(Projections!$X$3="""",""PF"",),),IF(Projec"&amp;"tions!$Y$3="""",""C"",),),""/"","""")"),"PF")</f>
        <v>PF</v>
      </c>
    </row>
    <row r="116">
      <c r="A116" t="str">
        <f>IF(Projections!$H$3,Draft!L6,"")</f>
        <v/>
      </c>
      <c r="B116">
        <f>IFERROR(__xludf.DUMMYFUNCTION("""COMPUTED_VALUE"""),110.0)</f>
        <v>110</v>
      </c>
      <c r="C116" t="str">
        <f>IFERROR(__xludf.DUMMYFUNCTION("""COMPUTED_VALUE"""),"Bojan Bogdanovic")</f>
        <v>Bojan Bogdanovic</v>
      </c>
      <c r="D116">
        <f>IFERROR(__xludf.DUMMYFUNCTION("""COMPUTED_VALUE"""),68.0)</f>
        <v>68</v>
      </c>
      <c r="E116" t="str">
        <f>IFERROR(__xludf.DUMMYFUNCTION("""COMPUTED_VALUE"""),"SG,SF")</f>
        <v>SG,SF</v>
      </c>
      <c r="F116" s="53">
        <f>IFERROR(__xludf.DUMMYFUNCTION("""COMPUTED_VALUE"""),-2.0596146666988497)</f>
        <v>-2.059614667</v>
      </c>
      <c r="G116" s="53">
        <f>IFERROR(__xludf.DUMMYFUNCTION("""COMPUTED_VALUE"""),-0.5757214561952271)</f>
        <v>-0.5757214562</v>
      </c>
      <c r="H116" s="53">
        <f>IFERROR(__xludf.DUMMYFUNCTION("""COMPUTED_VALUE"""),1.4838932105036227)</f>
        <v>1.483893211</v>
      </c>
      <c r="I116" s="53">
        <f>IFERROR(__xludf.DUMMYFUNCTION("""COMPUTED_VALUE"""),19.9)</f>
        <v>19.9</v>
      </c>
      <c r="J116" s="53">
        <f>IFERROR(__xludf.DUMMYFUNCTION("""COMPUTED_VALUE"""),2.6)</f>
        <v>2.6</v>
      </c>
      <c r="K116" s="53">
        <f>IFERROR(__xludf.DUMMYFUNCTION("""COMPUTED_VALUE"""),4.1)</f>
        <v>4.1</v>
      </c>
      <c r="L116" s="53">
        <f>IFERROR(__xludf.DUMMYFUNCTION("""COMPUTED_VALUE"""),2.1)</f>
        <v>2.1</v>
      </c>
      <c r="M116" s="53">
        <f>IFERROR(__xludf.DUMMYFUNCTION("""COMPUTED_VALUE"""),0.5)</f>
        <v>0.5</v>
      </c>
      <c r="N116" s="53">
        <f>IFERROR(__xludf.DUMMYFUNCTION("""COMPUTED_VALUE"""),0.1)</f>
        <v>0.1</v>
      </c>
      <c r="O116" s="53">
        <f>IFERROR(__xludf.DUMMYFUNCTION("""COMPUTED_VALUE"""),46.85314685314685)</f>
        <v>46.85314685</v>
      </c>
      <c r="P116" s="53">
        <f>IFERROR(__xludf.DUMMYFUNCTION("""COMPUTED_VALUE"""),88.63636363636363)</f>
        <v>88.63636364</v>
      </c>
      <c r="Q116" s="53">
        <f>IFERROR(__xludf.DUMMYFUNCTION("""COMPUTED_VALUE"""),2.0)</f>
        <v>2</v>
      </c>
      <c r="R116" s="53">
        <f>IFERROR(__xludf.DUMMYFUNCTION("""COMPUTED_VALUE"""),0.4454713897602217)</f>
        <v>0.4454713898</v>
      </c>
      <c r="S116" s="53">
        <f>IFERROR(__xludf.DUMMYFUNCTION("""COMPUTED_VALUE"""),0.8283970344749224)</f>
        <v>0.8283970345</v>
      </c>
      <c r="T116" s="53">
        <f>IFERROR(__xludf.DUMMYFUNCTION("""COMPUTED_VALUE"""),-0.8343560131928446)</f>
        <v>-0.8343560132</v>
      </c>
      <c r="U116" s="53">
        <f>IFERROR(__xludf.DUMMYFUNCTION("""COMPUTED_VALUE"""),-0.8894829113207969)</f>
        <v>-0.8894829113</v>
      </c>
      <c r="V116" s="53">
        <f>IFERROR(__xludf.DUMMYFUNCTION("""COMPUTED_VALUE"""),-1.0786201759549239)</f>
        <v>-1.078620176</v>
      </c>
      <c r="W116" s="53">
        <f>IFERROR(__xludf.DUMMYFUNCTION("""COMPUTED_VALUE"""),-0.7896459158928509)</f>
        <v>-0.7896459159</v>
      </c>
      <c r="X116" s="53">
        <f>IFERROR(__xludf.DUMMYFUNCTION("""COMPUTED_VALUE"""),-0.39213176610273137)</f>
        <v>-0.3921317661</v>
      </c>
      <c r="Y116" s="53">
        <f>IFERROR(__xludf.DUMMYFUNCTION("""COMPUTED_VALUE"""),1.0576825263276386)</f>
        <v>1.057682526</v>
      </c>
      <c r="Z116" s="53">
        <f>IFERROR(__xludf.DUMMYFUNCTION("""COMPUTED_VALUE"""),-0.0016558002487857576)</f>
        <v>-0.001655800249</v>
      </c>
      <c r="AA116" t="str">
        <f>IFERROR(__xludf.DUMMYFUNCTION("SUBSTITUTE(REGEXREPLACE(REGEXREPLACE(REGEXREPLACE(REGEXREPLACE(REGEXREPLACE(REGEXREPLACE(E116,"","",),IF(Projections!$U$3="""",""PG"",),),IF(Projections!$V$3="""",""SG"",),),IF(Projections!$W$3="""",""SF"",),),IF(Projections!$X$3="""",""PF"",),),IF(Projec"&amp;"tions!$Y$3="""",""C"",),),""/"","""")"),"SGSF")</f>
        <v>SGSF</v>
      </c>
    </row>
    <row r="117">
      <c r="A117" t="str">
        <f>IF(Projections!$H$3,Draft!L7,"")</f>
        <v/>
      </c>
      <c r="B117">
        <f>IFERROR(__xludf.DUMMYFUNCTION("""COMPUTED_VALUE"""),124.0)</f>
        <v>124</v>
      </c>
      <c r="C117" t="str">
        <f>IFERROR(__xludf.DUMMYFUNCTION("""COMPUTED_VALUE"""),"Delon Wright")</f>
        <v>Delon Wright</v>
      </c>
      <c r="D117">
        <f>IFERROR(__xludf.DUMMYFUNCTION("""COMPUTED_VALUE"""),68.0)</f>
        <v>68</v>
      </c>
      <c r="E117" t="str">
        <f>IFERROR(__xludf.DUMMYFUNCTION("""COMPUTED_VALUE"""),"PG,SG")</f>
        <v>PG,SG</v>
      </c>
      <c r="F117" s="53">
        <f>IFERROR(__xludf.DUMMYFUNCTION("""COMPUTED_VALUE"""),-2.4322287314522715)</f>
        <v>-2.432228731</v>
      </c>
      <c r="G117" s="53">
        <f>IFERROR(__xludf.DUMMYFUNCTION("""COMPUTED_VALUE"""),-0.5902242184750528)</f>
        <v>-0.5902242185</v>
      </c>
      <c r="H117" s="53">
        <f>IFERROR(__xludf.DUMMYFUNCTION("""COMPUTED_VALUE"""),1.8420045129772187)</f>
        <v>1.842004513</v>
      </c>
      <c r="I117" s="53">
        <f>IFERROR(__xludf.DUMMYFUNCTION("""COMPUTED_VALUE"""),6.5)</f>
        <v>6.5</v>
      </c>
      <c r="J117" s="53">
        <f>IFERROR(__xludf.DUMMYFUNCTION("""COMPUTED_VALUE"""),0.8)</f>
        <v>0.8</v>
      </c>
      <c r="K117" s="53">
        <f>IFERROR(__xludf.DUMMYFUNCTION("""COMPUTED_VALUE"""),3.6)</f>
        <v>3.6</v>
      </c>
      <c r="L117" s="53">
        <f>IFERROR(__xludf.DUMMYFUNCTION("""COMPUTED_VALUE"""),3.5)</f>
        <v>3.5</v>
      </c>
      <c r="M117" s="53">
        <f>IFERROR(__xludf.DUMMYFUNCTION("""COMPUTED_VALUE"""),1.6)</f>
        <v>1.6</v>
      </c>
      <c r="N117" s="53">
        <f>IFERROR(__xludf.DUMMYFUNCTION("""COMPUTED_VALUE"""),0.3)</f>
        <v>0.3</v>
      </c>
      <c r="O117" s="53">
        <f>IFERROR(__xludf.DUMMYFUNCTION("""COMPUTED_VALUE"""),47.05882352941176)</f>
        <v>47.05882353</v>
      </c>
      <c r="P117" s="53">
        <f>IFERROR(__xludf.DUMMYFUNCTION("""COMPUTED_VALUE"""),90.9090909090909)</f>
        <v>90.90909091</v>
      </c>
      <c r="Q117" s="53">
        <f>IFERROR(__xludf.DUMMYFUNCTION("""COMPUTED_VALUE"""),0.8)</f>
        <v>0.8</v>
      </c>
      <c r="R117" s="53">
        <f>IFERROR(__xludf.DUMMYFUNCTION("""COMPUTED_VALUE"""),-1.8127820614832748)</f>
        <v>-1.812782061</v>
      </c>
      <c r="S117" s="53">
        <f>IFERROR(__xludf.DUMMYFUNCTION("""COMPUTED_VALUE"""),-0.7324347820514473)</f>
        <v>-0.7324347821</v>
      </c>
      <c r="T117" s="53">
        <f>IFERROR(__xludf.DUMMYFUNCTION("""COMPUTED_VALUE"""),-1.0434328624727087)</f>
        <v>-1.043432862</v>
      </c>
      <c r="U117" s="53">
        <f>IFERROR(__xludf.DUMMYFUNCTION("""COMPUTED_VALUE"""),-0.17544846415960708)</f>
        <v>-0.1754484642</v>
      </c>
      <c r="V117" s="53">
        <f>IFERROR(__xludf.DUMMYFUNCTION("""COMPUTED_VALUE"""),1.319928732839717)</f>
        <v>1.319928733</v>
      </c>
      <c r="W117" s="53">
        <f>IFERROR(__xludf.DUMMYFUNCTION("""COMPUTED_VALUE"""),-0.5270142365493308)</f>
        <v>-0.5270142365</v>
      </c>
      <c r="X117" s="53">
        <f>IFERROR(__xludf.DUMMYFUNCTION("""COMPUTED_VALUE"""),-0.12937358410769753)</f>
        <v>-0.1293735841</v>
      </c>
      <c r="Y117" s="53">
        <f>IFERROR(__xludf.DUMMYFUNCTION("""COMPUTED_VALUE"""),0.32665172229804795)</f>
        <v>0.3266517223</v>
      </c>
      <c r="Z117" s="53">
        <f>IFERROR(__xludf.DUMMYFUNCTION("""COMPUTED_VALUE"""),0.37089925572797316)</f>
        <v>0.3708992557</v>
      </c>
      <c r="AA117" t="str">
        <f>IFERROR(__xludf.DUMMYFUNCTION("SUBSTITUTE(REGEXREPLACE(REGEXREPLACE(REGEXREPLACE(REGEXREPLACE(REGEXREPLACE(REGEXREPLACE(E117,"","",),IF(Projections!$U$3="""",""PG"",),),IF(Projections!$V$3="""",""SG"",),),IF(Projections!$W$3="""",""SF"",),),IF(Projections!$X$3="""",""PF"",),),IF(Projec"&amp;"tions!$Y$3="""",""C"",),),""/"","""")"),"PGSG")</f>
        <v>PGSG</v>
      </c>
    </row>
    <row r="118">
      <c r="A118" t="str">
        <f>IF(Projections!$H$3,Draft!L8,"")</f>
        <v/>
      </c>
      <c r="B118">
        <f>IFERROR(__xludf.DUMMYFUNCTION("""COMPUTED_VALUE"""),111.0)</f>
        <v>111</v>
      </c>
      <c r="C118" t="str">
        <f>IFERROR(__xludf.DUMMYFUNCTION("""COMPUTED_VALUE"""),"Jabari Smith Jr.")</f>
        <v>Jabari Smith Jr.</v>
      </c>
      <c r="D118">
        <f>IFERROR(__xludf.DUMMYFUNCTION("""COMPUTED_VALUE"""),79.0)</f>
        <v>79</v>
      </c>
      <c r="E118" t="str">
        <f>IFERROR(__xludf.DUMMYFUNCTION("""COMPUTED_VALUE"""),"PF,C")</f>
        <v>PF,C</v>
      </c>
      <c r="F118" s="53">
        <f>IFERROR(__xludf.DUMMYFUNCTION("""COMPUTED_VALUE"""),-2.0949173565157095)</f>
        <v>-2.094917357</v>
      </c>
      <c r="G118" s="53">
        <f>IFERROR(__xludf.DUMMYFUNCTION("""COMPUTED_VALUE"""),-0.5933702600240438)</f>
        <v>-0.59337026</v>
      </c>
      <c r="H118" s="53">
        <f>IFERROR(__xludf.DUMMYFUNCTION("""COMPUTED_VALUE"""),1.5015470964916657)</f>
        <v>1.501547096</v>
      </c>
      <c r="I118" s="53">
        <f>IFERROR(__xludf.DUMMYFUNCTION("""COMPUTED_VALUE"""),14.8)</f>
        <v>14.8</v>
      </c>
      <c r="J118" s="53">
        <f>IFERROR(__xludf.DUMMYFUNCTION("""COMPUTED_VALUE"""),1.7)</f>
        <v>1.7</v>
      </c>
      <c r="K118" s="53">
        <f>IFERROR(__xludf.DUMMYFUNCTION("""COMPUTED_VALUE"""),8.0)</f>
        <v>8</v>
      </c>
      <c r="L118" s="53">
        <f>IFERROR(__xludf.DUMMYFUNCTION("""COMPUTED_VALUE"""),1.4)</f>
        <v>1.4</v>
      </c>
      <c r="M118" s="53">
        <f>IFERROR(__xludf.DUMMYFUNCTION("""COMPUTED_VALUE"""),0.6)</f>
        <v>0.6</v>
      </c>
      <c r="N118" s="53">
        <f>IFERROR(__xludf.DUMMYFUNCTION("""COMPUTED_VALUE"""),1.2)</f>
        <v>1.2</v>
      </c>
      <c r="O118" s="53">
        <f>IFERROR(__xludf.DUMMYFUNCTION("""COMPUTED_VALUE"""),43.2)</f>
        <v>43.2</v>
      </c>
      <c r="P118" s="53">
        <f>IFERROR(__xludf.DUMMYFUNCTION("""COMPUTED_VALUE"""),76.66666666666666)</f>
        <v>76.66666667</v>
      </c>
      <c r="Q118" s="53">
        <f>IFERROR(__xludf.DUMMYFUNCTION("""COMPUTED_VALUE"""),1.5)</f>
        <v>1.5</v>
      </c>
      <c r="R118" s="53">
        <f>IFERROR(__xludf.DUMMYFUNCTION("""COMPUTED_VALUE"""),-0.41401313272797446)</f>
        <v>-0.4140131327</v>
      </c>
      <c r="S118" s="53">
        <f>IFERROR(__xludf.DUMMYFUNCTION("""COMPUTED_VALUE"""),0.047981126211737425)</f>
        <v>0.04798112621</v>
      </c>
      <c r="T118" s="53">
        <f>IFERROR(__xludf.DUMMYFUNCTION("""COMPUTED_VALUE"""),0.7964434111900963)</f>
        <v>0.7964434112</v>
      </c>
      <c r="U118" s="53">
        <f>IFERROR(__xludf.DUMMYFUNCTION("""COMPUTED_VALUE"""),-1.246500134901392)</f>
        <v>-1.246500135</v>
      </c>
      <c r="V118" s="53">
        <f>IFERROR(__xludf.DUMMYFUNCTION("""COMPUTED_VALUE"""),-0.860570275155411)</f>
        <v>-0.8605702752</v>
      </c>
      <c r="W118" s="53">
        <f>IFERROR(__xludf.DUMMYFUNCTION("""COMPUTED_VALUE"""),0.6548283204965102)</f>
        <v>0.6548283205</v>
      </c>
      <c r="X118" s="53">
        <f>IFERROR(__xludf.DUMMYFUNCTION("""COMPUTED_VALUE"""),-0.7988976025963637)</f>
        <v>-0.7988976026</v>
      </c>
      <c r="Y118" s="53">
        <f>IFERROR(__xludf.DUMMYFUNCTION("""COMPUTED_VALUE"""),-0.1727175805175024)</f>
        <v>-0.1727175805</v>
      </c>
      <c r="Z118" s="53">
        <f>IFERROR(__xludf.DUMMYFUNCTION("""COMPUTED_VALUE"""),0.1535754730748638)</f>
        <v>0.1535754731</v>
      </c>
      <c r="AA118" t="str">
        <f>IFERROR(__xludf.DUMMYFUNCTION("SUBSTITUTE(REGEXREPLACE(REGEXREPLACE(REGEXREPLACE(REGEXREPLACE(REGEXREPLACE(REGEXREPLACE(E118,"","",),IF(Projections!$U$3="""",""PG"",),),IF(Projections!$V$3="""",""SG"",),),IF(Projections!$W$3="""",""SF"",),),IF(Projections!$X$3="""",""PF"",),),IF(Projec"&amp;"tions!$Y$3="""",""C"",),),""/"","""")"),"PFC")</f>
        <v>PFC</v>
      </c>
    </row>
    <row r="119">
      <c r="A119" t="str">
        <f>IF(Projections!$H$3,Draft!L9,"")</f>
        <v/>
      </c>
      <c r="B119">
        <f>IFERROR(__xludf.DUMMYFUNCTION("""COMPUTED_VALUE"""),129.0)</f>
        <v>129</v>
      </c>
      <c r="C119" t="str">
        <f>IFERROR(__xludf.DUMMYFUNCTION("""COMPUTED_VALUE"""),"Robert Williams III")</f>
        <v>Robert Williams III</v>
      </c>
      <c r="D119">
        <f>IFERROR(__xludf.DUMMYFUNCTION("""COMPUTED_VALUE"""),61.0)</f>
        <v>61</v>
      </c>
      <c r="E119" t="str">
        <f>IFERROR(__xludf.DUMMYFUNCTION("""COMPUTED_VALUE"""),"C")</f>
        <v>C</v>
      </c>
      <c r="F119" s="53">
        <f>IFERROR(__xludf.DUMMYFUNCTION("""COMPUTED_VALUE"""),-2.606324538965447)</f>
        <v>-2.606324539</v>
      </c>
      <c r="G119" s="53">
        <f>IFERROR(__xludf.DUMMYFUNCTION("""COMPUTED_VALUE"""),-0.5995398136578662)</f>
        <v>-0.5995398137</v>
      </c>
      <c r="H119" s="53">
        <f>IFERROR(__xludf.DUMMYFUNCTION("""COMPUTED_VALUE"""),2.006784725307581)</f>
        <v>2.006784725</v>
      </c>
      <c r="I119" s="53">
        <f>IFERROR(__xludf.DUMMYFUNCTION("""COMPUTED_VALUE"""),7.6)</f>
        <v>7.6</v>
      </c>
      <c r="J119" s="53">
        <f>IFERROR(__xludf.DUMMYFUNCTION("""COMPUTED_VALUE"""),0.0)</f>
        <v>0</v>
      </c>
      <c r="K119" s="53">
        <f>IFERROR(__xludf.DUMMYFUNCTION("""COMPUTED_VALUE"""),7.7)</f>
        <v>7.7</v>
      </c>
      <c r="L119" s="53">
        <f>IFERROR(__xludf.DUMMYFUNCTION("""COMPUTED_VALUE"""),2.1)</f>
        <v>2.1</v>
      </c>
      <c r="M119" s="53">
        <f>IFERROR(__xludf.DUMMYFUNCTION("""COMPUTED_VALUE"""),0.6)</f>
        <v>0.6</v>
      </c>
      <c r="N119" s="53">
        <f>IFERROR(__xludf.DUMMYFUNCTION("""COMPUTED_VALUE"""),1.4)</f>
        <v>1.4</v>
      </c>
      <c r="O119" s="53">
        <f>IFERROR(__xludf.DUMMYFUNCTION("""COMPUTED_VALUE"""),71.42857142857142)</f>
        <v>71.42857143</v>
      </c>
      <c r="P119" s="53">
        <f>IFERROR(__xludf.DUMMYFUNCTION("""COMPUTED_VALUE"""),63.636363636363626)</f>
        <v>63.63636364</v>
      </c>
      <c r="Q119" s="53">
        <f>IFERROR(__xludf.DUMMYFUNCTION("""COMPUTED_VALUE"""),0.9)</f>
        <v>0.9</v>
      </c>
      <c r="R119" s="53">
        <f>IFERROR(__xludf.DUMMYFUNCTION("""COMPUTED_VALUE"""),-1.627403046828958)</f>
        <v>-1.627403047</v>
      </c>
      <c r="S119" s="53">
        <f>IFERROR(__xludf.DUMMYFUNCTION("""COMPUTED_VALUE"""),-1.4261378116187227)</f>
        <v>-1.426137812</v>
      </c>
      <c r="T119" s="53">
        <f>IFERROR(__xludf.DUMMYFUNCTION("""COMPUTED_VALUE"""),0.6709973016221779)</f>
        <v>0.6709973016</v>
      </c>
      <c r="U119" s="53">
        <f>IFERROR(__xludf.DUMMYFUNCTION("""COMPUTED_VALUE"""),-0.8894829113207969)</f>
        <v>-0.8894829113</v>
      </c>
      <c r="V119" s="53">
        <f>IFERROR(__xludf.DUMMYFUNCTION("""COMPUTED_VALUE"""),-0.860570275155411)</f>
        <v>-0.8605702752</v>
      </c>
      <c r="W119" s="53">
        <f>IFERROR(__xludf.DUMMYFUNCTION("""COMPUTED_VALUE"""),0.9174599998400302)</f>
        <v>0.9174599998</v>
      </c>
      <c r="X119" s="53">
        <f>IFERROR(__xludf.DUMMYFUNCTION("""COMPUTED_VALUE"""),1.0684622482072228)</f>
        <v>1.068462248</v>
      </c>
      <c r="Y119" s="53">
        <f>IFERROR(__xludf.DUMMYFUNCTION("""COMPUTED_VALUE"""),-0.4201213662956096)</f>
        <v>-0.4201213663</v>
      </c>
      <c r="Z119" s="53">
        <f>IFERROR(__xludf.DUMMYFUNCTION("""COMPUTED_VALUE"""),0.33985300106324323)</f>
        <v>0.3398530011</v>
      </c>
      <c r="AA119" t="str">
        <f>IFERROR(__xludf.DUMMYFUNCTION("SUBSTITUTE(REGEXREPLACE(REGEXREPLACE(REGEXREPLACE(REGEXREPLACE(REGEXREPLACE(REGEXREPLACE(E119,"","",),IF(Projections!$U$3="""",""PG"",),),IF(Projections!$V$3="""",""SG"",),),IF(Projections!$W$3="""",""SF"",),),IF(Projections!$X$3="""",""PF"",),),IF(Projec"&amp;"tions!$Y$3="""",""C"",),),""/"","""")"),"C")</f>
        <v>C</v>
      </c>
    </row>
    <row r="120">
      <c r="A120" t="str">
        <f>IF(Projections!$H$3,Draft!L10,"")</f>
        <v/>
      </c>
      <c r="B120">
        <f>IFERROR(__xludf.DUMMYFUNCTION("""COMPUTED_VALUE"""),106.0)</f>
        <v>106</v>
      </c>
      <c r="C120" t="str">
        <f>IFERROR(__xludf.DUMMYFUNCTION("""COMPUTED_VALUE"""),"Jusuf Nurkic")</f>
        <v>Jusuf Nurkic</v>
      </c>
      <c r="D120">
        <f>IFERROR(__xludf.DUMMYFUNCTION("""COMPUTED_VALUE"""),54.0)</f>
        <v>54</v>
      </c>
      <c r="E120" t="str">
        <f>IFERROR(__xludf.DUMMYFUNCTION("""COMPUTED_VALUE"""),"C")</f>
        <v>C</v>
      </c>
      <c r="F120" s="53">
        <f>IFERROR(__xludf.DUMMYFUNCTION("""COMPUTED_VALUE"""),-1.8728591604980012)</f>
        <v>-1.87285916</v>
      </c>
      <c r="G120" s="53">
        <f>IFERROR(__xludf.DUMMYFUNCTION("""COMPUTED_VALUE"""),-0.6330837873749039)</f>
        <v>-0.6330837874</v>
      </c>
      <c r="H120" s="53">
        <f>IFERROR(__xludf.DUMMYFUNCTION("""COMPUTED_VALUE"""),1.2397753731230972)</f>
        <v>1.239775373</v>
      </c>
      <c r="I120" s="53">
        <f>IFERROR(__xludf.DUMMYFUNCTION("""COMPUTED_VALUE"""),13.2)</f>
        <v>13.2</v>
      </c>
      <c r="J120" s="53">
        <f>IFERROR(__xludf.DUMMYFUNCTION("""COMPUTED_VALUE"""),0.6)</f>
        <v>0.6</v>
      </c>
      <c r="K120" s="53">
        <f>IFERROR(__xludf.DUMMYFUNCTION("""COMPUTED_VALUE"""),9.1)</f>
        <v>9.1</v>
      </c>
      <c r="L120" s="53">
        <f>IFERROR(__xludf.DUMMYFUNCTION("""COMPUTED_VALUE"""),2.5)</f>
        <v>2.5</v>
      </c>
      <c r="M120" s="53">
        <f>IFERROR(__xludf.DUMMYFUNCTION("""COMPUTED_VALUE"""),0.8)</f>
        <v>0.8</v>
      </c>
      <c r="N120" s="53">
        <f>IFERROR(__xludf.DUMMYFUNCTION("""COMPUTED_VALUE"""),0.9)</f>
        <v>0.9</v>
      </c>
      <c r="O120" s="53">
        <f>IFERROR(__xludf.DUMMYFUNCTION("""COMPUTED_VALUE"""),54.25531914893617)</f>
        <v>54.25531915</v>
      </c>
      <c r="P120" s="53">
        <f>IFERROR(__xludf.DUMMYFUNCTION("""COMPUTED_VALUE"""),69.44444444444444)</f>
        <v>69.44444444</v>
      </c>
      <c r="Q120" s="53">
        <f>IFERROR(__xludf.DUMMYFUNCTION("""COMPUTED_VALUE"""),1.8)</f>
        <v>1.8</v>
      </c>
      <c r="R120" s="53">
        <f>IFERROR(__xludf.DUMMYFUNCTION("""COMPUTED_VALUE"""),-0.6836553358615266)</f>
        <v>-0.6836553359</v>
      </c>
      <c r="S120" s="53">
        <f>IFERROR(__xludf.DUMMYFUNCTION("""COMPUTED_VALUE"""),-0.9058605394432663)</f>
        <v>-0.9058605394</v>
      </c>
      <c r="T120" s="53">
        <f>IFERROR(__xludf.DUMMYFUNCTION("""COMPUTED_VALUE"""),1.2564124796057974)</f>
        <v>1.25641248</v>
      </c>
      <c r="U120" s="53">
        <f>IFERROR(__xludf.DUMMYFUNCTION("""COMPUTED_VALUE"""),-0.6854730692747427)</f>
        <v>-0.6854730693</v>
      </c>
      <c r="V120" s="53">
        <f>IFERROR(__xludf.DUMMYFUNCTION("""COMPUTED_VALUE"""),-0.42447047355638534)</f>
        <v>-0.4244704736</v>
      </c>
      <c r="W120" s="53">
        <f>IFERROR(__xludf.DUMMYFUNCTION("""COMPUTED_VALUE"""),0.2608808014812299)</f>
        <v>0.2608808015</v>
      </c>
      <c r="X120" s="53">
        <f>IFERROR(__xludf.DUMMYFUNCTION("""COMPUTED_VALUE"""),0.4372495412188882)</f>
        <v>0.4372495412</v>
      </c>
      <c r="Y120" s="53">
        <f>IFERROR(__xludf.DUMMYFUNCTION("""COMPUTED_VALUE"""),-0.8544644400688388)</f>
        <v>-0.8544644401</v>
      </c>
      <c r="Z120" s="53">
        <f>IFERROR(__xludf.DUMMYFUNCTION("""COMPUTED_VALUE"""),0.06043670908067405)</f>
        <v>0.06043670908</v>
      </c>
      <c r="AA120" t="str">
        <f>IFERROR(__xludf.DUMMYFUNCTION("SUBSTITUTE(REGEXREPLACE(REGEXREPLACE(REGEXREPLACE(REGEXREPLACE(REGEXREPLACE(REGEXREPLACE(E120,"","",),IF(Projections!$U$3="""",""PG"",),),IF(Projections!$V$3="""",""SG"",),),IF(Projections!$W$3="""",""SF"",),),IF(Projections!$X$3="""",""PF"",),),IF(Projec"&amp;"tions!$Y$3="""",""C"",),),""/"","""")"),"C")</f>
        <v>C</v>
      </c>
    </row>
    <row r="121">
      <c r="A121" t="str">
        <f>IF(Projections!$H$3,Draft!L11,"")</f>
        <v/>
      </c>
      <c r="B121">
        <f>IFERROR(__xludf.DUMMYFUNCTION("""COMPUTED_VALUE"""),115.0)</f>
        <v>115</v>
      </c>
      <c r="C121" t="str">
        <f>IFERROR(__xludf.DUMMYFUNCTION("""COMPUTED_VALUE"""),"Andrew Wiggins")</f>
        <v>Andrew Wiggins</v>
      </c>
      <c r="D121">
        <f>IFERROR(__xludf.DUMMYFUNCTION("""COMPUTED_VALUE"""),69.0)</f>
        <v>69</v>
      </c>
      <c r="E121" t="str">
        <f>IFERROR(__xludf.DUMMYFUNCTION("""COMPUTED_VALUE"""),"SF,PF")</f>
        <v>SF,PF</v>
      </c>
      <c r="F121" s="53">
        <f>IFERROR(__xludf.DUMMYFUNCTION("""COMPUTED_VALUE"""),-2.1483555889312784)</f>
        <v>-2.148355589</v>
      </c>
      <c r="G121" s="53">
        <f>IFERROR(__xludf.DUMMYFUNCTION("""COMPUTED_VALUE"""),-0.6632908825646251)</f>
        <v>-0.6632908826</v>
      </c>
      <c r="H121" s="53">
        <f>IFERROR(__xludf.DUMMYFUNCTION("""COMPUTED_VALUE"""),1.4850647063666533)</f>
        <v>1.485064706</v>
      </c>
      <c r="I121" s="53">
        <f>IFERROR(__xludf.DUMMYFUNCTION("""COMPUTED_VALUE"""),17.6)</f>
        <v>17.6</v>
      </c>
      <c r="J121" s="53">
        <f>IFERROR(__xludf.DUMMYFUNCTION("""COMPUTED_VALUE"""),2.3)</f>
        <v>2.3</v>
      </c>
      <c r="K121" s="53">
        <f>IFERROR(__xludf.DUMMYFUNCTION("""COMPUTED_VALUE"""),4.8)</f>
        <v>4.8</v>
      </c>
      <c r="L121" s="53">
        <f>IFERROR(__xludf.DUMMYFUNCTION("""COMPUTED_VALUE"""),2.3)</f>
        <v>2.3</v>
      </c>
      <c r="M121" s="53">
        <f>IFERROR(__xludf.DUMMYFUNCTION("""COMPUTED_VALUE"""),1.1)</f>
        <v>1.1</v>
      </c>
      <c r="N121" s="53">
        <f>IFERROR(__xludf.DUMMYFUNCTION("""COMPUTED_VALUE"""),0.7)</f>
        <v>0.7</v>
      </c>
      <c r="O121" s="53">
        <f>IFERROR(__xludf.DUMMYFUNCTION("""COMPUTED_VALUE"""),47.22222222222222)</f>
        <v>47.22222222</v>
      </c>
      <c r="P121" s="53">
        <f>IFERROR(__xludf.DUMMYFUNCTION("""COMPUTED_VALUE"""),62.06896551724138)</f>
        <v>62.06896552</v>
      </c>
      <c r="Q121" s="53">
        <f>IFERROR(__xludf.DUMMYFUNCTION("""COMPUTED_VALUE"""),1.5)</f>
        <v>1.5</v>
      </c>
      <c r="R121" s="53">
        <f>IFERROR(__xludf.DUMMYFUNCTION("""COMPUTED_VALUE"""),0.0578607227557414)</f>
        <v>0.05786072276</v>
      </c>
      <c r="S121" s="53">
        <f>IFERROR(__xludf.DUMMYFUNCTION("""COMPUTED_VALUE"""),0.5682583983871938)</f>
        <v>0.5682583984</v>
      </c>
      <c r="T121" s="53">
        <f>IFERROR(__xludf.DUMMYFUNCTION("""COMPUTED_VALUE"""),-0.5416484242010347)</f>
        <v>-0.5416484242</v>
      </c>
      <c r="U121" s="53">
        <f>IFERROR(__xludf.DUMMYFUNCTION("""COMPUTED_VALUE"""),-0.78747799029777)</f>
        <v>-0.7874779903</v>
      </c>
      <c r="V121" s="53">
        <f>IFERROR(__xludf.DUMMYFUNCTION("""COMPUTED_VALUE"""),0.22967922884215308)</f>
        <v>0.2296792288</v>
      </c>
      <c r="W121" s="53">
        <f>IFERROR(__xludf.DUMMYFUNCTION("""COMPUTED_VALUE"""),-0.0017508778622903794)</f>
        <v>-0.001750877862</v>
      </c>
      <c r="X121" s="53">
        <f>IFERROR(__xludf.DUMMYFUNCTION("""COMPUTED_VALUE"""),-0.3417874132634824)</f>
        <v>-0.3417874133</v>
      </c>
      <c r="Y121" s="53">
        <f>IFERROR(__xludf.DUMMYFUNCTION("""COMPUTED_VALUE"""),-1.2207401306268568)</f>
        <v>-1.220740131</v>
      </c>
      <c r="Z121" s="53">
        <f>IFERROR(__xludf.DUMMYFUNCTION("""COMPUTED_VALUE"""),0.1535754730748638)</f>
        <v>0.1535754731</v>
      </c>
      <c r="AA121" t="str">
        <f>IFERROR(__xludf.DUMMYFUNCTION("SUBSTITUTE(REGEXREPLACE(REGEXREPLACE(REGEXREPLACE(REGEXREPLACE(REGEXREPLACE(REGEXREPLACE(E121,"","",),IF(Projections!$U$3="""",""PG"",),),IF(Projections!$V$3="""",""SG"",),),IF(Projections!$W$3="""",""SF"",),),IF(Projections!$X$3="""",""PF"",),),IF(Projec"&amp;"tions!$Y$3="""",""C"",),),""/"","""")"),"SFPF")</f>
        <v>SFPF</v>
      </c>
    </row>
    <row r="122">
      <c r="A122" t="str">
        <f>IF(Projections!$H$3,Draft!L12,"")</f>
        <v/>
      </c>
      <c r="B122">
        <f>IFERROR(__xludf.DUMMYFUNCTION("""COMPUTED_VALUE"""),128.0)</f>
        <v>128</v>
      </c>
      <c r="C122" t="str">
        <f>IFERROR(__xludf.DUMMYFUNCTION("""COMPUTED_VALUE"""),"Ivica Zubac")</f>
        <v>Ivica Zubac</v>
      </c>
      <c r="D122">
        <f>IFERROR(__xludf.DUMMYFUNCTION("""COMPUTED_VALUE"""),76.0)</f>
        <v>76</v>
      </c>
      <c r="E122" t="str">
        <f>IFERROR(__xludf.DUMMYFUNCTION("""COMPUTED_VALUE"""),"C")</f>
        <v>C</v>
      </c>
      <c r="F122" s="53">
        <f>IFERROR(__xludf.DUMMYFUNCTION("""COMPUTED_VALUE"""),-2.530785807499588)</f>
        <v>-2.530785807</v>
      </c>
      <c r="G122" s="53">
        <f>IFERROR(__xludf.DUMMYFUNCTION("""COMPUTED_VALUE"""),-0.7168792868660581)</f>
        <v>-0.7168792869</v>
      </c>
      <c r="H122" s="53">
        <f>IFERROR(__xludf.DUMMYFUNCTION("""COMPUTED_VALUE"""),1.8139065206335299)</f>
        <v>1.813906521</v>
      </c>
      <c r="I122" s="53">
        <f>IFERROR(__xludf.DUMMYFUNCTION("""COMPUTED_VALUE"""),11.1)</f>
        <v>11.1</v>
      </c>
      <c r="J122" s="53">
        <f>IFERROR(__xludf.DUMMYFUNCTION("""COMPUTED_VALUE"""),0.0)</f>
        <v>0</v>
      </c>
      <c r="K122" s="53">
        <f>IFERROR(__xludf.DUMMYFUNCTION("""COMPUTED_VALUE"""),9.7)</f>
        <v>9.7</v>
      </c>
      <c r="L122" s="53">
        <f>IFERROR(__xludf.DUMMYFUNCTION("""COMPUTED_VALUE"""),1.4)</f>
        <v>1.4</v>
      </c>
      <c r="M122" s="53">
        <f>IFERROR(__xludf.DUMMYFUNCTION("""COMPUTED_VALUE"""),0.5)</f>
        <v>0.5</v>
      </c>
      <c r="N122" s="53">
        <f>IFERROR(__xludf.DUMMYFUNCTION("""COMPUTED_VALUE"""),1.2)</f>
        <v>1.2</v>
      </c>
      <c r="O122" s="53">
        <f>IFERROR(__xludf.DUMMYFUNCTION("""COMPUTED_VALUE"""),62.85714285714287)</f>
        <v>62.85714286</v>
      </c>
      <c r="P122" s="53">
        <f>IFERROR(__xludf.DUMMYFUNCTION("""COMPUTED_VALUE"""),71.87499999999999)</f>
        <v>71.875</v>
      </c>
      <c r="Q122" s="53">
        <f>IFERROR(__xludf.DUMMYFUNCTION("""COMPUTED_VALUE"""),1.6)</f>
        <v>1.6</v>
      </c>
      <c r="R122" s="53">
        <f>IFERROR(__xludf.DUMMYFUNCTION("""COMPUTED_VALUE"""),-1.0375607274743133)</f>
        <v>-1.037560727</v>
      </c>
      <c r="S122" s="53">
        <f>IFERROR(__xludf.DUMMYFUNCTION("""COMPUTED_VALUE"""),-1.4261378116187227)</f>
        <v>-1.426137812</v>
      </c>
      <c r="T122" s="53">
        <f>IFERROR(__xludf.DUMMYFUNCTION("""COMPUTED_VALUE"""),1.5073046987416343)</f>
        <v>1.507304699</v>
      </c>
      <c r="U122" s="53">
        <f>IFERROR(__xludf.DUMMYFUNCTION("""COMPUTED_VALUE"""),-1.246500134901392)</f>
        <v>-1.246500135</v>
      </c>
      <c r="V122" s="53">
        <f>IFERROR(__xludf.DUMMYFUNCTION("""COMPUTED_VALUE"""),-1.0786201759549239)</f>
        <v>-1.078620176</v>
      </c>
      <c r="W122" s="53">
        <f>IFERROR(__xludf.DUMMYFUNCTION("""COMPUTED_VALUE"""),0.6548283204965102)</f>
        <v>0.6548283205</v>
      </c>
      <c r="X122" s="53">
        <f>IFERROR(__xludf.DUMMYFUNCTION("""COMPUTED_VALUE"""),0.9270556227606093)</f>
        <v>0.9270556228</v>
      </c>
      <c r="Y122" s="53">
        <f>IFERROR(__xludf.DUMMYFUNCTION("""COMPUTED_VALUE"""),-0.5659161089443167)</f>
        <v>-0.5659161089</v>
      </c>
      <c r="Z122" s="53">
        <f>IFERROR(__xludf.DUMMYFUNCTION("""COMPUTED_VALUE"""),0.12252921841013387)</f>
        <v>0.1225292184</v>
      </c>
      <c r="AA122" t="str">
        <f>IFERROR(__xludf.DUMMYFUNCTION("SUBSTITUTE(REGEXREPLACE(REGEXREPLACE(REGEXREPLACE(REGEXREPLACE(REGEXREPLACE(REGEXREPLACE(E122,"","",),IF(Projections!$U$3="""",""PG"",),),IF(Projections!$V$3="""",""SG"",),),IF(Projections!$W$3="""",""SF"",),),IF(Projections!$X$3="""",""PF"",),),IF(Projec"&amp;"tions!$Y$3="""",""C"",),),""/"","""")"),"C")</f>
        <v>C</v>
      </c>
    </row>
    <row r="123">
      <c r="A123" t="str">
        <f>IF(Projections!$H$3,Draft!L13,"")</f>
        <v/>
      </c>
      <c r="B123">
        <f>IFERROR(__xludf.DUMMYFUNCTION("""COMPUTED_VALUE"""),125.0)</f>
        <v>125</v>
      </c>
      <c r="C123" t="str">
        <f>IFERROR(__xludf.DUMMYFUNCTION("""COMPUTED_VALUE"""),"Jalen Duren")</f>
        <v>Jalen Duren</v>
      </c>
      <c r="D123">
        <f>IFERROR(__xludf.DUMMYFUNCTION("""COMPUTED_VALUE"""),70.0)</f>
        <v>70</v>
      </c>
      <c r="E123" t="str">
        <f>IFERROR(__xludf.DUMMYFUNCTION("""COMPUTED_VALUE"""),"C")</f>
        <v>C</v>
      </c>
      <c r="F123" s="53">
        <f>IFERROR(__xludf.DUMMYFUNCTION("""COMPUTED_VALUE"""),-2.432608197163069)</f>
        <v>-2.432608197</v>
      </c>
      <c r="G123" s="53">
        <f>IFERROR(__xludf.DUMMYFUNCTION("""COMPUTED_VALUE"""),-0.7248289482442591)</f>
        <v>-0.7248289482</v>
      </c>
      <c r="H123" s="53">
        <f>IFERROR(__xludf.DUMMYFUNCTION("""COMPUTED_VALUE"""),1.70777924891881)</f>
        <v>1.707779249</v>
      </c>
      <c r="I123" s="53">
        <f>IFERROR(__xludf.DUMMYFUNCTION("""COMPUTED_VALUE"""),10.4)</f>
        <v>10.4</v>
      </c>
      <c r="J123" s="53">
        <f>IFERROR(__xludf.DUMMYFUNCTION("""COMPUTED_VALUE"""),0.0)</f>
        <v>0</v>
      </c>
      <c r="K123" s="53">
        <f>IFERROR(__xludf.DUMMYFUNCTION("""COMPUTED_VALUE"""),10.1)</f>
        <v>10.1</v>
      </c>
      <c r="L123" s="53">
        <f>IFERROR(__xludf.DUMMYFUNCTION("""COMPUTED_VALUE"""),1.3)</f>
        <v>1.3</v>
      </c>
      <c r="M123" s="53">
        <f>IFERROR(__xludf.DUMMYFUNCTION("""COMPUTED_VALUE"""),0.8)</f>
        <v>0.8</v>
      </c>
      <c r="N123" s="53">
        <f>IFERROR(__xludf.DUMMYFUNCTION("""COMPUTED_VALUE"""),1.2)</f>
        <v>1.2</v>
      </c>
      <c r="O123" s="53">
        <f>IFERROR(__xludf.DUMMYFUNCTION("""COMPUTED_VALUE"""),64.70588235294117)</f>
        <v>64.70588235</v>
      </c>
      <c r="P123" s="53">
        <f>IFERROR(__xludf.DUMMYFUNCTION("""COMPUTED_VALUE"""),59.25925925925925)</f>
        <v>59.25925926</v>
      </c>
      <c r="Q123" s="53">
        <f>IFERROR(__xludf.DUMMYFUNCTION("""COMPUTED_VALUE"""),1.6)</f>
        <v>1.6</v>
      </c>
      <c r="R123" s="53">
        <f>IFERROR(__xludf.DUMMYFUNCTION("""COMPUTED_VALUE"""),-1.1555291913452421)</f>
        <v>-1.155529191</v>
      </c>
      <c r="S123" s="53">
        <f>IFERROR(__xludf.DUMMYFUNCTION("""COMPUTED_VALUE"""),-1.4261378116187227)</f>
        <v>-1.426137812</v>
      </c>
      <c r="T123" s="53">
        <f>IFERROR(__xludf.DUMMYFUNCTION("""COMPUTED_VALUE"""),1.6745661781655259)</f>
        <v>1.674566178</v>
      </c>
      <c r="U123" s="53">
        <f>IFERROR(__xludf.DUMMYFUNCTION("""COMPUTED_VALUE"""),-1.2975025954129054)</f>
        <v>-1.297502595</v>
      </c>
      <c r="V123" s="53">
        <f>IFERROR(__xludf.DUMMYFUNCTION("""COMPUTED_VALUE"""),-0.42447047355638534)</f>
        <v>-0.4244704736</v>
      </c>
      <c r="W123" s="53">
        <f>IFERROR(__xludf.DUMMYFUNCTION("""COMPUTED_VALUE"""),0.6548283204965102)</f>
        <v>0.6548283205</v>
      </c>
      <c r="X123" s="53">
        <f>IFERROR(__xludf.DUMMYFUNCTION("""COMPUTED_VALUE"""),1.0261399229272519)</f>
        <v>1.026139923</v>
      </c>
      <c r="Y123" s="53">
        <f>IFERROR(__xludf.DUMMYFUNCTION("""COMPUTED_VALUE"""),-1.3253903279291483)</f>
        <v>-1.325390328</v>
      </c>
      <c r="Z123" s="53">
        <f>IFERROR(__xludf.DUMMYFUNCTION("""COMPUTED_VALUE"""),0.12252921841013387)</f>
        <v>0.1225292184</v>
      </c>
      <c r="AA123" t="str">
        <f>IFERROR(__xludf.DUMMYFUNCTION("SUBSTITUTE(REGEXREPLACE(REGEXREPLACE(REGEXREPLACE(REGEXREPLACE(REGEXREPLACE(REGEXREPLACE(E123,"","",),IF(Projections!$U$3="""",""PG"",),),IF(Projections!$V$3="""",""SG"",),),IF(Projections!$W$3="""",""SF"",),),IF(Projections!$X$3="""",""PF"",),),IF(Projec"&amp;"tions!$Y$3="""",""C"",),),""/"","""")"),"C")</f>
        <v>C</v>
      </c>
    </row>
    <row r="124">
      <c r="A124" t="str">
        <f>IF(Projections!$H$3,Draft!L14,"")</f>
        <v/>
      </c>
      <c r="B124">
        <f>IFERROR(__xludf.DUMMYFUNCTION("""COMPUTED_VALUE"""),121.0)</f>
        <v>121</v>
      </c>
      <c r="C124" t="str">
        <f>IFERROR(__xludf.DUMMYFUNCTION("""COMPUTED_VALUE"""),"Kyle Anderson")</f>
        <v>Kyle Anderson</v>
      </c>
      <c r="D124">
        <f>IFERROR(__xludf.DUMMYFUNCTION("""COMPUTED_VALUE"""),69.0)</f>
        <v>69</v>
      </c>
      <c r="E124" t="str">
        <f>IFERROR(__xludf.DUMMYFUNCTION("""COMPUTED_VALUE"""),"SF,PF")</f>
        <v>SF,PF</v>
      </c>
      <c r="F124" s="53">
        <f>IFERROR(__xludf.DUMMYFUNCTION("""COMPUTED_VALUE"""),-2.3226634121025014)</f>
        <v>-2.322663412</v>
      </c>
      <c r="G124" s="53">
        <f>IFERROR(__xludf.DUMMYFUNCTION("""COMPUTED_VALUE"""),-0.7330588404036176)</f>
        <v>-0.7330588404</v>
      </c>
      <c r="H124" s="53">
        <f>IFERROR(__xludf.DUMMYFUNCTION("""COMPUTED_VALUE"""),1.5896045716988838)</f>
        <v>1.589604572</v>
      </c>
      <c r="I124" s="53">
        <f>IFERROR(__xludf.DUMMYFUNCTION("""COMPUTED_VALUE"""),9.2)</f>
        <v>9.2</v>
      </c>
      <c r="J124" s="53">
        <f>IFERROR(__xludf.DUMMYFUNCTION("""COMPUTED_VALUE"""),0.6)</f>
        <v>0.6</v>
      </c>
      <c r="K124" s="53">
        <f>IFERROR(__xludf.DUMMYFUNCTION("""COMPUTED_VALUE"""),5.6)</f>
        <v>5.6</v>
      </c>
      <c r="L124" s="53">
        <f>IFERROR(__xludf.DUMMYFUNCTION("""COMPUTED_VALUE"""),3.9)</f>
        <v>3.9</v>
      </c>
      <c r="M124" s="53">
        <f>IFERROR(__xludf.DUMMYFUNCTION("""COMPUTED_VALUE"""),1.1)</f>
        <v>1.1</v>
      </c>
      <c r="N124" s="53">
        <f>IFERROR(__xludf.DUMMYFUNCTION("""COMPUTED_VALUE"""),0.8)</f>
        <v>0.8</v>
      </c>
      <c r="O124" s="53">
        <f>IFERROR(__xludf.DUMMYFUNCTION("""COMPUTED_VALUE"""),50.68493150684932)</f>
        <v>50.68493151</v>
      </c>
      <c r="P124" s="53">
        <f>IFERROR(__xludf.DUMMYFUNCTION("""COMPUTED_VALUE"""),72.22222222222221)</f>
        <v>72.22222222</v>
      </c>
      <c r="Q124" s="53">
        <f>IFERROR(__xludf.DUMMYFUNCTION("""COMPUTED_VALUE"""),1.3)</f>
        <v>1.3</v>
      </c>
      <c r="R124" s="53">
        <f>IFERROR(__xludf.DUMMYFUNCTION("""COMPUTED_VALUE"""),-1.3577608436954063)</f>
        <v>-1.357760844</v>
      </c>
      <c r="S124" s="53">
        <f>IFERROR(__xludf.DUMMYFUNCTION("""COMPUTED_VALUE"""),-0.9058605394432663)</f>
        <v>-0.9058605394</v>
      </c>
      <c r="T124" s="53">
        <f>IFERROR(__xludf.DUMMYFUNCTION("""COMPUTED_VALUE"""),-0.207125465353252)</f>
        <v>-0.2071254654</v>
      </c>
      <c r="U124" s="53">
        <f>IFERROR(__xludf.DUMMYFUNCTION("""COMPUTED_VALUE"""),0.02856137788644717)</f>
        <v>0.02856137789</v>
      </c>
      <c r="V124" s="53">
        <f>IFERROR(__xludf.DUMMYFUNCTION("""COMPUTED_VALUE"""),0.22967922884215308)</f>
        <v>0.2296792288</v>
      </c>
      <c r="W124" s="53">
        <f>IFERROR(__xludf.DUMMYFUNCTION("""COMPUTED_VALUE"""),0.12956496180946983)</f>
        <v>0.1295649618</v>
      </c>
      <c r="X124" s="53">
        <f>IFERROR(__xludf.DUMMYFUNCTION("""COMPUTED_VALUE"""),0.07922365205264975)</f>
        <v>0.07922365205</v>
      </c>
      <c r="Y124" s="53">
        <f>IFERROR(__xludf.DUMMYFUNCTION("""COMPUTED_VALUE"""),-0.3027700386021432)</f>
        <v>-0.3027700386</v>
      </c>
      <c r="Z124" s="53">
        <f>IFERROR(__xludf.DUMMYFUNCTION("""COMPUTED_VALUE"""),0.2156679824043236)</f>
        <v>0.2156679824</v>
      </c>
      <c r="AA124" t="str">
        <f>IFERROR(__xludf.DUMMYFUNCTION("SUBSTITUTE(REGEXREPLACE(REGEXREPLACE(REGEXREPLACE(REGEXREPLACE(REGEXREPLACE(REGEXREPLACE(E124,"","",),IF(Projections!$U$3="""",""PG"",),),IF(Projections!$V$3="""",""SG"",),),IF(Projections!$W$3="""",""SF"",),),IF(Projections!$X$3="""",""PF"",),),IF(Projec"&amp;"tions!$Y$3="""",""C"",),),""/"","""")"),"SFPF")</f>
        <v>SFPF</v>
      </c>
    </row>
    <row r="125">
      <c r="A125" t="str">
        <f>IF(Projections!$H$3,Draft!M3,"")</f>
        <v/>
      </c>
      <c r="B125">
        <f>IFERROR(__xludf.DUMMYFUNCTION("""COMPUTED_VALUE"""),92.0)</f>
        <v>92</v>
      </c>
      <c r="C125" t="str">
        <f>IFERROR(__xludf.DUMMYFUNCTION("""COMPUTED_VALUE"""),"Zach Collins")</f>
        <v>Zach Collins</v>
      </c>
      <c r="D125">
        <f>IFERROR(__xludf.DUMMYFUNCTION("""COMPUTED_VALUE"""),66.0)</f>
        <v>66</v>
      </c>
      <c r="E125" t="str">
        <f>IFERROR(__xludf.DUMMYFUNCTION("""COMPUTED_VALUE"""),"PF,C")</f>
        <v>PF,C</v>
      </c>
      <c r="F125" s="53">
        <f>IFERROR(__xludf.DUMMYFUNCTION("""COMPUTED_VALUE"""),-1.5043847881998529)</f>
        <v>-1.504384788</v>
      </c>
      <c r="G125" s="53">
        <f>IFERROR(__xludf.DUMMYFUNCTION("""COMPUTED_VALUE"""),-0.782509955340769)</f>
        <v>-0.7825099553</v>
      </c>
      <c r="H125" s="53">
        <f>IFERROR(__xludf.DUMMYFUNCTION("""COMPUTED_VALUE"""),0.7218748328590839)</f>
        <v>0.7218748329</v>
      </c>
      <c r="I125" s="53">
        <f>IFERROR(__xludf.DUMMYFUNCTION("""COMPUTED_VALUE"""),13.2)</f>
        <v>13.2</v>
      </c>
      <c r="J125" s="53">
        <f>IFERROR(__xludf.DUMMYFUNCTION("""COMPUTED_VALUE"""),1.0)</f>
        <v>1</v>
      </c>
      <c r="K125" s="53">
        <f>IFERROR(__xludf.DUMMYFUNCTION("""COMPUTED_VALUE"""),7.4)</f>
        <v>7.4</v>
      </c>
      <c r="L125" s="53">
        <f>IFERROR(__xludf.DUMMYFUNCTION("""COMPUTED_VALUE"""),3.4)</f>
        <v>3.4</v>
      </c>
      <c r="M125" s="53">
        <f>IFERROR(__xludf.DUMMYFUNCTION("""COMPUTED_VALUE"""),0.7)</f>
        <v>0.7</v>
      </c>
      <c r="N125" s="53">
        <f>IFERROR(__xludf.DUMMYFUNCTION("""COMPUTED_VALUE"""),1.0)</f>
        <v>1</v>
      </c>
      <c r="O125" s="53">
        <f>IFERROR(__xludf.DUMMYFUNCTION("""COMPUTED_VALUE"""),50.505050505050505)</f>
        <v>50.50505051</v>
      </c>
      <c r="P125" s="53">
        <f>IFERROR(__xludf.DUMMYFUNCTION("""COMPUTED_VALUE"""),75.86206896551725)</f>
        <v>75.86206897</v>
      </c>
      <c r="Q125" s="53">
        <f>IFERROR(__xludf.DUMMYFUNCTION("""COMPUTED_VALUE"""),2.5)</f>
        <v>2.5</v>
      </c>
      <c r="R125" s="53">
        <f>IFERROR(__xludf.DUMMYFUNCTION("""COMPUTED_VALUE"""),-0.6836553358615266)</f>
        <v>-0.6836553359</v>
      </c>
      <c r="S125" s="53">
        <f>IFERROR(__xludf.DUMMYFUNCTION("""COMPUTED_VALUE"""),-0.5590090246596284)</f>
        <v>-0.5590090247</v>
      </c>
      <c r="T125" s="53">
        <f>IFERROR(__xludf.DUMMYFUNCTION("""COMPUTED_VALUE"""),0.5455511920542595)</f>
        <v>0.5455511921</v>
      </c>
      <c r="U125" s="53">
        <f>IFERROR(__xludf.DUMMYFUNCTION("""COMPUTED_VALUE"""),-0.22645092467112066)</f>
        <v>-0.2264509247</v>
      </c>
      <c r="V125" s="53">
        <f>IFERROR(__xludf.DUMMYFUNCTION("""COMPUTED_VALUE"""),-0.6425203743558983)</f>
        <v>-0.6425203744</v>
      </c>
      <c r="W125" s="53">
        <f>IFERROR(__xludf.DUMMYFUNCTION("""COMPUTED_VALUE"""),0.39219664115299)</f>
        <v>0.3921966412</v>
      </c>
      <c r="X125" s="53">
        <f>IFERROR(__xludf.DUMMYFUNCTION("""COMPUTED_VALUE"""),0.08965228787971105)</f>
        <v>0.08965228788</v>
      </c>
      <c r="Y125" s="53">
        <f>IFERROR(__xludf.DUMMYFUNCTION("""COMPUTED_VALUE"""),-0.22504267916864695)</f>
        <v>-0.2250426792</v>
      </c>
      <c r="Z125" s="53">
        <f>IFERROR(__xludf.DUMMYFUNCTION("""COMPUTED_VALUE"""),-0.1568870735724353)</f>
        <v>-0.1568870736</v>
      </c>
      <c r="AA125" t="str">
        <f>IFERROR(__xludf.DUMMYFUNCTION("SUBSTITUTE(REGEXREPLACE(REGEXREPLACE(REGEXREPLACE(REGEXREPLACE(REGEXREPLACE(REGEXREPLACE(E125,"","",),IF(Projections!$U$3="""",""PG"",),),IF(Projections!$V$3="""",""SG"",),),IF(Projections!$W$3="""",""SF"",),),IF(Projections!$X$3="""",""PF"",),),IF(Projec"&amp;"tions!$Y$3="""",""C"",),),""/"","""")"),"PFC")</f>
        <v>PFC</v>
      </c>
    </row>
    <row r="126">
      <c r="A126" t="str">
        <f>IF(Projections!$H$3,Draft!M4,"")</f>
        <v/>
      </c>
      <c r="B126">
        <f>IFERROR(__xludf.DUMMYFUNCTION("""COMPUTED_VALUE"""),101.0)</f>
        <v>101</v>
      </c>
      <c r="C126" t="str">
        <f>IFERROR(__xludf.DUMMYFUNCTION("""COMPUTED_VALUE"""),"Bruce Brown")</f>
        <v>Bruce Brown</v>
      </c>
      <c r="D126">
        <f>IFERROR(__xludf.DUMMYFUNCTION("""COMPUTED_VALUE"""),70.0)</f>
        <v>70</v>
      </c>
      <c r="E126" t="str">
        <f>IFERROR(__xludf.DUMMYFUNCTION("""COMPUTED_VALUE"""),"PG,SG,SF")</f>
        <v>PG,SG,SF</v>
      </c>
      <c r="F126" s="53">
        <f>IFERROR(__xludf.DUMMYFUNCTION("""COMPUTED_VALUE"""),-1.7871755968902712)</f>
        <v>-1.787175597</v>
      </c>
      <c r="G126" s="53">
        <f>IFERROR(__xludf.DUMMYFUNCTION("""COMPUTED_VALUE"""),-0.8115006575415916)</f>
        <v>-0.8115006575</v>
      </c>
      <c r="H126" s="53">
        <f>IFERROR(__xludf.DUMMYFUNCTION("""COMPUTED_VALUE"""),0.9756749393486795)</f>
        <v>0.9756749393</v>
      </c>
      <c r="I126" s="53">
        <f>IFERROR(__xludf.DUMMYFUNCTION("""COMPUTED_VALUE"""),11.7)</f>
        <v>11.7</v>
      </c>
      <c r="J126" s="53">
        <f>IFERROR(__xludf.DUMMYFUNCTION("""COMPUTED_VALUE"""),1.0)</f>
        <v>1</v>
      </c>
      <c r="K126" s="53">
        <f>IFERROR(__xludf.DUMMYFUNCTION("""COMPUTED_VALUE"""),5.0)</f>
        <v>5</v>
      </c>
      <c r="L126" s="53">
        <f>IFERROR(__xludf.DUMMYFUNCTION("""COMPUTED_VALUE"""),3.1)</f>
        <v>3.1</v>
      </c>
      <c r="M126" s="53">
        <f>IFERROR(__xludf.DUMMYFUNCTION("""COMPUTED_VALUE"""),1.2)</f>
        <v>1.2</v>
      </c>
      <c r="N126" s="53">
        <f>IFERROR(__xludf.DUMMYFUNCTION("""COMPUTED_VALUE"""),0.8)</f>
        <v>0.8</v>
      </c>
      <c r="O126" s="53">
        <f>IFERROR(__xludf.DUMMYFUNCTION("""COMPUTED_VALUE"""),48.93617021276595)</f>
        <v>48.93617021</v>
      </c>
      <c r="P126" s="53">
        <f>IFERROR(__xludf.DUMMYFUNCTION("""COMPUTED_VALUE"""),76.19047619047619)</f>
        <v>76.19047619</v>
      </c>
      <c r="Q126" s="53">
        <f>IFERROR(__xludf.DUMMYFUNCTION("""COMPUTED_VALUE"""),1.3)</f>
        <v>1.3</v>
      </c>
      <c r="R126" s="53">
        <f>IFERROR(__xludf.DUMMYFUNCTION("""COMPUTED_VALUE"""),-0.9364449012992314)</f>
        <v>-0.9364449013</v>
      </c>
      <c r="S126" s="53">
        <f>IFERROR(__xludf.DUMMYFUNCTION("""COMPUTED_VALUE"""),-0.5590090246596284)</f>
        <v>-0.5590090247</v>
      </c>
      <c r="T126" s="53">
        <f>IFERROR(__xludf.DUMMYFUNCTION("""COMPUTED_VALUE"""),-0.45801768448908886)</f>
        <v>-0.4580176845</v>
      </c>
      <c r="U126" s="53">
        <f>IFERROR(__xludf.DUMMYFUNCTION("""COMPUTED_VALUE"""),-0.37945830620566134)</f>
        <v>-0.3794583062</v>
      </c>
      <c r="V126" s="53">
        <f>IFERROR(__xludf.DUMMYFUNCTION("""COMPUTED_VALUE"""),0.44772912964166556)</f>
        <v>0.4477291296</v>
      </c>
      <c r="W126" s="53">
        <f>IFERROR(__xludf.DUMMYFUNCTION("""COMPUTED_VALUE"""),0.12956496180946983)</f>
        <v>0.1295649618</v>
      </c>
      <c r="X126" s="53">
        <f>IFERROR(__xludf.DUMMYFUNCTION("""COMPUTED_VALUE"""),-0.06218297339396541)</f>
        <v>-0.06218297339</v>
      </c>
      <c r="Y126" s="53">
        <f>IFERROR(__xludf.DUMMYFUNCTION("""COMPUTED_VALUE"""),-0.14579474264870684)</f>
        <v>-0.1457947426</v>
      </c>
      <c r="Z126" s="53">
        <f>IFERROR(__xludf.DUMMYFUNCTION("""COMPUTED_VALUE"""),0.2156679824043236)</f>
        <v>0.2156679824</v>
      </c>
      <c r="AA126" t="str">
        <f>IFERROR(__xludf.DUMMYFUNCTION("SUBSTITUTE(REGEXREPLACE(REGEXREPLACE(REGEXREPLACE(REGEXREPLACE(REGEXREPLACE(REGEXREPLACE(E126,"","",),IF(Projections!$U$3="""",""PG"",),),IF(Projections!$V$3="""",""SG"",),),IF(Projections!$W$3="""",""SF"",),),IF(Projections!$X$3="""",""PF"",),),IF(Projec"&amp;"tions!$Y$3="""",""C"",),),""/"","""")"),"PGSGSF")</f>
        <v>PGSGSF</v>
      </c>
    </row>
    <row r="127">
      <c r="A127" t="str">
        <f>IF(Projections!$H$3,Draft!M5,"")</f>
        <v/>
      </c>
      <c r="B127">
        <f>IFERROR(__xludf.DUMMYFUNCTION("""COMPUTED_VALUE"""),154.0)</f>
        <v>154</v>
      </c>
      <c r="C127" t="str">
        <f>IFERROR(__xludf.DUMMYFUNCTION("""COMPUTED_VALUE"""),"Steven Adams")</f>
        <v>Steven Adams</v>
      </c>
      <c r="D127">
        <f>IFERROR(__xludf.DUMMYFUNCTION("""COMPUTED_VALUE"""),68.0)</f>
        <v>68</v>
      </c>
      <c r="E127" t="str">
        <f>IFERROR(__xludf.DUMMYFUNCTION("""COMPUTED_VALUE"""),"C")</f>
        <v>C</v>
      </c>
      <c r="F127" s="53">
        <f>IFERROR(__xludf.DUMMYFUNCTION("""COMPUTED_VALUE"""),-3.7512489818044825)</f>
        <v>-3.751248982</v>
      </c>
      <c r="G127" s="53">
        <f>IFERROR(__xludf.DUMMYFUNCTION("""COMPUTED_VALUE"""),-0.8299806511496657)</f>
        <v>-0.8299806511</v>
      </c>
      <c r="H127" s="53">
        <f>IFERROR(__xludf.DUMMYFUNCTION("""COMPUTED_VALUE"""),2.921268330654817)</f>
        <v>2.921268331</v>
      </c>
      <c r="I127" s="53">
        <f>IFERROR(__xludf.DUMMYFUNCTION("""COMPUTED_VALUE"""),7.8)</f>
        <v>7.8</v>
      </c>
      <c r="J127" s="53">
        <f>IFERROR(__xludf.DUMMYFUNCTION("""COMPUTED_VALUE"""),0.0)</f>
        <v>0</v>
      </c>
      <c r="K127" s="53">
        <f>IFERROR(__xludf.DUMMYFUNCTION("""COMPUTED_VALUE"""),11.0)</f>
        <v>11</v>
      </c>
      <c r="L127" s="53">
        <f>IFERROR(__xludf.DUMMYFUNCTION("""COMPUTED_VALUE"""),3.1)</f>
        <v>3.1</v>
      </c>
      <c r="M127" s="53">
        <f>IFERROR(__xludf.DUMMYFUNCTION("""COMPUTED_VALUE"""),0.9)</f>
        <v>0.9</v>
      </c>
      <c r="N127" s="53">
        <f>IFERROR(__xludf.DUMMYFUNCTION("""COMPUTED_VALUE"""),0.9)</f>
        <v>0.9</v>
      </c>
      <c r="O127" s="53">
        <f>IFERROR(__xludf.DUMMYFUNCTION("""COMPUTED_VALUE"""),56.14035087719298)</f>
        <v>56.14035088</v>
      </c>
      <c r="P127" s="53">
        <f>IFERROR(__xludf.DUMMYFUNCTION("""COMPUTED_VALUE"""),48.275862068965516)</f>
        <v>48.27586207</v>
      </c>
      <c r="Q127" s="53">
        <f>IFERROR(__xludf.DUMMYFUNCTION("""COMPUTED_VALUE"""),1.7)</f>
        <v>1.7</v>
      </c>
      <c r="R127" s="53">
        <f>IFERROR(__xludf.DUMMYFUNCTION("""COMPUTED_VALUE"""),-1.5936977714372638)</f>
        <v>-1.593697771</v>
      </c>
      <c r="S127" s="53">
        <f>IFERROR(__xludf.DUMMYFUNCTION("""COMPUTED_VALUE"""),-1.4261378116187227)</f>
        <v>-1.426137812</v>
      </c>
      <c r="T127" s="53">
        <f>IFERROR(__xludf.DUMMYFUNCTION("""COMPUTED_VALUE"""),2.0509045068692817)</f>
        <v>2.050904507</v>
      </c>
      <c r="U127" s="53">
        <f>IFERROR(__xludf.DUMMYFUNCTION("""COMPUTED_VALUE"""),-0.37945830620566134)</f>
        <v>-0.3794583062</v>
      </c>
      <c r="V127" s="53">
        <f>IFERROR(__xludf.DUMMYFUNCTION("""COMPUTED_VALUE"""),-0.2064205727568726)</f>
        <v>-0.2064205728</v>
      </c>
      <c r="W127" s="53">
        <f>IFERROR(__xludf.DUMMYFUNCTION("""COMPUTED_VALUE"""),0.2608808014812299)</f>
        <v>0.2608808015</v>
      </c>
      <c r="X127" s="53">
        <f>IFERROR(__xludf.DUMMYFUNCTION("""COMPUTED_VALUE"""),0.3724655387729392)</f>
        <v>0.3724655388</v>
      </c>
      <c r="Y127" s="53">
        <f>IFERROR(__xludf.DUMMYFUNCTION("""COMPUTED_VALUE"""),-2.216437582085067)</f>
        <v>-2.216437582</v>
      </c>
      <c r="Z127" s="53">
        <f>IFERROR(__xludf.DUMMYFUNCTION("""COMPUTED_VALUE"""),0.09148296374540399)</f>
        <v>0.09148296375</v>
      </c>
      <c r="AA127" t="str">
        <f>IFERROR(__xludf.DUMMYFUNCTION("SUBSTITUTE(REGEXREPLACE(REGEXREPLACE(REGEXREPLACE(REGEXREPLACE(REGEXREPLACE(REGEXREPLACE(E127,"","",),IF(Projections!$U$3="""",""PG"",),),IF(Projections!$V$3="""",""SG"",),),IF(Projections!$W$3="""",""SF"",),),IF(Projections!$X$3="""",""PF"",),),IF(Projec"&amp;"tions!$Y$3="""",""C"",),),""/"","""")"),"C")</f>
        <v>C</v>
      </c>
    </row>
    <row r="128">
      <c r="A128" t="str">
        <f>IF(Projections!$H$3,Draft!M6,"")</f>
        <v/>
      </c>
      <c r="B128">
        <f>IFERROR(__xludf.DUMMYFUNCTION("""COMPUTED_VALUE"""),95.0)</f>
        <v>95</v>
      </c>
      <c r="C128" t="str">
        <f>IFERROR(__xludf.DUMMYFUNCTION("""COMPUTED_VALUE"""),"Herbert Jones")</f>
        <v>Herbert Jones</v>
      </c>
      <c r="D128">
        <f>IFERROR(__xludf.DUMMYFUNCTION("""COMPUTED_VALUE"""),69.0)</f>
        <v>69</v>
      </c>
      <c r="E128" t="str">
        <f>IFERROR(__xludf.DUMMYFUNCTION("""COMPUTED_VALUE"""),"SF,PF")</f>
        <v>SF,PF</v>
      </c>
      <c r="F128" s="53">
        <f>IFERROR(__xludf.DUMMYFUNCTION("""COMPUTED_VALUE"""),-1.7074407326278478)</f>
        <v>-1.707440733</v>
      </c>
      <c r="G128" s="53">
        <f>IFERROR(__xludf.DUMMYFUNCTION("""COMPUTED_VALUE"""),-0.8546222636830723)</f>
        <v>-0.8546222637</v>
      </c>
      <c r="H128" s="53">
        <f>IFERROR(__xludf.DUMMYFUNCTION("""COMPUTED_VALUE"""),0.8528184689447755)</f>
        <v>0.8528184689</v>
      </c>
      <c r="I128" s="53">
        <f>IFERROR(__xludf.DUMMYFUNCTION("""COMPUTED_VALUE"""),9.8)</f>
        <v>9.8</v>
      </c>
      <c r="J128" s="53">
        <f>IFERROR(__xludf.DUMMYFUNCTION("""COMPUTED_VALUE"""),0.8)</f>
        <v>0.8</v>
      </c>
      <c r="K128" s="53">
        <f>IFERROR(__xludf.DUMMYFUNCTION("""COMPUTED_VALUE"""),4.0)</f>
        <v>4</v>
      </c>
      <c r="L128" s="53">
        <f>IFERROR(__xludf.DUMMYFUNCTION("""COMPUTED_VALUE"""),2.3)</f>
        <v>2.3</v>
      </c>
      <c r="M128" s="53">
        <f>IFERROR(__xludf.DUMMYFUNCTION("""COMPUTED_VALUE"""),1.7)</f>
        <v>1.7</v>
      </c>
      <c r="N128" s="53">
        <f>IFERROR(__xludf.DUMMYFUNCTION("""COMPUTED_VALUE"""),0.7)</f>
        <v>0.7</v>
      </c>
      <c r="O128" s="53">
        <f>IFERROR(__xludf.DUMMYFUNCTION("""COMPUTED_VALUE"""),47.36842105263158)</f>
        <v>47.36842105</v>
      </c>
      <c r="P128" s="53">
        <f>IFERROR(__xludf.DUMMYFUNCTION("""COMPUTED_VALUE"""),78.26086956521739)</f>
        <v>78.26086957</v>
      </c>
      <c r="Q128" s="53">
        <f>IFERROR(__xludf.DUMMYFUNCTION("""COMPUTED_VALUE"""),1.3)</f>
        <v>1.3</v>
      </c>
      <c r="R128" s="53">
        <f>IFERROR(__xludf.DUMMYFUNCTION("""COMPUTED_VALUE"""),-1.256645017520324)</f>
        <v>-1.256645018</v>
      </c>
      <c r="S128" s="53">
        <f>IFERROR(__xludf.DUMMYFUNCTION("""COMPUTED_VALUE"""),-0.7324347820514473)</f>
        <v>-0.7324347821</v>
      </c>
      <c r="T128" s="53">
        <f>IFERROR(__xludf.DUMMYFUNCTION("""COMPUTED_VALUE"""),-0.8761713830488173)</f>
        <v>-0.876171383</v>
      </c>
      <c r="U128" s="53">
        <f>IFERROR(__xludf.DUMMYFUNCTION("""COMPUTED_VALUE"""),-0.78747799029777)</f>
        <v>-0.7874779903</v>
      </c>
      <c r="V128" s="53">
        <f>IFERROR(__xludf.DUMMYFUNCTION("""COMPUTED_VALUE"""),1.5379786336392296)</f>
        <v>1.537978634</v>
      </c>
      <c r="W128" s="53">
        <f>IFERROR(__xludf.DUMMYFUNCTION("""COMPUTED_VALUE"""),-0.0017508778622903794)</f>
        <v>-0.001750877862</v>
      </c>
      <c r="X128" s="53">
        <f>IFERROR(__xludf.DUMMYFUNCTION("""COMPUTED_VALUE"""),-0.16928930111988527)</f>
        <v>-0.1692893011</v>
      </c>
      <c r="Y128" s="53">
        <f>IFERROR(__xludf.DUMMYFUNCTION("""COMPUTED_VALUE"""),-0.041144545346415456)</f>
        <v>-0.04114454535</v>
      </c>
      <c r="Z128" s="53">
        <f>IFERROR(__xludf.DUMMYFUNCTION("""COMPUTED_VALUE"""),0.2156679824043236)</f>
        <v>0.2156679824</v>
      </c>
      <c r="AA128" t="str">
        <f>IFERROR(__xludf.DUMMYFUNCTION("SUBSTITUTE(REGEXREPLACE(REGEXREPLACE(REGEXREPLACE(REGEXREPLACE(REGEXREPLACE(REGEXREPLACE(E128,"","",),IF(Projections!$U$3="""",""PG"",),),IF(Projections!$V$3="""",""SG"",),),IF(Projections!$W$3="""",""SF"",),),IF(Projections!$X$3="""",""PF"",),),IF(Projec"&amp;"tions!$Y$3="""",""C"",),),""/"","""")"),"SFPF")</f>
        <v>SFPF</v>
      </c>
    </row>
    <row r="129">
      <c r="A129" t="str">
        <f>IF(Projections!$H$3,Draft!M7,"")</f>
        <v/>
      </c>
      <c r="B129">
        <f>IFERROR(__xludf.DUMMYFUNCTION("""COMPUTED_VALUE"""),108.0)</f>
        <v>108</v>
      </c>
      <c r="C129" t="str">
        <f>IFERROR(__xludf.DUMMYFUNCTION("""COMPUTED_VALUE"""),"Buddy Hield")</f>
        <v>Buddy Hield</v>
      </c>
      <c r="D129">
        <f>IFERROR(__xludf.DUMMYFUNCTION("""COMPUTED_VALUE"""),76.0)</f>
        <v>76</v>
      </c>
      <c r="E129" t="str">
        <f>IFERROR(__xludf.DUMMYFUNCTION("""COMPUTED_VALUE"""),"SG,SF")</f>
        <v>SG,SF</v>
      </c>
      <c r="F129" s="53">
        <f>IFERROR(__xludf.DUMMYFUNCTION("""COMPUTED_VALUE"""),-1.9395513970525247)</f>
        <v>-1.939551397</v>
      </c>
      <c r="G129" s="53">
        <f>IFERROR(__xludf.DUMMYFUNCTION("""COMPUTED_VALUE"""),-0.9236892194036986)</f>
        <v>-0.9236892194</v>
      </c>
      <c r="H129" s="53">
        <f>IFERROR(__xludf.DUMMYFUNCTION("""COMPUTED_VALUE"""),1.0158621776488261)</f>
        <v>1.015862178</v>
      </c>
      <c r="I129" s="53">
        <f>IFERROR(__xludf.DUMMYFUNCTION("""COMPUTED_VALUE"""),15.2)</f>
        <v>15.2</v>
      </c>
      <c r="J129" s="53">
        <f>IFERROR(__xludf.DUMMYFUNCTION("""COMPUTED_VALUE"""),3.1)</f>
        <v>3.1</v>
      </c>
      <c r="K129" s="53">
        <f>IFERROR(__xludf.DUMMYFUNCTION("""COMPUTED_VALUE"""),4.3)</f>
        <v>4.3</v>
      </c>
      <c r="L129" s="53">
        <f>IFERROR(__xludf.DUMMYFUNCTION("""COMPUTED_VALUE"""),2.6)</f>
        <v>2.6</v>
      </c>
      <c r="M129" s="53">
        <f>IFERROR(__xludf.DUMMYFUNCTION("""COMPUTED_VALUE"""),0.9)</f>
        <v>0.9</v>
      </c>
      <c r="N129" s="53">
        <f>IFERROR(__xludf.DUMMYFUNCTION("""COMPUTED_VALUE"""),0.3)</f>
        <v>0.3</v>
      </c>
      <c r="O129" s="53">
        <f>IFERROR(__xludf.DUMMYFUNCTION("""COMPUTED_VALUE"""),44.62809917355373)</f>
        <v>44.62809917</v>
      </c>
      <c r="P129" s="53">
        <f>IFERROR(__xludf.DUMMYFUNCTION("""COMPUTED_VALUE"""),80.0)</f>
        <v>80</v>
      </c>
      <c r="Q129" s="53">
        <f>IFERROR(__xludf.DUMMYFUNCTION("""COMPUTED_VALUE"""),1.7)</f>
        <v>1.7</v>
      </c>
      <c r="R129" s="53">
        <f>IFERROR(__xludf.DUMMYFUNCTION("""COMPUTED_VALUE"""),-0.34660258194458676)</f>
        <v>-0.3466025819</v>
      </c>
      <c r="S129" s="53">
        <f>IFERROR(__xludf.DUMMYFUNCTION("""COMPUTED_VALUE"""),1.2619614279544695)</f>
        <v>1.261961428</v>
      </c>
      <c r="T129" s="53">
        <f>IFERROR(__xludf.DUMMYFUNCTION("""COMPUTED_VALUE"""),-0.7507252734808988)</f>
        <v>-0.7507252735</v>
      </c>
      <c r="U129" s="53">
        <f>IFERROR(__xludf.DUMMYFUNCTION("""COMPUTED_VALUE"""),-0.6344706087632292)</f>
        <v>-0.6344706088</v>
      </c>
      <c r="V129" s="53">
        <f>IFERROR(__xludf.DUMMYFUNCTION("""COMPUTED_VALUE"""),-0.2064205727568726)</f>
        <v>-0.2064205728</v>
      </c>
      <c r="W129" s="53">
        <f>IFERROR(__xludf.DUMMYFUNCTION("""COMPUTED_VALUE"""),-0.5270142365493308)</f>
        <v>-0.5270142365</v>
      </c>
      <c r="X129" s="53">
        <f>IFERROR(__xludf.DUMMYFUNCTION("""COMPUTED_VALUE"""),-0.6007290022630776)</f>
        <v>-0.6007290023</v>
      </c>
      <c r="Y129" s="53">
        <f>IFERROR(__xludf.DUMMYFUNCTION("""COMPUTED_VALUE"""),0.038103391173524945)</f>
        <v>0.03810339117</v>
      </c>
      <c r="Z129" s="53">
        <f>IFERROR(__xludf.DUMMYFUNCTION("""COMPUTED_VALUE"""),0.09148296374540399)</f>
        <v>0.09148296375</v>
      </c>
      <c r="AA129" t="str">
        <f>IFERROR(__xludf.DUMMYFUNCTION("SUBSTITUTE(REGEXREPLACE(REGEXREPLACE(REGEXREPLACE(REGEXREPLACE(REGEXREPLACE(REGEXREPLACE(E129,"","",),IF(Projections!$U$3="""",""PG"",),),IF(Projections!$V$3="""",""SG"",),),IF(Projections!$W$3="""",""SF"",),),IF(Projections!$X$3="""",""PF"",),),IF(Projec"&amp;"tions!$Y$3="""",""C"",),),""/"","""")"),"SGSF")</f>
        <v>SGSF</v>
      </c>
    </row>
    <row r="130">
      <c r="A130" t="str">
        <f>IF(Projections!$H$3,Draft!M8,"")</f>
        <v/>
      </c>
      <c r="B130">
        <f>IFERROR(__xludf.DUMMYFUNCTION("""COMPUTED_VALUE"""),107.0)</f>
        <v>107</v>
      </c>
      <c r="C130" t="str">
        <f>IFERROR(__xludf.DUMMYFUNCTION("""COMPUTED_VALUE"""),"Tobias Harris")</f>
        <v>Tobias Harris</v>
      </c>
      <c r="D130">
        <f>IFERROR(__xludf.DUMMYFUNCTION("""COMPUTED_VALUE"""),73.0)</f>
        <v>73</v>
      </c>
      <c r="E130" t="str">
        <f>IFERROR(__xludf.DUMMYFUNCTION("""COMPUTED_VALUE"""),"SF,PF")</f>
        <v>SF,PF</v>
      </c>
      <c r="F130" s="53">
        <f>IFERROR(__xludf.DUMMYFUNCTION("""COMPUTED_VALUE"""),-1.9122182201274909)</f>
        <v>-1.91221822</v>
      </c>
      <c r="G130" s="53">
        <f>IFERROR(__xludf.DUMMYFUNCTION("""COMPUTED_VALUE"""),-0.9309380161951345)</f>
        <v>-0.9309380162</v>
      </c>
      <c r="H130" s="53">
        <f>IFERROR(__xludf.DUMMYFUNCTION("""COMPUTED_VALUE"""),0.9812802039323564)</f>
        <v>0.9812802039</v>
      </c>
      <c r="I130" s="53">
        <f>IFERROR(__xludf.DUMMYFUNCTION("""COMPUTED_VALUE"""),15.2)</f>
        <v>15.2</v>
      </c>
      <c r="J130" s="53">
        <f>IFERROR(__xludf.DUMMYFUNCTION("""COMPUTED_VALUE"""),1.5)</f>
        <v>1.5</v>
      </c>
      <c r="K130" s="53">
        <f>IFERROR(__xludf.DUMMYFUNCTION("""COMPUTED_VALUE"""),6.0)</f>
        <v>6</v>
      </c>
      <c r="L130" s="53">
        <f>IFERROR(__xludf.DUMMYFUNCTION("""COMPUTED_VALUE"""),2.8)</f>
        <v>2.8</v>
      </c>
      <c r="M130" s="53">
        <f>IFERROR(__xludf.DUMMYFUNCTION("""COMPUTED_VALUE"""),0.8)</f>
        <v>0.8</v>
      </c>
      <c r="N130" s="53">
        <f>IFERROR(__xludf.DUMMYFUNCTION("""COMPUTED_VALUE"""),0.5)</f>
        <v>0.5</v>
      </c>
      <c r="O130" s="53">
        <f>IFERROR(__xludf.DUMMYFUNCTION("""COMPUTED_VALUE"""),48.7603305785124)</f>
        <v>48.76033058</v>
      </c>
      <c r="P130" s="53">
        <f>IFERROR(__xludf.DUMMYFUNCTION("""COMPUTED_VALUE"""),81.81818181818181)</f>
        <v>81.81818182</v>
      </c>
      <c r="Q130" s="53">
        <f>IFERROR(__xludf.DUMMYFUNCTION("""COMPUTED_VALUE"""),1.3)</f>
        <v>1.3</v>
      </c>
      <c r="R130" s="53">
        <f>IFERROR(__xludf.DUMMYFUNCTION("""COMPUTED_VALUE"""),-0.34660258194458676)</f>
        <v>-0.3466025819</v>
      </c>
      <c r="S130" s="53">
        <f>IFERROR(__xludf.DUMMYFUNCTION("""COMPUTED_VALUE"""),-0.12544463118008137)</f>
        <v>-0.1254446312</v>
      </c>
      <c r="T130" s="53">
        <f>IFERROR(__xludf.DUMMYFUNCTION("""COMPUTED_VALUE"""),-0.03986398592936047)</f>
        <v>-0.03986398593</v>
      </c>
      <c r="U130" s="53">
        <f>IFERROR(__xludf.DUMMYFUNCTION("""COMPUTED_VALUE"""),-0.5324656877402022)</f>
        <v>-0.5324656877</v>
      </c>
      <c r="V130" s="53">
        <f>IFERROR(__xludf.DUMMYFUNCTION("""COMPUTED_VALUE"""),-0.42447047355638534)</f>
        <v>-0.4244704736</v>
      </c>
      <c r="W130" s="53">
        <f>IFERROR(__xludf.DUMMYFUNCTION("""COMPUTED_VALUE"""),-0.2643825572058105)</f>
        <v>-0.2643825572</v>
      </c>
      <c r="X130" s="53">
        <f>IFERROR(__xludf.DUMMYFUNCTION("""COMPUTED_VALUE"""),-0.10129648765022448)</f>
        <v>-0.1012964877</v>
      </c>
      <c r="Y130" s="53">
        <f>IFERROR(__xludf.DUMMYFUNCTION("""COMPUTED_VALUE"""),0.15545471886699092)</f>
        <v>0.1554547189</v>
      </c>
      <c r="Z130" s="53">
        <f>IFERROR(__xludf.DUMMYFUNCTION("""COMPUTED_VALUE"""),0.2156679824043236)</f>
        <v>0.2156679824</v>
      </c>
      <c r="AA130" t="str">
        <f>IFERROR(__xludf.DUMMYFUNCTION("SUBSTITUTE(REGEXREPLACE(REGEXREPLACE(REGEXREPLACE(REGEXREPLACE(REGEXREPLACE(REGEXREPLACE(E130,"","",),IF(Projections!$U$3="""",""PG"",),),IF(Projections!$V$3="""",""SG"",),),IF(Projections!$W$3="""",""SF"",),),IF(Projections!$X$3="""",""PF"",),),IF(Projec"&amp;"tions!$Y$3="""",""C"",),),""/"","""")"),"SFPF")</f>
        <v>SFPF</v>
      </c>
    </row>
    <row r="131">
      <c r="A131" t="str">
        <f>IF(Projections!$H$3,Draft!M9,"")</f>
        <v/>
      </c>
      <c r="B131">
        <f>IFERROR(__xludf.DUMMYFUNCTION("""COMPUTED_VALUE"""),123.0)</f>
        <v>123</v>
      </c>
      <c r="C131" t="str">
        <f>IFERROR(__xludf.DUMMYFUNCTION("""COMPUTED_VALUE"""),"Jordan Clarkson")</f>
        <v>Jordan Clarkson</v>
      </c>
      <c r="D131">
        <f>IFERROR(__xludf.DUMMYFUNCTION("""COMPUTED_VALUE"""),68.0)</f>
        <v>68</v>
      </c>
      <c r="E131" t="str">
        <f>IFERROR(__xludf.DUMMYFUNCTION("""COMPUTED_VALUE"""),"PG,SG")</f>
        <v>PG,SG</v>
      </c>
      <c r="F131" s="53">
        <f>IFERROR(__xludf.DUMMYFUNCTION("""COMPUTED_VALUE"""),-2.35401160618496)</f>
        <v>-2.354011606</v>
      </c>
      <c r="G131" s="53">
        <f>IFERROR(__xludf.DUMMYFUNCTION("""COMPUTED_VALUE"""),-0.9653196457360216)</f>
        <v>-0.9653196457</v>
      </c>
      <c r="H131" s="53">
        <f>IFERROR(__xludf.DUMMYFUNCTION("""COMPUTED_VALUE"""),1.3886919604489383)</f>
        <v>1.38869196</v>
      </c>
      <c r="I131" s="53">
        <f>IFERROR(__xludf.DUMMYFUNCTION("""COMPUTED_VALUE"""),19.2)</f>
        <v>19.2</v>
      </c>
      <c r="J131" s="53">
        <f>IFERROR(__xludf.DUMMYFUNCTION("""COMPUTED_VALUE"""),2.6)</f>
        <v>2.6</v>
      </c>
      <c r="K131" s="53">
        <f>IFERROR(__xludf.DUMMYFUNCTION("""COMPUTED_VALUE"""),3.9)</f>
        <v>3.9</v>
      </c>
      <c r="L131" s="53">
        <f>IFERROR(__xludf.DUMMYFUNCTION("""COMPUTED_VALUE"""),3.5)</f>
        <v>3.5</v>
      </c>
      <c r="M131" s="53">
        <f>IFERROR(__xludf.DUMMYFUNCTION("""COMPUTED_VALUE"""),0.8)</f>
        <v>0.8</v>
      </c>
      <c r="N131" s="53">
        <f>IFERROR(__xludf.DUMMYFUNCTION("""COMPUTED_VALUE"""),0.2)</f>
        <v>0.2</v>
      </c>
      <c r="O131" s="53">
        <f>IFERROR(__xludf.DUMMYFUNCTION("""COMPUTED_VALUE"""),42.94478527607362)</f>
        <v>42.94478528</v>
      </c>
      <c r="P131" s="53">
        <f>IFERROR(__xludf.DUMMYFUNCTION("""COMPUTED_VALUE"""),81.25)</f>
        <v>81.25</v>
      </c>
      <c r="Q131" s="53">
        <f>IFERROR(__xludf.DUMMYFUNCTION("""COMPUTED_VALUE"""),2.4)</f>
        <v>2.4</v>
      </c>
      <c r="R131" s="53">
        <f>IFERROR(__xludf.DUMMYFUNCTION("""COMPUTED_VALUE"""),0.3275029258892929)</f>
        <v>0.3275029259</v>
      </c>
      <c r="S131" s="53">
        <f>IFERROR(__xludf.DUMMYFUNCTION("""COMPUTED_VALUE"""),0.8283970344749224)</f>
        <v>0.8283970345</v>
      </c>
      <c r="T131" s="53">
        <f>IFERROR(__xludf.DUMMYFUNCTION("""COMPUTED_VALUE"""),-0.9179867529047901)</f>
        <v>-0.9179867529</v>
      </c>
      <c r="U131" s="53">
        <f>IFERROR(__xludf.DUMMYFUNCTION("""COMPUTED_VALUE"""),-0.17544846415960708)</f>
        <v>-0.1754484642</v>
      </c>
      <c r="V131" s="53">
        <f>IFERROR(__xludf.DUMMYFUNCTION("""COMPUTED_VALUE"""),-0.42447047355638534)</f>
        <v>-0.4244704736</v>
      </c>
      <c r="W131" s="53">
        <f>IFERROR(__xludf.DUMMYFUNCTION("""COMPUTED_VALUE"""),-0.6583300762210907)</f>
        <v>-0.6583300762</v>
      </c>
      <c r="X131" s="53">
        <f>IFERROR(__xludf.DUMMYFUNCTION("""COMPUTED_VALUE"""),-1.083315259001449)</f>
        <v>-1.083315259</v>
      </c>
      <c r="Y131" s="53">
        <f>IFERROR(__xludf.DUMMYFUNCTION("""COMPUTED_VALUE"""),0.1808569796493414)</f>
        <v>0.1808569796</v>
      </c>
      <c r="Z131" s="53">
        <f>IFERROR(__xludf.DUMMYFUNCTION("""COMPUTED_VALUE"""),-0.12584081890770538)</f>
        <v>-0.1258408189</v>
      </c>
      <c r="AA131" t="str">
        <f>IFERROR(__xludf.DUMMYFUNCTION("SUBSTITUTE(REGEXREPLACE(REGEXREPLACE(REGEXREPLACE(REGEXREPLACE(REGEXREPLACE(REGEXREPLACE(E131,"","",),IF(Projections!$U$3="""",""PG"",),),IF(Projections!$V$3="""",""SG"",),),IF(Projections!$W$3="""",""SF"",),),IF(Projections!$X$3="""",""PF"",),),IF(Projec"&amp;"tions!$Y$3="""",""C"",),),""/"","""")"),"PGSG")</f>
        <v>PGSG</v>
      </c>
    </row>
    <row r="132">
      <c r="A132" t="str">
        <f>IF(Projections!$H$3,Draft!M10,"")</f>
        <v/>
      </c>
      <c r="B132">
        <f>IFERROR(__xludf.DUMMYFUNCTION("""COMPUTED_VALUE"""),119.0)</f>
        <v>119</v>
      </c>
      <c r="C132" t="str">
        <f>IFERROR(__xludf.DUMMYFUNCTION("""COMPUTED_VALUE"""),"Tari Eason")</f>
        <v>Tari Eason</v>
      </c>
      <c r="D132">
        <f>IFERROR(__xludf.DUMMYFUNCTION("""COMPUTED_VALUE"""),78.0)</f>
        <v>78</v>
      </c>
      <c r="E132" t="str">
        <f>IFERROR(__xludf.DUMMYFUNCTION("""COMPUTED_VALUE"""),"SF,PF")</f>
        <v>SF,PF</v>
      </c>
      <c r="F132" s="53">
        <f>IFERROR(__xludf.DUMMYFUNCTION("""COMPUTED_VALUE"""),-2.218113609497684)</f>
        <v>-2.218113609</v>
      </c>
      <c r="G132" s="53">
        <f>IFERROR(__xludf.DUMMYFUNCTION("""COMPUTED_VALUE"""),-0.9722019835462339)</f>
        <v>-0.9722019835</v>
      </c>
      <c r="H132" s="53">
        <f>IFERROR(__xludf.DUMMYFUNCTION("""COMPUTED_VALUE"""),1.2459116259514502)</f>
        <v>1.245911626</v>
      </c>
      <c r="I132" s="53">
        <f>IFERROR(__xludf.DUMMYFUNCTION("""COMPUTED_VALUE"""),11.4)</f>
        <v>11.4</v>
      </c>
      <c r="J132" s="53">
        <f>IFERROR(__xludf.DUMMYFUNCTION("""COMPUTED_VALUE"""),0.9)</f>
        <v>0.9</v>
      </c>
      <c r="K132" s="53">
        <f>IFERROR(__xludf.DUMMYFUNCTION("""COMPUTED_VALUE"""),7.4)</f>
        <v>7.4</v>
      </c>
      <c r="L132" s="53">
        <f>IFERROR(__xludf.DUMMYFUNCTION("""COMPUTED_VALUE"""),1.3)</f>
        <v>1.3</v>
      </c>
      <c r="M132" s="53">
        <f>IFERROR(__xludf.DUMMYFUNCTION("""COMPUTED_VALUE"""),1.3)</f>
        <v>1.3</v>
      </c>
      <c r="N132" s="53">
        <f>IFERROR(__xludf.DUMMYFUNCTION("""COMPUTED_VALUE"""),0.7)</f>
        <v>0.7</v>
      </c>
      <c r="O132" s="53">
        <f>IFERROR(__xludf.DUMMYFUNCTION("""COMPUTED_VALUE"""),45.91836734693877)</f>
        <v>45.91836735</v>
      </c>
      <c r="P132" s="53">
        <f>IFERROR(__xludf.DUMMYFUNCTION("""COMPUTED_VALUE"""),72.72727272727273)</f>
        <v>72.72727273</v>
      </c>
      <c r="Q132" s="53">
        <f>IFERROR(__xludf.DUMMYFUNCTION("""COMPUTED_VALUE"""),1.5)</f>
        <v>1.5</v>
      </c>
      <c r="R132" s="53">
        <f>IFERROR(__xludf.DUMMYFUNCTION("""COMPUTED_VALUE"""),-0.9870028143867723)</f>
        <v>-0.9870028144</v>
      </c>
      <c r="S132" s="53">
        <f>IFERROR(__xludf.DUMMYFUNCTION("""COMPUTED_VALUE"""),-0.6457219033555379)</f>
        <v>-0.6457219034</v>
      </c>
      <c r="T132" s="53">
        <f>IFERROR(__xludf.DUMMYFUNCTION("""COMPUTED_VALUE"""),0.5455511920542595)</f>
        <v>0.5455511921</v>
      </c>
      <c r="U132" s="53">
        <f>IFERROR(__xludf.DUMMYFUNCTION("""COMPUTED_VALUE"""),-1.2975025954129054)</f>
        <v>-1.297502595</v>
      </c>
      <c r="V132" s="53">
        <f>IFERROR(__xludf.DUMMYFUNCTION("""COMPUTED_VALUE"""),0.6657790304411786)</f>
        <v>0.6657790304</v>
      </c>
      <c r="W132" s="53">
        <f>IFERROR(__xludf.DUMMYFUNCTION("""COMPUTED_VALUE"""),-0.0017508778622903794)</f>
        <v>-0.001750877862</v>
      </c>
      <c r="X132" s="53">
        <f>IFERROR(__xludf.DUMMYFUNCTION("""COMPUTED_VALUE"""),-0.3602380766498217)</f>
        <v>-0.3602380766</v>
      </c>
      <c r="Y132" s="53">
        <f>IFERROR(__xludf.DUMMYFUNCTION("""COMPUTED_VALUE"""),-0.3423940068621134)</f>
        <v>-0.3423940069</v>
      </c>
      <c r="Z132" s="53">
        <f>IFERROR(__xludf.DUMMYFUNCTION("""COMPUTED_VALUE"""),0.1535754730748638)</f>
        <v>0.1535754731</v>
      </c>
      <c r="AA132" t="str">
        <f>IFERROR(__xludf.DUMMYFUNCTION("SUBSTITUTE(REGEXREPLACE(REGEXREPLACE(REGEXREPLACE(REGEXREPLACE(REGEXREPLACE(REGEXREPLACE(E132,"","",),IF(Projections!$U$3="""",""PG"",),),IF(Projections!$V$3="""",""SG"",),),IF(Projections!$W$3="""",""SF"",),),IF(Projections!$X$3="""",""PF"",),),IF(Projec"&amp;"tions!$Y$3="""",""C"",),),""/"","""")"),"SFPF")</f>
        <v>SFPF</v>
      </c>
    </row>
    <row r="133">
      <c r="A133" t="str">
        <f>IF(Projections!$H$3,Draft!M11,"")</f>
        <v/>
      </c>
      <c r="B133">
        <f>IFERROR(__xludf.DUMMYFUNCTION("""COMPUTED_VALUE"""),126.0)</f>
        <v>126</v>
      </c>
      <c r="C133" t="str">
        <f>IFERROR(__xludf.DUMMYFUNCTION("""COMPUTED_VALUE"""),"Kevin Huerter")</f>
        <v>Kevin Huerter</v>
      </c>
      <c r="D133">
        <f>IFERROR(__xludf.DUMMYFUNCTION("""COMPUTED_VALUE"""),74.0)</f>
        <v>74</v>
      </c>
      <c r="E133" t="str">
        <f>IFERROR(__xludf.DUMMYFUNCTION("""COMPUTED_VALUE"""),"SG,SF")</f>
        <v>SG,SF</v>
      </c>
      <c r="F133" s="53">
        <f>IFERROR(__xludf.DUMMYFUNCTION("""COMPUTED_VALUE"""),-2.474076439014353)</f>
        <v>-2.474076439</v>
      </c>
      <c r="G133" s="53">
        <f>IFERROR(__xludf.DUMMYFUNCTION("""COMPUTED_VALUE"""),-0.9963472535390678)</f>
        <v>-0.9963472535</v>
      </c>
      <c r="H133" s="53">
        <f>IFERROR(__xludf.DUMMYFUNCTION("""COMPUTED_VALUE"""),1.4777291854752852)</f>
        <v>1.477729185</v>
      </c>
      <c r="I133" s="53">
        <f>IFERROR(__xludf.DUMMYFUNCTION("""COMPUTED_VALUE"""),14.0)</f>
        <v>14</v>
      </c>
      <c r="J133" s="53">
        <f>IFERROR(__xludf.DUMMYFUNCTION("""COMPUTED_VALUE"""),2.5)</f>
        <v>2.5</v>
      </c>
      <c r="K133" s="53">
        <f>IFERROR(__xludf.DUMMYFUNCTION("""COMPUTED_VALUE"""),3.5)</f>
        <v>3.5</v>
      </c>
      <c r="L133" s="53">
        <f>IFERROR(__xludf.DUMMYFUNCTION("""COMPUTED_VALUE"""),2.9)</f>
        <v>2.9</v>
      </c>
      <c r="M133" s="53">
        <f>IFERROR(__xludf.DUMMYFUNCTION("""COMPUTED_VALUE"""),0.9)</f>
        <v>0.9</v>
      </c>
      <c r="N133" s="53">
        <f>IFERROR(__xludf.DUMMYFUNCTION("""COMPUTED_VALUE"""),0.4)</f>
        <v>0.4</v>
      </c>
      <c r="O133" s="53">
        <f>IFERROR(__xludf.DUMMYFUNCTION("""COMPUTED_VALUE"""),47.32142857142858)</f>
        <v>47.32142857</v>
      </c>
      <c r="P133" s="53">
        <f>IFERROR(__xludf.DUMMYFUNCTION("""COMPUTED_VALUE"""),76.92307692307692)</f>
        <v>76.92307692</v>
      </c>
      <c r="Q133" s="53">
        <f>IFERROR(__xludf.DUMMYFUNCTION("""COMPUTED_VALUE"""),1.3)</f>
        <v>1.3</v>
      </c>
      <c r="R133" s="53">
        <f>IFERROR(__xludf.DUMMYFUNCTION("""COMPUTED_VALUE"""),-0.5488342342947505)</f>
        <v>-0.5488342343</v>
      </c>
      <c r="S133" s="53">
        <f>IFERROR(__xludf.DUMMYFUNCTION("""COMPUTED_VALUE"""),0.7416841557790128)</f>
        <v>0.7416841558</v>
      </c>
      <c r="T133" s="53">
        <f>IFERROR(__xludf.DUMMYFUNCTION("""COMPUTED_VALUE"""),-1.0852482323286814)</f>
        <v>-1.085248232</v>
      </c>
      <c r="U133" s="53">
        <f>IFERROR(__xludf.DUMMYFUNCTION("""COMPUTED_VALUE"""),-0.48146322722868856)</f>
        <v>-0.4814632272</v>
      </c>
      <c r="V133" s="53">
        <f>IFERROR(__xludf.DUMMYFUNCTION("""COMPUTED_VALUE"""),-0.2064205727568726)</f>
        <v>-0.2064205728</v>
      </c>
      <c r="W133" s="53">
        <f>IFERROR(__xludf.DUMMYFUNCTION("""COMPUTED_VALUE"""),-0.39569839687757064)</f>
        <v>-0.3956983969</v>
      </c>
      <c r="X133" s="53">
        <f>IFERROR(__xludf.DUMMYFUNCTION("""COMPUTED_VALUE"""),-0.2547361544357556)</f>
        <v>-0.2547361544</v>
      </c>
      <c r="Y133" s="53">
        <f>IFERROR(__xludf.DUMMYFUNCTION("""COMPUTED_VALUE"""),-0.066546806128766)</f>
        <v>-0.06654680613</v>
      </c>
      <c r="Z133" s="53">
        <f>IFERROR(__xludf.DUMMYFUNCTION("""COMPUTED_VALUE"""),0.2156679824043236)</f>
        <v>0.2156679824</v>
      </c>
      <c r="AA133" t="str">
        <f>IFERROR(__xludf.DUMMYFUNCTION("SUBSTITUTE(REGEXREPLACE(REGEXREPLACE(REGEXREPLACE(REGEXREPLACE(REGEXREPLACE(REGEXREPLACE(E133,"","",),IF(Projections!$U$3="""",""PG"",),),IF(Projections!$V$3="""",""SG"",),),IF(Projections!$W$3="""",""SF"",),),IF(Projections!$X$3="""",""PF"",),),IF(Projec"&amp;"tions!$Y$3="""",""C"",),),""/"","""")"),"SGSF")</f>
        <v>SGSF</v>
      </c>
    </row>
    <row r="134">
      <c r="A134" t="str">
        <f>IF(Projections!$H$3,Draft!M12,"")</f>
        <v/>
      </c>
      <c r="B134">
        <f>IFERROR(__xludf.DUMMYFUNCTION("""COMPUTED_VALUE"""),118.0)</f>
        <v>118</v>
      </c>
      <c r="C134" t="str">
        <f>IFERROR(__xludf.DUMMYFUNCTION("""COMPUTED_VALUE"""),"Kentavious Caldwell-Pope")</f>
        <v>Kentavious Caldwell-Pope</v>
      </c>
      <c r="D134">
        <f>IFERROR(__xludf.DUMMYFUNCTION("""COMPUTED_VALUE"""),76.0)</f>
        <v>76</v>
      </c>
      <c r="E134" t="str">
        <f>IFERROR(__xludf.DUMMYFUNCTION("""COMPUTED_VALUE"""),"SG,SF")</f>
        <v>SG,SF</v>
      </c>
      <c r="F134" s="53">
        <f>IFERROR(__xludf.DUMMYFUNCTION("""COMPUTED_VALUE"""),-2.1837576445018496)</f>
        <v>-2.183757645</v>
      </c>
      <c r="G134" s="53">
        <f>IFERROR(__xludf.DUMMYFUNCTION("""COMPUTED_VALUE"""),-1.0011546686962687)</f>
        <v>-1.001154669</v>
      </c>
      <c r="H134" s="53">
        <f>IFERROR(__xludf.DUMMYFUNCTION("""COMPUTED_VALUE"""),1.182602975805581)</f>
        <v>1.182602976</v>
      </c>
      <c r="I134" s="53">
        <f>IFERROR(__xludf.DUMMYFUNCTION("""COMPUTED_VALUE"""),12.1)</f>
        <v>12.1</v>
      </c>
      <c r="J134" s="53">
        <f>IFERROR(__xludf.DUMMYFUNCTION("""COMPUTED_VALUE"""),1.8)</f>
        <v>1.8</v>
      </c>
      <c r="K134" s="53">
        <f>IFERROR(__xludf.DUMMYFUNCTION("""COMPUTED_VALUE"""),3.1)</f>
        <v>3.1</v>
      </c>
      <c r="L134" s="53">
        <f>IFERROR(__xludf.DUMMYFUNCTION("""COMPUTED_VALUE"""),2.2)</f>
        <v>2.2</v>
      </c>
      <c r="M134" s="53">
        <f>IFERROR(__xludf.DUMMYFUNCTION("""COMPUTED_VALUE"""),1.4)</f>
        <v>1.4</v>
      </c>
      <c r="N134" s="53">
        <f>IFERROR(__xludf.DUMMYFUNCTION("""COMPUTED_VALUE"""),0.4)</f>
        <v>0.4</v>
      </c>
      <c r="O134" s="53">
        <f>IFERROR(__xludf.DUMMYFUNCTION("""COMPUTED_VALUE"""),45.36082474226804)</f>
        <v>45.36082474</v>
      </c>
      <c r="P134" s="53">
        <f>IFERROR(__xludf.DUMMYFUNCTION("""COMPUTED_VALUE"""),84.21052631578948)</f>
        <v>84.21052632</v>
      </c>
      <c r="Q134" s="53">
        <f>IFERROR(__xludf.DUMMYFUNCTION("""COMPUTED_VALUE"""),1.2)</f>
        <v>1.2</v>
      </c>
      <c r="R134" s="53">
        <f>IFERROR(__xludf.DUMMYFUNCTION("""COMPUTED_VALUE"""),-0.8690343505158434)</f>
        <v>-0.8690343505</v>
      </c>
      <c r="S134" s="53">
        <f>IFERROR(__xludf.DUMMYFUNCTION("""COMPUTED_VALUE"""),0.13469400490764694)</f>
        <v>0.1346940049</v>
      </c>
      <c r="T134" s="53">
        <f>IFERROR(__xludf.DUMMYFUNCTION("""COMPUTED_VALUE"""),-1.2525097117525728)</f>
        <v>-1.252509712</v>
      </c>
      <c r="U134" s="53">
        <f>IFERROR(__xludf.DUMMYFUNCTION("""COMPUTED_VALUE"""),-0.8384804508092835)</f>
        <v>-0.8384804508</v>
      </c>
      <c r="V134" s="53">
        <f>IFERROR(__xludf.DUMMYFUNCTION("""COMPUTED_VALUE"""),0.883828931240691)</f>
        <v>0.8838289312</v>
      </c>
      <c r="W134" s="53">
        <f>IFERROR(__xludf.DUMMYFUNCTION("""COMPUTED_VALUE"""),-0.39569839687757064)</f>
        <v>-0.3956983969</v>
      </c>
      <c r="X134" s="53">
        <f>IFERROR(__xludf.DUMMYFUNCTION("""COMPUTED_VALUE"""),-0.41058242948907)</f>
        <v>-0.4105824295</v>
      </c>
      <c r="Y134" s="53">
        <f>IFERROR(__xludf.DUMMYFUNCTION("""COMPUTED_VALUE"""),0.2474037857781074)</f>
        <v>0.2474037858</v>
      </c>
      <c r="Z134" s="53">
        <f>IFERROR(__xludf.DUMMYFUNCTION("""COMPUTED_VALUE"""),0.24671423706905354)</f>
        <v>0.2467142371</v>
      </c>
      <c r="AA134" t="str">
        <f>IFERROR(__xludf.DUMMYFUNCTION("SUBSTITUTE(REGEXREPLACE(REGEXREPLACE(REGEXREPLACE(REGEXREPLACE(REGEXREPLACE(REGEXREPLACE(E134,"","",),IF(Projections!$U$3="""",""PG"",),),IF(Projections!$V$3="""",""SG"",),),IF(Projections!$W$3="""",""SF"",),),IF(Projections!$X$3="""",""PF"",),),IF(Projec"&amp;"tions!$Y$3="""",""C"",),),""/"","""")"),"SGSF")</f>
        <v>SGSF</v>
      </c>
    </row>
    <row r="135">
      <c r="A135" t="str">
        <f>IF(Projections!$H$3,Draft!M13,"")</f>
        <v/>
      </c>
      <c r="B135">
        <f>IFERROR(__xludf.DUMMYFUNCTION("""COMPUTED_VALUE"""),133.0)</f>
        <v>133</v>
      </c>
      <c r="C135" t="str">
        <f>IFERROR(__xludf.DUMMYFUNCTION("""COMPUTED_VALUE"""),"Alex Caruso")</f>
        <v>Alex Caruso</v>
      </c>
      <c r="D135">
        <f>IFERROR(__xludf.DUMMYFUNCTION("""COMPUTED_VALUE"""),64.0)</f>
        <v>64</v>
      </c>
      <c r="E135" t="str">
        <f>IFERROR(__xludf.DUMMYFUNCTION("""COMPUTED_VALUE"""),"PG,SG")</f>
        <v>PG,SG</v>
      </c>
      <c r="F135" s="53">
        <f>IFERROR(__xludf.DUMMYFUNCTION("""COMPUTED_VALUE"""),-2.714859213349329)</f>
        <v>-2.714859213</v>
      </c>
      <c r="G135" s="53">
        <f>IFERROR(__xludf.DUMMYFUNCTION("""COMPUTED_VALUE"""),-1.0747079301552402)</f>
        <v>-1.07470793</v>
      </c>
      <c r="H135" s="53">
        <f>IFERROR(__xludf.DUMMYFUNCTION("""COMPUTED_VALUE"""),1.6401512831940888)</f>
        <v>1.640151283</v>
      </c>
      <c r="I135" s="53">
        <f>IFERROR(__xludf.DUMMYFUNCTION("""COMPUTED_VALUE"""),6.3)</f>
        <v>6.3</v>
      </c>
      <c r="J135" s="53">
        <f>IFERROR(__xludf.DUMMYFUNCTION("""COMPUTED_VALUE"""),0.9)</f>
        <v>0.9</v>
      </c>
      <c r="K135" s="53">
        <f>IFERROR(__xludf.DUMMYFUNCTION("""COMPUTED_VALUE"""),3.2)</f>
        <v>3.2</v>
      </c>
      <c r="L135" s="53">
        <f>IFERROR(__xludf.DUMMYFUNCTION("""COMPUTED_VALUE"""),3.3)</f>
        <v>3.3</v>
      </c>
      <c r="M135" s="53">
        <f>IFERROR(__xludf.DUMMYFUNCTION("""COMPUTED_VALUE"""),1.6)</f>
        <v>1.6</v>
      </c>
      <c r="N135" s="53">
        <f>IFERROR(__xludf.DUMMYFUNCTION("""COMPUTED_VALUE"""),0.6)</f>
        <v>0.6</v>
      </c>
      <c r="O135" s="53">
        <f>IFERROR(__xludf.DUMMYFUNCTION("""COMPUTED_VALUE"""),43.137254901960794)</f>
        <v>43.1372549</v>
      </c>
      <c r="P135" s="53">
        <f>IFERROR(__xludf.DUMMYFUNCTION("""COMPUTED_VALUE"""),78.57142857142858)</f>
        <v>78.57142857</v>
      </c>
      <c r="Q135" s="53">
        <f>IFERROR(__xludf.DUMMYFUNCTION("""COMPUTED_VALUE"""),1.3)</f>
        <v>1.3</v>
      </c>
      <c r="R135" s="53">
        <f>IFERROR(__xludf.DUMMYFUNCTION("""COMPUTED_VALUE"""),-1.8464873368749688)</f>
        <v>-1.846487337</v>
      </c>
      <c r="S135" s="53">
        <f>IFERROR(__xludf.DUMMYFUNCTION("""COMPUTED_VALUE"""),-0.6457219033555379)</f>
        <v>-0.6457219034</v>
      </c>
      <c r="T135" s="53">
        <f>IFERROR(__xludf.DUMMYFUNCTION("""COMPUTED_VALUE"""),-1.2106943418965999)</f>
        <v>-1.210694342</v>
      </c>
      <c r="U135" s="53">
        <f>IFERROR(__xludf.DUMMYFUNCTION("""COMPUTED_VALUE"""),-0.27745338518263435)</f>
        <v>-0.2774533852</v>
      </c>
      <c r="V135" s="53">
        <f>IFERROR(__xludf.DUMMYFUNCTION("""COMPUTED_VALUE"""),1.319928732839717)</f>
        <v>1.319928733</v>
      </c>
      <c r="W135" s="53">
        <f>IFERROR(__xludf.DUMMYFUNCTION("""COMPUTED_VALUE"""),-0.13306671753405044)</f>
        <v>-0.1330667175</v>
      </c>
      <c r="X135" s="53">
        <f>IFERROR(__xludf.DUMMYFUNCTION("""COMPUTED_VALUE"""),-0.32914658995283846)</f>
        <v>-0.32914659</v>
      </c>
      <c r="Y135" s="53">
        <f>IFERROR(__xludf.DUMMYFUNCTION("""COMPUTED_VALUE"""),-0.014221707477619961)</f>
        <v>-0.01422170748</v>
      </c>
      <c r="Z135" s="53">
        <f>IFERROR(__xludf.DUMMYFUNCTION("""COMPUTED_VALUE"""),0.2156679824043236)</f>
        <v>0.2156679824</v>
      </c>
      <c r="AA135" t="str">
        <f>IFERROR(__xludf.DUMMYFUNCTION("SUBSTITUTE(REGEXREPLACE(REGEXREPLACE(REGEXREPLACE(REGEXREPLACE(REGEXREPLACE(REGEXREPLACE(E135,"","",),IF(Projections!$U$3="""",""PG"",),),IF(Projections!$V$3="""",""SG"",),),IF(Projections!$W$3="""",""SF"",),),IF(Projections!$X$3="""",""PF"",),),IF(Projec"&amp;"tions!$Y$3="""",""C"",),),""/"","""")"),"PGSG")</f>
        <v>PGSG</v>
      </c>
    </row>
    <row r="136">
      <c r="A136" t="str">
        <f>IF(Projections!$H$3,Draft!M14,"")</f>
        <v/>
      </c>
      <c r="B136">
        <f>IFERROR(__xludf.DUMMYFUNCTION("""COMPUTED_VALUE"""),131.0)</f>
        <v>131</v>
      </c>
      <c r="C136" t="str">
        <f>IFERROR(__xludf.DUMMYFUNCTION("""COMPUTED_VALUE"""),"Jalen Green")</f>
        <v>Jalen Green</v>
      </c>
      <c r="D136">
        <f>IFERROR(__xludf.DUMMYFUNCTION("""COMPUTED_VALUE"""),74.0)</f>
        <v>74</v>
      </c>
      <c r="E136" t="str">
        <f>IFERROR(__xludf.DUMMYFUNCTION("""COMPUTED_VALUE"""),"PG,SG")</f>
        <v>PG,SG</v>
      </c>
      <c r="F136" s="53">
        <f>IFERROR(__xludf.DUMMYFUNCTION("""COMPUTED_VALUE"""),-2.6636434519862915)</f>
        <v>-2.663643452</v>
      </c>
      <c r="G136" s="53">
        <f>IFERROR(__xludf.DUMMYFUNCTION("""COMPUTED_VALUE"""),-1.104007720008436)</f>
        <v>-1.10400772</v>
      </c>
      <c r="H136" s="53">
        <f>IFERROR(__xludf.DUMMYFUNCTION("""COMPUTED_VALUE"""),1.5596357319778555)</f>
        <v>1.559635732</v>
      </c>
      <c r="I136" s="53">
        <f>IFERROR(__xludf.DUMMYFUNCTION("""COMPUTED_VALUE"""),20.7)</f>
        <v>20.7</v>
      </c>
      <c r="J136" s="53">
        <f>IFERROR(__xludf.DUMMYFUNCTION("""COMPUTED_VALUE"""),2.5)</f>
        <v>2.5</v>
      </c>
      <c r="K136" s="53">
        <f>IFERROR(__xludf.DUMMYFUNCTION("""COMPUTED_VALUE"""),3.7)</f>
        <v>3.7</v>
      </c>
      <c r="L136" s="53">
        <f>IFERROR(__xludf.DUMMYFUNCTION("""COMPUTED_VALUE"""),3.3)</f>
        <v>3.3</v>
      </c>
      <c r="M136" s="53">
        <f>IFERROR(__xludf.DUMMYFUNCTION("""COMPUTED_VALUE"""),0.8)</f>
        <v>0.8</v>
      </c>
      <c r="N136" s="53">
        <f>IFERROR(__xludf.DUMMYFUNCTION("""COMPUTED_VALUE"""),0.3)</f>
        <v>0.3</v>
      </c>
      <c r="O136" s="53">
        <f>IFERROR(__xludf.DUMMYFUNCTION("""COMPUTED_VALUE"""),42.26190476190476)</f>
        <v>42.26190476</v>
      </c>
      <c r="P136" s="53">
        <f>IFERROR(__xludf.DUMMYFUNCTION("""COMPUTED_VALUE"""),78.43137254901961)</f>
        <v>78.43137255</v>
      </c>
      <c r="Q136" s="53">
        <f>IFERROR(__xludf.DUMMYFUNCTION("""COMPUTED_VALUE"""),2.4)</f>
        <v>2.4</v>
      </c>
      <c r="R136" s="53">
        <f>IFERROR(__xludf.DUMMYFUNCTION("""COMPUTED_VALUE"""),0.5802924913269978)</f>
        <v>0.5802924913</v>
      </c>
      <c r="S136" s="53">
        <f>IFERROR(__xludf.DUMMYFUNCTION("""COMPUTED_VALUE"""),0.7416841557790128)</f>
        <v>0.7416841558</v>
      </c>
      <c r="T136" s="53">
        <f>IFERROR(__xludf.DUMMYFUNCTION("""COMPUTED_VALUE"""),-1.0016174926167358)</f>
        <v>-1.001617493</v>
      </c>
      <c r="U136" s="53">
        <f>IFERROR(__xludf.DUMMYFUNCTION("""COMPUTED_VALUE"""),-0.27745338518263435)</f>
        <v>-0.2774533852</v>
      </c>
      <c r="V136" s="53">
        <f>IFERROR(__xludf.DUMMYFUNCTION("""COMPUTED_VALUE"""),-0.42447047355638534)</f>
        <v>-0.4244704736</v>
      </c>
      <c r="W136" s="53">
        <f>IFERROR(__xludf.DUMMYFUNCTION("""COMPUTED_VALUE"""),-0.5270142365493308)</f>
        <v>-0.5270142365</v>
      </c>
      <c r="X136" s="53">
        <f>IFERROR(__xludf.DUMMYFUNCTION("""COMPUTED_VALUE"""),-1.231139506495486)</f>
        <v>-1.231139506</v>
      </c>
      <c r="Y136" s="53">
        <f>IFERROR(__xludf.DUMMYFUNCTION("""COMPUTED_VALUE"""),-0.06958796030165497)</f>
        <v>-0.0695879603</v>
      </c>
      <c r="Z136" s="53">
        <f>IFERROR(__xludf.DUMMYFUNCTION("""COMPUTED_VALUE"""),-0.12584081890770538)</f>
        <v>-0.1258408189</v>
      </c>
      <c r="AA136" t="str">
        <f>IFERROR(__xludf.DUMMYFUNCTION("SUBSTITUTE(REGEXREPLACE(REGEXREPLACE(REGEXREPLACE(REGEXREPLACE(REGEXREPLACE(REGEXREPLACE(E136,"","",),IF(Projections!$U$3="""",""PG"",),),IF(Projections!$V$3="""",""SG"",),),IF(Projections!$W$3="""",""SF"",),),IF(Projections!$X$3="""",""PF"",),),IF(Projec"&amp;"tions!$Y$3="""",""C"",),),""/"","""")"),"PGSG")</f>
        <v>PGSG</v>
      </c>
    </row>
    <row r="137">
      <c r="A137" t="str">
        <f>IF(Projections!$H$3,Draft!N3,"")</f>
        <v/>
      </c>
      <c r="B137">
        <f>IFERROR(__xludf.DUMMYFUNCTION("""COMPUTED_VALUE"""),139.0)</f>
        <v>139</v>
      </c>
      <c r="C137" t="str">
        <f>IFERROR(__xludf.DUMMYFUNCTION("""COMPUTED_VALUE"""),"Aaron Gordon")</f>
        <v>Aaron Gordon</v>
      </c>
      <c r="D137">
        <f>IFERROR(__xludf.DUMMYFUNCTION("""COMPUTED_VALUE"""),70.0)</f>
        <v>70</v>
      </c>
      <c r="E137" t="str">
        <f>IFERROR(__xludf.DUMMYFUNCTION("""COMPUTED_VALUE"""),"PF")</f>
        <v>PF</v>
      </c>
      <c r="F137" s="53">
        <f>IFERROR(__xludf.DUMMYFUNCTION("""COMPUTED_VALUE"""),-2.9438612180778287)</f>
        <v>-2.943861218</v>
      </c>
      <c r="G137" s="53">
        <f>IFERROR(__xludf.DUMMYFUNCTION("""COMPUTED_VALUE"""),-1.1385914072152208)</f>
        <v>-1.138591407</v>
      </c>
      <c r="H137" s="53">
        <f>IFERROR(__xludf.DUMMYFUNCTION("""COMPUTED_VALUE"""),1.805269810862608)</f>
        <v>1.805269811</v>
      </c>
      <c r="I137" s="53">
        <f>IFERROR(__xludf.DUMMYFUNCTION("""COMPUTED_VALUE"""),16.0)</f>
        <v>16</v>
      </c>
      <c r="J137" s="53">
        <f>IFERROR(__xludf.DUMMYFUNCTION("""COMPUTED_VALUE"""),1.1)</f>
        <v>1.1</v>
      </c>
      <c r="K137" s="53">
        <f>IFERROR(__xludf.DUMMYFUNCTION("""COMPUTED_VALUE"""),6.3)</f>
        <v>6.3</v>
      </c>
      <c r="L137" s="53">
        <f>IFERROR(__xludf.DUMMYFUNCTION("""COMPUTED_VALUE"""),2.8)</f>
        <v>2.8</v>
      </c>
      <c r="M137" s="53">
        <f>IFERROR(__xludf.DUMMYFUNCTION("""COMPUTED_VALUE"""),0.7)</f>
        <v>0.7</v>
      </c>
      <c r="N137" s="53">
        <f>IFERROR(__xludf.DUMMYFUNCTION("""COMPUTED_VALUE"""),0.7)</f>
        <v>0.7</v>
      </c>
      <c r="O137" s="53">
        <f>IFERROR(__xludf.DUMMYFUNCTION("""COMPUTED_VALUE"""),54.385964912280706)</f>
        <v>54.38596491</v>
      </c>
      <c r="P137" s="53">
        <f>IFERROR(__xludf.DUMMYFUNCTION("""COMPUTED_VALUE"""),66.66666666666667)</f>
        <v>66.66666667</v>
      </c>
      <c r="Q137" s="53">
        <f>IFERROR(__xludf.DUMMYFUNCTION("""COMPUTED_VALUE"""),1.7)</f>
        <v>1.7</v>
      </c>
      <c r="R137" s="53">
        <f>IFERROR(__xludf.DUMMYFUNCTION("""COMPUTED_VALUE"""),-0.2117814803778107)</f>
        <v>-0.2117814804</v>
      </c>
      <c r="S137" s="53">
        <f>IFERROR(__xludf.DUMMYFUNCTION("""COMPUTED_VALUE"""),-0.472296145963719)</f>
        <v>-0.472296146</v>
      </c>
      <c r="T137" s="53">
        <f>IFERROR(__xludf.DUMMYFUNCTION("""COMPUTED_VALUE"""),0.08558212363855798)</f>
        <v>0.08558212364</v>
      </c>
      <c r="U137" s="53">
        <f>IFERROR(__xludf.DUMMYFUNCTION("""COMPUTED_VALUE"""),-0.5324656877402022)</f>
        <v>-0.5324656877</v>
      </c>
      <c r="V137" s="53">
        <f>IFERROR(__xludf.DUMMYFUNCTION("""COMPUTED_VALUE"""),-0.6425203743558983)</f>
        <v>-0.6425203744</v>
      </c>
      <c r="W137" s="53">
        <f>IFERROR(__xludf.DUMMYFUNCTION("""COMPUTED_VALUE"""),-0.0017508778622903794)</f>
        <v>-0.001750877862</v>
      </c>
      <c r="X137" s="53">
        <f>IFERROR(__xludf.DUMMYFUNCTION("""COMPUTED_VALUE"""),0.5451580717007376)</f>
        <v>0.5451580717</v>
      </c>
      <c r="Y137" s="53">
        <f>IFERROR(__xludf.DUMMYFUNCTION("""COMPUTED_VALUE"""),-1.1953378698445063)</f>
        <v>-1.19533787</v>
      </c>
      <c r="Z137" s="53">
        <f>IFERROR(__xludf.DUMMYFUNCTION("""COMPUTED_VALUE"""),0.09148296374540399)</f>
        <v>0.09148296375</v>
      </c>
      <c r="AA137" t="str">
        <f>IFERROR(__xludf.DUMMYFUNCTION("SUBSTITUTE(REGEXREPLACE(REGEXREPLACE(REGEXREPLACE(REGEXREPLACE(REGEXREPLACE(REGEXREPLACE(E137,"","",),IF(Projections!$U$3="""",""PG"",),),IF(Projections!$V$3="""",""SG"",),),IF(Projections!$W$3="""",""SF"",),),IF(Projections!$X$3="""",""PF"",),),IF(Projec"&amp;"tions!$Y$3="""",""C"",),),""/"","""")"),"PF")</f>
        <v>PF</v>
      </c>
    </row>
    <row r="138">
      <c r="A138" t="str">
        <f>IF(Projections!$H$3,Draft!N4,"")</f>
        <v/>
      </c>
      <c r="B138">
        <f>IFERROR(__xludf.DUMMYFUNCTION("""COMPUTED_VALUE"""),130.0)</f>
        <v>130</v>
      </c>
      <c r="C138" t="str">
        <f>IFERROR(__xludf.DUMMYFUNCTION("""COMPUTED_VALUE"""),"Donte DiVincenzo")</f>
        <v>Donte DiVincenzo</v>
      </c>
      <c r="D138">
        <f>IFERROR(__xludf.DUMMYFUNCTION("""COMPUTED_VALUE"""),70.0)</f>
        <v>70</v>
      </c>
      <c r="E138" t="str">
        <f>IFERROR(__xludf.DUMMYFUNCTION("""COMPUTED_VALUE"""),"SG,SF")</f>
        <v>SG,SF</v>
      </c>
      <c r="F138" s="53">
        <f>IFERROR(__xludf.DUMMYFUNCTION("""COMPUTED_VALUE"""),-2.632893921995699)</f>
        <v>-2.632893922</v>
      </c>
      <c r="G138" s="53">
        <f>IFERROR(__xludf.DUMMYFUNCTION("""COMPUTED_VALUE"""),-1.175400257205753)</f>
        <v>-1.175400257</v>
      </c>
      <c r="H138" s="53">
        <f>IFERROR(__xludf.DUMMYFUNCTION("""COMPUTED_VALUE"""),1.4574936647899461)</f>
        <v>1.457493665</v>
      </c>
      <c r="I138" s="53">
        <f>IFERROR(__xludf.DUMMYFUNCTION("""COMPUTED_VALUE"""),9.3)</f>
        <v>9.3</v>
      </c>
      <c r="J138" s="53">
        <f>IFERROR(__xludf.DUMMYFUNCTION("""COMPUTED_VALUE"""),2.0)</f>
        <v>2</v>
      </c>
      <c r="K138" s="53">
        <f>IFERROR(__xludf.DUMMYFUNCTION("""COMPUTED_VALUE"""),4.3)</f>
        <v>4.3</v>
      </c>
      <c r="L138" s="53">
        <f>IFERROR(__xludf.DUMMYFUNCTION("""COMPUTED_VALUE"""),3.2)</f>
        <v>3.2</v>
      </c>
      <c r="M138" s="53">
        <f>IFERROR(__xludf.DUMMYFUNCTION("""COMPUTED_VALUE"""),1.3)</f>
        <v>1.3</v>
      </c>
      <c r="N138" s="53">
        <f>IFERROR(__xludf.DUMMYFUNCTION("""COMPUTED_VALUE"""),0.2)</f>
        <v>0.2</v>
      </c>
      <c r="O138" s="53">
        <f>IFERROR(__xludf.DUMMYFUNCTION("""COMPUTED_VALUE"""),42.465753424657535)</f>
        <v>42.46575342</v>
      </c>
      <c r="P138" s="53">
        <f>IFERROR(__xludf.DUMMYFUNCTION("""COMPUTED_VALUE"""),78.57142857142858)</f>
        <v>78.57142857</v>
      </c>
      <c r="Q138" s="53">
        <f>IFERROR(__xludf.DUMMYFUNCTION("""COMPUTED_VALUE"""),1.6)</f>
        <v>1.6</v>
      </c>
      <c r="R138" s="53">
        <f>IFERROR(__xludf.DUMMYFUNCTION("""COMPUTED_VALUE"""),-1.340908205999559)</f>
        <v>-1.340908206</v>
      </c>
      <c r="S138" s="53">
        <f>IFERROR(__xludf.DUMMYFUNCTION("""COMPUTED_VALUE"""),0.30811976229946575)</f>
        <v>0.3081197623</v>
      </c>
      <c r="T138" s="53">
        <f>IFERROR(__xludf.DUMMYFUNCTION("""COMPUTED_VALUE"""),-0.7507252734808988)</f>
        <v>-0.7507252735</v>
      </c>
      <c r="U138" s="53">
        <f>IFERROR(__xludf.DUMMYFUNCTION("""COMPUTED_VALUE"""),-0.32845584569414765)</f>
        <v>-0.3284558457</v>
      </c>
      <c r="V138" s="53">
        <f>IFERROR(__xludf.DUMMYFUNCTION("""COMPUTED_VALUE"""),0.6657790304411786)</f>
        <v>0.6657790304</v>
      </c>
      <c r="W138" s="53">
        <f>IFERROR(__xludf.DUMMYFUNCTION("""COMPUTED_VALUE"""),-0.6583300762210907)</f>
        <v>-0.6583300762</v>
      </c>
      <c r="X138" s="53">
        <f>IFERROR(__xludf.DUMMYFUNCTION("""COMPUTED_VALUE"""),-0.5200953654827745)</f>
        <v>-0.5200953655</v>
      </c>
      <c r="Y138" s="53">
        <f>IFERROR(__xludf.DUMMYFUNCTION("""COMPUTED_VALUE"""),-0.014221707477619961)</f>
        <v>-0.01422170748</v>
      </c>
      <c r="Z138" s="53">
        <f>IFERROR(__xludf.DUMMYFUNCTION("""COMPUTED_VALUE"""),0.12252921841013387)</f>
        <v>0.1225292184</v>
      </c>
      <c r="AA138" t="str">
        <f>IFERROR(__xludf.DUMMYFUNCTION("SUBSTITUTE(REGEXREPLACE(REGEXREPLACE(REGEXREPLACE(REGEXREPLACE(REGEXREPLACE(REGEXREPLACE(E138,"","",),IF(Projections!$U$3="""",""PG"",),),IF(Projections!$V$3="""",""SG"",),),IF(Projections!$W$3="""",""SF"",),),IF(Projections!$X$3="""",""PF"",),),IF(Projec"&amp;"tions!$Y$3="""",""C"",),),""/"","""")"),"SGSF")</f>
        <v>SGSF</v>
      </c>
    </row>
    <row r="139">
      <c r="A139" t="str">
        <f>IF(Projections!$H$3,Draft!N5,"")</f>
        <v/>
      </c>
      <c r="B139">
        <f>IFERROR(__xludf.DUMMYFUNCTION("""COMPUTED_VALUE"""),134.0)</f>
        <v>134</v>
      </c>
      <c r="C139" t="str">
        <f>IFERROR(__xludf.DUMMYFUNCTION("""COMPUTED_VALUE"""),"Jevon Carter")</f>
        <v>Jevon Carter</v>
      </c>
      <c r="D139">
        <f>IFERROR(__xludf.DUMMYFUNCTION("""COMPUTED_VALUE"""),72.0)</f>
        <v>72</v>
      </c>
      <c r="E139" t="str">
        <f>IFERROR(__xludf.DUMMYFUNCTION("""COMPUTED_VALUE"""),"PG,SG")</f>
        <v>PG,SG</v>
      </c>
      <c r="F139" s="53">
        <f>IFERROR(__xludf.DUMMYFUNCTION("""COMPUTED_VALUE"""),-2.7845449307762387)</f>
        <v>-2.784544931</v>
      </c>
      <c r="G139" s="53">
        <f>IFERROR(__xludf.DUMMYFUNCTION("""COMPUTED_VALUE"""),-1.215611597056734)</f>
        <v>-1.215611597</v>
      </c>
      <c r="H139" s="53">
        <f>IFERROR(__xludf.DUMMYFUNCTION("""COMPUTED_VALUE"""),1.5689333337195046)</f>
        <v>1.568933334</v>
      </c>
      <c r="I139" s="53">
        <f>IFERROR(__xludf.DUMMYFUNCTION("""COMPUTED_VALUE"""),10.0)</f>
        <v>10</v>
      </c>
      <c r="J139" s="53">
        <f>IFERROR(__xludf.DUMMYFUNCTION("""COMPUTED_VALUE"""),2.2)</f>
        <v>2.2</v>
      </c>
      <c r="K139" s="53">
        <f>IFERROR(__xludf.DUMMYFUNCTION("""COMPUTED_VALUE"""),3.3)</f>
        <v>3.3</v>
      </c>
      <c r="L139" s="53">
        <f>IFERROR(__xludf.DUMMYFUNCTION("""COMPUTED_VALUE"""),3.8)</f>
        <v>3.8</v>
      </c>
      <c r="M139" s="53">
        <f>IFERROR(__xludf.DUMMYFUNCTION("""COMPUTED_VALUE"""),1.0)</f>
        <v>1</v>
      </c>
      <c r="N139" s="53">
        <f>IFERROR(__xludf.DUMMYFUNCTION("""COMPUTED_VALUE"""),0.5)</f>
        <v>0.5</v>
      </c>
      <c r="O139" s="53">
        <f>IFERROR(__xludf.DUMMYFUNCTION("""COMPUTED_VALUE"""),43.02325581395349)</f>
        <v>43.02325581</v>
      </c>
      <c r="P139" s="53">
        <f>IFERROR(__xludf.DUMMYFUNCTION("""COMPUTED_VALUE"""),83.33333333333334)</f>
        <v>83.33333333</v>
      </c>
      <c r="Q139" s="53">
        <f>IFERROR(__xludf.DUMMYFUNCTION("""COMPUTED_VALUE"""),1.2)</f>
        <v>1.2</v>
      </c>
      <c r="R139" s="53">
        <f>IFERROR(__xludf.DUMMYFUNCTION("""COMPUTED_VALUE"""),-1.22293974212863)</f>
        <v>-1.222939742</v>
      </c>
      <c r="S139" s="53">
        <f>IFERROR(__xludf.DUMMYFUNCTION("""COMPUTED_VALUE"""),0.48154551969128473)</f>
        <v>0.4815455197</v>
      </c>
      <c r="T139" s="53">
        <f>IFERROR(__xludf.DUMMYFUNCTION("""COMPUTED_VALUE"""),-1.1688789720406272)</f>
        <v>-1.168878972</v>
      </c>
      <c r="U139" s="53">
        <f>IFERROR(__xludf.DUMMYFUNCTION("""COMPUTED_VALUE"""),-0.022441082625066444)</f>
        <v>-0.02244108263</v>
      </c>
      <c r="V139" s="53">
        <f>IFERROR(__xludf.DUMMYFUNCTION("""COMPUTED_VALUE"""),0.011629328042640127)</f>
        <v>0.01162932804</v>
      </c>
      <c r="W139" s="53">
        <f>IFERROR(__xludf.DUMMYFUNCTION("""COMPUTED_VALUE"""),-0.2643825572058105)</f>
        <v>-0.2643825572</v>
      </c>
      <c r="X139" s="53">
        <f>IFERROR(__xludf.DUMMYFUNCTION("""COMPUTED_VALUE"""),-0.564824299030529)</f>
        <v>-0.564824299</v>
      </c>
      <c r="Y139" s="53">
        <f>IFERROR(__xludf.DUMMYFUNCTION("""COMPUTED_VALUE"""),0.0650262290423206)</f>
        <v>0.06502622904</v>
      </c>
      <c r="Z139" s="53">
        <f>IFERROR(__xludf.DUMMYFUNCTION("""COMPUTED_VALUE"""),0.24671423706905354)</f>
        <v>0.2467142371</v>
      </c>
      <c r="AA139" t="str">
        <f>IFERROR(__xludf.DUMMYFUNCTION("SUBSTITUTE(REGEXREPLACE(REGEXREPLACE(REGEXREPLACE(REGEXREPLACE(REGEXREPLACE(REGEXREPLACE(E139,"","",),IF(Projections!$U$3="""",""PG"",),),IF(Projections!$V$3="""",""SG"",),),IF(Projections!$W$3="""",""SF"",),),IF(Projections!$X$3="""",""PF"",),),IF(Projec"&amp;"tions!$Y$3="""",""C"",),),""/"","""")"),"PGSG")</f>
        <v>PGSG</v>
      </c>
    </row>
    <row r="140">
      <c r="A140" t="str">
        <f>IF(Projections!$H$3,Draft!N6,"")</f>
        <v/>
      </c>
      <c r="B140">
        <f>IFERROR(__xludf.DUMMYFUNCTION("""COMPUTED_VALUE"""),135.0)</f>
        <v>135</v>
      </c>
      <c r="C140" t="str">
        <f>IFERROR(__xludf.DUMMYFUNCTION("""COMPUTED_VALUE"""),"Kyle Lowry")</f>
        <v>Kyle Lowry</v>
      </c>
      <c r="D140">
        <f>IFERROR(__xludf.DUMMYFUNCTION("""COMPUTED_VALUE"""),60.0)</f>
        <v>60</v>
      </c>
      <c r="E140" t="str">
        <f>IFERROR(__xludf.DUMMYFUNCTION("""COMPUTED_VALUE"""),"PG")</f>
        <v>PG</v>
      </c>
      <c r="F140" s="53">
        <f>IFERROR(__xludf.DUMMYFUNCTION("""COMPUTED_VALUE"""),-2.809951972590873)</f>
        <v>-2.809951973</v>
      </c>
      <c r="G140" s="53">
        <f>IFERROR(__xludf.DUMMYFUNCTION("""COMPUTED_VALUE"""),-1.2161550733616007)</f>
        <v>-1.216155073</v>
      </c>
      <c r="H140" s="53">
        <f>IFERROR(__xludf.DUMMYFUNCTION("""COMPUTED_VALUE"""),1.5937968992292724)</f>
        <v>1.593796899</v>
      </c>
      <c r="I140" s="53">
        <f>IFERROR(__xludf.DUMMYFUNCTION("""COMPUTED_VALUE"""),10.0)</f>
        <v>10</v>
      </c>
      <c r="J140" s="53">
        <f>IFERROR(__xludf.DUMMYFUNCTION("""COMPUTED_VALUE"""),1.7)</f>
        <v>1.7</v>
      </c>
      <c r="K140" s="53">
        <f>IFERROR(__xludf.DUMMYFUNCTION("""COMPUTED_VALUE"""),3.5)</f>
        <v>3.5</v>
      </c>
      <c r="L140" s="53">
        <f>IFERROR(__xludf.DUMMYFUNCTION("""COMPUTED_VALUE"""),5.2)</f>
        <v>5.2</v>
      </c>
      <c r="M140" s="53">
        <f>IFERROR(__xludf.DUMMYFUNCTION("""COMPUTED_VALUE"""),0.9)</f>
        <v>0.9</v>
      </c>
      <c r="N140" s="53">
        <f>IFERROR(__xludf.DUMMYFUNCTION("""COMPUTED_VALUE"""),0.3)</f>
        <v>0.3</v>
      </c>
      <c r="O140" s="53">
        <f>IFERROR(__xludf.DUMMYFUNCTION("""COMPUTED_VALUE"""),42.857142857142854)</f>
        <v>42.85714286</v>
      </c>
      <c r="P140" s="53">
        <f>IFERROR(__xludf.DUMMYFUNCTION("""COMPUTED_VALUE"""),85.71428571428571)</f>
        <v>85.71428571</v>
      </c>
      <c r="Q140" s="53">
        <f>IFERROR(__xludf.DUMMYFUNCTION("""COMPUTED_VALUE"""),1.9)</f>
        <v>1.9</v>
      </c>
      <c r="R140" s="53">
        <f>IFERROR(__xludf.DUMMYFUNCTION("""COMPUTED_VALUE"""),-1.22293974212863)</f>
        <v>-1.222939742</v>
      </c>
      <c r="S140" s="53">
        <f>IFERROR(__xludf.DUMMYFUNCTION("""COMPUTED_VALUE"""),0.047981126211737425)</f>
        <v>0.04798112621</v>
      </c>
      <c r="T140" s="53">
        <f>IFERROR(__xludf.DUMMYFUNCTION("""COMPUTED_VALUE"""),-1.0852482323286814)</f>
        <v>-1.085248232</v>
      </c>
      <c r="U140" s="53">
        <f>IFERROR(__xludf.DUMMYFUNCTION("""COMPUTED_VALUE"""),0.6915933645361237)</f>
        <v>0.6915933645</v>
      </c>
      <c r="V140" s="53">
        <f>IFERROR(__xludf.DUMMYFUNCTION("""COMPUTED_VALUE"""),-0.2064205727568726)</f>
        <v>-0.2064205728</v>
      </c>
      <c r="W140" s="53">
        <f>IFERROR(__xludf.DUMMYFUNCTION("""COMPUTED_VALUE"""),-0.5270142365493308)</f>
        <v>-0.5270142365</v>
      </c>
      <c r="X140" s="53">
        <f>IFERROR(__xludf.DUMMYFUNCTION("""COMPUTED_VALUE"""),-0.5184909599709192)</f>
        <v>-0.51849096</v>
      </c>
      <c r="Y140" s="53">
        <f>IFERROR(__xludf.DUMMYFUNCTION("""COMPUTED_VALUE"""),0.3520539830803979)</f>
        <v>0.3520539831</v>
      </c>
      <c r="Z140" s="53">
        <f>IFERROR(__xludf.DUMMYFUNCTION("""COMPUTED_VALUE"""),0.029390454415944182)</f>
        <v>0.02939045442</v>
      </c>
      <c r="AA140" t="str">
        <f>IFERROR(__xludf.DUMMYFUNCTION("SUBSTITUTE(REGEXREPLACE(REGEXREPLACE(REGEXREPLACE(REGEXREPLACE(REGEXREPLACE(REGEXREPLACE(E140,"","",),IF(Projections!$U$3="""",""PG"",),),IF(Projections!$V$3="""",""SG"",),),IF(Projections!$W$3="""",""SF"",),),IF(Projections!$X$3="""",""PF"",),),IF(Projec"&amp;"tions!$Y$3="""",""C"",),),""/"","""")"),"PG")</f>
        <v>PG</v>
      </c>
    </row>
    <row r="141">
      <c r="A141" t="str">
        <f>IF(Projections!$H$3,Draft!N7,"")</f>
        <v/>
      </c>
      <c r="B141">
        <f>IFERROR(__xludf.DUMMYFUNCTION("""COMPUTED_VALUE"""),143.0)</f>
        <v>143</v>
      </c>
      <c r="C141" t="str">
        <f>IFERROR(__xludf.DUMMYFUNCTION("""COMPUTED_VALUE"""),"Russell Westbrook")</f>
        <v>Russell Westbrook</v>
      </c>
      <c r="D141">
        <f>IFERROR(__xludf.DUMMYFUNCTION("""COMPUTED_VALUE"""),74.0)</f>
        <v>74</v>
      </c>
      <c r="E141" t="str">
        <f>IFERROR(__xludf.DUMMYFUNCTION("""COMPUTED_VALUE"""),"PG")</f>
        <v>PG</v>
      </c>
      <c r="F141" s="53">
        <f>IFERROR(__xludf.DUMMYFUNCTION("""COMPUTED_VALUE"""),-3.188079076564099)</f>
        <v>-3.188079077</v>
      </c>
      <c r="G141" s="53">
        <f>IFERROR(__xludf.DUMMYFUNCTION("""COMPUTED_VALUE"""),-1.243341897436531)</f>
        <v>-1.243341897</v>
      </c>
      <c r="H141" s="53">
        <f>IFERROR(__xludf.DUMMYFUNCTION("""COMPUTED_VALUE"""),1.9447371791275683)</f>
        <v>1.944737179</v>
      </c>
      <c r="I141" s="53">
        <f>IFERROR(__xludf.DUMMYFUNCTION("""COMPUTED_VALUE"""),15.9)</f>
        <v>15.9</v>
      </c>
      <c r="J141" s="53">
        <f>IFERROR(__xludf.DUMMYFUNCTION("""COMPUTED_VALUE"""),1.0)</f>
        <v>1</v>
      </c>
      <c r="K141" s="53">
        <f>IFERROR(__xludf.DUMMYFUNCTION("""COMPUTED_VALUE"""),6.1)</f>
        <v>6.1</v>
      </c>
      <c r="L141" s="53">
        <f>IFERROR(__xludf.DUMMYFUNCTION("""COMPUTED_VALUE"""),6.7)</f>
        <v>6.7</v>
      </c>
      <c r="M141" s="53">
        <f>IFERROR(__xludf.DUMMYFUNCTION("""COMPUTED_VALUE"""),0.9)</f>
        <v>0.9</v>
      </c>
      <c r="N141" s="53">
        <f>IFERROR(__xludf.DUMMYFUNCTION("""COMPUTED_VALUE"""),0.3)</f>
        <v>0.3</v>
      </c>
      <c r="O141" s="53">
        <f>IFERROR(__xludf.DUMMYFUNCTION("""COMPUTED_VALUE"""),44.11764705882353)</f>
        <v>44.11764706</v>
      </c>
      <c r="P141" s="53">
        <f>IFERROR(__xludf.DUMMYFUNCTION("""COMPUTED_VALUE"""),65.9090909090909)</f>
        <v>65.90909091</v>
      </c>
      <c r="Q141" s="53">
        <f>IFERROR(__xludf.DUMMYFUNCTION("""COMPUTED_VALUE"""),3.4)</f>
        <v>3.4</v>
      </c>
      <c r="R141" s="53">
        <f>IFERROR(__xludf.DUMMYFUNCTION("""COMPUTED_VALUE"""),-0.22863411807365763)</f>
        <v>-0.2286341181</v>
      </c>
      <c r="S141" s="53">
        <f>IFERROR(__xludf.DUMMYFUNCTION("""COMPUTED_VALUE"""),-0.5590090246596284)</f>
        <v>-0.5590090247</v>
      </c>
      <c r="T141" s="53">
        <f>IFERROR(__xludf.DUMMYFUNCTION("""COMPUTED_VALUE"""),0.0019513839266122224)</f>
        <v>0.001951383927</v>
      </c>
      <c r="U141" s="53">
        <f>IFERROR(__xludf.DUMMYFUNCTION("""COMPUTED_VALUE"""),1.4566302722088273)</f>
        <v>1.456630272</v>
      </c>
      <c r="V141" s="53">
        <f>IFERROR(__xludf.DUMMYFUNCTION("""COMPUTED_VALUE"""),-0.2064205727568726)</f>
        <v>-0.2064205728</v>
      </c>
      <c r="W141" s="53">
        <f>IFERROR(__xludf.DUMMYFUNCTION("""COMPUTED_VALUE"""),-0.5270142365493308)</f>
        <v>-0.5270142365</v>
      </c>
      <c r="X141" s="53">
        <f>IFERROR(__xludf.DUMMYFUNCTION("""COMPUTED_VALUE"""),-0.7445422359774764)</f>
        <v>-0.744542236</v>
      </c>
      <c r="Y141" s="53">
        <f>IFERROR(__xludf.DUMMYFUNCTION("""COMPUTED_VALUE"""),-1.4315611023178847)</f>
        <v>-1.431561102</v>
      </c>
      <c r="Z141" s="53">
        <f>IFERROR(__xludf.DUMMYFUNCTION("""COMPUTED_VALUE"""),-0.4363033655550045)</f>
        <v>-0.4363033656</v>
      </c>
      <c r="AA141" t="str">
        <f>IFERROR(__xludf.DUMMYFUNCTION("SUBSTITUTE(REGEXREPLACE(REGEXREPLACE(REGEXREPLACE(REGEXREPLACE(REGEXREPLACE(REGEXREPLACE(E141,"","",),IF(Projections!$U$3="""",""PG"",),),IF(Projections!$V$3="""",""SG"",),),IF(Projections!$W$3="""",""SF"",),),IF(Projections!$X$3="""",""PF"",),),IF(Projec"&amp;"tions!$Y$3="""",""C"",),),""/"","""")"),"PG")</f>
        <v>PG</v>
      </c>
    </row>
    <row r="142">
      <c r="A142" t="str">
        <f>IF(Projections!$H$3,Draft!N8,"")</f>
        <v/>
      </c>
      <c r="B142">
        <f>IFERROR(__xludf.DUMMYFUNCTION("""COMPUTED_VALUE"""),132.0)</f>
        <v>132</v>
      </c>
      <c r="C142" t="str">
        <f>IFERROR(__xludf.DUMMYFUNCTION("""COMPUTED_VALUE"""),"Matisse Thybulle")</f>
        <v>Matisse Thybulle</v>
      </c>
      <c r="D142">
        <f>IFERROR(__xludf.DUMMYFUNCTION("""COMPUTED_VALUE"""),72.0)</f>
        <v>72</v>
      </c>
      <c r="E142" t="str">
        <f>IFERROR(__xludf.DUMMYFUNCTION("""COMPUTED_VALUE"""),"SG,SF")</f>
        <v>SG,SF</v>
      </c>
      <c r="F142" s="53">
        <f>IFERROR(__xludf.DUMMYFUNCTION("""COMPUTED_VALUE"""),-2.7101049994070276)</f>
        <v>-2.710104999</v>
      </c>
      <c r="G142" s="53">
        <f>IFERROR(__xludf.DUMMYFUNCTION("""COMPUTED_VALUE"""),-1.2758113693128297)</f>
        <v>-1.275811369</v>
      </c>
      <c r="H142" s="53">
        <f>IFERROR(__xludf.DUMMYFUNCTION("""COMPUTED_VALUE"""),1.434293630094198)</f>
        <v>1.43429363</v>
      </c>
      <c r="I142" s="53">
        <f>IFERROR(__xludf.DUMMYFUNCTION("""COMPUTED_VALUE"""),6.8)</f>
        <v>6.8</v>
      </c>
      <c r="J142" s="53">
        <f>IFERROR(__xludf.DUMMYFUNCTION("""COMPUTED_VALUE"""),1.2)</f>
        <v>1.2</v>
      </c>
      <c r="K142" s="53">
        <f>IFERROR(__xludf.DUMMYFUNCTION("""COMPUTED_VALUE"""),2.8)</f>
        <v>2.8</v>
      </c>
      <c r="L142" s="53">
        <f>IFERROR(__xludf.DUMMYFUNCTION("""COMPUTED_VALUE"""),1.2)</f>
        <v>1.2</v>
      </c>
      <c r="M142" s="53">
        <f>IFERROR(__xludf.DUMMYFUNCTION("""COMPUTED_VALUE"""),1.6)</f>
        <v>1.6</v>
      </c>
      <c r="N142" s="53">
        <f>IFERROR(__xludf.DUMMYFUNCTION("""COMPUTED_VALUE"""),1.0)</f>
        <v>1</v>
      </c>
      <c r="O142" s="53">
        <f>IFERROR(__xludf.DUMMYFUNCTION("""COMPUTED_VALUE"""),46.42857142857144)</f>
        <v>46.42857143</v>
      </c>
      <c r="P142" s="53">
        <f>IFERROR(__xludf.DUMMYFUNCTION("""COMPUTED_VALUE"""),71.42857142857143)</f>
        <v>71.42857143</v>
      </c>
      <c r="Q142" s="53">
        <f>IFERROR(__xludf.DUMMYFUNCTION("""COMPUTED_VALUE"""),0.6)</f>
        <v>0.6</v>
      </c>
      <c r="R142" s="53">
        <f>IFERROR(__xludf.DUMMYFUNCTION("""COMPUTED_VALUE"""),-1.7622241483957337)</f>
        <v>-1.762224148</v>
      </c>
      <c r="S142" s="53">
        <f>IFERROR(__xludf.DUMMYFUNCTION("""COMPUTED_VALUE"""),-0.38558326726780967)</f>
        <v>-0.3855832673</v>
      </c>
      <c r="T142" s="53">
        <f>IFERROR(__xludf.DUMMYFUNCTION("""COMPUTED_VALUE"""),-1.3779558213204914)</f>
        <v>-1.377955821</v>
      </c>
      <c r="U142" s="53">
        <f>IFERROR(__xludf.DUMMYFUNCTION("""COMPUTED_VALUE"""),-1.3485050559244194)</f>
        <v>-1.348505056</v>
      </c>
      <c r="V142" s="53">
        <f>IFERROR(__xludf.DUMMYFUNCTION("""COMPUTED_VALUE"""),1.319928732839717)</f>
        <v>1.319928733</v>
      </c>
      <c r="W142" s="53">
        <f>IFERROR(__xludf.DUMMYFUNCTION("""COMPUTED_VALUE"""),0.39219664115299)</f>
        <v>0.3921966412</v>
      </c>
      <c r="X142" s="53">
        <f>IFERROR(__xludf.DUMMYFUNCTION("""COMPUTED_VALUE"""),-0.17731132867916297)</f>
        <v>-0.1773113287</v>
      </c>
      <c r="Y142" s="53">
        <f>IFERROR(__xludf.DUMMYFUNCTION("""COMPUTED_VALUE"""),-0.13157303517108632)</f>
        <v>-0.1315730352</v>
      </c>
      <c r="Z142" s="53">
        <f>IFERROR(__xludf.DUMMYFUNCTION("""COMPUTED_VALUE"""),0.43299176505743303)</f>
        <v>0.4329917651</v>
      </c>
      <c r="AA142" t="str">
        <f>IFERROR(__xludf.DUMMYFUNCTION("SUBSTITUTE(REGEXREPLACE(REGEXREPLACE(REGEXREPLACE(REGEXREPLACE(REGEXREPLACE(REGEXREPLACE(E142,"","",),IF(Projections!$U$3="""",""PG"",),),IF(Projections!$V$3="""",""SG"",),),IF(Projections!$W$3="""",""SF"",),),IF(Projections!$X$3="""",""PF"",),),IF(Projec"&amp;"tions!$Y$3="""",""C"",),),""/"","""")"),"SGSF")</f>
        <v>SGSF</v>
      </c>
    </row>
    <row r="143">
      <c r="A143" t="str">
        <f>IF(Projections!$H$3,Draft!N9,"")</f>
        <v/>
      </c>
      <c r="B143">
        <f>IFERROR(__xludf.DUMMYFUNCTION("""COMPUTED_VALUE"""),138.0)</f>
        <v>138</v>
      </c>
      <c r="C143" t="str">
        <f>IFERROR(__xludf.DUMMYFUNCTION("""COMPUTED_VALUE"""),"Norman Powell")</f>
        <v>Norman Powell</v>
      </c>
      <c r="D143">
        <f>IFERROR(__xludf.DUMMYFUNCTION("""COMPUTED_VALUE"""),60.0)</f>
        <v>60</v>
      </c>
      <c r="E143" t="str">
        <f>IFERROR(__xludf.DUMMYFUNCTION("""COMPUTED_VALUE"""),"SG,SF")</f>
        <v>SG,SF</v>
      </c>
      <c r="F143" s="53">
        <f>IFERROR(__xludf.DUMMYFUNCTION("""COMPUTED_VALUE"""),-2.9260261052431127)</f>
        <v>-2.926026105</v>
      </c>
      <c r="G143" s="53">
        <f>IFERROR(__xludf.DUMMYFUNCTION("""COMPUTED_VALUE"""),-1.2795286320378136)</f>
        <v>-1.279528632</v>
      </c>
      <c r="H143" s="53">
        <f>IFERROR(__xludf.DUMMYFUNCTION("""COMPUTED_VALUE"""),1.646497473205299)</f>
        <v>1.646497473</v>
      </c>
      <c r="I143" s="53">
        <f>IFERROR(__xludf.DUMMYFUNCTION("""COMPUTED_VALUE"""),17.0)</f>
        <v>17</v>
      </c>
      <c r="J143" s="53">
        <f>IFERROR(__xludf.DUMMYFUNCTION("""COMPUTED_VALUE"""),2.0)</f>
        <v>2</v>
      </c>
      <c r="K143" s="53">
        <f>IFERROR(__xludf.DUMMYFUNCTION("""COMPUTED_VALUE"""),2.9)</f>
        <v>2.9</v>
      </c>
      <c r="L143" s="53">
        <f>IFERROR(__xludf.DUMMYFUNCTION("""COMPUTED_VALUE"""),1.9)</f>
        <v>1.9</v>
      </c>
      <c r="M143" s="53">
        <f>IFERROR(__xludf.DUMMYFUNCTION("""COMPUTED_VALUE"""),0.8)</f>
        <v>0.8</v>
      </c>
      <c r="N143" s="53">
        <f>IFERROR(__xludf.DUMMYFUNCTION("""COMPUTED_VALUE"""),0.4)</f>
        <v>0.4</v>
      </c>
      <c r="O143" s="53">
        <f>IFERROR(__xludf.DUMMYFUNCTION("""COMPUTED_VALUE"""),47.05882352941176)</f>
        <v>47.05882353</v>
      </c>
      <c r="P143" s="53">
        <f>IFERROR(__xludf.DUMMYFUNCTION("""COMPUTED_VALUE"""),82.6086956521739)</f>
        <v>82.60869565</v>
      </c>
      <c r="Q143" s="53">
        <f>IFERROR(__xludf.DUMMYFUNCTION("""COMPUTED_VALUE"""),1.5)</f>
        <v>1.5</v>
      </c>
      <c r="R143" s="53">
        <f>IFERROR(__xludf.DUMMYFUNCTION("""COMPUTED_VALUE"""),-0.04325510341934079)</f>
        <v>-0.04325510342</v>
      </c>
      <c r="S143" s="53">
        <f>IFERROR(__xludf.DUMMYFUNCTION("""COMPUTED_VALUE"""),0.30811976229946575)</f>
        <v>0.3081197623</v>
      </c>
      <c r="T143" s="53">
        <f>IFERROR(__xludf.DUMMYFUNCTION("""COMPUTED_VALUE"""),-1.3361404514645185)</f>
        <v>-1.336140451</v>
      </c>
      <c r="U143" s="53">
        <f>IFERROR(__xludf.DUMMYFUNCTION("""COMPUTED_VALUE"""),-0.9914878323438243)</f>
        <v>-0.9914878323</v>
      </c>
      <c r="V143" s="53">
        <f>IFERROR(__xludf.DUMMYFUNCTION("""COMPUTED_VALUE"""),-0.42447047355638534)</f>
        <v>-0.4244704736</v>
      </c>
      <c r="W143" s="53">
        <f>IFERROR(__xludf.DUMMYFUNCTION("""COMPUTED_VALUE"""),-0.39569839687757064)</f>
        <v>-0.3956983969</v>
      </c>
      <c r="X143" s="53">
        <f>IFERROR(__xludf.DUMMYFUNCTION("""COMPUTED_VALUE"""),-0.30187169625129495)</f>
        <v>-0.3018716963</v>
      </c>
      <c r="Y143" s="53">
        <f>IFERROR(__xludf.DUMMYFUNCTION("""COMPUTED_VALUE"""),0.41555963503627347)</f>
        <v>0.415559635</v>
      </c>
      <c r="Z143" s="53">
        <f>IFERROR(__xludf.DUMMYFUNCTION("""COMPUTED_VALUE"""),0.1535754730748638)</f>
        <v>0.1535754731</v>
      </c>
      <c r="AA143" t="str">
        <f>IFERROR(__xludf.DUMMYFUNCTION("SUBSTITUTE(REGEXREPLACE(REGEXREPLACE(REGEXREPLACE(REGEXREPLACE(REGEXREPLACE(REGEXREPLACE(E143,"","",),IF(Projections!$U$3="""",""PG"",),),IF(Projections!$V$3="""",""SG"",),),IF(Projections!$W$3="""",""SF"",),),IF(Projections!$X$3="""",""PF"",),),IF(Projec"&amp;"tions!$Y$3="""",""C"",),),""/"","""")"),"SGSF")</f>
        <v>SGSF</v>
      </c>
    </row>
    <row r="144">
      <c r="A144" t="str">
        <f>IF(Projections!$H$3,Draft!N10,"")</f>
        <v/>
      </c>
      <c r="B144">
        <f>IFERROR(__xludf.DUMMYFUNCTION("""COMPUTED_VALUE"""),140.0)</f>
        <v>140</v>
      </c>
      <c r="C144" t="str">
        <f>IFERROR(__xludf.DUMMYFUNCTION("""COMPUTED_VALUE"""),"Bogdan Bogdanovic")</f>
        <v>Bogdan Bogdanovic</v>
      </c>
      <c r="D144">
        <f>IFERROR(__xludf.DUMMYFUNCTION("""COMPUTED_VALUE"""),52.0)</f>
        <v>52</v>
      </c>
      <c r="E144" t="str">
        <f>IFERROR(__xludf.DUMMYFUNCTION("""COMPUTED_VALUE"""),"SG,SF,PF")</f>
        <v>SG,SF,PF</v>
      </c>
      <c r="F144" s="53">
        <f>IFERROR(__xludf.DUMMYFUNCTION("""COMPUTED_VALUE"""),-2.9753397373542674)</f>
        <v>-2.975339737</v>
      </c>
      <c r="G144" s="53">
        <f>IFERROR(__xludf.DUMMYFUNCTION("""COMPUTED_VALUE"""),-1.3425046826821734)</f>
        <v>-1.342504683</v>
      </c>
      <c r="H144" s="53">
        <f>IFERROR(__xludf.DUMMYFUNCTION("""COMPUTED_VALUE"""),1.632835054672094)</f>
        <v>1.632835055</v>
      </c>
      <c r="I144" s="53">
        <f>IFERROR(__xludf.DUMMYFUNCTION("""COMPUTED_VALUE"""),13.8)</f>
        <v>13.8</v>
      </c>
      <c r="J144" s="53">
        <f>IFERROR(__xludf.DUMMYFUNCTION("""COMPUTED_VALUE"""),2.5)</f>
        <v>2.5</v>
      </c>
      <c r="K144" s="53">
        <f>IFERROR(__xludf.DUMMYFUNCTION("""COMPUTED_VALUE"""),3.4)</f>
        <v>3.4</v>
      </c>
      <c r="L144" s="53">
        <f>IFERROR(__xludf.DUMMYFUNCTION("""COMPUTED_VALUE"""),2.8)</f>
        <v>2.8</v>
      </c>
      <c r="M144" s="53">
        <f>IFERROR(__xludf.DUMMYFUNCTION("""COMPUTED_VALUE"""),0.9)</f>
        <v>0.9</v>
      </c>
      <c r="N144" s="53">
        <f>IFERROR(__xludf.DUMMYFUNCTION("""COMPUTED_VALUE"""),0.3)</f>
        <v>0.3</v>
      </c>
      <c r="O144" s="53">
        <f>IFERROR(__xludf.DUMMYFUNCTION("""COMPUTED_VALUE"""),44.24778761061947)</f>
        <v>44.24778761</v>
      </c>
      <c r="P144" s="53">
        <f>IFERROR(__xludf.DUMMYFUNCTION("""COMPUTED_VALUE"""),81.25)</f>
        <v>81.25</v>
      </c>
      <c r="Q144" s="53">
        <f>IFERROR(__xludf.DUMMYFUNCTION("""COMPUTED_VALUE"""),1.1)</f>
        <v>1.1</v>
      </c>
      <c r="R144" s="53">
        <f>IFERROR(__xludf.DUMMYFUNCTION("""COMPUTED_VALUE"""),-0.5825395096864444)</f>
        <v>-0.5825395097</v>
      </c>
      <c r="S144" s="53">
        <f>IFERROR(__xludf.DUMMYFUNCTION("""COMPUTED_VALUE"""),0.7416841557790128)</f>
        <v>0.7416841558</v>
      </c>
      <c r="T144" s="53">
        <f>IFERROR(__xludf.DUMMYFUNCTION("""COMPUTED_VALUE"""),-1.1270636021846543)</f>
        <v>-1.127063602</v>
      </c>
      <c r="U144" s="53">
        <f>IFERROR(__xludf.DUMMYFUNCTION("""COMPUTED_VALUE"""),-0.5324656877402022)</f>
        <v>-0.5324656877</v>
      </c>
      <c r="V144" s="53">
        <f>IFERROR(__xludf.DUMMYFUNCTION("""COMPUTED_VALUE"""),-0.2064205727568726)</f>
        <v>-0.2064205728</v>
      </c>
      <c r="W144" s="53">
        <f>IFERROR(__xludf.DUMMYFUNCTION("""COMPUTED_VALUE"""),-0.5270142365493308)</f>
        <v>-0.5270142365</v>
      </c>
      <c r="X144" s="53">
        <f>IFERROR(__xludf.DUMMYFUNCTION("""COMPUTED_VALUE"""),-0.6039378132867901)</f>
        <v>-0.6039378133</v>
      </c>
      <c r="Y144" s="53">
        <f>IFERROR(__xludf.DUMMYFUNCTION("""COMPUTED_VALUE"""),0.0904284898246707)</f>
        <v>0.09042848982</v>
      </c>
      <c r="Z144" s="53">
        <f>IFERROR(__xludf.DUMMYFUNCTION("""COMPUTED_VALUE"""),0.2777604917337834)</f>
        <v>0.2777604917</v>
      </c>
      <c r="AA144" t="str">
        <f>IFERROR(__xludf.DUMMYFUNCTION("SUBSTITUTE(REGEXREPLACE(REGEXREPLACE(REGEXREPLACE(REGEXREPLACE(REGEXREPLACE(REGEXREPLACE(E144,"","",),IF(Projections!$U$3="""",""PG"",),),IF(Projections!$V$3="""",""SG"",),),IF(Projections!$W$3="""",""SF"",),),IF(Projections!$X$3="""",""PF"",),),IF(Projec"&amp;"tions!$Y$3="""",""C"",),),""/"","""")"),"SGSFPF")</f>
        <v>SGSFPF</v>
      </c>
    </row>
    <row r="145">
      <c r="A145" t="str">
        <f>IF(Projections!$H$3,Draft!N11,"")</f>
        <v/>
      </c>
      <c r="B145">
        <f>IFERROR(__xludf.DUMMYFUNCTION("""COMPUTED_VALUE"""),127.0)</f>
        <v>127</v>
      </c>
      <c r="C145" t="str">
        <f>IFERROR(__xludf.DUMMYFUNCTION("""COMPUTED_VALUE"""),"Jaden Ivey")</f>
        <v>Jaden Ivey</v>
      </c>
      <c r="D145">
        <f>IFERROR(__xludf.DUMMYFUNCTION("""COMPUTED_VALUE"""),74.0)</f>
        <v>74</v>
      </c>
      <c r="E145" t="str">
        <f>IFERROR(__xludf.DUMMYFUNCTION("""COMPUTED_VALUE"""),"PG,SG")</f>
        <v>PG,SG</v>
      </c>
      <c r="F145" s="53">
        <f>IFERROR(__xludf.DUMMYFUNCTION("""COMPUTED_VALUE"""),-2.5127592060520727)</f>
        <v>-2.512759206</v>
      </c>
      <c r="G145" s="53">
        <f>IFERROR(__xludf.DUMMYFUNCTION("""COMPUTED_VALUE"""),-1.3475891408109772)</f>
        <v>-1.347589141</v>
      </c>
      <c r="H145" s="53">
        <f>IFERROR(__xludf.DUMMYFUNCTION("""COMPUTED_VALUE"""),1.1651700652410955)</f>
        <v>1.165170065</v>
      </c>
      <c r="I145" s="53">
        <f>IFERROR(__xludf.DUMMYFUNCTION("""COMPUTED_VALUE"""),17.7)</f>
        <v>17.7</v>
      </c>
      <c r="J145" s="53">
        <f>IFERROR(__xludf.DUMMYFUNCTION("""COMPUTED_VALUE"""),1.8)</f>
        <v>1.8</v>
      </c>
      <c r="K145" s="53">
        <f>IFERROR(__xludf.DUMMYFUNCTION("""COMPUTED_VALUE"""),4.1)</f>
        <v>4.1</v>
      </c>
      <c r="L145" s="53">
        <f>IFERROR(__xludf.DUMMYFUNCTION("""COMPUTED_VALUE"""),5.5)</f>
        <v>5.5</v>
      </c>
      <c r="M145" s="53">
        <f>IFERROR(__xludf.DUMMYFUNCTION("""COMPUTED_VALUE"""),0.9)</f>
        <v>0.9</v>
      </c>
      <c r="N145" s="53">
        <f>IFERROR(__xludf.DUMMYFUNCTION("""COMPUTED_VALUE"""),0.2)</f>
        <v>0.2</v>
      </c>
      <c r="O145" s="53">
        <f>IFERROR(__xludf.DUMMYFUNCTION("""COMPUTED_VALUE"""),42.5531914893617)</f>
        <v>42.55319149</v>
      </c>
      <c r="P145" s="53">
        <f>IFERROR(__xludf.DUMMYFUNCTION("""COMPUTED_VALUE"""),76.92307692307692)</f>
        <v>76.92307692</v>
      </c>
      <c r="Q145" s="53">
        <f>IFERROR(__xludf.DUMMYFUNCTION("""COMPUTED_VALUE"""),3.4)</f>
        <v>3.4</v>
      </c>
      <c r="R145" s="53">
        <f>IFERROR(__xludf.DUMMYFUNCTION("""COMPUTED_VALUE"""),0.07471336045158804)</f>
        <v>0.07471336045</v>
      </c>
      <c r="S145" s="53">
        <f>IFERROR(__xludf.DUMMYFUNCTION("""COMPUTED_VALUE"""),0.13469400490764694)</f>
        <v>0.1346940049</v>
      </c>
      <c r="T145" s="53">
        <f>IFERROR(__xludf.DUMMYFUNCTION("""COMPUTED_VALUE"""),-0.8343560131928446)</f>
        <v>-0.8343560132</v>
      </c>
      <c r="U145" s="53">
        <f>IFERROR(__xludf.DUMMYFUNCTION("""COMPUTED_VALUE"""),0.8446007460706644)</f>
        <v>0.8446007461</v>
      </c>
      <c r="V145" s="53">
        <f>IFERROR(__xludf.DUMMYFUNCTION("""COMPUTED_VALUE"""),-0.2064205727568726)</f>
        <v>-0.2064205728</v>
      </c>
      <c r="W145" s="53">
        <f>IFERROR(__xludf.DUMMYFUNCTION("""COMPUTED_VALUE"""),-0.6583300762210907)</f>
        <v>-0.6583300762</v>
      </c>
      <c r="X145" s="53">
        <f>IFERROR(__xludf.DUMMYFUNCTION("""COMPUTED_VALUE"""),-0.9922529863940834)</f>
        <v>-0.9922529864</v>
      </c>
      <c r="Y145" s="53">
        <f>IFERROR(__xludf.DUMMYFUNCTION("""COMPUTED_VALUE"""),-0.266187224515064)</f>
        <v>-0.2661872245</v>
      </c>
      <c r="Z145" s="53">
        <f>IFERROR(__xludf.DUMMYFUNCTION("""COMPUTED_VALUE"""),-0.4363033655550045)</f>
        <v>-0.4363033656</v>
      </c>
      <c r="AA145" t="str">
        <f>IFERROR(__xludf.DUMMYFUNCTION("SUBSTITUTE(REGEXREPLACE(REGEXREPLACE(REGEXREPLACE(REGEXREPLACE(REGEXREPLACE(REGEXREPLACE(E145,"","",),IF(Projections!$U$3="""",""PG"",),),IF(Projections!$V$3="""",""SG"",),),IF(Projections!$W$3="""",""SF"",),),IF(Projections!$X$3="""",""PF"",),),IF(Projec"&amp;"tions!$Y$3="""",""C"",),),""/"","""")"),"PGSG")</f>
        <v>PGSG</v>
      </c>
    </row>
    <row r="146">
      <c r="A146" t="str">
        <f>IF(Projections!$H$3,Draft!N12,"")</f>
        <v/>
      </c>
      <c r="B146">
        <f>IFERROR(__xludf.DUMMYFUNCTION("""COMPUTED_VALUE"""),159.0)</f>
        <v>159</v>
      </c>
      <c r="C146" t="str">
        <f>IFERROR(__xludf.DUMMYFUNCTION("""COMPUTED_VALUE"""),"Kevon Looney")</f>
        <v>Kevon Looney</v>
      </c>
      <c r="D146">
        <f>IFERROR(__xludf.DUMMYFUNCTION("""COMPUTED_VALUE"""),80.0)</f>
        <v>80</v>
      </c>
      <c r="E146" t="str">
        <f>IFERROR(__xludf.DUMMYFUNCTION("""COMPUTED_VALUE"""),"PF")</f>
        <v>PF</v>
      </c>
      <c r="F146" s="53">
        <f>IFERROR(__xludf.DUMMYFUNCTION("""COMPUTED_VALUE"""),-4.05694823964966)</f>
        <v>-4.05694824</v>
      </c>
      <c r="G146" s="53">
        <f>IFERROR(__xludf.DUMMYFUNCTION("""COMPUTED_VALUE"""),-1.4219310042175186)</f>
        <v>-1.421931004</v>
      </c>
      <c r="H146" s="53">
        <f>IFERROR(__xludf.DUMMYFUNCTION("""COMPUTED_VALUE"""),2.6350172354321417)</f>
        <v>2.635017235</v>
      </c>
      <c r="I146" s="53">
        <f>IFERROR(__xludf.DUMMYFUNCTION("""COMPUTED_VALUE"""),7.0)</f>
        <v>7</v>
      </c>
      <c r="J146" s="53">
        <f>IFERROR(__xludf.DUMMYFUNCTION("""COMPUTED_VALUE"""),0.0)</f>
        <v>0</v>
      </c>
      <c r="K146" s="53">
        <f>IFERROR(__xludf.DUMMYFUNCTION("""COMPUTED_VALUE"""),9.0)</f>
        <v>9</v>
      </c>
      <c r="L146" s="53">
        <f>IFERROR(__xludf.DUMMYFUNCTION("""COMPUTED_VALUE"""),2.4)</f>
        <v>2.4</v>
      </c>
      <c r="M146" s="53">
        <f>IFERROR(__xludf.DUMMYFUNCTION("""COMPUTED_VALUE"""),0.7)</f>
        <v>0.7</v>
      </c>
      <c r="N146" s="53">
        <f>IFERROR(__xludf.DUMMYFUNCTION("""COMPUTED_VALUE"""),0.7)</f>
        <v>0.7</v>
      </c>
      <c r="O146" s="53">
        <f>IFERROR(__xludf.DUMMYFUNCTION("""COMPUTED_VALUE"""),61.22448979591836)</f>
        <v>61.2244898</v>
      </c>
      <c r="P146" s="53">
        <f>IFERROR(__xludf.DUMMYFUNCTION("""COMPUTED_VALUE"""),61.111111111111114)</f>
        <v>61.11111111</v>
      </c>
      <c r="Q146" s="53">
        <f>IFERROR(__xludf.DUMMYFUNCTION("""COMPUTED_VALUE"""),0.7)</f>
        <v>0.7</v>
      </c>
      <c r="R146" s="53">
        <f>IFERROR(__xludf.DUMMYFUNCTION("""COMPUTED_VALUE"""),-1.72851887300404)</f>
        <v>-1.728518873</v>
      </c>
      <c r="S146" s="53">
        <f>IFERROR(__xludf.DUMMYFUNCTION("""COMPUTED_VALUE"""),-1.4261378116187227)</f>
        <v>-1.426137812</v>
      </c>
      <c r="T146" s="53">
        <f>IFERROR(__xludf.DUMMYFUNCTION("""COMPUTED_VALUE"""),1.2145971097498247)</f>
        <v>1.21459711</v>
      </c>
      <c r="U146" s="53">
        <f>IFERROR(__xludf.DUMMYFUNCTION("""COMPUTED_VALUE"""),-0.7364755297862564)</f>
        <v>-0.7364755298</v>
      </c>
      <c r="V146" s="53">
        <f>IFERROR(__xludf.DUMMYFUNCTION("""COMPUTED_VALUE"""),-0.6425203743558983)</f>
        <v>-0.6425203744</v>
      </c>
      <c r="W146" s="53">
        <f>IFERROR(__xludf.DUMMYFUNCTION("""COMPUTED_VALUE"""),-0.0017508778622903794)</f>
        <v>-0.001750877862</v>
      </c>
      <c r="X146" s="53">
        <f>IFERROR(__xludf.DUMMYFUNCTION("""COMPUTED_VALUE"""),0.5690297335943691)</f>
        <v>0.5690297336</v>
      </c>
      <c r="Y146" s="53">
        <f>IFERROR(__xludf.DUMMYFUNCTION("""COMPUTED_VALUE"""),-0.8006187643312477)</f>
        <v>-0.8006187643</v>
      </c>
      <c r="Z146" s="53">
        <f>IFERROR(__xludf.DUMMYFUNCTION("""COMPUTED_VALUE"""),0.4019455103927031)</f>
        <v>0.4019455104</v>
      </c>
      <c r="AA146" t="str">
        <f>IFERROR(__xludf.DUMMYFUNCTION("SUBSTITUTE(REGEXREPLACE(REGEXREPLACE(REGEXREPLACE(REGEXREPLACE(REGEXREPLACE(REGEXREPLACE(E146,"","",),IF(Projections!$U$3="""",""PG"",),),IF(Projections!$V$3="""",""SG"",),),IF(Projections!$W$3="""",""SF"",),),IF(Projections!$X$3="""",""PF"",),),IF(Projec"&amp;"tions!$Y$3="""",""C"",),),""/"","""")"),"PF")</f>
        <v>PF</v>
      </c>
    </row>
    <row r="147">
      <c r="A147" t="str">
        <f>IF(Projections!$H$3,Draft!N13,"")</f>
        <v/>
      </c>
      <c r="B147">
        <f>IFERROR(__xludf.DUMMYFUNCTION("""COMPUTED_VALUE"""),141.0)</f>
        <v>141</v>
      </c>
      <c r="C147" t="str">
        <f>IFERROR(__xludf.DUMMYFUNCTION("""COMPUTED_VALUE"""),"Saddiq Bey")</f>
        <v>Saddiq Bey</v>
      </c>
      <c r="D147">
        <f>IFERROR(__xludf.DUMMYFUNCTION("""COMPUTED_VALUE"""),78.0)</f>
        <v>78</v>
      </c>
      <c r="E147" t="str">
        <f>IFERROR(__xludf.DUMMYFUNCTION("""COMPUTED_VALUE"""),"SF,PF")</f>
        <v>SF,PF</v>
      </c>
      <c r="F147" s="53">
        <f>IFERROR(__xludf.DUMMYFUNCTION("""COMPUTED_VALUE"""),-2.9857932276445696)</f>
        <v>-2.985793228</v>
      </c>
      <c r="G147" s="53">
        <f>IFERROR(__xludf.DUMMYFUNCTION("""COMPUTED_VALUE"""),-1.4683331475911607)</f>
        <v>-1.468333148</v>
      </c>
      <c r="H147" s="53">
        <f>IFERROR(__xludf.DUMMYFUNCTION("""COMPUTED_VALUE"""),1.5174600800534088)</f>
        <v>1.51746008</v>
      </c>
      <c r="I147" s="53">
        <f>IFERROR(__xludf.DUMMYFUNCTION("""COMPUTED_VALUE"""),15.3)</f>
        <v>15.3</v>
      </c>
      <c r="J147" s="53">
        <f>IFERROR(__xludf.DUMMYFUNCTION("""COMPUTED_VALUE"""),2.2)</f>
        <v>2.2</v>
      </c>
      <c r="K147" s="53">
        <f>IFERROR(__xludf.DUMMYFUNCTION("""COMPUTED_VALUE"""),4.9)</f>
        <v>4.9</v>
      </c>
      <c r="L147" s="53">
        <f>IFERROR(__xludf.DUMMYFUNCTION("""COMPUTED_VALUE"""),2.1)</f>
        <v>2.1</v>
      </c>
      <c r="M147" s="53">
        <f>IFERROR(__xludf.DUMMYFUNCTION("""COMPUTED_VALUE"""),0.9)</f>
        <v>0.9</v>
      </c>
      <c r="N147" s="53">
        <f>IFERROR(__xludf.DUMMYFUNCTION("""COMPUTED_VALUE"""),0.2)</f>
        <v>0.2</v>
      </c>
      <c r="O147" s="53">
        <f>IFERROR(__xludf.DUMMYFUNCTION("""COMPUTED_VALUE"""),42.06349206349206)</f>
        <v>42.06349206</v>
      </c>
      <c r="P147" s="53">
        <f>IFERROR(__xludf.DUMMYFUNCTION("""COMPUTED_VALUE"""),83.33333333333334)</f>
        <v>83.33333333</v>
      </c>
      <c r="Q147" s="53">
        <f>IFERROR(__xludf.DUMMYFUNCTION("""COMPUTED_VALUE"""),1.0)</f>
        <v>1</v>
      </c>
      <c r="R147" s="53">
        <f>IFERROR(__xludf.DUMMYFUNCTION("""COMPUTED_VALUE"""),-0.32974994424873955)</f>
        <v>-0.3297499442</v>
      </c>
      <c r="S147" s="53">
        <f>IFERROR(__xludf.DUMMYFUNCTION("""COMPUTED_VALUE"""),0.48154551969128473)</f>
        <v>0.4815455197</v>
      </c>
      <c r="T147" s="53">
        <f>IFERROR(__xludf.DUMMYFUNCTION("""COMPUTED_VALUE"""),-0.4998330543450616)</f>
        <v>-0.4998330543</v>
      </c>
      <c r="U147" s="53">
        <f>IFERROR(__xludf.DUMMYFUNCTION("""COMPUTED_VALUE"""),-0.8894829113207969)</f>
        <v>-0.8894829113</v>
      </c>
      <c r="V147" s="53">
        <f>IFERROR(__xludf.DUMMYFUNCTION("""COMPUTED_VALUE"""),-0.2064205727568726)</f>
        <v>-0.2064205728</v>
      </c>
      <c r="W147" s="53">
        <f>IFERROR(__xludf.DUMMYFUNCTION("""COMPUTED_VALUE"""),-0.6583300762210907)</f>
        <v>-0.6583300762</v>
      </c>
      <c r="X147" s="53">
        <f>IFERROR(__xludf.DUMMYFUNCTION("""COMPUTED_VALUE"""),-0.9483262556022563)</f>
        <v>-0.9483262556</v>
      </c>
      <c r="Y147" s="53">
        <f>IFERROR(__xludf.DUMMYFUNCTION("""COMPUTED_VALUE"""),0.325131145211603)</f>
        <v>0.3251311452</v>
      </c>
      <c r="Z147" s="53">
        <f>IFERROR(__xludf.DUMMYFUNCTION("""COMPUTED_VALUE"""),0.30880674639851335)</f>
        <v>0.3088067464</v>
      </c>
      <c r="AA147" t="str">
        <f>IFERROR(__xludf.DUMMYFUNCTION("SUBSTITUTE(REGEXREPLACE(REGEXREPLACE(REGEXREPLACE(REGEXREPLACE(REGEXREPLACE(REGEXREPLACE(E147,"","",),IF(Projections!$U$3="""",""PG"",),),IF(Projections!$V$3="""",""SG"",),),IF(Projections!$W$3="""",""SF"",),),IF(Projections!$X$3="""",""PF"",),),IF(Projec"&amp;"tions!$Y$3="""",""C"",),),""/"","""")"),"SFPF")</f>
        <v>SFPF</v>
      </c>
    </row>
    <row r="148">
      <c r="A148" t="str">
        <f>IF(Projections!$H$3,Draft!N14,"")</f>
        <v/>
      </c>
      <c r="B148">
        <f>IFERROR(__xludf.DUMMYFUNCTION("""COMPUTED_VALUE"""),137.0)</f>
        <v>137</v>
      </c>
      <c r="C148" t="str">
        <f>IFERROR(__xludf.DUMMYFUNCTION("""COMPUTED_VALUE"""),"Josh Richardson")</f>
        <v>Josh Richardson</v>
      </c>
      <c r="D148">
        <f>IFERROR(__xludf.DUMMYFUNCTION("""COMPUTED_VALUE"""),65.0)</f>
        <v>65</v>
      </c>
      <c r="E148" t="str">
        <f>IFERROR(__xludf.DUMMYFUNCTION("""COMPUTED_VALUE"""),"SG")</f>
        <v>SG</v>
      </c>
      <c r="F148" s="53">
        <f>IFERROR(__xludf.DUMMYFUNCTION("""COMPUTED_VALUE"""),-2.9036685640614994)</f>
        <v>-2.903668564</v>
      </c>
      <c r="G148" s="53">
        <f>IFERROR(__xludf.DUMMYFUNCTION("""COMPUTED_VALUE"""),-1.5495835507485711)</f>
        <v>-1.549583551</v>
      </c>
      <c r="H148" s="53">
        <f>IFERROR(__xludf.DUMMYFUNCTION("""COMPUTED_VALUE"""),1.3540850133129283)</f>
        <v>1.354085013</v>
      </c>
      <c r="I148" s="53">
        <f>IFERROR(__xludf.DUMMYFUNCTION("""COMPUTED_VALUE"""),11.7)</f>
        <v>11.7</v>
      </c>
      <c r="J148" s="53">
        <f>IFERROR(__xludf.DUMMYFUNCTION("""COMPUTED_VALUE"""),1.9)</f>
        <v>1.9</v>
      </c>
      <c r="K148" s="53">
        <f>IFERROR(__xludf.DUMMYFUNCTION("""COMPUTED_VALUE"""),3.2)</f>
        <v>3.2</v>
      </c>
      <c r="L148" s="53">
        <f>IFERROR(__xludf.DUMMYFUNCTION("""COMPUTED_VALUE"""),2.6)</f>
        <v>2.6</v>
      </c>
      <c r="M148" s="53">
        <f>IFERROR(__xludf.DUMMYFUNCTION("""COMPUTED_VALUE"""),1.1)</f>
        <v>1.1</v>
      </c>
      <c r="N148" s="53">
        <f>IFERROR(__xludf.DUMMYFUNCTION("""COMPUTED_VALUE"""),0.4)</f>
        <v>0.4</v>
      </c>
      <c r="O148" s="53">
        <f>IFERROR(__xludf.DUMMYFUNCTION("""COMPUTED_VALUE"""),43.29896907216496)</f>
        <v>43.29896907</v>
      </c>
      <c r="P148" s="53">
        <f>IFERROR(__xludf.DUMMYFUNCTION("""COMPUTED_VALUE"""),88.23529411764706)</f>
        <v>88.23529412</v>
      </c>
      <c r="Q148" s="53">
        <f>IFERROR(__xludf.DUMMYFUNCTION("""COMPUTED_VALUE"""),1.4)</f>
        <v>1.4</v>
      </c>
      <c r="R148" s="53">
        <f>IFERROR(__xludf.DUMMYFUNCTION("""COMPUTED_VALUE"""),-0.9364449012992314)</f>
        <v>-0.9364449013</v>
      </c>
      <c r="S148" s="53">
        <f>IFERROR(__xludf.DUMMYFUNCTION("""COMPUTED_VALUE"""),0.2214068836035562)</f>
        <v>0.2214068836</v>
      </c>
      <c r="T148" s="53">
        <f>IFERROR(__xludf.DUMMYFUNCTION("""COMPUTED_VALUE"""),-1.2106943418965999)</f>
        <v>-1.210694342</v>
      </c>
      <c r="U148" s="53">
        <f>IFERROR(__xludf.DUMMYFUNCTION("""COMPUTED_VALUE"""),-0.6344706087632292)</f>
        <v>-0.6344706088</v>
      </c>
      <c r="V148" s="53">
        <f>IFERROR(__xludf.DUMMYFUNCTION("""COMPUTED_VALUE"""),0.22967922884215308)</f>
        <v>0.2296792288</v>
      </c>
      <c r="W148" s="53">
        <f>IFERROR(__xludf.DUMMYFUNCTION("""COMPUTED_VALUE"""),-0.39569839687757064)</f>
        <v>-0.3956983969</v>
      </c>
      <c r="X148" s="53">
        <f>IFERROR(__xludf.DUMMYFUNCTION("""COMPUTED_VALUE"""),-0.6103554353342111)</f>
        <v>-0.6103554353</v>
      </c>
      <c r="Y148" s="53">
        <f>IFERROR(__xludf.DUMMYFUNCTION("""COMPUTED_VALUE"""),0.3916779513403684)</f>
        <v>0.3916779513</v>
      </c>
      <c r="Z148" s="53">
        <f>IFERROR(__xludf.DUMMYFUNCTION("""COMPUTED_VALUE"""),0.18462172773959373)</f>
        <v>0.1846217277</v>
      </c>
      <c r="AA148" t="str">
        <f>IFERROR(__xludf.DUMMYFUNCTION("SUBSTITUTE(REGEXREPLACE(REGEXREPLACE(REGEXREPLACE(REGEXREPLACE(REGEXREPLACE(REGEXREPLACE(E148,"","",),IF(Projections!$U$3="""",""PG"",),),IF(Projections!$V$3="""",""SG"",),),IF(Projections!$W$3="""",""SF"",),),IF(Projections!$X$3="""",""PF"",),),IF(Projec"&amp;"tions!$Y$3="""",""C"",),),""/"","""")"),"SG")</f>
        <v>SG</v>
      </c>
    </row>
    <row r="149">
      <c r="A149" t="str">
        <f>IF(Projections!$H$3,Draft!O3,"")</f>
        <v/>
      </c>
      <c r="B149">
        <f>IFERROR(__xludf.DUMMYFUNCTION("""COMPUTED_VALUE"""),147.0)</f>
        <v>147</v>
      </c>
      <c r="C149" t="str">
        <f>IFERROR(__xludf.DUMMYFUNCTION("""COMPUTED_VALUE"""),"Obi Toppin")</f>
        <v>Obi Toppin</v>
      </c>
      <c r="D149">
        <f>IFERROR(__xludf.DUMMYFUNCTION("""COMPUTED_VALUE"""),70.0)</f>
        <v>70</v>
      </c>
      <c r="E149" t="str">
        <f>IFERROR(__xludf.DUMMYFUNCTION("""COMPUTED_VALUE"""),"PF")</f>
        <v>PF</v>
      </c>
      <c r="F149" s="53">
        <f>IFERROR(__xludf.DUMMYFUNCTION("""COMPUTED_VALUE"""),-3.3328217391908406)</f>
        <v>-3.332821739</v>
      </c>
      <c r="G149" s="53">
        <f>IFERROR(__xludf.DUMMYFUNCTION("""COMPUTED_VALUE"""),-1.6092141956904407)</f>
        <v>-1.609214196</v>
      </c>
      <c r="H149" s="53">
        <f>IFERROR(__xludf.DUMMYFUNCTION("""COMPUTED_VALUE"""),1.7236075435004)</f>
        <v>1.723607544</v>
      </c>
      <c r="I149" s="53">
        <f>IFERROR(__xludf.DUMMYFUNCTION("""COMPUTED_VALUE"""),14.7)</f>
        <v>14.7</v>
      </c>
      <c r="J149" s="53">
        <f>IFERROR(__xludf.DUMMYFUNCTION("""COMPUTED_VALUE"""),1.5)</f>
        <v>1.5</v>
      </c>
      <c r="K149" s="53">
        <f>IFERROR(__xludf.DUMMYFUNCTION("""COMPUTED_VALUE"""),5.6)</f>
        <v>5.6</v>
      </c>
      <c r="L149" s="53">
        <f>IFERROR(__xludf.DUMMYFUNCTION("""COMPUTED_VALUE"""),1.6)</f>
        <v>1.6</v>
      </c>
      <c r="M149" s="53">
        <f>IFERROR(__xludf.DUMMYFUNCTION("""COMPUTED_VALUE"""),0.6)</f>
        <v>0.6</v>
      </c>
      <c r="N149" s="53">
        <f>IFERROR(__xludf.DUMMYFUNCTION("""COMPUTED_VALUE"""),0.6)</f>
        <v>0.6</v>
      </c>
      <c r="O149" s="53">
        <f>IFERROR(__xludf.DUMMYFUNCTION("""COMPUTED_VALUE"""),47.89915966386555)</f>
        <v>47.89915966</v>
      </c>
      <c r="P149" s="53">
        <f>IFERROR(__xludf.DUMMYFUNCTION("""COMPUTED_VALUE"""),80.95238095238095)</f>
        <v>80.95238095</v>
      </c>
      <c r="Q149" s="53">
        <f>IFERROR(__xludf.DUMMYFUNCTION("""COMPUTED_VALUE"""),1.2)</f>
        <v>1.2</v>
      </c>
      <c r="R149" s="53">
        <f>IFERROR(__xludf.DUMMYFUNCTION("""COMPUTED_VALUE"""),-0.4308657704238217)</f>
        <v>-0.4308657704</v>
      </c>
      <c r="S149" s="53">
        <f>IFERROR(__xludf.DUMMYFUNCTION("""COMPUTED_VALUE"""),-0.12544463118008137)</f>
        <v>-0.1254446312</v>
      </c>
      <c r="T149" s="53">
        <f>IFERROR(__xludf.DUMMYFUNCTION("""COMPUTED_VALUE"""),-0.207125465353252)</f>
        <v>-0.2071254654</v>
      </c>
      <c r="U149" s="53">
        <f>IFERROR(__xludf.DUMMYFUNCTION("""COMPUTED_VALUE"""),-1.144495213878365)</f>
        <v>-1.144495214</v>
      </c>
      <c r="V149" s="53">
        <f>IFERROR(__xludf.DUMMYFUNCTION("""COMPUTED_VALUE"""),-0.860570275155411)</f>
        <v>-0.8605702752</v>
      </c>
      <c r="W149" s="53">
        <f>IFERROR(__xludf.DUMMYFUNCTION("""COMPUTED_VALUE"""),-0.13306671753405044)</f>
        <v>-0.1330667175</v>
      </c>
      <c r="X149" s="53">
        <f>IFERROR(__xludf.DUMMYFUNCTION("""COMPUTED_VALUE"""),-0.20198519332872325)</f>
        <v>-0.2019851933</v>
      </c>
      <c r="Y149" s="53">
        <f>IFERROR(__xludf.DUMMYFUNCTION("""COMPUTED_VALUE"""),0.10312962021584522)</f>
        <v>0.1031296202</v>
      </c>
      <c r="Z149" s="53">
        <f>IFERROR(__xludf.DUMMYFUNCTION("""COMPUTED_VALUE"""),0.24671423706905354)</f>
        <v>0.2467142371</v>
      </c>
      <c r="AA149" t="str">
        <f>IFERROR(__xludf.DUMMYFUNCTION("SUBSTITUTE(REGEXREPLACE(REGEXREPLACE(REGEXREPLACE(REGEXREPLACE(REGEXREPLACE(REGEXREPLACE(E149,"","",),IF(Projections!$U$3="""",""PG"",),),IF(Projections!$V$3="""",""SG"",),),IF(Projections!$W$3="""",""SF"",),),IF(Projections!$X$3="""",""PF"",),),IF(Projec"&amp;"tions!$Y$3="""",""C"",),),""/"","""")"),"PF")</f>
        <v>PF</v>
      </c>
    </row>
    <row r="150">
      <c r="A150" t="str">
        <f>IF(Projections!$H$3,Draft!O4,"")</f>
        <v/>
      </c>
      <c r="B150">
        <f>IFERROR(__xludf.DUMMYFUNCTION("""COMPUTED_VALUE"""),148.0)</f>
        <v>148</v>
      </c>
      <c r="C150" t="str">
        <f>IFERROR(__xludf.DUMMYFUNCTION("""COMPUTED_VALUE"""),"Malik Beasley")</f>
        <v>Malik Beasley</v>
      </c>
      <c r="D150">
        <f>IFERROR(__xludf.DUMMYFUNCTION("""COMPUTED_VALUE"""),72.0)</f>
        <v>72</v>
      </c>
      <c r="E150" t="str">
        <f>IFERROR(__xludf.DUMMYFUNCTION("""COMPUTED_VALUE"""),"SG,SF")</f>
        <v>SG,SF</v>
      </c>
      <c r="F150" s="53">
        <f>IFERROR(__xludf.DUMMYFUNCTION("""COMPUTED_VALUE"""),-3.3836989961989508)</f>
        <v>-3.383698996</v>
      </c>
      <c r="G150" s="53">
        <f>IFERROR(__xludf.DUMMYFUNCTION("""COMPUTED_VALUE"""),-1.6790989020602969)</f>
        <v>-1.679098902</v>
      </c>
      <c r="H150" s="53">
        <f>IFERROR(__xludf.DUMMYFUNCTION("""COMPUTED_VALUE"""),1.7046000941386539)</f>
        <v>1.704600094</v>
      </c>
      <c r="I150" s="53">
        <f>IFERROR(__xludf.DUMMYFUNCTION("""COMPUTED_VALUE"""),14.3)</f>
        <v>14.3</v>
      </c>
      <c r="J150" s="53">
        <f>IFERROR(__xludf.DUMMYFUNCTION("""COMPUTED_VALUE"""),3.4)</f>
        <v>3.4</v>
      </c>
      <c r="K150" s="53">
        <f>IFERROR(__xludf.DUMMYFUNCTION("""COMPUTED_VALUE"""),3.7)</f>
        <v>3.7</v>
      </c>
      <c r="L150" s="53">
        <f>IFERROR(__xludf.DUMMYFUNCTION("""COMPUTED_VALUE"""),1.7)</f>
        <v>1.7</v>
      </c>
      <c r="M150" s="53">
        <f>IFERROR(__xludf.DUMMYFUNCTION("""COMPUTED_VALUE"""),0.8)</f>
        <v>0.8</v>
      </c>
      <c r="N150" s="53">
        <f>IFERROR(__xludf.DUMMYFUNCTION("""COMPUTED_VALUE"""),0.2)</f>
        <v>0.2</v>
      </c>
      <c r="O150" s="53">
        <f>IFERROR(__xludf.DUMMYFUNCTION("""COMPUTED_VALUE"""),42.14876033057851)</f>
        <v>42.14876033</v>
      </c>
      <c r="P150" s="53">
        <f>IFERROR(__xludf.DUMMYFUNCTION("""COMPUTED_VALUE"""),77.77777777777777)</f>
        <v>77.77777778</v>
      </c>
      <c r="Q150" s="53">
        <f>IFERROR(__xludf.DUMMYFUNCTION("""COMPUTED_VALUE"""),1.0)</f>
        <v>1</v>
      </c>
      <c r="R150" s="53">
        <f>IFERROR(__xludf.DUMMYFUNCTION("""COMPUTED_VALUE"""),-0.49827632120720944)</f>
        <v>-0.4982763212</v>
      </c>
      <c r="S150" s="53">
        <f>IFERROR(__xludf.DUMMYFUNCTION("""COMPUTED_VALUE"""),1.5221000640421976)</f>
        <v>1.522100064</v>
      </c>
      <c r="T150" s="53">
        <f>IFERROR(__xludf.DUMMYFUNCTION("""COMPUTED_VALUE"""),-1.0016174926167358)</f>
        <v>-1.001617493</v>
      </c>
      <c r="U150" s="53">
        <f>IFERROR(__xludf.DUMMYFUNCTION("""COMPUTED_VALUE"""),-1.0934927533668515)</f>
        <v>-1.093492753</v>
      </c>
      <c r="V150" s="53">
        <f>IFERROR(__xludf.DUMMYFUNCTION("""COMPUTED_VALUE"""),-0.42447047355638534)</f>
        <v>-0.4244704736</v>
      </c>
      <c r="W150" s="53">
        <f>IFERROR(__xludf.DUMMYFUNCTION("""COMPUTED_VALUE"""),-0.6583300762210907)</f>
        <v>-0.6583300762</v>
      </c>
      <c r="X150" s="53">
        <f>IFERROR(__xludf.DUMMYFUNCTION("""COMPUTED_VALUE"""),-0.9003885110307909)</f>
        <v>-0.900388511</v>
      </c>
      <c r="Y150" s="53">
        <f>IFERROR(__xludf.DUMMYFUNCTION("""COMPUTED_VALUE"""),-0.026922837868795582)</f>
        <v>-0.02692283787</v>
      </c>
      <c r="Z150" s="53">
        <f>IFERROR(__xludf.DUMMYFUNCTION("""COMPUTED_VALUE"""),0.30880674639851335)</f>
        <v>0.3088067464</v>
      </c>
      <c r="AA150" t="str">
        <f>IFERROR(__xludf.DUMMYFUNCTION("SUBSTITUTE(REGEXREPLACE(REGEXREPLACE(REGEXREPLACE(REGEXREPLACE(REGEXREPLACE(REGEXREPLACE(E150,"","",),IF(Projections!$U$3="""",""PG"",),),IF(Projections!$V$3="""",""SG"",),),IF(Projections!$W$3="""",""SF"",),),IF(Projections!$X$3="""",""PF"",),),IF(Projec"&amp;"tions!$Y$3="""",""C"",),),""/"","""")"),"SGSF")</f>
        <v>SGSF</v>
      </c>
    </row>
    <row r="151">
      <c r="A151" t="str">
        <f>IF(Projections!$H$3,Draft!O5,"")</f>
        <v/>
      </c>
      <c r="B151">
        <f>IFERROR(__xludf.DUMMYFUNCTION("""COMPUTED_VALUE"""),144.0)</f>
        <v>144</v>
      </c>
      <c r="C151" t="str">
        <f>IFERROR(__xludf.DUMMYFUNCTION("""COMPUTED_VALUE"""),"Deni Avdija")</f>
        <v>Deni Avdija</v>
      </c>
      <c r="D151">
        <f>IFERROR(__xludf.DUMMYFUNCTION("""COMPUTED_VALUE"""),78.0)</f>
        <v>78</v>
      </c>
      <c r="E151" t="str">
        <f>IFERROR(__xludf.DUMMYFUNCTION("""COMPUTED_VALUE"""),"SF,PF")</f>
        <v>SF,PF</v>
      </c>
      <c r="F151" s="53">
        <f>IFERROR(__xludf.DUMMYFUNCTION("""COMPUTED_VALUE"""),-3.238928745944762)</f>
        <v>-3.238928746</v>
      </c>
      <c r="G151" s="53">
        <f>IFERROR(__xludf.DUMMYFUNCTION("""COMPUTED_VALUE"""),-1.6883341067843707)</f>
        <v>-1.688334107</v>
      </c>
      <c r="H151" s="53">
        <f>IFERROR(__xludf.DUMMYFUNCTION("""COMPUTED_VALUE"""),1.5505946391603913)</f>
        <v>1.550594639</v>
      </c>
      <c r="I151" s="53">
        <f>IFERROR(__xludf.DUMMYFUNCTION("""COMPUTED_VALUE"""),10.5)</f>
        <v>10.5</v>
      </c>
      <c r="J151" s="53">
        <f>IFERROR(__xludf.DUMMYFUNCTION("""COMPUTED_VALUE"""),1.1)</f>
        <v>1.1</v>
      </c>
      <c r="K151" s="53">
        <f>IFERROR(__xludf.DUMMYFUNCTION("""COMPUTED_VALUE"""),6.9)</f>
        <v>6.9</v>
      </c>
      <c r="L151" s="53">
        <f>IFERROR(__xludf.DUMMYFUNCTION("""COMPUTED_VALUE"""),2.9)</f>
        <v>2.9</v>
      </c>
      <c r="M151" s="53">
        <f>IFERROR(__xludf.DUMMYFUNCTION("""COMPUTED_VALUE"""),0.9)</f>
        <v>0.9</v>
      </c>
      <c r="N151" s="53">
        <f>IFERROR(__xludf.DUMMYFUNCTION("""COMPUTED_VALUE"""),0.6)</f>
        <v>0.6</v>
      </c>
      <c r="O151" s="53">
        <f>IFERROR(__xludf.DUMMYFUNCTION("""COMPUTED_VALUE"""),43.18181818181818)</f>
        <v>43.18181818</v>
      </c>
      <c r="P151" s="53">
        <f>IFERROR(__xludf.DUMMYFUNCTION("""COMPUTED_VALUE"""),73.91304347826087)</f>
        <v>73.91304348</v>
      </c>
      <c r="Q151" s="53">
        <f>IFERROR(__xludf.DUMMYFUNCTION("""COMPUTED_VALUE"""),1.6)</f>
        <v>1.6</v>
      </c>
      <c r="R151" s="53">
        <f>IFERROR(__xludf.DUMMYFUNCTION("""COMPUTED_VALUE"""),-1.1386765536493952)</f>
        <v>-1.138676554</v>
      </c>
      <c r="S151" s="53">
        <f>IFERROR(__xludf.DUMMYFUNCTION("""COMPUTED_VALUE"""),-0.472296145963719)</f>
        <v>-0.472296146</v>
      </c>
      <c r="T151" s="53">
        <f>IFERROR(__xludf.DUMMYFUNCTION("""COMPUTED_VALUE"""),0.33647434277439525)</f>
        <v>0.3364743428</v>
      </c>
      <c r="U151" s="53">
        <f>IFERROR(__xludf.DUMMYFUNCTION("""COMPUTED_VALUE"""),-0.48146322722868856)</f>
        <v>-0.4814632272</v>
      </c>
      <c r="V151" s="53">
        <f>IFERROR(__xludf.DUMMYFUNCTION("""COMPUTED_VALUE"""),-0.2064205727568726)</f>
        <v>-0.2064205728</v>
      </c>
      <c r="W151" s="53">
        <f>IFERROR(__xludf.DUMMYFUNCTION("""COMPUTED_VALUE"""),-0.13306671753405044)</f>
        <v>-0.1330667175</v>
      </c>
      <c r="X151" s="53">
        <f>IFERROR(__xludf.DUMMYFUNCTION("""COMPUTED_VALUE"""),-0.5640220962746021)</f>
        <v>-0.5640220963</v>
      </c>
      <c r="Y151" s="53">
        <f>IFERROR(__xludf.DUMMYFUNCTION("""COMPUTED_VALUE"""),-0.29006890821096765)</f>
        <v>-0.2900689082</v>
      </c>
      <c r="Z151" s="53">
        <f>IFERROR(__xludf.DUMMYFUNCTION("""COMPUTED_VALUE"""),0.12252921841013387)</f>
        <v>0.1225292184</v>
      </c>
      <c r="AA151" t="str">
        <f>IFERROR(__xludf.DUMMYFUNCTION("SUBSTITUTE(REGEXREPLACE(REGEXREPLACE(REGEXREPLACE(REGEXREPLACE(REGEXREPLACE(REGEXREPLACE(E151,"","",),IF(Projections!$U$3="""",""PG"",),),IF(Projections!$V$3="""",""SG"",),),IF(Projections!$W$3="""",""SF"",),),IF(Projections!$X$3="""",""PF"",),),IF(Projec"&amp;"tions!$Y$3="""",""C"",),),""/"","""")"),"SFPF")</f>
        <v>SFPF</v>
      </c>
    </row>
    <row r="152">
      <c r="A152" t="str">
        <f>IF(Projections!$H$3,Draft!O6,"")</f>
        <v/>
      </c>
      <c r="B152">
        <f>IFERROR(__xludf.DUMMYFUNCTION("""COMPUTED_VALUE"""),136.0)</f>
        <v>136</v>
      </c>
      <c r="C152" t="str">
        <f>IFERROR(__xludf.DUMMYFUNCTION("""COMPUTED_VALUE"""),"Jaden McDaniels")</f>
        <v>Jaden McDaniels</v>
      </c>
      <c r="D152">
        <f>IFERROR(__xludf.DUMMYFUNCTION("""COMPUTED_VALUE"""),74.0)</f>
        <v>74</v>
      </c>
      <c r="E152" t="str">
        <f>IFERROR(__xludf.DUMMYFUNCTION("""COMPUTED_VALUE"""),"SF,PF")</f>
        <v>SF,PF</v>
      </c>
      <c r="F152" s="53">
        <f>IFERROR(__xludf.DUMMYFUNCTION("""COMPUTED_VALUE"""),-2.86013470553657)</f>
        <v>-2.860134706</v>
      </c>
      <c r="G152" s="53">
        <f>IFERROR(__xludf.DUMMYFUNCTION("""COMPUTED_VALUE"""),-1.6909407274024368)</f>
        <v>-1.690940727</v>
      </c>
      <c r="H152" s="53">
        <f>IFERROR(__xludf.DUMMYFUNCTION("""COMPUTED_VALUE"""),1.1691939781341332)</f>
        <v>1.169193978</v>
      </c>
      <c r="I152" s="53">
        <f>IFERROR(__xludf.DUMMYFUNCTION("""COMPUTED_VALUE"""),11.8)</f>
        <v>11.8</v>
      </c>
      <c r="J152" s="53">
        <f>IFERROR(__xludf.DUMMYFUNCTION("""COMPUTED_VALUE"""),1.4)</f>
        <v>1.4</v>
      </c>
      <c r="K152" s="53">
        <f>IFERROR(__xludf.DUMMYFUNCTION("""COMPUTED_VALUE"""),4.4)</f>
        <v>4.4</v>
      </c>
      <c r="L152" s="53">
        <f>IFERROR(__xludf.DUMMYFUNCTION("""COMPUTED_VALUE"""),1.7)</f>
        <v>1.7</v>
      </c>
      <c r="M152" s="53">
        <f>IFERROR(__xludf.DUMMYFUNCTION("""COMPUTED_VALUE"""),0.9)</f>
        <v>0.9</v>
      </c>
      <c r="N152" s="53">
        <f>IFERROR(__xludf.DUMMYFUNCTION("""COMPUTED_VALUE"""),1.0)</f>
        <v>1</v>
      </c>
      <c r="O152" s="53">
        <f>IFERROR(__xludf.DUMMYFUNCTION("""COMPUTED_VALUE"""),48.93617021276595)</f>
        <v>48.93617021</v>
      </c>
      <c r="P152" s="53">
        <f>IFERROR(__xludf.DUMMYFUNCTION("""COMPUTED_VALUE"""),74.99999999999999)</f>
        <v>75</v>
      </c>
      <c r="Q152" s="53">
        <f>IFERROR(__xludf.DUMMYFUNCTION("""COMPUTED_VALUE"""),1.4)</f>
        <v>1.4</v>
      </c>
      <c r="R152" s="53">
        <f>IFERROR(__xludf.DUMMYFUNCTION("""COMPUTED_VALUE"""),-0.9195922636033842)</f>
        <v>-0.9195922636</v>
      </c>
      <c r="S152" s="53">
        <f>IFERROR(__xludf.DUMMYFUNCTION("""COMPUTED_VALUE"""),-0.21215750987599089)</f>
        <v>-0.2121575099</v>
      </c>
      <c r="T152" s="53">
        <f>IFERROR(__xludf.DUMMYFUNCTION("""COMPUTED_VALUE"""),-0.7089099036249258)</f>
        <v>-0.7089099036</v>
      </c>
      <c r="U152" s="53">
        <f>IFERROR(__xludf.DUMMYFUNCTION("""COMPUTED_VALUE"""),-1.0934927533668515)</f>
        <v>-1.093492753</v>
      </c>
      <c r="V152" s="53">
        <f>IFERROR(__xludf.DUMMYFUNCTION("""COMPUTED_VALUE"""),-0.2064205727568726)</f>
        <v>-0.2064205728</v>
      </c>
      <c r="W152" s="53">
        <f>IFERROR(__xludf.DUMMYFUNCTION("""COMPUTED_VALUE"""),0.39219664115299)</f>
        <v>0.3921966412</v>
      </c>
      <c r="X152" s="53">
        <f>IFERROR(__xludf.DUMMYFUNCTION("""COMPUTED_VALUE"""),-0.06218297339396541)</f>
        <v>-0.06218297339</v>
      </c>
      <c r="Y152" s="53">
        <f>IFERROR(__xludf.DUMMYFUNCTION("""COMPUTED_VALUE"""),-0.15849587303988213)</f>
        <v>-0.158495873</v>
      </c>
      <c r="Z152" s="53">
        <f>IFERROR(__xludf.DUMMYFUNCTION("""COMPUTED_VALUE"""),0.18462172773959373)</f>
        <v>0.1846217277</v>
      </c>
      <c r="AA152" t="str">
        <f>IFERROR(__xludf.DUMMYFUNCTION("SUBSTITUTE(REGEXREPLACE(REGEXREPLACE(REGEXREPLACE(REGEXREPLACE(REGEXREPLACE(REGEXREPLACE(E152,"","",),IF(Projections!$U$3="""",""PG"",),),IF(Projections!$V$3="""",""SG"",),),IF(Projections!$W$3="""",""SF"",),),IF(Projections!$X$3="""",""PF"",),),IF(Projec"&amp;"tions!$Y$3="""",""C"",),),""/"","""")"),"SFPF")</f>
        <v>SFPF</v>
      </c>
    </row>
    <row r="153">
      <c r="A153" t="str">
        <f>IF(Projections!$H$3,Draft!O7,"")</f>
        <v/>
      </c>
      <c r="B153">
        <f>IFERROR(__xludf.DUMMYFUNCTION("""COMPUTED_VALUE"""),142.0)</f>
        <v>142</v>
      </c>
      <c r="C153" t="str">
        <f>IFERROR(__xludf.DUMMYFUNCTION("""COMPUTED_VALUE"""),"Caleb Martin")</f>
        <v>Caleb Martin</v>
      </c>
      <c r="D153">
        <f>IFERROR(__xludf.DUMMYFUNCTION("""COMPUTED_VALUE"""),70.0)</f>
        <v>70</v>
      </c>
      <c r="E153" t="str">
        <f>IFERROR(__xludf.DUMMYFUNCTION("""COMPUTED_VALUE"""),"SG,SF")</f>
        <v>SG,SF</v>
      </c>
      <c r="F153" s="53">
        <f>IFERROR(__xludf.DUMMYFUNCTION("""COMPUTED_VALUE"""),-3.181887689213369)</f>
        <v>-3.181887689</v>
      </c>
      <c r="G153" s="53">
        <f>IFERROR(__xludf.DUMMYFUNCTION("""COMPUTED_VALUE"""),-1.789186203699009)</f>
        <v>-1.789186204</v>
      </c>
      <c r="H153" s="53">
        <f>IFERROR(__xludf.DUMMYFUNCTION("""COMPUTED_VALUE"""),1.3927014855143602)</f>
        <v>1.392701486</v>
      </c>
      <c r="I153" s="53">
        <f>IFERROR(__xludf.DUMMYFUNCTION("""COMPUTED_VALUE"""),10.7)</f>
        <v>10.7</v>
      </c>
      <c r="J153" s="53">
        <f>IFERROR(__xludf.DUMMYFUNCTION("""COMPUTED_VALUE"""),1.3)</f>
        <v>1.3</v>
      </c>
      <c r="K153" s="53">
        <f>IFERROR(__xludf.DUMMYFUNCTION("""COMPUTED_VALUE"""),5.0)</f>
        <v>5</v>
      </c>
      <c r="L153" s="53">
        <f>IFERROR(__xludf.DUMMYFUNCTION("""COMPUTED_VALUE"""),1.6)</f>
        <v>1.6</v>
      </c>
      <c r="M153" s="53">
        <f>IFERROR(__xludf.DUMMYFUNCTION("""COMPUTED_VALUE"""),1.1)</f>
        <v>1.1</v>
      </c>
      <c r="N153" s="53">
        <f>IFERROR(__xludf.DUMMYFUNCTION("""COMPUTED_VALUE"""),0.5)</f>
        <v>0.5</v>
      </c>
      <c r="O153" s="53">
        <f>IFERROR(__xludf.DUMMYFUNCTION("""COMPUTED_VALUE"""),48.192771084337345)</f>
        <v>48.19277108</v>
      </c>
      <c r="P153" s="53">
        <f>IFERROR(__xludf.DUMMYFUNCTION("""COMPUTED_VALUE"""),77.77777777777777)</f>
        <v>77.77777778</v>
      </c>
      <c r="Q153" s="53">
        <f>IFERROR(__xludf.DUMMYFUNCTION("""COMPUTED_VALUE"""),1.1)</f>
        <v>1.1</v>
      </c>
      <c r="R153" s="53">
        <f>IFERROR(__xludf.DUMMYFUNCTION("""COMPUTED_VALUE"""),-1.1049712782577013)</f>
        <v>-1.104971278</v>
      </c>
      <c r="S153" s="53">
        <f>IFERROR(__xludf.DUMMYFUNCTION("""COMPUTED_VALUE"""),-0.2988703885719002)</f>
        <v>-0.2988703886</v>
      </c>
      <c r="T153" s="53">
        <f>IFERROR(__xludf.DUMMYFUNCTION("""COMPUTED_VALUE"""),-0.45801768448908886)</f>
        <v>-0.4580176845</v>
      </c>
      <c r="U153" s="53">
        <f>IFERROR(__xludf.DUMMYFUNCTION("""COMPUTED_VALUE"""),-1.144495213878365)</f>
        <v>-1.144495214</v>
      </c>
      <c r="V153" s="53">
        <f>IFERROR(__xludf.DUMMYFUNCTION("""COMPUTED_VALUE"""),0.22967922884215308)</f>
        <v>0.2296792288</v>
      </c>
      <c r="W153" s="53">
        <f>IFERROR(__xludf.DUMMYFUNCTION("""COMPUTED_VALUE"""),-0.2643825572058105)</f>
        <v>-0.2643825572</v>
      </c>
      <c r="X153" s="53">
        <f>IFERROR(__xludf.DUMMYFUNCTION("""COMPUTED_VALUE"""),-0.11653834001285343)</f>
        <v>-0.11653834</v>
      </c>
      <c r="Y153" s="53">
        <f>IFERROR(__xludf.DUMMYFUNCTION("""COMPUTED_VALUE"""),-0.053845675737591164)</f>
        <v>-0.05384567574</v>
      </c>
      <c r="Z153" s="53">
        <f>IFERROR(__xludf.DUMMYFUNCTION("""COMPUTED_VALUE"""),0.2777604917337834)</f>
        <v>0.2777604917</v>
      </c>
      <c r="AA153" t="str">
        <f>IFERROR(__xludf.DUMMYFUNCTION("SUBSTITUTE(REGEXREPLACE(REGEXREPLACE(REGEXREPLACE(REGEXREPLACE(REGEXREPLACE(REGEXREPLACE(E153,"","",),IF(Projections!$U$3="""",""PG"",),),IF(Projections!$V$3="""",""SG"",),),IF(Projections!$W$3="""",""SF"",),),IF(Projections!$X$3="""",""PF"",),),IF(Projec"&amp;"tions!$Y$3="""",""C"",),),""/"","""")"),"SGSF")</f>
        <v>SGSF</v>
      </c>
    </row>
    <row r="154">
      <c r="A154" t="str">
        <f>IF(Projections!$H$3,Draft!O8,"")</f>
        <v/>
      </c>
      <c r="B154">
        <f>IFERROR(__xludf.DUMMYFUNCTION("""COMPUTED_VALUE"""),153.0)</f>
        <v>153</v>
      </c>
      <c r="C154" t="str">
        <f>IFERROR(__xludf.DUMMYFUNCTION("""COMPUTED_VALUE"""),"Harrison Barnes")</f>
        <v>Harrison Barnes</v>
      </c>
      <c r="D154">
        <f>IFERROR(__xludf.DUMMYFUNCTION("""COMPUTED_VALUE"""),78.0)</f>
        <v>78</v>
      </c>
      <c r="E154" t="str">
        <f>IFERROR(__xludf.DUMMYFUNCTION("""COMPUTED_VALUE"""),"SF,PF")</f>
        <v>SF,PF</v>
      </c>
      <c r="F154" s="53">
        <f>IFERROR(__xludf.DUMMYFUNCTION("""COMPUTED_VALUE"""),-3.633176139811357)</f>
        <v>-3.63317614</v>
      </c>
      <c r="G154" s="53">
        <f>IFERROR(__xludf.DUMMYFUNCTION("""COMPUTED_VALUE"""),-1.8012672175512512)</f>
        <v>-1.801267218</v>
      </c>
      <c r="H154" s="53">
        <f>IFERROR(__xludf.DUMMYFUNCTION("""COMPUTED_VALUE"""),1.8319089222601057)</f>
        <v>1.831908922</v>
      </c>
      <c r="I154" s="53">
        <f>IFERROR(__xludf.DUMMYFUNCTION("""COMPUTED_VALUE"""),14.9)</f>
        <v>14.9</v>
      </c>
      <c r="J154" s="53">
        <f>IFERROR(__xludf.DUMMYFUNCTION("""COMPUTED_VALUE"""),1.6)</f>
        <v>1.6</v>
      </c>
      <c r="K154" s="53">
        <f>IFERROR(__xludf.DUMMYFUNCTION("""COMPUTED_VALUE"""),4.8)</f>
        <v>4.8</v>
      </c>
      <c r="L154" s="53">
        <f>IFERROR(__xludf.DUMMYFUNCTION("""COMPUTED_VALUE"""),1.5)</f>
        <v>1.5</v>
      </c>
      <c r="M154" s="53">
        <f>IFERROR(__xludf.DUMMYFUNCTION("""COMPUTED_VALUE"""),0.7)</f>
        <v>0.7</v>
      </c>
      <c r="N154" s="53">
        <f>IFERROR(__xludf.DUMMYFUNCTION("""COMPUTED_VALUE"""),0.1)</f>
        <v>0.1</v>
      </c>
      <c r="O154" s="53">
        <f>IFERROR(__xludf.DUMMYFUNCTION("""COMPUTED_VALUE"""),47.42268041237113)</f>
        <v>47.42268041</v>
      </c>
      <c r="P154" s="53">
        <f>IFERROR(__xludf.DUMMYFUNCTION("""COMPUTED_VALUE"""),83.67346938775509)</f>
        <v>83.67346939</v>
      </c>
      <c r="Q154" s="53">
        <f>IFERROR(__xludf.DUMMYFUNCTION("""COMPUTED_VALUE"""),1.2)</f>
        <v>1.2</v>
      </c>
      <c r="R154" s="53">
        <f>IFERROR(__xludf.DUMMYFUNCTION("""COMPUTED_VALUE"""),-0.3971604950321275)</f>
        <v>-0.397160495</v>
      </c>
      <c r="S154" s="53">
        <f>IFERROR(__xludf.DUMMYFUNCTION("""COMPUTED_VALUE"""),-0.03873175248417188)</f>
        <v>-0.03873175248</v>
      </c>
      <c r="T154" s="53">
        <f>IFERROR(__xludf.DUMMYFUNCTION("""COMPUTED_VALUE"""),-0.5416484242010347)</f>
        <v>-0.5416484242</v>
      </c>
      <c r="U154" s="53">
        <f>IFERROR(__xludf.DUMMYFUNCTION("""COMPUTED_VALUE"""),-1.1954976743898784)</f>
        <v>-1.195497674</v>
      </c>
      <c r="V154" s="53">
        <f>IFERROR(__xludf.DUMMYFUNCTION("""COMPUTED_VALUE"""),-0.6425203743558983)</f>
        <v>-0.6425203744</v>
      </c>
      <c r="W154" s="53">
        <f>IFERROR(__xludf.DUMMYFUNCTION("""COMPUTED_VALUE"""),-0.7896459158928509)</f>
        <v>-0.7896459159</v>
      </c>
      <c r="X154" s="53">
        <f>IFERROR(__xludf.DUMMYFUNCTION("""COMPUTED_VALUE"""),-0.21080942364392927)</f>
        <v>-0.2108094236</v>
      </c>
      <c r="Y154" s="53">
        <f>IFERROR(__xludf.DUMMYFUNCTION("""COMPUTED_VALUE"""),0.5725349309897076)</f>
        <v>0.572534931</v>
      </c>
      <c r="Z154" s="53">
        <f>IFERROR(__xludf.DUMMYFUNCTION("""COMPUTED_VALUE"""),0.24671423706905354)</f>
        <v>0.2467142371</v>
      </c>
      <c r="AA154" t="str">
        <f>IFERROR(__xludf.DUMMYFUNCTION("SUBSTITUTE(REGEXREPLACE(REGEXREPLACE(REGEXREPLACE(REGEXREPLACE(REGEXREPLACE(REGEXREPLACE(E154,"","",),IF(Projections!$U$3="""",""PG"",),),IF(Projections!$V$3="""",""SG"",),),IF(Projections!$W$3="""",""SF"",),),IF(Projections!$X$3="""",""PF"",),),IF(Projec"&amp;"tions!$Y$3="""",""C"",),),""/"","""")"),"SFPF")</f>
        <v>SFPF</v>
      </c>
    </row>
    <row r="155">
      <c r="A155" t="str">
        <f>IF(Projections!$H$3,Draft!O9,"")</f>
        <v/>
      </c>
      <c r="B155">
        <f>IFERROR(__xludf.DUMMYFUNCTION("""COMPUTED_VALUE"""),145.0)</f>
        <v>145</v>
      </c>
      <c r="C155" t="str">
        <f>IFERROR(__xludf.DUMMYFUNCTION("""COMPUTED_VALUE"""),"Brandon Miller")</f>
        <v>Brandon Miller</v>
      </c>
      <c r="D155">
        <f>IFERROR(__xludf.DUMMYFUNCTION("""COMPUTED_VALUE"""),72.0)</f>
        <v>72</v>
      </c>
      <c r="E155" t="str">
        <f>IFERROR(__xludf.DUMMYFUNCTION("""COMPUTED_VALUE"""),"SF")</f>
        <v>SF</v>
      </c>
      <c r="F155" s="53">
        <f>IFERROR(__xludf.DUMMYFUNCTION("""COMPUTED_VALUE"""),-3.284142341760976)</f>
        <v>-3.284142342</v>
      </c>
      <c r="G155" s="53">
        <f>IFERROR(__xludf.DUMMYFUNCTION("""COMPUTED_VALUE"""),-1.8479336793737016)</f>
        <v>-1.847933679</v>
      </c>
      <c r="H155" s="53">
        <f>IFERROR(__xludf.DUMMYFUNCTION("""COMPUTED_VALUE"""),1.4362086623872745)</f>
        <v>1.436208662</v>
      </c>
      <c r="I155" s="53">
        <f>IFERROR(__xludf.DUMMYFUNCTION("""COMPUTED_VALUE"""),15.0)</f>
        <v>15</v>
      </c>
      <c r="J155" s="53">
        <f>IFERROR(__xludf.DUMMYFUNCTION("""COMPUTED_VALUE"""),2.2)</f>
        <v>2.2</v>
      </c>
      <c r="K155" s="53">
        <f>IFERROR(__xludf.DUMMYFUNCTION("""COMPUTED_VALUE"""),4.8)</f>
        <v>4.8</v>
      </c>
      <c r="L155" s="53">
        <f>IFERROR(__xludf.DUMMYFUNCTION("""COMPUTED_VALUE"""),2.0)</f>
        <v>2</v>
      </c>
      <c r="M155" s="53">
        <f>IFERROR(__xludf.DUMMYFUNCTION("""COMPUTED_VALUE"""),0.8)</f>
        <v>0.8</v>
      </c>
      <c r="N155" s="53">
        <f>IFERROR(__xludf.DUMMYFUNCTION("""COMPUTED_VALUE"""),0.3)</f>
        <v>0.3</v>
      </c>
      <c r="O155" s="53">
        <f>IFERROR(__xludf.DUMMYFUNCTION("""COMPUTED_VALUE"""),42.85714285714286)</f>
        <v>42.85714286</v>
      </c>
      <c r="P155" s="53">
        <f>IFERROR(__xludf.DUMMYFUNCTION("""COMPUTED_VALUE"""),82.6086956521739)</f>
        <v>82.60869565</v>
      </c>
      <c r="Q155" s="53">
        <f>IFERROR(__xludf.DUMMYFUNCTION("""COMPUTED_VALUE"""),1.4)</f>
        <v>1.4</v>
      </c>
      <c r="R155" s="53">
        <f>IFERROR(__xludf.DUMMYFUNCTION("""COMPUTED_VALUE"""),-0.3803078573362806)</f>
        <v>-0.3803078573</v>
      </c>
      <c r="S155" s="53">
        <f>IFERROR(__xludf.DUMMYFUNCTION("""COMPUTED_VALUE"""),0.48154551969128473)</f>
        <v>0.4815455197</v>
      </c>
      <c r="T155" s="53">
        <f>IFERROR(__xludf.DUMMYFUNCTION("""COMPUTED_VALUE"""),-0.5416484242010347)</f>
        <v>-0.5416484242</v>
      </c>
      <c r="U155" s="53">
        <f>IFERROR(__xludf.DUMMYFUNCTION("""COMPUTED_VALUE"""),-0.9404853718323106)</f>
        <v>-0.9404853718</v>
      </c>
      <c r="V155" s="53">
        <f>IFERROR(__xludf.DUMMYFUNCTION("""COMPUTED_VALUE"""),-0.42447047355638534)</f>
        <v>-0.4244704736</v>
      </c>
      <c r="W155" s="53">
        <f>IFERROR(__xludf.DUMMYFUNCTION("""COMPUTED_VALUE"""),-0.5270142365493308)</f>
        <v>-0.5270142365</v>
      </c>
      <c r="X155" s="53">
        <f>IFERROR(__xludf.DUMMYFUNCTION("""COMPUTED_VALUE"""),-0.8484397526796853)</f>
        <v>-0.8484397527</v>
      </c>
      <c r="Y155" s="53">
        <f>IFERROR(__xludf.DUMMYFUNCTION("""COMPUTED_VALUE"""),0.20777981751813673)</f>
        <v>0.2077798175</v>
      </c>
      <c r="Z155" s="53">
        <f>IFERROR(__xludf.DUMMYFUNCTION("""COMPUTED_VALUE"""),0.18462172773959373)</f>
        <v>0.1846217277</v>
      </c>
      <c r="AA155" t="str">
        <f>IFERROR(__xludf.DUMMYFUNCTION("SUBSTITUTE(REGEXREPLACE(REGEXREPLACE(REGEXREPLACE(REGEXREPLACE(REGEXREPLACE(REGEXREPLACE(E155,"","",),IF(Projections!$U$3="""",""PG"",),),IF(Projections!$V$3="""",""SG"",),),IF(Projections!$W$3="""",""SF"",),),IF(Projections!$X$3="""",""PF"",),),IF(Projec"&amp;"tions!$Y$3="""",""C"",),),""/"","""")"),"SF")</f>
        <v>SF</v>
      </c>
    </row>
    <row r="156">
      <c r="A156" t="str">
        <f>IF(Projections!$H$3,Draft!O10,"")</f>
        <v/>
      </c>
      <c r="B156">
        <f>IFERROR(__xludf.DUMMYFUNCTION("""COMPUTED_VALUE"""),146.0)</f>
        <v>146</v>
      </c>
      <c r="C156" t="str">
        <f>IFERROR(__xludf.DUMMYFUNCTION("""COMPUTED_VALUE"""),"Patrick Williams")</f>
        <v>Patrick Williams</v>
      </c>
      <c r="D156">
        <f>IFERROR(__xludf.DUMMYFUNCTION("""COMPUTED_VALUE"""),72.0)</f>
        <v>72</v>
      </c>
      <c r="E156" t="str">
        <f>IFERROR(__xludf.DUMMYFUNCTION("""COMPUTED_VALUE"""),"PF")</f>
        <v>PF</v>
      </c>
      <c r="F156" s="53">
        <f>IFERROR(__xludf.DUMMYFUNCTION("""COMPUTED_VALUE"""),-3.3110387443262144)</f>
        <v>-3.311038744</v>
      </c>
      <c r="G156" s="53">
        <f>IFERROR(__xludf.DUMMYFUNCTION("""COMPUTED_VALUE"""),-1.8733778507574141)</f>
        <v>-1.873377851</v>
      </c>
      <c r="H156" s="53">
        <f>IFERROR(__xludf.DUMMYFUNCTION("""COMPUTED_VALUE"""),1.4376608935688002)</f>
        <v>1.437660894</v>
      </c>
      <c r="I156" s="53">
        <f>IFERROR(__xludf.DUMMYFUNCTION("""COMPUTED_VALUE"""),10.7)</f>
        <v>10.7</v>
      </c>
      <c r="J156" s="53">
        <f>IFERROR(__xludf.DUMMYFUNCTION("""COMPUTED_VALUE"""),1.4)</f>
        <v>1.4</v>
      </c>
      <c r="K156" s="53">
        <f>IFERROR(__xludf.DUMMYFUNCTION("""COMPUTED_VALUE"""),4.3)</f>
        <v>4.3</v>
      </c>
      <c r="L156" s="53">
        <f>IFERROR(__xludf.DUMMYFUNCTION("""COMPUTED_VALUE"""),1.2)</f>
        <v>1.2</v>
      </c>
      <c r="M156" s="53">
        <f>IFERROR(__xludf.DUMMYFUNCTION("""COMPUTED_VALUE"""),0.9)</f>
        <v>0.9</v>
      </c>
      <c r="N156" s="53">
        <f>IFERROR(__xludf.DUMMYFUNCTION("""COMPUTED_VALUE"""),0.9)</f>
        <v>0.9</v>
      </c>
      <c r="O156" s="53">
        <f>IFERROR(__xludf.DUMMYFUNCTION("""COMPUTED_VALUE"""),47.61904761904761)</f>
        <v>47.61904762</v>
      </c>
      <c r="P156" s="53">
        <f>IFERROR(__xludf.DUMMYFUNCTION("""COMPUTED_VALUE"""),81.25)</f>
        <v>81.25</v>
      </c>
      <c r="Q156" s="53">
        <f>IFERROR(__xludf.DUMMYFUNCTION("""COMPUTED_VALUE"""),1.3)</f>
        <v>1.3</v>
      </c>
      <c r="R156" s="53">
        <f>IFERROR(__xludf.DUMMYFUNCTION("""COMPUTED_VALUE"""),-1.1049712782577013)</f>
        <v>-1.104971278</v>
      </c>
      <c r="S156" s="53">
        <f>IFERROR(__xludf.DUMMYFUNCTION("""COMPUTED_VALUE"""),-0.21215750987599089)</f>
        <v>-0.2121575099</v>
      </c>
      <c r="T156" s="53">
        <f>IFERROR(__xludf.DUMMYFUNCTION("""COMPUTED_VALUE"""),-0.7507252734808988)</f>
        <v>-0.7507252735</v>
      </c>
      <c r="U156" s="53">
        <f>IFERROR(__xludf.DUMMYFUNCTION("""COMPUTED_VALUE"""),-1.3485050559244194)</f>
        <v>-1.348505056</v>
      </c>
      <c r="V156" s="53">
        <f>IFERROR(__xludf.DUMMYFUNCTION("""COMPUTED_VALUE"""),-0.2064205727568726)</f>
        <v>-0.2064205728</v>
      </c>
      <c r="W156" s="53">
        <f>IFERROR(__xludf.DUMMYFUNCTION("""COMPUTED_VALUE"""),0.2608808014812299)</f>
        <v>0.2608808015</v>
      </c>
      <c r="X156" s="53">
        <f>IFERROR(__xludf.DUMMYFUNCTION("""COMPUTED_VALUE"""),-0.1660804900961746)</f>
        <v>-0.1660804901</v>
      </c>
      <c r="Y156" s="53">
        <f>IFERROR(__xludf.DUMMYFUNCTION("""COMPUTED_VALUE"""),0.0904284898246707)</f>
        <v>0.09042848982</v>
      </c>
      <c r="Z156" s="53">
        <f>IFERROR(__xludf.DUMMYFUNCTION("""COMPUTED_VALUE"""),0.2156679824043236)</f>
        <v>0.2156679824</v>
      </c>
      <c r="AA156" t="str">
        <f>IFERROR(__xludf.DUMMYFUNCTION("SUBSTITUTE(REGEXREPLACE(REGEXREPLACE(REGEXREPLACE(REGEXREPLACE(REGEXREPLACE(REGEXREPLACE(E156,"","",),IF(Projections!$U$3="""",""PG"",),),IF(Projections!$V$3="""",""SG"",),),IF(Projections!$W$3="""",""SF"",),),IF(Projections!$X$3="""",""PF"",),),IF(Projec"&amp;"tions!$Y$3="""",""C"",),),""/"","""")"),"PF")</f>
        <v>PF</v>
      </c>
    </row>
    <row r="157">
      <c r="A157" t="str">
        <f>IF(Projections!$H$3,Draft!O11,"")</f>
        <v/>
      </c>
      <c r="B157">
        <f>IFERROR(__xludf.DUMMYFUNCTION("""COMPUTED_VALUE"""),152.0)</f>
        <v>152</v>
      </c>
      <c r="C157" t="str">
        <f>IFERROR(__xludf.DUMMYFUNCTION("""COMPUTED_VALUE"""),"Malcolm Brogdon")</f>
        <v>Malcolm Brogdon</v>
      </c>
      <c r="D157">
        <f>IFERROR(__xludf.DUMMYFUNCTION("""COMPUTED_VALUE"""),61.0)</f>
        <v>61</v>
      </c>
      <c r="E157" t="str">
        <f>IFERROR(__xludf.DUMMYFUNCTION("""COMPUTED_VALUE"""),"PG,SG")</f>
        <v>PG,SG</v>
      </c>
      <c r="F157" s="53">
        <f>IFERROR(__xludf.DUMMYFUNCTION("""COMPUTED_VALUE"""),-3.604830984555451)</f>
        <v>-3.604830985</v>
      </c>
      <c r="G157" s="53">
        <f>IFERROR(__xludf.DUMMYFUNCTION("""COMPUTED_VALUE"""),-1.9098001771564599)</f>
        <v>-1.909800177</v>
      </c>
      <c r="H157" s="53">
        <f>IFERROR(__xludf.DUMMYFUNCTION("""COMPUTED_VALUE"""),1.6950308073989913)</f>
        <v>1.695030807</v>
      </c>
      <c r="I157" s="53">
        <f>IFERROR(__xludf.DUMMYFUNCTION("""COMPUTED_VALUE"""),13.3)</f>
        <v>13.3</v>
      </c>
      <c r="J157" s="53">
        <f>IFERROR(__xludf.DUMMYFUNCTION("""COMPUTED_VALUE"""),1.5)</f>
        <v>1.5</v>
      </c>
      <c r="K157" s="53">
        <f>IFERROR(__xludf.DUMMYFUNCTION("""COMPUTED_VALUE"""),3.7)</f>
        <v>3.7</v>
      </c>
      <c r="L157" s="53">
        <f>IFERROR(__xludf.DUMMYFUNCTION("""COMPUTED_VALUE"""),3.6)</f>
        <v>3.6</v>
      </c>
      <c r="M157" s="53">
        <f>IFERROR(__xludf.DUMMYFUNCTION("""COMPUTED_VALUE"""),0.6)</f>
        <v>0.6</v>
      </c>
      <c r="N157" s="53">
        <f>IFERROR(__xludf.DUMMYFUNCTION("""COMPUTED_VALUE"""),0.3)</f>
        <v>0.3</v>
      </c>
      <c r="O157" s="53">
        <f>IFERROR(__xludf.DUMMYFUNCTION("""COMPUTED_VALUE"""),47.0)</f>
        <v>47</v>
      </c>
      <c r="P157" s="53">
        <f>IFERROR(__xludf.DUMMYFUNCTION("""COMPUTED_VALUE"""),85.71428571428572)</f>
        <v>85.71428571</v>
      </c>
      <c r="Q157" s="53">
        <f>IFERROR(__xludf.DUMMYFUNCTION("""COMPUTED_VALUE"""),1.4)</f>
        <v>1.4</v>
      </c>
      <c r="R157" s="53">
        <f>IFERROR(__xludf.DUMMYFUNCTION("""COMPUTED_VALUE"""),-0.6668026981656794)</f>
        <v>-0.6668026982</v>
      </c>
      <c r="S157" s="53">
        <f>IFERROR(__xludf.DUMMYFUNCTION("""COMPUTED_VALUE"""),-0.12544463118008137)</f>
        <v>-0.1254446312</v>
      </c>
      <c r="T157" s="53">
        <f>IFERROR(__xludf.DUMMYFUNCTION("""COMPUTED_VALUE"""),-1.0016174926167358)</f>
        <v>-1.001617493</v>
      </c>
      <c r="U157" s="53">
        <f>IFERROR(__xludf.DUMMYFUNCTION("""COMPUTED_VALUE"""),-0.12444600364809345)</f>
        <v>-0.1244460036</v>
      </c>
      <c r="V157" s="53">
        <f>IFERROR(__xludf.DUMMYFUNCTION("""COMPUTED_VALUE"""),-0.860570275155411)</f>
        <v>-0.8605702752</v>
      </c>
      <c r="W157" s="53">
        <f>IFERROR(__xludf.DUMMYFUNCTION("""COMPUTED_VALUE"""),-0.5270142365493308)</f>
        <v>-0.5270142365</v>
      </c>
      <c r="X157" s="53">
        <f>IFERROR(__xludf.DUMMYFUNCTION("""COMPUTED_VALUE"""),-0.25954937097132247)</f>
        <v>-0.259549371</v>
      </c>
      <c r="Y157" s="53">
        <f>IFERROR(__xludf.DUMMYFUNCTION("""COMPUTED_VALUE"""),0.4694053107738645)</f>
        <v>0.4694053108</v>
      </c>
      <c r="Z157" s="53">
        <f>IFERROR(__xludf.DUMMYFUNCTION("""COMPUTED_VALUE"""),0.18462172773959373)</f>
        <v>0.1846217277</v>
      </c>
      <c r="AA157" t="str">
        <f>IFERROR(__xludf.DUMMYFUNCTION("SUBSTITUTE(REGEXREPLACE(REGEXREPLACE(REGEXREPLACE(REGEXREPLACE(REGEXREPLACE(REGEXREPLACE(E157,"","",),IF(Projections!$U$3="""",""PG"",),),IF(Projections!$V$3="""",""SG"",),),IF(Projections!$W$3="""",""SF"",),),IF(Projections!$X$3="""",""PF"",),),IF(Projec"&amp;"tions!$Y$3="""",""C"",),),""/"","""")"),"PGSG")</f>
        <v>PGSG</v>
      </c>
    </row>
    <row r="158">
      <c r="A158" t="str">
        <f>IF(Projections!$H$3,Draft!O12,"")</f>
        <v/>
      </c>
      <c r="B158">
        <f>IFERROR(__xludf.DUMMYFUNCTION("""COMPUTED_VALUE"""),155.0)</f>
        <v>155</v>
      </c>
      <c r="C158" t="str">
        <f>IFERROR(__xludf.DUMMYFUNCTION("""COMPUTED_VALUE"""),"Dennis Schröder")</f>
        <v>Dennis Schröder</v>
      </c>
      <c r="D158">
        <f>IFERROR(__xludf.DUMMYFUNCTION("""COMPUTED_VALUE"""),70.0)</f>
        <v>70</v>
      </c>
      <c r="E158" t="str">
        <f>IFERROR(__xludf.DUMMYFUNCTION("""COMPUTED_VALUE"""),"PG")</f>
        <v>PG</v>
      </c>
      <c r="F158" s="53">
        <f>IFERROR(__xludf.DUMMYFUNCTION("""COMPUTED_VALUE"""),-3.7584097202728755)</f>
        <v>-3.75840972</v>
      </c>
      <c r="G158" s="53">
        <f>IFERROR(__xludf.DUMMYFUNCTION("""COMPUTED_VALUE"""),-1.929717525241809)</f>
        <v>-1.929717525</v>
      </c>
      <c r="H158" s="53">
        <f>IFERROR(__xludf.DUMMYFUNCTION("""COMPUTED_VALUE"""),1.8286921950310664)</f>
        <v>1.828692195</v>
      </c>
      <c r="I158" s="53">
        <f>IFERROR(__xludf.DUMMYFUNCTION("""COMPUTED_VALUE"""),13.5)</f>
        <v>13.5</v>
      </c>
      <c r="J158" s="53">
        <f>IFERROR(__xludf.DUMMYFUNCTION("""COMPUTED_VALUE"""),1.3)</f>
        <v>1.3</v>
      </c>
      <c r="K158" s="53">
        <f>IFERROR(__xludf.DUMMYFUNCTION("""COMPUTED_VALUE"""),3.0)</f>
        <v>3</v>
      </c>
      <c r="L158" s="53">
        <f>IFERROR(__xludf.DUMMYFUNCTION("""COMPUTED_VALUE"""),4.7)</f>
        <v>4.7</v>
      </c>
      <c r="M158" s="53">
        <f>IFERROR(__xludf.DUMMYFUNCTION("""COMPUTED_VALUE"""),0.8)</f>
        <v>0.8</v>
      </c>
      <c r="N158" s="53">
        <f>IFERROR(__xludf.DUMMYFUNCTION("""COMPUTED_VALUE"""),0.1)</f>
        <v>0.1</v>
      </c>
      <c r="O158" s="53">
        <f>IFERROR(__xludf.DUMMYFUNCTION("""COMPUTED_VALUE"""),42.20183486238532)</f>
        <v>42.20183486</v>
      </c>
      <c r="P158" s="53">
        <f>IFERROR(__xludf.DUMMYFUNCTION("""COMPUTED_VALUE"""),85.71428571428571)</f>
        <v>85.71428571</v>
      </c>
      <c r="Q158" s="53">
        <f>IFERROR(__xludf.DUMMYFUNCTION("""COMPUTED_VALUE"""),2.0)</f>
        <v>2</v>
      </c>
      <c r="R158" s="53">
        <f>IFERROR(__xludf.DUMMYFUNCTION("""COMPUTED_VALUE"""),-0.6330974227739855)</f>
        <v>-0.6330974228</v>
      </c>
      <c r="S158" s="53">
        <f>IFERROR(__xludf.DUMMYFUNCTION("""COMPUTED_VALUE"""),-0.2988703885719002)</f>
        <v>-0.2988703886</v>
      </c>
      <c r="T158" s="53">
        <f>IFERROR(__xludf.DUMMYFUNCTION("""COMPUTED_VALUE"""),-1.2943250816085456)</f>
        <v>-1.294325082</v>
      </c>
      <c r="U158" s="53">
        <f>IFERROR(__xludf.DUMMYFUNCTION("""COMPUTED_VALUE"""),0.4365810619785559)</f>
        <v>0.436581062</v>
      </c>
      <c r="V158" s="53">
        <f>IFERROR(__xludf.DUMMYFUNCTION("""COMPUTED_VALUE"""),-0.42447047355638534)</f>
        <v>-0.4244704736</v>
      </c>
      <c r="W158" s="53">
        <f>IFERROR(__xludf.DUMMYFUNCTION("""COMPUTED_VALUE"""),-0.7896459158928509)</f>
        <v>-0.7896459159</v>
      </c>
      <c r="X158" s="53">
        <f>IFERROR(__xludf.DUMMYFUNCTION("""COMPUTED_VALUE"""),-0.805315224643787)</f>
        <v>-0.8053152246</v>
      </c>
      <c r="Y158" s="53">
        <f>IFERROR(__xludf.DUMMYFUNCTION("""COMPUTED_VALUE"""),0.5867566384673297)</f>
        <v>0.5867566385</v>
      </c>
      <c r="Z158" s="53">
        <f>IFERROR(__xludf.DUMMYFUNCTION("""COMPUTED_VALUE"""),-0.0016558002487857576)</f>
        <v>-0.001655800249</v>
      </c>
      <c r="AA158" t="str">
        <f>IFERROR(__xludf.DUMMYFUNCTION("SUBSTITUTE(REGEXREPLACE(REGEXREPLACE(REGEXREPLACE(REGEXREPLACE(REGEXREPLACE(REGEXREPLACE(E158,"","",),IF(Projections!$U$3="""",""PG"",),),IF(Projections!$V$3="""",""SG"",),),IF(Projections!$W$3="""",""SF"",),),IF(Projections!$X$3="""",""PF"",),),IF(Projec"&amp;"tions!$Y$3="""",""C"",),),""/"","""")"),"PG")</f>
        <v>PG</v>
      </c>
    </row>
    <row r="159">
      <c r="A159" t="str">
        <f>IF(Projections!$H$3,Draft!O13,"")</f>
        <v/>
      </c>
      <c r="B159">
        <f>IFERROR(__xludf.DUMMYFUNCTION("""COMPUTED_VALUE"""),149.0)</f>
        <v>149</v>
      </c>
      <c r="C159" t="str">
        <f>IFERROR(__xludf.DUMMYFUNCTION("""COMPUTED_VALUE"""),"Cole Anthony")</f>
        <v>Cole Anthony</v>
      </c>
      <c r="D159">
        <f>IFERROR(__xludf.DUMMYFUNCTION("""COMPUTED_VALUE"""),64.0)</f>
        <v>64</v>
      </c>
      <c r="E159" t="str">
        <f>IFERROR(__xludf.DUMMYFUNCTION("""COMPUTED_VALUE"""),"PG")</f>
        <v>PG</v>
      </c>
      <c r="F159" s="53">
        <f>IFERROR(__xludf.DUMMYFUNCTION("""COMPUTED_VALUE"""),-3.4094441802618674)</f>
        <v>-3.40944418</v>
      </c>
      <c r="G159" s="53">
        <f>IFERROR(__xludf.DUMMYFUNCTION("""COMPUTED_VALUE"""),-1.9484616247149984)</f>
        <v>-1.948461625</v>
      </c>
      <c r="H159" s="53">
        <f>IFERROR(__xludf.DUMMYFUNCTION("""COMPUTED_VALUE"""),1.460982555546869)</f>
        <v>1.460982556</v>
      </c>
      <c r="I159" s="53">
        <f>IFERROR(__xludf.DUMMYFUNCTION("""COMPUTED_VALUE"""),12.9)</f>
        <v>12.9</v>
      </c>
      <c r="J159" s="53">
        <f>IFERROR(__xludf.DUMMYFUNCTION("""COMPUTED_VALUE"""),1.5)</f>
        <v>1.5</v>
      </c>
      <c r="K159" s="53">
        <f>IFERROR(__xludf.DUMMYFUNCTION("""COMPUTED_VALUE"""),4.5)</f>
        <v>4.5</v>
      </c>
      <c r="L159" s="53">
        <f>IFERROR(__xludf.DUMMYFUNCTION("""COMPUTED_VALUE"""),4.0)</f>
        <v>4</v>
      </c>
      <c r="M159" s="53">
        <f>IFERROR(__xludf.DUMMYFUNCTION("""COMPUTED_VALUE"""),0.6)</f>
        <v>0.6</v>
      </c>
      <c r="N159" s="53">
        <f>IFERROR(__xludf.DUMMYFUNCTION("""COMPUTED_VALUE"""),0.3)</f>
        <v>0.3</v>
      </c>
      <c r="O159" s="53">
        <f>IFERROR(__xludf.DUMMYFUNCTION("""COMPUTED_VALUE"""),43.56435643564357)</f>
        <v>43.56435644</v>
      </c>
      <c r="P159" s="53">
        <f>IFERROR(__xludf.DUMMYFUNCTION("""COMPUTED_VALUE"""),86.66666666666667)</f>
        <v>86.66666667</v>
      </c>
      <c r="Q159" s="53">
        <f>IFERROR(__xludf.DUMMYFUNCTION("""COMPUTED_VALUE"""),1.8)</f>
        <v>1.8</v>
      </c>
      <c r="R159" s="53">
        <f>IFERROR(__xludf.DUMMYFUNCTION("""COMPUTED_VALUE"""),-0.7342132489490674)</f>
        <v>-0.7342132489</v>
      </c>
      <c r="S159" s="53">
        <f>IFERROR(__xludf.DUMMYFUNCTION("""COMPUTED_VALUE"""),-0.12544463118008137)</f>
        <v>-0.1254446312</v>
      </c>
      <c r="T159" s="53">
        <f>IFERROR(__xludf.DUMMYFUNCTION("""COMPUTED_VALUE"""),-0.6670945337689531)</f>
        <v>-0.6670945338</v>
      </c>
      <c r="U159" s="53">
        <f>IFERROR(__xludf.DUMMYFUNCTION("""COMPUTED_VALUE"""),0.07956383839796079)</f>
        <v>0.0795638384</v>
      </c>
      <c r="V159" s="53">
        <f>IFERROR(__xludf.DUMMYFUNCTION("""COMPUTED_VALUE"""),-0.860570275155411)</f>
        <v>-0.8605702752</v>
      </c>
      <c r="W159" s="53">
        <f>IFERROR(__xludf.DUMMYFUNCTION("""COMPUTED_VALUE"""),-0.5270142365493308)</f>
        <v>-0.5270142365</v>
      </c>
      <c r="X159" s="53">
        <f>IFERROR(__xludf.DUMMYFUNCTION("""COMPUTED_VALUE"""),-0.6087510298223557)</f>
        <v>-0.6087510298</v>
      </c>
      <c r="Y159" s="53">
        <f>IFERROR(__xludf.DUMMYFUNCTION("""COMPUTED_VALUE"""),0.5740555080761552)</f>
        <v>0.5740555081</v>
      </c>
      <c r="Z159" s="53">
        <f>IFERROR(__xludf.DUMMYFUNCTION("""COMPUTED_VALUE"""),0.06043670908067405)</f>
        <v>0.06043670908</v>
      </c>
      <c r="AA159" t="str">
        <f>IFERROR(__xludf.DUMMYFUNCTION("SUBSTITUTE(REGEXREPLACE(REGEXREPLACE(REGEXREPLACE(REGEXREPLACE(REGEXREPLACE(REGEXREPLACE(E159,"","",),IF(Projections!$U$3="""",""PG"",),),IF(Projections!$V$3="""",""SG"",),),IF(Projections!$W$3="""",""SF"",),),IF(Projections!$X$3="""",""PF"",),),IF(Projec"&amp;"tions!$Y$3="""",""C"",),),""/"","""")"),"PG")</f>
        <v>PG</v>
      </c>
    </row>
    <row r="160">
      <c r="A160" t="str">
        <f>IF(Projections!$H$3,Draft!O14,"")</f>
        <v/>
      </c>
      <c r="B160">
        <f>IFERROR(__xludf.DUMMYFUNCTION("""COMPUTED_VALUE"""),157.0)</f>
        <v>157</v>
      </c>
      <c r="C160" t="str">
        <f>IFERROR(__xludf.DUMMYFUNCTION("""COMPUTED_VALUE"""),"Jae Crowder")</f>
        <v>Jae Crowder</v>
      </c>
      <c r="D160">
        <f>IFERROR(__xludf.DUMMYFUNCTION("""COMPUTED_VALUE"""),67.0)</f>
        <v>67</v>
      </c>
      <c r="E160" t="str">
        <f>IFERROR(__xludf.DUMMYFUNCTION("""COMPUTED_VALUE"""),"SF,PF")</f>
        <v>SF,PF</v>
      </c>
      <c r="F160" s="53">
        <f>IFERROR(__xludf.DUMMYFUNCTION("""COMPUTED_VALUE"""),-3.8563669142530457)</f>
        <v>-3.856366914</v>
      </c>
      <c r="G160" s="53">
        <f>IFERROR(__xludf.DUMMYFUNCTION("""COMPUTED_VALUE"""),-1.9515564889413473)</f>
        <v>-1.951556489</v>
      </c>
      <c r="H160" s="53">
        <f>IFERROR(__xludf.DUMMYFUNCTION("""COMPUTED_VALUE"""),1.9048104253116984)</f>
        <v>1.904810425</v>
      </c>
      <c r="I160" s="53">
        <f>IFERROR(__xludf.DUMMYFUNCTION("""COMPUTED_VALUE"""),8.3)</f>
        <v>8.3</v>
      </c>
      <c r="J160" s="53">
        <f>IFERROR(__xludf.DUMMYFUNCTION("""COMPUTED_VALUE"""),1.6)</f>
        <v>1.6</v>
      </c>
      <c r="K160" s="53">
        <f>IFERROR(__xludf.DUMMYFUNCTION("""COMPUTED_VALUE"""),4.4)</f>
        <v>4.4</v>
      </c>
      <c r="L160" s="53">
        <f>IFERROR(__xludf.DUMMYFUNCTION("""COMPUTED_VALUE"""),1.6)</f>
        <v>1.6</v>
      </c>
      <c r="M160" s="53">
        <f>IFERROR(__xludf.DUMMYFUNCTION("""COMPUTED_VALUE"""),1.1)</f>
        <v>1.1</v>
      </c>
      <c r="N160" s="53">
        <f>IFERROR(__xludf.DUMMYFUNCTION("""COMPUTED_VALUE"""),0.4)</f>
        <v>0.4</v>
      </c>
      <c r="O160" s="53">
        <f>IFERROR(__xludf.DUMMYFUNCTION("""COMPUTED_VALUE"""),43.93939393939394)</f>
        <v>43.93939394</v>
      </c>
      <c r="P160" s="53">
        <f>IFERROR(__xludf.DUMMYFUNCTION("""COMPUTED_VALUE"""),81.81818181818181)</f>
        <v>81.81818182</v>
      </c>
      <c r="Q160" s="53">
        <f>IFERROR(__xludf.DUMMYFUNCTION("""COMPUTED_VALUE"""),0.7)</f>
        <v>0.7</v>
      </c>
      <c r="R160" s="53">
        <f>IFERROR(__xludf.DUMMYFUNCTION("""COMPUTED_VALUE"""),-1.509434582958029)</f>
        <v>-1.509434583</v>
      </c>
      <c r="S160" s="53">
        <f>IFERROR(__xludf.DUMMYFUNCTION("""COMPUTED_VALUE"""),-0.03873175248417188)</f>
        <v>-0.03873175248</v>
      </c>
      <c r="T160" s="53">
        <f>IFERROR(__xludf.DUMMYFUNCTION("""COMPUTED_VALUE"""),-0.7089099036249258)</f>
        <v>-0.7089099036</v>
      </c>
      <c r="U160" s="53">
        <f>IFERROR(__xludf.DUMMYFUNCTION("""COMPUTED_VALUE"""),-1.144495213878365)</f>
        <v>-1.144495214</v>
      </c>
      <c r="V160" s="53">
        <f>IFERROR(__xludf.DUMMYFUNCTION("""COMPUTED_VALUE"""),0.22967922884215308)</f>
        <v>0.2296792288</v>
      </c>
      <c r="W160" s="53">
        <f>IFERROR(__xludf.DUMMYFUNCTION("""COMPUTED_VALUE"""),-0.39569839687757064)</f>
        <v>-0.3956983969</v>
      </c>
      <c r="X160" s="53">
        <f>IFERROR(__xludf.DUMMYFUNCTION("""COMPUTED_VALUE"""),-0.37307332074466587)</f>
        <v>-0.3730733207</v>
      </c>
      <c r="Y160" s="53">
        <f>IFERROR(__xludf.DUMMYFUNCTION("""COMPUTED_VALUE"""),0.07772735943349546)</f>
        <v>0.07772735943</v>
      </c>
      <c r="Z160" s="53">
        <f>IFERROR(__xludf.DUMMYFUNCTION("""COMPUTED_VALUE"""),0.4019455103927031)</f>
        <v>0.4019455104</v>
      </c>
      <c r="AA160" t="str">
        <f>IFERROR(__xludf.DUMMYFUNCTION("SUBSTITUTE(REGEXREPLACE(REGEXREPLACE(REGEXREPLACE(REGEXREPLACE(REGEXREPLACE(REGEXREPLACE(E160,"","",),IF(Projections!$U$3="""",""PG"",),),IF(Projections!$V$3="""",""SG"",),),IF(Projections!$W$3="""",""SF"",),),IF(Projections!$X$3="""",""PF"",),),IF(Projec"&amp;"tions!$Y$3="""",""C"",),),""/"","""")"),"SFPF")</f>
        <v>SFPF</v>
      </c>
    </row>
    <row r="161">
      <c r="A161" t="str">
        <f>IF(Projections!$H$3,Draft!P3,"")</f>
        <v/>
      </c>
      <c r="B161">
        <f>IFERROR(__xludf.DUMMYFUNCTION("""COMPUTED_VALUE"""),160.0)</f>
        <v>160</v>
      </c>
      <c r="C161" t="str">
        <f>IFERROR(__xludf.DUMMYFUNCTION("""COMPUTED_VALUE"""),"Nicolas Batum")</f>
        <v>Nicolas Batum</v>
      </c>
      <c r="D161">
        <f>IFERROR(__xludf.DUMMYFUNCTION("""COMPUTED_VALUE"""),67.0)</f>
        <v>67</v>
      </c>
      <c r="E161" t="str">
        <f>IFERROR(__xludf.DUMMYFUNCTION("""COMPUTED_VALUE"""),"SF,PF")</f>
        <v>SF,PF</v>
      </c>
      <c r="F161" s="53">
        <f>IFERROR(__xludf.DUMMYFUNCTION("""COMPUTED_VALUE"""),-4.063412442057047)</f>
        <v>-4.063412442</v>
      </c>
      <c r="G161" s="53">
        <f>IFERROR(__xludf.DUMMYFUNCTION("""COMPUTED_VALUE"""),-1.9732607762667775)</f>
        <v>-1.973260776</v>
      </c>
      <c r="H161" s="53">
        <f>IFERROR(__xludf.DUMMYFUNCTION("""COMPUTED_VALUE"""),2.0901516657902697)</f>
        <v>2.090151666</v>
      </c>
      <c r="I161" s="53">
        <f>IFERROR(__xludf.DUMMYFUNCTION("""COMPUTED_VALUE"""),7.5)</f>
        <v>7.5</v>
      </c>
      <c r="J161" s="53">
        <f>IFERROR(__xludf.DUMMYFUNCTION("""COMPUTED_VALUE"""),1.8)</f>
        <v>1.8</v>
      </c>
      <c r="K161" s="53">
        <f>IFERROR(__xludf.DUMMYFUNCTION("""COMPUTED_VALUE"""),4.3)</f>
        <v>4.3</v>
      </c>
      <c r="L161" s="53">
        <f>IFERROR(__xludf.DUMMYFUNCTION("""COMPUTED_VALUE"""),1.7)</f>
        <v>1.7</v>
      </c>
      <c r="M161" s="53">
        <f>IFERROR(__xludf.DUMMYFUNCTION("""COMPUTED_VALUE"""),0.9)</f>
        <v>0.9</v>
      </c>
      <c r="N161" s="53">
        <f>IFERROR(__xludf.DUMMYFUNCTION("""COMPUTED_VALUE"""),0.7)</f>
        <v>0.7</v>
      </c>
      <c r="O161" s="53">
        <f>IFERROR(__xludf.DUMMYFUNCTION("""COMPUTED_VALUE"""),44.06779661016949)</f>
        <v>44.06779661</v>
      </c>
      <c r="P161" s="53">
        <f>IFERROR(__xludf.DUMMYFUNCTION("""COMPUTED_VALUE"""),71.42857142857143)</f>
        <v>71.42857143</v>
      </c>
      <c r="Q161" s="53">
        <f>IFERROR(__xludf.DUMMYFUNCTION("""COMPUTED_VALUE"""),0.7)</f>
        <v>0.7</v>
      </c>
      <c r="R161" s="53">
        <f>IFERROR(__xludf.DUMMYFUNCTION("""COMPUTED_VALUE"""),-1.6442556845248049)</f>
        <v>-1.644255685</v>
      </c>
      <c r="S161" s="53">
        <f>IFERROR(__xludf.DUMMYFUNCTION("""COMPUTED_VALUE"""),0.13469400490764694)</f>
        <v>0.1346940049</v>
      </c>
      <c r="T161" s="53">
        <f>IFERROR(__xludf.DUMMYFUNCTION("""COMPUTED_VALUE"""),-0.7507252734808988)</f>
        <v>-0.7507252735</v>
      </c>
      <c r="U161" s="53">
        <f>IFERROR(__xludf.DUMMYFUNCTION("""COMPUTED_VALUE"""),-1.0934927533668515)</f>
        <v>-1.093492753</v>
      </c>
      <c r="V161" s="53">
        <f>IFERROR(__xludf.DUMMYFUNCTION("""COMPUTED_VALUE"""),-0.2064205727568726)</f>
        <v>-0.2064205728</v>
      </c>
      <c r="W161" s="53">
        <f>IFERROR(__xludf.DUMMYFUNCTION("""COMPUTED_VALUE"""),-0.0017508778622903794)</f>
        <v>-0.001750877862</v>
      </c>
      <c r="X161" s="53">
        <f>IFERROR(__xludf.DUMMYFUNCTION("""COMPUTED_VALUE"""),-0.32593777892912784)</f>
        <v>-0.3259377789</v>
      </c>
      <c r="Y161" s="53">
        <f>IFERROR(__xludf.DUMMYFUNCTION("""COMPUTED_VALUE"""),-0.13157303517108632)</f>
        <v>-0.1315730352</v>
      </c>
      <c r="Z161" s="53">
        <f>IFERROR(__xludf.DUMMYFUNCTION("""COMPUTED_VALUE"""),0.4019455103927031)</f>
        <v>0.4019455104</v>
      </c>
      <c r="AA161" t="str">
        <f>IFERROR(__xludf.DUMMYFUNCTION("SUBSTITUTE(REGEXREPLACE(REGEXREPLACE(REGEXREPLACE(REGEXREPLACE(REGEXREPLACE(REGEXREPLACE(E161,"","",),IF(Projections!$U$3="""",""PG"",),),IF(Projections!$V$3="""",""SG"",),),IF(Projections!$W$3="""",""SF"",),),IF(Projections!$X$3="""",""PF"",),),IF(Projec"&amp;"tions!$Y$3="""",""C"",),),""/"","""")"),"SFPF")</f>
        <v>SFPF</v>
      </c>
    </row>
    <row r="162">
      <c r="A162" t="str">
        <f>IF(Projections!$H$3,Draft!P4,"")</f>
        <v/>
      </c>
      <c r="B162">
        <f>IFERROR(__xludf.DUMMYFUNCTION("""COMPUTED_VALUE"""),151.0)</f>
        <v>151</v>
      </c>
      <c r="C162" t="str">
        <f>IFERROR(__xludf.DUMMYFUNCTION("""COMPUTED_VALUE"""),"Keldon Johnson")</f>
        <v>Keldon Johnson</v>
      </c>
      <c r="D162">
        <f>IFERROR(__xludf.DUMMYFUNCTION("""COMPUTED_VALUE"""),70.0)</f>
        <v>70</v>
      </c>
      <c r="E162" t="str">
        <f>IFERROR(__xludf.DUMMYFUNCTION("""COMPUTED_VALUE"""),"SG,SF")</f>
        <v>SG,SF</v>
      </c>
      <c r="F162" s="53">
        <f>IFERROR(__xludf.DUMMYFUNCTION("""COMPUTED_VALUE"""),-3.509398029439534)</f>
        <v>-3.509398029</v>
      </c>
      <c r="G162" s="53">
        <f>IFERROR(__xludf.DUMMYFUNCTION("""COMPUTED_VALUE"""),-1.9948715106839248)</f>
        <v>-1.994871511</v>
      </c>
      <c r="H162" s="53">
        <f>IFERROR(__xludf.DUMMYFUNCTION("""COMPUTED_VALUE"""),1.5145265187556092)</f>
        <v>1.514526519</v>
      </c>
      <c r="I162" s="53">
        <f>IFERROR(__xludf.DUMMYFUNCTION("""COMPUTED_VALUE"""),18.0)</f>
        <v>18</v>
      </c>
      <c r="J162" s="53">
        <f>IFERROR(__xludf.DUMMYFUNCTION("""COMPUTED_VALUE"""),1.9)</f>
        <v>1.9</v>
      </c>
      <c r="K162" s="53">
        <f>IFERROR(__xludf.DUMMYFUNCTION("""COMPUTED_VALUE"""),4.9)</f>
        <v>4.9</v>
      </c>
      <c r="L162" s="53">
        <f>IFERROR(__xludf.DUMMYFUNCTION("""COMPUTED_VALUE"""),2.3)</f>
        <v>2.3</v>
      </c>
      <c r="M162" s="53">
        <f>IFERROR(__xludf.DUMMYFUNCTION("""COMPUTED_VALUE"""),0.7)</f>
        <v>0.7</v>
      </c>
      <c r="N162" s="53">
        <f>IFERROR(__xludf.DUMMYFUNCTION("""COMPUTED_VALUE"""),0.2)</f>
        <v>0.2</v>
      </c>
      <c r="O162" s="53">
        <f>IFERROR(__xludf.DUMMYFUNCTION("""COMPUTED_VALUE"""),46.478873239436616)</f>
        <v>46.47887324</v>
      </c>
      <c r="P162" s="53">
        <f>IFERROR(__xludf.DUMMYFUNCTION("""COMPUTED_VALUE"""),76.31578947368422)</f>
        <v>76.31578947</v>
      </c>
      <c r="Q162" s="53">
        <f>IFERROR(__xludf.DUMMYFUNCTION("""COMPUTED_VALUE"""),1.5)</f>
        <v>1.5</v>
      </c>
      <c r="R162" s="53">
        <f>IFERROR(__xludf.DUMMYFUNCTION("""COMPUTED_VALUE"""),0.12527127353912912)</f>
        <v>0.1252712735</v>
      </c>
      <c r="S162" s="53">
        <f>IFERROR(__xludf.DUMMYFUNCTION("""COMPUTED_VALUE"""),0.2214068836035562)</f>
        <v>0.2214068836</v>
      </c>
      <c r="T162" s="53">
        <f>IFERROR(__xludf.DUMMYFUNCTION("""COMPUTED_VALUE"""),-0.4998330543450616)</f>
        <v>-0.4998330543</v>
      </c>
      <c r="U162" s="53">
        <f>IFERROR(__xludf.DUMMYFUNCTION("""COMPUTED_VALUE"""),-0.78747799029777)</f>
        <v>-0.7874779903</v>
      </c>
      <c r="V162" s="53">
        <f>IFERROR(__xludf.DUMMYFUNCTION("""COMPUTED_VALUE"""),-0.6425203743558983)</f>
        <v>-0.6425203744</v>
      </c>
      <c r="W162" s="53">
        <f>IFERROR(__xludf.DUMMYFUNCTION("""COMPUTED_VALUE"""),-0.6583300762210907)</f>
        <v>-0.6583300762</v>
      </c>
      <c r="X162" s="53">
        <f>IFERROR(__xludf.DUMMYFUNCTION("""COMPUTED_VALUE"""),-0.4424761189419808)</f>
        <v>-0.4424761189</v>
      </c>
      <c r="Y162" s="53">
        <f>IFERROR(__xludf.DUMMYFUNCTION("""COMPUTED_VALUE"""),-0.2519655170374424)</f>
        <v>-0.251965517</v>
      </c>
      <c r="Z162" s="53">
        <f>IFERROR(__xludf.DUMMYFUNCTION("""COMPUTED_VALUE"""),0.1535754730748638)</f>
        <v>0.1535754731</v>
      </c>
      <c r="AA162" t="str">
        <f>IFERROR(__xludf.DUMMYFUNCTION("SUBSTITUTE(REGEXREPLACE(REGEXREPLACE(REGEXREPLACE(REGEXREPLACE(REGEXREPLACE(REGEXREPLACE(E162,"","",),IF(Projections!$U$3="""",""PG"",),),IF(Projections!$V$3="""",""SG"",),),IF(Projections!$W$3="""",""SF"",),),IF(Projections!$X$3="""",""PF"",),),IF(Projec"&amp;"tions!$Y$3="""",""C"",),),""/"","""")"),"SGSF")</f>
        <v>SGSF</v>
      </c>
    </row>
    <row r="163">
      <c r="A163" t="str">
        <f>IF(Projections!$H$3,Draft!P5,"")</f>
        <v/>
      </c>
      <c r="B163">
        <f>IFERROR(__xludf.DUMMYFUNCTION("""COMPUTED_VALUE"""),163.0)</f>
        <v>163</v>
      </c>
      <c r="C163" t="str">
        <f>IFERROR(__xludf.DUMMYFUNCTION("""COMPUTED_VALUE"""),"Isaiah Hartenstein")</f>
        <v>Isaiah Hartenstein</v>
      </c>
      <c r="D163">
        <f>IFERROR(__xludf.DUMMYFUNCTION("""COMPUTED_VALUE"""),76.0)</f>
        <v>76</v>
      </c>
      <c r="E163" t="str">
        <f>IFERROR(__xludf.DUMMYFUNCTION("""COMPUTED_VALUE"""),"C")</f>
        <v>C</v>
      </c>
      <c r="F163" s="53">
        <f>IFERROR(__xludf.DUMMYFUNCTION("""COMPUTED_VALUE"""),-4.201942648878362)</f>
        <v>-4.201942649</v>
      </c>
      <c r="G163" s="53">
        <f>IFERROR(__xludf.DUMMYFUNCTION("""COMPUTED_VALUE"""),-2.008814583783615)</f>
        <v>-2.008814584</v>
      </c>
      <c r="H163" s="53">
        <f>IFERROR(__xludf.DUMMYFUNCTION("""COMPUTED_VALUE"""),2.1931280650947476)</f>
        <v>2.193128065</v>
      </c>
      <c r="I163" s="53">
        <f>IFERROR(__xludf.DUMMYFUNCTION("""COMPUTED_VALUE"""),6.9)</f>
        <v>6.9</v>
      </c>
      <c r="J163" s="53">
        <f>IFERROR(__xludf.DUMMYFUNCTION("""COMPUTED_VALUE"""),0.2)</f>
        <v>0.2</v>
      </c>
      <c r="K163" s="53">
        <f>IFERROR(__xludf.DUMMYFUNCTION("""COMPUTED_VALUE"""),6.1)</f>
        <v>6.1</v>
      </c>
      <c r="L163" s="53">
        <f>IFERROR(__xludf.DUMMYFUNCTION("""COMPUTED_VALUE"""),1.9)</f>
        <v>1.9</v>
      </c>
      <c r="M163" s="53">
        <f>IFERROR(__xludf.DUMMYFUNCTION("""COMPUTED_VALUE"""),0.7)</f>
        <v>0.7</v>
      </c>
      <c r="N163" s="53">
        <f>IFERROR(__xludf.DUMMYFUNCTION("""COMPUTED_VALUE"""),1.0)</f>
        <v>1</v>
      </c>
      <c r="O163" s="53">
        <f>IFERROR(__xludf.DUMMYFUNCTION("""COMPUTED_VALUE"""),59.183673469387756)</f>
        <v>59.18367347</v>
      </c>
      <c r="P163" s="53">
        <f>IFERROR(__xludf.DUMMYFUNCTION("""COMPUTED_VALUE"""),71.42857142857143)</f>
        <v>71.42857143</v>
      </c>
      <c r="Q163" s="53">
        <f>IFERROR(__xludf.DUMMYFUNCTION("""COMPUTED_VALUE"""),1.1)</f>
        <v>1.1</v>
      </c>
      <c r="R163" s="53">
        <f>IFERROR(__xludf.DUMMYFUNCTION("""COMPUTED_VALUE"""),-1.7453715106998868)</f>
        <v>-1.745371511</v>
      </c>
      <c r="S163" s="53">
        <f>IFERROR(__xludf.DUMMYFUNCTION("""COMPUTED_VALUE"""),-1.252712054226904)</f>
        <v>-1.252712054</v>
      </c>
      <c r="T163" s="53">
        <f>IFERROR(__xludf.DUMMYFUNCTION("""COMPUTED_VALUE"""),0.0019513839266122224)</f>
        <v>0.001951383927</v>
      </c>
      <c r="U163" s="53">
        <f>IFERROR(__xludf.DUMMYFUNCTION("""COMPUTED_VALUE"""),-0.9914878323438243)</f>
        <v>-0.9914878323</v>
      </c>
      <c r="V163" s="53">
        <f>IFERROR(__xludf.DUMMYFUNCTION("""COMPUTED_VALUE"""),-0.6425203743558983)</f>
        <v>-0.6425203744</v>
      </c>
      <c r="W163" s="53">
        <f>IFERROR(__xludf.DUMMYFUNCTION("""COMPUTED_VALUE"""),0.39219664115299)</f>
        <v>0.3921966412</v>
      </c>
      <c r="X163" s="53">
        <f>IFERROR(__xludf.DUMMYFUNCTION("""COMPUTED_VALUE"""),0.46914323067179886)</f>
        <v>0.4691432307</v>
      </c>
      <c r="Y163" s="53">
        <f>IFERROR(__xludf.DUMMYFUNCTION("""COMPUTED_VALUE"""),-0.26314607034217263)</f>
        <v>-0.2631460703</v>
      </c>
      <c r="Z163" s="53">
        <f>IFERROR(__xludf.DUMMYFUNCTION("""COMPUTED_VALUE"""),0.2777604917337834)</f>
        <v>0.2777604917</v>
      </c>
      <c r="AA163" t="str">
        <f>IFERROR(__xludf.DUMMYFUNCTION("SUBSTITUTE(REGEXREPLACE(REGEXREPLACE(REGEXREPLACE(REGEXREPLACE(REGEXREPLACE(REGEXREPLACE(E163,"","",),IF(Projections!$U$3="""",""PG"",),),IF(Projections!$V$3="""",""SG"",),),IF(Projections!$W$3="""",""SF"",),),IF(Projections!$X$3="""",""PF"",),),IF(Projec"&amp;"tions!$Y$3="""",""C"",),),""/"","""")"),"C")</f>
        <v>C</v>
      </c>
    </row>
    <row r="164">
      <c r="A164" t="str">
        <f>IF(Projections!$H$3,Draft!P6,"")</f>
        <v/>
      </c>
      <c r="B164">
        <f>IFERROR(__xludf.DUMMYFUNCTION("""COMPUTED_VALUE"""),168.0)</f>
        <v>168</v>
      </c>
      <c r="C164" t="str">
        <f>IFERROR(__xludf.DUMMYFUNCTION("""COMPUTED_VALUE"""),"Gary Trent Jr.")</f>
        <v>Gary Trent Jr.</v>
      </c>
      <c r="D164">
        <f>IFERROR(__xludf.DUMMYFUNCTION("""COMPUTED_VALUE"""),65.0)</f>
        <v>65</v>
      </c>
      <c r="E164" t="str">
        <f>IFERROR(__xludf.DUMMYFUNCTION("""COMPUTED_VALUE"""),"PG,SG")</f>
        <v>PG,SG</v>
      </c>
      <c r="F164" s="53">
        <f>IFERROR(__xludf.DUMMYFUNCTION("""COMPUTED_VALUE"""),-4.327926048515049)</f>
        <v>-4.327926049</v>
      </c>
      <c r="G164" s="53">
        <f>IFERROR(__xludf.DUMMYFUNCTION("""COMPUTED_VALUE"""),-2.1829142267819517)</f>
        <v>-2.182914227</v>
      </c>
      <c r="H164" s="53">
        <f>IFERROR(__xludf.DUMMYFUNCTION("""COMPUTED_VALUE"""),2.145011821733097)</f>
        <v>2.145011822</v>
      </c>
      <c r="I164" s="53">
        <f>IFERROR(__xludf.DUMMYFUNCTION("""COMPUTED_VALUE"""),12.9)</f>
        <v>12.9</v>
      </c>
      <c r="J164" s="53">
        <f>IFERROR(__xludf.DUMMYFUNCTION("""COMPUTED_VALUE"""),2.0)</f>
        <v>2</v>
      </c>
      <c r="K164" s="53">
        <f>IFERROR(__xludf.DUMMYFUNCTION("""COMPUTED_VALUE"""),1.9)</f>
        <v>1.9</v>
      </c>
      <c r="L164" s="53">
        <f>IFERROR(__xludf.DUMMYFUNCTION("""COMPUTED_VALUE"""),1.3)</f>
        <v>1.3</v>
      </c>
      <c r="M164" s="53">
        <f>IFERROR(__xludf.DUMMYFUNCTION("""COMPUTED_VALUE"""),1.2)</f>
        <v>1.2</v>
      </c>
      <c r="N164" s="53">
        <f>IFERROR(__xludf.DUMMYFUNCTION("""COMPUTED_VALUE"""),0.2)</f>
        <v>0.2</v>
      </c>
      <c r="O164" s="53">
        <f>IFERROR(__xludf.DUMMYFUNCTION("""COMPUTED_VALUE"""),42.056074766355145)</f>
        <v>42.05607477</v>
      </c>
      <c r="P164" s="53">
        <f>IFERROR(__xludf.DUMMYFUNCTION("""COMPUTED_VALUE"""),81.81818181818181)</f>
        <v>81.81818182</v>
      </c>
      <c r="Q164" s="53">
        <f>IFERROR(__xludf.DUMMYFUNCTION("""COMPUTED_VALUE"""),0.7)</f>
        <v>0.7</v>
      </c>
      <c r="R164" s="53">
        <f>IFERROR(__xludf.DUMMYFUNCTION("""COMPUTED_VALUE"""),-0.7342132489490674)</f>
        <v>-0.7342132489</v>
      </c>
      <c r="S164" s="53">
        <f>IFERROR(__xludf.DUMMYFUNCTION("""COMPUTED_VALUE"""),0.30811976229946575)</f>
        <v>0.3081197623</v>
      </c>
      <c r="T164" s="53">
        <f>IFERROR(__xludf.DUMMYFUNCTION("""COMPUTED_VALUE"""),-1.7542941500242468)</f>
        <v>-1.75429415</v>
      </c>
      <c r="U164" s="53">
        <f>IFERROR(__xludf.DUMMYFUNCTION("""COMPUTED_VALUE"""),-1.2975025954129054)</f>
        <v>-1.297502595</v>
      </c>
      <c r="V164" s="53">
        <f>IFERROR(__xludf.DUMMYFUNCTION("""COMPUTED_VALUE"""),0.44772912964166556)</f>
        <v>0.4477291296</v>
      </c>
      <c r="W164" s="53">
        <f>IFERROR(__xludf.DUMMYFUNCTION("""COMPUTED_VALUE"""),-0.6583300762210907)</f>
        <v>-0.6583300762</v>
      </c>
      <c r="X164" s="53">
        <f>IFERROR(__xludf.DUMMYFUNCTION("""COMPUTED_VALUE"""),-0.8061174273997138)</f>
        <v>-0.8061174274</v>
      </c>
      <c r="Y164" s="53">
        <f>IFERROR(__xludf.DUMMYFUNCTION("""COMPUTED_VALUE"""),0.15545471886699092)</f>
        <v>0.1554547189</v>
      </c>
      <c r="Z164" s="53">
        <f>IFERROR(__xludf.DUMMYFUNCTION("""COMPUTED_VALUE"""),0.4019455103927031)</f>
        <v>0.4019455104</v>
      </c>
      <c r="AA164" t="str">
        <f>IFERROR(__xludf.DUMMYFUNCTION("SUBSTITUTE(REGEXREPLACE(REGEXREPLACE(REGEXREPLACE(REGEXREPLACE(REGEXREPLACE(REGEXREPLACE(E164,"","",),IF(Projections!$U$3="""",""PG"",),),IF(Projections!$V$3="""",""SG"",),),IF(Projections!$W$3="""",""SF"",),),IF(Projections!$X$3="""",""PF"",),),IF(Projec"&amp;"tions!$Y$3="""",""C"",),),""/"","""")"),"PGSG")</f>
        <v>PGSG</v>
      </c>
    </row>
    <row r="165">
      <c r="A165" t="str">
        <f>IF(Projections!$H$3,Draft!P7,"")</f>
        <v/>
      </c>
      <c r="B165">
        <f>IFERROR(__xludf.DUMMYFUNCTION("""COMPUTED_VALUE"""),150.0)</f>
        <v>150</v>
      </c>
      <c r="C165" t="str">
        <f>IFERROR(__xludf.DUMMYFUNCTION("""COMPUTED_VALUE"""),"P.J. Washington")</f>
        <v>P.J. Washington</v>
      </c>
      <c r="D165">
        <f>IFERROR(__xludf.DUMMYFUNCTION("""COMPUTED_VALUE"""),72.0)</f>
        <v>72</v>
      </c>
      <c r="E165" t="str">
        <f>IFERROR(__xludf.DUMMYFUNCTION("""COMPUTED_VALUE"""),"PF")</f>
        <v>PF</v>
      </c>
      <c r="F165" s="53">
        <f>IFERROR(__xludf.DUMMYFUNCTION("""COMPUTED_VALUE"""),-3.4544012677059204)</f>
        <v>-3.454401268</v>
      </c>
      <c r="G165" s="53">
        <f>IFERROR(__xludf.DUMMYFUNCTION("""COMPUTED_VALUE"""),-2.2255242296535176)</f>
        <v>-2.22552423</v>
      </c>
      <c r="H165" s="53">
        <f>IFERROR(__xludf.DUMMYFUNCTION("""COMPUTED_VALUE"""),1.2288770380524028)</f>
        <v>1.228877038</v>
      </c>
      <c r="I165" s="53">
        <f>IFERROR(__xludf.DUMMYFUNCTION("""COMPUTED_VALUE"""),12.0)</f>
        <v>12</v>
      </c>
      <c r="J165" s="53">
        <f>IFERROR(__xludf.DUMMYFUNCTION("""COMPUTED_VALUE"""),1.7)</f>
        <v>1.7</v>
      </c>
      <c r="K165" s="53">
        <f>IFERROR(__xludf.DUMMYFUNCTION("""COMPUTED_VALUE"""),4.6)</f>
        <v>4.6</v>
      </c>
      <c r="L165" s="53">
        <f>IFERROR(__xludf.DUMMYFUNCTION("""COMPUTED_VALUE"""),2.1)</f>
        <v>2.1</v>
      </c>
      <c r="M165" s="53">
        <f>IFERROR(__xludf.DUMMYFUNCTION("""COMPUTED_VALUE"""),0.8)</f>
        <v>0.8</v>
      </c>
      <c r="N165" s="53">
        <f>IFERROR(__xludf.DUMMYFUNCTION("""COMPUTED_VALUE"""),0.9)</f>
        <v>0.9</v>
      </c>
      <c r="O165" s="53">
        <f>IFERROR(__xludf.DUMMYFUNCTION("""COMPUTED_VALUE"""),45.0)</f>
        <v>45</v>
      </c>
      <c r="P165" s="53">
        <f>IFERROR(__xludf.DUMMYFUNCTION("""COMPUTED_VALUE"""),70.58823529411765)</f>
        <v>70.58823529</v>
      </c>
      <c r="Q165" s="53">
        <f>IFERROR(__xludf.DUMMYFUNCTION("""COMPUTED_VALUE"""),1.3)</f>
        <v>1.3</v>
      </c>
      <c r="R165" s="53">
        <f>IFERROR(__xludf.DUMMYFUNCTION("""COMPUTED_VALUE"""),-0.8858869882116903)</f>
        <v>-0.8858869882</v>
      </c>
      <c r="S165" s="53">
        <f>IFERROR(__xludf.DUMMYFUNCTION("""COMPUTED_VALUE"""),0.047981126211737425)</f>
        <v>0.04798112621</v>
      </c>
      <c r="T165" s="53">
        <f>IFERROR(__xludf.DUMMYFUNCTION("""COMPUTED_VALUE"""),-0.6252791639129804)</f>
        <v>-0.6252791639</v>
      </c>
      <c r="U165" s="53">
        <f>IFERROR(__xludf.DUMMYFUNCTION("""COMPUTED_VALUE"""),-0.8894829113207969)</f>
        <v>-0.8894829113</v>
      </c>
      <c r="V165" s="53">
        <f>IFERROR(__xludf.DUMMYFUNCTION("""COMPUTED_VALUE"""),-0.42447047355638534)</f>
        <v>-0.4244704736</v>
      </c>
      <c r="W165" s="53">
        <f>IFERROR(__xludf.DUMMYFUNCTION("""COMPUTED_VALUE"""),0.2608808014812299)</f>
        <v>0.2608808015</v>
      </c>
      <c r="X165" s="53">
        <f>IFERROR(__xludf.DUMMYFUNCTION("""COMPUTED_VALUE"""),-0.45932237681646404)</f>
        <v>-0.4593223768</v>
      </c>
      <c r="Y165" s="53">
        <f>IFERROR(__xludf.DUMMYFUNCTION("""COMPUTED_VALUE"""),-0.3550951372532883)</f>
        <v>-0.3550951373</v>
      </c>
      <c r="Z165" s="53">
        <f>IFERROR(__xludf.DUMMYFUNCTION("""COMPUTED_VALUE"""),0.2156679824043236)</f>
        <v>0.2156679824</v>
      </c>
      <c r="AA165" t="str">
        <f>IFERROR(__xludf.DUMMYFUNCTION("SUBSTITUTE(REGEXREPLACE(REGEXREPLACE(REGEXREPLACE(REGEXREPLACE(REGEXREPLACE(REGEXREPLACE(E165,"","",),IF(Projections!$U$3="""",""PG"",),),IF(Projections!$V$3="""",""SG"",),),IF(Projections!$W$3="""",""SF"",),),IF(Projections!$X$3="""",""PF"",),),IF(Projec"&amp;"tions!$Y$3="""",""C"",),),""/"","""")"),"PF")</f>
        <v>PF</v>
      </c>
    </row>
    <row r="166">
      <c r="A166" t="str">
        <f>IF(Projections!$H$3,Draft!P8,"")</f>
        <v/>
      </c>
      <c r="B166">
        <f>IFERROR(__xludf.DUMMYFUNCTION("""COMPUTED_VALUE"""),170.0)</f>
        <v>170</v>
      </c>
      <c r="C166" t="str">
        <f>IFERROR(__xludf.DUMMYFUNCTION("""COMPUTED_VALUE"""),"Isaiah Stewart")</f>
        <v>Isaiah Stewart</v>
      </c>
      <c r="D166">
        <f>IFERROR(__xludf.DUMMYFUNCTION("""COMPUTED_VALUE"""),70.0)</f>
        <v>70</v>
      </c>
      <c r="E166" t="str">
        <f>IFERROR(__xludf.DUMMYFUNCTION("""COMPUTED_VALUE"""),"PF,C")</f>
        <v>PF,C</v>
      </c>
      <c r="F166" s="53">
        <f>IFERROR(__xludf.DUMMYFUNCTION("""COMPUTED_VALUE"""),-4.366861838211637)</f>
        <v>-4.366861838</v>
      </c>
      <c r="G166" s="53">
        <f>IFERROR(__xludf.DUMMYFUNCTION("""COMPUTED_VALUE"""),-2.2909886765437593)</f>
        <v>-2.290988677</v>
      </c>
      <c r="H166" s="53">
        <f>IFERROR(__xludf.DUMMYFUNCTION("""COMPUTED_VALUE"""),2.075873161667878)</f>
        <v>2.075873162</v>
      </c>
      <c r="I166" s="53">
        <f>IFERROR(__xludf.DUMMYFUNCTION("""COMPUTED_VALUE"""),10.8)</f>
        <v>10.8</v>
      </c>
      <c r="J166" s="53">
        <f>IFERROR(__xludf.DUMMYFUNCTION("""COMPUTED_VALUE"""),1.4)</f>
        <v>1.4</v>
      </c>
      <c r="K166" s="53">
        <f>IFERROR(__xludf.DUMMYFUNCTION("""COMPUTED_VALUE"""),8.2)</f>
        <v>8.2</v>
      </c>
      <c r="L166" s="53">
        <f>IFERROR(__xludf.DUMMYFUNCTION("""COMPUTED_VALUE"""),1.3)</f>
        <v>1.3</v>
      </c>
      <c r="M166" s="53">
        <f>IFERROR(__xludf.DUMMYFUNCTION("""COMPUTED_VALUE"""),0.4)</f>
        <v>0.4</v>
      </c>
      <c r="N166" s="53">
        <f>IFERROR(__xludf.DUMMYFUNCTION("""COMPUTED_VALUE"""),0.7)</f>
        <v>0.7</v>
      </c>
      <c r="O166" s="53">
        <f>IFERROR(__xludf.DUMMYFUNCTION("""COMPUTED_VALUE"""),44.827586206896555)</f>
        <v>44.82758621</v>
      </c>
      <c r="P166" s="53">
        <f>IFERROR(__xludf.DUMMYFUNCTION("""COMPUTED_VALUE"""),72.72727272727273)</f>
        <v>72.72727273</v>
      </c>
      <c r="Q166" s="53">
        <f>IFERROR(__xludf.DUMMYFUNCTION("""COMPUTED_VALUE"""),1.4)</f>
        <v>1.4</v>
      </c>
      <c r="R166" s="53">
        <f>IFERROR(__xludf.DUMMYFUNCTION("""COMPUTED_VALUE"""),-1.0881186405618541)</f>
        <v>-1.088118641</v>
      </c>
      <c r="S166" s="53">
        <f>IFERROR(__xludf.DUMMYFUNCTION("""COMPUTED_VALUE"""),-0.21215750987599089)</f>
        <v>-0.2121575099</v>
      </c>
      <c r="T166" s="53">
        <f>IFERROR(__xludf.DUMMYFUNCTION("""COMPUTED_VALUE"""),0.8800741509020418)</f>
        <v>0.8800741509</v>
      </c>
      <c r="U166" s="53">
        <f>IFERROR(__xludf.DUMMYFUNCTION("""COMPUTED_VALUE"""),-1.2975025954129054)</f>
        <v>-1.297502595</v>
      </c>
      <c r="V166" s="53">
        <f>IFERROR(__xludf.DUMMYFUNCTION("""COMPUTED_VALUE"""),-1.2966700767544366)</f>
        <v>-1.296670077</v>
      </c>
      <c r="W166" s="53">
        <f>IFERROR(__xludf.DUMMYFUNCTION("""COMPUTED_VALUE"""),-0.0017508778622903794)</f>
        <v>-0.001750877862</v>
      </c>
      <c r="X166" s="53">
        <f>IFERROR(__xludf.DUMMYFUNCTION("""COMPUTED_VALUE"""),-0.41459344326870934)</f>
        <v>-0.4145934433</v>
      </c>
      <c r="Y166" s="53">
        <f>IFERROR(__xludf.DUMMYFUNCTION("""COMPUTED_VALUE"""),-0.3423940068621134)</f>
        <v>-0.3423940069</v>
      </c>
      <c r="Z166" s="53">
        <f>IFERROR(__xludf.DUMMYFUNCTION("""COMPUTED_VALUE"""),0.18462172773959373)</f>
        <v>0.1846217277</v>
      </c>
      <c r="AA166" t="str">
        <f>IFERROR(__xludf.DUMMYFUNCTION("SUBSTITUTE(REGEXREPLACE(REGEXREPLACE(REGEXREPLACE(REGEXREPLACE(REGEXREPLACE(REGEXREPLACE(E166,"","",),IF(Projections!$U$3="""",""PG"",),),IF(Projections!$V$3="""",""SG"",),),IF(Projections!$W$3="""",""SF"",),),IF(Projections!$X$3="""",""PF"",),),IF(Projec"&amp;"tions!$Y$3="""",""C"",),),""/"","""")"),"PFC")</f>
        <v>PFC</v>
      </c>
    </row>
    <row r="167">
      <c r="A167" t="str">
        <f>IF(Projections!$H$3,Draft!P9,"")</f>
        <v/>
      </c>
      <c r="B167">
        <f>IFERROR(__xludf.DUMMYFUNCTION("""COMPUTED_VALUE"""),169.0)</f>
        <v>169</v>
      </c>
      <c r="C167" t="str">
        <f>IFERROR(__xludf.DUMMYFUNCTION("""COMPUTED_VALUE"""),"Kris Dunn")</f>
        <v>Kris Dunn</v>
      </c>
      <c r="D167">
        <f>IFERROR(__xludf.DUMMYFUNCTION("""COMPUTED_VALUE"""),60.0)</f>
        <v>60</v>
      </c>
      <c r="E167" t="str">
        <f>IFERROR(__xludf.DUMMYFUNCTION("""COMPUTED_VALUE"""),"PG")</f>
        <v>PG</v>
      </c>
      <c r="F167" s="53">
        <f>IFERROR(__xludf.DUMMYFUNCTION("""COMPUTED_VALUE"""),-4.349191009885977)</f>
        <v>-4.34919101</v>
      </c>
      <c r="G167" s="53">
        <f>IFERROR(__xludf.DUMMYFUNCTION("""COMPUTED_VALUE"""),-2.313435116724631)</f>
        <v>-2.313435117</v>
      </c>
      <c r="H167" s="53">
        <f>IFERROR(__xludf.DUMMYFUNCTION("""COMPUTED_VALUE"""),2.0357558931613458)</f>
        <v>2.035755893</v>
      </c>
      <c r="I167" s="53">
        <f>IFERROR(__xludf.DUMMYFUNCTION("""COMPUTED_VALUE"""),8.0)</f>
        <v>8</v>
      </c>
      <c r="J167" s="53">
        <f>IFERROR(__xludf.DUMMYFUNCTION("""COMPUTED_VALUE"""),0.4)</f>
        <v>0.4</v>
      </c>
      <c r="K167" s="53">
        <f>IFERROR(__xludf.DUMMYFUNCTION("""COMPUTED_VALUE"""),3.0)</f>
        <v>3</v>
      </c>
      <c r="L167" s="53">
        <f>IFERROR(__xludf.DUMMYFUNCTION("""COMPUTED_VALUE"""),4.1)</f>
        <v>4.1</v>
      </c>
      <c r="M167" s="53">
        <f>IFERROR(__xludf.DUMMYFUNCTION("""COMPUTED_VALUE"""),1.0)</f>
        <v>1</v>
      </c>
      <c r="N167" s="53">
        <f>IFERROR(__xludf.DUMMYFUNCTION("""COMPUTED_VALUE"""),0.3)</f>
        <v>0.3</v>
      </c>
      <c r="O167" s="53">
        <f>IFERROR(__xludf.DUMMYFUNCTION("""COMPUTED_VALUE"""),50.0)</f>
        <v>50</v>
      </c>
      <c r="P167" s="53">
        <f>IFERROR(__xludf.DUMMYFUNCTION("""COMPUTED_VALUE"""),85.71428571428572)</f>
        <v>85.71428571</v>
      </c>
      <c r="Q167" s="53">
        <f>IFERROR(__xludf.DUMMYFUNCTION("""COMPUTED_VALUE"""),1.4)</f>
        <v>1.4</v>
      </c>
      <c r="R167" s="53">
        <f>IFERROR(__xludf.DUMMYFUNCTION("""COMPUTED_VALUE"""),-1.55999249604557)</f>
        <v>-1.559992496</v>
      </c>
      <c r="S167" s="53">
        <f>IFERROR(__xludf.DUMMYFUNCTION("""COMPUTED_VALUE"""),-1.079286296835085)</f>
        <v>-1.079286297</v>
      </c>
      <c r="T167" s="53">
        <f>IFERROR(__xludf.DUMMYFUNCTION("""COMPUTED_VALUE"""),-1.2943250816085456)</f>
        <v>-1.294325082</v>
      </c>
      <c r="U167" s="53">
        <f>IFERROR(__xludf.DUMMYFUNCTION("""COMPUTED_VALUE"""),0.1305662989094742)</f>
        <v>0.1305662989</v>
      </c>
      <c r="V167" s="53">
        <f>IFERROR(__xludf.DUMMYFUNCTION("""COMPUTED_VALUE"""),0.011629328042640127)</f>
        <v>0.01162932804</v>
      </c>
      <c r="W167" s="53">
        <f>IFERROR(__xludf.DUMMYFUNCTION("""COMPUTED_VALUE"""),-0.5270142365493308)</f>
        <v>-0.5270142365</v>
      </c>
      <c r="X167" s="53">
        <f>IFERROR(__xludf.DUMMYFUNCTION("""COMPUTED_VALUE"""),0.025670488189689155)</f>
        <v>0.02567048819</v>
      </c>
      <c r="Y167" s="53">
        <f>IFERROR(__xludf.DUMMYFUNCTION("""COMPUTED_VALUE"""),0.23470265538693225)</f>
        <v>0.2347026554</v>
      </c>
      <c r="Z167" s="53">
        <f>IFERROR(__xludf.DUMMYFUNCTION("""COMPUTED_VALUE"""),0.18462172773959373)</f>
        <v>0.1846217277</v>
      </c>
      <c r="AA167" t="str">
        <f>IFERROR(__xludf.DUMMYFUNCTION("SUBSTITUTE(REGEXREPLACE(REGEXREPLACE(REGEXREPLACE(REGEXREPLACE(REGEXREPLACE(REGEXREPLACE(E167,"","",),IF(Projections!$U$3="""",""PG"",),),IF(Projections!$V$3="""",""SG"",),),IF(Projections!$W$3="""",""SF"",),),IF(Projections!$X$3="""",""PF"",),),IF(Projec"&amp;"tions!$Y$3="""",""C"",),),""/"","""")"),"PG")</f>
        <v>PG</v>
      </c>
    </row>
    <row r="168">
      <c r="A168" t="str">
        <f>IF(Projections!$H$3,Draft!P10,"")</f>
        <v/>
      </c>
      <c r="B168">
        <f>IFERROR(__xludf.DUMMYFUNCTION("""COMPUTED_VALUE"""),167.0)</f>
        <v>167</v>
      </c>
      <c r="C168" t="str">
        <f>IFERROR(__xludf.DUMMYFUNCTION("""COMPUTED_VALUE"""),"Collin Sexton")</f>
        <v>Collin Sexton</v>
      </c>
      <c r="D168">
        <f>IFERROR(__xludf.DUMMYFUNCTION("""COMPUTED_VALUE"""),62.0)</f>
        <v>62</v>
      </c>
      <c r="E168" t="str">
        <f>IFERROR(__xludf.DUMMYFUNCTION("""COMPUTED_VALUE"""),"PG,SG")</f>
        <v>PG,SG</v>
      </c>
      <c r="F168" s="53">
        <f>IFERROR(__xludf.DUMMYFUNCTION("""COMPUTED_VALUE"""),-4.278482372265818)</f>
        <v>-4.278482372</v>
      </c>
      <c r="G168" s="53">
        <f>IFERROR(__xludf.DUMMYFUNCTION("""COMPUTED_VALUE"""),-2.3266011338984374)</f>
        <v>-2.326601134</v>
      </c>
      <c r="H168" s="53">
        <f>IFERROR(__xludf.DUMMYFUNCTION("""COMPUTED_VALUE"""),1.9518812383673803)</f>
        <v>1.951881238</v>
      </c>
      <c r="I168" s="53">
        <f>IFERROR(__xludf.DUMMYFUNCTION("""COMPUTED_VALUE"""),16.7)</f>
        <v>16.7</v>
      </c>
      <c r="J168" s="53">
        <f>IFERROR(__xludf.DUMMYFUNCTION("""COMPUTED_VALUE"""),1.1)</f>
        <v>1.1</v>
      </c>
      <c r="K168" s="53">
        <f>IFERROR(__xludf.DUMMYFUNCTION("""COMPUTED_VALUE"""),2.7)</f>
        <v>2.7</v>
      </c>
      <c r="L168" s="53">
        <f>IFERROR(__xludf.DUMMYFUNCTION("""COMPUTED_VALUE"""),3.1)</f>
        <v>3.1</v>
      </c>
      <c r="M168" s="53">
        <f>IFERROR(__xludf.DUMMYFUNCTION("""COMPUTED_VALUE"""),0.7)</f>
        <v>0.7</v>
      </c>
      <c r="N168" s="53">
        <f>IFERROR(__xludf.DUMMYFUNCTION("""COMPUTED_VALUE"""),0.1)</f>
        <v>0.1</v>
      </c>
      <c r="O168" s="53">
        <f>IFERROR(__xludf.DUMMYFUNCTION("""COMPUTED_VALUE"""),49.16666666666667)</f>
        <v>49.16666667</v>
      </c>
      <c r="P168" s="53">
        <f>IFERROR(__xludf.DUMMYFUNCTION("""COMPUTED_VALUE"""),80.43478260869567)</f>
        <v>80.43478261</v>
      </c>
      <c r="Q168" s="53">
        <f>IFERROR(__xludf.DUMMYFUNCTION("""COMPUTED_VALUE"""),2.2)</f>
        <v>2.2</v>
      </c>
      <c r="R168" s="53">
        <f>IFERROR(__xludf.DUMMYFUNCTION("""COMPUTED_VALUE"""),-0.09381301650688188)</f>
        <v>-0.09381301651</v>
      </c>
      <c r="S168" s="53">
        <f>IFERROR(__xludf.DUMMYFUNCTION("""COMPUTED_VALUE"""),-0.472296145963719)</f>
        <v>-0.472296146</v>
      </c>
      <c r="T168" s="53">
        <f>IFERROR(__xludf.DUMMYFUNCTION("""COMPUTED_VALUE"""),-1.419771191176464)</f>
        <v>-1.419771191</v>
      </c>
      <c r="U168" s="53">
        <f>IFERROR(__xludf.DUMMYFUNCTION("""COMPUTED_VALUE"""),-0.37945830620566134)</f>
        <v>-0.3794583062</v>
      </c>
      <c r="V168" s="53">
        <f>IFERROR(__xludf.DUMMYFUNCTION("""COMPUTED_VALUE"""),-0.6425203743558983)</f>
        <v>-0.6425203744</v>
      </c>
      <c r="W168" s="53">
        <f>IFERROR(__xludf.DUMMYFUNCTION("""COMPUTED_VALUE"""),-0.7896459158928509)</f>
        <v>-0.7896459159</v>
      </c>
      <c r="X168" s="53">
        <f>IFERROR(__xludf.DUMMYFUNCTION("""COMPUTED_VALUE"""),-0.05175433756690318)</f>
        <v>-0.05175433757</v>
      </c>
      <c r="Y168" s="53">
        <f>IFERROR(__xludf.DUMMYFUNCTION("""COMPUTED_VALUE"""),0.16663527217172258)</f>
        <v>0.1666352722</v>
      </c>
      <c r="Z168" s="53">
        <f>IFERROR(__xludf.DUMMYFUNCTION("""COMPUTED_VALUE"""),-0.06374830957824563)</f>
        <v>-0.06374830958</v>
      </c>
      <c r="AA168" t="str">
        <f>IFERROR(__xludf.DUMMYFUNCTION("SUBSTITUTE(REGEXREPLACE(REGEXREPLACE(REGEXREPLACE(REGEXREPLACE(REGEXREPLACE(REGEXREPLACE(E168,"","",),IF(Projections!$U$3="""",""PG"",),),IF(Projections!$V$3="""",""SG"",),),IF(Projections!$W$3="""",""SF"",),),IF(Projections!$X$3="""",""PF"",),),IF(Projec"&amp;"tions!$Y$3="""",""C"",),),""/"","""")"),"PGSG")</f>
        <v>PGSG</v>
      </c>
    </row>
    <row r="169">
      <c r="A169" t="str">
        <f>IF(Projections!$H$3,Draft!P11,"")</f>
        <v/>
      </c>
      <c r="B169">
        <f>IFERROR(__xludf.DUMMYFUNCTION("""COMPUTED_VALUE"""),158.0)</f>
        <v>158</v>
      </c>
      <c r="C169" t="str">
        <f>IFERROR(__xludf.DUMMYFUNCTION("""COMPUTED_VALUE"""),"Luguentz Dort")</f>
        <v>Luguentz Dort</v>
      </c>
      <c r="D169">
        <f>IFERROR(__xludf.DUMMYFUNCTION("""COMPUTED_VALUE"""),72.0)</f>
        <v>72</v>
      </c>
      <c r="E169" t="str">
        <f>IFERROR(__xludf.DUMMYFUNCTION("""COMPUTED_VALUE"""),"SG,SF")</f>
        <v>SG,SF</v>
      </c>
      <c r="F169" s="53">
        <f>IFERROR(__xludf.DUMMYFUNCTION("""COMPUTED_VALUE"""),-4.043418077351909)</f>
        <v>-4.043418077</v>
      </c>
      <c r="G169" s="53">
        <f>IFERROR(__xludf.DUMMYFUNCTION("""COMPUTED_VALUE"""),-2.3585695581691573)</f>
        <v>-2.358569558</v>
      </c>
      <c r="H169" s="53">
        <f>IFERROR(__xludf.DUMMYFUNCTION("""COMPUTED_VALUE"""),1.6848485191827516)</f>
        <v>1.684848519</v>
      </c>
      <c r="I169" s="53">
        <f>IFERROR(__xludf.DUMMYFUNCTION("""COMPUTED_VALUE"""),14.5)</f>
        <v>14.5</v>
      </c>
      <c r="J169" s="53">
        <f>IFERROR(__xludf.DUMMYFUNCTION("""COMPUTED_VALUE"""),2.0)</f>
        <v>2</v>
      </c>
      <c r="K169" s="53">
        <f>IFERROR(__xludf.DUMMYFUNCTION("""COMPUTED_VALUE"""),4.3)</f>
        <v>4.3</v>
      </c>
      <c r="L169" s="53">
        <f>IFERROR(__xludf.DUMMYFUNCTION("""COMPUTED_VALUE"""),1.9)</f>
        <v>1.9</v>
      </c>
      <c r="M169" s="53">
        <f>IFERROR(__xludf.DUMMYFUNCTION("""COMPUTED_VALUE"""),0.9)</f>
        <v>0.9</v>
      </c>
      <c r="N169" s="53">
        <f>IFERROR(__xludf.DUMMYFUNCTION("""COMPUTED_VALUE"""),0.3)</f>
        <v>0.3</v>
      </c>
      <c r="O169" s="53">
        <f>IFERROR(__xludf.DUMMYFUNCTION("""COMPUTED_VALUE"""),39.83739837398374)</f>
        <v>39.83739837</v>
      </c>
      <c r="P169" s="53">
        <f>IFERROR(__xludf.DUMMYFUNCTION("""COMPUTED_VALUE"""),80.0)</f>
        <v>80</v>
      </c>
      <c r="Q169" s="53">
        <f>IFERROR(__xludf.DUMMYFUNCTION("""COMPUTED_VALUE"""),1.4)</f>
        <v>1.4</v>
      </c>
      <c r="R169" s="53">
        <f>IFERROR(__xludf.DUMMYFUNCTION("""COMPUTED_VALUE"""),-0.46457104581551556)</f>
        <v>-0.4645710458</v>
      </c>
      <c r="S169" s="53">
        <f>IFERROR(__xludf.DUMMYFUNCTION("""COMPUTED_VALUE"""),0.30811976229946575)</f>
        <v>0.3081197623</v>
      </c>
      <c r="T169" s="53">
        <f>IFERROR(__xludf.DUMMYFUNCTION("""COMPUTED_VALUE"""),-0.7507252734808988)</f>
        <v>-0.7507252735</v>
      </c>
      <c r="U169" s="53">
        <f>IFERROR(__xludf.DUMMYFUNCTION("""COMPUTED_VALUE"""),-0.9914878323438243)</f>
        <v>-0.9914878323</v>
      </c>
      <c r="V169" s="53">
        <f>IFERROR(__xludf.DUMMYFUNCTION("""COMPUTED_VALUE"""),-0.2064205727568726)</f>
        <v>-0.2064205728</v>
      </c>
      <c r="W169" s="53">
        <f>IFERROR(__xludf.DUMMYFUNCTION("""COMPUTED_VALUE"""),-0.5270142365493308)</f>
        <v>-0.5270142365</v>
      </c>
      <c r="X169" s="53">
        <f>IFERROR(__xludf.DUMMYFUNCTION("""COMPUTED_VALUE"""),-1.1992458170425748)</f>
        <v>-1.199245817</v>
      </c>
      <c r="Y169" s="53">
        <f>IFERROR(__xludf.DUMMYFUNCTION("""COMPUTED_VALUE"""),0.08890791273822488)</f>
        <v>0.08890791274</v>
      </c>
      <c r="Z169" s="53">
        <f>IFERROR(__xludf.DUMMYFUNCTION("""COMPUTED_VALUE"""),0.18462172773959373)</f>
        <v>0.1846217277</v>
      </c>
      <c r="AA169" t="str">
        <f>IFERROR(__xludf.DUMMYFUNCTION("SUBSTITUTE(REGEXREPLACE(REGEXREPLACE(REGEXREPLACE(REGEXREPLACE(REGEXREPLACE(REGEXREPLACE(E169,"","",),IF(Projections!$U$3="""",""PG"",),),IF(Projections!$V$3="""",""SG"",),),IF(Projections!$W$3="""",""SF"",),),IF(Projections!$X$3="""",""PF"",),),IF(Projec"&amp;"tions!$Y$3="""",""C"",),),""/"","""")"),"SGSF")</f>
        <v>SGSF</v>
      </c>
    </row>
    <row r="170">
      <c r="A170" t="str">
        <f>IF(Projections!$H$3,Draft!P12,"")</f>
        <v/>
      </c>
      <c r="B170">
        <f>IFERROR(__xludf.DUMMYFUNCTION("""COMPUTED_VALUE"""),161.0)</f>
        <v>161</v>
      </c>
      <c r="C170" t="str">
        <f>IFERROR(__xludf.DUMMYFUNCTION("""COMPUTED_VALUE"""),"Shaedon Sharpe")</f>
        <v>Shaedon Sharpe</v>
      </c>
      <c r="D170">
        <f>IFERROR(__xludf.DUMMYFUNCTION("""COMPUTED_VALUE"""),78.0)</f>
        <v>78</v>
      </c>
      <c r="E170" t="str">
        <f>IFERROR(__xludf.DUMMYFUNCTION("""COMPUTED_VALUE"""),"SG,SF")</f>
        <v>SG,SF</v>
      </c>
      <c r="F170" s="53">
        <f>IFERROR(__xludf.DUMMYFUNCTION("""COMPUTED_VALUE"""),-4.091875327816657)</f>
        <v>-4.091875328</v>
      </c>
      <c r="G170" s="53">
        <f>IFERROR(__xludf.DUMMYFUNCTION("""COMPUTED_VALUE"""),-2.389671454238441)</f>
        <v>-2.389671454</v>
      </c>
      <c r="H170" s="53">
        <f>IFERROR(__xludf.DUMMYFUNCTION("""COMPUTED_VALUE"""),1.7022038735782163)</f>
        <v>1.702203874</v>
      </c>
      <c r="I170" s="53">
        <f>IFERROR(__xludf.DUMMYFUNCTION("""COMPUTED_VALUE"""),15.8)</f>
        <v>15.8</v>
      </c>
      <c r="J170" s="53">
        <f>IFERROR(__xludf.DUMMYFUNCTION("""COMPUTED_VALUE"""),1.9)</f>
        <v>1.9</v>
      </c>
      <c r="K170" s="53">
        <f>IFERROR(__xludf.DUMMYFUNCTION("""COMPUTED_VALUE"""),4.3)</f>
        <v>4.3</v>
      </c>
      <c r="L170" s="53">
        <f>IFERROR(__xludf.DUMMYFUNCTION("""COMPUTED_VALUE"""),1.7)</f>
        <v>1.7</v>
      </c>
      <c r="M170" s="53">
        <f>IFERROR(__xludf.DUMMYFUNCTION("""COMPUTED_VALUE"""),0.7)</f>
        <v>0.7</v>
      </c>
      <c r="N170" s="53">
        <f>IFERROR(__xludf.DUMMYFUNCTION("""COMPUTED_VALUE"""),0.4)</f>
        <v>0.4</v>
      </c>
      <c r="O170" s="53">
        <f>IFERROR(__xludf.DUMMYFUNCTION("""COMPUTED_VALUE"""),46.875)</f>
        <v>46.875</v>
      </c>
      <c r="P170" s="53">
        <f>IFERROR(__xludf.DUMMYFUNCTION("""COMPUTED_VALUE"""),73.07692307692307)</f>
        <v>73.07692308</v>
      </c>
      <c r="Q170" s="53">
        <f>IFERROR(__xludf.DUMMYFUNCTION("""COMPUTED_VALUE"""),1.5)</f>
        <v>1.5</v>
      </c>
      <c r="R170" s="53">
        <f>IFERROR(__xludf.DUMMYFUNCTION("""COMPUTED_VALUE"""),-0.24548675576950457)</f>
        <v>-0.2454867558</v>
      </c>
      <c r="S170" s="53">
        <f>IFERROR(__xludf.DUMMYFUNCTION("""COMPUTED_VALUE"""),0.2214068836035562)</f>
        <v>0.2214068836</v>
      </c>
      <c r="T170" s="53">
        <f>IFERROR(__xludf.DUMMYFUNCTION("""COMPUTED_VALUE"""),-0.7507252734808988)</f>
        <v>-0.7507252735</v>
      </c>
      <c r="U170" s="53">
        <f>IFERROR(__xludf.DUMMYFUNCTION("""COMPUTED_VALUE"""),-1.0934927533668515)</f>
        <v>-1.093492753</v>
      </c>
      <c r="V170" s="53">
        <f>IFERROR(__xludf.DUMMYFUNCTION("""COMPUTED_VALUE"""),-0.6425203743558983)</f>
        <v>-0.6425203744</v>
      </c>
      <c r="W170" s="53">
        <f>IFERROR(__xludf.DUMMYFUNCTION("""COMPUTED_VALUE"""),-0.39569839687757064)</f>
        <v>-0.3956983969</v>
      </c>
      <c r="X170" s="53">
        <f>IFERROR(__xludf.DUMMYFUNCTION("""COMPUTED_VALUE"""),-0.3482050353109045)</f>
        <v>-0.3482050353</v>
      </c>
      <c r="Y170" s="53">
        <f>IFERROR(__xludf.DUMMYFUNCTION("""COMPUTED_VALUE"""),-0.3820179751220842)</f>
        <v>-0.3820179751</v>
      </c>
      <c r="Z170" s="53">
        <f>IFERROR(__xludf.DUMMYFUNCTION("""COMPUTED_VALUE"""),0.1535754730748638)</f>
        <v>0.1535754731</v>
      </c>
      <c r="AA170" t="str">
        <f>IFERROR(__xludf.DUMMYFUNCTION("SUBSTITUTE(REGEXREPLACE(REGEXREPLACE(REGEXREPLACE(REGEXREPLACE(REGEXREPLACE(REGEXREPLACE(E170,"","",),IF(Projections!$U$3="""",""PG"",),),IF(Projections!$V$3="""",""SG"",),),IF(Projections!$W$3="""",""SF"",),),IF(Projections!$X$3="""",""PF"",),),IF(Projec"&amp;"tions!$Y$3="""",""C"",),),""/"","""")"),"SGSF")</f>
        <v>SGSF</v>
      </c>
    </row>
    <row r="171">
      <c r="A171" t="str">
        <f>IF(Projections!$H$3,Draft!P13,"")</f>
        <v/>
      </c>
      <c r="B171">
        <f>IFERROR(__xludf.DUMMYFUNCTION("""COMPUTED_VALUE"""),205.0)</f>
        <v>205</v>
      </c>
      <c r="C171" t="str">
        <f>IFERROR(__xludf.DUMMYFUNCTION("""COMPUTED_VALUE"""),"Mason Plumlee")</f>
        <v>Mason Plumlee</v>
      </c>
      <c r="D171">
        <f>IFERROR(__xludf.DUMMYFUNCTION("""COMPUTED_VALUE"""),75.0)</f>
        <v>75</v>
      </c>
      <c r="E171" t="str">
        <f>IFERROR(__xludf.DUMMYFUNCTION("""COMPUTED_VALUE"""),"C")</f>
        <v>C</v>
      </c>
      <c r="F171" s="53">
        <f>IFERROR(__xludf.DUMMYFUNCTION("""COMPUTED_VALUE"""),-5.372522401839436)</f>
        <v>-5.372522402</v>
      </c>
      <c r="G171" s="53">
        <f>IFERROR(__xludf.DUMMYFUNCTION("""COMPUTED_VALUE"""),-2.4123054551466803)</f>
        <v>-2.412305455</v>
      </c>
      <c r="H171" s="53">
        <f>IFERROR(__xludf.DUMMYFUNCTION("""COMPUTED_VALUE"""),2.960216946692756)</f>
        <v>2.960216947</v>
      </c>
      <c r="I171" s="53">
        <f>IFERROR(__xludf.DUMMYFUNCTION("""COMPUTED_VALUE"""),8.2)</f>
        <v>8.2</v>
      </c>
      <c r="J171" s="53">
        <f>IFERROR(__xludf.DUMMYFUNCTION("""COMPUTED_VALUE"""),0.0)</f>
        <v>0</v>
      </c>
      <c r="K171" s="53">
        <f>IFERROR(__xludf.DUMMYFUNCTION("""COMPUTED_VALUE"""),7.8)</f>
        <v>7.8</v>
      </c>
      <c r="L171" s="53">
        <f>IFERROR(__xludf.DUMMYFUNCTION("""COMPUTED_VALUE"""),2.9)</f>
        <v>2.9</v>
      </c>
      <c r="M171" s="53">
        <f>IFERROR(__xludf.DUMMYFUNCTION("""COMPUTED_VALUE"""),0.7)</f>
        <v>0.7</v>
      </c>
      <c r="N171" s="53">
        <f>IFERROR(__xludf.DUMMYFUNCTION("""COMPUTED_VALUE"""),0.6)</f>
        <v>0.6</v>
      </c>
      <c r="O171" s="53">
        <f>IFERROR(__xludf.DUMMYFUNCTION("""COMPUTED_VALUE"""),67.3469387755102)</f>
        <v>67.34693878</v>
      </c>
      <c r="P171" s="53">
        <f>IFERROR(__xludf.DUMMYFUNCTION("""COMPUTED_VALUE"""),53.333333333333336)</f>
        <v>53.33333333</v>
      </c>
      <c r="Q171" s="53">
        <f>IFERROR(__xludf.DUMMYFUNCTION("""COMPUTED_VALUE"""),1.3)</f>
        <v>1.3</v>
      </c>
      <c r="R171" s="53">
        <f>IFERROR(__xludf.DUMMYFUNCTION("""COMPUTED_VALUE"""),-1.5262872206538762)</f>
        <v>-1.526287221</v>
      </c>
      <c r="S171" s="53">
        <f>IFERROR(__xludf.DUMMYFUNCTION("""COMPUTED_VALUE"""),-1.4261378116187227)</f>
        <v>-1.426137812</v>
      </c>
      <c r="T171" s="53">
        <f>IFERROR(__xludf.DUMMYFUNCTION("""COMPUTED_VALUE"""),0.7128126714781506)</f>
        <v>0.7128126715</v>
      </c>
      <c r="U171" s="53">
        <f>IFERROR(__xludf.DUMMYFUNCTION("""COMPUTED_VALUE"""),-0.48146322722868856)</f>
        <v>-0.4814632272</v>
      </c>
      <c r="V171" s="53">
        <f>IFERROR(__xludf.DUMMYFUNCTION("""COMPUTED_VALUE"""),-0.6425203743558983)</f>
        <v>-0.6425203744</v>
      </c>
      <c r="W171" s="53">
        <f>IFERROR(__xludf.DUMMYFUNCTION("""COMPUTED_VALUE"""),-0.13306671753405044)</f>
        <v>-0.1330667175</v>
      </c>
      <c r="X171" s="53">
        <f>IFERROR(__xludf.DUMMYFUNCTION("""COMPUTED_VALUE"""),0.868689242362081)</f>
        <v>0.8686892424</v>
      </c>
      <c r="Y171" s="53">
        <f>IFERROR(__xludf.DUMMYFUNCTION("""COMPUTED_VALUE"""),-1.9151881205693684)</f>
        <v>-1.915188121</v>
      </c>
      <c r="Z171" s="53">
        <f>IFERROR(__xludf.DUMMYFUNCTION("""COMPUTED_VALUE"""),0.2156679824043236)</f>
        <v>0.2156679824</v>
      </c>
      <c r="AA171" t="str">
        <f>IFERROR(__xludf.DUMMYFUNCTION("SUBSTITUTE(REGEXREPLACE(REGEXREPLACE(REGEXREPLACE(REGEXREPLACE(REGEXREPLACE(REGEXREPLACE(E171,"","",),IF(Projections!$U$3="""",""PG"",),),IF(Projections!$V$3="""",""SG"",),),IF(Projections!$W$3="""",""SF"",),),IF(Projections!$X$3="""",""PF"",),),IF(Projec"&amp;"tions!$Y$3="""",""C"",),),""/"","""")"),"C")</f>
        <v>C</v>
      </c>
    </row>
    <row r="172">
      <c r="A172" t="str">
        <f>IF(Projections!$H$3,Draft!P14,"")</f>
        <v/>
      </c>
      <c r="B172">
        <f>IFERROR(__xludf.DUMMYFUNCTION("""COMPUTED_VALUE"""),166.0)</f>
        <v>166</v>
      </c>
      <c r="C172" t="str">
        <f>IFERROR(__xludf.DUMMYFUNCTION("""COMPUTED_VALUE"""),"Max Strus")</f>
        <v>Max Strus</v>
      </c>
      <c r="D172">
        <f>IFERROR(__xludf.DUMMYFUNCTION("""COMPUTED_VALUE"""),73.0)</f>
        <v>73</v>
      </c>
      <c r="E172" t="str">
        <f>IFERROR(__xludf.DUMMYFUNCTION("""COMPUTED_VALUE"""),"SG,SF")</f>
        <v>SG,SF</v>
      </c>
      <c r="F172" s="53">
        <f>IFERROR(__xludf.DUMMYFUNCTION("""COMPUTED_VALUE"""),-4.260412445270027)</f>
        <v>-4.260412445</v>
      </c>
      <c r="G172" s="53">
        <f>IFERROR(__xludf.DUMMYFUNCTION("""COMPUTED_VALUE"""),-2.4318508325703814)</f>
        <v>-2.431850833</v>
      </c>
      <c r="H172" s="53">
        <f>IFERROR(__xludf.DUMMYFUNCTION("""COMPUTED_VALUE"""),1.8285616126996453)</f>
        <v>1.828561613</v>
      </c>
      <c r="I172" s="53">
        <f>IFERROR(__xludf.DUMMYFUNCTION("""COMPUTED_VALUE"""),12.7)</f>
        <v>12.7</v>
      </c>
      <c r="J172" s="53">
        <f>IFERROR(__xludf.DUMMYFUNCTION("""COMPUTED_VALUE"""),2.7)</f>
        <v>2.7</v>
      </c>
      <c r="K172" s="53">
        <f>IFERROR(__xludf.DUMMYFUNCTION("""COMPUTED_VALUE"""),3.6)</f>
        <v>3.6</v>
      </c>
      <c r="L172" s="53">
        <f>IFERROR(__xludf.DUMMYFUNCTION("""COMPUTED_VALUE"""),2.1)</f>
        <v>2.1</v>
      </c>
      <c r="M172" s="53">
        <f>IFERROR(__xludf.DUMMYFUNCTION("""COMPUTED_VALUE"""),0.6)</f>
        <v>0.6</v>
      </c>
      <c r="N172" s="53">
        <f>IFERROR(__xludf.DUMMYFUNCTION("""COMPUTED_VALUE"""),0.2)</f>
        <v>0.2</v>
      </c>
      <c r="O172" s="53">
        <f>IFERROR(__xludf.DUMMYFUNCTION("""COMPUTED_VALUE"""),42.056074766355145)</f>
        <v>42.05607477</v>
      </c>
      <c r="P172" s="53">
        <f>IFERROR(__xludf.DUMMYFUNCTION("""COMPUTED_VALUE"""),90.9090909090909)</f>
        <v>90.90909091</v>
      </c>
      <c r="Q172" s="53">
        <f>IFERROR(__xludf.DUMMYFUNCTION("""COMPUTED_VALUE"""),1.0)</f>
        <v>1</v>
      </c>
      <c r="R172" s="53">
        <f>IFERROR(__xludf.DUMMYFUNCTION("""COMPUTED_VALUE"""),-0.7679185243407616)</f>
        <v>-0.7679185243</v>
      </c>
      <c r="S172" s="53">
        <f>IFERROR(__xludf.DUMMYFUNCTION("""COMPUTED_VALUE"""),0.9151099131708318)</f>
        <v>0.9151099132</v>
      </c>
      <c r="T172" s="53">
        <f>IFERROR(__xludf.DUMMYFUNCTION("""COMPUTED_VALUE"""),-1.0434328624727087)</f>
        <v>-1.043432862</v>
      </c>
      <c r="U172" s="53">
        <f>IFERROR(__xludf.DUMMYFUNCTION("""COMPUTED_VALUE"""),-0.8894829113207969)</f>
        <v>-0.8894829113</v>
      </c>
      <c r="V172" s="53">
        <f>IFERROR(__xludf.DUMMYFUNCTION("""COMPUTED_VALUE"""),-0.860570275155411)</f>
        <v>-0.8605702752</v>
      </c>
      <c r="W172" s="53">
        <f>IFERROR(__xludf.DUMMYFUNCTION("""COMPUTED_VALUE"""),-0.6583300762210907)</f>
        <v>-0.6583300762</v>
      </c>
      <c r="X172" s="53">
        <f>IFERROR(__xludf.DUMMYFUNCTION("""COMPUTED_VALUE"""),-0.8061174273997138)</f>
        <v>-0.8061174274</v>
      </c>
      <c r="Y172" s="53">
        <f>IFERROR(__xludf.DUMMYFUNCTION("""COMPUTED_VALUE"""),0.32665172229804795)</f>
        <v>0.3266517223</v>
      </c>
      <c r="Z172" s="53">
        <f>IFERROR(__xludf.DUMMYFUNCTION("""COMPUTED_VALUE"""),0.30880674639851335)</f>
        <v>0.3088067464</v>
      </c>
      <c r="AA172" t="str">
        <f>IFERROR(__xludf.DUMMYFUNCTION("SUBSTITUTE(REGEXREPLACE(REGEXREPLACE(REGEXREPLACE(REGEXREPLACE(REGEXREPLACE(REGEXREPLACE(E172,"","",),IF(Projections!$U$3="""",""PG"",),),IF(Projections!$V$3="""",""SG"",),),IF(Projections!$W$3="""",""SF"",),),IF(Projections!$X$3="""",""PF"",),),IF(Projec"&amp;"tions!$Y$3="""",""C"",),),""/"","""")"),"SGSF")</f>
        <v>SGSF</v>
      </c>
    </row>
    <row r="173">
      <c r="B173">
        <f>IFERROR(__xludf.DUMMYFUNCTION("""COMPUTED_VALUE"""),186.0)</f>
        <v>186</v>
      </c>
      <c r="C173" t="str">
        <f>IFERROR(__xludf.DUMMYFUNCTION("""COMPUTED_VALUE"""),"Royce O'Neale")</f>
        <v>Royce O'Neale</v>
      </c>
      <c r="D173">
        <f>IFERROR(__xludf.DUMMYFUNCTION("""COMPUTED_VALUE"""),76.0)</f>
        <v>76</v>
      </c>
      <c r="E173" t="str">
        <f>IFERROR(__xludf.DUMMYFUNCTION("""COMPUTED_VALUE"""),"SG,SF")</f>
        <v>SG,SF</v>
      </c>
      <c r="F173" s="53">
        <f>IFERROR(__xludf.DUMMYFUNCTION("""COMPUTED_VALUE"""),-4.7803103766241275)</f>
        <v>-4.780310377</v>
      </c>
      <c r="G173" s="53">
        <f>IFERROR(__xludf.DUMMYFUNCTION("""COMPUTED_VALUE"""),-2.4350350633913984)</f>
        <v>-2.435035063</v>
      </c>
      <c r="H173" s="53">
        <f>IFERROR(__xludf.DUMMYFUNCTION("""COMPUTED_VALUE"""),2.345275313232729)</f>
        <v>2.345275313</v>
      </c>
      <c r="I173" s="53">
        <f>IFERROR(__xludf.DUMMYFUNCTION("""COMPUTED_VALUE"""),6.9)</f>
        <v>6.9</v>
      </c>
      <c r="J173" s="53">
        <f>IFERROR(__xludf.DUMMYFUNCTION("""COMPUTED_VALUE"""),1.6)</f>
        <v>1.6</v>
      </c>
      <c r="K173" s="53">
        <f>IFERROR(__xludf.DUMMYFUNCTION("""COMPUTED_VALUE"""),4.2)</f>
        <v>4.2</v>
      </c>
      <c r="L173" s="53">
        <f>IFERROR(__xludf.DUMMYFUNCTION("""COMPUTED_VALUE"""),2.6)</f>
        <v>2.6</v>
      </c>
      <c r="M173" s="53">
        <f>IFERROR(__xludf.DUMMYFUNCTION("""COMPUTED_VALUE"""),0.8)</f>
        <v>0.8</v>
      </c>
      <c r="N173" s="53">
        <f>IFERROR(__xludf.DUMMYFUNCTION("""COMPUTED_VALUE"""),0.5)</f>
        <v>0.5</v>
      </c>
      <c r="O173" s="53">
        <f>IFERROR(__xludf.DUMMYFUNCTION("""COMPUTED_VALUE"""),42.10526315789473)</f>
        <v>42.10526316</v>
      </c>
      <c r="P173" s="53">
        <f>IFERROR(__xludf.DUMMYFUNCTION("""COMPUTED_VALUE"""),71.42857142857143)</f>
        <v>71.42857143</v>
      </c>
      <c r="Q173" s="53">
        <f>IFERROR(__xludf.DUMMYFUNCTION("""COMPUTED_VALUE"""),1.1)</f>
        <v>1.1</v>
      </c>
      <c r="R173" s="53">
        <f>IFERROR(__xludf.DUMMYFUNCTION("""COMPUTED_VALUE"""),-1.7453715106998868)</f>
        <v>-1.745371511</v>
      </c>
      <c r="S173" s="53">
        <f>IFERROR(__xludf.DUMMYFUNCTION("""COMPUTED_VALUE"""),-0.03873175248417188)</f>
        <v>-0.03873175248</v>
      </c>
      <c r="T173" s="53">
        <f>IFERROR(__xludf.DUMMYFUNCTION("""COMPUTED_VALUE"""),-0.7925406433368716)</f>
        <v>-0.7925406433</v>
      </c>
      <c r="U173" s="53">
        <f>IFERROR(__xludf.DUMMYFUNCTION("""COMPUTED_VALUE"""),-0.6344706087632292)</f>
        <v>-0.6344706088</v>
      </c>
      <c r="V173" s="53">
        <f>IFERROR(__xludf.DUMMYFUNCTION("""COMPUTED_VALUE"""),-0.42447047355638534)</f>
        <v>-0.4244704736</v>
      </c>
      <c r="W173" s="53">
        <f>IFERROR(__xludf.DUMMYFUNCTION("""COMPUTED_VALUE"""),-0.2643825572058105)</f>
        <v>-0.2643825572</v>
      </c>
      <c r="X173" s="53">
        <f>IFERROR(__xludf.DUMMYFUNCTION("""COMPUTED_VALUE"""),-0.42662648460762637)</f>
        <v>-0.4266264846</v>
      </c>
      <c r="Y173" s="53">
        <f>IFERROR(__xludf.DUMMYFUNCTION("""COMPUTED_VALUE"""),-0.13157303517108632)</f>
        <v>-0.1315730352</v>
      </c>
      <c r="Z173" s="53">
        <f>IFERROR(__xludf.DUMMYFUNCTION("""COMPUTED_VALUE"""),0.2777604917337834)</f>
        <v>0.2777604917</v>
      </c>
      <c r="AA173" t="str">
        <f>IFERROR(__xludf.DUMMYFUNCTION("SUBSTITUTE(REGEXREPLACE(REGEXREPLACE(REGEXREPLACE(REGEXREPLACE(REGEXREPLACE(REGEXREPLACE(E173,"","",),IF(Projections!$U$3="""",""PG"",),),IF(Projections!$V$3="""",""SG"",),),IF(Projections!$W$3="""",""SF"",),),IF(Projections!$X$3="""",""PF"",),),IF(Projec"&amp;"tions!$Y$3="""",""C"",),),""/"","""")"),"SGSF")</f>
        <v>SGSF</v>
      </c>
    </row>
    <row r="174">
      <c r="B174">
        <f>IFERROR(__xludf.DUMMYFUNCTION("""COMPUTED_VALUE"""),183.0)</f>
        <v>183</v>
      </c>
      <c r="C174" t="str">
        <f>IFERROR(__xludf.DUMMYFUNCTION("""COMPUTED_VALUE"""),"Patrick Beverley")</f>
        <v>Patrick Beverley</v>
      </c>
      <c r="D174">
        <f>IFERROR(__xludf.DUMMYFUNCTION("""COMPUTED_VALUE"""),64.0)</f>
        <v>64</v>
      </c>
      <c r="E174" t="str">
        <f>IFERROR(__xludf.DUMMYFUNCTION("""COMPUTED_VALUE"""),"PG")</f>
        <v>PG</v>
      </c>
      <c r="F174" s="53">
        <f>IFERROR(__xludf.DUMMYFUNCTION("""COMPUTED_VALUE"""),-4.731291711063643)</f>
        <v>-4.731291711</v>
      </c>
      <c r="G174" s="53">
        <f>IFERROR(__xludf.DUMMYFUNCTION("""COMPUTED_VALUE"""),-2.435848336443953)</f>
        <v>-2.435848336</v>
      </c>
      <c r="H174" s="53">
        <f>IFERROR(__xludf.DUMMYFUNCTION("""COMPUTED_VALUE"""),2.29544337461969)</f>
        <v>2.295443375</v>
      </c>
      <c r="I174" s="53">
        <f>IFERROR(__xludf.DUMMYFUNCTION("""COMPUTED_VALUE"""),6.9)</f>
        <v>6.9</v>
      </c>
      <c r="J174" s="53">
        <f>IFERROR(__xludf.DUMMYFUNCTION("""COMPUTED_VALUE"""),1.2)</f>
        <v>1.2</v>
      </c>
      <c r="K174" s="53">
        <f>IFERROR(__xludf.DUMMYFUNCTION("""COMPUTED_VALUE"""),3.5)</f>
        <v>3.5</v>
      </c>
      <c r="L174" s="53">
        <f>IFERROR(__xludf.DUMMYFUNCTION("""COMPUTED_VALUE"""),3.4)</f>
        <v>3.4</v>
      </c>
      <c r="M174" s="53">
        <f>IFERROR(__xludf.DUMMYFUNCTION("""COMPUTED_VALUE"""),0.9)</f>
        <v>0.9</v>
      </c>
      <c r="N174" s="53">
        <f>IFERROR(__xludf.DUMMYFUNCTION("""COMPUTED_VALUE"""),0.7)</f>
        <v>0.7</v>
      </c>
      <c r="O174" s="53">
        <f>IFERROR(__xludf.DUMMYFUNCTION("""COMPUTED_VALUE"""),39.655172413793096)</f>
        <v>39.65517241</v>
      </c>
      <c r="P174" s="53">
        <f>IFERROR(__xludf.DUMMYFUNCTION("""COMPUTED_VALUE"""),71.42857142857143)</f>
        <v>71.42857143</v>
      </c>
      <c r="Q174" s="53">
        <f>IFERROR(__xludf.DUMMYFUNCTION("""COMPUTED_VALUE"""),1.0)</f>
        <v>1</v>
      </c>
      <c r="R174" s="53">
        <f>IFERROR(__xludf.DUMMYFUNCTION("""COMPUTED_VALUE"""),-1.7453715106998868)</f>
        <v>-1.745371511</v>
      </c>
      <c r="S174" s="53">
        <f>IFERROR(__xludf.DUMMYFUNCTION("""COMPUTED_VALUE"""),-0.38558326726780967)</f>
        <v>-0.3855832673</v>
      </c>
      <c r="T174" s="53">
        <f>IFERROR(__xludf.DUMMYFUNCTION("""COMPUTED_VALUE"""),-1.0852482323286814)</f>
        <v>-1.085248232</v>
      </c>
      <c r="U174" s="53">
        <f>IFERROR(__xludf.DUMMYFUNCTION("""COMPUTED_VALUE"""),-0.22645092467112066)</f>
        <v>-0.2264509247</v>
      </c>
      <c r="V174" s="53">
        <f>IFERROR(__xludf.DUMMYFUNCTION("""COMPUTED_VALUE"""),-0.2064205727568726)</f>
        <v>-0.2064205728</v>
      </c>
      <c r="W174" s="53">
        <f>IFERROR(__xludf.DUMMYFUNCTION("""COMPUTED_VALUE"""),-0.0017508778622903794)</f>
        <v>-0.001750877862</v>
      </c>
      <c r="X174" s="53">
        <f>IFERROR(__xludf.DUMMYFUNCTION("""COMPUTED_VALUE"""),-0.5760551376135187)</f>
        <v>-0.5760551376</v>
      </c>
      <c r="Y174" s="53">
        <f>IFERROR(__xludf.DUMMYFUNCTION("""COMPUTED_VALUE"""),-0.26314607034217263)</f>
        <v>-0.2631460703</v>
      </c>
      <c r="Z174" s="53">
        <f>IFERROR(__xludf.DUMMYFUNCTION("""COMPUTED_VALUE"""),0.30880674639851335)</f>
        <v>0.3088067464</v>
      </c>
      <c r="AA174" t="str">
        <f>IFERROR(__xludf.DUMMYFUNCTION("SUBSTITUTE(REGEXREPLACE(REGEXREPLACE(REGEXREPLACE(REGEXREPLACE(REGEXREPLACE(REGEXREPLACE(E174,"","",),IF(Projections!$U$3="""",""PG"",),),IF(Projections!$V$3="""",""SG"",),),IF(Projections!$W$3="""",""SF"",),),IF(Projections!$X$3="""",""PF"",),),IF(Projec"&amp;"tions!$Y$3="""",""C"",),),""/"","""")"),"PG")</f>
        <v>PG</v>
      </c>
    </row>
    <row r="175">
      <c r="B175">
        <f>IFERROR(__xludf.DUMMYFUNCTION("""COMPUTED_VALUE"""),178.0)</f>
        <v>178</v>
      </c>
      <c r="C175" t="str">
        <f>IFERROR(__xludf.DUMMYFUNCTION("""COMPUTED_VALUE"""),"Malik Monk")</f>
        <v>Malik Monk</v>
      </c>
      <c r="D175">
        <f>IFERROR(__xludf.DUMMYFUNCTION("""COMPUTED_VALUE"""),76.0)</f>
        <v>76</v>
      </c>
      <c r="E175" t="str">
        <f>IFERROR(__xludf.DUMMYFUNCTION("""COMPUTED_VALUE"""),"SG,SF")</f>
        <v>SG,SF</v>
      </c>
      <c r="F175" s="53">
        <f>IFERROR(__xludf.DUMMYFUNCTION("""COMPUTED_VALUE"""),-4.609150738437021)</f>
        <v>-4.609150738</v>
      </c>
      <c r="G175" s="53">
        <f>IFERROR(__xludf.DUMMYFUNCTION("""COMPUTED_VALUE"""),-2.4805593349513453)</f>
        <v>-2.480559335</v>
      </c>
      <c r="H175" s="53">
        <f>IFERROR(__xludf.DUMMYFUNCTION("""COMPUTED_VALUE"""),2.128591403485676)</f>
        <v>2.128591403</v>
      </c>
      <c r="I175" s="53">
        <f>IFERROR(__xludf.DUMMYFUNCTION("""COMPUTED_VALUE"""),12.0)</f>
        <v>12</v>
      </c>
      <c r="J175" s="53">
        <f>IFERROR(__xludf.DUMMYFUNCTION("""COMPUTED_VALUE"""),1.8)</f>
        <v>1.8</v>
      </c>
      <c r="K175" s="53">
        <f>IFERROR(__xludf.DUMMYFUNCTION("""COMPUTED_VALUE"""),2.6)</f>
        <v>2.6</v>
      </c>
      <c r="L175" s="53">
        <f>IFERROR(__xludf.DUMMYFUNCTION("""COMPUTED_VALUE"""),3.0)</f>
        <v>3</v>
      </c>
      <c r="M175" s="53">
        <f>IFERROR(__xludf.DUMMYFUNCTION("""COMPUTED_VALUE"""),0.6)</f>
        <v>0.6</v>
      </c>
      <c r="N175" s="53">
        <f>IFERROR(__xludf.DUMMYFUNCTION("""COMPUTED_VALUE"""),0.3)</f>
        <v>0.3</v>
      </c>
      <c r="O175" s="53">
        <f>IFERROR(__xludf.DUMMYFUNCTION("""COMPUTED_VALUE"""),46.23655913978494)</f>
        <v>46.23655914</v>
      </c>
      <c r="P175" s="53">
        <f>IFERROR(__xludf.DUMMYFUNCTION("""COMPUTED_VALUE"""),84.21052631578948)</f>
        <v>84.21052632</v>
      </c>
      <c r="Q175" s="53">
        <f>IFERROR(__xludf.DUMMYFUNCTION("""COMPUTED_VALUE"""),1.5)</f>
        <v>1.5</v>
      </c>
      <c r="R175" s="53">
        <f>IFERROR(__xludf.DUMMYFUNCTION("""COMPUTED_VALUE"""),-0.8858869882116903)</f>
        <v>-0.8858869882</v>
      </c>
      <c r="S175" s="53">
        <f>IFERROR(__xludf.DUMMYFUNCTION("""COMPUTED_VALUE"""),0.13469400490764694)</f>
        <v>0.1346940049</v>
      </c>
      <c r="T175" s="53">
        <f>IFERROR(__xludf.DUMMYFUNCTION("""COMPUTED_VALUE"""),-1.461586561032437)</f>
        <v>-1.461586561</v>
      </c>
      <c r="U175" s="53">
        <f>IFERROR(__xludf.DUMMYFUNCTION("""COMPUTED_VALUE"""),-0.4304607667171749)</f>
        <v>-0.4304607667</v>
      </c>
      <c r="V175" s="53">
        <f>IFERROR(__xludf.DUMMYFUNCTION("""COMPUTED_VALUE"""),-0.860570275155411)</f>
        <v>-0.8605702752</v>
      </c>
      <c r="W175" s="53">
        <f>IFERROR(__xludf.DUMMYFUNCTION("""COMPUTED_VALUE"""),-0.5270142365493308)</f>
        <v>-0.5270142365</v>
      </c>
      <c r="X175" s="53">
        <f>IFERROR(__xludf.DUMMYFUNCTION("""COMPUTED_VALUE"""),-0.31230033207835617)</f>
        <v>-0.3123003321</v>
      </c>
      <c r="Y175" s="53">
        <f>IFERROR(__xludf.DUMMYFUNCTION("""COMPUTED_VALUE"""),0.2474037857781074)</f>
        <v>0.2474037858</v>
      </c>
      <c r="Z175" s="53">
        <f>IFERROR(__xludf.DUMMYFUNCTION("""COMPUTED_VALUE"""),0.1535754730748638)</f>
        <v>0.1535754731</v>
      </c>
      <c r="AA175" t="str">
        <f>IFERROR(__xludf.DUMMYFUNCTION("SUBSTITUTE(REGEXREPLACE(REGEXREPLACE(REGEXREPLACE(REGEXREPLACE(REGEXREPLACE(REGEXREPLACE(E175,"","",),IF(Projections!$U$3="""",""PG"",),),IF(Projections!$V$3="""",""SG"",),),IF(Projections!$W$3="""",""SF"",),),IF(Projections!$X$3="""",""PF"",),),IF(Projec"&amp;"tions!$Y$3="""",""C"",),),""/"","""")"),"SGSF")</f>
        <v>SGSF</v>
      </c>
    </row>
    <row r="176">
      <c r="B176">
        <f>IFERROR(__xludf.DUMMYFUNCTION("""COMPUTED_VALUE"""),176.0)</f>
        <v>176</v>
      </c>
      <c r="C176" t="str">
        <f>IFERROR(__xludf.DUMMYFUNCTION("""COMPUTED_VALUE"""),"Gary Payton II")</f>
        <v>Gary Payton II</v>
      </c>
      <c r="D176">
        <f>IFERROR(__xludf.DUMMYFUNCTION("""COMPUTED_VALUE"""),70.0)</f>
        <v>70</v>
      </c>
      <c r="E176" t="str">
        <f>IFERROR(__xludf.DUMMYFUNCTION("""COMPUTED_VALUE"""),"PG,SG,SF")</f>
        <v>PG,SG,SF</v>
      </c>
      <c r="F176" s="53">
        <f>IFERROR(__xludf.DUMMYFUNCTION("""COMPUTED_VALUE"""),-4.5802872832872925)</f>
        <v>-4.580287283</v>
      </c>
      <c r="G176" s="53">
        <f>IFERROR(__xludf.DUMMYFUNCTION("""COMPUTED_VALUE"""),-2.4835520469420063)</f>
        <v>-2.483552047</v>
      </c>
      <c r="H176" s="53">
        <f>IFERROR(__xludf.DUMMYFUNCTION("""COMPUTED_VALUE"""),2.0967352363452862)</f>
        <v>2.096735236</v>
      </c>
      <c r="I176" s="53">
        <f>IFERROR(__xludf.DUMMYFUNCTION("""COMPUTED_VALUE"""),6.7)</f>
        <v>6.7</v>
      </c>
      <c r="J176" s="53">
        <f>IFERROR(__xludf.DUMMYFUNCTION("""COMPUTED_VALUE"""),0.6)</f>
        <v>0.6</v>
      </c>
      <c r="K176" s="53">
        <f>IFERROR(__xludf.DUMMYFUNCTION("""COMPUTED_VALUE"""),3.5)</f>
        <v>3.5</v>
      </c>
      <c r="L176" s="53">
        <f>IFERROR(__xludf.DUMMYFUNCTION("""COMPUTED_VALUE"""),1.0)</f>
        <v>1</v>
      </c>
      <c r="M176" s="53">
        <f>IFERROR(__xludf.DUMMYFUNCTION("""COMPUTED_VALUE"""),1.3)</f>
        <v>1.3</v>
      </c>
      <c r="N176" s="53">
        <f>IFERROR(__xludf.DUMMYFUNCTION("""COMPUTED_VALUE"""),0.3)</f>
        <v>0.3</v>
      </c>
      <c r="O176" s="53">
        <f>IFERROR(__xludf.DUMMYFUNCTION("""COMPUTED_VALUE"""),60.86956521739131)</f>
        <v>60.86956522</v>
      </c>
      <c r="P176" s="53">
        <f>IFERROR(__xludf.DUMMYFUNCTION("""COMPUTED_VALUE"""),71.42857142857143)</f>
        <v>71.42857143</v>
      </c>
      <c r="Q176" s="53">
        <f>IFERROR(__xludf.DUMMYFUNCTION("""COMPUTED_VALUE"""),0.6)</f>
        <v>0.6</v>
      </c>
      <c r="R176" s="53">
        <f>IFERROR(__xludf.DUMMYFUNCTION("""COMPUTED_VALUE"""),-1.779076786091581)</f>
        <v>-1.779076786</v>
      </c>
      <c r="S176" s="53">
        <f>IFERROR(__xludf.DUMMYFUNCTION("""COMPUTED_VALUE"""),-0.9058605394432663)</f>
        <v>-0.9058605394</v>
      </c>
      <c r="T176" s="53">
        <f>IFERROR(__xludf.DUMMYFUNCTION("""COMPUTED_VALUE"""),-1.0852482323286814)</f>
        <v>-1.085248232</v>
      </c>
      <c r="U176" s="53">
        <f>IFERROR(__xludf.DUMMYFUNCTION("""COMPUTED_VALUE"""),-1.4505099769474463)</f>
        <v>-1.450509977</v>
      </c>
      <c r="V176" s="53">
        <f>IFERROR(__xludf.DUMMYFUNCTION("""COMPUTED_VALUE"""),0.6657790304411786)</f>
        <v>0.6657790304</v>
      </c>
      <c r="W176" s="53">
        <f>IFERROR(__xludf.DUMMYFUNCTION("""COMPUTED_VALUE"""),-0.5270142365493308)</f>
        <v>-0.5270142365</v>
      </c>
      <c r="X176" s="53">
        <f>IFERROR(__xludf.DUMMYFUNCTION("""COMPUTED_VALUE"""),0.5178831779991927)</f>
        <v>0.517883178</v>
      </c>
      <c r="Y176" s="53">
        <f>IFERROR(__xludf.DUMMYFUNCTION("""COMPUTED_VALUE"""),-0.13157303517108632)</f>
        <v>-0.1315730352</v>
      </c>
      <c r="Z176" s="53">
        <f>IFERROR(__xludf.DUMMYFUNCTION("""COMPUTED_VALUE"""),0.43299176505743303)</f>
        <v>0.4329917651</v>
      </c>
      <c r="AA176" t="str">
        <f>IFERROR(__xludf.DUMMYFUNCTION("SUBSTITUTE(REGEXREPLACE(REGEXREPLACE(REGEXREPLACE(REGEXREPLACE(REGEXREPLACE(REGEXREPLACE(E176,"","",),IF(Projections!$U$3="""",""PG"",),),IF(Projections!$V$3="""",""SG"",),),IF(Projections!$W$3="""",""SF"",),),IF(Projections!$X$3="""",""PF"",),),IF(Projec"&amp;"tions!$Y$3="""",""C"",),),""/"","""")"),"PGSGSF")</f>
        <v>PGSGSF</v>
      </c>
    </row>
    <row r="177">
      <c r="B177">
        <f>IFERROR(__xludf.DUMMYFUNCTION("""COMPUTED_VALUE"""),165.0)</f>
        <v>165</v>
      </c>
      <c r="C177" t="str">
        <f>IFERROR(__xludf.DUMMYFUNCTION("""COMPUTED_VALUE"""),"Quentin Grimes")</f>
        <v>Quentin Grimes</v>
      </c>
      <c r="D177">
        <f>IFERROR(__xludf.DUMMYFUNCTION("""COMPUTED_VALUE"""),70.0)</f>
        <v>70</v>
      </c>
      <c r="E177" t="str">
        <f>IFERROR(__xludf.DUMMYFUNCTION("""COMPUTED_VALUE"""),"SG,SF")</f>
        <v>SG,SF</v>
      </c>
      <c r="F177" s="53">
        <f>IFERROR(__xludf.DUMMYFUNCTION("""COMPUTED_VALUE"""),-4.245543869827849)</f>
        <v>-4.24554387</v>
      </c>
      <c r="G177" s="53">
        <f>IFERROR(__xludf.DUMMYFUNCTION("""COMPUTED_VALUE"""),-2.489122651151116)</f>
        <v>-2.489122651</v>
      </c>
      <c r="H177" s="53">
        <f>IFERROR(__xludf.DUMMYFUNCTION("""COMPUTED_VALUE"""),1.7564212186767332)</f>
        <v>1.756421219</v>
      </c>
      <c r="I177" s="53">
        <f>IFERROR(__xludf.DUMMYFUNCTION("""COMPUTED_VALUE"""),10.9)</f>
        <v>10.9</v>
      </c>
      <c r="J177" s="53">
        <f>IFERROR(__xludf.DUMMYFUNCTION("""COMPUTED_VALUE"""),2.3)</f>
        <v>2.3</v>
      </c>
      <c r="K177" s="53">
        <f>IFERROR(__xludf.DUMMYFUNCTION("""COMPUTED_VALUE"""),3.3)</f>
        <v>3.3</v>
      </c>
      <c r="L177" s="53">
        <f>IFERROR(__xludf.DUMMYFUNCTION("""COMPUTED_VALUE"""),2.0)</f>
        <v>2</v>
      </c>
      <c r="M177" s="53">
        <f>IFERROR(__xludf.DUMMYFUNCTION("""COMPUTED_VALUE"""),0.8)</f>
        <v>0.8</v>
      </c>
      <c r="N177" s="53">
        <f>IFERROR(__xludf.DUMMYFUNCTION("""COMPUTED_VALUE"""),0.4)</f>
        <v>0.4</v>
      </c>
      <c r="O177" s="53">
        <f>IFERROR(__xludf.DUMMYFUNCTION("""COMPUTED_VALUE"""),44.705882352941174)</f>
        <v>44.70588235</v>
      </c>
      <c r="P177" s="53">
        <f>IFERROR(__xludf.DUMMYFUNCTION("""COMPUTED_VALUE"""),75.0)</f>
        <v>75</v>
      </c>
      <c r="Q177" s="53">
        <f>IFERROR(__xludf.DUMMYFUNCTION("""COMPUTED_VALUE"""),1.0)</f>
        <v>1</v>
      </c>
      <c r="R177" s="53">
        <f>IFERROR(__xludf.DUMMYFUNCTION("""COMPUTED_VALUE"""),-1.0712660028660073)</f>
        <v>-1.071266003</v>
      </c>
      <c r="S177" s="53">
        <f>IFERROR(__xludf.DUMMYFUNCTION("""COMPUTED_VALUE"""),0.5682583983871938)</f>
        <v>0.5682583984</v>
      </c>
      <c r="T177" s="53">
        <f>IFERROR(__xludf.DUMMYFUNCTION("""COMPUTED_VALUE"""),-1.1688789720406272)</f>
        <v>-1.168878972</v>
      </c>
      <c r="U177" s="53">
        <f>IFERROR(__xludf.DUMMYFUNCTION("""COMPUTED_VALUE"""),-0.9404853718323106)</f>
        <v>-0.9404853718</v>
      </c>
      <c r="V177" s="53">
        <f>IFERROR(__xludf.DUMMYFUNCTION("""COMPUTED_VALUE"""),-0.42447047355638534)</f>
        <v>-0.4244704736</v>
      </c>
      <c r="W177" s="53">
        <f>IFERROR(__xludf.DUMMYFUNCTION("""COMPUTED_VALUE"""),-0.39569839687757064)</f>
        <v>-0.3956983969</v>
      </c>
      <c r="X177" s="53">
        <f>IFERROR(__xludf.DUMMYFUNCTION("""COMPUTED_VALUE"""),-0.4153956460246376)</f>
        <v>-0.415395646</v>
      </c>
      <c r="Y177" s="53">
        <f>IFERROR(__xludf.DUMMYFUNCTION("""COMPUTED_VALUE"""),-0.11887190477991126)</f>
        <v>-0.1188719048</v>
      </c>
      <c r="Z177" s="53">
        <f>IFERROR(__xludf.DUMMYFUNCTION("""COMPUTED_VALUE"""),0.30880674639851335)</f>
        <v>0.3088067464</v>
      </c>
      <c r="AA177" t="str">
        <f>IFERROR(__xludf.DUMMYFUNCTION("SUBSTITUTE(REGEXREPLACE(REGEXREPLACE(REGEXREPLACE(REGEXREPLACE(REGEXREPLACE(REGEXREPLACE(E177,"","",),IF(Projections!$U$3="""",""PG"",),),IF(Projections!$V$3="""",""SG"",),),IF(Projections!$W$3="""",""SF"",),),IF(Projections!$X$3="""",""PF"",),),IF(Projec"&amp;"tions!$Y$3="""",""C"",),),""/"","""")"),"SGSF")</f>
        <v>SGSF</v>
      </c>
    </row>
    <row r="178">
      <c r="B178">
        <f>IFERROR(__xludf.DUMMYFUNCTION("""COMPUTED_VALUE"""),164.0)</f>
        <v>164</v>
      </c>
      <c r="C178" t="str">
        <f>IFERROR(__xludf.DUMMYFUNCTION("""COMPUTED_VALUE"""),"Caris LeVert")</f>
        <v>Caris LeVert</v>
      </c>
      <c r="D178">
        <f>IFERROR(__xludf.DUMMYFUNCTION("""COMPUTED_VALUE"""),67.0)</f>
        <v>67</v>
      </c>
      <c r="E178" t="str">
        <f>IFERROR(__xludf.DUMMYFUNCTION("""COMPUTED_VALUE"""),"SG,SF")</f>
        <v>SG,SF</v>
      </c>
      <c r="F178" s="53">
        <f>IFERROR(__xludf.DUMMYFUNCTION("""COMPUTED_VALUE"""),-4.230941190028098)</f>
        <v>-4.23094119</v>
      </c>
      <c r="G178" s="53">
        <f>IFERROR(__xludf.DUMMYFUNCTION("""COMPUTED_VALUE"""),-2.497059729934905)</f>
        <v>-2.49705973</v>
      </c>
      <c r="H178" s="53">
        <f>IFERROR(__xludf.DUMMYFUNCTION("""COMPUTED_VALUE"""),1.7338814600931927)</f>
        <v>1.73388146</v>
      </c>
      <c r="I178" s="53">
        <f>IFERROR(__xludf.DUMMYFUNCTION("""COMPUTED_VALUE"""),13.1)</f>
        <v>13.1</v>
      </c>
      <c r="J178" s="53">
        <f>IFERROR(__xludf.DUMMYFUNCTION("""COMPUTED_VALUE"""),1.5)</f>
        <v>1.5</v>
      </c>
      <c r="K178" s="53">
        <f>IFERROR(__xludf.DUMMYFUNCTION("""COMPUTED_VALUE"""),3.4)</f>
        <v>3.4</v>
      </c>
      <c r="L178" s="53">
        <f>IFERROR(__xludf.DUMMYFUNCTION("""COMPUTED_VALUE"""),3.7)</f>
        <v>3.7</v>
      </c>
      <c r="M178" s="53">
        <f>IFERROR(__xludf.DUMMYFUNCTION("""COMPUTED_VALUE"""),0.9)</f>
        <v>0.9</v>
      </c>
      <c r="N178" s="53">
        <f>IFERROR(__xludf.DUMMYFUNCTION("""COMPUTED_VALUE"""),0.3)</f>
        <v>0.3</v>
      </c>
      <c r="O178" s="53">
        <f>IFERROR(__xludf.DUMMYFUNCTION("""COMPUTED_VALUE"""),44.14414414414415)</f>
        <v>44.14414414</v>
      </c>
      <c r="P178" s="53">
        <f>IFERROR(__xludf.DUMMYFUNCTION("""COMPUTED_VALUE"""),73.07692307692307)</f>
        <v>73.07692308</v>
      </c>
      <c r="Q178" s="53">
        <f>IFERROR(__xludf.DUMMYFUNCTION("""COMPUTED_VALUE"""),1.6)</f>
        <v>1.6</v>
      </c>
      <c r="R178" s="53">
        <f>IFERROR(__xludf.DUMMYFUNCTION("""COMPUTED_VALUE"""),-0.7005079735573735)</f>
        <v>-0.7005079736</v>
      </c>
      <c r="S178" s="53">
        <f>IFERROR(__xludf.DUMMYFUNCTION("""COMPUTED_VALUE"""),-0.12544463118008137)</f>
        <v>-0.1254446312</v>
      </c>
      <c r="T178" s="53">
        <f>IFERROR(__xludf.DUMMYFUNCTION("""COMPUTED_VALUE"""),-1.1270636021846543)</f>
        <v>-1.127063602</v>
      </c>
      <c r="U178" s="53">
        <f>IFERROR(__xludf.DUMMYFUNCTION("""COMPUTED_VALUE"""),-0.07344354313657983)</f>
        <v>-0.07344354314</v>
      </c>
      <c r="V178" s="53">
        <f>IFERROR(__xludf.DUMMYFUNCTION("""COMPUTED_VALUE"""),-0.2064205727568726)</f>
        <v>-0.2064205728</v>
      </c>
      <c r="W178" s="53">
        <f>IFERROR(__xludf.DUMMYFUNCTION("""COMPUTED_VALUE"""),-0.5270142365493308)</f>
        <v>-0.5270142365</v>
      </c>
      <c r="X178" s="53">
        <f>IFERROR(__xludf.DUMMYFUNCTION("""COMPUTED_VALUE"""),-0.6047400160427169)</f>
        <v>-0.604740016</v>
      </c>
      <c r="Y178" s="53">
        <f>IFERROR(__xludf.DUMMYFUNCTION("""COMPUTED_VALUE"""),-0.3820179751220842)</f>
        <v>-0.3820179751</v>
      </c>
      <c r="Z178" s="53">
        <f>IFERROR(__xludf.DUMMYFUNCTION("""COMPUTED_VALUE"""),0.12252921841013387)</f>
        <v>0.1225292184</v>
      </c>
      <c r="AA178" t="str">
        <f>IFERROR(__xludf.DUMMYFUNCTION("SUBSTITUTE(REGEXREPLACE(REGEXREPLACE(REGEXREPLACE(REGEXREPLACE(REGEXREPLACE(REGEXREPLACE(E178,"","",),IF(Projections!$U$3="""",""PG"",),),IF(Projections!$V$3="""",""SG"",),),IF(Projections!$W$3="""",""SF"",),),IF(Projections!$X$3="""",""PF"",),),IF(Projec"&amp;"tions!$Y$3="""",""C"",),),""/"","""")"),"SGSF")</f>
        <v>SGSF</v>
      </c>
    </row>
    <row r="179">
      <c r="B179">
        <f>IFERROR(__xludf.DUMMYFUNCTION("""COMPUTED_VALUE"""),175.0)</f>
        <v>175</v>
      </c>
      <c r="C179" t="str">
        <f>IFERROR(__xludf.DUMMYFUNCTION("""COMPUTED_VALUE"""),"Gabe Vincent")</f>
        <v>Gabe Vincent</v>
      </c>
      <c r="D179">
        <f>IFERROR(__xludf.DUMMYFUNCTION("""COMPUTED_VALUE"""),70.0)</f>
        <v>70</v>
      </c>
      <c r="E179" t="str">
        <f>IFERROR(__xludf.DUMMYFUNCTION("""COMPUTED_VALUE"""),"PG,SG")</f>
        <v>PG,SG</v>
      </c>
      <c r="F179" s="53">
        <f>IFERROR(__xludf.DUMMYFUNCTION("""COMPUTED_VALUE"""),-4.577718388803501)</f>
        <v>-4.577718389</v>
      </c>
      <c r="G179" s="53">
        <f>IFERROR(__xludf.DUMMYFUNCTION("""COMPUTED_VALUE"""),-2.5334708218061675)</f>
        <v>-2.533470822</v>
      </c>
      <c r="H179" s="53">
        <f>IFERROR(__xludf.DUMMYFUNCTION("""COMPUTED_VALUE"""),2.044247566997334)</f>
        <v>2.044247567</v>
      </c>
      <c r="I179" s="53">
        <f>IFERROR(__xludf.DUMMYFUNCTION("""COMPUTED_VALUE"""),10.3)</f>
        <v>10.3</v>
      </c>
      <c r="J179" s="53">
        <f>IFERROR(__xludf.DUMMYFUNCTION("""COMPUTED_VALUE"""),2.0)</f>
        <v>2</v>
      </c>
      <c r="K179" s="53">
        <f>IFERROR(__xludf.DUMMYFUNCTION("""COMPUTED_VALUE"""),2.3)</f>
        <v>2.3</v>
      </c>
      <c r="L179" s="53">
        <f>IFERROR(__xludf.DUMMYFUNCTION("""COMPUTED_VALUE"""),3.2)</f>
        <v>3.2</v>
      </c>
      <c r="M179" s="53">
        <f>IFERROR(__xludf.DUMMYFUNCTION("""COMPUTED_VALUE"""),1.0)</f>
        <v>1</v>
      </c>
      <c r="N179" s="53">
        <f>IFERROR(__xludf.DUMMYFUNCTION("""COMPUTED_VALUE"""),0.1)</f>
        <v>0.1</v>
      </c>
      <c r="O179" s="53">
        <f>IFERROR(__xludf.DUMMYFUNCTION("""COMPUTED_VALUE"""),41.111111111111114)</f>
        <v>41.11111111</v>
      </c>
      <c r="P179" s="53">
        <f>IFERROR(__xludf.DUMMYFUNCTION("""COMPUTED_VALUE"""),81.81818181818181)</f>
        <v>81.81818182</v>
      </c>
      <c r="Q179" s="53">
        <f>IFERROR(__xludf.DUMMYFUNCTION("""COMPUTED_VALUE"""),1.6)</f>
        <v>1.6</v>
      </c>
      <c r="R179" s="53">
        <f>IFERROR(__xludf.DUMMYFUNCTION("""COMPUTED_VALUE"""),-1.172381829041089)</f>
        <v>-1.172381829</v>
      </c>
      <c r="S179" s="53">
        <f>IFERROR(__xludf.DUMMYFUNCTION("""COMPUTED_VALUE"""),0.30811976229946575)</f>
        <v>0.3081197623</v>
      </c>
      <c r="T179" s="53">
        <f>IFERROR(__xludf.DUMMYFUNCTION("""COMPUTED_VALUE"""),-1.5870326706003557)</f>
        <v>-1.587032671</v>
      </c>
      <c r="U179" s="53">
        <f>IFERROR(__xludf.DUMMYFUNCTION("""COMPUTED_VALUE"""),-0.32845584569414765)</f>
        <v>-0.3284558457</v>
      </c>
      <c r="V179" s="53">
        <f>IFERROR(__xludf.DUMMYFUNCTION("""COMPUTED_VALUE"""),0.011629328042640127)</f>
        <v>0.01162932804</v>
      </c>
      <c r="W179" s="53">
        <f>IFERROR(__xludf.DUMMYFUNCTION("""COMPUTED_VALUE"""),-0.7896459158928509)</f>
        <v>-0.7896459159</v>
      </c>
      <c r="X179" s="53">
        <f>IFERROR(__xludf.DUMMYFUNCTION("""COMPUTED_VALUE"""),-0.7629928993638149)</f>
        <v>-0.7629928994</v>
      </c>
      <c r="Y179" s="53">
        <f>IFERROR(__xludf.DUMMYFUNCTION("""COMPUTED_VALUE"""),0.07772735943349546)</f>
        <v>0.07772735943</v>
      </c>
      <c r="Z179" s="53">
        <f>IFERROR(__xludf.DUMMYFUNCTION("""COMPUTED_VALUE"""),0.12252921841013387)</f>
        <v>0.1225292184</v>
      </c>
      <c r="AA179" t="str">
        <f>IFERROR(__xludf.DUMMYFUNCTION("SUBSTITUTE(REGEXREPLACE(REGEXREPLACE(REGEXREPLACE(REGEXREPLACE(REGEXREPLACE(REGEXREPLACE(E179,"","",),IF(Projections!$U$3="""",""PG"",),),IF(Projections!$V$3="""",""SG"",),),IF(Projections!$W$3="""",""SF"",),),IF(Projections!$X$3="""",""PF"",),),IF(Projec"&amp;"tions!$Y$3="""",""C"",),),""/"","""")"),"PGSG")</f>
        <v>PGSG</v>
      </c>
    </row>
    <row r="180">
      <c r="B180">
        <f>IFERROR(__xludf.DUMMYFUNCTION("""COMPUTED_VALUE"""),162.0)</f>
        <v>162</v>
      </c>
      <c r="C180" t="str">
        <f>IFERROR(__xludf.DUMMYFUNCTION("""COMPUTED_VALUE"""),"Bennedict Mathurin")</f>
        <v>Bennedict Mathurin</v>
      </c>
      <c r="D180">
        <f>IFERROR(__xludf.DUMMYFUNCTION("""COMPUTED_VALUE"""),74.0)</f>
        <v>74</v>
      </c>
      <c r="E180" t="str">
        <f>IFERROR(__xludf.DUMMYFUNCTION("""COMPUTED_VALUE"""),"SG,SF")</f>
        <v>SG,SF</v>
      </c>
      <c r="F180" s="53">
        <f>IFERROR(__xludf.DUMMYFUNCTION("""COMPUTED_VALUE"""),-4.102140830279408)</f>
        <v>-4.10214083</v>
      </c>
      <c r="G180" s="53">
        <f>IFERROR(__xludf.DUMMYFUNCTION("""COMPUTED_VALUE"""),-2.5457165130068455)</f>
        <v>-2.545716513</v>
      </c>
      <c r="H180" s="53">
        <f>IFERROR(__xludf.DUMMYFUNCTION("""COMPUTED_VALUE"""),1.5564243172725627)</f>
        <v>1.556424317</v>
      </c>
      <c r="I180" s="53">
        <f>IFERROR(__xludf.DUMMYFUNCTION("""COMPUTED_VALUE"""),17.8)</f>
        <v>17.8</v>
      </c>
      <c r="J180" s="53">
        <f>IFERROR(__xludf.DUMMYFUNCTION("""COMPUTED_VALUE"""),1.4)</f>
        <v>1.4</v>
      </c>
      <c r="K180" s="53">
        <f>IFERROR(__xludf.DUMMYFUNCTION("""COMPUTED_VALUE"""),4.3)</f>
        <v>4.3</v>
      </c>
      <c r="L180" s="53">
        <f>IFERROR(__xludf.DUMMYFUNCTION("""COMPUTED_VALUE"""),1.6)</f>
        <v>1.6</v>
      </c>
      <c r="M180" s="53">
        <f>IFERROR(__xludf.DUMMYFUNCTION("""COMPUTED_VALUE"""),0.7)</f>
        <v>0.7</v>
      </c>
      <c r="N180" s="53">
        <f>IFERROR(__xludf.DUMMYFUNCTION("""COMPUTED_VALUE"""),0.2)</f>
        <v>0.2</v>
      </c>
      <c r="O180" s="53">
        <f>IFERROR(__xludf.DUMMYFUNCTION("""COMPUTED_VALUE"""),43.07692307692307)</f>
        <v>43.07692308</v>
      </c>
      <c r="P180" s="53">
        <f>IFERROR(__xludf.DUMMYFUNCTION("""COMPUTED_VALUE"""),82.25806451612902)</f>
        <v>82.25806452</v>
      </c>
      <c r="Q180" s="53">
        <f>IFERROR(__xludf.DUMMYFUNCTION("""COMPUTED_VALUE"""),2.1)</f>
        <v>2.1</v>
      </c>
      <c r="R180" s="53">
        <f>IFERROR(__xludf.DUMMYFUNCTION("""COMPUTED_VALUE"""),0.09156599814743527)</f>
        <v>0.09156599815</v>
      </c>
      <c r="S180" s="53">
        <f>IFERROR(__xludf.DUMMYFUNCTION("""COMPUTED_VALUE"""),-0.21215750987599089)</f>
        <v>-0.2121575099</v>
      </c>
      <c r="T180" s="53">
        <f>IFERROR(__xludf.DUMMYFUNCTION("""COMPUTED_VALUE"""),-0.7507252734808988)</f>
        <v>-0.7507252735</v>
      </c>
      <c r="U180" s="53">
        <f>IFERROR(__xludf.DUMMYFUNCTION("""COMPUTED_VALUE"""),-1.144495213878365)</f>
        <v>-1.144495214</v>
      </c>
      <c r="V180" s="53">
        <f>IFERROR(__xludf.DUMMYFUNCTION("""COMPUTED_VALUE"""),-0.6425203743558983)</f>
        <v>-0.6425203744</v>
      </c>
      <c r="W180" s="53">
        <f>IFERROR(__xludf.DUMMYFUNCTION("""COMPUTED_VALUE"""),-0.6583300762210907)</f>
        <v>-0.6583300762</v>
      </c>
      <c r="X180" s="53">
        <f>IFERROR(__xludf.DUMMYFUNCTION("""COMPUTED_VALUE"""),-0.8468353471678306)</f>
        <v>-0.8468353472</v>
      </c>
      <c r="Y180" s="53">
        <f>IFERROR(__xludf.DUMMYFUNCTION("""COMPUTED_VALUE"""),0.5059881248609431)</f>
        <v>0.5059881249</v>
      </c>
      <c r="Z180" s="53">
        <f>IFERROR(__xludf.DUMMYFUNCTION("""COMPUTED_VALUE"""),-0.032702054913515695)</f>
        <v>-0.03270205491</v>
      </c>
      <c r="AA180" t="str">
        <f>IFERROR(__xludf.DUMMYFUNCTION("SUBSTITUTE(REGEXREPLACE(REGEXREPLACE(REGEXREPLACE(REGEXREPLACE(REGEXREPLACE(REGEXREPLACE(E180,"","",),IF(Projections!$U$3="""",""PG"",),),IF(Projections!$V$3="""",""SG"",),),IF(Projections!$W$3="""",""SF"",),),IF(Projections!$X$3="""",""PF"",),),IF(Projec"&amp;"tions!$Y$3="""",""C"",),),""/"","""")"),"SGSF")</f>
        <v>SGSF</v>
      </c>
    </row>
    <row r="181">
      <c r="A181" t="str">
        <f>IF(Projections!$H$3,Draft!P23,"")</f>
        <v/>
      </c>
      <c r="B181">
        <f>IFERROR(__xludf.DUMMYFUNCTION("""COMPUTED_VALUE"""),185.0)</f>
        <v>185</v>
      </c>
      <c r="C181" t="str">
        <f>IFERROR(__xludf.DUMMYFUNCTION("""COMPUTED_VALUE"""),"Richaun Holmes")</f>
        <v>Richaun Holmes</v>
      </c>
      <c r="D181">
        <f>IFERROR(__xludf.DUMMYFUNCTION("""COMPUTED_VALUE"""),70.0)</f>
        <v>70</v>
      </c>
      <c r="E181" t="str">
        <f>IFERROR(__xludf.DUMMYFUNCTION("""COMPUTED_VALUE"""),"PF,C")</f>
        <v>PF,C</v>
      </c>
      <c r="F181" s="53">
        <f>IFERROR(__xludf.DUMMYFUNCTION("""COMPUTED_VALUE"""),-4.7718115101725855)</f>
        <v>-4.77181151</v>
      </c>
      <c r="G181" s="53">
        <f>IFERROR(__xludf.DUMMYFUNCTION("""COMPUTED_VALUE"""),-2.549971147246077)</f>
        <v>-2.549971147</v>
      </c>
      <c r="H181" s="53">
        <f>IFERROR(__xludf.DUMMYFUNCTION("""COMPUTED_VALUE"""),2.2218403629265087)</f>
        <v>2.221840363</v>
      </c>
      <c r="I181" s="53">
        <f>IFERROR(__xludf.DUMMYFUNCTION("""COMPUTED_VALUE"""),9.8)</f>
        <v>9.8</v>
      </c>
      <c r="J181" s="53">
        <f>IFERROR(__xludf.DUMMYFUNCTION("""COMPUTED_VALUE"""),0.1)</f>
        <v>0.1</v>
      </c>
      <c r="K181" s="53">
        <f>IFERROR(__xludf.DUMMYFUNCTION("""COMPUTED_VALUE"""),6.5)</f>
        <v>6.5</v>
      </c>
      <c r="L181" s="53">
        <f>IFERROR(__xludf.DUMMYFUNCTION("""COMPUTED_VALUE"""),0.9)</f>
        <v>0.9</v>
      </c>
      <c r="M181" s="53">
        <f>IFERROR(__xludf.DUMMYFUNCTION("""COMPUTED_VALUE"""),0.3)</f>
        <v>0.3</v>
      </c>
      <c r="N181" s="53">
        <f>IFERROR(__xludf.DUMMYFUNCTION("""COMPUTED_VALUE"""),0.9)</f>
        <v>0.9</v>
      </c>
      <c r="O181" s="53">
        <f>IFERROR(__xludf.DUMMYFUNCTION("""COMPUTED_VALUE"""),64.06249999999999)</f>
        <v>64.0625</v>
      </c>
      <c r="P181" s="53">
        <f>IFERROR(__xludf.DUMMYFUNCTION("""COMPUTED_VALUE"""),77.77777777777777)</f>
        <v>77.77777778</v>
      </c>
      <c r="Q181" s="53">
        <f>IFERROR(__xludf.DUMMYFUNCTION("""COMPUTED_VALUE"""),1.2)</f>
        <v>1.2</v>
      </c>
      <c r="R181" s="53">
        <f>IFERROR(__xludf.DUMMYFUNCTION("""COMPUTED_VALUE"""),-1.256645017520324)</f>
        <v>-1.256645018</v>
      </c>
      <c r="S181" s="53">
        <f>IFERROR(__xludf.DUMMYFUNCTION("""COMPUTED_VALUE"""),-1.3394249329228134)</f>
        <v>-1.339424933</v>
      </c>
      <c r="T181" s="53">
        <f>IFERROR(__xludf.DUMMYFUNCTION("""COMPUTED_VALUE"""),0.16921286335050373)</f>
        <v>0.1692128634</v>
      </c>
      <c r="U181" s="53">
        <f>IFERROR(__xludf.DUMMYFUNCTION("""COMPUTED_VALUE"""),-1.5015124374589601)</f>
        <v>-1.501512437</v>
      </c>
      <c r="V181" s="53">
        <f>IFERROR(__xludf.DUMMYFUNCTION("""COMPUTED_VALUE"""),-1.5147199775539493)</f>
        <v>-1.514719978</v>
      </c>
      <c r="W181" s="53">
        <f>IFERROR(__xludf.DUMMYFUNCTION("""COMPUTED_VALUE"""),0.2608808014812299)</f>
        <v>0.2608808015</v>
      </c>
      <c r="X181" s="53">
        <f>IFERROR(__xludf.DUMMYFUNCTION("""COMPUTED_VALUE"""),0.9246490144928248)</f>
        <v>0.9246490145</v>
      </c>
      <c r="Y181" s="53">
        <f>IFERROR(__xludf.DUMMYFUNCTION("""COMPUTED_VALUE"""),-0.053845675737591164)</f>
        <v>-0.05384567574</v>
      </c>
      <c r="Z181" s="53">
        <f>IFERROR(__xludf.DUMMYFUNCTION("""COMPUTED_VALUE"""),0.24671423706905354)</f>
        <v>0.2467142371</v>
      </c>
      <c r="AA181" t="str">
        <f>IFERROR(__xludf.DUMMYFUNCTION("SUBSTITUTE(REGEXREPLACE(REGEXREPLACE(REGEXREPLACE(REGEXREPLACE(REGEXREPLACE(REGEXREPLACE(E181,"","",),IF(Projections!$U$3="""",""PG"",),),IF(Projections!$V$3="""",""SG"",),),IF(Projections!$W$3="""",""SF"",),),IF(Projections!$X$3="""",""PF"",),),IF(Projec"&amp;"tions!$Y$3="""",""C"",),),""/"","""")"),"PFC")</f>
        <v>PFC</v>
      </c>
    </row>
    <row r="182">
      <c r="A182" t="str">
        <f>IF(Projections!$H$3,Draft!P24,"")</f>
        <v/>
      </c>
      <c r="B182">
        <f>IFERROR(__xludf.DUMMYFUNCTION("""COMPUTED_VALUE"""),179.0)</f>
        <v>179</v>
      </c>
      <c r="C182" t="str">
        <f>IFERROR(__xludf.DUMMYFUNCTION("""COMPUTED_VALUE"""),"Pat Connaughton")</f>
        <v>Pat Connaughton</v>
      </c>
      <c r="D182">
        <f>IFERROR(__xludf.DUMMYFUNCTION("""COMPUTED_VALUE"""),64.0)</f>
        <v>64</v>
      </c>
      <c r="E182" t="str">
        <f>IFERROR(__xludf.DUMMYFUNCTION("""COMPUTED_VALUE"""),"SG,SF")</f>
        <v>SG,SF</v>
      </c>
      <c r="F182" s="53">
        <f>IFERROR(__xludf.DUMMYFUNCTION("""COMPUTED_VALUE"""),-4.634405021944236)</f>
        <v>-4.634405022</v>
      </c>
      <c r="G182" s="53">
        <f>IFERROR(__xludf.DUMMYFUNCTION("""COMPUTED_VALUE"""),-2.5533485178661177)</f>
        <v>-2.553348518</v>
      </c>
      <c r="H182" s="53">
        <f>IFERROR(__xludf.DUMMYFUNCTION("""COMPUTED_VALUE"""),2.081056504078118)</f>
        <v>2.081056504</v>
      </c>
      <c r="I182" s="53">
        <f>IFERROR(__xludf.DUMMYFUNCTION("""COMPUTED_VALUE"""),9.7)</f>
        <v>9.7</v>
      </c>
      <c r="J182" s="53">
        <f>IFERROR(__xludf.DUMMYFUNCTION("""COMPUTED_VALUE"""),2.2)</f>
        <v>2.2</v>
      </c>
      <c r="K182" s="53">
        <f>IFERROR(__xludf.DUMMYFUNCTION("""COMPUTED_VALUE"""),4.8)</f>
        <v>4.8</v>
      </c>
      <c r="L182" s="53">
        <f>IFERROR(__xludf.DUMMYFUNCTION("""COMPUTED_VALUE"""),1.4)</f>
        <v>1.4</v>
      </c>
      <c r="M182" s="53">
        <f>IFERROR(__xludf.DUMMYFUNCTION("""COMPUTED_VALUE"""),0.8)</f>
        <v>0.8</v>
      </c>
      <c r="N182" s="53">
        <f>IFERROR(__xludf.DUMMYFUNCTION("""COMPUTED_VALUE"""),0.2)</f>
        <v>0.2</v>
      </c>
      <c r="O182" s="53">
        <f>IFERROR(__xludf.DUMMYFUNCTION("""COMPUTED_VALUE"""),43.0379746835443)</f>
        <v>43.03797468</v>
      </c>
      <c r="P182" s="53">
        <f>IFERROR(__xludf.DUMMYFUNCTION("""COMPUTED_VALUE"""),74.99999999999999)</f>
        <v>75</v>
      </c>
      <c r="Q182" s="53">
        <f>IFERROR(__xludf.DUMMYFUNCTION("""COMPUTED_VALUE"""),0.6)</f>
        <v>0.6</v>
      </c>
      <c r="R182" s="53">
        <f>IFERROR(__xludf.DUMMYFUNCTION("""COMPUTED_VALUE"""),-1.2734976552161712)</f>
        <v>-1.273497655</v>
      </c>
      <c r="S182" s="53">
        <f>IFERROR(__xludf.DUMMYFUNCTION("""COMPUTED_VALUE"""),0.48154551969128473)</f>
        <v>0.4815455197</v>
      </c>
      <c r="T182" s="53">
        <f>IFERROR(__xludf.DUMMYFUNCTION("""COMPUTED_VALUE"""),-0.5416484242010347)</f>
        <v>-0.5416484242</v>
      </c>
      <c r="U182" s="53">
        <f>IFERROR(__xludf.DUMMYFUNCTION("""COMPUTED_VALUE"""),-1.246500134901392)</f>
        <v>-1.246500135</v>
      </c>
      <c r="V182" s="53">
        <f>IFERROR(__xludf.DUMMYFUNCTION("""COMPUTED_VALUE"""),-0.42447047355638534)</f>
        <v>-0.4244704736</v>
      </c>
      <c r="W182" s="53">
        <f>IFERROR(__xludf.DUMMYFUNCTION("""COMPUTED_VALUE"""),-0.6583300762210907)</f>
        <v>-0.6583300762</v>
      </c>
      <c r="X182" s="53">
        <f>IFERROR(__xludf.DUMMYFUNCTION("""COMPUTED_VALUE"""),-0.5176887572149916)</f>
        <v>-0.5176887572</v>
      </c>
      <c r="Y182" s="53">
        <f>IFERROR(__xludf.DUMMYFUNCTION("""COMPUTED_VALUE"""),-0.07924793651994107)</f>
        <v>-0.07924793652</v>
      </c>
      <c r="Z182" s="53">
        <f>IFERROR(__xludf.DUMMYFUNCTION("""COMPUTED_VALUE"""),0.43299176505743303)</f>
        <v>0.4329917651</v>
      </c>
      <c r="AA182" t="str">
        <f>IFERROR(__xludf.DUMMYFUNCTION("SUBSTITUTE(REGEXREPLACE(REGEXREPLACE(REGEXREPLACE(REGEXREPLACE(REGEXREPLACE(REGEXREPLACE(E182,"","",),IF(Projections!$U$3="""",""PG"",),),IF(Projections!$V$3="""",""SG"",),),IF(Projections!$W$3="""",""SF"",),),IF(Projections!$X$3="""",""PF"",),),IF(Projec"&amp;"tions!$Y$3="""",""C"",),),""/"","""")"),"SGSF")</f>
        <v>SGSF</v>
      </c>
    </row>
    <row r="183">
      <c r="A183" t="str">
        <f>IF(Projections!$H$3,Draft!P25,"")</f>
        <v/>
      </c>
      <c r="B183">
        <f>IFERROR(__xludf.DUMMYFUNCTION("""COMPUTED_VALUE"""),174.0)</f>
        <v>174</v>
      </c>
      <c r="C183" t="str">
        <f>IFERROR(__xludf.DUMMYFUNCTION("""COMPUTED_VALUE"""),"Jonathan Isaac")</f>
        <v>Jonathan Isaac</v>
      </c>
      <c r="D183">
        <f>IFERROR(__xludf.DUMMYFUNCTION("""COMPUTED_VALUE"""),30.0)</f>
        <v>30</v>
      </c>
      <c r="E183" t="str">
        <f>IFERROR(__xludf.DUMMYFUNCTION("""COMPUTED_VALUE"""),"SF,PF")</f>
        <v>SF,PF</v>
      </c>
      <c r="F183" s="53">
        <f>IFERROR(__xludf.DUMMYFUNCTION("""COMPUTED_VALUE"""),-4.549397208318661)</f>
        <v>-4.549397208</v>
      </c>
      <c r="G183" s="53">
        <f>IFERROR(__xludf.DUMMYFUNCTION("""COMPUTED_VALUE"""),-2.5539967170451083)</f>
        <v>-2.553996717</v>
      </c>
      <c r="H183" s="53">
        <f>IFERROR(__xludf.DUMMYFUNCTION("""COMPUTED_VALUE"""),1.9954004912735526)</f>
        <v>1.995400491</v>
      </c>
      <c r="I183" s="53">
        <f>IFERROR(__xludf.DUMMYFUNCTION("""COMPUTED_VALUE"""),7.6)</f>
        <v>7.6</v>
      </c>
      <c r="J183" s="53">
        <f>IFERROR(__xludf.DUMMYFUNCTION("""COMPUTED_VALUE"""),0.8)</f>
        <v>0.8</v>
      </c>
      <c r="K183" s="53">
        <f>IFERROR(__xludf.DUMMYFUNCTION("""COMPUTED_VALUE"""),6.1)</f>
        <v>6.1</v>
      </c>
      <c r="L183" s="53">
        <f>IFERROR(__xludf.DUMMYFUNCTION("""COMPUTED_VALUE"""),0.8)</f>
        <v>0.8</v>
      </c>
      <c r="M183" s="53">
        <f>IFERROR(__xludf.DUMMYFUNCTION("""COMPUTED_VALUE"""),1.3)</f>
        <v>1.3</v>
      </c>
      <c r="N183" s="53">
        <f>IFERROR(__xludf.DUMMYFUNCTION("""COMPUTED_VALUE"""),0.6)</f>
        <v>0.6</v>
      </c>
      <c r="O183" s="53">
        <f>IFERROR(__xludf.DUMMYFUNCTION("""COMPUTED_VALUE"""),41.09589041095891)</f>
        <v>41.09589041</v>
      </c>
      <c r="P183" s="53">
        <f>IFERROR(__xludf.DUMMYFUNCTION("""COMPUTED_VALUE"""),58.333333333333336)</f>
        <v>58.33333333</v>
      </c>
      <c r="Q183" s="53">
        <f>IFERROR(__xludf.DUMMYFUNCTION("""COMPUTED_VALUE"""),0.6)</f>
        <v>0.6</v>
      </c>
      <c r="R183" s="53">
        <f>IFERROR(__xludf.DUMMYFUNCTION("""COMPUTED_VALUE"""),-1.627403046828958)</f>
        <v>-1.627403047</v>
      </c>
      <c r="S183" s="53">
        <f>IFERROR(__xludf.DUMMYFUNCTION("""COMPUTED_VALUE"""),-0.7324347820514473)</f>
        <v>-0.7324347821</v>
      </c>
      <c r="T183" s="53">
        <f>IFERROR(__xludf.DUMMYFUNCTION("""COMPUTED_VALUE"""),0.0019513839266122224)</f>
        <v>0.001951383927</v>
      </c>
      <c r="U183" s="53">
        <f>IFERROR(__xludf.DUMMYFUNCTION("""COMPUTED_VALUE"""),-1.5525148979704735)</f>
        <v>-1.552514898</v>
      </c>
      <c r="V183" s="53">
        <f>IFERROR(__xludf.DUMMYFUNCTION("""COMPUTED_VALUE"""),0.6657790304411786)</f>
        <v>0.6657790304</v>
      </c>
      <c r="W183" s="53">
        <f>IFERROR(__xludf.DUMMYFUNCTION("""COMPUTED_VALUE"""),-0.13306671753405044)</f>
        <v>-0.1330667175</v>
      </c>
      <c r="X183" s="53">
        <f>IFERROR(__xludf.DUMMYFUNCTION("""COMPUTED_VALUE"""),-0.6199818684053451)</f>
        <v>-0.6199818684</v>
      </c>
      <c r="Y183" s="53">
        <f>IFERROR(__xludf.DUMMYFUNCTION("""COMPUTED_VALUE"""),-0.6167206305090159)</f>
        <v>-0.6167206305</v>
      </c>
      <c r="Z183" s="53">
        <f>IFERROR(__xludf.DUMMYFUNCTION("""COMPUTED_VALUE"""),0.43299176505743303)</f>
        <v>0.4329917651</v>
      </c>
      <c r="AA183" t="str">
        <f>IFERROR(__xludf.DUMMYFUNCTION("SUBSTITUTE(REGEXREPLACE(REGEXREPLACE(REGEXREPLACE(REGEXREPLACE(REGEXREPLACE(REGEXREPLACE(E183,"","",),IF(Projections!$U$3="""",""PG"",),),IF(Projections!$V$3="""",""SG"",),),IF(Projections!$W$3="""",""SF"",),),IF(Projections!$X$3="""",""PF"",),),IF(Projec"&amp;"tions!$Y$3="""",""C"",),),""/"","""")"),"SFPF")</f>
        <v>SFPF</v>
      </c>
    </row>
    <row r="184">
      <c r="B184">
        <f>IFERROR(__xludf.DUMMYFUNCTION("""COMPUTED_VALUE"""),172.0)</f>
        <v>172</v>
      </c>
      <c r="C184" t="str">
        <f>IFERROR(__xludf.DUMMYFUNCTION("""COMPUTED_VALUE"""),"Jose Alvarado")</f>
        <v>Jose Alvarado</v>
      </c>
      <c r="D184">
        <f>IFERROR(__xludf.DUMMYFUNCTION("""COMPUTED_VALUE"""),67.0)</f>
        <v>67</v>
      </c>
      <c r="E184" t="str">
        <f>IFERROR(__xludf.DUMMYFUNCTION("""COMPUTED_VALUE"""),"PG")</f>
        <v>PG</v>
      </c>
      <c r="F184" s="53">
        <f>IFERROR(__xludf.DUMMYFUNCTION("""COMPUTED_VALUE"""),-4.489300371367199)</f>
        <v>-4.489300371</v>
      </c>
      <c r="G184" s="53">
        <f>IFERROR(__xludf.DUMMYFUNCTION("""COMPUTED_VALUE"""),-2.55715561627916)</f>
        <v>-2.557155616</v>
      </c>
      <c r="H184" s="53">
        <f>IFERROR(__xludf.DUMMYFUNCTION("""COMPUTED_VALUE"""),1.9321447550880393)</f>
        <v>1.932144755</v>
      </c>
      <c r="I184" s="53">
        <f>IFERROR(__xludf.DUMMYFUNCTION("""COMPUTED_VALUE"""),8.5)</f>
        <v>8.5</v>
      </c>
      <c r="J184" s="53">
        <f>IFERROR(__xludf.DUMMYFUNCTION("""COMPUTED_VALUE"""),1.1)</f>
        <v>1.1</v>
      </c>
      <c r="K184" s="53">
        <f>IFERROR(__xludf.DUMMYFUNCTION("""COMPUTED_VALUE"""),2.3)</f>
        <v>2.3</v>
      </c>
      <c r="L184" s="53">
        <f>IFERROR(__xludf.DUMMYFUNCTION("""COMPUTED_VALUE"""),3.3)</f>
        <v>3.3</v>
      </c>
      <c r="M184" s="53">
        <f>IFERROR(__xludf.DUMMYFUNCTION("""COMPUTED_VALUE"""),1.3)</f>
        <v>1.3</v>
      </c>
      <c r="N184" s="53">
        <f>IFERROR(__xludf.DUMMYFUNCTION("""COMPUTED_VALUE"""),0.2)</f>
        <v>0.2</v>
      </c>
      <c r="O184" s="53">
        <f>IFERROR(__xludf.DUMMYFUNCTION("""COMPUTED_VALUE"""),42.66666666666667)</f>
        <v>42.66666667</v>
      </c>
      <c r="P184" s="53">
        <f>IFERROR(__xludf.DUMMYFUNCTION("""COMPUTED_VALUE"""),76.92307692307692)</f>
        <v>76.92307692</v>
      </c>
      <c r="Q184" s="53">
        <f>IFERROR(__xludf.DUMMYFUNCTION("""COMPUTED_VALUE"""),1.2)</f>
        <v>1.2</v>
      </c>
      <c r="R184" s="53">
        <f>IFERROR(__xludf.DUMMYFUNCTION("""COMPUTED_VALUE"""),-1.4757293075663351)</f>
        <v>-1.475729308</v>
      </c>
      <c r="S184" s="53">
        <f>IFERROR(__xludf.DUMMYFUNCTION("""COMPUTED_VALUE"""),-0.472296145963719)</f>
        <v>-0.472296146</v>
      </c>
      <c r="T184" s="53">
        <f>IFERROR(__xludf.DUMMYFUNCTION("""COMPUTED_VALUE"""),-1.5870326706003557)</f>
        <v>-1.587032671</v>
      </c>
      <c r="U184" s="53">
        <f>IFERROR(__xludf.DUMMYFUNCTION("""COMPUTED_VALUE"""),-0.27745338518263435)</f>
        <v>-0.2774533852</v>
      </c>
      <c r="V184" s="53">
        <f>IFERROR(__xludf.DUMMYFUNCTION("""COMPUTED_VALUE"""),0.6657790304411786)</f>
        <v>0.6657790304</v>
      </c>
      <c r="W184" s="53">
        <f>IFERROR(__xludf.DUMMYFUNCTION("""COMPUTED_VALUE"""),-0.6583300762210907)</f>
        <v>-0.6583300762</v>
      </c>
      <c r="X184" s="53">
        <f>IFERROR(__xludf.DUMMYFUNCTION("""COMPUTED_VALUE"""),-0.5192931627268467)</f>
        <v>-0.5192931627</v>
      </c>
      <c r="Y184" s="53">
        <f>IFERROR(__xludf.DUMMYFUNCTION("""COMPUTED_VALUE"""),-0.066546806128766)</f>
        <v>-0.06654680613</v>
      </c>
      <c r="Z184" s="53">
        <f>IFERROR(__xludf.DUMMYFUNCTION("""COMPUTED_VALUE"""),0.24671423706905354)</f>
        <v>0.2467142371</v>
      </c>
      <c r="AA184" t="str">
        <f>IFERROR(__xludf.DUMMYFUNCTION("SUBSTITUTE(REGEXREPLACE(REGEXREPLACE(REGEXREPLACE(REGEXREPLACE(REGEXREPLACE(REGEXREPLACE(E184,"","",),IF(Projections!$U$3="""",""PG"",),),IF(Projections!$V$3="""",""SG"",),),IF(Projections!$W$3="""",""SF"",),),IF(Projections!$X$3="""",""PF"",),),IF(Projec"&amp;"tions!$Y$3="""",""C"",),),""/"","""")"),"PG")</f>
        <v>PG</v>
      </c>
    </row>
    <row r="185">
      <c r="B185">
        <f>IFERROR(__xludf.DUMMYFUNCTION("""COMPUTED_VALUE"""),197.0)</f>
        <v>197</v>
      </c>
      <c r="C185" t="str">
        <f>IFERROR(__xludf.DUMMYFUNCTION("""COMPUTED_VALUE"""),"Larry Nance Jr.")</f>
        <v>Larry Nance Jr.</v>
      </c>
      <c r="D185">
        <f>IFERROR(__xludf.DUMMYFUNCTION("""COMPUTED_VALUE"""),65.0)</f>
        <v>65</v>
      </c>
      <c r="E185" t="str">
        <f>IFERROR(__xludf.DUMMYFUNCTION("""COMPUTED_VALUE"""),"PF,C")</f>
        <v>PF,C</v>
      </c>
      <c r="F185" s="53">
        <f>IFERROR(__xludf.DUMMYFUNCTION("""COMPUTED_VALUE"""),-5.060104792293665)</f>
        <v>-5.060104792</v>
      </c>
      <c r="G185" s="53">
        <f>IFERROR(__xludf.DUMMYFUNCTION("""COMPUTED_VALUE"""),-2.6084582027727183)</f>
        <v>-2.608458203</v>
      </c>
      <c r="H185" s="53">
        <f>IFERROR(__xludf.DUMMYFUNCTION("""COMPUTED_VALUE"""),2.451646589520947)</f>
        <v>2.45164659</v>
      </c>
      <c r="I185" s="53">
        <f>IFERROR(__xludf.DUMMYFUNCTION("""COMPUTED_VALUE"""),6.8)</f>
        <v>6.8</v>
      </c>
      <c r="J185" s="53">
        <f>IFERROR(__xludf.DUMMYFUNCTION("""COMPUTED_VALUE"""),0.3)</f>
        <v>0.3</v>
      </c>
      <c r="K185" s="53">
        <f>IFERROR(__xludf.DUMMYFUNCTION("""COMPUTED_VALUE"""),5.3)</f>
        <v>5.3</v>
      </c>
      <c r="L185" s="53">
        <f>IFERROR(__xludf.DUMMYFUNCTION("""COMPUTED_VALUE"""),1.8)</f>
        <v>1.8</v>
      </c>
      <c r="M185" s="53">
        <f>IFERROR(__xludf.DUMMYFUNCTION("""COMPUTED_VALUE"""),0.9)</f>
        <v>0.9</v>
      </c>
      <c r="N185" s="53">
        <f>IFERROR(__xludf.DUMMYFUNCTION("""COMPUTED_VALUE"""),0.5)</f>
        <v>0.5</v>
      </c>
      <c r="O185" s="53">
        <f>IFERROR(__xludf.DUMMYFUNCTION("""COMPUTED_VALUE"""),57.14285714285714)</f>
        <v>57.14285714</v>
      </c>
      <c r="P185" s="53">
        <f>IFERROR(__xludf.DUMMYFUNCTION("""COMPUTED_VALUE"""),66.66666666666667)</f>
        <v>66.66666667</v>
      </c>
      <c r="Q185" s="53">
        <f>IFERROR(__xludf.DUMMYFUNCTION("""COMPUTED_VALUE"""),0.7)</f>
        <v>0.7</v>
      </c>
      <c r="R185" s="53">
        <f>IFERROR(__xludf.DUMMYFUNCTION("""COMPUTED_VALUE"""),-1.7622241483957337)</f>
        <v>-1.762224148</v>
      </c>
      <c r="S185" s="53">
        <f>IFERROR(__xludf.DUMMYFUNCTION("""COMPUTED_VALUE"""),-1.1659991755309944)</f>
        <v>-1.165999176</v>
      </c>
      <c r="T185" s="53">
        <f>IFERROR(__xludf.DUMMYFUNCTION("""COMPUTED_VALUE"""),-0.33257157492117045)</f>
        <v>-0.3325715749</v>
      </c>
      <c r="U185" s="53">
        <f>IFERROR(__xludf.DUMMYFUNCTION("""COMPUTED_VALUE"""),-1.0424902928553377)</f>
        <v>-1.042490293</v>
      </c>
      <c r="V185" s="53">
        <f>IFERROR(__xludf.DUMMYFUNCTION("""COMPUTED_VALUE"""),-0.2064205727568726)</f>
        <v>-0.2064205728</v>
      </c>
      <c r="W185" s="53">
        <f>IFERROR(__xludf.DUMMYFUNCTION("""COMPUTED_VALUE"""),-0.2643825572058105)</f>
        <v>-0.2643825572</v>
      </c>
      <c r="X185" s="53">
        <f>IFERROR(__xludf.DUMMYFUNCTION("""COMPUTED_VALUE"""),0.369256727749228)</f>
        <v>0.3692567277</v>
      </c>
      <c r="Y185" s="53">
        <f>IFERROR(__xludf.DUMMYFUNCTION("""COMPUTED_VALUE"""),-0.36779626764446344)</f>
        <v>-0.3677962676</v>
      </c>
      <c r="Z185" s="53">
        <f>IFERROR(__xludf.DUMMYFUNCTION("""COMPUTED_VALUE"""),0.4019455103927031)</f>
        <v>0.4019455104</v>
      </c>
      <c r="AA185" t="str">
        <f>IFERROR(__xludf.DUMMYFUNCTION("SUBSTITUTE(REGEXREPLACE(REGEXREPLACE(REGEXREPLACE(REGEXREPLACE(REGEXREPLACE(REGEXREPLACE(E185,"","",),IF(Projections!$U$3="""",""PG"",),),IF(Projections!$V$3="""",""SG"",),),IF(Projections!$W$3="""",""SF"",),),IF(Projections!$X$3="""",""PF"",),),IF(Projec"&amp;"tions!$Y$3="""",""C"",),),""/"","""")"),"PFC")</f>
        <v>PFC</v>
      </c>
    </row>
    <row r="186">
      <c r="B186">
        <f>IFERROR(__xludf.DUMMYFUNCTION("""COMPUTED_VALUE"""),156.0)</f>
        <v>156</v>
      </c>
      <c r="C186" t="str">
        <f>IFERROR(__xludf.DUMMYFUNCTION("""COMPUTED_VALUE"""),"Jeremy Sochan")</f>
        <v>Jeremy Sochan</v>
      </c>
      <c r="D186">
        <f>IFERROR(__xludf.DUMMYFUNCTION("""COMPUTED_VALUE"""),66.0)</f>
        <v>66</v>
      </c>
      <c r="E186" t="str">
        <f>IFERROR(__xludf.DUMMYFUNCTION("""COMPUTED_VALUE"""),"PF")</f>
        <v>PF</v>
      </c>
      <c r="F186" s="53">
        <f>IFERROR(__xludf.DUMMYFUNCTION("""COMPUTED_VALUE"""),-3.785654727326651)</f>
        <v>-3.785654727</v>
      </c>
      <c r="G186" s="53">
        <f>IFERROR(__xludf.DUMMYFUNCTION("""COMPUTED_VALUE"""),-2.624780685514337)</f>
        <v>-2.624780686</v>
      </c>
      <c r="H186" s="53">
        <f>IFERROR(__xludf.DUMMYFUNCTION("""COMPUTED_VALUE"""),1.1608740418123138)</f>
        <v>1.160874042</v>
      </c>
      <c r="I186" s="53">
        <f>IFERROR(__xludf.DUMMYFUNCTION("""COMPUTED_VALUE"""),12.8)</f>
        <v>12.8</v>
      </c>
      <c r="J186" s="53">
        <f>IFERROR(__xludf.DUMMYFUNCTION("""COMPUTED_VALUE"""),0.8)</f>
        <v>0.8</v>
      </c>
      <c r="K186" s="53">
        <f>IFERROR(__xludf.DUMMYFUNCTION("""COMPUTED_VALUE"""),6.1)</f>
        <v>6.1</v>
      </c>
      <c r="L186" s="53">
        <f>IFERROR(__xludf.DUMMYFUNCTION("""COMPUTED_VALUE"""),2.9)</f>
        <v>2.9</v>
      </c>
      <c r="M186" s="53">
        <f>IFERROR(__xludf.DUMMYFUNCTION("""COMPUTED_VALUE"""),0.9)</f>
        <v>0.9</v>
      </c>
      <c r="N186" s="53">
        <f>IFERROR(__xludf.DUMMYFUNCTION("""COMPUTED_VALUE"""),0.5)</f>
        <v>0.5</v>
      </c>
      <c r="O186" s="53">
        <f>IFERROR(__xludf.DUMMYFUNCTION("""COMPUTED_VALUE"""),45.614035087719294)</f>
        <v>45.61403509</v>
      </c>
      <c r="P186" s="53">
        <f>IFERROR(__xludf.DUMMYFUNCTION("""COMPUTED_VALUE"""),70.83333333333334)</f>
        <v>70.83333333</v>
      </c>
      <c r="Q186" s="53">
        <f>IFERROR(__xludf.DUMMYFUNCTION("""COMPUTED_VALUE"""),2.0)</f>
        <v>2</v>
      </c>
      <c r="R186" s="53">
        <f>IFERROR(__xludf.DUMMYFUNCTION("""COMPUTED_VALUE"""),-0.7510658866449142)</f>
        <v>-0.7510658866</v>
      </c>
      <c r="S186" s="53">
        <f>IFERROR(__xludf.DUMMYFUNCTION("""COMPUTED_VALUE"""),-0.7324347820514473)</f>
        <v>-0.7324347821</v>
      </c>
      <c r="T186" s="53">
        <f>IFERROR(__xludf.DUMMYFUNCTION("""COMPUTED_VALUE"""),0.0019513839266122224)</f>
        <v>0.001951383927</v>
      </c>
      <c r="U186" s="53">
        <f>IFERROR(__xludf.DUMMYFUNCTION("""COMPUTED_VALUE"""),-0.48146322722868856)</f>
        <v>-0.4814632272</v>
      </c>
      <c r="V186" s="53">
        <f>IFERROR(__xludf.DUMMYFUNCTION("""COMPUTED_VALUE"""),-0.2064205727568726)</f>
        <v>-0.2064205728</v>
      </c>
      <c r="W186" s="53">
        <f>IFERROR(__xludf.DUMMYFUNCTION("""COMPUTED_VALUE"""),-0.2643825572058105)</f>
        <v>-0.2643825572</v>
      </c>
      <c r="X186" s="53">
        <f>IFERROR(__xludf.DUMMYFUNCTION("""COMPUTED_VALUE"""),-0.4537069575249699)</f>
        <v>-0.4537069575</v>
      </c>
      <c r="Y186" s="53">
        <f>IFERROR(__xludf.DUMMYFUNCTION("""COMPUTED_VALUE"""),-0.48666817242437466)</f>
        <v>-0.4866681724</v>
      </c>
      <c r="Z186" s="53">
        <f>IFERROR(__xludf.DUMMYFUNCTION("""COMPUTED_VALUE"""),-0.0016558002487857576)</f>
        <v>-0.001655800249</v>
      </c>
      <c r="AA186" t="str">
        <f>IFERROR(__xludf.DUMMYFUNCTION("SUBSTITUTE(REGEXREPLACE(REGEXREPLACE(REGEXREPLACE(REGEXREPLACE(REGEXREPLACE(REGEXREPLACE(E186,"","",),IF(Projections!$U$3="""",""PG"",),),IF(Projections!$V$3="""",""SG"",),),IF(Projections!$W$3="""",""SF"",),),IF(Projections!$X$3="""",""PF"",),),IF(Projec"&amp;"tions!$Y$3="""",""C"",),),""/"","""")"),"PF")</f>
        <v>PF</v>
      </c>
    </row>
    <row r="187">
      <c r="B187">
        <f>IFERROR(__xludf.DUMMYFUNCTION("""COMPUTED_VALUE"""),188.0)</f>
        <v>188</v>
      </c>
      <c r="C187" t="str">
        <f>IFERROR(__xludf.DUMMYFUNCTION("""COMPUTED_VALUE"""),"Luke Kennard")</f>
        <v>Luke Kennard</v>
      </c>
      <c r="D187">
        <f>IFERROR(__xludf.DUMMYFUNCTION("""COMPUTED_VALUE"""),64.0)</f>
        <v>64</v>
      </c>
      <c r="E187" t="str">
        <f>IFERROR(__xludf.DUMMYFUNCTION("""COMPUTED_VALUE"""),"PG,SG")</f>
        <v>PG,SG</v>
      </c>
      <c r="F187" s="53">
        <f>IFERROR(__xludf.DUMMYFUNCTION("""COMPUTED_VALUE"""),-4.8451258172452265)</f>
        <v>-4.845125817</v>
      </c>
      <c r="G187" s="53">
        <f>IFERROR(__xludf.DUMMYFUNCTION("""COMPUTED_VALUE"""),-2.6811220741058372)</f>
        <v>-2.681122074</v>
      </c>
      <c r="H187" s="53">
        <f>IFERROR(__xludf.DUMMYFUNCTION("""COMPUTED_VALUE"""),2.1640037431393893)</f>
        <v>2.164003743</v>
      </c>
      <c r="I187" s="53">
        <f>IFERROR(__xludf.DUMMYFUNCTION("""COMPUTED_VALUE"""),10.7)</f>
        <v>10.7</v>
      </c>
      <c r="J187" s="53">
        <f>IFERROR(__xludf.DUMMYFUNCTION("""COMPUTED_VALUE"""),2.5)</f>
        <v>2.5</v>
      </c>
      <c r="K187" s="53">
        <f>IFERROR(__xludf.DUMMYFUNCTION("""COMPUTED_VALUE"""),3.0)</f>
        <v>3</v>
      </c>
      <c r="L187" s="53">
        <f>IFERROR(__xludf.DUMMYFUNCTION("""COMPUTED_VALUE"""),1.8)</f>
        <v>1.8</v>
      </c>
      <c r="M187" s="53">
        <f>IFERROR(__xludf.DUMMYFUNCTION("""COMPUTED_VALUE"""),0.6)</f>
        <v>0.6</v>
      </c>
      <c r="N187" s="53">
        <f>IFERROR(__xludf.DUMMYFUNCTION("""COMPUTED_VALUE"""),0.1)</f>
        <v>0.1</v>
      </c>
      <c r="O187" s="53">
        <f>IFERROR(__xludf.DUMMYFUNCTION("""COMPUTED_VALUE"""),46.835443037974684)</f>
        <v>46.83544304</v>
      </c>
      <c r="P187" s="53">
        <f>IFERROR(__xludf.DUMMYFUNCTION("""COMPUTED_VALUE"""),88.8888888888889)</f>
        <v>88.88888889</v>
      </c>
      <c r="Q187" s="53">
        <f>IFERROR(__xludf.DUMMYFUNCTION("""COMPUTED_VALUE"""),0.8)</f>
        <v>0.8</v>
      </c>
      <c r="R187" s="53">
        <f>IFERROR(__xludf.DUMMYFUNCTION("""COMPUTED_VALUE"""),-1.1049712782577013)</f>
        <v>-1.104971278</v>
      </c>
      <c r="S187" s="53">
        <f>IFERROR(__xludf.DUMMYFUNCTION("""COMPUTED_VALUE"""),0.7416841557790128)</f>
        <v>0.7416841558</v>
      </c>
      <c r="T187" s="53">
        <f>IFERROR(__xludf.DUMMYFUNCTION("""COMPUTED_VALUE"""),-1.2943250816085456)</f>
        <v>-1.294325082</v>
      </c>
      <c r="U187" s="53">
        <f>IFERROR(__xludf.DUMMYFUNCTION("""COMPUTED_VALUE"""),-1.0424902928553377)</f>
        <v>-1.042490293</v>
      </c>
      <c r="V187" s="53">
        <f>IFERROR(__xludf.DUMMYFUNCTION("""COMPUTED_VALUE"""),-0.860570275155411)</f>
        <v>-0.8605702752</v>
      </c>
      <c r="W187" s="53">
        <f>IFERROR(__xludf.DUMMYFUNCTION("""COMPUTED_VALUE"""),-0.7896459158928509)</f>
        <v>-0.7896459159</v>
      </c>
      <c r="X187" s="53">
        <f>IFERROR(__xludf.DUMMYFUNCTION("""COMPUTED_VALUE"""),-0.21802924844727922)</f>
        <v>-0.2180292484</v>
      </c>
      <c r="Y187" s="53">
        <f>IFERROR(__xludf.DUMMYFUNCTION("""COMPUTED_VALUE"""),0.22200152499575718)</f>
        <v>0.222001525</v>
      </c>
      <c r="Z187" s="53">
        <f>IFERROR(__xludf.DUMMYFUNCTION("""COMPUTED_VALUE"""),0.37089925572797316)</f>
        <v>0.3708992557</v>
      </c>
      <c r="AA187" t="str">
        <f>IFERROR(__xludf.DUMMYFUNCTION("SUBSTITUTE(REGEXREPLACE(REGEXREPLACE(REGEXREPLACE(REGEXREPLACE(REGEXREPLACE(REGEXREPLACE(E187,"","",),IF(Projections!$U$3="""",""PG"",),),IF(Projections!$V$3="""",""SG"",),),IF(Projections!$W$3="""",""SF"",),),IF(Projections!$X$3="""",""PF"",),),IF(Projec"&amp;"tions!$Y$3="""",""C"",),),""/"","""")"),"PGSG")</f>
        <v>PGSG</v>
      </c>
    </row>
    <row r="188">
      <c r="B188">
        <f>IFERROR(__xludf.DUMMYFUNCTION("""COMPUTED_VALUE"""),193.0)</f>
        <v>193</v>
      </c>
      <c r="C188" t="str">
        <f>IFERROR(__xludf.DUMMYFUNCTION("""COMPUTED_VALUE"""),"Maxi Kleber")</f>
        <v>Maxi Kleber</v>
      </c>
      <c r="D188">
        <f>IFERROR(__xludf.DUMMYFUNCTION("""COMPUTED_VALUE"""),60.0)</f>
        <v>60</v>
      </c>
      <c r="E188" t="str">
        <f>IFERROR(__xludf.DUMMYFUNCTION("""COMPUTED_VALUE"""),"PF,C")</f>
        <v>PF,C</v>
      </c>
      <c r="F188" s="53">
        <f>IFERROR(__xludf.DUMMYFUNCTION("""COMPUTED_VALUE"""),-5.007013478956876)</f>
        <v>-5.007013479</v>
      </c>
      <c r="G188" s="53">
        <f>IFERROR(__xludf.DUMMYFUNCTION("""COMPUTED_VALUE"""),-2.692061470256799)</f>
        <v>-2.69206147</v>
      </c>
      <c r="H188" s="53">
        <f>IFERROR(__xludf.DUMMYFUNCTION("""COMPUTED_VALUE"""),2.3149520087000766)</f>
        <v>2.314952009</v>
      </c>
      <c r="I188" s="53">
        <f>IFERROR(__xludf.DUMMYFUNCTION("""COMPUTED_VALUE"""),7.4)</f>
        <v>7.4</v>
      </c>
      <c r="J188" s="53">
        <f>IFERROR(__xludf.DUMMYFUNCTION("""COMPUTED_VALUE"""),1.3)</f>
        <v>1.3</v>
      </c>
      <c r="K188" s="53">
        <f>IFERROR(__xludf.DUMMYFUNCTION("""COMPUTED_VALUE"""),5.3)</f>
        <v>5.3</v>
      </c>
      <c r="L188" s="53">
        <f>IFERROR(__xludf.DUMMYFUNCTION("""COMPUTED_VALUE"""),1.3)</f>
        <v>1.3</v>
      </c>
      <c r="M188" s="53">
        <f>IFERROR(__xludf.DUMMYFUNCTION("""COMPUTED_VALUE"""),0.5)</f>
        <v>0.5</v>
      </c>
      <c r="N188" s="53">
        <f>IFERROR(__xludf.DUMMYFUNCTION("""COMPUTED_VALUE"""),1.0)</f>
        <v>1</v>
      </c>
      <c r="O188" s="53">
        <f>IFERROR(__xludf.DUMMYFUNCTION("""COMPUTED_VALUE"""),44.827586206896555)</f>
        <v>44.82758621</v>
      </c>
      <c r="P188" s="53">
        <f>IFERROR(__xludf.DUMMYFUNCTION("""COMPUTED_VALUE"""),72.72727272727273)</f>
        <v>72.72727273</v>
      </c>
      <c r="Q188" s="53">
        <f>IFERROR(__xludf.DUMMYFUNCTION("""COMPUTED_VALUE"""),0.8)</f>
        <v>0.8</v>
      </c>
      <c r="R188" s="53">
        <f>IFERROR(__xludf.DUMMYFUNCTION("""COMPUTED_VALUE"""),-1.661108322220652)</f>
        <v>-1.661108322</v>
      </c>
      <c r="S188" s="53">
        <f>IFERROR(__xludf.DUMMYFUNCTION("""COMPUTED_VALUE"""),-0.2988703885719002)</f>
        <v>-0.2988703886</v>
      </c>
      <c r="T188" s="53">
        <f>IFERROR(__xludf.DUMMYFUNCTION("""COMPUTED_VALUE"""),-0.33257157492117045)</f>
        <v>-0.3325715749</v>
      </c>
      <c r="U188" s="53">
        <f>IFERROR(__xludf.DUMMYFUNCTION("""COMPUTED_VALUE"""),-1.2975025954129054)</f>
        <v>-1.297502595</v>
      </c>
      <c r="V188" s="53">
        <f>IFERROR(__xludf.DUMMYFUNCTION("""COMPUTED_VALUE"""),-1.0786201759549239)</f>
        <v>-1.078620176</v>
      </c>
      <c r="W188" s="53">
        <f>IFERROR(__xludf.DUMMYFUNCTION("""COMPUTED_VALUE"""),0.39219664115299)</f>
        <v>0.3921966412</v>
      </c>
      <c r="X188" s="53">
        <f>IFERROR(__xludf.DUMMYFUNCTION("""COMPUTED_VALUE"""),-0.27639562884580626)</f>
        <v>-0.2763956288</v>
      </c>
      <c r="Y188" s="53">
        <f>IFERROR(__xludf.DUMMYFUNCTION("""COMPUTED_VALUE"""),-0.1711970034310567)</f>
        <v>-0.1711970034</v>
      </c>
      <c r="Z188" s="53">
        <f>IFERROR(__xludf.DUMMYFUNCTION("""COMPUTED_VALUE"""),0.37089925572797316)</f>
        <v>0.3708992557</v>
      </c>
      <c r="AA188" t="str">
        <f>IFERROR(__xludf.DUMMYFUNCTION("SUBSTITUTE(REGEXREPLACE(REGEXREPLACE(REGEXREPLACE(REGEXREPLACE(REGEXREPLACE(REGEXREPLACE(E188,"","",),IF(Projections!$U$3="""",""PG"",),),IF(Projections!$V$3="""",""SG"",),),IF(Projections!$W$3="""",""SF"",),),IF(Projections!$X$3="""",""PF"",),),IF(Projec"&amp;"tions!$Y$3="""",""C"",),),""/"","""")"),"PFC")</f>
        <v>PFC</v>
      </c>
    </row>
    <row r="189">
      <c r="B189">
        <f>IFERROR(__xludf.DUMMYFUNCTION("""COMPUTED_VALUE"""),181.0)</f>
        <v>181</v>
      </c>
      <c r="C189" t="str">
        <f>IFERROR(__xludf.DUMMYFUNCTION("""COMPUTED_VALUE"""),"RJ Barrett")</f>
        <v>RJ Barrett</v>
      </c>
      <c r="D189">
        <f>IFERROR(__xludf.DUMMYFUNCTION("""COMPUTED_VALUE"""),72.0)</f>
        <v>72</v>
      </c>
      <c r="E189" t="str">
        <f>IFERROR(__xludf.DUMMYFUNCTION("""COMPUTED_VALUE"""),"SG,SF")</f>
        <v>SG,SF</v>
      </c>
      <c r="F189" s="53">
        <f>IFERROR(__xludf.DUMMYFUNCTION("""COMPUTED_VALUE"""),-4.668507619739407)</f>
        <v>-4.66850762</v>
      </c>
      <c r="G189" s="53">
        <f>IFERROR(__xludf.DUMMYFUNCTION("""COMPUTED_VALUE"""),-2.692801223944493)</f>
        <v>-2.692801224</v>
      </c>
      <c r="H189" s="53">
        <f>IFERROR(__xludf.DUMMYFUNCTION("""COMPUTED_VALUE"""),1.9757063957949144)</f>
        <v>1.975706396</v>
      </c>
      <c r="I189" s="53">
        <f>IFERROR(__xludf.DUMMYFUNCTION("""COMPUTED_VALUE"""),19.7)</f>
        <v>19.7</v>
      </c>
      <c r="J189" s="53">
        <f>IFERROR(__xludf.DUMMYFUNCTION("""COMPUTED_VALUE"""),1.8)</f>
        <v>1.8</v>
      </c>
      <c r="K189" s="53">
        <f>IFERROR(__xludf.DUMMYFUNCTION("""COMPUTED_VALUE"""),5.4)</f>
        <v>5.4</v>
      </c>
      <c r="L189" s="53">
        <f>IFERROR(__xludf.DUMMYFUNCTION("""COMPUTED_VALUE"""),2.8)</f>
        <v>2.8</v>
      </c>
      <c r="M189" s="53">
        <f>IFERROR(__xludf.DUMMYFUNCTION("""COMPUTED_VALUE"""),0.5)</f>
        <v>0.5</v>
      </c>
      <c r="N189" s="53">
        <f>IFERROR(__xludf.DUMMYFUNCTION("""COMPUTED_VALUE"""),0.2)</f>
        <v>0.2</v>
      </c>
      <c r="O189" s="53">
        <f>IFERROR(__xludf.DUMMYFUNCTION("""COMPUTED_VALUE"""),43.125)</f>
        <v>43.125</v>
      </c>
      <c r="P189" s="53">
        <f>IFERROR(__xludf.DUMMYFUNCTION("""COMPUTED_VALUE"""),74.07407407407408)</f>
        <v>74.07407407</v>
      </c>
      <c r="Q189" s="53">
        <f>IFERROR(__xludf.DUMMYFUNCTION("""COMPUTED_VALUE"""),2.2)</f>
        <v>2.2</v>
      </c>
      <c r="R189" s="53">
        <f>IFERROR(__xludf.DUMMYFUNCTION("""COMPUTED_VALUE"""),0.41176611436852784)</f>
        <v>0.4117661144</v>
      </c>
      <c r="S189" s="53">
        <f>IFERROR(__xludf.DUMMYFUNCTION("""COMPUTED_VALUE"""),0.13469400490764694)</f>
        <v>0.1346940049</v>
      </c>
      <c r="T189" s="53">
        <f>IFERROR(__xludf.DUMMYFUNCTION("""COMPUTED_VALUE"""),-0.2907562050651974)</f>
        <v>-0.2907562051</v>
      </c>
      <c r="U189" s="53">
        <f>IFERROR(__xludf.DUMMYFUNCTION("""COMPUTED_VALUE"""),-0.5324656877402022)</f>
        <v>-0.5324656877</v>
      </c>
      <c r="V189" s="53">
        <f>IFERROR(__xludf.DUMMYFUNCTION("""COMPUTED_VALUE"""),-1.0786201759549239)</f>
        <v>-1.078620176</v>
      </c>
      <c r="W189" s="53">
        <f>IFERROR(__xludf.DUMMYFUNCTION("""COMPUTED_VALUE"""),-0.6583300762210907)</f>
        <v>-0.6583300762</v>
      </c>
      <c r="X189" s="53">
        <f>IFERROR(__xludf.DUMMYFUNCTION("""COMPUTED_VALUE"""),-1.0345753116740544)</f>
        <v>-1.034575312</v>
      </c>
      <c r="Y189" s="53">
        <f>IFERROR(__xludf.DUMMYFUNCTION("""COMPUTED_VALUE"""),-0.6593857529418776)</f>
        <v>-0.6593857529</v>
      </c>
      <c r="Z189" s="53">
        <f>IFERROR(__xludf.DUMMYFUNCTION("""COMPUTED_VALUE"""),-0.06374830957824563)</f>
        <v>-0.06374830958</v>
      </c>
      <c r="AA189" t="str">
        <f>IFERROR(__xludf.DUMMYFUNCTION("SUBSTITUTE(REGEXREPLACE(REGEXREPLACE(REGEXREPLACE(REGEXREPLACE(REGEXREPLACE(REGEXREPLACE(E189,"","",),IF(Projections!$U$3="""",""PG"",),),IF(Projections!$V$3="""",""SG"",),),IF(Projections!$W$3="""",""SF"",),),IF(Projections!$X$3="""",""PF"",),),IF(Projec"&amp;"tions!$Y$3="""",""C"",),),""/"","""")"),"SGSF")</f>
        <v>SGSF</v>
      </c>
    </row>
    <row r="190">
      <c r="B190">
        <f>IFERROR(__xludf.DUMMYFUNCTION("""COMPUTED_VALUE"""),177.0)</f>
        <v>177</v>
      </c>
      <c r="C190" t="str">
        <f>IFERROR(__xludf.DUMMYFUNCTION("""COMPUTED_VALUE"""),"Dillon Brooks")</f>
        <v>Dillon Brooks</v>
      </c>
      <c r="D190">
        <f>IFERROR(__xludf.DUMMYFUNCTION("""COMPUTED_VALUE"""),70.0)</f>
        <v>70</v>
      </c>
      <c r="E190" t="str">
        <f>IFERROR(__xludf.DUMMYFUNCTION("""COMPUTED_VALUE"""),"SG,SF")</f>
        <v>SG,SF</v>
      </c>
      <c r="F190" s="53">
        <f>IFERROR(__xludf.DUMMYFUNCTION("""COMPUTED_VALUE"""),-4.586222253769518)</f>
        <v>-4.586222254</v>
      </c>
      <c r="G190" s="53">
        <f>IFERROR(__xludf.DUMMYFUNCTION("""COMPUTED_VALUE"""),-2.7260218956304083)</f>
        <v>-2.726021896</v>
      </c>
      <c r="H190" s="53">
        <f>IFERROR(__xludf.DUMMYFUNCTION("""COMPUTED_VALUE"""),1.8602003581391093)</f>
        <v>1.860200358</v>
      </c>
      <c r="I190" s="53">
        <f>IFERROR(__xludf.DUMMYFUNCTION("""COMPUTED_VALUE"""),15.2)</f>
        <v>15.2</v>
      </c>
      <c r="J190" s="53">
        <f>IFERROR(__xludf.DUMMYFUNCTION("""COMPUTED_VALUE"""),1.8)</f>
        <v>1.8</v>
      </c>
      <c r="K190" s="53">
        <f>IFERROR(__xludf.DUMMYFUNCTION("""COMPUTED_VALUE"""),3.2)</f>
        <v>3.2</v>
      </c>
      <c r="L190" s="53">
        <f>IFERROR(__xludf.DUMMYFUNCTION("""COMPUTED_VALUE"""),2.6)</f>
        <v>2.6</v>
      </c>
      <c r="M190" s="53">
        <f>IFERROR(__xludf.DUMMYFUNCTION("""COMPUTED_VALUE"""),0.9)</f>
        <v>0.9</v>
      </c>
      <c r="N190" s="53">
        <f>IFERROR(__xludf.DUMMYFUNCTION("""COMPUTED_VALUE"""),0.2)</f>
        <v>0.2</v>
      </c>
      <c r="O190" s="53">
        <f>IFERROR(__xludf.DUMMYFUNCTION("""COMPUTED_VALUE"""),40.714285714285715)</f>
        <v>40.71428571</v>
      </c>
      <c r="P190" s="53">
        <f>IFERROR(__xludf.DUMMYFUNCTION("""COMPUTED_VALUE"""),79.16666666666666)</f>
        <v>79.16666667</v>
      </c>
      <c r="Q190" s="53">
        <f>IFERROR(__xludf.DUMMYFUNCTION("""COMPUTED_VALUE"""),1.4)</f>
        <v>1.4</v>
      </c>
      <c r="R190" s="53">
        <f>IFERROR(__xludf.DUMMYFUNCTION("""COMPUTED_VALUE"""),-0.34660258194458676)</f>
        <v>-0.3466025819</v>
      </c>
      <c r="S190" s="53">
        <f>IFERROR(__xludf.DUMMYFUNCTION("""COMPUTED_VALUE"""),0.13469400490764694)</f>
        <v>0.1346940049</v>
      </c>
      <c r="T190" s="53">
        <f>IFERROR(__xludf.DUMMYFUNCTION("""COMPUTED_VALUE"""),-1.2106943418965999)</f>
        <v>-1.210694342</v>
      </c>
      <c r="U190" s="53">
        <f>IFERROR(__xludf.DUMMYFUNCTION("""COMPUTED_VALUE"""),-0.6344706087632292)</f>
        <v>-0.6344706088</v>
      </c>
      <c r="V190" s="53">
        <f>IFERROR(__xludf.DUMMYFUNCTION("""COMPUTED_VALUE"""),-0.2064205727568726)</f>
        <v>-0.2064205728</v>
      </c>
      <c r="W190" s="53">
        <f>IFERROR(__xludf.DUMMYFUNCTION("""COMPUTED_VALUE"""),-0.6583300762210907)</f>
        <v>-0.6583300762</v>
      </c>
      <c r="X190" s="53">
        <f>IFERROR(__xludf.DUMMYFUNCTION("""COMPUTED_VALUE"""),-1.2423703450784742)</f>
        <v>-1.242370345</v>
      </c>
      <c r="Y190" s="53">
        <f>IFERROR(__xludf.DUMMYFUNCTION("""COMPUTED_VALUE"""),0.011180553304729612)</f>
        <v>0.0111805533</v>
      </c>
      <c r="Z190" s="53">
        <f>IFERROR(__xludf.DUMMYFUNCTION("""COMPUTED_VALUE"""),0.18462172773959373)</f>
        <v>0.1846217277</v>
      </c>
      <c r="AA190" t="str">
        <f>IFERROR(__xludf.DUMMYFUNCTION("SUBSTITUTE(REGEXREPLACE(REGEXREPLACE(REGEXREPLACE(REGEXREPLACE(REGEXREPLACE(REGEXREPLACE(E190,"","",),IF(Projections!$U$3="""",""PG"",),),IF(Projections!$V$3="""",""SG"",),),IF(Projections!$W$3="""",""SF"",),),IF(Projections!$X$3="""",""PF"",),),IF(Projec"&amp;"tions!$Y$3="""",""C"",),),""/"","""")"),"SGSF")</f>
        <v>SGSF</v>
      </c>
    </row>
    <row r="191">
      <c r="B191">
        <f>IFERROR(__xludf.DUMMYFUNCTION("""COMPUTED_VALUE"""),184.0)</f>
        <v>184</v>
      </c>
      <c r="C191" t="str">
        <f>IFERROR(__xludf.DUMMYFUNCTION("""COMPUTED_VALUE"""),"Grant Williams")</f>
        <v>Grant Williams</v>
      </c>
      <c r="D191">
        <f>IFERROR(__xludf.DUMMYFUNCTION("""COMPUTED_VALUE"""),72.0)</f>
        <v>72</v>
      </c>
      <c r="E191" t="str">
        <f>IFERROR(__xludf.DUMMYFUNCTION("""COMPUTED_VALUE"""),"PF")</f>
        <v>PF</v>
      </c>
      <c r="F191" s="53">
        <f>IFERROR(__xludf.DUMMYFUNCTION("""COMPUTED_VALUE"""),-4.756583345703391)</f>
        <v>-4.756583346</v>
      </c>
      <c r="G191" s="53">
        <f>IFERROR(__xludf.DUMMYFUNCTION("""COMPUTED_VALUE"""),-2.7270971650754032)</f>
        <v>-2.727097165</v>
      </c>
      <c r="H191" s="53">
        <f>IFERROR(__xludf.DUMMYFUNCTION("""COMPUTED_VALUE"""),2.029486180627988)</f>
        <v>2.029486181</v>
      </c>
      <c r="I191" s="53">
        <f>IFERROR(__xludf.DUMMYFUNCTION("""COMPUTED_VALUE"""),9.0)</f>
        <v>9</v>
      </c>
      <c r="J191" s="53">
        <f>IFERROR(__xludf.DUMMYFUNCTION("""COMPUTED_VALUE"""),1.6)</f>
        <v>1.6</v>
      </c>
      <c r="K191" s="53">
        <f>IFERROR(__xludf.DUMMYFUNCTION("""COMPUTED_VALUE"""),4.6)</f>
        <v>4.6</v>
      </c>
      <c r="L191" s="53">
        <f>IFERROR(__xludf.DUMMYFUNCTION("""COMPUTED_VALUE"""),1.5)</f>
        <v>1.5</v>
      </c>
      <c r="M191" s="53">
        <f>IFERROR(__xludf.DUMMYFUNCTION("""COMPUTED_VALUE"""),0.6)</f>
        <v>0.6</v>
      </c>
      <c r="N191" s="53">
        <f>IFERROR(__xludf.DUMMYFUNCTION("""COMPUTED_VALUE"""),0.6)</f>
        <v>0.6</v>
      </c>
      <c r="O191" s="53">
        <f>IFERROR(__xludf.DUMMYFUNCTION("""COMPUTED_VALUE"""),45.45454545454546)</f>
        <v>45.45454545</v>
      </c>
      <c r="P191" s="53">
        <f>IFERROR(__xludf.DUMMYFUNCTION("""COMPUTED_VALUE"""),81.25)</f>
        <v>81.25</v>
      </c>
      <c r="Q191" s="53">
        <f>IFERROR(__xludf.DUMMYFUNCTION("""COMPUTED_VALUE"""),1.0)</f>
        <v>1</v>
      </c>
      <c r="R191" s="53">
        <f>IFERROR(__xludf.DUMMYFUNCTION("""COMPUTED_VALUE"""),-1.3914661190871)</f>
        <v>-1.391466119</v>
      </c>
      <c r="S191" s="53">
        <f>IFERROR(__xludf.DUMMYFUNCTION("""COMPUTED_VALUE"""),-0.03873175248417188)</f>
        <v>-0.03873175248</v>
      </c>
      <c r="T191" s="53">
        <f>IFERROR(__xludf.DUMMYFUNCTION("""COMPUTED_VALUE"""),-0.6252791639129804)</f>
        <v>-0.6252791639</v>
      </c>
      <c r="U191" s="53">
        <f>IFERROR(__xludf.DUMMYFUNCTION("""COMPUTED_VALUE"""),-1.1954976743898784)</f>
        <v>-1.195497674</v>
      </c>
      <c r="V191" s="53">
        <f>IFERROR(__xludf.DUMMYFUNCTION("""COMPUTED_VALUE"""),-0.860570275155411)</f>
        <v>-0.8605702752</v>
      </c>
      <c r="W191" s="53">
        <f>IFERROR(__xludf.DUMMYFUNCTION("""COMPUTED_VALUE"""),-0.13306671753405044)</f>
        <v>-0.1330667175</v>
      </c>
      <c r="X191" s="53">
        <f>IFERROR(__xludf.DUMMYFUNCTION("""COMPUTED_VALUE"""),-0.27318681782209486)</f>
        <v>-0.2731868178</v>
      </c>
      <c r="Y191" s="53">
        <f>IFERROR(__xludf.DUMMYFUNCTION("""COMPUTED_VALUE"""),0.0904284898246707)</f>
        <v>0.09042848982</v>
      </c>
      <c r="Z191" s="53">
        <f>IFERROR(__xludf.DUMMYFUNCTION("""COMPUTED_VALUE"""),0.30880674639851335)</f>
        <v>0.3088067464</v>
      </c>
      <c r="AA191" t="str">
        <f>IFERROR(__xludf.DUMMYFUNCTION("SUBSTITUTE(REGEXREPLACE(REGEXREPLACE(REGEXREPLACE(REGEXREPLACE(REGEXREPLACE(REGEXREPLACE(E191,"","",),IF(Projections!$U$3="""",""PG"",),),IF(Projections!$V$3="""",""SG"",),),IF(Projections!$W$3="""",""SF"",),),IF(Projections!$X$3="""",""PF"",),),IF(Projec"&amp;"tions!$Y$3="""",""C"",),),""/"","""")"),"PF")</f>
        <v>PF</v>
      </c>
    </row>
    <row r="192">
      <c r="B192">
        <f>IFERROR(__xludf.DUMMYFUNCTION("""COMPUTED_VALUE"""),191.0)</f>
        <v>191</v>
      </c>
      <c r="C192" t="str">
        <f>IFERROR(__xludf.DUMMYFUNCTION("""COMPUTED_VALUE"""),"Corey Kispert")</f>
        <v>Corey Kispert</v>
      </c>
      <c r="D192">
        <f>IFERROR(__xludf.DUMMYFUNCTION("""COMPUTED_VALUE"""),74.0)</f>
        <v>74</v>
      </c>
      <c r="E192" t="str">
        <f>IFERROR(__xludf.DUMMYFUNCTION("""COMPUTED_VALUE"""),"SG,SF")</f>
        <v>SG,SF</v>
      </c>
      <c r="F192" s="53">
        <f>IFERROR(__xludf.DUMMYFUNCTION("""COMPUTED_VALUE"""),-4.913803622955488)</f>
        <v>-4.913803623</v>
      </c>
      <c r="G192" s="53">
        <f>IFERROR(__xludf.DUMMYFUNCTION("""COMPUTED_VALUE"""),-2.7618127171400486)</f>
        <v>-2.761812717</v>
      </c>
      <c r="H192" s="53">
        <f>IFERROR(__xludf.DUMMYFUNCTION("""COMPUTED_VALUE"""),2.151990905815439)</f>
        <v>2.151990906</v>
      </c>
      <c r="I192" s="53">
        <f>IFERROR(__xludf.DUMMYFUNCTION("""COMPUTED_VALUE"""),11.2)</f>
        <v>11.2</v>
      </c>
      <c r="J192" s="53">
        <f>IFERROR(__xludf.DUMMYFUNCTION("""COMPUTED_VALUE"""),2.3)</f>
        <v>2.3</v>
      </c>
      <c r="K192" s="53">
        <f>IFERROR(__xludf.DUMMYFUNCTION("""COMPUTED_VALUE"""),3.1)</f>
        <v>3.1</v>
      </c>
      <c r="L192" s="53">
        <f>IFERROR(__xludf.DUMMYFUNCTION("""COMPUTED_VALUE"""),1.3)</f>
        <v>1.3</v>
      </c>
      <c r="M192" s="53">
        <f>IFERROR(__xludf.DUMMYFUNCTION("""COMPUTED_VALUE"""),0.5)</f>
        <v>0.5</v>
      </c>
      <c r="N192" s="53">
        <f>IFERROR(__xludf.DUMMYFUNCTION("""COMPUTED_VALUE"""),0.2)</f>
        <v>0.2</v>
      </c>
      <c r="O192" s="53">
        <f>IFERROR(__xludf.DUMMYFUNCTION("""COMPUTED_VALUE"""),49.38271604938272)</f>
        <v>49.38271605</v>
      </c>
      <c r="P192" s="53">
        <f>IFERROR(__xludf.DUMMYFUNCTION("""COMPUTED_VALUE"""),90.9090909090909)</f>
        <v>90.90909091</v>
      </c>
      <c r="Q192" s="53">
        <f>IFERROR(__xludf.DUMMYFUNCTION("""COMPUTED_VALUE"""),0.8)</f>
        <v>0.8</v>
      </c>
      <c r="R192" s="53">
        <f>IFERROR(__xludf.DUMMYFUNCTION("""COMPUTED_VALUE"""),-1.0207080897784664)</f>
        <v>-1.02070809</v>
      </c>
      <c r="S192" s="53">
        <f>IFERROR(__xludf.DUMMYFUNCTION("""COMPUTED_VALUE"""),0.5682583983871938)</f>
        <v>0.5682583984</v>
      </c>
      <c r="T192" s="53">
        <f>IFERROR(__xludf.DUMMYFUNCTION("""COMPUTED_VALUE"""),-1.2525097117525728)</f>
        <v>-1.252509712</v>
      </c>
      <c r="U192" s="53">
        <f>IFERROR(__xludf.DUMMYFUNCTION("""COMPUTED_VALUE"""),-1.2975025954129054)</f>
        <v>-1.297502595</v>
      </c>
      <c r="V192" s="53">
        <f>IFERROR(__xludf.DUMMYFUNCTION("""COMPUTED_VALUE"""),-1.0786201759549239)</f>
        <v>-1.078620176</v>
      </c>
      <c r="W192" s="53">
        <f>IFERROR(__xludf.DUMMYFUNCTION("""COMPUTED_VALUE"""),-0.6583300762210907)</f>
        <v>-0.6583300762</v>
      </c>
      <c r="X192" s="53">
        <f>IFERROR(__xludf.DUMMYFUNCTION("""COMPUTED_VALUE"""),-0.017454039846209784)</f>
        <v>-0.01745403985</v>
      </c>
      <c r="Y192" s="53">
        <f>IFERROR(__xludf.DUMMYFUNCTION("""COMPUTED_VALUE"""),0.32665172229804795)</f>
        <v>0.3266517223</v>
      </c>
      <c r="Z192" s="53">
        <f>IFERROR(__xludf.DUMMYFUNCTION("""COMPUTED_VALUE"""),0.37089925572797316)</f>
        <v>0.3708992557</v>
      </c>
      <c r="AA192" t="str">
        <f>IFERROR(__xludf.DUMMYFUNCTION("SUBSTITUTE(REGEXREPLACE(REGEXREPLACE(REGEXREPLACE(REGEXREPLACE(REGEXREPLACE(REGEXREPLACE(E192,"","",),IF(Projections!$U$3="""",""PG"",),),IF(Projections!$V$3="""",""SG"",),),IF(Projections!$W$3="""",""SF"",),),IF(Projections!$X$3="""",""PF"",),),IF(Projec"&amp;"tions!$Y$3="""",""C"",),),""/"","""")"),"SGSF")</f>
        <v>SGSF</v>
      </c>
    </row>
    <row r="193">
      <c r="B193">
        <f>IFERROR(__xludf.DUMMYFUNCTION("""COMPUTED_VALUE"""),189.0)</f>
        <v>189</v>
      </c>
      <c r="C193" t="str">
        <f>IFERROR(__xludf.DUMMYFUNCTION("""COMPUTED_VALUE"""),"Andrew Nembhard")</f>
        <v>Andrew Nembhard</v>
      </c>
      <c r="D193">
        <f>IFERROR(__xludf.DUMMYFUNCTION("""COMPUTED_VALUE"""),72.0)</f>
        <v>72</v>
      </c>
      <c r="E193" t="str">
        <f>IFERROR(__xludf.DUMMYFUNCTION("""COMPUTED_VALUE"""),"PG,SG")</f>
        <v>PG,SG</v>
      </c>
      <c r="F193" s="53">
        <f>IFERROR(__xludf.DUMMYFUNCTION("""COMPUTED_VALUE"""),-4.901445224490809)</f>
        <v>-4.901445224</v>
      </c>
      <c r="G193" s="53">
        <f>IFERROR(__xludf.DUMMYFUNCTION("""COMPUTED_VALUE"""),-2.764634636922632)</f>
        <v>-2.764634637</v>
      </c>
      <c r="H193" s="53">
        <f>IFERROR(__xludf.DUMMYFUNCTION("""COMPUTED_VALUE"""),2.136810587568177)</f>
        <v>2.136810588</v>
      </c>
      <c r="I193" s="53">
        <f>IFERROR(__xludf.DUMMYFUNCTION("""COMPUTED_VALUE"""),9.1)</f>
        <v>9.1</v>
      </c>
      <c r="J193" s="53">
        <f>IFERROR(__xludf.DUMMYFUNCTION("""COMPUTED_VALUE"""),1.2)</f>
        <v>1.2</v>
      </c>
      <c r="K193" s="53">
        <f>IFERROR(__xludf.DUMMYFUNCTION("""COMPUTED_VALUE"""),2.5)</f>
        <v>2.5</v>
      </c>
      <c r="L193" s="53">
        <f>IFERROR(__xludf.DUMMYFUNCTION("""COMPUTED_VALUE"""),4.4)</f>
        <v>4.4</v>
      </c>
      <c r="M193" s="53">
        <f>IFERROR(__xludf.DUMMYFUNCTION("""COMPUTED_VALUE"""),0.9)</f>
        <v>0.9</v>
      </c>
      <c r="N193" s="53">
        <f>IFERROR(__xludf.DUMMYFUNCTION("""COMPUTED_VALUE"""),0.2)</f>
        <v>0.2</v>
      </c>
      <c r="O193" s="53">
        <f>IFERROR(__xludf.DUMMYFUNCTION("""COMPUTED_VALUE"""),43.90243902439025)</f>
        <v>43.90243902</v>
      </c>
      <c r="P193" s="53">
        <f>IFERROR(__xludf.DUMMYFUNCTION("""COMPUTED_VALUE"""),74.99999999999999)</f>
        <v>75</v>
      </c>
      <c r="Q193" s="53">
        <f>IFERROR(__xludf.DUMMYFUNCTION("""COMPUTED_VALUE"""),1.6)</f>
        <v>1.6</v>
      </c>
      <c r="R193" s="53">
        <f>IFERROR(__xludf.DUMMYFUNCTION("""COMPUTED_VALUE"""),-1.3746134813912532)</f>
        <v>-1.374613481</v>
      </c>
      <c r="S193" s="53">
        <f>IFERROR(__xludf.DUMMYFUNCTION("""COMPUTED_VALUE"""),-0.38558326726780967)</f>
        <v>-0.3855832673</v>
      </c>
      <c r="T193" s="53">
        <f>IFERROR(__xludf.DUMMYFUNCTION("""COMPUTED_VALUE"""),-1.50340193088841)</f>
        <v>-1.503401931</v>
      </c>
      <c r="U193" s="53">
        <f>IFERROR(__xludf.DUMMYFUNCTION("""COMPUTED_VALUE"""),0.28357368044401526)</f>
        <v>0.2835736804</v>
      </c>
      <c r="V193" s="53">
        <f>IFERROR(__xludf.DUMMYFUNCTION("""COMPUTED_VALUE"""),-0.2064205727568726)</f>
        <v>-0.2064205728</v>
      </c>
      <c r="W193" s="53">
        <f>IFERROR(__xludf.DUMMYFUNCTION("""COMPUTED_VALUE"""),-0.6583300762210907)</f>
        <v>-0.6583300762</v>
      </c>
      <c r="X193" s="53">
        <f>IFERROR(__xludf.DUMMYFUNCTION("""COMPUTED_VALUE"""),-0.4665422016198138)</f>
        <v>-0.4665422016</v>
      </c>
      <c r="Y193" s="53">
        <f>IFERROR(__xludf.DUMMYFUNCTION("""COMPUTED_VALUE"""),-0.07924793651994107)</f>
        <v>-0.07924793652</v>
      </c>
      <c r="Z193" s="53">
        <f>IFERROR(__xludf.DUMMYFUNCTION("""COMPUTED_VALUE"""),0.12252921841013387)</f>
        <v>0.1225292184</v>
      </c>
      <c r="AA193" t="str">
        <f>IFERROR(__xludf.DUMMYFUNCTION("SUBSTITUTE(REGEXREPLACE(REGEXREPLACE(REGEXREPLACE(REGEXREPLACE(REGEXREPLACE(REGEXREPLACE(E193,"","",),IF(Projections!$U$3="""",""PG"",),),IF(Projections!$V$3="""",""SG"",),),IF(Projections!$W$3="""",""SF"",),),IF(Projections!$X$3="""",""PF"",),),IF(Projec"&amp;"tions!$Y$3="""",""C"",),),""/"","""")"),"PGSG")</f>
        <v>PGSG</v>
      </c>
    </row>
    <row r="194">
      <c r="B194">
        <f>IFERROR(__xludf.DUMMYFUNCTION("""COMPUTED_VALUE"""),180.0)</f>
        <v>180</v>
      </c>
      <c r="C194" t="str">
        <f>IFERROR(__xludf.DUMMYFUNCTION("""COMPUTED_VALUE"""),"Josh Green")</f>
        <v>Josh Green</v>
      </c>
      <c r="D194">
        <f>IFERROR(__xludf.DUMMYFUNCTION("""COMPUTED_VALUE"""),67.0)</f>
        <v>67</v>
      </c>
      <c r="E194" t="str">
        <f>IFERROR(__xludf.DUMMYFUNCTION("""COMPUTED_VALUE"""),"SG,SF")</f>
        <v>SG,SF</v>
      </c>
      <c r="F194" s="53">
        <f>IFERROR(__xludf.DUMMYFUNCTION("""COMPUTED_VALUE"""),-4.648139571210821)</f>
        <v>-4.648139571</v>
      </c>
      <c r="G194" s="53">
        <f>IFERROR(__xludf.DUMMYFUNCTION("""COMPUTED_VALUE"""),-2.8134847563047507)</f>
        <v>-2.813484756</v>
      </c>
      <c r="H194" s="53">
        <f>IFERROR(__xludf.DUMMYFUNCTION("""COMPUTED_VALUE"""),1.8346548149060706)</f>
        <v>1.834654815</v>
      </c>
      <c r="I194" s="53">
        <f>IFERROR(__xludf.DUMMYFUNCTION("""COMPUTED_VALUE"""),9.5)</f>
        <v>9.5</v>
      </c>
      <c r="J194" s="53">
        <f>IFERROR(__xludf.DUMMYFUNCTION("""COMPUTED_VALUE"""),1.2)</f>
        <v>1.2</v>
      </c>
      <c r="K194" s="53">
        <f>IFERROR(__xludf.DUMMYFUNCTION("""COMPUTED_VALUE"""),3.7)</f>
        <v>3.7</v>
      </c>
      <c r="L194" s="53">
        <f>IFERROR(__xludf.DUMMYFUNCTION("""COMPUTED_VALUE"""),2.0)</f>
        <v>2</v>
      </c>
      <c r="M194" s="53">
        <f>IFERROR(__xludf.DUMMYFUNCTION("""COMPUTED_VALUE"""),0.9)</f>
        <v>0.9</v>
      </c>
      <c r="N194" s="53">
        <f>IFERROR(__xludf.DUMMYFUNCTION("""COMPUTED_VALUE"""),0.2)</f>
        <v>0.2</v>
      </c>
      <c r="O194" s="53">
        <f>IFERROR(__xludf.DUMMYFUNCTION("""COMPUTED_VALUE"""),52.17391304347826)</f>
        <v>52.17391304</v>
      </c>
      <c r="P194" s="53">
        <f>IFERROR(__xludf.DUMMYFUNCTION("""COMPUTED_VALUE"""),78.57142857142858)</f>
        <v>78.57142857</v>
      </c>
      <c r="Q194" s="53">
        <f>IFERROR(__xludf.DUMMYFUNCTION("""COMPUTED_VALUE"""),1.3)</f>
        <v>1.3</v>
      </c>
      <c r="R194" s="53">
        <f>IFERROR(__xludf.DUMMYFUNCTION("""COMPUTED_VALUE"""),-1.3072029306078652)</f>
        <v>-1.307202931</v>
      </c>
      <c r="S194" s="53">
        <f>IFERROR(__xludf.DUMMYFUNCTION("""COMPUTED_VALUE"""),-0.38558326726780967)</f>
        <v>-0.3855832673</v>
      </c>
      <c r="T194" s="53">
        <f>IFERROR(__xludf.DUMMYFUNCTION("""COMPUTED_VALUE"""),-1.0016174926167358)</f>
        <v>-1.001617493</v>
      </c>
      <c r="U194" s="53">
        <f>IFERROR(__xludf.DUMMYFUNCTION("""COMPUTED_VALUE"""),-0.9404853718323106)</f>
        <v>-0.9404853718</v>
      </c>
      <c r="V194" s="53">
        <f>IFERROR(__xludf.DUMMYFUNCTION("""COMPUTED_VALUE"""),-0.2064205727568726)</f>
        <v>-0.2064205728</v>
      </c>
      <c r="W194" s="53">
        <f>IFERROR(__xludf.DUMMYFUNCTION("""COMPUTED_VALUE"""),-0.6583300762210907)</f>
        <v>-0.6583300762</v>
      </c>
      <c r="X194" s="53">
        <f>IFERROR(__xludf.DUMMYFUNCTION("""COMPUTED_VALUE"""),0.1775057494633646)</f>
        <v>0.1775057495</v>
      </c>
      <c r="Y194" s="53">
        <f>IFERROR(__xludf.DUMMYFUNCTION("""COMPUTED_VALUE"""),-0.014221707477619961)</f>
        <v>-0.01422170748</v>
      </c>
      <c r="Z194" s="53">
        <f>IFERROR(__xludf.DUMMYFUNCTION("""COMPUTED_VALUE"""),0.2156679824043236)</f>
        <v>0.2156679824</v>
      </c>
      <c r="AA194" t="str">
        <f>IFERROR(__xludf.DUMMYFUNCTION("SUBSTITUTE(REGEXREPLACE(REGEXREPLACE(REGEXREPLACE(REGEXREPLACE(REGEXREPLACE(REGEXREPLACE(E194,"","",),IF(Projections!$U$3="""",""PG"",),),IF(Projections!$V$3="""",""SG"",),),IF(Projections!$W$3="""",""SF"",),),IF(Projections!$X$3="""",""PF"",),),IF(Projec"&amp;"tions!$Y$3="""",""C"",),),""/"","""")"),"SGSF")</f>
        <v>SGSF</v>
      </c>
    </row>
    <row r="195">
      <c r="B195">
        <f>IFERROR(__xludf.DUMMYFUNCTION("""COMPUTED_VALUE"""),190.0)</f>
        <v>190</v>
      </c>
      <c r="C195" t="str">
        <f>IFERROR(__xludf.DUMMYFUNCTION("""COMPUTED_VALUE"""),"Kelly Olynyk")</f>
        <v>Kelly Olynyk</v>
      </c>
      <c r="D195">
        <f>IFERROR(__xludf.DUMMYFUNCTION("""COMPUTED_VALUE"""),66.0)</f>
        <v>66</v>
      </c>
      <c r="E195" t="str">
        <f>IFERROR(__xludf.DUMMYFUNCTION("""COMPUTED_VALUE"""),"PF,C")</f>
        <v>PF,C</v>
      </c>
      <c r="F195" s="53">
        <f>IFERROR(__xludf.DUMMYFUNCTION("""COMPUTED_VALUE"""),-4.903870055016824)</f>
        <v>-4.903870055</v>
      </c>
      <c r="G195" s="53">
        <f>IFERROR(__xludf.DUMMYFUNCTION("""COMPUTED_VALUE"""),-2.90028525165734)</f>
        <v>-2.900285252</v>
      </c>
      <c r="H195" s="53">
        <f>IFERROR(__xludf.DUMMYFUNCTION("""COMPUTED_VALUE"""),2.0035848033594843)</f>
        <v>2.003584803</v>
      </c>
      <c r="I195" s="53">
        <f>IFERROR(__xludf.DUMMYFUNCTION("""COMPUTED_VALUE"""),9.0)</f>
        <v>9</v>
      </c>
      <c r="J195" s="53">
        <f>IFERROR(__xludf.DUMMYFUNCTION("""COMPUTED_VALUE"""),1.1)</f>
        <v>1.1</v>
      </c>
      <c r="K195" s="53">
        <f>IFERROR(__xludf.DUMMYFUNCTION("""COMPUTED_VALUE"""),4.2)</f>
        <v>4.2</v>
      </c>
      <c r="L195" s="53">
        <f>IFERROR(__xludf.DUMMYFUNCTION("""COMPUTED_VALUE"""),2.6)</f>
        <v>2.6</v>
      </c>
      <c r="M195" s="53">
        <f>IFERROR(__xludf.DUMMYFUNCTION("""COMPUTED_VALUE"""),0.6)</f>
        <v>0.6</v>
      </c>
      <c r="N195" s="53">
        <f>IFERROR(__xludf.DUMMYFUNCTION("""COMPUTED_VALUE"""),0.4)</f>
        <v>0.4</v>
      </c>
      <c r="O195" s="53">
        <f>IFERROR(__xludf.DUMMYFUNCTION("""COMPUTED_VALUE"""),48.387096774193544)</f>
        <v>48.38709677</v>
      </c>
      <c r="P195" s="53">
        <f>IFERROR(__xludf.DUMMYFUNCTION("""COMPUTED_VALUE"""),82.6086956521739)</f>
        <v>82.60869565</v>
      </c>
      <c r="Q195" s="53">
        <f>IFERROR(__xludf.DUMMYFUNCTION("""COMPUTED_VALUE"""),1.6)</f>
        <v>1.6</v>
      </c>
      <c r="R195" s="53">
        <f>IFERROR(__xludf.DUMMYFUNCTION("""COMPUTED_VALUE"""),-1.3914661190871)</f>
        <v>-1.391466119</v>
      </c>
      <c r="S195" s="53">
        <f>IFERROR(__xludf.DUMMYFUNCTION("""COMPUTED_VALUE"""),-0.472296145963719)</f>
        <v>-0.472296146</v>
      </c>
      <c r="T195" s="53">
        <f>IFERROR(__xludf.DUMMYFUNCTION("""COMPUTED_VALUE"""),-0.7925406433368716)</f>
        <v>-0.7925406433</v>
      </c>
      <c r="U195" s="53">
        <f>IFERROR(__xludf.DUMMYFUNCTION("""COMPUTED_VALUE"""),-0.6344706087632292)</f>
        <v>-0.6344706088</v>
      </c>
      <c r="V195" s="53">
        <f>IFERROR(__xludf.DUMMYFUNCTION("""COMPUTED_VALUE"""),-0.860570275155411)</f>
        <v>-0.8605702752</v>
      </c>
      <c r="W195" s="53">
        <f>IFERROR(__xludf.DUMMYFUNCTION("""COMPUTED_VALUE"""),-0.39569839687757064)</f>
        <v>-0.3956983969</v>
      </c>
      <c r="X195" s="53">
        <f>IFERROR(__xludf.DUMMYFUNCTION("""COMPUTED_VALUE"""),-0.07501821748880959)</f>
        <v>-0.07501821749</v>
      </c>
      <c r="Y195" s="53">
        <f>IFERROR(__xludf.DUMMYFUNCTION("""COMPUTED_VALUE"""),0.20777981751813673)</f>
        <v>0.2077798175</v>
      </c>
      <c r="Z195" s="53">
        <f>IFERROR(__xludf.DUMMYFUNCTION("""COMPUTED_VALUE"""),0.12252921841013387)</f>
        <v>0.1225292184</v>
      </c>
      <c r="AA195" t="str">
        <f>IFERROR(__xludf.DUMMYFUNCTION("SUBSTITUTE(REGEXREPLACE(REGEXREPLACE(REGEXREPLACE(REGEXREPLACE(REGEXREPLACE(REGEXREPLACE(E195,"","",),IF(Projections!$U$3="""",""PG"",),),IF(Projections!$V$3="""",""SG"",),),IF(Projections!$W$3="""",""SF"",),),IF(Projections!$X$3="""",""PF"",),),IF(Projec"&amp;"tions!$Y$3="""",""C"",),),""/"","""")"),"PFC")</f>
        <v>PFC</v>
      </c>
    </row>
    <row r="196">
      <c r="B196">
        <f>IFERROR(__xludf.DUMMYFUNCTION("""COMPUTED_VALUE"""),182.0)</f>
        <v>182</v>
      </c>
      <c r="C196" t="str">
        <f>IFERROR(__xludf.DUMMYFUNCTION("""COMPUTED_VALUE"""),"Kevin Porter Jr.")</f>
        <v>Kevin Porter Jr.</v>
      </c>
      <c r="D196">
        <f>IFERROR(__xludf.DUMMYFUNCTION("""COMPUTED_VALUE"""),30.0)</f>
        <v>30</v>
      </c>
      <c r="E196" t="str">
        <f>IFERROR(__xludf.DUMMYFUNCTION("""COMPUTED_VALUE"""),"PG,SG")</f>
        <v>PG,SG</v>
      </c>
      <c r="F196" s="53">
        <f>IFERROR(__xludf.DUMMYFUNCTION("""COMPUTED_VALUE"""),-4.72396405388682)</f>
        <v>-4.723964054</v>
      </c>
      <c r="G196" s="53">
        <f>IFERROR(__xludf.DUMMYFUNCTION("""COMPUTED_VALUE"""),-2.925389388785185)</f>
        <v>-2.925389389</v>
      </c>
      <c r="H196" s="53">
        <f>IFERROR(__xludf.DUMMYFUNCTION("""COMPUTED_VALUE"""),1.798574665101635)</f>
        <v>1.798574665</v>
      </c>
      <c r="I196" s="53">
        <f>IFERROR(__xludf.DUMMYFUNCTION("""COMPUTED_VALUE"""),10.9)</f>
        <v>10.9</v>
      </c>
      <c r="J196" s="53">
        <f>IFERROR(__xludf.DUMMYFUNCTION("""COMPUTED_VALUE"""),1.6)</f>
        <v>1.6</v>
      </c>
      <c r="K196" s="53">
        <f>IFERROR(__xludf.DUMMYFUNCTION("""COMPUTED_VALUE"""),3.1)</f>
        <v>3.1</v>
      </c>
      <c r="L196" s="53">
        <f>IFERROR(__xludf.DUMMYFUNCTION("""COMPUTED_VALUE"""),3.7)</f>
        <v>3.7</v>
      </c>
      <c r="M196" s="53">
        <f>IFERROR(__xludf.DUMMYFUNCTION("""COMPUTED_VALUE"""),0.8)</f>
        <v>0.8</v>
      </c>
      <c r="N196" s="53">
        <f>IFERROR(__xludf.DUMMYFUNCTION("""COMPUTED_VALUE"""),0.2)</f>
        <v>0.2</v>
      </c>
      <c r="O196" s="53">
        <f>IFERROR(__xludf.DUMMYFUNCTION("""COMPUTED_VALUE"""),43.18181818181818)</f>
        <v>43.18181818</v>
      </c>
      <c r="P196" s="53">
        <f>IFERROR(__xludf.DUMMYFUNCTION("""COMPUTED_VALUE"""),77.27272727272727)</f>
        <v>77.27272727</v>
      </c>
      <c r="Q196" s="53">
        <f>IFERROR(__xludf.DUMMYFUNCTION("""COMPUTED_VALUE"""),2.0)</f>
        <v>2</v>
      </c>
      <c r="R196" s="53">
        <f>IFERROR(__xludf.DUMMYFUNCTION("""COMPUTED_VALUE"""),-1.0712660028660073)</f>
        <v>-1.071266003</v>
      </c>
      <c r="S196" s="53">
        <f>IFERROR(__xludf.DUMMYFUNCTION("""COMPUTED_VALUE"""),-0.03873175248417188)</f>
        <v>-0.03873175248</v>
      </c>
      <c r="T196" s="53">
        <f>IFERROR(__xludf.DUMMYFUNCTION("""COMPUTED_VALUE"""),-1.2525097117525728)</f>
        <v>-1.252509712</v>
      </c>
      <c r="U196" s="53">
        <f>IFERROR(__xludf.DUMMYFUNCTION("""COMPUTED_VALUE"""),-0.07344354313657983)</f>
        <v>-0.07344354314</v>
      </c>
      <c r="V196" s="53">
        <f>IFERROR(__xludf.DUMMYFUNCTION("""COMPUTED_VALUE"""),-0.42447047355638534)</f>
        <v>-0.4244704736</v>
      </c>
      <c r="W196" s="53">
        <f>IFERROR(__xludf.DUMMYFUNCTION("""COMPUTED_VALUE"""),-0.6583300762210907)</f>
        <v>-0.6583300762</v>
      </c>
      <c r="X196" s="53">
        <f>IFERROR(__xludf.DUMMYFUNCTION("""COMPUTED_VALUE"""),-0.5640220962746021)</f>
        <v>-0.5640220963</v>
      </c>
      <c r="Y196" s="53">
        <f>IFERROR(__xludf.DUMMYFUNCTION("""COMPUTED_VALUE"""),-0.09346964399756186)</f>
        <v>-0.093469644</v>
      </c>
      <c r="Z196" s="53">
        <f>IFERROR(__xludf.DUMMYFUNCTION("""COMPUTED_VALUE"""),-0.0016558002487857576)</f>
        <v>-0.001655800249</v>
      </c>
      <c r="AA196" t="str">
        <f>IFERROR(__xludf.DUMMYFUNCTION("SUBSTITUTE(REGEXREPLACE(REGEXREPLACE(REGEXREPLACE(REGEXREPLACE(REGEXREPLACE(REGEXREPLACE(E196,"","",),IF(Projections!$U$3="""",""PG"",),),IF(Projections!$V$3="""",""SG"",),),IF(Projections!$W$3="""",""SF"",),),IF(Projections!$X$3="""",""PF"",),),IF(Projec"&amp;"tions!$Y$3="""",""C"",),),""/"","""")"),"PGSG")</f>
        <v>PGSG</v>
      </c>
    </row>
    <row r="197">
      <c r="B197">
        <f>IFERROR(__xludf.DUMMYFUNCTION("""COMPUTED_VALUE"""),210.0)</f>
        <v>210</v>
      </c>
      <c r="C197" t="str">
        <f>IFERROR(__xludf.DUMMYFUNCTION("""COMPUTED_VALUE"""),"Marvin Bagley III")</f>
        <v>Marvin Bagley III</v>
      </c>
      <c r="D197">
        <f>IFERROR(__xludf.DUMMYFUNCTION("""COMPUTED_VALUE"""),46.0)</f>
        <v>46</v>
      </c>
      <c r="E197" t="str">
        <f>IFERROR(__xludf.DUMMYFUNCTION("""COMPUTED_VALUE"""),"PF,C")</f>
        <v>PF,C</v>
      </c>
      <c r="F197" s="53">
        <f>IFERROR(__xludf.DUMMYFUNCTION("""COMPUTED_VALUE"""),-5.5132403975503355)</f>
        <v>-5.513240398</v>
      </c>
      <c r="G197" s="53">
        <f>IFERROR(__xludf.DUMMYFUNCTION("""COMPUTED_VALUE"""),-2.9668672355383867)</f>
        <v>-2.966867236</v>
      </c>
      <c r="H197" s="53">
        <f>IFERROR(__xludf.DUMMYFUNCTION("""COMPUTED_VALUE"""),2.5463731620119487)</f>
        <v>2.546373162</v>
      </c>
      <c r="I197" s="53">
        <f>IFERROR(__xludf.DUMMYFUNCTION("""COMPUTED_VALUE"""),11.3)</f>
        <v>11.3</v>
      </c>
      <c r="J197" s="53">
        <f>IFERROR(__xludf.DUMMYFUNCTION("""COMPUTED_VALUE"""),0.5)</f>
        <v>0.5</v>
      </c>
      <c r="K197" s="53">
        <f>IFERROR(__xludf.DUMMYFUNCTION("""COMPUTED_VALUE"""),6.6)</f>
        <v>6.6</v>
      </c>
      <c r="L197" s="53">
        <f>IFERROR(__xludf.DUMMYFUNCTION("""COMPUTED_VALUE"""),0.8)</f>
        <v>0.8</v>
      </c>
      <c r="M197" s="53">
        <f>IFERROR(__xludf.DUMMYFUNCTION("""COMPUTED_VALUE"""),0.4)</f>
        <v>0.4</v>
      </c>
      <c r="N197" s="53">
        <f>IFERROR(__xludf.DUMMYFUNCTION("""COMPUTED_VALUE"""),0.5)</f>
        <v>0.5</v>
      </c>
      <c r="O197" s="53">
        <f>IFERROR(__xludf.DUMMYFUNCTION("""COMPUTED_VALUE"""),51.685393258426956)</f>
        <v>51.68539326</v>
      </c>
      <c r="P197" s="53">
        <f>IFERROR(__xludf.DUMMYFUNCTION("""COMPUTED_VALUE"""),76.19047619047619)</f>
        <v>76.19047619</v>
      </c>
      <c r="Q197" s="53">
        <f>IFERROR(__xludf.DUMMYFUNCTION("""COMPUTED_VALUE"""),0.9)</f>
        <v>0.9</v>
      </c>
      <c r="R197" s="53">
        <f>IFERROR(__xludf.DUMMYFUNCTION("""COMPUTED_VALUE"""),-1.003855452082619)</f>
        <v>-1.003855452</v>
      </c>
      <c r="S197" s="53">
        <f>IFERROR(__xludf.DUMMYFUNCTION("""COMPUTED_VALUE"""),-0.9925734181391757)</f>
        <v>-0.9925734181</v>
      </c>
      <c r="T197" s="53">
        <f>IFERROR(__xludf.DUMMYFUNCTION("""COMPUTED_VALUE"""),0.21102823320647643)</f>
        <v>0.2110282332</v>
      </c>
      <c r="U197" s="53">
        <f>IFERROR(__xludf.DUMMYFUNCTION("""COMPUTED_VALUE"""),-1.5525148979704735)</f>
        <v>-1.552514898</v>
      </c>
      <c r="V197" s="53">
        <f>IFERROR(__xludf.DUMMYFUNCTION("""COMPUTED_VALUE"""),-1.2966700767544366)</f>
        <v>-1.296670077</v>
      </c>
      <c r="W197" s="53">
        <f>IFERROR(__xludf.DUMMYFUNCTION("""COMPUTED_VALUE"""),-0.2643825572058105)</f>
        <v>-0.2643825572</v>
      </c>
      <c r="X197" s="53">
        <f>IFERROR(__xludf.DUMMYFUNCTION("""COMPUTED_VALUE"""),0.1855277770226419)</f>
        <v>0.185527777</v>
      </c>
      <c r="Y197" s="53">
        <f>IFERROR(__xludf.DUMMYFUNCTION("""COMPUTED_VALUE"""),-0.14579474264870684)</f>
        <v>-0.1457947426</v>
      </c>
      <c r="Z197" s="53">
        <f>IFERROR(__xludf.DUMMYFUNCTION("""COMPUTED_VALUE"""),0.33985300106324323)</f>
        <v>0.3398530011</v>
      </c>
      <c r="AA197" t="str">
        <f>IFERROR(__xludf.DUMMYFUNCTION("SUBSTITUTE(REGEXREPLACE(REGEXREPLACE(REGEXREPLACE(REGEXREPLACE(REGEXREPLACE(REGEXREPLACE(E197,"","",),IF(Projections!$U$3="""",""PG"",),),IF(Projections!$V$3="""",""SG"",),),IF(Projections!$W$3="""",""SF"",),),IF(Projections!$X$3="""",""PF"",),),IF(Projec"&amp;"tions!$Y$3="""",""C"",),),""/"","""")"),"PFC")</f>
        <v>PFC</v>
      </c>
    </row>
    <row r="198">
      <c r="B198">
        <f>IFERROR(__xludf.DUMMYFUNCTION("""COMPUTED_VALUE"""),198.0)</f>
        <v>198</v>
      </c>
      <c r="C198" t="str">
        <f>IFERROR(__xludf.DUMMYFUNCTION("""COMPUTED_VALUE"""),"Terance Mann")</f>
        <v>Terance Mann</v>
      </c>
      <c r="D198">
        <f>IFERROR(__xludf.DUMMYFUNCTION("""COMPUTED_VALUE"""),80.0)</f>
        <v>80</v>
      </c>
      <c r="E198" t="str">
        <f>IFERROR(__xludf.DUMMYFUNCTION("""COMPUTED_VALUE"""),"SG,SF")</f>
        <v>SG,SF</v>
      </c>
      <c r="F198" s="53">
        <f>IFERROR(__xludf.DUMMYFUNCTION("""COMPUTED_VALUE"""),-5.078627739070822)</f>
        <v>-5.078627739</v>
      </c>
      <c r="G198" s="53">
        <f>IFERROR(__xludf.DUMMYFUNCTION("""COMPUTED_VALUE"""),-2.9688188551819508)</f>
        <v>-2.968818855</v>
      </c>
      <c r="H198" s="53">
        <f>IFERROR(__xludf.DUMMYFUNCTION("""COMPUTED_VALUE"""),2.1098088838888716)</f>
        <v>2.109808884</v>
      </c>
      <c r="I198" s="53">
        <f>IFERROR(__xludf.DUMMYFUNCTION("""COMPUTED_VALUE"""),10.1)</f>
        <v>10.1</v>
      </c>
      <c r="J198" s="53">
        <f>IFERROR(__xludf.DUMMYFUNCTION("""COMPUTED_VALUE"""),1.1)</f>
        <v>1.1</v>
      </c>
      <c r="K198" s="53">
        <f>IFERROR(__xludf.DUMMYFUNCTION("""COMPUTED_VALUE"""),4.4)</f>
        <v>4.4</v>
      </c>
      <c r="L198" s="53">
        <f>IFERROR(__xludf.DUMMYFUNCTION("""COMPUTED_VALUE"""),2.5)</f>
        <v>2.5</v>
      </c>
      <c r="M198" s="53">
        <f>IFERROR(__xludf.DUMMYFUNCTION("""COMPUTED_VALUE"""),0.6)</f>
        <v>0.6</v>
      </c>
      <c r="N198" s="53">
        <f>IFERROR(__xludf.DUMMYFUNCTION("""COMPUTED_VALUE"""),0.3)</f>
        <v>0.3</v>
      </c>
      <c r="O198" s="53">
        <f>IFERROR(__xludf.DUMMYFUNCTION("""COMPUTED_VALUE"""),50.0)</f>
        <v>50</v>
      </c>
      <c r="P198" s="53">
        <f>IFERROR(__xludf.DUMMYFUNCTION("""COMPUTED_VALUE"""),77.77777777777777)</f>
        <v>77.77777778</v>
      </c>
      <c r="Q198" s="53">
        <f>IFERROR(__xludf.DUMMYFUNCTION("""COMPUTED_VALUE"""),1.0)</f>
        <v>1</v>
      </c>
      <c r="R198" s="53">
        <f>IFERROR(__xludf.DUMMYFUNCTION("""COMPUTED_VALUE"""),-1.2060871044327832)</f>
        <v>-1.206087104</v>
      </c>
      <c r="S198" s="53">
        <f>IFERROR(__xludf.DUMMYFUNCTION("""COMPUTED_VALUE"""),-0.472296145963719)</f>
        <v>-0.472296146</v>
      </c>
      <c r="T198" s="53">
        <f>IFERROR(__xludf.DUMMYFUNCTION("""COMPUTED_VALUE"""),-0.7089099036249258)</f>
        <v>-0.7089099036</v>
      </c>
      <c r="U198" s="53">
        <f>IFERROR(__xludf.DUMMYFUNCTION("""COMPUTED_VALUE"""),-0.6854730692747427)</f>
        <v>-0.6854730693</v>
      </c>
      <c r="V198" s="53">
        <f>IFERROR(__xludf.DUMMYFUNCTION("""COMPUTED_VALUE"""),-0.860570275155411)</f>
        <v>-0.8605702752</v>
      </c>
      <c r="W198" s="53">
        <f>IFERROR(__xludf.DUMMYFUNCTION("""COMPUTED_VALUE"""),-0.5270142365493308)</f>
        <v>-0.5270142365</v>
      </c>
      <c r="X198" s="53">
        <f>IFERROR(__xludf.DUMMYFUNCTION("""COMPUTED_VALUE"""),0.03048370472525587)</f>
        <v>0.03048370473</v>
      </c>
      <c r="Y198" s="53">
        <f>IFERROR(__xludf.DUMMYFUNCTION("""COMPUTED_VALUE"""),-0.053845675737591164)</f>
        <v>-0.05384567574</v>
      </c>
      <c r="Z198" s="53">
        <f>IFERROR(__xludf.DUMMYFUNCTION("""COMPUTED_VALUE"""),0.30880674639851335)</f>
        <v>0.3088067464</v>
      </c>
      <c r="AA198" t="str">
        <f>IFERROR(__xludf.DUMMYFUNCTION("SUBSTITUTE(REGEXREPLACE(REGEXREPLACE(REGEXREPLACE(REGEXREPLACE(REGEXREPLACE(REGEXREPLACE(E198,"","",),IF(Projections!$U$3="""",""PG"",),),IF(Projections!$V$3="""",""SG"",),),IF(Projections!$W$3="""",""SF"",),),IF(Projections!$X$3="""",""PF"",),),IF(Projec"&amp;"tions!$Y$3="""",""C"",),),""/"","""")"),"SGSF")</f>
        <v>SGSF</v>
      </c>
    </row>
    <row r="199">
      <c r="B199">
        <f>IFERROR(__xludf.DUMMYFUNCTION("""COMPUTED_VALUE"""),201.0)</f>
        <v>201</v>
      </c>
      <c r="C199" t="str">
        <f>IFERROR(__xludf.DUMMYFUNCTION("""COMPUTED_VALUE"""),"Gary Harris")</f>
        <v>Gary Harris</v>
      </c>
      <c r="D199">
        <f>IFERROR(__xludf.DUMMYFUNCTION("""COMPUTED_VALUE"""),60.0)</f>
        <v>60</v>
      </c>
      <c r="E199" t="str">
        <f>IFERROR(__xludf.DUMMYFUNCTION("""COMPUTED_VALUE"""),"SG,SF")</f>
        <v>SG,SF</v>
      </c>
      <c r="F199" s="53">
        <f>IFERROR(__xludf.DUMMYFUNCTION("""COMPUTED_VALUE"""),-5.308556597380669)</f>
        <v>-5.308556597</v>
      </c>
      <c r="G199" s="53">
        <f>IFERROR(__xludf.DUMMYFUNCTION("""COMPUTED_VALUE"""),-2.971465568542162)</f>
        <v>-2.971465569</v>
      </c>
      <c r="H199" s="53">
        <f>IFERROR(__xludf.DUMMYFUNCTION("""COMPUTED_VALUE"""),2.3370910288385067)</f>
        <v>2.337091029</v>
      </c>
      <c r="I199" s="53">
        <f>IFERROR(__xludf.DUMMYFUNCTION("""COMPUTED_VALUE"""),9.4)</f>
        <v>9.4</v>
      </c>
      <c r="J199" s="53">
        <f>IFERROR(__xludf.DUMMYFUNCTION("""COMPUTED_VALUE"""),1.8)</f>
        <v>1.8</v>
      </c>
      <c r="K199" s="53">
        <f>IFERROR(__xludf.DUMMYFUNCTION("""COMPUTED_VALUE"""),1.9)</f>
        <v>1.9</v>
      </c>
      <c r="L199" s="53">
        <f>IFERROR(__xludf.DUMMYFUNCTION("""COMPUTED_VALUE"""),1.5)</f>
        <v>1.5</v>
      </c>
      <c r="M199" s="53">
        <f>IFERROR(__xludf.DUMMYFUNCTION("""COMPUTED_VALUE"""),0.9)</f>
        <v>0.9</v>
      </c>
      <c r="N199" s="53">
        <f>IFERROR(__xludf.DUMMYFUNCTION("""COMPUTED_VALUE"""),0.2)</f>
        <v>0.2</v>
      </c>
      <c r="O199" s="53">
        <f>IFERROR(__xludf.DUMMYFUNCTION("""COMPUTED_VALUE"""),44.0)</f>
        <v>44</v>
      </c>
      <c r="P199" s="53">
        <f>IFERROR(__xludf.DUMMYFUNCTION("""COMPUTED_VALUE"""),90.9090909090909)</f>
        <v>90.90909091</v>
      </c>
      <c r="Q199" s="53">
        <f>IFERROR(__xludf.DUMMYFUNCTION("""COMPUTED_VALUE"""),0.8)</f>
        <v>0.8</v>
      </c>
      <c r="R199" s="53">
        <f>IFERROR(__xludf.DUMMYFUNCTION("""COMPUTED_VALUE"""),-1.324055568303712)</f>
        <v>-1.324055568</v>
      </c>
      <c r="S199" s="53">
        <f>IFERROR(__xludf.DUMMYFUNCTION("""COMPUTED_VALUE"""),0.13469400490764694)</f>
        <v>0.1346940049</v>
      </c>
      <c r="T199" s="53">
        <f>IFERROR(__xludf.DUMMYFUNCTION("""COMPUTED_VALUE"""),-1.7542941500242468)</f>
        <v>-1.75429415</v>
      </c>
      <c r="U199" s="53">
        <f>IFERROR(__xludf.DUMMYFUNCTION("""COMPUTED_VALUE"""),-1.1954976743898784)</f>
        <v>-1.195497674</v>
      </c>
      <c r="V199" s="53">
        <f>IFERROR(__xludf.DUMMYFUNCTION("""COMPUTED_VALUE"""),-0.2064205727568726)</f>
        <v>-0.2064205728</v>
      </c>
      <c r="W199" s="53">
        <f>IFERROR(__xludf.DUMMYFUNCTION("""COMPUTED_VALUE"""),-0.6583300762210907)</f>
        <v>-0.6583300762</v>
      </c>
      <c r="X199" s="53">
        <f>IFERROR(__xludf.DUMMYFUNCTION("""COMPUTED_VALUE"""),-0.41940665980427616)</f>
        <v>-0.4194066598</v>
      </c>
      <c r="Y199" s="53">
        <f>IFERROR(__xludf.DUMMYFUNCTION("""COMPUTED_VALUE"""),0.32665172229804795)</f>
        <v>0.3266517223</v>
      </c>
      <c r="Z199" s="53">
        <f>IFERROR(__xludf.DUMMYFUNCTION("""COMPUTED_VALUE"""),0.37089925572797316)</f>
        <v>0.3708992557</v>
      </c>
      <c r="AA199" t="str">
        <f>IFERROR(__xludf.DUMMYFUNCTION("SUBSTITUTE(REGEXREPLACE(REGEXREPLACE(REGEXREPLACE(REGEXREPLACE(REGEXREPLACE(REGEXREPLACE(E199,"","",),IF(Projections!$U$3="""",""PG"",),),IF(Projections!$V$3="""",""SG"",),),IF(Projections!$W$3="""",""SF"",),),IF(Projections!$X$3="""",""PF"",),),IF(Projec"&amp;"tions!$Y$3="""",""C"",),),""/"","""")"),"SGSF")</f>
        <v>SGSF</v>
      </c>
    </row>
    <row r="200">
      <c r="B200">
        <f>IFERROR(__xludf.DUMMYFUNCTION("""COMPUTED_VALUE"""),194.0)</f>
        <v>194</v>
      </c>
      <c r="C200" t="str">
        <f>IFERROR(__xludf.DUMMYFUNCTION("""COMPUTED_VALUE"""),"Tim Hardaway Jr.")</f>
        <v>Tim Hardaway Jr.</v>
      </c>
      <c r="D200">
        <f>IFERROR(__xludf.DUMMYFUNCTION("""COMPUTED_VALUE"""),69.0)</f>
        <v>69</v>
      </c>
      <c r="E200" t="str">
        <f>IFERROR(__xludf.DUMMYFUNCTION("""COMPUTED_VALUE"""),"SG,SF")</f>
        <v>SG,SF</v>
      </c>
      <c r="F200" s="53">
        <f>IFERROR(__xludf.DUMMYFUNCTION("""COMPUTED_VALUE"""),-5.025926645645079)</f>
        <v>-5.025926646</v>
      </c>
      <c r="G200" s="53">
        <f>IFERROR(__xludf.DUMMYFUNCTION("""COMPUTED_VALUE"""),-2.9749976109048406)</f>
        <v>-2.974997611</v>
      </c>
      <c r="H200" s="53">
        <f>IFERROR(__xludf.DUMMYFUNCTION("""COMPUTED_VALUE"""),2.0509290347402382)</f>
        <v>2.050929035</v>
      </c>
      <c r="I200" s="53">
        <f>IFERROR(__xludf.DUMMYFUNCTION("""COMPUTED_VALUE"""),13.2)</f>
        <v>13.2</v>
      </c>
      <c r="J200" s="53">
        <f>IFERROR(__xludf.DUMMYFUNCTION("""COMPUTED_VALUE"""),2.6)</f>
        <v>2.6</v>
      </c>
      <c r="K200" s="53">
        <f>IFERROR(__xludf.DUMMYFUNCTION("""COMPUTED_VALUE"""),3.3)</f>
        <v>3.3</v>
      </c>
      <c r="L200" s="53">
        <f>IFERROR(__xludf.DUMMYFUNCTION("""COMPUTED_VALUE"""),1.8)</f>
        <v>1.8</v>
      </c>
      <c r="M200" s="53">
        <f>IFERROR(__xludf.DUMMYFUNCTION("""COMPUTED_VALUE"""),0.7)</f>
        <v>0.7</v>
      </c>
      <c r="N200" s="53">
        <f>IFERROR(__xludf.DUMMYFUNCTION("""COMPUTED_VALUE"""),0.2)</f>
        <v>0.2</v>
      </c>
      <c r="O200" s="53">
        <f>IFERROR(__xludf.DUMMYFUNCTION("""COMPUTED_VALUE"""),40.17857142857143)</f>
        <v>40.17857143</v>
      </c>
      <c r="P200" s="53">
        <f>IFERROR(__xludf.DUMMYFUNCTION("""COMPUTED_VALUE"""),77.27272727272727)</f>
        <v>77.27272727</v>
      </c>
      <c r="Q200" s="53">
        <f>IFERROR(__xludf.DUMMYFUNCTION("""COMPUTED_VALUE"""),0.8)</f>
        <v>0.8</v>
      </c>
      <c r="R200" s="53">
        <f>IFERROR(__xludf.DUMMYFUNCTION("""COMPUTED_VALUE"""),-0.6836553358615266)</f>
        <v>-0.6836553359</v>
      </c>
      <c r="S200" s="53">
        <f>IFERROR(__xludf.DUMMYFUNCTION("""COMPUTED_VALUE"""),0.8283970344749224)</f>
        <v>0.8283970345</v>
      </c>
      <c r="T200" s="53">
        <f>IFERROR(__xludf.DUMMYFUNCTION("""COMPUTED_VALUE"""),-1.1688789720406272)</f>
        <v>-1.168878972</v>
      </c>
      <c r="U200" s="53">
        <f>IFERROR(__xludf.DUMMYFUNCTION("""COMPUTED_VALUE"""),-1.0424902928553377)</f>
        <v>-1.042490293</v>
      </c>
      <c r="V200" s="53">
        <f>IFERROR(__xludf.DUMMYFUNCTION("""COMPUTED_VALUE"""),-0.6425203743558983)</f>
        <v>-0.6425203744</v>
      </c>
      <c r="W200" s="53">
        <f>IFERROR(__xludf.DUMMYFUNCTION("""COMPUTED_VALUE"""),-0.6583300762210907)</f>
        <v>-0.6583300762</v>
      </c>
      <c r="X200" s="53">
        <f>IFERROR(__xludf.DUMMYFUNCTION("""COMPUTED_VALUE"""),-1.0538281778163214)</f>
        <v>-1.053828178</v>
      </c>
      <c r="Y200" s="53">
        <f>IFERROR(__xludf.DUMMYFUNCTION("""COMPUTED_VALUE"""),-0.09346964399756186)</f>
        <v>-0.093469644</v>
      </c>
      <c r="Z200" s="53">
        <f>IFERROR(__xludf.DUMMYFUNCTION("""COMPUTED_VALUE"""),0.37089925572797316)</f>
        <v>0.3708992557</v>
      </c>
      <c r="AA200" t="str">
        <f>IFERROR(__xludf.DUMMYFUNCTION("SUBSTITUTE(REGEXREPLACE(REGEXREPLACE(REGEXREPLACE(REGEXREPLACE(REGEXREPLACE(REGEXREPLACE(E200,"","",),IF(Projections!$U$3="""",""PG"",),),IF(Projections!$V$3="""",""SG"",),),IF(Projections!$W$3="""",""SF"",),),IF(Projections!$X$3="""",""PF"",),),IF(Projec"&amp;"tions!$Y$3="""",""C"",),),""/"","""")"),"SGSF")</f>
        <v>SGSF</v>
      </c>
    </row>
    <row r="201">
      <c r="B201">
        <f>IFERROR(__xludf.DUMMYFUNCTION("""COMPUTED_VALUE"""),192.0)</f>
        <v>192</v>
      </c>
      <c r="C201" t="str">
        <f>IFERROR(__xludf.DUMMYFUNCTION("""COMPUTED_VALUE"""),"De'Andre Hunter")</f>
        <v>De'Andre Hunter</v>
      </c>
      <c r="D201">
        <f>IFERROR(__xludf.DUMMYFUNCTION("""COMPUTED_VALUE"""),68.0)</f>
        <v>68</v>
      </c>
      <c r="E201" t="str">
        <f>IFERROR(__xludf.DUMMYFUNCTION("""COMPUTED_VALUE"""),"SF,PF")</f>
        <v>SF,PF</v>
      </c>
      <c r="F201" s="53">
        <f>IFERROR(__xludf.DUMMYFUNCTION("""COMPUTED_VALUE"""),-4.956334311633028)</f>
        <v>-4.956334312</v>
      </c>
      <c r="G201" s="53">
        <f>IFERROR(__xludf.DUMMYFUNCTION("""COMPUTED_VALUE"""),-2.9828382809478327)</f>
        <v>-2.982838281</v>
      </c>
      <c r="H201" s="53">
        <f>IFERROR(__xludf.DUMMYFUNCTION("""COMPUTED_VALUE"""),1.9734960306851952)</f>
        <v>1.973496031</v>
      </c>
      <c r="I201" s="53">
        <f>IFERROR(__xludf.DUMMYFUNCTION("""COMPUTED_VALUE"""),14.9)</f>
        <v>14.9</v>
      </c>
      <c r="J201" s="53">
        <f>IFERROR(__xludf.DUMMYFUNCTION("""COMPUTED_VALUE"""),1.5)</f>
        <v>1.5</v>
      </c>
      <c r="K201" s="53">
        <f>IFERROR(__xludf.DUMMYFUNCTION("""COMPUTED_VALUE"""),3.9)</f>
        <v>3.9</v>
      </c>
      <c r="L201" s="53">
        <f>IFERROR(__xludf.DUMMYFUNCTION("""COMPUTED_VALUE"""),1.4)</f>
        <v>1.4</v>
      </c>
      <c r="M201" s="53">
        <f>IFERROR(__xludf.DUMMYFUNCTION("""COMPUTED_VALUE"""),0.6)</f>
        <v>0.6</v>
      </c>
      <c r="N201" s="53">
        <f>IFERROR(__xludf.DUMMYFUNCTION("""COMPUTED_VALUE"""),0.3)</f>
        <v>0.3</v>
      </c>
      <c r="O201" s="53">
        <f>IFERROR(__xludf.DUMMYFUNCTION("""COMPUTED_VALUE"""),45.0)</f>
        <v>45</v>
      </c>
      <c r="P201" s="53">
        <f>IFERROR(__xludf.DUMMYFUNCTION("""COMPUTED_VALUE"""),81.25)</f>
        <v>81.25</v>
      </c>
      <c r="Q201" s="53">
        <f>IFERROR(__xludf.DUMMYFUNCTION("""COMPUTED_VALUE"""),1.3)</f>
        <v>1.3</v>
      </c>
      <c r="R201" s="53">
        <f>IFERROR(__xludf.DUMMYFUNCTION("""COMPUTED_VALUE"""),-0.3971604950321275)</f>
        <v>-0.397160495</v>
      </c>
      <c r="S201" s="53">
        <f>IFERROR(__xludf.DUMMYFUNCTION("""COMPUTED_VALUE"""),-0.12544463118008137)</f>
        <v>-0.1254446312</v>
      </c>
      <c r="T201" s="53">
        <f>IFERROR(__xludf.DUMMYFUNCTION("""COMPUTED_VALUE"""),-0.9179867529047901)</f>
        <v>-0.9179867529</v>
      </c>
      <c r="U201" s="53">
        <f>IFERROR(__xludf.DUMMYFUNCTION("""COMPUTED_VALUE"""),-1.246500134901392)</f>
        <v>-1.246500135</v>
      </c>
      <c r="V201" s="53">
        <f>IFERROR(__xludf.DUMMYFUNCTION("""COMPUTED_VALUE"""),-0.860570275155411)</f>
        <v>-0.8605702752</v>
      </c>
      <c r="W201" s="53">
        <f>IFERROR(__xludf.DUMMYFUNCTION("""COMPUTED_VALUE"""),-0.5270142365493308)</f>
        <v>-0.5270142365</v>
      </c>
      <c r="X201" s="53">
        <f>IFERROR(__xludf.DUMMYFUNCTION("""COMPUTED_VALUE"""),-0.5511868521797569)</f>
        <v>-0.5511868522</v>
      </c>
      <c r="Y201" s="53">
        <f>IFERROR(__xludf.DUMMYFUNCTION("""COMPUTED_VALUE"""),0.1808569796493414)</f>
        <v>0.1808569796</v>
      </c>
      <c r="Z201" s="53">
        <f>IFERROR(__xludf.DUMMYFUNCTION("""COMPUTED_VALUE"""),0.2156679824043236)</f>
        <v>0.2156679824</v>
      </c>
      <c r="AA201" t="str">
        <f>IFERROR(__xludf.DUMMYFUNCTION("SUBSTITUTE(REGEXREPLACE(REGEXREPLACE(REGEXREPLACE(REGEXREPLACE(REGEXREPLACE(REGEXREPLACE(E201,"","",),IF(Projections!$U$3="""",""PG"",),),IF(Projections!$V$3="""",""SG"",),),IF(Projections!$W$3="""",""SF"",),),IF(Projections!$X$3="""",""PF"",),),IF(Projec"&amp;"tions!$Y$3="""",""C"",),),""/"","""")"),"SFPF")</f>
        <v>SFPF</v>
      </c>
    </row>
    <row r="202">
      <c r="B202">
        <f>IFERROR(__xludf.DUMMYFUNCTION("""COMPUTED_VALUE"""),199.0)</f>
        <v>199</v>
      </c>
      <c r="C202" t="str">
        <f>IFERROR(__xludf.DUMMYFUNCTION("""COMPUTED_VALUE"""),"Brandon Clarke")</f>
        <v>Brandon Clarke</v>
      </c>
      <c r="D202">
        <f>IFERROR(__xludf.DUMMYFUNCTION("""COMPUTED_VALUE"""),8.0)</f>
        <v>8</v>
      </c>
      <c r="E202" t="str">
        <f>IFERROR(__xludf.DUMMYFUNCTION("""COMPUTED_VALUE"""),"PF,C")</f>
        <v>PF,C</v>
      </c>
      <c r="F202" s="53">
        <f>IFERROR(__xludf.DUMMYFUNCTION("""COMPUTED_VALUE"""),-5.1320823997383815)</f>
        <v>-5.1320824</v>
      </c>
      <c r="G202" s="53">
        <f>IFERROR(__xludf.DUMMYFUNCTION("""COMPUTED_VALUE"""),-2.994947497139531)</f>
        <v>-2.994947497</v>
      </c>
      <c r="H202" s="53">
        <f>IFERROR(__xludf.DUMMYFUNCTION("""COMPUTED_VALUE"""),2.1371349025988504)</f>
        <v>2.137134903</v>
      </c>
      <c r="I202" s="53">
        <f>IFERROR(__xludf.DUMMYFUNCTION("""COMPUTED_VALUE"""),9.6)</f>
        <v>9.6</v>
      </c>
      <c r="J202" s="53">
        <f>IFERROR(__xludf.DUMMYFUNCTION("""COMPUTED_VALUE"""),0.1)</f>
        <v>0.1</v>
      </c>
      <c r="K202" s="53">
        <f>IFERROR(__xludf.DUMMYFUNCTION("""COMPUTED_VALUE"""),5.1)</f>
        <v>5.1</v>
      </c>
      <c r="L202" s="53">
        <f>IFERROR(__xludf.DUMMYFUNCTION("""COMPUTED_VALUE"""),1.2)</f>
        <v>1.2</v>
      </c>
      <c r="M202" s="53">
        <f>IFERROR(__xludf.DUMMYFUNCTION("""COMPUTED_VALUE"""),0.6)</f>
        <v>0.6</v>
      </c>
      <c r="N202" s="53">
        <f>IFERROR(__xludf.DUMMYFUNCTION("""COMPUTED_VALUE"""),0.8)</f>
        <v>0.8</v>
      </c>
      <c r="O202" s="53">
        <f>IFERROR(__xludf.DUMMYFUNCTION("""COMPUTED_VALUE"""),66.12903225806451)</f>
        <v>66.12903226</v>
      </c>
      <c r="P202" s="53">
        <f>IFERROR(__xludf.DUMMYFUNCTION("""COMPUTED_VALUE"""),66.66666666666666)</f>
        <v>66.66666667</v>
      </c>
      <c r="Q202" s="53">
        <f>IFERROR(__xludf.DUMMYFUNCTION("""COMPUTED_VALUE"""),0.7)</f>
        <v>0.7</v>
      </c>
      <c r="R202" s="53">
        <f>IFERROR(__xludf.DUMMYFUNCTION("""COMPUTED_VALUE"""),-1.2903502929120183)</f>
        <v>-1.290350293</v>
      </c>
      <c r="S202" s="53">
        <f>IFERROR(__xludf.DUMMYFUNCTION("""COMPUTED_VALUE"""),-1.3394249329228134)</f>
        <v>-1.339424933</v>
      </c>
      <c r="T202" s="53">
        <f>IFERROR(__xludf.DUMMYFUNCTION("""COMPUTED_VALUE"""),-0.4162023146331162)</f>
        <v>-0.4162023146</v>
      </c>
      <c r="U202" s="53">
        <f>IFERROR(__xludf.DUMMYFUNCTION("""COMPUTED_VALUE"""),-1.3485050559244194)</f>
        <v>-1.348505056</v>
      </c>
      <c r="V202" s="53">
        <f>IFERROR(__xludf.DUMMYFUNCTION("""COMPUTED_VALUE"""),-0.860570275155411)</f>
        <v>-0.8605702752</v>
      </c>
      <c r="W202" s="53">
        <f>IFERROR(__xludf.DUMMYFUNCTION("""COMPUTED_VALUE"""),0.12956496180946983)</f>
        <v>0.1295649618</v>
      </c>
      <c r="X202" s="53">
        <f>IFERROR(__xludf.DUMMYFUNCTION("""COMPUTED_VALUE"""),1.0237333146594683)</f>
        <v>1.023733315</v>
      </c>
      <c r="Y202" s="53">
        <f>IFERROR(__xludf.DUMMYFUNCTION("""COMPUTED_VALUE"""),-0.6436434683778116)</f>
        <v>-0.6436434684</v>
      </c>
      <c r="Z202" s="53">
        <f>IFERROR(__xludf.DUMMYFUNCTION("""COMPUTED_VALUE"""),0.4019455103927031)</f>
        <v>0.4019455104</v>
      </c>
      <c r="AA202" t="str">
        <f>IFERROR(__xludf.DUMMYFUNCTION("SUBSTITUTE(REGEXREPLACE(REGEXREPLACE(REGEXREPLACE(REGEXREPLACE(REGEXREPLACE(REGEXREPLACE(E202,"","",),IF(Projections!$U$3="""",""PG"",),),IF(Projections!$V$3="""",""SG"",),),IF(Projections!$W$3="""",""SF"",),),IF(Projections!$X$3="""",""PF"",),),IF(Projec"&amp;"tions!$Y$3="""",""C"",),),""/"","""")"),"PFC")</f>
        <v>PFC</v>
      </c>
    </row>
    <row r="203">
      <c r="B203">
        <f>IFERROR(__xludf.DUMMYFUNCTION("""COMPUTED_VALUE"""),203.0)</f>
        <v>203</v>
      </c>
      <c r="C203" t="str">
        <f>IFERROR(__xludf.DUMMYFUNCTION("""COMPUTED_VALUE"""),"Nick Richards")</f>
        <v>Nick Richards</v>
      </c>
      <c r="D203">
        <f>IFERROR(__xludf.DUMMYFUNCTION("""COMPUTED_VALUE"""),70.0)</f>
        <v>70</v>
      </c>
      <c r="E203" t="str">
        <f>IFERROR(__xludf.DUMMYFUNCTION("""COMPUTED_VALUE"""),"C")</f>
        <v>C</v>
      </c>
      <c r="F203" s="53">
        <f>IFERROR(__xludf.DUMMYFUNCTION("""COMPUTED_VALUE"""),-5.322726013352122)</f>
        <v>-5.322726013</v>
      </c>
      <c r="G203" s="53">
        <f>IFERROR(__xludf.DUMMYFUNCTION("""COMPUTED_VALUE"""),-3.0272576154602486)</f>
        <v>-3.027257615</v>
      </c>
      <c r="H203" s="53">
        <f>IFERROR(__xludf.DUMMYFUNCTION("""COMPUTED_VALUE"""),2.2954683978918737)</f>
        <v>2.295468398</v>
      </c>
      <c r="I203" s="53">
        <f>IFERROR(__xludf.DUMMYFUNCTION("""COMPUTED_VALUE"""),8.7)</f>
        <v>8.7</v>
      </c>
      <c r="J203" s="53">
        <f>IFERROR(__xludf.DUMMYFUNCTION("""COMPUTED_VALUE"""),0.0)</f>
        <v>0</v>
      </c>
      <c r="K203" s="53">
        <f>IFERROR(__xludf.DUMMYFUNCTION("""COMPUTED_VALUE"""),6.4)</f>
        <v>6.4</v>
      </c>
      <c r="L203" s="53">
        <f>IFERROR(__xludf.DUMMYFUNCTION("""COMPUTED_VALUE"""),0.7)</f>
        <v>0.7</v>
      </c>
      <c r="M203" s="53">
        <f>IFERROR(__xludf.DUMMYFUNCTION("""COMPUTED_VALUE"""),0.3)</f>
        <v>0.3</v>
      </c>
      <c r="N203" s="53">
        <f>IFERROR(__xludf.DUMMYFUNCTION("""COMPUTED_VALUE"""),1.2)</f>
        <v>1.2</v>
      </c>
      <c r="O203" s="53">
        <f>IFERROR(__xludf.DUMMYFUNCTION("""COMPUTED_VALUE"""),64.70588235294117)</f>
        <v>64.70588235</v>
      </c>
      <c r="P203" s="53">
        <f>IFERROR(__xludf.DUMMYFUNCTION("""COMPUTED_VALUE"""),72.41379310344827)</f>
        <v>72.4137931</v>
      </c>
      <c r="Q203" s="53">
        <f>IFERROR(__xludf.DUMMYFUNCTION("""COMPUTED_VALUE"""),1.1)</f>
        <v>1.1</v>
      </c>
      <c r="R203" s="53">
        <f>IFERROR(__xludf.DUMMYFUNCTION("""COMPUTED_VALUE"""),-1.4420240321746411)</f>
        <v>-1.442024032</v>
      </c>
      <c r="S203" s="53">
        <f>IFERROR(__xludf.DUMMYFUNCTION("""COMPUTED_VALUE"""),-1.4261378116187227)</f>
        <v>-1.426137812</v>
      </c>
      <c r="T203" s="53">
        <f>IFERROR(__xludf.DUMMYFUNCTION("""COMPUTED_VALUE"""),0.12739749349453106)</f>
        <v>0.1273974935</v>
      </c>
      <c r="U203" s="53">
        <f>IFERROR(__xludf.DUMMYFUNCTION("""COMPUTED_VALUE"""),-1.603517358481987)</f>
        <v>-1.603517358</v>
      </c>
      <c r="V203" s="53">
        <f>IFERROR(__xludf.DUMMYFUNCTION("""COMPUTED_VALUE"""),-1.5147199775539493)</f>
        <v>-1.514719978</v>
      </c>
      <c r="W203" s="53">
        <f>IFERROR(__xludf.DUMMYFUNCTION("""COMPUTED_VALUE"""),0.6548283204965102)</f>
        <v>0.6548283205</v>
      </c>
      <c r="X203" s="53">
        <f>IFERROR(__xludf.DUMMYFUNCTION("""COMPUTED_VALUE"""),0.769604942195439)</f>
        <v>0.7696049422</v>
      </c>
      <c r="Y203" s="53">
        <f>IFERROR(__xludf.DUMMYFUNCTION("""COMPUTED_VALUE"""),-0.4739670420331997)</f>
        <v>-0.473967042</v>
      </c>
      <c r="Z203" s="53">
        <f>IFERROR(__xludf.DUMMYFUNCTION("""COMPUTED_VALUE"""),0.2777604917337834)</f>
        <v>0.2777604917</v>
      </c>
      <c r="AA203" t="str">
        <f>IFERROR(__xludf.DUMMYFUNCTION("SUBSTITUTE(REGEXREPLACE(REGEXREPLACE(REGEXREPLACE(REGEXREPLACE(REGEXREPLACE(REGEXREPLACE(E203,"","",),IF(Projections!$U$3="""",""PG"",),),IF(Projections!$V$3="""",""SG"",),),IF(Projections!$W$3="""",""SF"",),),IF(Projections!$X$3="""",""PF"",),),IF(Projec"&amp;"tions!$Y$3="""",""C"",),),""/"","""")"),"C")</f>
        <v>C</v>
      </c>
    </row>
    <row r="204">
      <c r="B204">
        <f>IFERROR(__xludf.DUMMYFUNCTION("""COMPUTED_VALUE"""),171.0)</f>
        <v>171</v>
      </c>
      <c r="C204" t="str">
        <f>IFERROR(__xludf.DUMMYFUNCTION("""COMPUTED_VALUE"""),"Amen Thompson")</f>
        <v>Amen Thompson</v>
      </c>
      <c r="D204">
        <f>IFERROR(__xludf.DUMMYFUNCTION("""COMPUTED_VALUE"""),70.0)</f>
        <v>70</v>
      </c>
      <c r="E204" t="str">
        <f>IFERROR(__xludf.DUMMYFUNCTION("""COMPUTED_VALUE"""),"SF")</f>
        <v>SF</v>
      </c>
      <c r="F204" s="53">
        <f>IFERROR(__xludf.DUMMYFUNCTION("""COMPUTED_VALUE"""),-4.441815567539933)</f>
        <v>-4.441815568</v>
      </c>
      <c r="G204" s="53">
        <f>IFERROR(__xludf.DUMMYFUNCTION("""COMPUTED_VALUE"""),-3.0343227175887475)</f>
        <v>-3.034322718</v>
      </c>
      <c r="H204" s="53">
        <f>IFERROR(__xludf.DUMMYFUNCTION("""COMPUTED_VALUE"""),1.4074928499511858)</f>
        <v>1.40749285</v>
      </c>
      <c r="I204" s="53">
        <f>IFERROR(__xludf.DUMMYFUNCTION("""COMPUTED_VALUE"""),12.2)</f>
        <v>12.2</v>
      </c>
      <c r="J204" s="53">
        <f>IFERROR(__xludf.DUMMYFUNCTION("""COMPUTED_VALUE"""),0.5)</f>
        <v>0.5</v>
      </c>
      <c r="K204" s="53">
        <f>IFERROR(__xludf.DUMMYFUNCTION("""COMPUTED_VALUE"""),3.7)</f>
        <v>3.7</v>
      </c>
      <c r="L204" s="53">
        <f>IFERROR(__xludf.DUMMYFUNCTION("""COMPUTED_VALUE"""),4.4)</f>
        <v>4.4</v>
      </c>
      <c r="M204" s="53">
        <f>IFERROR(__xludf.DUMMYFUNCTION("""COMPUTED_VALUE"""),1.1)</f>
        <v>1.1</v>
      </c>
      <c r="N204" s="53">
        <f>IFERROR(__xludf.DUMMYFUNCTION("""COMPUTED_VALUE"""),0.5)</f>
        <v>0.5</v>
      </c>
      <c r="O204" s="53">
        <f>IFERROR(__xludf.DUMMYFUNCTION("""COMPUTED_VALUE"""),45.0)</f>
        <v>45</v>
      </c>
      <c r="P204" s="53">
        <f>IFERROR(__xludf.DUMMYFUNCTION("""COMPUTED_VALUE"""),69.23076923076924)</f>
        <v>69.23076923</v>
      </c>
      <c r="Q204" s="53">
        <f>IFERROR(__xludf.DUMMYFUNCTION("""COMPUTED_VALUE"""),2.1)</f>
        <v>2.1</v>
      </c>
      <c r="R204" s="53">
        <f>IFERROR(__xludf.DUMMYFUNCTION("""COMPUTED_VALUE"""),-0.8521817128199964)</f>
        <v>-0.8521817128</v>
      </c>
      <c r="S204" s="53">
        <f>IFERROR(__xludf.DUMMYFUNCTION("""COMPUTED_VALUE"""),-0.9925734181391757)</f>
        <v>-0.9925734181</v>
      </c>
      <c r="T204" s="53">
        <f>IFERROR(__xludf.DUMMYFUNCTION("""COMPUTED_VALUE"""),-1.0016174926167358)</f>
        <v>-1.001617493</v>
      </c>
      <c r="U204" s="53">
        <f>IFERROR(__xludf.DUMMYFUNCTION("""COMPUTED_VALUE"""),0.28357368044401526)</f>
        <v>0.2835736804</v>
      </c>
      <c r="V204" s="53">
        <f>IFERROR(__xludf.DUMMYFUNCTION("""COMPUTED_VALUE"""),0.22967922884215308)</f>
        <v>0.2296792288</v>
      </c>
      <c r="W204" s="53">
        <f>IFERROR(__xludf.DUMMYFUNCTION("""COMPUTED_VALUE"""),-0.2643825572058105)</f>
        <v>-0.2643825572</v>
      </c>
      <c r="X204" s="53">
        <f>IFERROR(__xludf.DUMMYFUNCTION("""COMPUTED_VALUE"""),-0.45932237681646404)</f>
        <v>-0.4593223768</v>
      </c>
      <c r="Y204" s="53">
        <f>IFERROR(__xludf.DUMMYFUNCTION("""COMPUTED_VALUE"""),-0.9464135069799536)</f>
        <v>-0.946413507</v>
      </c>
      <c r="Z204" s="53">
        <f>IFERROR(__xludf.DUMMYFUNCTION("""COMPUTED_VALUE"""),-0.032702054913515695)</f>
        <v>-0.03270205491</v>
      </c>
      <c r="AA204" t="str">
        <f>IFERROR(__xludf.DUMMYFUNCTION("SUBSTITUTE(REGEXREPLACE(REGEXREPLACE(REGEXREPLACE(REGEXREPLACE(REGEXREPLACE(REGEXREPLACE(E204,"","",),IF(Projections!$U$3="""",""PG"",),),IF(Projections!$V$3="""",""SG"",),),IF(Projections!$W$3="""",""SF"",),),IF(Projections!$X$3="""",""PF"",),),IF(Projec"&amp;"tions!$Y$3="""",""C"",),),""/"","""")"),"SF")</f>
        <v>SF</v>
      </c>
    </row>
    <row r="205">
      <c r="B205">
        <f>IFERROR(__xludf.DUMMYFUNCTION("""COMPUTED_VALUE"""),195.0)</f>
        <v>195</v>
      </c>
      <c r="C205" t="str">
        <f>IFERROR(__xludf.DUMMYFUNCTION("""COMPUTED_VALUE"""),"Ayo Dosunmu")</f>
        <v>Ayo Dosunmu</v>
      </c>
      <c r="D205">
        <f>IFERROR(__xludf.DUMMYFUNCTION("""COMPUTED_VALUE"""),76.0)</f>
        <v>76</v>
      </c>
      <c r="E205" t="str">
        <f>IFERROR(__xludf.DUMMYFUNCTION("""COMPUTED_VALUE"""),"SG")</f>
        <v>SG</v>
      </c>
      <c r="F205" s="53">
        <f>IFERROR(__xludf.DUMMYFUNCTION("""COMPUTED_VALUE"""),-5.050694115420449)</f>
        <v>-5.050694115</v>
      </c>
      <c r="G205" s="53">
        <f>IFERROR(__xludf.DUMMYFUNCTION("""COMPUTED_VALUE"""),-3.0387455994718495)</f>
        <v>-3.038745599</v>
      </c>
      <c r="H205" s="53">
        <f>IFERROR(__xludf.DUMMYFUNCTION("""COMPUTED_VALUE"""),2.0119485159485997)</f>
        <v>2.011948516</v>
      </c>
      <c r="I205" s="53">
        <f>IFERROR(__xludf.DUMMYFUNCTION("""COMPUTED_VALUE"""),8.8)</f>
        <v>8.8</v>
      </c>
      <c r="J205" s="53">
        <f>IFERROR(__xludf.DUMMYFUNCTION("""COMPUTED_VALUE"""),0.8)</f>
        <v>0.8</v>
      </c>
      <c r="K205" s="53">
        <f>IFERROR(__xludf.DUMMYFUNCTION("""COMPUTED_VALUE"""),2.8)</f>
        <v>2.8</v>
      </c>
      <c r="L205" s="53">
        <f>IFERROR(__xludf.DUMMYFUNCTION("""COMPUTED_VALUE"""),3.0)</f>
        <v>3</v>
      </c>
      <c r="M205" s="53">
        <f>IFERROR(__xludf.DUMMYFUNCTION("""COMPUTED_VALUE"""),0.8)</f>
        <v>0.8</v>
      </c>
      <c r="N205" s="53">
        <f>IFERROR(__xludf.DUMMYFUNCTION("""COMPUTED_VALUE"""),0.4)</f>
        <v>0.4</v>
      </c>
      <c r="O205" s="53">
        <f>IFERROR(__xludf.DUMMYFUNCTION("""COMPUTED_VALUE"""),50.0)</f>
        <v>50</v>
      </c>
      <c r="P205" s="53">
        <f>IFERROR(__xludf.DUMMYFUNCTION("""COMPUTED_VALUE"""),81.81818181818181)</f>
        <v>81.81818182</v>
      </c>
      <c r="Q205" s="53">
        <f>IFERROR(__xludf.DUMMYFUNCTION("""COMPUTED_VALUE"""),1.3)</f>
        <v>1.3</v>
      </c>
      <c r="R205" s="53">
        <f>IFERROR(__xludf.DUMMYFUNCTION("""COMPUTED_VALUE"""),-1.425171394478794)</f>
        <v>-1.425171394</v>
      </c>
      <c r="S205" s="53">
        <f>IFERROR(__xludf.DUMMYFUNCTION("""COMPUTED_VALUE"""),-0.7324347820514473)</f>
        <v>-0.7324347821</v>
      </c>
      <c r="T205" s="53">
        <f>IFERROR(__xludf.DUMMYFUNCTION("""COMPUTED_VALUE"""),-1.3779558213204914)</f>
        <v>-1.377955821</v>
      </c>
      <c r="U205" s="53">
        <f>IFERROR(__xludf.DUMMYFUNCTION("""COMPUTED_VALUE"""),-0.4304607667171749)</f>
        <v>-0.4304607667</v>
      </c>
      <c r="V205" s="53">
        <f>IFERROR(__xludf.DUMMYFUNCTION("""COMPUTED_VALUE"""),-0.42447047355638534)</f>
        <v>-0.4244704736</v>
      </c>
      <c r="W205" s="53">
        <f>IFERROR(__xludf.DUMMYFUNCTION("""COMPUTED_VALUE"""),-0.39569839687757064)</f>
        <v>-0.3956983969</v>
      </c>
      <c r="X205" s="53">
        <f>IFERROR(__xludf.DUMMYFUNCTION("""COMPUTED_VALUE"""),0.0288792992134003)</f>
        <v>0.02887929921</v>
      </c>
      <c r="Y205" s="53">
        <f>IFERROR(__xludf.DUMMYFUNCTION("""COMPUTED_VALUE"""),0.07772735943349546)</f>
        <v>0.07772735943</v>
      </c>
      <c r="Z205" s="53">
        <f>IFERROR(__xludf.DUMMYFUNCTION("""COMPUTED_VALUE"""),0.2156679824043236)</f>
        <v>0.2156679824</v>
      </c>
      <c r="AA205" t="str">
        <f>IFERROR(__xludf.DUMMYFUNCTION("SUBSTITUTE(REGEXREPLACE(REGEXREPLACE(REGEXREPLACE(REGEXREPLACE(REGEXREPLACE(REGEXREPLACE(E205,"","",),IF(Projections!$U$3="""",""PG"",),),IF(Projections!$V$3="""",""SG"",),),IF(Projections!$W$3="""",""SF"",),),IF(Projections!$X$3="""",""PF"",),),IF(Projec"&amp;"tions!$Y$3="""",""C"",),),""/"","""")"),"SG")</f>
        <v>SG</v>
      </c>
    </row>
    <row r="206">
      <c r="B206">
        <f>IFERROR(__xludf.DUMMYFUNCTION("""COMPUTED_VALUE"""),204.0)</f>
        <v>204</v>
      </c>
      <c r="C206" t="str">
        <f>IFERROR(__xludf.DUMMYFUNCTION("""COMPUTED_VALUE"""),"Bones Hyland")</f>
        <v>Bones Hyland</v>
      </c>
      <c r="D206">
        <f>IFERROR(__xludf.DUMMYFUNCTION("""COMPUTED_VALUE"""),67.0)</f>
        <v>67</v>
      </c>
      <c r="E206" t="str">
        <f>IFERROR(__xludf.DUMMYFUNCTION("""COMPUTED_VALUE"""),"PG,SG")</f>
        <v>PG,SG</v>
      </c>
      <c r="F206" s="53">
        <f>IFERROR(__xludf.DUMMYFUNCTION("""COMPUTED_VALUE"""),-5.359066511451706)</f>
        <v>-5.359066511</v>
      </c>
      <c r="G206" s="53">
        <f>IFERROR(__xludf.DUMMYFUNCTION("""COMPUTED_VALUE"""),-3.1180319876467664)</f>
        <v>-3.118031988</v>
      </c>
      <c r="H206" s="53">
        <f>IFERROR(__xludf.DUMMYFUNCTION("""COMPUTED_VALUE"""),2.24103452380494)</f>
        <v>2.241034524</v>
      </c>
      <c r="I206" s="53">
        <f>IFERROR(__xludf.DUMMYFUNCTION("""COMPUTED_VALUE"""),10.7)</f>
        <v>10.7</v>
      </c>
      <c r="J206" s="53">
        <f>IFERROR(__xludf.DUMMYFUNCTION("""COMPUTED_VALUE"""),2.0)</f>
        <v>2</v>
      </c>
      <c r="K206" s="53">
        <f>IFERROR(__xludf.DUMMYFUNCTION("""COMPUTED_VALUE"""),2.6)</f>
        <v>2.6</v>
      </c>
      <c r="L206" s="53">
        <f>IFERROR(__xludf.DUMMYFUNCTION("""COMPUTED_VALUE"""),2.9)</f>
        <v>2.9</v>
      </c>
      <c r="M206" s="53">
        <f>IFERROR(__xludf.DUMMYFUNCTION("""COMPUTED_VALUE"""),0.6)</f>
        <v>0.6</v>
      </c>
      <c r="N206" s="53">
        <f>IFERROR(__xludf.DUMMYFUNCTION("""COMPUTED_VALUE"""),0.3)</f>
        <v>0.3</v>
      </c>
      <c r="O206" s="53">
        <f>IFERROR(__xludf.DUMMYFUNCTION("""COMPUTED_VALUE"""),40.0)</f>
        <v>40</v>
      </c>
      <c r="P206" s="53">
        <f>IFERROR(__xludf.DUMMYFUNCTION("""COMPUTED_VALUE"""),83.33333333333333)</f>
        <v>83.33333333</v>
      </c>
      <c r="Q206" s="53">
        <f>IFERROR(__xludf.DUMMYFUNCTION("""COMPUTED_VALUE"""),1.3)</f>
        <v>1.3</v>
      </c>
      <c r="R206" s="53">
        <f>IFERROR(__xludf.DUMMYFUNCTION("""COMPUTED_VALUE"""),-1.1049712782577013)</f>
        <v>-1.104971278</v>
      </c>
      <c r="S206" s="53">
        <f>IFERROR(__xludf.DUMMYFUNCTION("""COMPUTED_VALUE"""),0.30811976229946575)</f>
        <v>0.3081197623</v>
      </c>
      <c r="T206" s="53">
        <f>IFERROR(__xludf.DUMMYFUNCTION("""COMPUTED_VALUE"""),-1.461586561032437)</f>
        <v>-1.461586561</v>
      </c>
      <c r="U206" s="53">
        <f>IFERROR(__xludf.DUMMYFUNCTION("""COMPUTED_VALUE"""),-0.48146322722868856)</f>
        <v>-0.4814632272</v>
      </c>
      <c r="V206" s="53">
        <f>IFERROR(__xludf.DUMMYFUNCTION("""COMPUTED_VALUE"""),-0.860570275155411)</f>
        <v>-0.8605702752</v>
      </c>
      <c r="W206" s="53">
        <f>IFERROR(__xludf.DUMMYFUNCTION("""COMPUTED_VALUE"""),-0.5270142365493308)</f>
        <v>-0.5270142365</v>
      </c>
      <c r="X206" s="53">
        <f>IFERROR(__xludf.DUMMYFUNCTION("""COMPUTED_VALUE"""),-0.8628794022863856)</f>
        <v>-0.8628794023</v>
      </c>
      <c r="Y206" s="53">
        <f>IFERROR(__xludf.DUMMYFUNCTION("""COMPUTED_VALUE"""),0.19507868712696136)</f>
        <v>0.1950786871</v>
      </c>
      <c r="Z206" s="53">
        <f>IFERROR(__xludf.DUMMYFUNCTION("""COMPUTED_VALUE"""),0.2156679824043236)</f>
        <v>0.2156679824</v>
      </c>
      <c r="AA206" t="str">
        <f>IFERROR(__xludf.DUMMYFUNCTION("REGEXREPLACE(REGEXREPLACE(REGEXREPLACE(REGEXREPLACE(REGEXREPLACE(REGEXREPLACE(E206,"","",),IF(Projections!$U$3="""",""PG"",),),IF(Projections!$V$3="""",""SG"",),),IF(Projections!$W$3="""",""SF"",),),IF(Projections!$X$3="""",""PF"",),),IF(Projections!$Y$3="&amp;""""",""C"",),)"),"PGSG")</f>
        <v>PGSG</v>
      </c>
    </row>
    <row r="207">
      <c r="B207">
        <f>IFERROR(__xludf.DUMMYFUNCTION("""COMPUTED_VALUE"""),200.0)</f>
        <v>200</v>
      </c>
      <c r="C207" t="str">
        <f>IFERROR(__xludf.DUMMYFUNCTION("""COMPUTED_VALUE"""),"Santi Aldama")</f>
        <v>Santi Aldama</v>
      </c>
      <c r="D207">
        <f>IFERROR(__xludf.DUMMYFUNCTION("""COMPUTED_VALUE"""),75.0)</f>
        <v>75</v>
      </c>
      <c r="E207" t="str">
        <f>IFERROR(__xludf.DUMMYFUNCTION("""COMPUTED_VALUE"""),"PF,C")</f>
        <v>PF,C</v>
      </c>
      <c r="F207" s="53">
        <f>IFERROR(__xludf.DUMMYFUNCTION("""COMPUTED_VALUE"""),-5.1741048713336015)</f>
        <v>-5.174104871</v>
      </c>
      <c r="G207" s="53">
        <f>IFERROR(__xludf.DUMMYFUNCTION("""COMPUTED_VALUE"""),-3.13329137577827)</f>
        <v>-3.133291376</v>
      </c>
      <c r="H207" s="53">
        <f>IFERROR(__xludf.DUMMYFUNCTION("""COMPUTED_VALUE"""),2.0408134955553314)</f>
        <v>2.040813496</v>
      </c>
      <c r="I207" s="53">
        <f>IFERROR(__xludf.DUMMYFUNCTION("""COMPUTED_VALUE"""),9.5)</f>
        <v>9.5</v>
      </c>
      <c r="J207" s="53">
        <f>IFERROR(__xludf.DUMMYFUNCTION("""COMPUTED_VALUE"""),1.1)</f>
        <v>1.1</v>
      </c>
      <c r="K207" s="53">
        <f>IFERROR(__xludf.DUMMYFUNCTION("""COMPUTED_VALUE"""),5.2)</f>
        <v>5.2</v>
      </c>
      <c r="L207" s="53">
        <f>IFERROR(__xludf.DUMMYFUNCTION("""COMPUTED_VALUE"""),1.4)</f>
        <v>1.4</v>
      </c>
      <c r="M207" s="53">
        <f>IFERROR(__xludf.DUMMYFUNCTION("""COMPUTED_VALUE"""),0.6)</f>
        <v>0.6</v>
      </c>
      <c r="N207" s="53">
        <f>IFERROR(__xludf.DUMMYFUNCTION("""COMPUTED_VALUE"""),0.7)</f>
        <v>0.7</v>
      </c>
      <c r="O207" s="53">
        <f>IFERROR(__xludf.DUMMYFUNCTION("""COMPUTED_VALUE"""),45.33333333333333)</f>
        <v>45.33333333</v>
      </c>
      <c r="P207" s="53">
        <f>IFERROR(__xludf.DUMMYFUNCTION("""COMPUTED_VALUE"""),75.0)</f>
        <v>75</v>
      </c>
      <c r="Q207" s="53">
        <f>IFERROR(__xludf.DUMMYFUNCTION("""COMPUTED_VALUE"""),0.9)</f>
        <v>0.9</v>
      </c>
      <c r="R207" s="53">
        <f>IFERROR(__xludf.DUMMYFUNCTION("""COMPUTED_VALUE"""),-1.3072029306078652)</f>
        <v>-1.307202931</v>
      </c>
      <c r="S207" s="53">
        <f>IFERROR(__xludf.DUMMYFUNCTION("""COMPUTED_VALUE"""),-0.472296145963719)</f>
        <v>-0.472296146</v>
      </c>
      <c r="T207" s="53">
        <f>IFERROR(__xludf.DUMMYFUNCTION("""COMPUTED_VALUE"""),-0.3743869447771431)</f>
        <v>-0.3743869448</v>
      </c>
      <c r="U207" s="53">
        <f>IFERROR(__xludf.DUMMYFUNCTION("""COMPUTED_VALUE"""),-1.246500134901392)</f>
        <v>-1.246500135</v>
      </c>
      <c r="V207" s="53">
        <f>IFERROR(__xludf.DUMMYFUNCTION("""COMPUTED_VALUE"""),-0.860570275155411)</f>
        <v>-0.8605702752</v>
      </c>
      <c r="W207" s="53">
        <f>IFERROR(__xludf.DUMMYFUNCTION("""COMPUTED_VALUE"""),-0.0017508778622903794)</f>
        <v>-0.001750877862</v>
      </c>
      <c r="X207" s="53">
        <f>IFERROR(__xludf.DUMMYFUNCTION("""COMPUTED_VALUE"""),-0.31952015688170565)</f>
        <v>-0.3195201569</v>
      </c>
      <c r="Y207" s="53">
        <f>IFERROR(__xludf.DUMMYFUNCTION("""COMPUTED_VALUE"""),-0.1981198412998521)</f>
        <v>-0.1981198413</v>
      </c>
      <c r="Z207" s="53">
        <f>IFERROR(__xludf.DUMMYFUNCTION("""COMPUTED_VALUE"""),0.33985300106324323)</f>
        <v>0.3398530011</v>
      </c>
      <c r="AA207" t="str">
        <f>IFERROR(__xludf.DUMMYFUNCTION("REGEXREPLACE(REGEXREPLACE(REGEXREPLACE(REGEXREPLACE(REGEXREPLACE(REGEXREPLACE(E207,"","",),IF(Projections!$U$3="""",""PG"",),),IF(Projections!$V$3="""",""SG"",),),IF(Projections!$W$3="""",""SF"",),),IF(Projections!$X$3="""",""PF"",),),IF(Projections!$Y$3="&amp;""""",""C"",),)"),"PFC")</f>
        <v>PFC</v>
      </c>
    </row>
    <row r="208">
      <c r="B208">
        <f>IFERROR(__xludf.DUMMYFUNCTION("""COMPUTED_VALUE"""),214.0)</f>
        <v>214</v>
      </c>
      <c r="C208" t="str">
        <f>IFERROR(__xludf.DUMMYFUNCTION("""COMPUTED_VALUE"""),"Kenrich Williams")</f>
        <v>Kenrich Williams</v>
      </c>
      <c r="D208">
        <f>IFERROR(__xludf.DUMMYFUNCTION("""COMPUTED_VALUE"""),50.0)</f>
        <v>50</v>
      </c>
      <c r="E208" t="str">
        <f>IFERROR(__xludf.DUMMYFUNCTION("""COMPUTED_VALUE"""),"SF,PF")</f>
        <v>SF,PF</v>
      </c>
      <c r="F208" s="53">
        <f>IFERROR(__xludf.DUMMYFUNCTION("""COMPUTED_VALUE"""),-5.621097768710472)</f>
        <v>-5.621097769</v>
      </c>
      <c r="G208" s="53">
        <f>IFERROR(__xludf.DUMMYFUNCTION("""COMPUTED_VALUE"""),-3.161163227474865)</f>
        <v>-3.161163227</v>
      </c>
      <c r="H208" s="53">
        <f>IFERROR(__xludf.DUMMYFUNCTION("""COMPUTED_VALUE"""),2.459934541235607)</f>
        <v>2.459934541</v>
      </c>
      <c r="I208" s="53">
        <f>IFERROR(__xludf.DUMMYFUNCTION("""COMPUTED_VALUE"""),7.8)</f>
        <v>7.8</v>
      </c>
      <c r="J208" s="53">
        <f>IFERROR(__xludf.DUMMYFUNCTION("""COMPUTED_VALUE"""),0.9)</f>
        <v>0.9</v>
      </c>
      <c r="K208" s="53">
        <f>IFERROR(__xludf.DUMMYFUNCTION("""COMPUTED_VALUE"""),4.7)</f>
        <v>4.7</v>
      </c>
      <c r="L208" s="53">
        <f>IFERROR(__xludf.DUMMYFUNCTION("""COMPUTED_VALUE"""),2.1)</f>
        <v>2.1</v>
      </c>
      <c r="M208" s="53">
        <f>IFERROR(__xludf.DUMMYFUNCTION("""COMPUTED_VALUE"""),0.9)</f>
        <v>0.9</v>
      </c>
      <c r="N208" s="53">
        <f>IFERROR(__xludf.DUMMYFUNCTION("""COMPUTED_VALUE"""),0.2)</f>
        <v>0.2</v>
      </c>
      <c r="O208" s="53">
        <f>IFERROR(__xludf.DUMMYFUNCTION("""COMPUTED_VALUE"""),49.23076923076923)</f>
        <v>49.23076923</v>
      </c>
      <c r="P208" s="53">
        <f>IFERROR(__xludf.DUMMYFUNCTION("""COMPUTED_VALUE"""),55.55555555555556)</f>
        <v>55.55555556</v>
      </c>
      <c r="Q208" s="53">
        <f>IFERROR(__xludf.DUMMYFUNCTION("""COMPUTED_VALUE"""),0.8)</f>
        <v>0.8</v>
      </c>
      <c r="R208" s="53">
        <f>IFERROR(__xludf.DUMMYFUNCTION("""COMPUTED_VALUE"""),-1.5936977714372638)</f>
        <v>-1.593697771</v>
      </c>
      <c r="S208" s="53">
        <f>IFERROR(__xludf.DUMMYFUNCTION("""COMPUTED_VALUE"""),-0.6457219033555379)</f>
        <v>-0.6457219034</v>
      </c>
      <c r="T208" s="53">
        <f>IFERROR(__xludf.DUMMYFUNCTION("""COMPUTED_VALUE"""),-0.5834637940570073)</f>
        <v>-0.5834637941</v>
      </c>
      <c r="U208" s="53">
        <f>IFERROR(__xludf.DUMMYFUNCTION("""COMPUTED_VALUE"""),-0.8894829113207969)</f>
        <v>-0.8894829113</v>
      </c>
      <c r="V208" s="53">
        <f>IFERROR(__xludf.DUMMYFUNCTION("""COMPUTED_VALUE"""),-0.2064205727568726)</f>
        <v>-0.2064205728</v>
      </c>
      <c r="W208" s="53">
        <f>IFERROR(__xludf.DUMMYFUNCTION("""COMPUTED_VALUE"""),-0.6583300762210907)</f>
        <v>-0.6583300762</v>
      </c>
      <c r="X208" s="53">
        <f>IFERROR(__xludf.DUMMYFUNCTION("""COMPUTED_VALUE"""),-0.02387166189363212)</f>
        <v>-0.02387166189</v>
      </c>
      <c r="Y208" s="53">
        <f>IFERROR(__xludf.DUMMYFUNCTION("""COMPUTED_VALUE"""),-0.5247715635979)</f>
        <v>-0.5247715636</v>
      </c>
      <c r="Z208" s="53">
        <f>IFERROR(__xludf.DUMMYFUNCTION("""COMPUTED_VALUE"""),0.37089925572797316)</f>
        <v>0.3708992557</v>
      </c>
      <c r="AA208" t="str">
        <f>IFERROR(__xludf.DUMMYFUNCTION("REGEXREPLACE(REGEXREPLACE(REGEXREPLACE(REGEXREPLACE(REGEXREPLACE(REGEXREPLACE(E208,"","",),IF(Projections!$U$3="""",""PG"",),),IF(Projections!$V$3="""",""SG"",),),IF(Projections!$W$3="""",""SF"",),),IF(Projections!$X$3="""",""PF"",),),IF(Projections!$Y$3="&amp;""""",""C"",),)"),"SFPF")</f>
        <v>SFPF</v>
      </c>
    </row>
    <row r="209">
      <c r="B209">
        <f>IFERROR(__xludf.DUMMYFUNCTION("""COMPUTED_VALUE"""),173.0)</f>
        <v>173</v>
      </c>
      <c r="C209" t="str">
        <f>IFERROR(__xludf.DUMMYFUNCTION("""COMPUTED_VALUE"""),"Jalen Suggs")</f>
        <v>Jalen Suggs</v>
      </c>
      <c r="D209">
        <f>IFERROR(__xludf.DUMMYFUNCTION("""COMPUTED_VALUE"""),56.0)</f>
        <v>56</v>
      </c>
      <c r="E209" t="str">
        <f>IFERROR(__xludf.DUMMYFUNCTION("""COMPUTED_VALUE"""),"PG,SG")</f>
        <v>PG,SG</v>
      </c>
      <c r="F209" s="53">
        <f>IFERROR(__xludf.DUMMYFUNCTION("""COMPUTED_VALUE"""),-4.548418525061675)</f>
        <v>-4.548418525</v>
      </c>
      <c r="G209" s="53">
        <f>IFERROR(__xludf.DUMMYFUNCTION("""COMPUTED_VALUE"""),-3.162131633943314)</f>
        <v>-3.162131634</v>
      </c>
      <c r="H209" s="53">
        <f>IFERROR(__xludf.DUMMYFUNCTION("""COMPUTED_VALUE"""),1.386286891118361)</f>
        <v>1.386286891</v>
      </c>
      <c r="I209" s="53">
        <f>IFERROR(__xludf.DUMMYFUNCTION("""COMPUTED_VALUE"""),10.3)</f>
        <v>10.3</v>
      </c>
      <c r="J209" s="53">
        <f>IFERROR(__xludf.DUMMYFUNCTION("""COMPUTED_VALUE"""),1.0)</f>
        <v>1</v>
      </c>
      <c r="K209" s="53">
        <f>IFERROR(__xludf.DUMMYFUNCTION("""COMPUTED_VALUE"""),3.1)</f>
        <v>3.1</v>
      </c>
      <c r="L209" s="53">
        <f>IFERROR(__xludf.DUMMYFUNCTION("""COMPUTED_VALUE"""),3.4)</f>
        <v>3.4</v>
      </c>
      <c r="M209" s="53">
        <f>IFERROR(__xludf.DUMMYFUNCTION("""COMPUTED_VALUE"""),1.2)</f>
        <v>1.2</v>
      </c>
      <c r="N209" s="53">
        <f>IFERROR(__xludf.DUMMYFUNCTION("""COMPUTED_VALUE"""),0.4)</f>
        <v>0.4</v>
      </c>
      <c r="O209" s="53">
        <f>IFERROR(__xludf.DUMMYFUNCTION("""COMPUTED_VALUE"""),40.0)</f>
        <v>40</v>
      </c>
      <c r="P209" s="53">
        <f>IFERROR(__xludf.DUMMYFUNCTION("""COMPUTED_VALUE"""),74.07407407407408)</f>
        <v>74.07407407</v>
      </c>
      <c r="Q209" s="53">
        <f>IFERROR(__xludf.DUMMYFUNCTION("""COMPUTED_VALUE"""),2.2)</f>
        <v>2.2</v>
      </c>
      <c r="R209" s="53">
        <f>IFERROR(__xludf.DUMMYFUNCTION("""COMPUTED_VALUE"""),-1.172381829041089)</f>
        <v>-1.172381829</v>
      </c>
      <c r="S209" s="53">
        <f>IFERROR(__xludf.DUMMYFUNCTION("""COMPUTED_VALUE"""),-0.5590090246596284)</f>
        <v>-0.5590090247</v>
      </c>
      <c r="T209" s="53">
        <f>IFERROR(__xludf.DUMMYFUNCTION("""COMPUTED_VALUE"""),-1.2525097117525728)</f>
        <v>-1.252509712</v>
      </c>
      <c r="U209" s="53">
        <f>IFERROR(__xludf.DUMMYFUNCTION("""COMPUTED_VALUE"""),-0.22645092467112066)</f>
        <v>-0.2264509247</v>
      </c>
      <c r="V209" s="53">
        <f>IFERROR(__xludf.DUMMYFUNCTION("""COMPUTED_VALUE"""),0.44772912964166556)</f>
        <v>0.4477291296</v>
      </c>
      <c r="W209" s="53">
        <f>IFERROR(__xludf.DUMMYFUNCTION("""COMPUTED_VALUE"""),-0.39569839687757064)</f>
        <v>-0.3956983969</v>
      </c>
      <c r="X209" s="53">
        <f>IFERROR(__xludf.DUMMYFUNCTION("""COMPUTED_VALUE"""),-0.8628794022863856)</f>
        <v>-0.8628794023</v>
      </c>
      <c r="Y209" s="53">
        <f>IFERROR(__xludf.DUMMYFUNCTION("""COMPUTED_VALUE"""),-0.3296928764709388)</f>
        <v>-0.3296928765</v>
      </c>
      <c r="Z209" s="53">
        <f>IFERROR(__xludf.DUMMYFUNCTION("""COMPUTED_VALUE"""),-0.06374830957824563)</f>
        <v>-0.06374830958</v>
      </c>
      <c r="AA209" t="str">
        <f>IFERROR(__xludf.DUMMYFUNCTION("REGEXREPLACE(REGEXREPLACE(REGEXREPLACE(REGEXREPLACE(REGEXREPLACE(REGEXREPLACE(E209,"","",),IF(Projections!$U$3="""",""PG"",),),IF(Projections!$V$3="""",""SG"",),),IF(Projections!$W$3="""",""SF"",),),IF(Projections!$X$3="""",""PF"",),),IF(Projections!$Y$3="&amp;""""",""C"",),)"),"PGSG")</f>
        <v>PGSG</v>
      </c>
    </row>
    <row r="210">
      <c r="B210">
        <f>IFERROR(__xludf.DUMMYFUNCTION("""COMPUTED_VALUE"""),207.0)</f>
        <v>207</v>
      </c>
      <c r="C210" t="str">
        <f>IFERROR(__xludf.DUMMYFUNCTION("""COMPUTED_VALUE"""),"Dorian Finney-Smith")</f>
        <v>Dorian Finney-Smith</v>
      </c>
      <c r="D210">
        <f>IFERROR(__xludf.DUMMYFUNCTION("""COMPUTED_VALUE"""),69.0)</f>
        <v>69</v>
      </c>
      <c r="E210" t="str">
        <f>IFERROR(__xludf.DUMMYFUNCTION("""COMPUTED_VALUE"""),"SF,PF")</f>
        <v>SF,PF</v>
      </c>
      <c r="F210" s="53">
        <f>IFERROR(__xludf.DUMMYFUNCTION("""COMPUTED_VALUE"""),-5.470910932870927)</f>
        <v>-5.470910933</v>
      </c>
      <c r="G210" s="53">
        <f>IFERROR(__xludf.DUMMYFUNCTION("""COMPUTED_VALUE"""),-3.196969234956166)</f>
        <v>-3.196969235</v>
      </c>
      <c r="H210" s="53">
        <f>IFERROR(__xludf.DUMMYFUNCTION("""COMPUTED_VALUE"""),2.2739416979147613)</f>
        <v>2.273941698</v>
      </c>
      <c r="I210" s="53">
        <f>IFERROR(__xludf.DUMMYFUNCTION("""COMPUTED_VALUE"""),7.8)</f>
        <v>7.8</v>
      </c>
      <c r="J210" s="53">
        <f>IFERROR(__xludf.DUMMYFUNCTION("""COMPUTED_VALUE"""),1.6)</f>
        <v>1.6</v>
      </c>
      <c r="K210" s="53">
        <f>IFERROR(__xludf.DUMMYFUNCTION("""COMPUTED_VALUE"""),3.8)</f>
        <v>3.8</v>
      </c>
      <c r="L210" s="53">
        <f>IFERROR(__xludf.DUMMYFUNCTION("""COMPUTED_VALUE"""),1.4)</f>
        <v>1.4</v>
      </c>
      <c r="M210" s="53">
        <f>IFERROR(__xludf.DUMMYFUNCTION("""COMPUTED_VALUE"""),0.8)</f>
        <v>0.8</v>
      </c>
      <c r="N210" s="53">
        <f>IFERROR(__xludf.DUMMYFUNCTION("""COMPUTED_VALUE"""),0.4)</f>
        <v>0.4</v>
      </c>
      <c r="O210" s="53">
        <f>IFERROR(__xludf.DUMMYFUNCTION("""COMPUTED_VALUE"""),43.07692307692307)</f>
        <v>43.07692308</v>
      </c>
      <c r="P210" s="53">
        <f>IFERROR(__xludf.DUMMYFUNCTION("""COMPUTED_VALUE"""),74.99999999999999)</f>
        <v>75</v>
      </c>
      <c r="Q210" s="53">
        <f>IFERROR(__xludf.DUMMYFUNCTION("""COMPUTED_VALUE"""),0.8)</f>
        <v>0.8</v>
      </c>
      <c r="R210" s="53">
        <f>IFERROR(__xludf.DUMMYFUNCTION("""COMPUTED_VALUE"""),-1.5936977714372638)</f>
        <v>-1.593697771</v>
      </c>
      <c r="S210" s="53">
        <f>IFERROR(__xludf.DUMMYFUNCTION("""COMPUTED_VALUE"""),-0.03873175248417188)</f>
        <v>-0.03873175248</v>
      </c>
      <c r="T210" s="53">
        <f>IFERROR(__xludf.DUMMYFUNCTION("""COMPUTED_VALUE"""),-0.959802122760763)</f>
        <v>-0.9598021228</v>
      </c>
      <c r="U210" s="53">
        <f>IFERROR(__xludf.DUMMYFUNCTION("""COMPUTED_VALUE"""),-1.246500134901392)</f>
        <v>-1.246500135</v>
      </c>
      <c r="V210" s="53">
        <f>IFERROR(__xludf.DUMMYFUNCTION("""COMPUTED_VALUE"""),-0.42447047355638534)</f>
        <v>-0.4244704736</v>
      </c>
      <c r="W210" s="53">
        <f>IFERROR(__xludf.DUMMYFUNCTION("""COMPUTED_VALUE"""),-0.39569839687757064)</f>
        <v>-0.3956983969</v>
      </c>
      <c r="X210" s="53">
        <f>IFERROR(__xludf.DUMMYFUNCTION("""COMPUTED_VALUE"""),-0.4234176735839153)</f>
        <v>-0.4234176736</v>
      </c>
      <c r="Y210" s="53">
        <f>IFERROR(__xludf.DUMMYFUNCTION("""COMPUTED_VALUE"""),-0.07924793651994107)</f>
        <v>-0.07924793652</v>
      </c>
      <c r="Z210" s="53">
        <f>IFERROR(__xludf.DUMMYFUNCTION("""COMPUTED_VALUE"""),0.37089925572797316)</f>
        <v>0.3708992557</v>
      </c>
      <c r="AA210" t="str">
        <f>IFERROR(__xludf.DUMMYFUNCTION("REGEXREPLACE(REGEXREPLACE(REGEXREPLACE(REGEXREPLACE(REGEXREPLACE(REGEXREPLACE(E210,"","",),IF(Projections!$U$3="""",""PG"",),),IF(Projections!$V$3="""",""SG"",),),IF(Projections!$W$3="""",""SF"",),),IF(Projections!$X$3="""",""PF"",),),IF(Projections!$Y$3="&amp;""""",""C"",),)"),"SFPF")</f>
        <v>SFPF</v>
      </c>
    </row>
    <row r="211">
      <c r="B211">
        <f>IFERROR(__xludf.DUMMYFUNCTION("""COMPUTED_VALUE"""),215.0)</f>
        <v>215</v>
      </c>
      <c r="C211" t="str">
        <f>IFERROR(__xludf.DUMMYFUNCTION("""COMPUTED_VALUE"""),"Cody Martin")</f>
        <v>Cody Martin</v>
      </c>
      <c r="D211">
        <f>IFERROR(__xludf.DUMMYFUNCTION("""COMPUTED_VALUE"""),65.0)</f>
        <v>65</v>
      </c>
      <c r="E211" t="str">
        <f>IFERROR(__xludf.DUMMYFUNCTION("""COMPUTED_VALUE"""),"SG,SF")</f>
        <v>SG,SF</v>
      </c>
      <c r="F211" s="53">
        <f>IFERROR(__xludf.DUMMYFUNCTION("""COMPUTED_VALUE"""),-5.6943162916924654)</f>
        <v>-5.694316292</v>
      </c>
      <c r="G211" s="53">
        <f>IFERROR(__xludf.DUMMYFUNCTION("""COMPUTED_VALUE"""),-3.20922540478938)</f>
        <v>-3.209225405</v>
      </c>
      <c r="H211" s="53">
        <f>IFERROR(__xludf.DUMMYFUNCTION("""COMPUTED_VALUE"""),2.4850908869030857)</f>
        <v>2.485090887</v>
      </c>
      <c r="I211" s="53">
        <f>IFERROR(__xludf.DUMMYFUNCTION("""COMPUTED_VALUE"""),6.2)</f>
        <v>6.2</v>
      </c>
      <c r="J211" s="53">
        <f>IFERROR(__xludf.DUMMYFUNCTION("""COMPUTED_VALUE"""),0.7)</f>
        <v>0.7</v>
      </c>
      <c r="K211" s="53">
        <f>IFERROR(__xludf.DUMMYFUNCTION("""COMPUTED_VALUE"""),3.3)</f>
        <v>3.3</v>
      </c>
      <c r="L211" s="53">
        <f>IFERROR(__xludf.DUMMYFUNCTION("""COMPUTED_VALUE"""),2.0)</f>
        <v>2</v>
      </c>
      <c r="M211" s="53">
        <f>IFERROR(__xludf.DUMMYFUNCTION("""COMPUTED_VALUE"""),1.0)</f>
        <v>1</v>
      </c>
      <c r="N211" s="53">
        <f>IFERROR(__xludf.DUMMYFUNCTION("""COMPUTED_VALUE"""),0.4)</f>
        <v>0.4</v>
      </c>
      <c r="O211" s="53">
        <f>IFERROR(__xludf.DUMMYFUNCTION("""COMPUTED_VALUE"""),46.0)</f>
        <v>46</v>
      </c>
      <c r="P211" s="53">
        <f>IFERROR(__xludf.DUMMYFUNCTION("""COMPUTED_VALUE"""),75.0)</f>
        <v>75</v>
      </c>
      <c r="Q211" s="53">
        <f>IFERROR(__xludf.DUMMYFUNCTION("""COMPUTED_VALUE"""),0.7)</f>
        <v>0.7</v>
      </c>
      <c r="R211" s="53">
        <f>IFERROR(__xludf.DUMMYFUNCTION("""COMPUTED_VALUE"""),-1.863339974570816)</f>
        <v>-1.863339975</v>
      </c>
      <c r="S211" s="53">
        <f>IFERROR(__xludf.DUMMYFUNCTION("""COMPUTED_VALUE"""),-0.8191476607473568)</f>
        <v>-0.8191476607</v>
      </c>
      <c r="T211" s="53">
        <f>IFERROR(__xludf.DUMMYFUNCTION("""COMPUTED_VALUE"""),-1.1688789720406272)</f>
        <v>-1.168878972</v>
      </c>
      <c r="U211" s="53">
        <f>IFERROR(__xludf.DUMMYFUNCTION("""COMPUTED_VALUE"""),-0.9404853718323106)</f>
        <v>-0.9404853718</v>
      </c>
      <c r="V211" s="53">
        <f>IFERROR(__xludf.DUMMYFUNCTION("""COMPUTED_VALUE"""),0.011629328042640127)</f>
        <v>0.01162932804</v>
      </c>
      <c r="W211" s="53">
        <f>IFERROR(__xludf.DUMMYFUNCTION("""COMPUTED_VALUE"""),-0.39569839687757064)</f>
        <v>-0.3956983969</v>
      </c>
      <c r="X211" s="53">
        <f>IFERROR(__xludf.DUMMYFUNCTION("""COMPUTED_VALUE"""),-0.1797179369469469)</f>
        <v>-0.1797179369</v>
      </c>
      <c r="Y211" s="53">
        <f>IFERROR(__xludf.DUMMYFUNCTION("""COMPUTED_VALUE"""),-0.11887190477991126)</f>
        <v>-0.1188719048</v>
      </c>
      <c r="Z211" s="53">
        <f>IFERROR(__xludf.DUMMYFUNCTION("""COMPUTED_VALUE"""),0.4019455103927031)</f>
        <v>0.4019455104</v>
      </c>
      <c r="AA211" t="str">
        <f>IFERROR(__xludf.DUMMYFUNCTION("REGEXREPLACE(REGEXREPLACE(REGEXREPLACE(REGEXREPLACE(REGEXREPLACE(REGEXREPLACE(E211,"","",),IF(Projections!$U$3="""",""PG"",),),IF(Projections!$V$3="""",""SG"",),),IF(Projections!$W$3="""",""SF"",),),IF(Projections!$X$3="""",""PF"",),),IF(Projections!$Y$3="&amp;""""",""C"",),)"),"SGSF")</f>
        <v>SGSF</v>
      </c>
    </row>
    <row r="212">
      <c r="B212">
        <f>IFERROR(__xludf.DUMMYFUNCTION("""COMPUTED_VALUE"""),196.0)</f>
        <v>196</v>
      </c>
      <c r="C212" t="str">
        <f>IFERROR(__xludf.DUMMYFUNCTION("""COMPUTED_VALUE"""),"Josh Okogie")</f>
        <v>Josh Okogie</v>
      </c>
      <c r="D212">
        <f>IFERROR(__xludf.DUMMYFUNCTION("""COMPUTED_VALUE"""),70.0)</f>
        <v>70</v>
      </c>
      <c r="E212" t="str">
        <f>IFERROR(__xludf.DUMMYFUNCTION("""COMPUTED_VALUE"""),"SG,SF")</f>
        <v>SG,SF</v>
      </c>
      <c r="F212" s="53">
        <f>IFERROR(__xludf.DUMMYFUNCTION("""COMPUTED_VALUE"""),-5.052536702741552)</f>
        <v>-5.052536703</v>
      </c>
      <c r="G212" s="53">
        <f>IFERROR(__xludf.DUMMYFUNCTION("""COMPUTED_VALUE"""),-3.2218032753263213)</f>
        <v>-3.221803275</v>
      </c>
      <c r="H212" s="53">
        <f>IFERROR(__xludf.DUMMYFUNCTION("""COMPUTED_VALUE"""),1.8307334274152307)</f>
        <v>1.830733427</v>
      </c>
      <c r="I212" s="53">
        <f>IFERROR(__xludf.DUMMYFUNCTION("""COMPUTED_VALUE"""),8.8)</f>
        <v>8.8</v>
      </c>
      <c r="J212" s="53">
        <f>IFERROR(__xludf.DUMMYFUNCTION("""COMPUTED_VALUE"""),1.1)</f>
        <v>1.1</v>
      </c>
      <c r="K212" s="53">
        <f>IFERROR(__xludf.DUMMYFUNCTION("""COMPUTED_VALUE"""),4.2)</f>
        <v>4.2</v>
      </c>
      <c r="L212" s="53">
        <f>IFERROR(__xludf.DUMMYFUNCTION("""COMPUTED_VALUE"""),1.7)</f>
        <v>1.7</v>
      </c>
      <c r="M212" s="53">
        <f>IFERROR(__xludf.DUMMYFUNCTION("""COMPUTED_VALUE"""),1.1)</f>
        <v>1.1</v>
      </c>
      <c r="N212" s="53">
        <f>IFERROR(__xludf.DUMMYFUNCTION("""COMPUTED_VALUE"""),0.6)</f>
        <v>0.6</v>
      </c>
      <c r="O212" s="53">
        <f>IFERROR(__xludf.DUMMYFUNCTION("""COMPUTED_VALUE"""),39.70588235294118)</f>
        <v>39.70588235</v>
      </c>
      <c r="P212" s="53">
        <f>IFERROR(__xludf.DUMMYFUNCTION("""COMPUTED_VALUE"""),71.87499999999999)</f>
        <v>71.875</v>
      </c>
      <c r="Q212" s="53">
        <f>IFERROR(__xludf.DUMMYFUNCTION("""COMPUTED_VALUE"""),1.1)</f>
        <v>1.1</v>
      </c>
      <c r="R212" s="53">
        <f>IFERROR(__xludf.DUMMYFUNCTION("""COMPUTED_VALUE"""),-1.425171394478794)</f>
        <v>-1.425171394</v>
      </c>
      <c r="S212" s="53">
        <f>IFERROR(__xludf.DUMMYFUNCTION("""COMPUTED_VALUE"""),-0.472296145963719)</f>
        <v>-0.472296146</v>
      </c>
      <c r="T212" s="53">
        <f>IFERROR(__xludf.DUMMYFUNCTION("""COMPUTED_VALUE"""),-0.7925406433368716)</f>
        <v>-0.7925406433</v>
      </c>
      <c r="U212" s="53">
        <f>IFERROR(__xludf.DUMMYFUNCTION("""COMPUTED_VALUE"""),-1.0934927533668515)</f>
        <v>-1.093492753</v>
      </c>
      <c r="V212" s="53">
        <f>IFERROR(__xludf.DUMMYFUNCTION("""COMPUTED_VALUE"""),0.22967922884215308)</f>
        <v>0.2296792288</v>
      </c>
      <c r="W212" s="53">
        <f>IFERROR(__xludf.DUMMYFUNCTION("""COMPUTED_VALUE"""),-0.13306671753405044)</f>
        <v>-0.1330667175</v>
      </c>
      <c r="X212" s="53">
        <f>IFERROR(__xludf.DUMMYFUNCTION("""COMPUTED_VALUE"""),-0.6719306267564499)</f>
        <v>-0.6719306268</v>
      </c>
      <c r="Y212" s="53">
        <f>IFERROR(__xludf.DUMMYFUNCTION("""COMPUTED_VALUE"""),-0.5659161089443167)</f>
        <v>-0.5659161089</v>
      </c>
      <c r="Z212" s="53">
        <f>IFERROR(__xludf.DUMMYFUNCTION("""COMPUTED_VALUE"""),0.2777604917337834)</f>
        <v>0.2777604917</v>
      </c>
      <c r="AA212" t="str">
        <f>IFERROR(__xludf.DUMMYFUNCTION("REGEXREPLACE(REGEXREPLACE(REGEXREPLACE(REGEXREPLACE(REGEXREPLACE(REGEXREPLACE(E212,"","",),IF(Projections!$U$3="""",""PG"",),),IF(Projections!$V$3="""",""SG"",),),IF(Projections!$W$3="""",""SF"",),),IF(Projections!$X$3="""",""PF"",),),IF(Projections!$Y$3="&amp;""""",""C"",),)"),"SGSF")</f>
        <v>SGSF</v>
      </c>
    </row>
    <row r="213">
      <c r="B213">
        <f>IFERROR(__xludf.DUMMYFUNCTION("""COMPUTED_VALUE"""),224.0)</f>
        <v>224</v>
      </c>
      <c r="C213" t="str">
        <f>IFERROR(__xludf.DUMMYFUNCTION("""COMPUTED_VALUE"""),"Kevin Love")</f>
        <v>Kevin Love</v>
      </c>
      <c r="D213">
        <f>IFERROR(__xludf.DUMMYFUNCTION("""COMPUTED_VALUE"""),62.0)</f>
        <v>62</v>
      </c>
      <c r="E213" t="str">
        <f>IFERROR(__xludf.DUMMYFUNCTION("""COMPUTED_VALUE"""),"PF,C")</f>
        <v>PF,C</v>
      </c>
      <c r="F213" s="53">
        <f>IFERROR(__xludf.DUMMYFUNCTION("""COMPUTED_VALUE"""),-5.900020220729021)</f>
        <v>-5.900020221</v>
      </c>
      <c r="G213" s="53">
        <f>IFERROR(__xludf.DUMMYFUNCTION("""COMPUTED_VALUE"""),-3.239443561057004)</f>
        <v>-3.239443561</v>
      </c>
      <c r="H213" s="53">
        <f>IFERROR(__xludf.DUMMYFUNCTION("""COMPUTED_VALUE"""),2.6605766596720173)</f>
        <v>2.66057666</v>
      </c>
      <c r="I213" s="53">
        <f>IFERROR(__xludf.DUMMYFUNCTION("""COMPUTED_VALUE"""),9.3)</f>
        <v>9.3</v>
      </c>
      <c r="J213" s="53">
        <f>IFERROR(__xludf.DUMMYFUNCTION("""COMPUTED_VALUE"""),1.8)</f>
        <v>1.8</v>
      </c>
      <c r="K213" s="53">
        <f>IFERROR(__xludf.DUMMYFUNCTION("""COMPUTED_VALUE"""),5.7)</f>
        <v>5.7</v>
      </c>
      <c r="L213" s="53">
        <f>IFERROR(__xludf.DUMMYFUNCTION("""COMPUTED_VALUE"""),1.7)</f>
        <v>1.7</v>
      </c>
      <c r="M213" s="53">
        <f>IFERROR(__xludf.DUMMYFUNCTION("""COMPUTED_VALUE"""),0.3)</f>
        <v>0.3</v>
      </c>
      <c r="N213" s="53">
        <f>IFERROR(__xludf.DUMMYFUNCTION("""COMPUTED_VALUE"""),0.2)</f>
        <v>0.2</v>
      </c>
      <c r="O213" s="53">
        <f>IFERROR(__xludf.DUMMYFUNCTION("""COMPUTED_VALUE"""),41.09589041095891)</f>
        <v>41.09589041</v>
      </c>
      <c r="P213" s="53">
        <f>IFERROR(__xludf.DUMMYFUNCTION("""COMPUTED_VALUE"""),83.33333333333333)</f>
        <v>83.33333333</v>
      </c>
      <c r="Q213" s="53">
        <f>IFERROR(__xludf.DUMMYFUNCTION("""COMPUTED_VALUE"""),1.0)</f>
        <v>1</v>
      </c>
      <c r="R213" s="53">
        <f>IFERROR(__xludf.DUMMYFUNCTION("""COMPUTED_VALUE"""),-1.340908205999559)</f>
        <v>-1.340908206</v>
      </c>
      <c r="S213" s="53">
        <f>IFERROR(__xludf.DUMMYFUNCTION("""COMPUTED_VALUE"""),0.13469400490764694)</f>
        <v>0.1346940049</v>
      </c>
      <c r="T213" s="53">
        <f>IFERROR(__xludf.DUMMYFUNCTION("""COMPUTED_VALUE"""),-0.16531009549727893)</f>
        <v>-0.1653100955</v>
      </c>
      <c r="U213" s="53">
        <f>IFERROR(__xludf.DUMMYFUNCTION("""COMPUTED_VALUE"""),-1.0934927533668515)</f>
        <v>-1.093492753</v>
      </c>
      <c r="V213" s="53">
        <f>IFERROR(__xludf.DUMMYFUNCTION("""COMPUTED_VALUE"""),-1.5147199775539493)</f>
        <v>-1.514719978</v>
      </c>
      <c r="W213" s="53">
        <f>IFERROR(__xludf.DUMMYFUNCTION("""COMPUTED_VALUE"""),-0.6583300762210907)</f>
        <v>-0.6583300762</v>
      </c>
      <c r="X213" s="53">
        <f>IFERROR(__xludf.DUMMYFUNCTION("""COMPUTED_VALUE"""),-0.6199818684053451)</f>
        <v>-0.6199818684</v>
      </c>
      <c r="Y213" s="53">
        <f>IFERROR(__xludf.DUMMYFUNCTION("""COMPUTED_VALUE"""),0.19507868712696136)</f>
        <v>0.1950786871</v>
      </c>
      <c r="Z213" s="53">
        <f>IFERROR(__xludf.DUMMYFUNCTION("""COMPUTED_VALUE"""),0.30880674639851335)</f>
        <v>0.3088067464</v>
      </c>
      <c r="AA213" t="str">
        <f>IFERROR(__xludf.DUMMYFUNCTION("REGEXREPLACE(REGEXREPLACE(REGEXREPLACE(REGEXREPLACE(REGEXREPLACE(REGEXREPLACE(E213,"","",),IF(Projections!$U$3="""",""PG"",),),IF(Projections!$V$3="""",""SG"",),),IF(Projections!$W$3="""",""SF"",),),IF(Projections!$X$3="""",""PF"",),),IF(Projections!$Y$3="&amp;""""",""C"",),)"),"PFC")</f>
        <v>PFC</v>
      </c>
    </row>
    <row r="214">
      <c r="B214">
        <f>IFERROR(__xludf.DUMMYFUNCTION("""COMPUTED_VALUE"""),221.0)</f>
        <v>221</v>
      </c>
      <c r="C214" t="str">
        <f>IFERROR(__xludf.DUMMYFUNCTION("""COMPUTED_VALUE"""),"Eric Gordon")</f>
        <v>Eric Gordon</v>
      </c>
      <c r="D214">
        <f>IFERROR(__xludf.DUMMYFUNCTION("""COMPUTED_VALUE"""),60.0)</f>
        <v>60</v>
      </c>
      <c r="E214" t="str">
        <f>IFERROR(__xludf.DUMMYFUNCTION("""COMPUTED_VALUE"""),"SG,SF")</f>
        <v>SG,SF</v>
      </c>
      <c r="F214" s="53">
        <f>IFERROR(__xludf.DUMMYFUNCTION("""COMPUTED_VALUE"""),-5.825022836354156)</f>
        <v>-5.825022836</v>
      </c>
      <c r="G214" s="53">
        <f>IFERROR(__xludf.DUMMYFUNCTION("""COMPUTED_VALUE"""),-3.2545024386927928)</f>
        <v>-3.254502439</v>
      </c>
      <c r="H214" s="53">
        <f>IFERROR(__xludf.DUMMYFUNCTION("""COMPUTED_VALUE"""),2.5705203976613635)</f>
        <v>2.570520398</v>
      </c>
      <c r="I214" s="53">
        <f>IFERROR(__xludf.DUMMYFUNCTION("""COMPUTED_VALUE"""),11.9)</f>
        <v>11.9</v>
      </c>
      <c r="J214" s="53">
        <f>IFERROR(__xludf.DUMMYFUNCTION("""COMPUTED_VALUE"""),1.9)</f>
        <v>1.9</v>
      </c>
      <c r="K214" s="53">
        <f>IFERROR(__xludf.DUMMYFUNCTION("""COMPUTED_VALUE"""),1.8)</f>
        <v>1.8</v>
      </c>
      <c r="L214" s="53">
        <f>IFERROR(__xludf.DUMMYFUNCTION("""COMPUTED_VALUE"""),2.5)</f>
        <v>2.5</v>
      </c>
      <c r="M214" s="53">
        <f>IFERROR(__xludf.DUMMYFUNCTION("""COMPUTED_VALUE"""),0.5)</f>
        <v>0.5</v>
      </c>
      <c r="N214" s="53">
        <f>IFERROR(__xludf.DUMMYFUNCTION("""COMPUTED_VALUE"""),0.3)</f>
        <v>0.3</v>
      </c>
      <c r="O214" s="53">
        <f>IFERROR(__xludf.DUMMYFUNCTION("""COMPUTED_VALUE"""),45.55555555555555)</f>
        <v>45.55555556</v>
      </c>
      <c r="P214" s="53">
        <f>IFERROR(__xludf.DUMMYFUNCTION("""COMPUTED_VALUE"""),78.26086956521739)</f>
        <v>78.26086957</v>
      </c>
      <c r="Q214" s="53">
        <f>IFERROR(__xludf.DUMMYFUNCTION("""COMPUTED_VALUE"""),1.6)</f>
        <v>1.6</v>
      </c>
      <c r="R214" s="53">
        <f>IFERROR(__xludf.DUMMYFUNCTION("""COMPUTED_VALUE"""),-0.9027396259075373)</f>
        <v>-0.9027396259</v>
      </c>
      <c r="S214" s="53">
        <f>IFERROR(__xludf.DUMMYFUNCTION("""COMPUTED_VALUE"""),0.2214068836035562)</f>
        <v>0.2214068836</v>
      </c>
      <c r="T214" s="53">
        <f>IFERROR(__xludf.DUMMYFUNCTION("""COMPUTED_VALUE"""),-1.79610951988022)</f>
        <v>-1.79610952</v>
      </c>
      <c r="U214" s="53">
        <f>IFERROR(__xludf.DUMMYFUNCTION("""COMPUTED_VALUE"""),-0.6854730692747427)</f>
        <v>-0.6854730693</v>
      </c>
      <c r="V214" s="53">
        <f>IFERROR(__xludf.DUMMYFUNCTION("""COMPUTED_VALUE"""),-1.0786201759549239)</f>
        <v>-1.078620176</v>
      </c>
      <c r="W214" s="53">
        <f>IFERROR(__xludf.DUMMYFUNCTION("""COMPUTED_VALUE"""),-0.5270142365493308)</f>
        <v>-0.5270142365</v>
      </c>
      <c r="X214" s="53">
        <f>IFERROR(__xludf.DUMMYFUNCTION("""COMPUTED_VALUE"""),-0.36344688767353306)</f>
        <v>-0.3634468877</v>
      </c>
      <c r="Y214" s="53">
        <f>IFERROR(__xludf.DUMMYFUNCTION("""COMPUTED_VALUE"""),-0.041144545346415456)</f>
        <v>-0.04114454535</v>
      </c>
      <c r="Z214" s="53">
        <f>IFERROR(__xludf.DUMMYFUNCTION("""COMPUTED_VALUE"""),0.12252921841013387)</f>
        <v>0.1225292184</v>
      </c>
      <c r="AA214" t="str">
        <f>IFERROR(__xludf.DUMMYFUNCTION("REGEXREPLACE(REGEXREPLACE(REGEXREPLACE(REGEXREPLACE(REGEXREPLACE(REGEXREPLACE(E214,"","",),IF(Projections!$U$3="""",""PG"",),),IF(Projections!$V$3="""",""SG"",),),IF(Projections!$W$3="""",""SF"",),),IF(Projections!$X$3="""",""PF"",),),IF(Projections!$Y$3="&amp;""""",""C"",),)"),"SGSF")</f>
        <v>SGSF</v>
      </c>
    </row>
    <row r="215">
      <c r="B215">
        <f>IFERROR(__xludf.DUMMYFUNCTION("""COMPUTED_VALUE"""),222.0)</f>
        <v>222</v>
      </c>
      <c r="C215" t="str">
        <f>IFERROR(__xludf.DUMMYFUNCTION("""COMPUTED_VALUE"""),"Chris Boucher")</f>
        <v>Chris Boucher</v>
      </c>
      <c r="D215">
        <f>IFERROR(__xludf.DUMMYFUNCTION("""COMPUTED_VALUE"""),72.0)</f>
        <v>72</v>
      </c>
      <c r="E215" t="str">
        <f>IFERROR(__xludf.DUMMYFUNCTION("""COMPUTED_VALUE"""),"PF")</f>
        <v>PF</v>
      </c>
      <c r="F215" s="53">
        <f>IFERROR(__xludf.DUMMYFUNCTION("""COMPUTED_VALUE"""),-5.867880060689355)</f>
        <v>-5.867880061</v>
      </c>
      <c r="G215" s="53">
        <f>IFERROR(__xludf.DUMMYFUNCTION("""COMPUTED_VALUE"""),-3.26174222891325)</f>
        <v>-3.261742229</v>
      </c>
      <c r="H215" s="53">
        <f>IFERROR(__xludf.DUMMYFUNCTION("""COMPUTED_VALUE"""),2.6061378317761053)</f>
        <v>2.606137832</v>
      </c>
      <c r="I215" s="53">
        <f>IFERROR(__xludf.DUMMYFUNCTION("""COMPUTED_VALUE"""),8.3)</f>
        <v>8.3</v>
      </c>
      <c r="J215" s="53">
        <f>IFERROR(__xludf.DUMMYFUNCTION("""COMPUTED_VALUE"""),0.7)</f>
        <v>0.7</v>
      </c>
      <c r="K215" s="53">
        <f>IFERROR(__xludf.DUMMYFUNCTION("""COMPUTED_VALUE"""),5.2)</f>
        <v>5.2</v>
      </c>
      <c r="L215" s="53">
        <f>IFERROR(__xludf.DUMMYFUNCTION("""COMPUTED_VALUE"""),0.3)</f>
        <v>0.3</v>
      </c>
      <c r="M215" s="53">
        <f>IFERROR(__xludf.DUMMYFUNCTION("""COMPUTED_VALUE"""),0.5)</f>
        <v>0.5</v>
      </c>
      <c r="N215" s="53">
        <f>IFERROR(__xludf.DUMMYFUNCTION("""COMPUTED_VALUE"""),0.8)</f>
        <v>0.8</v>
      </c>
      <c r="O215" s="53">
        <f>IFERROR(__xludf.DUMMYFUNCTION("""COMPUTED_VALUE"""),47.61904761904762)</f>
        <v>47.61904762</v>
      </c>
      <c r="P215" s="53">
        <f>IFERROR(__xludf.DUMMYFUNCTION("""COMPUTED_VALUE"""),80.0)</f>
        <v>80</v>
      </c>
      <c r="Q215" s="53">
        <f>IFERROR(__xludf.DUMMYFUNCTION("""COMPUTED_VALUE"""),0.5)</f>
        <v>0.5</v>
      </c>
      <c r="R215" s="53">
        <f>IFERROR(__xludf.DUMMYFUNCTION("""COMPUTED_VALUE"""),-1.509434582958029)</f>
        <v>-1.509434583</v>
      </c>
      <c r="S215" s="53">
        <f>IFERROR(__xludf.DUMMYFUNCTION("""COMPUTED_VALUE"""),-0.8191476607473568)</f>
        <v>-0.8191476607</v>
      </c>
      <c r="T215" s="53">
        <f>IFERROR(__xludf.DUMMYFUNCTION("""COMPUTED_VALUE"""),-0.3743869447771431)</f>
        <v>-0.3743869448</v>
      </c>
      <c r="U215" s="53">
        <f>IFERROR(__xludf.DUMMYFUNCTION("""COMPUTED_VALUE"""),-1.8075272005280414)</f>
        <v>-1.807527201</v>
      </c>
      <c r="V215" s="53">
        <f>IFERROR(__xludf.DUMMYFUNCTION("""COMPUTED_VALUE"""),-1.0786201759549239)</f>
        <v>-1.078620176</v>
      </c>
      <c r="W215" s="53">
        <f>IFERROR(__xludf.DUMMYFUNCTION("""COMPUTED_VALUE"""),0.12956496180946983)</f>
        <v>0.1295649618</v>
      </c>
      <c r="X215" s="53">
        <f>IFERROR(__xludf.DUMMYFUNCTION("""COMPUTED_VALUE"""),-0.12456036757213061)</f>
        <v>-0.1245603676</v>
      </c>
      <c r="Y215" s="53">
        <f>IFERROR(__xludf.DUMMYFUNCTION("""COMPUTED_VALUE"""),0.05080452156470048)</f>
        <v>0.05080452156</v>
      </c>
      <c r="Z215" s="53">
        <f>IFERROR(__xludf.DUMMYFUNCTION("""COMPUTED_VALUE"""),0.4640380197221629)</f>
        <v>0.4640380197</v>
      </c>
      <c r="AA215" t="str">
        <f>IFERROR(__xludf.DUMMYFUNCTION("REGEXREPLACE(REGEXREPLACE(REGEXREPLACE(REGEXREPLACE(REGEXREPLACE(REGEXREPLACE(E215,"","",),IF(Projections!$U$3="""",""PG"",),),IF(Projections!$V$3="""",""SG"",),),IF(Projections!$W$3="""",""SF"",),),IF(Projections!$X$3="""",""PF"",),),IF(Projections!$Y$3="&amp;""""",""C"",),)"),"PF")</f>
        <v>PF</v>
      </c>
    </row>
    <row r="216">
      <c r="B216">
        <f>IFERROR(__xludf.DUMMYFUNCTION("""COMPUTED_VALUE"""),213.0)</f>
        <v>213</v>
      </c>
      <c r="C216" t="str">
        <f>IFERROR(__xludf.DUMMYFUNCTION("""COMPUTED_VALUE"""),"Jalen Johnson")</f>
        <v>Jalen Johnson</v>
      </c>
      <c r="D216">
        <f>IFERROR(__xludf.DUMMYFUNCTION("""COMPUTED_VALUE"""),72.0)</f>
        <v>72</v>
      </c>
      <c r="E216" t="str">
        <f>IFERROR(__xludf.DUMMYFUNCTION("""COMPUTED_VALUE"""),"SF,PF")</f>
        <v>SF,PF</v>
      </c>
      <c r="F216" s="53">
        <f>IFERROR(__xludf.DUMMYFUNCTION("""COMPUTED_VALUE"""),-5.615069580308344)</f>
        <v>-5.61506958</v>
      </c>
      <c r="G216" s="53">
        <f>IFERROR(__xludf.DUMMYFUNCTION("""COMPUTED_VALUE"""),-3.2619233560909375)</f>
        <v>-3.261923356</v>
      </c>
      <c r="H216" s="53">
        <f>IFERROR(__xludf.DUMMYFUNCTION("""COMPUTED_VALUE"""),2.353146224217406)</f>
        <v>2.353146224</v>
      </c>
      <c r="I216" s="53">
        <f>IFERROR(__xludf.DUMMYFUNCTION("""COMPUTED_VALUE"""),7.9)</f>
        <v>7.9</v>
      </c>
      <c r="J216" s="53">
        <f>IFERROR(__xludf.DUMMYFUNCTION("""COMPUTED_VALUE"""),0.6)</f>
        <v>0.6</v>
      </c>
      <c r="K216" s="53">
        <f>IFERROR(__xludf.DUMMYFUNCTION("""COMPUTED_VALUE"""),5.4)</f>
        <v>5.4</v>
      </c>
      <c r="L216" s="53">
        <f>IFERROR(__xludf.DUMMYFUNCTION("""COMPUTED_VALUE"""),1.5)</f>
        <v>1.5</v>
      </c>
      <c r="M216" s="53">
        <f>IFERROR(__xludf.DUMMYFUNCTION("""COMPUTED_VALUE"""),0.7)</f>
        <v>0.7</v>
      </c>
      <c r="N216" s="53">
        <f>IFERROR(__xludf.DUMMYFUNCTION("""COMPUTED_VALUE"""),0.6)</f>
        <v>0.6</v>
      </c>
      <c r="O216" s="53">
        <f>IFERROR(__xludf.DUMMYFUNCTION("""COMPUTED_VALUE"""),50.0)</f>
        <v>50</v>
      </c>
      <c r="P216" s="53">
        <f>IFERROR(__xludf.DUMMYFUNCTION("""COMPUTED_VALUE"""),66.66666666666666)</f>
        <v>66.66666667</v>
      </c>
      <c r="Q216" s="53">
        <f>IFERROR(__xludf.DUMMYFUNCTION("""COMPUTED_VALUE"""),0.9)</f>
        <v>0.9</v>
      </c>
      <c r="R216" s="53">
        <f>IFERROR(__xludf.DUMMYFUNCTION("""COMPUTED_VALUE"""),-1.5768451337414169)</f>
        <v>-1.576845134</v>
      </c>
      <c r="S216" s="53">
        <f>IFERROR(__xludf.DUMMYFUNCTION("""COMPUTED_VALUE"""),-0.9058605394432663)</f>
        <v>-0.9058605394</v>
      </c>
      <c r="T216" s="53">
        <f>IFERROR(__xludf.DUMMYFUNCTION("""COMPUTED_VALUE"""),-0.2907562050651974)</f>
        <v>-0.2907562051</v>
      </c>
      <c r="U216" s="53">
        <f>IFERROR(__xludf.DUMMYFUNCTION("""COMPUTED_VALUE"""),-1.1954976743898784)</f>
        <v>-1.195497674</v>
      </c>
      <c r="V216" s="53">
        <f>IFERROR(__xludf.DUMMYFUNCTION("""COMPUTED_VALUE"""),-0.6425203743558983)</f>
        <v>-0.6425203744</v>
      </c>
      <c r="W216" s="53">
        <f>IFERROR(__xludf.DUMMYFUNCTION("""COMPUTED_VALUE"""),-0.13306671753405044)</f>
        <v>-0.1330667175</v>
      </c>
      <c r="X216" s="53">
        <f>IFERROR(__xludf.DUMMYFUNCTION("""COMPUTED_VALUE"""),0.025670488189689155)</f>
        <v>0.02567048819</v>
      </c>
      <c r="Y216" s="53">
        <f>IFERROR(__xludf.DUMMYFUNCTION("""COMPUTED_VALUE"""),-0.45974533455557964)</f>
        <v>-0.4597453346</v>
      </c>
      <c r="Z216" s="53">
        <f>IFERROR(__xludf.DUMMYFUNCTION("""COMPUTED_VALUE"""),0.33985300106324323)</f>
        <v>0.3398530011</v>
      </c>
      <c r="AA216" t="str">
        <f>IFERROR(__xludf.DUMMYFUNCTION("REGEXREPLACE(REGEXREPLACE(REGEXREPLACE(REGEXREPLACE(REGEXREPLACE(REGEXREPLACE(E216,"","",),IF(Projections!$U$3="""",""PG"",),),IF(Projections!$V$3="""",""SG"",),),IF(Projections!$W$3="""",""SF"",),),IF(Projections!$X$3="""",""PF"",),),IF(Projections!$Y$3="&amp;""""",""C"",),)"),"SFPF")</f>
        <v>SFPF</v>
      </c>
    </row>
    <row r="217">
      <c r="B217">
        <f>IFERROR(__xludf.DUMMYFUNCTION("""COMPUTED_VALUE"""),208.0)</f>
        <v>208</v>
      </c>
      <c r="C217" t="str">
        <f>IFERROR(__xludf.DUMMYFUNCTION("""COMPUTED_VALUE"""),"Grayson Allen")</f>
        <v>Grayson Allen</v>
      </c>
      <c r="D217">
        <f>IFERROR(__xludf.DUMMYFUNCTION("""COMPUTED_VALUE"""),70.0)</f>
        <v>70</v>
      </c>
      <c r="E217" t="str">
        <f>IFERROR(__xludf.DUMMYFUNCTION("""COMPUTED_VALUE"""),"SG,SF")</f>
        <v>SG,SF</v>
      </c>
      <c r="F217" s="53">
        <f>IFERROR(__xludf.DUMMYFUNCTION("""COMPUTED_VALUE"""),-5.47478167581223)</f>
        <v>-5.474781676</v>
      </c>
      <c r="G217" s="53">
        <f>IFERROR(__xludf.DUMMYFUNCTION("""COMPUTED_VALUE"""),-3.2675808742798127)</f>
        <v>-3.267580874</v>
      </c>
      <c r="H217" s="53">
        <f>IFERROR(__xludf.DUMMYFUNCTION("""COMPUTED_VALUE"""),2.2072008015324176)</f>
        <v>2.207200802</v>
      </c>
      <c r="I217" s="53">
        <f>IFERROR(__xludf.DUMMYFUNCTION("""COMPUTED_VALUE"""),9.1)</f>
        <v>9.1</v>
      </c>
      <c r="J217" s="53">
        <f>IFERROR(__xludf.DUMMYFUNCTION("""COMPUTED_VALUE"""),2.0)</f>
        <v>2</v>
      </c>
      <c r="K217" s="53">
        <f>IFERROR(__xludf.DUMMYFUNCTION("""COMPUTED_VALUE"""),3.0)</f>
        <v>3</v>
      </c>
      <c r="L217" s="53">
        <f>IFERROR(__xludf.DUMMYFUNCTION("""COMPUTED_VALUE"""),1.7)</f>
        <v>1.7</v>
      </c>
      <c r="M217" s="53">
        <f>IFERROR(__xludf.DUMMYFUNCTION("""COMPUTED_VALUE"""),0.7)</f>
        <v>0.7</v>
      </c>
      <c r="N217" s="53">
        <f>IFERROR(__xludf.DUMMYFUNCTION("""COMPUTED_VALUE"""),0.2)</f>
        <v>0.2</v>
      </c>
      <c r="O217" s="53">
        <f>IFERROR(__xludf.DUMMYFUNCTION("""COMPUTED_VALUE"""),42.857142857142854)</f>
        <v>42.85714286</v>
      </c>
      <c r="P217" s="53">
        <f>IFERROR(__xludf.DUMMYFUNCTION("""COMPUTED_VALUE"""),84.61538461538461)</f>
        <v>84.61538462</v>
      </c>
      <c r="Q217" s="53">
        <f>IFERROR(__xludf.DUMMYFUNCTION("""COMPUTED_VALUE"""),0.7)</f>
        <v>0.7</v>
      </c>
      <c r="R217" s="53">
        <f>IFERROR(__xludf.DUMMYFUNCTION("""COMPUTED_VALUE"""),-1.3746134813912532)</f>
        <v>-1.374613481</v>
      </c>
      <c r="S217" s="53">
        <f>IFERROR(__xludf.DUMMYFUNCTION("""COMPUTED_VALUE"""),0.30811976229946575)</f>
        <v>0.3081197623</v>
      </c>
      <c r="T217" s="53">
        <f>IFERROR(__xludf.DUMMYFUNCTION("""COMPUTED_VALUE"""),-1.2943250816085456)</f>
        <v>-1.294325082</v>
      </c>
      <c r="U217" s="53">
        <f>IFERROR(__xludf.DUMMYFUNCTION("""COMPUTED_VALUE"""),-1.0934927533668515)</f>
        <v>-1.093492753</v>
      </c>
      <c r="V217" s="53">
        <f>IFERROR(__xludf.DUMMYFUNCTION("""COMPUTED_VALUE"""),-0.6425203743558983)</f>
        <v>-0.6425203744</v>
      </c>
      <c r="W217" s="53">
        <f>IFERROR(__xludf.DUMMYFUNCTION("""COMPUTED_VALUE"""),-0.6583300762210907)</f>
        <v>-0.6583300762</v>
      </c>
      <c r="X217" s="53">
        <f>IFERROR(__xludf.DUMMYFUNCTION("""COMPUTED_VALUE"""),-0.4713554181553811)</f>
        <v>-0.4713554182</v>
      </c>
      <c r="Y217" s="53">
        <f>IFERROR(__xludf.DUMMYFUNCTION("""COMPUTED_VALUE"""),0.18237755673578657)</f>
        <v>0.1823775567</v>
      </c>
      <c r="Z217" s="53">
        <f>IFERROR(__xludf.DUMMYFUNCTION("""COMPUTED_VALUE"""),0.4019455103927031)</f>
        <v>0.4019455104</v>
      </c>
      <c r="AA217" t="str">
        <f>IFERROR(__xludf.DUMMYFUNCTION("REGEXREPLACE(REGEXREPLACE(REGEXREPLACE(REGEXREPLACE(REGEXREPLACE(REGEXREPLACE(E217,"","",),IF(Projections!$U$3="""",""PG"",),),IF(Projections!$V$3="""",""SG"",),),IF(Projections!$W$3="""",""SF"",),),IF(Projections!$X$3="""",""PF"",),),IF(Projections!$Y$3="&amp;""""",""C"",),)"),"SGSF")</f>
        <v>SGSF</v>
      </c>
    </row>
    <row r="218">
      <c r="B218">
        <f>IFERROR(__xludf.DUMMYFUNCTION("""COMPUTED_VALUE"""),206.0)</f>
        <v>206</v>
      </c>
      <c r="C218" t="str">
        <f>IFERROR(__xludf.DUMMYFUNCTION("""COMPUTED_VALUE"""),"Christian Braun")</f>
        <v>Christian Braun</v>
      </c>
      <c r="D218">
        <f>IFERROR(__xludf.DUMMYFUNCTION("""COMPUTED_VALUE"""),76.0)</f>
        <v>76</v>
      </c>
      <c r="E218" t="str">
        <f>IFERROR(__xludf.DUMMYFUNCTION("""COMPUTED_VALUE"""),"SG")</f>
        <v>SG</v>
      </c>
      <c r="F218" s="53">
        <f>IFERROR(__xludf.DUMMYFUNCTION("""COMPUTED_VALUE"""),-5.460054979113717)</f>
        <v>-5.460054979</v>
      </c>
      <c r="G218" s="53">
        <f>IFERROR(__xludf.DUMMYFUNCTION("""COMPUTED_VALUE"""),-3.288091177876213)</f>
        <v>-3.288091178</v>
      </c>
      <c r="H218" s="53">
        <f>IFERROR(__xludf.DUMMYFUNCTION("""COMPUTED_VALUE"""),2.1719638012375038)</f>
        <v>2.171963801</v>
      </c>
      <c r="I218" s="53">
        <f>IFERROR(__xludf.DUMMYFUNCTION("""COMPUTED_VALUE"""),8.2)</f>
        <v>8.2</v>
      </c>
      <c r="J218" s="53">
        <f>IFERROR(__xludf.DUMMYFUNCTION("""COMPUTED_VALUE"""),0.9)</f>
        <v>0.9</v>
      </c>
      <c r="K218" s="53">
        <f>IFERROR(__xludf.DUMMYFUNCTION("""COMPUTED_VALUE"""),4.0)</f>
        <v>4</v>
      </c>
      <c r="L218" s="53">
        <f>IFERROR(__xludf.DUMMYFUNCTION("""COMPUTED_VALUE"""),1.3)</f>
        <v>1.3</v>
      </c>
      <c r="M218" s="53">
        <f>IFERROR(__xludf.DUMMYFUNCTION("""COMPUTED_VALUE"""),0.9)</f>
        <v>0.9</v>
      </c>
      <c r="N218" s="53">
        <f>IFERROR(__xludf.DUMMYFUNCTION("""COMPUTED_VALUE"""),0.4)</f>
        <v>0.4</v>
      </c>
      <c r="O218" s="53">
        <f>IFERROR(__xludf.DUMMYFUNCTION("""COMPUTED_VALUE"""),50.0)</f>
        <v>50</v>
      </c>
      <c r="P218" s="53">
        <f>IFERROR(__xludf.DUMMYFUNCTION("""COMPUTED_VALUE"""),71.42857142857143)</f>
        <v>71.42857143</v>
      </c>
      <c r="Q218" s="53">
        <f>IFERROR(__xludf.DUMMYFUNCTION("""COMPUTED_VALUE"""),0.8)</f>
        <v>0.8</v>
      </c>
      <c r="R218" s="53">
        <f>IFERROR(__xludf.DUMMYFUNCTION("""COMPUTED_VALUE"""),-1.5262872206538762)</f>
        <v>-1.526287221</v>
      </c>
      <c r="S218" s="53">
        <f>IFERROR(__xludf.DUMMYFUNCTION("""COMPUTED_VALUE"""),-0.6457219033555379)</f>
        <v>-0.6457219034</v>
      </c>
      <c r="T218" s="53">
        <f>IFERROR(__xludf.DUMMYFUNCTION("""COMPUTED_VALUE"""),-0.8761713830488173)</f>
        <v>-0.876171383</v>
      </c>
      <c r="U218" s="53">
        <f>IFERROR(__xludf.DUMMYFUNCTION("""COMPUTED_VALUE"""),-1.2975025954129054)</f>
        <v>-1.297502595</v>
      </c>
      <c r="V218" s="53">
        <f>IFERROR(__xludf.DUMMYFUNCTION("""COMPUTED_VALUE"""),-0.2064205727568726)</f>
        <v>-0.2064205728</v>
      </c>
      <c r="W218" s="53">
        <f>IFERROR(__xludf.DUMMYFUNCTION("""COMPUTED_VALUE"""),-0.39569839687757064)</f>
        <v>-0.3956983969</v>
      </c>
      <c r="X218" s="53">
        <f>IFERROR(__xludf.DUMMYFUNCTION("""COMPUTED_VALUE"""),0.025670488189689155)</f>
        <v>0.02567048819</v>
      </c>
      <c r="Y218" s="53">
        <f>IFERROR(__xludf.DUMMYFUNCTION("""COMPUTED_VALUE"""),-0.26314607034217263)</f>
        <v>-0.2631460703</v>
      </c>
      <c r="Z218" s="53">
        <f>IFERROR(__xludf.DUMMYFUNCTION("""COMPUTED_VALUE"""),0.37089925572797316)</f>
        <v>0.3708992557</v>
      </c>
      <c r="AA218" t="str">
        <f>IFERROR(__xludf.DUMMYFUNCTION("REGEXREPLACE(REGEXREPLACE(REGEXREPLACE(REGEXREPLACE(REGEXREPLACE(REGEXREPLACE(E218,"","",),IF(Projections!$U$3="""",""PG"",),),IF(Projections!$V$3="""",""SG"",),),IF(Projections!$W$3="""",""SF"",),),IF(Projections!$X$3="""",""PF"",),),IF(Projections!$Y$3="&amp;""""",""C"",),)"),"SG")</f>
        <v>SG</v>
      </c>
    </row>
    <row r="219">
      <c r="B219">
        <f>IFERROR(__xludf.DUMMYFUNCTION("""COMPUTED_VALUE"""),225.0)</f>
        <v>225</v>
      </c>
      <c r="C219" t="str">
        <f>IFERROR(__xludf.DUMMYFUNCTION("""COMPUTED_VALUE"""),"James Wiseman")</f>
        <v>James Wiseman</v>
      </c>
      <c r="D219">
        <f>IFERROR(__xludf.DUMMYFUNCTION("""COMPUTED_VALUE"""),56.0)</f>
        <v>56</v>
      </c>
      <c r="E219" t="str">
        <f>IFERROR(__xludf.DUMMYFUNCTION("""COMPUTED_VALUE"""),"C")</f>
        <v>C</v>
      </c>
      <c r="F219" s="53">
        <f>IFERROR(__xludf.DUMMYFUNCTION("""COMPUTED_VALUE"""),-5.96761020647626)</f>
        <v>-5.967610206</v>
      </c>
      <c r="G219" s="53">
        <f>IFERROR(__xludf.DUMMYFUNCTION("""COMPUTED_VALUE"""),-3.291745737188503)</f>
        <v>-3.291745737</v>
      </c>
      <c r="H219" s="53">
        <f>IFERROR(__xludf.DUMMYFUNCTION("""COMPUTED_VALUE"""),2.675864469287757)</f>
        <v>2.675864469</v>
      </c>
      <c r="I219" s="53">
        <f>IFERROR(__xludf.DUMMYFUNCTION("""COMPUTED_VALUE"""),10.9)</f>
        <v>10.9</v>
      </c>
      <c r="J219" s="53">
        <f>IFERROR(__xludf.DUMMYFUNCTION("""COMPUTED_VALUE"""),0.1)</f>
        <v>0.1</v>
      </c>
      <c r="K219" s="53">
        <f>IFERROR(__xludf.DUMMYFUNCTION("""COMPUTED_VALUE"""),6.5)</f>
        <v>6.5</v>
      </c>
      <c r="L219" s="53">
        <f>IFERROR(__xludf.DUMMYFUNCTION("""COMPUTED_VALUE"""),0.7)</f>
        <v>0.7</v>
      </c>
      <c r="M219" s="53">
        <f>IFERROR(__xludf.DUMMYFUNCTION("""COMPUTED_VALUE"""),0.2)</f>
        <v>0.2</v>
      </c>
      <c r="N219" s="53">
        <f>IFERROR(__xludf.DUMMYFUNCTION("""COMPUTED_VALUE"""),0.9)</f>
        <v>0.9</v>
      </c>
      <c r="O219" s="53">
        <f>IFERROR(__xludf.DUMMYFUNCTION("""COMPUTED_VALUE"""),56.09756097560976)</f>
        <v>56.09756098</v>
      </c>
      <c r="P219" s="53">
        <f>IFERROR(__xludf.DUMMYFUNCTION("""COMPUTED_VALUE"""),70.83333333333334)</f>
        <v>70.83333333</v>
      </c>
      <c r="Q219" s="53">
        <f>IFERROR(__xludf.DUMMYFUNCTION("""COMPUTED_VALUE"""),1.2)</f>
        <v>1.2</v>
      </c>
      <c r="R219" s="53">
        <f>IFERROR(__xludf.DUMMYFUNCTION("""COMPUTED_VALUE"""),-1.0712660028660073)</f>
        <v>-1.071266003</v>
      </c>
      <c r="S219" s="53">
        <f>IFERROR(__xludf.DUMMYFUNCTION("""COMPUTED_VALUE"""),-1.3394249329228134)</f>
        <v>-1.339424933</v>
      </c>
      <c r="T219" s="53">
        <f>IFERROR(__xludf.DUMMYFUNCTION("""COMPUTED_VALUE"""),0.16921286335050373)</f>
        <v>0.1692128634</v>
      </c>
      <c r="U219" s="53">
        <f>IFERROR(__xludf.DUMMYFUNCTION("""COMPUTED_VALUE"""),-1.603517358481987)</f>
        <v>-1.603517358</v>
      </c>
      <c r="V219" s="53">
        <f>IFERROR(__xludf.DUMMYFUNCTION("""COMPUTED_VALUE"""),-1.732769878353462)</f>
        <v>-1.732769878</v>
      </c>
      <c r="W219" s="53">
        <f>IFERROR(__xludf.DUMMYFUNCTION("""COMPUTED_VALUE"""),0.2608808014812299)</f>
        <v>0.2608808015</v>
      </c>
      <c r="X219" s="53">
        <f>IFERROR(__xludf.DUMMYFUNCTION("""COMPUTED_VALUE"""),0.5323228276058931)</f>
        <v>0.5323228276</v>
      </c>
      <c r="Y219" s="53">
        <f>IFERROR(__xludf.DUMMYFUNCTION("""COMPUTED_VALUE"""),-0.48666817242437466)</f>
        <v>-0.4866681724</v>
      </c>
      <c r="Z219" s="53">
        <f>IFERROR(__xludf.DUMMYFUNCTION("""COMPUTED_VALUE"""),0.24671423706905354)</f>
        <v>0.2467142371</v>
      </c>
      <c r="AA219" t="str">
        <f>IFERROR(__xludf.DUMMYFUNCTION("REGEXREPLACE(REGEXREPLACE(REGEXREPLACE(REGEXREPLACE(REGEXREPLACE(REGEXREPLACE(E219,"","",),IF(Projections!$U$3="""",""PG"",),),IF(Projections!$V$3="""",""SG"",),),IF(Projections!$W$3="""",""SF"",),),IF(Projections!$X$3="""",""PF"",),),IF(Projections!$Y$3="&amp;""""",""C"",),)"),"C")</f>
        <v>C</v>
      </c>
    </row>
    <row r="220">
      <c r="B220">
        <f>IFERROR(__xludf.DUMMYFUNCTION("""COMPUTED_VALUE"""),209.0)</f>
        <v>209</v>
      </c>
      <c r="C220" t="str">
        <f>IFERROR(__xludf.DUMMYFUNCTION("""COMPUTED_VALUE"""),"Kelly Oubre Jr.")</f>
        <v>Kelly Oubre Jr.</v>
      </c>
      <c r="D220">
        <f>IFERROR(__xludf.DUMMYFUNCTION("""COMPUTED_VALUE"""),68.0)</f>
        <v>68</v>
      </c>
      <c r="E220" t="str">
        <f>IFERROR(__xludf.DUMMYFUNCTION("""COMPUTED_VALUE"""),"SF")</f>
        <v>SF</v>
      </c>
      <c r="F220" s="53">
        <f>IFERROR(__xludf.DUMMYFUNCTION("""COMPUTED_VALUE"""),-5.504656209819849)</f>
        <v>-5.50465621</v>
      </c>
      <c r="G220" s="53">
        <f>IFERROR(__xludf.DUMMYFUNCTION("""COMPUTED_VALUE"""),-3.361677438448026)</f>
        <v>-3.361677438</v>
      </c>
      <c r="H220" s="53">
        <f>IFERROR(__xludf.DUMMYFUNCTION("""COMPUTED_VALUE"""),2.142978771371823)</f>
        <v>2.142978771</v>
      </c>
      <c r="I220" s="53">
        <f>IFERROR(__xludf.DUMMYFUNCTION("""COMPUTED_VALUE"""),11.4)</f>
        <v>11.4</v>
      </c>
      <c r="J220" s="53">
        <f>IFERROR(__xludf.DUMMYFUNCTION("""COMPUTED_VALUE"""),1.4)</f>
        <v>1.4</v>
      </c>
      <c r="K220" s="53">
        <f>IFERROR(__xludf.DUMMYFUNCTION("""COMPUTED_VALUE"""),3.0)</f>
        <v>3</v>
      </c>
      <c r="L220" s="53">
        <f>IFERROR(__xludf.DUMMYFUNCTION("""COMPUTED_VALUE"""),0.9)</f>
        <v>0.9</v>
      </c>
      <c r="M220" s="53">
        <f>IFERROR(__xludf.DUMMYFUNCTION("""COMPUTED_VALUE"""),0.9)</f>
        <v>0.9</v>
      </c>
      <c r="N220" s="53">
        <f>IFERROR(__xludf.DUMMYFUNCTION("""COMPUTED_VALUE"""),0.3)</f>
        <v>0.3</v>
      </c>
      <c r="O220" s="53">
        <f>IFERROR(__xludf.DUMMYFUNCTION("""COMPUTED_VALUE"""),45.16129032258064)</f>
        <v>45.16129032</v>
      </c>
      <c r="P220" s="53">
        <f>IFERROR(__xludf.DUMMYFUNCTION("""COMPUTED_VALUE"""),77.27272727272727)</f>
        <v>77.27272727</v>
      </c>
      <c r="Q220" s="53">
        <f>IFERROR(__xludf.DUMMYFUNCTION("""COMPUTED_VALUE"""),0.8)</f>
        <v>0.8</v>
      </c>
      <c r="R220" s="53">
        <f>IFERROR(__xludf.DUMMYFUNCTION("""COMPUTED_VALUE"""),-0.9870028143867723)</f>
        <v>-0.9870028144</v>
      </c>
      <c r="S220" s="53">
        <f>IFERROR(__xludf.DUMMYFUNCTION("""COMPUTED_VALUE"""),-0.21215750987599089)</f>
        <v>-0.2121575099</v>
      </c>
      <c r="T220" s="53">
        <f>IFERROR(__xludf.DUMMYFUNCTION("""COMPUTED_VALUE"""),-1.2943250816085456)</f>
        <v>-1.294325082</v>
      </c>
      <c r="U220" s="53">
        <f>IFERROR(__xludf.DUMMYFUNCTION("""COMPUTED_VALUE"""),-1.5015124374589601)</f>
        <v>-1.501512437</v>
      </c>
      <c r="V220" s="53">
        <f>IFERROR(__xludf.DUMMYFUNCTION("""COMPUTED_VALUE"""),-0.2064205727568726)</f>
        <v>-0.2064205728</v>
      </c>
      <c r="W220" s="53">
        <f>IFERROR(__xludf.DUMMYFUNCTION("""COMPUTED_VALUE"""),-0.5270142365493308)</f>
        <v>-0.5270142365</v>
      </c>
      <c r="X220" s="53">
        <f>IFERROR(__xludf.DUMMYFUNCTION("""COMPUTED_VALUE"""),-0.4121868350009262)</f>
        <v>-0.412186835</v>
      </c>
      <c r="Y220" s="53">
        <f>IFERROR(__xludf.DUMMYFUNCTION("""COMPUTED_VALUE"""),-0.09346964399756186)</f>
        <v>-0.093469644</v>
      </c>
      <c r="Z220" s="53">
        <f>IFERROR(__xludf.DUMMYFUNCTION("""COMPUTED_VALUE"""),0.37089925572797316)</f>
        <v>0.3708992557</v>
      </c>
      <c r="AA220" t="str">
        <f>IFERROR(__xludf.DUMMYFUNCTION("REGEXREPLACE(REGEXREPLACE(REGEXREPLACE(REGEXREPLACE(REGEXREPLACE(REGEXREPLACE(E220,"","",),IF(Projections!$U$3="""",""PG"",),),IF(Projections!$V$3="""",""SG"",),),IF(Projections!$W$3="""",""SF"",),),IF(Projections!$X$3="""",""PF"",),),IF(Projections!$Y$3="&amp;""""",""C"",),)"),"SF")</f>
        <v>SF</v>
      </c>
    </row>
    <row r="221">
      <c r="B221">
        <f>IFERROR(__xludf.DUMMYFUNCTION("""COMPUTED_VALUE"""),187.0)</f>
        <v>187</v>
      </c>
      <c r="C221" t="str">
        <f>IFERROR(__xludf.DUMMYFUNCTION("""COMPUTED_VALUE"""),"Ausar Thompson")</f>
        <v>Ausar Thompson</v>
      </c>
      <c r="D221">
        <f>IFERROR(__xludf.DUMMYFUNCTION("""COMPUTED_VALUE"""),72.0)</f>
        <v>72</v>
      </c>
      <c r="E221" t="str">
        <f>IFERROR(__xludf.DUMMYFUNCTION("""COMPUTED_VALUE"""),"SG,SF")</f>
        <v>SG,SF</v>
      </c>
      <c r="F221" s="53">
        <f>IFERROR(__xludf.DUMMYFUNCTION("""COMPUTED_VALUE"""),-4.836565963930004)</f>
        <v>-4.836565964</v>
      </c>
      <c r="G221" s="53">
        <f>IFERROR(__xludf.DUMMYFUNCTION("""COMPUTED_VALUE"""),-3.376272358114009)</f>
        <v>-3.376272358</v>
      </c>
      <c r="H221" s="53">
        <f>IFERROR(__xludf.DUMMYFUNCTION("""COMPUTED_VALUE"""),1.4602936058159948)</f>
        <v>1.460293606</v>
      </c>
      <c r="I221" s="53">
        <f>IFERROR(__xludf.DUMMYFUNCTION("""COMPUTED_VALUE"""),12.8)</f>
        <v>12.8</v>
      </c>
      <c r="J221" s="53">
        <f>IFERROR(__xludf.DUMMYFUNCTION("""COMPUTED_VALUE"""),0.7)</f>
        <v>0.7</v>
      </c>
      <c r="K221" s="53">
        <f>IFERROR(__xludf.DUMMYFUNCTION("""COMPUTED_VALUE"""),4.1)</f>
        <v>4.1</v>
      </c>
      <c r="L221" s="53">
        <f>IFERROR(__xludf.DUMMYFUNCTION("""COMPUTED_VALUE"""),3.5)</f>
        <v>3.5</v>
      </c>
      <c r="M221" s="53">
        <f>IFERROR(__xludf.DUMMYFUNCTION("""COMPUTED_VALUE"""),1.0)</f>
        <v>1</v>
      </c>
      <c r="N221" s="53">
        <f>IFERROR(__xludf.DUMMYFUNCTION("""COMPUTED_VALUE"""),0.5)</f>
        <v>0.5</v>
      </c>
      <c r="O221" s="53">
        <f>IFERROR(__xludf.DUMMYFUNCTION("""COMPUTED_VALUE"""),44.24778761061947)</f>
        <v>44.24778761</v>
      </c>
      <c r="P221" s="53">
        <f>IFERROR(__xludf.DUMMYFUNCTION("""COMPUTED_VALUE"""),66.66666666666666)</f>
        <v>66.66666667</v>
      </c>
      <c r="Q221" s="53">
        <f>IFERROR(__xludf.DUMMYFUNCTION("""COMPUTED_VALUE"""),1.8)</f>
        <v>1.8</v>
      </c>
      <c r="R221" s="53">
        <f>IFERROR(__xludf.DUMMYFUNCTION("""COMPUTED_VALUE"""),-0.7510658866449142)</f>
        <v>-0.7510658866</v>
      </c>
      <c r="S221" s="53">
        <f>IFERROR(__xludf.DUMMYFUNCTION("""COMPUTED_VALUE"""),-0.8191476607473568)</f>
        <v>-0.8191476607</v>
      </c>
      <c r="T221" s="53">
        <f>IFERROR(__xludf.DUMMYFUNCTION("""COMPUTED_VALUE"""),-0.8343560131928446)</f>
        <v>-0.8343560132</v>
      </c>
      <c r="U221" s="53">
        <f>IFERROR(__xludf.DUMMYFUNCTION("""COMPUTED_VALUE"""),-0.17544846415960708)</f>
        <v>-0.1754484642</v>
      </c>
      <c r="V221" s="53">
        <f>IFERROR(__xludf.DUMMYFUNCTION("""COMPUTED_VALUE"""),0.011629328042640127)</f>
        <v>0.01162932804</v>
      </c>
      <c r="W221" s="53">
        <f>IFERROR(__xludf.DUMMYFUNCTION("""COMPUTED_VALUE"""),-0.2643825572058105)</f>
        <v>-0.2643825572</v>
      </c>
      <c r="X221" s="53">
        <f>IFERROR(__xludf.DUMMYFUNCTION("""COMPUTED_VALUE"""),-0.6039378132867901)</f>
        <v>-0.6039378133</v>
      </c>
      <c r="Y221" s="53">
        <f>IFERROR(__xludf.DUMMYFUNCTION("""COMPUTED_VALUE"""),-0.9194906691111593)</f>
        <v>-0.9194906691</v>
      </c>
      <c r="Z221" s="53">
        <f>IFERROR(__xludf.DUMMYFUNCTION("""COMPUTED_VALUE"""),0.06043670908067405)</f>
        <v>0.06043670908</v>
      </c>
      <c r="AA221" t="str">
        <f>IFERROR(__xludf.DUMMYFUNCTION("REGEXREPLACE(REGEXREPLACE(REGEXREPLACE(REGEXREPLACE(REGEXREPLACE(REGEXREPLACE(E221,"","",),IF(Projections!$U$3="""",""PG"",),),IF(Projections!$V$3="""",""SG"",),),IF(Projections!$W$3="""",""SF"",),),IF(Projections!$X$3="""",""PF"",),),IF(Projections!$Y$3="&amp;""""",""C"",),)"),"SGSF")</f>
        <v>SGSF</v>
      </c>
    </row>
    <row r="222">
      <c r="B222">
        <f>IFERROR(__xludf.DUMMYFUNCTION("""COMPUTED_VALUE"""),233.0)</f>
        <v>233</v>
      </c>
      <c r="C222" t="str">
        <f>IFERROR(__xludf.DUMMYFUNCTION("""COMPUTED_VALUE"""),"Julian Champagnie")</f>
        <v>Julian Champagnie</v>
      </c>
      <c r="D222">
        <f>IFERROR(__xludf.DUMMYFUNCTION("""COMPUTED_VALUE"""),68.0)</f>
        <v>68</v>
      </c>
      <c r="E222" t="str">
        <f>IFERROR(__xludf.DUMMYFUNCTION("""COMPUTED_VALUE"""),"SF,PF")</f>
        <v>SF,PF</v>
      </c>
      <c r="F222" s="53">
        <f>IFERROR(__xludf.DUMMYFUNCTION("""COMPUTED_VALUE"""),-6.0962366322269395)</f>
        <v>-6.096236632</v>
      </c>
      <c r="G222" s="53">
        <f>IFERROR(__xludf.DUMMYFUNCTION("""COMPUTED_VALUE"""),-3.4311658152854414)</f>
        <v>-3.431165815</v>
      </c>
      <c r="H222" s="53">
        <f>IFERROR(__xludf.DUMMYFUNCTION("""COMPUTED_VALUE"""),2.665070816941498)</f>
        <v>2.665070817</v>
      </c>
      <c r="I222" s="53">
        <f>IFERROR(__xludf.DUMMYFUNCTION("""COMPUTED_VALUE"""),10.4)</f>
        <v>10.4</v>
      </c>
      <c r="J222" s="53">
        <f>IFERROR(__xludf.DUMMYFUNCTION("""COMPUTED_VALUE"""),2.1)</f>
        <v>2.1</v>
      </c>
      <c r="K222" s="53">
        <f>IFERROR(__xludf.DUMMYFUNCTION("""COMPUTED_VALUE"""),3.8)</f>
        <v>3.8</v>
      </c>
      <c r="L222" s="53">
        <f>IFERROR(__xludf.DUMMYFUNCTION("""COMPUTED_VALUE"""),0.6)</f>
        <v>0.6</v>
      </c>
      <c r="M222" s="53">
        <f>IFERROR(__xludf.DUMMYFUNCTION("""COMPUTED_VALUE"""),0.4)</f>
        <v>0.4</v>
      </c>
      <c r="N222" s="53">
        <f>IFERROR(__xludf.DUMMYFUNCTION("""COMPUTED_VALUE"""),0.3)</f>
        <v>0.3</v>
      </c>
      <c r="O222" s="53">
        <f>IFERROR(__xludf.DUMMYFUNCTION("""COMPUTED_VALUE"""),45.121951219512205)</f>
        <v>45.12195122</v>
      </c>
      <c r="P222" s="53">
        <f>IFERROR(__xludf.DUMMYFUNCTION("""COMPUTED_VALUE"""),81.81818181818181)</f>
        <v>81.81818182</v>
      </c>
      <c r="Q222" s="53">
        <f>IFERROR(__xludf.DUMMYFUNCTION("""COMPUTED_VALUE"""),0.7)</f>
        <v>0.7</v>
      </c>
      <c r="R222" s="53">
        <f>IFERROR(__xludf.DUMMYFUNCTION("""COMPUTED_VALUE"""),-1.1555291913452421)</f>
        <v>-1.155529191</v>
      </c>
      <c r="S222" s="53">
        <f>IFERROR(__xludf.DUMMYFUNCTION("""COMPUTED_VALUE"""),0.39483264099537524)</f>
        <v>0.394832641</v>
      </c>
      <c r="T222" s="53">
        <f>IFERROR(__xludf.DUMMYFUNCTION("""COMPUTED_VALUE"""),-0.959802122760763)</f>
        <v>-0.9598021228</v>
      </c>
      <c r="U222" s="53">
        <f>IFERROR(__xludf.DUMMYFUNCTION("""COMPUTED_VALUE"""),-1.6545198189935006)</f>
        <v>-1.654519819</v>
      </c>
      <c r="V222" s="53">
        <f>IFERROR(__xludf.DUMMYFUNCTION("""COMPUTED_VALUE"""),-1.2966700767544366)</f>
        <v>-1.296670077</v>
      </c>
      <c r="W222" s="53">
        <f>IFERROR(__xludf.DUMMYFUNCTION("""COMPUTED_VALUE"""),-0.5270142365493308)</f>
        <v>-0.5270142365</v>
      </c>
      <c r="X222" s="53">
        <f>IFERROR(__xludf.DUMMYFUNCTION("""COMPUTED_VALUE"""),-0.36665569869724296)</f>
        <v>-0.3666556987</v>
      </c>
      <c r="Y222" s="53">
        <f>IFERROR(__xludf.DUMMYFUNCTION("""COMPUTED_VALUE"""),0.07772735943349546)</f>
        <v>0.07772735943</v>
      </c>
      <c r="Z222" s="53">
        <f>IFERROR(__xludf.DUMMYFUNCTION("""COMPUTED_VALUE"""),0.4019455103927031)</f>
        <v>0.4019455104</v>
      </c>
      <c r="AA222" t="str">
        <f>IFERROR(__xludf.DUMMYFUNCTION("REGEXREPLACE(REGEXREPLACE(REGEXREPLACE(REGEXREPLACE(REGEXREPLACE(REGEXREPLACE(E222,"","",),IF(Projections!$U$3="""",""PG"",),),IF(Projections!$V$3="""",""SG"",),),IF(Projections!$W$3="""",""SF"",),),IF(Projections!$X$3="""",""PF"",),),IF(Projections!$Y$3="&amp;""""",""C"",),)"),"SFPF")</f>
        <v>SFPF</v>
      </c>
    </row>
    <row r="223">
      <c r="B223">
        <f>IFERROR(__xludf.DUMMYFUNCTION("""COMPUTED_VALUE"""),228.0)</f>
        <v>228</v>
      </c>
      <c r="C223" t="str">
        <f>IFERROR(__xludf.DUMMYFUNCTION("""COMPUTED_VALUE"""),"Andre Drummond")</f>
        <v>Andre Drummond</v>
      </c>
      <c r="D223">
        <f>IFERROR(__xludf.DUMMYFUNCTION("""COMPUTED_VALUE"""),70.0)</f>
        <v>70</v>
      </c>
      <c r="E223" t="str">
        <f>IFERROR(__xludf.DUMMYFUNCTION("""COMPUTED_VALUE"""),"C")</f>
        <v>C</v>
      </c>
      <c r="F223" s="53">
        <f>IFERROR(__xludf.DUMMYFUNCTION("""COMPUTED_VALUE"""),-6.050007098552985)</f>
        <v>-6.050007099</v>
      </c>
      <c r="G223" s="53">
        <f>IFERROR(__xludf.DUMMYFUNCTION("""COMPUTED_VALUE"""),-3.44152968483229)</f>
        <v>-3.441529685</v>
      </c>
      <c r="H223" s="53">
        <f>IFERROR(__xludf.DUMMYFUNCTION("""COMPUTED_VALUE"""),2.608477413720695)</f>
        <v>2.608477414</v>
      </c>
      <c r="I223" s="53">
        <f>IFERROR(__xludf.DUMMYFUNCTION("""COMPUTED_VALUE"""),6.1)</f>
        <v>6.1</v>
      </c>
      <c r="J223" s="53">
        <f>IFERROR(__xludf.DUMMYFUNCTION("""COMPUTED_VALUE"""),0.0)</f>
        <v>0</v>
      </c>
      <c r="K223" s="53">
        <f>IFERROR(__xludf.DUMMYFUNCTION("""COMPUTED_VALUE"""),7.0)</f>
        <v>7</v>
      </c>
      <c r="L223" s="53">
        <f>IFERROR(__xludf.DUMMYFUNCTION("""COMPUTED_VALUE"""),1.0)</f>
        <v>1</v>
      </c>
      <c r="M223" s="53">
        <f>IFERROR(__xludf.DUMMYFUNCTION("""COMPUTED_VALUE"""),0.8)</f>
        <v>0.8</v>
      </c>
      <c r="N223" s="53">
        <f>IFERROR(__xludf.DUMMYFUNCTION("""COMPUTED_VALUE"""),0.6)</f>
        <v>0.6</v>
      </c>
      <c r="O223" s="53">
        <f>IFERROR(__xludf.DUMMYFUNCTION("""COMPUTED_VALUE"""),59.09090909090908)</f>
        <v>59.09090909</v>
      </c>
      <c r="P223" s="53">
        <f>IFERROR(__xludf.DUMMYFUNCTION("""COMPUTED_VALUE"""),55.55555555555556)</f>
        <v>55.55555556</v>
      </c>
      <c r="Q223" s="53">
        <f>IFERROR(__xludf.DUMMYFUNCTION("""COMPUTED_VALUE"""),1.2)</f>
        <v>1.2</v>
      </c>
      <c r="R223" s="53">
        <f>IFERROR(__xludf.DUMMYFUNCTION("""COMPUTED_VALUE"""),-1.8801926122666628)</f>
        <v>-1.880192612</v>
      </c>
      <c r="S223" s="53">
        <f>IFERROR(__xludf.DUMMYFUNCTION("""COMPUTED_VALUE"""),-1.4261378116187227)</f>
        <v>-1.426137812</v>
      </c>
      <c r="T223" s="53">
        <f>IFERROR(__xludf.DUMMYFUNCTION("""COMPUTED_VALUE"""),0.3782897126303679)</f>
        <v>0.3782897126</v>
      </c>
      <c r="U223" s="53">
        <f>IFERROR(__xludf.DUMMYFUNCTION("""COMPUTED_VALUE"""),-1.4505099769474463)</f>
        <v>-1.450509977</v>
      </c>
      <c r="V223" s="53">
        <f>IFERROR(__xludf.DUMMYFUNCTION("""COMPUTED_VALUE"""),-0.42447047355638534)</f>
        <v>-0.4244704736</v>
      </c>
      <c r="W223" s="53">
        <f>IFERROR(__xludf.DUMMYFUNCTION("""COMPUTED_VALUE"""),-0.13306671753405044)</f>
        <v>-0.1330667175</v>
      </c>
      <c r="X223" s="53">
        <f>IFERROR(__xludf.DUMMYFUNCTION("""COMPUTED_VALUE"""),0.41719447232069373)</f>
        <v>0.4171944723</v>
      </c>
      <c r="Y223" s="53">
        <f>IFERROR(__xludf.DUMMYFUNCTION("""COMPUTED_VALUE"""),-1.0495431271958)</f>
        <v>-1.049543127</v>
      </c>
      <c r="Z223" s="53">
        <f>IFERROR(__xludf.DUMMYFUNCTION("""COMPUTED_VALUE"""),0.24671423706905354)</f>
        <v>0.2467142371</v>
      </c>
      <c r="AA223" t="str">
        <f>IFERROR(__xludf.DUMMYFUNCTION("REGEXREPLACE(REGEXREPLACE(REGEXREPLACE(REGEXREPLACE(REGEXREPLACE(REGEXREPLACE(E223,"","",),IF(Projections!$U$3="""",""PG"",),),IF(Projections!$V$3="""",""SG"",),),IF(Projections!$W$3="""",""SF"",),),IF(Projections!$X$3="""",""PF"",),),IF(Projections!$Y$3="&amp;""""",""C"",),)"),"C")</f>
        <v>C</v>
      </c>
    </row>
    <row r="224">
      <c r="B224">
        <f>IFERROR(__xludf.DUMMYFUNCTION("""COMPUTED_VALUE"""),202.0)</f>
        <v>202</v>
      </c>
      <c r="C224" t="str">
        <f>IFERROR(__xludf.DUMMYFUNCTION("""COMPUTED_VALUE"""),"Gordon Hayward")</f>
        <v>Gordon Hayward</v>
      </c>
      <c r="D224">
        <f>IFERROR(__xludf.DUMMYFUNCTION("""COMPUTED_VALUE"""),50.0)</f>
        <v>50</v>
      </c>
      <c r="E224" t="str">
        <f>IFERROR(__xludf.DUMMYFUNCTION("""COMPUTED_VALUE"""),"SF")</f>
        <v>SF</v>
      </c>
      <c r="F224" s="53">
        <f>IFERROR(__xludf.DUMMYFUNCTION("""COMPUTED_VALUE"""),-5.30918393800586)</f>
        <v>-5.309183938</v>
      </c>
      <c r="G224" s="53">
        <f>IFERROR(__xludf.DUMMYFUNCTION("""COMPUTED_VALUE"""),-3.450880141663572)</f>
        <v>-3.450880142</v>
      </c>
      <c r="H224" s="53">
        <f>IFERROR(__xludf.DUMMYFUNCTION("""COMPUTED_VALUE"""),1.8583037963422875)</f>
        <v>1.858303796</v>
      </c>
      <c r="I224" s="53">
        <f>IFERROR(__xludf.DUMMYFUNCTION("""COMPUTED_VALUE"""),12.0)</f>
        <v>12</v>
      </c>
      <c r="J224" s="53">
        <f>IFERROR(__xludf.DUMMYFUNCTION("""COMPUTED_VALUE"""),1.0)</f>
        <v>1</v>
      </c>
      <c r="K224" s="53">
        <f>IFERROR(__xludf.DUMMYFUNCTION("""COMPUTED_VALUE"""),3.5)</f>
        <v>3.5</v>
      </c>
      <c r="L224" s="53">
        <f>IFERROR(__xludf.DUMMYFUNCTION("""COMPUTED_VALUE"""),3.0)</f>
        <v>3</v>
      </c>
      <c r="M224" s="53">
        <f>IFERROR(__xludf.DUMMYFUNCTION("""COMPUTED_VALUE"""),0.6)</f>
        <v>0.6</v>
      </c>
      <c r="N224" s="53">
        <f>IFERROR(__xludf.DUMMYFUNCTION("""COMPUTED_VALUE"""),0.2)</f>
        <v>0.2</v>
      </c>
      <c r="O224" s="53">
        <f>IFERROR(__xludf.DUMMYFUNCTION("""COMPUTED_VALUE"""),47.368421052631575)</f>
        <v>47.36842105</v>
      </c>
      <c r="P224" s="53">
        <f>IFERROR(__xludf.DUMMYFUNCTION("""COMPUTED_VALUE"""),80.0)</f>
        <v>80</v>
      </c>
      <c r="Q224" s="53">
        <f>IFERROR(__xludf.DUMMYFUNCTION("""COMPUTED_VALUE"""),1.7)</f>
        <v>1.7</v>
      </c>
      <c r="R224" s="53">
        <f>IFERROR(__xludf.DUMMYFUNCTION("""COMPUTED_VALUE"""),-0.8858869882116903)</f>
        <v>-0.8858869882</v>
      </c>
      <c r="S224" s="53">
        <f>IFERROR(__xludf.DUMMYFUNCTION("""COMPUTED_VALUE"""),-0.5590090246596284)</f>
        <v>-0.5590090247</v>
      </c>
      <c r="T224" s="53">
        <f>IFERROR(__xludf.DUMMYFUNCTION("""COMPUTED_VALUE"""),-1.0852482323286814)</f>
        <v>-1.085248232</v>
      </c>
      <c r="U224" s="53">
        <f>IFERROR(__xludf.DUMMYFUNCTION("""COMPUTED_VALUE"""),-0.4304607667171749)</f>
        <v>-0.4304607667</v>
      </c>
      <c r="V224" s="53">
        <f>IFERROR(__xludf.DUMMYFUNCTION("""COMPUTED_VALUE"""),-0.860570275155411)</f>
        <v>-0.8605702752</v>
      </c>
      <c r="W224" s="53">
        <f>IFERROR(__xludf.DUMMYFUNCTION("""COMPUTED_VALUE"""),-0.6583300762210907)</f>
        <v>-0.6583300762</v>
      </c>
      <c r="X224" s="53">
        <f>IFERROR(__xludf.DUMMYFUNCTION("""COMPUTED_VALUE"""),-0.21161162639985714)</f>
        <v>-0.2116116264</v>
      </c>
      <c r="Y224" s="53">
        <f>IFERROR(__xludf.DUMMYFUNCTION("""COMPUTED_VALUE"""),0.06350565195587558)</f>
        <v>0.06350565196</v>
      </c>
      <c r="Z224" s="53">
        <f>IFERROR(__xludf.DUMMYFUNCTION("""COMPUTED_VALUE"""),0.09148296374540399)</f>
        <v>0.09148296375</v>
      </c>
      <c r="AA224" t="str">
        <f>IFERROR(__xludf.DUMMYFUNCTION("REGEXREPLACE(REGEXREPLACE(REGEXREPLACE(REGEXREPLACE(REGEXREPLACE(REGEXREPLACE(E224,"","",),IF(Projections!$U$3="""",""PG"",),),IF(Projections!$V$3="""",""SG"",),),IF(Projections!$W$3="""",""SF"",),),IF(Projections!$X$3="""",""PF"",),),IF(Projections!$Y$3="&amp;""""",""C"",),)"),"SF")</f>
        <v>SF</v>
      </c>
    </row>
    <row r="225">
      <c r="B225">
        <f>IFERROR(__xludf.DUMMYFUNCTION("""COMPUTED_VALUE"""),220.0)</f>
        <v>220</v>
      </c>
      <c r="C225" t="str">
        <f>IFERROR(__xludf.DUMMYFUNCTION("""COMPUTED_VALUE"""),"Ricky Rubio")</f>
        <v>Ricky Rubio</v>
      </c>
      <c r="D225">
        <f>IFERROR(__xludf.DUMMYFUNCTION("""COMPUTED_VALUE"""),38.0)</f>
        <v>38</v>
      </c>
      <c r="E225" t="str">
        <f>IFERROR(__xludf.DUMMYFUNCTION("""COMPUTED_VALUE"""),"PG,SG")</f>
        <v>PG,SG</v>
      </c>
      <c r="F225" s="53">
        <f>IFERROR(__xludf.DUMMYFUNCTION("""COMPUTED_VALUE"""),-5.798882925126724)</f>
        <v>-5.798882925</v>
      </c>
      <c r="G225" s="53">
        <f>IFERROR(__xludf.DUMMYFUNCTION("""COMPUTED_VALUE"""),-3.4787809570614296)</f>
        <v>-3.478780957</v>
      </c>
      <c r="H225" s="53">
        <f>IFERROR(__xludf.DUMMYFUNCTION("""COMPUTED_VALUE"""),2.320101968065295)</f>
        <v>2.320101968</v>
      </c>
      <c r="I225" s="53">
        <f>IFERROR(__xludf.DUMMYFUNCTION("""COMPUTED_VALUE"""),7.5)</f>
        <v>7.5</v>
      </c>
      <c r="J225" s="53">
        <f>IFERROR(__xludf.DUMMYFUNCTION("""COMPUTED_VALUE"""),1.0)</f>
        <v>1</v>
      </c>
      <c r="K225" s="53">
        <f>IFERROR(__xludf.DUMMYFUNCTION("""COMPUTED_VALUE"""),2.6)</f>
        <v>2.6</v>
      </c>
      <c r="L225" s="53">
        <f>IFERROR(__xludf.DUMMYFUNCTION("""COMPUTED_VALUE"""),4.1)</f>
        <v>4.1</v>
      </c>
      <c r="M225" s="53">
        <f>IFERROR(__xludf.DUMMYFUNCTION("""COMPUTED_VALUE"""),0.9)</f>
        <v>0.9</v>
      </c>
      <c r="N225" s="53">
        <f>IFERROR(__xludf.DUMMYFUNCTION("""COMPUTED_VALUE"""),0.2)</f>
        <v>0.2</v>
      </c>
      <c r="O225" s="53">
        <f>IFERROR(__xludf.DUMMYFUNCTION("""COMPUTED_VALUE"""),35.21126760563381)</f>
        <v>35.21126761</v>
      </c>
      <c r="P225" s="53">
        <f>IFERROR(__xludf.DUMMYFUNCTION("""COMPUTED_VALUE"""),82.35294117647058)</f>
        <v>82.35294118</v>
      </c>
      <c r="Q225" s="53">
        <f>IFERROR(__xludf.DUMMYFUNCTION("""COMPUTED_VALUE"""),1.5)</f>
        <v>1.5</v>
      </c>
      <c r="R225" s="53">
        <f>IFERROR(__xludf.DUMMYFUNCTION("""COMPUTED_VALUE"""),-1.6442556845248049)</f>
        <v>-1.644255685</v>
      </c>
      <c r="S225" s="53">
        <f>IFERROR(__xludf.DUMMYFUNCTION("""COMPUTED_VALUE"""),-0.5590090246596284)</f>
        <v>-0.5590090247</v>
      </c>
      <c r="T225" s="53">
        <f>IFERROR(__xludf.DUMMYFUNCTION("""COMPUTED_VALUE"""),-1.461586561032437)</f>
        <v>-1.461586561</v>
      </c>
      <c r="U225" s="53">
        <f>IFERROR(__xludf.DUMMYFUNCTION("""COMPUTED_VALUE"""),0.1305662989094742)</f>
        <v>0.1305662989</v>
      </c>
      <c r="V225" s="53">
        <f>IFERROR(__xludf.DUMMYFUNCTION("""COMPUTED_VALUE"""),-0.2064205727568726)</f>
        <v>-0.2064205728</v>
      </c>
      <c r="W225" s="53">
        <f>IFERROR(__xludf.DUMMYFUNCTION("""COMPUTED_VALUE"""),-0.6583300762210907)</f>
        <v>-0.6583300762</v>
      </c>
      <c r="X225" s="53">
        <f>IFERROR(__xludf.DUMMYFUNCTION("""COMPUTED_VALUE"""),-1.0203300828515556)</f>
        <v>-1.020330083</v>
      </c>
      <c r="Y225" s="53">
        <f>IFERROR(__xludf.DUMMYFUNCTION("""COMPUTED_VALUE"""),0.14275358847581598)</f>
        <v>0.1427535885</v>
      </c>
      <c r="Z225" s="53">
        <f>IFERROR(__xludf.DUMMYFUNCTION("""COMPUTED_VALUE"""),0.1535754730748638)</f>
        <v>0.1535754731</v>
      </c>
      <c r="AA225" t="str">
        <f>IFERROR(__xludf.DUMMYFUNCTION("REGEXREPLACE(REGEXREPLACE(REGEXREPLACE(REGEXREPLACE(REGEXREPLACE(REGEXREPLACE(E225,"","",),IF(Projections!$U$3="""",""PG"",),),IF(Projections!$V$3="""",""SG"",),),IF(Projections!$W$3="""",""SF"",),),IF(Projections!$X$3="""",""PF"",),),IF(Projections!$Y$3="&amp;""""",""C"",),)"),"PGSG")</f>
        <v>PGSG</v>
      </c>
    </row>
    <row r="226">
      <c r="B226">
        <f>IFERROR(__xludf.DUMMYFUNCTION("""COMPUTED_VALUE"""),229.0)</f>
        <v>229</v>
      </c>
      <c r="C226" t="str">
        <f>IFERROR(__xludf.DUMMYFUNCTION("""COMPUTED_VALUE"""),"Isaiah Joe")</f>
        <v>Isaiah Joe</v>
      </c>
      <c r="D226">
        <f>IFERROR(__xludf.DUMMYFUNCTION("""COMPUTED_VALUE"""),70.0)</f>
        <v>70</v>
      </c>
      <c r="E226" t="str">
        <f>IFERROR(__xludf.DUMMYFUNCTION("""COMPUTED_VALUE"""),"PG,SG")</f>
        <v>PG,SG</v>
      </c>
      <c r="F226" s="53">
        <f>IFERROR(__xludf.DUMMYFUNCTION("""COMPUTED_VALUE"""),-6.055021868289014)</f>
        <v>-6.055021868</v>
      </c>
      <c r="G226" s="53">
        <f>IFERROR(__xludf.DUMMYFUNCTION("""COMPUTED_VALUE"""),-3.5069820788084956)</f>
        <v>-3.506982079</v>
      </c>
      <c r="H226" s="53">
        <f>IFERROR(__xludf.DUMMYFUNCTION("""COMPUTED_VALUE"""),2.5480397894805185)</f>
        <v>2.548039789</v>
      </c>
      <c r="I226" s="53">
        <f>IFERROR(__xludf.DUMMYFUNCTION("""COMPUTED_VALUE"""),10.0)</f>
        <v>10</v>
      </c>
      <c r="J226" s="53">
        <f>IFERROR(__xludf.DUMMYFUNCTION("""COMPUTED_VALUE"""),2.3)</f>
        <v>2.3</v>
      </c>
      <c r="K226" s="53">
        <f>IFERROR(__xludf.DUMMYFUNCTION("""COMPUTED_VALUE"""),2.3)</f>
        <v>2.3</v>
      </c>
      <c r="L226" s="53">
        <f>IFERROR(__xludf.DUMMYFUNCTION("""COMPUTED_VALUE"""),1.2)</f>
        <v>1.2</v>
      </c>
      <c r="M226" s="53">
        <f>IFERROR(__xludf.DUMMYFUNCTION("""COMPUTED_VALUE"""),0.6)</f>
        <v>0.6</v>
      </c>
      <c r="N226" s="53">
        <f>IFERROR(__xludf.DUMMYFUNCTION("""COMPUTED_VALUE"""),0.1)</f>
        <v>0.1</v>
      </c>
      <c r="O226" s="53">
        <f>IFERROR(__xludf.DUMMYFUNCTION("""COMPUTED_VALUE"""),43.42105263157895)</f>
        <v>43.42105263</v>
      </c>
      <c r="P226" s="53">
        <f>IFERROR(__xludf.DUMMYFUNCTION("""COMPUTED_VALUE"""),84.61538461538461)</f>
        <v>84.61538462</v>
      </c>
      <c r="Q226" s="53">
        <f>IFERROR(__xludf.DUMMYFUNCTION("""COMPUTED_VALUE"""),0.6)</f>
        <v>0.6</v>
      </c>
      <c r="R226" s="53">
        <f>IFERROR(__xludf.DUMMYFUNCTION("""COMPUTED_VALUE"""),-1.22293974212863)</f>
        <v>-1.222939742</v>
      </c>
      <c r="S226" s="53">
        <f>IFERROR(__xludf.DUMMYFUNCTION("""COMPUTED_VALUE"""),0.5682583983871938)</f>
        <v>0.5682583984</v>
      </c>
      <c r="T226" s="53">
        <f>IFERROR(__xludf.DUMMYFUNCTION("""COMPUTED_VALUE"""),-1.5870326706003557)</f>
        <v>-1.587032671</v>
      </c>
      <c r="U226" s="53">
        <f>IFERROR(__xludf.DUMMYFUNCTION("""COMPUTED_VALUE"""),-1.3485050559244194)</f>
        <v>-1.348505056</v>
      </c>
      <c r="V226" s="53">
        <f>IFERROR(__xludf.DUMMYFUNCTION("""COMPUTED_VALUE"""),-0.860570275155411)</f>
        <v>-0.8605702752</v>
      </c>
      <c r="W226" s="53">
        <f>IFERROR(__xludf.DUMMYFUNCTION("""COMPUTED_VALUE"""),-0.7896459158928509)</f>
        <v>-0.7896459159</v>
      </c>
      <c r="X226" s="53">
        <f>IFERROR(__xludf.DUMMYFUNCTION("""COMPUTED_VALUE"""),-0.4689488098875975)</f>
        <v>-0.4689488099</v>
      </c>
      <c r="Y226" s="53">
        <f>IFERROR(__xludf.DUMMYFUNCTION("""COMPUTED_VALUE"""),0.18237755673578657)</f>
        <v>0.1823775567</v>
      </c>
      <c r="Z226" s="53">
        <f>IFERROR(__xludf.DUMMYFUNCTION("""COMPUTED_VALUE"""),0.43299176505743303)</f>
        <v>0.4329917651</v>
      </c>
      <c r="AA226" t="str">
        <f>IFERROR(__xludf.DUMMYFUNCTION("REGEXREPLACE(REGEXREPLACE(REGEXREPLACE(REGEXREPLACE(REGEXREPLACE(REGEXREPLACE(E226,"","",),IF(Projections!$U$3="""",""PG"",),),IF(Projections!$V$3="""",""SG"",),),IF(Projections!$W$3="""",""SF"",),),IF(Projections!$X$3="""",""PF"",),),IF(Projections!$Y$3="&amp;""""",""C"",),)"),"PGSG")</f>
        <v>PGSG</v>
      </c>
    </row>
    <row r="227">
      <c r="B227">
        <f>IFERROR(__xludf.DUMMYFUNCTION("""COMPUTED_VALUE"""),211.0)</f>
        <v>211</v>
      </c>
      <c r="C227" t="str">
        <f>IFERROR(__xludf.DUMMYFUNCTION("""COMPUTED_VALUE"""),"Naz Reid")</f>
        <v>Naz Reid</v>
      </c>
      <c r="D227">
        <f>IFERROR(__xludf.DUMMYFUNCTION("""COMPUTED_VALUE"""),72.0)</f>
        <v>72</v>
      </c>
      <c r="E227" t="str">
        <f>IFERROR(__xludf.DUMMYFUNCTION("""COMPUTED_VALUE"""),"PF,C")</f>
        <v>PF,C</v>
      </c>
      <c r="F227" s="53">
        <f>IFERROR(__xludf.DUMMYFUNCTION("""COMPUTED_VALUE"""),-5.564427405572533)</f>
        <v>-5.564427406</v>
      </c>
      <c r="G227" s="53">
        <f>IFERROR(__xludf.DUMMYFUNCTION("""COMPUTED_VALUE"""),-3.5090025343174465)</f>
        <v>-3.509002534</v>
      </c>
      <c r="H227" s="53">
        <f>IFERROR(__xludf.DUMMYFUNCTION("""COMPUTED_VALUE"""),2.0554248712550867)</f>
        <v>2.055424871</v>
      </c>
      <c r="I227" s="53">
        <f>IFERROR(__xludf.DUMMYFUNCTION("""COMPUTED_VALUE"""),9.5)</f>
        <v>9.5</v>
      </c>
      <c r="J227" s="53">
        <f>IFERROR(__xludf.DUMMYFUNCTION("""COMPUTED_VALUE"""),0.9)</f>
        <v>0.9</v>
      </c>
      <c r="K227" s="53">
        <f>IFERROR(__xludf.DUMMYFUNCTION("""COMPUTED_VALUE"""),4.3)</f>
        <v>4.3</v>
      </c>
      <c r="L227" s="53">
        <f>IFERROR(__xludf.DUMMYFUNCTION("""COMPUTED_VALUE"""),1.0)</f>
        <v>1</v>
      </c>
      <c r="M227" s="53">
        <f>IFERROR(__xludf.DUMMYFUNCTION("""COMPUTED_VALUE"""),0.6)</f>
        <v>0.6</v>
      </c>
      <c r="N227" s="53">
        <f>IFERROR(__xludf.DUMMYFUNCTION("""COMPUTED_VALUE"""),0.8)</f>
        <v>0.8</v>
      </c>
      <c r="O227" s="53">
        <f>IFERROR(__xludf.DUMMYFUNCTION("""COMPUTED_VALUE"""),52.11267605633804)</f>
        <v>52.11267606</v>
      </c>
      <c r="P227" s="53">
        <f>IFERROR(__xludf.DUMMYFUNCTION("""COMPUTED_VALUE"""),68.42105263157895)</f>
        <v>68.42105263</v>
      </c>
      <c r="Q227" s="53">
        <f>IFERROR(__xludf.DUMMYFUNCTION("""COMPUTED_VALUE"""),1.2)</f>
        <v>1.2</v>
      </c>
      <c r="R227" s="53">
        <f>IFERROR(__xludf.DUMMYFUNCTION("""COMPUTED_VALUE"""),-1.3072029306078652)</f>
        <v>-1.307202931</v>
      </c>
      <c r="S227" s="53">
        <f>IFERROR(__xludf.DUMMYFUNCTION("""COMPUTED_VALUE"""),-0.6457219033555379)</f>
        <v>-0.6457219034</v>
      </c>
      <c r="T227" s="53">
        <f>IFERROR(__xludf.DUMMYFUNCTION("""COMPUTED_VALUE"""),-0.7507252734808988)</f>
        <v>-0.7507252735</v>
      </c>
      <c r="U227" s="53">
        <f>IFERROR(__xludf.DUMMYFUNCTION("""COMPUTED_VALUE"""),-1.4505099769474463)</f>
        <v>-1.450509977</v>
      </c>
      <c r="V227" s="53">
        <f>IFERROR(__xludf.DUMMYFUNCTION("""COMPUTED_VALUE"""),-0.860570275155411)</f>
        <v>-0.8605702752</v>
      </c>
      <c r="W227" s="53">
        <f>IFERROR(__xludf.DUMMYFUNCTION("""COMPUTED_VALUE"""),0.12956496180946983)</f>
        <v>0.1295649618</v>
      </c>
      <c r="X227" s="53">
        <f>IFERROR(__xludf.DUMMYFUNCTION("""COMPUTED_VALUE"""),0.17830795221929305)</f>
        <v>0.1783079522</v>
      </c>
      <c r="Y227" s="53">
        <f>IFERROR(__xludf.DUMMYFUNCTION("""COMPUTED_VALUE"""),-0.4993693028155499)</f>
        <v>-0.4993693028</v>
      </c>
      <c r="Z227" s="53">
        <f>IFERROR(__xludf.DUMMYFUNCTION("""COMPUTED_VALUE"""),0.24671423706905354)</f>
        <v>0.2467142371</v>
      </c>
      <c r="AA227" t="str">
        <f>IFERROR(__xludf.DUMMYFUNCTION("REGEXREPLACE(REGEXREPLACE(REGEXREPLACE(REGEXREPLACE(REGEXREPLACE(REGEXREPLACE(E227,"","",),IF(Projections!$U$3="""",""PG"",),),IF(Projections!$V$3="""",""SG"",),),IF(Projections!$W$3="""",""SF"",),),IF(Projections!$X$3="""",""PF"",),),IF(Projections!$Y$3="&amp;""""",""C"",),)"),"PFC")</f>
        <v>PFC</v>
      </c>
    </row>
    <row r="228">
      <c r="B228">
        <f>IFERROR(__xludf.DUMMYFUNCTION("""COMPUTED_VALUE"""),218.0)</f>
        <v>218</v>
      </c>
      <c r="C228" t="str">
        <f>IFERROR(__xludf.DUMMYFUNCTION("""COMPUTED_VALUE"""),"Jarace Walker")</f>
        <v>Jarace Walker</v>
      </c>
      <c r="D228">
        <f>IFERROR(__xludf.DUMMYFUNCTION("""COMPUTED_VALUE"""),70.0)</f>
        <v>70</v>
      </c>
      <c r="E228" t="str">
        <f>IFERROR(__xludf.DUMMYFUNCTION("""COMPUTED_VALUE"""),"PF")</f>
        <v>PF</v>
      </c>
      <c r="F228" s="53">
        <f>IFERROR(__xludf.DUMMYFUNCTION("""COMPUTED_VALUE"""),-5.764376961890281)</f>
        <v>-5.764376962</v>
      </c>
      <c r="G228" s="53">
        <f>IFERROR(__xludf.DUMMYFUNCTION("""COMPUTED_VALUE"""),-3.5296674585835515)</f>
        <v>-3.529667459</v>
      </c>
      <c r="H228" s="53">
        <f>IFERROR(__xludf.DUMMYFUNCTION("""COMPUTED_VALUE"""),2.2347095033067292)</f>
        <v>2.234709503</v>
      </c>
      <c r="I228" s="53">
        <f>IFERROR(__xludf.DUMMYFUNCTION("""COMPUTED_VALUE"""),10.4)</f>
        <v>10.4</v>
      </c>
      <c r="J228" s="53">
        <f>IFERROR(__xludf.DUMMYFUNCTION("""COMPUTED_VALUE"""),0.9)</f>
        <v>0.9</v>
      </c>
      <c r="K228" s="53">
        <f>IFERROR(__xludf.DUMMYFUNCTION("""COMPUTED_VALUE"""),6.7)</f>
        <v>6.7</v>
      </c>
      <c r="L228" s="53">
        <f>IFERROR(__xludf.DUMMYFUNCTION("""COMPUTED_VALUE"""),1.1)</f>
        <v>1.1</v>
      </c>
      <c r="M228" s="53">
        <f>IFERROR(__xludf.DUMMYFUNCTION("""COMPUTED_VALUE"""),0.4)</f>
        <v>0.4</v>
      </c>
      <c r="N228" s="53">
        <f>IFERROR(__xludf.DUMMYFUNCTION("""COMPUTED_VALUE"""),0.8)</f>
        <v>0.8</v>
      </c>
      <c r="O228" s="53">
        <f>IFERROR(__xludf.DUMMYFUNCTION("""COMPUTED_VALUE"""),45.88235294117647)</f>
        <v>45.88235294</v>
      </c>
      <c r="P228" s="53">
        <f>IFERROR(__xludf.DUMMYFUNCTION("""COMPUTED_VALUE"""),68.0)</f>
        <v>68</v>
      </c>
      <c r="Q228" s="53">
        <f>IFERROR(__xludf.DUMMYFUNCTION("""COMPUTED_VALUE"""),1.4)</f>
        <v>1.4</v>
      </c>
      <c r="R228" s="53">
        <f>IFERROR(__xludf.DUMMYFUNCTION("""COMPUTED_VALUE"""),-1.1555291913452421)</f>
        <v>-1.155529191</v>
      </c>
      <c r="S228" s="53">
        <f>IFERROR(__xludf.DUMMYFUNCTION("""COMPUTED_VALUE"""),-0.6457219033555379)</f>
        <v>-0.6457219034</v>
      </c>
      <c r="T228" s="53">
        <f>IFERROR(__xludf.DUMMYFUNCTION("""COMPUTED_VALUE"""),0.2528436030624495)</f>
        <v>0.2528436031</v>
      </c>
      <c r="U228" s="53">
        <f>IFERROR(__xludf.DUMMYFUNCTION("""COMPUTED_VALUE"""),-1.3995075164359327)</f>
        <v>-1.399507516</v>
      </c>
      <c r="V228" s="53">
        <f>IFERROR(__xludf.DUMMYFUNCTION("""COMPUTED_VALUE"""),-1.2966700767544366)</f>
        <v>-1.296670077</v>
      </c>
      <c r="W228" s="53">
        <f>IFERROR(__xludf.DUMMYFUNCTION("""COMPUTED_VALUE"""),0.12956496180946983)</f>
        <v>0.1295649618</v>
      </c>
      <c r="X228" s="53">
        <f>IFERROR(__xludf.DUMMYFUNCTION("""COMPUTED_VALUE"""),-0.31550914310206674)</f>
        <v>-0.3155091431</v>
      </c>
      <c r="Y228" s="53">
        <f>IFERROR(__xludf.DUMMYFUNCTION("""COMPUTED_VALUE"""),-0.6832674366377822)</f>
        <v>-0.6832674366</v>
      </c>
      <c r="Z228" s="53">
        <f>IFERROR(__xludf.DUMMYFUNCTION("""COMPUTED_VALUE"""),0.18462172773959373)</f>
        <v>0.1846217277</v>
      </c>
      <c r="AA228" t="str">
        <f>IFERROR(__xludf.DUMMYFUNCTION("REGEXREPLACE(REGEXREPLACE(REGEXREPLACE(REGEXREPLACE(REGEXREPLACE(REGEXREPLACE(E228,"","",),IF(Projections!$U$3="""",""PG"",),),IF(Projections!$V$3="""",""SG"",),),IF(Projections!$W$3="""",""SF"",),),IF(Projections!$X$3="""",""PF"",),),IF(Projections!$Y$3="&amp;""""",""C"",),)"),"PF")</f>
        <v>PF</v>
      </c>
    </row>
    <row r="229">
      <c r="B229">
        <f>IFERROR(__xludf.DUMMYFUNCTION("""COMPUTED_VALUE"""),251.0)</f>
        <v>251</v>
      </c>
      <c r="C229" t="str">
        <f>IFERROR(__xludf.DUMMYFUNCTION("""COMPUTED_VALUE"""),"John Konchar")</f>
        <v>John Konchar</v>
      </c>
      <c r="D229">
        <f>IFERROR(__xludf.DUMMYFUNCTION("""COMPUTED_VALUE"""),72.0)</f>
        <v>72</v>
      </c>
      <c r="E229" t="str">
        <f>IFERROR(__xludf.DUMMYFUNCTION("""COMPUTED_VALUE"""),"SG,SF")</f>
        <v>SG,SF</v>
      </c>
      <c r="F229" s="53">
        <f>IFERROR(__xludf.DUMMYFUNCTION("""COMPUTED_VALUE"""),-6.635202342252557)</f>
        <v>-6.635202342</v>
      </c>
      <c r="G229" s="53">
        <f>IFERROR(__xludf.DUMMYFUNCTION("""COMPUTED_VALUE"""),-3.5831316590866185)</f>
        <v>-3.583131659</v>
      </c>
      <c r="H229" s="53">
        <f>IFERROR(__xludf.DUMMYFUNCTION("""COMPUTED_VALUE"""),3.052070683165938)</f>
        <v>3.052070683</v>
      </c>
      <c r="I229" s="53">
        <f>IFERROR(__xludf.DUMMYFUNCTION("""COMPUTED_VALUE"""),4.7)</f>
        <v>4.7</v>
      </c>
      <c r="J229" s="53">
        <f>IFERROR(__xludf.DUMMYFUNCTION("""COMPUTED_VALUE"""),0.7)</f>
        <v>0.7</v>
      </c>
      <c r="K229" s="53">
        <f>IFERROR(__xludf.DUMMYFUNCTION("""COMPUTED_VALUE"""),4.2)</f>
        <v>4.2</v>
      </c>
      <c r="L229" s="53">
        <f>IFERROR(__xludf.DUMMYFUNCTION("""COMPUTED_VALUE"""),1.4)</f>
        <v>1.4</v>
      </c>
      <c r="M229" s="53">
        <f>IFERROR(__xludf.DUMMYFUNCTION("""COMPUTED_VALUE"""),0.8)</f>
        <v>0.8</v>
      </c>
      <c r="N229" s="53">
        <f>IFERROR(__xludf.DUMMYFUNCTION("""COMPUTED_VALUE"""),0.3)</f>
        <v>0.3</v>
      </c>
      <c r="O229" s="53">
        <f>IFERROR(__xludf.DUMMYFUNCTION("""COMPUTED_VALUE"""),47.36842105263158)</f>
        <v>47.36842105</v>
      </c>
      <c r="P229" s="53">
        <f>IFERROR(__xludf.DUMMYFUNCTION("""COMPUTED_VALUE"""),66.66666666666667)</f>
        <v>66.66666667</v>
      </c>
      <c r="Q229" s="53">
        <f>IFERROR(__xludf.DUMMYFUNCTION("""COMPUTED_VALUE"""),0.4)</f>
        <v>0.4</v>
      </c>
      <c r="R229" s="53">
        <f>IFERROR(__xludf.DUMMYFUNCTION("""COMPUTED_VALUE"""),-2.116129540008521)</f>
        <v>-2.11612954</v>
      </c>
      <c r="S229" s="53">
        <f>IFERROR(__xludf.DUMMYFUNCTION("""COMPUTED_VALUE"""),-0.8191476607473568)</f>
        <v>-0.8191476607</v>
      </c>
      <c r="T229" s="53">
        <f>IFERROR(__xludf.DUMMYFUNCTION("""COMPUTED_VALUE"""),-0.7925406433368716)</f>
        <v>-0.7925406433</v>
      </c>
      <c r="U229" s="53">
        <f>IFERROR(__xludf.DUMMYFUNCTION("""COMPUTED_VALUE"""),-1.246500134901392)</f>
        <v>-1.246500135</v>
      </c>
      <c r="V229" s="53">
        <f>IFERROR(__xludf.DUMMYFUNCTION("""COMPUTED_VALUE"""),-0.42447047355638534)</f>
        <v>-0.4244704736</v>
      </c>
      <c r="W229" s="53">
        <f>IFERROR(__xludf.DUMMYFUNCTION("""COMPUTED_VALUE"""),-0.5270142365493308)</f>
        <v>-0.5270142365</v>
      </c>
      <c r="X229" s="53">
        <f>IFERROR(__xludf.DUMMYFUNCTION("""COMPUTED_VALUE"""),-0.08464465055994264)</f>
        <v>-0.08464465056</v>
      </c>
      <c r="Y229" s="53">
        <f>IFERROR(__xludf.DUMMYFUNCTION("""COMPUTED_VALUE"""),-0.18389813382223172)</f>
        <v>-0.1838981338</v>
      </c>
      <c r="Z229" s="53">
        <f>IFERROR(__xludf.DUMMYFUNCTION("""COMPUTED_VALUE"""),0.4950842743868928)</f>
        <v>0.4950842744</v>
      </c>
      <c r="AA229" t="str">
        <f>IFERROR(__xludf.DUMMYFUNCTION("REGEXREPLACE(REGEXREPLACE(REGEXREPLACE(REGEXREPLACE(REGEXREPLACE(REGEXREPLACE(E229,"","",),IF(Projections!$U$3="""",""PG"",),),IF(Projections!$V$3="""",""SG"",),),IF(Projections!$W$3="""",""SF"",),),IF(Projections!$X$3="""",""PF"",),),IF(Projections!$Y$3="&amp;""""",""C"",),)"),"SGSF")</f>
        <v>SGSF</v>
      </c>
    </row>
    <row r="230">
      <c r="B230">
        <f>IFERROR(__xludf.DUMMYFUNCTION("""COMPUTED_VALUE"""),236.0)</f>
        <v>236</v>
      </c>
      <c r="C230" t="str">
        <f>IFERROR(__xludf.DUMMYFUNCTION("""COMPUTED_VALUE"""),"Jordan Goodwin")</f>
        <v>Jordan Goodwin</v>
      </c>
      <c r="D230">
        <f>IFERROR(__xludf.DUMMYFUNCTION("""COMPUTED_VALUE"""),72.0)</f>
        <v>72</v>
      </c>
      <c r="E230" t="str">
        <f>IFERROR(__xludf.DUMMYFUNCTION("""COMPUTED_VALUE"""),"PG")</f>
        <v>PG</v>
      </c>
      <c r="F230" s="53">
        <f>IFERROR(__xludf.DUMMYFUNCTION("""COMPUTED_VALUE"""),-6.2957609453132095)</f>
        <v>-6.295760945</v>
      </c>
      <c r="G230" s="53">
        <f>IFERROR(__xludf.DUMMYFUNCTION("""COMPUTED_VALUE"""),-3.5897885917919687)</f>
        <v>-3.589788592</v>
      </c>
      <c r="H230" s="53">
        <f>IFERROR(__xludf.DUMMYFUNCTION("""COMPUTED_VALUE"""),2.7059723535212408)</f>
        <v>2.705972354</v>
      </c>
      <c r="I230" s="53">
        <f>IFERROR(__xludf.DUMMYFUNCTION("""COMPUTED_VALUE"""),5.8)</f>
        <v>5.8</v>
      </c>
      <c r="J230" s="53">
        <f>IFERROR(__xludf.DUMMYFUNCTION("""COMPUTED_VALUE"""),0.6)</f>
        <v>0.6</v>
      </c>
      <c r="K230" s="53">
        <f>IFERROR(__xludf.DUMMYFUNCTION("""COMPUTED_VALUE"""),3.0)</f>
        <v>3</v>
      </c>
      <c r="L230" s="53">
        <f>IFERROR(__xludf.DUMMYFUNCTION("""COMPUTED_VALUE"""),2.4)</f>
        <v>2.4</v>
      </c>
      <c r="M230" s="53">
        <f>IFERROR(__xludf.DUMMYFUNCTION("""COMPUTED_VALUE"""),0.8)</f>
        <v>0.8</v>
      </c>
      <c r="N230" s="53">
        <f>IFERROR(__xludf.DUMMYFUNCTION("""COMPUTED_VALUE"""),0.4)</f>
        <v>0.4</v>
      </c>
      <c r="O230" s="53">
        <f>IFERROR(__xludf.DUMMYFUNCTION("""COMPUTED_VALUE"""),45.09803921568628)</f>
        <v>45.09803922</v>
      </c>
      <c r="P230" s="53">
        <f>IFERROR(__xludf.DUMMYFUNCTION("""COMPUTED_VALUE"""),80.0)</f>
        <v>80</v>
      </c>
      <c r="Q230" s="53">
        <f>IFERROR(__xludf.DUMMYFUNCTION("""COMPUTED_VALUE"""),0.8)</f>
        <v>0.8</v>
      </c>
      <c r="R230" s="53">
        <f>IFERROR(__xludf.DUMMYFUNCTION("""COMPUTED_VALUE"""),-1.9307505253542037)</f>
        <v>-1.930750525</v>
      </c>
      <c r="S230" s="53">
        <f>IFERROR(__xludf.DUMMYFUNCTION("""COMPUTED_VALUE"""),-0.9058605394432663)</f>
        <v>-0.9058605394</v>
      </c>
      <c r="T230" s="53">
        <f>IFERROR(__xludf.DUMMYFUNCTION("""COMPUTED_VALUE"""),-1.2943250816085456)</f>
        <v>-1.294325082</v>
      </c>
      <c r="U230" s="53">
        <f>IFERROR(__xludf.DUMMYFUNCTION("""COMPUTED_VALUE"""),-0.7364755297862564)</f>
        <v>-0.7364755298</v>
      </c>
      <c r="V230" s="53">
        <f>IFERROR(__xludf.DUMMYFUNCTION("""COMPUTED_VALUE"""),-0.42447047355638534)</f>
        <v>-0.4244704736</v>
      </c>
      <c r="W230" s="53">
        <f>IFERROR(__xludf.DUMMYFUNCTION("""COMPUTED_VALUE"""),-0.39569839687757064)</f>
        <v>-0.3956983969</v>
      </c>
      <c r="X230" s="53">
        <f>IFERROR(__xludf.DUMMYFUNCTION("""COMPUTED_VALUE"""),-0.22926008703026818)</f>
        <v>-0.229260087</v>
      </c>
      <c r="Y230" s="53">
        <f>IFERROR(__xludf.DUMMYFUNCTION("""COMPUTED_VALUE"""),0.02540226078235024)</f>
        <v>0.02540226078</v>
      </c>
      <c r="Z230" s="53">
        <f>IFERROR(__xludf.DUMMYFUNCTION("""COMPUTED_VALUE"""),0.37089925572797316)</f>
        <v>0.3708992557</v>
      </c>
      <c r="AA230" t="str">
        <f>IFERROR(__xludf.DUMMYFUNCTION("REGEXREPLACE(REGEXREPLACE(REGEXREPLACE(REGEXREPLACE(REGEXREPLACE(REGEXREPLACE(E230,"","",),IF(Projections!$U$3="""",""PG"",),),IF(Projections!$V$3="""",""SG"",),),IF(Projections!$W$3="""",""SF"",),),IF(Projections!$X$3="""",""PF"",),),IF(Projections!$Y$3="&amp;""""",""C"",),)"),"PG")</f>
        <v>PG</v>
      </c>
    </row>
    <row r="231">
      <c r="B231">
        <f>IFERROR(__xludf.DUMMYFUNCTION("""COMPUTED_VALUE"""),219.0)</f>
        <v>219</v>
      </c>
      <c r="C231" t="str">
        <f>IFERROR(__xludf.DUMMYFUNCTION("""COMPUTED_VALUE"""),"Keyonte George")</f>
        <v>Keyonte George</v>
      </c>
      <c r="D231">
        <f>IFERROR(__xludf.DUMMYFUNCTION("""COMPUTED_VALUE"""),72.0)</f>
        <v>72</v>
      </c>
      <c r="E231" t="str">
        <f>IFERROR(__xludf.DUMMYFUNCTION("""COMPUTED_VALUE"""),"SG")</f>
        <v>SG</v>
      </c>
      <c r="F231" s="53">
        <f>IFERROR(__xludf.DUMMYFUNCTION("""COMPUTED_VALUE"""),-5.776012953003108)</f>
        <v>-5.776012953</v>
      </c>
      <c r="G231" s="53">
        <f>IFERROR(__xludf.DUMMYFUNCTION("""COMPUTED_VALUE"""),-3.601689286419962)</f>
        <v>-3.601689286</v>
      </c>
      <c r="H231" s="53">
        <f>IFERROR(__xludf.DUMMYFUNCTION("""COMPUTED_VALUE"""),2.1743236665831462)</f>
        <v>2.174323667</v>
      </c>
      <c r="I231" s="53">
        <f>IFERROR(__xludf.DUMMYFUNCTION("""COMPUTED_VALUE"""),13.0)</f>
        <v>13</v>
      </c>
      <c r="J231" s="53">
        <f>IFERROR(__xludf.DUMMYFUNCTION("""COMPUTED_VALUE"""),1.5)</f>
        <v>1.5</v>
      </c>
      <c r="K231" s="53">
        <f>IFERROR(__xludf.DUMMYFUNCTION("""COMPUTED_VALUE"""),2.7)</f>
        <v>2.7</v>
      </c>
      <c r="L231" s="53">
        <f>IFERROR(__xludf.DUMMYFUNCTION("""COMPUTED_VALUE"""),2.6)</f>
        <v>2.6</v>
      </c>
      <c r="M231" s="53">
        <f>IFERROR(__xludf.DUMMYFUNCTION("""COMPUTED_VALUE"""),0.6)</f>
        <v>0.6</v>
      </c>
      <c r="N231" s="53">
        <f>IFERROR(__xludf.DUMMYFUNCTION("""COMPUTED_VALUE"""),0.2)</f>
        <v>0.2</v>
      </c>
      <c r="O231" s="53">
        <f>IFERROR(__xludf.DUMMYFUNCTION("""COMPUTED_VALUE"""),42.24137931034483)</f>
        <v>42.24137931</v>
      </c>
      <c r="P231" s="53">
        <f>IFERROR(__xludf.DUMMYFUNCTION("""COMPUTED_VALUE"""),81.81818181818181)</f>
        <v>81.81818182</v>
      </c>
      <c r="Q231" s="53">
        <f>IFERROR(__xludf.DUMMYFUNCTION("""COMPUTED_VALUE"""),1.7)</f>
        <v>1.7</v>
      </c>
      <c r="R231" s="53">
        <f>IFERROR(__xludf.DUMMYFUNCTION("""COMPUTED_VALUE"""),-0.7173606112532205)</f>
        <v>-0.7173606113</v>
      </c>
      <c r="S231" s="53">
        <f>IFERROR(__xludf.DUMMYFUNCTION("""COMPUTED_VALUE"""),-0.12544463118008137)</f>
        <v>-0.1254446312</v>
      </c>
      <c r="T231" s="53">
        <f>IFERROR(__xludf.DUMMYFUNCTION("""COMPUTED_VALUE"""),-1.419771191176464)</f>
        <v>-1.419771191</v>
      </c>
      <c r="U231" s="53">
        <f>IFERROR(__xludf.DUMMYFUNCTION("""COMPUTED_VALUE"""),-0.6344706087632292)</f>
        <v>-0.6344706088</v>
      </c>
      <c r="V231" s="53">
        <f>IFERROR(__xludf.DUMMYFUNCTION("""COMPUTED_VALUE"""),-0.860570275155411)</f>
        <v>-0.8605702752</v>
      </c>
      <c r="W231" s="53">
        <f>IFERROR(__xludf.DUMMYFUNCTION("""COMPUTED_VALUE"""),-0.6583300762210907)</f>
        <v>-0.6583300762</v>
      </c>
      <c r="X231" s="53">
        <f>IFERROR(__xludf.DUMMYFUNCTION("""COMPUTED_VALUE"""),-0.8524507664593238)</f>
        <v>-0.8524507665</v>
      </c>
      <c r="Y231" s="53">
        <f>IFERROR(__xludf.DUMMYFUNCTION("""COMPUTED_VALUE"""),0.15545471886699092)</f>
        <v>0.1554547189</v>
      </c>
      <c r="Z231" s="53">
        <f>IFERROR(__xludf.DUMMYFUNCTION("""COMPUTED_VALUE"""),0.09148296374540399)</f>
        <v>0.09148296375</v>
      </c>
      <c r="AA231" t="str">
        <f>IFERROR(__xludf.DUMMYFUNCTION("REGEXREPLACE(REGEXREPLACE(REGEXREPLACE(REGEXREPLACE(REGEXREPLACE(REGEXREPLACE(E231,"","",),IF(Projections!$U$3="""",""PG"",),),IF(Projections!$V$3="""",""SG"",),),IF(Projections!$W$3="""",""SF"",),),IF(Projections!$X$3="""",""PF"",),),IF(Projections!$Y$3="&amp;""""",""C"",),)"),"SG")</f>
        <v>SG</v>
      </c>
    </row>
    <row r="232">
      <c r="B232">
        <f>IFERROR(__xludf.DUMMYFUNCTION("""COMPUTED_VALUE"""),231.0)</f>
        <v>231</v>
      </c>
      <c r="C232" t="str">
        <f>IFERROR(__xludf.DUMMYFUNCTION("""COMPUTED_VALUE"""),"Rui Hachimura")</f>
        <v>Rui Hachimura</v>
      </c>
      <c r="D232">
        <f>IFERROR(__xludf.DUMMYFUNCTION("""COMPUTED_VALUE"""),65.0)</f>
        <v>65</v>
      </c>
      <c r="E232" t="str">
        <f>IFERROR(__xludf.DUMMYFUNCTION("""COMPUTED_VALUE"""),"SF,PF")</f>
        <v>SF,PF</v>
      </c>
      <c r="F232" s="53">
        <f>IFERROR(__xludf.DUMMYFUNCTION("""COMPUTED_VALUE"""),-6.071657539102529)</f>
        <v>-6.071657539</v>
      </c>
      <c r="G232" s="53">
        <f>IFERROR(__xludf.DUMMYFUNCTION("""COMPUTED_VALUE"""),-3.612493800342638)</f>
        <v>-3.6124938</v>
      </c>
      <c r="H232" s="53">
        <f>IFERROR(__xludf.DUMMYFUNCTION("""COMPUTED_VALUE"""),2.459163738759891)</f>
        <v>2.459163739</v>
      </c>
      <c r="I232" s="53">
        <f>IFERROR(__xludf.DUMMYFUNCTION("""COMPUTED_VALUE"""),12.2)</f>
        <v>12.2</v>
      </c>
      <c r="J232" s="53">
        <f>IFERROR(__xludf.DUMMYFUNCTION("""COMPUTED_VALUE"""),1.1)</f>
        <v>1.1</v>
      </c>
      <c r="K232" s="53">
        <f>IFERROR(__xludf.DUMMYFUNCTION("""COMPUTED_VALUE"""),4.6)</f>
        <v>4.6</v>
      </c>
      <c r="L232" s="53">
        <f>IFERROR(__xludf.DUMMYFUNCTION("""COMPUTED_VALUE"""),1.1)</f>
        <v>1.1</v>
      </c>
      <c r="M232" s="53">
        <f>IFERROR(__xludf.DUMMYFUNCTION("""COMPUTED_VALUE"""),0.4)</f>
        <v>0.4</v>
      </c>
      <c r="N232" s="53">
        <f>IFERROR(__xludf.DUMMYFUNCTION("""COMPUTED_VALUE"""),0.4)</f>
        <v>0.4</v>
      </c>
      <c r="O232" s="53">
        <f>IFERROR(__xludf.DUMMYFUNCTION("""COMPUTED_VALUE"""),49.00000000000001)</f>
        <v>49</v>
      </c>
      <c r="P232" s="53">
        <f>IFERROR(__xludf.DUMMYFUNCTION("""COMPUTED_VALUE"""),73.68421052631578)</f>
        <v>73.68421053</v>
      </c>
      <c r="Q232" s="53">
        <f>IFERROR(__xludf.DUMMYFUNCTION("""COMPUTED_VALUE"""),0.9)</f>
        <v>0.9</v>
      </c>
      <c r="R232" s="53">
        <f>IFERROR(__xludf.DUMMYFUNCTION("""COMPUTED_VALUE"""),-0.8521817128199964)</f>
        <v>-0.8521817128</v>
      </c>
      <c r="S232" s="53">
        <f>IFERROR(__xludf.DUMMYFUNCTION("""COMPUTED_VALUE"""),-0.472296145963719)</f>
        <v>-0.472296146</v>
      </c>
      <c r="T232" s="53">
        <f>IFERROR(__xludf.DUMMYFUNCTION("""COMPUTED_VALUE"""),-0.6252791639129804)</f>
        <v>-0.6252791639</v>
      </c>
      <c r="U232" s="53">
        <f>IFERROR(__xludf.DUMMYFUNCTION("""COMPUTED_VALUE"""),-1.3995075164359327)</f>
        <v>-1.399507516</v>
      </c>
      <c r="V232" s="53">
        <f>IFERROR(__xludf.DUMMYFUNCTION("""COMPUTED_VALUE"""),-1.2966700767544366)</f>
        <v>-1.296670077</v>
      </c>
      <c r="W232" s="53">
        <f>IFERROR(__xludf.DUMMYFUNCTION("""COMPUTED_VALUE"""),-0.39569839687757064)</f>
        <v>-0.3956983969</v>
      </c>
      <c r="X232" s="53">
        <f>IFERROR(__xludf.DUMMYFUNCTION("""COMPUTED_VALUE"""),-0.059776365126180925)</f>
        <v>-0.05977636513</v>
      </c>
      <c r="Y232" s="53">
        <f>IFERROR(__xludf.DUMMYFUNCTION("""COMPUTED_VALUE"""),-0.25044493995099776)</f>
        <v>-0.25044494</v>
      </c>
      <c r="Z232" s="53">
        <f>IFERROR(__xludf.DUMMYFUNCTION("""COMPUTED_VALUE"""),0.33985300106324323)</f>
        <v>0.3398530011</v>
      </c>
      <c r="AA232" t="str">
        <f>IFERROR(__xludf.DUMMYFUNCTION("REGEXREPLACE(REGEXREPLACE(REGEXREPLACE(REGEXREPLACE(REGEXREPLACE(REGEXREPLACE(E232,"","",),IF(Projections!$U$3="""",""PG"",),),IF(Projections!$V$3="""",""SG"",),),IF(Projections!$W$3="""",""SF"",),),IF(Projections!$X$3="""",""PF"",),),IF(Projections!$Y$3="&amp;""""",""C"",),)"),"SFPF")</f>
        <v>SFPF</v>
      </c>
    </row>
    <row r="233">
      <c r="B233">
        <f>IFERROR(__xludf.DUMMYFUNCTION("""COMPUTED_VALUE"""),230.0)</f>
        <v>230</v>
      </c>
      <c r="C233" t="str">
        <f>IFERROR(__xludf.DUMMYFUNCTION("""COMPUTED_VALUE"""),"Coby White")</f>
        <v>Coby White</v>
      </c>
      <c r="D233">
        <f>IFERROR(__xludf.DUMMYFUNCTION("""COMPUTED_VALUE"""),72.0)</f>
        <v>72</v>
      </c>
      <c r="E233" t="str">
        <f>IFERROR(__xludf.DUMMYFUNCTION("""COMPUTED_VALUE"""),"PG,SG")</f>
        <v>PG,SG</v>
      </c>
      <c r="F233" s="53">
        <f>IFERROR(__xludf.DUMMYFUNCTION("""COMPUTED_VALUE"""),-6.066749278027251)</f>
        <v>-6.066749278</v>
      </c>
      <c r="G233" s="53">
        <f>IFERROR(__xludf.DUMMYFUNCTION("""COMPUTED_VALUE"""),-3.6243612474193956)</f>
        <v>-3.624361247</v>
      </c>
      <c r="H233" s="53">
        <f>IFERROR(__xludf.DUMMYFUNCTION("""COMPUTED_VALUE"""),2.442388030607855)</f>
        <v>2.442388031</v>
      </c>
      <c r="I233" s="53">
        <f>IFERROR(__xludf.DUMMYFUNCTION("""COMPUTED_VALUE"""),9.8)</f>
        <v>9.8</v>
      </c>
      <c r="J233" s="53">
        <f>IFERROR(__xludf.DUMMYFUNCTION("""COMPUTED_VALUE"""),1.7)</f>
        <v>1.7</v>
      </c>
      <c r="K233" s="53">
        <f>IFERROR(__xludf.DUMMYFUNCTION("""COMPUTED_VALUE"""),2.6)</f>
        <v>2.6</v>
      </c>
      <c r="L233" s="53">
        <f>IFERROR(__xludf.DUMMYFUNCTION("""COMPUTED_VALUE"""),2.5)</f>
        <v>2.5</v>
      </c>
      <c r="M233" s="53">
        <f>IFERROR(__xludf.DUMMYFUNCTION("""COMPUTED_VALUE"""),0.6)</f>
        <v>0.6</v>
      </c>
      <c r="N233" s="53">
        <f>IFERROR(__xludf.DUMMYFUNCTION("""COMPUTED_VALUE"""),0.1)</f>
        <v>0.1</v>
      </c>
      <c r="O233" s="53">
        <f>IFERROR(__xludf.DUMMYFUNCTION("""COMPUTED_VALUE"""),43.90243902439025)</f>
        <v>43.90243902</v>
      </c>
      <c r="P233" s="53">
        <f>IFERROR(__xludf.DUMMYFUNCTION("""COMPUTED_VALUE"""),81.81818181818181)</f>
        <v>81.81818182</v>
      </c>
      <c r="Q233" s="53">
        <f>IFERROR(__xludf.DUMMYFUNCTION("""COMPUTED_VALUE"""),1.0)</f>
        <v>1</v>
      </c>
      <c r="R233" s="53">
        <f>IFERROR(__xludf.DUMMYFUNCTION("""COMPUTED_VALUE"""),-1.256645017520324)</f>
        <v>-1.256645018</v>
      </c>
      <c r="S233" s="53">
        <f>IFERROR(__xludf.DUMMYFUNCTION("""COMPUTED_VALUE"""),0.047981126211737425)</f>
        <v>0.04798112621</v>
      </c>
      <c r="T233" s="53">
        <f>IFERROR(__xludf.DUMMYFUNCTION("""COMPUTED_VALUE"""),-1.461586561032437)</f>
        <v>-1.461586561</v>
      </c>
      <c r="U233" s="53">
        <f>IFERROR(__xludf.DUMMYFUNCTION("""COMPUTED_VALUE"""),-0.6854730692747427)</f>
        <v>-0.6854730693</v>
      </c>
      <c r="V233" s="53">
        <f>IFERROR(__xludf.DUMMYFUNCTION("""COMPUTED_VALUE"""),-0.860570275155411)</f>
        <v>-0.8605702752</v>
      </c>
      <c r="W233" s="53">
        <f>IFERROR(__xludf.DUMMYFUNCTION("""COMPUTED_VALUE"""),-0.7896459158928509)</f>
        <v>-0.7896459159</v>
      </c>
      <c r="X233" s="53">
        <f>IFERROR(__xludf.DUMMYFUNCTION("""COMPUTED_VALUE"""),-0.4665422016198138)</f>
        <v>-0.4665422016</v>
      </c>
      <c r="Y233" s="53">
        <f>IFERROR(__xludf.DUMMYFUNCTION("""COMPUTED_VALUE"""),0.07772735943349546)</f>
        <v>0.07772735943</v>
      </c>
      <c r="Z233" s="53">
        <f>IFERROR(__xludf.DUMMYFUNCTION("""COMPUTED_VALUE"""),0.30880674639851335)</f>
        <v>0.3088067464</v>
      </c>
      <c r="AA233" t="str">
        <f>IFERROR(__xludf.DUMMYFUNCTION("REGEXREPLACE(REGEXREPLACE(REGEXREPLACE(REGEXREPLACE(REGEXREPLACE(REGEXREPLACE(E233,"","",),IF(Projections!$U$3="""",""PG"",),),IF(Projections!$V$3="""",""SG"",),),IF(Projections!$W$3="""",""SF"",),),IF(Projections!$X$3="""",""PF"",),),IF(Projections!$Y$3="&amp;""""",""C"",),)"),"PGSG")</f>
        <v>PGSG</v>
      </c>
    </row>
    <row r="234">
      <c r="B234">
        <f>IFERROR(__xludf.DUMMYFUNCTION("""COMPUTED_VALUE"""),240.0)</f>
        <v>240</v>
      </c>
      <c r="C234" t="str">
        <f>IFERROR(__xludf.DUMMYFUNCTION("""COMPUTED_VALUE"""),"Charles Bassey")</f>
        <v>Charles Bassey</v>
      </c>
      <c r="D234">
        <f>IFERROR(__xludf.DUMMYFUNCTION("""COMPUTED_VALUE"""),60.0)</f>
        <v>60</v>
      </c>
      <c r="E234" t="str">
        <f>IFERROR(__xludf.DUMMYFUNCTION("""COMPUTED_VALUE"""),"C")</f>
        <v>C</v>
      </c>
      <c r="F234" s="53">
        <f>IFERROR(__xludf.DUMMYFUNCTION("""COMPUTED_VALUE"""),-6.385212080663985)</f>
        <v>-6.385212081</v>
      </c>
      <c r="G234" s="53">
        <f>IFERROR(__xludf.DUMMYFUNCTION("""COMPUTED_VALUE"""),-3.6249428114541224)</f>
        <v>-3.624942811</v>
      </c>
      <c r="H234" s="53">
        <f>IFERROR(__xludf.DUMMYFUNCTION("""COMPUTED_VALUE"""),2.7602692692098625)</f>
        <v>2.760269269</v>
      </c>
      <c r="I234" s="53">
        <f>IFERROR(__xludf.DUMMYFUNCTION("""COMPUTED_VALUE"""),5.5)</f>
        <v>5.5</v>
      </c>
      <c r="J234" s="53">
        <f>IFERROR(__xludf.DUMMYFUNCTION("""COMPUTED_VALUE"""),0.1)</f>
        <v>0.1</v>
      </c>
      <c r="K234" s="53">
        <f>IFERROR(__xludf.DUMMYFUNCTION("""COMPUTED_VALUE"""),5.3)</f>
        <v>5.3</v>
      </c>
      <c r="L234" s="53">
        <f>IFERROR(__xludf.DUMMYFUNCTION("""COMPUTED_VALUE"""),1.1)</f>
        <v>1.1</v>
      </c>
      <c r="M234" s="53">
        <f>IFERROR(__xludf.DUMMYFUNCTION("""COMPUTED_VALUE"""),0.4)</f>
        <v>0.4</v>
      </c>
      <c r="N234" s="53">
        <f>IFERROR(__xludf.DUMMYFUNCTION("""COMPUTED_VALUE"""),1.0)</f>
        <v>1</v>
      </c>
      <c r="O234" s="53">
        <f>IFERROR(__xludf.DUMMYFUNCTION("""COMPUTED_VALUE"""),63.1578947368421)</f>
        <v>63.15789474</v>
      </c>
      <c r="P234" s="53">
        <f>IFERROR(__xludf.DUMMYFUNCTION("""COMPUTED_VALUE"""),60.0)</f>
        <v>60</v>
      </c>
      <c r="Q234" s="53">
        <f>IFERROR(__xludf.DUMMYFUNCTION("""COMPUTED_VALUE"""),1.0)</f>
        <v>1</v>
      </c>
      <c r="R234" s="53">
        <f>IFERROR(__xludf.DUMMYFUNCTION("""COMPUTED_VALUE"""),-1.9813084384417448)</f>
        <v>-1.981308438</v>
      </c>
      <c r="S234" s="53">
        <f>IFERROR(__xludf.DUMMYFUNCTION("""COMPUTED_VALUE"""),-1.3394249329228134)</f>
        <v>-1.339424933</v>
      </c>
      <c r="T234" s="53">
        <f>IFERROR(__xludf.DUMMYFUNCTION("""COMPUTED_VALUE"""),-0.33257157492117045)</f>
        <v>-0.3325715749</v>
      </c>
      <c r="U234" s="53">
        <f>IFERROR(__xludf.DUMMYFUNCTION("""COMPUTED_VALUE"""),-1.3995075164359327)</f>
        <v>-1.399507516</v>
      </c>
      <c r="V234" s="53">
        <f>IFERROR(__xludf.DUMMYFUNCTION("""COMPUTED_VALUE"""),-1.2966700767544366)</f>
        <v>-1.296670077</v>
      </c>
      <c r="W234" s="53">
        <f>IFERROR(__xludf.DUMMYFUNCTION("""COMPUTED_VALUE"""),0.39219664115299)</f>
        <v>0.3921966412</v>
      </c>
      <c r="X234" s="53">
        <f>IFERROR(__xludf.DUMMYFUNCTION("""COMPUTED_VALUE"""),0.5146743669754813)</f>
        <v>0.514674367</v>
      </c>
      <c r="Y234" s="53">
        <f>IFERROR(__xludf.DUMMYFUNCTION("""COMPUTED_VALUE"""),-0.4724464649467546)</f>
        <v>-0.4724464649</v>
      </c>
      <c r="Z234" s="53">
        <f>IFERROR(__xludf.DUMMYFUNCTION("""COMPUTED_VALUE"""),0.30880674639851335)</f>
        <v>0.3088067464</v>
      </c>
      <c r="AA234" t="str">
        <f>IFERROR(__xludf.DUMMYFUNCTION("REGEXREPLACE(REGEXREPLACE(REGEXREPLACE(REGEXREPLACE(REGEXREPLACE(REGEXREPLACE(E234,"","",),IF(Projections!$U$3="""",""PG"",),),IF(Projections!$V$3="""",""SG"",),),IF(Projections!$W$3="""",""SF"",),),IF(Projections!$X$3="""",""PF"",),),IF(Projections!$Y$3="&amp;""""",""C"",),)"),"C")</f>
        <v>C</v>
      </c>
    </row>
    <row r="235">
      <c r="B235">
        <f>IFERROR(__xludf.DUMMYFUNCTION("""COMPUTED_VALUE"""),247.0)</f>
        <v>247</v>
      </c>
      <c r="C235" t="str">
        <f>IFERROR(__xludf.DUMMYFUNCTION("""COMPUTED_VALUE"""),"Jaylin Williams")</f>
        <v>Jaylin Williams</v>
      </c>
      <c r="D235">
        <f>IFERROR(__xludf.DUMMYFUNCTION("""COMPUTED_VALUE"""),70.0)</f>
        <v>70</v>
      </c>
      <c r="E235" t="str">
        <f>IFERROR(__xludf.DUMMYFUNCTION("""COMPUTED_VALUE"""),"PF,C")</f>
        <v>PF,C</v>
      </c>
      <c r="F235" s="53">
        <f>IFERROR(__xludf.DUMMYFUNCTION("""COMPUTED_VALUE"""),-6.524457046086121)</f>
        <v>-6.524457046</v>
      </c>
      <c r="G235" s="53">
        <f>IFERROR(__xludf.DUMMYFUNCTION("""COMPUTED_VALUE"""),-3.6298108250603516)</f>
        <v>-3.629810825</v>
      </c>
      <c r="H235" s="53">
        <f>IFERROR(__xludf.DUMMYFUNCTION("""COMPUTED_VALUE"""),2.894646221025769)</f>
        <v>2.894646221</v>
      </c>
      <c r="I235" s="53">
        <f>IFERROR(__xludf.DUMMYFUNCTION("""COMPUTED_VALUE"""),6.0)</f>
        <v>6</v>
      </c>
      <c r="J235" s="53">
        <f>IFERROR(__xludf.DUMMYFUNCTION("""COMPUTED_VALUE"""),1.0)</f>
        <v>1</v>
      </c>
      <c r="K235" s="53">
        <f>IFERROR(__xludf.DUMMYFUNCTION("""COMPUTED_VALUE"""),5.0)</f>
        <v>5</v>
      </c>
      <c r="L235" s="53">
        <f>IFERROR(__xludf.DUMMYFUNCTION("""COMPUTED_VALUE"""),1.6)</f>
        <v>1.6</v>
      </c>
      <c r="M235" s="53">
        <f>IFERROR(__xludf.DUMMYFUNCTION("""COMPUTED_VALUE"""),0.6)</f>
        <v>0.6</v>
      </c>
      <c r="N235" s="53">
        <f>IFERROR(__xludf.DUMMYFUNCTION("""COMPUTED_VALUE"""),0.3)</f>
        <v>0.3</v>
      </c>
      <c r="O235" s="53">
        <f>IFERROR(__xludf.DUMMYFUNCTION("""COMPUTED_VALUE"""),43.75000000000001)</f>
        <v>43.75</v>
      </c>
      <c r="P235" s="53">
        <f>IFERROR(__xludf.DUMMYFUNCTION("""COMPUTED_VALUE"""),72.72727272727273)</f>
        <v>72.72727273</v>
      </c>
      <c r="Q235" s="53">
        <f>IFERROR(__xludf.DUMMYFUNCTION("""COMPUTED_VALUE"""),0.8)</f>
        <v>0.8</v>
      </c>
      <c r="R235" s="53">
        <f>IFERROR(__xludf.DUMMYFUNCTION("""COMPUTED_VALUE"""),-1.89704524996251)</f>
        <v>-1.89704525</v>
      </c>
      <c r="S235" s="53">
        <f>IFERROR(__xludf.DUMMYFUNCTION("""COMPUTED_VALUE"""),-0.5590090246596284)</f>
        <v>-0.5590090247</v>
      </c>
      <c r="T235" s="53">
        <f>IFERROR(__xludf.DUMMYFUNCTION("""COMPUTED_VALUE"""),-0.45801768448908886)</f>
        <v>-0.4580176845</v>
      </c>
      <c r="U235" s="53">
        <f>IFERROR(__xludf.DUMMYFUNCTION("""COMPUTED_VALUE"""),-1.144495213878365)</f>
        <v>-1.144495214</v>
      </c>
      <c r="V235" s="53">
        <f>IFERROR(__xludf.DUMMYFUNCTION("""COMPUTED_VALUE"""),-0.860570275155411)</f>
        <v>-0.8605702752</v>
      </c>
      <c r="W235" s="53">
        <f>IFERROR(__xludf.DUMMYFUNCTION("""COMPUTED_VALUE"""),-0.5270142365493308)</f>
        <v>-0.5270142365</v>
      </c>
      <c r="X235" s="53">
        <f>IFERROR(__xludf.DUMMYFUNCTION("""COMPUTED_VALUE"""),-0.28040664262544496)</f>
        <v>-0.2804066426</v>
      </c>
      <c r="Y235" s="53">
        <f>IFERROR(__xludf.DUMMYFUNCTION("""COMPUTED_VALUE"""),-0.1711970034310567)</f>
        <v>-0.1711970034</v>
      </c>
      <c r="Z235" s="53">
        <f>IFERROR(__xludf.DUMMYFUNCTION("""COMPUTED_VALUE"""),0.37089925572797316)</f>
        <v>0.3708992557</v>
      </c>
      <c r="AA235" t="str">
        <f>IFERROR(__xludf.DUMMYFUNCTION("REGEXREPLACE(REGEXREPLACE(REGEXREPLACE(REGEXREPLACE(REGEXREPLACE(REGEXREPLACE(E235,"","",),IF(Projections!$U$3="""",""PG"",),),IF(Projections!$V$3="""",""SG"",),),IF(Projections!$W$3="""",""SF"",),),IF(Projections!$X$3="""",""PF"",),),IF(Projections!$Y$3="&amp;""""",""C"",),)"),"PFC")</f>
        <v>PFC</v>
      </c>
    </row>
    <row r="236">
      <c r="B236">
        <f>IFERROR(__xludf.DUMMYFUNCTION("""COMPUTED_VALUE"""),217.0)</f>
        <v>217</v>
      </c>
      <c r="C236" t="str">
        <f>IFERROR(__xludf.DUMMYFUNCTION("""COMPUTED_VALUE"""),"Isaiah Jackson")</f>
        <v>Isaiah Jackson</v>
      </c>
      <c r="D236">
        <f>IFERROR(__xludf.DUMMYFUNCTION("""COMPUTED_VALUE"""),67.0)</f>
        <v>67</v>
      </c>
      <c r="E236" t="str">
        <f>IFERROR(__xludf.DUMMYFUNCTION("""COMPUTED_VALUE"""),"PF,C")</f>
        <v>PF,C</v>
      </c>
      <c r="F236" s="53">
        <f>IFERROR(__xludf.DUMMYFUNCTION("""COMPUTED_VALUE"""),-5.7197139145369995)</f>
        <v>-5.719713915</v>
      </c>
      <c r="G236" s="53">
        <f>IFERROR(__xludf.DUMMYFUNCTION("""COMPUTED_VALUE"""),-3.646880753163613)</f>
        <v>-3.646880753</v>
      </c>
      <c r="H236" s="53">
        <f>IFERROR(__xludf.DUMMYFUNCTION("""COMPUTED_VALUE"""),2.0728331613733864)</f>
        <v>2.072833161</v>
      </c>
      <c r="I236" s="53">
        <f>IFERROR(__xludf.DUMMYFUNCTION("""COMPUTED_VALUE"""),7.9)</f>
        <v>7.9</v>
      </c>
      <c r="J236" s="53">
        <f>IFERROR(__xludf.DUMMYFUNCTION("""COMPUTED_VALUE"""),0.1)</f>
        <v>0.1</v>
      </c>
      <c r="K236" s="53">
        <f>IFERROR(__xludf.DUMMYFUNCTION("""COMPUTED_VALUE"""),4.5)</f>
        <v>4.5</v>
      </c>
      <c r="L236" s="53">
        <f>IFERROR(__xludf.DUMMYFUNCTION("""COMPUTED_VALUE"""),0.6)</f>
        <v>0.6</v>
      </c>
      <c r="M236" s="53">
        <f>IFERROR(__xludf.DUMMYFUNCTION("""COMPUTED_VALUE"""),0.6)</f>
        <v>0.6</v>
      </c>
      <c r="N236" s="53">
        <f>IFERROR(__xludf.DUMMYFUNCTION("""COMPUTED_VALUE"""),1.5)</f>
        <v>1.5</v>
      </c>
      <c r="O236" s="53">
        <f>IFERROR(__xludf.DUMMYFUNCTION("""COMPUTED_VALUE"""),56.36363636363636)</f>
        <v>56.36363636</v>
      </c>
      <c r="P236" s="53">
        <f>IFERROR(__xludf.DUMMYFUNCTION("""COMPUTED_VALUE"""),64.0)</f>
        <v>64</v>
      </c>
      <c r="Q236" s="53">
        <f>IFERROR(__xludf.DUMMYFUNCTION("""COMPUTED_VALUE"""),1.0)</f>
        <v>1</v>
      </c>
      <c r="R236" s="53">
        <f>IFERROR(__xludf.DUMMYFUNCTION("""COMPUTED_VALUE"""),-1.5768451337414169)</f>
        <v>-1.576845134</v>
      </c>
      <c r="S236" s="53">
        <f>IFERROR(__xludf.DUMMYFUNCTION("""COMPUTED_VALUE"""),-1.3394249329228134)</f>
        <v>-1.339424933</v>
      </c>
      <c r="T236" s="53">
        <f>IFERROR(__xludf.DUMMYFUNCTION("""COMPUTED_VALUE"""),-0.6670945337689531)</f>
        <v>-0.6670945338</v>
      </c>
      <c r="U236" s="53">
        <f>IFERROR(__xludf.DUMMYFUNCTION("""COMPUTED_VALUE"""),-1.6545198189935006)</f>
        <v>-1.654519819</v>
      </c>
      <c r="V236" s="53">
        <f>IFERROR(__xludf.DUMMYFUNCTION("""COMPUTED_VALUE"""),-0.860570275155411)</f>
        <v>-0.8605702752</v>
      </c>
      <c r="W236" s="53">
        <f>IFERROR(__xludf.DUMMYFUNCTION("""COMPUTED_VALUE"""),1.0487758395117905)</f>
        <v>1.04877584</v>
      </c>
      <c r="X236" s="53">
        <f>IFERROR(__xludf.DUMMYFUNCTION("""COMPUTED_VALUE"""),0.3716633360170114)</f>
        <v>0.371663336</v>
      </c>
      <c r="Y236" s="53">
        <f>IFERROR(__xludf.DUMMYFUNCTION("""COMPUTED_VALUE"""),-0.9321917995023341)</f>
        <v>-0.9321917995</v>
      </c>
      <c r="Z236" s="53">
        <f>IFERROR(__xludf.DUMMYFUNCTION("""COMPUTED_VALUE"""),0.30880674639851335)</f>
        <v>0.3088067464</v>
      </c>
      <c r="AA236" t="str">
        <f>IFERROR(__xludf.DUMMYFUNCTION("REGEXREPLACE(REGEXREPLACE(REGEXREPLACE(REGEXREPLACE(REGEXREPLACE(REGEXREPLACE(E236,"","",),IF(Projections!$U$3="""",""PG"",),),IF(Projections!$V$3="""",""SG"",),),IF(Projections!$W$3="""",""SF"",),),IF(Projections!$X$3="""",""PF"",),),IF(Projections!$Y$3="&amp;""""",""C"",),)"),"PFC")</f>
        <v>PFC</v>
      </c>
    </row>
    <row r="237">
      <c r="B237">
        <f>IFERROR(__xludf.DUMMYFUNCTION("""COMPUTED_VALUE"""),226.0)</f>
        <v>226</v>
      </c>
      <c r="C237" t="str">
        <f>IFERROR(__xludf.DUMMYFUNCTION("""COMPUTED_VALUE"""),"Max Christie")</f>
        <v>Max Christie</v>
      </c>
      <c r="D237">
        <f>IFERROR(__xludf.DUMMYFUNCTION("""COMPUTED_VALUE"""),70.0)</f>
        <v>70</v>
      </c>
      <c r="E237" t="str">
        <f>IFERROR(__xludf.DUMMYFUNCTION("""COMPUTED_VALUE"""),"SG,SF")</f>
        <v>SG,SF</v>
      </c>
      <c r="F237" s="53">
        <f>IFERROR(__xludf.DUMMYFUNCTION("""COMPUTED_VALUE"""),-6.02112834370223)</f>
        <v>-6.021128344</v>
      </c>
      <c r="G237" s="53">
        <f>IFERROR(__xludf.DUMMYFUNCTION("""COMPUTED_VALUE"""),-3.6614665709329146)</f>
        <v>-3.661466571</v>
      </c>
      <c r="H237" s="53">
        <f>IFERROR(__xludf.DUMMYFUNCTION("""COMPUTED_VALUE"""),2.3596617727693157)</f>
        <v>2.359661773</v>
      </c>
      <c r="I237" s="53">
        <f>IFERROR(__xludf.DUMMYFUNCTION("""COMPUTED_VALUE"""),7.4)</f>
        <v>7.4</v>
      </c>
      <c r="J237" s="53">
        <f>IFERROR(__xludf.DUMMYFUNCTION("""COMPUTED_VALUE"""),1.4)</f>
        <v>1.4</v>
      </c>
      <c r="K237" s="53">
        <f>IFERROR(__xludf.DUMMYFUNCTION("""COMPUTED_VALUE"""),3.9)</f>
        <v>3.9</v>
      </c>
      <c r="L237" s="53">
        <f>IFERROR(__xludf.DUMMYFUNCTION("""COMPUTED_VALUE"""),1.1)</f>
        <v>1.1</v>
      </c>
      <c r="M237" s="53">
        <f>IFERROR(__xludf.DUMMYFUNCTION("""COMPUTED_VALUE"""),0.7)</f>
        <v>0.7</v>
      </c>
      <c r="N237" s="53">
        <f>IFERROR(__xludf.DUMMYFUNCTION("""COMPUTED_VALUE"""),0.4)</f>
        <v>0.4</v>
      </c>
      <c r="O237" s="53">
        <f>IFERROR(__xludf.DUMMYFUNCTION("""COMPUTED_VALUE"""),43.333333333333336)</f>
        <v>43.33333333</v>
      </c>
      <c r="P237" s="53">
        <f>IFERROR(__xludf.DUMMYFUNCTION("""COMPUTED_VALUE"""),77.77777777777777)</f>
        <v>77.77777778</v>
      </c>
      <c r="Q237" s="53">
        <f>IFERROR(__xludf.DUMMYFUNCTION("""COMPUTED_VALUE"""),1.0)</f>
        <v>1</v>
      </c>
      <c r="R237" s="53">
        <f>IFERROR(__xludf.DUMMYFUNCTION("""COMPUTED_VALUE"""),-1.661108322220652)</f>
        <v>-1.661108322</v>
      </c>
      <c r="S237" s="53">
        <f>IFERROR(__xludf.DUMMYFUNCTION("""COMPUTED_VALUE"""),-0.21215750987599089)</f>
        <v>-0.2121575099</v>
      </c>
      <c r="T237" s="53">
        <f>IFERROR(__xludf.DUMMYFUNCTION("""COMPUTED_VALUE"""),-0.9179867529047901)</f>
        <v>-0.9179867529</v>
      </c>
      <c r="U237" s="53">
        <f>IFERROR(__xludf.DUMMYFUNCTION("""COMPUTED_VALUE"""),-1.3995075164359327)</f>
        <v>-1.399507516</v>
      </c>
      <c r="V237" s="53">
        <f>IFERROR(__xludf.DUMMYFUNCTION("""COMPUTED_VALUE"""),-0.6425203743558983)</f>
        <v>-0.6425203744</v>
      </c>
      <c r="W237" s="53">
        <f>IFERROR(__xludf.DUMMYFUNCTION("""COMPUTED_VALUE"""),-0.39569839687757064)</f>
        <v>-0.3956983969</v>
      </c>
      <c r="X237" s="53">
        <f>IFERROR(__xludf.DUMMYFUNCTION("""COMPUTED_VALUE"""),-0.37547992901244914)</f>
        <v>-0.375479929</v>
      </c>
      <c r="Y237" s="53">
        <f>IFERROR(__xludf.DUMMYFUNCTION("""COMPUTED_VALUE"""),-0.026922837868795582)</f>
        <v>-0.02692283787</v>
      </c>
      <c r="Z237" s="53">
        <f>IFERROR(__xludf.DUMMYFUNCTION("""COMPUTED_VALUE"""),0.30880674639851335)</f>
        <v>0.3088067464</v>
      </c>
      <c r="AA237" t="str">
        <f>IFERROR(__xludf.DUMMYFUNCTION("REGEXREPLACE(REGEXREPLACE(REGEXREPLACE(REGEXREPLACE(REGEXREPLACE(REGEXREPLACE(E237,"","",),IF(Projections!$U$3="""",""PG"",),),IF(Projections!$V$3="""",""SG"",),),IF(Projections!$W$3="""",""SF"",),),IF(Projections!$X$3="""",""PF"",),),IF(Projections!$Y$3="&amp;""""",""C"",),)"),"SGSF")</f>
        <v>SGSF</v>
      </c>
    </row>
    <row r="238">
      <c r="B238">
        <f>IFERROR(__xludf.DUMMYFUNCTION("""COMPUTED_VALUE"""),227.0)</f>
        <v>227</v>
      </c>
      <c r="C238" t="str">
        <f>IFERROR(__xludf.DUMMYFUNCTION("""COMPUTED_VALUE"""),"Aleksej Pokusevski")</f>
        <v>Aleksej Pokusevski</v>
      </c>
      <c r="D238">
        <f>IFERROR(__xludf.DUMMYFUNCTION("""COMPUTED_VALUE"""),50.0)</f>
        <v>50</v>
      </c>
      <c r="E238" t="str">
        <f>IFERROR(__xludf.DUMMYFUNCTION("""COMPUTED_VALUE"""),"PF,C")</f>
        <v>PF,C</v>
      </c>
      <c r="F238" s="53">
        <f>IFERROR(__xludf.DUMMYFUNCTION("""COMPUTED_VALUE"""),-6.040820230525804)</f>
        <v>-6.040820231</v>
      </c>
      <c r="G238" s="53">
        <f>IFERROR(__xludf.DUMMYFUNCTION("""COMPUTED_VALUE"""),-3.671776183973175)</f>
        <v>-3.671776184</v>
      </c>
      <c r="H238" s="53">
        <f>IFERROR(__xludf.DUMMYFUNCTION("""COMPUTED_VALUE"""),2.369044046552629)</f>
        <v>2.369044047</v>
      </c>
      <c r="I238" s="53">
        <f>IFERROR(__xludf.DUMMYFUNCTION("""COMPUTED_VALUE"""),7.0)</f>
        <v>7</v>
      </c>
      <c r="J238" s="53">
        <f>IFERROR(__xludf.DUMMYFUNCTION("""COMPUTED_VALUE"""),0.9)</f>
        <v>0.9</v>
      </c>
      <c r="K238" s="53">
        <f>IFERROR(__xludf.DUMMYFUNCTION("""COMPUTED_VALUE"""),4.5)</f>
        <v>4.5</v>
      </c>
      <c r="L238" s="53">
        <f>IFERROR(__xludf.DUMMYFUNCTION("""COMPUTED_VALUE"""),1.8)</f>
        <v>1.8</v>
      </c>
      <c r="M238" s="53">
        <f>IFERROR(__xludf.DUMMYFUNCTION("""COMPUTED_VALUE"""),0.6)</f>
        <v>0.6</v>
      </c>
      <c r="N238" s="53">
        <f>IFERROR(__xludf.DUMMYFUNCTION("""COMPUTED_VALUE"""),0.8)</f>
        <v>0.8</v>
      </c>
      <c r="O238" s="53">
        <f>IFERROR(__xludf.DUMMYFUNCTION("""COMPUTED_VALUE"""),42.42424242424242)</f>
        <v>42.42424242</v>
      </c>
      <c r="P238" s="53">
        <f>IFERROR(__xludf.DUMMYFUNCTION("""COMPUTED_VALUE"""),62.5)</f>
        <v>62.5</v>
      </c>
      <c r="Q238" s="53">
        <f>IFERROR(__xludf.DUMMYFUNCTION("""COMPUTED_VALUE"""),1.3)</f>
        <v>1.3</v>
      </c>
      <c r="R238" s="53">
        <f>IFERROR(__xludf.DUMMYFUNCTION("""COMPUTED_VALUE"""),-1.72851887300404)</f>
        <v>-1.728518873</v>
      </c>
      <c r="S238" s="53">
        <f>IFERROR(__xludf.DUMMYFUNCTION("""COMPUTED_VALUE"""),-0.6457219033555379)</f>
        <v>-0.6457219034</v>
      </c>
      <c r="T238" s="53">
        <f>IFERROR(__xludf.DUMMYFUNCTION("""COMPUTED_VALUE"""),-0.6670945337689531)</f>
        <v>-0.6670945338</v>
      </c>
      <c r="U238" s="53">
        <f>IFERROR(__xludf.DUMMYFUNCTION("""COMPUTED_VALUE"""),-1.0424902928553377)</f>
        <v>-1.042490293</v>
      </c>
      <c r="V238" s="53">
        <f>IFERROR(__xludf.DUMMYFUNCTION("""COMPUTED_VALUE"""),-0.860570275155411)</f>
        <v>-0.8605702752</v>
      </c>
      <c r="W238" s="53">
        <f>IFERROR(__xludf.DUMMYFUNCTION("""COMPUTED_VALUE"""),0.12956496180946983)</f>
        <v>0.1295649618</v>
      </c>
      <c r="X238" s="53">
        <f>IFERROR(__xludf.DUMMYFUNCTION("""COMPUTED_VALUE"""),-0.47295982366723643)</f>
        <v>-0.4729598237</v>
      </c>
      <c r="Y238" s="53">
        <f>IFERROR(__xludf.DUMMYFUNCTION("""COMPUTED_VALUE"""),-0.32817229938449327)</f>
        <v>-0.3281722994</v>
      </c>
      <c r="Z238" s="53">
        <f>IFERROR(__xludf.DUMMYFUNCTION("""COMPUTED_VALUE"""),0.2156679824043236)</f>
        <v>0.2156679824</v>
      </c>
      <c r="AA238" t="str">
        <f>IFERROR(__xludf.DUMMYFUNCTION("REGEXREPLACE(REGEXREPLACE(REGEXREPLACE(REGEXREPLACE(REGEXREPLACE(REGEXREPLACE(E238,"","",),IF(Projections!$U$3="""",""PG"",),),IF(Projections!$V$3="""",""SG"",),),IF(Projections!$W$3="""",""SF"",),),IF(Projections!$X$3="""",""PF"",),),IF(Projections!$Y$3="&amp;""""",""C"",),)"),"PFC")</f>
        <v>PFC</v>
      </c>
    </row>
    <row r="239">
      <c r="B239">
        <f>IFERROR(__xludf.DUMMYFUNCTION("""COMPUTED_VALUE"""),244.0)</f>
        <v>244</v>
      </c>
      <c r="C239" t="str">
        <f>IFERROR(__xludf.DUMMYFUNCTION("""COMPUTED_VALUE"""),"Sam Hauser")</f>
        <v>Sam Hauser</v>
      </c>
      <c r="D239">
        <f>IFERROR(__xludf.DUMMYFUNCTION("""COMPUTED_VALUE"""),76.0)</f>
        <v>76</v>
      </c>
      <c r="E239" t="str">
        <f>IFERROR(__xludf.DUMMYFUNCTION("""COMPUTED_VALUE"""),"SF,PF")</f>
        <v>SF,PF</v>
      </c>
      <c r="F239" s="53">
        <f>IFERROR(__xludf.DUMMYFUNCTION("""COMPUTED_VALUE"""),-6.4427292012079675)</f>
        <v>-6.442729201</v>
      </c>
      <c r="G239" s="53">
        <f>IFERROR(__xludf.DUMMYFUNCTION("""COMPUTED_VALUE"""),-3.6994589245869216)</f>
        <v>-3.699458925</v>
      </c>
      <c r="H239" s="53">
        <f>IFERROR(__xludf.DUMMYFUNCTION("""COMPUTED_VALUE"""),2.743270276621046)</f>
        <v>2.743270277</v>
      </c>
      <c r="I239" s="53">
        <f>IFERROR(__xludf.DUMMYFUNCTION("""COMPUTED_VALUE"""),7.5)</f>
        <v>7.5</v>
      </c>
      <c r="J239" s="53">
        <f>IFERROR(__xludf.DUMMYFUNCTION("""COMPUTED_VALUE"""),2.1)</f>
        <v>2.1</v>
      </c>
      <c r="K239" s="53">
        <f>IFERROR(__xludf.DUMMYFUNCTION("""COMPUTED_VALUE"""),3.0)</f>
        <v>3</v>
      </c>
      <c r="L239" s="53">
        <f>IFERROR(__xludf.DUMMYFUNCTION("""COMPUTED_VALUE"""),1.1)</f>
        <v>1.1</v>
      </c>
      <c r="M239" s="53">
        <f>IFERROR(__xludf.DUMMYFUNCTION("""COMPUTED_VALUE"""),0.4)</f>
        <v>0.4</v>
      </c>
      <c r="N239" s="53">
        <f>IFERROR(__xludf.DUMMYFUNCTION("""COMPUTED_VALUE"""),0.3)</f>
        <v>0.3</v>
      </c>
      <c r="O239" s="53">
        <f>IFERROR(__xludf.DUMMYFUNCTION("""COMPUTED_VALUE"""),46.55172413793104)</f>
        <v>46.55172414</v>
      </c>
      <c r="P239" s="53">
        <f>IFERROR(__xludf.DUMMYFUNCTION("""COMPUTED_VALUE"""),100.0)</f>
        <v>100</v>
      </c>
      <c r="Q239" s="53">
        <f>IFERROR(__xludf.DUMMYFUNCTION("""COMPUTED_VALUE"""),0.4)</f>
        <v>0.4</v>
      </c>
      <c r="R239" s="53">
        <f>IFERROR(__xludf.DUMMYFUNCTION("""COMPUTED_VALUE"""),-1.6442556845248049)</f>
        <v>-1.644255685</v>
      </c>
      <c r="S239" s="53">
        <f>IFERROR(__xludf.DUMMYFUNCTION("""COMPUTED_VALUE"""),0.39483264099537524)</f>
        <v>0.394832641</v>
      </c>
      <c r="T239" s="53">
        <f>IFERROR(__xludf.DUMMYFUNCTION("""COMPUTED_VALUE"""),-1.2943250816085456)</f>
        <v>-1.294325082</v>
      </c>
      <c r="U239" s="53">
        <f>IFERROR(__xludf.DUMMYFUNCTION("""COMPUTED_VALUE"""),-1.3995075164359327)</f>
        <v>-1.399507516</v>
      </c>
      <c r="V239" s="53">
        <f>IFERROR(__xludf.DUMMYFUNCTION("""COMPUTED_VALUE"""),-1.2966700767544366)</f>
        <v>-1.296670077</v>
      </c>
      <c r="W239" s="53">
        <f>IFERROR(__xludf.DUMMYFUNCTION("""COMPUTED_VALUE"""),-0.5270142365493308)</f>
        <v>-0.5270142365</v>
      </c>
      <c r="X239" s="53">
        <f>IFERROR(__xludf.DUMMYFUNCTION("""COMPUTED_VALUE"""),-0.17650912592323537)</f>
        <v>-0.1765091259</v>
      </c>
      <c r="Y239" s="53">
        <f>IFERROR(__xludf.DUMMYFUNCTION("""COMPUTED_VALUE"""),0.10465019730229097)</f>
        <v>0.1046501973</v>
      </c>
      <c r="Z239" s="53">
        <f>IFERROR(__xludf.DUMMYFUNCTION("""COMPUTED_VALUE"""),0.4950842743868928)</f>
        <v>0.4950842744</v>
      </c>
      <c r="AA239" t="str">
        <f>IFERROR(__xludf.DUMMYFUNCTION("REGEXREPLACE(REGEXREPLACE(REGEXREPLACE(REGEXREPLACE(REGEXREPLACE(REGEXREPLACE(E239,"","",),IF(Projections!$U$3="""",""PG"",),),IF(Projections!$V$3="""",""SG"",),),IF(Projections!$W$3="""",""SF"",),),IF(Projections!$X$3="""",""PF"",),),IF(Projections!$Y$3="&amp;""""",""C"",),)"),"SFPF")</f>
        <v>SFPF</v>
      </c>
    </row>
    <row r="240">
      <c r="B240">
        <f>IFERROR(__xludf.DUMMYFUNCTION("""COMPUTED_VALUE"""),232.0)</f>
        <v>232</v>
      </c>
      <c r="C240" t="str">
        <f>IFERROR(__xludf.DUMMYFUNCTION("""COMPUTED_VALUE"""),"Taylor Hendricks")</f>
        <v>Taylor Hendricks</v>
      </c>
      <c r="D240">
        <f>IFERROR(__xludf.DUMMYFUNCTION("""COMPUTED_VALUE"""),72.0)</f>
        <v>72</v>
      </c>
      <c r="E240" t="str">
        <f>IFERROR(__xludf.DUMMYFUNCTION("""COMPUTED_VALUE"""),"PF")</f>
        <v>PF</v>
      </c>
      <c r="F240" s="53">
        <f>IFERROR(__xludf.DUMMYFUNCTION("""COMPUTED_VALUE"""),-6.096119437566361)</f>
        <v>-6.096119438</v>
      </c>
      <c r="G240" s="53">
        <f>IFERROR(__xludf.DUMMYFUNCTION("""COMPUTED_VALUE"""),-3.6994851280800427)</f>
        <v>-3.699485128</v>
      </c>
      <c r="H240" s="53">
        <f>IFERROR(__xludf.DUMMYFUNCTION("""COMPUTED_VALUE"""),2.396634309486318)</f>
        <v>2.396634309</v>
      </c>
      <c r="I240" s="53">
        <f>IFERROR(__xludf.DUMMYFUNCTION("""COMPUTED_VALUE"""),8.8)</f>
        <v>8.8</v>
      </c>
      <c r="J240" s="53">
        <f>IFERROR(__xludf.DUMMYFUNCTION("""COMPUTED_VALUE"""),0.8)</f>
        <v>0.8</v>
      </c>
      <c r="K240" s="53">
        <f>IFERROR(__xludf.DUMMYFUNCTION("""COMPUTED_VALUE"""),5.6)</f>
        <v>5.6</v>
      </c>
      <c r="L240" s="53">
        <f>IFERROR(__xludf.DUMMYFUNCTION("""COMPUTED_VALUE"""),1.7)</f>
        <v>1.7</v>
      </c>
      <c r="M240" s="53">
        <f>IFERROR(__xludf.DUMMYFUNCTION("""COMPUTED_VALUE"""),0.4)</f>
        <v>0.4</v>
      </c>
      <c r="N240" s="53">
        <f>IFERROR(__xludf.DUMMYFUNCTION("""COMPUTED_VALUE"""),0.4)</f>
        <v>0.4</v>
      </c>
      <c r="O240" s="53">
        <f>IFERROR(__xludf.DUMMYFUNCTION("""COMPUTED_VALUE"""),45.714285714285715)</f>
        <v>45.71428571</v>
      </c>
      <c r="P240" s="53">
        <f>IFERROR(__xludf.DUMMYFUNCTION("""COMPUTED_VALUE"""),80.0)</f>
        <v>80</v>
      </c>
      <c r="Q240" s="53">
        <f>IFERROR(__xludf.DUMMYFUNCTION("""COMPUTED_VALUE"""),1.2)</f>
        <v>1.2</v>
      </c>
      <c r="R240" s="53">
        <f>IFERROR(__xludf.DUMMYFUNCTION("""COMPUTED_VALUE"""),-1.425171394478794)</f>
        <v>-1.425171394</v>
      </c>
      <c r="S240" s="53">
        <f>IFERROR(__xludf.DUMMYFUNCTION("""COMPUTED_VALUE"""),-0.7324347820514473)</f>
        <v>-0.7324347821</v>
      </c>
      <c r="T240" s="53">
        <f>IFERROR(__xludf.DUMMYFUNCTION("""COMPUTED_VALUE"""),-0.207125465353252)</f>
        <v>-0.2071254654</v>
      </c>
      <c r="U240" s="53">
        <f>IFERROR(__xludf.DUMMYFUNCTION("""COMPUTED_VALUE"""),-1.0934927533668515)</f>
        <v>-1.093492753</v>
      </c>
      <c r="V240" s="53">
        <f>IFERROR(__xludf.DUMMYFUNCTION("""COMPUTED_VALUE"""),-1.2966700767544366)</f>
        <v>-1.296670077</v>
      </c>
      <c r="W240" s="53">
        <f>IFERROR(__xludf.DUMMYFUNCTION("""COMPUTED_VALUE"""),-0.39569839687757064)</f>
        <v>-0.3956983969</v>
      </c>
      <c r="X240" s="53">
        <f>IFERROR(__xludf.DUMMYFUNCTION("""COMPUTED_VALUE"""),-0.2715824123102393)</f>
        <v>-0.2715824123</v>
      </c>
      <c r="Y240" s="53">
        <f>IFERROR(__xludf.DUMMYFUNCTION("""COMPUTED_VALUE"""),0.05080452156470048)</f>
        <v>0.05080452156</v>
      </c>
      <c r="Z240" s="53">
        <f>IFERROR(__xludf.DUMMYFUNCTION("""COMPUTED_VALUE"""),0.24671423706905354)</f>
        <v>0.2467142371</v>
      </c>
      <c r="AA240" t="str">
        <f>IFERROR(__xludf.DUMMYFUNCTION("REGEXREPLACE(REGEXREPLACE(REGEXREPLACE(REGEXREPLACE(REGEXREPLACE(REGEXREPLACE(E240,"","",),IF(Projections!$U$3="""",""PG"",),),IF(Projections!$V$3="""",""SG"",),),IF(Projections!$W$3="""",""SF"",),),IF(Projections!$X$3="""",""PF"",),),IF(Projections!$Y$3="&amp;""""",""C"",),)"),"PF")</f>
        <v>PF</v>
      </c>
    </row>
    <row r="241">
      <c r="B241">
        <f>IFERROR(__xludf.DUMMYFUNCTION("""COMPUTED_VALUE"""),239.0)</f>
        <v>239</v>
      </c>
      <c r="C241" t="str">
        <f>IFERROR(__xludf.DUMMYFUNCTION("""COMPUTED_VALUE"""),"Drew Eubanks")</f>
        <v>Drew Eubanks</v>
      </c>
      <c r="D241">
        <f>IFERROR(__xludf.DUMMYFUNCTION("""COMPUTED_VALUE"""),70.0)</f>
        <v>70</v>
      </c>
      <c r="E241" t="str">
        <f>IFERROR(__xludf.DUMMYFUNCTION("""COMPUTED_VALUE"""),"C")</f>
        <v>C</v>
      </c>
      <c r="F241" s="53">
        <f>IFERROR(__xludf.DUMMYFUNCTION("""COMPUTED_VALUE"""),-6.382550563569917)</f>
        <v>-6.382550564</v>
      </c>
      <c r="G241" s="53">
        <f>IFERROR(__xludf.DUMMYFUNCTION("""COMPUTED_VALUE"""),-3.732223208207454)</f>
        <v>-3.732223208</v>
      </c>
      <c r="H241" s="53">
        <f>IFERROR(__xludf.DUMMYFUNCTION("""COMPUTED_VALUE"""),2.6503273553624633)</f>
        <v>2.650327355</v>
      </c>
      <c r="I241" s="53">
        <f>IFERROR(__xludf.DUMMYFUNCTION("""COMPUTED_VALUE"""),6.6)</f>
        <v>6.6</v>
      </c>
      <c r="J241" s="53">
        <f>IFERROR(__xludf.DUMMYFUNCTION("""COMPUTED_VALUE"""),0.1)</f>
        <v>0.1</v>
      </c>
      <c r="K241" s="53">
        <f>IFERROR(__xludf.DUMMYFUNCTION("""COMPUTED_VALUE"""),5.0)</f>
        <v>5</v>
      </c>
      <c r="L241" s="53">
        <f>IFERROR(__xludf.DUMMYFUNCTION("""COMPUTED_VALUE"""),1.2)</f>
        <v>1.2</v>
      </c>
      <c r="M241" s="53">
        <f>IFERROR(__xludf.DUMMYFUNCTION("""COMPUTED_VALUE"""),0.4)</f>
        <v>0.4</v>
      </c>
      <c r="N241" s="53">
        <f>IFERROR(__xludf.DUMMYFUNCTION("""COMPUTED_VALUE"""),0.9)</f>
        <v>0.9</v>
      </c>
      <c r="O241" s="53">
        <f>IFERROR(__xludf.DUMMYFUNCTION("""COMPUTED_VALUE"""),61.36363636363637)</f>
        <v>61.36363636</v>
      </c>
      <c r="P241" s="53">
        <f>IFERROR(__xludf.DUMMYFUNCTION("""COMPUTED_VALUE"""),68.75)</f>
        <v>68.75</v>
      </c>
      <c r="Q241" s="53">
        <f>IFERROR(__xludf.DUMMYFUNCTION("""COMPUTED_VALUE"""),0.9)</f>
        <v>0.9</v>
      </c>
      <c r="R241" s="53">
        <f>IFERROR(__xludf.DUMMYFUNCTION("""COMPUTED_VALUE"""),-1.795929423787428)</f>
        <v>-1.795929424</v>
      </c>
      <c r="S241" s="53">
        <f>IFERROR(__xludf.DUMMYFUNCTION("""COMPUTED_VALUE"""),-1.3394249329228134)</f>
        <v>-1.339424933</v>
      </c>
      <c r="T241" s="53">
        <f>IFERROR(__xludf.DUMMYFUNCTION("""COMPUTED_VALUE"""),-0.45801768448908886)</f>
        <v>-0.4580176845</v>
      </c>
      <c r="U241" s="53">
        <f>IFERROR(__xludf.DUMMYFUNCTION("""COMPUTED_VALUE"""),-1.3485050559244194)</f>
        <v>-1.348505056</v>
      </c>
      <c r="V241" s="53">
        <f>IFERROR(__xludf.DUMMYFUNCTION("""COMPUTED_VALUE"""),-1.2966700767544366)</f>
        <v>-1.296670077</v>
      </c>
      <c r="W241" s="53">
        <f>IFERROR(__xludf.DUMMYFUNCTION("""COMPUTED_VALUE"""),0.2608808014812299)</f>
        <v>0.2608808015</v>
      </c>
      <c r="X241" s="53">
        <f>IFERROR(__xludf.DUMMYFUNCTION("""COMPUTED_VALUE"""),0.5170809752432649)</f>
        <v>0.5170809752</v>
      </c>
      <c r="Y241" s="53">
        <f>IFERROR(__xludf.DUMMYFUNCTION("""COMPUTED_VALUE"""),-0.4074202359044341)</f>
        <v>-0.4074202359</v>
      </c>
      <c r="Z241" s="53">
        <f>IFERROR(__xludf.DUMMYFUNCTION("""COMPUTED_VALUE"""),0.33985300106324323)</f>
        <v>0.3398530011</v>
      </c>
      <c r="AA241" t="str">
        <f>IFERROR(__xludf.DUMMYFUNCTION("REGEXREPLACE(REGEXREPLACE(REGEXREPLACE(REGEXREPLACE(REGEXREPLACE(REGEXREPLACE(E241,"","",),IF(Projections!$U$3="""",""PG"",),),IF(Projections!$V$3="""",""SG"",),),IF(Projections!$W$3="""",""SF"",),),IF(Projections!$X$3="""",""PF"",),),IF(Projections!$Y$3="&amp;""""",""C"",),)"),"C")</f>
        <v>C</v>
      </c>
    </row>
    <row r="242">
      <c r="B242">
        <f>IFERROR(__xludf.DUMMYFUNCTION("""COMPUTED_VALUE"""),212.0)</f>
        <v>212</v>
      </c>
      <c r="C242" t="str">
        <f>IFERROR(__xludf.DUMMYFUNCTION("""COMPUTED_VALUE"""),"Jonathan Kuminga")</f>
        <v>Jonathan Kuminga</v>
      </c>
      <c r="D242">
        <f>IFERROR(__xludf.DUMMYFUNCTION("""COMPUTED_VALUE"""),72.0)</f>
        <v>72</v>
      </c>
      <c r="E242" t="str">
        <f>IFERROR(__xludf.DUMMYFUNCTION("""COMPUTED_VALUE"""),"PF")</f>
        <v>PF</v>
      </c>
      <c r="F242" s="53">
        <f>IFERROR(__xludf.DUMMYFUNCTION("""COMPUTED_VALUE"""),-5.59147485339879)</f>
        <v>-5.591474853</v>
      </c>
      <c r="G242" s="53">
        <f>IFERROR(__xludf.DUMMYFUNCTION("""COMPUTED_VALUE"""),-3.7795525758479145)</f>
        <v>-3.779552576</v>
      </c>
      <c r="H242" s="53">
        <f>IFERROR(__xludf.DUMMYFUNCTION("""COMPUTED_VALUE"""),1.8119222775508752)</f>
        <v>1.811922278</v>
      </c>
      <c r="I242" s="53">
        <f>IFERROR(__xludf.DUMMYFUNCTION("""COMPUTED_VALUE"""),11.9)</f>
        <v>11.9</v>
      </c>
      <c r="J242" s="53">
        <f>IFERROR(__xludf.DUMMYFUNCTION("""COMPUTED_VALUE"""),0.9)</f>
        <v>0.9</v>
      </c>
      <c r="K242" s="53">
        <f>IFERROR(__xludf.DUMMYFUNCTION("""COMPUTED_VALUE"""),4.2)</f>
        <v>4.2</v>
      </c>
      <c r="L242" s="53">
        <f>IFERROR(__xludf.DUMMYFUNCTION("""COMPUTED_VALUE"""),1.7)</f>
        <v>1.7</v>
      </c>
      <c r="M242" s="53">
        <f>IFERROR(__xludf.DUMMYFUNCTION("""COMPUTED_VALUE"""),0.7)</f>
        <v>0.7</v>
      </c>
      <c r="N242" s="53">
        <f>IFERROR(__xludf.DUMMYFUNCTION("""COMPUTED_VALUE"""),0.5)</f>
        <v>0.5</v>
      </c>
      <c r="O242" s="53">
        <f>IFERROR(__xludf.DUMMYFUNCTION("""COMPUTED_VALUE"""),52.32558139534884)</f>
        <v>52.3255814</v>
      </c>
      <c r="P242" s="53">
        <f>IFERROR(__xludf.DUMMYFUNCTION("""COMPUTED_VALUE"""),66.66666666666666)</f>
        <v>66.66666667</v>
      </c>
      <c r="Q242" s="53">
        <f>IFERROR(__xludf.DUMMYFUNCTION("""COMPUTED_VALUE"""),1.5)</f>
        <v>1.5</v>
      </c>
      <c r="R242" s="53">
        <f>IFERROR(__xludf.DUMMYFUNCTION("""COMPUTED_VALUE"""),-0.9027396259075373)</f>
        <v>-0.9027396259</v>
      </c>
      <c r="S242" s="53">
        <f>IFERROR(__xludf.DUMMYFUNCTION("""COMPUTED_VALUE"""),-0.6457219033555379)</f>
        <v>-0.6457219034</v>
      </c>
      <c r="T242" s="53">
        <f>IFERROR(__xludf.DUMMYFUNCTION("""COMPUTED_VALUE"""),-0.7925406433368716)</f>
        <v>-0.7925406433</v>
      </c>
      <c r="U242" s="53">
        <f>IFERROR(__xludf.DUMMYFUNCTION("""COMPUTED_VALUE"""),-1.0934927533668515)</f>
        <v>-1.093492753</v>
      </c>
      <c r="V242" s="53">
        <f>IFERROR(__xludf.DUMMYFUNCTION("""COMPUTED_VALUE"""),-0.6425203743558983)</f>
        <v>-0.6425203744</v>
      </c>
      <c r="W242" s="53">
        <f>IFERROR(__xludf.DUMMYFUNCTION("""COMPUTED_VALUE"""),-0.2643825572058105)</f>
        <v>-0.2643825572</v>
      </c>
      <c r="X242" s="53">
        <f>IFERROR(__xludf.DUMMYFUNCTION("""COMPUTED_VALUE"""),0.2342677243500365)</f>
        <v>0.2342677244</v>
      </c>
      <c r="Y242" s="53">
        <f>IFERROR(__xludf.DUMMYFUNCTION("""COMPUTED_VALUE"""),-0.9194906691111593)</f>
        <v>-0.9194906691</v>
      </c>
      <c r="Z242" s="53">
        <f>IFERROR(__xludf.DUMMYFUNCTION("""COMPUTED_VALUE"""),0.1535754730748638)</f>
        <v>0.1535754731</v>
      </c>
      <c r="AA242" t="str">
        <f>IFERROR(__xludf.DUMMYFUNCTION("REGEXREPLACE(REGEXREPLACE(REGEXREPLACE(REGEXREPLACE(REGEXREPLACE(REGEXREPLACE(E242,"","",),IF(Projections!$U$3="""",""PG"",),),IF(Projections!$V$3="""",""SG"",),),IF(Projections!$W$3="""",""SF"",),),IF(Projections!$X$3="""",""PF"",),),IF(Projections!$Y$3="&amp;""""",""C"",),)"),"PF")</f>
        <v>PF</v>
      </c>
    </row>
    <row r="243">
      <c r="B243">
        <f>IFERROR(__xludf.DUMMYFUNCTION("""COMPUTED_VALUE"""),258.0)</f>
        <v>258</v>
      </c>
      <c r="C243" t="str">
        <f>IFERROR(__xludf.DUMMYFUNCTION("""COMPUTED_VALUE"""),"P.J. Tucker")</f>
        <v>P.J. Tucker</v>
      </c>
      <c r="D243">
        <f>IFERROR(__xludf.DUMMYFUNCTION("""COMPUTED_VALUE"""),73.0)</f>
        <v>73</v>
      </c>
      <c r="E243" t="str">
        <f>IFERROR(__xludf.DUMMYFUNCTION("""COMPUTED_VALUE"""),"SF")</f>
        <v>SF</v>
      </c>
      <c r="F243" s="53">
        <f>IFERROR(__xludf.DUMMYFUNCTION("""COMPUTED_VALUE"""),-6.837675148256737)</f>
        <v>-6.837675148</v>
      </c>
      <c r="G243" s="53">
        <f>IFERROR(__xludf.DUMMYFUNCTION("""COMPUTED_VALUE"""),-3.788425897522566)</f>
        <v>-3.788425898</v>
      </c>
      <c r="H243" s="53">
        <f>IFERROR(__xludf.DUMMYFUNCTION("""COMPUTED_VALUE"""),3.0492492507341704)</f>
        <v>3.049249251</v>
      </c>
      <c r="I243" s="53">
        <f>IFERROR(__xludf.DUMMYFUNCTION("""COMPUTED_VALUE"""),5.2)</f>
        <v>5.2</v>
      </c>
      <c r="J243" s="53">
        <f>IFERROR(__xludf.DUMMYFUNCTION("""COMPUTED_VALUE"""),0.9)</f>
        <v>0.9</v>
      </c>
      <c r="K243" s="53">
        <f>IFERROR(__xludf.DUMMYFUNCTION("""COMPUTED_VALUE"""),4.4)</f>
        <v>4.4</v>
      </c>
      <c r="L243" s="53">
        <f>IFERROR(__xludf.DUMMYFUNCTION("""COMPUTED_VALUE"""),1.4)</f>
        <v>1.4</v>
      </c>
      <c r="M243" s="53">
        <f>IFERROR(__xludf.DUMMYFUNCTION("""COMPUTED_VALUE"""),0.6)</f>
        <v>0.6</v>
      </c>
      <c r="N243" s="53">
        <f>IFERROR(__xludf.DUMMYFUNCTION("""COMPUTED_VALUE"""),0.2)</f>
        <v>0.2</v>
      </c>
      <c r="O243" s="53">
        <f>IFERROR(__xludf.DUMMYFUNCTION("""COMPUTED_VALUE"""),47.61904761904761)</f>
        <v>47.61904762</v>
      </c>
      <c r="P243" s="53">
        <f>IFERROR(__xludf.DUMMYFUNCTION("""COMPUTED_VALUE"""),80.0)</f>
        <v>80</v>
      </c>
      <c r="Q243" s="53">
        <f>IFERROR(__xludf.DUMMYFUNCTION("""COMPUTED_VALUE"""),0.7)</f>
        <v>0.7</v>
      </c>
      <c r="R243" s="53">
        <f>IFERROR(__xludf.DUMMYFUNCTION("""COMPUTED_VALUE"""),-2.031866351529286)</f>
        <v>-2.031866352</v>
      </c>
      <c r="S243" s="53">
        <f>IFERROR(__xludf.DUMMYFUNCTION("""COMPUTED_VALUE"""),-0.6457219033555379)</f>
        <v>-0.6457219034</v>
      </c>
      <c r="T243" s="53">
        <f>IFERROR(__xludf.DUMMYFUNCTION("""COMPUTED_VALUE"""),-0.7089099036249258)</f>
        <v>-0.7089099036</v>
      </c>
      <c r="U243" s="53">
        <f>IFERROR(__xludf.DUMMYFUNCTION("""COMPUTED_VALUE"""),-1.246500134901392)</f>
        <v>-1.246500135</v>
      </c>
      <c r="V243" s="53">
        <f>IFERROR(__xludf.DUMMYFUNCTION("""COMPUTED_VALUE"""),-0.860570275155411)</f>
        <v>-0.8605702752</v>
      </c>
      <c r="W243" s="53">
        <f>IFERROR(__xludf.DUMMYFUNCTION("""COMPUTED_VALUE"""),-0.6583300762210907)</f>
        <v>-0.6583300762</v>
      </c>
      <c r="X243" s="53">
        <f>IFERROR(__xludf.DUMMYFUNCTION("""COMPUTED_VALUE"""),-0.0830402450480873)</f>
        <v>-0.08304024505</v>
      </c>
      <c r="Y243" s="53">
        <f>IFERROR(__xludf.DUMMYFUNCTION("""COMPUTED_VALUE"""),0.01270113039117512)</f>
        <v>0.01270113039</v>
      </c>
      <c r="Z243" s="53">
        <f>IFERROR(__xludf.DUMMYFUNCTION("""COMPUTED_VALUE"""),0.4019455103927031)</f>
        <v>0.4019455104</v>
      </c>
      <c r="AA243" t="str">
        <f>IFERROR(__xludf.DUMMYFUNCTION("REGEXREPLACE(REGEXREPLACE(REGEXREPLACE(REGEXREPLACE(REGEXREPLACE(REGEXREPLACE(E243,"","",),IF(Projections!$U$3="""",""PG"",),),IF(Projections!$V$3="""",""SG"",),),IF(Projections!$W$3="""",""SF"",),),IF(Projections!$X$3="""",""PF"",),),IF(Projections!$Y$3="&amp;""""",""C"",),)"),"SF")</f>
        <v>SF</v>
      </c>
    </row>
    <row r="244">
      <c r="B244">
        <f>IFERROR(__xludf.DUMMYFUNCTION("""COMPUTED_VALUE"""),235.0)</f>
        <v>235</v>
      </c>
      <c r="C244" t="str">
        <f>IFERROR(__xludf.DUMMYFUNCTION("""COMPUTED_VALUE"""),"Jaden Hardy")</f>
        <v>Jaden Hardy</v>
      </c>
      <c r="D244">
        <f>IFERROR(__xludf.DUMMYFUNCTION("""COMPUTED_VALUE"""),69.0)</f>
        <v>69</v>
      </c>
      <c r="E244" t="str">
        <f>IFERROR(__xludf.DUMMYFUNCTION("""COMPUTED_VALUE"""),"PG,SG")</f>
        <v>PG,SG</v>
      </c>
      <c r="F244" s="53">
        <f>IFERROR(__xludf.DUMMYFUNCTION("""COMPUTED_VALUE"""),-6.211627545993098)</f>
        <v>-6.211627546</v>
      </c>
      <c r="G244" s="53">
        <f>IFERROR(__xludf.DUMMYFUNCTION("""COMPUTED_VALUE"""),-3.7938202848353293)</f>
        <v>-3.793820285</v>
      </c>
      <c r="H244" s="53">
        <f>IFERROR(__xludf.DUMMYFUNCTION("""COMPUTED_VALUE"""),2.4178072611577686)</f>
        <v>2.417807261</v>
      </c>
      <c r="I244" s="53">
        <f>IFERROR(__xludf.DUMMYFUNCTION("""COMPUTED_VALUE"""),11.5)</f>
        <v>11.5</v>
      </c>
      <c r="J244" s="53">
        <f>IFERROR(__xludf.DUMMYFUNCTION("""COMPUTED_VALUE"""),1.7)</f>
        <v>1.7</v>
      </c>
      <c r="K244" s="53">
        <f>IFERROR(__xludf.DUMMYFUNCTION("""COMPUTED_VALUE"""),2.4)</f>
        <v>2.4</v>
      </c>
      <c r="L244" s="53">
        <f>IFERROR(__xludf.DUMMYFUNCTION("""COMPUTED_VALUE"""),1.8)</f>
        <v>1.8</v>
      </c>
      <c r="M244" s="53">
        <f>IFERROR(__xludf.DUMMYFUNCTION("""COMPUTED_VALUE"""),0.5)</f>
        <v>0.5</v>
      </c>
      <c r="N244" s="53">
        <f>IFERROR(__xludf.DUMMYFUNCTION("""COMPUTED_VALUE"""),0.2)</f>
        <v>0.2</v>
      </c>
      <c r="O244" s="53">
        <f>IFERROR(__xludf.DUMMYFUNCTION("""COMPUTED_VALUE"""),44.44444444444444)</f>
        <v>44.44444444</v>
      </c>
      <c r="P244" s="53">
        <f>IFERROR(__xludf.DUMMYFUNCTION("""COMPUTED_VALUE"""),81.81818181818181)</f>
        <v>81.81818182</v>
      </c>
      <c r="Q244" s="53">
        <f>IFERROR(__xludf.DUMMYFUNCTION("""COMPUTED_VALUE"""),1.3)</f>
        <v>1.3</v>
      </c>
      <c r="R244" s="53">
        <f>IFERROR(__xludf.DUMMYFUNCTION("""COMPUTED_VALUE"""),-0.9701501766909253)</f>
        <v>-0.9701501767</v>
      </c>
      <c r="S244" s="53">
        <f>IFERROR(__xludf.DUMMYFUNCTION("""COMPUTED_VALUE"""),0.047981126211737425)</f>
        <v>0.04798112621</v>
      </c>
      <c r="T244" s="53">
        <f>IFERROR(__xludf.DUMMYFUNCTION("""COMPUTED_VALUE"""),-1.5452173007443828)</f>
        <v>-1.545217301</v>
      </c>
      <c r="U244" s="53">
        <f>IFERROR(__xludf.DUMMYFUNCTION("""COMPUTED_VALUE"""),-1.0424902928553377)</f>
        <v>-1.042490293</v>
      </c>
      <c r="V244" s="53">
        <f>IFERROR(__xludf.DUMMYFUNCTION("""COMPUTED_VALUE"""),-1.0786201759549239)</f>
        <v>-1.078620176</v>
      </c>
      <c r="W244" s="53">
        <f>IFERROR(__xludf.DUMMYFUNCTION("""COMPUTED_VALUE"""),-0.6583300762210907)</f>
        <v>-0.6583300762</v>
      </c>
      <c r="X244" s="53">
        <f>IFERROR(__xludf.DUMMYFUNCTION("""COMPUTED_VALUE"""),-0.4633333905961034)</f>
        <v>-0.4633333906</v>
      </c>
      <c r="Y244" s="53">
        <f>IFERROR(__xludf.DUMMYFUNCTION("""COMPUTED_VALUE"""),0.15545471886699092)</f>
        <v>0.1554547189</v>
      </c>
      <c r="Z244" s="53">
        <f>IFERROR(__xludf.DUMMYFUNCTION("""COMPUTED_VALUE"""),0.2156679824043236)</f>
        <v>0.2156679824</v>
      </c>
      <c r="AA244" t="str">
        <f>IFERROR(__xludf.DUMMYFUNCTION("REGEXREPLACE(REGEXREPLACE(REGEXREPLACE(REGEXREPLACE(REGEXREPLACE(REGEXREPLACE(E244,"","",),IF(Projections!$U$3="""",""PG"",),),IF(Projections!$V$3="""",""SG"",),),IF(Projections!$W$3="""",""SF"",),),IF(Projections!$X$3="""",""PF"",),),IF(Projections!$Y$3="&amp;""""",""C"",),)"),"PGSG")</f>
        <v>PGSG</v>
      </c>
    </row>
    <row r="245">
      <c r="B245">
        <f>IFERROR(__xludf.DUMMYFUNCTION("""COMPUTED_VALUE"""),243.0)</f>
        <v>243</v>
      </c>
      <c r="C245" t="str">
        <f>IFERROR(__xludf.DUMMYFUNCTION("""COMPUTED_VALUE"""),"Xavier Tillman Sr.")</f>
        <v>Xavier Tillman Sr.</v>
      </c>
      <c r="D245">
        <f>IFERROR(__xludf.DUMMYFUNCTION("""COMPUTED_VALUE"""),68.0)</f>
        <v>68</v>
      </c>
      <c r="E245" t="str">
        <f>IFERROR(__xludf.DUMMYFUNCTION("""COMPUTED_VALUE"""),"PF,C")</f>
        <v>PF,C</v>
      </c>
      <c r="F245" s="53">
        <f>IFERROR(__xludf.DUMMYFUNCTION("""COMPUTED_VALUE"""),-6.413410790895785)</f>
        <v>-6.413410791</v>
      </c>
      <c r="G245" s="53">
        <f>IFERROR(__xludf.DUMMYFUNCTION("""COMPUTED_VALUE"""),-3.8006909449527067)</f>
        <v>-3.800690945</v>
      </c>
      <c r="H245" s="53">
        <f>IFERROR(__xludf.DUMMYFUNCTION("""COMPUTED_VALUE"""),2.6127198459430785)</f>
        <v>2.612719846</v>
      </c>
      <c r="I245" s="53">
        <f>IFERROR(__xludf.DUMMYFUNCTION("""COMPUTED_VALUE"""),6.2)</f>
        <v>6.2</v>
      </c>
      <c r="J245" s="53">
        <f>IFERROR(__xludf.DUMMYFUNCTION("""COMPUTED_VALUE"""),0.1)</f>
        <v>0.1</v>
      </c>
      <c r="K245" s="53">
        <f>IFERROR(__xludf.DUMMYFUNCTION("""COMPUTED_VALUE"""),4.2)</f>
        <v>4.2</v>
      </c>
      <c r="L245" s="53">
        <f>IFERROR(__xludf.DUMMYFUNCTION("""COMPUTED_VALUE"""),1.4)</f>
        <v>1.4</v>
      </c>
      <c r="M245" s="53">
        <f>IFERROR(__xludf.DUMMYFUNCTION("""COMPUTED_VALUE"""),1.0)</f>
        <v>1</v>
      </c>
      <c r="N245" s="53">
        <f>IFERROR(__xludf.DUMMYFUNCTION("""COMPUTED_VALUE"""),0.4)</f>
        <v>0.4</v>
      </c>
      <c r="O245" s="53">
        <f>IFERROR(__xludf.DUMMYFUNCTION("""COMPUTED_VALUE"""),55.319148936170215)</f>
        <v>55.31914894</v>
      </c>
      <c r="P245" s="53">
        <f>IFERROR(__xludf.DUMMYFUNCTION("""COMPUTED_VALUE"""),60.0)</f>
        <v>60</v>
      </c>
      <c r="Q245" s="53">
        <f>IFERROR(__xludf.DUMMYFUNCTION("""COMPUTED_VALUE"""),0.7)</f>
        <v>0.7</v>
      </c>
      <c r="R245" s="53">
        <f>IFERROR(__xludf.DUMMYFUNCTION("""COMPUTED_VALUE"""),-1.863339974570816)</f>
        <v>-1.863339975</v>
      </c>
      <c r="S245" s="53">
        <f>IFERROR(__xludf.DUMMYFUNCTION("""COMPUTED_VALUE"""),-1.3394249329228134)</f>
        <v>-1.339424933</v>
      </c>
      <c r="T245" s="53">
        <f>IFERROR(__xludf.DUMMYFUNCTION("""COMPUTED_VALUE"""),-0.7925406433368716)</f>
        <v>-0.7925406433</v>
      </c>
      <c r="U245" s="53">
        <f>IFERROR(__xludf.DUMMYFUNCTION("""COMPUTED_VALUE"""),-1.246500134901392)</f>
        <v>-1.246500135</v>
      </c>
      <c r="V245" s="53">
        <f>IFERROR(__xludf.DUMMYFUNCTION("""COMPUTED_VALUE"""),0.011629328042640127)</f>
        <v>0.01162932804</v>
      </c>
      <c r="W245" s="53">
        <f>IFERROR(__xludf.DUMMYFUNCTION("""COMPUTED_VALUE"""),-0.39569839687757064)</f>
        <v>-0.3956983969</v>
      </c>
      <c r="X245" s="53">
        <f>IFERROR(__xludf.DUMMYFUNCTION("""COMPUTED_VALUE"""),0.26856802207072983)</f>
        <v>0.2685680221</v>
      </c>
      <c r="Y245" s="53">
        <f>IFERROR(__xludf.DUMMYFUNCTION("""COMPUTED_VALUE"""),-0.708669697420132)</f>
        <v>-0.7086696974</v>
      </c>
      <c r="Z245" s="53">
        <f>IFERROR(__xludf.DUMMYFUNCTION("""COMPUTED_VALUE"""),0.4019455103927031)</f>
        <v>0.4019455104</v>
      </c>
      <c r="AA245" t="str">
        <f>IFERROR(__xludf.DUMMYFUNCTION("REGEXREPLACE(REGEXREPLACE(REGEXREPLACE(REGEXREPLACE(REGEXREPLACE(REGEXREPLACE(E245,"","",),IF(Projections!$U$3="""",""PG"",),),IF(Projections!$V$3="""",""SG"",),),IF(Projections!$W$3="""",""SF"",),),IF(Projections!$X$3="""",""PF"",),),IF(Projections!$Y$3="&amp;""""",""C"",),)"),"PFC")</f>
        <v>PFC</v>
      </c>
    </row>
    <row r="246">
      <c r="B246">
        <f>IFERROR(__xludf.DUMMYFUNCTION("""COMPUTED_VALUE"""),223.0)</f>
        <v>223</v>
      </c>
      <c r="C246" t="str">
        <f>IFERROR(__xludf.DUMMYFUNCTION("""COMPUTED_VALUE"""),"Marcus Morris Sr.")</f>
        <v>Marcus Morris Sr.</v>
      </c>
      <c r="D246">
        <f>IFERROR(__xludf.DUMMYFUNCTION("""COMPUTED_VALUE"""),60.0)</f>
        <v>60</v>
      </c>
      <c r="E246" t="str">
        <f>IFERROR(__xludf.DUMMYFUNCTION("""COMPUTED_VALUE"""),"PF,C")</f>
        <v>PF,C</v>
      </c>
      <c r="F246" s="53">
        <f>IFERROR(__xludf.DUMMYFUNCTION("""COMPUTED_VALUE"""),-5.874280908976764)</f>
        <v>-5.874280909</v>
      </c>
      <c r="G246" s="53">
        <f>IFERROR(__xludf.DUMMYFUNCTION("""COMPUTED_VALUE"""),-3.8102774678704097)</f>
        <v>-3.810277468</v>
      </c>
      <c r="H246" s="53">
        <f>IFERROR(__xludf.DUMMYFUNCTION("""COMPUTED_VALUE"""),2.064003441106354)</f>
        <v>2.064003441</v>
      </c>
      <c r="I246" s="53">
        <f>IFERROR(__xludf.DUMMYFUNCTION("""COMPUTED_VALUE"""),11.4)</f>
        <v>11.4</v>
      </c>
      <c r="J246" s="53">
        <f>IFERROR(__xludf.DUMMYFUNCTION("""COMPUTED_VALUE"""),1.6)</f>
        <v>1.6</v>
      </c>
      <c r="K246" s="53">
        <f>IFERROR(__xludf.DUMMYFUNCTION("""COMPUTED_VALUE"""),3.7)</f>
        <v>3.7</v>
      </c>
      <c r="L246" s="53">
        <f>IFERROR(__xludf.DUMMYFUNCTION("""COMPUTED_VALUE"""),1.7)</f>
        <v>1.7</v>
      </c>
      <c r="M246" s="53">
        <f>IFERROR(__xludf.DUMMYFUNCTION("""COMPUTED_VALUE"""),0.5)</f>
        <v>0.5</v>
      </c>
      <c r="N246" s="53">
        <f>IFERROR(__xludf.DUMMYFUNCTION("""COMPUTED_VALUE"""),0.3)</f>
        <v>0.3</v>
      </c>
      <c r="O246" s="53">
        <f>IFERROR(__xludf.DUMMYFUNCTION("""COMPUTED_VALUE"""),42.857142857142854)</f>
        <v>42.85714286</v>
      </c>
      <c r="P246" s="53">
        <f>IFERROR(__xludf.DUMMYFUNCTION("""COMPUTED_VALUE"""),82.35294117647058)</f>
        <v>82.35294118</v>
      </c>
      <c r="Q246" s="53">
        <f>IFERROR(__xludf.DUMMYFUNCTION("""COMPUTED_VALUE"""),0.9)</f>
        <v>0.9</v>
      </c>
      <c r="R246" s="53">
        <f>IFERROR(__xludf.DUMMYFUNCTION("""COMPUTED_VALUE"""),-0.9870028143867723)</f>
        <v>-0.9870028144</v>
      </c>
      <c r="S246" s="53">
        <f>IFERROR(__xludf.DUMMYFUNCTION("""COMPUTED_VALUE"""),-0.03873175248417188)</f>
        <v>-0.03873175248</v>
      </c>
      <c r="T246" s="53">
        <f>IFERROR(__xludf.DUMMYFUNCTION("""COMPUTED_VALUE"""),-1.0016174926167358)</f>
        <v>-1.001617493</v>
      </c>
      <c r="U246" s="53">
        <f>IFERROR(__xludf.DUMMYFUNCTION("""COMPUTED_VALUE"""),-1.0934927533668515)</f>
        <v>-1.093492753</v>
      </c>
      <c r="V246" s="53">
        <f>IFERROR(__xludf.DUMMYFUNCTION("""COMPUTED_VALUE"""),-1.0786201759549239)</f>
        <v>-1.078620176</v>
      </c>
      <c r="W246" s="53">
        <f>IFERROR(__xludf.DUMMYFUNCTION("""COMPUTED_VALUE"""),-0.5270142365493308)</f>
        <v>-0.5270142365</v>
      </c>
      <c r="X246" s="53">
        <f>IFERROR(__xludf.DUMMYFUNCTION("""COMPUTED_VALUE"""),-0.6598975854175337)</f>
        <v>-0.6598975854</v>
      </c>
      <c r="Y246" s="53">
        <f>IFERROR(__xludf.DUMMYFUNCTION("""COMPUTED_VALUE"""),0.14275358847581598)</f>
        <v>0.1427535885</v>
      </c>
      <c r="Z246" s="53">
        <f>IFERROR(__xludf.DUMMYFUNCTION("""COMPUTED_VALUE"""),0.33985300106324323)</f>
        <v>0.3398530011</v>
      </c>
      <c r="AA246" t="str">
        <f>IFERROR(__xludf.DUMMYFUNCTION("REGEXREPLACE(REGEXREPLACE(REGEXREPLACE(REGEXREPLACE(REGEXREPLACE(REGEXREPLACE(E246,"","",),IF(Projections!$U$3="""",""PG"",),),IF(Projections!$V$3="""",""SG"",),),IF(Projections!$W$3="""",""SF"",),),IF(Projections!$X$3="""",""PF"",),),IF(Projections!$Y$3="&amp;""""",""C"",),)"),"PFC")</f>
        <v>PFC</v>
      </c>
    </row>
    <row r="247">
      <c r="B247">
        <f>IFERROR(__xludf.DUMMYFUNCTION("""COMPUTED_VALUE"""),234.0)</f>
        <v>234</v>
      </c>
      <c r="C247" t="str">
        <f>IFERROR(__xludf.DUMMYFUNCTION("""COMPUTED_VALUE"""),"Moritz Wagner")</f>
        <v>Moritz Wagner</v>
      </c>
      <c r="D247">
        <f>IFERROR(__xludf.DUMMYFUNCTION("""COMPUTED_VALUE"""),60.0)</f>
        <v>60</v>
      </c>
      <c r="E247" t="str">
        <f>IFERROR(__xludf.DUMMYFUNCTION("""COMPUTED_VALUE"""),"C")</f>
        <v>C</v>
      </c>
      <c r="F247" s="53">
        <f>IFERROR(__xludf.DUMMYFUNCTION("""COMPUTED_VALUE"""),-6.113174893605977)</f>
        <v>-6.113174894</v>
      </c>
      <c r="G247" s="53">
        <f>IFERROR(__xludf.DUMMYFUNCTION("""COMPUTED_VALUE"""),-3.8584364240731306)</f>
        <v>-3.858436424</v>
      </c>
      <c r="H247" s="53">
        <f>IFERROR(__xludf.DUMMYFUNCTION("""COMPUTED_VALUE"""),2.254738469532846)</f>
        <v>2.25473847</v>
      </c>
      <c r="I247" s="53">
        <f>IFERROR(__xludf.DUMMYFUNCTION("""COMPUTED_VALUE"""),9.4)</f>
        <v>9.4</v>
      </c>
      <c r="J247" s="53">
        <f>IFERROR(__xludf.DUMMYFUNCTION("""COMPUTED_VALUE"""),0.9)</f>
        <v>0.9</v>
      </c>
      <c r="K247" s="53">
        <f>IFERROR(__xludf.DUMMYFUNCTION("""COMPUTED_VALUE"""),4.0)</f>
        <v>4</v>
      </c>
      <c r="L247" s="53">
        <f>IFERROR(__xludf.DUMMYFUNCTION("""COMPUTED_VALUE"""),1.4)</f>
        <v>1.4</v>
      </c>
      <c r="M247" s="53">
        <f>IFERROR(__xludf.DUMMYFUNCTION("""COMPUTED_VALUE"""),0.5)</f>
        <v>0.5</v>
      </c>
      <c r="N247" s="53">
        <f>IFERROR(__xludf.DUMMYFUNCTION("""COMPUTED_VALUE"""),0.2)</f>
        <v>0.2</v>
      </c>
      <c r="O247" s="53">
        <f>IFERROR(__xludf.DUMMYFUNCTION("""COMPUTED_VALUE"""),50.0)</f>
        <v>50</v>
      </c>
      <c r="P247" s="53">
        <f>IFERROR(__xludf.DUMMYFUNCTION("""COMPUTED_VALUE"""),84.00000000000001)</f>
        <v>84</v>
      </c>
      <c r="Q247" s="53">
        <f>IFERROR(__xludf.DUMMYFUNCTION("""COMPUTED_VALUE"""),1.0)</f>
        <v>1</v>
      </c>
      <c r="R247" s="53">
        <f>IFERROR(__xludf.DUMMYFUNCTION("""COMPUTED_VALUE"""),-1.324055568303712)</f>
        <v>-1.324055568</v>
      </c>
      <c r="S247" s="53">
        <f>IFERROR(__xludf.DUMMYFUNCTION("""COMPUTED_VALUE"""),-0.6457219033555379)</f>
        <v>-0.6457219034</v>
      </c>
      <c r="T247" s="53">
        <f>IFERROR(__xludf.DUMMYFUNCTION("""COMPUTED_VALUE"""),-0.8761713830488173)</f>
        <v>-0.876171383</v>
      </c>
      <c r="U247" s="53">
        <f>IFERROR(__xludf.DUMMYFUNCTION("""COMPUTED_VALUE"""),-1.246500134901392)</f>
        <v>-1.246500135</v>
      </c>
      <c r="V247" s="53">
        <f>IFERROR(__xludf.DUMMYFUNCTION("""COMPUTED_VALUE"""),-1.0786201759549239)</f>
        <v>-1.078620176</v>
      </c>
      <c r="W247" s="53">
        <f>IFERROR(__xludf.DUMMYFUNCTION("""COMPUTED_VALUE"""),-0.6583300762210907)</f>
        <v>-0.6583300762</v>
      </c>
      <c r="X247" s="53">
        <f>IFERROR(__xludf.DUMMYFUNCTION("""COMPUTED_VALUE"""),0.025670488189689155)</f>
        <v>0.02567048819</v>
      </c>
      <c r="Y247" s="53">
        <f>IFERROR(__xludf.DUMMYFUNCTION("""COMPUTED_VALUE"""),0.3124300148204282)</f>
        <v>0.3124300148</v>
      </c>
      <c r="Z247" s="53">
        <f>IFERROR(__xludf.DUMMYFUNCTION("""COMPUTED_VALUE"""),0.30880674639851335)</f>
        <v>0.3088067464</v>
      </c>
      <c r="AA247" t="str">
        <f>IFERROR(__xludf.DUMMYFUNCTION("REGEXREPLACE(REGEXREPLACE(REGEXREPLACE(REGEXREPLACE(REGEXREPLACE(REGEXREPLACE(E247,"","",),IF(Projections!$U$3="""",""PG"",),),IF(Projections!$V$3="""",""SG"",),),IF(Projections!$W$3="""",""SF"",),),IF(Projections!$X$3="""",""PF"",),),IF(Projections!$Y$3="&amp;""""",""C"",),)"),"C")</f>
        <v>C</v>
      </c>
    </row>
    <row r="248">
      <c r="B248">
        <f>IFERROR(__xludf.DUMMYFUNCTION("""COMPUTED_VALUE"""),216.0)</f>
        <v>216</v>
      </c>
      <c r="C248" t="str">
        <f>IFERROR(__xludf.DUMMYFUNCTION("""COMPUTED_VALUE"""),"Anthony Black")</f>
        <v>Anthony Black</v>
      </c>
      <c r="D248">
        <f>IFERROR(__xludf.DUMMYFUNCTION("""COMPUTED_VALUE"""),72.0)</f>
        <v>72</v>
      </c>
      <c r="E248" t="str">
        <f>IFERROR(__xludf.DUMMYFUNCTION("""COMPUTED_VALUE"""),"PG,SG")</f>
        <v>PG,SG</v>
      </c>
      <c r="F248" s="53">
        <f>IFERROR(__xludf.DUMMYFUNCTION("""COMPUTED_VALUE"""),-5.707982436439755)</f>
        <v>-5.707982436</v>
      </c>
      <c r="G248" s="53">
        <f>IFERROR(__xludf.DUMMYFUNCTION("""COMPUTED_VALUE"""),-3.8670090578846352)</f>
        <v>-3.867009058</v>
      </c>
      <c r="H248" s="53">
        <f>IFERROR(__xludf.DUMMYFUNCTION("""COMPUTED_VALUE"""),1.8409733785551197)</f>
        <v>1.840973379</v>
      </c>
      <c r="I248" s="53">
        <f>IFERROR(__xludf.DUMMYFUNCTION("""COMPUTED_VALUE"""),9.7)</f>
        <v>9.7</v>
      </c>
      <c r="J248" s="53">
        <f>IFERROR(__xludf.DUMMYFUNCTION("""COMPUTED_VALUE"""),0.3)</f>
        <v>0.3</v>
      </c>
      <c r="K248" s="53">
        <f>IFERROR(__xludf.DUMMYFUNCTION("""COMPUTED_VALUE"""),2.8)</f>
        <v>2.8</v>
      </c>
      <c r="L248" s="53">
        <f>IFERROR(__xludf.DUMMYFUNCTION("""COMPUTED_VALUE"""),3.3)</f>
        <v>3.3</v>
      </c>
      <c r="M248" s="53">
        <f>IFERROR(__xludf.DUMMYFUNCTION("""COMPUTED_VALUE"""),1.1)</f>
        <v>1.1</v>
      </c>
      <c r="N248" s="53">
        <f>IFERROR(__xludf.DUMMYFUNCTION("""COMPUTED_VALUE"""),0.3)</f>
        <v>0.3</v>
      </c>
      <c r="O248" s="53">
        <f>IFERROR(__xludf.DUMMYFUNCTION("""COMPUTED_VALUE"""),44.9438202247191)</f>
        <v>44.94382022</v>
      </c>
      <c r="P248" s="53">
        <f>IFERROR(__xludf.DUMMYFUNCTION("""COMPUTED_VALUE"""),68.42105263157895)</f>
        <v>68.42105263</v>
      </c>
      <c r="Q248" s="53">
        <f>IFERROR(__xludf.DUMMYFUNCTION("""COMPUTED_VALUE"""),1.8)</f>
        <v>1.8</v>
      </c>
      <c r="R248" s="53">
        <f>IFERROR(__xludf.DUMMYFUNCTION("""COMPUTED_VALUE"""),-1.2734976552161712)</f>
        <v>-1.273497655</v>
      </c>
      <c r="S248" s="53">
        <f>IFERROR(__xludf.DUMMYFUNCTION("""COMPUTED_VALUE"""),-1.1659991755309944)</f>
        <v>-1.165999176</v>
      </c>
      <c r="T248" s="53">
        <f>IFERROR(__xludf.DUMMYFUNCTION("""COMPUTED_VALUE"""),-1.3779558213204914)</f>
        <v>-1.377955821</v>
      </c>
      <c r="U248" s="53">
        <f>IFERROR(__xludf.DUMMYFUNCTION("""COMPUTED_VALUE"""),-0.27745338518263435)</f>
        <v>-0.2774533852</v>
      </c>
      <c r="V248" s="53">
        <f>IFERROR(__xludf.DUMMYFUNCTION("""COMPUTED_VALUE"""),0.22967922884215308)</f>
        <v>0.2296792288</v>
      </c>
      <c r="W248" s="53">
        <f>IFERROR(__xludf.DUMMYFUNCTION("""COMPUTED_VALUE"""),-0.5270142365493308)</f>
        <v>-0.5270142365</v>
      </c>
      <c r="X248" s="53">
        <f>IFERROR(__xludf.DUMMYFUNCTION("""COMPUTED_VALUE"""),-0.4137912405127818)</f>
        <v>-0.4137912405</v>
      </c>
      <c r="Y248" s="53">
        <f>IFERROR(__xludf.DUMMYFUNCTION("""COMPUTED_VALUE"""),-0.4993693028155499)</f>
        <v>-0.4993693028</v>
      </c>
      <c r="Z248" s="53">
        <f>IFERROR(__xludf.DUMMYFUNCTION("""COMPUTED_VALUE"""),0.06043670908067405)</f>
        <v>0.06043670908</v>
      </c>
      <c r="AA248" t="str">
        <f>IFERROR(__xludf.DUMMYFUNCTION("REGEXREPLACE(REGEXREPLACE(REGEXREPLACE(REGEXREPLACE(REGEXREPLACE(REGEXREPLACE(E248,"","",),IF(Projections!$U$3="""",""PG"",),),IF(Projections!$V$3="""",""SG"",),),IF(Projections!$W$3="""",""SF"",),),IF(Projections!$X$3="""",""PF"",),),IF(Projections!$Y$3="&amp;""""",""C"",),)"),"PGSG")</f>
        <v>PGSG</v>
      </c>
    </row>
    <row r="249">
      <c r="B249">
        <f>IFERROR(__xludf.DUMMYFUNCTION("""COMPUTED_VALUE"""),241.0)</f>
        <v>241</v>
      </c>
      <c r="C249" t="str">
        <f>IFERROR(__xludf.DUMMYFUNCTION("""COMPUTED_VALUE"""),"Dario Saric")</f>
        <v>Dario Saric</v>
      </c>
      <c r="D249">
        <f>IFERROR(__xludf.DUMMYFUNCTION("""COMPUTED_VALUE"""),67.0)</f>
        <v>67</v>
      </c>
      <c r="E249" t="str">
        <f>IFERROR(__xludf.DUMMYFUNCTION("""COMPUTED_VALUE"""),"PF,C")</f>
        <v>PF,C</v>
      </c>
      <c r="F249" s="53">
        <f>IFERROR(__xludf.DUMMYFUNCTION("""COMPUTED_VALUE"""),-6.391863581011984)</f>
        <v>-6.391863581</v>
      </c>
      <c r="G249" s="53">
        <f>IFERROR(__xludf.DUMMYFUNCTION("""COMPUTED_VALUE"""),-3.9000545919045573)</f>
        <v>-3.900054592</v>
      </c>
      <c r="H249" s="53">
        <f>IFERROR(__xludf.DUMMYFUNCTION("""COMPUTED_VALUE"""),2.491808989107427)</f>
        <v>2.491808989</v>
      </c>
      <c r="I249" s="53">
        <f>IFERROR(__xludf.DUMMYFUNCTION("""COMPUTED_VALUE"""),8.1)</f>
        <v>8.1</v>
      </c>
      <c r="J249" s="53">
        <f>IFERROR(__xludf.DUMMYFUNCTION("""COMPUTED_VALUE"""),1.0)</f>
        <v>1</v>
      </c>
      <c r="K249" s="53">
        <f>IFERROR(__xludf.DUMMYFUNCTION("""COMPUTED_VALUE"""),4.6)</f>
        <v>4.6</v>
      </c>
      <c r="L249" s="53">
        <f>IFERROR(__xludf.DUMMYFUNCTION("""COMPUTED_VALUE"""),1.7)</f>
        <v>1.7</v>
      </c>
      <c r="M249" s="53">
        <f>IFERROR(__xludf.DUMMYFUNCTION("""COMPUTED_VALUE"""),0.5)</f>
        <v>0.5</v>
      </c>
      <c r="N249" s="53">
        <f>IFERROR(__xludf.DUMMYFUNCTION("""COMPUTED_VALUE"""),0.2)</f>
        <v>0.2</v>
      </c>
      <c r="O249" s="53">
        <f>IFERROR(__xludf.DUMMYFUNCTION("""COMPUTED_VALUE"""),45.16129032258064)</f>
        <v>45.16129032</v>
      </c>
      <c r="P249" s="53">
        <f>IFERROR(__xludf.DUMMYFUNCTION("""COMPUTED_VALUE"""),82.35294117647058)</f>
        <v>82.35294118</v>
      </c>
      <c r="Q249" s="53">
        <f>IFERROR(__xludf.DUMMYFUNCTION("""COMPUTED_VALUE"""),1.2)</f>
        <v>1.2</v>
      </c>
      <c r="R249" s="53">
        <f>IFERROR(__xludf.DUMMYFUNCTION("""COMPUTED_VALUE"""),-1.5431398583497231)</f>
        <v>-1.543139858</v>
      </c>
      <c r="S249" s="53">
        <f>IFERROR(__xludf.DUMMYFUNCTION("""COMPUTED_VALUE"""),-0.5590090246596284)</f>
        <v>-0.5590090247</v>
      </c>
      <c r="T249" s="53">
        <f>IFERROR(__xludf.DUMMYFUNCTION("""COMPUTED_VALUE"""),-0.6252791639129804)</f>
        <v>-0.6252791639</v>
      </c>
      <c r="U249" s="53">
        <f>IFERROR(__xludf.DUMMYFUNCTION("""COMPUTED_VALUE"""),-1.0934927533668515)</f>
        <v>-1.093492753</v>
      </c>
      <c r="V249" s="53">
        <f>IFERROR(__xludf.DUMMYFUNCTION("""COMPUTED_VALUE"""),-1.0786201759549239)</f>
        <v>-1.078620176</v>
      </c>
      <c r="W249" s="53">
        <f>IFERROR(__xludf.DUMMYFUNCTION("""COMPUTED_VALUE"""),-0.6583300762210907)</f>
        <v>-0.6583300762</v>
      </c>
      <c r="X249" s="53">
        <f>IFERROR(__xludf.DUMMYFUNCTION("""COMPUTED_VALUE"""),-0.2747912233339511)</f>
        <v>-0.2747912233</v>
      </c>
      <c r="Y249" s="53">
        <f>IFERROR(__xludf.DUMMYFUNCTION("""COMPUTED_VALUE"""),0.14275358847581598)</f>
        <v>0.1427535885</v>
      </c>
      <c r="Z249" s="53">
        <f>IFERROR(__xludf.DUMMYFUNCTION("""COMPUTED_VALUE"""),0.24671423706905354)</f>
        <v>0.2467142371</v>
      </c>
      <c r="AA249" t="str">
        <f>IFERROR(__xludf.DUMMYFUNCTION("REGEXREPLACE(REGEXREPLACE(REGEXREPLACE(REGEXREPLACE(REGEXREPLACE(REGEXREPLACE(E249,"","",),IF(Projections!$U$3="""",""PG"",),),IF(Projections!$V$3="""",""SG"",),),IF(Projections!$W$3="""",""SF"",),),IF(Projections!$X$3="""",""PF"",),),IF(Projections!$Y$3="&amp;""""",""C"",),)"),"PFC")</f>
        <v>PFC</v>
      </c>
    </row>
    <row r="250">
      <c r="B250">
        <f>IFERROR(__xludf.DUMMYFUNCTION("""COMPUTED_VALUE"""),252.0)</f>
        <v>252</v>
      </c>
      <c r="C250" t="str">
        <f>IFERROR(__xludf.DUMMYFUNCTION("""COMPUTED_VALUE"""),"Dominick Barlow")</f>
        <v>Dominick Barlow</v>
      </c>
      <c r="D250">
        <f>IFERROR(__xludf.DUMMYFUNCTION("""COMPUTED_VALUE"""),60.0)</f>
        <v>60</v>
      </c>
      <c r="E250" t="str">
        <f>IFERROR(__xludf.DUMMYFUNCTION("""COMPUTED_VALUE"""),"SF")</f>
        <v>SF</v>
      </c>
      <c r="F250" s="53">
        <f>IFERROR(__xludf.DUMMYFUNCTION("""COMPUTED_VALUE"""),-6.644123176604762)</f>
        <v>-6.644123177</v>
      </c>
      <c r="G250" s="53">
        <f>IFERROR(__xludf.DUMMYFUNCTION("""COMPUTED_VALUE"""),-3.9209209119294055)</f>
        <v>-3.920920912</v>
      </c>
      <c r="H250" s="53">
        <f>IFERROR(__xludf.DUMMYFUNCTION("""COMPUTED_VALUE"""),2.723202264675357)</f>
        <v>2.723202265</v>
      </c>
      <c r="I250" s="53">
        <f>IFERROR(__xludf.DUMMYFUNCTION("""COMPUTED_VALUE"""),5.6)</f>
        <v>5.6</v>
      </c>
      <c r="J250" s="53">
        <f>IFERROR(__xludf.DUMMYFUNCTION("""COMPUTED_VALUE"""),0.1)</f>
        <v>0.1</v>
      </c>
      <c r="K250" s="53">
        <f>IFERROR(__xludf.DUMMYFUNCTION("""COMPUTED_VALUE"""),4.1)</f>
        <v>4.1</v>
      </c>
      <c r="L250" s="53">
        <f>IFERROR(__xludf.DUMMYFUNCTION("""COMPUTED_VALUE"""),1.2)</f>
        <v>1.2</v>
      </c>
      <c r="M250" s="53">
        <f>IFERROR(__xludf.DUMMYFUNCTION("""COMPUTED_VALUE"""),0.5)</f>
        <v>0.5</v>
      </c>
      <c r="N250" s="53">
        <f>IFERROR(__xludf.DUMMYFUNCTION("""COMPUTED_VALUE"""),0.9)</f>
        <v>0.9</v>
      </c>
      <c r="O250" s="53">
        <f>IFERROR(__xludf.DUMMYFUNCTION("""COMPUTED_VALUE"""),53.48837209302325)</f>
        <v>53.48837209</v>
      </c>
      <c r="P250" s="53">
        <f>IFERROR(__xludf.DUMMYFUNCTION("""COMPUTED_VALUE"""),75.0)</f>
        <v>75</v>
      </c>
      <c r="Q250" s="53">
        <f>IFERROR(__xludf.DUMMYFUNCTION("""COMPUTED_VALUE"""),0.8)</f>
        <v>0.8</v>
      </c>
      <c r="R250" s="53">
        <f>IFERROR(__xludf.DUMMYFUNCTION("""COMPUTED_VALUE"""),-1.9644558007458979)</f>
        <v>-1.964455801</v>
      </c>
      <c r="S250" s="53">
        <f>IFERROR(__xludf.DUMMYFUNCTION("""COMPUTED_VALUE"""),-1.3394249329228134)</f>
        <v>-1.339424933</v>
      </c>
      <c r="T250" s="53">
        <f>IFERROR(__xludf.DUMMYFUNCTION("""COMPUTED_VALUE"""),-0.8343560131928446)</f>
        <v>-0.8343560132</v>
      </c>
      <c r="U250" s="53">
        <f>IFERROR(__xludf.DUMMYFUNCTION("""COMPUTED_VALUE"""),-1.3485050559244194)</f>
        <v>-1.348505056</v>
      </c>
      <c r="V250" s="53">
        <f>IFERROR(__xludf.DUMMYFUNCTION("""COMPUTED_VALUE"""),-1.0786201759549239)</f>
        <v>-1.078620176</v>
      </c>
      <c r="W250" s="53">
        <f>IFERROR(__xludf.DUMMYFUNCTION("""COMPUTED_VALUE"""),0.2608808014812299)</f>
        <v>0.2608808015</v>
      </c>
      <c r="X250" s="53">
        <f>IFERROR(__xludf.DUMMYFUNCTION("""COMPUTED_VALUE"""),0.16707711363630323)</f>
        <v>0.1670771136</v>
      </c>
      <c r="Y250" s="53">
        <f>IFERROR(__xludf.DUMMYFUNCTION("""COMPUTED_VALUE"""),-0.11887190477991126)</f>
        <v>-0.1188719048</v>
      </c>
      <c r="Z250" s="53">
        <f>IFERROR(__xludf.DUMMYFUNCTION("""COMPUTED_VALUE"""),0.37089925572797316)</f>
        <v>0.3708992557</v>
      </c>
      <c r="AA250" t="str">
        <f>IFERROR(__xludf.DUMMYFUNCTION("REGEXREPLACE(REGEXREPLACE(REGEXREPLACE(REGEXREPLACE(REGEXREPLACE(REGEXREPLACE(E250,"","",),IF(Projections!$U$3="""",""PG"",),),IF(Projections!$V$3="""",""SG"",),),IF(Projections!$W$3="""",""SF"",),),IF(Projections!$X$3="""",""PF"",),),IF(Projections!$Y$3="&amp;""""",""C"",),)"),"SF")</f>
        <v>SF</v>
      </c>
    </row>
    <row r="251">
      <c r="B251">
        <f>IFERROR(__xludf.DUMMYFUNCTION("""COMPUTED_VALUE"""),246.0)</f>
        <v>246</v>
      </c>
      <c r="C251" t="str">
        <f>IFERROR(__xludf.DUMMYFUNCTION("""COMPUTED_VALUE"""),"Reggie Jackson")</f>
        <v>Reggie Jackson</v>
      </c>
      <c r="D251">
        <f>IFERROR(__xludf.DUMMYFUNCTION("""COMPUTED_VALUE"""),69.0)</f>
        <v>69</v>
      </c>
      <c r="E251" t="str">
        <f>IFERROR(__xludf.DUMMYFUNCTION("""COMPUTED_VALUE"""),"PG")</f>
        <v>PG</v>
      </c>
      <c r="F251" s="53">
        <f>IFERROR(__xludf.DUMMYFUNCTION("""COMPUTED_VALUE"""),-6.496614352269944)</f>
        <v>-6.496614352</v>
      </c>
      <c r="G251" s="53">
        <f>IFERROR(__xludf.DUMMYFUNCTION("""COMPUTED_VALUE"""),-3.9523079618864623)</f>
        <v>-3.952307962</v>
      </c>
      <c r="H251" s="53">
        <f>IFERROR(__xludf.DUMMYFUNCTION("""COMPUTED_VALUE"""),2.5443063903834817)</f>
        <v>2.54430639</v>
      </c>
      <c r="I251" s="53">
        <f>IFERROR(__xludf.DUMMYFUNCTION("""COMPUTED_VALUE"""),10.5)</f>
        <v>10.5</v>
      </c>
      <c r="J251" s="53">
        <f>IFERROR(__xludf.DUMMYFUNCTION("""COMPUTED_VALUE"""),1.4)</f>
        <v>1.4</v>
      </c>
      <c r="K251" s="53">
        <f>IFERROR(__xludf.DUMMYFUNCTION("""COMPUTED_VALUE"""),2.2)</f>
        <v>2.2</v>
      </c>
      <c r="L251" s="53">
        <f>IFERROR(__xludf.DUMMYFUNCTION("""COMPUTED_VALUE"""),3.2)</f>
        <v>3.2</v>
      </c>
      <c r="M251" s="53">
        <f>IFERROR(__xludf.DUMMYFUNCTION("""COMPUTED_VALUE"""),0.6)</f>
        <v>0.6</v>
      </c>
      <c r="N251" s="53">
        <f>IFERROR(__xludf.DUMMYFUNCTION("""COMPUTED_VALUE"""),0.1)</f>
        <v>0.1</v>
      </c>
      <c r="O251" s="53">
        <f>IFERROR(__xludf.DUMMYFUNCTION("""COMPUTED_VALUE"""),40.0)</f>
        <v>40</v>
      </c>
      <c r="P251" s="53">
        <f>IFERROR(__xludf.DUMMYFUNCTION("""COMPUTED_VALUE"""),84.61538461538461)</f>
        <v>84.61538462</v>
      </c>
      <c r="Q251" s="53">
        <f>IFERROR(__xludf.DUMMYFUNCTION("""COMPUTED_VALUE"""),1.5)</f>
        <v>1.5</v>
      </c>
      <c r="R251" s="53">
        <f>IFERROR(__xludf.DUMMYFUNCTION("""COMPUTED_VALUE"""),-1.1386765536493952)</f>
        <v>-1.138676554</v>
      </c>
      <c r="S251" s="53">
        <f>IFERROR(__xludf.DUMMYFUNCTION("""COMPUTED_VALUE"""),-0.21215750987599089)</f>
        <v>-0.2121575099</v>
      </c>
      <c r="T251" s="53">
        <f>IFERROR(__xludf.DUMMYFUNCTION("""COMPUTED_VALUE"""),-1.6288480404563284)</f>
        <v>-1.62884804</v>
      </c>
      <c r="U251" s="53">
        <f>IFERROR(__xludf.DUMMYFUNCTION("""COMPUTED_VALUE"""),-0.32845584569414765)</f>
        <v>-0.3284558457</v>
      </c>
      <c r="V251" s="53">
        <f>IFERROR(__xludf.DUMMYFUNCTION("""COMPUTED_VALUE"""),-0.860570275155411)</f>
        <v>-0.8605702752</v>
      </c>
      <c r="W251" s="53">
        <f>IFERROR(__xludf.DUMMYFUNCTION("""COMPUTED_VALUE"""),-0.7896459158928509)</f>
        <v>-0.7896459159</v>
      </c>
      <c r="X251" s="53">
        <f>IFERROR(__xludf.DUMMYFUNCTION("""COMPUTED_VALUE"""),-0.9587548914293174)</f>
        <v>-0.9587548914</v>
      </c>
      <c r="Y251" s="53">
        <f>IFERROR(__xludf.DUMMYFUNCTION("""COMPUTED_VALUE"""),0.18237755673578657)</f>
        <v>0.1823775567</v>
      </c>
      <c r="Z251" s="53">
        <f>IFERROR(__xludf.DUMMYFUNCTION("""COMPUTED_VALUE"""),0.1535754730748638)</f>
        <v>0.1535754731</v>
      </c>
      <c r="AA251" t="str">
        <f>IFERROR(__xludf.DUMMYFUNCTION("REGEXREPLACE(REGEXREPLACE(REGEXREPLACE(REGEXREPLACE(REGEXREPLACE(REGEXREPLACE(E251,"","",),IF(Projections!$U$3="""",""PG"",),),IF(Projections!$V$3="""",""SG"",),),IF(Projections!$W$3="""",""SF"",),),IF(Projections!$X$3="""",""PF"",),),IF(Projections!$Y$3="&amp;""""",""C"",),)"),"PG")</f>
        <v>PG</v>
      </c>
    </row>
    <row r="252">
      <c r="B252">
        <f>IFERROR(__xludf.DUMMYFUNCTION("""COMPUTED_VALUE"""),242.0)</f>
        <v>242</v>
      </c>
      <c r="C252" t="str">
        <f>IFERROR(__xludf.DUMMYFUNCTION("""COMPUTED_VALUE"""),"Nassir Little")</f>
        <v>Nassir Little</v>
      </c>
      <c r="D252">
        <f>IFERROR(__xludf.DUMMYFUNCTION("""COMPUTED_VALUE"""),58.0)</f>
        <v>58</v>
      </c>
      <c r="E252" t="str">
        <f>IFERROR(__xludf.DUMMYFUNCTION("""COMPUTED_VALUE"""),"SF,PF")</f>
        <v>SF,PF</v>
      </c>
      <c r="F252" s="53">
        <f>IFERROR(__xludf.DUMMYFUNCTION("""COMPUTED_VALUE"""),-6.397591242210698)</f>
        <v>-6.397591242</v>
      </c>
      <c r="G252" s="53">
        <f>IFERROR(__xludf.DUMMYFUNCTION("""COMPUTED_VALUE"""),-3.993784374254031)</f>
        <v>-3.993784374</v>
      </c>
      <c r="H252" s="53">
        <f>IFERROR(__xludf.DUMMYFUNCTION("""COMPUTED_VALUE"""),2.403806867956667)</f>
        <v>2.403806868</v>
      </c>
      <c r="I252" s="53">
        <f>IFERROR(__xludf.DUMMYFUNCTION("""COMPUTED_VALUE"""),8.3)</f>
        <v>8.3</v>
      </c>
      <c r="J252" s="53">
        <f>IFERROR(__xludf.DUMMYFUNCTION("""COMPUTED_VALUE"""),1.2)</f>
        <v>1.2</v>
      </c>
      <c r="K252" s="53">
        <f>IFERROR(__xludf.DUMMYFUNCTION("""COMPUTED_VALUE"""),4.1)</f>
        <v>4.1</v>
      </c>
      <c r="L252" s="53">
        <f>IFERROR(__xludf.DUMMYFUNCTION("""COMPUTED_VALUE"""),1.1)</f>
        <v>1.1</v>
      </c>
      <c r="M252" s="53">
        <f>IFERROR(__xludf.DUMMYFUNCTION("""COMPUTED_VALUE"""),0.5)</f>
        <v>0.5</v>
      </c>
      <c r="N252" s="53">
        <f>IFERROR(__xludf.DUMMYFUNCTION("""COMPUTED_VALUE"""),0.6)</f>
        <v>0.6</v>
      </c>
      <c r="O252" s="53">
        <f>IFERROR(__xludf.DUMMYFUNCTION("""COMPUTED_VALUE"""),44.776119402985074)</f>
        <v>44.7761194</v>
      </c>
      <c r="P252" s="53">
        <f>IFERROR(__xludf.DUMMYFUNCTION("""COMPUTED_VALUE"""),73.33333333333334)</f>
        <v>73.33333333</v>
      </c>
      <c r="Q252" s="53">
        <f>IFERROR(__xludf.DUMMYFUNCTION("""COMPUTED_VALUE"""),0.8)</f>
        <v>0.8</v>
      </c>
      <c r="R252" s="53">
        <f>IFERROR(__xludf.DUMMYFUNCTION("""COMPUTED_VALUE"""),-1.509434582958029)</f>
        <v>-1.509434583</v>
      </c>
      <c r="S252" s="53">
        <f>IFERROR(__xludf.DUMMYFUNCTION("""COMPUTED_VALUE"""),-0.38558326726780967)</f>
        <v>-0.3855832673</v>
      </c>
      <c r="T252" s="53">
        <f>IFERROR(__xludf.DUMMYFUNCTION("""COMPUTED_VALUE"""),-0.8343560131928446)</f>
        <v>-0.8343560132</v>
      </c>
      <c r="U252" s="53">
        <f>IFERROR(__xludf.DUMMYFUNCTION("""COMPUTED_VALUE"""),-1.3995075164359327)</f>
        <v>-1.399507516</v>
      </c>
      <c r="V252" s="53">
        <f>IFERROR(__xludf.DUMMYFUNCTION("""COMPUTED_VALUE"""),-1.0786201759549239)</f>
        <v>-1.078620176</v>
      </c>
      <c r="W252" s="53">
        <f>IFERROR(__xludf.DUMMYFUNCTION("""COMPUTED_VALUE"""),-0.13306671753405044)</f>
        <v>-0.1330667175</v>
      </c>
      <c r="X252" s="53">
        <f>IFERROR(__xludf.DUMMYFUNCTION("""COMPUTED_VALUE"""),-0.3227289679054165)</f>
        <v>-0.3227289679</v>
      </c>
      <c r="Y252" s="53">
        <f>IFERROR(__xludf.DUMMYFUNCTION("""COMPUTED_VALUE"""),-0.21082097169102695)</f>
        <v>-0.2108209717</v>
      </c>
      <c r="Z252" s="53">
        <f>IFERROR(__xludf.DUMMYFUNCTION("""COMPUTED_VALUE"""),0.37089925572797316)</f>
        <v>0.3708992557</v>
      </c>
      <c r="AA252" t="str">
        <f>IFERROR(__xludf.DUMMYFUNCTION("REGEXREPLACE(REGEXREPLACE(REGEXREPLACE(REGEXREPLACE(REGEXREPLACE(REGEXREPLACE(E252,"","",),IF(Projections!$U$3="""",""PG"",),),IF(Projections!$V$3="""",""SG"",),),IF(Projections!$W$3="""",""SF"",),),IF(Projections!$X$3="""",""PF"",),),IF(Projections!$Y$3="&amp;""""",""C"",),)"),"SFPF")</f>
        <v>SFPF</v>
      </c>
    </row>
    <row r="253">
      <c r="B253">
        <f>IFERROR(__xludf.DUMMYFUNCTION("""COMPUTED_VALUE"""),238.0)</f>
        <v>238</v>
      </c>
      <c r="C253" t="str">
        <f>IFERROR(__xludf.DUMMYFUNCTION("""COMPUTED_VALUE"""),"Christian Wood")</f>
        <v>Christian Wood</v>
      </c>
      <c r="D253">
        <f>IFERROR(__xludf.DUMMYFUNCTION("""COMPUTED_VALUE"""),69.0)</f>
        <v>69</v>
      </c>
      <c r="E253" t="str">
        <f>IFERROR(__xludf.DUMMYFUNCTION("""COMPUTED_VALUE"""),"PF")</f>
        <v>PF</v>
      </c>
      <c r="F253" s="53">
        <f>IFERROR(__xludf.DUMMYFUNCTION("""COMPUTED_VALUE"""),-6.361659811063627)</f>
        <v>-6.361659811</v>
      </c>
      <c r="G253" s="53">
        <f>IFERROR(__xludf.DUMMYFUNCTION("""COMPUTED_VALUE"""),-4.028513270752909)</f>
        <v>-4.028513271</v>
      </c>
      <c r="H253" s="53">
        <f>IFERROR(__xludf.DUMMYFUNCTION("""COMPUTED_VALUE"""),2.333146540310718)</f>
        <v>2.33314654</v>
      </c>
      <c r="I253" s="53">
        <f>IFERROR(__xludf.DUMMYFUNCTION("""COMPUTED_VALUE"""),9.8)</f>
        <v>9.8</v>
      </c>
      <c r="J253" s="53">
        <f>IFERROR(__xludf.DUMMYFUNCTION("""COMPUTED_VALUE"""),1.0)</f>
        <v>1</v>
      </c>
      <c r="K253" s="53">
        <f>IFERROR(__xludf.DUMMYFUNCTION("""COMPUTED_VALUE"""),5.0)</f>
        <v>5</v>
      </c>
      <c r="L253" s="53">
        <f>IFERROR(__xludf.DUMMYFUNCTION("""COMPUTED_VALUE"""),1.2)</f>
        <v>1.2</v>
      </c>
      <c r="M253" s="53">
        <f>IFERROR(__xludf.DUMMYFUNCTION("""COMPUTED_VALUE"""),0.4)</f>
        <v>0.4</v>
      </c>
      <c r="N253" s="53">
        <f>IFERROR(__xludf.DUMMYFUNCTION("""COMPUTED_VALUE"""),0.6)</f>
        <v>0.6</v>
      </c>
      <c r="O253" s="53">
        <f>IFERROR(__xludf.DUMMYFUNCTION("""COMPUTED_VALUE"""),50.0)</f>
        <v>50</v>
      </c>
      <c r="P253" s="53">
        <f>IFERROR(__xludf.DUMMYFUNCTION("""COMPUTED_VALUE"""),69.23076923076923)</f>
        <v>69.23076923</v>
      </c>
      <c r="Q253" s="53">
        <f>IFERROR(__xludf.DUMMYFUNCTION("""COMPUTED_VALUE"""),1.1)</f>
        <v>1.1</v>
      </c>
      <c r="R253" s="53">
        <f>IFERROR(__xludf.DUMMYFUNCTION("""COMPUTED_VALUE"""),-1.256645017520324)</f>
        <v>-1.256645018</v>
      </c>
      <c r="S253" s="53">
        <f>IFERROR(__xludf.DUMMYFUNCTION("""COMPUTED_VALUE"""),-0.5590090246596284)</f>
        <v>-0.5590090247</v>
      </c>
      <c r="T253" s="53">
        <f>IFERROR(__xludf.DUMMYFUNCTION("""COMPUTED_VALUE"""),-0.45801768448908886)</f>
        <v>-0.4580176845</v>
      </c>
      <c r="U253" s="53">
        <f>IFERROR(__xludf.DUMMYFUNCTION("""COMPUTED_VALUE"""),-1.3485050559244194)</f>
        <v>-1.348505056</v>
      </c>
      <c r="V253" s="53">
        <f>IFERROR(__xludf.DUMMYFUNCTION("""COMPUTED_VALUE"""),-1.2966700767544366)</f>
        <v>-1.296670077</v>
      </c>
      <c r="W253" s="53">
        <f>IFERROR(__xludf.DUMMYFUNCTION("""COMPUTED_VALUE"""),-0.13306671753405044)</f>
        <v>-0.1330667175</v>
      </c>
      <c r="X253" s="53">
        <f>IFERROR(__xludf.DUMMYFUNCTION("""COMPUTED_VALUE"""),0.02807709645747251)</f>
        <v>0.02807709646</v>
      </c>
      <c r="Y253" s="53">
        <f>IFERROR(__xludf.DUMMYFUNCTION("""COMPUTED_VALUE"""),-0.6309423379866366)</f>
        <v>-0.630942338</v>
      </c>
      <c r="Z253" s="53">
        <f>IFERROR(__xludf.DUMMYFUNCTION("""COMPUTED_VALUE"""),0.2777604917337834)</f>
        <v>0.2777604917</v>
      </c>
      <c r="AA253" t="str">
        <f>IFERROR(__xludf.DUMMYFUNCTION("REGEXREPLACE(REGEXREPLACE(REGEXREPLACE(REGEXREPLACE(REGEXREPLACE(REGEXREPLACE(E253,"","",),IF(Projections!$U$3="""",""PG"",),),IF(Projections!$V$3="""",""SG"",),),IF(Projections!$W$3="""",""SF"",),),IF(Projections!$X$3="""",""PF"",),),IF(Projections!$Y$3="&amp;""""",""C"",),)"),"PF")</f>
        <v>PF</v>
      </c>
    </row>
    <row r="254">
      <c r="B254">
        <f>IFERROR(__xludf.DUMMYFUNCTION("""COMPUTED_VALUE"""),259.0)</f>
        <v>259</v>
      </c>
      <c r="C254" t="str">
        <f>IFERROR(__xludf.DUMMYFUNCTION("""COMPUTED_VALUE"""),"Chuma Okeke")</f>
        <v>Chuma Okeke</v>
      </c>
      <c r="D254">
        <f>IFERROR(__xludf.DUMMYFUNCTION("""COMPUTED_VALUE"""),50.0)</f>
        <v>50</v>
      </c>
      <c r="E254" t="str">
        <f>IFERROR(__xludf.DUMMYFUNCTION("""COMPUTED_VALUE"""),"SF,PF")</f>
        <v>SF,PF</v>
      </c>
      <c r="F254" s="53">
        <f>IFERROR(__xludf.DUMMYFUNCTION("""COMPUTED_VALUE"""),-6.8531223928367115)</f>
        <v>-6.853122393</v>
      </c>
      <c r="G254" s="53">
        <f>IFERROR(__xludf.DUMMYFUNCTION("""COMPUTED_VALUE"""),-4.039579453298863)</f>
        <v>-4.039579453</v>
      </c>
      <c r="H254" s="53">
        <f>IFERROR(__xludf.DUMMYFUNCTION("""COMPUTED_VALUE"""),2.8135429395378484)</f>
        <v>2.81354294</v>
      </c>
      <c r="I254" s="53">
        <f>IFERROR(__xludf.DUMMYFUNCTION("""COMPUTED_VALUE"""),5.3)</f>
        <v>5.3</v>
      </c>
      <c r="J254" s="53">
        <f>IFERROR(__xludf.DUMMYFUNCTION("""COMPUTED_VALUE"""),1.0)</f>
        <v>1</v>
      </c>
      <c r="K254" s="53">
        <f>IFERROR(__xludf.DUMMYFUNCTION("""COMPUTED_VALUE"""),3.2)</f>
        <v>3.2</v>
      </c>
      <c r="L254" s="53">
        <f>IFERROR(__xludf.DUMMYFUNCTION("""COMPUTED_VALUE"""),1.1)</f>
        <v>1.1</v>
      </c>
      <c r="M254" s="53">
        <f>IFERROR(__xludf.DUMMYFUNCTION("""COMPUTED_VALUE"""),0.8)</f>
        <v>0.8</v>
      </c>
      <c r="N254" s="53">
        <f>IFERROR(__xludf.DUMMYFUNCTION("""COMPUTED_VALUE"""),0.4)</f>
        <v>0.4</v>
      </c>
      <c r="O254" s="53">
        <f>IFERROR(__xludf.DUMMYFUNCTION("""COMPUTED_VALUE"""),38.0)</f>
        <v>38</v>
      </c>
      <c r="P254" s="53">
        <f>IFERROR(__xludf.DUMMYFUNCTION("""COMPUTED_VALUE"""),83.33333333333334)</f>
        <v>83.33333333</v>
      </c>
      <c r="Q254" s="53">
        <f>IFERROR(__xludf.DUMMYFUNCTION("""COMPUTED_VALUE"""),0.5)</f>
        <v>0.5</v>
      </c>
      <c r="R254" s="53">
        <f>IFERROR(__xludf.DUMMYFUNCTION("""COMPUTED_VALUE"""),-2.0150137138334387)</f>
        <v>-2.015013714</v>
      </c>
      <c r="S254" s="53">
        <f>IFERROR(__xludf.DUMMYFUNCTION("""COMPUTED_VALUE"""),-0.5590090246596284)</f>
        <v>-0.5590090247</v>
      </c>
      <c r="T254" s="53">
        <f>IFERROR(__xludf.DUMMYFUNCTION("""COMPUTED_VALUE"""),-1.2106943418965999)</f>
        <v>-1.210694342</v>
      </c>
      <c r="U254" s="53">
        <f>IFERROR(__xludf.DUMMYFUNCTION("""COMPUTED_VALUE"""),-1.3995075164359327)</f>
        <v>-1.399507516</v>
      </c>
      <c r="V254" s="53">
        <f>IFERROR(__xludf.DUMMYFUNCTION("""COMPUTED_VALUE"""),-0.42447047355638534)</f>
        <v>-0.4244704736</v>
      </c>
      <c r="W254" s="53">
        <f>IFERROR(__xludf.DUMMYFUNCTION("""COMPUTED_VALUE"""),-0.39569839687757064)</f>
        <v>-0.3956983969</v>
      </c>
      <c r="X254" s="53">
        <f>IFERROR(__xludf.DUMMYFUNCTION("""COMPUTED_VALUE"""),-0.5792639486372296)</f>
        <v>-0.5792639486</v>
      </c>
      <c r="Y254" s="53">
        <f>IFERROR(__xludf.DUMMYFUNCTION("""COMPUTED_VALUE"""),0.0650262290423206)</f>
        <v>0.06502622904</v>
      </c>
      <c r="Z254" s="53">
        <f>IFERROR(__xludf.DUMMYFUNCTION("""COMPUTED_VALUE"""),0.4640380197221629)</f>
        <v>0.4640380197</v>
      </c>
      <c r="AA254" t="str">
        <f>IFERROR(__xludf.DUMMYFUNCTION("REGEXREPLACE(REGEXREPLACE(REGEXREPLACE(REGEXREPLACE(REGEXREPLACE(REGEXREPLACE(E254,"","",),IF(Projections!$U$3="""",""PG"",),),IF(Projections!$V$3="""",""SG"",),),IF(Projections!$W$3="""",""SF"",),),IF(Projections!$X$3="""",""PF"",),),IF(Projections!$Y$3="&amp;""""",""C"",),)"),"SFPF")</f>
        <v>SFPF</v>
      </c>
    </row>
    <row r="255">
      <c r="B255">
        <f>IFERROR(__xludf.DUMMYFUNCTION("""COMPUTED_VALUE"""),267.0)</f>
        <v>267</v>
      </c>
      <c r="C255" t="str">
        <f>IFERROR(__xludf.DUMMYFUNCTION("""COMPUTED_VALUE"""),"Dereck Lively II")</f>
        <v>Dereck Lively II</v>
      </c>
      <c r="D255">
        <f>IFERROR(__xludf.DUMMYFUNCTION("""COMPUTED_VALUE"""),50.0)</f>
        <v>50</v>
      </c>
      <c r="E255" t="str">
        <f>IFERROR(__xludf.DUMMYFUNCTION("""COMPUTED_VALUE"""),"C")</f>
        <v>C</v>
      </c>
      <c r="F255" s="53">
        <f>IFERROR(__xludf.DUMMYFUNCTION("""COMPUTED_VALUE"""),-7.156435798149133)</f>
        <v>-7.156435798</v>
      </c>
      <c r="G255" s="53">
        <f>IFERROR(__xludf.DUMMYFUNCTION("""COMPUTED_VALUE"""),-4.040471712141073)</f>
        <v>-4.040471712</v>
      </c>
      <c r="H255" s="53">
        <f>IFERROR(__xludf.DUMMYFUNCTION("""COMPUTED_VALUE"""),3.1159640860080593)</f>
        <v>3.115964086</v>
      </c>
      <c r="I255" s="53">
        <f>IFERROR(__xludf.DUMMYFUNCTION("""COMPUTED_VALUE"""),4.5)</f>
        <v>4.5</v>
      </c>
      <c r="J255" s="53">
        <f>IFERROR(__xludf.DUMMYFUNCTION("""COMPUTED_VALUE"""),0.0)</f>
        <v>0</v>
      </c>
      <c r="K255" s="53">
        <f>IFERROR(__xludf.DUMMYFUNCTION("""COMPUTED_VALUE"""),4.6)</f>
        <v>4.6</v>
      </c>
      <c r="L255" s="53">
        <f>IFERROR(__xludf.DUMMYFUNCTION("""COMPUTED_VALUE"""),0.9)</f>
        <v>0.9</v>
      </c>
      <c r="M255" s="53">
        <f>IFERROR(__xludf.DUMMYFUNCTION("""COMPUTED_VALUE"""),0.4)</f>
        <v>0.4</v>
      </c>
      <c r="N255" s="53">
        <f>IFERROR(__xludf.DUMMYFUNCTION("""COMPUTED_VALUE"""),0.9)</f>
        <v>0.9</v>
      </c>
      <c r="O255" s="53">
        <f>IFERROR(__xludf.DUMMYFUNCTION("""COMPUTED_VALUE"""),62.5)</f>
        <v>62.5</v>
      </c>
      <c r="P255" s="53">
        <f>IFERROR(__xludf.DUMMYFUNCTION("""COMPUTED_VALUE"""),62.5)</f>
        <v>62.5</v>
      </c>
      <c r="Q255" s="53">
        <f>IFERROR(__xludf.DUMMYFUNCTION("""COMPUTED_VALUE"""),0.5)</f>
        <v>0.5</v>
      </c>
      <c r="R255" s="53">
        <f>IFERROR(__xludf.DUMMYFUNCTION("""COMPUTED_VALUE"""),-2.1498348154002147)</f>
        <v>-2.149834815</v>
      </c>
      <c r="S255" s="53">
        <f>IFERROR(__xludf.DUMMYFUNCTION("""COMPUTED_VALUE"""),-1.4261378116187227)</f>
        <v>-1.426137812</v>
      </c>
      <c r="T255" s="53">
        <f>IFERROR(__xludf.DUMMYFUNCTION("""COMPUTED_VALUE"""),-0.6252791639129804)</f>
        <v>-0.6252791639</v>
      </c>
      <c r="U255" s="53">
        <f>IFERROR(__xludf.DUMMYFUNCTION("""COMPUTED_VALUE"""),-1.5015124374589601)</f>
        <v>-1.501512437</v>
      </c>
      <c r="V255" s="53">
        <f>IFERROR(__xludf.DUMMYFUNCTION("""COMPUTED_VALUE"""),-1.2966700767544366)</f>
        <v>-1.296670077</v>
      </c>
      <c r="W255" s="53">
        <f>IFERROR(__xludf.DUMMYFUNCTION("""COMPUTED_VALUE"""),0.2608808014812299)</f>
        <v>0.2608808015</v>
      </c>
      <c r="X255" s="53">
        <f>IFERROR(__xludf.DUMMYFUNCTION("""COMPUTED_VALUE"""),0.4123812557851274)</f>
        <v>0.4123812558</v>
      </c>
      <c r="Y255" s="53">
        <f>IFERROR(__xludf.DUMMYFUNCTION("""COMPUTED_VALUE"""),-0.32817229938449327)</f>
        <v>-0.3281722994</v>
      </c>
      <c r="Z255" s="53">
        <f>IFERROR(__xludf.DUMMYFUNCTION("""COMPUTED_VALUE"""),0.4640380197221629)</f>
        <v>0.4640380197</v>
      </c>
      <c r="AA255" t="str">
        <f>IFERROR(__xludf.DUMMYFUNCTION("REGEXREPLACE(REGEXREPLACE(REGEXREPLACE(REGEXREPLACE(REGEXREPLACE(REGEXREPLACE(E255,"","",),IF(Projections!$U$3="""",""PG"",),),IF(Projections!$V$3="""",""SG"",),),IF(Projections!$W$3="""",""SF"",),),IF(Projections!$X$3="""",""PF"",),),IF(Projections!$Y$3="&amp;""""",""C"",),)"),"C")</f>
        <v>C</v>
      </c>
    </row>
    <row r="256">
      <c r="B256">
        <f>IFERROR(__xludf.DUMMYFUNCTION("""COMPUTED_VALUE"""),266.0)</f>
        <v>266</v>
      </c>
      <c r="C256" t="str">
        <f>IFERROR(__xludf.DUMMYFUNCTION("""COMPUTED_VALUE"""),"Dyson Daniels")</f>
        <v>Dyson Daniels</v>
      </c>
      <c r="D256">
        <f>IFERROR(__xludf.DUMMYFUNCTION("""COMPUTED_VALUE"""),69.0)</f>
        <v>69</v>
      </c>
      <c r="E256" t="str">
        <f>IFERROR(__xludf.DUMMYFUNCTION("""COMPUTED_VALUE"""),"PG,SG")</f>
        <v>PG,SG</v>
      </c>
      <c r="F256" s="53">
        <f>IFERROR(__xludf.DUMMYFUNCTION("""COMPUTED_VALUE"""),-7.144035371198093)</f>
        <v>-7.144035371</v>
      </c>
      <c r="G256" s="53">
        <f>IFERROR(__xludf.DUMMYFUNCTION("""COMPUTED_VALUE"""),-4.0460970450652205)</f>
        <v>-4.046097045</v>
      </c>
      <c r="H256" s="53">
        <f>IFERROR(__xludf.DUMMYFUNCTION("""COMPUTED_VALUE"""),3.097938326132873)</f>
        <v>3.097938326</v>
      </c>
      <c r="I256" s="53">
        <f>IFERROR(__xludf.DUMMYFUNCTION("""COMPUTED_VALUE"""),4.1)</f>
        <v>4.1</v>
      </c>
      <c r="J256" s="53">
        <f>IFERROR(__xludf.DUMMYFUNCTION("""COMPUTED_VALUE"""),0.5)</f>
        <v>0.5</v>
      </c>
      <c r="K256" s="53">
        <f>IFERROR(__xludf.DUMMYFUNCTION("""COMPUTED_VALUE"""),3.4)</f>
        <v>3.4</v>
      </c>
      <c r="L256" s="53">
        <f>IFERROR(__xludf.DUMMYFUNCTION("""COMPUTED_VALUE"""),2.4)</f>
        <v>2.4</v>
      </c>
      <c r="M256" s="53">
        <f>IFERROR(__xludf.DUMMYFUNCTION("""COMPUTED_VALUE"""),0.8)</f>
        <v>0.8</v>
      </c>
      <c r="N256" s="53">
        <f>IFERROR(__xludf.DUMMYFUNCTION("""COMPUTED_VALUE"""),0.2)</f>
        <v>0.2</v>
      </c>
      <c r="O256" s="53">
        <f>IFERROR(__xludf.DUMMYFUNCTION("""COMPUTED_VALUE"""),42.10526315789474)</f>
        <v>42.10526316</v>
      </c>
      <c r="P256" s="53">
        <f>IFERROR(__xludf.DUMMYFUNCTION("""COMPUTED_VALUE"""),71.42857142857143)</f>
        <v>71.42857143</v>
      </c>
      <c r="Q256" s="53">
        <f>IFERROR(__xludf.DUMMYFUNCTION("""COMPUTED_VALUE"""),1.0)</f>
        <v>1</v>
      </c>
      <c r="R256" s="53">
        <f>IFERROR(__xludf.DUMMYFUNCTION("""COMPUTED_VALUE"""),-2.2172453661836027)</f>
        <v>-2.217245366</v>
      </c>
      <c r="S256" s="53">
        <f>IFERROR(__xludf.DUMMYFUNCTION("""COMPUTED_VALUE"""),-0.9925734181391757)</f>
        <v>-0.9925734181</v>
      </c>
      <c r="T256" s="53">
        <f>IFERROR(__xludf.DUMMYFUNCTION("""COMPUTED_VALUE"""),-1.1270636021846543)</f>
        <v>-1.127063602</v>
      </c>
      <c r="U256" s="53">
        <f>IFERROR(__xludf.DUMMYFUNCTION("""COMPUTED_VALUE"""),-0.7364755297862564)</f>
        <v>-0.7364755298</v>
      </c>
      <c r="V256" s="53">
        <f>IFERROR(__xludf.DUMMYFUNCTION("""COMPUTED_VALUE"""),-0.42447047355638534)</f>
        <v>-0.4244704736</v>
      </c>
      <c r="W256" s="53">
        <f>IFERROR(__xludf.DUMMYFUNCTION("""COMPUTED_VALUE"""),-0.6583300762210907)</f>
        <v>-0.6583300762</v>
      </c>
      <c r="X256" s="53">
        <f>IFERROR(__xludf.DUMMYFUNCTION("""COMPUTED_VALUE"""),-0.28441765640508404)</f>
        <v>-0.2844176564</v>
      </c>
      <c r="Y256" s="53">
        <f>IFERROR(__xludf.DUMMYFUNCTION("""COMPUTED_VALUE"""),-0.13157303517108632)</f>
        <v>-0.1315730352</v>
      </c>
      <c r="Z256" s="53">
        <f>IFERROR(__xludf.DUMMYFUNCTION("""COMPUTED_VALUE"""),0.30880674639851335)</f>
        <v>0.3088067464</v>
      </c>
      <c r="AA256" t="str">
        <f>IFERROR(__xludf.DUMMYFUNCTION("REGEXREPLACE(REGEXREPLACE(REGEXREPLACE(REGEXREPLACE(REGEXREPLACE(REGEXREPLACE(E256,"","",),IF(Projections!$U$3="""",""PG"",),),IF(Projections!$V$3="""",""SG"",),),IF(Projections!$W$3="""",""SF"",),),IF(Projections!$X$3="""",""PF"",),),IF(Projections!$Y$3="&amp;""""",""C"",),)"),"PGSG")</f>
        <v>PGSG</v>
      </c>
    </row>
    <row r="257">
      <c r="B257">
        <f>IFERROR(__xludf.DUMMYFUNCTION("""COMPUTED_VALUE"""),245.0)</f>
        <v>245</v>
      </c>
      <c r="C257" t="str">
        <f>IFERROR(__xludf.DUMMYFUNCTION("""COMPUTED_VALUE"""),"Keita Bates-Diop")</f>
        <v>Keita Bates-Diop</v>
      </c>
      <c r="D257">
        <f>IFERROR(__xludf.DUMMYFUNCTION("""COMPUTED_VALUE"""),69.0)</f>
        <v>69</v>
      </c>
      <c r="E257" t="str">
        <f>IFERROR(__xludf.DUMMYFUNCTION("""COMPUTED_VALUE"""),"SF,PF")</f>
        <v>SF,PF</v>
      </c>
      <c r="F257" s="53">
        <f>IFERROR(__xludf.DUMMYFUNCTION("""COMPUTED_VALUE"""),-6.470317607466147)</f>
        <v>-6.470317607</v>
      </c>
      <c r="G257" s="53">
        <f>IFERROR(__xludf.DUMMYFUNCTION("""COMPUTED_VALUE"""),-4.065544006583288)</f>
        <v>-4.065544007</v>
      </c>
      <c r="H257" s="53">
        <f>IFERROR(__xludf.DUMMYFUNCTION("""COMPUTED_VALUE"""),2.4047736008828595)</f>
        <v>2.404773601</v>
      </c>
      <c r="I257" s="53">
        <f>IFERROR(__xludf.DUMMYFUNCTION("""COMPUTED_VALUE"""),8.4)</f>
        <v>8.4</v>
      </c>
      <c r="J257" s="53">
        <f>IFERROR(__xludf.DUMMYFUNCTION("""COMPUTED_VALUE"""),0.6)</f>
        <v>0.6</v>
      </c>
      <c r="K257" s="53">
        <f>IFERROR(__xludf.DUMMYFUNCTION("""COMPUTED_VALUE"""),4.1)</f>
        <v>4.1</v>
      </c>
      <c r="L257" s="53">
        <f>IFERROR(__xludf.DUMMYFUNCTION("""COMPUTED_VALUE"""),1.2)</f>
        <v>1.2</v>
      </c>
      <c r="M257" s="53">
        <f>IFERROR(__xludf.DUMMYFUNCTION("""COMPUTED_VALUE"""),0.6)</f>
        <v>0.6</v>
      </c>
      <c r="N257" s="53">
        <f>IFERROR(__xludf.DUMMYFUNCTION("""COMPUTED_VALUE"""),0.3)</f>
        <v>0.3</v>
      </c>
      <c r="O257" s="53">
        <f>IFERROR(__xludf.DUMMYFUNCTION("""COMPUTED_VALUE"""),51.61290322580645)</f>
        <v>51.61290323</v>
      </c>
      <c r="P257" s="53">
        <f>IFERROR(__xludf.DUMMYFUNCTION("""COMPUTED_VALUE"""),77.77777777777777)</f>
        <v>77.77777778</v>
      </c>
      <c r="Q257" s="53">
        <f>IFERROR(__xludf.DUMMYFUNCTION("""COMPUTED_VALUE"""),0.9)</f>
        <v>0.9</v>
      </c>
      <c r="R257" s="53">
        <f>IFERROR(__xludf.DUMMYFUNCTION("""COMPUTED_VALUE"""),-1.492581945262182)</f>
        <v>-1.492581945</v>
      </c>
      <c r="S257" s="53">
        <f>IFERROR(__xludf.DUMMYFUNCTION("""COMPUTED_VALUE"""),-0.9058605394432663)</f>
        <v>-0.9058605394</v>
      </c>
      <c r="T257" s="53">
        <f>IFERROR(__xludf.DUMMYFUNCTION("""COMPUTED_VALUE"""),-0.8343560131928446)</f>
        <v>-0.8343560132</v>
      </c>
      <c r="U257" s="53">
        <f>IFERROR(__xludf.DUMMYFUNCTION("""COMPUTED_VALUE"""),-1.3485050559244194)</f>
        <v>-1.348505056</v>
      </c>
      <c r="V257" s="53">
        <f>IFERROR(__xludf.DUMMYFUNCTION("""COMPUTED_VALUE"""),-0.860570275155411)</f>
        <v>-0.8605702752</v>
      </c>
      <c r="W257" s="53">
        <f>IFERROR(__xludf.DUMMYFUNCTION("""COMPUTED_VALUE"""),-0.5270142365493308)</f>
        <v>-0.5270142365</v>
      </c>
      <c r="X257" s="53">
        <f>IFERROR(__xludf.DUMMYFUNCTION("""COMPUTED_VALUE"""),0.12475478835633198)</f>
        <v>0.1247547884</v>
      </c>
      <c r="Y257" s="53">
        <f>IFERROR(__xludf.DUMMYFUNCTION("""COMPUTED_VALUE"""),-0.053845675737591164)</f>
        <v>-0.05384567574</v>
      </c>
      <c r="Z257" s="53">
        <f>IFERROR(__xludf.DUMMYFUNCTION("""COMPUTED_VALUE"""),0.33985300106324323)</f>
        <v>0.3398530011</v>
      </c>
      <c r="AA257" t="str">
        <f>IFERROR(__xludf.DUMMYFUNCTION("REGEXREPLACE(REGEXREPLACE(REGEXREPLACE(REGEXREPLACE(REGEXREPLACE(REGEXREPLACE(E257,"","",),IF(Projections!$U$3="""",""PG"",),),IF(Projections!$V$3="""",""SG"",),),IF(Projections!$W$3="""",""SF"",),),IF(Projections!$X$3="""",""PF"",),),IF(Projections!$Y$3="&amp;""""",""C"",),)"),"SFPF")</f>
        <v>SFPF</v>
      </c>
    </row>
    <row r="258">
      <c r="B258">
        <f>IFERROR(__xludf.DUMMYFUNCTION("""COMPUTED_VALUE"""),249.0)</f>
        <v>249</v>
      </c>
      <c r="C258" t="str">
        <f>IFERROR(__xludf.DUMMYFUNCTION("""COMPUTED_VALUE"""),"Jaden Springer")</f>
        <v>Jaden Springer</v>
      </c>
      <c r="D258">
        <f>IFERROR(__xludf.DUMMYFUNCTION("""COMPUTED_VALUE"""),58.0)</f>
        <v>58</v>
      </c>
      <c r="E258" t="str">
        <f>IFERROR(__xludf.DUMMYFUNCTION("""COMPUTED_VALUE"""),"PG,SG")</f>
        <v>PG,SG</v>
      </c>
      <c r="F258" s="53">
        <f>IFERROR(__xludf.DUMMYFUNCTION("""COMPUTED_VALUE"""),-6.604193269511994)</f>
        <v>-6.60419327</v>
      </c>
      <c r="G258" s="53">
        <f>IFERROR(__xludf.DUMMYFUNCTION("""COMPUTED_VALUE"""),-4.0827055203816975)</f>
        <v>-4.08270552</v>
      </c>
      <c r="H258" s="53">
        <f>IFERROR(__xludf.DUMMYFUNCTION("""COMPUTED_VALUE"""),2.521487749130296)</f>
        <v>2.521487749</v>
      </c>
      <c r="I258" s="53">
        <f>IFERROR(__xludf.DUMMYFUNCTION("""COMPUTED_VALUE"""),5.8)</f>
        <v>5.8</v>
      </c>
      <c r="J258" s="53">
        <f>IFERROR(__xludf.DUMMYFUNCTION("""COMPUTED_VALUE"""),0.3)</f>
        <v>0.3</v>
      </c>
      <c r="K258" s="53">
        <f>IFERROR(__xludf.DUMMYFUNCTION("""COMPUTED_VALUE"""),2.1)</f>
        <v>2.1</v>
      </c>
      <c r="L258" s="53">
        <f>IFERROR(__xludf.DUMMYFUNCTION("""COMPUTED_VALUE"""),1.1)</f>
        <v>1.1</v>
      </c>
      <c r="M258" s="53">
        <f>IFERROR(__xludf.DUMMYFUNCTION("""COMPUTED_VALUE"""),0.9)</f>
        <v>0.9</v>
      </c>
      <c r="N258" s="53">
        <f>IFERROR(__xludf.DUMMYFUNCTION("""COMPUTED_VALUE"""),0.7)</f>
        <v>0.7</v>
      </c>
      <c r="O258" s="53">
        <f>IFERROR(__xludf.DUMMYFUNCTION("""COMPUTED_VALUE"""),51.06382978723404)</f>
        <v>51.06382979</v>
      </c>
      <c r="P258" s="53">
        <f>IFERROR(__xludf.DUMMYFUNCTION("""COMPUTED_VALUE"""),72.72727272727273)</f>
        <v>72.72727273</v>
      </c>
      <c r="Q258" s="53">
        <f>IFERROR(__xludf.DUMMYFUNCTION("""COMPUTED_VALUE"""),0.5)</f>
        <v>0.5</v>
      </c>
      <c r="R258" s="53">
        <f>IFERROR(__xludf.DUMMYFUNCTION("""COMPUTED_VALUE"""),-1.9307505253542037)</f>
        <v>-1.930750525</v>
      </c>
      <c r="S258" s="53">
        <f>IFERROR(__xludf.DUMMYFUNCTION("""COMPUTED_VALUE"""),-1.1659991755309944)</f>
        <v>-1.165999176</v>
      </c>
      <c r="T258" s="53">
        <f>IFERROR(__xludf.DUMMYFUNCTION("""COMPUTED_VALUE"""),-1.6706634103123013)</f>
        <v>-1.67066341</v>
      </c>
      <c r="U258" s="53">
        <f>IFERROR(__xludf.DUMMYFUNCTION("""COMPUTED_VALUE"""),-1.3995075164359327)</f>
        <v>-1.399507516</v>
      </c>
      <c r="V258" s="53">
        <f>IFERROR(__xludf.DUMMYFUNCTION("""COMPUTED_VALUE"""),-0.2064205727568726)</f>
        <v>-0.2064205728</v>
      </c>
      <c r="W258" s="53">
        <f>IFERROR(__xludf.DUMMYFUNCTION("""COMPUTED_VALUE"""),-0.0017508778622903794)</f>
        <v>-0.001750877862</v>
      </c>
      <c r="X258" s="53">
        <f>IFERROR(__xludf.DUMMYFUNCTION("""COMPUTED_VALUE"""),0.06879501622558813)</f>
        <v>0.06879501623</v>
      </c>
      <c r="Y258" s="53">
        <f>IFERROR(__xludf.DUMMYFUNCTION("""COMPUTED_VALUE"""),-0.1711970034310567)</f>
        <v>-0.1711970034</v>
      </c>
      <c r="Z258" s="53">
        <f>IFERROR(__xludf.DUMMYFUNCTION("""COMPUTED_VALUE"""),0.4640380197221629)</f>
        <v>0.4640380197</v>
      </c>
      <c r="AA258" t="str">
        <f>IFERROR(__xludf.DUMMYFUNCTION("REGEXREPLACE(REGEXREPLACE(REGEXREPLACE(REGEXREPLACE(REGEXREPLACE(REGEXREPLACE(E258,"","",),IF(Projections!$U$3="""",""PG"",),),IF(Projections!$V$3="""",""SG"",),),IF(Projections!$W$3="""",""SF"",),),IF(Projections!$X$3="""",""PF"",),),IF(Projections!$Y$3="&amp;""""",""C"",),)"),"PGSG")</f>
        <v>PGSG</v>
      </c>
    </row>
    <row r="259">
      <c r="B259">
        <f>IFERROR(__xludf.DUMMYFUNCTION("""COMPUTED_VALUE"""),254.0)</f>
        <v>254</v>
      </c>
      <c r="C259" t="str">
        <f>IFERROR(__xludf.DUMMYFUNCTION("""COMPUTED_VALUE"""),"AJ Griffin")</f>
        <v>AJ Griffin</v>
      </c>
      <c r="D259">
        <f>IFERROR(__xludf.DUMMYFUNCTION("""COMPUTED_VALUE"""),72.0)</f>
        <v>72</v>
      </c>
      <c r="E259" t="str">
        <f>IFERROR(__xludf.DUMMYFUNCTION("""COMPUTED_VALUE"""),"SG,SF")</f>
        <v>SG,SF</v>
      </c>
      <c r="F259" s="53">
        <f>IFERROR(__xludf.DUMMYFUNCTION("""COMPUTED_VALUE"""),-6.702780105910719)</f>
        <v>-6.702780106</v>
      </c>
      <c r="G259" s="53">
        <f>IFERROR(__xludf.DUMMYFUNCTION("""COMPUTED_VALUE"""),-4.102791213527704)</f>
        <v>-4.102791214</v>
      </c>
      <c r="H259" s="53">
        <f>IFERROR(__xludf.DUMMYFUNCTION("""COMPUTED_VALUE"""),2.5999888923830152)</f>
        <v>2.599988892</v>
      </c>
      <c r="I259" s="53">
        <f>IFERROR(__xludf.DUMMYFUNCTION("""COMPUTED_VALUE"""),9.3)</f>
        <v>9.3</v>
      </c>
      <c r="J259" s="53">
        <f>IFERROR(__xludf.DUMMYFUNCTION("""COMPUTED_VALUE"""),1.5)</f>
        <v>1.5</v>
      </c>
      <c r="K259" s="53">
        <f>IFERROR(__xludf.DUMMYFUNCTION("""COMPUTED_VALUE"""),2.2)</f>
        <v>2.2</v>
      </c>
      <c r="L259" s="53">
        <f>IFERROR(__xludf.DUMMYFUNCTION("""COMPUTED_VALUE"""),1.1)</f>
        <v>1.1</v>
      </c>
      <c r="M259" s="53">
        <f>IFERROR(__xludf.DUMMYFUNCTION("""COMPUTED_VALUE"""),0.6)</f>
        <v>0.6</v>
      </c>
      <c r="N259" s="53">
        <f>IFERROR(__xludf.DUMMYFUNCTION("""COMPUTED_VALUE"""),0.2)</f>
        <v>0.2</v>
      </c>
      <c r="O259" s="53">
        <f>IFERROR(__xludf.DUMMYFUNCTION("""COMPUTED_VALUE"""),46.15384615384615)</f>
        <v>46.15384615</v>
      </c>
      <c r="P259" s="53">
        <f>IFERROR(__xludf.DUMMYFUNCTION("""COMPUTED_VALUE"""),85.71428571428572)</f>
        <v>85.71428571</v>
      </c>
      <c r="Q259" s="53">
        <f>IFERROR(__xludf.DUMMYFUNCTION("""COMPUTED_VALUE"""),0.6)</f>
        <v>0.6</v>
      </c>
      <c r="R259" s="53">
        <f>IFERROR(__xludf.DUMMYFUNCTION("""COMPUTED_VALUE"""),-1.340908205999559)</f>
        <v>-1.340908206</v>
      </c>
      <c r="S259" s="53">
        <f>IFERROR(__xludf.DUMMYFUNCTION("""COMPUTED_VALUE"""),-0.12544463118008137)</f>
        <v>-0.1254446312</v>
      </c>
      <c r="T259" s="53">
        <f>IFERROR(__xludf.DUMMYFUNCTION("""COMPUTED_VALUE"""),-1.6288480404563284)</f>
        <v>-1.62884804</v>
      </c>
      <c r="U259" s="53">
        <f>IFERROR(__xludf.DUMMYFUNCTION("""COMPUTED_VALUE"""),-1.3995075164359327)</f>
        <v>-1.399507516</v>
      </c>
      <c r="V259" s="53">
        <f>IFERROR(__xludf.DUMMYFUNCTION("""COMPUTED_VALUE"""),-0.860570275155411)</f>
        <v>-0.8605702752</v>
      </c>
      <c r="W259" s="53">
        <f>IFERROR(__xludf.DUMMYFUNCTION("""COMPUTED_VALUE"""),-0.6583300762210907)</f>
        <v>-0.6583300762</v>
      </c>
      <c r="X259" s="53">
        <f>IFERROR(__xludf.DUMMYFUNCTION("""COMPUTED_VALUE"""),-0.26837360128652826)</f>
        <v>-0.2683736013</v>
      </c>
      <c r="Y259" s="53">
        <f>IFERROR(__xludf.DUMMYFUNCTION("""COMPUTED_VALUE"""),0.11735132769346612)</f>
        <v>0.1173513277</v>
      </c>
      <c r="Z259" s="53">
        <f>IFERROR(__xludf.DUMMYFUNCTION("""COMPUTED_VALUE"""),0.43299176505743303)</f>
        <v>0.4329917651</v>
      </c>
      <c r="AA259" t="str">
        <f>IFERROR(__xludf.DUMMYFUNCTION("REGEXREPLACE(REGEXREPLACE(REGEXREPLACE(REGEXREPLACE(REGEXREPLACE(REGEXREPLACE(E259,"","",),IF(Projections!$U$3="""",""PG"",),),IF(Projections!$V$3="""",""SG"",),),IF(Projections!$W$3="""",""SF"",),),IF(Projections!$X$3="""",""PF"",),),IF(Projections!$Y$3="&amp;""""",""C"",),)"),"SGSF")</f>
        <v>SGSF</v>
      </c>
    </row>
    <row r="260">
      <c r="B260">
        <f>IFERROR(__xludf.DUMMYFUNCTION("""COMPUTED_VALUE"""),256.0)</f>
        <v>256</v>
      </c>
      <c r="C260" t="str">
        <f>IFERROR(__xludf.DUMMYFUNCTION("""COMPUTED_VALUE"""),"Gradey Dick")</f>
        <v>Gradey Dick</v>
      </c>
      <c r="D260">
        <f>IFERROR(__xludf.DUMMYFUNCTION("""COMPUTED_VALUE"""),72.0)</f>
        <v>72</v>
      </c>
      <c r="E260" t="str">
        <f>IFERROR(__xludf.DUMMYFUNCTION("""COMPUTED_VALUE"""),"SG")</f>
        <v>SG</v>
      </c>
      <c r="F260" s="53">
        <f>IFERROR(__xludf.DUMMYFUNCTION("""COMPUTED_VALUE"""),-6.754111417793734)</f>
        <v>-6.754111418</v>
      </c>
      <c r="G260" s="53">
        <f>IFERROR(__xludf.DUMMYFUNCTION("""COMPUTED_VALUE"""),-4.123807797036139)</f>
        <v>-4.123807797</v>
      </c>
      <c r="H260" s="53">
        <f>IFERROR(__xludf.DUMMYFUNCTION("""COMPUTED_VALUE"""),2.630303620757595)</f>
        <v>2.630303621</v>
      </c>
      <c r="I260" s="53">
        <f>IFERROR(__xludf.DUMMYFUNCTION("""COMPUTED_VALUE"""),8.5)</f>
        <v>8.5</v>
      </c>
      <c r="J260" s="53">
        <f>IFERROR(__xludf.DUMMYFUNCTION("""COMPUTED_VALUE"""),2.0)</f>
        <v>2</v>
      </c>
      <c r="K260" s="53">
        <f>IFERROR(__xludf.DUMMYFUNCTION("""COMPUTED_VALUE"""),2.2)</f>
        <v>2.2</v>
      </c>
      <c r="L260" s="53">
        <f>IFERROR(__xludf.DUMMYFUNCTION("""COMPUTED_VALUE"""),1.2)</f>
        <v>1.2</v>
      </c>
      <c r="M260" s="53">
        <f>IFERROR(__xludf.DUMMYFUNCTION("""COMPUTED_VALUE"""),0.6)</f>
        <v>0.6</v>
      </c>
      <c r="N260" s="53">
        <f>IFERROR(__xludf.DUMMYFUNCTION("""COMPUTED_VALUE"""),0.1)</f>
        <v>0.1</v>
      </c>
      <c r="O260" s="53">
        <f>IFERROR(__xludf.DUMMYFUNCTION("""COMPUTED_VALUE"""),40.909090909090914)</f>
        <v>40.90909091</v>
      </c>
      <c r="P260" s="53">
        <f>IFERROR(__xludf.DUMMYFUNCTION("""COMPUTED_VALUE"""),84.61538461538461)</f>
        <v>84.61538462</v>
      </c>
      <c r="Q260" s="53">
        <f>IFERROR(__xludf.DUMMYFUNCTION("""COMPUTED_VALUE"""),0.6)</f>
        <v>0.6</v>
      </c>
      <c r="R260" s="53">
        <f>IFERROR(__xludf.DUMMYFUNCTION("""COMPUTED_VALUE"""),-1.4757293075663351)</f>
        <v>-1.475729308</v>
      </c>
      <c r="S260" s="53">
        <f>IFERROR(__xludf.DUMMYFUNCTION("""COMPUTED_VALUE"""),0.30811976229946575)</f>
        <v>0.3081197623</v>
      </c>
      <c r="T260" s="53">
        <f>IFERROR(__xludf.DUMMYFUNCTION("""COMPUTED_VALUE"""),-1.6288480404563284)</f>
        <v>-1.62884804</v>
      </c>
      <c r="U260" s="53">
        <f>IFERROR(__xludf.DUMMYFUNCTION("""COMPUTED_VALUE"""),-1.3485050559244194)</f>
        <v>-1.348505056</v>
      </c>
      <c r="V260" s="53">
        <f>IFERROR(__xludf.DUMMYFUNCTION("""COMPUTED_VALUE"""),-0.860570275155411)</f>
        <v>-0.8605702752</v>
      </c>
      <c r="W260" s="53">
        <f>IFERROR(__xludf.DUMMYFUNCTION("""COMPUTED_VALUE"""),-0.7896459158928509)</f>
        <v>-0.7896459159</v>
      </c>
      <c r="X260" s="53">
        <f>IFERROR(__xludf.DUMMYFUNCTION("""COMPUTED_VALUE"""),-0.5728463265898072)</f>
        <v>-0.5728463266</v>
      </c>
      <c r="Y260" s="53">
        <f>IFERROR(__xludf.DUMMYFUNCTION("""COMPUTED_VALUE"""),0.18237755673578657)</f>
        <v>0.1823775567</v>
      </c>
      <c r="Z260" s="53">
        <f>IFERROR(__xludf.DUMMYFUNCTION("""COMPUTED_VALUE"""),0.43299176505743303)</f>
        <v>0.4329917651</v>
      </c>
      <c r="AA260" t="str">
        <f>IFERROR(__xludf.DUMMYFUNCTION("REGEXREPLACE(REGEXREPLACE(REGEXREPLACE(REGEXREPLACE(REGEXREPLACE(REGEXREPLACE(E260,"","",),IF(Projections!$U$3="""",""PG"",),),IF(Projections!$V$3="""",""SG"",),),IF(Projections!$W$3="""",""SF"",),),IF(Projections!$X$3="""",""PF"",),),IF(Projections!$Y$3="&amp;""""",""C"",),)"),"SG")</f>
        <v>SG</v>
      </c>
    </row>
    <row r="261">
      <c r="B261">
        <f>IFERROR(__xludf.DUMMYFUNCTION("""COMPUTED_VALUE"""),237.0)</f>
        <v>237</v>
      </c>
      <c r="C261" t="str">
        <f>IFERROR(__xludf.DUMMYFUNCTION("""COMPUTED_VALUE"""),"Nickeil Alexander-Walker")</f>
        <v>Nickeil Alexander-Walker</v>
      </c>
      <c r="D261">
        <f>IFERROR(__xludf.DUMMYFUNCTION("""COMPUTED_VALUE"""),67.0)</f>
        <v>67</v>
      </c>
      <c r="E261" t="str">
        <f>IFERROR(__xludf.DUMMYFUNCTION("""COMPUTED_VALUE"""),"SG,SF")</f>
        <v>SG,SF</v>
      </c>
      <c r="F261" s="53">
        <f>IFERROR(__xludf.DUMMYFUNCTION("""COMPUTED_VALUE"""),-6.3222319354296355)</f>
        <v>-6.322231935</v>
      </c>
      <c r="G261" s="53">
        <f>IFERROR(__xludf.DUMMYFUNCTION("""COMPUTED_VALUE"""),-4.129912224188893)</f>
        <v>-4.129912224</v>
      </c>
      <c r="H261" s="53">
        <f>IFERROR(__xludf.DUMMYFUNCTION("""COMPUTED_VALUE"""),2.192319711240742)</f>
        <v>2.192319711</v>
      </c>
      <c r="I261" s="53">
        <f>IFERROR(__xludf.DUMMYFUNCTION("""COMPUTED_VALUE"""),9.6)</f>
        <v>9.6</v>
      </c>
      <c r="J261" s="53">
        <f>IFERROR(__xludf.DUMMYFUNCTION("""COMPUTED_VALUE"""),1.5)</f>
        <v>1.5</v>
      </c>
      <c r="K261" s="53">
        <f>IFERROR(__xludf.DUMMYFUNCTION("""COMPUTED_VALUE"""),2.6)</f>
        <v>2.6</v>
      </c>
      <c r="L261" s="53">
        <f>IFERROR(__xludf.DUMMYFUNCTION("""COMPUTED_VALUE"""),2.4)</f>
        <v>2.4</v>
      </c>
      <c r="M261" s="53">
        <f>IFERROR(__xludf.DUMMYFUNCTION("""COMPUTED_VALUE"""),0.7)</f>
        <v>0.7</v>
      </c>
      <c r="N261" s="53">
        <f>IFERROR(__xludf.DUMMYFUNCTION("""COMPUTED_VALUE"""),0.4)</f>
        <v>0.4</v>
      </c>
      <c r="O261" s="53">
        <f>IFERROR(__xludf.DUMMYFUNCTION("""COMPUTED_VALUE"""),39.32584269662921)</f>
        <v>39.3258427</v>
      </c>
      <c r="P261" s="53">
        <f>IFERROR(__xludf.DUMMYFUNCTION("""COMPUTED_VALUE"""),73.33333333333334)</f>
        <v>73.33333333</v>
      </c>
      <c r="Q261" s="53">
        <f>IFERROR(__xludf.DUMMYFUNCTION("""COMPUTED_VALUE"""),1.4)</f>
        <v>1.4</v>
      </c>
      <c r="R261" s="53">
        <f>IFERROR(__xludf.DUMMYFUNCTION("""COMPUTED_VALUE"""),-1.2903502929120183)</f>
        <v>-1.290350293</v>
      </c>
      <c r="S261" s="53">
        <f>IFERROR(__xludf.DUMMYFUNCTION("""COMPUTED_VALUE"""),-0.12544463118008137)</f>
        <v>-0.1254446312</v>
      </c>
      <c r="T261" s="53">
        <f>IFERROR(__xludf.DUMMYFUNCTION("""COMPUTED_VALUE"""),-1.461586561032437)</f>
        <v>-1.461586561</v>
      </c>
      <c r="U261" s="53">
        <f>IFERROR(__xludf.DUMMYFUNCTION("""COMPUTED_VALUE"""),-0.7364755297862564)</f>
        <v>-0.7364755298</v>
      </c>
      <c r="V261" s="53">
        <f>IFERROR(__xludf.DUMMYFUNCTION("""COMPUTED_VALUE"""),-0.6425203743558983)</f>
        <v>-0.6425203744</v>
      </c>
      <c r="W261" s="53">
        <f>IFERROR(__xludf.DUMMYFUNCTION("""COMPUTED_VALUE"""),-0.39569839687757064)</f>
        <v>-0.3956983969</v>
      </c>
      <c r="X261" s="53">
        <f>IFERROR(__xludf.DUMMYFUNCTION("""COMPUTED_VALUE"""),-0.9132237551256356)</f>
        <v>-0.9132237551</v>
      </c>
      <c r="Y261" s="53">
        <f>IFERROR(__xludf.DUMMYFUNCTION("""COMPUTED_VALUE"""),-0.21082097169102695)</f>
        <v>-0.2108209717</v>
      </c>
      <c r="Z261" s="53">
        <f>IFERROR(__xludf.DUMMYFUNCTION("""COMPUTED_VALUE"""),0.18462172773959373)</f>
        <v>0.1846217277</v>
      </c>
      <c r="AA261" t="str">
        <f>IFERROR(__xludf.DUMMYFUNCTION("REGEXREPLACE(REGEXREPLACE(REGEXREPLACE(REGEXREPLACE(REGEXREPLACE(REGEXREPLACE(E261,"","",),IF(Projections!$U$3="""",""PG"",),),IF(Projections!$V$3="""",""SG"",),),IF(Projections!$W$3="""",""SF"",),),IF(Projections!$X$3="""",""PF"",),),IF(Projections!$Y$3="&amp;""""",""C"",),)"),"SGSF")</f>
        <v>SGSF</v>
      </c>
    </row>
    <row r="262">
      <c r="B262">
        <f>IFERROR(__xludf.DUMMYFUNCTION("""COMPUTED_VALUE"""),253.0)</f>
        <v>253</v>
      </c>
      <c r="C262" t="str">
        <f>IFERROR(__xludf.DUMMYFUNCTION("""COMPUTED_VALUE"""),"Jalen McDaniels")</f>
        <v>Jalen McDaniels</v>
      </c>
      <c r="D262">
        <f>IFERROR(__xludf.DUMMYFUNCTION("""COMPUTED_VALUE"""),70.0)</f>
        <v>70</v>
      </c>
      <c r="E262" t="str">
        <f>IFERROR(__xludf.DUMMYFUNCTION("""COMPUTED_VALUE"""),"SF,PF")</f>
        <v>SF,PF</v>
      </c>
      <c r="F262" s="53">
        <f>IFERROR(__xludf.DUMMYFUNCTION("""COMPUTED_VALUE"""),-6.673281547439346)</f>
        <v>-6.673281547</v>
      </c>
      <c r="G262" s="53">
        <f>IFERROR(__xludf.DUMMYFUNCTION("""COMPUTED_VALUE"""),-4.158213511762094)</f>
        <v>-4.158213512</v>
      </c>
      <c r="H262" s="53">
        <f>IFERROR(__xludf.DUMMYFUNCTION("""COMPUTED_VALUE"""),2.5150680356772517)</f>
        <v>2.515068036</v>
      </c>
      <c r="I262" s="53">
        <f>IFERROR(__xludf.DUMMYFUNCTION("""COMPUTED_VALUE"""),7.1)</f>
        <v>7.1</v>
      </c>
      <c r="J262" s="53">
        <f>IFERROR(__xludf.DUMMYFUNCTION("""COMPUTED_VALUE"""),0.8)</f>
        <v>0.8</v>
      </c>
      <c r="K262" s="53">
        <f>IFERROR(__xludf.DUMMYFUNCTION("""COMPUTED_VALUE"""),3.3)</f>
        <v>3.3</v>
      </c>
      <c r="L262" s="53">
        <f>IFERROR(__xludf.DUMMYFUNCTION("""COMPUTED_VALUE"""),1.2)</f>
        <v>1.2</v>
      </c>
      <c r="M262" s="53">
        <f>IFERROR(__xludf.DUMMYFUNCTION("""COMPUTED_VALUE"""),0.7)</f>
        <v>0.7</v>
      </c>
      <c r="N262" s="53">
        <f>IFERROR(__xludf.DUMMYFUNCTION("""COMPUTED_VALUE"""),0.4)</f>
        <v>0.4</v>
      </c>
      <c r="O262" s="53">
        <f>IFERROR(__xludf.DUMMYFUNCTION("""COMPUTED_VALUE"""),45.614035087719294)</f>
        <v>45.61403509</v>
      </c>
      <c r="P262" s="53">
        <f>IFERROR(__xludf.DUMMYFUNCTION("""COMPUTED_VALUE"""),78.57142857142858)</f>
        <v>78.57142857</v>
      </c>
      <c r="Q262" s="53">
        <f>IFERROR(__xludf.DUMMYFUNCTION("""COMPUTED_VALUE"""),0.8)</f>
        <v>0.8</v>
      </c>
      <c r="R262" s="53">
        <f>IFERROR(__xludf.DUMMYFUNCTION("""COMPUTED_VALUE"""),-1.711666235308193)</f>
        <v>-1.711666235</v>
      </c>
      <c r="S262" s="53">
        <f>IFERROR(__xludf.DUMMYFUNCTION("""COMPUTED_VALUE"""),-0.7324347820514473)</f>
        <v>-0.7324347821</v>
      </c>
      <c r="T262" s="53">
        <f>IFERROR(__xludf.DUMMYFUNCTION("""COMPUTED_VALUE"""),-1.1688789720406272)</f>
        <v>-1.168878972</v>
      </c>
      <c r="U262" s="53">
        <f>IFERROR(__xludf.DUMMYFUNCTION("""COMPUTED_VALUE"""),-1.3485050559244194)</f>
        <v>-1.348505056</v>
      </c>
      <c r="V262" s="53">
        <f>IFERROR(__xludf.DUMMYFUNCTION("""COMPUTED_VALUE"""),-0.6425203743558983)</f>
        <v>-0.6425203744</v>
      </c>
      <c r="W262" s="53">
        <f>IFERROR(__xludf.DUMMYFUNCTION("""COMPUTED_VALUE"""),-0.39569839687757064)</f>
        <v>-0.3956983969</v>
      </c>
      <c r="X262" s="53">
        <f>IFERROR(__xludf.DUMMYFUNCTION("""COMPUTED_VALUE"""),-0.22685347876248496)</f>
        <v>-0.2268534788</v>
      </c>
      <c r="Y262" s="53">
        <f>IFERROR(__xludf.DUMMYFUNCTION("""COMPUTED_VALUE"""),-0.014221707477619961)</f>
        <v>-0.01422170748</v>
      </c>
      <c r="Z262" s="53">
        <f>IFERROR(__xludf.DUMMYFUNCTION("""COMPUTED_VALUE"""),0.37089925572797316)</f>
        <v>0.3708992557</v>
      </c>
      <c r="AA262" t="str">
        <f>IFERROR(__xludf.DUMMYFUNCTION("REGEXREPLACE(REGEXREPLACE(REGEXREPLACE(REGEXREPLACE(REGEXREPLACE(REGEXREPLACE(E262,"","",),IF(Projections!$U$3="""",""PG"",),),IF(Projections!$V$3="""",""SG"",),),IF(Projections!$W$3="""",""SF"",),),IF(Projections!$X$3="""",""PF"",),),IF(Projections!$Y$3="&amp;""""",""C"",),)"),"SFPF")</f>
        <v>SFPF</v>
      </c>
    </row>
    <row r="263">
      <c r="B263">
        <f>IFERROR(__xludf.DUMMYFUNCTION("""COMPUTED_VALUE"""),265.0)</f>
        <v>265</v>
      </c>
      <c r="C263" t="str">
        <f>IFERROR(__xludf.DUMMYFUNCTION("""COMPUTED_VALUE"""),"Troy Brown Jr.")</f>
        <v>Troy Brown Jr.</v>
      </c>
      <c r="D263">
        <f>IFERROR(__xludf.DUMMYFUNCTION("""COMPUTED_VALUE"""),60.0)</f>
        <v>60</v>
      </c>
      <c r="E263" t="str">
        <f>IFERROR(__xludf.DUMMYFUNCTION("""COMPUTED_VALUE"""),"SF,PF")</f>
        <v>SF,PF</v>
      </c>
      <c r="F263" s="53">
        <f>IFERROR(__xludf.DUMMYFUNCTION("""COMPUTED_VALUE"""),-7.094042427942186)</f>
        <v>-7.094042428</v>
      </c>
      <c r="G263" s="53">
        <f>IFERROR(__xludf.DUMMYFUNCTION("""COMPUTED_VALUE"""),-4.160654137984073)</f>
        <v>-4.160654138</v>
      </c>
      <c r="H263" s="53">
        <f>IFERROR(__xludf.DUMMYFUNCTION("""COMPUTED_VALUE"""),2.9333882899581125)</f>
        <v>2.93338829</v>
      </c>
      <c r="I263" s="53">
        <f>IFERROR(__xludf.DUMMYFUNCTION("""COMPUTED_VALUE"""),5.7)</f>
        <v>5.7</v>
      </c>
      <c r="J263" s="53">
        <f>IFERROR(__xludf.DUMMYFUNCTION("""COMPUTED_VALUE"""),1.1)</f>
        <v>1.1</v>
      </c>
      <c r="K263" s="53">
        <f>IFERROR(__xludf.DUMMYFUNCTION("""COMPUTED_VALUE"""),3.5)</f>
        <v>3.5</v>
      </c>
      <c r="L263" s="53">
        <f>IFERROR(__xludf.DUMMYFUNCTION("""COMPUTED_VALUE"""),1.1)</f>
        <v>1.1</v>
      </c>
      <c r="M263" s="53">
        <f>IFERROR(__xludf.DUMMYFUNCTION("""COMPUTED_VALUE"""),0.7)</f>
        <v>0.7</v>
      </c>
      <c r="N263" s="53">
        <f>IFERROR(__xludf.DUMMYFUNCTION("""COMPUTED_VALUE"""),0.2)</f>
        <v>0.2</v>
      </c>
      <c r="O263" s="53">
        <f>IFERROR(__xludf.DUMMYFUNCTION("""COMPUTED_VALUE"""),42.00000000000001)</f>
        <v>42</v>
      </c>
      <c r="P263" s="53">
        <f>IFERROR(__xludf.DUMMYFUNCTION("""COMPUTED_VALUE"""),80.0)</f>
        <v>80</v>
      </c>
      <c r="Q263" s="53">
        <f>IFERROR(__xludf.DUMMYFUNCTION("""COMPUTED_VALUE"""),0.5)</f>
        <v>0.5</v>
      </c>
      <c r="R263" s="53">
        <f>IFERROR(__xludf.DUMMYFUNCTION("""COMPUTED_VALUE"""),-1.947603163050051)</f>
        <v>-1.947603163</v>
      </c>
      <c r="S263" s="53">
        <f>IFERROR(__xludf.DUMMYFUNCTION("""COMPUTED_VALUE"""),-0.472296145963719)</f>
        <v>-0.472296146</v>
      </c>
      <c r="T263" s="53">
        <f>IFERROR(__xludf.DUMMYFUNCTION("""COMPUTED_VALUE"""),-1.0852482323286814)</f>
        <v>-1.085248232</v>
      </c>
      <c r="U263" s="53">
        <f>IFERROR(__xludf.DUMMYFUNCTION("""COMPUTED_VALUE"""),-1.3995075164359327)</f>
        <v>-1.399507516</v>
      </c>
      <c r="V263" s="53">
        <f>IFERROR(__xludf.DUMMYFUNCTION("""COMPUTED_VALUE"""),-0.6425203743558983)</f>
        <v>-0.6425203744</v>
      </c>
      <c r="W263" s="53">
        <f>IFERROR(__xludf.DUMMYFUNCTION("""COMPUTED_VALUE"""),-0.6583300762210907)</f>
        <v>-0.6583300762</v>
      </c>
      <c r="X263" s="53">
        <f>IFERROR(__xludf.DUMMYFUNCTION("""COMPUTED_VALUE"""),-0.3794909427920879)</f>
        <v>-0.3794909428</v>
      </c>
      <c r="Y263" s="53">
        <f>IFERROR(__xludf.DUMMYFUNCTION("""COMPUTED_VALUE"""),0.01270113039117512)</f>
        <v>0.01270113039</v>
      </c>
      <c r="Z263" s="53">
        <f>IFERROR(__xludf.DUMMYFUNCTION("""COMPUTED_VALUE"""),0.4640380197221629)</f>
        <v>0.4640380197</v>
      </c>
      <c r="AA263" t="str">
        <f>IFERROR(__xludf.DUMMYFUNCTION("REGEXREPLACE(REGEXREPLACE(REGEXREPLACE(REGEXREPLACE(REGEXREPLACE(REGEXREPLACE(E263,"","",),IF(Projections!$U$3="""",""PG"",),),IF(Projections!$V$3="""",""SG"",),),IF(Projections!$W$3="""",""SF"",),),IF(Projections!$X$3="""",""PF"",),),IF(Projections!$Y$3="&amp;""""",""C"",),)"),"SFPF")</f>
        <v>SFPF</v>
      </c>
    </row>
    <row r="264">
      <c r="B264">
        <f>IFERROR(__xludf.DUMMYFUNCTION("""COMPUTED_VALUE"""),260.0)</f>
        <v>260</v>
      </c>
      <c r="C264" t="str">
        <f>IFERROR(__xludf.DUMMYFUNCTION("""COMPUTED_VALUE"""),"Jett Howard")</f>
        <v>Jett Howard</v>
      </c>
      <c r="D264">
        <f>IFERROR(__xludf.DUMMYFUNCTION("""COMPUTED_VALUE"""),60.0)</f>
        <v>60</v>
      </c>
      <c r="E264" t="str">
        <f>IFERROR(__xludf.DUMMYFUNCTION("""COMPUTED_VALUE"""),"SG,SF")</f>
        <v>SG,SF</v>
      </c>
      <c r="F264" s="53">
        <f>IFERROR(__xludf.DUMMYFUNCTION("""COMPUTED_VALUE"""),-6.924060701748349)</f>
        <v>-6.924060702</v>
      </c>
      <c r="G264" s="53">
        <f>IFERROR(__xludf.DUMMYFUNCTION("""COMPUTED_VALUE"""),-4.2192409212151745)</f>
        <v>-4.219240921</v>
      </c>
      <c r="H264" s="53">
        <f>IFERROR(__xludf.DUMMYFUNCTION("""COMPUTED_VALUE"""),2.7048197805331746)</f>
        <v>2.704819781</v>
      </c>
      <c r="I264" s="53">
        <f>IFERROR(__xludf.DUMMYFUNCTION("""COMPUTED_VALUE"""),8.0)</f>
        <v>8</v>
      </c>
      <c r="J264" s="53">
        <f>IFERROR(__xludf.DUMMYFUNCTION("""COMPUTED_VALUE"""),1.9)</f>
        <v>1.9</v>
      </c>
      <c r="K264" s="53">
        <f>IFERROR(__xludf.DUMMYFUNCTION("""COMPUTED_VALUE"""),2.1)</f>
        <v>2.1</v>
      </c>
      <c r="L264" s="53">
        <f>IFERROR(__xludf.DUMMYFUNCTION("""COMPUTED_VALUE"""),1.1)</f>
        <v>1.1</v>
      </c>
      <c r="M264" s="53">
        <f>IFERROR(__xludf.DUMMYFUNCTION("""COMPUTED_VALUE"""),0.6)</f>
        <v>0.6</v>
      </c>
      <c r="N264" s="53">
        <f>IFERROR(__xludf.DUMMYFUNCTION("""COMPUTED_VALUE"""),0.1)</f>
        <v>0.1</v>
      </c>
      <c r="O264" s="53">
        <f>IFERROR(__xludf.DUMMYFUNCTION("""COMPUTED_VALUE"""),42.622950819672134)</f>
        <v>42.62295082</v>
      </c>
      <c r="P264" s="53">
        <f>IFERROR(__xludf.DUMMYFUNCTION("""COMPUTED_VALUE"""),83.33333333333334)</f>
        <v>83.33333333</v>
      </c>
      <c r="Q264" s="53">
        <f>IFERROR(__xludf.DUMMYFUNCTION("""COMPUTED_VALUE"""),0.5)</f>
        <v>0.5</v>
      </c>
      <c r="R264" s="53">
        <f>IFERROR(__xludf.DUMMYFUNCTION("""COMPUTED_VALUE"""),-1.55999249604557)</f>
        <v>-1.559992496</v>
      </c>
      <c r="S264" s="53">
        <f>IFERROR(__xludf.DUMMYFUNCTION("""COMPUTED_VALUE"""),0.2214068836035562)</f>
        <v>0.2214068836</v>
      </c>
      <c r="T264" s="53">
        <f>IFERROR(__xludf.DUMMYFUNCTION("""COMPUTED_VALUE"""),-1.6706634103123013)</f>
        <v>-1.67066341</v>
      </c>
      <c r="U264" s="53">
        <f>IFERROR(__xludf.DUMMYFUNCTION("""COMPUTED_VALUE"""),-1.3995075164359327)</f>
        <v>-1.399507516</v>
      </c>
      <c r="V264" s="53">
        <f>IFERROR(__xludf.DUMMYFUNCTION("""COMPUTED_VALUE"""),-0.860570275155411)</f>
        <v>-0.8605702752</v>
      </c>
      <c r="W264" s="53">
        <f>IFERROR(__xludf.DUMMYFUNCTION("""COMPUTED_VALUE"""),-0.7896459158928509)</f>
        <v>-0.7896459159</v>
      </c>
      <c r="X264" s="53">
        <f>IFERROR(__xludf.DUMMYFUNCTION("""COMPUTED_VALUE"""),-0.42502207909577044)</f>
        <v>-0.4250220791</v>
      </c>
      <c r="Y264" s="53">
        <f>IFERROR(__xludf.DUMMYFUNCTION("""COMPUTED_VALUE"""),0.1300524580846412)</f>
        <v>0.1300524581</v>
      </c>
      <c r="Z264" s="53">
        <f>IFERROR(__xludf.DUMMYFUNCTION("""COMPUTED_VALUE"""),0.4640380197221629)</f>
        <v>0.4640380197</v>
      </c>
      <c r="AA264" t="str">
        <f>IFERROR(__xludf.DUMMYFUNCTION("REGEXREPLACE(REGEXREPLACE(REGEXREPLACE(REGEXREPLACE(REGEXREPLACE(REGEXREPLACE(E264,"","",),IF(Projections!$U$3="""",""PG"",),),IF(Projections!$V$3="""",""SG"",),),IF(Projections!$W$3="""",""SF"",),),IF(Projections!$X$3="""",""PF"",),),IF(Projections!$Y$3="&amp;""""",""C"",),)"),"SGSF")</f>
        <v>SGSF</v>
      </c>
    </row>
    <row r="265">
      <c r="B265">
        <f>IFERROR(__xludf.DUMMYFUNCTION("""COMPUTED_VALUE"""),250.0)</f>
        <v>250</v>
      </c>
      <c r="C265" t="str">
        <f>IFERROR(__xludf.DUMMYFUNCTION("""COMPUTED_VALUE"""),"Naji Marshall")</f>
        <v>Naji Marshall</v>
      </c>
      <c r="D265">
        <f>IFERROR(__xludf.DUMMYFUNCTION("""COMPUTED_VALUE"""),72.0)</f>
        <v>72</v>
      </c>
      <c r="E265" t="str">
        <f>IFERROR(__xludf.DUMMYFUNCTION("""COMPUTED_VALUE"""),"SG,SF")</f>
        <v>SG,SF</v>
      </c>
      <c r="F265" s="53">
        <f>IFERROR(__xludf.DUMMYFUNCTION("""COMPUTED_VALUE"""),-6.6343727363303575)</f>
        <v>-6.634372736</v>
      </c>
      <c r="G265" s="53">
        <f>IFERROR(__xludf.DUMMYFUNCTION("""COMPUTED_VALUE"""),-4.229272444219671)</f>
        <v>-4.229272444</v>
      </c>
      <c r="H265" s="53">
        <f>IFERROR(__xludf.DUMMYFUNCTION("""COMPUTED_VALUE"""),2.4051002921106868)</f>
        <v>2.405100292</v>
      </c>
      <c r="I265" s="53">
        <f>IFERROR(__xludf.DUMMYFUNCTION("""COMPUTED_VALUE"""),8.1)</f>
        <v>8.1</v>
      </c>
      <c r="J265" s="53">
        <f>IFERROR(__xludf.DUMMYFUNCTION("""COMPUTED_VALUE"""),0.7)</f>
        <v>0.7</v>
      </c>
      <c r="K265" s="53">
        <f>IFERROR(__xludf.DUMMYFUNCTION("""COMPUTED_VALUE"""),3.4)</f>
        <v>3.4</v>
      </c>
      <c r="L265" s="53">
        <f>IFERROR(__xludf.DUMMYFUNCTION("""COMPUTED_VALUE"""),2.0)</f>
        <v>2</v>
      </c>
      <c r="M265" s="53">
        <f>IFERROR(__xludf.DUMMYFUNCTION("""COMPUTED_VALUE"""),0.7)</f>
        <v>0.7</v>
      </c>
      <c r="N265" s="53">
        <f>IFERROR(__xludf.DUMMYFUNCTION("""COMPUTED_VALUE"""),0.2)</f>
        <v>0.2</v>
      </c>
      <c r="O265" s="53">
        <f>IFERROR(__xludf.DUMMYFUNCTION("""COMPUTED_VALUE"""),43.28358208955223)</f>
        <v>43.28358209</v>
      </c>
      <c r="P265" s="53">
        <f>IFERROR(__xludf.DUMMYFUNCTION("""COMPUTED_VALUE"""),80.95238095238095)</f>
        <v>80.95238095</v>
      </c>
      <c r="Q265" s="53">
        <f>IFERROR(__xludf.DUMMYFUNCTION("""COMPUTED_VALUE"""),1.1)</f>
        <v>1.1</v>
      </c>
      <c r="R265" s="53">
        <f>IFERROR(__xludf.DUMMYFUNCTION("""COMPUTED_VALUE"""),-1.5431398583497231)</f>
        <v>-1.543139858</v>
      </c>
      <c r="S265" s="53">
        <f>IFERROR(__xludf.DUMMYFUNCTION("""COMPUTED_VALUE"""),-0.8191476607473568)</f>
        <v>-0.8191476607</v>
      </c>
      <c r="T265" s="53">
        <f>IFERROR(__xludf.DUMMYFUNCTION("""COMPUTED_VALUE"""),-1.1270636021846543)</f>
        <v>-1.127063602</v>
      </c>
      <c r="U265" s="53">
        <f>IFERROR(__xludf.DUMMYFUNCTION("""COMPUTED_VALUE"""),-0.9404853718323106)</f>
        <v>-0.9404853718</v>
      </c>
      <c r="V265" s="53">
        <f>IFERROR(__xludf.DUMMYFUNCTION("""COMPUTED_VALUE"""),-0.6425203743558983)</f>
        <v>-0.6425203744</v>
      </c>
      <c r="W265" s="53">
        <f>IFERROR(__xludf.DUMMYFUNCTION("""COMPUTED_VALUE"""),-0.6583300762210907)</f>
        <v>-0.6583300762</v>
      </c>
      <c r="X265" s="53">
        <f>IFERROR(__xludf.DUMMYFUNCTION("""COMPUTED_VALUE"""),-0.42261547082798756)</f>
        <v>-0.4226154708</v>
      </c>
      <c r="Y265" s="53">
        <f>IFERROR(__xludf.DUMMYFUNCTION("""COMPUTED_VALUE"""),0.10312962021584522)</f>
        <v>0.1031296202</v>
      </c>
      <c r="Z265" s="53">
        <f>IFERROR(__xludf.DUMMYFUNCTION("""COMPUTED_VALUE"""),0.2777604917337834)</f>
        <v>0.2777604917</v>
      </c>
      <c r="AA265" t="str">
        <f>IFERROR(__xludf.DUMMYFUNCTION("REGEXREPLACE(REGEXREPLACE(REGEXREPLACE(REGEXREPLACE(REGEXREPLACE(REGEXREPLACE(E265,"","",),IF(Projections!$U$3="""",""PG"",),),IF(Projections!$V$3="""",""SG"",),),IF(Projections!$W$3="""",""SF"",),),IF(Projections!$X$3="""",""PF"",),),IF(Projections!$Y$3="&amp;""""",""C"",),)"),"SGSF")</f>
        <v>SGSF</v>
      </c>
    </row>
    <row r="266">
      <c r="B266">
        <f>IFERROR(__xludf.DUMMYFUNCTION("""COMPUTED_VALUE"""),257.0)</f>
        <v>257</v>
      </c>
      <c r="C266" t="str">
        <f>IFERROR(__xludf.DUMMYFUNCTION("""COMPUTED_VALUE"""),"Damion Lee")</f>
        <v>Damion Lee</v>
      </c>
      <c r="D266">
        <f>IFERROR(__xludf.DUMMYFUNCTION("""COMPUTED_VALUE"""),69.0)</f>
        <v>69</v>
      </c>
      <c r="E266" t="str">
        <f>IFERROR(__xludf.DUMMYFUNCTION("""COMPUTED_VALUE"""),"SG,SF")</f>
        <v>SG,SF</v>
      </c>
      <c r="F266" s="53">
        <f>IFERROR(__xludf.DUMMYFUNCTION("""COMPUTED_VALUE"""),-6.763826476434801)</f>
        <v>-6.763826476</v>
      </c>
      <c r="G266" s="53">
        <f>IFERROR(__xludf.DUMMYFUNCTION("""COMPUTED_VALUE"""),-4.229972180911063)</f>
        <v>-4.229972181</v>
      </c>
      <c r="H266" s="53">
        <f>IFERROR(__xludf.DUMMYFUNCTION("""COMPUTED_VALUE"""),2.5338542955237378)</f>
        <v>2.533854296</v>
      </c>
      <c r="I266" s="53">
        <f>IFERROR(__xludf.DUMMYFUNCTION("""COMPUTED_VALUE"""),8.0)</f>
        <v>8</v>
      </c>
      <c r="J266" s="53">
        <f>IFERROR(__xludf.DUMMYFUNCTION("""COMPUTED_VALUE"""),1.3)</f>
        <v>1.3</v>
      </c>
      <c r="K266" s="53">
        <f>IFERROR(__xludf.DUMMYFUNCTION("""COMPUTED_VALUE"""),3.2)</f>
        <v>3.2</v>
      </c>
      <c r="L266" s="53">
        <f>IFERROR(__xludf.DUMMYFUNCTION("""COMPUTED_VALUE"""),1.2)</f>
        <v>1.2</v>
      </c>
      <c r="M266" s="53">
        <f>IFERROR(__xludf.DUMMYFUNCTION("""COMPUTED_VALUE"""),0.5)</f>
        <v>0.5</v>
      </c>
      <c r="N266" s="53">
        <f>IFERROR(__xludf.DUMMYFUNCTION("""COMPUTED_VALUE"""),0.1)</f>
        <v>0.1</v>
      </c>
      <c r="O266" s="53">
        <f>IFERROR(__xludf.DUMMYFUNCTION("""COMPUTED_VALUE"""),45.16129032258064)</f>
        <v>45.16129032</v>
      </c>
      <c r="P266" s="53">
        <f>IFERROR(__xludf.DUMMYFUNCTION("""COMPUTED_VALUE"""),92.3076923076923)</f>
        <v>92.30769231</v>
      </c>
      <c r="Q266" s="53">
        <f>IFERROR(__xludf.DUMMYFUNCTION("""COMPUTED_VALUE"""),0.9)</f>
        <v>0.9</v>
      </c>
      <c r="R266" s="53">
        <f>IFERROR(__xludf.DUMMYFUNCTION("""COMPUTED_VALUE"""),-1.55999249604557)</f>
        <v>-1.559992496</v>
      </c>
      <c r="S266" s="53">
        <f>IFERROR(__xludf.DUMMYFUNCTION("""COMPUTED_VALUE"""),-0.2988703885719002)</f>
        <v>-0.2988703886</v>
      </c>
      <c r="T266" s="53">
        <f>IFERROR(__xludf.DUMMYFUNCTION("""COMPUTED_VALUE"""),-1.2106943418965999)</f>
        <v>-1.210694342</v>
      </c>
      <c r="U266" s="53">
        <f>IFERROR(__xludf.DUMMYFUNCTION("""COMPUTED_VALUE"""),-1.3485050559244194)</f>
        <v>-1.348505056</v>
      </c>
      <c r="V266" s="53">
        <f>IFERROR(__xludf.DUMMYFUNCTION("""COMPUTED_VALUE"""),-1.0786201759549239)</f>
        <v>-1.078620176</v>
      </c>
      <c r="W266" s="53">
        <f>IFERROR(__xludf.DUMMYFUNCTION("""COMPUTED_VALUE"""),-0.7896459158928509)</f>
        <v>-0.7896459159</v>
      </c>
      <c r="X266" s="53">
        <f>IFERROR(__xludf.DUMMYFUNCTION("""COMPUTED_VALUE"""),-0.2747912233339511)</f>
        <v>-0.2747912233</v>
      </c>
      <c r="Y266" s="53">
        <f>IFERROR(__xludf.DUMMYFUNCTION("""COMPUTED_VALUE"""),0.43130191960033876)</f>
        <v>0.4313019196</v>
      </c>
      <c r="Z266" s="53">
        <f>IFERROR(__xludf.DUMMYFUNCTION("""COMPUTED_VALUE"""),0.33985300106324323)</f>
        <v>0.3398530011</v>
      </c>
      <c r="AA266" t="str">
        <f>IFERROR(__xludf.DUMMYFUNCTION("REGEXREPLACE(REGEXREPLACE(REGEXREPLACE(REGEXREPLACE(REGEXREPLACE(REGEXREPLACE(E266,"","",),IF(Projections!$U$3="""",""PG"",),),IF(Projections!$V$3="""",""SG"",),),IF(Projections!$W$3="""",""SF"",),),IF(Projections!$X$3="""",""PF"",),),IF(Projections!$Y$3="&amp;""""",""C"",),)"),"SGSF")</f>
        <v>SGSF</v>
      </c>
    </row>
    <row r="267">
      <c r="B267">
        <f>IFERROR(__xludf.DUMMYFUNCTION("""COMPUTED_VALUE"""),261.0)</f>
        <v>261</v>
      </c>
      <c r="C267" t="str">
        <f>IFERROR(__xludf.DUMMYFUNCTION("""COMPUTED_VALUE"""),"Cameron Payne")</f>
        <v>Cameron Payne</v>
      </c>
      <c r="D267">
        <f>IFERROR(__xludf.DUMMYFUNCTION("""COMPUTED_VALUE"""),68.0)</f>
        <v>68</v>
      </c>
      <c r="E267" t="str">
        <f>IFERROR(__xludf.DUMMYFUNCTION("""COMPUTED_VALUE"""),"PG")</f>
        <v>PG</v>
      </c>
      <c r="F267" s="53">
        <f>IFERROR(__xludf.DUMMYFUNCTION("""COMPUTED_VALUE"""),-6.939270362876297)</f>
        <v>-6.939270363</v>
      </c>
      <c r="G267" s="53">
        <f>IFERROR(__xludf.DUMMYFUNCTION("""COMPUTED_VALUE"""),-4.2348657786506525)</f>
        <v>-4.234865779</v>
      </c>
      <c r="H267" s="53">
        <f>IFERROR(__xludf.DUMMYFUNCTION("""COMPUTED_VALUE"""),2.704404584225644)</f>
        <v>2.704404584</v>
      </c>
      <c r="I267" s="53">
        <f>IFERROR(__xludf.DUMMYFUNCTION("""COMPUTED_VALUE"""),8.3)</f>
        <v>8.3</v>
      </c>
      <c r="J267" s="53">
        <f>IFERROR(__xludf.DUMMYFUNCTION("""COMPUTED_VALUE"""),1.0)</f>
        <v>1</v>
      </c>
      <c r="K267" s="53">
        <f>IFERROR(__xludf.DUMMYFUNCTION("""COMPUTED_VALUE"""),2.1)</f>
        <v>2.1</v>
      </c>
      <c r="L267" s="53">
        <f>IFERROR(__xludf.DUMMYFUNCTION("""COMPUTED_VALUE"""),3.7)</f>
        <v>3.7</v>
      </c>
      <c r="M267" s="53">
        <f>IFERROR(__xludf.DUMMYFUNCTION("""COMPUTED_VALUE"""),0.5)</f>
        <v>0.5</v>
      </c>
      <c r="N267" s="53">
        <f>IFERROR(__xludf.DUMMYFUNCTION("""COMPUTED_VALUE"""),0.2)</f>
        <v>0.2</v>
      </c>
      <c r="O267" s="53">
        <f>IFERROR(__xludf.DUMMYFUNCTION("""COMPUTED_VALUE"""),41.55844155844156)</f>
        <v>41.55844156</v>
      </c>
      <c r="P267" s="53">
        <f>IFERROR(__xludf.DUMMYFUNCTION("""COMPUTED_VALUE"""),81.81818181818181)</f>
        <v>81.81818182</v>
      </c>
      <c r="Q267" s="53">
        <f>IFERROR(__xludf.DUMMYFUNCTION("""COMPUTED_VALUE"""),1.4)</f>
        <v>1.4</v>
      </c>
      <c r="R267" s="53">
        <f>IFERROR(__xludf.DUMMYFUNCTION("""COMPUTED_VALUE"""),-1.509434582958029)</f>
        <v>-1.509434583</v>
      </c>
      <c r="S267" s="53">
        <f>IFERROR(__xludf.DUMMYFUNCTION("""COMPUTED_VALUE"""),-0.5590090246596284)</f>
        <v>-0.5590090247</v>
      </c>
      <c r="T267" s="53">
        <f>IFERROR(__xludf.DUMMYFUNCTION("""COMPUTED_VALUE"""),-1.6706634103123013)</f>
        <v>-1.67066341</v>
      </c>
      <c r="U267" s="53">
        <f>IFERROR(__xludf.DUMMYFUNCTION("""COMPUTED_VALUE"""),-0.07344354313657983)</f>
        <v>-0.07344354314</v>
      </c>
      <c r="V267" s="53">
        <f>IFERROR(__xludf.DUMMYFUNCTION("""COMPUTED_VALUE"""),-1.0786201759549239)</f>
        <v>-1.078620176</v>
      </c>
      <c r="W267" s="53">
        <f>IFERROR(__xludf.DUMMYFUNCTION("""COMPUTED_VALUE"""),-0.6583300762210907)</f>
        <v>-0.6583300762</v>
      </c>
      <c r="X267" s="53">
        <f>IFERROR(__xludf.DUMMYFUNCTION("""COMPUTED_VALUE"""),-0.6183774628934896)</f>
        <v>-0.6183774629</v>
      </c>
      <c r="Y267" s="53">
        <f>IFERROR(__xludf.DUMMYFUNCTION("""COMPUTED_VALUE"""),0.07772735943349546)</f>
        <v>0.07772735943</v>
      </c>
      <c r="Z267" s="53">
        <f>IFERROR(__xludf.DUMMYFUNCTION("""COMPUTED_VALUE"""),0.18462172773959373)</f>
        <v>0.1846217277</v>
      </c>
      <c r="AA267" t="str">
        <f>IFERROR(__xludf.DUMMYFUNCTION("REGEXREPLACE(REGEXREPLACE(REGEXREPLACE(REGEXREPLACE(REGEXREPLACE(REGEXREPLACE(E267,"","",),IF(Projections!$U$3="""",""PG"",),),IF(Projections!$V$3="""",""SG"",),),IF(Projections!$W$3="""",""SF"",),),IF(Projections!$X$3="""",""PF"",),),IF(Projections!$Y$3="&amp;""""",""C"",),)"),"PG")</f>
        <v>PG</v>
      </c>
    </row>
    <row r="268">
      <c r="B268">
        <f>IFERROR(__xludf.DUMMYFUNCTION("""COMPUTED_VALUE"""),277.0)</f>
        <v>277</v>
      </c>
      <c r="C268" t="str">
        <f>IFERROR(__xludf.DUMMYFUNCTION("""COMPUTED_VALUE"""),"Orlando Robinson")</f>
        <v>Orlando Robinson</v>
      </c>
      <c r="D268">
        <f>IFERROR(__xludf.DUMMYFUNCTION("""COMPUTED_VALUE"""),65.0)</f>
        <v>65</v>
      </c>
      <c r="E268" t="str">
        <f>IFERROR(__xludf.DUMMYFUNCTION("""COMPUTED_VALUE"""),"C")</f>
        <v>C</v>
      </c>
      <c r="F268" s="53">
        <f>IFERROR(__xludf.DUMMYFUNCTION("""COMPUTED_VALUE"""),-7.434379019943087)</f>
        <v>-7.43437902</v>
      </c>
      <c r="G268" s="53">
        <f>IFERROR(__xludf.DUMMYFUNCTION("""COMPUTED_VALUE"""),-4.249222193409199)</f>
        <v>-4.249222193</v>
      </c>
      <c r="H268" s="53">
        <f>IFERROR(__xludf.DUMMYFUNCTION("""COMPUTED_VALUE"""),3.1851568265338877)</f>
        <v>3.185156827</v>
      </c>
      <c r="I268" s="53">
        <f>IFERROR(__xludf.DUMMYFUNCTION("""COMPUTED_VALUE"""),4.6)</f>
        <v>4.6</v>
      </c>
      <c r="J268" s="53">
        <f>IFERROR(__xludf.DUMMYFUNCTION("""COMPUTED_VALUE"""),0.0)</f>
        <v>0</v>
      </c>
      <c r="K268" s="53">
        <f>IFERROR(__xludf.DUMMYFUNCTION("""COMPUTED_VALUE"""),5.0)</f>
        <v>5</v>
      </c>
      <c r="L268" s="53">
        <f>IFERROR(__xludf.DUMMYFUNCTION("""COMPUTED_VALUE"""),1.0)</f>
        <v>1</v>
      </c>
      <c r="M268" s="53">
        <f>IFERROR(__xludf.DUMMYFUNCTION("""COMPUTED_VALUE"""),0.5)</f>
        <v>0.5</v>
      </c>
      <c r="N268" s="53">
        <f>IFERROR(__xludf.DUMMYFUNCTION("""COMPUTED_VALUE"""),0.5)</f>
        <v>0.5</v>
      </c>
      <c r="O268" s="53">
        <f>IFERROR(__xludf.DUMMYFUNCTION("""COMPUTED_VALUE"""),52.77777777777778)</f>
        <v>52.77777778</v>
      </c>
      <c r="P268" s="53">
        <f>IFERROR(__xludf.DUMMYFUNCTION("""COMPUTED_VALUE"""),75.0)</f>
        <v>75</v>
      </c>
      <c r="Q268" s="53">
        <f>IFERROR(__xludf.DUMMYFUNCTION("""COMPUTED_VALUE"""),0.6)</f>
        <v>0.6</v>
      </c>
      <c r="R268" s="53">
        <f>IFERROR(__xludf.DUMMYFUNCTION("""COMPUTED_VALUE"""),-2.132982177704368)</f>
        <v>-2.132982178</v>
      </c>
      <c r="S268" s="53">
        <f>IFERROR(__xludf.DUMMYFUNCTION("""COMPUTED_VALUE"""),-1.4261378116187227)</f>
        <v>-1.426137812</v>
      </c>
      <c r="T268" s="53">
        <f>IFERROR(__xludf.DUMMYFUNCTION("""COMPUTED_VALUE"""),-0.45801768448908886)</f>
        <v>-0.4580176845</v>
      </c>
      <c r="U268" s="53">
        <f>IFERROR(__xludf.DUMMYFUNCTION("""COMPUTED_VALUE"""),-1.4505099769474463)</f>
        <v>-1.450509977</v>
      </c>
      <c r="V268" s="53">
        <f>IFERROR(__xludf.DUMMYFUNCTION("""COMPUTED_VALUE"""),-1.0786201759549239)</f>
        <v>-1.078620176</v>
      </c>
      <c r="W268" s="53">
        <f>IFERROR(__xludf.DUMMYFUNCTION("""COMPUTED_VALUE"""),-0.2643825572058105)</f>
        <v>-0.2643825572</v>
      </c>
      <c r="X268" s="53">
        <f>IFERROR(__xludf.DUMMYFUNCTION("""COMPUTED_VALUE"""),0.11432615252927089)</f>
        <v>0.1143261525</v>
      </c>
      <c r="Y268" s="53">
        <f>IFERROR(__xludf.DUMMYFUNCTION("""COMPUTED_VALUE"""),-0.11887190477991126)</f>
        <v>-0.1188719048</v>
      </c>
      <c r="Z268" s="53">
        <f>IFERROR(__xludf.DUMMYFUNCTION("""COMPUTED_VALUE"""),0.43299176505743303)</f>
        <v>0.4329917651</v>
      </c>
      <c r="AA268" t="str">
        <f>IFERROR(__xludf.DUMMYFUNCTION("REGEXREPLACE(REGEXREPLACE(REGEXREPLACE(REGEXREPLACE(REGEXREPLACE(REGEXREPLACE(E268,"","",),IF(Projections!$U$3="""",""PG"",),),IF(Projections!$V$3="""",""SG"",),),IF(Projections!$W$3="""",""SF"",),),IF(Projections!$X$3="""",""PF"",),),IF(Projections!$Y$3="&amp;""""",""C"",),)"),"C")</f>
        <v>C</v>
      </c>
    </row>
    <row r="269">
      <c r="B269">
        <f>IFERROR(__xludf.DUMMYFUNCTION("""COMPUTED_VALUE"""),262.0)</f>
        <v>262</v>
      </c>
      <c r="C269" t="str">
        <f>IFERROR(__xludf.DUMMYFUNCTION("""COMPUTED_VALUE"""),"Cason Wallace")</f>
        <v>Cason Wallace</v>
      </c>
      <c r="D269">
        <f>IFERROR(__xludf.DUMMYFUNCTION("""COMPUTED_VALUE"""),66.0)</f>
        <v>66</v>
      </c>
      <c r="E269" t="str">
        <f>IFERROR(__xludf.DUMMYFUNCTION("""COMPUTED_VALUE"""),"SG")</f>
        <v>SG</v>
      </c>
      <c r="F269" s="53">
        <f>IFERROR(__xludf.DUMMYFUNCTION("""COMPUTED_VALUE"""),-6.9771843551074255)</f>
        <v>-6.977184355</v>
      </c>
      <c r="G269" s="53">
        <f>IFERROR(__xludf.DUMMYFUNCTION("""COMPUTED_VALUE"""),-4.295447172678191)</f>
        <v>-4.295447173</v>
      </c>
      <c r="H269" s="53">
        <f>IFERROR(__xludf.DUMMYFUNCTION("""COMPUTED_VALUE"""),2.6817371824292344)</f>
        <v>2.681737182</v>
      </c>
      <c r="I269" s="53">
        <f>IFERROR(__xludf.DUMMYFUNCTION("""COMPUTED_VALUE"""),7.4)</f>
        <v>7.4</v>
      </c>
      <c r="J269" s="53">
        <f>IFERROR(__xludf.DUMMYFUNCTION("""COMPUTED_VALUE"""),0.8)</f>
        <v>0.8</v>
      </c>
      <c r="K269" s="53">
        <f>IFERROR(__xludf.DUMMYFUNCTION("""COMPUTED_VALUE"""),1.8)</f>
        <v>1.8</v>
      </c>
      <c r="L269" s="53">
        <f>IFERROR(__xludf.DUMMYFUNCTION("""COMPUTED_VALUE"""),2.7)</f>
        <v>2.7</v>
      </c>
      <c r="M269" s="53">
        <f>IFERROR(__xludf.DUMMYFUNCTION("""COMPUTED_VALUE"""),0.7)</f>
        <v>0.7</v>
      </c>
      <c r="N269" s="53">
        <f>IFERROR(__xludf.DUMMYFUNCTION("""COMPUTED_VALUE"""),0.2)</f>
        <v>0.2</v>
      </c>
      <c r="O269" s="53">
        <f>IFERROR(__xludf.DUMMYFUNCTION("""COMPUTED_VALUE"""),43.93939393939394)</f>
        <v>43.93939394</v>
      </c>
      <c r="P269" s="53">
        <f>IFERROR(__xludf.DUMMYFUNCTION("""COMPUTED_VALUE"""),81.81818181818181)</f>
        <v>81.81818182</v>
      </c>
      <c r="Q269" s="53">
        <f>IFERROR(__xludf.DUMMYFUNCTION("""COMPUTED_VALUE"""),1.1)</f>
        <v>1.1</v>
      </c>
      <c r="R269" s="53">
        <f>IFERROR(__xludf.DUMMYFUNCTION("""COMPUTED_VALUE"""),-1.661108322220652)</f>
        <v>-1.661108322</v>
      </c>
      <c r="S269" s="53">
        <f>IFERROR(__xludf.DUMMYFUNCTION("""COMPUTED_VALUE"""),-0.7324347820514473)</f>
        <v>-0.7324347821</v>
      </c>
      <c r="T269" s="53">
        <f>IFERROR(__xludf.DUMMYFUNCTION("""COMPUTED_VALUE"""),-1.79610951988022)</f>
        <v>-1.79610952</v>
      </c>
      <c r="U269" s="53">
        <f>IFERROR(__xludf.DUMMYFUNCTION("""COMPUTED_VALUE"""),-0.5834681482517156)</f>
        <v>-0.5834681483</v>
      </c>
      <c r="V269" s="53">
        <f>IFERROR(__xludf.DUMMYFUNCTION("""COMPUTED_VALUE"""),-0.6425203743558983)</f>
        <v>-0.6425203744</v>
      </c>
      <c r="W269" s="53">
        <f>IFERROR(__xludf.DUMMYFUNCTION("""COMPUTED_VALUE"""),-0.6583300762210907)</f>
        <v>-0.6583300762</v>
      </c>
      <c r="X269" s="53">
        <f>IFERROR(__xludf.DUMMYFUNCTION("""COMPUTED_VALUE"""),-0.37307332074466587)</f>
        <v>-0.3730733207</v>
      </c>
      <c r="Y269" s="53">
        <f>IFERROR(__xludf.DUMMYFUNCTION("""COMPUTED_VALUE"""),0.07772735943349546)</f>
        <v>0.07772735943</v>
      </c>
      <c r="Z269" s="53">
        <f>IFERROR(__xludf.DUMMYFUNCTION("""COMPUTED_VALUE"""),0.2777604917337834)</f>
        <v>0.2777604917</v>
      </c>
      <c r="AA269" t="str">
        <f>IFERROR(__xludf.DUMMYFUNCTION("REGEXREPLACE(REGEXREPLACE(REGEXREPLACE(REGEXREPLACE(REGEXREPLACE(REGEXREPLACE(E269,"","",),IF(Projections!$U$3="""",""PG"",),),IF(Projections!$V$3="""",""SG"",),),IF(Projections!$W$3="""",""SF"",),),IF(Projections!$X$3="""",""PF"",),),IF(Projections!$Y$3="&amp;""""",""C"",),)"),"SG")</f>
        <v>SG</v>
      </c>
    </row>
    <row r="270">
      <c r="B270">
        <f>IFERROR(__xludf.DUMMYFUNCTION("""COMPUTED_VALUE"""),255.0)</f>
        <v>255</v>
      </c>
      <c r="C270" t="str">
        <f>IFERROR(__xludf.DUMMYFUNCTION("""COMPUTED_VALUE"""),"Cam Reddish")</f>
        <v>Cam Reddish</v>
      </c>
      <c r="D270">
        <f>IFERROR(__xludf.DUMMYFUNCTION("""COMPUTED_VALUE"""),68.0)</f>
        <v>68</v>
      </c>
      <c r="E270" t="str">
        <f>IFERROR(__xludf.DUMMYFUNCTION("""COMPUTED_VALUE"""),"SF,PF")</f>
        <v>SF,PF</v>
      </c>
      <c r="F270" s="53">
        <f>IFERROR(__xludf.DUMMYFUNCTION("""COMPUTED_VALUE"""),-6.712387493649247)</f>
        <v>-6.712387494</v>
      </c>
      <c r="G270" s="53">
        <f>IFERROR(__xludf.DUMMYFUNCTION("""COMPUTED_VALUE"""),-4.309308208378343)</f>
        <v>-4.309308208</v>
      </c>
      <c r="H270" s="53">
        <f>IFERROR(__xludf.DUMMYFUNCTION("""COMPUTED_VALUE"""),2.4030792852709046)</f>
        <v>2.403079285</v>
      </c>
      <c r="I270" s="53">
        <f>IFERROR(__xludf.DUMMYFUNCTION("""COMPUTED_VALUE"""),8.2)</f>
        <v>8.2</v>
      </c>
      <c r="J270" s="53">
        <f>IFERROR(__xludf.DUMMYFUNCTION("""COMPUTED_VALUE"""),1.0)</f>
        <v>1</v>
      </c>
      <c r="K270" s="53">
        <f>IFERROR(__xludf.DUMMYFUNCTION("""COMPUTED_VALUE"""),1.8)</f>
        <v>1.8</v>
      </c>
      <c r="L270" s="53">
        <f>IFERROR(__xludf.DUMMYFUNCTION("""COMPUTED_VALUE"""),1.0)</f>
        <v>1</v>
      </c>
      <c r="M270" s="53">
        <f>IFERROR(__xludf.DUMMYFUNCTION("""COMPUTED_VALUE"""),0.8)</f>
        <v>0.8</v>
      </c>
      <c r="N270" s="53">
        <f>IFERROR(__xludf.DUMMYFUNCTION("""COMPUTED_VALUE"""),0.3)</f>
        <v>0.3</v>
      </c>
      <c r="O270" s="53">
        <f>IFERROR(__xludf.DUMMYFUNCTION("""COMPUTED_VALUE"""),41.7910447761194)</f>
        <v>41.79104478</v>
      </c>
      <c r="P270" s="53">
        <f>IFERROR(__xludf.DUMMYFUNCTION("""COMPUTED_VALUE"""),88.23529411764706)</f>
        <v>88.23529412</v>
      </c>
      <c r="Q270" s="53">
        <f>IFERROR(__xludf.DUMMYFUNCTION("""COMPUTED_VALUE"""),1.0)</f>
        <v>1</v>
      </c>
      <c r="R270" s="53">
        <f>IFERROR(__xludf.DUMMYFUNCTION("""COMPUTED_VALUE"""),-1.5262872206538762)</f>
        <v>-1.526287221</v>
      </c>
      <c r="S270" s="53">
        <f>IFERROR(__xludf.DUMMYFUNCTION("""COMPUTED_VALUE"""),-0.5590090246596284)</f>
        <v>-0.5590090247</v>
      </c>
      <c r="T270" s="53">
        <f>IFERROR(__xludf.DUMMYFUNCTION("""COMPUTED_VALUE"""),-1.79610951988022)</f>
        <v>-1.79610952</v>
      </c>
      <c r="U270" s="53">
        <f>IFERROR(__xludf.DUMMYFUNCTION("""COMPUTED_VALUE"""),-1.4505099769474463)</f>
        <v>-1.450509977</v>
      </c>
      <c r="V270" s="53">
        <f>IFERROR(__xludf.DUMMYFUNCTION("""COMPUTED_VALUE"""),-0.42447047355638534)</f>
        <v>-0.4244704736</v>
      </c>
      <c r="W270" s="53">
        <f>IFERROR(__xludf.DUMMYFUNCTION("""COMPUTED_VALUE"""),-0.5270142365493308)</f>
        <v>-0.5270142365</v>
      </c>
      <c r="X270" s="53">
        <f>IFERROR(__xludf.DUMMYFUNCTION("""COMPUTED_VALUE"""),-0.5225019737505582)</f>
        <v>-0.5225019738</v>
      </c>
      <c r="Y270" s="53">
        <f>IFERROR(__xludf.DUMMYFUNCTION("""COMPUTED_VALUE"""),0.3916779513403684)</f>
        <v>0.3916779513</v>
      </c>
      <c r="Z270" s="53">
        <f>IFERROR(__xludf.DUMMYFUNCTION("""COMPUTED_VALUE"""),0.30880674639851335)</f>
        <v>0.3088067464</v>
      </c>
      <c r="AA270" t="str">
        <f>IFERROR(__xludf.DUMMYFUNCTION("REGEXREPLACE(REGEXREPLACE(REGEXREPLACE(REGEXREPLACE(REGEXREPLACE(REGEXREPLACE(E270,"","",),IF(Projections!$U$3="""",""PG"",),),IF(Projections!$V$3="""",""SG"",),),IF(Projections!$W$3="""",""SF"",),),IF(Projections!$X$3="""",""PF"",),),IF(Projections!$Y$3="&amp;""""",""C"",),)"),"SFPF")</f>
        <v>SFPF</v>
      </c>
    </row>
    <row r="271">
      <c r="B271">
        <f>IFERROR(__xludf.DUMMYFUNCTION("""COMPUTED_VALUE"""),264.0)</f>
        <v>264</v>
      </c>
      <c r="C271" t="str">
        <f>IFERROR(__xludf.DUMMYFUNCTION("""COMPUTED_VALUE"""),"Alec Burks")</f>
        <v>Alec Burks</v>
      </c>
      <c r="D271">
        <f>IFERROR(__xludf.DUMMYFUNCTION("""COMPUTED_VALUE"""),64.0)</f>
        <v>64</v>
      </c>
      <c r="E271" t="str">
        <f>IFERROR(__xludf.DUMMYFUNCTION("""COMPUTED_VALUE"""),"PG,SG,SF")</f>
        <v>PG,SG,SF</v>
      </c>
      <c r="F271" s="53">
        <f>IFERROR(__xludf.DUMMYFUNCTION("""COMPUTED_VALUE"""),-7.051300495566489)</f>
        <v>-7.051300496</v>
      </c>
      <c r="G271" s="53">
        <f>IFERROR(__xludf.DUMMYFUNCTION("""COMPUTED_VALUE"""),-4.365650137404522)</f>
        <v>-4.365650137</v>
      </c>
      <c r="H271" s="53">
        <f>IFERROR(__xludf.DUMMYFUNCTION("""COMPUTED_VALUE"""),2.6856503581619666)</f>
        <v>2.685650358</v>
      </c>
      <c r="I271" s="53">
        <f>IFERROR(__xludf.DUMMYFUNCTION("""COMPUTED_VALUE"""),7.1)</f>
        <v>7.1</v>
      </c>
      <c r="J271" s="53">
        <f>IFERROR(__xludf.DUMMYFUNCTION("""COMPUTED_VALUE"""),1.1)</f>
        <v>1.1</v>
      </c>
      <c r="K271" s="53">
        <f>IFERROR(__xludf.DUMMYFUNCTION("""COMPUTED_VALUE"""),2.5)</f>
        <v>2.5</v>
      </c>
      <c r="L271" s="53">
        <f>IFERROR(__xludf.DUMMYFUNCTION("""COMPUTED_VALUE"""),1.6)</f>
        <v>1.6</v>
      </c>
      <c r="M271" s="53">
        <f>IFERROR(__xludf.DUMMYFUNCTION("""COMPUTED_VALUE"""),0.6)</f>
        <v>0.6</v>
      </c>
      <c r="N271" s="53">
        <f>IFERROR(__xludf.DUMMYFUNCTION("""COMPUTED_VALUE"""),0.2)</f>
        <v>0.2</v>
      </c>
      <c r="O271" s="53">
        <f>IFERROR(__xludf.DUMMYFUNCTION("""COMPUTED_VALUE"""),41.50943396226416)</f>
        <v>41.50943396</v>
      </c>
      <c r="P271" s="53">
        <f>IFERROR(__xludf.DUMMYFUNCTION("""COMPUTED_VALUE"""),85.0)</f>
        <v>85</v>
      </c>
      <c r="Q271" s="53">
        <f>IFERROR(__xludf.DUMMYFUNCTION("""COMPUTED_VALUE"""),0.7)</f>
        <v>0.7</v>
      </c>
      <c r="R271" s="53">
        <f>IFERROR(__xludf.DUMMYFUNCTION("""COMPUTED_VALUE"""),-1.711666235308193)</f>
        <v>-1.711666235</v>
      </c>
      <c r="S271" s="53">
        <f>IFERROR(__xludf.DUMMYFUNCTION("""COMPUTED_VALUE"""),-0.472296145963719)</f>
        <v>-0.472296146</v>
      </c>
      <c r="T271" s="53">
        <f>IFERROR(__xludf.DUMMYFUNCTION("""COMPUTED_VALUE"""),-1.50340193088841)</f>
        <v>-1.503401931</v>
      </c>
      <c r="U271" s="53">
        <f>IFERROR(__xludf.DUMMYFUNCTION("""COMPUTED_VALUE"""),-1.144495213878365)</f>
        <v>-1.144495214</v>
      </c>
      <c r="V271" s="53">
        <f>IFERROR(__xludf.DUMMYFUNCTION("""COMPUTED_VALUE"""),-0.860570275155411)</f>
        <v>-0.8605702752</v>
      </c>
      <c r="W271" s="53">
        <f>IFERROR(__xludf.DUMMYFUNCTION("""COMPUTED_VALUE"""),-0.6583300762210907)</f>
        <v>-0.6583300762</v>
      </c>
      <c r="X271" s="53">
        <f>IFERROR(__xludf.DUMMYFUNCTION("""COMPUTED_VALUE"""),-0.42823089011948146)</f>
        <v>-0.4282308901</v>
      </c>
      <c r="Y271" s="53">
        <f>IFERROR(__xludf.DUMMYFUNCTION("""COMPUTED_VALUE"""),0.2997288844292525)</f>
        <v>0.2997288844</v>
      </c>
      <c r="Z271" s="53">
        <f>IFERROR(__xludf.DUMMYFUNCTION("""COMPUTED_VALUE"""),0.4019455103927031)</f>
        <v>0.4019455104</v>
      </c>
      <c r="AA271" t="str">
        <f>IFERROR(__xludf.DUMMYFUNCTION("REGEXREPLACE(REGEXREPLACE(REGEXREPLACE(REGEXREPLACE(REGEXREPLACE(REGEXREPLACE(E271,"","",),IF(Projections!$U$3="""",""PG"",),),IF(Projections!$V$3="""",""SG"",),),IF(Projections!$W$3="""",""SF"",),),IF(Projections!$X$3="""",""PF"",),),IF(Projections!$Y$3="&amp;""""",""C"",),)"),"PGSGSF")</f>
        <v>PGSGSF</v>
      </c>
    </row>
    <row r="272">
      <c r="B272">
        <f>IFERROR(__xludf.DUMMYFUNCTION("""COMPUTED_VALUE"""),271.0)</f>
        <v>271</v>
      </c>
      <c r="C272" t="str">
        <f>IFERROR(__xludf.DUMMYFUNCTION("""COMPUTED_VALUE"""),"Seth Curry")</f>
        <v>Seth Curry</v>
      </c>
      <c r="D272">
        <f>IFERROR(__xludf.DUMMYFUNCTION("""COMPUTED_VALUE"""),60.0)</f>
        <v>60</v>
      </c>
      <c r="E272" t="str">
        <f>IFERROR(__xludf.DUMMYFUNCTION("""COMPUTED_VALUE"""),"PG,SG")</f>
        <v>PG,SG</v>
      </c>
      <c r="F272" s="53">
        <f>IFERROR(__xludf.DUMMYFUNCTION("""COMPUTED_VALUE"""),-7.322957525939845)</f>
        <v>-7.322957526</v>
      </c>
      <c r="G272" s="53">
        <f>IFERROR(__xludf.DUMMYFUNCTION("""COMPUTED_VALUE"""),-4.371916902944169)</f>
        <v>-4.371916903</v>
      </c>
      <c r="H272" s="53">
        <f>IFERROR(__xludf.DUMMYFUNCTION("""COMPUTED_VALUE"""),2.9510406229956763)</f>
        <v>2.951040623</v>
      </c>
      <c r="I272" s="53">
        <f>IFERROR(__xludf.DUMMYFUNCTION("""COMPUTED_VALUE"""),7.9)</f>
        <v>7.9</v>
      </c>
      <c r="J272" s="53">
        <f>IFERROR(__xludf.DUMMYFUNCTION("""COMPUTED_VALUE"""),1.3)</f>
        <v>1.3</v>
      </c>
      <c r="K272" s="53">
        <f>IFERROR(__xludf.DUMMYFUNCTION("""COMPUTED_VALUE"""),1.6)</f>
        <v>1.6</v>
      </c>
      <c r="L272" s="53">
        <f>IFERROR(__xludf.DUMMYFUNCTION("""COMPUTED_VALUE"""),1.7)</f>
        <v>1.7</v>
      </c>
      <c r="M272" s="53">
        <f>IFERROR(__xludf.DUMMYFUNCTION("""COMPUTED_VALUE"""),0.5)</f>
        <v>0.5</v>
      </c>
      <c r="N272" s="53">
        <f>IFERROR(__xludf.DUMMYFUNCTION("""COMPUTED_VALUE"""),0.1)</f>
        <v>0.1</v>
      </c>
      <c r="O272" s="53">
        <f>IFERROR(__xludf.DUMMYFUNCTION("""COMPUTED_VALUE"""),48.387096774193544)</f>
        <v>48.38709677</v>
      </c>
      <c r="P272" s="53">
        <f>IFERROR(__xludf.DUMMYFUNCTION("""COMPUTED_VALUE"""),87.49999999999999)</f>
        <v>87.5</v>
      </c>
      <c r="Q272" s="53">
        <f>IFERROR(__xludf.DUMMYFUNCTION("""COMPUTED_VALUE"""),0.8)</f>
        <v>0.8</v>
      </c>
      <c r="R272" s="53">
        <f>IFERROR(__xludf.DUMMYFUNCTION("""COMPUTED_VALUE"""),-1.5768451337414169)</f>
        <v>-1.576845134</v>
      </c>
      <c r="S272" s="53">
        <f>IFERROR(__xludf.DUMMYFUNCTION("""COMPUTED_VALUE"""),-0.2988703885719002)</f>
        <v>-0.2988703886</v>
      </c>
      <c r="T272" s="53">
        <f>IFERROR(__xludf.DUMMYFUNCTION("""COMPUTED_VALUE"""),-1.8797402595921657)</f>
        <v>-1.87974026</v>
      </c>
      <c r="U272" s="53">
        <f>IFERROR(__xludf.DUMMYFUNCTION("""COMPUTED_VALUE"""),-1.0934927533668515)</f>
        <v>-1.093492753</v>
      </c>
      <c r="V272" s="53">
        <f>IFERROR(__xludf.DUMMYFUNCTION("""COMPUTED_VALUE"""),-1.0786201759549239)</f>
        <v>-1.078620176</v>
      </c>
      <c r="W272" s="53">
        <f>IFERROR(__xludf.DUMMYFUNCTION("""COMPUTED_VALUE"""),-0.7896459158928509)</f>
        <v>-0.7896459159</v>
      </c>
      <c r="X272" s="53">
        <f>IFERROR(__xludf.DUMMYFUNCTION("""COMPUTED_VALUE"""),-0.07501821748880959)</f>
        <v>-0.07501821749</v>
      </c>
      <c r="Y272" s="53">
        <f>IFERROR(__xludf.DUMMYFUNCTION("""COMPUTED_VALUE"""),0.16967642634461133)</f>
        <v>0.1696764263</v>
      </c>
      <c r="Z272" s="53">
        <f>IFERROR(__xludf.DUMMYFUNCTION("""COMPUTED_VALUE"""),0.37089925572797316)</f>
        <v>0.3708992557</v>
      </c>
      <c r="AA272" t="str">
        <f>IFERROR(__xludf.DUMMYFUNCTION("REGEXREPLACE(REGEXREPLACE(REGEXREPLACE(REGEXREPLACE(REGEXREPLACE(REGEXREPLACE(E272,"","",),IF(Projections!$U$3="""",""PG"",),),IF(Projections!$V$3="""",""SG"",),),IF(Projections!$W$3="""",""SF"",),),IF(Projections!$X$3="""",""PF"",),),IF(Projections!$Y$3="&amp;""""",""C"",),)"),"PGSG")</f>
        <v>PGSG</v>
      </c>
    </row>
    <row r="273">
      <c r="B273">
        <f>IFERROR(__xludf.DUMMYFUNCTION("""COMPUTED_VALUE"""),248.0)</f>
        <v>248</v>
      </c>
      <c r="C273" t="str">
        <f>IFERROR(__xludf.DUMMYFUNCTION("""COMPUTED_VALUE"""),"MarJon Beauchamp")</f>
        <v>MarJon Beauchamp</v>
      </c>
      <c r="D273">
        <f>IFERROR(__xludf.DUMMYFUNCTION("""COMPUTED_VALUE"""),72.0)</f>
        <v>72</v>
      </c>
      <c r="E273" t="str">
        <f>IFERROR(__xludf.DUMMYFUNCTION("""COMPUTED_VALUE"""),"SG,SF")</f>
        <v>SG,SF</v>
      </c>
      <c r="F273" s="53">
        <f>IFERROR(__xludf.DUMMYFUNCTION("""COMPUTED_VALUE"""),-6.601678331994694)</f>
        <v>-6.601678332</v>
      </c>
      <c r="G273" s="53">
        <f>IFERROR(__xludf.DUMMYFUNCTION("""COMPUTED_VALUE"""),-4.381652136255402)</f>
        <v>-4.381652136</v>
      </c>
      <c r="H273" s="53">
        <f>IFERROR(__xludf.DUMMYFUNCTION("""COMPUTED_VALUE"""),2.2200261957392913)</f>
        <v>2.220026196</v>
      </c>
      <c r="I273" s="53">
        <f>IFERROR(__xludf.DUMMYFUNCTION("""COMPUTED_VALUE"""),8.4)</f>
        <v>8.4</v>
      </c>
      <c r="J273" s="53">
        <f>IFERROR(__xludf.DUMMYFUNCTION("""COMPUTED_VALUE"""),1.5)</f>
        <v>1.5</v>
      </c>
      <c r="K273" s="53">
        <f>IFERROR(__xludf.DUMMYFUNCTION("""COMPUTED_VALUE"""),3.7)</f>
        <v>3.7</v>
      </c>
      <c r="L273" s="53">
        <f>IFERROR(__xludf.DUMMYFUNCTION("""COMPUTED_VALUE"""),1.1)</f>
        <v>1.1</v>
      </c>
      <c r="M273" s="53">
        <f>IFERROR(__xludf.DUMMYFUNCTION("""COMPUTED_VALUE"""),0.7)</f>
        <v>0.7</v>
      </c>
      <c r="N273" s="53">
        <f>IFERROR(__xludf.DUMMYFUNCTION("""COMPUTED_VALUE"""),0.2)</f>
        <v>0.2</v>
      </c>
      <c r="O273" s="53">
        <f>IFERROR(__xludf.DUMMYFUNCTION("""COMPUTED_VALUE"""),41.09589041095891)</f>
        <v>41.09589041</v>
      </c>
      <c r="P273" s="53">
        <f>IFERROR(__xludf.DUMMYFUNCTION("""COMPUTED_VALUE"""),75.0)</f>
        <v>75</v>
      </c>
      <c r="Q273" s="53">
        <f>IFERROR(__xludf.DUMMYFUNCTION("""COMPUTED_VALUE"""),1.4)</f>
        <v>1.4</v>
      </c>
      <c r="R273" s="53">
        <f>IFERROR(__xludf.DUMMYFUNCTION("""COMPUTED_VALUE"""),-1.492581945262182)</f>
        <v>-1.492581945</v>
      </c>
      <c r="S273" s="53">
        <f>IFERROR(__xludf.DUMMYFUNCTION("""COMPUTED_VALUE"""),-0.12544463118008137)</f>
        <v>-0.1254446312</v>
      </c>
      <c r="T273" s="53">
        <f>IFERROR(__xludf.DUMMYFUNCTION("""COMPUTED_VALUE"""),-1.0016174926167358)</f>
        <v>-1.001617493</v>
      </c>
      <c r="U273" s="53">
        <f>IFERROR(__xludf.DUMMYFUNCTION("""COMPUTED_VALUE"""),-1.3995075164359327)</f>
        <v>-1.399507516</v>
      </c>
      <c r="V273" s="53">
        <f>IFERROR(__xludf.DUMMYFUNCTION("""COMPUTED_VALUE"""),-0.6425203743558983)</f>
        <v>-0.6425203744</v>
      </c>
      <c r="W273" s="53">
        <f>IFERROR(__xludf.DUMMYFUNCTION("""COMPUTED_VALUE"""),-0.6583300762210907)</f>
        <v>-0.6583300762</v>
      </c>
      <c r="X273" s="53">
        <f>IFERROR(__xludf.DUMMYFUNCTION("""COMPUTED_VALUE"""),-0.6199818684053451)</f>
        <v>-0.6199818684</v>
      </c>
      <c r="Y273" s="53">
        <f>IFERROR(__xludf.DUMMYFUNCTION("""COMPUTED_VALUE"""),-0.11887190477991126)</f>
        <v>-0.1188719048</v>
      </c>
      <c r="Z273" s="53">
        <f>IFERROR(__xludf.DUMMYFUNCTION("""COMPUTED_VALUE"""),0.18462172773959373)</f>
        <v>0.1846217277</v>
      </c>
      <c r="AA273" t="str">
        <f>IFERROR(__xludf.DUMMYFUNCTION("REGEXREPLACE(REGEXREPLACE(REGEXREPLACE(REGEXREPLACE(REGEXREPLACE(REGEXREPLACE(E273,"","",),IF(Projections!$U$3="""",""PG"",),),IF(Projections!$V$3="""",""SG"",),),IF(Projections!$W$3="""",""SF"",),),IF(Projections!$X$3="""",""PF"",),),IF(Projections!$Y$3="&amp;""""",""C"",),)"),"SGSF")</f>
        <v>SGSF</v>
      </c>
    </row>
    <row r="274">
      <c r="B274">
        <f>IFERROR(__xludf.DUMMYFUNCTION("""COMPUTED_VALUE"""),273.0)</f>
        <v>273</v>
      </c>
      <c r="C274" t="str">
        <f>IFERROR(__xludf.DUMMYFUNCTION("""COMPUTED_VALUE"""),"Thomas Bryant")</f>
        <v>Thomas Bryant</v>
      </c>
      <c r="D274">
        <f>IFERROR(__xludf.DUMMYFUNCTION("""COMPUTED_VALUE"""),60.0)</f>
        <v>60</v>
      </c>
      <c r="E274" t="str">
        <f>IFERROR(__xludf.DUMMYFUNCTION("""COMPUTED_VALUE"""),"C")</f>
        <v>C</v>
      </c>
      <c r="F274" s="53">
        <f>IFERROR(__xludf.DUMMYFUNCTION("""COMPUTED_VALUE"""),-7.354944203760401)</f>
        <v>-7.354944204</v>
      </c>
      <c r="G274" s="53">
        <f>IFERROR(__xludf.DUMMYFUNCTION("""COMPUTED_VALUE"""),-4.395017563609093)</f>
        <v>-4.395017564</v>
      </c>
      <c r="H274" s="53">
        <f>IFERROR(__xludf.DUMMYFUNCTION("""COMPUTED_VALUE"""),2.9599266401513082)</f>
        <v>2.95992664</v>
      </c>
      <c r="I274" s="53">
        <f>IFERROR(__xludf.DUMMYFUNCTION("""COMPUTED_VALUE"""),7.9)</f>
        <v>7.9</v>
      </c>
      <c r="J274" s="53">
        <f>IFERROR(__xludf.DUMMYFUNCTION("""COMPUTED_VALUE"""),0.4)</f>
        <v>0.4</v>
      </c>
      <c r="K274" s="53">
        <f>IFERROR(__xludf.DUMMYFUNCTION("""COMPUTED_VALUE"""),4.5)</f>
        <v>4.5</v>
      </c>
      <c r="L274" s="53">
        <f>IFERROR(__xludf.DUMMYFUNCTION("""COMPUTED_VALUE"""),0.6)</f>
        <v>0.6</v>
      </c>
      <c r="M274" s="53">
        <f>IFERROR(__xludf.DUMMYFUNCTION("""COMPUTED_VALUE"""),0.2)</f>
        <v>0.2</v>
      </c>
      <c r="N274" s="53">
        <f>IFERROR(__xludf.DUMMYFUNCTION("""COMPUTED_VALUE"""),0.5)</f>
        <v>0.5</v>
      </c>
      <c r="O274" s="53">
        <f>IFERROR(__xludf.DUMMYFUNCTION("""COMPUTED_VALUE"""),59.61538461538461)</f>
        <v>59.61538462</v>
      </c>
      <c r="P274" s="53">
        <f>IFERROR(__xludf.DUMMYFUNCTION("""COMPUTED_VALUE"""),76.47058823529413)</f>
        <v>76.47058824</v>
      </c>
      <c r="Q274" s="53">
        <f>IFERROR(__xludf.DUMMYFUNCTION("""COMPUTED_VALUE"""),0.6)</f>
        <v>0.6</v>
      </c>
      <c r="R274" s="53">
        <f>IFERROR(__xludf.DUMMYFUNCTION("""COMPUTED_VALUE"""),-1.5768451337414169)</f>
        <v>-1.576845134</v>
      </c>
      <c r="S274" s="53">
        <f>IFERROR(__xludf.DUMMYFUNCTION("""COMPUTED_VALUE"""),-1.079286296835085)</f>
        <v>-1.079286297</v>
      </c>
      <c r="T274" s="53">
        <f>IFERROR(__xludf.DUMMYFUNCTION("""COMPUTED_VALUE"""),-0.6670945337689531)</f>
        <v>-0.6670945338</v>
      </c>
      <c r="U274" s="53">
        <f>IFERROR(__xludf.DUMMYFUNCTION("""COMPUTED_VALUE"""),-1.6545198189935006)</f>
        <v>-1.654519819</v>
      </c>
      <c r="V274" s="53">
        <f>IFERROR(__xludf.DUMMYFUNCTION("""COMPUTED_VALUE"""),-1.732769878353462)</f>
        <v>-1.732769878</v>
      </c>
      <c r="W274" s="53">
        <f>IFERROR(__xludf.DUMMYFUNCTION("""COMPUTED_VALUE"""),-0.2643825572058105)</f>
        <v>-0.2643825572</v>
      </c>
      <c r="X274" s="53">
        <f>IFERROR(__xludf.DUMMYFUNCTION("""COMPUTED_VALUE"""),0.5202897862669759)</f>
        <v>0.5202897863</v>
      </c>
      <c r="Y274" s="53">
        <f>IFERROR(__xludf.DUMMYFUNCTION("""COMPUTED_VALUE"""),-0.10617077438873597)</f>
        <v>-0.1061707744</v>
      </c>
      <c r="Z274" s="53">
        <f>IFERROR(__xludf.DUMMYFUNCTION("""COMPUTED_VALUE"""),0.43299176505743303)</f>
        <v>0.4329917651</v>
      </c>
      <c r="AA274" t="str">
        <f>IFERROR(__xludf.DUMMYFUNCTION("REGEXREPLACE(REGEXREPLACE(REGEXREPLACE(REGEXREPLACE(REGEXREPLACE(REGEXREPLACE(E274,"","",),IF(Projections!$U$3="""",""PG"",),),IF(Projections!$V$3="""",""SG"",),),IF(Projections!$W$3="""",""SF"",),),IF(Projections!$X$3="""",""PF"",),),IF(Projections!$Y$3="&amp;""""",""C"",),)"),"C")</f>
        <v>C</v>
      </c>
    </row>
    <row r="275">
      <c r="B275">
        <f>IFERROR(__xludf.DUMMYFUNCTION("""COMPUTED_VALUE"""),268.0)</f>
        <v>268</v>
      </c>
      <c r="C275" t="str">
        <f>IFERROR(__xludf.DUMMYFUNCTION("""COMPUTED_VALUE"""),"Isaac Okoro")</f>
        <v>Isaac Okoro</v>
      </c>
      <c r="D275">
        <f>IFERROR(__xludf.DUMMYFUNCTION("""COMPUTED_VALUE"""),70.0)</f>
        <v>70</v>
      </c>
      <c r="E275" t="str">
        <f>IFERROR(__xludf.DUMMYFUNCTION("""COMPUTED_VALUE"""),"SG,SF")</f>
        <v>SG,SF</v>
      </c>
      <c r="F275" s="53">
        <f>IFERROR(__xludf.DUMMYFUNCTION("""COMPUTED_VALUE"""),-7.28321651922548)</f>
        <v>-7.283216519</v>
      </c>
      <c r="G275" s="53">
        <f>IFERROR(__xludf.DUMMYFUNCTION("""COMPUTED_VALUE"""),-4.534560681482635)</f>
        <v>-4.534560681</v>
      </c>
      <c r="H275" s="53">
        <f>IFERROR(__xludf.DUMMYFUNCTION("""COMPUTED_VALUE"""),2.748655837742845)</f>
        <v>2.748655838</v>
      </c>
      <c r="I275" s="53">
        <f>IFERROR(__xludf.DUMMYFUNCTION("""COMPUTED_VALUE"""),6.3)</f>
        <v>6.3</v>
      </c>
      <c r="J275" s="53">
        <f>IFERROR(__xludf.DUMMYFUNCTION("""COMPUTED_VALUE"""),0.7)</f>
        <v>0.7</v>
      </c>
      <c r="K275" s="53">
        <f>IFERROR(__xludf.DUMMYFUNCTION("""COMPUTED_VALUE"""),2.3)</f>
        <v>2.3</v>
      </c>
      <c r="L275" s="53">
        <f>IFERROR(__xludf.DUMMYFUNCTION("""COMPUTED_VALUE"""),1.2)</f>
        <v>1.2</v>
      </c>
      <c r="M275" s="53">
        <f>IFERROR(__xludf.DUMMYFUNCTION("""COMPUTED_VALUE"""),0.7)</f>
        <v>0.7</v>
      </c>
      <c r="N275" s="53">
        <f>IFERROR(__xludf.DUMMYFUNCTION("""COMPUTED_VALUE"""),0.3)</f>
        <v>0.3</v>
      </c>
      <c r="O275" s="53">
        <f>IFERROR(__xludf.DUMMYFUNCTION("""COMPUTED_VALUE"""),47.82608695652175)</f>
        <v>47.82608696</v>
      </c>
      <c r="P275" s="53">
        <f>IFERROR(__xludf.DUMMYFUNCTION("""COMPUTED_VALUE"""),80.0)</f>
        <v>80</v>
      </c>
      <c r="Q275" s="53">
        <f>IFERROR(__xludf.DUMMYFUNCTION("""COMPUTED_VALUE"""),0.6)</f>
        <v>0.6</v>
      </c>
      <c r="R275" s="53">
        <f>IFERROR(__xludf.DUMMYFUNCTION("""COMPUTED_VALUE"""),-1.8464873368749688)</f>
        <v>-1.846487337</v>
      </c>
      <c r="S275" s="53">
        <f>IFERROR(__xludf.DUMMYFUNCTION("""COMPUTED_VALUE"""),-0.8191476607473568)</f>
        <v>-0.8191476607</v>
      </c>
      <c r="T275" s="53">
        <f>IFERROR(__xludf.DUMMYFUNCTION("""COMPUTED_VALUE"""),-1.5870326706003557)</f>
        <v>-1.587032671</v>
      </c>
      <c r="U275" s="53">
        <f>IFERROR(__xludf.DUMMYFUNCTION("""COMPUTED_VALUE"""),-1.3485050559244194)</f>
        <v>-1.348505056</v>
      </c>
      <c r="V275" s="53">
        <f>IFERROR(__xludf.DUMMYFUNCTION("""COMPUTED_VALUE"""),-0.6425203743558983)</f>
        <v>-0.6425203744</v>
      </c>
      <c r="W275" s="53">
        <f>IFERROR(__xludf.DUMMYFUNCTION("""COMPUTED_VALUE"""),-0.5270142365493308)</f>
        <v>-0.5270142365</v>
      </c>
      <c r="X275" s="53">
        <f>IFERROR(__xludf.DUMMYFUNCTION("""COMPUTED_VALUE"""),-0.08143583953623129)</f>
        <v>-0.08143583954</v>
      </c>
      <c r="Y275" s="53">
        <f>IFERROR(__xludf.DUMMYFUNCTION("""COMPUTED_VALUE"""),0.038103391173524945)</f>
        <v>0.03810339117</v>
      </c>
      <c r="Z275" s="53">
        <f>IFERROR(__xludf.DUMMYFUNCTION("""COMPUTED_VALUE"""),0.43299176505743303)</f>
        <v>0.4329917651</v>
      </c>
      <c r="AA275" t="str">
        <f>IFERROR(__xludf.DUMMYFUNCTION("REGEXREPLACE(REGEXREPLACE(REGEXREPLACE(REGEXREPLACE(REGEXREPLACE(REGEXREPLACE(E275,"","",),IF(Projections!$U$3="""",""PG"",),),IF(Projections!$V$3="""",""SG"",),),IF(Projections!$W$3="""",""SF"",),),IF(Projections!$X$3="""",""PF"",),),IF(Projections!$Y$3="&amp;""""",""C"",),)"),"SGSF")</f>
        <v>SGSF</v>
      </c>
    </row>
    <row r="276">
      <c r="B276">
        <f>IFERROR(__xludf.DUMMYFUNCTION("""COMPUTED_VALUE"""),263.0)</f>
        <v>263</v>
      </c>
      <c r="C276" t="str">
        <f>IFERROR(__xludf.DUMMYFUNCTION("""COMPUTED_VALUE"""),"Malaki Branham")</f>
        <v>Malaki Branham</v>
      </c>
      <c r="D276">
        <f>IFERROR(__xludf.DUMMYFUNCTION("""COMPUTED_VALUE"""),70.0)</f>
        <v>70</v>
      </c>
      <c r="E276" t="str">
        <f>IFERROR(__xludf.DUMMYFUNCTION("""COMPUTED_VALUE"""),"PG,SG,SF")</f>
        <v>PG,SG,SF</v>
      </c>
      <c r="F276" s="53">
        <f>IFERROR(__xludf.DUMMYFUNCTION("""COMPUTED_VALUE"""),-6.994963162147068)</f>
        <v>-6.994963162</v>
      </c>
      <c r="G276" s="53">
        <f>IFERROR(__xludf.DUMMYFUNCTION("""COMPUTED_VALUE"""),-4.569382973345631)</f>
        <v>-4.569382973</v>
      </c>
      <c r="H276" s="53">
        <f>IFERROR(__xludf.DUMMYFUNCTION("""COMPUTED_VALUE"""),2.4255801888014368)</f>
        <v>2.425580189</v>
      </c>
      <c r="I276" s="53">
        <f>IFERROR(__xludf.DUMMYFUNCTION("""COMPUTED_VALUE"""),10.5)</f>
        <v>10.5</v>
      </c>
      <c r="J276" s="53">
        <f>IFERROR(__xludf.DUMMYFUNCTION("""COMPUTED_VALUE"""),1.2)</f>
        <v>1.2</v>
      </c>
      <c r="K276" s="53">
        <f>IFERROR(__xludf.DUMMYFUNCTION("""COMPUTED_VALUE"""),2.8)</f>
        <v>2.8</v>
      </c>
      <c r="L276" s="53">
        <f>IFERROR(__xludf.DUMMYFUNCTION("""COMPUTED_VALUE"""),2.0)</f>
        <v>2</v>
      </c>
      <c r="M276" s="53">
        <f>IFERROR(__xludf.DUMMYFUNCTION("""COMPUTED_VALUE"""),0.5)</f>
        <v>0.5</v>
      </c>
      <c r="N276" s="53">
        <f>IFERROR(__xludf.DUMMYFUNCTION("""COMPUTED_VALUE"""),0.1)</f>
        <v>0.1</v>
      </c>
      <c r="O276" s="53">
        <f>IFERROR(__xludf.DUMMYFUNCTION("""COMPUTED_VALUE"""),43.75000000000001)</f>
        <v>43.75</v>
      </c>
      <c r="P276" s="53">
        <f>IFERROR(__xludf.DUMMYFUNCTION("""COMPUTED_VALUE"""),81.81818181818181)</f>
        <v>81.81818182</v>
      </c>
      <c r="Q276" s="53">
        <f>IFERROR(__xludf.DUMMYFUNCTION("""COMPUTED_VALUE"""),1.2)</f>
        <v>1.2</v>
      </c>
      <c r="R276" s="53">
        <f>IFERROR(__xludf.DUMMYFUNCTION("""COMPUTED_VALUE"""),-1.1386765536493952)</f>
        <v>-1.138676554</v>
      </c>
      <c r="S276" s="53">
        <f>IFERROR(__xludf.DUMMYFUNCTION("""COMPUTED_VALUE"""),-0.38558326726780967)</f>
        <v>-0.3855832673</v>
      </c>
      <c r="T276" s="53">
        <f>IFERROR(__xludf.DUMMYFUNCTION("""COMPUTED_VALUE"""),-1.3779558213204914)</f>
        <v>-1.377955821</v>
      </c>
      <c r="U276" s="53">
        <f>IFERROR(__xludf.DUMMYFUNCTION("""COMPUTED_VALUE"""),-0.9404853718323106)</f>
        <v>-0.9404853718</v>
      </c>
      <c r="V276" s="53">
        <f>IFERROR(__xludf.DUMMYFUNCTION("""COMPUTED_VALUE"""),-1.0786201759549239)</f>
        <v>-1.078620176</v>
      </c>
      <c r="W276" s="53">
        <f>IFERROR(__xludf.DUMMYFUNCTION("""COMPUTED_VALUE"""),-0.7896459158928509)</f>
        <v>-0.7896459159</v>
      </c>
      <c r="X276" s="53">
        <f>IFERROR(__xludf.DUMMYFUNCTION("""COMPUTED_VALUE"""),-0.5608132852508899)</f>
        <v>-0.5608132853</v>
      </c>
      <c r="Y276" s="53">
        <f>IFERROR(__xludf.DUMMYFUNCTION("""COMPUTED_VALUE"""),0.07772735943349546)</f>
        <v>0.07772735943</v>
      </c>
      <c r="Z276" s="53">
        <f>IFERROR(__xludf.DUMMYFUNCTION("""COMPUTED_VALUE"""),0.24671423706905354)</f>
        <v>0.2467142371</v>
      </c>
      <c r="AA276" t="str">
        <f>IFERROR(__xludf.DUMMYFUNCTION("REGEXREPLACE(REGEXREPLACE(REGEXREPLACE(REGEXREPLACE(REGEXREPLACE(REGEXREPLACE(E276,"","",),IF(Projections!$U$3="""",""PG"",),),IF(Projections!$V$3="""",""SG"",),),IF(Projections!$W$3="""",""SF"",),),IF(Projections!$X$3="""",""PF"",),),IF(Projections!$Y$3="&amp;""""",""C"",),)"),"PGSGSF")</f>
        <v>PGSGSF</v>
      </c>
    </row>
    <row r="277">
      <c r="B277">
        <f>IFERROR(__xludf.DUMMYFUNCTION("""COMPUTED_VALUE"""),285.0)</f>
        <v>285</v>
      </c>
      <c r="C277" t="str">
        <f>IFERROR(__xludf.DUMMYFUNCTION("""COMPUTED_VALUE"""),"Monte Morris")</f>
        <v>Monte Morris</v>
      </c>
      <c r="D277">
        <f>IFERROR(__xludf.DUMMYFUNCTION("""COMPUTED_VALUE"""),68.0)</f>
        <v>68</v>
      </c>
      <c r="E277" t="str">
        <f>IFERROR(__xludf.DUMMYFUNCTION("""COMPUTED_VALUE"""),"PG")</f>
        <v>PG</v>
      </c>
      <c r="F277" s="53">
        <f>IFERROR(__xludf.DUMMYFUNCTION("""COMPUTED_VALUE"""),-7.714248620321445)</f>
        <v>-7.71424862</v>
      </c>
      <c r="G277" s="53">
        <f>IFERROR(__xludf.DUMMYFUNCTION("""COMPUTED_VALUE"""),-4.588316943292075)</f>
        <v>-4.588316943</v>
      </c>
      <c r="H277" s="53">
        <f>IFERROR(__xludf.DUMMYFUNCTION("""COMPUTED_VALUE"""),3.12593167702937)</f>
        <v>3.125931677</v>
      </c>
      <c r="I277" s="53">
        <f>IFERROR(__xludf.DUMMYFUNCTION("""COMPUTED_VALUE"""),6.6)</f>
        <v>6.6</v>
      </c>
      <c r="J277" s="53">
        <f>IFERROR(__xludf.DUMMYFUNCTION("""COMPUTED_VALUE"""),0.9)</f>
        <v>0.9</v>
      </c>
      <c r="K277" s="53">
        <f>IFERROR(__xludf.DUMMYFUNCTION("""COMPUTED_VALUE"""),1.8)</f>
        <v>1.8</v>
      </c>
      <c r="L277" s="53">
        <f>IFERROR(__xludf.DUMMYFUNCTION("""COMPUTED_VALUE"""),2.8)</f>
        <v>2.8</v>
      </c>
      <c r="M277" s="53">
        <f>IFERROR(__xludf.DUMMYFUNCTION("""COMPUTED_VALUE"""),0.4)</f>
        <v>0.4</v>
      </c>
      <c r="N277" s="53">
        <f>IFERROR(__xludf.DUMMYFUNCTION("""COMPUTED_VALUE"""),0.1)</f>
        <v>0.1</v>
      </c>
      <c r="O277" s="53">
        <f>IFERROR(__xludf.DUMMYFUNCTION("""COMPUTED_VALUE"""),48.148148148148145)</f>
        <v>48.14814815</v>
      </c>
      <c r="P277" s="53">
        <f>IFERROR(__xludf.DUMMYFUNCTION("""COMPUTED_VALUE"""),85.71428571428572)</f>
        <v>85.71428571</v>
      </c>
      <c r="Q277" s="53">
        <f>IFERROR(__xludf.DUMMYFUNCTION("""COMPUTED_VALUE"""),0.6)</f>
        <v>0.6</v>
      </c>
      <c r="R277" s="53">
        <f>IFERROR(__xludf.DUMMYFUNCTION("""COMPUTED_VALUE"""),-1.795929423787428)</f>
        <v>-1.795929424</v>
      </c>
      <c r="S277" s="53">
        <f>IFERROR(__xludf.DUMMYFUNCTION("""COMPUTED_VALUE"""),-0.6457219033555379)</f>
        <v>-0.6457219034</v>
      </c>
      <c r="T277" s="53">
        <f>IFERROR(__xludf.DUMMYFUNCTION("""COMPUTED_VALUE"""),-1.79610951988022)</f>
        <v>-1.79610952</v>
      </c>
      <c r="U277" s="53">
        <f>IFERROR(__xludf.DUMMYFUNCTION("""COMPUTED_VALUE"""),-0.5324656877402022)</f>
        <v>-0.5324656877</v>
      </c>
      <c r="V277" s="53">
        <f>IFERROR(__xludf.DUMMYFUNCTION("""COMPUTED_VALUE"""),-1.2966700767544366)</f>
        <v>-1.296670077</v>
      </c>
      <c r="W277" s="53">
        <f>IFERROR(__xludf.DUMMYFUNCTION("""COMPUTED_VALUE"""),-0.7896459158928509)</f>
        <v>-0.7896459159</v>
      </c>
      <c r="X277" s="53">
        <f>IFERROR(__xludf.DUMMYFUNCTION("""COMPUTED_VALUE"""),-0.07822702851252061)</f>
        <v>-0.07822702851</v>
      </c>
      <c r="Y277" s="53">
        <f>IFERROR(__xludf.DUMMYFUNCTION("""COMPUTED_VALUE"""),0.11735132769346612)</f>
        <v>0.1173513277</v>
      </c>
      <c r="Z277" s="53">
        <f>IFERROR(__xludf.DUMMYFUNCTION("""COMPUTED_VALUE"""),0.43299176505743303)</f>
        <v>0.4329917651</v>
      </c>
      <c r="AA277" t="str">
        <f>IFERROR(__xludf.DUMMYFUNCTION("REGEXREPLACE(REGEXREPLACE(REGEXREPLACE(REGEXREPLACE(REGEXREPLACE(REGEXREPLACE(E277,"","",),IF(Projections!$U$3="""",""PG"",),),IF(Projections!$V$3="""",""SG"",),),IF(Projections!$W$3="""",""SF"",),),IF(Projections!$X$3="""",""PF"",),),IF(Projections!$Y$3="&amp;""""",""C"",),)"),"PG")</f>
        <v>PG</v>
      </c>
    </row>
    <row r="278">
      <c r="B278">
        <f>IFERROR(__xludf.DUMMYFUNCTION("""COMPUTED_VALUE"""),292.0)</f>
        <v>292</v>
      </c>
      <c r="C278" t="str">
        <f>IFERROR(__xludf.DUMMYFUNCTION("""COMPUTED_VALUE"""),"Joe Ingles")</f>
        <v>Joe Ingles</v>
      </c>
      <c r="D278">
        <f>IFERROR(__xludf.DUMMYFUNCTION("""COMPUTED_VALUE"""),60.0)</f>
        <v>60</v>
      </c>
      <c r="E278" t="str">
        <f>IFERROR(__xludf.DUMMYFUNCTION("""COMPUTED_VALUE"""),"SF,PF")</f>
        <v>SF,PF</v>
      </c>
      <c r="F278" s="53">
        <f>IFERROR(__xludf.DUMMYFUNCTION("""COMPUTED_VALUE"""),-7.878121069072864)</f>
        <v>-7.878121069</v>
      </c>
      <c r="G278" s="53">
        <f>IFERROR(__xludf.DUMMYFUNCTION("""COMPUTED_VALUE"""),-4.589079390385537)</f>
        <v>-4.58907939</v>
      </c>
      <c r="H278" s="53">
        <f>IFERROR(__xludf.DUMMYFUNCTION("""COMPUTED_VALUE"""),3.289041678687327)</f>
        <v>3.289041679</v>
      </c>
      <c r="I278" s="53">
        <f>IFERROR(__xludf.DUMMYFUNCTION("""COMPUTED_VALUE"""),5.0)</f>
        <v>5</v>
      </c>
      <c r="J278" s="53">
        <f>IFERROR(__xludf.DUMMYFUNCTION("""COMPUTED_VALUE"""),1.3)</f>
        <v>1.3</v>
      </c>
      <c r="K278" s="53">
        <f>IFERROR(__xludf.DUMMYFUNCTION("""COMPUTED_VALUE"""),2.0)</f>
        <v>2</v>
      </c>
      <c r="L278" s="53">
        <f>IFERROR(__xludf.DUMMYFUNCTION("""COMPUTED_VALUE"""),2.4)</f>
        <v>2.4</v>
      </c>
      <c r="M278" s="53">
        <f>IFERROR(__xludf.DUMMYFUNCTION("""COMPUTED_VALUE"""),0.4)</f>
        <v>0.4</v>
      </c>
      <c r="N278" s="53">
        <f>IFERROR(__xludf.DUMMYFUNCTION("""COMPUTED_VALUE"""),0.1)</f>
        <v>0.1</v>
      </c>
      <c r="O278" s="53">
        <f>IFERROR(__xludf.DUMMYFUNCTION("""COMPUTED_VALUE"""),42.857142857142854)</f>
        <v>42.85714286</v>
      </c>
      <c r="P278" s="53">
        <f>IFERROR(__xludf.DUMMYFUNCTION("""COMPUTED_VALUE"""),100.0)</f>
        <v>100</v>
      </c>
      <c r="Q278" s="53">
        <f>IFERROR(__xludf.DUMMYFUNCTION("""COMPUTED_VALUE"""),0.8)</f>
        <v>0.8</v>
      </c>
      <c r="R278" s="53">
        <f>IFERROR(__xludf.DUMMYFUNCTION("""COMPUTED_VALUE"""),-2.06557162692098)</f>
        <v>-2.065571627</v>
      </c>
      <c r="S278" s="53">
        <f>IFERROR(__xludf.DUMMYFUNCTION("""COMPUTED_VALUE"""),-0.2988703885719002)</f>
        <v>-0.2988703886</v>
      </c>
      <c r="T278" s="53">
        <f>IFERROR(__xludf.DUMMYFUNCTION("""COMPUTED_VALUE"""),-1.7124787801682742)</f>
        <v>-1.71247878</v>
      </c>
      <c r="U278" s="53">
        <f>IFERROR(__xludf.DUMMYFUNCTION("""COMPUTED_VALUE"""),-0.7364755297862564)</f>
        <v>-0.7364755298</v>
      </c>
      <c r="V278" s="53">
        <f>IFERROR(__xludf.DUMMYFUNCTION("""COMPUTED_VALUE"""),-1.2966700767544366)</f>
        <v>-1.296670077</v>
      </c>
      <c r="W278" s="53">
        <f>IFERROR(__xludf.DUMMYFUNCTION("""COMPUTED_VALUE"""),-0.7896459158928509)</f>
        <v>-0.7896459159</v>
      </c>
      <c r="X278" s="53">
        <f>IFERROR(__xludf.DUMMYFUNCTION("""COMPUTED_VALUE"""),-0.2828132508932287)</f>
        <v>-0.2828132509</v>
      </c>
      <c r="Y278" s="53">
        <f>IFERROR(__xludf.DUMMYFUNCTION("""COMPUTED_VALUE"""),0.15697529595343646)</f>
        <v>0.156975296</v>
      </c>
      <c r="Z278" s="53">
        <f>IFERROR(__xludf.DUMMYFUNCTION("""COMPUTED_VALUE"""),0.37089925572797316)</f>
        <v>0.3708992557</v>
      </c>
      <c r="AA278" t="str">
        <f>IFERROR(__xludf.DUMMYFUNCTION("REGEXREPLACE(REGEXREPLACE(REGEXREPLACE(REGEXREPLACE(REGEXREPLACE(REGEXREPLACE(E278,"","",),IF(Projections!$U$3="""",""PG"",),),IF(Projections!$V$3="""",""SG"",),),IF(Projections!$W$3="""",""SF"",),),IF(Projections!$X$3="""",""PF"",),),IF(Projections!$Y$3="&amp;""""",""C"",),)"),"SFPF")</f>
        <v>SFPF</v>
      </c>
    </row>
    <row r="279">
      <c r="B279">
        <f>IFERROR(__xludf.DUMMYFUNCTION("""COMPUTED_VALUE"""),282.0)</f>
        <v>282</v>
      </c>
      <c r="C279" t="str">
        <f>IFERROR(__xludf.DUMMYFUNCTION("""COMPUTED_VALUE"""),"Robert Covington")</f>
        <v>Robert Covington</v>
      </c>
      <c r="D279">
        <f>IFERROR(__xludf.DUMMYFUNCTION("""COMPUTED_VALUE"""),33.0)</f>
        <v>33</v>
      </c>
      <c r="E279" t="str">
        <f>IFERROR(__xludf.DUMMYFUNCTION("""COMPUTED_VALUE"""),"SF,PF")</f>
        <v>SF,PF</v>
      </c>
      <c r="F279" s="53">
        <f>IFERROR(__xludf.DUMMYFUNCTION("""COMPUTED_VALUE"""),-7.658567237470805)</f>
        <v>-7.658567237</v>
      </c>
      <c r="G279" s="53">
        <f>IFERROR(__xludf.DUMMYFUNCTION("""COMPUTED_VALUE"""),-4.592731825831586)</f>
        <v>-4.592731826</v>
      </c>
      <c r="H279" s="53">
        <f>IFERROR(__xludf.DUMMYFUNCTION("""COMPUTED_VALUE"""),3.0658354116392195)</f>
        <v>3.065835412</v>
      </c>
      <c r="I279" s="53">
        <f>IFERROR(__xludf.DUMMYFUNCTION("""COMPUTED_VALUE"""),4.1)</f>
        <v>4.1</v>
      </c>
      <c r="J279" s="53">
        <f>IFERROR(__xludf.DUMMYFUNCTION("""COMPUTED_VALUE"""),0.8)</f>
        <v>0.8</v>
      </c>
      <c r="K279" s="53">
        <f>IFERROR(__xludf.DUMMYFUNCTION("""COMPUTED_VALUE"""),2.5)</f>
        <v>2.5</v>
      </c>
      <c r="L279" s="53">
        <f>IFERROR(__xludf.DUMMYFUNCTION("""COMPUTED_VALUE"""),0.7)</f>
        <v>0.7</v>
      </c>
      <c r="M279" s="53">
        <f>IFERROR(__xludf.DUMMYFUNCTION("""COMPUTED_VALUE"""),0.6)</f>
        <v>0.6</v>
      </c>
      <c r="N279" s="53">
        <f>IFERROR(__xludf.DUMMYFUNCTION("""COMPUTED_VALUE"""),0.6)</f>
        <v>0.6</v>
      </c>
      <c r="O279" s="53">
        <f>IFERROR(__xludf.DUMMYFUNCTION("""COMPUTED_VALUE"""),42.42424242424242)</f>
        <v>42.42424242</v>
      </c>
      <c r="P279" s="53">
        <f>IFERROR(__xludf.DUMMYFUNCTION("""COMPUTED_VALUE"""),80.0)</f>
        <v>80</v>
      </c>
      <c r="Q279" s="53">
        <f>IFERROR(__xludf.DUMMYFUNCTION("""COMPUTED_VALUE"""),0.5)</f>
        <v>0.5</v>
      </c>
      <c r="R279" s="53">
        <f>IFERROR(__xludf.DUMMYFUNCTION("""COMPUTED_VALUE"""),-2.2172453661836027)</f>
        <v>-2.217245366</v>
      </c>
      <c r="S279" s="53">
        <f>IFERROR(__xludf.DUMMYFUNCTION("""COMPUTED_VALUE"""),-0.7324347820514473)</f>
        <v>-0.7324347821</v>
      </c>
      <c r="T279" s="53">
        <f>IFERROR(__xludf.DUMMYFUNCTION("""COMPUTED_VALUE"""),-1.50340193088841)</f>
        <v>-1.503401931</v>
      </c>
      <c r="U279" s="53">
        <f>IFERROR(__xludf.DUMMYFUNCTION("""COMPUTED_VALUE"""),-1.603517358481987)</f>
        <v>-1.603517358</v>
      </c>
      <c r="V279" s="53">
        <f>IFERROR(__xludf.DUMMYFUNCTION("""COMPUTED_VALUE"""),-0.860570275155411)</f>
        <v>-0.8605702752</v>
      </c>
      <c r="W279" s="53">
        <f>IFERROR(__xludf.DUMMYFUNCTION("""COMPUTED_VALUE"""),-0.13306671753405044)</f>
        <v>-0.1330667175</v>
      </c>
      <c r="X279" s="53">
        <f>IFERROR(__xludf.DUMMYFUNCTION("""COMPUTED_VALUE"""),-0.23647991183361822)</f>
        <v>-0.2364799118</v>
      </c>
      <c r="Y279" s="53">
        <f>IFERROR(__xludf.DUMMYFUNCTION("""COMPUTED_VALUE"""),0.01270113039117512)</f>
        <v>0.01270113039</v>
      </c>
      <c r="Z279" s="53">
        <f>IFERROR(__xludf.DUMMYFUNCTION("""COMPUTED_VALUE"""),0.4640380197221629)</f>
        <v>0.4640380197</v>
      </c>
      <c r="AA279" t="str">
        <f>IFERROR(__xludf.DUMMYFUNCTION("REGEXREPLACE(REGEXREPLACE(REGEXREPLACE(REGEXREPLACE(REGEXREPLACE(REGEXREPLACE(E279,"","",),IF(Projections!$U$3="""",""PG"",),),IF(Projections!$V$3="""",""SG"",),),IF(Projections!$W$3="""",""SF"",),),IF(Projections!$X$3="""",""PF"",),),IF(Projections!$Y$3="&amp;""""",""C"",),)"),"SFPF")</f>
        <v>SFPF</v>
      </c>
    </row>
    <row r="280">
      <c r="B280">
        <f>IFERROR(__xludf.DUMMYFUNCTION("""COMPUTED_VALUE"""),289.0)</f>
        <v>289</v>
      </c>
      <c r="C280" t="str">
        <f>IFERROR(__xludf.DUMMYFUNCTION("""COMPUTED_VALUE"""),"T.J. McConnell")</f>
        <v>T.J. McConnell</v>
      </c>
      <c r="D280">
        <f>IFERROR(__xludf.DUMMYFUNCTION("""COMPUTED_VALUE"""),58.0)</f>
        <v>58</v>
      </c>
      <c r="E280" t="str">
        <f>IFERROR(__xludf.DUMMYFUNCTION("""COMPUTED_VALUE"""),"PG")</f>
        <v>PG</v>
      </c>
      <c r="F280" s="53">
        <f>IFERROR(__xludf.DUMMYFUNCTION("""COMPUTED_VALUE"""),-7.818589424244623)</f>
        <v>-7.818589424</v>
      </c>
      <c r="G280" s="53">
        <f>IFERROR(__xludf.DUMMYFUNCTION("""COMPUTED_VALUE"""),-4.641715744202496)</f>
        <v>-4.641715744</v>
      </c>
      <c r="H280" s="53">
        <f>IFERROR(__xludf.DUMMYFUNCTION("""COMPUTED_VALUE"""),3.176873680042127)</f>
        <v>3.17687368</v>
      </c>
      <c r="I280" s="53">
        <f>IFERROR(__xludf.DUMMYFUNCTION("""COMPUTED_VALUE"""),4.9)</f>
        <v>4.9</v>
      </c>
      <c r="J280" s="53">
        <f>IFERROR(__xludf.DUMMYFUNCTION("""COMPUTED_VALUE"""),0.2)</f>
        <v>0.2</v>
      </c>
      <c r="K280" s="53">
        <f>IFERROR(__xludf.DUMMYFUNCTION("""COMPUTED_VALUE"""),1.8)</f>
        <v>1.8</v>
      </c>
      <c r="L280" s="53">
        <f>IFERROR(__xludf.DUMMYFUNCTION("""COMPUTED_VALUE"""),3.0)</f>
        <v>3</v>
      </c>
      <c r="M280" s="53">
        <f>IFERROR(__xludf.DUMMYFUNCTION("""COMPUTED_VALUE"""),0.6)</f>
        <v>0.6</v>
      </c>
      <c r="N280" s="53">
        <f>IFERROR(__xludf.DUMMYFUNCTION("""COMPUTED_VALUE"""),0.1)</f>
        <v>0.1</v>
      </c>
      <c r="O280" s="53">
        <f>IFERROR(__xludf.DUMMYFUNCTION("""COMPUTED_VALUE"""),53.658536585365866)</f>
        <v>53.65853659</v>
      </c>
      <c r="P280" s="53">
        <f>IFERROR(__xludf.DUMMYFUNCTION("""COMPUTED_VALUE"""),80.0)</f>
        <v>80</v>
      </c>
      <c r="Q280" s="53">
        <f>IFERROR(__xludf.DUMMYFUNCTION("""COMPUTED_VALUE"""),1.0)</f>
        <v>1</v>
      </c>
      <c r="R280" s="53">
        <f>IFERROR(__xludf.DUMMYFUNCTION("""COMPUTED_VALUE"""),-2.0824242646168267)</f>
        <v>-2.082424265</v>
      </c>
      <c r="S280" s="53">
        <f>IFERROR(__xludf.DUMMYFUNCTION("""COMPUTED_VALUE"""),-1.252712054226904)</f>
        <v>-1.252712054</v>
      </c>
      <c r="T280" s="53">
        <f>IFERROR(__xludf.DUMMYFUNCTION("""COMPUTED_VALUE"""),-1.79610951988022)</f>
        <v>-1.79610952</v>
      </c>
      <c r="U280" s="53">
        <f>IFERROR(__xludf.DUMMYFUNCTION("""COMPUTED_VALUE"""),-0.4304607667171749)</f>
        <v>-0.4304607667</v>
      </c>
      <c r="V280" s="53">
        <f>IFERROR(__xludf.DUMMYFUNCTION("""COMPUTED_VALUE"""),-0.860570275155411)</f>
        <v>-0.8605702752</v>
      </c>
      <c r="W280" s="53">
        <f>IFERROR(__xludf.DUMMYFUNCTION("""COMPUTED_VALUE"""),-0.7896459158928509)</f>
        <v>-0.7896459159</v>
      </c>
      <c r="X280" s="53">
        <f>IFERROR(__xludf.DUMMYFUNCTION("""COMPUTED_VALUE"""),0.16627491088037621)</f>
        <v>0.1662749109</v>
      </c>
      <c r="Y280" s="53">
        <f>IFERROR(__xludf.DUMMYFUNCTION("""COMPUTED_VALUE"""),0.01270113039117512)</f>
        <v>0.01270113039</v>
      </c>
      <c r="Z280" s="53">
        <f>IFERROR(__xludf.DUMMYFUNCTION("""COMPUTED_VALUE"""),0.30880674639851335)</f>
        <v>0.3088067464</v>
      </c>
      <c r="AA280" t="str">
        <f>IFERROR(__xludf.DUMMYFUNCTION("REGEXREPLACE(REGEXREPLACE(REGEXREPLACE(REGEXREPLACE(REGEXREPLACE(REGEXREPLACE(E280,"","",),IF(Projections!$U$3="""",""PG"",),),IF(Projections!$V$3="""",""SG"",),),IF(Projections!$W$3="""",""SF"",),),IF(Projections!$X$3="""",""PF"",),),IF(Projections!$Y$3="&amp;""""",""C"",),)"),"PG")</f>
        <v>PG</v>
      </c>
    </row>
    <row r="281">
      <c r="B281">
        <f>IFERROR(__xludf.DUMMYFUNCTION("""COMPUTED_VALUE"""),286.0)</f>
        <v>286</v>
      </c>
      <c r="C281" t="str">
        <f>IFERROR(__xludf.DUMMYFUNCTION("""COMPUTED_VALUE"""),"Torrey Craig")</f>
        <v>Torrey Craig</v>
      </c>
      <c r="D281">
        <f>IFERROR(__xludf.DUMMYFUNCTION("""COMPUTED_VALUE"""),70.0)</f>
        <v>70</v>
      </c>
      <c r="E281" t="str">
        <f>IFERROR(__xludf.DUMMYFUNCTION("""COMPUTED_VALUE"""),"SF,PF")</f>
        <v>SF,PF</v>
      </c>
      <c r="F281" s="53">
        <f>IFERROR(__xludf.DUMMYFUNCTION("""COMPUTED_VALUE"""),-7.7244594289726125)</f>
        <v>-7.724459429</v>
      </c>
      <c r="G281" s="53">
        <f>IFERROR(__xludf.DUMMYFUNCTION("""COMPUTED_VALUE"""),-4.669413361639687)</f>
        <v>-4.669413362</v>
      </c>
      <c r="H281" s="53">
        <f>IFERROR(__xludf.DUMMYFUNCTION("""COMPUTED_VALUE"""),3.055046067332926)</f>
        <v>3.055046067</v>
      </c>
      <c r="I281" s="53">
        <f>IFERROR(__xludf.DUMMYFUNCTION("""COMPUTED_VALUE"""),5.1)</f>
        <v>5.1</v>
      </c>
      <c r="J281" s="53">
        <f>IFERROR(__xludf.DUMMYFUNCTION("""COMPUTED_VALUE"""),0.8)</f>
        <v>0.8</v>
      </c>
      <c r="K281" s="53">
        <f>IFERROR(__xludf.DUMMYFUNCTION("""COMPUTED_VALUE"""),3.4)</f>
        <v>3.4</v>
      </c>
      <c r="L281" s="53">
        <f>IFERROR(__xludf.DUMMYFUNCTION("""COMPUTED_VALUE"""),1.0)</f>
        <v>1</v>
      </c>
      <c r="M281" s="53">
        <f>IFERROR(__xludf.DUMMYFUNCTION("""COMPUTED_VALUE"""),0.5)</f>
        <v>0.5</v>
      </c>
      <c r="N281" s="53">
        <f>IFERROR(__xludf.DUMMYFUNCTION("""COMPUTED_VALUE"""),0.5)</f>
        <v>0.5</v>
      </c>
      <c r="O281" s="53">
        <f>IFERROR(__xludf.DUMMYFUNCTION("""COMPUTED_VALUE"""),45.45454545454545)</f>
        <v>45.45454545</v>
      </c>
      <c r="P281" s="53">
        <f>IFERROR(__xludf.DUMMYFUNCTION("""COMPUTED_VALUE"""),60.0)</f>
        <v>60</v>
      </c>
      <c r="Q281" s="53">
        <f>IFERROR(__xludf.DUMMYFUNCTION("""COMPUTED_VALUE"""),0.7)</f>
        <v>0.7</v>
      </c>
      <c r="R281" s="53">
        <f>IFERROR(__xludf.DUMMYFUNCTION("""COMPUTED_VALUE"""),-2.048718989225133)</f>
        <v>-2.048718989</v>
      </c>
      <c r="S281" s="53">
        <f>IFERROR(__xludf.DUMMYFUNCTION("""COMPUTED_VALUE"""),-0.7324347820514473)</f>
        <v>-0.7324347821</v>
      </c>
      <c r="T281" s="53">
        <f>IFERROR(__xludf.DUMMYFUNCTION("""COMPUTED_VALUE"""),-1.1270636021846543)</f>
        <v>-1.127063602</v>
      </c>
      <c r="U281" s="53">
        <f>IFERROR(__xludf.DUMMYFUNCTION("""COMPUTED_VALUE"""),-1.4505099769474463)</f>
        <v>-1.450509977</v>
      </c>
      <c r="V281" s="53">
        <f>IFERROR(__xludf.DUMMYFUNCTION("""COMPUTED_VALUE"""),-1.0786201759549239)</f>
        <v>-1.078620176</v>
      </c>
      <c r="W281" s="53">
        <f>IFERROR(__xludf.DUMMYFUNCTION("""COMPUTED_VALUE"""),-0.2643825572058105)</f>
        <v>-0.2643825572</v>
      </c>
      <c r="X281" s="53">
        <f>IFERROR(__xludf.DUMMYFUNCTION("""COMPUTED_VALUE"""),-0.1821245452147302)</f>
        <v>-0.1821245452</v>
      </c>
      <c r="Y281" s="53">
        <f>IFERROR(__xludf.DUMMYFUNCTION("""COMPUTED_VALUE"""),-0.2362232324733773)</f>
        <v>-0.2362232325</v>
      </c>
      <c r="Z281" s="53">
        <f>IFERROR(__xludf.DUMMYFUNCTION("""COMPUTED_VALUE"""),0.4019455103927031)</f>
        <v>0.4019455104</v>
      </c>
      <c r="AA281" t="str">
        <f>IFERROR(__xludf.DUMMYFUNCTION("REGEXREPLACE(REGEXREPLACE(REGEXREPLACE(REGEXREPLACE(REGEXREPLACE(REGEXREPLACE(E281,"","",),IF(Projections!$U$3="""",""PG"",),),IF(Projections!$V$3="""",""SG"",),),IF(Projections!$W$3="""",""SF"",),),IF(Projections!$X$3="""",""PF"",),),IF(Projections!$Y$3="&amp;""""",""C"",),)"),"SFPF")</f>
        <v>SFPF</v>
      </c>
    </row>
    <row r="282">
      <c r="B282">
        <f>IFERROR(__xludf.DUMMYFUNCTION("""COMPUTED_VALUE"""),276.0)</f>
        <v>276</v>
      </c>
      <c r="C282" t="str">
        <f>IFERROR(__xludf.DUMMYFUNCTION("""COMPUTED_VALUE"""),"Ochai Agbaji")</f>
        <v>Ochai Agbaji</v>
      </c>
      <c r="D282">
        <f>IFERROR(__xludf.DUMMYFUNCTION("""COMPUTED_VALUE"""),68.0)</f>
        <v>68</v>
      </c>
      <c r="E282" t="str">
        <f>IFERROR(__xludf.DUMMYFUNCTION("""COMPUTED_VALUE"""),"PG,SG")</f>
        <v>PG,SG</v>
      </c>
      <c r="F282" s="53">
        <f>IFERROR(__xludf.DUMMYFUNCTION("""COMPUTED_VALUE"""),-7.411818670926026)</f>
        <v>-7.411818671</v>
      </c>
      <c r="G282" s="53">
        <f>IFERROR(__xludf.DUMMYFUNCTION("""COMPUTED_VALUE"""),-4.685908881267222)</f>
        <v>-4.685908881</v>
      </c>
      <c r="H282" s="53">
        <f>IFERROR(__xludf.DUMMYFUNCTION("""COMPUTED_VALUE"""),2.725909789658804)</f>
        <v>2.72590979</v>
      </c>
      <c r="I282" s="53">
        <f>IFERROR(__xludf.DUMMYFUNCTION("""COMPUTED_VALUE"""),9.0)</f>
        <v>9</v>
      </c>
      <c r="J282" s="53">
        <f>IFERROR(__xludf.DUMMYFUNCTION("""COMPUTED_VALUE"""),1.6)</f>
        <v>1.6</v>
      </c>
      <c r="K282" s="53">
        <f>IFERROR(__xludf.DUMMYFUNCTION("""COMPUTED_VALUE"""),2.3)</f>
        <v>2.3</v>
      </c>
      <c r="L282" s="53">
        <f>IFERROR(__xludf.DUMMYFUNCTION("""COMPUTED_VALUE"""),1.3)</f>
        <v>1.3</v>
      </c>
      <c r="M282" s="53">
        <f>IFERROR(__xludf.DUMMYFUNCTION("""COMPUTED_VALUE"""),0.3)</f>
        <v>0.3</v>
      </c>
      <c r="N282" s="53">
        <f>IFERROR(__xludf.DUMMYFUNCTION("""COMPUTED_VALUE"""),0.3)</f>
        <v>0.3</v>
      </c>
      <c r="O282" s="53">
        <f>IFERROR(__xludf.DUMMYFUNCTION("""COMPUTED_VALUE"""),43.24324324324324)</f>
        <v>43.24324324</v>
      </c>
      <c r="P282" s="53">
        <f>IFERROR(__xludf.DUMMYFUNCTION("""COMPUTED_VALUE"""),84.61538461538461)</f>
        <v>84.61538462</v>
      </c>
      <c r="Q282" s="53">
        <f>IFERROR(__xludf.DUMMYFUNCTION("""COMPUTED_VALUE"""),0.8)</f>
        <v>0.8</v>
      </c>
      <c r="R282" s="53">
        <f>IFERROR(__xludf.DUMMYFUNCTION("""COMPUTED_VALUE"""),-1.3914661190871)</f>
        <v>-1.391466119</v>
      </c>
      <c r="S282" s="53">
        <f>IFERROR(__xludf.DUMMYFUNCTION("""COMPUTED_VALUE"""),-0.03873175248417188)</f>
        <v>-0.03873175248</v>
      </c>
      <c r="T282" s="53">
        <f>IFERROR(__xludf.DUMMYFUNCTION("""COMPUTED_VALUE"""),-1.5870326706003557)</f>
        <v>-1.587032671</v>
      </c>
      <c r="U282" s="53">
        <f>IFERROR(__xludf.DUMMYFUNCTION("""COMPUTED_VALUE"""),-1.2975025954129054)</f>
        <v>-1.297502595</v>
      </c>
      <c r="V282" s="53">
        <f>IFERROR(__xludf.DUMMYFUNCTION("""COMPUTED_VALUE"""),-1.5147199775539493)</f>
        <v>-1.514719978</v>
      </c>
      <c r="W282" s="53">
        <f>IFERROR(__xludf.DUMMYFUNCTION("""COMPUTED_VALUE"""),-0.5270142365493308)</f>
        <v>-0.5270142365</v>
      </c>
      <c r="X282" s="53">
        <f>IFERROR(__xludf.DUMMYFUNCTION("""COMPUTED_VALUE"""),-0.46975101264352526)</f>
        <v>-0.4697510126</v>
      </c>
      <c r="Y282" s="53">
        <f>IFERROR(__xludf.DUMMYFUNCTION("""COMPUTED_VALUE"""),0.18237755673578657)</f>
        <v>0.1823775567</v>
      </c>
      <c r="Z282" s="53">
        <f>IFERROR(__xludf.DUMMYFUNCTION("""COMPUTED_VALUE"""),0.37089925572797316)</f>
        <v>0.3708992557</v>
      </c>
      <c r="AA282" t="str">
        <f>IFERROR(__xludf.DUMMYFUNCTION("REGEXREPLACE(REGEXREPLACE(REGEXREPLACE(REGEXREPLACE(REGEXREPLACE(REGEXREPLACE(E282,"","",),IF(Projections!$U$3="""",""PG"",),),IF(Projections!$V$3="""",""SG"",),),IF(Projections!$W$3="""",""SF"",),),IF(Projections!$X$3="""",""PF"",),),IF(Projections!$Y$3="&amp;""""",""C"",),)"),"PGSG")</f>
        <v>PGSG</v>
      </c>
    </row>
    <row r="283">
      <c r="B283">
        <f>IFERROR(__xludf.DUMMYFUNCTION("""COMPUTED_VALUE"""),270.0)</f>
        <v>270</v>
      </c>
      <c r="C283" t="str">
        <f>IFERROR(__xludf.DUMMYFUNCTION("""COMPUTED_VALUE"""),"Aaron Nesmith")</f>
        <v>Aaron Nesmith</v>
      </c>
      <c r="D283">
        <f>IFERROR(__xludf.DUMMYFUNCTION("""COMPUTED_VALUE"""),47.0)</f>
        <v>47</v>
      </c>
      <c r="E283" t="str">
        <f>IFERROR(__xludf.DUMMYFUNCTION("""COMPUTED_VALUE"""),"SF,PF")</f>
        <v>SF,PF</v>
      </c>
      <c r="F283" s="53">
        <f>IFERROR(__xludf.DUMMYFUNCTION("""COMPUTED_VALUE"""),-7.3214427694742374)</f>
        <v>-7.321442769</v>
      </c>
      <c r="G283" s="53">
        <f>IFERROR(__xludf.DUMMYFUNCTION("""COMPUTED_VALUE"""),-4.704056108531072)</f>
        <v>-4.704056109</v>
      </c>
      <c r="H283" s="53">
        <f>IFERROR(__xludf.DUMMYFUNCTION("""COMPUTED_VALUE"""),2.6173866609431657)</f>
        <v>2.617386661</v>
      </c>
      <c r="I283" s="53">
        <f>IFERROR(__xludf.DUMMYFUNCTION("""COMPUTED_VALUE"""),7.0)</f>
        <v>7</v>
      </c>
      <c r="J283" s="53">
        <f>IFERROR(__xludf.DUMMYFUNCTION("""COMPUTED_VALUE"""),1.1)</f>
        <v>1.1</v>
      </c>
      <c r="K283" s="53">
        <f>IFERROR(__xludf.DUMMYFUNCTION("""COMPUTED_VALUE"""),2.7)</f>
        <v>2.7</v>
      </c>
      <c r="L283" s="53">
        <f>IFERROR(__xludf.DUMMYFUNCTION("""COMPUTED_VALUE"""),0.9)</f>
        <v>0.9</v>
      </c>
      <c r="M283" s="53">
        <f>IFERROR(__xludf.DUMMYFUNCTION("""COMPUTED_VALUE"""),0.6)</f>
        <v>0.6</v>
      </c>
      <c r="N283" s="53">
        <f>IFERROR(__xludf.DUMMYFUNCTION("""COMPUTED_VALUE"""),0.3)</f>
        <v>0.3</v>
      </c>
      <c r="O283" s="53">
        <f>IFERROR(__xludf.DUMMYFUNCTION("""COMPUTED_VALUE"""),41.37931034482759)</f>
        <v>41.37931034</v>
      </c>
      <c r="P283" s="53">
        <f>IFERROR(__xludf.DUMMYFUNCTION("""COMPUTED_VALUE"""),84.61538461538461)</f>
        <v>84.61538462</v>
      </c>
      <c r="Q283" s="53">
        <f>IFERROR(__xludf.DUMMYFUNCTION("""COMPUTED_VALUE"""),0.8)</f>
        <v>0.8</v>
      </c>
      <c r="R283" s="53">
        <f>IFERROR(__xludf.DUMMYFUNCTION("""COMPUTED_VALUE"""),-1.72851887300404)</f>
        <v>-1.728518873</v>
      </c>
      <c r="S283" s="53">
        <f>IFERROR(__xludf.DUMMYFUNCTION("""COMPUTED_VALUE"""),-0.472296145963719)</f>
        <v>-0.472296146</v>
      </c>
      <c r="T283" s="53">
        <f>IFERROR(__xludf.DUMMYFUNCTION("""COMPUTED_VALUE"""),-1.419771191176464)</f>
        <v>-1.419771191</v>
      </c>
      <c r="U283" s="53">
        <f>IFERROR(__xludf.DUMMYFUNCTION("""COMPUTED_VALUE"""),-1.5015124374589601)</f>
        <v>-1.501512437</v>
      </c>
      <c r="V283" s="53">
        <f>IFERROR(__xludf.DUMMYFUNCTION("""COMPUTED_VALUE"""),-0.860570275155411)</f>
        <v>-0.8605702752</v>
      </c>
      <c r="W283" s="53">
        <f>IFERROR(__xludf.DUMMYFUNCTION("""COMPUTED_VALUE"""),-0.5270142365493308)</f>
        <v>-0.5270142365</v>
      </c>
      <c r="X283" s="53">
        <f>IFERROR(__xludf.DUMMYFUNCTION("""COMPUTED_VALUE"""),-0.47616863469094767)</f>
        <v>-0.4761686347</v>
      </c>
      <c r="Y283" s="53">
        <f>IFERROR(__xludf.DUMMYFUNCTION("""COMPUTED_VALUE"""),0.18237755673578657)</f>
        <v>0.1823775567</v>
      </c>
      <c r="Z283" s="53">
        <f>IFERROR(__xludf.DUMMYFUNCTION("""COMPUTED_VALUE"""),0.37089925572797316)</f>
        <v>0.3708992557</v>
      </c>
      <c r="AA283" t="str">
        <f>IFERROR(__xludf.DUMMYFUNCTION("REGEXREPLACE(REGEXREPLACE(REGEXREPLACE(REGEXREPLACE(REGEXREPLACE(REGEXREPLACE(E283,"","",),IF(Projections!$U$3="""",""PG"",),),IF(Projections!$V$3="""",""SG"",),),IF(Projections!$W$3="""",""SF"",),),IF(Projections!$X$3="""",""PF"",),),IF(Projections!$Y$3="&amp;""""",""C"",),)"),"SFPF")</f>
        <v>SFPF</v>
      </c>
    </row>
    <row r="284">
      <c r="B284">
        <f>IFERROR(__xludf.DUMMYFUNCTION("""COMPUTED_VALUE"""),278.0)</f>
        <v>278</v>
      </c>
      <c r="C284" t="str">
        <f>IFERROR(__xludf.DUMMYFUNCTION("""COMPUTED_VALUE"""),"Shake Milton")</f>
        <v>Shake Milton</v>
      </c>
      <c r="D284">
        <f>IFERROR(__xludf.DUMMYFUNCTION("""COMPUTED_VALUE"""),69.0)</f>
        <v>69</v>
      </c>
      <c r="E284" t="str">
        <f>IFERROR(__xludf.DUMMYFUNCTION("""COMPUTED_VALUE"""),"PG,SG")</f>
        <v>PG,SG</v>
      </c>
      <c r="F284" s="53">
        <f>IFERROR(__xludf.DUMMYFUNCTION("""COMPUTED_VALUE"""),-7.532514712268907)</f>
        <v>-7.532514712</v>
      </c>
      <c r="G284" s="53">
        <f>IFERROR(__xludf.DUMMYFUNCTION("""COMPUTED_VALUE"""),-4.728913660446871)</f>
        <v>-4.72891366</v>
      </c>
      <c r="H284" s="53">
        <f>IFERROR(__xludf.DUMMYFUNCTION("""COMPUTED_VALUE"""),2.803601051822036)</f>
        <v>2.803601052</v>
      </c>
      <c r="I284" s="53">
        <f>IFERROR(__xludf.DUMMYFUNCTION("""COMPUTED_VALUE"""),7.5)</f>
        <v>7.5</v>
      </c>
      <c r="J284" s="53">
        <f>IFERROR(__xludf.DUMMYFUNCTION("""COMPUTED_VALUE"""),0.7)</f>
        <v>0.7</v>
      </c>
      <c r="K284" s="53">
        <f>IFERROR(__xludf.DUMMYFUNCTION("""COMPUTED_VALUE"""),2.3)</f>
        <v>2.3</v>
      </c>
      <c r="L284" s="53">
        <f>IFERROR(__xludf.DUMMYFUNCTION("""COMPUTED_VALUE"""),2.6)</f>
        <v>2.6</v>
      </c>
      <c r="M284" s="53">
        <f>IFERROR(__xludf.DUMMYFUNCTION("""COMPUTED_VALUE"""),0.4)</f>
        <v>0.4</v>
      </c>
      <c r="N284" s="53">
        <f>IFERROR(__xludf.DUMMYFUNCTION("""COMPUTED_VALUE"""),0.2)</f>
        <v>0.2</v>
      </c>
      <c r="O284" s="53">
        <f>IFERROR(__xludf.DUMMYFUNCTION("""COMPUTED_VALUE"""),46.03174603174603)</f>
        <v>46.03174603</v>
      </c>
      <c r="P284" s="53">
        <f>IFERROR(__xludf.DUMMYFUNCTION("""COMPUTED_VALUE"""),84.61538461538461)</f>
        <v>84.61538462</v>
      </c>
      <c r="Q284" s="53">
        <f>IFERROR(__xludf.DUMMYFUNCTION("""COMPUTED_VALUE"""),1.0)</f>
        <v>1</v>
      </c>
      <c r="R284" s="53">
        <f>IFERROR(__xludf.DUMMYFUNCTION("""COMPUTED_VALUE"""),-1.6442556845248049)</f>
        <v>-1.644255685</v>
      </c>
      <c r="S284" s="53">
        <f>IFERROR(__xludf.DUMMYFUNCTION("""COMPUTED_VALUE"""),-0.8191476607473568)</f>
        <v>-0.8191476607</v>
      </c>
      <c r="T284" s="53">
        <f>IFERROR(__xludf.DUMMYFUNCTION("""COMPUTED_VALUE"""),-1.5870326706003557)</f>
        <v>-1.587032671</v>
      </c>
      <c r="U284" s="53">
        <f>IFERROR(__xludf.DUMMYFUNCTION("""COMPUTED_VALUE"""),-0.6344706087632292)</f>
        <v>-0.6344706088</v>
      </c>
      <c r="V284" s="53">
        <f>IFERROR(__xludf.DUMMYFUNCTION("""COMPUTED_VALUE"""),-1.2966700767544366)</f>
        <v>-1.296670077</v>
      </c>
      <c r="W284" s="53">
        <f>IFERROR(__xludf.DUMMYFUNCTION("""COMPUTED_VALUE"""),-0.6583300762210907)</f>
        <v>-0.6583300762</v>
      </c>
      <c r="X284" s="53">
        <f>IFERROR(__xludf.DUMMYFUNCTION("""COMPUTED_VALUE"""),-0.22444687049470163)</f>
        <v>-0.2244468705</v>
      </c>
      <c r="Y284" s="53">
        <f>IFERROR(__xludf.DUMMYFUNCTION("""COMPUTED_VALUE"""),0.18237755673578657)</f>
        <v>0.1823775567</v>
      </c>
      <c r="Z284" s="53">
        <f>IFERROR(__xludf.DUMMYFUNCTION("""COMPUTED_VALUE"""),0.30880674639851335)</f>
        <v>0.3088067464</v>
      </c>
      <c r="AA284" t="str">
        <f>IFERROR(__xludf.DUMMYFUNCTION("REGEXREPLACE(REGEXREPLACE(REGEXREPLACE(REGEXREPLACE(REGEXREPLACE(REGEXREPLACE(E284,"","",),IF(Projections!$U$3="""",""PG"",),),IF(Projections!$V$3="""",""SG"",),),IF(Projections!$W$3="""",""SF"",),),IF(Projections!$X$3="""",""PF"",),),IF(Projections!$Y$3="&amp;""""",""C"",),)"),"PGSG")</f>
        <v>PGSG</v>
      </c>
    </row>
    <row r="285">
      <c r="B285">
        <f>IFERROR(__xludf.DUMMYFUNCTION("""COMPUTED_VALUE"""),269.0)</f>
        <v>269</v>
      </c>
      <c r="C285" t="str">
        <f>IFERROR(__xludf.DUMMYFUNCTION("""COMPUTED_VALUE"""),"Kenyon Martin Jr.")</f>
        <v>Kenyon Martin Jr.</v>
      </c>
      <c r="D285">
        <f>IFERROR(__xludf.DUMMYFUNCTION("""COMPUTED_VALUE"""),72.0)</f>
        <v>72</v>
      </c>
      <c r="E285" t="str">
        <f>IFERROR(__xludf.DUMMYFUNCTION("""COMPUTED_VALUE"""),"SF")</f>
        <v>SF</v>
      </c>
      <c r="F285" s="53">
        <f>IFERROR(__xludf.DUMMYFUNCTION("""COMPUTED_VALUE"""),-7.287886393281333)</f>
        <v>-7.287886393</v>
      </c>
      <c r="G285" s="53">
        <f>IFERROR(__xludf.DUMMYFUNCTION("""COMPUTED_VALUE"""),-4.729513580827291)</f>
        <v>-4.729513581</v>
      </c>
      <c r="H285" s="53">
        <f>IFERROR(__xludf.DUMMYFUNCTION("""COMPUTED_VALUE"""),2.558372812454042)</f>
        <v>2.558372812</v>
      </c>
      <c r="I285" s="53">
        <f>IFERROR(__xludf.DUMMYFUNCTION("""COMPUTED_VALUE"""),9.3)</f>
        <v>9.3</v>
      </c>
      <c r="J285" s="53">
        <f>IFERROR(__xludf.DUMMYFUNCTION("""COMPUTED_VALUE"""),0.7)</f>
        <v>0.7</v>
      </c>
      <c r="K285" s="53">
        <f>IFERROR(__xludf.DUMMYFUNCTION("""COMPUTED_VALUE"""),4.0)</f>
        <v>4</v>
      </c>
      <c r="L285" s="53">
        <f>IFERROR(__xludf.DUMMYFUNCTION("""COMPUTED_VALUE"""),1.2)</f>
        <v>1.2</v>
      </c>
      <c r="M285" s="53">
        <f>IFERROR(__xludf.DUMMYFUNCTION("""COMPUTED_VALUE"""),0.4)</f>
        <v>0.4</v>
      </c>
      <c r="N285" s="53">
        <f>IFERROR(__xludf.DUMMYFUNCTION("""COMPUTED_VALUE"""),0.4)</f>
        <v>0.4</v>
      </c>
      <c r="O285" s="53">
        <f>IFERROR(__xludf.DUMMYFUNCTION("""COMPUTED_VALUE"""),55.223880597014926)</f>
        <v>55.2238806</v>
      </c>
      <c r="P285" s="53">
        <f>IFERROR(__xludf.DUMMYFUNCTION("""COMPUTED_VALUE"""),63.1578947368421)</f>
        <v>63.15789474</v>
      </c>
      <c r="Q285" s="53">
        <f>IFERROR(__xludf.DUMMYFUNCTION("""COMPUTED_VALUE"""),0.8)</f>
        <v>0.8</v>
      </c>
      <c r="R285" s="53">
        <f>IFERROR(__xludf.DUMMYFUNCTION("""COMPUTED_VALUE"""),-1.340908205999559)</f>
        <v>-1.340908206</v>
      </c>
      <c r="S285" s="53">
        <f>IFERROR(__xludf.DUMMYFUNCTION("""COMPUTED_VALUE"""),-0.8191476607473568)</f>
        <v>-0.8191476607</v>
      </c>
      <c r="T285" s="53">
        <f>IFERROR(__xludf.DUMMYFUNCTION("""COMPUTED_VALUE"""),-0.8761713830488173)</f>
        <v>-0.876171383</v>
      </c>
      <c r="U285" s="53">
        <f>IFERROR(__xludf.DUMMYFUNCTION("""COMPUTED_VALUE"""),-1.3485050559244194)</f>
        <v>-1.348505056</v>
      </c>
      <c r="V285" s="53">
        <f>IFERROR(__xludf.DUMMYFUNCTION("""COMPUTED_VALUE"""),-1.2966700767544366)</f>
        <v>-1.296670077</v>
      </c>
      <c r="W285" s="53">
        <f>IFERROR(__xludf.DUMMYFUNCTION("""COMPUTED_VALUE"""),-0.39569839687757064)</f>
        <v>-0.3956983969</v>
      </c>
      <c r="X285" s="53">
        <f>IFERROR(__xludf.DUMMYFUNCTION("""COMPUTED_VALUE"""),0.37647655255257856)</f>
        <v>0.3764765526</v>
      </c>
      <c r="Y285" s="53">
        <f>IFERROR(__xludf.DUMMYFUNCTION("""COMPUTED_VALUE"""),-0.7482936656801025)</f>
        <v>-0.7482936657</v>
      </c>
      <c r="Z285" s="53">
        <f>IFERROR(__xludf.DUMMYFUNCTION("""COMPUTED_VALUE"""),0.37089925572797316)</f>
        <v>0.3708992557</v>
      </c>
      <c r="AA285" t="str">
        <f>IFERROR(__xludf.DUMMYFUNCTION("REGEXREPLACE(REGEXREPLACE(REGEXREPLACE(REGEXREPLACE(REGEXREPLACE(REGEXREPLACE(E285,"","",),IF(Projections!$U$3="""",""PG"",),),IF(Projections!$V$3="""",""SG"",),),IF(Projections!$W$3="""",""SF"",),),IF(Projections!$X$3="""",""PF"",),),IF(Projections!$Y$3="&amp;""""",""C"",),)"),"SF")</f>
        <v>SF</v>
      </c>
    </row>
    <row r="286">
      <c r="B286">
        <f>IFERROR(__xludf.DUMMYFUNCTION("""COMPUTED_VALUE"""),280.0)</f>
        <v>280</v>
      </c>
      <c r="C286" t="str">
        <f>IFERROR(__xludf.DUMMYFUNCTION("""COMPUTED_VALUE"""),"Leonard Miller")</f>
        <v>Leonard Miller</v>
      </c>
      <c r="D286">
        <f>IFERROR(__xludf.DUMMYFUNCTION("""COMPUTED_VALUE"""),68.0)</f>
        <v>68</v>
      </c>
      <c r="E286" t="str">
        <f>IFERROR(__xludf.DUMMYFUNCTION("""COMPUTED_VALUE"""),"SF")</f>
        <v>SF</v>
      </c>
      <c r="F286" s="53">
        <f>IFERROR(__xludf.DUMMYFUNCTION("""COMPUTED_VALUE"""),-7.616325774146711)</f>
        <v>-7.616325774</v>
      </c>
      <c r="G286" s="53">
        <f>IFERROR(__xludf.DUMMYFUNCTION("""COMPUTED_VALUE"""),-4.759644931718326)</f>
        <v>-4.759644932</v>
      </c>
      <c r="H286" s="53">
        <f>IFERROR(__xludf.DUMMYFUNCTION("""COMPUTED_VALUE"""),2.8566808424283847)</f>
        <v>2.856680842</v>
      </c>
      <c r="I286" s="53">
        <f>IFERROR(__xludf.DUMMYFUNCTION("""COMPUTED_VALUE"""),7.5)</f>
        <v>7.5</v>
      </c>
      <c r="J286" s="53">
        <f>IFERROR(__xludf.DUMMYFUNCTION("""COMPUTED_VALUE"""),0.6)</f>
        <v>0.6</v>
      </c>
      <c r="K286" s="53">
        <f>IFERROR(__xludf.DUMMYFUNCTION("""COMPUTED_VALUE"""),4.8)</f>
        <v>4.8</v>
      </c>
      <c r="L286" s="53">
        <f>IFERROR(__xludf.DUMMYFUNCTION("""COMPUTED_VALUE"""),1.3)</f>
        <v>1.3</v>
      </c>
      <c r="M286" s="53">
        <f>IFERROR(__xludf.DUMMYFUNCTION("""COMPUTED_VALUE"""),0.4)</f>
        <v>0.4</v>
      </c>
      <c r="N286" s="53">
        <f>IFERROR(__xludf.DUMMYFUNCTION("""COMPUTED_VALUE"""),0.3)</f>
        <v>0.3</v>
      </c>
      <c r="O286" s="53">
        <f>IFERROR(__xludf.DUMMYFUNCTION("""COMPUTED_VALUE"""),46.666666666666664)</f>
        <v>46.66666667</v>
      </c>
      <c r="P286" s="53">
        <f>IFERROR(__xludf.DUMMYFUNCTION("""COMPUTED_VALUE"""),70.58823529411765)</f>
        <v>70.58823529</v>
      </c>
      <c r="Q286" s="53">
        <f>IFERROR(__xludf.DUMMYFUNCTION("""COMPUTED_VALUE"""),0.9)</f>
        <v>0.9</v>
      </c>
      <c r="R286" s="53">
        <f>IFERROR(__xludf.DUMMYFUNCTION("""COMPUTED_VALUE"""),-1.6442556845248049)</f>
        <v>-1.644255685</v>
      </c>
      <c r="S286" s="53">
        <f>IFERROR(__xludf.DUMMYFUNCTION("""COMPUTED_VALUE"""),-0.9058605394432663)</f>
        <v>-0.9058605394</v>
      </c>
      <c r="T286" s="53">
        <f>IFERROR(__xludf.DUMMYFUNCTION("""COMPUTED_VALUE"""),-0.5416484242010347)</f>
        <v>-0.5416484242</v>
      </c>
      <c r="U286" s="53">
        <f>IFERROR(__xludf.DUMMYFUNCTION("""COMPUTED_VALUE"""),-1.2975025954129054)</f>
        <v>-1.297502595</v>
      </c>
      <c r="V286" s="53">
        <f>IFERROR(__xludf.DUMMYFUNCTION("""COMPUTED_VALUE"""),-1.2966700767544366)</f>
        <v>-1.296670077</v>
      </c>
      <c r="W286" s="53">
        <f>IFERROR(__xludf.DUMMYFUNCTION("""COMPUTED_VALUE"""),-0.5270142365493308)</f>
        <v>-0.5270142365</v>
      </c>
      <c r="X286" s="53">
        <f>IFERROR(__xludf.DUMMYFUNCTION("""COMPUTED_VALUE"""),-0.1757069231673081)</f>
        <v>-0.1757069232</v>
      </c>
      <c r="Y286" s="53">
        <f>IFERROR(__xludf.DUMMYFUNCTION("""COMPUTED_VALUE"""),-0.3550951372532883)</f>
        <v>-0.3550951373</v>
      </c>
      <c r="Z286" s="53">
        <f>IFERROR(__xludf.DUMMYFUNCTION("""COMPUTED_VALUE"""),0.33985300106324323)</f>
        <v>0.3398530011</v>
      </c>
      <c r="AA286" t="str">
        <f>IFERROR(__xludf.DUMMYFUNCTION("REGEXREPLACE(REGEXREPLACE(REGEXREPLACE(REGEXREPLACE(REGEXREPLACE(REGEXREPLACE(E286,"","",),IF(Projections!$U$3="""",""PG"",),),IF(Projections!$V$3="""",""SG"",),),IF(Projections!$W$3="""",""SF"",),),IF(Projections!$X$3="""",""PF"",),),IF(Projections!$Y$3="&amp;""""",""C"",),)"),"SF")</f>
        <v>SF</v>
      </c>
    </row>
    <row r="287">
      <c r="B287">
        <f>IFERROR(__xludf.DUMMYFUNCTION("""COMPUTED_VALUE"""),272.0)</f>
        <v>272</v>
      </c>
      <c r="C287" t="str">
        <f>IFERROR(__xludf.DUMMYFUNCTION("""COMPUTED_VALUE"""),"Taurean Prince")</f>
        <v>Taurean Prince</v>
      </c>
      <c r="D287">
        <f>IFERROR(__xludf.DUMMYFUNCTION("""COMPUTED_VALUE"""),65.0)</f>
        <v>65</v>
      </c>
      <c r="E287" t="str">
        <f>IFERROR(__xludf.DUMMYFUNCTION("""COMPUTED_VALUE"""),"SF,PF")</f>
        <v>SF,PF</v>
      </c>
      <c r="F287" s="53">
        <f>IFERROR(__xludf.DUMMYFUNCTION("""COMPUTED_VALUE"""),-7.331759295708824)</f>
        <v>-7.331759296</v>
      </c>
      <c r="G287" s="53">
        <f>IFERROR(__xludf.DUMMYFUNCTION("""COMPUTED_VALUE"""),-4.765580348487992)</f>
        <v>-4.765580348</v>
      </c>
      <c r="H287" s="53">
        <f>IFERROR(__xludf.DUMMYFUNCTION("""COMPUTED_VALUE"""),2.5661789472208314)</f>
        <v>2.566178947</v>
      </c>
      <c r="I287" s="53">
        <f>IFERROR(__xludf.DUMMYFUNCTION("""COMPUTED_VALUE"""),7.4)</f>
        <v>7.4</v>
      </c>
      <c r="J287" s="53">
        <f>IFERROR(__xludf.DUMMYFUNCTION("""COMPUTED_VALUE"""),1.2)</f>
        <v>1.2</v>
      </c>
      <c r="K287" s="53">
        <f>IFERROR(__xludf.DUMMYFUNCTION("""COMPUTED_VALUE"""),2.3)</f>
        <v>2.3</v>
      </c>
      <c r="L287" s="53">
        <f>IFERROR(__xludf.DUMMYFUNCTION("""COMPUTED_VALUE"""),1.1)</f>
        <v>1.1</v>
      </c>
      <c r="M287" s="53">
        <f>IFERROR(__xludf.DUMMYFUNCTION("""COMPUTED_VALUE"""),0.6)</f>
        <v>0.6</v>
      </c>
      <c r="N287" s="53">
        <f>IFERROR(__xludf.DUMMYFUNCTION("""COMPUTED_VALUE"""),0.3)</f>
        <v>0.3</v>
      </c>
      <c r="O287" s="53">
        <f>IFERROR(__xludf.DUMMYFUNCTION("""COMPUTED_VALUE"""),45.614035087719294)</f>
        <v>45.61403509</v>
      </c>
      <c r="P287" s="53">
        <f>IFERROR(__xludf.DUMMYFUNCTION("""COMPUTED_VALUE"""),75.0)</f>
        <v>75</v>
      </c>
      <c r="Q287" s="53">
        <f>IFERROR(__xludf.DUMMYFUNCTION("""COMPUTED_VALUE"""),0.9)</f>
        <v>0.9</v>
      </c>
      <c r="R287" s="53">
        <f>IFERROR(__xludf.DUMMYFUNCTION("""COMPUTED_VALUE"""),-1.661108322220652)</f>
        <v>-1.661108322</v>
      </c>
      <c r="S287" s="53">
        <f>IFERROR(__xludf.DUMMYFUNCTION("""COMPUTED_VALUE"""),-0.38558326726780967)</f>
        <v>-0.3855832673</v>
      </c>
      <c r="T287" s="53">
        <f>IFERROR(__xludf.DUMMYFUNCTION("""COMPUTED_VALUE"""),-1.5870326706003557)</f>
        <v>-1.587032671</v>
      </c>
      <c r="U287" s="53">
        <f>IFERROR(__xludf.DUMMYFUNCTION("""COMPUTED_VALUE"""),-1.3995075164359327)</f>
        <v>-1.399507516</v>
      </c>
      <c r="V287" s="53">
        <f>IFERROR(__xludf.DUMMYFUNCTION("""COMPUTED_VALUE"""),-0.860570275155411)</f>
        <v>-0.8605702752</v>
      </c>
      <c r="W287" s="53">
        <f>IFERROR(__xludf.DUMMYFUNCTION("""COMPUTED_VALUE"""),-0.5270142365493308)</f>
        <v>-0.5270142365</v>
      </c>
      <c r="X287" s="53">
        <f>IFERROR(__xludf.DUMMYFUNCTION("""COMPUTED_VALUE"""),-0.22685347876248496)</f>
        <v>-0.2268534788</v>
      </c>
      <c r="Y287" s="53">
        <f>IFERROR(__xludf.DUMMYFUNCTION("""COMPUTED_VALUE"""),-0.11887190477991126)</f>
        <v>-0.1188719048</v>
      </c>
      <c r="Z287" s="53">
        <f>IFERROR(__xludf.DUMMYFUNCTION("""COMPUTED_VALUE"""),0.33985300106324323)</f>
        <v>0.3398530011</v>
      </c>
      <c r="AA287" t="str">
        <f>IFERROR(__xludf.DUMMYFUNCTION("REGEXREPLACE(REGEXREPLACE(REGEXREPLACE(REGEXREPLACE(REGEXREPLACE(REGEXREPLACE(E287,"","",),IF(Projections!$U$3="""",""PG"",),),IF(Projections!$V$3="""",""SG"",),),IF(Projections!$W$3="""",""SF"",),),IF(Projections!$X$3="""",""PF"",),),IF(Projections!$Y$3="&amp;""""",""C"",),)"),"SFPF")</f>
        <v>SFPF</v>
      </c>
    </row>
    <row r="288">
      <c r="B288">
        <f>IFERROR(__xludf.DUMMYFUNCTION("""COMPUTED_VALUE"""),274.0)</f>
        <v>274</v>
      </c>
      <c r="C288" t="str">
        <f>IFERROR(__xludf.DUMMYFUNCTION("""COMPUTED_VALUE"""),"Cam Thomas")</f>
        <v>Cam Thomas</v>
      </c>
      <c r="D288">
        <f>IFERROR(__xludf.DUMMYFUNCTION("""COMPUTED_VALUE"""),68.0)</f>
        <v>68</v>
      </c>
      <c r="E288" t="str">
        <f>IFERROR(__xludf.DUMMYFUNCTION("""COMPUTED_VALUE"""),"SG,SF")</f>
        <v>SG,SF</v>
      </c>
      <c r="F288" s="53">
        <f>IFERROR(__xludf.DUMMYFUNCTION("""COMPUTED_VALUE"""),-7.371371539063416)</f>
        <v>-7.371371539</v>
      </c>
      <c r="G288" s="53">
        <f>IFERROR(__xludf.DUMMYFUNCTION("""COMPUTED_VALUE"""),-4.773911973307847)</f>
        <v>-4.773911973</v>
      </c>
      <c r="H288" s="53">
        <f>IFERROR(__xludf.DUMMYFUNCTION("""COMPUTED_VALUE"""),2.5974595657555692)</f>
        <v>2.597459566</v>
      </c>
      <c r="I288" s="53">
        <f>IFERROR(__xludf.DUMMYFUNCTION("""COMPUTED_VALUE"""),10.5)</f>
        <v>10.5</v>
      </c>
      <c r="J288" s="53">
        <f>IFERROR(__xludf.DUMMYFUNCTION("""COMPUTED_VALUE"""),0.9)</f>
        <v>0.9</v>
      </c>
      <c r="K288" s="53">
        <f>IFERROR(__xludf.DUMMYFUNCTION("""COMPUTED_VALUE"""),2.3)</f>
        <v>2.3</v>
      </c>
      <c r="L288" s="53">
        <f>IFERROR(__xludf.DUMMYFUNCTION("""COMPUTED_VALUE"""),1.4)</f>
        <v>1.4</v>
      </c>
      <c r="M288" s="53">
        <f>IFERROR(__xludf.DUMMYFUNCTION("""COMPUTED_VALUE"""),0.5)</f>
        <v>0.5</v>
      </c>
      <c r="N288" s="53">
        <f>IFERROR(__xludf.DUMMYFUNCTION("""COMPUTED_VALUE"""),0.1)</f>
        <v>0.1</v>
      </c>
      <c r="O288" s="53">
        <f>IFERROR(__xludf.DUMMYFUNCTION("""COMPUTED_VALUE"""),44.18604651162791)</f>
        <v>44.18604651</v>
      </c>
      <c r="P288" s="53">
        <f>IFERROR(__xludf.DUMMYFUNCTION("""COMPUTED_VALUE"""),84.00000000000001)</f>
        <v>84</v>
      </c>
      <c r="Q288" s="53">
        <f>IFERROR(__xludf.DUMMYFUNCTION("""COMPUTED_VALUE"""),1.1)</f>
        <v>1.1</v>
      </c>
      <c r="R288" s="53">
        <f>IFERROR(__xludf.DUMMYFUNCTION("""COMPUTED_VALUE"""),-1.1386765536493952)</f>
        <v>-1.138676554</v>
      </c>
      <c r="S288" s="53">
        <f>IFERROR(__xludf.DUMMYFUNCTION("""COMPUTED_VALUE"""),-0.6457219033555379)</f>
        <v>-0.6457219034</v>
      </c>
      <c r="T288" s="53">
        <f>IFERROR(__xludf.DUMMYFUNCTION("""COMPUTED_VALUE"""),-1.5870326706003557)</f>
        <v>-1.587032671</v>
      </c>
      <c r="U288" s="53">
        <f>IFERROR(__xludf.DUMMYFUNCTION("""COMPUTED_VALUE"""),-1.246500134901392)</f>
        <v>-1.246500135</v>
      </c>
      <c r="V288" s="53">
        <f>IFERROR(__xludf.DUMMYFUNCTION("""COMPUTED_VALUE"""),-1.0786201759549239)</f>
        <v>-1.078620176</v>
      </c>
      <c r="W288" s="53">
        <f>IFERROR(__xludf.DUMMYFUNCTION("""COMPUTED_VALUE"""),-0.7896459158928509)</f>
        <v>-0.7896459159</v>
      </c>
      <c r="X288" s="53">
        <f>IFERROR(__xludf.DUMMYFUNCTION("""COMPUTED_VALUE"""),-0.4649377961079587)</f>
        <v>-0.4649377961</v>
      </c>
      <c r="Y288" s="53">
        <f>IFERROR(__xludf.DUMMYFUNCTION("""COMPUTED_VALUE"""),0.3124300148204282)</f>
        <v>0.3124300148</v>
      </c>
      <c r="Z288" s="53">
        <f>IFERROR(__xludf.DUMMYFUNCTION("""COMPUTED_VALUE"""),0.2777604917337834)</f>
        <v>0.2777604917</v>
      </c>
      <c r="AA288" t="str">
        <f>IFERROR(__xludf.DUMMYFUNCTION("REGEXREPLACE(REGEXREPLACE(REGEXREPLACE(REGEXREPLACE(REGEXREPLACE(REGEXREPLACE(E288,"","",),IF(Projections!$U$3="""",""PG"",),),IF(Projections!$V$3="""",""SG"",),),IF(Projections!$W$3="""",""SF"",),),IF(Projections!$X$3="""",""PF"",),),IF(Projections!$Y$3="&amp;""""",""C"",),)"),"SGSF")</f>
        <v>SGSF</v>
      </c>
    </row>
    <row r="289">
      <c r="B289">
        <f>IFERROR(__xludf.DUMMYFUNCTION("""COMPUTED_VALUE"""),284.0)</f>
        <v>284</v>
      </c>
      <c r="C289" t="str">
        <f>IFERROR(__xludf.DUMMYFUNCTION("""COMPUTED_VALUE"""),"Jordan Hawkins")</f>
        <v>Jordan Hawkins</v>
      </c>
      <c r="D289">
        <f>IFERROR(__xludf.DUMMYFUNCTION("""COMPUTED_VALUE"""),72.0)</f>
        <v>72</v>
      </c>
      <c r="E289" t="str">
        <f>IFERROR(__xludf.DUMMYFUNCTION("""COMPUTED_VALUE"""),"SG")</f>
        <v>SG</v>
      </c>
      <c r="F289" s="53">
        <f>IFERROR(__xludf.DUMMYFUNCTION("""COMPUTED_VALUE"""),-7.688363135478406)</f>
        <v>-7.688363135</v>
      </c>
      <c r="G289" s="53">
        <f>IFERROR(__xludf.DUMMYFUNCTION("""COMPUTED_VALUE"""),-4.784074857868627)</f>
        <v>-4.784074858</v>
      </c>
      <c r="H289" s="53">
        <f>IFERROR(__xludf.DUMMYFUNCTION("""COMPUTED_VALUE"""),2.904288277609779)</f>
        <v>2.904288278</v>
      </c>
      <c r="I289" s="53">
        <f>IFERROR(__xludf.DUMMYFUNCTION("""COMPUTED_VALUE"""),7.3)</f>
        <v>7.3</v>
      </c>
      <c r="J289" s="53">
        <f>IFERROR(__xludf.DUMMYFUNCTION("""COMPUTED_VALUE"""),1.7)</f>
        <v>1.7</v>
      </c>
      <c r="K289" s="53">
        <f>IFERROR(__xludf.DUMMYFUNCTION("""COMPUTED_VALUE"""),1.9)</f>
        <v>1.9</v>
      </c>
      <c r="L289" s="53">
        <f>IFERROR(__xludf.DUMMYFUNCTION("""COMPUTED_VALUE"""),1.0)</f>
        <v>1</v>
      </c>
      <c r="M289" s="53">
        <f>IFERROR(__xludf.DUMMYFUNCTION("""COMPUTED_VALUE"""),0.5)</f>
        <v>0.5</v>
      </c>
      <c r="N289" s="53">
        <f>IFERROR(__xludf.DUMMYFUNCTION("""COMPUTED_VALUE"""),0.1)</f>
        <v>0.1</v>
      </c>
      <c r="O289" s="53">
        <f>IFERROR(__xludf.DUMMYFUNCTION("""COMPUTED_VALUE"""),42.85714285714286)</f>
        <v>42.85714286</v>
      </c>
      <c r="P289" s="53">
        <f>IFERROR(__xludf.DUMMYFUNCTION("""COMPUTED_VALUE"""),81.81818181818181)</f>
        <v>81.81818182</v>
      </c>
      <c r="Q289" s="53">
        <f>IFERROR(__xludf.DUMMYFUNCTION("""COMPUTED_VALUE"""),0.5)</f>
        <v>0.5</v>
      </c>
      <c r="R289" s="53">
        <f>IFERROR(__xludf.DUMMYFUNCTION("""COMPUTED_VALUE"""),-1.6779609599164989)</f>
        <v>-1.67796096</v>
      </c>
      <c r="S289" s="53">
        <f>IFERROR(__xludf.DUMMYFUNCTION("""COMPUTED_VALUE"""),0.047981126211737425)</f>
        <v>0.04798112621</v>
      </c>
      <c r="T289" s="53">
        <f>IFERROR(__xludf.DUMMYFUNCTION("""COMPUTED_VALUE"""),-1.7542941500242468)</f>
        <v>-1.75429415</v>
      </c>
      <c r="U289" s="53">
        <f>IFERROR(__xludf.DUMMYFUNCTION("""COMPUTED_VALUE"""),-1.4505099769474463)</f>
        <v>-1.450509977</v>
      </c>
      <c r="V289" s="53">
        <f>IFERROR(__xludf.DUMMYFUNCTION("""COMPUTED_VALUE"""),-1.0786201759549239)</f>
        <v>-1.078620176</v>
      </c>
      <c r="W289" s="53">
        <f>IFERROR(__xludf.DUMMYFUNCTION("""COMPUTED_VALUE"""),-0.7896459158928509)</f>
        <v>-0.7896459159</v>
      </c>
      <c r="X289" s="53">
        <f>IFERROR(__xludf.DUMMYFUNCTION("""COMPUTED_VALUE"""),-0.3770843345243046)</f>
        <v>-0.3770843345</v>
      </c>
      <c r="Y289" s="53">
        <f>IFERROR(__xludf.DUMMYFUNCTION("""COMPUTED_VALUE"""),0.07772735943349546)</f>
        <v>0.07772735943</v>
      </c>
      <c r="Z289" s="53">
        <f>IFERROR(__xludf.DUMMYFUNCTION("""COMPUTED_VALUE"""),0.4640380197221629)</f>
        <v>0.4640380197</v>
      </c>
      <c r="AA289" t="str">
        <f>IFERROR(__xludf.DUMMYFUNCTION("REGEXREPLACE(REGEXREPLACE(REGEXREPLACE(REGEXREPLACE(REGEXREPLACE(REGEXREPLACE(E289,"","",),IF(Projections!$U$3="""",""PG"",),),IF(Projections!$V$3="""",""SG"",),),IF(Projections!$W$3="""",""SF"",),),IF(Projections!$X$3="""",""PF"",),),IF(Projections!$Y$3="&amp;""""",""C"",),)"),"SG")</f>
        <v>SG</v>
      </c>
    </row>
    <row r="290">
      <c r="B290">
        <f>IFERROR(__xludf.DUMMYFUNCTION("""COMPUTED_VALUE"""),287.0)</f>
        <v>287</v>
      </c>
      <c r="C290" t="str">
        <f>IFERROR(__xludf.DUMMYFUNCTION("""COMPUTED_VALUE"""),"Payton Pritchard")</f>
        <v>Payton Pritchard</v>
      </c>
      <c r="D290">
        <f>IFERROR(__xludf.DUMMYFUNCTION("""COMPUTED_VALUE"""),70.0)</f>
        <v>70</v>
      </c>
      <c r="E290" t="str">
        <f>IFERROR(__xludf.DUMMYFUNCTION("""COMPUTED_VALUE"""),"PG,SG")</f>
        <v>PG,SG</v>
      </c>
      <c r="F290" s="53">
        <f>IFERROR(__xludf.DUMMYFUNCTION("""COMPUTED_VALUE"""),-7.749445351145228)</f>
        <v>-7.749445351</v>
      </c>
      <c r="G290" s="53">
        <f>IFERROR(__xludf.DUMMYFUNCTION("""COMPUTED_VALUE"""),-4.786667638619672)</f>
        <v>-4.786667639</v>
      </c>
      <c r="H290" s="53">
        <f>IFERROR(__xludf.DUMMYFUNCTION("""COMPUTED_VALUE"""),2.962777712525556)</f>
        <v>2.962777713</v>
      </c>
      <c r="I290" s="53">
        <f>IFERROR(__xludf.DUMMYFUNCTION("""COMPUTED_VALUE"""),7.1)</f>
        <v>7.1</v>
      </c>
      <c r="J290" s="53">
        <f>IFERROR(__xludf.DUMMYFUNCTION("""COMPUTED_VALUE"""),1.6)</f>
        <v>1.6</v>
      </c>
      <c r="K290" s="53">
        <f>IFERROR(__xludf.DUMMYFUNCTION("""COMPUTED_VALUE"""),2.2)</f>
        <v>2.2</v>
      </c>
      <c r="L290" s="53">
        <f>IFERROR(__xludf.DUMMYFUNCTION("""COMPUTED_VALUE"""),2.1)</f>
        <v>2.1</v>
      </c>
      <c r="M290" s="53">
        <f>IFERROR(__xludf.DUMMYFUNCTION("""COMPUTED_VALUE"""),0.4)</f>
        <v>0.4</v>
      </c>
      <c r="N290" s="53">
        <f>IFERROR(__xludf.DUMMYFUNCTION("""COMPUTED_VALUE"""),0.1)</f>
        <v>0.1</v>
      </c>
      <c r="O290" s="53">
        <f>IFERROR(__xludf.DUMMYFUNCTION("""COMPUTED_VALUE"""),41.935483870967744)</f>
        <v>41.93548387</v>
      </c>
      <c r="P290" s="53">
        <f>IFERROR(__xludf.DUMMYFUNCTION("""COMPUTED_VALUE"""),74.99999999999999)</f>
        <v>75</v>
      </c>
      <c r="Q290" s="53">
        <f>IFERROR(__xludf.DUMMYFUNCTION("""COMPUTED_VALUE"""),0.8)</f>
        <v>0.8</v>
      </c>
      <c r="R290" s="53">
        <f>IFERROR(__xludf.DUMMYFUNCTION("""COMPUTED_VALUE"""),-1.711666235308193)</f>
        <v>-1.711666235</v>
      </c>
      <c r="S290" s="53">
        <f>IFERROR(__xludf.DUMMYFUNCTION("""COMPUTED_VALUE"""),-0.03873175248417188)</f>
        <v>-0.03873175248</v>
      </c>
      <c r="T290" s="53">
        <f>IFERROR(__xludf.DUMMYFUNCTION("""COMPUTED_VALUE"""),-1.6288480404563284)</f>
        <v>-1.62884804</v>
      </c>
      <c r="U290" s="53">
        <f>IFERROR(__xludf.DUMMYFUNCTION("""COMPUTED_VALUE"""),-0.8894829113207969)</f>
        <v>-0.8894829113</v>
      </c>
      <c r="V290" s="53">
        <f>IFERROR(__xludf.DUMMYFUNCTION("""COMPUTED_VALUE"""),-1.2966700767544366)</f>
        <v>-1.296670077</v>
      </c>
      <c r="W290" s="53">
        <f>IFERROR(__xludf.DUMMYFUNCTION("""COMPUTED_VALUE"""),-0.7896459158928509)</f>
        <v>-0.7896459159</v>
      </c>
      <c r="X290" s="53">
        <f>IFERROR(__xludf.DUMMYFUNCTION("""COMPUTED_VALUE"""),-0.47456422917909197)</f>
        <v>-0.4745642292</v>
      </c>
      <c r="Y290" s="53">
        <f>IFERROR(__xludf.DUMMYFUNCTION("""COMPUTED_VALUE"""),-0.039623968259970534)</f>
        <v>-0.03962396826</v>
      </c>
      <c r="Z290" s="53">
        <f>IFERROR(__xludf.DUMMYFUNCTION("""COMPUTED_VALUE"""),0.37089925572797316)</f>
        <v>0.3708992557</v>
      </c>
      <c r="AA290" t="str">
        <f>IFERROR(__xludf.DUMMYFUNCTION("REGEXREPLACE(REGEXREPLACE(REGEXREPLACE(REGEXREPLACE(REGEXREPLACE(REGEXREPLACE(E290,"","",),IF(Projections!$U$3="""",""PG"",),),IF(Projections!$V$3="""",""SG"",),),IF(Projections!$W$3="""",""SF"",),),IF(Projections!$X$3="""",""PF"",),),IF(Projections!$Y$3="&amp;""""",""C"",),)"),"PGSG")</f>
        <v>PGSG</v>
      </c>
    </row>
    <row r="291">
      <c r="B291">
        <f>IFERROR(__xludf.DUMMYFUNCTION("""COMPUTED_VALUE"""),303.0)</f>
        <v>303</v>
      </c>
      <c r="C291" t="str">
        <f>IFERROR(__xludf.DUMMYFUNCTION("""COMPUTED_VALUE"""),"Dean Wade")</f>
        <v>Dean Wade</v>
      </c>
      <c r="D291">
        <f>IFERROR(__xludf.DUMMYFUNCTION("""COMPUTED_VALUE"""),58.0)</f>
        <v>58</v>
      </c>
      <c r="E291" t="str">
        <f>IFERROR(__xludf.DUMMYFUNCTION("""COMPUTED_VALUE"""),"SF,PF")</f>
        <v>SF,PF</v>
      </c>
      <c r="F291" s="53">
        <f>IFERROR(__xludf.DUMMYFUNCTION("""COMPUTED_VALUE"""),-8.089226794603748)</f>
        <v>-8.089226795</v>
      </c>
      <c r="G291" s="53">
        <f>IFERROR(__xludf.DUMMYFUNCTION("""COMPUTED_VALUE"""),-4.815125310971347)</f>
        <v>-4.815125311</v>
      </c>
      <c r="H291" s="53">
        <f>IFERROR(__xludf.DUMMYFUNCTION("""COMPUTED_VALUE"""),3.2741014836324007)</f>
        <v>3.274101484</v>
      </c>
      <c r="I291" s="53">
        <f>IFERROR(__xludf.DUMMYFUNCTION("""COMPUTED_VALUE"""),4.6)</f>
        <v>4.6</v>
      </c>
      <c r="J291" s="53">
        <f>IFERROR(__xludf.DUMMYFUNCTION("""COMPUTED_VALUE"""),0.9)</f>
        <v>0.9</v>
      </c>
      <c r="K291" s="53">
        <f>IFERROR(__xludf.DUMMYFUNCTION("""COMPUTED_VALUE"""),2.9)</f>
        <v>2.9</v>
      </c>
      <c r="L291" s="53">
        <f>IFERROR(__xludf.DUMMYFUNCTION("""COMPUTED_VALUE"""),0.9)</f>
        <v>0.9</v>
      </c>
      <c r="M291" s="53">
        <f>IFERROR(__xludf.DUMMYFUNCTION("""COMPUTED_VALUE"""),0.6)</f>
        <v>0.6</v>
      </c>
      <c r="N291" s="53">
        <f>IFERROR(__xludf.DUMMYFUNCTION("""COMPUTED_VALUE"""),0.3)</f>
        <v>0.3</v>
      </c>
      <c r="O291" s="53">
        <f>IFERROR(__xludf.DUMMYFUNCTION("""COMPUTED_VALUE"""),43.58974358974359)</f>
        <v>43.58974359</v>
      </c>
      <c r="P291" s="53">
        <f>IFERROR(__xludf.DUMMYFUNCTION("""COMPUTED_VALUE"""),60.0)</f>
        <v>60</v>
      </c>
      <c r="Q291" s="53">
        <f>IFERROR(__xludf.DUMMYFUNCTION("""COMPUTED_VALUE"""),0.3)</f>
        <v>0.3</v>
      </c>
      <c r="R291" s="53">
        <f>IFERROR(__xludf.DUMMYFUNCTION("""COMPUTED_VALUE"""),-2.132982177704368)</f>
        <v>-2.132982178</v>
      </c>
      <c r="S291" s="53">
        <f>IFERROR(__xludf.DUMMYFUNCTION("""COMPUTED_VALUE"""),-0.6457219033555379)</f>
        <v>-0.6457219034</v>
      </c>
      <c r="T291" s="53">
        <f>IFERROR(__xludf.DUMMYFUNCTION("""COMPUTED_VALUE"""),-1.3361404514645185)</f>
        <v>-1.336140451</v>
      </c>
      <c r="U291" s="53">
        <f>IFERROR(__xludf.DUMMYFUNCTION("""COMPUTED_VALUE"""),-1.5015124374589601)</f>
        <v>-1.501512437</v>
      </c>
      <c r="V291" s="53">
        <f>IFERROR(__xludf.DUMMYFUNCTION("""COMPUTED_VALUE"""),-0.860570275155411)</f>
        <v>-0.8605702752</v>
      </c>
      <c r="W291" s="53">
        <f>IFERROR(__xludf.DUMMYFUNCTION("""COMPUTED_VALUE"""),-0.5270142365493308)</f>
        <v>-0.5270142365</v>
      </c>
      <c r="X291" s="53">
        <f>IFERROR(__xludf.DUMMYFUNCTION("""COMPUTED_VALUE"""),-0.23407330356583486)</f>
        <v>-0.2340733036</v>
      </c>
      <c r="Y291" s="53">
        <f>IFERROR(__xludf.DUMMYFUNCTION("""COMPUTED_VALUE"""),-0.2362232324733773)</f>
        <v>-0.2362232325</v>
      </c>
      <c r="Z291" s="53">
        <f>IFERROR(__xludf.DUMMYFUNCTION("""COMPUTED_VALUE"""),0.5261305290516227)</f>
        <v>0.5261305291</v>
      </c>
      <c r="AA291" t="str">
        <f>IFERROR(__xludf.DUMMYFUNCTION("REGEXREPLACE(REGEXREPLACE(REGEXREPLACE(REGEXREPLACE(REGEXREPLACE(REGEXREPLACE(E291,"","",),IF(Projections!$U$3="""",""PG"",),),IF(Projections!$V$3="""",""SG"",),),IF(Projections!$W$3="""",""SF"",),),IF(Projections!$X$3="""",""PF"",),),IF(Projections!$Y$3="&amp;""""",""C"",),)"),"SFPF")</f>
        <v>SFPF</v>
      </c>
    </row>
    <row r="292">
      <c r="B292">
        <f>IFERROR(__xludf.DUMMYFUNCTION("""COMPUTED_VALUE"""),309.0)</f>
        <v>309</v>
      </c>
      <c r="C292" t="str">
        <f>IFERROR(__xludf.DUMMYFUNCTION("""COMPUTED_VALUE"""),"Jordan McLaughlin")</f>
        <v>Jordan McLaughlin</v>
      </c>
      <c r="D292">
        <f>IFERROR(__xludf.DUMMYFUNCTION("""COMPUTED_VALUE"""),38.0)</f>
        <v>38</v>
      </c>
      <c r="E292" t="str">
        <f>IFERROR(__xludf.DUMMYFUNCTION("""COMPUTED_VALUE"""),"PG")</f>
        <v>PG</v>
      </c>
      <c r="F292" s="53">
        <f>IFERROR(__xludf.DUMMYFUNCTION("""COMPUTED_VALUE"""),-8.343304787590956)</f>
        <v>-8.343304788</v>
      </c>
      <c r="G292" s="53">
        <f>IFERROR(__xludf.DUMMYFUNCTION("""COMPUTED_VALUE"""),-4.8429563763091785)</f>
        <v>-4.842956376</v>
      </c>
      <c r="H292" s="53">
        <f>IFERROR(__xludf.DUMMYFUNCTION("""COMPUTED_VALUE"""),3.5003484112817773)</f>
        <v>3.500348411</v>
      </c>
      <c r="I292" s="53">
        <f>IFERROR(__xludf.DUMMYFUNCTION("""COMPUTED_VALUE"""),3.2)</f>
        <v>3.2</v>
      </c>
      <c r="J292" s="53">
        <f>IFERROR(__xludf.DUMMYFUNCTION("""COMPUTED_VALUE"""),0.4)</f>
        <v>0.4</v>
      </c>
      <c r="K292" s="53">
        <f>IFERROR(__xludf.DUMMYFUNCTION("""COMPUTED_VALUE"""),1.3)</f>
        <v>1.3</v>
      </c>
      <c r="L292" s="53">
        <f>IFERROR(__xludf.DUMMYFUNCTION("""COMPUTED_VALUE"""),2.7)</f>
        <v>2.7</v>
      </c>
      <c r="M292" s="53">
        <f>IFERROR(__xludf.DUMMYFUNCTION("""COMPUTED_VALUE"""),0.7)</f>
        <v>0.7</v>
      </c>
      <c r="N292" s="53">
        <f>IFERROR(__xludf.DUMMYFUNCTION("""COMPUTED_VALUE"""),0.1)</f>
        <v>0.1</v>
      </c>
      <c r="O292" s="53">
        <f>IFERROR(__xludf.DUMMYFUNCTION("""COMPUTED_VALUE"""),42.85714285714286)</f>
        <v>42.85714286</v>
      </c>
      <c r="P292" s="53">
        <f>IFERROR(__xludf.DUMMYFUNCTION("""COMPUTED_VALUE"""),80.0)</f>
        <v>80</v>
      </c>
      <c r="Q292" s="53">
        <f>IFERROR(__xludf.DUMMYFUNCTION("""COMPUTED_VALUE"""),0.6)</f>
        <v>0.6</v>
      </c>
      <c r="R292" s="53">
        <f>IFERROR(__xludf.DUMMYFUNCTION("""COMPUTED_VALUE"""),-2.3689191054462255)</f>
        <v>-2.368919105</v>
      </c>
      <c r="S292" s="53">
        <f>IFERROR(__xludf.DUMMYFUNCTION("""COMPUTED_VALUE"""),-1.079286296835085)</f>
        <v>-1.079286297</v>
      </c>
      <c r="T292" s="53">
        <f>IFERROR(__xludf.DUMMYFUNCTION("""COMPUTED_VALUE"""),-2.005186369160084)</f>
        <v>-2.005186369</v>
      </c>
      <c r="U292" s="53">
        <f>IFERROR(__xludf.DUMMYFUNCTION("""COMPUTED_VALUE"""),-0.5834681482517156)</f>
        <v>-0.5834681483</v>
      </c>
      <c r="V292" s="53">
        <f>IFERROR(__xludf.DUMMYFUNCTION("""COMPUTED_VALUE"""),-0.6425203743558983)</f>
        <v>-0.6425203744</v>
      </c>
      <c r="W292" s="53">
        <f>IFERROR(__xludf.DUMMYFUNCTION("""COMPUTED_VALUE"""),-0.7896459158928509)</f>
        <v>-0.7896459159</v>
      </c>
      <c r="X292" s="53">
        <f>IFERROR(__xludf.DUMMYFUNCTION("""COMPUTED_VALUE"""),-0.1885421672621523)</f>
        <v>-0.1885421673</v>
      </c>
      <c r="Y292" s="53">
        <f>IFERROR(__xludf.DUMMYFUNCTION("""COMPUTED_VALUE"""),0.01270113039117512)</f>
        <v>0.01270113039</v>
      </c>
      <c r="Z292" s="53">
        <f>IFERROR(__xludf.DUMMYFUNCTION("""COMPUTED_VALUE"""),0.43299176505743303)</f>
        <v>0.4329917651</v>
      </c>
      <c r="AA292" t="str">
        <f>IFERROR(__xludf.DUMMYFUNCTION("REGEXREPLACE(REGEXREPLACE(REGEXREPLACE(REGEXREPLACE(REGEXREPLACE(REGEXREPLACE(E292,"","",),IF(Projections!$U$3="""",""PG"",),),IF(Projections!$V$3="""",""SG"",),),IF(Projections!$W$3="""",""SF"",),),IF(Projections!$X$3="""",""PF"",),),IF(Projections!$Y$3="&amp;""""",""C"",),)"),"PG")</f>
        <v>PG</v>
      </c>
    </row>
    <row r="293">
      <c r="B293">
        <f>IFERROR(__xludf.DUMMYFUNCTION("""COMPUTED_VALUE"""),290.0)</f>
        <v>290</v>
      </c>
      <c r="C293" t="str">
        <f>IFERROR(__xludf.DUMMYFUNCTION("""COMPUTED_VALUE"""),"Danilo Gallinari")</f>
        <v>Danilo Gallinari</v>
      </c>
      <c r="D293">
        <f>IFERROR(__xludf.DUMMYFUNCTION("""COMPUTED_VALUE"""),40.0)</f>
        <v>40</v>
      </c>
      <c r="E293" t="str">
        <f>IFERROR(__xludf.DUMMYFUNCTION("""COMPUTED_VALUE"""),"SF")</f>
        <v>SF</v>
      </c>
      <c r="F293" s="53">
        <f>IFERROR(__xludf.DUMMYFUNCTION("""COMPUTED_VALUE"""),-7.825723257107793)</f>
        <v>-7.825723257</v>
      </c>
      <c r="G293" s="53">
        <f>IFERROR(__xludf.DUMMYFUNCTION("""COMPUTED_VALUE"""),-4.859016058218016)</f>
        <v>-4.859016058</v>
      </c>
      <c r="H293" s="53">
        <f>IFERROR(__xludf.DUMMYFUNCTION("""COMPUTED_VALUE"""),2.966707198889777)</f>
        <v>2.966707199</v>
      </c>
      <c r="I293" s="53">
        <f>IFERROR(__xludf.DUMMYFUNCTION("""COMPUTED_VALUE"""),7.4)</f>
        <v>7.4</v>
      </c>
      <c r="J293" s="53">
        <f>IFERROR(__xludf.DUMMYFUNCTION("""COMPUTED_VALUE"""),1.1)</f>
        <v>1.1</v>
      </c>
      <c r="K293" s="53">
        <f>IFERROR(__xludf.DUMMYFUNCTION("""COMPUTED_VALUE"""),2.9)</f>
        <v>2.9</v>
      </c>
      <c r="L293" s="53">
        <f>IFERROR(__xludf.DUMMYFUNCTION("""COMPUTED_VALUE"""),1.0)</f>
        <v>1</v>
      </c>
      <c r="M293" s="53">
        <f>IFERROR(__xludf.DUMMYFUNCTION("""COMPUTED_VALUE"""),0.3)</f>
        <v>0.3</v>
      </c>
      <c r="N293" s="53">
        <f>IFERROR(__xludf.DUMMYFUNCTION("""COMPUTED_VALUE"""),0.1)</f>
        <v>0.1</v>
      </c>
      <c r="O293" s="53">
        <f>IFERROR(__xludf.DUMMYFUNCTION("""COMPUTED_VALUE"""),43.859649122807014)</f>
        <v>43.85964912</v>
      </c>
      <c r="P293" s="53">
        <f>IFERROR(__xludf.DUMMYFUNCTION("""COMPUTED_VALUE"""),93.33333333333333)</f>
        <v>93.33333333</v>
      </c>
      <c r="Q293" s="53">
        <f>IFERROR(__xludf.DUMMYFUNCTION("""COMPUTED_VALUE"""),0.4)</f>
        <v>0.4</v>
      </c>
      <c r="R293" s="53">
        <f>IFERROR(__xludf.DUMMYFUNCTION("""COMPUTED_VALUE"""),-1.661108322220652)</f>
        <v>-1.661108322</v>
      </c>
      <c r="S293" s="53">
        <f>IFERROR(__xludf.DUMMYFUNCTION("""COMPUTED_VALUE"""),-0.472296145963719)</f>
        <v>-0.472296146</v>
      </c>
      <c r="T293" s="53">
        <f>IFERROR(__xludf.DUMMYFUNCTION("""COMPUTED_VALUE"""),-1.3361404514645185)</f>
        <v>-1.336140451</v>
      </c>
      <c r="U293" s="53">
        <f>IFERROR(__xludf.DUMMYFUNCTION("""COMPUTED_VALUE"""),-1.4505099769474463)</f>
        <v>-1.450509977</v>
      </c>
      <c r="V293" s="53">
        <f>IFERROR(__xludf.DUMMYFUNCTION("""COMPUTED_VALUE"""),-1.5147199775539493)</f>
        <v>-1.514719978</v>
      </c>
      <c r="W293" s="53">
        <f>IFERROR(__xludf.DUMMYFUNCTION("""COMPUTED_VALUE"""),-0.7896459158928509)</f>
        <v>-0.7896459159</v>
      </c>
      <c r="X293" s="53">
        <f>IFERROR(__xludf.DUMMYFUNCTION("""COMPUTED_VALUE"""),-0.3267399816850557)</f>
        <v>-0.3267399817</v>
      </c>
      <c r="Y293" s="53">
        <f>IFERROR(__xludf.DUMMYFUNCTION("""COMPUTED_VALUE"""),0.5359521169026296)</f>
        <v>0.5359521169</v>
      </c>
      <c r="Z293" s="53">
        <f>IFERROR(__xludf.DUMMYFUNCTION("""COMPUTED_VALUE"""),0.4950842743868928)</f>
        <v>0.4950842744</v>
      </c>
      <c r="AA293" t="str">
        <f>IFERROR(__xludf.DUMMYFUNCTION("REGEXREPLACE(REGEXREPLACE(REGEXREPLACE(REGEXREPLACE(REGEXREPLACE(REGEXREPLACE(E293,"","",),IF(Projections!$U$3="""",""PG"",),),IF(Projections!$V$3="""",""SG"",),),IF(Projections!$W$3="""",""SF"",),),IF(Projections!$X$3="""",""PF"",),),IF(Projections!$Y$3="&amp;""""",""C"",),)"),"SF")</f>
        <v>SF</v>
      </c>
    </row>
    <row r="294">
      <c r="B294">
        <f>IFERROR(__xludf.DUMMYFUNCTION("""COMPUTED_VALUE"""),294.0)</f>
        <v>294</v>
      </c>
      <c r="C294" t="str">
        <f>IFERROR(__xludf.DUMMYFUNCTION("""COMPUTED_VALUE"""),"Killian Hayes")</f>
        <v>Killian Hayes</v>
      </c>
      <c r="D294">
        <f>IFERROR(__xludf.DUMMYFUNCTION("""COMPUTED_VALUE"""),65.0)</f>
        <v>65</v>
      </c>
      <c r="E294" t="str">
        <f>IFERROR(__xludf.DUMMYFUNCTION("""COMPUTED_VALUE"""),"PG,SG")</f>
        <v>PG,SG</v>
      </c>
      <c r="F294" s="53">
        <f>IFERROR(__xludf.DUMMYFUNCTION("""COMPUTED_VALUE"""),-7.9389754421302365)</f>
        <v>-7.938975442</v>
      </c>
      <c r="G294" s="53">
        <f>IFERROR(__xludf.DUMMYFUNCTION("""COMPUTED_VALUE"""),-4.89058414801444)</f>
        <v>-4.890584148</v>
      </c>
      <c r="H294" s="53">
        <f>IFERROR(__xludf.DUMMYFUNCTION("""COMPUTED_VALUE"""),3.0483912941157962)</f>
        <v>3.048391294</v>
      </c>
      <c r="I294" s="53">
        <f>IFERROR(__xludf.DUMMYFUNCTION("""COMPUTED_VALUE"""),4.7)</f>
        <v>4.7</v>
      </c>
      <c r="J294" s="53">
        <f>IFERROR(__xludf.DUMMYFUNCTION("""COMPUTED_VALUE"""),0.5)</f>
        <v>0.5</v>
      </c>
      <c r="K294" s="53">
        <f>IFERROR(__xludf.DUMMYFUNCTION("""COMPUTED_VALUE"""),1.6)</f>
        <v>1.6</v>
      </c>
      <c r="L294" s="53">
        <f>IFERROR(__xludf.DUMMYFUNCTION("""COMPUTED_VALUE"""),2.8)</f>
        <v>2.8</v>
      </c>
      <c r="M294" s="53">
        <f>IFERROR(__xludf.DUMMYFUNCTION("""COMPUTED_VALUE"""),0.7)</f>
        <v>0.7</v>
      </c>
      <c r="N294" s="53">
        <f>IFERROR(__xludf.DUMMYFUNCTION("""COMPUTED_VALUE"""),0.2)</f>
        <v>0.2</v>
      </c>
      <c r="O294" s="53">
        <f>IFERROR(__xludf.DUMMYFUNCTION("""COMPUTED_VALUE"""),37.5)</f>
        <v>37.5</v>
      </c>
      <c r="P294" s="53">
        <f>IFERROR(__xludf.DUMMYFUNCTION("""COMPUTED_VALUE"""),85.71428571428572)</f>
        <v>85.71428571</v>
      </c>
      <c r="Q294" s="53">
        <f>IFERROR(__xludf.DUMMYFUNCTION("""COMPUTED_VALUE"""),1.1)</f>
        <v>1.1</v>
      </c>
      <c r="R294" s="53">
        <f>IFERROR(__xludf.DUMMYFUNCTION("""COMPUTED_VALUE"""),-2.116129540008521)</f>
        <v>-2.11612954</v>
      </c>
      <c r="S294" s="53">
        <f>IFERROR(__xludf.DUMMYFUNCTION("""COMPUTED_VALUE"""),-0.9925734181391757)</f>
        <v>-0.9925734181</v>
      </c>
      <c r="T294" s="53">
        <f>IFERROR(__xludf.DUMMYFUNCTION("""COMPUTED_VALUE"""),-1.8797402595921657)</f>
        <v>-1.87974026</v>
      </c>
      <c r="U294" s="53">
        <f>IFERROR(__xludf.DUMMYFUNCTION("""COMPUTED_VALUE"""),-0.5324656877402022)</f>
        <v>-0.5324656877</v>
      </c>
      <c r="V294" s="53">
        <f>IFERROR(__xludf.DUMMYFUNCTION("""COMPUTED_VALUE"""),-0.6425203743558983)</f>
        <v>-0.6425203744</v>
      </c>
      <c r="W294" s="53">
        <f>IFERROR(__xludf.DUMMYFUNCTION("""COMPUTED_VALUE"""),-0.6583300762210907)</f>
        <v>-0.6583300762</v>
      </c>
      <c r="X294" s="53">
        <f>IFERROR(__xludf.DUMMYFUNCTION("""COMPUTED_VALUE"""),-0.5800661513931573)</f>
        <v>-0.5800661514</v>
      </c>
      <c r="Y294" s="53">
        <f>IFERROR(__xludf.DUMMYFUNCTION("""COMPUTED_VALUE"""),0.11735132769346612)</f>
        <v>0.1173513277</v>
      </c>
      <c r="Z294" s="53">
        <f>IFERROR(__xludf.DUMMYFUNCTION("""COMPUTED_VALUE"""),0.2777604917337834)</f>
        <v>0.2777604917</v>
      </c>
      <c r="AA294" t="str">
        <f>IFERROR(__xludf.DUMMYFUNCTION("REGEXREPLACE(REGEXREPLACE(REGEXREPLACE(REGEXREPLACE(REGEXREPLACE(REGEXREPLACE(E294,"","",),IF(Projections!$U$3="""",""PG"",),),IF(Projections!$V$3="""",""SG"",),),IF(Projections!$W$3="""",""SF"",),),IF(Projections!$X$3="""",""PF"",),),IF(Projections!$Y$3="&amp;""""",""C"",),)"),"PGSG")</f>
        <v>PGSG</v>
      </c>
    </row>
    <row r="295">
      <c r="B295">
        <f>IFERROR(__xludf.DUMMYFUNCTION("""COMPUTED_VALUE"""),291.0)</f>
        <v>291</v>
      </c>
      <c r="C295" t="str">
        <f>IFERROR(__xludf.DUMMYFUNCTION("""COMPUTED_VALUE"""),"Isaiah Livers")</f>
        <v>Isaiah Livers</v>
      </c>
      <c r="D295">
        <f>IFERROR(__xludf.DUMMYFUNCTION("""COMPUTED_VALUE"""),60.0)</f>
        <v>60</v>
      </c>
      <c r="E295" t="str">
        <f>IFERROR(__xludf.DUMMYFUNCTION("""COMPUTED_VALUE"""),"SF,PF")</f>
        <v>SF,PF</v>
      </c>
      <c r="F295" s="53">
        <f>IFERROR(__xludf.DUMMYFUNCTION("""COMPUTED_VALUE"""),-7.873898082801941)</f>
        <v>-7.873898083</v>
      </c>
      <c r="G295" s="53">
        <f>IFERROR(__xludf.DUMMYFUNCTION("""COMPUTED_VALUE"""),-4.895608784454215)</f>
        <v>-4.895608784</v>
      </c>
      <c r="H295" s="53">
        <f>IFERROR(__xludf.DUMMYFUNCTION("""COMPUTED_VALUE"""),2.9782892983477263)</f>
        <v>2.978289298</v>
      </c>
      <c r="I295" s="53">
        <f>IFERROR(__xludf.DUMMYFUNCTION("""COMPUTED_VALUE"""),5.7)</f>
        <v>5.7</v>
      </c>
      <c r="J295" s="53">
        <f>IFERROR(__xludf.DUMMYFUNCTION("""COMPUTED_VALUE"""),1.2)</f>
        <v>1.2</v>
      </c>
      <c r="K295" s="53">
        <f>IFERROR(__xludf.DUMMYFUNCTION("""COMPUTED_VALUE"""),2.5)</f>
        <v>2.5</v>
      </c>
      <c r="L295" s="53">
        <f>IFERROR(__xludf.DUMMYFUNCTION("""COMPUTED_VALUE"""),0.8)</f>
        <v>0.8</v>
      </c>
      <c r="M295" s="53">
        <f>IFERROR(__xludf.DUMMYFUNCTION("""COMPUTED_VALUE"""),0.5)</f>
        <v>0.5</v>
      </c>
      <c r="N295" s="53">
        <f>IFERROR(__xludf.DUMMYFUNCTION("""COMPUTED_VALUE"""),0.4)</f>
        <v>0.4</v>
      </c>
      <c r="O295" s="53">
        <f>IFERROR(__xludf.DUMMYFUNCTION("""COMPUTED_VALUE"""),43.47826086956522)</f>
        <v>43.47826087</v>
      </c>
      <c r="P295" s="53">
        <f>IFERROR(__xludf.DUMMYFUNCTION("""COMPUTED_VALUE"""),71.42857142857143)</f>
        <v>71.42857143</v>
      </c>
      <c r="Q295" s="53">
        <f>IFERROR(__xludf.DUMMYFUNCTION("""COMPUTED_VALUE"""),0.6)</f>
        <v>0.6</v>
      </c>
      <c r="R295" s="53">
        <f>IFERROR(__xludf.DUMMYFUNCTION("""COMPUTED_VALUE"""),-1.947603163050051)</f>
        <v>-1.947603163</v>
      </c>
      <c r="S295" s="53">
        <f>IFERROR(__xludf.DUMMYFUNCTION("""COMPUTED_VALUE"""),-0.38558326726780967)</f>
        <v>-0.3855832673</v>
      </c>
      <c r="T295" s="53">
        <f>IFERROR(__xludf.DUMMYFUNCTION("""COMPUTED_VALUE"""),-1.50340193088841)</f>
        <v>-1.503401931</v>
      </c>
      <c r="U295" s="53">
        <f>IFERROR(__xludf.DUMMYFUNCTION("""COMPUTED_VALUE"""),-1.5525148979704735)</f>
        <v>-1.552514898</v>
      </c>
      <c r="V295" s="53">
        <f>IFERROR(__xludf.DUMMYFUNCTION("""COMPUTED_VALUE"""),-1.0786201759549239)</f>
        <v>-1.078620176</v>
      </c>
      <c r="W295" s="53">
        <f>IFERROR(__xludf.DUMMYFUNCTION("""COMPUTED_VALUE"""),-0.39569839687757064)</f>
        <v>-0.3956983969</v>
      </c>
      <c r="X295" s="53">
        <f>IFERROR(__xludf.DUMMYFUNCTION("""COMPUTED_VALUE"""),-0.2812088453813728)</f>
        <v>-0.2812088454</v>
      </c>
      <c r="Y295" s="53">
        <f>IFERROR(__xludf.DUMMYFUNCTION("""COMPUTED_VALUE"""),-0.13157303517108632)</f>
        <v>-0.1315730352</v>
      </c>
      <c r="Z295" s="53">
        <f>IFERROR(__xludf.DUMMYFUNCTION("""COMPUTED_VALUE"""),0.43299176505743303)</f>
        <v>0.4329917651</v>
      </c>
      <c r="AA295" t="str">
        <f>IFERROR(__xludf.DUMMYFUNCTION("REGEXREPLACE(REGEXREPLACE(REGEXREPLACE(REGEXREPLACE(REGEXREPLACE(REGEXREPLACE(E295,"","",),IF(Projections!$U$3="""",""PG"",),),IF(Projections!$V$3="""",""SG"",),),IF(Projections!$W$3="""",""SF"",),),IF(Projections!$X$3="""",""PF"",),),IF(Projections!$Y$3="&amp;""""",""C"",),)"),"SFPF")</f>
        <v>SFPF</v>
      </c>
    </row>
    <row r="296">
      <c r="B296">
        <f>IFERROR(__xludf.DUMMYFUNCTION("""COMPUTED_VALUE"""),275.0)</f>
        <v>275</v>
      </c>
      <c r="C296" t="str">
        <f>IFERROR(__xludf.DUMMYFUNCTION("""COMPUTED_VALUE"""),"Chris Duarte")</f>
        <v>Chris Duarte</v>
      </c>
      <c r="D296">
        <f>IFERROR(__xludf.DUMMYFUNCTION("""COMPUTED_VALUE"""),68.0)</f>
        <v>68</v>
      </c>
      <c r="E296" t="str">
        <f>IFERROR(__xludf.DUMMYFUNCTION("""COMPUTED_VALUE"""),"SF")</f>
        <v>SF</v>
      </c>
      <c r="F296" s="53">
        <f>IFERROR(__xludf.DUMMYFUNCTION("""COMPUTED_VALUE"""),-7.381918705261614)</f>
        <v>-7.381918705</v>
      </c>
      <c r="G296" s="53">
        <f>IFERROR(__xludf.DUMMYFUNCTION("""COMPUTED_VALUE"""),-4.907071499565708)</f>
        <v>-4.9070715</v>
      </c>
      <c r="H296" s="53">
        <f>IFERROR(__xludf.DUMMYFUNCTION("""COMPUTED_VALUE"""),2.474847205695906)</f>
        <v>2.474847206</v>
      </c>
      <c r="I296" s="53">
        <f>IFERROR(__xludf.DUMMYFUNCTION("""COMPUTED_VALUE"""),8.3)</f>
        <v>8.3</v>
      </c>
      <c r="J296" s="53">
        <f>IFERROR(__xludf.DUMMYFUNCTION("""COMPUTED_VALUE"""),1.1)</f>
        <v>1.1</v>
      </c>
      <c r="K296" s="53">
        <f>IFERROR(__xludf.DUMMYFUNCTION("""COMPUTED_VALUE"""),2.6)</f>
        <v>2.6</v>
      </c>
      <c r="L296" s="53">
        <f>IFERROR(__xludf.DUMMYFUNCTION("""COMPUTED_VALUE"""),1.4)</f>
        <v>1.4</v>
      </c>
      <c r="M296" s="53">
        <f>IFERROR(__xludf.DUMMYFUNCTION("""COMPUTED_VALUE"""),0.6)</f>
        <v>0.6</v>
      </c>
      <c r="N296" s="53">
        <f>IFERROR(__xludf.DUMMYFUNCTION("""COMPUTED_VALUE"""),0.1)</f>
        <v>0.1</v>
      </c>
      <c r="O296" s="53">
        <f>IFERROR(__xludf.DUMMYFUNCTION("""COMPUTED_VALUE"""),41.09589041095891)</f>
        <v>41.09589041</v>
      </c>
      <c r="P296" s="53">
        <f>IFERROR(__xludf.DUMMYFUNCTION("""COMPUTED_VALUE"""),85.71428571428572)</f>
        <v>85.71428571</v>
      </c>
      <c r="Q296" s="53">
        <f>IFERROR(__xludf.DUMMYFUNCTION("""COMPUTED_VALUE"""),1.0)</f>
        <v>1</v>
      </c>
      <c r="R296" s="53">
        <f>IFERROR(__xludf.DUMMYFUNCTION("""COMPUTED_VALUE"""),-1.509434582958029)</f>
        <v>-1.509434583</v>
      </c>
      <c r="S296" s="53">
        <f>IFERROR(__xludf.DUMMYFUNCTION("""COMPUTED_VALUE"""),-0.472296145963719)</f>
        <v>-0.472296146</v>
      </c>
      <c r="T296" s="53">
        <f>IFERROR(__xludf.DUMMYFUNCTION("""COMPUTED_VALUE"""),-1.461586561032437)</f>
        <v>-1.461586561</v>
      </c>
      <c r="U296" s="53">
        <f>IFERROR(__xludf.DUMMYFUNCTION("""COMPUTED_VALUE"""),-1.246500134901392)</f>
        <v>-1.246500135</v>
      </c>
      <c r="V296" s="53">
        <f>IFERROR(__xludf.DUMMYFUNCTION("""COMPUTED_VALUE"""),-0.860570275155411)</f>
        <v>-0.8605702752</v>
      </c>
      <c r="W296" s="53">
        <f>IFERROR(__xludf.DUMMYFUNCTION("""COMPUTED_VALUE"""),-0.7896459158928509)</f>
        <v>-0.7896459159</v>
      </c>
      <c r="X296" s="53">
        <f>IFERROR(__xludf.DUMMYFUNCTION("""COMPUTED_VALUE"""),-0.6199818684053451)</f>
        <v>-0.6199818684</v>
      </c>
      <c r="Y296" s="53">
        <f>IFERROR(__xludf.DUMMYFUNCTION("""COMPUTED_VALUE"""),0.23470265538693225)</f>
        <v>0.2347026554</v>
      </c>
      <c r="Z296" s="53">
        <f>IFERROR(__xludf.DUMMYFUNCTION("""COMPUTED_VALUE"""),0.30880674639851335)</f>
        <v>0.3088067464</v>
      </c>
      <c r="AA296" t="str">
        <f>IFERROR(__xludf.DUMMYFUNCTION("REGEXREPLACE(REGEXREPLACE(REGEXREPLACE(REGEXREPLACE(REGEXREPLACE(REGEXREPLACE(E296,"","",),IF(Projections!$U$3="""",""PG"",),),IF(Projections!$V$3="""",""SG"",),),IF(Projections!$W$3="""",""SF"",),),IF(Projections!$X$3="""",""PF"",),),IF(Projections!$Y$3="&amp;""""",""C"",),)"),"SF")</f>
        <v>SF</v>
      </c>
    </row>
    <row r="297">
      <c r="B297">
        <f>IFERROR(__xludf.DUMMYFUNCTION("""COMPUTED_VALUE"""),297.0)</f>
        <v>297</v>
      </c>
      <c r="C297" t="str">
        <f>IFERROR(__xludf.DUMMYFUNCTION("""COMPUTED_VALUE"""),"Danny Green")</f>
        <v>Danny Green</v>
      </c>
      <c r="D297">
        <f>IFERROR(__xludf.DUMMYFUNCTION("""COMPUTED_VALUE"""),30.0)</f>
        <v>30</v>
      </c>
      <c r="E297" t="str">
        <f>IFERROR(__xludf.DUMMYFUNCTION("""COMPUTED_VALUE"""),"SG")</f>
        <v>SG</v>
      </c>
      <c r="F297" s="53">
        <f>IFERROR(__xludf.DUMMYFUNCTION("""COMPUTED_VALUE"""),-8.015894861923323)</f>
        <v>-8.015894862</v>
      </c>
      <c r="G297" s="53">
        <f>IFERROR(__xludf.DUMMYFUNCTION("""COMPUTED_VALUE"""),-4.930586794643139)</f>
        <v>-4.930586795</v>
      </c>
      <c r="H297" s="53">
        <f>IFERROR(__xludf.DUMMYFUNCTION("""COMPUTED_VALUE"""),3.0853080672801845)</f>
        <v>3.085308067</v>
      </c>
      <c r="I297" s="53">
        <f>IFERROR(__xludf.DUMMYFUNCTION("""COMPUTED_VALUE"""),4.2)</f>
        <v>4.2</v>
      </c>
      <c r="J297" s="53">
        <f>IFERROR(__xludf.DUMMYFUNCTION("""COMPUTED_VALUE"""),1.2)</f>
        <v>1.2</v>
      </c>
      <c r="K297" s="53">
        <f>IFERROR(__xludf.DUMMYFUNCTION("""COMPUTED_VALUE"""),1.7)</f>
        <v>1.7</v>
      </c>
      <c r="L297" s="53">
        <f>IFERROR(__xludf.DUMMYFUNCTION("""COMPUTED_VALUE"""),0.7)</f>
        <v>0.7</v>
      </c>
      <c r="M297" s="53">
        <f>IFERROR(__xludf.DUMMYFUNCTION("""COMPUTED_VALUE"""),0.7)</f>
        <v>0.7</v>
      </c>
      <c r="N297" s="53">
        <f>IFERROR(__xludf.DUMMYFUNCTION("""COMPUTED_VALUE"""),0.4)</f>
        <v>0.4</v>
      </c>
      <c r="O297" s="53">
        <f>IFERROR(__xludf.DUMMYFUNCTION("""COMPUTED_VALUE"""),38.888888888888886)</f>
        <v>38.88888889</v>
      </c>
      <c r="P297" s="53">
        <f>IFERROR(__xludf.DUMMYFUNCTION("""COMPUTED_VALUE"""),50.0)</f>
        <v>50</v>
      </c>
      <c r="Q297" s="53">
        <f>IFERROR(__xludf.DUMMYFUNCTION("""COMPUTED_VALUE"""),0.5)</f>
        <v>0.5</v>
      </c>
      <c r="R297" s="53">
        <f>IFERROR(__xludf.DUMMYFUNCTION("""COMPUTED_VALUE"""),-2.200392728487756)</f>
        <v>-2.200392728</v>
      </c>
      <c r="S297" s="53">
        <f>IFERROR(__xludf.DUMMYFUNCTION("""COMPUTED_VALUE"""),-0.38558326726780967)</f>
        <v>-0.3855832673</v>
      </c>
      <c r="T297" s="53">
        <f>IFERROR(__xludf.DUMMYFUNCTION("""COMPUTED_VALUE"""),-1.8379248897361926)</f>
        <v>-1.83792489</v>
      </c>
      <c r="U297" s="53">
        <f>IFERROR(__xludf.DUMMYFUNCTION("""COMPUTED_VALUE"""),-1.603517358481987)</f>
        <v>-1.603517358</v>
      </c>
      <c r="V297" s="53">
        <f>IFERROR(__xludf.DUMMYFUNCTION("""COMPUTED_VALUE"""),-0.6425203743558983)</f>
        <v>-0.6425203744</v>
      </c>
      <c r="W297" s="53">
        <f>IFERROR(__xludf.DUMMYFUNCTION("""COMPUTED_VALUE"""),-0.39569839687757064)</f>
        <v>-0.3956983969</v>
      </c>
      <c r="X297" s="53">
        <f>IFERROR(__xludf.DUMMYFUNCTION("""COMPUTED_VALUE"""),-0.38510636208358284)</f>
        <v>-0.3851063621</v>
      </c>
      <c r="Y297" s="53">
        <f>IFERROR(__xludf.DUMMYFUNCTION("""COMPUTED_VALUE"""),-0.14427416556226144)</f>
        <v>-0.1442741656</v>
      </c>
      <c r="Z297" s="53">
        <f>IFERROR(__xludf.DUMMYFUNCTION("""COMPUTED_VALUE"""),0.4640380197221629)</f>
        <v>0.4640380197</v>
      </c>
      <c r="AA297" t="str">
        <f>IFERROR(__xludf.DUMMYFUNCTION("REGEXREPLACE(REGEXREPLACE(REGEXREPLACE(REGEXREPLACE(REGEXREPLACE(REGEXREPLACE(E297,"","",),IF(Projections!$U$3="""",""PG"",),),IF(Projections!$V$3="""",""SG"",),),IF(Projections!$W$3="""",""SF"",),),IF(Projections!$X$3="""",""PF"",),),IF(Projections!$Y$3="&amp;""""",""C"",),)"),"SG")</f>
        <v>SG</v>
      </c>
    </row>
    <row r="298">
      <c r="B298">
        <f>IFERROR(__xludf.DUMMYFUNCTION("""COMPUTED_VALUE"""),304.0)</f>
        <v>304</v>
      </c>
      <c r="C298" t="str">
        <f>IFERROR(__xludf.DUMMYFUNCTION("""COMPUTED_VALUE"""),"Haywood Highsmith")</f>
        <v>Haywood Highsmith</v>
      </c>
      <c r="D298">
        <f>IFERROR(__xludf.DUMMYFUNCTION("""COMPUTED_VALUE"""),69.0)</f>
        <v>69</v>
      </c>
      <c r="E298" t="str">
        <f>IFERROR(__xludf.DUMMYFUNCTION("""COMPUTED_VALUE"""),"SF,PF")</f>
        <v>SF,PF</v>
      </c>
      <c r="F298" s="53">
        <f>IFERROR(__xludf.DUMMYFUNCTION("""COMPUTED_VALUE"""),-8.090250422112002)</f>
        <v>-8.090250422</v>
      </c>
      <c r="G298" s="53">
        <f>IFERROR(__xludf.DUMMYFUNCTION("""COMPUTED_VALUE"""),-4.955461801777297)</f>
        <v>-4.955461802</v>
      </c>
      <c r="H298" s="53">
        <f>IFERROR(__xludf.DUMMYFUNCTION("""COMPUTED_VALUE"""),3.134788620334705)</f>
        <v>3.13478862</v>
      </c>
      <c r="I298" s="53">
        <f>IFERROR(__xludf.DUMMYFUNCTION("""COMPUTED_VALUE"""),4.6)</f>
        <v>4.6</v>
      </c>
      <c r="J298" s="53">
        <f>IFERROR(__xludf.DUMMYFUNCTION("""COMPUTED_VALUE"""),0.8)</f>
        <v>0.8</v>
      </c>
      <c r="K298" s="53">
        <f>IFERROR(__xludf.DUMMYFUNCTION("""COMPUTED_VALUE"""),3.5)</f>
        <v>3.5</v>
      </c>
      <c r="L298" s="53">
        <f>IFERROR(__xludf.DUMMYFUNCTION("""COMPUTED_VALUE"""),0.8)</f>
        <v>0.8</v>
      </c>
      <c r="M298" s="53">
        <f>IFERROR(__xludf.DUMMYFUNCTION("""COMPUTED_VALUE"""),0.6)</f>
        <v>0.6</v>
      </c>
      <c r="N298" s="53">
        <f>IFERROR(__xludf.DUMMYFUNCTION("""COMPUTED_VALUE"""),0.3)</f>
        <v>0.3</v>
      </c>
      <c r="O298" s="53">
        <f>IFERROR(__xludf.DUMMYFUNCTION("""COMPUTED_VALUE"""),41.86046511627907)</f>
        <v>41.86046512</v>
      </c>
      <c r="P298" s="53">
        <f>IFERROR(__xludf.DUMMYFUNCTION("""COMPUTED_VALUE"""),60.0)</f>
        <v>60</v>
      </c>
      <c r="Q298" s="53">
        <f>IFERROR(__xludf.DUMMYFUNCTION("""COMPUTED_VALUE"""),0.8)</f>
        <v>0.8</v>
      </c>
      <c r="R298" s="53">
        <f>IFERROR(__xludf.DUMMYFUNCTION("""COMPUTED_VALUE"""),-2.132982177704368)</f>
        <v>-2.132982178</v>
      </c>
      <c r="S298" s="53">
        <f>IFERROR(__xludf.DUMMYFUNCTION("""COMPUTED_VALUE"""),-0.7324347820514473)</f>
        <v>-0.7324347821</v>
      </c>
      <c r="T298" s="53">
        <f>IFERROR(__xludf.DUMMYFUNCTION("""COMPUTED_VALUE"""),-1.0852482323286814)</f>
        <v>-1.085248232</v>
      </c>
      <c r="U298" s="53">
        <f>IFERROR(__xludf.DUMMYFUNCTION("""COMPUTED_VALUE"""),-1.5525148979704735)</f>
        <v>-1.552514898</v>
      </c>
      <c r="V298" s="53">
        <f>IFERROR(__xludf.DUMMYFUNCTION("""COMPUTED_VALUE"""),-0.860570275155411)</f>
        <v>-0.8605702752</v>
      </c>
      <c r="W298" s="53">
        <f>IFERROR(__xludf.DUMMYFUNCTION("""COMPUTED_VALUE"""),-0.5270142365493308)</f>
        <v>-0.5270142365</v>
      </c>
      <c r="X298" s="53">
        <f>IFERROR(__xludf.DUMMYFUNCTION("""COMPUTED_VALUE"""),-0.3323554009765499)</f>
        <v>-0.332355401</v>
      </c>
      <c r="Y298" s="53">
        <f>IFERROR(__xludf.DUMMYFUNCTION("""COMPUTED_VALUE"""),-0.2362232324733773)</f>
        <v>-0.2362232325</v>
      </c>
      <c r="Z298" s="53">
        <f>IFERROR(__xludf.DUMMYFUNCTION("""COMPUTED_VALUE"""),0.37089925572797316)</f>
        <v>0.3708992557</v>
      </c>
      <c r="AA298" t="str">
        <f>IFERROR(__xludf.DUMMYFUNCTION("REGEXREPLACE(REGEXREPLACE(REGEXREPLACE(REGEXREPLACE(REGEXREPLACE(REGEXREPLACE(E298,"","",),IF(Projections!$U$3="""",""PG"",),),IF(Projections!$V$3="""",""SG"",),),IF(Projections!$W$3="""",""SF"",),),IF(Projections!$X$3="""",""PF"",),),IF(Projections!$Y$3="&amp;""""",""C"",),)"),"SFPF")</f>
        <v>SFPF</v>
      </c>
    </row>
    <row r="299">
      <c r="B299">
        <f>IFERROR(__xludf.DUMMYFUNCTION("""COMPUTED_VALUE"""),288.0)</f>
        <v>288</v>
      </c>
      <c r="C299" t="str">
        <f>IFERROR(__xludf.DUMMYFUNCTION("""COMPUTED_VALUE"""),"Georges Niang")</f>
        <v>Georges Niang</v>
      </c>
      <c r="D299">
        <f>IFERROR(__xludf.DUMMYFUNCTION("""COMPUTED_VALUE"""),73.0)</f>
        <v>73</v>
      </c>
      <c r="E299" t="str">
        <f>IFERROR(__xludf.DUMMYFUNCTION("""COMPUTED_VALUE"""),"PF")</f>
        <v>PF</v>
      </c>
      <c r="F299" s="53">
        <f>IFERROR(__xludf.DUMMYFUNCTION("""COMPUTED_VALUE"""),-7.792720062404369)</f>
        <v>-7.792720062</v>
      </c>
      <c r="G299" s="53">
        <f>IFERROR(__xludf.DUMMYFUNCTION("""COMPUTED_VALUE"""),-4.957580271686127)</f>
        <v>-4.957580272</v>
      </c>
      <c r="H299" s="53">
        <f>IFERROR(__xludf.DUMMYFUNCTION("""COMPUTED_VALUE"""),2.835139790718242)</f>
        <v>2.835139791</v>
      </c>
      <c r="I299" s="53">
        <f>IFERROR(__xludf.DUMMYFUNCTION("""COMPUTED_VALUE"""),7.7)</f>
        <v>7.7</v>
      </c>
      <c r="J299" s="53">
        <f>IFERROR(__xludf.DUMMYFUNCTION("""COMPUTED_VALUE"""),1.8)</f>
        <v>1.8</v>
      </c>
      <c r="K299" s="53">
        <f>IFERROR(__xludf.DUMMYFUNCTION("""COMPUTED_VALUE"""),2.2)</f>
        <v>2.2</v>
      </c>
      <c r="L299" s="53">
        <f>IFERROR(__xludf.DUMMYFUNCTION("""COMPUTED_VALUE"""),1.0)</f>
        <v>1</v>
      </c>
      <c r="M299" s="53">
        <f>IFERROR(__xludf.DUMMYFUNCTION("""COMPUTED_VALUE"""),0.3)</f>
        <v>0.3</v>
      </c>
      <c r="N299" s="53">
        <f>IFERROR(__xludf.DUMMYFUNCTION("""COMPUTED_VALUE"""),0.2)</f>
        <v>0.2</v>
      </c>
      <c r="O299" s="53">
        <f>IFERROR(__xludf.DUMMYFUNCTION("""COMPUTED_VALUE"""),44.26229508196722)</f>
        <v>44.26229508</v>
      </c>
      <c r="P299" s="53">
        <f>IFERROR(__xludf.DUMMYFUNCTION("""COMPUTED_VALUE"""),83.33333333333334)</f>
        <v>83.33333333</v>
      </c>
      <c r="Q299" s="53">
        <f>IFERROR(__xludf.DUMMYFUNCTION("""COMPUTED_VALUE"""),0.7)</f>
        <v>0.7</v>
      </c>
      <c r="R299" s="53">
        <f>IFERROR(__xludf.DUMMYFUNCTION("""COMPUTED_VALUE"""),-1.610550409133111)</f>
        <v>-1.610550409</v>
      </c>
      <c r="S299" s="53">
        <f>IFERROR(__xludf.DUMMYFUNCTION("""COMPUTED_VALUE"""),0.13469400490764694)</f>
        <v>0.1346940049</v>
      </c>
      <c r="T299" s="53">
        <f>IFERROR(__xludf.DUMMYFUNCTION("""COMPUTED_VALUE"""),-1.6288480404563284)</f>
        <v>-1.62884804</v>
      </c>
      <c r="U299" s="53">
        <f>IFERROR(__xludf.DUMMYFUNCTION("""COMPUTED_VALUE"""),-1.4505099769474463)</f>
        <v>-1.450509977</v>
      </c>
      <c r="V299" s="53">
        <f>IFERROR(__xludf.DUMMYFUNCTION("""COMPUTED_VALUE"""),-1.5147199775539493)</f>
        <v>-1.514719978</v>
      </c>
      <c r="W299" s="53">
        <f>IFERROR(__xludf.DUMMYFUNCTION("""COMPUTED_VALUE"""),-0.6583300762210907)</f>
        <v>-0.6583300762</v>
      </c>
      <c r="X299" s="53">
        <f>IFERROR(__xludf.DUMMYFUNCTION("""COMPUTED_VALUE"""),-0.32513557617319966)</f>
        <v>-0.3251355762</v>
      </c>
      <c r="Y299" s="53">
        <f>IFERROR(__xludf.DUMMYFUNCTION("""COMPUTED_VALUE"""),0.0650262290423206)</f>
        <v>0.06502622904</v>
      </c>
      <c r="Z299" s="53">
        <f>IFERROR(__xludf.DUMMYFUNCTION("""COMPUTED_VALUE"""),0.4019455103927031)</f>
        <v>0.4019455104</v>
      </c>
      <c r="AA299" t="str">
        <f>IFERROR(__xludf.DUMMYFUNCTION("REGEXREPLACE(REGEXREPLACE(REGEXREPLACE(REGEXREPLACE(REGEXREPLACE(REGEXREPLACE(E299,"","",),IF(Projections!$U$3="""",""PG"",),),IF(Projections!$V$3="""",""SG"",),),IF(Projections!$W$3="""",""SF"",),),IF(Projections!$X$3="""",""PF"",),),IF(Projections!$Y$3="&amp;""""",""C"",),)"),"PF")</f>
        <v>PF</v>
      </c>
    </row>
    <row r="300">
      <c r="B300">
        <f>IFERROR(__xludf.DUMMYFUNCTION("""COMPUTED_VALUE"""),305.0)</f>
        <v>305</v>
      </c>
      <c r="C300" t="str">
        <f>IFERROR(__xludf.DUMMYFUNCTION("""COMPUTED_VALUE"""),"Ish Wainright")</f>
        <v>Ish Wainright</v>
      </c>
      <c r="D300">
        <f>IFERROR(__xludf.DUMMYFUNCTION("""COMPUTED_VALUE"""),45.0)</f>
        <v>45</v>
      </c>
      <c r="E300" t="str">
        <f>IFERROR(__xludf.DUMMYFUNCTION("""COMPUTED_VALUE"""),"SF,PF")</f>
        <v>SF,PF</v>
      </c>
      <c r="F300" s="53">
        <f>IFERROR(__xludf.DUMMYFUNCTION("""COMPUTED_VALUE"""),-8.16781630971736)</f>
        <v>-8.16781631</v>
      </c>
      <c r="G300" s="53">
        <f>IFERROR(__xludf.DUMMYFUNCTION("""COMPUTED_VALUE"""),-4.973024710159726)</f>
        <v>-4.97302471</v>
      </c>
      <c r="H300" s="53">
        <f>IFERROR(__xludf.DUMMYFUNCTION("""COMPUTED_VALUE"""),3.1947915995576333)</f>
        <v>3.1947916</v>
      </c>
      <c r="I300" s="53">
        <f>IFERROR(__xludf.DUMMYFUNCTION("""COMPUTED_VALUE"""),4.1)</f>
        <v>4.1</v>
      </c>
      <c r="J300" s="53">
        <f>IFERROR(__xludf.DUMMYFUNCTION("""COMPUTED_VALUE"""),0.9)</f>
        <v>0.9</v>
      </c>
      <c r="K300" s="53">
        <f>IFERROR(__xludf.DUMMYFUNCTION("""COMPUTED_VALUE"""),2.2)</f>
        <v>2.2</v>
      </c>
      <c r="L300" s="53">
        <f>IFERROR(__xludf.DUMMYFUNCTION("""COMPUTED_VALUE"""),0.8)</f>
        <v>0.8</v>
      </c>
      <c r="M300" s="53">
        <f>IFERROR(__xludf.DUMMYFUNCTION("""COMPUTED_VALUE"""),0.7)</f>
        <v>0.7</v>
      </c>
      <c r="N300" s="53">
        <f>IFERROR(__xludf.DUMMYFUNCTION("""COMPUTED_VALUE"""),0.3)</f>
        <v>0.3</v>
      </c>
      <c r="O300" s="53">
        <f>IFERROR(__xludf.DUMMYFUNCTION("""COMPUTED_VALUE"""),36.84210526315789)</f>
        <v>36.84210526</v>
      </c>
      <c r="P300" s="53">
        <f>IFERROR(__xludf.DUMMYFUNCTION("""COMPUTED_VALUE"""),80.0)</f>
        <v>80</v>
      </c>
      <c r="Q300" s="53">
        <f>IFERROR(__xludf.DUMMYFUNCTION("""COMPUTED_VALUE"""),0.4)</f>
        <v>0.4</v>
      </c>
      <c r="R300" s="53">
        <f>IFERROR(__xludf.DUMMYFUNCTION("""COMPUTED_VALUE"""),-2.2172453661836027)</f>
        <v>-2.217245366</v>
      </c>
      <c r="S300" s="53">
        <f>IFERROR(__xludf.DUMMYFUNCTION("""COMPUTED_VALUE"""),-0.6457219033555379)</f>
        <v>-0.6457219034</v>
      </c>
      <c r="T300" s="53">
        <f>IFERROR(__xludf.DUMMYFUNCTION("""COMPUTED_VALUE"""),-1.6288480404563284)</f>
        <v>-1.62884804</v>
      </c>
      <c r="U300" s="53">
        <f>IFERROR(__xludf.DUMMYFUNCTION("""COMPUTED_VALUE"""),-1.5525148979704735)</f>
        <v>-1.552514898</v>
      </c>
      <c r="V300" s="53">
        <f>IFERROR(__xludf.DUMMYFUNCTION("""COMPUTED_VALUE"""),-0.6425203743558983)</f>
        <v>-0.6425203744</v>
      </c>
      <c r="W300" s="53">
        <f>IFERROR(__xludf.DUMMYFUNCTION("""COMPUTED_VALUE"""),-0.5270142365493308)</f>
        <v>-0.5270142365</v>
      </c>
      <c r="X300" s="53">
        <f>IFERROR(__xludf.DUMMYFUNCTION("""COMPUTED_VALUE"""),-0.4841906622502256)</f>
        <v>-0.4841906623</v>
      </c>
      <c r="Y300" s="53">
        <f>IFERROR(__xludf.DUMMYFUNCTION("""COMPUTED_VALUE"""),0.01270113039117512)</f>
        <v>0.01270113039</v>
      </c>
      <c r="Z300" s="53">
        <f>IFERROR(__xludf.DUMMYFUNCTION("""COMPUTED_VALUE"""),0.4950842743868928)</f>
        <v>0.4950842744</v>
      </c>
      <c r="AA300" t="str">
        <f>IFERROR(__xludf.DUMMYFUNCTION("REGEXREPLACE(REGEXREPLACE(REGEXREPLACE(REGEXREPLACE(REGEXREPLACE(REGEXREPLACE(E300,"","",),IF(Projections!$U$3="""",""PG"",),),IF(Projections!$V$3="""",""SG"",),),IF(Projections!$W$3="""",""SF"",),),IF(Projections!$X$3="""",""PF"",),),IF(Projections!$Y$3="&amp;""""",""C"",),)"),"SFPF")</f>
        <v>SFPF</v>
      </c>
    </row>
    <row r="301">
      <c r="B301">
        <f>IFERROR(__xludf.DUMMYFUNCTION("""COMPUTED_VALUE"""),302.0)</f>
        <v>302</v>
      </c>
      <c r="C301" t="str">
        <f>IFERROR(__xludf.DUMMYFUNCTION("""COMPUTED_VALUE"""),"Davion Mitchell")</f>
        <v>Davion Mitchell</v>
      </c>
      <c r="D301">
        <f>IFERROR(__xludf.DUMMYFUNCTION("""COMPUTED_VALUE"""),78.0)</f>
        <v>78</v>
      </c>
      <c r="E301" t="str">
        <f>IFERROR(__xludf.DUMMYFUNCTION("""COMPUTED_VALUE"""),"PG,SG")</f>
        <v>PG,SG</v>
      </c>
      <c r="F301" s="53">
        <f>IFERROR(__xludf.DUMMYFUNCTION("""COMPUTED_VALUE"""),-8.061919151333038)</f>
        <v>-8.061919151</v>
      </c>
      <c r="G301" s="53">
        <f>IFERROR(__xludf.DUMMYFUNCTION("""COMPUTED_VALUE"""),-4.975513397343167)</f>
        <v>-4.975513397</v>
      </c>
      <c r="H301" s="53">
        <f>IFERROR(__xludf.DUMMYFUNCTION("""COMPUTED_VALUE"""),3.0864057539898715)</f>
        <v>3.086405754</v>
      </c>
      <c r="I301" s="53">
        <f>IFERROR(__xludf.DUMMYFUNCTION("""COMPUTED_VALUE"""),7.1)</f>
        <v>7.1</v>
      </c>
      <c r="J301" s="53">
        <f>IFERROR(__xludf.DUMMYFUNCTION("""COMPUTED_VALUE"""),0.9)</f>
        <v>0.9</v>
      </c>
      <c r="K301" s="53">
        <f>IFERROR(__xludf.DUMMYFUNCTION("""COMPUTED_VALUE"""),1.5)</f>
        <v>1.5</v>
      </c>
      <c r="L301" s="53">
        <f>IFERROR(__xludf.DUMMYFUNCTION("""COMPUTED_VALUE"""),2.7)</f>
        <v>2.7</v>
      </c>
      <c r="M301" s="53">
        <f>IFERROR(__xludf.DUMMYFUNCTION("""COMPUTED_VALUE"""),0.5)</f>
        <v>0.5</v>
      </c>
      <c r="N301" s="53">
        <f>IFERROR(__xludf.DUMMYFUNCTION("""COMPUTED_VALUE"""),0.2)</f>
        <v>0.2</v>
      </c>
      <c r="O301" s="53">
        <f>IFERROR(__xludf.DUMMYFUNCTION("""COMPUTED_VALUE"""),43.28358208955223)</f>
        <v>43.28358209</v>
      </c>
      <c r="P301" s="53">
        <f>IFERROR(__xludf.DUMMYFUNCTION("""COMPUTED_VALUE"""),66.66666666666667)</f>
        <v>66.66666667</v>
      </c>
      <c r="Q301" s="53">
        <f>IFERROR(__xludf.DUMMYFUNCTION("""COMPUTED_VALUE"""),1.0)</f>
        <v>1</v>
      </c>
      <c r="R301" s="53">
        <f>IFERROR(__xludf.DUMMYFUNCTION("""COMPUTED_VALUE"""),-1.711666235308193)</f>
        <v>-1.711666235</v>
      </c>
      <c r="S301" s="53">
        <f>IFERROR(__xludf.DUMMYFUNCTION("""COMPUTED_VALUE"""),-0.6457219033555379)</f>
        <v>-0.6457219034</v>
      </c>
      <c r="T301" s="53">
        <f>IFERROR(__xludf.DUMMYFUNCTION("""COMPUTED_VALUE"""),-1.9215556294481384)</f>
        <v>-1.921555629</v>
      </c>
      <c r="U301" s="53">
        <f>IFERROR(__xludf.DUMMYFUNCTION("""COMPUTED_VALUE"""),-0.5834681482517156)</f>
        <v>-0.5834681483</v>
      </c>
      <c r="V301" s="53">
        <f>IFERROR(__xludf.DUMMYFUNCTION("""COMPUTED_VALUE"""),-1.0786201759549239)</f>
        <v>-1.078620176</v>
      </c>
      <c r="W301" s="53">
        <f>IFERROR(__xludf.DUMMYFUNCTION("""COMPUTED_VALUE"""),-0.6583300762210907)</f>
        <v>-0.6583300762</v>
      </c>
      <c r="X301" s="53">
        <f>IFERROR(__xludf.DUMMYFUNCTION("""COMPUTED_VALUE"""),-0.42261547082798756)</f>
        <v>-0.4226154708</v>
      </c>
      <c r="Y301" s="53">
        <f>IFERROR(__xludf.DUMMYFUNCTION("""COMPUTED_VALUE"""),-0.18389813382223172)</f>
        <v>-0.1838981338</v>
      </c>
      <c r="Z301" s="53">
        <f>IFERROR(__xludf.DUMMYFUNCTION("""COMPUTED_VALUE"""),0.30880674639851335)</f>
        <v>0.3088067464</v>
      </c>
      <c r="AA301" t="str">
        <f>IFERROR(__xludf.DUMMYFUNCTION("REGEXREPLACE(REGEXREPLACE(REGEXREPLACE(REGEXREPLACE(REGEXREPLACE(REGEXREPLACE(E301,"","",),IF(Projections!$U$3="""",""PG"",),),IF(Projections!$V$3="""",""SG"",),),IF(Projections!$W$3="""",""SF"",),),IF(Projections!$X$3="""",""PF"",),),IF(Projections!$Y$3="&amp;""""",""C"",),)"),"PGSG")</f>
        <v>PGSG</v>
      </c>
    </row>
    <row r="302">
      <c r="B302">
        <f>IFERROR(__xludf.DUMMYFUNCTION("""COMPUTED_VALUE"""),279.0)</f>
        <v>279</v>
      </c>
      <c r="C302" t="str">
        <f>IFERROR(__xludf.DUMMYFUNCTION("""COMPUTED_VALUE"""),"Talen Horton-Tucker")</f>
        <v>Talen Horton-Tucker</v>
      </c>
      <c r="D302">
        <f>IFERROR(__xludf.DUMMYFUNCTION("""COMPUTED_VALUE"""),60.0)</f>
        <v>60</v>
      </c>
      <c r="E302" t="str">
        <f>IFERROR(__xludf.DUMMYFUNCTION("""COMPUTED_VALUE"""),"SG,SF")</f>
        <v>SG,SF</v>
      </c>
      <c r="F302" s="53">
        <f>IFERROR(__xludf.DUMMYFUNCTION("""COMPUTED_VALUE"""),-7.611029756723778)</f>
        <v>-7.611029757</v>
      </c>
      <c r="G302" s="53">
        <f>IFERROR(__xludf.DUMMYFUNCTION("""COMPUTED_VALUE"""),-5.000372073033052)</f>
        <v>-5.000372073</v>
      </c>
      <c r="H302" s="53">
        <f>IFERROR(__xludf.DUMMYFUNCTION("""COMPUTED_VALUE"""),2.610657683690726)</f>
        <v>2.610657684</v>
      </c>
      <c r="I302" s="53">
        <f>IFERROR(__xludf.DUMMYFUNCTION("""COMPUTED_VALUE"""),7.4)</f>
        <v>7.4</v>
      </c>
      <c r="J302" s="53">
        <f>IFERROR(__xludf.DUMMYFUNCTION("""COMPUTED_VALUE"""),0.6)</f>
        <v>0.6</v>
      </c>
      <c r="K302" s="53">
        <f>IFERROR(__xludf.DUMMYFUNCTION("""COMPUTED_VALUE"""),2.3)</f>
        <v>2.3</v>
      </c>
      <c r="L302" s="53">
        <f>IFERROR(__xludf.DUMMYFUNCTION("""COMPUTED_VALUE"""),2.3)</f>
        <v>2.3</v>
      </c>
      <c r="M302" s="53">
        <f>IFERROR(__xludf.DUMMYFUNCTION("""COMPUTED_VALUE"""),0.6)</f>
        <v>0.6</v>
      </c>
      <c r="N302" s="53">
        <f>IFERROR(__xludf.DUMMYFUNCTION("""COMPUTED_VALUE"""),0.3)</f>
        <v>0.3</v>
      </c>
      <c r="O302" s="53">
        <f>IFERROR(__xludf.DUMMYFUNCTION("""COMPUTED_VALUE"""),42.42424242424242)</f>
        <v>42.42424242</v>
      </c>
      <c r="P302" s="53">
        <f>IFERROR(__xludf.DUMMYFUNCTION("""COMPUTED_VALUE"""),76.47058823529413)</f>
        <v>76.47058824</v>
      </c>
      <c r="Q302" s="53">
        <f>IFERROR(__xludf.DUMMYFUNCTION("""COMPUTED_VALUE"""),1.2)</f>
        <v>1.2</v>
      </c>
      <c r="R302" s="53">
        <f>IFERROR(__xludf.DUMMYFUNCTION("""COMPUTED_VALUE"""),-1.661108322220652)</f>
        <v>-1.661108322</v>
      </c>
      <c r="S302" s="53">
        <f>IFERROR(__xludf.DUMMYFUNCTION("""COMPUTED_VALUE"""),-0.9058605394432663)</f>
        <v>-0.9058605394</v>
      </c>
      <c r="T302" s="53">
        <f>IFERROR(__xludf.DUMMYFUNCTION("""COMPUTED_VALUE"""),-1.5870326706003557)</f>
        <v>-1.587032671</v>
      </c>
      <c r="U302" s="53">
        <f>IFERROR(__xludf.DUMMYFUNCTION("""COMPUTED_VALUE"""),-0.78747799029777)</f>
        <v>-0.7874779903</v>
      </c>
      <c r="V302" s="53">
        <f>IFERROR(__xludf.DUMMYFUNCTION("""COMPUTED_VALUE"""),-0.860570275155411)</f>
        <v>-0.8605702752</v>
      </c>
      <c r="W302" s="53">
        <f>IFERROR(__xludf.DUMMYFUNCTION("""COMPUTED_VALUE"""),-0.5270142365493308)</f>
        <v>-0.5270142365</v>
      </c>
      <c r="X302" s="53">
        <f>IFERROR(__xludf.DUMMYFUNCTION("""COMPUTED_VALUE"""),-0.47295982366723643)</f>
        <v>-0.4729598237</v>
      </c>
      <c r="Y302" s="53">
        <f>IFERROR(__xludf.DUMMYFUNCTION("""COMPUTED_VALUE"""),-0.10617077438873597)</f>
        <v>-0.1061707744</v>
      </c>
      <c r="Z302" s="53">
        <f>IFERROR(__xludf.DUMMYFUNCTION("""COMPUTED_VALUE"""),0.24671423706905354)</f>
        <v>0.2467142371</v>
      </c>
      <c r="AA302" t="str">
        <f>IFERROR(__xludf.DUMMYFUNCTION("REGEXREPLACE(REGEXREPLACE(REGEXREPLACE(REGEXREPLACE(REGEXREPLACE(REGEXREPLACE(E302,"","",),IF(Projections!$U$3="""",""PG"",),),IF(Projections!$V$3="""",""SG"",),),IF(Projections!$W$3="""",""SF"",),),IF(Projections!$X$3="""",""PF"",),),IF(Projections!$Y$3="&amp;""""",""C"",),)"),"SGSF")</f>
        <v>SGSF</v>
      </c>
    </row>
    <row r="303">
      <c r="B303">
        <f>IFERROR(__xludf.DUMMYFUNCTION("""COMPUTED_VALUE"""),299.0)</f>
        <v>299</v>
      </c>
      <c r="C303" t="str">
        <f>IFERROR(__xludf.DUMMYFUNCTION("""COMPUTED_VALUE"""),"Duncan Robinson")</f>
        <v>Duncan Robinson</v>
      </c>
      <c r="D303">
        <f>IFERROR(__xludf.DUMMYFUNCTION("""COMPUTED_VALUE"""),59.0)</f>
        <v>59</v>
      </c>
      <c r="E303" t="str">
        <f>IFERROR(__xludf.DUMMYFUNCTION("""COMPUTED_VALUE"""),"SG,SF")</f>
        <v>SG,SF</v>
      </c>
      <c r="F303" s="53">
        <f>IFERROR(__xludf.DUMMYFUNCTION("""COMPUTED_VALUE"""),-8.02961793727113)</f>
        <v>-8.029617937</v>
      </c>
      <c r="G303" s="53">
        <f>IFERROR(__xludf.DUMMYFUNCTION("""COMPUTED_VALUE"""),-5.0004973752740325)</f>
        <v>-5.000497375</v>
      </c>
      <c r="H303" s="53">
        <f>IFERROR(__xludf.DUMMYFUNCTION("""COMPUTED_VALUE"""),3.0291205619970976)</f>
        <v>3.029120562</v>
      </c>
      <c r="I303" s="53">
        <f>IFERROR(__xludf.DUMMYFUNCTION("""COMPUTED_VALUE"""),7.4)</f>
        <v>7.4</v>
      </c>
      <c r="J303" s="53">
        <f>IFERROR(__xludf.DUMMYFUNCTION("""COMPUTED_VALUE"""),1.9)</f>
        <v>1.9</v>
      </c>
      <c r="K303" s="53">
        <f>IFERROR(__xludf.DUMMYFUNCTION("""COMPUTED_VALUE"""),1.8)</f>
        <v>1.8</v>
      </c>
      <c r="L303" s="53">
        <f>IFERROR(__xludf.DUMMYFUNCTION("""COMPUTED_VALUE"""),1.2)</f>
        <v>1.2</v>
      </c>
      <c r="M303" s="53">
        <f>IFERROR(__xludf.DUMMYFUNCTION("""COMPUTED_VALUE"""),0.4)</f>
        <v>0.4</v>
      </c>
      <c r="N303" s="53">
        <f>IFERROR(__xludf.DUMMYFUNCTION("""COMPUTED_VALUE"""),0.1)</f>
        <v>0.1</v>
      </c>
      <c r="O303" s="53">
        <f>IFERROR(__xludf.DUMMYFUNCTION("""COMPUTED_VALUE"""),39.682539682539684)</f>
        <v>39.68253968</v>
      </c>
      <c r="P303" s="53">
        <f>IFERROR(__xludf.DUMMYFUNCTION("""COMPUTED_VALUE"""),83.33333333333334)</f>
        <v>83.33333333</v>
      </c>
      <c r="Q303" s="53">
        <f>IFERROR(__xludf.DUMMYFUNCTION("""COMPUTED_VALUE"""),0.6)</f>
        <v>0.6</v>
      </c>
      <c r="R303" s="53">
        <f>IFERROR(__xludf.DUMMYFUNCTION("""COMPUTED_VALUE"""),-1.661108322220652)</f>
        <v>-1.661108322</v>
      </c>
      <c r="S303" s="53">
        <f>IFERROR(__xludf.DUMMYFUNCTION("""COMPUTED_VALUE"""),0.2214068836035562)</f>
        <v>0.2214068836</v>
      </c>
      <c r="T303" s="53">
        <f>IFERROR(__xludf.DUMMYFUNCTION("""COMPUTED_VALUE"""),-1.79610951988022)</f>
        <v>-1.79610952</v>
      </c>
      <c r="U303" s="53">
        <f>IFERROR(__xludf.DUMMYFUNCTION("""COMPUTED_VALUE"""),-1.3485050559244194)</f>
        <v>-1.348505056</v>
      </c>
      <c r="V303" s="53">
        <f>IFERROR(__xludf.DUMMYFUNCTION("""COMPUTED_VALUE"""),-1.2966700767544366)</f>
        <v>-1.296670077</v>
      </c>
      <c r="W303" s="53">
        <f>IFERROR(__xludf.DUMMYFUNCTION("""COMPUTED_VALUE"""),-0.7896459158928509)</f>
        <v>-0.7896459159</v>
      </c>
      <c r="X303" s="53">
        <f>IFERROR(__xludf.DUMMYFUNCTION("""COMPUTED_VALUE"""),-0.623992882184984)</f>
        <v>-0.6239928822</v>
      </c>
      <c r="Y303" s="53">
        <f>IFERROR(__xludf.DUMMYFUNCTION("""COMPUTED_VALUE"""),0.0650262290423206)</f>
        <v>0.06502622904</v>
      </c>
      <c r="Z303" s="53">
        <f>IFERROR(__xludf.DUMMYFUNCTION("""COMPUTED_VALUE"""),0.43299176505743303)</f>
        <v>0.4329917651</v>
      </c>
      <c r="AA303" t="str">
        <f>IFERROR(__xludf.DUMMYFUNCTION("REGEXREPLACE(REGEXREPLACE(REGEXREPLACE(REGEXREPLACE(REGEXREPLACE(REGEXREPLACE(E303,"","",),IF(Projections!$U$3="""",""PG"",),),IF(Projections!$V$3="""",""SG"",),),IF(Projections!$W$3="""",""SF"",),),IF(Projections!$X$3="""",""PF"",),),IF(Projections!$Y$3="&amp;""""",""C"",),)"),"SGSF")</f>
        <v>SGSF</v>
      </c>
    </row>
    <row r="304">
      <c r="B304">
        <f>IFERROR(__xludf.DUMMYFUNCTION("""COMPUTED_VALUE"""),283.0)</f>
        <v>283</v>
      </c>
      <c r="C304" t="str">
        <f>IFERROR(__xludf.DUMMYFUNCTION("""COMPUTED_VALUE"""),"Nikola Jovic")</f>
        <v>Nikola Jovic</v>
      </c>
      <c r="D304">
        <f>IFERROR(__xludf.DUMMYFUNCTION("""COMPUTED_VALUE"""),64.0)</f>
        <v>64</v>
      </c>
      <c r="E304" t="str">
        <f>IFERROR(__xludf.DUMMYFUNCTION("""COMPUTED_VALUE"""),"PF,C")</f>
        <v>PF,C</v>
      </c>
      <c r="F304" s="53">
        <f>IFERROR(__xludf.DUMMYFUNCTION("""COMPUTED_VALUE"""),-7.6659363144966175)</f>
        <v>-7.665936314</v>
      </c>
      <c r="G304" s="53">
        <f>IFERROR(__xludf.DUMMYFUNCTION("""COMPUTED_VALUE"""),-5.016198748666053)</f>
        <v>-5.016198749</v>
      </c>
      <c r="H304" s="53">
        <f>IFERROR(__xludf.DUMMYFUNCTION("""COMPUTED_VALUE"""),2.6497375658305646)</f>
        <v>2.649737566</v>
      </c>
      <c r="I304" s="53">
        <f>IFERROR(__xludf.DUMMYFUNCTION("""COMPUTED_VALUE"""),7.0)</f>
        <v>7</v>
      </c>
      <c r="J304" s="53">
        <f>IFERROR(__xludf.DUMMYFUNCTION("""COMPUTED_VALUE"""),0.7)</f>
        <v>0.7</v>
      </c>
      <c r="K304" s="53">
        <f>IFERROR(__xludf.DUMMYFUNCTION("""COMPUTED_VALUE"""),2.6)</f>
        <v>2.6</v>
      </c>
      <c r="L304" s="53">
        <f>IFERROR(__xludf.DUMMYFUNCTION("""COMPUTED_VALUE"""),0.8)</f>
        <v>0.8</v>
      </c>
      <c r="M304" s="53">
        <f>IFERROR(__xludf.DUMMYFUNCTION("""COMPUTED_VALUE"""),0.6)</f>
        <v>0.6</v>
      </c>
      <c r="N304" s="53">
        <f>IFERROR(__xludf.DUMMYFUNCTION("""COMPUTED_VALUE"""),0.2)</f>
        <v>0.2</v>
      </c>
      <c r="O304" s="53">
        <f>IFERROR(__xludf.DUMMYFUNCTION("""COMPUTED_VALUE"""),42.10526315789473)</f>
        <v>42.10526316</v>
      </c>
      <c r="P304" s="53">
        <f>IFERROR(__xludf.DUMMYFUNCTION("""COMPUTED_VALUE"""),88.23529411764706)</f>
        <v>88.23529412</v>
      </c>
      <c r="Q304" s="53">
        <f>IFERROR(__xludf.DUMMYFUNCTION("""COMPUTED_VALUE"""),0.8)</f>
        <v>0.8</v>
      </c>
      <c r="R304" s="53">
        <f>IFERROR(__xludf.DUMMYFUNCTION("""COMPUTED_VALUE"""),-1.72851887300404)</f>
        <v>-1.728518873</v>
      </c>
      <c r="S304" s="53">
        <f>IFERROR(__xludf.DUMMYFUNCTION("""COMPUTED_VALUE"""),-0.8191476607473568)</f>
        <v>-0.8191476607</v>
      </c>
      <c r="T304" s="53">
        <f>IFERROR(__xludf.DUMMYFUNCTION("""COMPUTED_VALUE"""),-1.461586561032437)</f>
        <v>-1.461586561</v>
      </c>
      <c r="U304" s="53">
        <f>IFERROR(__xludf.DUMMYFUNCTION("""COMPUTED_VALUE"""),-1.5525148979704735)</f>
        <v>-1.552514898</v>
      </c>
      <c r="V304" s="53">
        <f>IFERROR(__xludf.DUMMYFUNCTION("""COMPUTED_VALUE"""),-0.860570275155411)</f>
        <v>-0.8605702752</v>
      </c>
      <c r="W304" s="53">
        <f>IFERROR(__xludf.DUMMYFUNCTION("""COMPUTED_VALUE"""),-0.6583300762210907)</f>
        <v>-0.6583300762</v>
      </c>
      <c r="X304" s="53">
        <f>IFERROR(__xludf.DUMMYFUNCTION("""COMPUTED_VALUE"""),-0.42662648460762637)</f>
        <v>-0.4266264846</v>
      </c>
      <c r="Y304" s="53">
        <f>IFERROR(__xludf.DUMMYFUNCTION("""COMPUTED_VALUE"""),0.3916779513403684)</f>
        <v>0.3916779513</v>
      </c>
      <c r="Z304" s="53">
        <f>IFERROR(__xludf.DUMMYFUNCTION("""COMPUTED_VALUE"""),0.37089925572797316)</f>
        <v>0.3708992557</v>
      </c>
      <c r="AA304" t="str">
        <f>IFERROR(__xludf.DUMMYFUNCTION("REGEXREPLACE(REGEXREPLACE(REGEXREPLACE(REGEXREPLACE(REGEXREPLACE(REGEXREPLACE(E304,"","",),IF(Projections!$U$3="""",""PG"",),),IF(Projections!$V$3="""",""SG"",),),IF(Projections!$W$3="""",""SF"",),),IF(Projections!$X$3="""",""PF"",),),IF(Projections!$Y$3="&amp;""""",""C"",),)"),"PFC")</f>
        <v>PFC</v>
      </c>
    </row>
    <row r="305">
      <c r="B305">
        <f>IFERROR(__xludf.DUMMYFUNCTION("""COMPUTED_VALUE"""),298.0)</f>
        <v>298</v>
      </c>
      <c r="C305" t="str">
        <f>IFERROR(__xludf.DUMMYFUNCTION("""COMPUTED_VALUE"""),"Ousmane Dieng")</f>
        <v>Ousmane Dieng</v>
      </c>
      <c r="D305">
        <f>IFERROR(__xludf.DUMMYFUNCTION("""COMPUTED_VALUE"""),64.0)</f>
        <v>64</v>
      </c>
      <c r="E305" t="str">
        <f>IFERROR(__xludf.DUMMYFUNCTION("""COMPUTED_VALUE"""),"SF,PF")</f>
        <v>SF,PF</v>
      </c>
      <c r="F305" s="53">
        <f>IFERROR(__xludf.DUMMYFUNCTION("""COMPUTED_VALUE"""),-8.018108051367301)</f>
        <v>-8.018108051</v>
      </c>
      <c r="G305" s="53">
        <f>IFERROR(__xludf.DUMMYFUNCTION("""COMPUTED_VALUE"""),-5.0202597419527795)</f>
        <v>-5.020259742</v>
      </c>
      <c r="H305" s="53">
        <f>IFERROR(__xludf.DUMMYFUNCTION("""COMPUTED_VALUE"""),2.997848309414522)</f>
        <v>2.997848309</v>
      </c>
      <c r="I305" s="53">
        <f>IFERROR(__xludf.DUMMYFUNCTION("""COMPUTED_VALUE"""),6.4)</f>
        <v>6.4</v>
      </c>
      <c r="J305" s="53">
        <f>IFERROR(__xludf.DUMMYFUNCTION("""COMPUTED_VALUE"""),0.8)</f>
        <v>0.8</v>
      </c>
      <c r="K305" s="53">
        <f>IFERROR(__xludf.DUMMYFUNCTION("""COMPUTED_VALUE"""),3.3)</f>
        <v>3.3</v>
      </c>
      <c r="L305" s="53">
        <f>IFERROR(__xludf.DUMMYFUNCTION("""COMPUTED_VALUE"""),1.5)</f>
        <v>1.5</v>
      </c>
      <c r="M305" s="53">
        <f>IFERROR(__xludf.DUMMYFUNCTION("""COMPUTED_VALUE"""),0.5)</f>
        <v>0.5</v>
      </c>
      <c r="N305" s="53">
        <f>IFERROR(__xludf.DUMMYFUNCTION("""COMPUTED_VALUE"""),0.2)</f>
        <v>0.2</v>
      </c>
      <c r="O305" s="53">
        <f>IFERROR(__xludf.DUMMYFUNCTION("""COMPUTED_VALUE"""),42.3728813559322)</f>
        <v>42.37288136</v>
      </c>
      <c r="P305" s="53">
        <f>IFERROR(__xludf.DUMMYFUNCTION("""COMPUTED_VALUE"""),71.42857142857143)</f>
        <v>71.42857143</v>
      </c>
      <c r="Q305" s="53">
        <f>IFERROR(__xludf.DUMMYFUNCTION("""COMPUTED_VALUE"""),0.8)</f>
        <v>0.8</v>
      </c>
      <c r="R305" s="53">
        <f>IFERROR(__xludf.DUMMYFUNCTION("""COMPUTED_VALUE"""),-1.8296346991791217)</f>
        <v>-1.829634699</v>
      </c>
      <c r="S305" s="53">
        <f>IFERROR(__xludf.DUMMYFUNCTION("""COMPUTED_VALUE"""),-0.7324347820514473)</f>
        <v>-0.7324347821</v>
      </c>
      <c r="T305" s="53">
        <f>IFERROR(__xludf.DUMMYFUNCTION("""COMPUTED_VALUE"""),-1.1688789720406272)</f>
        <v>-1.168878972</v>
      </c>
      <c r="U305" s="53">
        <f>IFERROR(__xludf.DUMMYFUNCTION("""COMPUTED_VALUE"""),-1.1954976743898784)</f>
        <v>-1.195497674</v>
      </c>
      <c r="V305" s="53">
        <f>IFERROR(__xludf.DUMMYFUNCTION("""COMPUTED_VALUE"""),-1.0786201759549239)</f>
        <v>-1.078620176</v>
      </c>
      <c r="W305" s="53">
        <f>IFERROR(__xludf.DUMMYFUNCTION("""COMPUTED_VALUE"""),-0.6583300762210907)</f>
        <v>-0.6583300762</v>
      </c>
      <c r="X305" s="53">
        <f>IFERROR(__xludf.DUMMYFUNCTION("""COMPUTED_VALUE"""),-0.4258242818516986)</f>
        <v>-0.4258242819</v>
      </c>
      <c r="Y305" s="53">
        <f>IFERROR(__xludf.DUMMYFUNCTION("""COMPUTED_VALUE"""),-0.13157303517108632)</f>
        <v>-0.1315730352</v>
      </c>
      <c r="Z305" s="53">
        <f>IFERROR(__xludf.DUMMYFUNCTION("""COMPUTED_VALUE"""),0.37089925572797316)</f>
        <v>0.3708992557</v>
      </c>
      <c r="AA305" t="str">
        <f>IFERROR(__xludf.DUMMYFUNCTION("REGEXREPLACE(REGEXREPLACE(REGEXREPLACE(REGEXREPLACE(REGEXREPLACE(REGEXREPLACE(E305,"","",),IF(Projections!$U$3="""",""PG"",),),IF(Projections!$V$3="""",""SG"",),),IF(Projections!$W$3="""",""SF"",),),IF(Projections!$X$3="""",""PF"",),),IF(Projections!$Y$3="&amp;""""",""C"",),)"),"SFPF")</f>
        <v>SFPF</v>
      </c>
    </row>
    <row r="306">
      <c r="B306">
        <f>IFERROR(__xludf.DUMMYFUNCTION("""COMPUTED_VALUE"""),296.0)</f>
        <v>296</v>
      </c>
      <c r="C306" t="str">
        <f>IFERROR(__xludf.DUMMYFUNCTION("""COMPUTED_VALUE"""),"Trey Lyles")</f>
        <v>Trey Lyles</v>
      </c>
      <c r="D306">
        <f>IFERROR(__xludf.DUMMYFUNCTION("""COMPUTED_VALUE"""),74.0)</f>
        <v>74</v>
      </c>
      <c r="E306" t="str">
        <f>IFERROR(__xludf.DUMMYFUNCTION("""COMPUTED_VALUE"""),"PF,C")</f>
        <v>PF,C</v>
      </c>
      <c r="F306" s="53">
        <f>IFERROR(__xludf.DUMMYFUNCTION("""COMPUTED_VALUE"""),-7.973677465964903)</f>
        <v>-7.973677466</v>
      </c>
      <c r="G306" s="53">
        <f>IFERROR(__xludf.DUMMYFUNCTION("""COMPUTED_VALUE"""),-5.054467088975552)</f>
        <v>-5.054467089</v>
      </c>
      <c r="H306" s="53">
        <f>IFERROR(__xludf.DUMMYFUNCTION("""COMPUTED_VALUE"""),2.9192103769893505)</f>
        <v>2.919210377</v>
      </c>
      <c r="I306" s="53">
        <f>IFERROR(__xludf.DUMMYFUNCTION("""COMPUTED_VALUE"""),7.2)</f>
        <v>7.2</v>
      </c>
      <c r="J306" s="53">
        <f>IFERROR(__xludf.DUMMYFUNCTION("""COMPUTED_VALUE"""),0.8)</f>
        <v>0.8</v>
      </c>
      <c r="K306" s="53">
        <f>IFERROR(__xludf.DUMMYFUNCTION("""COMPUTED_VALUE"""),3.7)</f>
        <v>3.7</v>
      </c>
      <c r="L306" s="53">
        <f>IFERROR(__xludf.DUMMYFUNCTION("""COMPUTED_VALUE"""),0.8)</f>
        <v>0.8</v>
      </c>
      <c r="M306" s="53">
        <f>IFERROR(__xludf.DUMMYFUNCTION("""COMPUTED_VALUE"""),0.3)</f>
        <v>0.3</v>
      </c>
      <c r="N306" s="53">
        <f>IFERROR(__xludf.DUMMYFUNCTION("""COMPUTED_VALUE"""),0.3)</f>
        <v>0.3</v>
      </c>
      <c r="O306" s="53">
        <f>IFERROR(__xludf.DUMMYFUNCTION("""COMPUTED_VALUE"""),46.15384615384615)</f>
        <v>46.15384615</v>
      </c>
      <c r="P306" s="53">
        <f>IFERROR(__xludf.DUMMYFUNCTION("""COMPUTED_VALUE"""),80.0)</f>
        <v>80</v>
      </c>
      <c r="Q306" s="53">
        <f>IFERROR(__xludf.DUMMYFUNCTION("""COMPUTED_VALUE"""),0.7)</f>
        <v>0.7</v>
      </c>
      <c r="R306" s="53">
        <f>IFERROR(__xludf.DUMMYFUNCTION("""COMPUTED_VALUE"""),-1.694813597612346)</f>
        <v>-1.694813598</v>
      </c>
      <c r="S306" s="53">
        <f>IFERROR(__xludf.DUMMYFUNCTION("""COMPUTED_VALUE"""),-0.7324347820514473)</f>
        <v>-0.7324347821</v>
      </c>
      <c r="T306" s="53">
        <f>IFERROR(__xludf.DUMMYFUNCTION("""COMPUTED_VALUE"""),-1.0016174926167358)</f>
        <v>-1.001617493</v>
      </c>
      <c r="U306" s="53">
        <f>IFERROR(__xludf.DUMMYFUNCTION("""COMPUTED_VALUE"""),-1.5525148979704735)</f>
        <v>-1.552514898</v>
      </c>
      <c r="V306" s="53">
        <f>IFERROR(__xludf.DUMMYFUNCTION("""COMPUTED_VALUE"""),-1.5147199775539493)</f>
        <v>-1.514719978</v>
      </c>
      <c r="W306" s="53">
        <f>IFERROR(__xludf.DUMMYFUNCTION("""COMPUTED_VALUE"""),-0.5270142365493308)</f>
        <v>-0.5270142365</v>
      </c>
      <c r="X306" s="53">
        <f>IFERROR(__xludf.DUMMYFUNCTION("""COMPUTED_VALUE"""),-0.1789157341910191)</f>
        <v>-0.1789157342</v>
      </c>
      <c r="Y306" s="53">
        <f>IFERROR(__xludf.DUMMYFUNCTION("""COMPUTED_VALUE"""),0.05080452156470048)</f>
        <v>0.05080452156</v>
      </c>
      <c r="Z306" s="53">
        <f>IFERROR(__xludf.DUMMYFUNCTION("""COMPUTED_VALUE"""),0.4019455103927031)</f>
        <v>0.4019455104</v>
      </c>
      <c r="AA306" t="str">
        <f>IFERROR(__xludf.DUMMYFUNCTION("REGEXREPLACE(REGEXREPLACE(REGEXREPLACE(REGEXREPLACE(REGEXREPLACE(REGEXREPLACE(E306,"","",),IF(Projections!$U$3="""",""PG"",),),IF(Projections!$V$3="""",""SG"",),),IF(Projections!$W$3="""",""SF"",),),IF(Projections!$X$3="""",""PF"",),),IF(Projections!$Y$3="&amp;""""",""C"",),)"),"PFC")</f>
        <v>PFC</v>
      </c>
    </row>
    <row r="307">
      <c r="B307">
        <f>IFERROR(__xludf.DUMMYFUNCTION("""COMPUTED_VALUE"""),311.0)</f>
        <v>311</v>
      </c>
      <c r="C307" t="str">
        <f>IFERROR(__xludf.DUMMYFUNCTION("""COMPUTED_VALUE"""),"Christian Koloko")</f>
        <v>Christian Koloko</v>
      </c>
      <c r="D307">
        <f>IFERROR(__xludf.DUMMYFUNCTION("""COMPUTED_VALUE"""),60.0)</f>
        <v>60</v>
      </c>
      <c r="E307" t="str">
        <f>IFERROR(__xludf.DUMMYFUNCTION("""COMPUTED_VALUE"""),"C")</f>
        <v>C</v>
      </c>
      <c r="F307" s="53">
        <f>IFERROR(__xludf.DUMMYFUNCTION("""COMPUTED_VALUE"""),-8.36278351968239)</f>
        <v>-8.36278352</v>
      </c>
      <c r="G307" s="53">
        <f>IFERROR(__xludf.DUMMYFUNCTION("""COMPUTED_VALUE"""),-5.078202324686808)</f>
        <v>-5.078202325</v>
      </c>
      <c r="H307" s="53">
        <f>IFERROR(__xludf.DUMMYFUNCTION("""COMPUTED_VALUE"""),3.2845811949955817)</f>
        <v>3.284581195</v>
      </c>
      <c r="I307" s="53">
        <f>IFERROR(__xludf.DUMMYFUNCTION("""COMPUTED_VALUE"""),3.4)</f>
        <v>3.4</v>
      </c>
      <c r="J307" s="53">
        <f>IFERROR(__xludf.DUMMYFUNCTION("""COMPUTED_VALUE"""),0.0)</f>
        <v>0</v>
      </c>
      <c r="K307" s="53">
        <f>IFERROR(__xludf.DUMMYFUNCTION("""COMPUTED_VALUE"""),3.2)</f>
        <v>3.2</v>
      </c>
      <c r="L307" s="53">
        <f>IFERROR(__xludf.DUMMYFUNCTION("""COMPUTED_VALUE"""),0.6)</f>
        <v>0.6</v>
      </c>
      <c r="M307" s="53">
        <f>IFERROR(__xludf.DUMMYFUNCTION("""COMPUTED_VALUE"""),0.4)</f>
        <v>0.4</v>
      </c>
      <c r="N307" s="53">
        <f>IFERROR(__xludf.DUMMYFUNCTION("""COMPUTED_VALUE"""),1.1)</f>
        <v>1.1</v>
      </c>
      <c r="O307" s="53">
        <f>IFERROR(__xludf.DUMMYFUNCTION("""COMPUTED_VALUE"""),46.42857142857144)</f>
        <v>46.42857143</v>
      </c>
      <c r="P307" s="53">
        <f>IFERROR(__xludf.DUMMYFUNCTION("""COMPUTED_VALUE"""),63.636363636363626)</f>
        <v>63.63636364</v>
      </c>
      <c r="Q307" s="53">
        <f>IFERROR(__xludf.DUMMYFUNCTION("""COMPUTED_VALUE"""),0.4)</f>
        <v>0.4</v>
      </c>
      <c r="R307" s="53">
        <f>IFERROR(__xludf.DUMMYFUNCTION("""COMPUTED_VALUE"""),-2.3352138300545318)</f>
        <v>-2.33521383</v>
      </c>
      <c r="S307" s="53">
        <f>IFERROR(__xludf.DUMMYFUNCTION("""COMPUTED_VALUE"""),-1.4261378116187227)</f>
        <v>-1.426137812</v>
      </c>
      <c r="T307" s="53">
        <f>IFERROR(__xludf.DUMMYFUNCTION("""COMPUTED_VALUE"""),-1.2106943418965999)</f>
        <v>-1.210694342</v>
      </c>
      <c r="U307" s="53">
        <f>IFERROR(__xludf.DUMMYFUNCTION("""COMPUTED_VALUE"""),-1.6545198189935006)</f>
        <v>-1.654519819</v>
      </c>
      <c r="V307" s="53">
        <f>IFERROR(__xludf.DUMMYFUNCTION("""COMPUTED_VALUE"""),-1.2966700767544366)</f>
        <v>-1.296670077</v>
      </c>
      <c r="W307" s="53">
        <f>IFERROR(__xludf.DUMMYFUNCTION("""COMPUTED_VALUE"""),0.5235124808247502)</f>
        <v>0.5235124808</v>
      </c>
      <c r="X307" s="53">
        <f>IFERROR(__xludf.DUMMYFUNCTION("""COMPUTED_VALUE"""),-0.08865566433958148)</f>
        <v>-0.08865566434</v>
      </c>
      <c r="Y307" s="53">
        <f>IFERROR(__xludf.DUMMYFUNCTION("""COMPUTED_VALUE"""),-0.4201213662956096)</f>
        <v>-0.4201213663</v>
      </c>
      <c r="Z307" s="53">
        <f>IFERROR(__xludf.DUMMYFUNCTION("""COMPUTED_VALUE"""),0.4950842743868928)</f>
        <v>0.4950842744</v>
      </c>
      <c r="AA307" t="str">
        <f>IFERROR(__xludf.DUMMYFUNCTION("REGEXREPLACE(REGEXREPLACE(REGEXREPLACE(REGEXREPLACE(REGEXREPLACE(REGEXREPLACE(E307,"","",),IF(Projections!$U$3="""",""PG"",),),IF(Projections!$V$3="""",""SG"",),),IF(Projections!$W$3="""",""SF"",),),IF(Projections!$X$3="""",""PF"",),),IF(Projections!$Y$3="&amp;""""",""C"",),)"),"C")</f>
        <v>C</v>
      </c>
    </row>
    <row r="308">
      <c r="B308">
        <f>IFERROR(__xludf.DUMMYFUNCTION("""COMPUTED_VALUE"""),281.0)</f>
        <v>281</v>
      </c>
      <c r="C308" t="str">
        <f>IFERROR(__xludf.DUMMYFUNCTION("""COMPUTED_VALUE"""),"Bilal Coulibaly")</f>
        <v>Bilal Coulibaly</v>
      </c>
      <c r="D308">
        <f>IFERROR(__xludf.DUMMYFUNCTION("""COMPUTED_VALUE"""),70.0)</f>
        <v>70</v>
      </c>
      <c r="E308" t="str">
        <f>IFERROR(__xludf.DUMMYFUNCTION("""COMPUTED_VALUE"""),"SF")</f>
        <v>SF</v>
      </c>
      <c r="F308" s="53">
        <f>IFERROR(__xludf.DUMMYFUNCTION("""COMPUTED_VALUE"""),-7.643128956000749)</f>
        <v>-7.643128956</v>
      </c>
      <c r="G308" s="53">
        <f>IFERROR(__xludf.DUMMYFUNCTION("""COMPUTED_VALUE"""),-5.086037561295426)</f>
        <v>-5.086037561</v>
      </c>
      <c r="H308" s="53">
        <f>IFERROR(__xludf.DUMMYFUNCTION("""COMPUTED_VALUE"""),2.5570913947053224)</f>
        <v>2.557091395</v>
      </c>
      <c r="I308" s="53">
        <f>IFERROR(__xludf.DUMMYFUNCTION("""COMPUTED_VALUE"""),8.4)</f>
        <v>8.4</v>
      </c>
      <c r="J308" s="53">
        <f>IFERROR(__xludf.DUMMYFUNCTION("""COMPUTED_VALUE"""),0.6)</f>
        <v>0.6</v>
      </c>
      <c r="K308" s="53">
        <f>IFERROR(__xludf.DUMMYFUNCTION("""COMPUTED_VALUE"""),3.8)</f>
        <v>3.8</v>
      </c>
      <c r="L308" s="53">
        <f>IFERROR(__xludf.DUMMYFUNCTION("""COMPUTED_VALUE"""),1.8)</f>
        <v>1.8</v>
      </c>
      <c r="M308" s="53">
        <f>IFERROR(__xludf.DUMMYFUNCTION("""COMPUTED_VALUE"""),0.6)</f>
        <v>0.6</v>
      </c>
      <c r="N308" s="53">
        <f>IFERROR(__xludf.DUMMYFUNCTION("""COMPUTED_VALUE"""),0.2)</f>
        <v>0.2</v>
      </c>
      <c r="O308" s="53">
        <f>IFERROR(__xludf.DUMMYFUNCTION("""COMPUTED_VALUE"""),42.857142857142854)</f>
        <v>42.85714286</v>
      </c>
      <c r="P308" s="53">
        <f>IFERROR(__xludf.DUMMYFUNCTION("""COMPUTED_VALUE"""),72.0)</f>
        <v>72</v>
      </c>
      <c r="Q308" s="53">
        <f>IFERROR(__xludf.DUMMYFUNCTION("""COMPUTED_VALUE"""),1.2)</f>
        <v>1.2</v>
      </c>
      <c r="R308" s="53">
        <f>IFERROR(__xludf.DUMMYFUNCTION("""COMPUTED_VALUE"""),-1.492581945262182)</f>
        <v>-1.492581945</v>
      </c>
      <c r="S308" s="53">
        <f>IFERROR(__xludf.DUMMYFUNCTION("""COMPUTED_VALUE"""),-0.9058605394432663)</f>
        <v>-0.9058605394</v>
      </c>
      <c r="T308" s="53">
        <f>IFERROR(__xludf.DUMMYFUNCTION("""COMPUTED_VALUE"""),-0.959802122760763)</f>
        <v>-0.9598021228</v>
      </c>
      <c r="U308" s="53">
        <f>IFERROR(__xludf.DUMMYFUNCTION("""COMPUTED_VALUE"""),-1.0424902928553377)</f>
        <v>-1.042490293</v>
      </c>
      <c r="V308" s="53">
        <f>IFERROR(__xludf.DUMMYFUNCTION("""COMPUTED_VALUE"""),-0.860570275155411)</f>
        <v>-0.8605702752</v>
      </c>
      <c r="W308" s="53">
        <f>IFERROR(__xludf.DUMMYFUNCTION("""COMPUTED_VALUE"""),-0.6583300762210907)</f>
        <v>-0.6583300762</v>
      </c>
      <c r="X308" s="53">
        <f>IFERROR(__xludf.DUMMYFUNCTION("""COMPUTED_VALUE"""),-0.4713554181553811)</f>
        <v>-0.4713554182</v>
      </c>
      <c r="Y308" s="53">
        <f>IFERROR(__xludf.DUMMYFUNCTION("""COMPUTED_VALUE"""),-0.43434307377322956)</f>
        <v>-0.4343430738</v>
      </c>
      <c r="Z308" s="53">
        <f>IFERROR(__xludf.DUMMYFUNCTION("""COMPUTED_VALUE"""),0.24671423706905354)</f>
        <v>0.2467142371</v>
      </c>
      <c r="AA308" t="str">
        <f>IFERROR(__xludf.DUMMYFUNCTION("REGEXREPLACE(REGEXREPLACE(REGEXREPLACE(REGEXREPLACE(REGEXREPLACE(REGEXREPLACE(E308,"","",),IF(Projections!$U$3="""",""PG"",),),IF(Projections!$V$3="""",""SG"",),),IF(Projections!$W$3="""",""SF"",),),IF(Projections!$X$3="""",""PF"",),),IF(Projections!$Y$3="&amp;""""",""C"",),)"),"SF")</f>
        <v>SF</v>
      </c>
    </row>
    <row r="309">
      <c r="B309">
        <f>IFERROR(__xludf.DUMMYFUNCTION("""COMPUTED_VALUE"""),314.0)</f>
        <v>314</v>
      </c>
      <c r="C309" t="str">
        <f>IFERROR(__xludf.DUMMYFUNCTION("""COMPUTED_VALUE"""),"Cory Joseph")</f>
        <v>Cory Joseph</v>
      </c>
      <c r="D309">
        <f>IFERROR(__xludf.DUMMYFUNCTION("""COMPUTED_VALUE"""),68.0)</f>
        <v>68</v>
      </c>
      <c r="E309" t="str">
        <f>IFERROR(__xludf.DUMMYFUNCTION("""COMPUTED_VALUE"""),"PG,SG")</f>
        <v>PG,SG</v>
      </c>
      <c r="F309" s="53">
        <f>IFERROR(__xludf.DUMMYFUNCTION("""COMPUTED_VALUE"""),-8.400329272394579)</f>
        <v>-8.400329272</v>
      </c>
      <c r="G309" s="53">
        <f>IFERROR(__xludf.DUMMYFUNCTION("""COMPUTED_VALUE"""),-5.100537573552556)</f>
        <v>-5.100537574</v>
      </c>
      <c r="H309" s="53">
        <f>IFERROR(__xludf.DUMMYFUNCTION("""COMPUTED_VALUE"""),3.2997916988420233)</f>
        <v>3.299791699</v>
      </c>
      <c r="I309" s="53">
        <f>IFERROR(__xludf.DUMMYFUNCTION("""COMPUTED_VALUE"""),5.1)</f>
        <v>5.1</v>
      </c>
      <c r="J309" s="53">
        <f>IFERROR(__xludf.DUMMYFUNCTION("""COMPUTED_VALUE"""),0.7)</f>
        <v>0.7</v>
      </c>
      <c r="K309" s="53">
        <f>IFERROR(__xludf.DUMMYFUNCTION("""COMPUTED_VALUE"""),1.5)</f>
        <v>1.5</v>
      </c>
      <c r="L309" s="53">
        <f>IFERROR(__xludf.DUMMYFUNCTION("""COMPUTED_VALUE"""),2.5)</f>
        <v>2.5</v>
      </c>
      <c r="M309" s="53">
        <f>IFERROR(__xludf.DUMMYFUNCTION("""COMPUTED_VALUE"""),0.4)</f>
        <v>0.4</v>
      </c>
      <c r="N309" s="53">
        <f>IFERROR(__xludf.DUMMYFUNCTION("""COMPUTED_VALUE"""),0.1)</f>
        <v>0.1</v>
      </c>
      <c r="O309" s="53">
        <f>IFERROR(__xludf.DUMMYFUNCTION("""COMPUTED_VALUE"""),43.90243902439025)</f>
        <v>43.90243902</v>
      </c>
      <c r="P309" s="53">
        <f>IFERROR(__xludf.DUMMYFUNCTION("""COMPUTED_VALUE"""),90.0)</f>
        <v>90</v>
      </c>
      <c r="Q309" s="53">
        <f>IFERROR(__xludf.DUMMYFUNCTION("""COMPUTED_VALUE"""),0.8)</f>
        <v>0.8</v>
      </c>
      <c r="R309" s="53">
        <f>IFERROR(__xludf.DUMMYFUNCTION("""COMPUTED_VALUE"""),-2.048718989225133)</f>
        <v>-2.048718989</v>
      </c>
      <c r="S309" s="53">
        <f>IFERROR(__xludf.DUMMYFUNCTION("""COMPUTED_VALUE"""),-0.8191476607473568)</f>
        <v>-0.8191476607</v>
      </c>
      <c r="T309" s="53">
        <f>IFERROR(__xludf.DUMMYFUNCTION("""COMPUTED_VALUE"""),-1.9215556294481384)</f>
        <v>-1.921555629</v>
      </c>
      <c r="U309" s="53">
        <f>IFERROR(__xludf.DUMMYFUNCTION("""COMPUTED_VALUE"""),-0.6854730692747427)</f>
        <v>-0.6854730693</v>
      </c>
      <c r="V309" s="53">
        <f>IFERROR(__xludf.DUMMYFUNCTION("""COMPUTED_VALUE"""),-1.2966700767544366)</f>
        <v>-1.296670077</v>
      </c>
      <c r="W309" s="53">
        <f>IFERROR(__xludf.DUMMYFUNCTION("""COMPUTED_VALUE"""),-0.7896459158928509)</f>
        <v>-0.7896459159</v>
      </c>
      <c r="X309" s="53">
        <f>IFERROR(__xludf.DUMMYFUNCTION("""COMPUTED_VALUE"""),-0.2332711008099069)</f>
        <v>-0.2332711008</v>
      </c>
      <c r="Y309" s="53">
        <f>IFERROR(__xludf.DUMMYFUNCTION("""COMPUTED_VALUE"""),0.2743266236469026)</f>
        <v>0.2743266236</v>
      </c>
      <c r="Z309" s="53">
        <f>IFERROR(__xludf.DUMMYFUNCTION("""COMPUTED_VALUE"""),0.37089925572797316)</f>
        <v>0.3708992557</v>
      </c>
      <c r="AA309" t="str">
        <f>IFERROR(__xludf.DUMMYFUNCTION("REGEXREPLACE(REGEXREPLACE(REGEXREPLACE(REGEXREPLACE(REGEXREPLACE(REGEXREPLACE(E309,"","",),IF(Projections!$U$3="""",""PG"",),),IF(Projections!$V$3="""",""SG"",),),IF(Projections!$W$3="""",""SF"",),),IF(Projections!$X$3="""",""PF"",),),IF(Projections!$Y$3="&amp;""""",""C"",),)"),"PGSG")</f>
        <v>PGSG</v>
      </c>
    </row>
    <row r="310">
      <c r="B310">
        <f>IFERROR(__xludf.DUMMYFUNCTION("""COMPUTED_VALUE"""),310.0)</f>
        <v>310</v>
      </c>
      <c r="C310" t="str">
        <f>IFERROR(__xludf.DUMMYFUNCTION("""COMPUTED_VALUE"""),"Jalen Hood-Schifino")</f>
        <v>Jalen Hood-Schifino</v>
      </c>
      <c r="D310">
        <f>IFERROR(__xludf.DUMMYFUNCTION("""COMPUTED_VALUE"""),50.0)</f>
        <v>50</v>
      </c>
      <c r="E310" t="str">
        <f>IFERROR(__xludf.DUMMYFUNCTION("""COMPUTED_VALUE"""),"PG,SG")</f>
        <v>PG,SG</v>
      </c>
      <c r="F310" s="53">
        <f>IFERROR(__xludf.DUMMYFUNCTION("""COMPUTED_VALUE"""),-8.348311447107696)</f>
        <v>-8.348311447</v>
      </c>
      <c r="G310" s="53">
        <f>IFERROR(__xludf.DUMMYFUNCTION("""COMPUTED_VALUE"""),-5.125334698283603)</f>
        <v>-5.125334698</v>
      </c>
      <c r="H310" s="53">
        <f>IFERROR(__xludf.DUMMYFUNCTION("""COMPUTED_VALUE"""),3.2229767488240926)</f>
        <v>3.222976749</v>
      </c>
      <c r="I310" s="53">
        <f>IFERROR(__xludf.DUMMYFUNCTION("""COMPUTED_VALUE"""),6.6)</f>
        <v>6.6</v>
      </c>
      <c r="J310" s="53">
        <f>IFERROR(__xludf.DUMMYFUNCTION("""COMPUTED_VALUE"""),1.0)</f>
        <v>1</v>
      </c>
      <c r="K310" s="53">
        <f>IFERROR(__xludf.DUMMYFUNCTION("""COMPUTED_VALUE"""),1.3)</f>
        <v>1.3</v>
      </c>
      <c r="L310" s="53">
        <f>IFERROR(__xludf.DUMMYFUNCTION("""COMPUTED_VALUE"""),2.7)</f>
        <v>2.7</v>
      </c>
      <c r="M310" s="53">
        <f>IFERROR(__xludf.DUMMYFUNCTION("""COMPUTED_VALUE"""),0.4)</f>
        <v>0.4</v>
      </c>
      <c r="N310" s="53">
        <f>IFERROR(__xludf.DUMMYFUNCTION("""COMPUTED_VALUE"""),0.2)</f>
        <v>0.2</v>
      </c>
      <c r="O310" s="53">
        <f>IFERROR(__xludf.DUMMYFUNCTION("""COMPUTED_VALUE"""),40.35087719298245)</f>
        <v>40.35087719</v>
      </c>
      <c r="P310" s="53">
        <f>IFERROR(__xludf.DUMMYFUNCTION("""COMPUTED_VALUE"""),78.57142857142858)</f>
        <v>78.57142857</v>
      </c>
      <c r="Q310" s="53">
        <f>IFERROR(__xludf.DUMMYFUNCTION("""COMPUTED_VALUE"""),1.0)</f>
        <v>1</v>
      </c>
      <c r="R310" s="53">
        <f>IFERROR(__xludf.DUMMYFUNCTION("""COMPUTED_VALUE"""),-1.795929423787428)</f>
        <v>-1.795929424</v>
      </c>
      <c r="S310" s="53">
        <f>IFERROR(__xludf.DUMMYFUNCTION("""COMPUTED_VALUE"""),-0.5590090246596284)</f>
        <v>-0.5590090247</v>
      </c>
      <c r="T310" s="53">
        <f>IFERROR(__xludf.DUMMYFUNCTION("""COMPUTED_VALUE"""),-2.005186369160084)</f>
        <v>-2.005186369</v>
      </c>
      <c r="U310" s="53">
        <f>IFERROR(__xludf.DUMMYFUNCTION("""COMPUTED_VALUE"""),-0.5834681482517156)</f>
        <v>-0.5834681483</v>
      </c>
      <c r="V310" s="53">
        <f>IFERROR(__xludf.DUMMYFUNCTION("""COMPUTED_VALUE"""),-1.2966700767544366)</f>
        <v>-1.296670077</v>
      </c>
      <c r="W310" s="53">
        <f>IFERROR(__xludf.DUMMYFUNCTION("""COMPUTED_VALUE"""),-0.6583300762210907)</f>
        <v>-0.6583300762</v>
      </c>
      <c r="X310" s="53">
        <f>IFERROR(__xludf.DUMMYFUNCTION("""COMPUTED_VALUE"""),-0.526512987530197)</f>
        <v>-0.5265129875</v>
      </c>
      <c r="Y310" s="53">
        <f>IFERROR(__xludf.DUMMYFUNCTION("""COMPUTED_VALUE"""),-0.014221707477619961)</f>
        <v>-0.01422170748</v>
      </c>
      <c r="Z310" s="53">
        <f>IFERROR(__xludf.DUMMYFUNCTION("""COMPUTED_VALUE"""),0.30880674639851335)</f>
        <v>0.3088067464</v>
      </c>
      <c r="AA310" t="str">
        <f>IFERROR(__xludf.DUMMYFUNCTION("REGEXREPLACE(REGEXREPLACE(REGEXREPLACE(REGEXREPLACE(REGEXREPLACE(REGEXREPLACE(E310,"","",),IF(Projections!$U$3="""",""PG"",),),IF(Projections!$V$3="""",""SG"",),),IF(Projections!$W$3="""",""SF"",),),IF(Projections!$X$3="""",""PF"",),),IF(Projections!$Y$3="&amp;""""",""C"",),)"),"PGSG")</f>
        <v>PGSG</v>
      </c>
    </row>
    <row r="311">
      <c r="B311">
        <f>IFERROR(__xludf.DUMMYFUNCTION("""COMPUTED_VALUE"""),312.0)</f>
        <v>312</v>
      </c>
      <c r="C311" t="str">
        <f>IFERROR(__xludf.DUMMYFUNCTION("""COMPUTED_VALUE"""),"Jake LaRavia")</f>
        <v>Jake LaRavia</v>
      </c>
      <c r="D311">
        <f>IFERROR(__xludf.DUMMYFUNCTION("""COMPUTED_VALUE"""),68.0)</f>
        <v>68</v>
      </c>
      <c r="E311" t="str">
        <f>IFERROR(__xludf.DUMMYFUNCTION("""COMPUTED_VALUE"""),"SF,PF")</f>
        <v>SF,PF</v>
      </c>
      <c r="F311" s="53">
        <f>IFERROR(__xludf.DUMMYFUNCTION("""COMPUTED_VALUE"""),-8.371670095868414)</f>
        <v>-8.371670096</v>
      </c>
      <c r="G311" s="53">
        <f>IFERROR(__xludf.DUMMYFUNCTION("""COMPUTED_VALUE"""),-5.130810036760145)</f>
        <v>-5.130810037</v>
      </c>
      <c r="H311" s="53">
        <f>IFERROR(__xludf.DUMMYFUNCTION("""COMPUTED_VALUE"""),3.240860059108269)</f>
        <v>3.240860059</v>
      </c>
      <c r="I311" s="53">
        <f>IFERROR(__xludf.DUMMYFUNCTION("""COMPUTED_VALUE"""),4.6)</f>
        <v>4.6</v>
      </c>
      <c r="J311" s="53">
        <f>IFERROR(__xludf.DUMMYFUNCTION("""COMPUTED_VALUE"""),1.0)</f>
        <v>1</v>
      </c>
      <c r="K311" s="53">
        <f>IFERROR(__xludf.DUMMYFUNCTION("""COMPUTED_VALUE"""),2.6)</f>
        <v>2.6</v>
      </c>
      <c r="L311" s="53">
        <f>IFERROR(__xludf.DUMMYFUNCTION("""COMPUTED_VALUE"""),0.9)</f>
        <v>0.9</v>
      </c>
      <c r="M311" s="53">
        <f>IFERROR(__xludf.DUMMYFUNCTION("""COMPUTED_VALUE"""),0.5)</f>
        <v>0.5</v>
      </c>
      <c r="N311" s="53">
        <f>IFERROR(__xludf.DUMMYFUNCTION("""COMPUTED_VALUE"""),0.2)</f>
        <v>0.2</v>
      </c>
      <c r="O311" s="53">
        <f>IFERROR(__xludf.DUMMYFUNCTION("""COMPUTED_VALUE"""),43.58974358974359)</f>
        <v>43.58974359</v>
      </c>
      <c r="P311" s="53">
        <f>IFERROR(__xludf.DUMMYFUNCTION("""COMPUTED_VALUE"""),74.99999999999999)</f>
        <v>75</v>
      </c>
      <c r="Q311" s="53">
        <f>IFERROR(__xludf.DUMMYFUNCTION("""COMPUTED_VALUE"""),0.7)</f>
        <v>0.7</v>
      </c>
      <c r="R311" s="53">
        <f>IFERROR(__xludf.DUMMYFUNCTION("""COMPUTED_VALUE"""),-2.132982177704368)</f>
        <v>-2.132982178</v>
      </c>
      <c r="S311" s="53">
        <f>IFERROR(__xludf.DUMMYFUNCTION("""COMPUTED_VALUE"""),-0.5590090246596284)</f>
        <v>-0.5590090247</v>
      </c>
      <c r="T311" s="53">
        <f>IFERROR(__xludf.DUMMYFUNCTION("""COMPUTED_VALUE"""),-1.461586561032437)</f>
        <v>-1.461586561</v>
      </c>
      <c r="U311" s="53">
        <f>IFERROR(__xludf.DUMMYFUNCTION("""COMPUTED_VALUE"""),-1.5015124374589601)</f>
        <v>-1.501512437</v>
      </c>
      <c r="V311" s="53">
        <f>IFERROR(__xludf.DUMMYFUNCTION("""COMPUTED_VALUE"""),-1.0786201759549239)</f>
        <v>-1.078620176</v>
      </c>
      <c r="W311" s="53">
        <f>IFERROR(__xludf.DUMMYFUNCTION("""COMPUTED_VALUE"""),-0.6583300762210907)</f>
        <v>-0.6583300762</v>
      </c>
      <c r="X311" s="53">
        <f>IFERROR(__xludf.DUMMYFUNCTION("""COMPUTED_VALUE"""),-0.23407330356583486)</f>
        <v>-0.2340733036</v>
      </c>
      <c r="Y311" s="53">
        <f>IFERROR(__xludf.DUMMYFUNCTION("""COMPUTED_VALUE"""),-0.039623968259970534)</f>
        <v>-0.03962396826</v>
      </c>
      <c r="Z311" s="53">
        <f>IFERROR(__xludf.DUMMYFUNCTION("""COMPUTED_VALUE"""),0.4019455103927031)</f>
        <v>0.4019455104</v>
      </c>
      <c r="AA311" t="str">
        <f>IFERROR(__xludf.DUMMYFUNCTION("REGEXREPLACE(REGEXREPLACE(REGEXREPLACE(REGEXREPLACE(REGEXREPLACE(REGEXREPLACE(E311,"","",),IF(Projections!$U$3="""",""PG"",),),IF(Projections!$V$3="""",""SG"",),),IF(Projections!$W$3="""",""SF"",),),IF(Projections!$X$3="""",""PF"",),),IF(Projections!$Y$3="&amp;""""",""C"",),)"),"SFPF")</f>
        <v>SFPF</v>
      </c>
    </row>
    <row r="312">
      <c r="B312">
        <f>IFERROR(__xludf.DUMMYFUNCTION("""COMPUTED_VALUE"""),306.0)</f>
        <v>306</v>
      </c>
      <c r="C312" t="str">
        <f>IFERROR(__xludf.DUMMYFUNCTION("""COMPUTED_VALUE"""),"Lonnie Walker IV")</f>
        <v>Lonnie Walker IV</v>
      </c>
      <c r="D312">
        <f>IFERROR(__xludf.DUMMYFUNCTION("""COMPUTED_VALUE"""),67.0)</f>
        <v>67</v>
      </c>
      <c r="E312" t="str">
        <f>IFERROR(__xludf.DUMMYFUNCTION("""COMPUTED_VALUE"""),"SG,SF")</f>
        <v>SG,SF</v>
      </c>
      <c r="F312" s="53">
        <f>IFERROR(__xludf.DUMMYFUNCTION("""COMPUTED_VALUE"""),-8.210143113898889)</f>
        <v>-8.210143114</v>
      </c>
      <c r="G312" s="53">
        <f>IFERROR(__xludf.DUMMYFUNCTION("""COMPUTED_VALUE"""),-5.159354308991502)</f>
        <v>-5.159354309</v>
      </c>
      <c r="H312" s="53">
        <f>IFERROR(__xludf.DUMMYFUNCTION("""COMPUTED_VALUE"""),3.050788804907387)</f>
        <v>3.050788805</v>
      </c>
      <c r="I312" s="53">
        <f>IFERROR(__xludf.DUMMYFUNCTION("""COMPUTED_VALUE"""),8.7)</f>
        <v>8.7</v>
      </c>
      <c r="J312" s="53">
        <f>IFERROR(__xludf.DUMMYFUNCTION("""COMPUTED_VALUE"""),1.2)</f>
        <v>1.2</v>
      </c>
      <c r="K312" s="53">
        <f>IFERROR(__xludf.DUMMYFUNCTION("""COMPUTED_VALUE"""),1.7)</f>
        <v>1.7</v>
      </c>
      <c r="L312" s="53">
        <f>IFERROR(__xludf.DUMMYFUNCTION("""COMPUTED_VALUE"""),1.3)</f>
        <v>1.3</v>
      </c>
      <c r="M312" s="53">
        <f>IFERROR(__xludf.DUMMYFUNCTION("""COMPUTED_VALUE"""),0.4)</f>
        <v>0.4</v>
      </c>
      <c r="N312" s="53">
        <f>IFERROR(__xludf.DUMMYFUNCTION("""COMPUTED_VALUE"""),0.2)</f>
        <v>0.2</v>
      </c>
      <c r="O312" s="53">
        <f>IFERROR(__xludf.DUMMYFUNCTION("""COMPUTED_VALUE"""),42.66666666666667)</f>
        <v>42.66666667</v>
      </c>
      <c r="P312" s="53">
        <f>IFERROR(__xludf.DUMMYFUNCTION("""COMPUTED_VALUE"""),80.0)</f>
        <v>80</v>
      </c>
      <c r="Q312" s="53">
        <f>IFERROR(__xludf.DUMMYFUNCTION("""COMPUTED_VALUE"""),0.7)</f>
        <v>0.7</v>
      </c>
      <c r="R312" s="53">
        <f>IFERROR(__xludf.DUMMYFUNCTION("""COMPUTED_VALUE"""),-1.4420240321746411)</f>
        <v>-1.442024032</v>
      </c>
      <c r="S312" s="53">
        <f>IFERROR(__xludf.DUMMYFUNCTION("""COMPUTED_VALUE"""),-0.38558326726780967)</f>
        <v>-0.3855832673</v>
      </c>
      <c r="T312" s="53">
        <f>IFERROR(__xludf.DUMMYFUNCTION("""COMPUTED_VALUE"""),-1.8379248897361926)</f>
        <v>-1.83792489</v>
      </c>
      <c r="U312" s="53">
        <f>IFERROR(__xludf.DUMMYFUNCTION("""COMPUTED_VALUE"""),-1.2975025954129054)</f>
        <v>-1.297502595</v>
      </c>
      <c r="V312" s="53">
        <f>IFERROR(__xludf.DUMMYFUNCTION("""COMPUTED_VALUE"""),-1.2966700767544366)</f>
        <v>-1.296670077</v>
      </c>
      <c r="W312" s="53">
        <f>IFERROR(__xludf.DUMMYFUNCTION("""COMPUTED_VALUE"""),-0.6583300762210907)</f>
        <v>-0.6583300762</v>
      </c>
      <c r="X312" s="53">
        <f>IFERROR(__xludf.DUMMYFUNCTION("""COMPUTED_VALUE"""),-0.5192931627268467)</f>
        <v>-0.5192931627</v>
      </c>
      <c r="Y312" s="53">
        <f>IFERROR(__xludf.DUMMYFUNCTION("""COMPUTED_VALUE"""),0.038103391173524945)</f>
        <v>0.03810339117</v>
      </c>
      <c r="Z312" s="53">
        <f>IFERROR(__xludf.DUMMYFUNCTION("""COMPUTED_VALUE"""),0.4019455103927031)</f>
        <v>0.4019455104</v>
      </c>
      <c r="AA312" t="str">
        <f>IFERROR(__xludf.DUMMYFUNCTION("REGEXREPLACE(REGEXREPLACE(REGEXREPLACE(REGEXREPLACE(REGEXREPLACE(REGEXREPLACE(E312,"","",),IF(Projections!$U$3="""",""PG"",),),IF(Projections!$V$3="""",""SG"",),),IF(Projections!$W$3="""",""SF"",),),IF(Projections!$X$3="""",""PF"",),),IF(Projections!$Y$3="&amp;""""",""C"",),)"),"SGSF")</f>
        <v>SGSF</v>
      </c>
    </row>
    <row r="313">
      <c r="B313">
        <f>IFERROR(__xludf.DUMMYFUNCTION("""COMPUTED_VALUE"""),308.0)</f>
        <v>308</v>
      </c>
      <c r="C313" t="str">
        <f>IFERROR(__xludf.DUMMYFUNCTION("""COMPUTED_VALUE"""),"Yuta Watanabe")</f>
        <v>Yuta Watanabe</v>
      </c>
      <c r="D313">
        <f>IFERROR(__xludf.DUMMYFUNCTION("""COMPUTED_VALUE"""),58.0)</f>
        <v>58</v>
      </c>
      <c r="E313" t="str">
        <f>IFERROR(__xludf.DUMMYFUNCTION("""COMPUTED_VALUE"""),"SF,PF")</f>
        <v>SF,PF</v>
      </c>
      <c r="F313" s="53">
        <f>IFERROR(__xludf.DUMMYFUNCTION("""COMPUTED_VALUE"""),-8.333901765940162)</f>
        <v>-8.333901766</v>
      </c>
      <c r="G313" s="53">
        <f>IFERROR(__xludf.DUMMYFUNCTION("""COMPUTED_VALUE"""),-5.16607441776927)</f>
        <v>-5.166074418</v>
      </c>
      <c r="H313" s="53">
        <f>IFERROR(__xludf.DUMMYFUNCTION("""COMPUTED_VALUE"""),3.167827348170892)</f>
        <v>3.167827348</v>
      </c>
      <c r="I313" s="53">
        <f>IFERROR(__xludf.DUMMYFUNCTION("""COMPUTED_VALUE"""),5.5)</f>
        <v>5.5</v>
      </c>
      <c r="J313" s="53">
        <f>IFERROR(__xludf.DUMMYFUNCTION("""COMPUTED_VALUE"""),1.0)</f>
        <v>1</v>
      </c>
      <c r="K313" s="53">
        <f>IFERROR(__xludf.DUMMYFUNCTION("""COMPUTED_VALUE"""),2.7)</f>
        <v>2.7</v>
      </c>
      <c r="L313" s="53">
        <f>IFERROR(__xludf.DUMMYFUNCTION("""COMPUTED_VALUE"""),0.8)</f>
        <v>0.8</v>
      </c>
      <c r="M313" s="53">
        <f>IFERROR(__xludf.DUMMYFUNCTION("""COMPUTED_VALUE"""),0.4)</f>
        <v>0.4</v>
      </c>
      <c r="N313" s="53">
        <f>IFERROR(__xludf.DUMMYFUNCTION("""COMPUTED_VALUE"""),0.4)</f>
        <v>0.4</v>
      </c>
      <c r="O313" s="53">
        <f>IFERROR(__xludf.DUMMYFUNCTION("""COMPUTED_VALUE"""),45.238095238095234)</f>
        <v>45.23809524</v>
      </c>
      <c r="P313" s="53">
        <f>IFERROR(__xludf.DUMMYFUNCTION("""COMPUTED_VALUE"""),70.0)</f>
        <v>70</v>
      </c>
      <c r="Q313" s="53">
        <f>IFERROR(__xludf.DUMMYFUNCTION("""COMPUTED_VALUE"""),0.5)</f>
        <v>0.5</v>
      </c>
      <c r="R313" s="53">
        <f>IFERROR(__xludf.DUMMYFUNCTION("""COMPUTED_VALUE"""),-1.9813084384417448)</f>
        <v>-1.981308438</v>
      </c>
      <c r="S313" s="53">
        <f>IFERROR(__xludf.DUMMYFUNCTION("""COMPUTED_VALUE"""),-0.5590090246596284)</f>
        <v>-0.5590090247</v>
      </c>
      <c r="T313" s="53">
        <f>IFERROR(__xludf.DUMMYFUNCTION("""COMPUTED_VALUE"""),-1.419771191176464)</f>
        <v>-1.419771191</v>
      </c>
      <c r="U313" s="53">
        <f>IFERROR(__xludf.DUMMYFUNCTION("""COMPUTED_VALUE"""),-1.5525148979704735)</f>
        <v>-1.552514898</v>
      </c>
      <c r="V313" s="53">
        <f>IFERROR(__xludf.DUMMYFUNCTION("""COMPUTED_VALUE"""),-1.2966700767544366)</f>
        <v>-1.296670077</v>
      </c>
      <c r="W313" s="53">
        <f>IFERROR(__xludf.DUMMYFUNCTION("""COMPUTED_VALUE"""),-0.39569839687757064)</f>
        <v>-0.3956983969</v>
      </c>
      <c r="X313" s="53">
        <f>IFERROR(__xludf.DUMMYFUNCTION("""COMPUTED_VALUE"""),-0.18292674797065814)</f>
        <v>-0.182926748</v>
      </c>
      <c r="Y313" s="53">
        <f>IFERROR(__xludf.DUMMYFUNCTION("""COMPUTED_VALUE"""),-0.22352210208220238)</f>
        <v>-0.2235221021</v>
      </c>
      <c r="Z313" s="53">
        <f>IFERROR(__xludf.DUMMYFUNCTION("""COMPUTED_VALUE"""),0.4640380197221629)</f>
        <v>0.4640380197</v>
      </c>
      <c r="AA313" t="str">
        <f>IFERROR(__xludf.DUMMYFUNCTION("REGEXREPLACE(REGEXREPLACE(REGEXREPLACE(REGEXREPLACE(REGEXREPLACE(REGEXREPLACE(E313,"","",),IF(Projections!$U$3="""",""PG"",),),IF(Projections!$V$3="""",""SG"",),),IF(Projections!$W$3="""",""SF"",),),IF(Projections!$X$3="""",""PF"",),),IF(Projections!$Y$3="&amp;""""",""C"",),)"),"SFPF")</f>
        <v>SFPF</v>
      </c>
    </row>
    <row r="314">
      <c r="B314">
        <f>IFERROR(__xludf.DUMMYFUNCTION("""COMPUTED_VALUE"""),329.0)</f>
        <v>329</v>
      </c>
      <c r="C314" t="str">
        <f>IFERROR(__xludf.DUMMYFUNCTION("""COMPUTED_VALUE"""),"Usman Garuba")</f>
        <v>Usman Garuba</v>
      </c>
      <c r="D314">
        <f>IFERROR(__xludf.DUMMYFUNCTION("""COMPUTED_VALUE"""),26.0)</f>
        <v>26</v>
      </c>
      <c r="E314" t="str">
        <f>IFERROR(__xludf.DUMMYFUNCTION("""COMPUTED_VALUE"""),"PF,C")</f>
        <v>PF,C</v>
      </c>
      <c r="F314" s="53">
        <f>IFERROR(__xludf.DUMMYFUNCTION("""COMPUTED_VALUE"""),-8.832574738061043)</f>
        <v>-8.832574738</v>
      </c>
      <c r="G314" s="53">
        <f>IFERROR(__xludf.DUMMYFUNCTION("""COMPUTED_VALUE"""),-5.185406247061316)</f>
        <v>-5.185406247</v>
      </c>
      <c r="H314" s="53">
        <f>IFERROR(__xludf.DUMMYFUNCTION("""COMPUTED_VALUE"""),3.647168490999727)</f>
        <v>3.647168491</v>
      </c>
      <c r="I314" s="53">
        <f>IFERROR(__xludf.DUMMYFUNCTION("""COMPUTED_VALUE"""),2.4)</f>
        <v>2.4</v>
      </c>
      <c r="J314" s="53">
        <f>IFERROR(__xludf.DUMMYFUNCTION("""COMPUTED_VALUE"""),0.3)</f>
        <v>0.3</v>
      </c>
      <c r="K314" s="53">
        <f>IFERROR(__xludf.DUMMYFUNCTION("""COMPUTED_VALUE"""),3.4)</f>
        <v>3.4</v>
      </c>
      <c r="L314" s="53">
        <f>IFERROR(__xludf.DUMMYFUNCTION("""COMPUTED_VALUE"""),0.7)</f>
        <v>0.7</v>
      </c>
      <c r="M314" s="53">
        <f>IFERROR(__xludf.DUMMYFUNCTION("""COMPUTED_VALUE"""),0.5)</f>
        <v>0.5</v>
      </c>
      <c r="N314" s="53">
        <f>IFERROR(__xludf.DUMMYFUNCTION("""COMPUTED_VALUE"""),0.4)</f>
        <v>0.4</v>
      </c>
      <c r="O314" s="53">
        <f>IFERROR(__xludf.DUMMYFUNCTION("""COMPUTED_VALUE"""),47.36842105263158)</f>
        <v>47.36842105</v>
      </c>
      <c r="P314" s="53">
        <f>IFERROR(__xludf.DUMMYFUNCTION("""COMPUTED_VALUE"""),60.0)</f>
        <v>60</v>
      </c>
      <c r="Q314" s="53">
        <f>IFERROR(__xludf.DUMMYFUNCTION("""COMPUTED_VALUE"""),0.5)</f>
        <v>0.5</v>
      </c>
      <c r="R314" s="53">
        <f>IFERROR(__xludf.DUMMYFUNCTION("""COMPUTED_VALUE"""),-2.5037402070130015)</f>
        <v>-2.503740207</v>
      </c>
      <c r="S314" s="53">
        <f>IFERROR(__xludf.DUMMYFUNCTION("""COMPUTED_VALUE"""),-1.1659991755309944)</f>
        <v>-1.165999176</v>
      </c>
      <c r="T314" s="53">
        <f>IFERROR(__xludf.DUMMYFUNCTION("""COMPUTED_VALUE"""),-1.1270636021846543)</f>
        <v>-1.127063602</v>
      </c>
      <c r="U314" s="53">
        <f>IFERROR(__xludf.DUMMYFUNCTION("""COMPUTED_VALUE"""),-1.603517358481987)</f>
        <v>-1.603517358</v>
      </c>
      <c r="V314" s="53">
        <f>IFERROR(__xludf.DUMMYFUNCTION("""COMPUTED_VALUE"""),-1.0786201759549239)</f>
        <v>-1.078620176</v>
      </c>
      <c r="W314" s="53">
        <f>IFERROR(__xludf.DUMMYFUNCTION("""COMPUTED_VALUE"""),-0.39569839687757064)</f>
        <v>-0.3956983969</v>
      </c>
      <c r="X314" s="53">
        <f>IFERROR(__xludf.DUMMYFUNCTION("""COMPUTED_VALUE"""),-0.04232232527997132)</f>
        <v>-0.04232232528</v>
      </c>
      <c r="Y314" s="53">
        <f>IFERROR(__xludf.DUMMYFUNCTION("""COMPUTED_VALUE"""),-0.2362232324733773)</f>
        <v>-0.2362232325</v>
      </c>
      <c r="Z314" s="53">
        <f>IFERROR(__xludf.DUMMYFUNCTION("""COMPUTED_VALUE"""),0.4640380197221629)</f>
        <v>0.4640380197</v>
      </c>
      <c r="AA314" t="str">
        <f>IFERROR(__xludf.DUMMYFUNCTION("REGEXREPLACE(REGEXREPLACE(REGEXREPLACE(REGEXREPLACE(REGEXREPLACE(REGEXREPLACE(E314,"","",),IF(Projections!$U$3="""",""PG"",),),IF(Projections!$V$3="""",""SG"",),),IF(Projections!$W$3="""",""SF"",),),IF(Projections!$X$3="""",""PF"",),),IF(Projections!$Y$3="&amp;""""",""C"",),)"),"PFC")</f>
        <v>PFC</v>
      </c>
    </row>
    <row r="315">
      <c r="B315">
        <f>IFERROR(__xludf.DUMMYFUNCTION("""COMPUTED_VALUE"""),300.0)</f>
        <v>300</v>
      </c>
      <c r="C315" t="str">
        <f>IFERROR(__xludf.DUMMYFUNCTION("""COMPUTED_VALUE"""),"Jae'Sean Tate")</f>
        <v>Jae'Sean Tate</v>
      </c>
      <c r="D315">
        <f>IFERROR(__xludf.DUMMYFUNCTION("""COMPUTED_VALUE"""),64.0)</f>
        <v>64</v>
      </c>
      <c r="E315" t="str">
        <f>IFERROR(__xludf.DUMMYFUNCTION("""COMPUTED_VALUE"""),"SF,PF")</f>
        <v>SF,PF</v>
      </c>
      <c r="F315" s="53">
        <f>IFERROR(__xludf.DUMMYFUNCTION("""COMPUTED_VALUE"""),-8.044232532363397)</f>
        <v>-8.044232532</v>
      </c>
      <c r="G315" s="53">
        <f>IFERROR(__xludf.DUMMYFUNCTION("""COMPUTED_VALUE"""),-5.189788232442316)</f>
        <v>-5.189788232</v>
      </c>
      <c r="H315" s="53">
        <f>IFERROR(__xludf.DUMMYFUNCTION("""COMPUTED_VALUE"""),2.854444299921081)</f>
        <v>2.8544443</v>
      </c>
      <c r="I315" s="53">
        <f>IFERROR(__xludf.DUMMYFUNCTION("""COMPUTED_VALUE"""),6.9)</f>
        <v>6.9</v>
      </c>
      <c r="J315" s="53">
        <f>IFERROR(__xludf.DUMMYFUNCTION("""COMPUTED_VALUE"""),0.4)</f>
        <v>0.4</v>
      </c>
      <c r="K315" s="53">
        <f>IFERROR(__xludf.DUMMYFUNCTION("""COMPUTED_VALUE"""),3.1)</f>
        <v>3.1</v>
      </c>
      <c r="L315" s="53">
        <f>IFERROR(__xludf.DUMMYFUNCTION("""COMPUTED_VALUE"""),1.8)</f>
        <v>1.8</v>
      </c>
      <c r="M315" s="53">
        <f>IFERROR(__xludf.DUMMYFUNCTION("""COMPUTED_VALUE"""),0.5)</f>
        <v>0.5</v>
      </c>
      <c r="N315" s="53">
        <f>IFERROR(__xludf.DUMMYFUNCTION("""COMPUTED_VALUE"""),0.3)</f>
        <v>0.3</v>
      </c>
      <c r="O315" s="53">
        <f>IFERROR(__xludf.DUMMYFUNCTION("""COMPUTED_VALUE"""),49.09090909090909)</f>
        <v>49.09090909</v>
      </c>
      <c r="P315" s="53">
        <f>IFERROR(__xludf.DUMMYFUNCTION("""COMPUTED_VALUE"""),66.66666666666666)</f>
        <v>66.66666667</v>
      </c>
      <c r="Q315" s="53">
        <f>IFERROR(__xludf.DUMMYFUNCTION("""COMPUTED_VALUE"""),1.1)</f>
        <v>1.1</v>
      </c>
      <c r="R315" s="53">
        <f>IFERROR(__xludf.DUMMYFUNCTION("""COMPUTED_VALUE"""),-1.7453715106998868)</f>
        <v>-1.745371511</v>
      </c>
      <c r="S315" s="53">
        <f>IFERROR(__xludf.DUMMYFUNCTION("""COMPUTED_VALUE"""),-1.079286296835085)</f>
        <v>-1.079286297</v>
      </c>
      <c r="T315" s="53">
        <f>IFERROR(__xludf.DUMMYFUNCTION("""COMPUTED_VALUE"""),-1.2525097117525728)</f>
        <v>-1.252509712</v>
      </c>
      <c r="U315" s="53">
        <f>IFERROR(__xludf.DUMMYFUNCTION("""COMPUTED_VALUE"""),-1.0424902928553377)</f>
        <v>-1.042490293</v>
      </c>
      <c r="V315" s="53">
        <f>IFERROR(__xludf.DUMMYFUNCTION("""COMPUTED_VALUE"""),-1.0786201759549239)</f>
        <v>-1.078620176</v>
      </c>
      <c r="W315" s="53">
        <f>IFERROR(__xludf.DUMMYFUNCTION("""COMPUTED_VALUE"""),-0.5270142365493308)</f>
        <v>-0.5270142365</v>
      </c>
      <c r="X315" s="53">
        <f>IFERROR(__xludf.DUMMYFUNCTION("""COMPUTED_VALUE"""),-0.02788267567327094)</f>
        <v>-0.02788267567</v>
      </c>
      <c r="Y315" s="53">
        <f>IFERROR(__xludf.DUMMYFUNCTION("""COMPUTED_VALUE"""),-0.45974533455557964)</f>
        <v>-0.4597453346</v>
      </c>
      <c r="Z315" s="53">
        <f>IFERROR(__xludf.DUMMYFUNCTION("""COMPUTED_VALUE"""),0.2777604917337834)</f>
        <v>0.2777604917</v>
      </c>
      <c r="AA315" t="str">
        <f>IFERROR(__xludf.DUMMYFUNCTION("REGEXREPLACE(REGEXREPLACE(REGEXREPLACE(REGEXREPLACE(REGEXREPLACE(REGEXREPLACE(E315,"","",),IF(Projections!$U$3="""",""PG"",),),IF(Projections!$V$3="""",""SG"",),),IF(Projections!$W$3="""",""SF"",),),IF(Projections!$X$3="""",""PF"",),),IF(Projections!$Y$3="&amp;""""",""C"",),)"),"SFPF")</f>
        <v>SFPF</v>
      </c>
    </row>
    <row r="316">
      <c r="B316">
        <f>IFERROR(__xludf.DUMMYFUNCTION("""COMPUTED_VALUE"""),295.0)</f>
        <v>295</v>
      </c>
      <c r="C316" t="str">
        <f>IFERROR(__xludf.DUMMYFUNCTION("""COMPUTED_VALUE"""),"Jaime Jaquez Jr.")</f>
        <v>Jaime Jaquez Jr.</v>
      </c>
      <c r="D316">
        <f>IFERROR(__xludf.DUMMYFUNCTION("""COMPUTED_VALUE"""),70.0)</f>
        <v>70</v>
      </c>
      <c r="E316" t="str">
        <f>IFERROR(__xludf.DUMMYFUNCTION("""COMPUTED_VALUE"""),"SF")</f>
        <v>SF</v>
      </c>
      <c r="F316" s="53">
        <f>IFERROR(__xludf.DUMMYFUNCTION("""COMPUTED_VALUE"""),-7.945359238974773)</f>
        <v>-7.945359239</v>
      </c>
      <c r="G316" s="53">
        <f>IFERROR(__xludf.DUMMYFUNCTION("""COMPUTED_VALUE"""),-5.203301000938227)</f>
        <v>-5.203301001</v>
      </c>
      <c r="H316" s="53">
        <f>IFERROR(__xludf.DUMMYFUNCTION("""COMPUTED_VALUE"""),2.742058238036546)</f>
        <v>2.742058238</v>
      </c>
      <c r="I316" s="53">
        <f>IFERROR(__xludf.DUMMYFUNCTION("""COMPUTED_VALUE"""),7.3)</f>
        <v>7.3</v>
      </c>
      <c r="J316" s="53">
        <f>IFERROR(__xludf.DUMMYFUNCTION("""COMPUTED_VALUE"""),0.4)</f>
        <v>0.4</v>
      </c>
      <c r="K316" s="53">
        <f>IFERROR(__xludf.DUMMYFUNCTION("""COMPUTED_VALUE"""),2.5)</f>
        <v>2.5</v>
      </c>
      <c r="L316" s="53">
        <f>IFERROR(__xludf.DUMMYFUNCTION("""COMPUTED_VALUE"""),1.5)</f>
        <v>1.5</v>
      </c>
      <c r="M316" s="53">
        <f>IFERROR(__xludf.DUMMYFUNCTION("""COMPUTED_VALUE"""),0.6)</f>
        <v>0.6</v>
      </c>
      <c r="N316" s="53">
        <f>IFERROR(__xludf.DUMMYFUNCTION("""COMPUTED_VALUE"""),0.2)</f>
        <v>0.2</v>
      </c>
      <c r="O316" s="53">
        <f>IFERROR(__xludf.DUMMYFUNCTION("""COMPUTED_VALUE"""),45.0)</f>
        <v>45</v>
      </c>
      <c r="P316" s="53">
        <f>IFERROR(__xludf.DUMMYFUNCTION("""COMPUTED_VALUE"""),78.94736842105263)</f>
        <v>78.94736842</v>
      </c>
      <c r="Q316" s="53">
        <f>IFERROR(__xludf.DUMMYFUNCTION("""COMPUTED_VALUE"""),0.8)</f>
        <v>0.8</v>
      </c>
      <c r="R316" s="53">
        <f>IFERROR(__xludf.DUMMYFUNCTION("""COMPUTED_VALUE"""),-1.6779609599164989)</f>
        <v>-1.67796096</v>
      </c>
      <c r="S316" s="53">
        <f>IFERROR(__xludf.DUMMYFUNCTION("""COMPUTED_VALUE"""),-1.079286296835085)</f>
        <v>-1.079286297</v>
      </c>
      <c r="T316" s="53">
        <f>IFERROR(__xludf.DUMMYFUNCTION("""COMPUTED_VALUE"""),-1.50340193088841)</f>
        <v>-1.503401931</v>
      </c>
      <c r="U316" s="53">
        <f>IFERROR(__xludf.DUMMYFUNCTION("""COMPUTED_VALUE"""),-1.1954976743898784)</f>
        <v>-1.195497674</v>
      </c>
      <c r="V316" s="53">
        <f>IFERROR(__xludf.DUMMYFUNCTION("""COMPUTED_VALUE"""),-0.860570275155411)</f>
        <v>-0.8605702752</v>
      </c>
      <c r="W316" s="53">
        <f>IFERROR(__xludf.DUMMYFUNCTION("""COMPUTED_VALUE"""),-0.6583300762210907)</f>
        <v>-0.6583300762</v>
      </c>
      <c r="X316" s="53">
        <f>IFERROR(__xludf.DUMMYFUNCTION("""COMPUTED_VALUE"""),-0.27559342608987847)</f>
        <v>-0.2755934261</v>
      </c>
      <c r="Y316" s="53">
        <f>IFERROR(__xludf.DUMMYFUNCTION("""COMPUTED_VALUE"""),-0.0015205770864451739)</f>
        <v>-0.001520577086</v>
      </c>
      <c r="Z316" s="53">
        <f>IFERROR(__xludf.DUMMYFUNCTION("""COMPUTED_VALUE"""),0.37089925572797316)</f>
        <v>0.3708992557</v>
      </c>
      <c r="AA316" t="str">
        <f>IFERROR(__xludf.DUMMYFUNCTION("REGEXREPLACE(REGEXREPLACE(REGEXREPLACE(REGEXREPLACE(REGEXREPLACE(REGEXREPLACE(E316,"","",),IF(Projections!$U$3="""",""PG"",),),IF(Projections!$V$3="""",""SG"",),),IF(Projections!$W$3="""",""SF"",),),IF(Projections!$X$3="""",""PF"",),),IF(Projections!$Y$3="&amp;""""",""C"",),)"),"SF")</f>
        <v>SF</v>
      </c>
    </row>
    <row r="317">
      <c r="B317">
        <f>IFERROR(__xludf.DUMMYFUNCTION("""COMPUTED_VALUE"""),326.0)</f>
        <v>326</v>
      </c>
      <c r="C317" t="str">
        <f>IFERROR(__xludf.DUMMYFUNCTION("""COMPUTED_VALUE"""),"Otto Porter Jr.")</f>
        <v>Otto Porter Jr.</v>
      </c>
      <c r="D317">
        <f>IFERROR(__xludf.DUMMYFUNCTION("""COMPUTED_VALUE"""),30.0)</f>
        <v>30</v>
      </c>
      <c r="E317" t="str">
        <f>IFERROR(__xludf.DUMMYFUNCTION("""COMPUTED_VALUE"""),"SG,SF")</f>
        <v>SG,SF</v>
      </c>
      <c r="F317" s="53">
        <f>IFERROR(__xludf.DUMMYFUNCTION("""COMPUTED_VALUE"""),-8.756740651396335)</f>
        <v>-8.756740651</v>
      </c>
      <c r="G317" s="53">
        <f>IFERROR(__xludf.DUMMYFUNCTION("""COMPUTED_VALUE"""),-5.256936513274562)</f>
        <v>-5.256936513</v>
      </c>
      <c r="H317" s="53">
        <f>IFERROR(__xludf.DUMMYFUNCTION("""COMPUTED_VALUE"""),3.499804138121773)</f>
        <v>3.499804138</v>
      </c>
      <c r="I317" s="53">
        <f>IFERROR(__xludf.DUMMYFUNCTION("""COMPUTED_VALUE"""),3.8)</f>
        <v>3.8</v>
      </c>
      <c r="J317" s="53">
        <f>IFERROR(__xludf.DUMMYFUNCTION("""COMPUTED_VALUE"""),0.6)</f>
        <v>0.6</v>
      </c>
      <c r="K317" s="53">
        <f>IFERROR(__xludf.DUMMYFUNCTION("""COMPUTED_VALUE"""),2.6)</f>
        <v>2.6</v>
      </c>
      <c r="L317" s="53">
        <f>IFERROR(__xludf.DUMMYFUNCTION("""COMPUTED_VALUE"""),0.7)</f>
        <v>0.7</v>
      </c>
      <c r="M317" s="53">
        <f>IFERROR(__xludf.DUMMYFUNCTION("""COMPUTED_VALUE"""),0.5)</f>
        <v>0.5</v>
      </c>
      <c r="N317" s="53">
        <f>IFERROR(__xludf.DUMMYFUNCTION("""COMPUTED_VALUE"""),0.2)</f>
        <v>0.2</v>
      </c>
      <c r="O317" s="53">
        <f>IFERROR(__xludf.DUMMYFUNCTION("""COMPUTED_VALUE"""),46.666666666666664)</f>
        <v>46.66666667</v>
      </c>
      <c r="P317" s="53">
        <f>IFERROR(__xludf.DUMMYFUNCTION("""COMPUTED_VALUE"""),80.0)</f>
        <v>80</v>
      </c>
      <c r="Q317" s="53">
        <f>IFERROR(__xludf.DUMMYFUNCTION("""COMPUTED_VALUE"""),0.3)</f>
        <v>0.3</v>
      </c>
      <c r="R317" s="53">
        <f>IFERROR(__xludf.DUMMYFUNCTION("""COMPUTED_VALUE"""),-2.2678032792711433)</f>
        <v>-2.267803279</v>
      </c>
      <c r="S317" s="53">
        <f>IFERROR(__xludf.DUMMYFUNCTION("""COMPUTED_VALUE"""),-0.9058605394432663)</f>
        <v>-0.9058605394</v>
      </c>
      <c r="T317" s="53">
        <f>IFERROR(__xludf.DUMMYFUNCTION("""COMPUTED_VALUE"""),-1.461586561032437)</f>
        <v>-1.461586561</v>
      </c>
      <c r="U317" s="53">
        <f>IFERROR(__xludf.DUMMYFUNCTION("""COMPUTED_VALUE"""),-1.603517358481987)</f>
        <v>-1.603517358</v>
      </c>
      <c r="V317" s="53">
        <f>IFERROR(__xludf.DUMMYFUNCTION("""COMPUTED_VALUE"""),-1.0786201759549239)</f>
        <v>-1.078620176</v>
      </c>
      <c r="W317" s="53">
        <f>IFERROR(__xludf.DUMMYFUNCTION("""COMPUTED_VALUE"""),-0.6583300762210907)</f>
        <v>-0.6583300762</v>
      </c>
      <c r="X317" s="53">
        <f>IFERROR(__xludf.DUMMYFUNCTION("""COMPUTED_VALUE"""),-0.08785346158365405)</f>
        <v>-0.08785346158</v>
      </c>
      <c r="Y317" s="53">
        <f>IFERROR(__xludf.DUMMYFUNCTION("""COMPUTED_VALUE"""),0.01270113039117512)</f>
        <v>0.01270113039</v>
      </c>
      <c r="Z317" s="53">
        <f>IFERROR(__xludf.DUMMYFUNCTION("""COMPUTED_VALUE"""),0.5261305290516227)</f>
        <v>0.5261305291</v>
      </c>
      <c r="AA317" t="str">
        <f>IFERROR(__xludf.DUMMYFUNCTION("REGEXREPLACE(REGEXREPLACE(REGEXREPLACE(REGEXREPLACE(REGEXREPLACE(REGEXREPLACE(E317,"","",),IF(Projections!$U$3="""",""PG"",),),IF(Projections!$V$3="""",""SG"",),),IF(Projections!$W$3="""",""SF"",),),IF(Projections!$X$3="""",""PF"",),),IF(Projections!$Y$3="&amp;""""",""C"",),)"),"SGSF")</f>
        <v>SGSF</v>
      </c>
    </row>
    <row r="318">
      <c r="B318">
        <f>IFERROR(__xludf.DUMMYFUNCTION("""COMPUTED_VALUE"""),324.0)</f>
        <v>324</v>
      </c>
      <c r="C318" t="str">
        <f>IFERROR(__xludf.DUMMYFUNCTION("""COMPUTED_VALUE"""),"Mo Bamba")</f>
        <v>Mo Bamba</v>
      </c>
      <c r="D318">
        <f>IFERROR(__xludf.DUMMYFUNCTION("""COMPUTED_VALUE"""),50.0)</f>
        <v>50</v>
      </c>
      <c r="E318" t="str">
        <f>IFERROR(__xludf.DUMMYFUNCTION("""COMPUTED_VALUE"""),"C")</f>
        <v>C</v>
      </c>
      <c r="F318" s="53">
        <f>IFERROR(__xludf.DUMMYFUNCTION("""COMPUTED_VALUE"""),-8.682021881609746)</f>
        <v>-8.682021882</v>
      </c>
      <c r="G318" s="53">
        <f>IFERROR(__xludf.DUMMYFUNCTION("""COMPUTED_VALUE"""),-5.28131647972852)</f>
        <v>-5.28131648</v>
      </c>
      <c r="H318" s="53">
        <f>IFERROR(__xludf.DUMMYFUNCTION("""COMPUTED_VALUE"""),3.4007054018812255)</f>
        <v>3.400705402</v>
      </c>
      <c r="I318" s="53">
        <f>IFERROR(__xludf.DUMMYFUNCTION("""COMPUTED_VALUE"""),4.4)</f>
        <v>4.4</v>
      </c>
      <c r="J318" s="53">
        <f>IFERROR(__xludf.DUMMYFUNCTION("""COMPUTED_VALUE"""),0.6)</f>
        <v>0.6</v>
      </c>
      <c r="K318" s="53">
        <f>IFERROR(__xludf.DUMMYFUNCTION("""COMPUTED_VALUE"""),3.2)</f>
        <v>3.2</v>
      </c>
      <c r="L318" s="53">
        <f>IFERROR(__xludf.DUMMYFUNCTION("""COMPUTED_VALUE"""),0.5)</f>
        <v>0.5</v>
      </c>
      <c r="M318" s="53">
        <f>IFERROR(__xludf.DUMMYFUNCTION("""COMPUTED_VALUE"""),0.2)</f>
        <v>0.2</v>
      </c>
      <c r="N318" s="53">
        <f>IFERROR(__xludf.DUMMYFUNCTION("""COMPUTED_VALUE"""),0.7)</f>
        <v>0.7</v>
      </c>
      <c r="O318" s="53">
        <f>IFERROR(__xludf.DUMMYFUNCTION("""COMPUTED_VALUE"""),48.57142857142857)</f>
        <v>48.57142857</v>
      </c>
      <c r="P318" s="53">
        <f>IFERROR(__xludf.DUMMYFUNCTION("""COMPUTED_VALUE"""),66.66666666666667)</f>
        <v>66.66666667</v>
      </c>
      <c r="Q318" s="53">
        <f>IFERROR(__xludf.DUMMYFUNCTION("""COMPUTED_VALUE"""),0.4)</f>
        <v>0.4</v>
      </c>
      <c r="R318" s="53">
        <f>IFERROR(__xludf.DUMMYFUNCTION("""COMPUTED_VALUE"""),-2.1666874530960616)</f>
        <v>-2.166687453</v>
      </c>
      <c r="S318" s="53">
        <f>IFERROR(__xludf.DUMMYFUNCTION("""COMPUTED_VALUE"""),-0.9058605394432663)</f>
        <v>-0.9058605394</v>
      </c>
      <c r="T318" s="53">
        <f>IFERROR(__xludf.DUMMYFUNCTION("""COMPUTED_VALUE"""),-1.2106943418965999)</f>
        <v>-1.210694342</v>
      </c>
      <c r="U318" s="53">
        <f>IFERROR(__xludf.DUMMYFUNCTION("""COMPUTED_VALUE"""),-1.7055222795050142)</f>
        <v>-1.70552228</v>
      </c>
      <c r="V318" s="53">
        <f>IFERROR(__xludf.DUMMYFUNCTION("""COMPUTED_VALUE"""),-1.732769878353462)</f>
        <v>-1.732769878</v>
      </c>
      <c r="W318" s="53">
        <f>IFERROR(__xludf.DUMMYFUNCTION("""COMPUTED_VALUE"""),-0.0017508778622903794)</f>
        <v>-0.001750877862</v>
      </c>
      <c r="X318" s="53">
        <f>IFERROR(__xludf.DUMMYFUNCTION("""COMPUTED_VALUE"""),-0.035904703232549115)</f>
        <v>-0.03590470323</v>
      </c>
      <c r="Y318" s="53">
        <f>IFERROR(__xludf.DUMMYFUNCTION("""COMPUTED_VALUE"""),-0.18389813382223172)</f>
        <v>-0.1838981338</v>
      </c>
      <c r="Z318" s="53">
        <f>IFERROR(__xludf.DUMMYFUNCTION("""COMPUTED_VALUE"""),0.4950842743868928)</f>
        <v>0.4950842744</v>
      </c>
      <c r="AA318" t="str">
        <f>IFERROR(__xludf.DUMMYFUNCTION("REGEXREPLACE(REGEXREPLACE(REGEXREPLACE(REGEXREPLACE(REGEXREPLACE(REGEXREPLACE(E318,"","",),IF(Projections!$U$3="""",""PG"",),),IF(Projections!$V$3="""",""SG"",),),IF(Projections!$W$3="""",""SF"",),),IF(Projections!$X$3="""",""PF"",),),IF(Projections!$Y$3="&amp;""""",""C"",),)"),"C")</f>
        <v>C</v>
      </c>
    </row>
    <row r="319">
      <c r="B319">
        <f>IFERROR(__xludf.DUMMYFUNCTION("""COMPUTED_VALUE"""),293.0)</f>
        <v>293</v>
      </c>
      <c r="C319" t="str">
        <f>IFERROR(__xludf.DUMMYFUNCTION("""COMPUTED_VALUE"""),"Johnny Davis")</f>
        <v>Johnny Davis</v>
      </c>
      <c r="D319">
        <f>IFERROR(__xludf.DUMMYFUNCTION("""COMPUTED_VALUE"""),63.0)</f>
        <v>63</v>
      </c>
      <c r="E319" t="str">
        <f>IFERROR(__xludf.DUMMYFUNCTION("""COMPUTED_VALUE"""),"SG,SF")</f>
        <v>SG,SF</v>
      </c>
      <c r="F319" s="53">
        <f>IFERROR(__xludf.DUMMYFUNCTION("""COMPUTED_VALUE"""),-7.929328882408706)</f>
        <v>-7.929328882</v>
      </c>
      <c r="G319" s="53">
        <f>IFERROR(__xludf.DUMMYFUNCTION("""COMPUTED_VALUE"""),-5.289971899406874)</f>
        <v>-5.289971899</v>
      </c>
      <c r="H319" s="53">
        <f>IFERROR(__xludf.DUMMYFUNCTION("""COMPUTED_VALUE"""),2.639356983001832)</f>
        <v>2.639356983</v>
      </c>
      <c r="I319" s="53">
        <f>IFERROR(__xludf.DUMMYFUNCTION("""COMPUTED_VALUE"""),8.2)</f>
        <v>8.2</v>
      </c>
      <c r="J319" s="53">
        <f>IFERROR(__xludf.DUMMYFUNCTION("""COMPUTED_VALUE"""),1.0)</f>
        <v>1</v>
      </c>
      <c r="K319" s="53">
        <f>IFERROR(__xludf.DUMMYFUNCTION("""COMPUTED_VALUE"""),3.0)</f>
        <v>3</v>
      </c>
      <c r="L319" s="53">
        <f>IFERROR(__xludf.DUMMYFUNCTION("""COMPUTED_VALUE"""),1.3)</f>
        <v>1.3</v>
      </c>
      <c r="M319" s="53">
        <f>IFERROR(__xludf.DUMMYFUNCTION("""COMPUTED_VALUE"""),0.5)</f>
        <v>0.5</v>
      </c>
      <c r="N319" s="53">
        <f>IFERROR(__xludf.DUMMYFUNCTION("""COMPUTED_VALUE"""),0.4)</f>
        <v>0.4</v>
      </c>
      <c r="O319" s="53">
        <f>IFERROR(__xludf.DUMMYFUNCTION("""COMPUTED_VALUE"""),41.02564102564103)</f>
        <v>41.02564103</v>
      </c>
      <c r="P319" s="53">
        <f>IFERROR(__xludf.DUMMYFUNCTION("""COMPUTED_VALUE"""),66.66666666666667)</f>
        <v>66.66666667</v>
      </c>
      <c r="Q319" s="53">
        <f>IFERROR(__xludf.DUMMYFUNCTION("""COMPUTED_VALUE"""),0.8)</f>
        <v>0.8</v>
      </c>
      <c r="R319" s="53">
        <f>IFERROR(__xludf.DUMMYFUNCTION("""COMPUTED_VALUE"""),-1.5262872206538762)</f>
        <v>-1.526287221</v>
      </c>
      <c r="S319" s="53">
        <f>IFERROR(__xludf.DUMMYFUNCTION("""COMPUTED_VALUE"""),-0.5590090246596284)</f>
        <v>-0.5590090247</v>
      </c>
      <c r="T319" s="53">
        <f>IFERROR(__xludf.DUMMYFUNCTION("""COMPUTED_VALUE"""),-1.2943250816085456)</f>
        <v>-1.294325082</v>
      </c>
      <c r="U319" s="53">
        <f>IFERROR(__xludf.DUMMYFUNCTION("""COMPUTED_VALUE"""),-1.2975025954129054)</f>
        <v>-1.297502595</v>
      </c>
      <c r="V319" s="53">
        <f>IFERROR(__xludf.DUMMYFUNCTION("""COMPUTED_VALUE"""),-1.0786201759549239)</f>
        <v>-1.078620176</v>
      </c>
      <c r="W319" s="53">
        <f>IFERROR(__xludf.DUMMYFUNCTION("""COMPUTED_VALUE"""),-0.39569839687757064)</f>
        <v>-0.3956983969</v>
      </c>
      <c r="X319" s="53">
        <f>IFERROR(__xludf.DUMMYFUNCTION("""COMPUTED_VALUE"""),-0.6679196129768109)</f>
        <v>-0.667919613</v>
      </c>
      <c r="Y319" s="53">
        <f>IFERROR(__xludf.DUMMYFUNCTION("""COMPUTED_VALUE"""),-0.36779626764446344)</f>
        <v>-0.3677962676</v>
      </c>
      <c r="Z319" s="53">
        <f>IFERROR(__xludf.DUMMYFUNCTION("""COMPUTED_VALUE"""),0.37089925572797316)</f>
        <v>0.3708992557</v>
      </c>
      <c r="AA319" t="str">
        <f>IFERROR(__xludf.DUMMYFUNCTION("REGEXREPLACE(REGEXREPLACE(REGEXREPLACE(REGEXREPLACE(REGEXREPLACE(REGEXREPLACE(E319,"","",),IF(Projections!$U$3="""",""PG"",),),IF(Projections!$V$3="""",""SG"",),),IF(Projections!$W$3="""",""SF"",),),IF(Projections!$X$3="""",""PF"",),),IF(Projections!$Y$3="&amp;""""",""C"",),)"),"SGSF")</f>
        <v>SGSF</v>
      </c>
    </row>
    <row r="320">
      <c r="B320">
        <f>IFERROR(__xludf.DUMMYFUNCTION("""COMPUTED_VALUE"""),319.0)</f>
        <v>319</v>
      </c>
      <c r="C320" t="str">
        <f>IFERROR(__xludf.DUMMYFUNCTION("""COMPUTED_VALUE"""),"Day'Ron Sharpe")</f>
        <v>Day'Ron Sharpe</v>
      </c>
      <c r="D320">
        <f>IFERROR(__xludf.DUMMYFUNCTION("""COMPUTED_VALUE"""),50.0)</f>
        <v>50</v>
      </c>
      <c r="E320" t="str">
        <f>IFERROR(__xludf.DUMMYFUNCTION("""COMPUTED_VALUE"""),"C")</f>
        <v>C</v>
      </c>
      <c r="F320" s="53">
        <f>IFERROR(__xludf.DUMMYFUNCTION("""COMPUTED_VALUE"""),-8.516807447078552)</f>
        <v>-8.516807447</v>
      </c>
      <c r="G320" s="53">
        <f>IFERROR(__xludf.DUMMYFUNCTION("""COMPUTED_VALUE"""),-5.311147308516478)</f>
        <v>-5.311147309</v>
      </c>
      <c r="H320" s="53">
        <f>IFERROR(__xludf.DUMMYFUNCTION("""COMPUTED_VALUE"""),3.2056601385620738)</f>
        <v>3.205660139</v>
      </c>
      <c r="I320" s="53">
        <f>IFERROR(__xludf.DUMMYFUNCTION("""COMPUTED_VALUE"""),5.2)</f>
        <v>5.2</v>
      </c>
      <c r="J320" s="53">
        <f>IFERROR(__xludf.DUMMYFUNCTION("""COMPUTED_VALUE"""),0.1)</f>
        <v>0.1</v>
      </c>
      <c r="K320" s="53">
        <f>IFERROR(__xludf.DUMMYFUNCTION("""COMPUTED_VALUE"""),4.4)</f>
        <v>4.4</v>
      </c>
      <c r="L320" s="53">
        <f>IFERROR(__xludf.DUMMYFUNCTION("""COMPUTED_VALUE"""),0.7)</f>
        <v>0.7</v>
      </c>
      <c r="M320" s="53">
        <f>IFERROR(__xludf.DUMMYFUNCTION("""COMPUTED_VALUE"""),0.3)</f>
        <v>0.3</v>
      </c>
      <c r="N320" s="53">
        <f>IFERROR(__xludf.DUMMYFUNCTION("""COMPUTED_VALUE"""),0.6)</f>
        <v>0.6</v>
      </c>
      <c r="O320" s="53">
        <f>IFERROR(__xludf.DUMMYFUNCTION("""COMPUTED_VALUE"""),56.41025641025642)</f>
        <v>56.41025641</v>
      </c>
      <c r="P320" s="53">
        <f>IFERROR(__xludf.DUMMYFUNCTION("""COMPUTED_VALUE"""),58.333333333333336)</f>
        <v>58.33333333</v>
      </c>
      <c r="Q320" s="53">
        <f>IFERROR(__xludf.DUMMYFUNCTION("""COMPUTED_VALUE"""),0.9)</f>
        <v>0.9</v>
      </c>
      <c r="R320" s="53">
        <f>IFERROR(__xludf.DUMMYFUNCTION("""COMPUTED_VALUE"""),-2.031866351529286)</f>
        <v>-2.031866352</v>
      </c>
      <c r="S320" s="53">
        <f>IFERROR(__xludf.DUMMYFUNCTION("""COMPUTED_VALUE"""),-1.3394249329228134)</f>
        <v>-1.339424933</v>
      </c>
      <c r="T320" s="53">
        <f>IFERROR(__xludf.DUMMYFUNCTION("""COMPUTED_VALUE"""),-0.7089099036249258)</f>
        <v>-0.7089099036</v>
      </c>
      <c r="U320" s="53">
        <f>IFERROR(__xludf.DUMMYFUNCTION("""COMPUTED_VALUE"""),-1.603517358481987)</f>
        <v>-1.603517358</v>
      </c>
      <c r="V320" s="53">
        <f>IFERROR(__xludf.DUMMYFUNCTION("""COMPUTED_VALUE"""),-1.5147199775539493)</f>
        <v>-1.514719978</v>
      </c>
      <c r="W320" s="53">
        <f>IFERROR(__xludf.DUMMYFUNCTION("""COMPUTED_VALUE"""),-0.13306671753405044)</f>
        <v>-0.1330667175</v>
      </c>
      <c r="X320" s="53">
        <f>IFERROR(__xludf.DUMMYFUNCTION("""COMPUTED_VALUE"""),0.265359211047019)</f>
        <v>0.265359211</v>
      </c>
      <c r="Y320" s="53">
        <f>IFERROR(__xludf.DUMMYFUNCTION("""COMPUTED_VALUE"""),-0.6167206305090159)</f>
        <v>-0.6167206305</v>
      </c>
      <c r="Z320" s="53">
        <f>IFERROR(__xludf.DUMMYFUNCTION("""COMPUTED_VALUE"""),0.33985300106324323)</f>
        <v>0.3398530011</v>
      </c>
      <c r="AA320" t="str">
        <f>IFERROR(__xludf.DUMMYFUNCTION("REGEXREPLACE(REGEXREPLACE(REGEXREPLACE(REGEXREPLACE(REGEXREPLACE(REGEXREPLACE(E320,"","",),IF(Projections!$U$3="""",""PG"",),),IF(Projections!$V$3="""",""SG"",),),IF(Projections!$W$3="""",""SF"",),),IF(Projections!$X$3="""",""PF"",),),IF(Projections!$Y$3="&amp;""""",""C"",),)"),"C")</f>
        <v>C</v>
      </c>
    </row>
    <row r="321">
      <c r="B321">
        <f>IFERROR(__xludf.DUMMYFUNCTION("""COMPUTED_VALUE"""),301.0)</f>
        <v>301</v>
      </c>
      <c r="C321" t="str">
        <f>IFERROR(__xludf.DUMMYFUNCTION("""COMPUTED_VALUE"""),"Ziaire Williams")</f>
        <v>Ziaire Williams</v>
      </c>
      <c r="D321">
        <f>IFERROR(__xludf.DUMMYFUNCTION("""COMPUTED_VALUE"""),60.0)</f>
        <v>60</v>
      </c>
      <c r="E321" t="str">
        <f>IFERROR(__xludf.DUMMYFUNCTION("""COMPUTED_VALUE"""),"SF")</f>
        <v>SF</v>
      </c>
      <c r="F321" s="53">
        <f>IFERROR(__xludf.DUMMYFUNCTION("""COMPUTED_VALUE"""),-8.048247478893868)</f>
        <v>-8.048247479</v>
      </c>
      <c r="G321" s="53">
        <f>IFERROR(__xludf.DUMMYFUNCTION("""COMPUTED_VALUE"""),-5.317578962941259)</f>
        <v>-5.317578963</v>
      </c>
      <c r="H321" s="53">
        <f>IFERROR(__xludf.DUMMYFUNCTION("""COMPUTED_VALUE"""),2.730668515952609)</f>
        <v>2.730668516</v>
      </c>
      <c r="I321" s="53">
        <f>IFERROR(__xludf.DUMMYFUNCTION("""COMPUTED_VALUE"""),7.6)</f>
        <v>7.6</v>
      </c>
      <c r="J321" s="53">
        <f>IFERROR(__xludf.DUMMYFUNCTION("""COMPUTED_VALUE"""),1.1)</f>
        <v>1.1</v>
      </c>
      <c r="K321" s="53">
        <f>IFERROR(__xludf.DUMMYFUNCTION("""COMPUTED_VALUE"""),2.2)</f>
        <v>2.2</v>
      </c>
      <c r="L321" s="53">
        <f>IFERROR(__xludf.DUMMYFUNCTION("""COMPUTED_VALUE"""),1.1)</f>
        <v>1.1</v>
      </c>
      <c r="M321" s="53">
        <f>IFERROR(__xludf.DUMMYFUNCTION("""COMPUTED_VALUE"""),0.5)</f>
        <v>0.5</v>
      </c>
      <c r="N321" s="53">
        <f>IFERROR(__xludf.DUMMYFUNCTION("""COMPUTED_VALUE"""),0.2)</f>
        <v>0.2</v>
      </c>
      <c r="O321" s="53">
        <f>IFERROR(__xludf.DUMMYFUNCTION("""COMPUTED_VALUE"""),43.93939393939394)</f>
        <v>43.93939394</v>
      </c>
      <c r="P321" s="53">
        <f>IFERROR(__xludf.DUMMYFUNCTION("""COMPUTED_VALUE"""),74.99999999999999)</f>
        <v>75</v>
      </c>
      <c r="Q321" s="53">
        <f>IFERROR(__xludf.DUMMYFUNCTION("""COMPUTED_VALUE"""),0.8)</f>
        <v>0.8</v>
      </c>
      <c r="R321" s="53">
        <f>IFERROR(__xludf.DUMMYFUNCTION("""COMPUTED_VALUE"""),-1.627403046828958)</f>
        <v>-1.627403047</v>
      </c>
      <c r="S321" s="53">
        <f>IFERROR(__xludf.DUMMYFUNCTION("""COMPUTED_VALUE"""),-0.472296145963719)</f>
        <v>-0.472296146</v>
      </c>
      <c r="T321" s="53">
        <f>IFERROR(__xludf.DUMMYFUNCTION("""COMPUTED_VALUE"""),-1.6288480404563284)</f>
        <v>-1.62884804</v>
      </c>
      <c r="U321" s="53">
        <f>IFERROR(__xludf.DUMMYFUNCTION("""COMPUTED_VALUE"""),-1.3995075164359327)</f>
        <v>-1.399507516</v>
      </c>
      <c r="V321" s="53">
        <f>IFERROR(__xludf.DUMMYFUNCTION("""COMPUTED_VALUE"""),-1.0786201759549239)</f>
        <v>-1.078620176</v>
      </c>
      <c r="W321" s="53">
        <f>IFERROR(__xludf.DUMMYFUNCTION("""COMPUTED_VALUE"""),-0.6583300762210907)</f>
        <v>-0.6583300762</v>
      </c>
      <c r="X321" s="53">
        <f>IFERROR(__xludf.DUMMYFUNCTION("""COMPUTED_VALUE"""),-0.37307332074466587)</f>
        <v>-0.3730733207</v>
      </c>
      <c r="Y321" s="53">
        <f>IFERROR(__xludf.DUMMYFUNCTION("""COMPUTED_VALUE"""),-0.07924793651994107)</f>
        <v>-0.07924793652</v>
      </c>
      <c r="Z321" s="53">
        <f>IFERROR(__xludf.DUMMYFUNCTION("""COMPUTED_VALUE"""),0.37089925572797316)</f>
        <v>0.3708992557</v>
      </c>
      <c r="AA321" t="str">
        <f>IFERROR(__xludf.DUMMYFUNCTION("REGEXREPLACE(REGEXREPLACE(REGEXREPLACE(REGEXREPLACE(REGEXREPLACE(REGEXREPLACE(E321,"","",),IF(Projections!$U$3="""",""PG"",),),IF(Projections!$V$3="""",""SG"",),),IF(Projections!$W$3="""",""SF"",),),IF(Projections!$X$3="""",""PF"",),),IF(Projections!$Y$3="&amp;""""",""C"",),)"),"SF")</f>
        <v>SF</v>
      </c>
    </row>
    <row r="322">
      <c r="B322">
        <f>IFERROR(__xludf.DUMMYFUNCTION("""COMPUTED_VALUE"""),307.0)</f>
        <v>307</v>
      </c>
      <c r="C322" t="str">
        <f>IFERROR(__xludf.DUMMYFUNCTION("""COMPUTED_VALUE"""),"Precious Achiuwa")</f>
        <v>Precious Achiuwa</v>
      </c>
      <c r="D322">
        <f>IFERROR(__xludf.DUMMYFUNCTION("""COMPUTED_VALUE"""),64.0)</f>
        <v>64</v>
      </c>
      <c r="E322" t="str">
        <f>IFERROR(__xludf.DUMMYFUNCTION("""COMPUTED_VALUE"""),"PF,C")</f>
        <v>PF,C</v>
      </c>
      <c r="F322" s="53">
        <f>IFERROR(__xludf.DUMMYFUNCTION("""COMPUTED_VALUE"""),-8.333443074611132)</f>
        <v>-8.333443075</v>
      </c>
      <c r="G322" s="53">
        <f>IFERROR(__xludf.DUMMYFUNCTION("""COMPUTED_VALUE"""),-5.3235784402633595)</f>
        <v>-5.32357844</v>
      </c>
      <c r="H322" s="53">
        <f>IFERROR(__xludf.DUMMYFUNCTION("""COMPUTED_VALUE"""),3.009864634347773)</f>
        <v>3.009864634</v>
      </c>
      <c r="I322" s="53">
        <f>IFERROR(__xludf.DUMMYFUNCTION("""COMPUTED_VALUE"""),6.6)</f>
        <v>6.6</v>
      </c>
      <c r="J322" s="53">
        <f>IFERROR(__xludf.DUMMYFUNCTION("""COMPUTED_VALUE"""),0.5)</f>
        <v>0.5</v>
      </c>
      <c r="K322" s="53">
        <f>IFERROR(__xludf.DUMMYFUNCTION("""COMPUTED_VALUE"""),4.5)</f>
        <v>4.5</v>
      </c>
      <c r="L322" s="53">
        <f>IFERROR(__xludf.DUMMYFUNCTION("""COMPUTED_VALUE"""),0.7)</f>
        <v>0.7</v>
      </c>
      <c r="M322" s="53">
        <f>IFERROR(__xludf.DUMMYFUNCTION("""COMPUTED_VALUE"""),0.4)</f>
        <v>0.4</v>
      </c>
      <c r="N322" s="53">
        <f>IFERROR(__xludf.DUMMYFUNCTION("""COMPUTED_VALUE"""),0.4)</f>
        <v>0.4</v>
      </c>
      <c r="O322" s="53">
        <f>IFERROR(__xludf.DUMMYFUNCTION("""COMPUTED_VALUE"""),45.614035087719294)</f>
        <v>45.61403509</v>
      </c>
      <c r="P322" s="53">
        <f>IFERROR(__xludf.DUMMYFUNCTION("""COMPUTED_VALUE"""),64.28571428571429)</f>
        <v>64.28571429</v>
      </c>
      <c r="Q322" s="53">
        <f>IFERROR(__xludf.DUMMYFUNCTION("""COMPUTED_VALUE"""),0.8)</f>
        <v>0.8</v>
      </c>
      <c r="R322" s="53">
        <f>IFERROR(__xludf.DUMMYFUNCTION("""COMPUTED_VALUE"""),-1.795929423787428)</f>
        <v>-1.795929424</v>
      </c>
      <c r="S322" s="53">
        <f>IFERROR(__xludf.DUMMYFUNCTION("""COMPUTED_VALUE"""),-0.9925734181391757)</f>
        <v>-0.9925734181</v>
      </c>
      <c r="T322" s="53">
        <f>IFERROR(__xludf.DUMMYFUNCTION("""COMPUTED_VALUE"""),-0.6670945337689531)</f>
        <v>-0.6670945338</v>
      </c>
      <c r="U322" s="53">
        <f>IFERROR(__xludf.DUMMYFUNCTION("""COMPUTED_VALUE"""),-1.603517358481987)</f>
        <v>-1.603517358</v>
      </c>
      <c r="V322" s="53">
        <f>IFERROR(__xludf.DUMMYFUNCTION("""COMPUTED_VALUE"""),-1.2966700767544366)</f>
        <v>-1.296670077</v>
      </c>
      <c r="W322" s="53">
        <f>IFERROR(__xludf.DUMMYFUNCTION("""COMPUTED_VALUE"""),-0.39569839687757064)</f>
        <v>-0.3956983969</v>
      </c>
      <c r="X322" s="53">
        <f>IFERROR(__xludf.DUMMYFUNCTION("""COMPUTED_VALUE"""),-0.22685347876248496)</f>
        <v>-0.2268534788</v>
      </c>
      <c r="Y322" s="53">
        <f>IFERROR(__xludf.DUMMYFUNCTION("""COMPUTED_VALUE"""),-0.5120704332067249)</f>
        <v>-0.5120704332</v>
      </c>
      <c r="Z322" s="53">
        <f>IFERROR(__xludf.DUMMYFUNCTION("""COMPUTED_VALUE"""),0.37089925572797316)</f>
        <v>0.3708992557</v>
      </c>
      <c r="AA322" t="str">
        <f>IFERROR(__xludf.DUMMYFUNCTION("REGEXREPLACE(REGEXREPLACE(REGEXREPLACE(REGEXREPLACE(REGEXREPLACE(REGEXREPLACE(E322,"","",),IF(Projections!$U$3="""",""PG"",),),IF(Projections!$V$3="""",""SG"",),),IF(Projections!$W$3="""",""SF"",),),IF(Projections!$X$3="""",""PF"",),),IF(Projections!$Y$3="&amp;""""",""C"",),)"),"PFC")</f>
        <v>PFC</v>
      </c>
    </row>
    <row r="323">
      <c r="B323">
        <f>IFERROR(__xludf.DUMMYFUNCTION("""COMPUTED_VALUE"""),317.0)</f>
        <v>317</v>
      </c>
      <c r="C323" t="str">
        <f>IFERROR(__xludf.DUMMYFUNCTION("""COMPUTED_VALUE"""),"Jock Landale")</f>
        <v>Jock Landale</v>
      </c>
      <c r="D323">
        <f>IFERROR(__xludf.DUMMYFUNCTION("""COMPUTED_VALUE"""),68.0)</f>
        <v>68</v>
      </c>
      <c r="E323" t="str">
        <f>IFERROR(__xludf.DUMMYFUNCTION("""COMPUTED_VALUE"""),"C")</f>
        <v>C</v>
      </c>
      <c r="F323" s="53">
        <f>IFERROR(__xludf.DUMMYFUNCTION("""COMPUTED_VALUE"""),-8.472038832474938)</f>
        <v>-8.472038832</v>
      </c>
      <c r="G323" s="53">
        <f>IFERROR(__xludf.DUMMYFUNCTION("""COMPUTED_VALUE"""),-5.328549945661478)</f>
        <v>-5.328549946</v>
      </c>
      <c r="H323" s="53">
        <f>IFERROR(__xludf.DUMMYFUNCTION("""COMPUTED_VALUE"""),3.1434888868134605)</f>
        <v>3.143488887</v>
      </c>
      <c r="I323" s="53">
        <f>IFERROR(__xludf.DUMMYFUNCTION("""COMPUTED_VALUE"""),6.2)</f>
        <v>6.2</v>
      </c>
      <c r="J323" s="53">
        <f>IFERROR(__xludf.DUMMYFUNCTION("""COMPUTED_VALUE"""),0.4)</f>
        <v>0.4</v>
      </c>
      <c r="K323" s="53">
        <f>IFERROR(__xludf.DUMMYFUNCTION("""COMPUTED_VALUE"""),3.6)</f>
        <v>3.6</v>
      </c>
      <c r="L323" s="53">
        <f>IFERROR(__xludf.DUMMYFUNCTION("""COMPUTED_VALUE"""),1.0)</f>
        <v>1</v>
      </c>
      <c r="M323" s="53">
        <f>IFERROR(__xludf.DUMMYFUNCTION("""COMPUTED_VALUE"""),0.2)</f>
        <v>0.2</v>
      </c>
      <c r="N323" s="53">
        <f>IFERROR(__xludf.DUMMYFUNCTION("""COMPUTED_VALUE"""),0.4)</f>
        <v>0.4</v>
      </c>
      <c r="O323" s="53">
        <f>IFERROR(__xludf.DUMMYFUNCTION("""COMPUTED_VALUE"""),51.06382978723404)</f>
        <v>51.06382979</v>
      </c>
      <c r="P323" s="53">
        <f>IFERROR(__xludf.DUMMYFUNCTION("""COMPUTED_VALUE"""),76.92307692307692)</f>
        <v>76.92307692</v>
      </c>
      <c r="Q323" s="53">
        <f>IFERROR(__xludf.DUMMYFUNCTION("""COMPUTED_VALUE"""),0.8)</f>
        <v>0.8</v>
      </c>
      <c r="R323" s="53">
        <f>IFERROR(__xludf.DUMMYFUNCTION("""COMPUTED_VALUE"""),-1.863339974570816)</f>
        <v>-1.863339975</v>
      </c>
      <c r="S323" s="53">
        <f>IFERROR(__xludf.DUMMYFUNCTION("""COMPUTED_VALUE"""),-1.079286296835085)</f>
        <v>-1.079286297</v>
      </c>
      <c r="T323" s="53">
        <f>IFERROR(__xludf.DUMMYFUNCTION("""COMPUTED_VALUE"""),-1.0434328624727087)</f>
        <v>-1.043432862</v>
      </c>
      <c r="U323" s="53">
        <f>IFERROR(__xludf.DUMMYFUNCTION("""COMPUTED_VALUE"""),-1.4505099769474463)</f>
        <v>-1.450509977</v>
      </c>
      <c r="V323" s="53">
        <f>IFERROR(__xludf.DUMMYFUNCTION("""COMPUTED_VALUE"""),-1.732769878353462)</f>
        <v>-1.732769878</v>
      </c>
      <c r="W323" s="53">
        <f>IFERROR(__xludf.DUMMYFUNCTION("""COMPUTED_VALUE"""),-0.39569839687757064)</f>
        <v>-0.3956983969</v>
      </c>
      <c r="X323" s="53">
        <f>IFERROR(__xludf.DUMMYFUNCTION("""COMPUTED_VALUE"""),0.06879501622558813)</f>
        <v>0.06879501623</v>
      </c>
      <c r="Y323" s="53">
        <f>IFERROR(__xludf.DUMMYFUNCTION("""COMPUTED_VALUE"""),-0.066546806128766)</f>
        <v>-0.06654680613</v>
      </c>
      <c r="Z323" s="53">
        <f>IFERROR(__xludf.DUMMYFUNCTION("""COMPUTED_VALUE"""),0.37089925572797316)</f>
        <v>0.3708992557</v>
      </c>
      <c r="AA323" t="str">
        <f>IFERROR(__xludf.DUMMYFUNCTION("REGEXREPLACE(REGEXREPLACE(REGEXREPLACE(REGEXREPLACE(REGEXREPLACE(REGEXREPLACE(E323,"","",),IF(Projections!$U$3="""",""PG"",),),IF(Projections!$V$3="""",""SG"",),),IF(Projections!$W$3="""",""SF"",),),IF(Projections!$X$3="""",""PF"",),),IF(Projections!$Y$3="&amp;""""",""C"",),)"),"C")</f>
        <v>C</v>
      </c>
    </row>
    <row r="324">
      <c r="B324">
        <f>IFERROR(__xludf.DUMMYFUNCTION("""COMPUTED_VALUE"""),315.0)</f>
        <v>315</v>
      </c>
      <c r="C324" t="str">
        <f>IFERROR(__xludf.DUMMYFUNCTION("""COMPUTED_VALUE"""),"Jalen Smith")</f>
        <v>Jalen Smith</v>
      </c>
      <c r="D324">
        <f>IFERROR(__xludf.DUMMYFUNCTION("""COMPUTED_VALUE"""),44.0)</f>
        <v>44</v>
      </c>
      <c r="E324" t="str">
        <f>IFERROR(__xludf.DUMMYFUNCTION("""COMPUTED_VALUE"""),"PF,C")</f>
        <v>PF,C</v>
      </c>
      <c r="F324" s="53">
        <f>IFERROR(__xludf.DUMMYFUNCTION("""COMPUTED_VALUE"""),-8.404061072091867)</f>
        <v>-8.404061072</v>
      </c>
      <c r="G324" s="53">
        <f>IFERROR(__xludf.DUMMYFUNCTION("""COMPUTED_VALUE"""),-5.331593520471046)</f>
        <v>-5.33159352</v>
      </c>
      <c r="H324" s="53">
        <f>IFERROR(__xludf.DUMMYFUNCTION("""COMPUTED_VALUE"""),3.0724675516208215)</f>
        <v>3.072467552</v>
      </c>
      <c r="I324" s="53">
        <f>IFERROR(__xludf.DUMMYFUNCTION("""COMPUTED_VALUE"""),6.3)</f>
        <v>6.3</v>
      </c>
      <c r="J324" s="53">
        <f>IFERROR(__xludf.DUMMYFUNCTION("""COMPUTED_VALUE"""),0.5)</f>
        <v>0.5</v>
      </c>
      <c r="K324" s="53">
        <f>IFERROR(__xludf.DUMMYFUNCTION("""COMPUTED_VALUE"""),4.0)</f>
        <v>4</v>
      </c>
      <c r="L324" s="53">
        <f>IFERROR(__xludf.DUMMYFUNCTION("""COMPUTED_VALUE"""),0.5)</f>
        <v>0.5</v>
      </c>
      <c r="M324" s="53">
        <f>IFERROR(__xludf.DUMMYFUNCTION("""COMPUTED_VALUE"""),0.2)</f>
        <v>0.2</v>
      </c>
      <c r="N324" s="53">
        <f>IFERROR(__xludf.DUMMYFUNCTION("""COMPUTED_VALUE"""),0.6)</f>
        <v>0.6</v>
      </c>
      <c r="O324" s="53">
        <f>IFERROR(__xludf.DUMMYFUNCTION("""COMPUTED_VALUE"""),48.979591836734684)</f>
        <v>48.97959184</v>
      </c>
      <c r="P324" s="53">
        <f>IFERROR(__xludf.DUMMYFUNCTION("""COMPUTED_VALUE"""),71.42857142857143)</f>
        <v>71.42857143</v>
      </c>
      <c r="Q324" s="53">
        <f>IFERROR(__xludf.DUMMYFUNCTION("""COMPUTED_VALUE"""),0.7)</f>
        <v>0.7</v>
      </c>
      <c r="R324" s="53">
        <f>IFERROR(__xludf.DUMMYFUNCTION("""COMPUTED_VALUE"""),-1.8464873368749688)</f>
        <v>-1.846487337</v>
      </c>
      <c r="S324" s="53">
        <f>IFERROR(__xludf.DUMMYFUNCTION("""COMPUTED_VALUE"""),-0.9925734181391757)</f>
        <v>-0.9925734181</v>
      </c>
      <c r="T324" s="53">
        <f>IFERROR(__xludf.DUMMYFUNCTION("""COMPUTED_VALUE"""),-0.8761713830488173)</f>
        <v>-0.876171383</v>
      </c>
      <c r="U324" s="53">
        <f>IFERROR(__xludf.DUMMYFUNCTION("""COMPUTED_VALUE"""),-1.7055222795050142)</f>
        <v>-1.70552228</v>
      </c>
      <c r="V324" s="53">
        <f>IFERROR(__xludf.DUMMYFUNCTION("""COMPUTED_VALUE"""),-1.732769878353462)</f>
        <v>-1.732769878</v>
      </c>
      <c r="W324" s="53">
        <f>IFERROR(__xludf.DUMMYFUNCTION("""COMPUTED_VALUE"""),-0.13306671753405044)</f>
        <v>-0.1330667175</v>
      </c>
      <c r="X324" s="53">
        <f>IFERROR(__xludf.DUMMYFUNCTION("""COMPUTED_VALUE"""),-0.030289283941054918)</f>
        <v>-0.03028928394</v>
      </c>
      <c r="Y324" s="53">
        <f>IFERROR(__xludf.DUMMYFUNCTION("""COMPUTED_VALUE"""),-0.26314607034217263)</f>
        <v>-0.2631460703</v>
      </c>
      <c r="Z324" s="53">
        <f>IFERROR(__xludf.DUMMYFUNCTION("""COMPUTED_VALUE"""),0.4019455103927031)</f>
        <v>0.4019455104</v>
      </c>
      <c r="AA324" t="str">
        <f>IFERROR(__xludf.DUMMYFUNCTION("REGEXREPLACE(REGEXREPLACE(REGEXREPLACE(REGEXREPLACE(REGEXREPLACE(REGEXREPLACE(E324,"","",),IF(Projections!$U$3="""",""PG"",),),IF(Projections!$V$3="""",""SG"",),),IF(Projections!$W$3="""",""SF"",),),IF(Projections!$X$3="""",""PF"",),),IF(Projections!$Y$3="&amp;""""",""C"",),)"),"PFC")</f>
        <v>PFC</v>
      </c>
    </row>
    <row r="325">
      <c r="B325">
        <f>IFERROR(__xludf.DUMMYFUNCTION("""COMPUTED_VALUE"""),320.0)</f>
        <v>320</v>
      </c>
      <c r="C325" t="str">
        <f>IFERROR(__xludf.DUMMYFUNCTION("""COMPUTED_VALUE"""),"Josh Minott")</f>
        <v>Josh Minott</v>
      </c>
      <c r="D325">
        <f>IFERROR(__xludf.DUMMYFUNCTION("""COMPUTED_VALUE"""),22.0)</f>
        <v>22</v>
      </c>
      <c r="E325" t="str">
        <f>IFERROR(__xludf.DUMMYFUNCTION("""COMPUTED_VALUE"""),"SF,PF")</f>
        <v>SF,PF</v>
      </c>
      <c r="F325" s="53">
        <f>IFERROR(__xludf.DUMMYFUNCTION("""COMPUTED_VALUE"""),-8.565311759571184)</f>
        <v>-8.56531176</v>
      </c>
      <c r="G325" s="53">
        <f>IFERROR(__xludf.DUMMYFUNCTION("""COMPUTED_VALUE"""),-5.34005197716691)</f>
        <v>-5.340051977</v>
      </c>
      <c r="H325" s="53">
        <f>IFERROR(__xludf.DUMMYFUNCTION("""COMPUTED_VALUE"""),3.225259782404274)</f>
        <v>3.225259782</v>
      </c>
      <c r="I325" s="53">
        <f>IFERROR(__xludf.DUMMYFUNCTION("""COMPUTED_VALUE"""),4.8)</f>
        <v>4.8</v>
      </c>
      <c r="J325" s="53">
        <f>IFERROR(__xludf.DUMMYFUNCTION("""COMPUTED_VALUE"""),0.2)</f>
        <v>0.2</v>
      </c>
      <c r="K325" s="53">
        <f>IFERROR(__xludf.DUMMYFUNCTION("""COMPUTED_VALUE"""),2.7)</f>
        <v>2.7</v>
      </c>
      <c r="L325" s="53">
        <f>IFERROR(__xludf.DUMMYFUNCTION("""COMPUTED_VALUE"""),0.5)</f>
        <v>0.5</v>
      </c>
      <c r="M325" s="53">
        <f>IFERROR(__xludf.DUMMYFUNCTION("""COMPUTED_VALUE"""),0.4)</f>
        <v>0.4</v>
      </c>
      <c r="N325" s="53">
        <f>IFERROR(__xludf.DUMMYFUNCTION("""COMPUTED_VALUE"""),0.6)</f>
        <v>0.6</v>
      </c>
      <c r="O325" s="53">
        <f>IFERROR(__xludf.DUMMYFUNCTION("""COMPUTED_VALUE"""),47.5)</f>
        <v>47.5</v>
      </c>
      <c r="P325" s="53">
        <f>IFERROR(__xludf.DUMMYFUNCTION("""COMPUTED_VALUE"""),80.0)</f>
        <v>80</v>
      </c>
      <c r="Q325" s="53">
        <f>IFERROR(__xludf.DUMMYFUNCTION("""COMPUTED_VALUE"""),0.3)</f>
        <v>0.3</v>
      </c>
      <c r="R325" s="53">
        <f>IFERROR(__xludf.DUMMYFUNCTION("""COMPUTED_VALUE"""),-2.0992769023126736)</f>
        <v>-2.099276902</v>
      </c>
      <c r="S325" s="53">
        <f>IFERROR(__xludf.DUMMYFUNCTION("""COMPUTED_VALUE"""),-1.252712054226904)</f>
        <v>-1.252712054</v>
      </c>
      <c r="T325" s="53">
        <f>IFERROR(__xludf.DUMMYFUNCTION("""COMPUTED_VALUE"""),-1.419771191176464)</f>
        <v>-1.419771191</v>
      </c>
      <c r="U325" s="53">
        <f>IFERROR(__xludf.DUMMYFUNCTION("""COMPUTED_VALUE"""),-1.7055222795050142)</f>
        <v>-1.70552228</v>
      </c>
      <c r="V325" s="53">
        <f>IFERROR(__xludf.DUMMYFUNCTION("""COMPUTED_VALUE"""),-1.2966700767544366)</f>
        <v>-1.296670077</v>
      </c>
      <c r="W325" s="53">
        <f>IFERROR(__xludf.DUMMYFUNCTION("""COMPUTED_VALUE"""),-0.13306671753405044)</f>
        <v>-0.1330667175</v>
      </c>
      <c r="X325" s="53">
        <f>IFERROR(__xludf.DUMMYFUNCTION("""COMPUTED_VALUE"""),-0.08384244780401508)</f>
        <v>-0.0838424478</v>
      </c>
      <c r="Y325" s="53">
        <f>IFERROR(__xludf.DUMMYFUNCTION("""COMPUTED_VALUE"""),0.02540226078235024)</f>
        <v>0.02540226078</v>
      </c>
      <c r="Z325" s="53">
        <f>IFERROR(__xludf.DUMMYFUNCTION("""COMPUTED_VALUE"""),0.5261305290516227)</f>
        <v>0.5261305291</v>
      </c>
      <c r="AA325" t="str">
        <f>IFERROR(__xludf.DUMMYFUNCTION("REGEXREPLACE(REGEXREPLACE(REGEXREPLACE(REGEXREPLACE(REGEXREPLACE(REGEXREPLACE(E325,"","",),IF(Projections!$U$3="""",""PG"",),),IF(Projections!$V$3="""",""SG"",),),IF(Projections!$W$3="""",""SF"",),),IF(Projections!$X$3="""",""PF"",),),IF(Projections!$Y$3="&amp;""""",""C"",),)"),"SFPF")</f>
        <v>SFPF</v>
      </c>
    </row>
    <row r="326">
      <c r="B326">
        <f>IFERROR(__xludf.DUMMYFUNCTION("""COMPUTED_VALUE"""),334.0)</f>
        <v>334</v>
      </c>
      <c r="C326" t="str">
        <f>IFERROR(__xludf.DUMMYFUNCTION("""COMPUTED_VALUE"""),"Nerlens Noel")</f>
        <v>Nerlens Noel</v>
      </c>
      <c r="D326">
        <f>IFERROR(__xludf.DUMMYFUNCTION("""COMPUTED_VALUE"""),38.0)</f>
        <v>38</v>
      </c>
      <c r="E326" t="str">
        <f>IFERROR(__xludf.DUMMYFUNCTION("""COMPUTED_VALUE"""),"C")</f>
        <v>C</v>
      </c>
      <c r="F326" s="53">
        <f>IFERROR(__xludf.DUMMYFUNCTION("""COMPUTED_VALUE"""),-8.91742050039028)</f>
        <v>-8.9174205</v>
      </c>
      <c r="G326" s="53">
        <f>IFERROR(__xludf.DUMMYFUNCTION("""COMPUTED_VALUE"""),-5.351472692493461)</f>
        <v>-5.351472692</v>
      </c>
      <c r="H326" s="53">
        <f>IFERROR(__xludf.DUMMYFUNCTION("""COMPUTED_VALUE"""),3.565947807896819)</f>
        <v>3.565947808</v>
      </c>
      <c r="I326" s="53">
        <f>IFERROR(__xludf.DUMMYFUNCTION("""COMPUTED_VALUE"""),1.7)</f>
        <v>1.7</v>
      </c>
      <c r="J326" s="53">
        <f>IFERROR(__xludf.DUMMYFUNCTION("""COMPUTED_VALUE"""),0.0)</f>
        <v>0</v>
      </c>
      <c r="K326" s="53">
        <f>IFERROR(__xludf.DUMMYFUNCTION("""COMPUTED_VALUE"""),2.6)</f>
        <v>2.6</v>
      </c>
      <c r="L326" s="53">
        <f>IFERROR(__xludf.DUMMYFUNCTION("""COMPUTED_VALUE"""),0.5)</f>
        <v>0.5</v>
      </c>
      <c r="M326" s="53">
        <f>IFERROR(__xludf.DUMMYFUNCTION("""COMPUTED_VALUE"""),0.6)</f>
        <v>0.6</v>
      </c>
      <c r="N326" s="53">
        <f>IFERROR(__xludf.DUMMYFUNCTION("""COMPUTED_VALUE"""),0.6)</f>
        <v>0.6</v>
      </c>
      <c r="O326" s="53">
        <f>IFERROR(__xludf.DUMMYFUNCTION("""COMPUTED_VALUE"""),46.15384615384615)</f>
        <v>46.15384615</v>
      </c>
      <c r="P326" s="53">
        <f>IFERROR(__xludf.DUMMYFUNCTION("""COMPUTED_VALUE"""),66.66666666666667)</f>
        <v>66.66666667</v>
      </c>
      <c r="Q326" s="53">
        <f>IFERROR(__xludf.DUMMYFUNCTION("""COMPUTED_VALUE"""),0.5)</f>
        <v>0.5</v>
      </c>
      <c r="R326" s="53">
        <f>IFERROR(__xludf.DUMMYFUNCTION("""COMPUTED_VALUE"""),-2.6217086708839306)</f>
        <v>-2.621708671</v>
      </c>
      <c r="S326" s="53">
        <f>IFERROR(__xludf.DUMMYFUNCTION("""COMPUTED_VALUE"""),-1.4261378116187227)</f>
        <v>-1.426137812</v>
      </c>
      <c r="T326" s="53">
        <f>IFERROR(__xludf.DUMMYFUNCTION("""COMPUTED_VALUE"""),-1.461586561032437)</f>
        <v>-1.461586561</v>
      </c>
      <c r="U326" s="53">
        <f>IFERROR(__xludf.DUMMYFUNCTION("""COMPUTED_VALUE"""),-1.7055222795050142)</f>
        <v>-1.70552228</v>
      </c>
      <c r="V326" s="53">
        <f>IFERROR(__xludf.DUMMYFUNCTION("""COMPUTED_VALUE"""),-0.860570275155411)</f>
        <v>-0.8605702752</v>
      </c>
      <c r="W326" s="53">
        <f>IFERROR(__xludf.DUMMYFUNCTION("""COMPUTED_VALUE"""),-0.13306671753405044)</f>
        <v>-0.1330667175</v>
      </c>
      <c r="X326" s="53">
        <f>IFERROR(__xludf.DUMMYFUNCTION("""COMPUTED_VALUE"""),-0.04472893354775478)</f>
        <v>-0.04472893355</v>
      </c>
      <c r="Y326" s="53">
        <f>IFERROR(__xludf.DUMMYFUNCTION("""COMPUTED_VALUE"""),-0.18389813382223172)</f>
        <v>-0.1838981338</v>
      </c>
      <c r="Z326" s="53">
        <f>IFERROR(__xludf.DUMMYFUNCTION("""COMPUTED_VALUE"""),0.4640380197221629)</f>
        <v>0.4640380197</v>
      </c>
      <c r="AA326" t="str">
        <f>IFERROR(__xludf.DUMMYFUNCTION("REGEXREPLACE(REGEXREPLACE(REGEXREPLACE(REGEXREPLACE(REGEXREPLACE(REGEXREPLACE(E326,"","",),IF(Projections!$U$3="""",""PG"",),),IF(Projections!$V$3="""",""SG"",),),IF(Projections!$W$3="""",""SF"",),),IF(Projections!$X$3="""",""PF"",),),IF(Projections!$Y$3="&amp;""""",""C"",),)"),"C")</f>
        <v>C</v>
      </c>
    </row>
    <row r="327">
      <c r="B327">
        <f>IFERROR(__xludf.DUMMYFUNCTION("""COMPUTED_VALUE"""),316.0)</f>
        <v>316</v>
      </c>
      <c r="C327" t="str">
        <f>IFERROR(__xludf.DUMMYFUNCTION("""COMPUTED_VALUE"""),"Danuel House Jr.")</f>
        <v>Danuel House Jr.</v>
      </c>
      <c r="D327">
        <f>IFERROR(__xludf.DUMMYFUNCTION("""COMPUTED_VALUE"""),68.0)</f>
        <v>68</v>
      </c>
      <c r="E327" t="str">
        <f>IFERROR(__xludf.DUMMYFUNCTION("""COMPUTED_VALUE"""),"SF")</f>
        <v>SF</v>
      </c>
      <c r="F327" s="53">
        <f>IFERROR(__xludf.DUMMYFUNCTION("""COMPUTED_VALUE"""),-8.445596165619545)</f>
        <v>-8.445596166</v>
      </c>
      <c r="G327" s="53">
        <f>IFERROR(__xludf.DUMMYFUNCTION("""COMPUTED_VALUE"""),-5.354476907913828)</f>
        <v>-5.354476908</v>
      </c>
      <c r="H327" s="53">
        <f>IFERROR(__xludf.DUMMYFUNCTION("""COMPUTED_VALUE"""),3.091119257705717)</f>
        <v>3.091119258</v>
      </c>
      <c r="I327" s="53">
        <f>IFERROR(__xludf.DUMMYFUNCTION("""COMPUTED_VALUE"""),5.8)</f>
        <v>5.8</v>
      </c>
      <c r="J327" s="53">
        <f>IFERROR(__xludf.DUMMYFUNCTION("""COMPUTED_VALUE"""),0.9)</f>
        <v>0.9</v>
      </c>
      <c r="K327" s="53">
        <f>IFERROR(__xludf.DUMMYFUNCTION("""COMPUTED_VALUE"""),2.3)</f>
        <v>2.3</v>
      </c>
      <c r="L327" s="53">
        <f>IFERROR(__xludf.DUMMYFUNCTION("""COMPUTED_VALUE"""),1.0)</f>
        <v>1</v>
      </c>
      <c r="M327" s="53">
        <f>IFERROR(__xludf.DUMMYFUNCTION("""COMPUTED_VALUE"""),0.4)</f>
        <v>0.4</v>
      </c>
      <c r="N327" s="53">
        <f>IFERROR(__xludf.DUMMYFUNCTION("""COMPUTED_VALUE"""),0.3)</f>
        <v>0.3</v>
      </c>
      <c r="O327" s="53">
        <f>IFERROR(__xludf.DUMMYFUNCTION("""COMPUTED_VALUE"""),45.238095238095234)</f>
        <v>45.23809524</v>
      </c>
      <c r="P327" s="53">
        <f>IFERROR(__xludf.DUMMYFUNCTION("""COMPUTED_VALUE"""),76.92307692307692)</f>
        <v>76.92307692</v>
      </c>
      <c r="Q327" s="53">
        <f>IFERROR(__xludf.DUMMYFUNCTION("""COMPUTED_VALUE"""),0.7)</f>
        <v>0.7</v>
      </c>
      <c r="R327" s="53">
        <f>IFERROR(__xludf.DUMMYFUNCTION("""COMPUTED_VALUE"""),-1.9307505253542037)</f>
        <v>-1.930750525</v>
      </c>
      <c r="S327" s="53">
        <f>IFERROR(__xludf.DUMMYFUNCTION("""COMPUTED_VALUE"""),-0.6457219033555379)</f>
        <v>-0.6457219034</v>
      </c>
      <c r="T327" s="53">
        <f>IFERROR(__xludf.DUMMYFUNCTION("""COMPUTED_VALUE"""),-1.5870326706003557)</f>
        <v>-1.587032671</v>
      </c>
      <c r="U327" s="53">
        <f>IFERROR(__xludf.DUMMYFUNCTION("""COMPUTED_VALUE"""),-1.4505099769474463)</f>
        <v>-1.450509977</v>
      </c>
      <c r="V327" s="53">
        <f>IFERROR(__xludf.DUMMYFUNCTION("""COMPUTED_VALUE"""),-1.2966700767544366)</f>
        <v>-1.296670077</v>
      </c>
      <c r="W327" s="53">
        <f>IFERROR(__xludf.DUMMYFUNCTION("""COMPUTED_VALUE"""),-0.5270142365493308)</f>
        <v>-0.5270142365</v>
      </c>
      <c r="X327" s="53">
        <f>IFERROR(__xludf.DUMMYFUNCTION("""COMPUTED_VALUE"""),-0.18292674797065814)</f>
        <v>-0.182926748</v>
      </c>
      <c r="Y327" s="53">
        <f>IFERROR(__xludf.DUMMYFUNCTION("""COMPUTED_VALUE"""),-0.066546806128766)</f>
        <v>-0.06654680613</v>
      </c>
      <c r="Z327" s="53">
        <f>IFERROR(__xludf.DUMMYFUNCTION("""COMPUTED_VALUE"""),0.4019455103927031)</f>
        <v>0.4019455104</v>
      </c>
      <c r="AA327" t="str">
        <f>IFERROR(__xludf.DUMMYFUNCTION("REGEXREPLACE(REGEXREPLACE(REGEXREPLACE(REGEXREPLACE(REGEXREPLACE(REGEXREPLACE(E327,"","",),IF(Projections!$U$3="""",""PG"",),),IF(Projections!$V$3="""",""SG"",),),IF(Projections!$W$3="""",""SF"",),),IF(Projections!$X$3="""",""PF"",),),IF(Projections!$Y$3="&amp;""""",""C"",),)"),"SF")</f>
        <v>SF</v>
      </c>
    </row>
    <row r="328">
      <c r="B328">
        <f>IFERROR(__xludf.DUMMYFUNCTION("""COMPUTED_VALUE"""),322.0)</f>
        <v>322</v>
      </c>
      <c r="C328" t="str">
        <f>IFERROR(__xludf.DUMMYFUNCTION("""COMPUTED_VALUE"""),"Dwight Powell")</f>
        <v>Dwight Powell</v>
      </c>
      <c r="D328">
        <f>IFERROR(__xludf.DUMMYFUNCTION("""COMPUTED_VALUE"""),74.0)</f>
        <v>74</v>
      </c>
      <c r="E328" t="str">
        <f>IFERROR(__xludf.DUMMYFUNCTION("""COMPUTED_VALUE"""),"C")</f>
        <v>C</v>
      </c>
      <c r="F328" s="53">
        <f>IFERROR(__xludf.DUMMYFUNCTION("""COMPUTED_VALUE"""),-8.62245409721713)</f>
        <v>-8.622454097</v>
      </c>
      <c r="G328" s="53">
        <f>IFERROR(__xludf.DUMMYFUNCTION("""COMPUTED_VALUE"""),-5.380231982621903)</f>
        <v>-5.380231983</v>
      </c>
      <c r="H328" s="53">
        <f>IFERROR(__xludf.DUMMYFUNCTION("""COMPUTED_VALUE"""),3.2422221145952266)</f>
        <v>3.242222115</v>
      </c>
      <c r="I328" s="53">
        <f>IFERROR(__xludf.DUMMYFUNCTION("""COMPUTED_VALUE"""),5.4)</f>
        <v>5.4</v>
      </c>
      <c r="J328" s="53">
        <f>IFERROR(__xludf.DUMMYFUNCTION("""COMPUTED_VALUE"""),0.1)</f>
        <v>0.1</v>
      </c>
      <c r="K328" s="53">
        <f>IFERROR(__xludf.DUMMYFUNCTION("""COMPUTED_VALUE"""),3.1)</f>
        <v>3.1</v>
      </c>
      <c r="L328" s="53">
        <f>IFERROR(__xludf.DUMMYFUNCTION("""COMPUTED_VALUE"""),0.7)</f>
        <v>0.7</v>
      </c>
      <c r="M328" s="53">
        <f>IFERROR(__xludf.DUMMYFUNCTION("""COMPUTED_VALUE"""),0.4)</f>
        <v>0.4</v>
      </c>
      <c r="N328" s="53">
        <f>IFERROR(__xludf.DUMMYFUNCTION("""COMPUTED_VALUE"""),0.3)</f>
        <v>0.3</v>
      </c>
      <c r="O328" s="53">
        <f>IFERROR(__xludf.DUMMYFUNCTION("""COMPUTED_VALUE"""),68.96551724137932)</f>
        <v>68.96551724</v>
      </c>
      <c r="P328" s="53">
        <f>IFERROR(__xludf.DUMMYFUNCTION("""COMPUTED_VALUE"""),70.58823529411765)</f>
        <v>70.58823529</v>
      </c>
      <c r="Q328" s="53">
        <f>IFERROR(__xludf.DUMMYFUNCTION("""COMPUTED_VALUE"""),0.6)</f>
        <v>0.6</v>
      </c>
      <c r="R328" s="53">
        <f>IFERROR(__xludf.DUMMYFUNCTION("""COMPUTED_VALUE"""),-1.9981610761375916)</f>
        <v>-1.998161076</v>
      </c>
      <c r="S328" s="53">
        <f>IFERROR(__xludf.DUMMYFUNCTION("""COMPUTED_VALUE"""),-1.3394249329228134)</f>
        <v>-1.339424933</v>
      </c>
      <c r="T328" s="53">
        <f>IFERROR(__xludf.DUMMYFUNCTION("""COMPUTED_VALUE"""),-1.2525097117525728)</f>
        <v>-1.252509712</v>
      </c>
      <c r="U328" s="53">
        <f>IFERROR(__xludf.DUMMYFUNCTION("""COMPUTED_VALUE"""),-1.603517358481987)</f>
        <v>-1.603517358</v>
      </c>
      <c r="V328" s="53">
        <f>IFERROR(__xludf.DUMMYFUNCTION("""COMPUTED_VALUE"""),-1.2966700767544366)</f>
        <v>-1.296670077</v>
      </c>
      <c r="W328" s="53">
        <f>IFERROR(__xludf.DUMMYFUNCTION("""COMPUTED_VALUE"""),-0.5270142365493308)</f>
        <v>-0.5270142365</v>
      </c>
      <c r="X328" s="53">
        <f>IFERROR(__xludf.DUMMYFUNCTION("""COMPUTED_VALUE"""),0.5610077060350919)</f>
        <v>0.561007706</v>
      </c>
      <c r="Y328" s="53">
        <f>IFERROR(__xludf.DUMMYFUNCTION("""COMPUTED_VALUE"""),-0.3550951372532883)</f>
        <v>-0.3550951373</v>
      </c>
      <c r="Z328" s="53">
        <f>IFERROR(__xludf.DUMMYFUNCTION("""COMPUTED_VALUE"""),0.43299176505743303)</f>
        <v>0.4329917651</v>
      </c>
      <c r="AA328" t="str">
        <f>IFERROR(__xludf.DUMMYFUNCTION("REGEXREPLACE(REGEXREPLACE(REGEXREPLACE(REGEXREPLACE(REGEXREPLACE(REGEXREPLACE(E328,"","",),IF(Projections!$U$3="""",""PG"",),),IF(Projections!$V$3="""",""SG"",),),IF(Projections!$W$3="""",""SF"",),),IF(Projections!$X$3="""",""PF"",),),IF(Projections!$Y$3="&amp;""""",""C"",),)"),"C")</f>
        <v>C</v>
      </c>
    </row>
    <row r="329">
      <c r="B329">
        <f>IFERROR(__xludf.DUMMYFUNCTION("""COMPUTED_VALUE"""),327.0)</f>
        <v>327</v>
      </c>
      <c r="C329" t="str">
        <f>IFERROR(__xludf.DUMMYFUNCTION("""COMPUTED_VALUE"""),"Dennis Smith Jr.")</f>
        <v>Dennis Smith Jr.</v>
      </c>
      <c r="D329">
        <f>IFERROR(__xludf.DUMMYFUNCTION("""COMPUTED_VALUE"""),43.0)</f>
        <v>43</v>
      </c>
      <c r="E329" t="str">
        <f>IFERROR(__xludf.DUMMYFUNCTION("""COMPUTED_VALUE"""),"PG,SG")</f>
        <v>PG,SG</v>
      </c>
      <c r="F329" s="53">
        <f>IFERROR(__xludf.DUMMYFUNCTION("""COMPUTED_VALUE"""),-8.790015837777224)</f>
        <v>-8.790015838</v>
      </c>
      <c r="G329" s="53">
        <f>IFERROR(__xludf.DUMMYFUNCTION("""COMPUTED_VALUE"""),-5.449980980148365)</f>
        <v>-5.44998098</v>
      </c>
      <c r="H329" s="53">
        <f>IFERROR(__xludf.DUMMYFUNCTION("""COMPUTED_VALUE"""),3.3400348576288588)</f>
        <v>3.340034858</v>
      </c>
      <c r="I329" s="53">
        <f>IFERROR(__xludf.DUMMYFUNCTION("""COMPUTED_VALUE"""),3.9)</f>
        <v>3.9</v>
      </c>
      <c r="J329" s="53">
        <f>IFERROR(__xludf.DUMMYFUNCTION("""COMPUTED_VALUE"""),0.2)</f>
        <v>0.2</v>
      </c>
      <c r="K329" s="53">
        <f>IFERROR(__xludf.DUMMYFUNCTION("""COMPUTED_VALUE"""),1.5)</f>
        <v>1.5</v>
      </c>
      <c r="L329" s="53">
        <f>IFERROR(__xludf.DUMMYFUNCTION("""COMPUTED_VALUE"""),2.3)</f>
        <v>2.3</v>
      </c>
      <c r="M329" s="53">
        <f>IFERROR(__xludf.DUMMYFUNCTION("""COMPUTED_VALUE"""),0.7)</f>
        <v>0.7</v>
      </c>
      <c r="N329" s="53">
        <f>IFERROR(__xludf.DUMMYFUNCTION("""COMPUTED_VALUE"""),0.2)</f>
        <v>0.2</v>
      </c>
      <c r="O329" s="53">
        <f>IFERROR(__xludf.DUMMYFUNCTION("""COMPUTED_VALUE"""),40.54054054054054)</f>
        <v>40.54054054</v>
      </c>
      <c r="P329" s="53">
        <f>IFERROR(__xludf.DUMMYFUNCTION("""COMPUTED_VALUE"""),70.0)</f>
        <v>70</v>
      </c>
      <c r="Q329" s="53">
        <f>IFERROR(__xludf.DUMMYFUNCTION("""COMPUTED_VALUE"""),0.8)</f>
        <v>0.8</v>
      </c>
      <c r="R329" s="53">
        <f>IFERROR(__xludf.DUMMYFUNCTION("""COMPUTED_VALUE"""),-2.2509506415752965)</f>
        <v>-2.250950642</v>
      </c>
      <c r="S329" s="53">
        <f>IFERROR(__xludf.DUMMYFUNCTION("""COMPUTED_VALUE"""),-1.252712054226904)</f>
        <v>-1.252712054</v>
      </c>
      <c r="T329" s="53">
        <f>IFERROR(__xludf.DUMMYFUNCTION("""COMPUTED_VALUE"""),-1.9215556294481384)</f>
        <v>-1.921555629</v>
      </c>
      <c r="U329" s="53">
        <f>IFERROR(__xludf.DUMMYFUNCTION("""COMPUTED_VALUE"""),-0.78747799029777)</f>
        <v>-0.7874779903</v>
      </c>
      <c r="V329" s="53">
        <f>IFERROR(__xludf.DUMMYFUNCTION("""COMPUTED_VALUE"""),-0.6425203743558983)</f>
        <v>-0.6425203744</v>
      </c>
      <c r="W329" s="53">
        <f>IFERROR(__xludf.DUMMYFUNCTION("""COMPUTED_VALUE"""),-0.6583300762210907)</f>
        <v>-0.6583300762</v>
      </c>
      <c r="X329" s="53">
        <f>IFERROR(__xludf.DUMMYFUNCTION("""COMPUTED_VALUE"""),-0.3347620092443336)</f>
        <v>-0.3347620092</v>
      </c>
      <c r="Y329" s="53">
        <f>IFERROR(__xludf.DUMMYFUNCTION("""COMPUTED_VALUE"""),-0.22352210208220238)</f>
        <v>-0.2235221021</v>
      </c>
      <c r="Z329" s="53">
        <f>IFERROR(__xludf.DUMMYFUNCTION("""COMPUTED_VALUE"""),0.37089925572797316)</f>
        <v>0.3708992557</v>
      </c>
      <c r="AA329" t="str">
        <f>IFERROR(__xludf.DUMMYFUNCTION("REGEXREPLACE(REGEXREPLACE(REGEXREPLACE(REGEXREPLACE(REGEXREPLACE(REGEXREPLACE(E329,"","",),IF(Projections!$U$3="""",""PG"",),),IF(Projections!$V$3="""",""SG"",),),IF(Projections!$W$3="""",""SF"",),),IF(Projections!$X$3="""",""PF"",),),IF(Projections!$Y$3="&amp;""""",""C"",),)"),"PGSG")</f>
        <v>PGSG</v>
      </c>
    </row>
    <row r="330">
      <c r="B330">
        <f>IFERROR(__xludf.DUMMYFUNCTION("""COMPUTED_VALUE"""),313.0)</f>
        <v>313</v>
      </c>
      <c r="C330" t="str">
        <f>IFERROR(__xludf.DUMMYFUNCTION("""COMPUTED_VALUE"""),"Kris Murray")</f>
        <v>Kris Murray</v>
      </c>
      <c r="D330">
        <f>IFERROR(__xludf.DUMMYFUNCTION("""COMPUTED_VALUE"""),70.0)</f>
        <v>70</v>
      </c>
      <c r="E330" t="str">
        <f>IFERROR(__xludf.DUMMYFUNCTION("""COMPUTED_VALUE"""),"SF,PF")</f>
        <v>SF,PF</v>
      </c>
      <c r="F330" s="53">
        <f>IFERROR(__xludf.DUMMYFUNCTION("""COMPUTED_VALUE"""),-8.375543861487579)</f>
        <v>-8.375543861</v>
      </c>
      <c r="G330" s="53">
        <f>IFERROR(__xludf.DUMMYFUNCTION("""COMPUTED_VALUE"""),-5.462230839659531)</f>
        <v>-5.46223084</v>
      </c>
      <c r="H330" s="53">
        <f>IFERROR(__xludf.DUMMYFUNCTION("""COMPUTED_VALUE"""),2.9133130218280474)</f>
        <v>2.913313022</v>
      </c>
      <c r="I330" s="53">
        <f>IFERROR(__xludf.DUMMYFUNCTION("""COMPUTED_VALUE"""),6.8)</f>
        <v>6.8</v>
      </c>
      <c r="J330" s="53">
        <f>IFERROR(__xludf.DUMMYFUNCTION("""COMPUTED_VALUE"""),0.8)</f>
        <v>0.8</v>
      </c>
      <c r="K330" s="53">
        <f>IFERROR(__xludf.DUMMYFUNCTION("""COMPUTED_VALUE"""),2.3)</f>
        <v>2.3</v>
      </c>
      <c r="L330" s="53">
        <f>IFERROR(__xludf.DUMMYFUNCTION("""COMPUTED_VALUE"""),0.9)</f>
        <v>0.9</v>
      </c>
      <c r="M330" s="53">
        <f>IFERROR(__xludf.DUMMYFUNCTION("""COMPUTED_VALUE"""),0.5)</f>
        <v>0.5</v>
      </c>
      <c r="N330" s="53">
        <f>IFERROR(__xludf.DUMMYFUNCTION("""COMPUTED_VALUE"""),0.3)</f>
        <v>0.3</v>
      </c>
      <c r="O330" s="53">
        <f>IFERROR(__xludf.DUMMYFUNCTION("""COMPUTED_VALUE"""),44.680851063829785)</f>
        <v>44.68085106</v>
      </c>
      <c r="P330" s="53">
        <f>IFERROR(__xludf.DUMMYFUNCTION("""COMPUTED_VALUE"""),75.0)</f>
        <v>75</v>
      </c>
      <c r="Q330" s="53">
        <f>IFERROR(__xludf.DUMMYFUNCTION("""COMPUTED_VALUE"""),0.6)</f>
        <v>0.6</v>
      </c>
      <c r="R330" s="53">
        <f>IFERROR(__xludf.DUMMYFUNCTION("""COMPUTED_VALUE"""),-1.7622241483957337)</f>
        <v>-1.762224148</v>
      </c>
      <c r="S330" s="53">
        <f>IFERROR(__xludf.DUMMYFUNCTION("""COMPUTED_VALUE"""),-0.7324347820514473)</f>
        <v>-0.7324347821</v>
      </c>
      <c r="T330" s="53">
        <f>IFERROR(__xludf.DUMMYFUNCTION("""COMPUTED_VALUE"""),-1.5870326706003557)</f>
        <v>-1.587032671</v>
      </c>
      <c r="U330" s="53">
        <f>IFERROR(__xludf.DUMMYFUNCTION("""COMPUTED_VALUE"""),-1.5015124374589601)</f>
        <v>-1.501512437</v>
      </c>
      <c r="V330" s="53">
        <f>IFERROR(__xludf.DUMMYFUNCTION("""COMPUTED_VALUE"""),-1.0786201759549239)</f>
        <v>-1.078620176</v>
      </c>
      <c r="W330" s="53">
        <f>IFERROR(__xludf.DUMMYFUNCTION("""COMPUTED_VALUE"""),-0.5270142365493308)</f>
        <v>-0.5270142365</v>
      </c>
      <c r="X330" s="53">
        <f>IFERROR(__xludf.DUMMYFUNCTION("""COMPUTED_VALUE"""),-0.23086449254212388)</f>
        <v>-0.2308644925</v>
      </c>
      <c r="Y330" s="53">
        <f>IFERROR(__xludf.DUMMYFUNCTION("""COMPUTED_VALUE"""),-0.23774380955982252)</f>
        <v>-0.2377438096</v>
      </c>
      <c r="Z330" s="53">
        <f>IFERROR(__xludf.DUMMYFUNCTION("""COMPUTED_VALUE"""),0.43299176505743303)</f>
        <v>0.4329917651</v>
      </c>
      <c r="AA330" t="str">
        <f>IFERROR(__xludf.DUMMYFUNCTION("REGEXREPLACE(REGEXREPLACE(REGEXREPLACE(REGEXREPLACE(REGEXREPLACE(REGEXREPLACE(E330,"","",),IF(Projections!$U$3="""",""PG"",),),IF(Projections!$V$3="""",""SG"",),),IF(Projections!$W$3="""",""SF"",),),IF(Projections!$X$3="""",""PF"",),),IF(Projections!$Y$3="&amp;""""",""C"",),)"),"SFPF")</f>
        <v>SFPF</v>
      </c>
    </row>
    <row r="331">
      <c r="B331">
        <f>IFERROR(__xludf.DUMMYFUNCTION("""COMPUTED_VALUE"""),333.0)</f>
        <v>333</v>
      </c>
      <c r="C331" t="str">
        <f>IFERROR(__xludf.DUMMYFUNCTION("""COMPUTED_VALUE"""),"Reggie Bullock")</f>
        <v>Reggie Bullock</v>
      </c>
      <c r="D331">
        <f>IFERROR(__xludf.DUMMYFUNCTION("""COMPUTED_VALUE"""),62.0)</f>
        <v>62</v>
      </c>
      <c r="E331" t="str">
        <f>IFERROR(__xludf.DUMMYFUNCTION("""COMPUTED_VALUE"""),"SF,PF")</f>
        <v>SF,PF</v>
      </c>
      <c r="F331" s="53">
        <f>IFERROR(__xludf.DUMMYFUNCTION("""COMPUTED_VALUE"""),-8.906309847521477)</f>
        <v>-8.906309848</v>
      </c>
      <c r="G331" s="53">
        <f>IFERROR(__xludf.DUMMYFUNCTION("""COMPUTED_VALUE"""),-5.470469292897485)</f>
        <v>-5.470469293</v>
      </c>
      <c r="H331" s="53">
        <f>IFERROR(__xludf.DUMMYFUNCTION("""COMPUTED_VALUE"""),3.435840554623992)</f>
        <v>3.435840555</v>
      </c>
      <c r="I331" s="53">
        <f>IFERROR(__xludf.DUMMYFUNCTION("""COMPUTED_VALUE"""),5.0)</f>
        <v>5</v>
      </c>
      <c r="J331" s="53">
        <f>IFERROR(__xludf.DUMMYFUNCTION("""COMPUTED_VALUE"""),1.3)</f>
        <v>1.3</v>
      </c>
      <c r="K331" s="53">
        <f>IFERROR(__xludf.DUMMYFUNCTION("""COMPUTED_VALUE"""),2.3)</f>
        <v>2.3</v>
      </c>
      <c r="L331" s="53">
        <f>IFERROR(__xludf.DUMMYFUNCTION("""COMPUTED_VALUE"""),0.8)</f>
        <v>0.8</v>
      </c>
      <c r="M331" s="53">
        <f>IFERROR(__xludf.DUMMYFUNCTION("""COMPUTED_VALUE"""),0.4)</f>
        <v>0.4</v>
      </c>
      <c r="N331" s="53">
        <f>IFERROR(__xludf.DUMMYFUNCTION("""COMPUTED_VALUE"""),0.1)</f>
        <v>0.1</v>
      </c>
      <c r="O331" s="53">
        <f>IFERROR(__xludf.DUMMYFUNCTION("""COMPUTED_VALUE"""),39.53488372093023)</f>
        <v>39.53488372</v>
      </c>
      <c r="P331" s="53">
        <f>IFERROR(__xludf.DUMMYFUNCTION("""COMPUTED_VALUE"""),74.99999999999999)</f>
        <v>75</v>
      </c>
      <c r="Q331" s="53">
        <f>IFERROR(__xludf.DUMMYFUNCTION("""COMPUTED_VALUE"""),0.3)</f>
        <v>0.3</v>
      </c>
      <c r="R331" s="53">
        <f>IFERROR(__xludf.DUMMYFUNCTION("""COMPUTED_VALUE"""),-2.06557162692098)</f>
        <v>-2.065571627</v>
      </c>
      <c r="S331" s="53">
        <f>IFERROR(__xludf.DUMMYFUNCTION("""COMPUTED_VALUE"""),-0.2988703885719002)</f>
        <v>-0.2988703886</v>
      </c>
      <c r="T331" s="53">
        <f>IFERROR(__xludf.DUMMYFUNCTION("""COMPUTED_VALUE"""),-1.5870326706003557)</f>
        <v>-1.587032671</v>
      </c>
      <c r="U331" s="53">
        <f>IFERROR(__xludf.DUMMYFUNCTION("""COMPUTED_VALUE"""),-1.5525148979704735)</f>
        <v>-1.552514898</v>
      </c>
      <c r="V331" s="53">
        <f>IFERROR(__xludf.DUMMYFUNCTION("""COMPUTED_VALUE"""),-1.2966700767544366)</f>
        <v>-1.296670077</v>
      </c>
      <c r="W331" s="53">
        <f>IFERROR(__xludf.DUMMYFUNCTION("""COMPUTED_VALUE"""),-0.7896459158928509)</f>
        <v>-0.7896459159</v>
      </c>
      <c r="X331" s="53">
        <f>IFERROR(__xludf.DUMMYFUNCTION("""COMPUTED_VALUE"""),-0.4322419038991208)</f>
        <v>-0.4322419039</v>
      </c>
      <c r="Y331" s="53">
        <f>IFERROR(__xludf.DUMMYFUNCTION("""COMPUTED_VALUE"""),-0.039623968259970534)</f>
        <v>-0.03962396826</v>
      </c>
      <c r="Z331" s="53">
        <f>IFERROR(__xludf.DUMMYFUNCTION("""COMPUTED_VALUE"""),0.5261305290516227)</f>
        <v>0.5261305291</v>
      </c>
      <c r="AA331" t="str">
        <f>IFERROR(__xludf.DUMMYFUNCTION("REGEXREPLACE(REGEXREPLACE(REGEXREPLACE(REGEXREPLACE(REGEXREPLACE(REGEXREPLACE(E331,"","",),IF(Projections!$U$3="""",""PG"",),),IF(Projections!$V$3="""",""SG"",),),IF(Projections!$W$3="""",""SF"",),),IF(Projections!$X$3="""",""PF"",),),IF(Projections!$Y$3="&amp;""""",""C"",),)"),"SFPF")</f>
        <v>SFPF</v>
      </c>
    </row>
    <row r="332">
      <c r="B332">
        <f>IFERROR(__xludf.DUMMYFUNCTION("""COMPUTED_VALUE"""),330.0)</f>
        <v>330</v>
      </c>
      <c r="C332" t="str">
        <f>IFERROR(__xludf.DUMMYFUNCTION("""COMPUTED_VALUE"""),"Chimezie Metu")</f>
        <v>Chimezie Metu</v>
      </c>
      <c r="D332">
        <f>IFERROR(__xludf.DUMMYFUNCTION("""COMPUTED_VALUE"""),40.0)</f>
        <v>40</v>
      </c>
      <c r="E332" t="str">
        <f>IFERROR(__xludf.DUMMYFUNCTION("""COMPUTED_VALUE"""),"PF,C")</f>
        <v>PF,C</v>
      </c>
      <c r="F332" s="53">
        <f>IFERROR(__xludf.DUMMYFUNCTION("""COMPUTED_VALUE"""),-8.841677222139433)</f>
        <v>-8.841677222</v>
      </c>
      <c r="G332" s="53">
        <f>IFERROR(__xludf.DUMMYFUNCTION("""COMPUTED_VALUE"""),-5.493078509648317)</f>
        <v>-5.49307851</v>
      </c>
      <c r="H332" s="53">
        <f>IFERROR(__xludf.DUMMYFUNCTION("""COMPUTED_VALUE"""),3.348598712491116)</f>
        <v>3.348598712</v>
      </c>
      <c r="I332" s="53">
        <f>IFERROR(__xludf.DUMMYFUNCTION("""COMPUTED_VALUE"""),4.6)</f>
        <v>4.6</v>
      </c>
      <c r="J332" s="53">
        <f>IFERROR(__xludf.DUMMYFUNCTION("""COMPUTED_VALUE"""),0.4)</f>
        <v>0.4</v>
      </c>
      <c r="K332" s="53">
        <f>IFERROR(__xludf.DUMMYFUNCTION("""COMPUTED_VALUE"""),2.9)</f>
        <v>2.9</v>
      </c>
      <c r="L332" s="53">
        <f>IFERROR(__xludf.DUMMYFUNCTION("""COMPUTED_VALUE"""),0.5)</f>
        <v>0.5</v>
      </c>
      <c r="M332" s="53">
        <f>IFERROR(__xludf.DUMMYFUNCTION("""COMPUTED_VALUE"""),0.4)</f>
        <v>0.4</v>
      </c>
      <c r="N332" s="53">
        <f>IFERROR(__xludf.DUMMYFUNCTION("""COMPUTED_VALUE"""),0.3)</f>
        <v>0.3</v>
      </c>
      <c r="O332" s="53">
        <f>IFERROR(__xludf.DUMMYFUNCTION("""COMPUTED_VALUE"""),50.0)</f>
        <v>50</v>
      </c>
      <c r="P332" s="53">
        <f>IFERROR(__xludf.DUMMYFUNCTION("""COMPUTED_VALUE"""),77.77777777777777)</f>
        <v>77.77777778</v>
      </c>
      <c r="Q332" s="53">
        <f>IFERROR(__xludf.DUMMYFUNCTION("""COMPUTED_VALUE"""),0.5)</f>
        <v>0.5</v>
      </c>
      <c r="R332" s="53">
        <f>IFERROR(__xludf.DUMMYFUNCTION("""COMPUTED_VALUE"""),-2.132982177704368)</f>
        <v>-2.132982178</v>
      </c>
      <c r="S332" s="53">
        <f>IFERROR(__xludf.DUMMYFUNCTION("""COMPUTED_VALUE"""),-1.079286296835085)</f>
        <v>-1.079286297</v>
      </c>
      <c r="T332" s="53">
        <f>IFERROR(__xludf.DUMMYFUNCTION("""COMPUTED_VALUE"""),-1.3361404514645185)</f>
        <v>-1.336140451</v>
      </c>
      <c r="U332" s="53">
        <f>IFERROR(__xludf.DUMMYFUNCTION("""COMPUTED_VALUE"""),-1.7055222795050142)</f>
        <v>-1.70552228</v>
      </c>
      <c r="V332" s="53">
        <f>IFERROR(__xludf.DUMMYFUNCTION("""COMPUTED_VALUE"""),-1.2966700767544366)</f>
        <v>-1.296670077</v>
      </c>
      <c r="W332" s="53">
        <f>IFERROR(__xludf.DUMMYFUNCTION("""COMPUTED_VALUE"""),-0.5270142365493308)</f>
        <v>-0.5270142365</v>
      </c>
      <c r="X332" s="53">
        <f>IFERROR(__xludf.DUMMYFUNCTION("""COMPUTED_VALUE"""),0.01443964960670015)</f>
        <v>0.01443964961</v>
      </c>
      <c r="Y332" s="53">
        <f>IFERROR(__xludf.DUMMYFUNCTION("""COMPUTED_VALUE"""),-0.026922837868795582)</f>
        <v>-0.02692283787</v>
      </c>
      <c r="Z332" s="53">
        <f>IFERROR(__xludf.DUMMYFUNCTION("""COMPUTED_VALUE"""),0.4640380197221629)</f>
        <v>0.4640380197</v>
      </c>
      <c r="AA332" t="str">
        <f>IFERROR(__xludf.DUMMYFUNCTION("REGEXREPLACE(REGEXREPLACE(REGEXREPLACE(REGEXREPLACE(REGEXREPLACE(REGEXREPLACE(E332,"","",),IF(Projections!$U$3="""",""PG"",),),IF(Projections!$V$3="""",""SG"",),),IF(Projections!$W$3="""",""SF"",),),IF(Projections!$X$3="""",""PF"",),),IF(Projections!$Y$3="&amp;""""",""C"",),)"),"PFC")</f>
        <v>PFC</v>
      </c>
    </row>
    <row r="333">
      <c r="B333">
        <f>IFERROR(__xludf.DUMMYFUNCTION("""COMPUTED_VALUE"""),328.0)</f>
        <v>328</v>
      </c>
      <c r="C333" t="str">
        <f>IFERROR(__xludf.DUMMYFUNCTION("""COMPUTED_VALUE"""),"Bol Bol")</f>
        <v>Bol Bol</v>
      </c>
      <c r="D333">
        <f>IFERROR(__xludf.DUMMYFUNCTION("""COMPUTED_VALUE"""),40.0)</f>
        <v>40</v>
      </c>
      <c r="E333" t="str">
        <f>IFERROR(__xludf.DUMMYFUNCTION("""COMPUTED_VALUE"""),"PF,C")</f>
        <v>PF,C</v>
      </c>
      <c r="F333" s="53">
        <f>IFERROR(__xludf.DUMMYFUNCTION("""COMPUTED_VALUE"""),-8.824627492695653)</f>
        <v>-8.824627493</v>
      </c>
      <c r="G333" s="53">
        <f>IFERROR(__xludf.DUMMYFUNCTION("""COMPUTED_VALUE"""),-5.550710067661818)</f>
        <v>-5.550710068</v>
      </c>
      <c r="H333" s="53">
        <f>IFERROR(__xludf.DUMMYFUNCTION("""COMPUTED_VALUE"""),3.2739174250338348)</f>
        <v>3.273917425</v>
      </c>
      <c r="I333" s="53">
        <f>IFERROR(__xludf.DUMMYFUNCTION("""COMPUTED_VALUE"""),4.4)</f>
        <v>4.4</v>
      </c>
      <c r="J333" s="53">
        <f>IFERROR(__xludf.DUMMYFUNCTION("""COMPUTED_VALUE"""),0.2)</f>
        <v>0.2</v>
      </c>
      <c r="K333" s="53">
        <f>IFERROR(__xludf.DUMMYFUNCTION("""COMPUTED_VALUE"""),2.8)</f>
        <v>2.8</v>
      </c>
      <c r="L333" s="53">
        <f>IFERROR(__xludf.DUMMYFUNCTION("""COMPUTED_VALUE"""),0.5)</f>
        <v>0.5</v>
      </c>
      <c r="M333" s="53">
        <f>IFERROR(__xludf.DUMMYFUNCTION("""COMPUTED_VALUE"""),0.2)</f>
        <v>0.2</v>
      </c>
      <c r="N333" s="53">
        <f>IFERROR(__xludf.DUMMYFUNCTION("""COMPUTED_VALUE"""),0.6)</f>
        <v>0.6</v>
      </c>
      <c r="O333" s="53">
        <f>IFERROR(__xludf.DUMMYFUNCTION("""COMPUTED_VALUE"""),54.545454545454554)</f>
        <v>54.54545455</v>
      </c>
      <c r="P333" s="53">
        <f>IFERROR(__xludf.DUMMYFUNCTION("""COMPUTED_VALUE"""),85.71428571428572)</f>
        <v>85.71428571</v>
      </c>
      <c r="Q333" s="53">
        <f>IFERROR(__xludf.DUMMYFUNCTION("""COMPUTED_VALUE"""),0.8)</f>
        <v>0.8</v>
      </c>
      <c r="R333" s="53">
        <f>IFERROR(__xludf.DUMMYFUNCTION("""COMPUTED_VALUE"""),-2.1666874530960616)</f>
        <v>-2.166687453</v>
      </c>
      <c r="S333" s="53">
        <f>IFERROR(__xludf.DUMMYFUNCTION("""COMPUTED_VALUE"""),-1.252712054226904)</f>
        <v>-1.252712054</v>
      </c>
      <c r="T333" s="53">
        <f>IFERROR(__xludf.DUMMYFUNCTION("""COMPUTED_VALUE"""),-1.3779558213204914)</f>
        <v>-1.377955821</v>
      </c>
      <c r="U333" s="53">
        <f>IFERROR(__xludf.DUMMYFUNCTION("""COMPUTED_VALUE"""),-1.7055222795050142)</f>
        <v>-1.70552228</v>
      </c>
      <c r="V333" s="53">
        <f>IFERROR(__xludf.DUMMYFUNCTION("""COMPUTED_VALUE"""),-1.732769878353462)</f>
        <v>-1.732769878</v>
      </c>
      <c r="W333" s="53">
        <f>IFERROR(__xludf.DUMMYFUNCTION("""COMPUTED_VALUE"""),-0.13306671753405044)</f>
        <v>-0.1330667175</v>
      </c>
      <c r="X333" s="53">
        <f>IFERROR(__xludf.DUMMYFUNCTION("""COMPUTED_VALUE"""),0.1630660998566648)</f>
        <v>0.1630660999</v>
      </c>
      <c r="Y333" s="53">
        <f>IFERROR(__xludf.DUMMYFUNCTION("""COMPUTED_VALUE"""),0.11735132769346612)</f>
        <v>0.1173513277</v>
      </c>
      <c r="Z333" s="53">
        <f>IFERROR(__xludf.DUMMYFUNCTION("""COMPUTED_VALUE"""),0.37089925572797316)</f>
        <v>0.3708992557</v>
      </c>
      <c r="AA333" t="str">
        <f>IFERROR(__xludf.DUMMYFUNCTION("REGEXREPLACE(REGEXREPLACE(REGEXREPLACE(REGEXREPLACE(REGEXREPLACE(REGEXREPLACE(E333,"","",),IF(Projections!$U$3="""",""PG"",),),IF(Projections!$V$3="""",""SG"",),),IF(Projections!$W$3="""",""SF"",),),IF(Projections!$X$3="""",""PF"",),),IF(Projections!$Y$3="&amp;""""",""C"",),)"),"PFC")</f>
        <v>PFC</v>
      </c>
    </row>
    <row r="334">
      <c r="B334">
        <f>IFERROR(__xludf.DUMMYFUNCTION("""COMPUTED_VALUE"""),335.0)</f>
        <v>335</v>
      </c>
      <c r="C334" t="str">
        <f>IFERROR(__xludf.DUMMYFUNCTION("""COMPUTED_VALUE"""),"Dalen Terry")</f>
        <v>Dalen Terry</v>
      </c>
      <c r="D334">
        <f>IFERROR(__xludf.DUMMYFUNCTION("""COMPUTED_VALUE"""),48.0)</f>
        <v>48</v>
      </c>
      <c r="E334" t="str">
        <f>IFERROR(__xludf.DUMMYFUNCTION("""COMPUTED_VALUE"""),"SG,SF")</f>
        <v>SG,SF</v>
      </c>
      <c r="F334" s="53">
        <f>IFERROR(__xludf.DUMMYFUNCTION("""COMPUTED_VALUE"""),-8.935580972376133)</f>
        <v>-8.935580972</v>
      </c>
      <c r="G334" s="53">
        <f>IFERROR(__xludf.DUMMYFUNCTION("""COMPUTED_VALUE"""),-5.576259028789732)</f>
        <v>-5.576259029</v>
      </c>
      <c r="H334" s="53">
        <f>IFERROR(__xludf.DUMMYFUNCTION("""COMPUTED_VALUE"""),3.3593219435864015)</f>
        <v>3.359321944</v>
      </c>
      <c r="I334" s="53">
        <f>IFERROR(__xludf.DUMMYFUNCTION("""COMPUTED_VALUE"""),4.2)</f>
        <v>4.2</v>
      </c>
      <c r="J334" s="53">
        <f>IFERROR(__xludf.DUMMYFUNCTION("""COMPUTED_VALUE"""),0.4)</f>
        <v>0.4</v>
      </c>
      <c r="K334" s="53">
        <f>IFERROR(__xludf.DUMMYFUNCTION("""COMPUTED_VALUE"""),1.8)</f>
        <v>1.8</v>
      </c>
      <c r="L334" s="53">
        <f>IFERROR(__xludf.DUMMYFUNCTION("""COMPUTED_VALUE"""),1.1)</f>
        <v>1.1</v>
      </c>
      <c r="M334" s="53">
        <f>IFERROR(__xludf.DUMMYFUNCTION("""COMPUTED_VALUE"""),0.6)</f>
        <v>0.6</v>
      </c>
      <c r="N334" s="53">
        <f>IFERROR(__xludf.DUMMYFUNCTION("""COMPUTED_VALUE"""),0.3)</f>
        <v>0.3</v>
      </c>
      <c r="O334" s="53">
        <f>IFERROR(__xludf.DUMMYFUNCTION("""COMPUTED_VALUE"""),44.44444444444445)</f>
        <v>44.44444444</v>
      </c>
      <c r="P334" s="53">
        <f>IFERROR(__xludf.DUMMYFUNCTION("""COMPUTED_VALUE"""),70.0)</f>
        <v>70</v>
      </c>
      <c r="Q334" s="53">
        <f>IFERROR(__xludf.DUMMYFUNCTION("""COMPUTED_VALUE"""),0.4)</f>
        <v>0.4</v>
      </c>
      <c r="R334" s="53">
        <f>IFERROR(__xludf.DUMMYFUNCTION("""COMPUTED_VALUE"""),-2.200392728487756)</f>
        <v>-2.200392728</v>
      </c>
      <c r="S334" s="53">
        <f>IFERROR(__xludf.DUMMYFUNCTION("""COMPUTED_VALUE"""),-1.079286296835085)</f>
        <v>-1.079286297</v>
      </c>
      <c r="T334" s="53">
        <f>IFERROR(__xludf.DUMMYFUNCTION("""COMPUTED_VALUE"""),-1.79610951988022)</f>
        <v>-1.79610952</v>
      </c>
      <c r="U334" s="53">
        <f>IFERROR(__xludf.DUMMYFUNCTION("""COMPUTED_VALUE"""),-1.3995075164359327)</f>
        <v>-1.399507516</v>
      </c>
      <c r="V334" s="53">
        <f>IFERROR(__xludf.DUMMYFUNCTION("""COMPUTED_VALUE"""),-0.860570275155411)</f>
        <v>-0.8605702752</v>
      </c>
      <c r="W334" s="53">
        <f>IFERROR(__xludf.DUMMYFUNCTION("""COMPUTED_VALUE"""),-0.5270142365493308)</f>
        <v>-0.5270142365</v>
      </c>
      <c r="X334" s="53">
        <f>IFERROR(__xludf.DUMMYFUNCTION("""COMPUTED_VALUE"""),-0.18533335623844116)</f>
        <v>-0.1853333562</v>
      </c>
      <c r="Y334" s="53">
        <f>IFERROR(__xludf.DUMMYFUNCTION("""COMPUTED_VALUE"""),-0.22352210208220238)</f>
        <v>-0.2235221021</v>
      </c>
      <c r="Z334" s="53">
        <f>IFERROR(__xludf.DUMMYFUNCTION("""COMPUTED_VALUE"""),0.4950842743868928)</f>
        <v>0.4950842744</v>
      </c>
      <c r="AA334" t="str">
        <f>IFERROR(__xludf.DUMMYFUNCTION("REGEXREPLACE(REGEXREPLACE(REGEXREPLACE(REGEXREPLACE(REGEXREPLACE(REGEXREPLACE(E334,"","",),IF(Projections!$U$3="""",""PG"",),),IF(Projections!$V$3="""",""SG"",),),IF(Projections!$W$3="""",""SF"",),),IF(Projections!$X$3="""",""PF"",),),IF(Projections!$Y$3="&amp;""""",""C"",),)"),"SGSF")</f>
        <v>SGSF</v>
      </c>
    </row>
    <row r="335">
      <c r="B335">
        <f>IFERROR(__xludf.DUMMYFUNCTION("""COMPUTED_VALUE"""),323.0)</f>
        <v>323</v>
      </c>
      <c r="C335" t="str">
        <f>IFERROR(__xludf.DUMMYFUNCTION("""COMPUTED_VALUE"""),"Zeke Nnaji")</f>
        <v>Zeke Nnaji</v>
      </c>
      <c r="D335">
        <f>IFERROR(__xludf.DUMMYFUNCTION("""COMPUTED_VALUE"""),63.0)</f>
        <v>63</v>
      </c>
      <c r="E335" t="str">
        <f>IFERROR(__xludf.DUMMYFUNCTION("""COMPUTED_VALUE"""),"PF,C")</f>
        <v>PF,C</v>
      </c>
      <c r="F335" s="53">
        <f>IFERROR(__xludf.DUMMYFUNCTION("""COMPUTED_VALUE"""),-8.680645654776244)</f>
        <v>-8.680645655</v>
      </c>
      <c r="G335" s="53">
        <f>IFERROR(__xludf.DUMMYFUNCTION("""COMPUTED_VALUE"""),-5.581889191019575)</f>
        <v>-5.581889191</v>
      </c>
      <c r="H335" s="53">
        <f>IFERROR(__xludf.DUMMYFUNCTION("""COMPUTED_VALUE"""),3.0987564637566694)</f>
        <v>3.098756464</v>
      </c>
      <c r="I335" s="53">
        <f>IFERROR(__xludf.DUMMYFUNCTION("""COMPUTED_VALUE"""),6.3)</f>
        <v>6.3</v>
      </c>
      <c r="J335" s="53">
        <f>IFERROR(__xludf.DUMMYFUNCTION("""COMPUTED_VALUE"""),0.6)</f>
        <v>0.6</v>
      </c>
      <c r="K335" s="53">
        <f>IFERROR(__xludf.DUMMYFUNCTION("""COMPUTED_VALUE"""),3.3)</f>
        <v>3.3</v>
      </c>
      <c r="L335" s="53">
        <f>IFERROR(__xludf.DUMMYFUNCTION("""COMPUTED_VALUE"""),0.4)</f>
        <v>0.4</v>
      </c>
      <c r="M335" s="53">
        <f>IFERROR(__xludf.DUMMYFUNCTION("""COMPUTED_VALUE"""),0.4)</f>
        <v>0.4</v>
      </c>
      <c r="N335" s="53">
        <f>IFERROR(__xludf.DUMMYFUNCTION("""COMPUTED_VALUE"""),0.4)</f>
        <v>0.4</v>
      </c>
      <c r="O335" s="53">
        <f>IFERROR(__xludf.DUMMYFUNCTION("""COMPUTED_VALUE"""),54.54545454545454)</f>
        <v>54.54545455</v>
      </c>
      <c r="P335" s="53">
        <f>IFERROR(__xludf.DUMMYFUNCTION("""COMPUTED_VALUE"""),60.0)</f>
        <v>60</v>
      </c>
      <c r="Q335" s="53">
        <f>IFERROR(__xludf.DUMMYFUNCTION("""COMPUTED_VALUE"""),0.6)</f>
        <v>0.6</v>
      </c>
      <c r="R335" s="53">
        <f>IFERROR(__xludf.DUMMYFUNCTION("""COMPUTED_VALUE"""),-1.8464873368749688)</f>
        <v>-1.846487337</v>
      </c>
      <c r="S335" s="53">
        <f>IFERROR(__xludf.DUMMYFUNCTION("""COMPUTED_VALUE"""),-0.9058605394432663)</f>
        <v>-0.9058605394</v>
      </c>
      <c r="T335" s="53">
        <f>IFERROR(__xludf.DUMMYFUNCTION("""COMPUTED_VALUE"""),-1.1688789720406272)</f>
        <v>-1.168878972</v>
      </c>
      <c r="U335" s="53">
        <f>IFERROR(__xludf.DUMMYFUNCTION("""COMPUTED_VALUE"""),-1.7565247400165278)</f>
        <v>-1.75652474</v>
      </c>
      <c r="V335" s="53">
        <f>IFERROR(__xludf.DUMMYFUNCTION("""COMPUTED_VALUE"""),-1.2966700767544366)</f>
        <v>-1.296670077</v>
      </c>
      <c r="W335" s="53">
        <f>IFERROR(__xludf.DUMMYFUNCTION("""COMPUTED_VALUE"""),-0.39569839687757064)</f>
        <v>-0.3956983969</v>
      </c>
      <c r="X335" s="53">
        <f>IFERROR(__xludf.DUMMYFUNCTION("""COMPUTED_VALUE"""),0.2174214664755525)</f>
        <v>0.2174214665</v>
      </c>
      <c r="Y335" s="53">
        <f>IFERROR(__xludf.DUMMYFUNCTION("""COMPUTED_VALUE"""),-0.708669697420132)</f>
        <v>-0.7086696974</v>
      </c>
      <c r="Z335" s="53">
        <f>IFERROR(__xludf.DUMMYFUNCTION("""COMPUTED_VALUE"""),0.43299176505743303)</f>
        <v>0.4329917651</v>
      </c>
      <c r="AA335" t="str">
        <f>IFERROR(__xludf.DUMMYFUNCTION("REGEXREPLACE(REGEXREPLACE(REGEXREPLACE(REGEXREPLACE(REGEXREPLACE(REGEXREPLACE(E335,"","",),IF(Projections!$U$3="""",""PG"",),),IF(Projections!$V$3="""",""SG"",),),IF(Projections!$W$3="""",""SF"",),),IF(Projections!$X$3="""",""PF"",),),IF(Projections!$Y$3="&amp;""""",""C"",),)"),"PFC")</f>
        <v>PFC</v>
      </c>
    </row>
    <row r="336">
      <c r="B336">
        <f>IFERROR(__xludf.DUMMYFUNCTION("""COMPUTED_VALUE"""),339.0)</f>
        <v>339</v>
      </c>
      <c r="C336" t="str">
        <f>IFERROR(__xludf.DUMMYFUNCTION("""COMPUTED_VALUE"""),"Isaiah Mobley")</f>
        <v>Isaiah Mobley</v>
      </c>
      <c r="D336">
        <f>IFERROR(__xludf.DUMMYFUNCTION("""COMPUTED_VALUE"""),11.0)</f>
        <v>11</v>
      </c>
      <c r="E336" t="str">
        <f>IFERROR(__xludf.DUMMYFUNCTION("""COMPUTED_VALUE"""),"PF,C")</f>
        <v>PF,C</v>
      </c>
      <c r="F336" s="53">
        <f>IFERROR(__xludf.DUMMYFUNCTION("""COMPUTED_VALUE"""),-9.103373858433185)</f>
        <v>-9.103373858</v>
      </c>
      <c r="G336" s="53">
        <f>IFERROR(__xludf.DUMMYFUNCTION("""COMPUTED_VALUE"""),-5.584832466212863)</f>
        <v>-5.584832466</v>
      </c>
      <c r="H336" s="53">
        <f>IFERROR(__xludf.DUMMYFUNCTION("""COMPUTED_VALUE"""),3.518541392220323)</f>
        <v>3.518541392</v>
      </c>
      <c r="I336" s="53">
        <f>IFERROR(__xludf.DUMMYFUNCTION("""COMPUTED_VALUE"""),3.7)</f>
        <v>3.7</v>
      </c>
      <c r="J336" s="53">
        <f>IFERROR(__xludf.DUMMYFUNCTION("""COMPUTED_VALUE"""),0.4)</f>
        <v>0.4</v>
      </c>
      <c r="K336" s="53">
        <f>IFERROR(__xludf.DUMMYFUNCTION("""COMPUTED_VALUE"""),2.4)</f>
        <v>2.4</v>
      </c>
      <c r="L336" s="53">
        <f>IFERROR(__xludf.DUMMYFUNCTION("""COMPUTED_VALUE"""),0.4)</f>
        <v>0.4</v>
      </c>
      <c r="M336" s="53">
        <f>IFERROR(__xludf.DUMMYFUNCTION("""COMPUTED_VALUE"""),0.5)</f>
        <v>0.5</v>
      </c>
      <c r="N336" s="53">
        <f>IFERROR(__xludf.DUMMYFUNCTION("""COMPUTED_VALUE"""),0.4)</f>
        <v>0.4</v>
      </c>
      <c r="O336" s="53">
        <f>IFERROR(__xludf.DUMMYFUNCTION("""COMPUTED_VALUE"""),44.11764705882353)</f>
        <v>44.11764706</v>
      </c>
      <c r="P336" s="53">
        <f>IFERROR(__xludf.DUMMYFUNCTION("""COMPUTED_VALUE"""),71.42857142857143)</f>
        <v>71.42857143</v>
      </c>
      <c r="Q336" s="53">
        <f>IFERROR(__xludf.DUMMYFUNCTION("""COMPUTED_VALUE"""),0.1)</f>
        <v>0.1</v>
      </c>
      <c r="R336" s="53">
        <f>IFERROR(__xludf.DUMMYFUNCTION("""COMPUTED_VALUE"""),-2.2846559169669907)</f>
        <v>-2.284655917</v>
      </c>
      <c r="S336" s="53">
        <f>IFERROR(__xludf.DUMMYFUNCTION("""COMPUTED_VALUE"""),-1.079286296835085)</f>
        <v>-1.079286297</v>
      </c>
      <c r="T336" s="53">
        <f>IFERROR(__xludf.DUMMYFUNCTION("""COMPUTED_VALUE"""),-1.5452173007443828)</f>
        <v>-1.545217301</v>
      </c>
      <c r="U336" s="53">
        <f>IFERROR(__xludf.DUMMYFUNCTION("""COMPUTED_VALUE"""),-1.7565247400165278)</f>
        <v>-1.75652474</v>
      </c>
      <c r="V336" s="53">
        <f>IFERROR(__xludf.DUMMYFUNCTION("""COMPUTED_VALUE"""),-1.0786201759549239)</f>
        <v>-1.078620176</v>
      </c>
      <c r="W336" s="53">
        <f>IFERROR(__xludf.DUMMYFUNCTION("""COMPUTED_VALUE"""),-0.39569839687757064)</f>
        <v>-0.3956983969</v>
      </c>
      <c r="X336" s="53">
        <f>IFERROR(__xludf.DUMMYFUNCTION("""COMPUTED_VALUE"""),-0.1861355589943691)</f>
        <v>-0.186135559</v>
      </c>
      <c r="Y336" s="53">
        <f>IFERROR(__xludf.DUMMYFUNCTION("""COMPUTED_VALUE"""),-0.13157303517108632)</f>
        <v>-0.1315730352</v>
      </c>
      <c r="Z336" s="53">
        <f>IFERROR(__xludf.DUMMYFUNCTION("""COMPUTED_VALUE"""),0.5882230383810826)</f>
        <v>0.5882230384</v>
      </c>
      <c r="AA336" t="str">
        <f>IFERROR(__xludf.DUMMYFUNCTION("REGEXREPLACE(REGEXREPLACE(REGEXREPLACE(REGEXREPLACE(REGEXREPLACE(REGEXREPLACE(E336,"","",),IF(Projections!$U$3="""",""PG"",),),IF(Projections!$V$3="""",""SG"",),),IF(Projections!$W$3="""",""SF"",),),IF(Projections!$X$3="""",""PF"",),),IF(Projections!$Y$3="&amp;""""",""C"",),)"),"PFC")</f>
        <v>PFC</v>
      </c>
    </row>
    <row r="337">
      <c r="B337">
        <f>IFERROR(__xludf.DUMMYFUNCTION("""COMPUTED_VALUE"""),337.0)</f>
        <v>337</v>
      </c>
      <c r="C337" t="str">
        <f>IFERROR(__xludf.DUMMYFUNCTION("""COMPUTED_VALUE"""),"Mike Muscala")</f>
        <v>Mike Muscala</v>
      </c>
      <c r="D337">
        <f>IFERROR(__xludf.DUMMYFUNCTION("""COMPUTED_VALUE"""),30.0)</f>
        <v>30</v>
      </c>
      <c r="E337" t="str">
        <f>IFERROR(__xludf.DUMMYFUNCTION("""COMPUTED_VALUE"""),"PF,C")</f>
        <v>PF,C</v>
      </c>
      <c r="F337" s="53">
        <f>IFERROR(__xludf.DUMMYFUNCTION("""COMPUTED_VALUE"""),-9.055761878809577)</f>
        <v>-9.055761879</v>
      </c>
      <c r="G337" s="53">
        <f>IFERROR(__xludf.DUMMYFUNCTION("""COMPUTED_VALUE"""),-5.602855236321895)</f>
        <v>-5.602855236</v>
      </c>
      <c r="H337" s="53">
        <f>IFERROR(__xludf.DUMMYFUNCTION("""COMPUTED_VALUE"""),3.4529066424876813)</f>
        <v>3.452906642</v>
      </c>
      <c r="I337" s="53">
        <f>IFERROR(__xludf.DUMMYFUNCTION("""COMPUTED_VALUE"""),5.0)</f>
        <v>5</v>
      </c>
      <c r="J337" s="53">
        <f>IFERROR(__xludf.DUMMYFUNCTION("""COMPUTED_VALUE"""),1.0)</f>
        <v>1</v>
      </c>
      <c r="K337" s="53">
        <f>IFERROR(__xludf.DUMMYFUNCTION("""COMPUTED_VALUE"""),2.3)</f>
        <v>2.3</v>
      </c>
      <c r="L337" s="53">
        <f>IFERROR(__xludf.DUMMYFUNCTION("""COMPUTED_VALUE"""),0.5)</f>
        <v>0.5</v>
      </c>
      <c r="M337" s="53">
        <f>IFERROR(__xludf.DUMMYFUNCTION("""COMPUTED_VALUE"""),0.2)</f>
        <v>0.2</v>
      </c>
      <c r="N337" s="53">
        <f>IFERROR(__xludf.DUMMYFUNCTION("""COMPUTED_VALUE"""),0.3)</f>
        <v>0.3</v>
      </c>
      <c r="O337" s="53">
        <f>IFERROR(__xludf.DUMMYFUNCTION("""COMPUTED_VALUE"""),45.945945945945944)</f>
        <v>45.94594595</v>
      </c>
      <c r="P337" s="53">
        <f>IFERROR(__xludf.DUMMYFUNCTION("""COMPUTED_VALUE"""),85.71428571428572)</f>
        <v>85.71428571</v>
      </c>
      <c r="Q337" s="53">
        <f>IFERROR(__xludf.DUMMYFUNCTION("""COMPUTED_VALUE"""),0.3)</f>
        <v>0.3</v>
      </c>
      <c r="R337" s="53">
        <f>IFERROR(__xludf.DUMMYFUNCTION("""COMPUTED_VALUE"""),-2.06557162692098)</f>
        <v>-2.065571627</v>
      </c>
      <c r="S337" s="53">
        <f>IFERROR(__xludf.DUMMYFUNCTION("""COMPUTED_VALUE"""),-0.5590090246596284)</f>
        <v>-0.5590090247</v>
      </c>
      <c r="T337" s="53">
        <f>IFERROR(__xludf.DUMMYFUNCTION("""COMPUTED_VALUE"""),-1.5870326706003557)</f>
        <v>-1.587032671</v>
      </c>
      <c r="U337" s="53">
        <f>IFERROR(__xludf.DUMMYFUNCTION("""COMPUTED_VALUE"""),-1.7055222795050142)</f>
        <v>-1.70552228</v>
      </c>
      <c r="V337" s="53">
        <f>IFERROR(__xludf.DUMMYFUNCTION("""COMPUTED_VALUE"""),-1.732769878353462)</f>
        <v>-1.732769878</v>
      </c>
      <c r="W337" s="53">
        <f>IFERROR(__xludf.DUMMYFUNCTION("""COMPUTED_VALUE"""),-0.5270142365493308)</f>
        <v>-0.5270142365</v>
      </c>
      <c r="X337" s="53">
        <f>IFERROR(__xludf.DUMMYFUNCTION("""COMPUTED_VALUE"""),-0.1349890033991921)</f>
        <v>-0.1349890034</v>
      </c>
      <c r="Y337" s="53">
        <f>IFERROR(__xludf.DUMMYFUNCTION("""COMPUTED_VALUE"""),0.11735132769346612)</f>
        <v>0.1173513277</v>
      </c>
      <c r="Z337" s="53">
        <f>IFERROR(__xludf.DUMMYFUNCTION("""COMPUTED_VALUE"""),0.5261305290516227)</f>
        <v>0.5261305291</v>
      </c>
      <c r="AA337" t="str">
        <f>IFERROR(__xludf.DUMMYFUNCTION("REGEXREPLACE(REGEXREPLACE(REGEXREPLACE(REGEXREPLACE(REGEXREPLACE(REGEXREPLACE(E337,"","",),IF(Projections!$U$3="""",""PG"",),),IF(Projections!$V$3="""",""SG"",),),IF(Projections!$W$3="""",""SF"",),),IF(Projections!$X$3="""",""PF"",),),IF(Projections!$Y$3="&amp;""""",""C"",),)"),"PFC")</f>
        <v>PFC</v>
      </c>
    </row>
    <row r="338">
      <c r="B338">
        <f>IFERROR(__xludf.DUMMYFUNCTION("""COMPUTED_VALUE"""),331.0)</f>
        <v>331</v>
      </c>
      <c r="C338" t="str">
        <f>IFERROR(__xludf.DUMMYFUNCTION("""COMPUTED_VALUE"""),"Jaxson Hayes")</f>
        <v>Jaxson Hayes</v>
      </c>
      <c r="D338">
        <f>IFERROR(__xludf.DUMMYFUNCTION("""COMPUTED_VALUE"""),67.0)</f>
        <v>67</v>
      </c>
      <c r="E338" t="str">
        <f>IFERROR(__xludf.DUMMYFUNCTION("""COMPUTED_VALUE"""),"PF,C")</f>
        <v>PF,C</v>
      </c>
      <c r="F338" s="53">
        <f>IFERROR(__xludf.DUMMYFUNCTION("""COMPUTED_VALUE"""),-8.84824415482553)</f>
        <v>-8.848244155</v>
      </c>
      <c r="G338" s="53">
        <f>IFERROR(__xludf.DUMMYFUNCTION("""COMPUTED_VALUE"""),-5.624981836063285)</f>
        <v>-5.624981836</v>
      </c>
      <c r="H338" s="53">
        <f>IFERROR(__xludf.DUMMYFUNCTION("""COMPUTED_VALUE"""),3.2232623187622442)</f>
        <v>3.223262319</v>
      </c>
      <c r="I338" s="53">
        <f>IFERROR(__xludf.DUMMYFUNCTION("""COMPUTED_VALUE"""),5.4)</f>
        <v>5.4</v>
      </c>
      <c r="J338" s="53">
        <f>IFERROR(__xludf.DUMMYFUNCTION("""COMPUTED_VALUE"""),0.1)</f>
        <v>0.1</v>
      </c>
      <c r="K338" s="53">
        <f>IFERROR(__xludf.DUMMYFUNCTION("""COMPUTED_VALUE"""),2.7)</f>
        <v>2.7</v>
      </c>
      <c r="L338" s="53">
        <f>IFERROR(__xludf.DUMMYFUNCTION("""COMPUTED_VALUE"""),0.5)</f>
        <v>0.5</v>
      </c>
      <c r="M338" s="53">
        <f>IFERROR(__xludf.DUMMYFUNCTION("""COMPUTED_VALUE"""),0.3)</f>
        <v>0.3</v>
      </c>
      <c r="N338" s="53">
        <f>IFERROR(__xludf.DUMMYFUNCTION("""COMPUTED_VALUE"""),0.5)</f>
        <v>0.5</v>
      </c>
      <c r="O338" s="53">
        <f>IFERROR(__xludf.DUMMYFUNCTION("""COMPUTED_VALUE"""),58.82352941176471)</f>
        <v>58.82352941</v>
      </c>
      <c r="P338" s="53">
        <f>IFERROR(__xludf.DUMMYFUNCTION("""COMPUTED_VALUE"""),74.99999999999999)</f>
        <v>75</v>
      </c>
      <c r="Q338" s="53">
        <f>IFERROR(__xludf.DUMMYFUNCTION("""COMPUTED_VALUE"""),0.5)</f>
        <v>0.5</v>
      </c>
      <c r="R338" s="53">
        <f>IFERROR(__xludf.DUMMYFUNCTION("""COMPUTED_VALUE"""),-1.9981610761375916)</f>
        <v>-1.998161076</v>
      </c>
      <c r="S338" s="53">
        <f>IFERROR(__xludf.DUMMYFUNCTION("""COMPUTED_VALUE"""),-1.3394249329228134)</f>
        <v>-1.339424933</v>
      </c>
      <c r="T338" s="53">
        <f>IFERROR(__xludf.DUMMYFUNCTION("""COMPUTED_VALUE"""),-1.419771191176464)</f>
        <v>-1.419771191</v>
      </c>
      <c r="U338" s="53">
        <f>IFERROR(__xludf.DUMMYFUNCTION("""COMPUTED_VALUE"""),-1.7055222795050142)</f>
        <v>-1.70552228</v>
      </c>
      <c r="V338" s="53">
        <f>IFERROR(__xludf.DUMMYFUNCTION("""COMPUTED_VALUE"""),-1.5147199775539493)</f>
        <v>-1.514719978</v>
      </c>
      <c r="W338" s="53">
        <f>IFERROR(__xludf.DUMMYFUNCTION("""COMPUTED_VALUE"""),-0.2643825572058105)</f>
        <v>-0.2643825572</v>
      </c>
      <c r="X338" s="53">
        <f>IFERROR(__xludf.DUMMYFUNCTION("""COMPUTED_VALUE"""),0.3132969556184846)</f>
        <v>0.3132969556</v>
      </c>
      <c r="Y338" s="53">
        <f>IFERROR(__xludf.DUMMYFUNCTION("""COMPUTED_VALUE"""),-0.15849587303988213)</f>
        <v>-0.158495873</v>
      </c>
      <c r="Z338" s="53">
        <f>IFERROR(__xludf.DUMMYFUNCTION("""COMPUTED_VALUE"""),0.4640380197221629)</f>
        <v>0.4640380197</v>
      </c>
      <c r="AA338" t="str">
        <f>IFERROR(__xludf.DUMMYFUNCTION("REGEXREPLACE(REGEXREPLACE(REGEXREPLACE(REGEXREPLACE(REGEXREPLACE(REGEXREPLACE(E338,"","",),IF(Projections!$U$3="""",""PG"",),),IF(Projections!$V$3="""",""SG"",),),IF(Projections!$W$3="""",""SF"",),),IF(Projections!$X$3="""",""PF"",),),IF(Projections!$Y$3="&amp;""""",""C"",),)"),"PFC")</f>
        <v>PFC</v>
      </c>
    </row>
    <row r="339">
      <c r="B339">
        <f>IFERROR(__xludf.DUMMYFUNCTION("""COMPUTED_VALUE"""),345.0)</f>
        <v>345</v>
      </c>
      <c r="C339" t="str">
        <f>IFERROR(__xludf.DUMMYFUNCTION("""COMPUTED_VALUE"""),"DeAndre Jordan")</f>
        <v>DeAndre Jordan</v>
      </c>
      <c r="D339">
        <f>IFERROR(__xludf.DUMMYFUNCTION("""COMPUTED_VALUE"""),33.0)</f>
        <v>33</v>
      </c>
      <c r="E339" t="str">
        <f>IFERROR(__xludf.DUMMYFUNCTION("""COMPUTED_VALUE"""),"C")</f>
        <v>C</v>
      </c>
      <c r="F339" s="53">
        <f>IFERROR(__xludf.DUMMYFUNCTION("""COMPUTED_VALUE"""),-9.297505592733183)</f>
        <v>-9.297505593</v>
      </c>
      <c r="G339" s="53">
        <f>IFERROR(__xludf.DUMMYFUNCTION("""COMPUTED_VALUE"""),-5.630062946804136)</f>
        <v>-5.630062947</v>
      </c>
      <c r="H339" s="53">
        <f>IFERROR(__xludf.DUMMYFUNCTION("""COMPUTED_VALUE"""),3.6674426459290466)</f>
        <v>3.667442646</v>
      </c>
      <c r="I339" s="53">
        <f>IFERROR(__xludf.DUMMYFUNCTION("""COMPUTED_VALUE"""),3.5)</f>
        <v>3.5</v>
      </c>
      <c r="J339" s="53">
        <f>IFERROR(__xludf.DUMMYFUNCTION("""COMPUTED_VALUE"""),0.0)</f>
        <v>0</v>
      </c>
      <c r="K339" s="53">
        <f>IFERROR(__xludf.DUMMYFUNCTION("""COMPUTED_VALUE"""),4.1)</f>
        <v>4.1</v>
      </c>
      <c r="L339" s="53">
        <f>IFERROR(__xludf.DUMMYFUNCTION("""COMPUTED_VALUE"""),0.5)</f>
        <v>0.5</v>
      </c>
      <c r="M339" s="53">
        <f>IFERROR(__xludf.DUMMYFUNCTION("""COMPUTED_VALUE"""),0.2)</f>
        <v>0.2</v>
      </c>
      <c r="N339" s="53">
        <f>IFERROR(__xludf.DUMMYFUNCTION("""COMPUTED_VALUE"""),0.5)</f>
        <v>0.5</v>
      </c>
      <c r="O339" s="53">
        <f>IFERROR(__xludf.DUMMYFUNCTION("""COMPUTED_VALUE"""),72.72727272727273)</f>
        <v>72.72727273</v>
      </c>
      <c r="P339" s="53">
        <f>IFERROR(__xludf.DUMMYFUNCTION("""COMPUTED_VALUE"""),50.0)</f>
        <v>50</v>
      </c>
      <c r="Q339" s="53">
        <f>IFERROR(__xludf.DUMMYFUNCTION("""COMPUTED_VALUE"""),0.7)</f>
        <v>0.7</v>
      </c>
      <c r="R339" s="53">
        <f>IFERROR(__xludf.DUMMYFUNCTION("""COMPUTED_VALUE"""),-2.3183611923586844)</f>
        <v>-2.318361192</v>
      </c>
      <c r="S339" s="53">
        <f>IFERROR(__xludf.DUMMYFUNCTION("""COMPUTED_VALUE"""),-1.4261378116187227)</f>
        <v>-1.426137812</v>
      </c>
      <c r="T339" s="53">
        <f>IFERROR(__xludf.DUMMYFUNCTION("""COMPUTED_VALUE"""),-0.8343560131928446)</f>
        <v>-0.8343560132</v>
      </c>
      <c r="U339" s="53">
        <f>IFERROR(__xludf.DUMMYFUNCTION("""COMPUTED_VALUE"""),-1.7055222795050142)</f>
        <v>-1.70552228</v>
      </c>
      <c r="V339" s="53">
        <f>IFERROR(__xludf.DUMMYFUNCTION("""COMPUTED_VALUE"""),-1.732769878353462)</f>
        <v>-1.732769878</v>
      </c>
      <c r="W339" s="53">
        <f>IFERROR(__xludf.DUMMYFUNCTION("""COMPUTED_VALUE"""),-0.2643825572058105)</f>
        <v>-0.2643825572</v>
      </c>
      <c r="X339" s="53">
        <f>IFERROR(__xludf.DUMMYFUNCTION("""COMPUTED_VALUE"""),0.5082567449280592)</f>
        <v>0.5082567449</v>
      </c>
      <c r="Y339" s="53">
        <f>IFERROR(__xludf.DUMMYFUNCTION("""COMPUTED_VALUE"""),-0.5770966622490458)</f>
        <v>-0.5770966622</v>
      </c>
      <c r="Z339" s="53">
        <f>IFERROR(__xludf.DUMMYFUNCTION("""COMPUTED_VALUE"""),0.4019455103927031)</f>
        <v>0.4019455104</v>
      </c>
      <c r="AA339" t="str">
        <f>IFERROR(__xludf.DUMMYFUNCTION("REGEXREPLACE(REGEXREPLACE(REGEXREPLACE(REGEXREPLACE(REGEXREPLACE(REGEXREPLACE(E339,"","",),IF(Projections!$U$3="""",""PG"",),),IF(Projections!$V$3="""",""SG"",),),IF(Projections!$W$3="""",""SF"",),),IF(Projections!$X$3="""",""PF"",),),IF(Projections!$Y$3="&amp;""""",""C"",),)"),"C")</f>
        <v>C</v>
      </c>
    </row>
    <row r="340">
      <c r="B340">
        <f>IFERROR(__xludf.DUMMYFUNCTION("""COMPUTED_VALUE"""),340.0)</f>
        <v>340</v>
      </c>
      <c r="C340" t="str">
        <f>IFERROR(__xludf.DUMMYFUNCTION("""COMPUTED_VALUE"""),"Saben Lee")</f>
        <v>Saben Lee</v>
      </c>
      <c r="D340">
        <f>IFERROR(__xludf.DUMMYFUNCTION("""COMPUTED_VALUE"""),10.0)</f>
        <v>10</v>
      </c>
      <c r="E340" t="str">
        <f>IFERROR(__xludf.DUMMYFUNCTION("""COMPUTED_VALUE"""),"PG")</f>
        <v>PG</v>
      </c>
      <c r="F340" s="53">
        <f>IFERROR(__xludf.DUMMYFUNCTION("""COMPUTED_VALUE"""),-9.105151318475151)</f>
        <v>-9.105151318</v>
      </c>
      <c r="G340" s="53">
        <f>IFERROR(__xludf.DUMMYFUNCTION("""COMPUTED_VALUE"""),-5.639128405320248)</f>
        <v>-5.639128405</v>
      </c>
      <c r="H340" s="53">
        <f>IFERROR(__xludf.DUMMYFUNCTION("""COMPUTED_VALUE"""),3.4660229131549034)</f>
        <v>3.466022913</v>
      </c>
      <c r="I340" s="53">
        <f>IFERROR(__xludf.DUMMYFUNCTION("""COMPUTED_VALUE"""),3.9)</f>
        <v>3.9</v>
      </c>
      <c r="J340" s="53">
        <f>IFERROR(__xludf.DUMMYFUNCTION("""COMPUTED_VALUE"""),0.3)</f>
        <v>0.3</v>
      </c>
      <c r="K340" s="53">
        <f>IFERROR(__xludf.DUMMYFUNCTION("""COMPUTED_VALUE"""),1.4)</f>
        <v>1.4</v>
      </c>
      <c r="L340" s="53">
        <f>IFERROR(__xludf.DUMMYFUNCTION("""COMPUTED_VALUE"""),1.9)</f>
        <v>1.9</v>
      </c>
      <c r="M340" s="53">
        <f>IFERROR(__xludf.DUMMYFUNCTION("""COMPUTED_VALUE"""),0.6)</f>
        <v>0.6</v>
      </c>
      <c r="N340" s="53">
        <f>IFERROR(__xludf.DUMMYFUNCTION("""COMPUTED_VALUE"""),0.1)</f>
        <v>0.1</v>
      </c>
      <c r="O340" s="53">
        <f>IFERROR(__xludf.DUMMYFUNCTION("""COMPUTED_VALUE"""),40.625)</f>
        <v>40.625</v>
      </c>
      <c r="P340" s="53">
        <f>IFERROR(__xludf.DUMMYFUNCTION("""COMPUTED_VALUE"""),78.57142857142858)</f>
        <v>78.57142857</v>
      </c>
      <c r="Q340" s="53">
        <f>IFERROR(__xludf.DUMMYFUNCTION("""COMPUTED_VALUE"""),0.6)</f>
        <v>0.6</v>
      </c>
      <c r="R340" s="53">
        <f>IFERROR(__xludf.DUMMYFUNCTION("""COMPUTED_VALUE"""),-2.2509506415752965)</f>
        <v>-2.250950642</v>
      </c>
      <c r="S340" s="53">
        <f>IFERROR(__xludf.DUMMYFUNCTION("""COMPUTED_VALUE"""),-1.1659991755309944)</f>
        <v>-1.165999176</v>
      </c>
      <c r="T340" s="53">
        <f>IFERROR(__xludf.DUMMYFUNCTION("""COMPUTED_VALUE"""),-1.963370999304111)</f>
        <v>-1.963370999</v>
      </c>
      <c r="U340" s="53">
        <f>IFERROR(__xludf.DUMMYFUNCTION("""COMPUTED_VALUE"""),-0.9914878323438243)</f>
        <v>-0.9914878323</v>
      </c>
      <c r="V340" s="53">
        <f>IFERROR(__xludf.DUMMYFUNCTION("""COMPUTED_VALUE"""),-0.860570275155411)</f>
        <v>-0.8605702752</v>
      </c>
      <c r="W340" s="53">
        <f>IFERROR(__xludf.DUMMYFUNCTION("""COMPUTED_VALUE"""),-0.7896459158928509)</f>
        <v>-0.7896459159</v>
      </c>
      <c r="X340" s="53">
        <f>IFERROR(__xludf.DUMMYFUNCTION("""COMPUTED_VALUE"""),-0.28682426467286753)</f>
        <v>-0.2868242647</v>
      </c>
      <c r="Y340" s="53">
        <f>IFERROR(__xludf.DUMMYFUNCTION("""COMPUTED_VALUE"""),-0.014221707477619961)</f>
        <v>-0.01422170748</v>
      </c>
      <c r="Z340" s="53">
        <f>IFERROR(__xludf.DUMMYFUNCTION("""COMPUTED_VALUE"""),0.43299176505743303)</f>
        <v>0.4329917651</v>
      </c>
      <c r="AA340" t="str">
        <f>IFERROR(__xludf.DUMMYFUNCTION("REGEXREPLACE(REGEXREPLACE(REGEXREPLACE(REGEXREPLACE(REGEXREPLACE(REGEXREPLACE(E340,"","",),IF(Projections!$U$3="""",""PG"",),),IF(Projections!$V$3="""",""SG"",),),IF(Projections!$W$3="""",""SF"",),),IF(Projections!$X$3="""",""PF"",),),IF(Projections!$Y$3="&amp;""""",""C"",),)"),"PG")</f>
        <v>PG</v>
      </c>
    </row>
    <row r="341">
      <c r="B341">
        <f>IFERROR(__xludf.DUMMYFUNCTION("""COMPUTED_VALUE"""),332.0)</f>
        <v>332</v>
      </c>
      <c r="C341" t="str">
        <f>IFERROR(__xludf.DUMMYFUNCTION("""COMPUTED_VALUE"""),"Justin Holiday")</f>
        <v>Justin Holiday</v>
      </c>
      <c r="D341">
        <f>IFERROR(__xludf.DUMMYFUNCTION("""COMPUTED_VALUE"""),68.0)</f>
        <v>68</v>
      </c>
      <c r="E341" t="str">
        <f>IFERROR(__xludf.DUMMYFUNCTION("""COMPUTED_VALUE"""),"SG,SF")</f>
        <v>SG,SF</v>
      </c>
      <c r="F341" s="53">
        <f>IFERROR(__xludf.DUMMYFUNCTION("""COMPUTED_VALUE"""),-8.855628759770262)</f>
        <v>-8.85562876</v>
      </c>
      <c r="G341" s="53">
        <f>IFERROR(__xludf.DUMMYFUNCTION("""COMPUTED_VALUE"""),-5.64174342521894)</f>
        <v>-5.641743425</v>
      </c>
      <c r="H341" s="53">
        <f>IFERROR(__xludf.DUMMYFUNCTION("""COMPUTED_VALUE"""),3.213885334551322)</f>
        <v>3.213885335</v>
      </c>
      <c r="I341" s="53">
        <f>IFERROR(__xludf.DUMMYFUNCTION("""COMPUTED_VALUE"""),5.4)</f>
        <v>5.4</v>
      </c>
      <c r="J341" s="53">
        <f>IFERROR(__xludf.DUMMYFUNCTION("""COMPUTED_VALUE"""),1.3)</f>
        <v>1.3</v>
      </c>
      <c r="K341" s="53">
        <f>IFERROR(__xludf.DUMMYFUNCTION("""COMPUTED_VALUE"""),1.4)</f>
        <v>1.4</v>
      </c>
      <c r="L341" s="53">
        <f>IFERROR(__xludf.DUMMYFUNCTION("""COMPUTED_VALUE"""),1.0)</f>
        <v>1</v>
      </c>
      <c r="M341" s="53">
        <f>IFERROR(__xludf.DUMMYFUNCTION("""COMPUTED_VALUE"""),0.4)</f>
        <v>0.4</v>
      </c>
      <c r="N341" s="53">
        <f>IFERROR(__xludf.DUMMYFUNCTION("""COMPUTED_VALUE"""),0.3)</f>
        <v>0.3</v>
      </c>
      <c r="O341" s="53">
        <f>IFERROR(__xludf.DUMMYFUNCTION("""COMPUTED_VALUE"""),38.77551020408163)</f>
        <v>38.7755102</v>
      </c>
      <c r="P341" s="53">
        <f>IFERROR(__xludf.DUMMYFUNCTION("""COMPUTED_VALUE"""),74.99999999999999)</f>
        <v>75</v>
      </c>
      <c r="Q341" s="53">
        <f>IFERROR(__xludf.DUMMYFUNCTION("""COMPUTED_VALUE"""),0.5)</f>
        <v>0.5</v>
      </c>
      <c r="R341" s="53">
        <f>IFERROR(__xludf.DUMMYFUNCTION("""COMPUTED_VALUE"""),-1.9981610761375916)</f>
        <v>-1.998161076</v>
      </c>
      <c r="S341" s="53">
        <f>IFERROR(__xludf.DUMMYFUNCTION("""COMPUTED_VALUE"""),-0.2988703885719002)</f>
        <v>-0.2988703886</v>
      </c>
      <c r="T341" s="53">
        <f>IFERROR(__xludf.DUMMYFUNCTION("""COMPUTED_VALUE"""),-1.963370999304111)</f>
        <v>-1.963370999</v>
      </c>
      <c r="U341" s="53">
        <f>IFERROR(__xludf.DUMMYFUNCTION("""COMPUTED_VALUE"""),-1.4505099769474463)</f>
        <v>-1.450509977</v>
      </c>
      <c r="V341" s="53">
        <f>IFERROR(__xludf.DUMMYFUNCTION("""COMPUTED_VALUE"""),-1.2966700767544366)</f>
        <v>-1.296670077</v>
      </c>
      <c r="W341" s="53">
        <f>IFERROR(__xludf.DUMMYFUNCTION("""COMPUTED_VALUE"""),-0.5270142365493308)</f>
        <v>-0.5270142365</v>
      </c>
      <c r="X341" s="53">
        <f>IFERROR(__xludf.DUMMYFUNCTION("""COMPUTED_VALUE"""),-0.5297217985539086)</f>
        <v>-0.5297217986</v>
      </c>
      <c r="Y341" s="53">
        <f>IFERROR(__xludf.DUMMYFUNCTION("""COMPUTED_VALUE"""),-0.039623968259970534)</f>
        <v>-0.03962396826</v>
      </c>
      <c r="Z341" s="53">
        <f>IFERROR(__xludf.DUMMYFUNCTION("""COMPUTED_VALUE"""),0.4640380197221629)</f>
        <v>0.4640380197</v>
      </c>
      <c r="AA341" t="str">
        <f>IFERROR(__xludf.DUMMYFUNCTION("REGEXREPLACE(REGEXREPLACE(REGEXREPLACE(REGEXREPLACE(REGEXREPLACE(REGEXREPLACE(E341,"","",),IF(Projections!$U$3="""",""PG"",),),IF(Projections!$V$3="""",""SG"",),),IF(Projections!$W$3="""",""SF"",),),IF(Projections!$X$3="""",""PF"",),),IF(Projections!$Y$3="&amp;""""",""C"",),)"),"SGSF")</f>
        <v>SGSF</v>
      </c>
    </row>
    <row r="342">
      <c r="B342">
        <f>IFERROR(__xludf.DUMMYFUNCTION("""COMPUTED_VALUE"""),325.0)</f>
        <v>325</v>
      </c>
      <c r="C342" t="str">
        <f>IFERROR(__xludf.DUMMYFUNCTION("""COMPUTED_VALUE"""),"Peyton Watson")</f>
        <v>Peyton Watson</v>
      </c>
      <c r="D342">
        <f>IFERROR(__xludf.DUMMYFUNCTION("""COMPUTED_VALUE"""),69.0)</f>
        <v>69</v>
      </c>
      <c r="E342" t="str">
        <f>IFERROR(__xludf.DUMMYFUNCTION("""COMPUTED_VALUE"""),"SG,SF")</f>
        <v>SG,SF</v>
      </c>
      <c r="F342" s="53">
        <f>IFERROR(__xludf.DUMMYFUNCTION("""COMPUTED_VALUE"""),-8.692988997161788)</f>
        <v>-8.692988997</v>
      </c>
      <c r="G342" s="53">
        <f>IFERROR(__xludf.DUMMYFUNCTION("""COMPUTED_VALUE"""),-5.6571547081417854)</f>
        <v>-5.657154708</v>
      </c>
      <c r="H342" s="53">
        <f>IFERROR(__xludf.DUMMYFUNCTION("""COMPUTED_VALUE"""),3.035834289020002)</f>
        <v>3.035834289</v>
      </c>
      <c r="I342" s="53">
        <f>IFERROR(__xludf.DUMMYFUNCTION("""COMPUTED_VALUE"""),6.5)</f>
        <v>6.5</v>
      </c>
      <c r="J342" s="53">
        <f>IFERROR(__xludf.DUMMYFUNCTION("""COMPUTED_VALUE"""),0.5)</f>
        <v>0.5</v>
      </c>
      <c r="K342" s="53">
        <f>IFERROR(__xludf.DUMMYFUNCTION("""COMPUTED_VALUE"""),3.2)</f>
        <v>3.2</v>
      </c>
      <c r="L342" s="53">
        <f>IFERROR(__xludf.DUMMYFUNCTION("""COMPUTED_VALUE"""),0.9)</f>
        <v>0.9</v>
      </c>
      <c r="M342" s="53">
        <f>IFERROR(__xludf.DUMMYFUNCTION("""COMPUTED_VALUE"""),0.2)</f>
        <v>0.2</v>
      </c>
      <c r="N342" s="53">
        <f>IFERROR(__xludf.DUMMYFUNCTION("""COMPUTED_VALUE"""),0.9)</f>
        <v>0.9</v>
      </c>
      <c r="O342" s="53">
        <f>IFERROR(__xludf.DUMMYFUNCTION("""COMPUTED_VALUE"""),49.01960784313726)</f>
        <v>49.01960784</v>
      </c>
      <c r="P342" s="53">
        <f>IFERROR(__xludf.DUMMYFUNCTION("""COMPUTED_VALUE"""),58.82352941176471)</f>
        <v>58.82352941</v>
      </c>
      <c r="Q342" s="53">
        <f>IFERROR(__xludf.DUMMYFUNCTION("""COMPUTED_VALUE"""),0.7)</f>
        <v>0.7</v>
      </c>
      <c r="R342" s="53">
        <f>IFERROR(__xludf.DUMMYFUNCTION("""COMPUTED_VALUE"""),-1.8127820614832748)</f>
        <v>-1.812782061</v>
      </c>
      <c r="S342" s="53">
        <f>IFERROR(__xludf.DUMMYFUNCTION("""COMPUTED_VALUE"""),-0.9925734181391757)</f>
        <v>-0.9925734181</v>
      </c>
      <c r="T342" s="53">
        <f>IFERROR(__xludf.DUMMYFUNCTION("""COMPUTED_VALUE"""),-1.2106943418965999)</f>
        <v>-1.210694342</v>
      </c>
      <c r="U342" s="53">
        <f>IFERROR(__xludf.DUMMYFUNCTION("""COMPUTED_VALUE"""),-1.5015124374589601)</f>
        <v>-1.501512437</v>
      </c>
      <c r="V342" s="53">
        <f>IFERROR(__xludf.DUMMYFUNCTION("""COMPUTED_VALUE"""),-1.732769878353462)</f>
        <v>-1.732769878</v>
      </c>
      <c r="W342" s="53">
        <f>IFERROR(__xludf.DUMMYFUNCTION("""COMPUTED_VALUE"""),0.2608808014812299)</f>
        <v>0.2608808015</v>
      </c>
      <c r="X342" s="53">
        <f>IFERROR(__xludf.DUMMYFUNCTION("""COMPUTED_VALUE"""),-0.02948708118512662)</f>
        <v>-0.02948708119</v>
      </c>
      <c r="Y342" s="53">
        <f>IFERROR(__xludf.DUMMYFUNCTION("""COMPUTED_VALUE"""),-0.8529438629823933)</f>
        <v>-0.852943863</v>
      </c>
      <c r="Z342" s="53">
        <f>IFERROR(__xludf.DUMMYFUNCTION("""COMPUTED_VALUE"""),0.4019455103927031)</f>
        <v>0.4019455104</v>
      </c>
      <c r="AA342" t="str">
        <f>IFERROR(__xludf.DUMMYFUNCTION("REGEXREPLACE(REGEXREPLACE(REGEXREPLACE(REGEXREPLACE(REGEXREPLACE(REGEXREPLACE(E342,"","",),IF(Projections!$U$3="""",""PG"",),),IF(Projections!$V$3="""",""SG"",),),IF(Projections!$W$3="""",""SF"",),),IF(Projections!$X$3="""",""PF"",),),IF(Projections!$Y$3="&amp;""""",""C"",),)"),"SGSF")</f>
        <v>SGSF</v>
      </c>
    </row>
    <row r="343">
      <c r="B343">
        <f>IFERROR(__xludf.DUMMYFUNCTION("""COMPUTED_VALUE"""),318.0)</f>
        <v>318</v>
      </c>
      <c r="C343" t="str">
        <f>IFERROR(__xludf.DUMMYFUNCTION("""COMPUTED_VALUE"""),"Olivier-Maxence Prosper")</f>
        <v>Olivier-Maxence Prosper</v>
      </c>
      <c r="D343">
        <f>IFERROR(__xludf.DUMMYFUNCTION("""COMPUTED_VALUE"""),61.0)</f>
        <v>61</v>
      </c>
      <c r="E343" t="str">
        <f>IFERROR(__xludf.DUMMYFUNCTION("""COMPUTED_VALUE"""),"PF")</f>
        <v>PF</v>
      </c>
      <c r="F343" s="53">
        <f>IFERROR(__xludf.DUMMYFUNCTION("""COMPUTED_VALUE"""),-8.500817176891934)</f>
        <v>-8.500817177</v>
      </c>
      <c r="G343" s="53">
        <f>IFERROR(__xludf.DUMMYFUNCTION("""COMPUTED_VALUE"""),-5.664935494987204)</f>
        <v>-5.664935495</v>
      </c>
      <c r="H343" s="53">
        <f>IFERROR(__xludf.DUMMYFUNCTION("""COMPUTED_VALUE"""),2.8358816819047297)</f>
        <v>2.835881682</v>
      </c>
      <c r="I343" s="53">
        <f>IFERROR(__xludf.DUMMYFUNCTION("""COMPUTED_VALUE"""),7.2)</f>
        <v>7.2</v>
      </c>
      <c r="J343" s="53">
        <f>IFERROR(__xludf.DUMMYFUNCTION("""COMPUTED_VALUE"""),0.5)</f>
        <v>0.5</v>
      </c>
      <c r="K343" s="53">
        <f>IFERROR(__xludf.DUMMYFUNCTION("""COMPUTED_VALUE"""),2.9)</f>
        <v>2.9</v>
      </c>
      <c r="L343" s="53">
        <f>IFERROR(__xludf.DUMMYFUNCTION("""COMPUTED_VALUE"""),0.6)</f>
        <v>0.6</v>
      </c>
      <c r="M343" s="53">
        <f>IFERROR(__xludf.DUMMYFUNCTION("""COMPUTED_VALUE"""),0.6)</f>
        <v>0.6</v>
      </c>
      <c r="N343" s="53">
        <f>IFERROR(__xludf.DUMMYFUNCTION("""COMPUTED_VALUE"""),0.2)</f>
        <v>0.2</v>
      </c>
      <c r="O343" s="53">
        <f>IFERROR(__xludf.DUMMYFUNCTION("""COMPUTED_VALUE"""),44.11764705882353)</f>
        <v>44.11764706</v>
      </c>
      <c r="P343" s="53">
        <f>IFERROR(__xludf.DUMMYFUNCTION("""COMPUTED_VALUE"""),70.0)</f>
        <v>70</v>
      </c>
      <c r="Q343" s="53">
        <f>IFERROR(__xludf.DUMMYFUNCTION("""COMPUTED_VALUE"""),0.6)</f>
        <v>0.6</v>
      </c>
      <c r="R343" s="53">
        <f>IFERROR(__xludf.DUMMYFUNCTION("""COMPUTED_VALUE"""),-1.694813597612346)</f>
        <v>-1.694813598</v>
      </c>
      <c r="S343" s="53">
        <f>IFERROR(__xludf.DUMMYFUNCTION("""COMPUTED_VALUE"""),-0.9925734181391757)</f>
        <v>-0.9925734181</v>
      </c>
      <c r="T343" s="53">
        <f>IFERROR(__xludf.DUMMYFUNCTION("""COMPUTED_VALUE"""),-1.3361404514645185)</f>
        <v>-1.336140451</v>
      </c>
      <c r="U343" s="53">
        <f>IFERROR(__xludf.DUMMYFUNCTION("""COMPUTED_VALUE"""),-1.6545198189935006)</f>
        <v>-1.654519819</v>
      </c>
      <c r="V343" s="53">
        <f>IFERROR(__xludf.DUMMYFUNCTION("""COMPUTED_VALUE"""),-0.860570275155411)</f>
        <v>-0.8605702752</v>
      </c>
      <c r="W343" s="53">
        <f>IFERROR(__xludf.DUMMYFUNCTION("""COMPUTED_VALUE"""),-0.6583300762210907)</f>
        <v>-0.6583300762</v>
      </c>
      <c r="X343" s="53">
        <f>IFERROR(__xludf.DUMMYFUNCTION("""COMPUTED_VALUE"""),-0.3722711179887382)</f>
        <v>-0.372271118</v>
      </c>
      <c r="Y343" s="53">
        <f>IFERROR(__xludf.DUMMYFUNCTION("""COMPUTED_VALUE"""),-0.22352210208220238)</f>
        <v>-0.2235221021</v>
      </c>
      <c r="Z343" s="53">
        <f>IFERROR(__xludf.DUMMYFUNCTION("""COMPUTED_VALUE"""),0.43299176505743303)</f>
        <v>0.4329917651</v>
      </c>
      <c r="AA343" t="str">
        <f>IFERROR(__xludf.DUMMYFUNCTION("REGEXREPLACE(REGEXREPLACE(REGEXREPLACE(REGEXREPLACE(REGEXREPLACE(REGEXREPLACE(E343,"","",),IF(Projections!$U$3="""",""PG"",),),IF(Projections!$V$3="""",""SG"",),),IF(Projections!$W$3="""",""SF"",),),IF(Projections!$X$3="""",""PF"",),),IF(Projections!$Y$3="&amp;""""",""C"",),)"),"PF")</f>
        <v>PF</v>
      </c>
    </row>
    <row r="344">
      <c r="B344">
        <f>IFERROR(__xludf.DUMMYFUNCTION("""COMPUTED_VALUE"""),321.0)</f>
        <v>321</v>
      </c>
      <c r="C344" t="str">
        <f>IFERROR(__xludf.DUMMYFUNCTION("""COMPUTED_VALUE"""),"David Roddy")</f>
        <v>David Roddy</v>
      </c>
      <c r="D344">
        <f>IFERROR(__xludf.DUMMYFUNCTION("""COMPUTED_VALUE"""),70.0)</f>
        <v>70</v>
      </c>
      <c r="E344" t="str">
        <f>IFERROR(__xludf.DUMMYFUNCTION("""COMPUTED_VALUE"""),"SF,PF")</f>
        <v>SF,PF</v>
      </c>
      <c r="F344" s="53">
        <f>IFERROR(__xludf.DUMMYFUNCTION("""COMPUTED_VALUE"""),-8.603362396445414)</f>
        <v>-8.603362396</v>
      </c>
      <c r="G344" s="53">
        <f>IFERROR(__xludf.DUMMYFUNCTION("""COMPUTED_VALUE"""),-5.684999844415005)</f>
        <v>-5.684999844</v>
      </c>
      <c r="H344" s="53">
        <f>IFERROR(__xludf.DUMMYFUNCTION("""COMPUTED_VALUE"""),2.918362552030409)</f>
        <v>2.918362552</v>
      </c>
      <c r="I344" s="53">
        <f>IFERROR(__xludf.DUMMYFUNCTION("""COMPUTED_VALUE"""),7.1)</f>
        <v>7.1</v>
      </c>
      <c r="J344" s="53">
        <f>IFERROR(__xludf.DUMMYFUNCTION("""COMPUTED_VALUE"""),1.0)</f>
        <v>1</v>
      </c>
      <c r="K344" s="53">
        <f>IFERROR(__xludf.DUMMYFUNCTION("""COMPUTED_VALUE"""),3.0)</f>
        <v>3</v>
      </c>
      <c r="L344" s="53">
        <f>IFERROR(__xludf.DUMMYFUNCTION("""COMPUTED_VALUE"""),0.9)</f>
        <v>0.9</v>
      </c>
      <c r="M344" s="53">
        <f>IFERROR(__xludf.DUMMYFUNCTION("""COMPUTED_VALUE"""),0.4)</f>
        <v>0.4</v>
      </c>
      <c r="N344" s="53">
        <f>IFERROR(__xludf.DUMMYFUNCTION("""COMPUTED_VALUE"""),0.3)</f>
        <v>0.3</v>
      </c>
      <c r="O344" s="53">
        <f>IFERROR(__xludf.DUMMYFUNCTION("""COMPUTED_VALUE"""),43.74999999999999)</f>
        <v>43.75</v>
      </c>
      <c r="P344" s="53">
        <f>IFERROR(__xludf.DUMMYFUNCTION("""COMPUTED_VALUE"""),60.0)</f>
        <v>60</v>
      </c>
      <c r="Q344" s="53">
        <f>IFERROR(__xludf.DUMMYFUNCTION("""COMPUTED_VALUE"""),0.9)</f>
        <v>0.9</v>
      </c>
      <c r="R344" s="53">
        <f>IFERROR(__xludf.DUMMYFUNCTION("""COMPUTED_VALUE"""),-1.711666235308193)</f>
        <v>-1.711666235</v>
      </c>
      <c r="S344" s="53">
        <f>IFERROR(__xludf.DUMMYFUNCTION("""COMPUTED_VALUE"""),-0.5590090246596284)</f>
        <v>-0.5590090247</v>
      </c>
      <c r="T344" s="53">
        <f>IFERROR(__xludf.DUMMYFUNCTION("""COMPUTED_VALUE"""),-1.2943250816085456)</f>
        <v>-1.294325082</v>
      </c>
      <c r="U344" s="53">
        <f>IFERROR(__xludf.DUMMYFUNCTION("""COMPUTED_VALUE"""),-1.5015124374589601)</f>
        <v>-1.501512437</v>
      </c>
      <c r="V344" s="53">
        <f>IFERROR(__xludf.DUMMYFUNCTION("""COMPUTED_VALUE"""),-1.2966700767544366)</f>
        <v>-1.296670077</v>
      </c>
      <c r="W344" s="53">
        <f>IFERROR(__xludf.DUMMYFUNCTION("""COMPUTED_VALUE"""),-0.5270142365493308)</f>
        <v>-0.5270142365</v>
      </c>
      <c r="X344" s="53">
        <f>IFERROR(__xludf.DUMMYFUNCTION("""COMPUTED_VALUE"""),-0.373875523500594)</f>
        <v>-0.3738755235</v>
      </c>
      <c r="Y344" s="53">
        <f>IFERROR(__xludf.DUMMYFUNCTION("""COMPUTED_VALUE"""),-0.4724464649467546)</f>
        <v>-0.4724464649</v>
      </c>
      <c r="Z344" s="53">
        <f>IFERROR(__xludf.DUMMYFUNCTION("""COMPUTED_VALUE"""),0.33985300106324323)</f>
        <v>0.3398530011</v>
      </c>
      <c r="AA344" t="str">
        <f>IFERROR(__xludf.DUMMYFUNCTION("REGEXREPLACE(REGEXREPLACE(REGEXREPLACE(REGEXREPLACE(REGEXREPLACE(REGEXREPLACE(E344,"","",),IF(Projections!$U$3="""",""PG"",),),IF(Projections!$V$3="""",""SG"",),),IF(Projections!$W$3="""",""SF"",),),IF(Projections!$X$3="""",""PF"",),),IF(Projections!$Y$3="&amp;""""",""C"",),)"),"SFPF")</f>
        <v>SFPF</v>
      </c>
    </row>
    <row r="345">
      <c r="B345">
        <f>IFERROR(__xludf.DUMMYFUNCTION("""COMPUTED_VALUE"""),336.0)</f>
        <v>336</v>
      </c>
      <c r="C345" t="str">
        <f>IFERROR(__xludf.DUMMYFUNCTION("""COMPUTED_VALUE"""),"Joe Harris")</f>
        <v>Joe Harris</v>
      </c>
      <c r="D345">
        <f>IFERROR(__xludf.DUMMYFUNCTION("""COMPUTED_VALUE"""),58.0)</f>
        <v>58</v>
      </c>
      <c r="E345" t="str">
        <f>IFERROR(__xludf.DUMMYFUNCTION("""COMPUTED_VALUE"""),"SG,SF")</f>
        <v>SG,SF</v>
      </c>
      <c r="F345" s="53">
        <f>IFERROR(__xludf.DUMMYFUNCTION("""COMPUTED_VALUE"""),-9.05056497530752)</f>
        <v>-9.050564975</v>
      </c>
      <c r="G345" s="53">
        <f>IFERROR(__xludf.DUMMYFUNCTION("""COMPUTED_VALUE"""),-5.7155384730049485)</f>
        <v>-5.715538473</v>
      </c>
      <c r="H345" s="53">
        <f>IFERROR(__xludf.DUMMYFUNCTION("""COMPUTED_VALUE"""),3.335026502302571)</f>
        <v>3.335026502</v>
      </c>
      <c r="I345" s="53">
        <f>IFERROR(__xludf.DUMMYFUNCTION("""COMPUTED_VALUE"""),5.7)</f>
        <v>5.7</v>
      </c>
      <c r="J345" s="53">
        <f>IFERROR(__xludf.DUMMYFUNCTION("""COMPUTED_VALUE"""),1.4)</f>
        <v>1.4</v>
      </c>
      <c r="K345" s="53">
        <f>IFERROR(__xludf.DUMMYFUNCTION("""COMPUTED_VALUE"""),1.7)</f>
        <v>1.7</v>
      </c>
      <c r="L345" s="53">
        <f>IFERROR(__xludf.DUMMYFUNCTION("""COMPUTED_VALUE"""),0.9)</f>
        <v>0.9</v>
      </c>
      <c r="M345" s="53">
        <f>IFERROR(__xludf.DUMMYFUNCTION("""COMPUTED_VALUE"""),0.3)</f>
        <v>0.3</v>
      </c>
      <c r="N345" s="53">
        <f>IFERROR(__xludf.DUMMYFUNCTION("""COMPUTED_VALUE"""),0.1)</f>
        <v>0.1</v>
      </c>
      <c r="O345" s="53">
        <f>IFERROR(__xludf.DUMMYFUNCTION("""COMPUTED_VALUE"""),44.44444444444444)</f>
        <v>44.44444444</v>
      </c>
      <c r="P345" s="53">
        <f>IFERROR(__xludf.DUMMYFUNCTION("""COMPUTED_VALUE"""),66.66666666666667)</f>
        <v>66.66666667</v>
      </c>
      <c r="Q345" s="53">
        <f>IFERROR(__xludf.DUMMYFUNCTION("""COMPUTED_VALUE"""),0.5)</f>
        <v>0.5</v>
      </c>
      <c r="R345" s="53">
        <f>IFERROR(__xludf.DUMMYFUNCTION("""COMPUTED_VALUE"""),-1.947603163050051)</f>
        <v>-1.947603163</v>
      </c>
      <c r="S345" s="53">
        <f>IFERROR(__xludf.DUMMYFUNCTION("""COMPUTED_VALUE"""),-0.21215750987599089)</f>
        <v>-0.2121575099</v>
      </c>
      <c r="T345" s="53">
        <f>IFERROR(__xludf.DUMMYFUNCTION("""COMPUTED_VALUE"""),-1.8379248897361926)</f>
        <v>-1.83792489</v>
      </c>
      <c r="U345" s="53">
        <f>IFERROR(__xludf.DUMMYFUNCTION("""COMPUTED_VALUE"""),-1.5015124374589601)</f>
        <v>-1.501512437</v>
      </c>
      <c r="V345" s="53">
        <f>IFERROR(__xludf.DUMMYFUNCTION("""COMPUTED_VALUE"""),-1.5147199775539493)</f>
        <v>-1.514719978</v>
      </c>
      <c r="W345" s="53">
        <f>IFERROR(__xludf.DUMMYFUNCTION("""COMPUTED_VALUE"""),-0.7896459158928509)</f>
        <v>-0.7896459159</v>
      </c>
      <c r="X345" s="53">
        <f>IFERROR(__xludf.DUMMYFUNCTION("""COMPUTED_VALUE"""),-0.2316666952980517)</f>
        <v>-0.2316666953</v>
      </c>
      <c r="Y345" s="53">
        <f>IFERROR(__xludf.DUMMYFUNCTION("""COMPUTED_VALUE"""),-0.09194906691111586)</f>
        <v>-0.09194906691</v>
      </c>
      <c r="Z345" s="53">
        <f>IFERROR(__xludf.DUMMYFUNCTION("""COMPUTED_VALUE"""),0.4640380197221629)</f>
        <v>0.4640380197</v>
      </c>
      <c r="AA345" t="str">
        <f>IFERROR(__xludf.DUMMYFUNCTION("REGEXREPLACE(REGEXREPLACE(REGEXREPLACE(REGEXREPLACE(REGEXREPLACE(REGEXREPLACE(E345,"","",),IF(Projections!$U$3="""",""PG"",),),IF(Projections!$V$3="""",""SG"",),),IF(Projections!$W$3="""",""SF"",),),IF(Projections!$X$3="""",""PF"",),),IF(Projections!$Y$3="&amp;""""",""C"",),)"),"SGSF")</f>
        <v>SGSF</v>
      </c>
    </row>
    <row r="346">
      <c r="B346">
        <f>IFERROR(__xludf.DUMMYFUNCTION("""COMPUTED_VALUE"""),342.0)</f>
        <v>342</v>
      </c>
      <c r="C346" t="str">
        <f>IFERROR(__xludf.DUMMYFUNCTION("""COMPUTED_VALUE"""),"Derrick Jones Jr.")</f>
        <v>Derrick Jones Jr.</v>
      </c>
      <c r="D346">
        <f>IFERROR(__xludf.DUMMYFUNCTION("""COMPUTED_VALUE"""),54.0)</f>
        <v>54</v>
      </c>
      <c r="E346" t="str">
        <f>IFERROR(__xludf.DUMMYFUNCTION("""COMPUTED_VALUE"""),"SF")</f>
        <v>SF</v>
      </c>
      <c r="F346" s="53">
        <f>IFERROR(__xludf.DUMMYFUNCTION("""COMPUTED_VALUE"""),-9.11414328516367)</f>
        <v>-9.114143285</v>
      </c>
      <c r="G346" s="53">
        <f>IFERROR(__xludf.DUMMYFUNCTION("""COMPUTED_VALUE"""),-5.726962127586025)</f>
        <v>-5.726962128</v>
      </c>
      <c r="H346" s="53">
        <f>IFERROR(__xludf.DUMMYFUNCTION("""COMPUTED_VALUE"""),3.387181157577646)</f>
        <v>3.387181158</v>
      </c>
      <c r="I346" s="53">
        <f>IFERROR(__xludf.DUMMYFUNCTION("""COMPUTED_VALUE"""),4.1)</f>
        <v>4.1</v>
      </c>
      <c r="J346" s="53">
        <f>IFERROR(__xludf.DUMMYFUNCTION("""COMPUTED_VALUE"""),0.3)</f>
        <v>0.3</v>
      </c>
      <c r="K346" s="53">
        <f>IFERROR(__xludf.DUMMYFUNCTION("""COMPUTED_VALUE"""),2.2)</f>
        <v>2.2</v>
      </c>
      <c r="L346" s="53">
        <f>IFERROR(__xludf.DUMMYFUNCTION("""COMPUTED_VALUE"""),0.4)</f>
        <v>0.4</v>
      </c>
      <c r="M346" s="53">
        <f>IFERROR(__xludf.DUMMYFUNCTION("""COMPUTED_VALUE"""),0.4)</f>
        <v>0.4</v>
      </c>
      <c r="N346" s="53">
        <f>IFERROR(__xludf.DUMMYFUNCTION("""COMPUTED_VALUE"""),0.5)</f>
        <v>0.5</v>
      </c>
      <c r="O346" s="53">
        <f>IFERROR(__xludf.DUMMYFUNCTION("""COMPUTED_VALUE"""),51.724137931034484)</f>
        <v>51.72413793</v>
      </c>
      <c r="P346" s="53">
        <f>IFERROR(__xludf.DUMMYFUNCTION("""COMPUTED_VALUE"""),72.72727272727273)</f>
        <v>72.72727273</v>
      </c>
      <c r="Q346" s="53">
        <f>IFERROR(__xludf.DUMMYFUNCTION("""COMPUTED_VALUE"""),0.4)</f>
        <v>0.4</v>
      </c>
      <c r="R346" s="53">
        <f>IFERROR(__xludf.DUMMYFUNCTION("""COMPUTED_VALUE"""),-2.2172453661836027)</f>
        <v>-2.217245366</v>
      </c>
      <c r="S346" s="53">
        <f>IFERROR(__xludf.DUMMYFUNCTION("""COMPUTED_VALUE"""),-1.1659991755309944)</f>
        <v>-1.165999176</v>
      </c>
      <c r="T346" s="53">
        <f>IFERROR(__xludf.DUMMYFUNCTION("""COMPUTED_VALUE"""),-1.6288480404563284)</f>
        <v>-1.62884804</v>
      </c>
      <c r="U346" s="53">
        <f>IFERROR(__xludf.DUMMYFUNCTION("""COMPUTED_VALUE"""),-1.7565247400165278)</f>
        <v>-1.75652474</v>
      </c>
      <c r="V346" s="53">
        <f>IFERROR(__xludf.DUMMYFUNCTION("""COMPUTED_VALUE"""),-1.2966700767544366)</f>
        <v>-1.296670077</v>
      </c>
      <c r="W346" s="53">
        <f>IFERROR(__xludf.DUMMYFUNCTION("""COMPUTED_VALUE"""),-0.2643825572058105)</f>
        <v>-0.2643825572</v>
      </c>
      <c r="X346" s="53">
        <f>IFERROR(__xludf.DUMMYFUNCTION("""COMPUTED_VALUE"""),0.06157519142223835)</f>
        <v>0.06157519142</v>
      </c>
      <c r="Y346" s="53">
        <f>IFERROR(__xludf.DUMMYFUNCTION("""COMPUTED_VALUE"""),-0.1711970034310567)</f>
        <v>-0.1711970034</v>
      </c>
      <c r="Z346" s="53">
        <f>IFERROR(__xludf.DUMMYFUNCTION("""COMPUTED_VALUE"""),0.4950842743868928)</f>
        <v>0.4950842744</v>
      </c>
      <c r="AA346" t="str">
        <f>IFERROR(__xludf.DUMMYFUNCTION("REGEXREPLACE(REGEXREPLACE(REGEXREPLACE(REGEXREPLACE(REGEXREPLACE(REGEXREPLACE(E346,"","",),IF(Projections!$U$3="""",""PG"",),),IF(Projections!$V$3="""",""SG"",),),IF(Projections!$W$3="""",""SF"",),),IF(Projections!$X$3="""",""PF"",),),IF(Projections!$Y$3="&amp;""""",""C"",),)"),"SF")</f>
        <v>SF</v>
      </c>
    </row>
    <row r="347">
      <c r="B347">
        <f>IFERROR(__xludf.DUMMYFUNCTION("""COMPUTED_VALUE"""),356.0)</f>
        <v>356</v>
      </c>
      <c r="C347" t="str">
        <f>IFERROR(__xludf.DUMMYFUNCTION("""COMPUTED_VALUE"""),"Luke Kornet")</f>
        <v>Luke Kornet</v>
      </c>
      <c r="D347">
        <f>IFERROR(__xludf.DUMMYFUNCTION("""COMPUTED_VALUE"""),54.0)</f>
        <v>54</v>
      </c>
      <c r="E347" t="str">
        <f>IFERROR(__xludf.DUMMYFUNCTION("""COMPUTED_VALUE"""),"C")</f>
        <v>C</v>
      </c>
      <c r="F347" s="53">
        <f>IFERROR(__xludf.DUMMYFUNCTION("""COMPUTED_VALUE"""),-9.523706620199249)</f>
        <v>-9.52370662</v>
      </c>
      <c r="G347" s="53">
        <f>IFERROR(__xludf.DUMMYFUNCTION("""COMPUTED_VALUE"""),-5.7750538607179)</f>
        <v>-5.775053861</v>
      </c>
      <c r="H347" s="53">
        <f>IFERROR(__xludf.DUMMYFUNCTION("""COMPUTED_VALUE"""),3.748652759481349)</f>
        <v>3.748652759</v>
      </c>
      <c r="I347" s="53">
        <f>IFERROR(__xludf.DUMMYFUNCTION("""COMPUTED_VALUE"""),3.1)</f>
        <v>3.1</v>
      </c>
      <c r="J347" s="53">
        <f>IFERROR(__xludf.DUMMYFUNCTION("""COMPUTED_VALUE"""),0.0)</f>
        <v>0</v>
      </c>
      <c r="K347" s="53">
        <f>IFERROR(__xludf.DUMMYFUNCTION("""COMPUTED_VALUE"""),2.4)</f>
        <v>2.4</v>
      </c>
      <c r="L347" s="53">
        <f>IFERROR(__xludf.DUMMYFUNCTION("""COMPUTED_VALUE"""),0.7)</f>
        <v>0.7</v>
      </c>
      <c r="M347" s="53">
        <f>IFERROR(__xludf.DUMMYFUNCTION("""COMPUTED_VALUE"""),0.2)</f>
        <v>0.2</v>
      </c>
      <c r="N347" s="53">
        <f>IFERROR(__xludf.DUMMYFUNCTION("""COMPUTED_VALUE"""),0.5)</f>
        <v>0.5</v>
      </c>
      <c r="O347" s="53">
        <f>IFERROR(__xludf.DUMMYFUNCTION("""COMPUTED_VALUE"""),61.904761904761905)</f>
        <v>61.9047619</v>
      </c>
      <c r="P347" s="53">
        <f>IFERROR(__xludf.DUMMYFUNCTION("""COMPUTED_VALUE"""),80.0)</f>
        <v>80</v>
      </c>
      <c r="Q347" s="53">
        <f>IFERROR(__xludf.DUMMYFUNCTION("""COMPUTED_VALUE"""),0.3)</f>
        <v>0.3</v>
      </c>
      <c r="R347" s="53">
        <f>IFERROR(__xludf.DUMMYFUNCTION("""COMPUTED_VALUE"""),-2.385771743142073)</f>
        <v>-2.385771743</v>
      </c>
      <c r="S347" s="53">
        <f>IFERROR(__xludf.DUMMYFUNCTION("""COMPUTED_VALUE"""),-1.4261378116187227)</f>
        <v>-1.426137812</v>
      </c>
      <c r="T347" s="53">
        <f>IFERROR(__xludf.DUMMYFUNCTION("""COMPUTED_VALUE"""),-1.5452173007443828)</f>
        <v>-1.545217301</v>
      </c>
      <c r="U347" s="53">
        <f>IFERROR(__xludf.DUMMYFUNCTION("""COMPUTED_VALUE"""),-1.603517358481987)</f>
        <v>-1.603517358</v>
      </c>
      <c r="V347" s="53">
        <f>IFERROR(__xludf.DUMMYFUNCTION("""COMPUTED_VALUE"""),-1.732769878353462)</f>
        <v>-1.732769878</v>
      </c>
      <c r="W347" s="53">
        <f>IFERROR(__xludf.DUMMYFUNCTION("""COMPUTED_VALUE"""),-0.2643825572058105)</f>
        <v>-0.2643825572</v>
      </c>
      <c r="X347" s="53">
        <f>IFERROR(__xludf.DUMMYFUNCTION("""COMPUTED_VALUE"""),0.25813938624366856)</f>
        <v>0.2581393862</v>
      </c>
      <c r="Y347" s="53">
        <f>IFERROR(__xludf.DUMMYFUNCTION("""COMPUTED_VALUE"""),0.01270113039117512)</f>
        <v>0.01270113039</v>
      </c>
      <c r="Z347" s="53">
        <f>IFERROR(__xludf.DUMMYFUNCTION("""COMPUTED_VALUE"""),0.5261305290516227)</f>
        <v>0.5261305291</v>
      </c>
      <c r="AA347" t="str">
        <f>IFERROR(__xludf.DUMMYFUNCTION("REGEXREPLACE(REGEXREPLACE(REGEXREPLACE(REGEXREPLACE(REGEXREPLACE(REGEXREPLACE(E347,"","",),IF(Projections!$U$3="""",""PG"",),),IF(Projections!$V$3="""",""SG"",),),IF(Projections!$W$3="""",""SF"",),),IF(Projections!$X$3="""",""PF"",),),IF(Projections!$Y$3="&amp;""""",""C"",),)"),"C")</f>
        <v>C</v>
      </c>
    </row>
    <row r="348">
      <c r="B348">
        <f>IFERROR(__xludf.DUMMYFUNCTION("""COMPUTED_VALUE"""),348.0)</f>
        <v>348</v>
      </c>
      <c r="C348" t="str">
        <f>IFERROR(__xludf.DUMMYFUNCTION("""COMPUTED_VALUE"""),"Damian Jones")</f>
        <v>Damian Jones</v>
      </c>
      <c r="D348">
        <f>IFERROR(__xludf.DUMMYFUNCTION("""COMPUTED_VALUE"""),62.0)</f>
        <v>62</v>
      </c>
      <c r="E348" t="str">
        <f>IFERROR(__xludf.DUMMYFUNCTION("""COMPUTED_VALUE"""),"C")</f>
        <v>C</v>
      </c>
      <c r="F348" s="53">
        <f>IFERROR(__xludf.DUMMYFUNCTION("""COMPUTED_VALUE"""),-9.321820087269359)</f>
        <v>-9.321820087</v>
      </c>
      <c r="G348" s="53">
        <f>IFERROR(__xludf.DUMMYFUNCTION("""COMPUTED_VALUE"""),-5.831258692203551)</f>
        <v>-5.831258692</v>
      </c>
      <c r="H348" s="53">
        <f>IFERROR(__xludf.DUMMYFUNCTION("""COMPUTED_VALUE"""),3.490561395065807)</f>
        <v>3.490561395</v>
      </c>
      <c r="I348" s="53">
        <f>IFERROR(__xludf.DUMMYFUNCTION("""COMPUTED_VALUE"""),4.2)</f>
        <v>4.2</v>
      </c>
      <c r="J348" s="53">
        <f>IFERROR(__xludf.DUMMYFUNCTION("""COMPUTED_VALUE"""),0.1)</f>
        <v>0.1</v>
      </c>
      <c r="K348" s="53">
        <f>IFERROR(__xludf.DUMMYFUNCTION("""COMPUTED_VALUE"""),2.6)</f>
        <v>2.6</v>
      </c>
      <c r="L348" s="53">
        <f>IFERROR(__xludf.DUMMYFUNCTION("""COMPUTED_VALUE"""),0.6)</f>
        <v>0.6</v>
      </c>
      <c r="M348" s="53">
        <f>IFERROR(__xludf.DUMMYFUNCTION("""COMPUTED_VALUE"""),0.2)</f>
        <v>0.2</v>
      </c>
      <c r="N348" s="53">
        <f>IFERROR(__xludf.DUMMYFUNCTION("""COMPUTED_VALUE"""),0.5)</f>
        <v>0.5</v>
      </c>
      <c r="O348" s="53">
        <f>IFERROR(__xludf.DUMMYFUNCTION("""COMPUTED_VALUE"""),64.0)</f>
        <v>64</v>
      </c>
      <c r="P348" s="53">
        <f>IFERROR(__xludf.DUMMYFUNCTION("""COMPUTED_VALUE"""),72.72727272727273)</f>
        <v>72.72727273</v>
      </c>
      <c r="Q348" s="53">
        <f>IFERROR(__xludf.DUMMYFUNCTION("""COMPUTED_VALUE"""),0.6)</f>
        <v>0.6</v>
      </c>
      <c r="R348" s="53">
        <f>IFERROR(__xludf.DUMMYFUNCTION("""COMPUTED_VALUE"""),-2.200392728487756)</f>
        <v>-2.200392728</v>
      </c>
      <c r="S348" s="53">
        <f>IFERROR(__xludf.DUMMYFUNCTION("""COMPUTED_VALUE"""),-1.3394249329228134)</f>
        <v>-1.339424933</v>
      </c>
      <c r="T348" s="53">
        <f>IFERROR(__xludf.DUMMYFUNCTION("""COMPUTED_VALUE"""),-1.461586561032437)</f>
        <v>-1.461586561</v>
      </c>
      <c r="U348" s="53">
        <f>IFERROR(__xludf.DUMMYFUNCTION("""COMPUTED_VALUE"""),-1.6545198189935006)</f>
        <v>-1.654519819</v>
      </c>
      <c r="V348" s="53">
        <f>IFERROR(__xludf.DUMMYFUNCTION("""COMPUTED_VALUE"""),-1.732769878353462)</f>
        <v>-1.732769878</v>
      </c>
      <c r="W348" s="53">
        <f>IFERROR(__xludf.DUMMYFUNCTION("""COMPUTED_VALUE"""),-0.2643825572058105)</f>
        <v>-0.2643825572</v>
      </c>
      <c r="X348" s="53">
        <f>IFERROR(__xludf.DUMMYFUNCTION("""COMPUTED_VALUE"""),0.35963029467809476)</f>
        <v>0.3596302947</v>
      </c>
      <c r="Y348" s="53">
        <f>IFERROR(__xludf.DUMMYFUNCTION("""COMPUTED_VALUE"""),-0.1711970034310567)</f>
        <v>-0.1711970034</v>
      </c>
      <c r="Z348" s="53">
        <f>IFERROR(__xludf.DUMMYFUNCTION("""COMPUTED_VALUE"""),0.43299176505743303)</f>
        <v>0.4329917651</v>
      </c>
      <c r="AA348" t="str">
        <f>IFERROR(__xludf.DUMMYFUNCTION("REGEXREPLACE(REGEXREPLACE(REGEXREPLACE(REGEXREPLACE(REGEXREPLACE(REGEXREPLACE(E348,"","",),IF(Projections!$U$3="""",""PG"",),),IF(Projections!$V$3="""",""SG"",),),IF(Projections!$W$3="""",""SF"",),),IF(Projections!$X$3="""",""PF"",),),IF(Projections!$Y$3="&amp;""""",""C"",),)"),"C")</f>
        <v>C</v>
      </c>
    </row>
    <row r="349">
      <c r="B349">
        <f>IFERROR(__xludf.DUMMYFUNCTION("""COMPUTED_VALUE"""),341.0)</f>
        <v>341</v>
      </c>
      <c r="C349" t="str">
        <f>IFERROR(__xludf.DUMMYFUNCTION("""COMPUTED_VALUE"""),"Aleksandar Vezenkov")</f>
        <v>Aleksandar Vezenkov</v>
      </c>
      <c r="D349">
        <f>IFERROR(__xludf.DUMMYFUNCTION("""COMPUTED_VALUE"""),68.0)</f>
        <v>68</v>
      </c>
      <c r="E349" t="str">
        <f>IFERROR(__xludf.DUMMYFUNCTION("""COMPUTED_VALUE"""),"PF")</f>
        <v>PF</v>
      </c>
      <c r="F349" s="53">
        <f>IFERROR(__xludf.DUMMYFUNCTION("""COMPUTED_VALUE"""),-9.114045704437753)</f>
        <v>-9.114045704</v>
      </c>
      <c r="G349" s="53">
        <f>IFERROR(__xludf.DUMMYFUNCTION("""COMPUTED_VALUE"""),-5.8342647106008805)</f>
        <v>-5.834264711</v>
      </c>
      <c r="H349" s="53">
        <f>IFERROR(__xludf.DUMMYFUNCTION("""COMPUTED_VALUE"""),3.279780993836873)</f>
        <v>3.279780994</v>
      </c>
      <c r="I349" s="53">
        <f>IFERROR(__xludf.DUMMYFUNCTION("""COMPUTED_VALUE"""),5.6)</f>
        <v>5.6</v>
      </c>
      <c r="J349" s="53">
        <f>IFERROR(__xludf.DUMMYFUNCTION("""COMPUTED_VALUE"""),1.2)</f>
        <v>1.2</v>
      </c>
      <c r="K349" s="53">
        <f>IFERROR(__xludf.DUMMYFUNCTION("""COMPUTED_VALUE"""),1.6)</f>
        <v>1.6</v>
      </c>
      <c r="L349" s="53">
        <f>IFERROR(__xludf.DUMMYFUNCTION("""COMPUTED_VALUE"""),1.0)</f>
        <v>1</v>
      </c>
      <c r="M349" s="53">
        <f>IFERROR(__xludf.DUMMYFUNCTION("""COMPUTED_VALUE"""),0.4)</f>
        <v>0.4</v>
      </c>
      <c r="N349" s="53">
        <f>IFERROR(__xludf.DUMMYFUNCTION("""COMPUTED_VALUE"""),0.1)</f>
        <v>0.1</v>
      </c>
      <c r="O349" s="53">
        <f>IFERROR(__xludf.DUMMYFUNCTION("""COMPUTED_VALUE"""),43.47826086956522)</f>
        <v>43.47826087</v>
      </c>
      <c r="P349" s="53">
        <f>IFERROR(__xludf.DUMMYFUNCTION("""COMPUTED_VALUE"""),66.66666666666667)</f>
        <v>66.66666667</v>
      </c>
      <c r="Q349" s="53">
        <f>IFERROR(__xludf.DUMMYFUNCTION("""COMPUTED_VALUE"""),0.6)</f>
        <v>0.6</v>
      </c>
      <c r="R349" s="53">
        <f>IFERROR(__xludf.DUMMYFUNCTION("""COMPUTED_VALUE"""),-1.9644558007458979)</f>
        <v>-1.964455801</v>
      </c>
      <c r="S349" s="53">
        <f>IFERROR(__xludf.DUMMYFUNCTION("""COMPUTED_VALUE"""),-0.38558326726780967)</f>
        <v>-0.3855832673</v>
      </c>
      <c r="T349" s="53">
        <f>IFERROR(__xludf.DUMMYFUNCTION("""COMPUTED_VALUE"""),-1.8797402595921657)</f>
        <v>-1.87974026</v>
      </c>
      <c r="U349" s="53">
        <f>IFERROR(__xludf.DUMMYFUNCTION("""COMPUTED_VALUE"""),-1.4505099769474463)</f>
        <v>-1.450509977</v>
      </c>
      <c r="V349" s="53">
        <f>IFERROR(__xludf.DUMMYFUNCTION("""COMPUTED_VALUE"""),-1.2966700767544366)</f>
        <v>-1.296670077</v>
      </c>
      <c r="W349" s="53">
        <f>IFERROR(__xludf.DUMMYFUNCTION("""COMPUTED_VALUE"""),-0.7896459158928509)</f>
        <v>-0.7896459159</v>
      </c>
      <c r="X349" s="53">
        <f>IFERROR(__xludf.DUMMYFUNCTION("""COMPUTED_VALUE"""),-0.2812088453813728)</f>
        <v>-0.2812088454</v>
      </c>
      <c r="Y349" s="53">
        <f>IFERROR(__xludf.DUMMYFUNCTION("""COMPUTED_VALUE"""),-0.18389813382223172)</f>
        <v>-0.1838981338</v>
      </c>
      <c r="Z349" s="53">
        <f>IFERROR(__xludf.DUMMYFUNCTION("""COMPUTED_VALUE"""),0.43299176505743303)</f>
        <v>0.4329917651</v>
      </c>
      <c r="AA349" t="str">
        <f>IFERROR(__xludf.DUMMYFUNCTION("REGEXREPLACE(REGEXREPLACE(REGEXREPLACE(REGEXREPLACE(REGEXREPLACE(REGEXREPLACE(E349,"","",),IF(Projections!$U$3="""",""PG"",),),IF(Projections!$V$3="""",""SG"",),),IF(Projections!$W$3="""",""SF"",),),IF(Projections!$X$3="""",""PF"",),),IF(Projections!$Y$3="&amp;""""",""C"",),)"),"PF")</f>
        <v>PF</v>
      </c>
    </row>
    <row r="350">
      <c r="B350">
        <f>IFERROR(__xludf.DUMMYFUNCTION("""COMPUTED_VALUE"""),338.0)</f>
        <v>338</v>
      </c>
      <c r="C350" t="str">
        <f>IFERROR(__xludf.DUMMYFUNCTION("""COMPUTED_VALUE"""),"Cam Whitmore")</f>
        <v>Cam Whitmore</v>
      </c>
      <c r="D350">
        <f>IFERROR(__xludf.DUMMYFUNCTION("""COMPUTED_VALUE"""),52.0)</f>
        <v>52</v>
      </c>
      <c r="E350" t="str">
        <f>IFERROR(__xludf.DUMMYFUNCTION("""COMPUTED_VALUE"""),"SF")</f>
        <v>SF</v>
      </c>
      <c r="F350" s="53">
        <f>IFERROR(__xludf.DUMMYFUNCTION("""COMPUTED_VALUE"""),-9.07022711995427)</f>
        <v>-9.07022712</v>
      </c>
      <c r="G350" s="53">
        <f>IFERROR(__xludf.DUMMYFUNCTION("""COMPUTED_VALUE"""),-5.840051493674863)</f>
        <v>-5.840051494</v>
      </c>
      <c r="H350" s="53">
        <f>IFERROR(__xludf.DUMMYFUNCTION("""COMPUTED_VALUE"""),3.230175626279407)</f>
        <v>3.230175626</v>
      </c>
      <c r="I350" s="53">
        <f>IFERROR(__xludf.DUMMYFUNCTION("""COMPUTED_VALUE"""),6.3)</f>
        <v>6.3</v>
      </c>
      <c r="J350" s="53">
        <f>IFERROR(__xludf.DUMMYFUNCTION("""COMPUTED_VALUE"""),1.1)</f>
        <v>1.1</v>
      </c>
      <c r="K350" s="53">
        <f>IFERROR(__xludf.DUMMYFUNCTION("""COMPUTED_VALUE"""),2.4)</f>
        <v>2.4</v>
      </c>
      <c r="L350" s="53">
        <f>IFERROR(__xludf.DUMMYFUNCTION("""COMPUTED_VALUE"""),0.5)</f>
        <v>0.5</v>
      </c>
      <c r="M350" s="53">
        <f>IFERROR(__xludf.DUMMYFUNCTION("""COMPUTED_VALUE"""),0.3)</f>
        <v>0.3</v>
      </c>
      <c r="N350" s="53">
        <f>IFERROR(__xludf.DUMMYFUNCTION("""COMPUTED_VALUE"""),0.2)</f>
        <v>0.2</v>
      </c>
      <c r="O350" s="53">
        <f>IFERROR(__xludf.DUMMYFUNCTION("""COMPUTED_VALUE"""),48.0)</f>
        <v>48</v>
      </c>
      <c r="P350" s="53">
        <f>IFERROR(__xludf.DUMMYFUNCTION("""COMPUTED_VALUE"""),62.5)</f>
        <v>62.5</v>
      </c>
      <c r="Q350" s="53">
        <f>IFERROR(__xludf.DUMMYFUNCTION("""COMPUTED_VALUE"""),0.5)</f>
        <v>0.5</v>
      </c>
      <c r="R350" s="53">
        <f>IFERROR(__xludf.DUMMYFUNCTION("""COMPUTED_VALUE"""),-1.8464873368749688)</f>
        <v>-1.846487337</v>
      </c>
      <c r="S350" s="53">
        <f>IFERROR(__xludf.DUMMYFUNCTION("""COMPUTED_VALUE"""),-0.472296145963719)</f>
        <v>-0.472296146</v>
      </c>
      <c r="T350" s="53">
        <f>IFERROR(__xludf.DUMMYFUNCTION("""COMPUTED_VALUE"""),-1.5452173007443828)</f>
        <v>-1.545217301</v>
      </c>
      <c r="U350" s="53">
        <f>IFERROR(__xludf.DUMMYFUNCTION("""COMPUTED_VALUE"""),-1.7055222795050142)</f>
        <v>-1.70552228</v>
      </c>
      <c r="V350" s="53">
        <f>IFERROR(__xludf.DUMMYFUNCTION("""COMPUTED_VALUE"""),-1.5147199775539493)</f>
        <v>-1.514719978</v>
      </c>
      <c r="W350" s="53">
        <f>IFERROR(__xludf.DUMMYFUNCTION("""COMPUTED_VALUE"""),-0.6583300762210907)</f>
        <v>-0.6583300762</v>
      </c>
      <c r="X350" s="53">
        <f>IFERROR(__xludf.DUMMYFUNCTION("""COMPUTED_VALUE"""),-0.07983143402437612)</f>
        <v>-0.07983143402</v>
      </c>
      <c r="Y350" s="53">
        <f>IFERROR(__xludf.DUMMYFUNCTION("""COMPUTED_VALUE"""),-0.32817229938449327)</f>
        <v>-0.3281722994</v>
      </c>
      <c r="Z350" s="53">
        <f>IFERROR(__xludf.DUMMYFUNCTION("""COMPUTED_VALUE"""),0.4640380197221629)</f>
        <v>0.4640380197</v>
      </c>
      <c r="AA350" t="str">
        <f>IFERROR(__xludf.DUMMYFUNCTION("REGEXREPLACE(REGEXREPLACE(REGEXREPLACE(REGEXREPLACE(REGEXREPLACE(REGEXREPLACE(E350,"","",),IF(Projections!$U$3="""",""PG"",),),IF(Projections!$V$3="""",""SG"",),),IF(Projections!$W$3="""",""SF"",),),IF(Projections!$X$3="""",""PF"",),),IF(Projections!$Y$3="&amp;""""",""C"",),)"),"SF")</f>
        <v>SF</v>
      </c>
    </row>
    <row r="351">
      <c r="B351">
        <f>IFERROR(__xludf.DUMMYFUNCTION("""COMPUTED_VALUE"""),350.0)</f>
        <v>350</v>
      </c>
      <c r="C351" t="str">
        <f>IFERROR(__xludf.DUMMYFUNCTION("""COMPUTED_VALUE"""),"Trendon Watford")</f>
        <v>Trendon Watford</v>
      </c>
      <c r="D351">
        <f>IFERROR(__xludf.DUMMYFUNCTION("""COMPUTED_VALUE"""),48.0)</f>
        <v>48</v>
      </c>
      <c r="E351" t="str">
        <f>IFERROR(__xludf.DUMMYFUNCTION("""COMPUTED_VALUE"""),"PF")</f>
        <v>PF</v>
      </c>
      <c r="F351" s="53">
        <f>IFERROR(__xludf.DUMMYFUNCTION("""COMPUTED_VALUE"""),-9.37451635914644)</f>
        <v>-9.374516359</v>
      </c>
      <c r="G351" s="53">
        <f>IFERROR(__xludf.DUMMYFUNCTION("""COMPUTED_VALUE"""),-5.883854487996464)</f>
        <v>-5.883854488</v>
      </c>
      <c r="H351" s="53">
        <f>IFERROR(__xludf.DUMMYFUNCTION("""COMPUTED_VALUE"""),3.4906618711499764)</f>
        <v>3.490661871</v>
      </c>
      <c r="I351" s="53">
        <f>IFERROR(__xludf.DUMMYFUNCTION("""COMPUTED_VALUE"""),4.7)</f>
        <v>4.7</v>
      </c>
      <c r="J351" s="53">
        <f>IFERROR(__xludf.DUMMYFUNCTION("""COMPUTED_VALUE"""),0.2)</f>
        <v>0.2</v>
      </c>
      <c r="K351" s="53">
        <f>IFERROR(__xludf.DUMMYFUNCTION("""COMPUTED_VALUE"""),2.5)</f>
        <v>2.5</v>
      </c>
      <c r="L351" s="53">
        <f>IFERROR(__xludf.DUMMYFUNCTION("""COMPUTED_VALUE"""),1.2)</f>
        <v>1.2</v>
      </c>
      <c r="M351" s="53">
        <f>IFERROR(__xludf.DUMMYFUNCTION("""COMPUTED_VALUE"""),0.3)</f>
        <v>0.3</v>
      </c>
      <c r="N351" s="53">
        <f>IFERROR(__xludf.DUMMYFUNCTION("""COMPUTED_VALUE"""),0.2)</f>
        <v>0.2</v>
      </c>
      <c r="O351" s="53">
        <f>IFERROR(__xludf.DUMMYFUNCTION("""COMPUTED_VALUE"""),54.545454545454554)</f>
        <v>54.54545455</v>
      </c>
      <c r="P351" s="53">
        <f>IFERROR(__xludf.DUMMYFUNCTION("""COMPUTED_VALUE"""),72.72727272727273)</f>
        <v>72.72727273</v>
      </c>
      <c r="Q351" s="53">
        <f>IFERROR(__xludf.DUMMYFUNCTION("""COMPUTED_VALUE"""),0.7)</f>
        <v>0.7</v>
      </c>
      <c r="R351" s="53">
        <f>IFERROR(__xludf.DUMMYFUNCTION("""COMPUTED_VALUE"""),-2.116129540008521)</f>
        <v>-2.11612954</v>
      </c>
      <c r="S351" s="53">
        <f>IFERROR(__xludf.DUMMYFUNCTION("""COMPUTED_VALUE"""),-1.252712054226904)</f>
        <v>-1.252712054</v>
      </c>
      <c r="T351" s="53">
        <f>IFERROR(__xludf.DUMMYFUNCTION("""COMPUTED_VALUE"""),-1.50340193088841)</f>
        <v>-1.503401931</v>
      </c>
      <c r="U351" s="53">
        <f>IFERROR(__xludf.DUMMYFUNCTION("""COMPUTED_VALUE"""),-1.3485050559244194)</f>
        <v>-1.348505056</v>
      </c>
      <c r="V351" s="53">
        <f>IFERROR(__xludf.DUMMYFUNCTION("""COMPUTED_VALUE"""),-1.5147199775539493)</f>
        <v>-1.514719978</v>
      </c>
      <c r="W351" s="53">
        <f>IFERROR(__xludf.DUMMYFUNCTION("""COMPUTED_VALUE"""),-0.6583300762210907)</f>
        <v>-0.6583300762</v>
      </c>
      <c r="X351" s="53">
        <f>IFERROR(__xludf.DUMMYFUNCTION("""COMPUTED_VALUE"""),0.1630660998566648)</f>
        <v>0.1630660999</v>
      </c>
      <c r="Y351" s="53">
        <f>IFERROR(__xludf.DUMMYFUNCTION("""COMPUTED_VALUE"""),-0.1711970034310567)</f>
        <v>-0.1711970034</v>
      </c>
      <c r="Z351" s="53">
        <f>IFERROR(__xludf.DUMMYFUNCTION("""COMPUTED_VALUE"""),0.4019455103927031)</f>
        <v>0.4019455104</v>
      </c>
      <c r="AA351" t="str">
        <f>IFERROR(__xludf.DUMMYFUNCTION("REGEXREPLACE(REGEXREPLACE(REGEXREPLACE(REGEXREPLACE(REGEXREPLACE(REGEXREPLACE(E351,"","",),IF(Projections!$U$3="""",""PG"",),),IF(Projections!$V$3="""",""SG"",),),IF(Projections!$W$3="""",""SF"",),),IF(Projections!$X$3="""",""PF"",),),IF(Projections!$Y$3="&amp;""""",""C"",),)"),"PF")</f>
        <v>PF</v>
      </c>
    </row>
    <row r="352">
      <c r="B352">
        <f>IFERROR(__xludf.DUMMYFUNCTION("""COMPUTED_VALUE"""),346.0)</f>
        <v>346</v>
      </c>
      <c r="C352" t="str">
        <f>IFERROR(__xludf.DUMMYFUNCTION("""COMPUTED_VALUE"""),"Aaron Wiggins")</f>
        <v>Aaron Wiggins</v>
      </c>
      <c r="D352">
        <f>IFERROR(__xludf.DUMMYFUNCTION("""COMPUTED_VALUE"""),60.0)</f>
        <v>60</v>
      </c>
      <c r="E352" t="str">
        <f>IFERROR(__xludf.DUMMYFUNCTION("""COMPUTED_VALUE"""),"SG,SF")</f>
        <v>SG,SF</v>
      </c>
      <c r="F352" s="53">
        <f>IFERROR(__xludf.DUMMYFUNCTION("""COMPUTED_VALUE"""),-9.299066803883935)</f>
        <v>-9.299066804</v>
      </c>
      <c r="G352" s="53">
        <f>IFERROR(__xludf.DUMMYFUNCTION("""COMPUTED_VALUE"""),-5.938025869828643)</f>
        <v>-5.93802587</v>
      </c>
      <c r="H352" s="53">
        <f>IFERROR(__xludf.DUMMYFUNCTION("""COMPUTED_VALUE"""),3.361040934055292)</f>
        <v>3.361040934</v>
      </c>
      <c r="I352" s="53">
        <f>IFERROR(__xludf.DUMMYFUNCTION("""COMPUTED_VALUE"""),5.1)</f>
        <v>5.1</v>
      </c>
      <c r="J352" s="53">
        <f>IFERROR(__xludf.DUMMYFUNCTION("""COMPUTED_VALUE"""),0.5)</f>
        <v>0.5</v>
      </c>
      <c r="K352" s="53">
        <f>IFERROR(__xludf.DUMMYFUNCTION("""COMPUTED_VALUE"""),2.2)</f>
        <v>2.2</v>
      </c>
      <c r="L352" s="53">
        <f>IFERROR(__xludf.DUMMYFUNCTION("""COMPUTED_VALUE"""),0.8)</f>
        <v>0.8</v>
      </c>
      <c r="M352" s="53">
        <f>IFERROR(__xludf.DUMMYFUNCTION("""COMPUTED_VALUE"""),0.4)</f>
        <v>0.4</v>
      </c>
      <c r="N352" s="53">
        <f>IFERROR(__xludf.DUMMYFUNCTION("""COMPUTED_VALUE"""),0.1)</f>
        <v>0.1</v>
      </c>
      <c r="O352" s="53">
        <f>IFERROR(__xludf.DUMMYFUNCTION("""COMPUTED_VALUE"""),47.5)</f>
        <v>47.5</v>
      </c>
      <c r="P352" s="53">
        <f>IFERROR(__xludf.DUMMYFUNCTION("""COMPUTED_VALUE"""),77.77777777777777)</f>
        <v>77.77777778</v>
      </c>
      <c r="Q352" s="53">
        <f>IFERROR(__xludf.DUMMYFUNCTION("""COMPUTED_VALUE"""),0.6)</f>
        <v>0.6</v>
      </c>
      <c r="R352" s="53">
        <f>IFERROR(__xludf.DUMMYFUNCTION("""COMPUTED_VALUE"""),-2.048718989225133)</f>
        <v>-2.048718989</v>
      </c>
      <c r="S352" s="53">
        <f>IFERROR(__xludf.DUMMYFUNCTION("""COMPUTED_VALUE"""),-0.9925734181391757)</f>
        <v>-0.9925734181</v>
      </c>
      <c r="T352" s="53">
        <f>IFERROR(__xludf.DUMMYFUNCTION("""COMPUTED_VALUE"""),-1.6288480404563284)</f>
        <v>-1.62884804</v>
      </c>
      <c r="U352" s="53">
        <f>IFERROR(__xludf.DUMMYFUNCTION("""COMPUTED_VALUE"""),-1.5525148979704735)</f>
        <v>-1.552514898</v>
      </c>
      <c r="V352" s="53">
        <f>IFERROR(__xludf.DUMMYFUNCTION("""COMPUTED_VALUE"""),-1.2966700767544366)</f>
        <v>-1.296670077</v>
      </c>
      <c r="W352" s="53">
        <f>IFERROR(__xludf.DUMMYFUNCTION("""COMPUTED_VALUE"""),-0.7896459158928509)</f>
        <v>-0.7896459159</v>
      </c>
      <c r="X352" s="53">
        <f>IFERROR(__xludf.DUMMYFUNCTION("""COMPUTED_VALUE"""),-0.08384244780401508)</f>
        <v>-0.0838424478</v>
      </c>
      <c r="Y352" s="53">
        <f>IFERROR(__xludf.DUMMYFUNCTION("""COMPUTED_VALUE"""),-0.026922837868795582)</f>
        <v>-0.02692283787</v>
      </c>
      <c r="Z352" s="53">
        <f>IFERROR(__xludf.DUMMYFUNCTION("""COMPUTED_VALUE"""),0.43299176505743303)</f>
        <v>0.4329917651</v>
      </c>
      <c r="AA352" t="str">
        <f>IFERROR(__xludf.DUMMYFUNCTION("REGEXREPLACE(REGEXREPLACE(REGEXREPLACE(REGEXREPLACE(REGEXREPLACE(REGEXREPLACE(E352,"","",),IF(Projections!$U$3="""",""PG"",),),IF(Projections!$V$3="""",""SG"",),),IF(Projections!$W$3="""",""SF"",),),IF(Projections!$X$3="""",""PF"",),),IF(Projections!$Y$3="&amp;""""",""C"",),)"),"SGSF")</f>
        <v>SGSF</v>
      </c>
    </row>
    <row r="353">
      <c r="B353">
        <f>IFERROR(__xludf.DUMMYFUNCTION("""COMPUTED_VALUE"""),355.0)</f>
        <v>355</v>
      </c>
      <c r="C353" t="str">
        <f>IFERROR(__xludf.DUMMYFUNCTION("""COMPUTED_VALUE"""),"Ty Jerome")</f>
        <v>Ty Jerome</v>
      </c>
      <c r="D353">
        <f>IFERROR(__xludf.DUMMYFUNCTION("""COMPUTED_VALUE"""),40.0)</f>
        <v>40</v>
      </c>
      <c r="E353" t="str">
        <f>IFERROR(__xludf.DUMMYFUNCTION("""COMPUTED_VALUE"""),"PG,SG")</f>
        <v>PG,SG</v>
      </c>
      <c r="F353" s="53">
        <f>IFERROR(__xludf.DUMMYFUNCTION("""COMPUTED_VALUE"""),-9.52127589101392)</f>
        <v>-9.521275891</v>
      </c>
      <c r="G353" s="53">
        <f>IFERROR(__xludf.DUMMYFUNCTION("""COMPUTED_VALUE"""),-5.942069227589471)</f>
        <v>-5.942069228</v>
      </c>
      <c r="H353" s="53">
        <f>IFERROR(__xludf.DUMMYFUNCTION("""COMPUTED_VALUE"""),3.579206663424449)</f>
        <v>3.579206663</v>
      </c>
      <c r="I353" s="53">
        <f>IFERROR(__xludf.DUMMYFUNCTION("""COMPUTED_VALUE"""),4.3)</f>
        <v>4.3</v>
      </c>
      <c r="J353" s="53">
        <f>IFERROR(__xludf.DUMMYFUNCTION("""COMPUTED_VALUE"""),0.6)</f>
        <v>0.6</v>
      </c>
      <c r="K353" s="53">
        <f>IFERROR(__xludf.DUMMYFUNCTION("""COMPUTED_VALUE"""),1.0)</f>
        <v>1</v>
      </c>
      <c r="L353" s="53">
        <f>IFERROR(__xludf.DUMMYFUNCTION("""COMPUTED_VALUE"""),1.6)</f>
        <v>1.6</v>
      </c>
      <c r="M353" s="53">
        <f>IFERROR(__xludf.DUMMYFUNCTION("""COMPUTED_VALUE"""),0.4)</f>
        <v>0.4</v>
      </c>
      <c r="N353" s="53">
        <f>IFERROR(__xludf.DUMMYFUNCTION("""COMPUTED_VALUE"""),0.1)</f>
        <v>0.1</v>
      </c>
      <c r="O353" s="53">
        <f>IFERROR(__xludf.DUMMYFUNCTION("""COMPUTED_VALUE"""),43.24324324324324)</f>
        <v>43.24324324</v>
      </c>
      <c r="P353" s="53">
        <f>IFERROR(__xludf.DUMMYFUNCTION("""COMPUTED_VALUE"""),83.33333333333334)</f>
        <v>83.33333333</v>
      </c>
      <c r="Q353" s="53">
        <f>IFERROR(__xludf.DUMMYFUNCTION("""COMPUTED_VALUE"""),0.4)</f>
        <v>0.4</v>
      </c>
      <c r="R353" s="53">
        <f>IFERROR(__xludf.DUMMYFUNCTION("""COMPUTED_VALUE"""),-2.1835400907919085)</f>
        <v>-2.183540091</v>
      </c>
      <c r="S353" s="53">
        <f>IFERROR(__xludf.DUMMYFUNCTION("""COMPUTED_VALUE"""),-0.9058605394432663)</f>
        <v>-0.9058605394</v>
      </c>
      <c r="T353" s="53">
        <f>IFERROR(__xludf.DUMMYFUNCTION("""COMPUTED_VALUE"""),-2.1306324787280024)</f>
        <v>-2.130632479</v>
      </c>
      <c r="U353" s="53">
        <f>IFERROR(__xludf.DUMMYFUNCTION("""COMPUTED_VALUE"""),-1.144495213878365)</f>
        <v>-1.144495214</v>
      </c>
      <c r="V353" s="53">
        <f>IFERROR(__xludf.DUMMYFUNCTION("""COMPUTED_VALUE"""),-1.2966700767544366)</f>
        <v>-1.296670077</v>
      </c>
      <c r="W353" s="53">
        <f>IFERROR(__xludf.DUMMYFUNCTION("""COMPUTED_VALUE"""),-0.7896459158928509)</f>
        <v>-0.7896459159</v>
      </c>
      <c r="X353" s="53">
        <f>IFERROR(__xludf.DUMMYFUNCTION("""COMPUTED_VALUE"""),-0.23487550632176263)</f>
        <v>-0.2348755063</v>
      </c>
      <c r="Y353" s="53">
        <f>IFERROR(__xludf.DUMMYFUNCTION("""COMPUTED_VALUE"""),0.0650262290423206)</f>
        <v>0.06502622904</v>
      </c>
      <c r="Z353" s="53">
        <f>IFERROR(__xludf.DUMMYFUNCTION("""COMPUTED_VALUE"""),0.4950842743868928)</f>
        <v>0.4950842744</v>
      </c>
      <c r="AA353" t="str">
        <f>IFERROR(__xludf.DUMMYFUNCTION("REGEXREPLACE(REGEXREPLACE(REGEXREPLACE(REGEXREPLACE(REGEXREPLACE(REGEXREPLACE(E353,"","",),IF(Projections!$U$3="""",""PG"",),),IF(Projections!$V$3="""",""SG"",),),IF(Projections!$W$3="""",""SF"",),),IF(Projections!$X$3="""",""PF"",),),IF(Projections!$Y$3="&amp;""""",""C"",),)"),"PGSG")</f>
        <v>PGSG</v>
      </c>
    </row>
    <row r="354">
      <c r="B354">
        <f>IFERROR(__xludf.DUMMYFUNCTION("""COMPUTED_VALUE"""),344.0)</f>
        <v>344</v>
      </c>
      <c r="C354" t="str">
        <f>IFERROR(__xludf.DUMMYFUNCTION("""COMPUTED_VALUE"""),"Moses Moody")</f>
        <v>Moses Moody</v>
      </c>
      <c r="D354">
        <f>IFERROR(__xludf.DUMMYFUNCTION("""COMPUTED_VALUE"""),68.0)</f>
        <v>68</v>
      </c>
      <c r="E354" t="str">
        <f>IFERROR(__xludf.DUMMYFUNCTION("""COMPUTED_VALUE"""),"SG,SF")</f>
        <v>SG,SF</v>
      </c>
      <c r="F354" s="53">
        <f>IFERROR(__xludf.DUMMYFUNCTION("""COMPUTED_VALUE"""),-9.240482928864632)</f>
        <v>-9.240482929</v>
      </c>
      <c r="G354" s="53">
        <f>IFERROR(__xludf.DUMMYFUNCTION("""COMPUTED_VALUE"""),-5.945585961619607)</f>
        <v>-5.945585962</v>
      </c>
      <c r="H354" s="53">
        <f>IFERROR(__xludf.DUMMYFUNCTION("""COMPUTED_VALUE"""),3.294896967245024)</f>
        <v>3.294896967</v>
      </c>
      <c r="I354" s="53">
        <f>IFERROR(__xludf.DUMMYFUNCTION("""COMPUTED_VALUE"""),6.0)</f>
        <v>6</v>
      </c>
      <c r="J354" s="53">
        <f>IFERROR(__xludf.DUMMYFUNCTION("""COMPUTED_VALUE"""),1.0)</f>
        <v>1</v>
      </c>
      <c r="K354" s="53">
        <f>IFERROR(__xludf.DUMMYFUNCTION("""COMPUTED_VALUE"""),2.1)</f>
        <v>2.1</v>
      </c>
      <c r="L354" s="53">
        <f>IFERROR(__xludf.DUMMYFUNCTION("""COMPUTED_VALUE"""),0.8)</f>
        <v>0.8</v>
      </c>
      <c r="M354" s="53">
        <f>IFERROR(__xludf.DUMMYFUNCTION("""COMPUTED_VALUE"""),0.3)</f>
        <v>0.3</v>
      </c>
      <c r="N354" s="53">
        <f>IFERROR(__xludf.DUMMYFUNCTION("""COMPUTED_VALUE"""),0.2)</f>
        <v>0.2</v>
      </c>
      <c r="O354" s="53">
        <f>IFERROR(__xludf.DUMMYFUNCTION("""COMPUTED_VALUE"""),44.680851063829785)</f>
        <v>44.68085106</v>
      </c>
      <c r="P354" s="53">
        <f>IFERROR(__xludf.DUMMYFUNCTION("""COMPUTED_VALUE"""),70.0)</f>
        <v>70</v>
      </c>
      <c r="Q354" s="53">
        <f>IFERROR(__xludf.DUMMYFUNCTION("""COMPUTED_VALUE"""),0.5)</f>
        <v>0.5</v>
      </c>
      <c r="R354" s="53">
        <f>IFERROR(__xludf.DUMMYFUNCTION("""COMPUTED_VALUE"""),-1.89704524996251)</f>
        <v>-1.89704525</v>
      </c>
      <c r="S354" s="53">
        <f>IFERROR(__xludf.DUMMYFUNCTION("""COMPUTED_VALUE"""),-0.5590090246596284)</f>
        <v>-0.5590090247</v>
      </c>
      <c r="T354" s="53">
        <f>IFERROR(__xludf.DUMMYFUNCTION("""COMPUTED_VALUE"""),-1.6706634103123013)</f>
        <v>-1.67066341</v>
      </c>
      <c r="U354" s="53">
        <f>IFERROR(__xludf.DUMMYFUNCTION("""COMPUTED_VALUE"""),-1.5525148979704735)</f>
        <v>-1.552514898</v>
      </c>
      <c r="V354" s="53">
        <f>IFERROR(__xludf.DUMMYFUNCTION("""COMPUTED_VALUE"""),-1.5147199775539493)</f>
        <v>-1.514719978</v>
      </c>
      <c r="W354" s="53">
        <f>IFERROR(__xludf.DUMMYFUNCTION("""COMPUTED_VALUE"""),-0.6583300762210907)</f>
        <v>-0.6583300762</v>
      </c>
      <c r="X354" s="53">
        <f>IFERROR(__xludf.DUMMYFUNCTION("""COMPUTED_VALUE"""),-0.23086449254212388)</f>
        <v>-0.2308644925</v>
      </c>
      <c r="Y354" s="53">
        <f>IFERROR(__xludf.DUMMYFUNCTION("""COMPUTED_VALUE"""),-0.22352210208220238)</f>
        <v>-0.2235221021</v>
      </c>
      <c r="Z354" s="53">
        <f>IFERROR(__xludf.DUMMYFUNCTION("""COMPUTED_VALUE"""),0.4640380197221629)</f>
        <v>0.4640380197</v>
      </c>
      <c r="AA354" t="str">
        <f>IFERROR(__xludf.DUMMYFUNCTION("REGEXREPLACE(REGEXREPLACE(REGEXREPLACE(REGEXREPLACE(REGEXREPLACE(REGEXREPLACE(E354,"","",),IF(Projections!$U$3="""",""PG"",),),IF(Projections!$V$3="""",""SG"",),),IF(Projections!$W$3="""",""SF"",),),IF(Projections!$X$3="""",""PF"",),),IF(Projections!$Y$3="&amp;""""",""C"",),)"),"SGSF")</f>
        <v>SGSF</v>
      </c>
    </row>
    <row r="355">
      <c r="B355">
        <f>IFERROR(__xludf.DUMMYFUNCTION("""COMPUTED_VALUE"""),352.0)</f>
        <v>352</v>
      </c>
      <c r="C355" t="str">
        <f>IFERROR(__xludf.DUMMYFUNCTION("""COMPUTED_VALUE"""),"Devonte' Graham")</f>
        <v>Devonte' Graham</v>
      </c>
      <c r="D355">
        <f>IFERROR(__xludf.DUMMYFUNCTION("""COMPUTED_VALUE"""),20.0)</f>
        <v>20</v>
      </c>
      <c r="E355" t="str">
        <f>IFERROR(__xludf.DUMMYFUNCTION("""COMPUTED_VALUE"""),"PG,SG")</f>
        <v>PG,SG</v>
      </c>
      <c r="F355" s="53">
        <f>IFERROR(__xludf.DUMMYFUNCTION("""COMPUTED_VALUE"""),-9.468217565646272)</f>
        <v>-9.468217566</v>
      </c>
      <c r="G355" s="53">
        <f>IFERROR(__xludf.DUMMYFUNCTION("""COMPUTED_VALUE"""),-5.950762738406541)</f>
        <v>-5.950762738</v>
      </c>
      <c r="H355" s="53">
        <f>IFERROR(__xludf.DUMMYFUNCTION("""COMPUTED_VALUE"""),3.517454827239731)</f>
        <v>3.517454827</v>
      </c>
      <c r="I355" s="53">
        <f>IFERROR(__xludf.DUMMYFUNCTION("""COMPUTED_VALUE"""),4.7)</f>
        <v>4.7</v>
      </c>
      <c r="J355" s="53">
        <f>IFERROR(__xludf.DUMMYFUNCTION("""COMPUTED_VALUE"""),1.0)</f>
        <v>1</v>
      </c>
      <c r="K355" s="53">
        <f>IFERROR(__xludf.DUMMYFUNCTION("""COMPUTED_VALUE"""),1.0)</f>
        <v>1</v>
      </c>
      <c r="L355" s="53">
        <f>IFERROR(__xludf.DUMMYFUNCTION("""COMPUTED_VALUE"""),1.7)</f>
        <v>1.7</v>
      </c>
      <c r="M355" s="53">
        <f>IFERROR(__xludf.DUMMYFUNCTION("""COMPUTED_VALUE"""),0.4)</f>
        <v>0.4</v>
      </c>
      <c r="N355" s="53">
        <f>IFERROR(__xludf.DUMMYFUNCTION("""COMPUTED_VALUE"""),0.1)</f>
        <v>0.1</v>
      </c>
      <c r="O355" s="53">
        <f>IFERROR(__xludf.DUMMYFUNCTION("""COMPUTED_VALUE"""),36.585365853658544)</f>
        <v>36.58536585</v>
      </c>
      <c r="P355" s="53">
        <f>IFERROR(__xludf.DUMMYFUNCTION("""COMPUTED_VALUE"""),77.77777777777777)</f>
        <v>77.77777778</v>
      </c>
      <c r="Q355" s="53">
        <f>IFERROR(__xludf.DUMMYFUNCTION("""COMPUTED_VALUE"""),0.5)</f>
        <v>0.5</v>
      </c>
      <c r="R355" s="53">
        <f>IFERROR(__xludf.DUMMYFUNCTION("""COMPUTED_VALUE"""),-2.116129540008521)</f>
        <v>-2.11612954</v>
      </c>
      <c r="S355" s="53">
        <f>IFERROR(__xludf.DUMMYFUNCTION("""COMPUTED_VALUE"""),-0.5590090246596284)</f>
        <v>-0.5590090247</v>
      </c>
      <c r="T355" s="53">
        <f>IFERROR(__xludf.DUMMYFUNCTION("""COMPUTED_VALUE"""),-2.1306324787280024)</f>
        <v>-2.130632479</v>
      </c>
      <c r="U355" s="53">
        <f>IFERROR(__xludf.DUMMYFUNCTION("""COMPUTED_VALUE"""),-1.0934927533668515)</f>
        <v>-1.093492753</v>
      </c>
      <c r="V355" s="53">
        <f>IFERROR(__xludf.DUMMYFUNCTION("""COMPUTED_VALUE"""),-1.2966700767544366)</f>
        <v>-1.296670077</v>
      </c>
      <c r="W355" s="53">
        <f>IFERROR(__xludf.DUMMYFUNCTION("""COMPUTED_VALUE"""),-0.7896459158928509)</f>
        <v>-0.7896459159</v>
      </c>
      <c r="X355" s="53">
        <f>IFERROR(__xludf.DUMMYFUNCTION("""COMPUTED_VALUE"""),-0.532930609577619)</f>
        <v>-0.5329306096</v>
      </c>
      <c r="Y355" s="53">
        <f>IFERROR(__xludf.DUMMYFUNCTION("""COMPUTED_VALUE"""),-0.026922837868795582)</f>
        <v>-0.02692283787</v>
      </c>
      <c r="Z355" s="53">
        <f>IFERROR(__xludf.DUMMYFUNCTION("""COMPUTED_VALUE"""),0.4640380197221629)</f>
        <v>0.4640380197</v>
      </c>
      <c r="AA355" t="str">
        <f>IFERROR(__xludf.DUMMYFUNCTION("REGEXREPLACE(REGEXREPLACE(REGEXREPLACE(REGEXREPLACE(REGEXREPLACE(REGEXREPLACE(E355,"","",),IF(Projections!$U$3="""",""PG"",),),IF(Projections!$V$3="""",""SG"",),),IF(Projections!$W$3="""",""SF"",),),IF(Projections!$X$3="""",""PF"",),),IF(Projections!$Y$3="&amp;""""",""C"",),)"),"PGSG")</f>
        <v>PGSG</v>
      </c>
    </row>
    <row r="356">
      <c r="B356">
        <f>IFERROR(__xludf.DUMMYFUNCTION("""COMPUTED_VALUE"""),349.0)</f>
        <v>349</v>
      </c>
      <c r="C356" t="str">
        <f>IFERROR(__xludf.DUMMYFUNCTION("""COMPUTED_VALUE"""),"Doug McDermott")</f>
        <v>Doug McDermott</v>
      </c>
      <c r="D356">
        <f>IFERROR(__xludf.DUMMYFUNCTION("""COMPUTED_VALUE"""),40.0)</f>
        <v>40</v>
      </c>
      <c r="E356" t="str">
        <f>IFERROR(__xludf.DUMMYFUNCTION("""COMPUTED_VALUE"""),"SF,PF")</f>
        <v>SF,PF</v>
      </c>
      <c r="F356" s="53">
        <f>IFERROR(__xludf.DUMMYFUNCTION("""COMPUTED_VALUE"""),-9.350288230510191)</f>
        <v>-9.350288231</v>
      </c>
      <c r="G356" s="53">
        <f>IFERROR(__xludf.DUMMYFUNCTION("""COMPUTED_VALUE"""),-5.959899604461505)</f>
        <v>-5.959899604</v>
      </c>
      <c r="H356" s="53">
        <f>IFERROR(__xludf.DUMMYFUNCTION("""COMPUTED_VALUE"""),3.3903886260486864)</f>
        <v>3.390388626</v>
      </c>
      <c r="I356" s="53">
        <f>IFERROR(__xludf.DUMMYFUNCTION("""COMPUTED_VALUE"""),7.1)</f>
        <v>7.1</v>
      </c>
      <c r="J356" s="53">
        <f>IFERROR(__xludf.DUMMYFUNCTION("""COMPUTED_VALUE"""),1.3)</f>
        <v>1.3</v>
      </c>
      <c r="K356" s="53">
        <f>IFERROR(__xludf.DUMMYFUNCTION("""COMPUTED_VALUE"""),1.5)</f>
        <v>1.5</v>
      </c>
      <c r="L356" s="53">
        <f>IFERROR(__xludf.DUMMYFUNCTION("""COMPUTED_VALUE"""),0.9)</f>
        <v>0.9</v>
      </c>
      <c r="M356" s="53">
        <f>IFERROR(__xludf.DUMMYFUNCTION("""COMPUTED_VALUE"""),0.2)</f>
        <v>0.2</v>
      </c>
      <c r="N356" s="53">
        <f>IFERROR(__xludf.DUMMYFUNCTION("""COMPUTED_VALUE"""),0.1)</f>
        <v>0.1</v>
      </c>
      <c r="O356" s="53">
        <f>IFERROR(__xludf.DUMMYFUNCTION("""COMPUTED_VALUE"""),45.614035087719294)</f>
        <v>45.61403509</v>
      </c>
      <c r="P356" s="53">
        <f>IFERROR(__xludf.DUMMYFUNCTION("""COMPUTED_VALUE"""),71.42857142857143)</f>
        <v>71.42857143</v>
      </c>
      <c r="Q356" s="53">
        <f>IFERROR(__xludf.DUMMYFUNCTION("""COMPUTED_VALUE"""),0.6)</f>
        <v>0.6</v>
      </c>
      <c r="R356" s="53">
        <f>IFERROR(__xludf.DUMMYFUNCTION("""COMPUTED_VALUE"""),-1.711666235308193)</f>
        <v>-1.711666235</v>
      </c>
      <c r="S356" s="53">
        <f>IFERROR(__xludf.DUMMYFUNCTION("""COMPUTED_VALUE"""),-0.2988703885719002)</f>
        <v>-0.2988703886</v>
      </c>
      <c r="T356" s="53">
        <f>IFERROR(__xludf.DUMMYFUNCTION("""COMPUTED_VALUE"""),-1.9215556294481384)</f>
        <v>-1.921555629</v>
      </c>
      <c r="U356" s="53">
        <f>IFERROR(__xludf.DUMMYFUNCTION("""COMPUTED_VALUE"""),-1.5015124374589601)</f>
        <v>-1.501512437</v>
      </c>
      <c r="V356" s="53">
        <f>IFERROR(__xludf.DUMMYFUNCTION("""COMPUTED_VALUE"""),-1.732769878353462)</f>
        <v>-1.732769878</v>
      </c>
      <c r="W356" s="53">
        <f>IFERROR(__xludf.DUMMYFUNCTION("""COMPUTED_VALUE"""),-0.7896459158928509)</f>
        <v>-0.7896459159</v>
      </c>
      <c r="X356" s="53">
        <f>IFERROR(__xludf.DUMMYFUNCTION("""COMPUTED_VALUE"""),-0.22685347876248496)</f>
        <v>-0.2268534788</v>
      </c>
      <c r="Y356" s="53">
        <f>IFERROR(__xludf.DUMMYFUNCTION("""COMPUTED_VALUE"""),-0.13157303517108632)</f>
        <v>-0.1315730352</v>
      </c>
      <c r="Z356" s="53">
        <f>IFERROR(__xludf.DUMMYFUNCTION("""COMPUTED_VALUE"""),0.43299176505743303)</f>
        <v>0.4329917651</v>
      </c>
      <c r="AA356" t="str">
        <f>IFERROR(__xludf.DUMMYFUNCTION("REGEXREPLACE(REGEXREPLACE(REGEXREPLACE(REGEXREPLACE(REGEXREPLACE(REGEXREPLACE(E356,"","",),IF(Projections!$U$3="""",""PG"",),),IF(Projections!$V$3="""",""SG"",),),IF(Projections!$W$3="""",""SF"",),),IF(Projections!$X$3="""",""PF"",),),IF(Projections!$Y$3="&amp;""""",""C"",),)"),"SFPF")</f>
        <v>SFPF</v>
      </c>
    </row>
    <row r="357">
      <c r="B357">
        <f>IFERROR(__xludf.DUMMYFUNCTION("""COMPUTED_VALUE"""),359.0)</f>
        <v>359</v>
      </c>
      <c r="C357" t="str">
        <f>IFERROR(__xludf.DUMMYFUNCTION("""COMPUTED_VALUE"""),"Thaddeus Young")</f>
        <v>Thaddeus Young</v>
      </c>
      <c r="D357">
        <f>IFERROR(__xludf.DUMMYFUNCTION("""COMPUTED_VALUE"""),20.0)</f>
        <v>20</v>
      </c>
      <c r="E357" t="str">
        <f>IFERROR(__xludf.DUMMYFUNCTION("""COMPUTED_VALUE"""),"PF,C")</f>
        <v>PF,C</v>
      </c>
      <c r="F357" s="53">
        <f>IFERROR(__xludf.DUMMYFUNCTION("""COMPUTED_VALUE"""),-9.623488476218844)</f>
        <v>-9.623488476</v>
      </c>
      <c r="G357" s="53">
        <f>IFERROR(__xludf.DUMMYFUNCTION("""COMPUTED_VALUE"""),-5.960445086862938)</f>
        <v>-5.960445087</v>
      </c>
      <c r="H357" s="53">
        <f>IFERROR(__xludf.DUMMYFUNCTION("""COMPUTED_VALUE"""),3.663043389355906)</f>
        <v>3.663043389</v>
      </c>
      <c r="I357" s="53">
        <f>IFERROR(__xludf.DUMMYFUNCTION("""COMPUTED_VALUE"""),2.9)</f>
        <v>2.9</v>
      </c>
      <c r="J357" s="53">
        <f>IFERROR(__xludf.DUMMYFUNCTION("""COMPUTED_VALUE"""),0.1)</f>
        <v>0.1</v>
      </c>
      <c r="K357" s="53">
        <f>IFERROR(__xludf.DUMMYFUNCTION("""COMPUTED_VALUE"""),1.9)</f>
        <v>1.9</v>
      </c>
      <c r="L357" s="53">
        <f>IFERROR(__xludf.DUMMYFUNCTION("""COMPUTED_VALUE"""),0.9)</f>
        <v>0.9</v>
      </c>
      <c r="M357" s="53">
        <f>IFERROR(__xludf.DUMMYFUNCTION("""COMPUTED_VALUE"""),0.6)</f>
        <v>0.6</v>
      </c>
      <c r="N357" s="53">
        <f>IFERROR(__xludf.DUMMYFUNCTION("""COMPUTED_VALUE"""),0.1)</f>
        <v>0.1</v>
      </c>
      <c r="O357" s="53">
        <f>IFERROR(__xludf.DUMMYFUNCTION("""COMPUTED_VALUE"""),54.16666666666667)</f>
        <v>54.16666667</v>
      </c>
      <c r="P357" s="53">
        <f>IFERROR(__xludf.DUMMYFUNCTION("""COMPUTED_VALUE"""),50.0)</f>
        <v>50</v>
      </c>
      <c r="Q357" s="53">
        <f>IFERROR(__xludf.DUMMYFUNCTION("""COMPUTED_VALUE"""),0.5)</f>
        <v>0.5</v>
      </c>
      <c r="R357" s="53">
        <f>IFERROR(__xludf.DUMMYFUNCTION("""COMPUTED_VALUE"""),-2.4194770185337666)</f>
        <v>-2.419477019</v>
      </c>
      <c r="S357" s="53">
        <f>IFERROR(__xludf.DUMMYFUNCTION("""COMPUTED_VALUE"""),-1.3394249329228134)</f>
        <v>-1.339424933</v>
      </c>
      <c r="T357" s="53">
        <f>IFERROR(__xludf.DUMMYFUNCTION("""COMPUTED_VALUE"""),-1.7542941500242468)</f>
        <v>-1.75429415</v>
      </c>
      <c r="U357" s="53">
        <f>IFERROR(__xludf.DUMMYFUNCTION("""COMPUTED_VALUE"""),-1.5015124374589601)</f>
        <v>-1.501512437</v>
      </c>
      <c r="V357" s="53">
        <f>IFERROR(__xludf.DUMMYFUNCTION("""COMPUTED_VALUE"""),-0.860570275155411)</f>
        <v>-0.8605702752</v>
      </c>
      <c r="W357" s="53">
        <f>IFERROR(__xludf.DUMMYFUNCTION("""COMPUTED_VALUE"""),-0.7896459158928509)</f>
        <v>-0.7896459159</v>
      </c>
      <c r="X357" s="53">
        <f>IFERROR(__xludf.DUMMYFUNCTION("""COMPUTED_VALUE"""),0.1095129359937043)</f>
        <v>0.109512936</v>
      </c>
      <c r="Y357" s="53">
        <f>IFERROR(__xludf.DUMMYFUNCTION("""COMPUTED_VALUE"""),-0.2885483311245229)</f>
        <v>-0.2885483311</v>
      </c>
      <c r="Z357" s="53">
        <f>IFERROR(__xludf.DUMMYFUNCTION("""COMPUTED_VALUE"""),0.4640380197221629)</f>
        <v>0.4640380197</v>
      </c>
      <c r="AA357" t="str">
        <f>IFERROR(__xludf.DUMMYFUNCTION("REGEXREPLACE(REGEXREPLACE(REGEXREPLACE(REGEXREPLACE(REGEXREPLACE(REGEXREPLACE(E357,"","",),IF(Projections!$U$3="""",""PG"",),),IF(Projections!$V$3="""",""SG"",),),IF(Projections!$W$3="""",""SF"",),),IF(Projections!$X$3="""",""PF"",),),IF(Projections!$Y$3="&amp;""""",""C"",),)"),"PFC")</f>
        <v>PFC</v>
      </c>
    </row>
    <row r="358">
      <c r="B358">
        <f>IFERROR(__xludf.DUMMYFUNCTION("""COMPUTED_VALUE"""),373.0)</f>
        <v>373</v>
      </c>
      <c r="C358" t="str">
        <f>IFERROR(__xludf.DUMMYFUNCTION("""COMPUTED_VALUE"""),"Jericho Sims")</f>
        <v>Jericho Sims</v>
      </c>
      <c r="D358">
        <f>IFERROR(__xludf.DUMMYFUNCTION("""COMPUTED_VALUE"""),31.0)</f>
        <v>31</v>
      </c>
      <c r="E358" t="str">
        <f>IFERROR(__xludf.DUMMYFUNCTION("""COMPUTED_VALUE"""),"PF,C")</f>
        <v>PF,C</v>
      </c>
      <c r="F358" s="53">
        <f>IFERROR(__xludf.DUMMYFUNCTION("""COMPUTED_VALUE"""),-9.953543883789958)</f>
        <v>-9.953543884</v>
      </c>
      <c r="G358" s="53">
        <f>IFERROR(__xludf.DUMMYFUNCTION("""COMPUTED_VALUE"""),-5.960472147357985)</f>
        <v>-5.960472147</v>
      </c>
      <c r="H358" s="53">
        <f>IFERROR(__xludf.DUMMYFUNCTION("""COMPUTED_VALUE"""),3.9930717364319737)</f>
        <v>3.993071736</v>
      </c>
      <c r="I358" s="53">
        <f>IFERROR(__xludf.DUMMYFUNCTION("""COMPUTED_VALUE"""),2.1)</f>
        <v>2.1</v>
      </c>
      <c r="J358" s="53">
        <f>IFERROR(__xludf.DUMMYFUNCTION("""COMPUTED_VALUE"""),0.0)</f>
        <v>0</v>
      </c>
      <c r="K358" s="53">
        <f>IFERROR(__xludf.DUMMYFUNCTION("""COMPUTED_VALUE"""),3.2)</f>
        <v>3.2</v>
      </c>
      <c r="L358" s="53">
        <f>IFERROR(__xludf.DUMMYFUNCTION("""COMPUTED_VALUE"""),0.4)</f>
        <v>0.4</v>
      </c>
      <c r="M358" s="53">
        <f>IFERROR(__xludf.DUMMYFUNCTION("""COMPUTED_VALUE"""),0.2)</f>
        <v>0.2</v>
      </c>
      <c r="N358" s="53">
        <f>IFERROR(__xludf.DUMMYFUNCTION("""COMPUTED_VALUE"""),0.4)</f>
        <v>0.4</v>
      </c>
      <c r="O358" s="53">
        <f>IFERROR(__xludf.DUMMYFUNCTION("""COMPUTED_VALUE"""),76.92307692307692)</f>
        <v>76.92307692</v>
      </c>
      <c r="P358" s="53">
        <f>IFERROR(__xludf.DUMMYFUNCTION("""COMPUTED_VALUE"""),50.0)</f>
        <v>50</v>
      </c>
      <c r="Q358" s="53">
        <f>IFERROR(__xludf.DUMMYFUNCTION("""COMPUTED_VALUE"""),0.4)</f>
        <v>0.4</v>
      </c>
      <c r="R358" s="53">
        <f>IFERROR(__xludf.DUMMYFUNCTION("""COMPUTED_VALUE"""),-2.5542981201005426)</f>
        <v>-2.55429812</v>
      </c>
      <c r="S358" s="53">
        <f>IFERROR(__xludf.DUMMYFUNCTION("""COMPUTED_VALUE"""),-1.4261378116187227)</f>
        <v>-1.426137812</v>
      </c>
      <c r="T358" s="53">
        <f>IFERROR(__xludf.DUMMYFUNCTION("""COMPUTED_VALUE"""),-1.2106943418965999)</f>
        <v>-1.210694342</v>
      </c>
      <c r="U358" s="53">
        <f>IFERROR(__xludf.DUMMYFUNCTION("""COMPUTED_VALUE"""),-1.7565247400165278)</f>
        <v>-1.75652474</v>
      </c>
      <c r="V358" s="53">
        <f>IFERROR(__xludf.DUMMYFUNCTION("""COMPUTED_VALUE"""),-1.732769878353462)</f>
        <v>-1.732769878</v>
      </c>
      <c r="W358" s="53">
        <f>IFERROR(__xludf.DUMMYFUNCTION("""COMPUTED_VALUE"""),-0.39569839687757064)</f>
        <v>-0.3956983969</v>
      </c>
      <c r="X358" s="53">
        <f>IFERROR(__xludf.DUMMYFUNCTION("""COMPUTED_VALUE"""),0.354817078142528)</f>
        <v>0.3548170781</v>
      </c>
      <c r="Y358" s="53">
        <f>IFERROR(__xludf.DUMMYFUNCTION("""COMPUTED_VALUE"""),-0.2885483311245229)</f>
        <v>-0.2885483311</v>
      </c>
      <c r="Z358" s="53">
        <f>IFERROR(__xludf.DUMMYFUNCTION("""COMPUTED_VALUE"""),0.4950842743868928)</f>
        <v>0.4950842744</v>
      </c>
      <c r="AA358" t="str">
        <f>IFERROR(__xludf.DUMMYFUNCTION("REGEXREPLACE(REGEXREPLACE(REGEXREPLACE(REGEXREPLACE(REGEXREPLACE(REGEXREPLACE(E358,"","",),IF(Projections!$U$3="""",""PG"",),),IF(Projections!$V$3="""",""SG"",),),IF(Projections!$W$3="""",""SF"",),),IF(Projections!$X$3="""",""PF"",),),IF(Projections!$Y$3="&amp;""""",""C"",),)"),"PFC")</f>
        <v>PFC</v>
      </c>
    </row>
    <row r="359">
      <c r="B359">
        <f>IFERROR(__xludf.DUMMYFUNCTION("""COMPUTED_VALUE"""),357.0)</f>
        <v>357</v>
      </c>
      <c r="C359" t="str">
        <f>IFERROR(__xludf.DUMMYFUNCTION("""COMPUTED_VALUE"""),"Bruno Fernando")</f>
        <v>Bruno Fernando</v>
      </c>
      <c r="D359">
        <f>IFERROR(__xludf.DUMMYFUNCTION("""COMPUTED_VALUE"""),30.0)</f>
        <v>30</v>
      </c>
      <c r="E359" t="str">
        <f>IFERROR(__xludf.DUMMYFUNCTION("""COMPUTED_VALUE"""),"C")</f>
        <v>C</v>
      </c>
      <c r="F359" s="53">
        <f>IFERROR(__xludf.DUMMYFUNCTION("""COMPUTED_VALUE"""),-9.5481821120023)</f>
        <v>-9.548182112</v>
      </c>
      <c r="G359" s="53">
        <f>IFERROR(__xludf.DUMMYFUNCTION("""COMPUTED_VALUE"""),-5.967723287682988)</f>
        <v>-5.967723288</v>
      </c>
      <c r="H359" s="53">
        <f>IFERROR(__xludf.DUMMYFUNCTION("""COMPUTED_VALUE"""),3.5804588243193116)</f>
        <v>3.580458824</v>
      </c>
      <c r="I359" s="53">
        <f>IFERROR(__xludf.DUMMYFUNCTION("""COMPUTED_VALUE"""),4.0)</f>
        <v>4</v>
      </c>
      <c r="J359" s="53">
        <f>IFERROR(__xludf.DUMMYFUNCTION("""COMPUTED_VALUE"""),0.0)</f>
        <v>0</v>
      </c>
      <c r="K359" s="53">
        <f>IFERROR(__xludf.DUMMYFUNCTION("""COMPUTED_VALUE"""),3.2)</f>
        <v>3.2</v>
      </c>
      <c r="L359" s="53">
        <f>IFERROR(__xludf.DUMMYFUNCTION("""COMPUTED_VALUE"""),0.6)</f>
        <v>0.6</v>
      </c>
      <c r="M359" s="53">
        <f>IFERROR(__xludf.DUMMYFUNCTION("""COMPUTED_VALUE"""),0.1)</f>
        <v>0.1</v>
      </c>
      <c r="N359" s="53">
        <f>IFERROR(__xludf.DUMMYFUNCTION("""COMPUTED_VALUE"""),0.7)</f>
        <v>0.7</v>
      </c>
      <c r="O359" s="53">
        <f>IFERROR(__xludf.DUMMYFUNCTION("""COMPUTED_VALUE"""),57.14285714285715)</f>
        <v>57.14285714</v>
      </c>
      <c r="P359" s="53">
        <f>IFERROR(__xludf.DUMMYFUNCTION("""COMPUTED_VALUE"""),66.66666666666667)</f>
        <v>66.66666667</v>
      </c>
      <c r="Q359" s="53">
        <f>IFERROR(__xludf.DUMMYFUNCTION("""COMPUTED_VALUE"""),0.6)</f>
        <v>0.6</v>
      </c>
      <c r="R359" s="53">
        <f>IFERROR(__xludf.DUMMYFUNCTION("""COMPUTED_VALUE"""),-2.2340980038794496)</f>
        <v>-2.234098004</v>
      </c>
      <c r="S359" s="53">
        <f>IFERROR(__xludf.DUMMYFUNCTION("""COMPUTED_VALUE"""),-1.4261378116187227)</f>
        <v>-1.426137812</v>
      </c>
      <c r="T359" s="53">
        <f>IFERROR(__xludf.DUMMYFUNCTION("""COMPUTED_VALUE"""),-1.2106943418965999)</f>
        <v>-1.210694342</v>
      </c>
      <c r="U359" s="53">
        <f>IFERROR(__xludf.DUMMYFUNCTION("""COMPUTED_VALUE"""),-1.6545198189935006)</f>
        <v>-1.654519819</v>
      </c>
      <c r="V359" s="53">
        <f>IFERROR(__xludf.DUMMYFUNCTION("""COMPUTED_VALUE"""),-1.9508197791529749)</f>
        <v>-1.950819779</v>
      </c>
      <c r="W359" s="53">
        <f>IFERROR(__xludf.DUMMYFUNCTION("""COMPUTED_VALUE"""),-0.0017508778622903794)</f>
        <v>-0.001750877862</v>
      </c>
      <c r="X359" s="53">
        <f>IFERROR(__xludf.DUMMYFUNCTION("""COMPUTED_VALUE"""),0.2110038444281306)</f>
        <v>0.2110038444</v>
      </c>
      <c r="Y359" s="53">
        <f>IFERROR(__xludf.DUMMYFUNCTION("""COMPUTED_VALUE"""),-0.36779626764446344)</f>
        <v>-0.3677962676</v>
      </c>
      <c r="Z359" s="53">
        <f>IFERROR(__xludf.DUMMYFUNCTION("""COMPUTED_VALUE"""),0.43299176505743303)</f>
        <v>0.4329917651</v>
      </c>
      <c r="AA359" t="str">
        <f>IFERROR(__xludf.DUMMYFUNCTION("REGEXREPLACE(REGEXREPLACE(REGEXREPLACE(REGEXREPLACE(REGEXREPLACE(REGEXREPLACE(E359,"","",),IF(Projections!$U$3="""",""PG"",),),IF(Projections!$V$3="""",""SG"",),),IF(Projections!$W$3="""",""SF"",),),IF(Projections!$X$3="""",""PF"",),),IF(Projections!$Y$3="&amp;""""",""C"",),)"),"C")</f>
        <v>C</v>
      </c>
    </row>
    <row r="360">
      <c r="B360">
        <f>IFERROR(__xludf.DUMMYFUNCTION("""COMPUTED_VALUE"""),353.0)</f>
        <v>353</v>
      </c>
      <c r="C360" t="str">
        <f>IFERROR(__xludf.DUMMYFUNCTION("""COMPUTED_VALUE"""),"Kai Jones")</f>
        <v>Kai Jones</v>
      </c>
      <c r="D360">
        <f>IFERROR(__xludf.DUMMYFUNCTION("""COMPUTED_VALUE"""),40.0)</f>
        <v>40</v>
      </c>
      <c r="E360" t="str">
        <f>IFERROR(__xludf.DUMMYFUNCTION("""COMPUTED_VALUE"""),"PF,C")</f>
        <v>PF,C</v>
      </c>
      <c r="F360" s="53">
        <f>IFERROR(__xludf.DUMMYFUNCTION("""COMPUTED_VALUE"""),-9.511386671988532)</f>
        <v>-9.511386672</v>
      </c>
      <c r="G360" s="53">
        <f>IFERROR(__xludf.DUMMYFUNCTION("""COMPUTED_VALUE"""),-5.973622781826984)</f>
        <v>-5.973622782</v>
      </c>
      <c r="H360" s="53">
        <f>IFERROR(__xludf.DUMMYFUNCTION("""COMPUTED_VALUE"""),3.537763890161548)</f>
        <v>3.53776389</v>
      </c>
      <c r="I360" s="53">
        <f>IFERROR(__xludf.DUMMYFUNCTION("""COMPUTED_VALUE"""),3.1)</f>
        <v>3.1</v>
      </c>
      <c r="J360" s="53">
        <f>IFERROR(__xludf.DUMMYFUNCTION("""COMPUTED_VALUE"""),0.1)</f>
        <v>0.1</v>
      </c>
      <c r="K360" s="53">
        <f>IFERROR(__xludf.DUMMYFUNCTION("""COMPUTED_VALUE"""),2.3)</f>
        <v>2.3</v>
      </c>
      <c r="L360" s="53">
        <f>IFERROR(__xludf.DUMMYFUNCTION("""COMPUTED_VALUE"""),0.3)</f>
        <v>0.3</v>
      </c>
      <c r="M360" s="53">
        <f>IFERROR(__xludf.DUMMYFUNCTION("""COMPUTED_VALUE"""),0.3)</f>
        <v>0.3</v>
      </c>
      <c r="N360" s="53">
        <f>IFERROR(__xludf.DUMMYFUNCTION("""COMPUTED_VALUE"""),0.6)</f>
        <v>0.6</v>
      </c>
      <c r="O360" s="53">
        <f>IFERROR(__xludf.DUMMYFUNCTION("""COMPUTED_VALUE"""),56.52173913043479)</f>
        <v>56.52173913</v>
      </c>
      <c r="P360" s="53">
        <f>IFERROR(__xludf.DUMMYFUNCTION("""COMPUTED_VALUE"""),66.66666666666667)</f>
        <v>66.66666667</v>
      </c>
      <c r="Q360" s="53">
        <f>IFERROR(__xludf.DUMMYFUNCTION("""COMPUTED_VALUE"""),0.6)</f>
        <v>0.6</v>
      </c>
      <c r="R360" s="53">
        <f>IFERROR(__xludf.DUMMYFUNCTION("""COMPUTED_VALUE"""),-2.385771743142073)</f>
        <v>-2.385771743</v>
      </c>
      <c r="S360" s="53">
        <f>IFERROR(__xludf.DUMMYFUNCTION("""COMPUTED_VALUE"""),-1.3394249329228134)</f>
        <v>-1.339424933</v>
      </c>
      <c r="T360" s="53">
        <f>IFERROR(__xludf.DUMMYFUNCTION("""COMPUTED_VALUE"""),-1.5870326706003557)</f>
        <v>-1.587032671</v>
      </c>
      <c r="U360" s="53">
        <f>IFERROR(__xludf.DUMMYFUNCTION("""COMPUTED_VALUE"""),-1.8075272005280414)</f>
        <v>-1.807527201</v>
      </c>
      <c r="V360" s="53">
        <f>IFERROR(__xludf.DUMMYFUNCTION("""COMPUTED_VALUE"""),-1.5147199775539493)</f>
        <v>-1.514719978</v>
      </c>
      <c r="W360" s="53">
        <f>IFERROR(__xludf.DUMMYFUNCTION("""COMPUTED_VALUE"""),-0.13306671753405044)</f>
        <v>-0.1330667175</v>
      </c>
      <c r="X360" s="53">
        <f>IFERROR(__xludf.DUMMYFUNCTION("""COMPUTED_VALUE"""),0.15905508607702573)</f>
        <v>0.1590550861</v>
      </c>
      <c r="Y360" s="53">
        <f>IFERROR(__xludf.DUMMYFUNCTION("""COMPUTED_VALUE"""),-0.18389813382223172)</f>
        <v>-0.1838981338</v>
      </c>
      <c r="Z360" s="53">
        <f>IFERROR(__xludf.DUMMYFUNCTION("""COMPUTED_VALUE"""),0.43299176505743303)</f>
        <v>0.4329917651</v>
      </c>
      <c r="AA360" t="str">
        <f>IFERROR(__xludf.DUMMYFUNCTION("REGEXREPLACE(REGEXREPLACE(REGEXREPLACE(REGEXREPLACE(REGEXREPLACE(REGEXREPLACE(E360,"","",),IF(Projections!$U$3="""",""PG"",),),IF(Projections!$V$3="""",""SG"",),),IF(Projections!$W$3="""",""SF"",),),IF(Projections!$X$3="""",""PF"",),),IF(Projections!$Y$3="&amp;""""",""C"",),)"),"PFC")</f>
        <v>PFC</v>
      </c>
    </row>
    <row r="361">
      <c r="B361">
        <f>IFERROR(__xludf.DUMMYFUNCTION("""COMPUTED_VALUE"""),347.0)</f>
        <v>347</v>
      </c>
      <c r="C361" t="str">
        <f>IFERROR(__xludf.DUMMYFUNCTION("""COMPUTED_VALUE"""),"Kobe Brown")</f>
        <v>Kobe Brown</v>
      </c>
      <c r="D361">
        <f>IFERROR(__xludf.DUMMYFUNCTION("""COMPUTED_VALUE"""),30.0)</f>
        <v>30</v>
      </c>
      <c r="E361" t="str">
        <f>IFERROR(__xludf.DUMMYFUNCTION("""COMPUTED_VALUE"""),"PF")</f>
        <v>PF</v>
      </c>
      <c r="F361" s="53">
        <f>IFERROR(__xludf.DUMMYFUNCTION("""COMPUTED_VALUE"""),-9.310118751599399)</f>
        <v>-9.310118752</v>
      </c>
      <c r="G361" s="53">
        <f>IFERROR(__xludf.DUMMYFUNCTION("""COMPUTED_VALUE"""),-6.025798279333887)</f>
        <v>-6.025798279</v>
      </c>
      <c r="H361" s="53">
        <f>IFERROR(__xludf.DUMMYFUNCTION("""COMPUTED_VALUE"""),3.284320472265512)</f>
        <v>3.284320472</v>
      </c>
      <c r="I361" s="53">
        <f>IFERROR(__xludf.DUMMYFUNCTION("""COMPUTED_VALUE"""),6.0)</f>
        <v>6</v>
      </c>
      <c r="J361" s="53">
        <f>IFERROR(__xludf.DUMMYFUNCTION("""COMPUTED_VALUE"""),1.0)</f>
        <v>1</v>
      </c>
      <c r="K361" s="53">
        <f>IFERROR(__xludf.DUMMYFUNCTION("""COMPUTED_VALUE"""),2.1)</f>
        <v>2.1</v>
      </c>
      <c r="L361" s="53">
        <f>IFERROR(__xludf.DUMMYFUNCTION("""COMPUTED_VALUE"""),0.4)</f>
        <v>0.4</v>
      </c>
      <c r="M361" s="53">
        <f>IFERROR(__xludf.DUMMYFUNCTION("""COMPUTED_VALUE"""),0.3)</f>
        <v>0.3</v>
      </c>
      <c r="N361" s="53">
        <f>IFERROR(__xludf.DUMMYFUNCTION("""COMPUTED_VALUE"""),0.2)</f>
        <v>0.2</v>
      </c>
      <c r="O361" s="53">
        <f>IFERROR(__xludf.DUMMYFUNCTION("""COMPUTED_VALUE"""),44.89795918367347)</f>
        <v>44.89795918</v>
      </c>
      <c r="P361" s="53">
        <f>IFERROR(__xludf.DUMMYFUNCTION("""COMPUTED_VALUE"""),71.42857142857143)</f>
        <v>71.42857143</v>
      </c>
      <c r="Q361" s="53">
        <f>IFERROR(__xludf.DUMMYFUNCTION("""COMPUTED_VALUE"""),0.4)</f>
        <v>0.4</v>
      </c>
      <c r="R361" s="53">
        <f>IFERROR(__xludf.DUMMYFUNCTION("""COMPUTED_VALUE"""),-1.89704524996251)</f>
        <v>-1.89704525</v>
      </c>
      <c r="S361" s="53">
        <f>IFERROR(__xludf.DUMMYFUNCTION("""COMPUTED_VALUE"""),-0.5590090246596284)</f>
        <v>-0.5590090247</v>
      </c>
      <c r="T361" s="53">
        <f>IFERROR(__xludf.DUMMYFUNCTION("""COMPUTED_VALUE"""),-1.6706634103123013)</f>
        <v>-1.67066341</v>
      </c>
      <c r="U361" s="53">
        <f>IFERROR(__xludf.DUMMYFUNCTION("""COMPUTED_VALUE"""),-1.7565247400165278)</f>
        <v>-1.75652474</v>
      </c>
      <c r="V361" s="53">
        <f>IFERROR(__xludf.DUMMYFUNCTION("""COMPUTED_VALUE"""),-1.5147199775539493)</f>
        <v>-1.514719978</v>
      </c>
      <c r="W361" s="53">
        <f>IFERROR(__xludf.DUMMYFUNCTION("""COMPUTED_VALUE"""),-0.6583300762210907)</f>
        <v>-0.6583300762</v>
      </c>
      <c r="X361" s="53">
        <f>IFERROR(__xludf.DUMMYFUNCTION("""COMPUTED_VALUE"""),-0.23006228978619597)</f>
        <v>-0.2300622898</v>
      </c>
      <c r="Y361" s="53">
        <f>IFERROR(__xludf.DUMMYFUNCTION("""COMPUTED_VALUE"""),-0.13157303517108632)</f>
        <v>-0.1315730352</v>
      </c>
      <c r="Z361" s="53">
        <f>IFERROR(__xludf.DUMMYFUNCTION("""COMPUTED_VALUE"""),0.4950842743868928)</f>
        <v>0.4950842744</v>
      </c>
      <c r="AA361" t="str">
        <f>IFERROR(__xludf.DUMMYFUNCTION("REGEXREPLACE(REGEXREPLACE(REGEXREPLACE(REGEXREPLACE(REGEXREPLACE(REGEXREPLACE(E361,"","",),IF(Projections!$U$3="""",""PG"",),),IF(Projections!$V$3="""",""SG"",),),IF(Projections!$W$3="""",""SF"",),),IF(Projections!$X$3="""",""PF"",),),IF(Projections!$Y$3="&amp;""""",""C"",),)"),"PF")</f>
        <v>PF</v>
      </c>
    </row>
    <row r="362">
      <c r="B362">
        <f>IFERROR(__xludf.DUMMYFUNCTION("""COMPUTED_VALUE"""),351.0)</f>
        <v>351</v>
      </c>
      <c r="C362" t="str">
        <f>IFERROR(__xludf.DUMMYFUNCTION("""COMPUTED_VALUE"""),"Montrezl Harrell")</f>
        <v>Montrezl Harrell</v>
      </c>
      <c r="D362">
        <f>IFERROR(__xludf.DUMMYFUNCTION("""COMPUTED_VALUE"""),40.0)</f>
        <v>40</v>
      </c>
      <c r="E362" t="str">
        <f>IFERROR(__xludf.DUMMYFUNCTION("""COMPUTED_VALUE"""),"C")</f>
        <v>C</v>
      </c>
      <c r="F362" s="53">
        <f>IFERROR(__xludf.DUMMYFUNCTION("""COMPUTED_VALUE"""),-9.45504377067363)</f>
        <v>-9.455043771</v>
      </c>
      <c r="G362" s="53">
        <f>IFERROR(__xludf.DUMMYFUNCTION("""COMPUTED_VALUE"""),-6.033412223168129)</f>
        <v>-6.033412223</v>
      </c>
      <c r="H362" s="53">
        <f>IFERROR(__xludf.DUMMYFUNCTION("""COMPUTED_VALUE"""),3.421631547505501)</f>
        <v>3.421631548</v>
      </c>
      <c r="I362" s="53">
        <f>IFERROR(__xludf.DUMMYFUNCTION("""COMPUTED_VALUE"""),5.7)</f>
        <v>5.7</v>
      </c>
      <c r="J362" s="53">
        <f>IFERROR(__xludf.DUMMYFUNCTION("""COMPUTED_VALUE"""),0.0)</f>
        <v>0</v>
      </c>
      <c r="K362" s="53">
        <f>IFERROR(__xludf.DUMMYFUNCTION("""COMPUTED_VALUE"""),2.7)</f>
        <v>2.7</v>
      </c>
      <c r="L362" s="53">
        <f>IFERROR(__xludf.DUMMYFUNCTION("""COMPUTED_VALUE"""),0.8)</f>
        <v>0.8</v>
      </c>
      <c r="M362" s="53">
        <f>IFERROR(__xludf.DUMMYFUNCTION("""COMPUTED_VALUE"""),0.2)</f>
        <v>0.2</v>
      </c>
      <c r="N362" s="53">
        <f>IFERROR(__xludf.DUMMYFUNCTION("""COMPUTED_VALUE"""),0.3)</f>
        <v>0.3</v>
      </c>
      <c r="O362" s="53">
        <f>IFERROR(__xludf.DUMMYFUNCTION("""COMPUTED_VALUE"""),62.85714285714287)</f>
        <v>62.85714286</v>
      </c>
      <c r="P362" s="53">
        <f>IFERROR(__xludf.DUMMYFUNCTION("""COMPUTED_VALUE"""),72.22222222222221)</f>
        <v>72.22222222</v>
      </c>
      <c r="Q362" s="53">
        <f>IFERROR(__xludf.DUMMYFUNCTION("""COMPUTED_VALUE"""),0.5)</f>
        <v>0.5</v>
      </c>
      <c r="R362" s="53">
        <f>IFERROR(__xludf.DUMMYFUNCTION("""COMPUTED_VALUE"""),-1.947603163050051)</f>
        <v>-1.947603163</v>
      </c>
      <c r="S362" s="53">
        <f>IFERROR(__xludf.DUMMYFUNCTION("""COMPUTED_VALUE"""),-1.4261378116187227)</f>
        <v>-1.426137812</v>
      </c>
      <c r="T362" s="53">
        <f>IFERROR(__xludf.DUMMYFUNCTION("""COMPUTED_VALUE"""),-1.419771191176464)</f>
        <v>-1.419771191</v>
      </c>
      <c r="U362" s="53">
        <f>IFERROR(__xludf.DUMMYFUNCTION("""COMPUTED_VALUE"""),-1.5525148979704735)</f>
        <v>-1.552514898</v>
      </c>
      <c r="V362" s="53">
        <f>IFERROR(__xludf.DUMMYFUNCTION("""COMPUTED_VALUE"""),-1.732769878353462)</f>
        <v>-1.732769878</v>
      </c>
      <c r="W362" s="53">
        <f>IFERROR(__xludf.DUMMYFUNCTION("""COMPUTED_VALUE"""),-0.5270142365493308)</f>
        <v>-0.5270142365</v>
      </c>
      <c r="X362" s="53">
        <f>IFERROR(__xludf.DUMMYFUNCTION("""COMPUTED_VALUE"""),0.46352781138030463)</f>
        <v>0.4635278114</v>
      </c>
      <c r="Y362" s="53">
        <f>IFERROR(__xludf.DUMMYFUNCTION("""COMPUTED_VALUE"""),-0.3027700386021432)</f>
        <v>-0.3027700386</v>
      </c>
      <c r="Z362" s="53">
        <f>IFERROR(__xludf.DUMMYFUNCTION("""COMPUTED_VALUE"""),0.4640380197221629)</f>
        <v>0.4640380197</v>
      </c>
      <c r="AA362" t="str">
        <f>IFERROR(__xludf.DUMMYFUNCTION("REGEXREPLACE(REGEXREPLACE(REGEXREPLACE(REGEXREPLACE(REGEXREPLACE(REGEXREPLACE(E362,"","",),IF(Projections!$U$3="""",""PG"",),),IF(Projections!$V$3="""",""SG"",),),IF(Projections!$W$3="""",""SF"",),),IF(Projections!$X$3="""",""PF"",),),IF(Projections!$Y$3="&amp;""""",""C"",),)"),"C")</f>
        <v>C</v>
      </c>
    </row>
    <row r="363">
      <c r="B363">
        <f>IFERROR(__xludf.DUMMYFUNCTION("""COMPUTED_VALUE"""),358.0)</f>
        <v>358</v>
      </c>
      <c r="C363" t="str">
        <f>IFERROR(__xludf.DUMMYFUNCTION("""COMPUTED_VALUE"""),"Darius Bazley")</f>
        <v>Darius Bazley</v>
      </c>
      <c r="D363">
        <f>IFERROR(__xludf.DUMMYFUNCTION("""COMPUTED_VALUE"""),33.0)</f>
        <v>33</v>
      </c>
      <c r="E363" t="str">
        <f>IFERROR(__xludf.DUMMYFUNCTION("""COMPUTED_VALUE"""),"PF,C")</f>
        <v>PF,C</v>
      </c>
      <c r="F363" s="53">
        <f>IFERROR(__xludf.DUMMYFUNCTION("""COMPUTED_VALUE"""),-9.608376803956922)</f>
        <v>-9.608376804</v>
      </c>
      <c r="G363" s="53">
        <f>IFERROR(__xludf.DUMMYFUNCTION("""COMPUTED_VALUE"""),-6.084717079519649)</f>
        <v>-6.08471708</v>
      </c>
      <c r="H363" s="53">
        <f>IFERROR(__xludf.DUMMYFUNCTION("""COMPUTED_VALUE"""),3.523659724437273)</f>
        <v>3.523659724</v>
      </c>
      <c r="I363" s="53">
        <f>IFERROR(__xludf.DUMMYFUNCTION("""COMPUTED_VALUE"""),4.2)</f>
        <v>4.2</v>
      </c>
      <c r="J363" s="53">
        <f>IFERROR(__xludf.DUMMYFUNCTION("""COMPUTED_VALUE"""),0.4)</f>
        <v>0.4</v>
      </c>
      <c r="K363" s="53">
        <f>IFERROR(__xludf.DUMMYFUNCTION("""COMPUTED_VALUE"""),2.4)</f>
        <v>2.4</v>
      </c>
      <c r="L363" s="53">
        <f>IFERROR(__xludf.DUMMYFUNCTION("""COMPUTED_VALUE"""),0.6)</f>
        <v>0.6</v>
      </c>
      <c r="M363" s="53">
        <f>IFERROR(__xludf.DUMMYFUNCTION("""COMPUTED_VALUE"""),0.3)</f>
        <v>0.3</v>
      </c>
      <c r="N363" s="53">
        <f>IFERROR(__xludf.DUMMYFUNCTION("""COMPUTED_VALUE"""),0.4)</f>
        <v>0.4</v>
      </c>
      <c r="O363" s="53">
        <f>IFERROR(__xludf.DUMMYFUNCTION("""COMPUTED_VALUE"""),45.714285714285715)</f>
        <v>45.71428571</v>
      </c>
      <c r="P363" s="53">
        <f>IFERROR(__xludf.DUMMYFUNCTION("""COMPUTED_VALUE"""),70.0)</f>
        <v>70</v>
      </c>
      <c r="Q363" s="53">
        <f>IFERROR(__xludf.DUMMYFUNCTION("""COMPUTED_VALUE"""),0.5)</f>
        <v>0.5</v>
      </c>
      <c r="R363" s="53">
        <f>IFERROR(__xludf.DUMMYFUNCTION("""COMPUTED_VALUE"""),-2.200392728487756)</f>
        <v>-2.200392728</v>
      </c>
      <c r="S363" s="53">
        <f>IFERROR(__xludf.DUMMYFUNCTION("""COMPUTED_VALUE"""),-1.079286296835085)</f>
        <v>-1.079286297</v>
      </c>
      <c r="T363" s="53">
        <f>IFERROR(__xludf.DUMMYFUNCTION("""COMPUTED_VALUE"""),-1.5452173007443828)</f>
        <v>-1.545217301</v>
      </c>
      <c r="U363" s="53">
        <f>IFERROR(__xludf.DUMMYFUNCTION("""COMPUTED_VALUE"""),-1.6545198189935006)</f>
        <v>-1.654519819</v>
      </c>
      <c r="V363" s="53">
        <f>IFERROR(__xludf.DUMMYFUNCTION("""COMPUTED_VALUE"""),-1.5147199775539493)</f>
        <v>-1.514719978</v>
      </c>
      <c r="W363" s="53">
        <f>IFERROR(__xludf.DUMMYFUNCTION("""COMPUTED_VALUE"""),-0.39569839687757064)</f>
        <v>-0.3956983969</v>
      </c>
      <c r="X363" s="53">
        <f>IFERROR(__xludf.DUMMYFUNCTION("""COMPUTED_VALUE"""),-0.13579120615511964)</f>
        <v>-0.1357912062</v>
      </c>
      <c r="Y363" s="53">
        <f>IFERROR(__xludf.DUMMYFUNCTION("""COMPUTED_VALUE"""),-0.22352210208220238)</f>
        <v>-0.2235221021</v>
      </c>
      <c r="Z363" s="53">
        <f>IFERROR(__xludf.DUMMYFUNCTION("""COMPUTED_VALUE"""),0.4640380197221629)</f>
        <v>0.4640380197</v>
      </c>
      <c r="AA363" t="str">
        <f>IFERROR(__xludf.DUMMYFUNCTION("REGEXREPLACE(REGEXREPLACE(REGEXREPLACE(REGEXREPLACE(REGEXREPLACE(REGEXREPLACE(E363,"","",),IF(Projections!$U$3="""",""PG"",),),IF(Projections!$V$3="""",""SG"",),),IF(Projections!$W$3="""",""SF"",),),IF(Projections!$X$3="""",""PF"",),),IF(Projections!$Y$3="&amp;""""",""C"",),)"),"PFC")</f>
        <v>PFC</v>
      </c>
    </row>
    <row r="364">
      <c r="B364">
        <f>IFERROR(__xludf.DUMMYFUNCTION("""COMPUTED_VALUE"""),354.0)</f>
        <v>354</v>
      </c>
      <c r="C364" t="str">
        <f>IFERROR(__xludf.DUMMYFUNCTION("""COMPUTED_VALUE"""),"Derrick Rose")</f>
        <v>Derrick Rose</v>
      </c>
      <c r="D364">
        <f>IFERROR(__xludf.DUMMYFUNCTION("""COMPUTED_VALUE"""),20.0)</f>
        <v>20</v>
      </c>
      <c r="E364" t="str">
        <f>IFERROR(__xludf.DUMMYFUNCTION("""COMPUTED_VALUE"""),"PG")</f>
        <v>PG</v>
      </c>
      <c r="F364" s="53">
        <f>IFERROR(__xludf.DUMMYFUNCTION("""COMPUTED_VALUE"""),-9.51865498034409)</f>
        <v>-9.51865498</v>
      </c>
      <c r="G364" s="53">
        <f>IFERROR(__xludf.DUMMYFUNCTION("""COMPUTED_VALUE"""),-6.09515438085425)</f>
        <v>-6.095154381</v>
      </c>
      <c r="H364" s="53">
        <f>IFERROR(__xludf.DUMMYFUNCTION("""COMPUTED_VALUE"""),3.4235005994898398)</f>
        <v>3.423500599</v>
      </c>
      <c r="I364" s="53">
        <f>IFERROR(__xludf.DUMMYFUNCTION("""COMPUTED_VALUE"""),5.0)</f>
        <v>5</v>
      </c>
      <c r="J364" s="53">
        <f>IFERROR(__xludf.DUMMYFUNCTION("""COMPUTED_VALUE"""),0.6)</f>
        <v>0.6</v>
      </c>
      <c r="K364" s="53">
        <f>IFERROR(__xludf.DUMMYFUNCTION("""COMPUTED_VALUE"""),1.3)</f>
        <v>1.3</v>
      </c>
      <c r="L364" s="53">
        <f>IFERROR(__xludf.DUMMYFUNCTION("""COMPUTED_VALUE"""),1.6)</f>
        <v>1.6</v>
      </c>
      <c r="M364" s="53">
        <f>IFERROR(__xludf.DUMMYFUNCTION("""COMPUTED_VALUE"""),0.3)</f>
        <v>0.3</v>
      </c>
      <c r="N364" s="53">
        <f>IFERROR(__xludf.DUMMYFUNCTION("""COMPUTED_VALUE"""),0.2)</f>
        <v>0.2</v>
      </c>
      <c r="O364" s="53">
        <f>IFERROR(__xludf.DUMMYFUNCTION("""COMPUTED_VALUE"""),43.47826086956522)</f>
        <v>43.47826087</v>
      </c>
      <c r="P364" s="53">
        <f>IFERROR(__xludf.DUMMYFUNCTION("""COMPUTED_VALUE"""),80.0)</f>
        <v>80</v>
      </c>
      <c r="Q364" s="53">
        <f>IFERROR(__xludf.DUMMYFUNCTION("""COMPUTED_VALUE"""),0.7)</f>
        <v>0.7</v>
      </c>
      <c r="R364" s="53">
        <f>IFERROR(__xludf.DUMMYFUNCTION("""COMPUTED_VALUE"""),-2.06557162692098)</f>
        <v>-2.065571627</v>
      </c>
      <c r="S364" s="53">
        <f>IFERROR(__xludf.DUMMYFUNCTION("""COMPUTED_VALUE"""),-0.9058605394432663)</f>
        <v>-0.9058605394</v>
      </c>
      <c r="T364" s="53">
        <f>IFERROR(__xludf.DUMMYFUNCTION("""COMPUTED_VALUE"""),-2.005186369160084)</f>
        <v>-2.005186369</v>
      </c>
      <c r="U364" s="53">
        <f>IFERROR(__xludf.DUMMYFUNCTION("""COMPUTED_VALUE"""),-1.144495213878365)</f>
        <v>-1.144495214</v>
      </c>
      <c r="V364" s="53">
        <f>IFERROR(__xludf.DUMMYFUNCTION("""COMPUTED_VALUE"""),-1.5147199775539493)</f>
        <v>-1.514719978</v>
      </c>
      <c r="W364" s="53">
        <f>IFERROR(__xludf.DUMMYFUNCTION("""COMPUTED_VALUE"""),-0.6583300762210907)</f>
        <v>-0.6583300762</v>
      </c>
      <c r="X364" s="53">
        <f>IFERROR(__xludf.DUMMYFUNCTION("""COMPUTED_VALUE"""),-0.2812088453813728)</f>
        <v>-0.2812088454</v>
      </c>
      <c r="Y364" s="53">
        <f>IFERROR(__xludf.DUMMYFUNCTION("""COMPUTED_VALUE"""),0.01270113039117512)</f>
        <v>0.01270113039</v>
      </c>
      <c r="Z364" s="53">
        <f>IFERROR(__xludf.DUMMYFUNCTION("""COMPUTED_VALUE"""),0.4019455103927031)</f>
        <v>0.4019455104</v>
      </c>
      <c r="AA364" t="str">
        <f>IFERROR(__xludf.DUMMYFUNCTION("REGEXREPLACE(REGEXREPLACE(REGEXREPLACE(REGEXREPLACE(REGEXREPLACE(REGEXREPLACE(E364,"","",),IF(Projections!$U$3="""",""PG"",),),IF(Projections!$V$3="""",""SG"",),),IF(Projections!$W$3="""",""SF"",),),IF(Projections!$X$3="""",""PF"",),),IF(Projections!$Y$3="&amp;""""",""C"",),)"),"PG")</f>
        <v>PG</v>
      </c>
    </row>
    <row r="365">
      <c r="B365">
        <f>IFERROR(__xludf.DUMMYFUNCTION("""COMPUTED_VALUE"""),371.0)</f>
        <v>371</v>
      </c>
      <c r="C365" t="str">
        <f>IFERROR(__xludf.DUMMYFUNCTION("""COMPUTED_VALUE"""),"Ömer Yurtseven")</f>
        <v>Ömer Yurtseven</v>
      </c>
      <c r="D365">
        <f>IFERROR(__xludf.DUMMYFUNCTION("""COMPUTED_VALUE"""),30.0)</f>
        <v>30</v>
      </c>
      <c r="E365" t="str">
        <f>IFERROR(__xludf.DUMMYFUNCTION("""COMPUTED_VALUE"""),"C")</f>
        <v>C</v>
      </c>
      <c r="F365" s="53">
        <f>IFERROR(__xludf.DUMMYFUNCTION("""COMPUTED_VALUE"""),-9.918200140992628)</f>
        <v>-9.918200141</v>
      </c>
      <c r="G365" s="53">
        <f>IFERROR(__xludf.DUMMYFUNCTION("""COMPUTED_VALUE"""),-6.104894508475547)</f>
        <v>-6.104894508</v>
      </c>
      <c r="H365" s="53">
        <f>IFERROR(__xludf.DUMMYFUNCTION("""COMPUTED_VALUE"""),3.813305632517081)</f>
        <v>3.813305633</v>
      </c>
      <c r="I365" s="53">
        <f>IFERROR(__xludf.DUMMYFUNCTION("""COMPUTED_VALUE"""),3.6)</f>
        <v>3.6</v>
      </c>
      <c r="J365" s="53">
        <f>IFERROR(__xludf.DUMMYFUNCTION("""COMPUTED_VALUE"""),0.0)</f>
        <v>0</v>
      </c>
      <c r="K365" s="53">
        <f>IFERROR(__xludf.DUMMYFUNCTION("""COMPUTED_VALUE"""),3.4)</f>
        <v>3.4</v>
      </c>
      <c r="L365" s="53">
        <f>IFERROR(__xludf.DUMMYFUNCTION("""COMPUTED_VALUE"""),0.6)</f>
        <v>0.6</v>
      </c>
      <c r="M365" s="53">
        <f>IFERROR(__xludf.DUMMYFUNCTION("""COMPUTED_VALUE"""),0.2)</f>
        <v>0.2</v>
      </c>
      <c r="N365" s="53">
        <f>IFERROR(__xludf.DUMMYFUNCTION("""COMPUTED_VALUE"""),0.2)</f>
        <v>0.2</v>
      </c>
      <c r="O365" s="53">
        <f>IFERROR(__xludf.DUMMYFUNCTION("""COMPUTED_VALUE"""),55.172413793103445)</f>
        <v>55.17241379</v>
      </c>
      <c r="P365" s="53">
        <f>IFERROR(__xludf.DUMMYFUNCTION("""COMPUTED_VALUE"""),71.42857142857143)</f>
        <v>71.42857143</v>
      </c>
      <c r="Q365" s="53">
        <f>IFERROR(__xludf.DUMMYFUNCTION("""COMPUTED_VALUE"""),0.5)</f>
        <v>0.5</v>
      </c>
      <c r="R365" s="53">
        <f>IFERROR(__xludf.DUMMYFUNCTION("""COMPUTED_VALUE"""),-2.3015085546628375)</f>
        <v>-2.301508555</v>
      </c>
      <c r="S365" s="53">
        <f>IFERROR(__xludf.DUMMYFUNCTION("""COMPUTED_VALUE"""),-1.4261378116187227)</f>
        <v>-1.426137812</v>
      </c>
      <c r="T365" s="53">
        <f>IFERROR(__xludf.DUMMYFUNCTION("""COMPUTED_VALUE"""),-1.1270636021846543)</f>
        <v>-1.127063602</v>
      </c>
      <c r="U365" s="53">
        <f>IFERROR(__xludf.DUMMYFUNCTION("""COMPUTED_VALUE"""),-1.6545198189935006)</f>
        <v>-1.654519819</v>
      </c>
      <c r="V365" s="53">
        <f>IFERROR(__xludf.DUMMYFUNCTION("""COMPUTED_VALUE"""),-1.732769878353462)</f>
        <v>-1.732769878</v>
      </c>
      <c r="W365" s="53">
        <f>IFERROR(__xludf.DUMMYFUNCTION("""COMPUTED_VALUE"""),-0.6583300762210907)</f>
        <v>-0.6583300762</v>
      </c>
      <c r="X365" s="53">
        <f>IFERROR(__xludf.DUMMYFUNCTION("""COMPUTED_VALUE"""),0.16146169434480895)</f>
        <v>0.1614616943</v>
      </c>
      <c r="Y365" s="53">
        <f>IFERROR(__xludf.DUMMYFUNCTION("""COMPUTED_VALUE"""),-0.13157303517108632)</f>
        <v>-0.1315730352</v>
      </c>
      <c r="Z365" s="53">
        <f>IFERROR(__xludf.DUMMYFUNCTION("""COMPUTED_VALUE"""),0.4640380197221629)</f>
        <v>0.4640380197</v>
      </c>
      <c r="AA365" t="str">
        <f>IFERROR(__xludf.DUMMYFUNCTION("REGEXREPLACE(REGEXREPLACE(REGEXREPLACE(REGEXREPLACE(REGEXREPLACE(REGEXREPLACE(E365,"","",),IF(Projections!$U$3="""",""PG"",),),IF(Projections!$V$3="""",""SG"",),),IF(Projections!$W$3="""",""SF"",),),IF(Projections!$X$3="""",""PF"",),),IF(Projections!$Y$3="&amp;""""",""C"",),)"),"C")</f>
        <v>C</v>
      </c>
    </row>
    <row r="366">
      <c r="B366">
        <f>IFERROR(__xludf.DUMMYFUNCTION("""COMPUTED_VALUE"""),343.0)</f>
        <v>343</v>
      </c>
      <c r="C366" t="str">
        <f>IFERROR(__xludf.DUMMYFUNCTION("""COMPUTED_VALUE"""),"Jordan Walsh")</f>
        <v>Jordan Walsh</v>
      </c>
      <c r="D366">
        <f>IFERROR(__xludf.DUMMYFUNCTION("""COMPUTED_VALUE"""),60.0)</f>
        <v>60</v>
      </c>
      <c r="E366" t="str">
        <f>IFERROR(__xludf.DUMMYFUNCTION("""COMPUTED_VALUE"""),"SF")</f>
        <v>SF</v>
      </c>
      <c r="F366" s="53">
        <f>IFERROR(__xludf.DUMMYFUNCTION("""COMPUTED_VALUE"""),-9.139192716111154)</f>
        <v>-9.139192716</v>
      </c>
      <c r="G366" s="53">
        <f>IFERROR(__xludf.DUMMYFUNCTION("""COMPUTED_VALUE"""),-6.167916648630401)</f>
        <v>-6.167916649</v>
      </c>
      <c r="H366" s="53">
        <f>IFERROR(__xludf.DUMMYFUNCTION("""COMPUTED_VALUE"""),2.971276067480753)</f>
        <v>2.971276067</v>
      </c>
      <c r="I366" s="53">
        <f>IFERROR(__xludf.DUMMYFUNCTION("""COMPUTED_VALUE"""),6.3)</f>
        <v>6.3</v>
      </c>
      <c r="J366" s="53">
        <f>IFERROR(__xludf.DUMMYFUNCTION("""COMPUTED_VALUE"""),0.6)</f>
        <v>0.6</v>
      </c>
      <c r="K366" s="53">
        <f>IFERROR(__xludf.DUMMYFUNCTION("""COMPUTED_VALUE"""),1.9)</f>
        <v>1.9</v>
      </c>
      <c r="L366" s="53">
        <f>IFERROR(__xludf.DUMMYFUNCTION("""COMPUTED_VALUE"""),1.3)</f>
        <v>1.3</v>
      </c>
      <c r="M366" s="53">
        <f>IFERROR(__xludf.DUMMYFUNCTION("""COMPUTED_VALUE"""),0.5)</f>
        <v>0.5</v>
      </c>
      <c r="N366" s="53">
        <f>IFERROR(__xludf.DUMMYFUNCTION("""COMPUTED_VALUE"""),0.1)</f>
        <v>0.1</v>
      </c>
      <c r="O366" s="53">
        <f>IFERROR(__xludf.DUMMYFUNCTION("""COMPUTED_VALUE"""),42.59259259259259)</f>
        <v>42.59259259</v>
      </c>
      <c r="P366" s="53">
        <f>IFERROR(__xludf.DUMMYFUNCTION("""COMPUTED_VALUE"""),73.33333333333334)</f>
        <v>73.33333333</v>
      </c>
      <c r="Q366" s="53">
        <f>IFERROR(__xludf.DUMMYFUNCTION("""COMPUTED_VALUE"""),1.2)</f>
        <v>1.2</v>
      </c>
      <c r="R366" s="53">
        <f>IFERROR(__xludf.DUMMYFUNCTION("""COMPUTED_VALUE"""),-1.8464873368749688)</f>
        <v>-1.846487337</v>
      </c>
      <c r="S366" s="53">
        <f>IFERROR(__xludf.DUMMYFUNCTION("""COMPUTED_VALUE"""),-0.9058605394432663)</f>
        <v>-0.9058605394</v>
      </c>
      <c r="T366" s="53">
        <f>IFERROR(__xludf.DUMMYFUNCTION("""COMPUTED_VALUE"""),-1.7542941500242468)</f>
        <v>-1.75429415</v>
      </c>
      <c r="U366" s="53">
        <f>IFERROR(__xludf.DUMMYFUNCTION("""COMPUTED_VALUE"""),-1.2975025954129054)</f>
        <v>-1.297502595</v>
      </c>
      <c r="V366" s="53">
        <f>IFERROR(__xludf.DUMMYFUNCTION("""COMPUTED_VALUE"""),-1.0786201759549239)</f>
        <v>-1.078620176</v>
      </c>
      <c r="W366" s="53">
        <f>IFERROR(__xludf.DUMMYFUNCTION("""COMPUTED_VALUE"""),-0.7896459158928509)</f>
        <v>-0.7896459159</v>
      </c>
      <c r="X366" s="53">
        <f>IFERROR(__xludf.DUMMYFUNCTION("""COMPUTED_VALUE"""),-0.3778865372802329)</f>
        <v>-0.3778865373</v>
      </c>
      <c r="Y366" s="53">
        <f>IFERROR(__xludf.DUMMYFUNCTION("""COMPUTED_VALUE"""),-0.21082097169102695)</f>
        <v>-0.2108209717</v>
      </c>
      <c r="Z366" s="53">
        <f>IFERROR(__xludf.DUMMYFUNCTION("""COMPUTED_VALUE"""),0.24671423706905354)</f>
        <v>0.2467142371</v>
      </c>
      <c r="AA366" t="str">
        <f>IFERROR(__xludf.DUMMYFUNCTION("REGEXREPLACE(REGEXREPLACE(REGEXREPLACE(REGEXREPLACE(REGEXREPLACE(REGEXREPLACE(E366,"","",),IF(Projections!$U$3="""",""PG"",),),IF(Projections!$V$3="""",""SG"",),),IF(Projections!$W$3="""",""SF"",),),IF(Projections!$X$3="""",""PF"",),),IF(Projections!$Y$3="&amp;""""",""C"",),)"),"SF")</f>
        <v>SF</v>
      </c>
    </row>
    <row r="367">
      <c r="B367">
        <f>IFERROR(__xludf.DUMMYFUNCTION("""COMPUTED_VALUE"""),365.0)</f>
        <v>365</v>
      </c>
      <c r="C367" t="str">
        <f>IFERROR(__xludf.DUMMYFUNCTION("""COMPUTED_VALUE"""),"Goga Bitadze")</f>
        <v>Goga Bitadze</v>
      </c>
      <c r="D367">
        <f>IFERROR(__xludf.DUMMYFUNCTION("""COMPUTED_VALUE"""),30.0)</f>
        <v>30</v>
      </c>
      <c r="E367" t="str">
        <f>IFERROR(__xludf.DUMMYFUNCTION("""COMPUTED_VALUE"""),"C")</f>
        <v>C</v>
      </c>
      <c r="F367" s="53">
        <f>IFERROR(__xludf.DUMMYFUNCTION("""COMPUTED_VALUE"""),-9.785941511084802)</f>
        <v>-9.785941511</v>
      </c>
      <c r="G367" s="53">
        <f>IFERROR(__xludf.DUMMYFUNCTION("""COMPUTED_VALUE"""),-6.170000074627289)</f>
        <v>-6.170000075</v>
      </c>
      <c r="H367" s="53">
        <f>IFERROR(__xludf.DUMMYFUNCTION("""COMPUTED_VALUE"""),3.615941436457513)</f>
        <v>3.615941436</v>
      </c>
      <c r="I367" s="53">
        <f>IFERROR(__xludf.DUMMYFUNCTION("""COMPUTED_VALUE"""),3.7)</f>
        <v>3.7</v>
      </c>
      <c r="J367" s="53">
        <f>IFERROR(__xludf.DUMMYFUNCTION("""COMPUTED_VALUE"""),0.2)</f>
        <v>0.2</v>
      </c>
      <c r="K367" s="53">
        <f>IFERROR(__xludf.DUMMYFUNCTION("""COMPUTED_VALUE"""),2.3)</f>
        <v>2.3</v>
      </c>
      <c r="L367" s="53">
        <f>IFERROR(__xludf.DUMMYFUNCTION("""COMPUTED_VALUE"""),0.7)</f>
        <v>0.7</v>
      </c>
      <c r="M367" s="53">
        <f>IFERROR(__xludf.DUMMYFUNCTION("""COMPUTED_VALUE"""),0.3)</f>
        <v>0.3</v>
      </c>
      <c r="N367" s="53">
        <f>IFERROR(__xludf.DUMMYFUNCTION("""COMPUTED_VALUE"""),0.5)</f>
        <v>0.5</v>
      </c>
      <c r="O367" s="53">
        <f>IFERROR(__xludf.DUMMYFUNCTION("""COMPUTED_VALUE"""),51.85185185185185)</f>
        <v>51.85185185</v>
      </c>
      <c r="P367" s="53">
        <f>IFERROR(__xludf.DUMMYFUNCTION("""COMPUTED_VALUE"""),60.0)</f>
        <v>60</v>
      </c>
      <c r="Q367" s="53">
        <f>IFERROR(__xludf.DUMMYFUNCTION("""COMPUTED_VALUE"""),0.5)</f>
        <v>0.5</v>
      </c>
      <c r="R367" s="53">
        <f>IFERROR(__xludf.DUMMYFUNCTION("""COMPUTED_VALUE"""),-2.2846559169669907)</f>
        <v>-2.284655917</v>
      </c>
      <c r="S367" s="53">
        <f>IFERROR(__xludf.DUMMYFUNCTION("""COMPUTED_VALUE"""),-1.252712054226904)</f>
        <v>-1.252712054</v>
      </c>
      <c r="T367" s="53">
        <f>IFERROR(__xludf.DUMMYFUNCTION("""COMPUTED_VALUE"""),-1.5870326706003557)</f>
        <v>-1.587032671</v>
      </c>
      <c r="U367" s="53">
        <f>IFERROR(__xludf.DUMMYFUNCTION("""COMPUTED_VALUE"""),-1.603517358481987)</f>
        <v>-1.603517358</v>
      </c>
      <c r="V367" s="53">
        <f>IFERROR(__xludf.DUMMYFUNCTION("""COMPUTED_VALUE"""),-1.5147199775539493)</f>
        <v>-1.514719978</v>
      </c>
      <c r="W367" s="53">
        <f>IFERROR(__xludf.DUMMYFUNCTION("""COMPUTED_VALUE"""),-0.2643825572058105)</f>
        <v>-0.2643825572</v>
      </c>
      <c r="X367" s="53">
        <f>IFERROR(__xludf.DUMMYFUNCTION("""COMPUTED_VALUE"""),0.060772988666310396)</f>
        <v>0.06077298867</v>
      </c>
      <c r="Y367" s="53">
        <f>IFERROR(__xludf.DUMMYFUNCTION("""COMPUTED_VALUE"""),-0.4724464649467546)</f>
        <v>-0.4724464649</v>
      </c>
      <c r="Z367" s="53">
        <f>IFERROR(__xludf.DUMMYFUNCTION("""COMPUTED_VALUE"""),0.4640380197221629)</f>
        <v>0.4640380197</v>
      </c>
      <c r="AA367" t="str">
        <f>IFERROR(__xludf.DUMMYFUNCTION("REGEXREPLACE(REGEXREPLACE(REGEXREPLACE(REGEXREPLACE(REGEXREPLACE(REGEXREPLACE(E367,"","",),IF(Projections!$U$3="""",""PG"",),),IF(Projections!$V$3="""",""SG"",),),IF(Projections!$W$3="""",""SF"",),),IF(Projections!$X$3="""",""PF"",),),IF(Projections!$Y$3="&amp;""""",""C"",),)"),"C")</f>
        <v>C</v>
      </c>
    </row>
    <row r="368">
      <c r="B368">
        <f>IFERROR(__xludf.DUMMYFUNCTION("""COMPUTED_VALUE"""),362.0)</f>
        <v>362</v>
      </c>
      <c r="C368" t="str">
        <f>IFERROR(__xludf.DUMMYFUNCTION("""COMPUTED_VALUE"""),"Garrison Mathews")</f>
        <v>Garrison Mathews</v>
      </c>
      <c r="D368">
        <f>IFERROR(__xludf.DUMMYFUNCTION("""COMPUTED_VALUE"""),30.0)</f>
        <v>30</v>
      </c>
      <c r="E368" t="str">
        <f>IFERROR(__xludf.DUMMYFUNCTION("""COMPUTED_VALUE"""),"SG,SF")</f>
        <v>SG,SF</v>
      </c>
      <c r="F368" s="53">
        <f>IFERROR(__xludf.DUMMYFUNCTION("""COMPUTED_VALUE"""),-9.702806482946425)</f>
        <v>-9.702806483</v>
      </c>
      <c r="G368" s="53">
        <f>IFERROR(__xludf.DUMMYFUNCTION("""COMPUTED_VALUE"""),-6.189889005593848)</f>
        <v>-6.189889006</v>
      </c>
      <c r="H368" s="53">
        <f>IFERROR(__xludf.DUMMYFUNCTION("""COMPUTED_VALUE"""),3.512917477352577)</f>
        <v>3.512917477</v>
      </c>
      <c r="I368" s="53">
        <f>IFERROR(__xludf.DUMMYFUNCTION("""COMPUTED_VALUE"""),4.4)</f>
        <v>4.4</v>
      </c>
      <c r="J368" s="53">
        <f>IFERROR(__xludf.DUMMYFUNCTION("""COMPUTED_VALUE"""),1.0)</f>
        <v>1</v>
      </c>
      <c r="K368" s="53">
        <f>IFERROR(__xludf.DUMMYFUNCTION("""COMPUTED_VALUE"""),1.3)</f>
        <v>1.3</v>
      </c>
      <c r="L368" s="53">
        <f>IFERROR(__xludf.DUMMYFUNCTION("""COMPUTED_VALUE"""),0.4)</f>
        <v>0.4</v>
      </c>
      <c r="M368" s="53">
        <f>IFERROR(__xludf.DUMMYFUNCTION("""COMPUTED_VALUE"""),0.4)</f>
        <v>0.4</v>
      </c>
      <c r="N368" s="53">
        <f>IFERROR(__xludf.DUMMYFUNCTION("""COMPUTED_VALUE"""),0.1)</f>
        <v>0.1</v>
      </c>
      <c r="O368" s="53">
        <f>IFERROR(__xludf.DUMMYFUNCTION("""COMPUTED_VALUE"""),37.49999999999999)</f>
        <v>37.5</v>
      </c>
      <c r="P368" s="53">
        <f>IFERROR(__xludf.DUMMYFUNCTION("""COMPUTED_VALUE"""),81.81818181818181)</f>
        <v>81.81818182</v>
      </c>
      <c r="Q368" s="53">
        <f>IFERROR(__xludf.DUMMYFUNCTION("""COMPUTED_VALUE"""),0.3)</f>
        <v>0.3</v>
      </c>
      <c r="R368" s="53">
        <f>IFERROR(__xludf.DUMMYFUNCTION("""COMPUTED_VALUE"""),-2.1666874530960616)</f>
        <v>-2.166687453</v>
      </c>
      <c r="S368" s="53">
        <f>IFERROR(__xludf.DUMMYFUNCTION("""COMPUTED_VALUE"""),-0.5590090246596284)</f>
        <v>-0.5590090247</v>
      </c>
      <c r="T368" s="53">
        <f>IFERROR(__xludf.DUMMYFUNCTION("""COMPUTED_VALUE"""),-2.005186369160084)</f>
        <v>-2.005186369</v>
      </c>
      <c r="U368" s="53">
        <f>IFERROR(__xludf.DUMMYFUNCTION("""COMPUTED_VALUE"""),-1.7565247400165278)</f>
        <v>-1.75652474</v>
      </c>
      <c r="V368" s="53">
        <f>IFERROR(__xludf.DUMMYFUNCTION("""COMPUTED_VALUE"""),-1.2966700767544366)</f>
        <v>-1.296670077</v>
      </c>
      <c r="W368" s="53">
        <f>IFERROR(__xludf.DUMMYFUNCTION("""COMPUTED_VALUE"""),-0.7896459158928509)</f>
        <v>-0.7896459159</v>
      </c>
      <c r="X368" s="53">
        <f>IFERROR(__xludf.DUMMYFUNCTION("""COMPUTED_VALUE"""),-0.3867107675954385)</f>
        <v>-0.3867107676</v>
      </c>
      <c r="Y368" s="53">
        <f>IFERROR(__xludf.DUMMYFUNCTION("""COMPUTED_VALUE"""),0.07772735943349546)</f>
        <v>0.07772735943</v>
      </c>
      <c r="Z368" s="53">
        <f>IFERROR(__xludf.DUMMYFUNCTION("""COMPUTED_VALUE"""),0.5261305290516227)</f>
        <v>0.5261305291</v>
      </c>
      <c r="AA368" t="str">
        <f>IFERROR(__xludf.DUMMYFUNCTION("REGEXREPLACE(REGEXREPLACE(REGEXREPLACE(REGEXREPLACE(REGEXREPLACE(REGEXREPLACE(E368,"","",),IF(Projections!$U$3="""",""PG"",),),IF(Projections!$V$3="""",""SG"",),),IF(Projections!$W$3="""",""SF"",),),IF(Projections!$X$3="""",""PF"",),),IF(Projections!$Y$3="&amp;""""",""C"",),)"),"SGSF")</f>
        <v>SGSF</v>
      </c>
    </row>
    <row r="369">
      <c r="B369">
        <f>IFERROR(__xludf.DUMMYFUNCTION("""COMPUTED_VALUE"""),367.0)</f>
        <v>367</v>
      </c>
      <c r="C369" t="str">
        <f>IFERROR(__xludf.DUMMYFUNCTION("""COMPUTED_VALUE"""),"Malachi Flynn")</f>
        <v>Malachi Flynn</v>
      </c>
      <c r="D369">
        <f>IFERROR(__xludf.DUMMYFUNCTION("""COMPUTED_VALUE"""),60.0)</f>
        <v>60</v>
      </c>
      <c r="E369" t="str">
        <f>IFERROR(__xludf.DUMMYFUNCTION("""COMPUTED_VALUE"""),"PG")</f>
        <v>PG</v>
      </c>
      <c r="F369" s="53">
        <f>IFERROR(__xludf.DUMMYFUNCTION("""COMPUTED_VALUE"""),-9.84044049269394)</f>
        <v>-9.840440493</v>
      </c>
      <c r="G369" s="53">
        <f>IFERROR(__xludf.DUMMYFUNCTION("""COMPUTED_VALUE"""),-6.200022025077949)</f>
        <v>-6.200022025</v>
      </c>
      <c r="H369" s="53">
        <f>IFERROR(__xludf.DUMMYFUNCTION("""COMPUTED_VALUE"""),3.6404184676159907)</f>
        <v>3.640418468</v>
      </c>
      <c r="I369" s="53">
        <f>IFERROR(__xludf.DUMMYFUNCTION("""COMPUTED_VALUE"""),4.3)</f>
        <v>4.3</v>
      </c>
      <c r="J369" s="53">
        <f>IFERROR(__xludf.DUMMYFUNCTION("""COMPUTED_VALUE"""),0.8)</f>
        <v>0.8</v>
      </c>
      <c r="K369" s="53">
        <f>IFERROR(__xludf.DUMMYFUNCTION("""COMPUTED_VALUE"""),1.4)</f>
        <v>1.4</v>
      </c>
      <c r="L369" s="53">
        <f>IFERROR(__xludf.DUMMYFUNCTION("""COMPUTED_VALUE"""),1.4)</f>
        <v>1.4</v>
      </c>
      <c r="M369" s="53">
        <f>IFERROR(__xludf.DUMMYFUNCTION("""COMPUTED_VALUE"""),0.4)</f>
        <v>0.4</v>
      </c>
      <c r="N369" s="53">
        <f>IFERROR(__xludf.DUMMYFUNCTION("""COMPUTED_VALUE"""),0.1)</f>
        <v>0.1</v>
      </c>
      <c r="O369" s="53">
        <f>IFERROR(__xludf.DUMMYFUNCTION("""COMPUTED_VALUE"""),38.095238095238095)</f>
        <v>38.0952381</v>
      </c>
      <c r="P369" s="53">
        <f>IFERROR(__xludf.DUMMYFUNCTION("""COMPUTED_VALUE"""),66.66666666666667)</f>
        <v>66.66666667</v>
      </c>
      <c r="Q369" s="53">
        <f>IFERROR(__xludf.DUMMYFUNCTION("""COMPUTED_VALUE"""),0.4)</f>
        <v>0.4</v>
      </c>
      <c r="R369" s="53">
        <f>IFERROR(__xludf.DUMMYFUNCTION("""COMPUTED_VALUE"""),-2.1835400907919085)</f>
        <v>-2.183540091</v>
      </c>
      <c r="S369" s="53">
        <f>IFERROR(__xludf.DUMMYFUNCTION("""COMPUTED_VALUE"""),-0.7324347820514473)</f>
        <v>-0.7324347821</v>
      </c>
      <c r="T369" s="53">
        <f>IFERROR(__xludf.DUMMYFUNCTION("""COMPUTED_VALUE"""),-1.963370999304111)</f>
        <v>-1.963370999</v>
      </c>
      <c r="U369" s="53">
        <f>IFERROR(__xludf.DUMMYFUNCTION("""COMPUTED_VALUE"""),-1.246500134901392)</f>
        <v>-1.246500135</v>
      </c>
      <c r="V369" s="53">
        <f>IFERROR(__xludf.DUMMYFUNCTION("""COMPUTED_VALUE"""),-1.2966700767544366)</f>
        <v>-1.296670077</v>
      </c>
      <c r="W369" s="53">
        <f>IFERROR(__xludf.DUMMYFUNCTION("""COMPUTED_VALUE"""),-0.7896459158928509)</f>
        <v>-0.7896459159</v>
      </c>
      <c r="X369" s="53">
        <f>IFERROR(__xludf.DUMMYFUNCTION("""COMPUTED_VALUE"""),-0.48258625673837)</f>
        <v>-0.4825862567</v>
      </c>
      <c r="Y369" s="53">
        <f>IFERROR(__xludf.DUMMYFUNCTION("""COMPUTED_VALUE"""),-0.18389813382223172)</f>
        <v>-0.1838981338</v>
      </c>
      <c r="Z369" s="53">
        <f>IFERROR(__xludf.DUMMYFUNCTION("""COMPUTED_VALUE"""),0.4950842743868928)</f>
        <v>0.4950842744</v>
      </c>
      <c r="AA369" t="str">
        <f>IFERROR(__xludf.DUMMYFUNCTION("REGEXREPLACE(REGEXREPLACE(REGEXREPLACE(REGEXREPLACE(REGEXREPLACE(REGEXREPLACE(E369,"","",),IF(Projections!$U$3="""",""PG"",),),IF(Projections!$V$3="""",""SG"",),),IF(Projections!$W$3="""",""SF"",),),IF(Projections!$X$3="""",""PF"",),),IF(Projections!$Y$3="&amp;""""",""C"",),)"),"PG")</f>
        <v>PG</v>
      </c>
    </row>
    <row r="370">
      <c r="B370">
        <f>IFERROR(__xludf.DUMMYFUNCTION("""COMPUTED_VALUE"""),364.0)</f>
        <v>364</v>
      </c>
      <c r="C370" t="str">
        <f>IFERROR(__xludf.DUMMYFUNCTION("""COMPUTED_VALUE"""),"Landry Shamet")</f>
        <v>Landry Shamet</v>
      </c>
      <c r="D370">
        <f>IFERROR(__xludf.DUMMYFUNCTION("""COMPUTED_VALUE"""),50.0)</f>
        <v>50</v>
      </c>
      <c r="E370" t="str">
        <f>IFERROR(__xludf.DUMMYFUNCTION("""COMPUTED_VALUE"""),"PG,SG")</f>
        <v>PG,SG</v>
      </c>
      <c r="F370" s="53">
        <f>IFERROR(__xludf.DUMMYFUNCTION("""COMPUTED_VALUE"""),-9.757903992651245)</f>
        <v>-9.757903993</v>
      </c>
      <c r="G370" s="53">
        <f>IFERROR(__xludf.DUMMYFUNCTION("""COMPUTED_VALUE"""),-6.201080789553765)</f>
        <v>-6.20108079</v>
      </c>
      <c r="H370" s="53">
        <f>IFERROR(__xludf.DUMMYFUNCTION("""COMPUTED_VALUE"""),3.5568232030974807)</f>
        <v>3.556823203</v>
      </c>
      <c r="I370" s="53">
        <f>IFERROR(__xludf.DUMMYFUNCTION("""COMPUTED_VALUE"""),4.7)</f>
        <v>4.7</v>
      </c>
      <c r="J370" s="53">
        <f>IFERROR(__xludf.DUMMYFUNCTION("""COMPUTED_VALUE"""),1.0)</f>
        <v>1</v>
      </c>
      <c r="K370" s="53">
        <f>IFERROR(__xludf.DUMMYFUNCTION("""COMPUTED_VALUE"""),1.0)</f>
        <v>1</v>
      </c>
      <c r="L370" s="53">
        <f>IFERROR(__xludf.DUMMYFUNCTION("""COMPUTED_VALUE"""),1.0)</f>
        <v>1</v>
      </c>
      <c r="M370" s="53">
        <f>IFERROR(__xludf.DUMMYFUNCTION("""COMPUTED_VALUE"""),0.3)</f>
        <v>0.3</v>
      </c>
      <c r="N370" s="53">
        <f>IFERROR(__xludf.DUMMYFUNCTION("""COMPUTED_VALUE"""),0.1)</f>
        <v>0.1</v>
      </c>
      <c r="O370" s="53">
        <f>IFERROR(__xludf.DUMMYFUNCTION("""COMPUTED_VALUE"""),40.0)</f>
        <v>40</v>
      </c>
      <c r="P370" s="53">
        <f>IFERROR(__xludf.DUMMYFUNCTION("""COMPUTED_VALUE"""),85.71428571428572)</f>
        <v>85.71428571</v>
      </c>
      <c r="Q370" s="53">
        <f>IFERROR(__xludf.DUMMYFUNCTION("""COMPUTED_VALUE"""),0.4)</f>
        <v>0.4</v>
      </c>
      <c r="R370" s="53">
        <f>IFERROR(__xludf.DUMMYFUNCTION("""COMPUTED_VALUE"""),-2.116129540008521)</f>
        <v>-2.11612954</v>
      </c>
      <c r="S370" s="53">
        <f>IFERROR(__xludf.DUMMYFUNCTION("""COMPUTED_VALUE"""),-0.5590090246596284)</f>
        <v>-0.5590090247</v>
      </c>
      <c r="T370" s="53">
        <f>IFERROR(__xludf.DUMMYFUNCTION("""COMPUTED_VALUE"""),-2.1306324787280024)</f>
        <v>-2.130632479</v>
      </c>
      <c r="U370" s="53">
        <f>IFERROR(__xludf.DUMMYFUNCTION("""COMPUTED_VALUE"""),-1.4505099769474463)</f>
        <v>-1.450509977</v>
      </c>
      <c r="V370" s="53">
        <f>IFERROR(__xludf.DUMMYFUNCTION("""COMPUTED_VALUE"""),-1.5147199775539493)</f>
        <v>-1.514719978</v>
      </c>
      <c r="W370" s="53">
        <f>IFERROR(__xludf.DUMMYFUNCTION("""COMPUTED_VALUE"""),-0.7896459158928509)</f>
        <v>-0.7896459159</v>
      </c>
      <c r="X370" s="53">
        <f>IFERROR(__xludf.DUMMYFUNCTION("""COMPUTED_VALUE"""),-0.383501956571727)</f>
        <v>-0.3835019566</v>
      </c>
      <c r="Y370" s="53">
        <f>IFERROR(__xludf.DUMMYFUNCTION("""COMPUTED_VALUE"""),0.11735132769346612)</f>
        <v>0.1173513277</v>
      </c>
      <c r="Z370" s="53">
        <f>IFERROR(__xludf.DUMMYFUNCTION("""COMPUTED_VALUE"""),0.4950842743868928)</f>
        <v>0.4950842744</v>
      </c>
      <c r="AA370" t="str">
        <f>IFERROR(__xludf.DUMMYFUNCTION("REGEXREPLACE(REGEXREPLACE(REGEXREPLACE(REGEXREPLACE(REGEXREPLACE(REGEXREPLACE(E370,"","",),IF(Projections!$U$3="""",""PG"",),),IF(Projections!$V$3="""",""SG"",),),IF(Projections!$W$3="""",""SF"",),),IF(Projections!$X$3="""",""PF"",),),IF(Projections!$Y$3="&amp;""""",""C"",),)"),"PGSG")</f>
        <v>PGSG</v>
      </c>
    </row>
    <row r="371">
      <c r="B371">
        <f>IFERROR(__xludf.DUMMYFUNCTION("""COMPUTED_VALUE"""),360.0)</f>
        <v>360</v>
      </c>
      <c r="C371" t="str">
        <f>IFERROR(__xludf.DUMMYFUNCTION("""COMPUTED_VALUE"""),"Hunter Tyson")</f>
        <v>Hunter Tyson</v>
      </c>
      <c r="D371">
        <f>IFERROR(__xludf.DUMMYFUNCTION("""COMPUTED_VALUE"""),67.0)</f>
        <v>67</v>
      </c>
      <c r="E371" t="str">
        <f>IFERROR(__xludf.DUMMYFUNCTION("""COMPUTED_VALUE"""),"PF")</f>
        <v>PF</v>
      </c>
      <c r="F371" s="53">
        <f>IFERROR(__xludf.DUMMYFUNCTION("""COMPUTED_VALUE"""),-9.624149799503924)</f>
        <v>-9.6241498</v>
      </c>
      <c r="G371" s="53">
        <f>IFERROR(__xludf.DUMMYFUNCTION("""COMPUTED_VALUE"""),-6.218394737083776)</f>
        <v>-6.218394737</v>
      </c>
      <c r="H371" s="53">
        <f>IFERROR(__xludf.DUMMYFUNCTION("""COMPUTED_VALUE"""),3.4057550624201474)</f>
        <v>3.405755062</v>
      </c>
      <c r="I371" s="53">
        <f>IFERROR(__xludf.DUMMYFUNCTION("""COMPUTED_VALUE"""),5.6)</f>
        <v>5.6</v>
      </c>
      <c r="J371" s="53">
        <f>IFERROR(__xludf.DUMMYFUNCTION("""COMPUTED_VALUE"""),0.9)</f>
        <v>0.9</v>
      </c>
      <c r="K371" s="53">
        <f>IFERROR(__xludf.DUMMYFUNCTION("""COMPUTED_VALUE"""),1.9)</f>
        <v>1.9</v>
      </c>
      <c r="L371" s="53">
        <f>IFERROR(__xludf.DUMMYFUNCTION("""COMPUTED_VALUE"""),0.4)</f>
        <v>0.4</v>
      </c>
      <c r="M371" s="53">
        <f>IFERROR(__xludf.DUMMYFUNCTION("""COMPUTED_VALUE"""),0.2)</f>
        <v>0.2</v>
      </c>
      <c r="N371" s="53">
        <f>IFERROR(__xludf.DUMMYFUNCTION("""COMPUTED_VALUE"""),0.2)</f>
        <v>0.2</v>
      </c>
      <c r="O371" s="53">
        <f>IFERROR(__xludf.DUMMYFUNCTION("""COMPUTED_VALUE"""),44.680851063829785)</f>
        <v>44.68085106</v>
      </c>
      <c r="P371" s="53">
        <f>IFERROR(__xludf.DUMMYFUNCTION("""COMPUTED_VALUE"""),83.33333333333334)</f>
        <v>83.33333333</v>
      </c>
      <c r="Q371" s="53">
        <f>IFERROR(__xludf.DUMMYFUNCTION("""COMPUTED_VALUE"""),0.4)</f>
        <v>0.4</v>
      </c>
      <c r="R371" s="53">
        <f>IFERROR(__xludf.DUMMYFUNCTION("""COMPUTED_VALUE"""),-1.9644558007458979)</f>
        <v>-1.964455801</v>
      </c>
      <c r="S371" s="53">
        <f>IFERROR(__xludf.DUMMYFUNCTION("""COMPUTED_VALUE"""),-0.6457219033555379)</f>
        <v>-0.6457219034</v>
      </c>
      <c r="T371" s="53">
        <f>IFERROR(__xludf.DUMMYFUNCTION("""COMPUTED_VALUE"""),-1.7542941500242468)</f>
        <v>-1.75429415</v>
      </c>
      <c r="U371" s="53">
        <f>IFERROR(__xludf.DUMMYFUNCTION("""COMPUTED_VALUE"""),-1.7565247400165278)</f>
        <v>-1.75652474</v>
      </c>
      <c r="V371" s="53">
        <f>IFERROR(__xludf.DUMMYFUNCTION("""COMPUTED_VALUE"""),-1.732769878353462)</f>
        <v>-1.732769878</v>
      </c>
      <c r="W371" s="53">
        <f>IFERROR(__xludf.DUMMYFUNCTION("""COMPUTED_VALUE"""),-0.6583300762210907)</f>
        <v>-0.6583300762</v>
      </c>
      <c r="X371" s="53">
        <f>IFERROR(__xludf.DUMMYFUNCTION("""COMPUTED_VALUE"""),-0.23086449254212388)</f>
        <v>-0.2308644925</v>
      </c>
      <c r="Y371" s="53">
        <f>IFERROR(__xludf.DUMMYFUNCTION("""COMPUTED_VALUE"""),0.0650262290423206)</f>
        <v>0.06502622904</v>
      </c>
      <c r="Z371" s="53">
        <f>IFERROR(__xludf.DUMMYFUNCTION("""COMPUTED_VALUE"""),0.4950842743868928)</f>
        <v>0.4950842744</v>
      </c>
      <c r="AA371" t="str">
        <f>IFERROR(__xludf.DUMMYFUNCTION("REGEXREPLACE(REGEXREPLACE(REGEXREPLACE(REGEXREPLACE(REGEXREPLACE(REGEXREPLACE(E371,"","",),IF(Projections!$U$3="""",""PG"",),),IF(Projections!$V$3="""",""SG"",),),IF(Projections!$W$3="""",""SF"",),),IF(Projections!$X$3="""",""PF"",),),IF(Projections!$Y$3="&amp;""""",""C"",),)"),"PF")</f>
        <v>PF</v>
      </c>
    </row>
    <row r="372">
      <c r="B372">
        <f>IFERROR(__xludf.DUMMYFUNCTION("""COMPUTED_VALUE"""),361.0)</f>
        <v>361</v>
      </c>
      <c r="C372" t="str">
        <f>IFERROR(__xludf.DUMMYFUNCTION("""COMPUTED_VALUE"""),"Kira Lewis Jr.")</f>
        <v>Kira Lewis Jr.</v>
      </c>
      <c r="D372">
        <f>IFERROR(__xludf.DUMMYFUNCTION("""COMPUTED_VALUE"""),33.0)</f>
        <v>33</v>
      </c>
      <c r="E372" t="str">
        <f>IFERROR(__xludf.DUMMYFUNCTION("""COMPUTED_VALUE"""),"PG")</f>
        <v>PG</v>
      </c>
      <c r="F372" s="53">
        <f>IFERROR(__xludf.DUMMYFUNCTION("""COMPUTED_VALUE"""),-9.672175487295798)</f>
        <v>-9.672175487</v>
      </c>
      <c r="G372" s="53">
        <f>IFERROR(__xludf.DUMMYFUNCTION("""COMPUTED_VALUE"""),-6.246962036900978)</f>
        <v>-6.246962037</v>
      </c>
      <c r="H372" s="53">
        <f>IFERROR(__xludf.DUMMYFUNCTION("""COMPUTED_VALUE"""),3.4252134503948195)</f>
        <v>3.42521345</v>
      </c>
      <c r="I372" s="53">
        <f>IFERROR(__xludf.DUMMYFUNCTION("""COMPUTED_VALUE"""),4.7)</f>
        <v>4.7</v>
      </c>
      <c r="J372" s="53">
        <f>IFERROR(__xludf.DUMMYFUNCTION("""COMPUTED_VALUE"""),0.5)</f>
        <v>0.5</v>
      </c>
      <c r="K372" s="53">
        <f>IFERROR(__xludf.DUMMYFUNCTION("""COMPUTED_VALUE"""),1.3)</f>
        <v>1.3</v>
      </c>
      <c r="L372" s="53">
        <f>IFERROR(__xludf.DUMMYFUNCTION("""COMPUTED_VALUE"""),1.3)</f>
        <v>1.3</v>
      </c>
      <c r="M372" s="53">
        <f>IFERROR(__xludf.DUMMYFUNCTION("""COMPUTED_VALUE"""),0.4)</f>
        <v>0.4</v>
      </c>
      <c r="N372" s="53">
        <f>IFERROR(__xludf.DUMMYFUNCTION("""COMPUTED_VALUE"""),0.1)</f>
        <v>0.1</v>
      </c>
      <c r="O372" s="53">
        <f>IFERROR(__xludf.DUMMYFUNCTION("""COMPUTED_VALUE"""),41.86046511627907)</f>
        <v>41.86046512</v>
      </c>
      <c r="P372" s="53">
        <f>IFERROR(__xludf.DUMMYFUNCTION("""COMPUTED_VALUE"""),83.33333333333334)</f>
        <v>83.33333333</v>
      </c>
      <c r="Q372" s="53">
        <f>IFERROR(__xludf.DUMMYFUNCTION("""COMPUTED_VALUE"""),0.7)</f>
        <v>0.7</v>
      </c>
      <c r="R372" s="53">
        <f>IFERROR(__xludf.DUMMYFUNCTION("""COMPUTED_VALUE"""),-2.116129540008521)</f>
        <v>-2.11612954</v>
      </c>
      <c r="S372" s="53">
        <f>IFERROR(__xludf.DUMMYFUNCTION("""COMPUTED_VALUE"""),-0.9925734181391757)</f>
        <v>-0.9925734181</v>
      </c>
      <c r="T372" s="53">
        <f>IFERROR(__xludf.DUMMYFUNCTION("""COMPUTED_VALUE"""),-2.005186369160084)</f>
        <v>-2.005186369</v>
      </c>
      <c r="U372" s="53">
        <f>IFERROR(__xludf.DUMMYFUNCTION("""COMPUTED_VALUE"""),-1.2975025954129054)</f>
        <v>-1.297502595</v>
      </c>
      <c r="V372" s="53">
        <f>IFERROR(__xludf.DUMMYFUNCTION("""COMPUTED_VALUE"""),-1.2966700767544366)</f>
        <v>-1.296670077</v>
      </c>
      <c r="W372" s="53">
        <f>IFERROR(__xludf.DUMMYFUNCTION("""COMPUTED_VALUE"""),-0.7896459158928509)</f>
        <v>-0.7896459159</v>
      </c>
      <c r="X372" s="53">
        <f>IFERROR(__xludf.DUMMYFUNCTION("""COMPUTED_VALUE"""),-0.3323554009765499)</f>
        <v>-0.332355401</v>
      </c>
      <c r="Y372" s="53">
        <f>IFERROR(__xludf.DUMMYFUNCTION("""COMPUTED_VALUE"""),0.0650262290423206)</f>
        <v>0.06502622904</v>
      </c>
      <c r="Z372" s="53">
        <f>IFERROR(__xludf.DUMMYFUNCTION("""COMPUTED_VALUE"""),0.4019455103927031)</f>
        <v>0.4019455104</v>
      </c>
      <c r="AA372" t="str">
        <f>IFERROR(__xludf.DUMMYFUNCTION("REGEXREPLACE(REGEXREPLACE(REGEXREPLACE(REGEXREPLACE(REGEXREPLACE(REGEXREPLACE(E372,"","",),IF(Projections!$U$3="""",""PG"",),),IF(Projections!$V$3="""",""SG"",),),IF(Projections!$W$3="""",""SF"",),),IF(Projections!$X$3="""",""PF"",),),IF(Projections!$Y$3="&amp;""""",""C"",),)"),"PG")</f>
        <v>PG</v>
      </c>
    </row>
    <row r="373">
      <c r="B373">
        <f>IFERROR(__xludf.DUMMYFUNCTION("""COMPUTED_VALUE"""),366.0)</f>
        <v>366</v>
      </c>
      <c r="C373" t="str">
        <f>IFERROR(__xludf.DUMMYFUNCTION("""COMPUTED_VALUE"""),"JaVale McGee")</f>
        <v>JaVale McGee</v>
      </c>
      <c r="D373">
        <f>IFERROR(__xludf.DUMMYFUNCTION("""COMPUTED_VALUE"""),10.0)</f>
        <v>10</v>
      </c>
      <c r="E373" t="str">
        <f>IFERROR(__xludf.DUMMYFUNCTION("""COMPUTED_VALUE"""),"C")</f>
        <v>C</v>
      </c>
      <c r="F373" s="53">
        <f>IFERROR(__xludf.DUMMYFUNCTION("""COMPUTED_VALUE"""),-9.830533802539708)</f>
        <v>-9.830533803</v>
      </c>
      <c r="G373" s="53">
        <f>IFERROR(__xludf.DUMMYFUNCTION("""COMPUTED_VALUE"""),-6.2558594202647875)</f>
        <v>-6.25585942</v>
      </c>
      <c r="H373" s="53">
        <f>IFERROR(__xludf.DUMMYFUNCTION("""COMPUTED_VALUE"""),3.574674382274921)</f>
        <v>3.574674382</v>
      </c>
      <c r="I373" s="53">
        <f>IFERROR(__xludf.DUMMYFUNCTION("""COMPUTED_VALUE"""),4.2)</f>
        <v>4.2</v>
      </c>
      <c r="J373" s="53">
        <f>IFERROR(__xludf.DUMMYFUNCTION("""COMPUTED_VALUE"""),0.0)</f>
        <v>0</v>
      </c>
      <c r="K373" s="53">
        <f>IFERROR(__xludf.DUMMYFUNCTION("""COMPUTED_VALUE"""),3.0)</f>
        <v>3</v>
      </c>
      <c r="L373" s="53">
        <f>IFERROR(__xludf.DUMMYFUNCTION("""COMPUTED_VALUE"""),0.3)</f>
        <v>0.3</v>
      </c>
      <c r="M373" s="53">
        <f>IFERROR(__xludf.DUMMYFUNCTION("""COMPUTED_VALUE"""),0.1)</f>
        <v>0.1</v>
      </c>
      <c r="N373" s="53">
        <f>IFERROR(__xludf.DUMMYFUNCTION("""COMPUTED_VALUE"""),0.5)</f>
        <v>0.5</v>
      </c>
      <c r="O373" s="53">
        <f>IFERROR(__xludf.DUMMYFUNCTION("""COMPUTED_VALUE"""),62.06896551724138)</f>
        <v>62.06896552</v>
      </c>
      <c r="P373" s="53">
        <f>IFERROR(__xludf.DUMMYFUNCTION("""COMPUTED_VALUE"""),66.66666666666666)</f>
        <v>66.66666667</v>
      </c>
      <c r="Q373" s="53">
        <f>IFERROR(__xludf.DUMMYFUNCTION("""COMPUTED_VALUE"""),0.7)</f>
        <v>0.7</v>
      </c>
      <c r="R373" s="53">
        <f>IFERROR(__xludf.DUMMYFUNCTION("""COMPUTED_VALUE"""),-2.200392728487756)</f>
        <v>-2.200392728</v>
      </c>
      <c r="S373" s="53">
        <f>IFERROR(__xludf.DUMMYFUNCTION("""COMPUTED_VALUE"""),-1.4261378116187227)</f>
        <v>-1.426137812</v>
      </c>
      <c r="T373" s="53">
        <f>IFERROR(__xludf.DUMMYFUNCTION("""COMPUTED_VALUE"""),-1.2943250816085456)</f>
        <v>-1.294325082</v>
      </c>
      <c r="U373" s="53">
        <f>IFERROR(__xludf.DUMMYFUNCTION("""COMPUTED_VALUE"""),-1.8075272005280414)</f>
        <v>-1.807527201</v>
      </c>
      <c r="V373" s="53">
        <f>IFERROR(__xludf.DUMMYFUNCTION("""COMPUTED_VALUE"""),-1.9508197791529749)</f>
        <v>-1.950819779</v>
      </c>
      <c r="W373" s="53">
        <f>IFERROR(__xludf.DUMMYFUNCTION("""COMPUTED_VALUE"""),-0.2643825572058105)</f>
        <v>-0.2643825572</v>
      </c>
      <c r="X373" s="53">
        <f>IFERROR(__xludf.DUMMYFUNCTION("""COMPUTED_VALUE"""),0.36123470018995035)</f>
        <v>0.3612347002</v>
      </c>
      <c r="Y373" s="53">
        <f>IFERROR(__xludf.DUMMYFUNCTION("""COMPUTED_VALUE"""),-0.27584720073334784)</f>
        <v>-0.2758472007</v>
      </c>
      <c r="Z373" s="53">
        <f>IFERROR(__xludf.DUMMYFUNCTION("""COMPUTED_VALUE"""),0.4019455103927031)</f>
        <v>0.4019455104</v>
      </c>
      <c r="AA373" t="str">
        <f>IFERROR(__xludf.DUMMYFUNCTION("REGEXREPLACE(REGEXREPLACE(REGEXREPLACE(REGEXREPLACE(REGEXREPLACE(REGEXREPLACE(E373,"","",),IF(Projections!$U$3="""",""PG"",),),IF(Projections!$V$3="""",""SG"",),),IF(Projections!$W$3="""",""SF"",),),IF(Projections!$X$3="""",""PF"",),),IF(Projections!$Y$3="&amp;""""",""C"",),)"),"C")</f>
        <v>C</v>
      </c>
    </row>
    <row r="374">
      <c r="B374">
        <f>IFERROR(__xludf.DUMMYFUNCTION("""COMPUTED_VALUE"""),380.0)</f>
        <v>380</v>
      </c>
      <c r="C374" t="str">
        <f>IFERROR(__xludf.DUMMYFUNCTION("""COMPUTED_VALUE"""),"Micah Potter")</f>
        <v>Micah Potter</v>
      </c>
      <c r="D374">
        <f>IFERROR(__xludf.DUMMYFUNCTION("""COMPUTED_VALUE"""),10.0)</f>
        <v>10</v>
      </c>
      <c r="E374" t="str">
        <f>IFERROR(__xludf.DUMMYFUNCTION("""COMPUTED_VALUE"""),"PF,C")</f>
        <v>PF,C</v>
      </c>
      <c r="F374" s="53">
        <f>IFERROR(__xludf.DUMMYFUNCTION("""COMPUTED_VALUE"""),-10.123982439147744)</f>
        <v>-10.12398244</v>
      </c>
      <c r="G374" s="53">
        <f>IFERROR(__xludf.DUMMYFUNCTION("""COMPUTED_VALUE"""),-6.26678780825695)</f>
        <v>-6.266787808</v>
      </c>
      <c r="H374" s="53">
        <f>IFERROR(__xludf.DUMMYFUNCTION("""COMPUTED_VALUE"""),3.8571946308907936)</f>
        <v>3.857194631</v>
      </c>
      <c r="I374" s="53">
        <f>IFERROR(__xludf.DUMMYFUNCTION("""COMPUTED_VALUE"""),3.7)</f>
        <v>3.7</v>
      </c>
      <c r="J374" s="53">
        <f>IFERROR(__xludf.DUMMYFUNCTION("""COMPUTED_VALUE"""),0.4)</f>
        <v>0.4</v>
      </c>
      <c r="K374" s="53">
        <f>IFERROR(__xludf.DUMMYFUNCTION("""COMPUTED_VALUE"""),2.5)</f>
        <v>2.5</v>
      </c>
      <c r="L374" s="53">
        <f>IFERROR(__xludf.DUMMYFUNCTION("""COMPUTED_VALUE"""),0.4)</f>
        <v>0.4</v>
      </c>
      <c r="M374" s="53">
        <f>IFERROR(__xludf.DUMMYFUNCTION("""COMPUTED_VALUE"""),0.2)</f>
        <v>0.2</v>
      </c>
      <c r="N374" s="53">
        <f>IFERROR(__xludf.DUMMYFUNCTION("""COMPUTED_VALUE"""),0.1)</f>
        <v>0.1</v>
      </c>
      <c r="O374" s="53">
        <f>IFERROR(__xludf.DUMMYFUNCTION("""COMPUTED_VALUE"""),55.55555555555555)</f>
        <v>55.55555556</v>
      </c>
      <c r="P374" s="53">
        <f>IFERROR(__xludf.DUMMYFUNCTION("""COMPUTED_VALUE"""),66.66666666666667)</f>
        <v>66.66666667</v>
      </c>
      <c r="Q374" s="53">
        <f>IFERROR(__xludf.DUMMYFUNCTION("""COMPUTED_VALUE"""),0.3)</f>
        <v>0.3</v>
      </c>
      <c r="R374" s="53">
        <f>IFERROR(__xludf.DUMMYFUNCTION("""COMPUTED_VALUE"""),-2.2846559169669907)</f>
        <v>-2.284655917</v>
      </c>
      <c r="S374" s="53">
        <f>IFERROR(__xludf.DUMMYFUNCTION("""COMPUTED_VALUE"""),-1.079286296835085)</f>
        <v>-1.079286297</v>
      </c>
      <c r="T374" s="53">
        <f>IFERROR(__xludf.DUMMYFUNCTION("""COMPUTED_VALUE"""),-1.50340193088841)</f>
        <v>-1.503401931</v>
      </c>
      <c r="U374" s="53">
        <f>IFERROR(__xludf.DUMMYFUNCTION("""COMPUTED_VALUE"""),-1.7565247400165278)</f>
        <v>-1.75652474</v>
      </c>
      <c r="V374" s="53">
        <f>IFERROR(__xludf.DUMMYFUNCTION("""COMPUTED_VALUE"""),-1.732769878353462)</f>
        <v>-1.732769878</v>
      </c>
      <c r="W374" s="53">
        <f>IFERROR(__xludf.DUMMYFUNCTION("""COMPUTED_VALUE"""),-0.7896459158928509)</f>
        <v>-0.7896459159</v>
      </c>
      <c r="X374" s="53">
        <f>IFERROR(__xludf.DUMMYFUNCTION("""COMPUTED_VALUE"""),0.160659491588881)</f>
        <v>0.1606594916</v>
      </c>
      <c r="Y374" s="53">
        <f>IFERROR(__xludf.DUMMYFUNCTION("""COMPUTED_VALUE"""),-0.09194906691111586)</f>
        <v>-0.09194906691</v>
      </c>
      <c r="Z374" s="53">
        <f>IFERROR(__xludf.DUMMYFUNCTION("""COMPUTED_VALUE"""),0.5261305290516227)</f>
        <v>0.5261305291</v>
      </c>
      <c r="AA374" t="str">
        <f>IFERROR(__xludf.DUMMYFUNCTION("REGEXREPLACE(REGEXREPLACE(REGEXREPLACE(REGEXREPLACE(REGEXREPLACE(REGEXREPLACE(E374,"","",),IF(Projections!$U$3="""",""PG"",),),IF(Projections!$V$3="""",""SG"",),),IF(Projections!$W$3="""",""SF"",),),IF(Projections!$X$3="""",""PF"",),),IF(Projections!$Y$3="&amp;""""",""C"",),)"),"PFC")</f>
        <v>PFC</v>
      </c>
    </row>
    <row r="375">
      <c r="B375">
        <f>IFERROR(__xludf.DUMMYFUNCTION("""COMPUTED_VALUE"""),368.0)</f>
        <v>368</v>
      </c>
      <c r="C375" t="str">
        <f>IFERROR(__xludf.DUMMYFUNCTION("""COMPUTED_VALUE"""),"Patrick Baldwin Jr.")</f>
        <v>Patrick Baldwin Jr.</v>
      </c>
      <c r="D375">
        <f>IFERROR(__xludf.DUMMYFUNCTION("""COMPUTED_VALUE"""),40.0)</f>
        <v>40</v>
      </c>
      <c r="E375" t="str">
        <f>IFERROR(__xludf.DUMMYFUNCTION("""COMPUTED_VALUE"""),"SF,PF")</f>
        <v>SF,PF</v>
      </c>
      <c r="F375" s="53">
        <f>IFERROR(__xludf.DUMMYFUNCTION("""COMPUTED_VALUE"""),-9.846008782255986)</f>
        <v>-9.846008782</v>
      </c>
      <c r="G375" s="53">
        <f>IFERROR(__xludf.DUMMYFUNCTION("""COMPUTED_VALUE"""),-6.288073226272894)</f>
        <v>-6.288073226</v>
      </c>
      <c r="H375" s="53">
        <f>IFERROR(__xludf.DUMMYFUNCTION("""COMPUTED_VALUE"""),3.557935555983092)</f>
        <v>3.557935556</v>
      </c>
      <c r="I375" s="53">
        <f>IFERROR(__xludf.DUMMYFUNCTION("""COMPUTED_VALUE"""),4.6)</f>
        <v>4.6</v>
      </c>
      <c r="J375" s="53">
        <f>IFERROR(__xludf.DUMMYFUNCTION("""COMPUTED_VALUE"""),1.2)</f>
        <v>1.2</v>
      </c>
      <c r="K375" s="53">
        <f>IFERROR(__xludf.DUMMYFUNCTION("""COMPUTED_VALUE"""),1.5)</f>
        <v>1.5</v>
      </c>
      <c r="L375" s="53">
        <f>IFERROR(__xludf.DUMMYFUNCTION("""COMPUTED_VALUE"""),0.4)</f>
        <v>0.4</v>
      </c>
      <c r="M375" s="53">
        <f>IFERROR(__xludf.DUMMYFUNCTION("""COMPUTED_VALUE"""),0.2)</f>
        <v>0.2</v>
      </c>
      <c r="N375" s="53">
        <f>IFERROR(__xludf.DUMMYFUNCTION("""COMPUTED_VALUE"""),0.2)</f>
        <v>0.2</v>
      </c>
      <c r="O375" s="53">
        <f>IFERROR(__xludf.DUMMYFUNCTION("""COMPUTED_VALUE"""),39.024390243902445)</f>
        <v>39.02439024</v>
      </c>
      <c r="P375" s="53">
        <f>IFERROR(__xludf.DUMMYFUNCTION("""COMPUTED_VALUE"""),100.0)</f>
        <v>100</v>
      </c>
      <c r="Q375" s="53">
        <f>IFERROR(__xludf.DUMMYFUNCTION("""COMPUTED_VALUE"""),0.4)</f>
        <v>0.4</v>
      </c>
      <c r="R375" s="53">
        <f>IFERROR(__xludf.DUMMYFUNCTION("""COMPUTED_VALUE"""),-2.132982177704368)</f>
        <v>-2.132982178</v>
      </c>
      <c r="S375" s="53">
        <f>IFERROR(__xludf.DUMMYFUNCTION("""COMPUTED_VALUE"""),-0.38558326726780967)</f>
        <v>-0.3855832673</v>
      </c>
      <c r="T375" s="53">
        <f>IFERROR(__xludf.DUMMYFUNCTION("""COMPUTED_VALUE"""),-1.9215556294481384)</f>
        <v>-1.921555629</v>
      </c>
      <c r="U375" s="53">
        <f>IFERROR(__xludf.DUMMYFUNCTION("""COMPUTED_VALUE"""),-1.7565247400165278)</f>
        <v>-1.75652474</v>
      </c>
      <c r="V375" s="53">
        <f>IFERROR(__xludf.DUMMYFUNCTION("""COMPUTED_VALUE"""),-1.732769878353462)</f>
        <v>-1.732769878</v>
      </c>
      <c r="W375" s="53">
        <f>IFERROR(__xludf.DUMMYFUNCTION("""COMPUTED_VALUE"""),-0.6583300762210907)</f>
        <v>-0.6583300762</v>
      </c>
      <c r="X375" s="53">
        <f>IFERROR(__xludf.DUMMYFUNCTION("""COMPUTED_VALUE"""),-0.4330441066550482)</f>
        <v>-0.4330441067</v>
      </c>
      <c r="Y375" s="53">
        <f>IFERROR(__xludf.DUMMYFUNCTION("""COMPUTED_VALUE"""),0.10465019730229097)</f>
        <v>0.1046501973</v>
      </c>
      <c r="Z375" s="53">
        <f>IFERROR(__xludf.DUMMYFUNCTION("""COMPUTED_VALUE"""),0.4950842743868928)</f>
        <v>0.4950842744</v>
      </c>
      <c r="AA375" t="str">
        <f>IFERROR(__xludf.DUMMYFUNCTION("REGEXREPLACE(REGEXREPLACE(REGEXREPLACE(REGEXREPLACE(REGEXREPLACE(REGEXREPLACE(E375,"","",),IF(Projections!$U$3="""",""PG"",),),IF(Projections!$V$3="""",""SG"",),),IF(Projections!$W$3="""",""SF"",),),IF(Projections!$X$3="""",""PF"",),),IF(Projections!$Y$3="&amp;""""",""C"",),)"),"SFPF")</f>
        <v>SFPF</v>
      </c>
    </row>
    <row r="376">
      <c r="B376">
        <f>IFERROR(__xludf.DUMMYFUNCTION("""COMPUTED_VALUE"""),377.0)</f>
        <v>377</v>
      </c>
      <c r="C376" t="str">
        <f>IFERROR(__xludf.DUMMYFUNCTION("""COMPUTED_VALUE"""),"Noah Clowney")</f>
        <v>Noah Clowney</v>
      </c>
      <c r="D376">
        <f>IFERROR(__xludf.DUMMYFUNCTION("""COMPUTED_VALUE"""),33.0)</f>
        <v>33</v>
      </c>
      <c r="E376" t="str">
        <f>IFERROR(__xludf.DUMMYFUNCTION("""COMPUTED_VALUE"""),"PF")</f>
        <v>PF</v>
      </c>
      <c r="F376" s="53">
        <f>IFERROR(__xludf.DUMMYFUNCTION("""COMPUTED_VALUE"""),-10.04174303226383)</f>
        <v>-10.04174303</v>
      </c>
      <c r="G376" s="53">
        <f>IFERROR(__xludf.DUMMYFUNCTION("""COMPUTED_VALUE"""),-6.323954379045231)</f>
        <v>-6.323954379</v>
      </c>
      <c r="H376" s="53">
        <f>IFERROR(__xludf.DUMMYFUNCTION("""COMPUTED_VALUE"""),3.717788653218598)</f>
        <v>3.717788653</v>
      </c>
      <c r="I376" s="53">
        <f>IFERROR(__xludf.DUMMYFUNCTION("""COMPUTED_VALUE"""),4.2)</f>
        <v>4.2</v>
      </c>
      <c r="J376" s="53">
        <f>IFERROR(__xludf.DUMMYFUNCTION("""COMPUTED_VALUE"""),0.4)</f>
        <v>0.4</v>
      </c>
      <c r="K376" s="53">
        <f>IFERROR(__xludf.DUMMYFUNCTION("""COMPUTED_VALUE"""),2.5)</f>
        <v>2.5</v>
      </c>
      <c r="L376" s="53">
        <f>IFERROR(__xludf.DUMMYFUNCTION("""COMPUTED_VALUE"""),0.7)</f>
        <v>0.7</v>
      </c>
      <c r="M376" s="53">
        <f>IFERROR(__xludf.DUMMYFUNCTION("""COMPUTED_VALUE"""),0.2)</f>
        <v>0.2</v>
      </c>
      <c r="N376" s="53">
        <f>IFERROR(__xludf.DUMMYFUNCTION("""COMPUTED_VALUE"""),0.2)</f>
        <v>0.2</v>
      </c>
      <c r="O376" s="53">
        <f>IFERROR(__xludf.DUMMYFUNCTION("""COMPUTED_VALUE"""),50.0)</f>
        <v>50</v>
      </c>
      <c r="P376" s="53">
        <f>IFERROR(__xludf.DUMMYFUNCTION("""COMPUTED_VALUE"""),70.0)</f>
        <v>70</v>
      </c>
      <c r="Q376" s="53">
        <f>IFERROR(__xludf.DUMMYFUNCTION("""COMPUTED_VALUE"""),0.5)</f>
        <v>0.5</v>
      </c>
      <c r="R376" s="53">
        <f>IFERROR(__xludf.DUMMYFUNCTION("""COMPUTED_VALUE"""),-2.200392728487756)</f>
        <v>-2.200392728</v>
      </c>
      <c r="S376" s="53">
        <f>IFERROR(__xludf.DUMMYFUNCTION("""COMPUTED_VALUE"""),-1.079286296835085)</f>
        <v>-1.079286297</v>
      </c>
      <c r="T376" s="53">
        <f>IFERROR(__xludf.DUMMYFUNCTION("""COMPUTED_VALUE"""),-1.50340193088841)</f>
        <v>-1.503401931</v>
      </c>
      <c r="U376" s="53">
        <f>IFERROR(__xludf.DUMMYFUNCTION("""COMPUTED_VALUE"""),-1.603517358481987)</f>
        <v>-1.603517358</v>
      </c>
      <c r="V376" s="53">
        <f>IFERROR(__xludf.DUMMYFUNCTION("""COMPUTED_VALUE"""),-1.732769878353462)</f>
        <v>-1.732769878</v>
      </c>
      <c r="W376" s="53">
        <f>IFERROR(__xludf.DUMMYFUNCTION("""COMPUTED_VALUE"""),-0.6583300762210907)</f>
        <v>-0.6583300762</v>
      </c>
      <c r="X376" s="53">
        <f>IFERROR(__xludf.DUMMYFUNCTION("""COMPUTED_VALUE"""),0.012835244094844577)</f>
        <v>0.01283524409</v>
      </c>
      <c r="Y376" s="53">
        <f>IFERROR(__xludf.DUMMYFUNCTION("""COMPUTED_VALUE"""),-0.22352210208220238)</f>
        <v>-0.2235221021</v>
      </c>
      <c r="Z376" s="53">
        <f>IFERROR(__xludf.DUMMYFUNCTION("""COMPUTED_VALUE"""),0.4640380197221629)</f>
        <v>0.4640380197</v>
      </c>
      <c r="AA376" t="str">
        <f>IFERROR(__xludf.DUMMYFUNCTION("REGEXREPLACE(REGEXREPLACE(REGEXREPLACE(REGEXREPLACE(REGEXREPLACE(REGEXREPLACE(E376,"","",),IF(Projections!$U$3="""",""PG"",),),IF(Projections!$V$3="""",""SG"",),),IF(Projections!$W$3="""",""SF"",),),IF(Projections!$X$3="""",""PF"",),),IF(Projections!$Y$3="&amp;""""",""C"",),)"),"PF")</f>
        <v>PF</v>
      </c>
    </row>
    <row r="377">
      <c r="B377">
        <f>IFERROR(__xludf.DUMMYFUNCTION("""COMPUTED_VALUE"""),375.0)</f>
        <v>375</v>
      </c>
      <c r="C377" t="str">
        <f>IFERROR(__xludf.DUMMYFUNCTION("""COMPUTED_VALUE"""),"Kessler Edwards")</f>
        <v>Kessler Edwards</v>
      </c>
      <c r="D377">
        <f>IFERROR(__xludf.DUMMYFUNCTION("""COMPUTED_VALUE"""),40.0)</f>
        <v>40</v>
      </c>
      <c r="E377" t="str">
        <f>IFERROR(__xludf.DUMMYFUNCTION("""COMPUTED_VALUE"""),"SG,SF")</f>
        <v>SG,SF</v>
      </c>
      <c r="F377" s="53">
        <f>IFERROR(__xludf.DUMMYFUNCTION("""COMPUTED_VALUE"""),-10.012097744812957)</f>
        <v>-10.01209774</v>
      </c>
      <c r="G377" s="53">
        <f>IFERROR(__xludf.DUMMYFUNCTION("""COMPUTED_VALUE"""),-6.3243878256899055)</f>
        <v>-6.324387826</v>
      </c>
      <c r="H377" s="53">
        <f>IFERROR(__xludf.DUMMYFUNCTION("""COMPUTED_VALUE"""),3.6877099191230513)</f>
        <v>3.687709919</v>
      </c>
      <c r="I377" s="53">
        <f>IFERROR(__xludf.DUMMYFUNCTION("""COMPUTED_VALUE"""),3.1)</f>
        <v>3.1</v>
      </c>
      <c r="J377" s="53">
        <f>IFERROR(__xludf.DUMMYFUNCTION("""COMPUTED_VALUE"""),0.5)</f>
        <v>0.5</v>
      </c>
      <c r="K377" s="53">
        <f>IFERROR(__xludf.DUMMYFUNCTION("""COMPUTED_VALUE"""),1.9)</f>
        <v>1.9</v>
      </c>
      <c r="L377" s="53">
        <f>IFERROR(__xludf.DUMMYFUNCTION("""COMPUTED_VALUE"""),0.4)</f>
        <v>0.4</v>
      </c>
      <c r="M377" s="53">
        <f>IFERROR(__xludf.DUMMYFUNCTION("""COMPUTED_VALUE"""),0.4)</f>
        <v>0.4</v>
      </c>
      <c r="N377" s="53">
        <f>IFERROR(__xludf.DUMMYFUNCTION("""COMPUTED_VALUE"""),0.2)</f>
        <v>0.2</v>
      </c>
      <c r="O377" s="53">
        <f>IFERROR(__xludf.DUMMYFUNCTION("""COMPUTED_VALUE"""),41.37931034482759)</f>
        <v>41.37931034</v>
      </c>
      <c r="P377" s="53">
        <f>IFERROR(__xludf.DUMMYFUNCTION("""COMPUTED_VALUE"""),66.66666666666667)</f>
        <v>66.66666667</v>
      </c>
      <c r="Q377" s="53">
        <f>IFERROR(__xludf.DUMMYFUNCTION("""COMPUTED_VALUE"""),0.5)</f>
        <v>0.5</v>
      </c>
      <c r="R377" s="53">
        <f>IFERROR(__xludf.DUMMYFUNCTION("""COMPUTED_VALUE"""),-2.385771743142073)</f>
        <v>-2.385771743</v>
      </c>
      <c r="S377" s="53">
        <f>IFERROR(__xludf.DUMMYFUNCTION("""COMPUTED_VALUE"""),-0.9925734181391757)</f>
        <v>-0.9925734181</v>
      </c>
      <c r="T377" s="53">
        <f>IFERROR(__xludf.DUMMYFUNCTION("""COMPUTED_VALUE"""),-1.7542941500242468)</f>
        <v>-1.75429415</v>
      </c>
      <c r="U377" s="53">
        <f>IFERROR(__xludf.DUMMYFUNCTION("""COMPUTED_VALUE"""),-1.7565247400165278)</f>
        <v>-1.75652474</v>
      </c>
      <c r="V377" s="53">
        <f>IFERROR(__xludf.DUMMYFUNCTION("""COMPUTED_VALUE"""),-1.2966700767544366)</f>
        <v>-1.296670077</v>
      </c>
      <c r="W377" s="53">
        <f>IFERROR(__xludf.DUMMYFUNCTION("""COMPUTED_VALUE"""),-0.6583300762210907)</f>
        <v>-0.6583300762</v>
      </c>
      <c r="X377" s="53">
        <f>IFERROR(__xludf.DUMMYFUNCTION("""COMPUTED_VALUE"""),-0.23808431734547383)</f>
        <v>-0.2380843173</v>
      </c>
      <c r="Y377" s="53">
        <f>IFERROR(__xludf.DUMMYFUNCTION("""COMPUTED_VALUE"""),-0.09194906691111586)</f>
        <v>-0.09194906691</v>
      </c>
      <c r="Z377" s="53">
        <f>IFERROR(__xludf.DUMMYFUNCTION("""COMPUTED_VALUE"""),0.4640380197221629)</f>
        <v>0.4640380197</v>
      </c>
      <c r="AA377" t="str">
        <f>IFERROR(__xludf.DUMMYFUNCTION("REGEXREPLACE(REGEXREPLACE(REGEXREPLACE(REGEXREPLACE(REGEXREPLACE(REGEXREPLACE(E377,"","",),IF(Projections!$U$3="""",""PG"",),),IF(Projections!$V$3="""",""SG"",),),IF(Projections!$W$3="""",""SF"",),),IF(Projections!$X$3="""",""PF"",),),IF(Projections!$Y$3="&amp;""""",""C"",),)"),"SGSF")</f>
        <v>SGSF</v>
      </c>
    </row>
    <row r="378">
      <c r="B378">
        <f>IFERROR(__xludf.DUMMYFUNCTION("""COMPUTED_VALUE"""),374.0)</f>
        <v>374</v>
      </c>
      <c r="C378" t="str">
        <f>IFERROR(__xludf.DUMMYFUNCTION("""COMPUTED_VALUE"""),"Frank Ntilikina")</f>
        <v>Frank Ntilikina</v>
      </c>
      <c r="D378">
        <f>IFERROR(__xludf.DUMMYFUNCTION("""COMPUTED_VALUE"""),32.0)</f>
        <v>32</v>
      </c>
      <c r="E378" t="str">
        <f>IFERROR(__xludf.DUMMYFUNCTION("""COMPUTED_VALUE"""),"PG")</f>
        <v>PG</v>
      </c>
      <c r="F378" s="53">
        <f>IFERROR(__xludf.DUMMYFUNCTION("""COMPUTED_VALUE"""),-9.95980271641978)</f>
        <v>-9.959802716</v>
      </c>
      <c r="G378" s="53">
        <f>IFERROR(__xludf.DUMMYFUNCTION("""COMPUTED_VALUE"""),-6.328198186838071)</f>
        <v>-6.328198187</v>
      </c>
      <c r="H378" s="53">
        <f>IFERROR(__xludf.DUMMYFUNCTION("""COMPUTED_VALUE"""),3.6316045295817094)</f>
        <v>3.63160453</v>
      </c>
      <c r="I378" s="53">
        <f>IFERROR(__xludf.DUMMYFUNCTION("""COMPUTED_VALUE"""),3.7)</f>
        <v>3.7</v>
      </c>
      <c r="J378" s="53">
        <f>IFERROR(__xludf.DUMMYFUNCTION("""COMPUTED_VALUE"""),0.5)</f>
        <v>0.5</v>
      </c>
      <c r="K378" s="53">
        <f>IFERROR(__xludf.DUMMYFUNCTION("""COMPUTED_VALUE"""),1.4)</f>
        <v>1.4</v>
      </c>
      <c r="L378" s="53">
        <f>IFERROR(__xludf.DUMMYFUNCTION("""COMPUTED_VALUE"""),1.2)</f>
        <v>1.2</v>
      </c>
      <c r="M378" s="53">
        <f>IFERROR(__xludf.DUMMYFUNCTION("""COMPUTED_VALUE"""),0.4)</f>
        <v>0.4</v>
      </c>
      <c r="N378" s="53">
        <f>IFERROR(__xludf.DUMMYFUNCTION("""COMPUTED_VALUE"""),0.1)</f>
        <v>0.1</v>
      </c>
      <c r="O378" s="53">
        <f>IFERROR(__xludf.DUMMYFUNCTION("""COMPUTED_VALUE"""),37.142857142857146)</f>
        <v>37.14285714</v>
      </c>
      <c r="P378" s="53">
        <f>IFERROR(__xludf.DUMMYFUNCTION("""COMPUTED_VALUE"""),83.33333333333334)</f>
        <v>83.33333333</v>
      </c>
      <c r="Q378" s="53">
        <f>IFERROR(__xludf.DUMMYFUNCTION("""COMPUTED_VALUE"""),0.6)</f>
        <v>0.6</v>
      </c>
      <c r="R378" s="53">
        <f>IFERROR(__xludf.DUMMYFUNCTION("""COMPUTED_VALUE"""),-2.2846559169669907)</f>
        <v>-2.284655917</v>
      </c>
      <c r="S378" s="53">
        <f>IFERROR(__xludf.DUMMYFUNCTION("""COMPUTED_VALUE"""),-0.9925734181391757)</f>
        <v>-0.9925734181</v>
      </c>
      <c r="T378" s="53">
        <f>IFERROR(__xludf.DUMMYFUNCTION("""COMPUTED_VALUE"""),-1.963370999304111)</f>
        <v>-1.963370999</v>
      </c>
      <c r="U378" s="53">
        <f>IFERROR(__xludf.DUMMYFUNCTION("""COMPUTED_VALUE"""),-1.3485050559244194)</f>
        <v>-1.348505056</v>
      </c>
      <c r="V378" s="53">
        <f>IFERROR(__xludf.DUMMYFUNCTION("""COMPUTED_VALUE"""),-1.2966700767544366)</f>
        <v>-1.296670077</v>
      </c>
      <c r="W378" s="53">
        <f>IFERROR(__xludf.DUMMYFUNCTION("""COMPUTED_VALUE"""),-0.7896459158928509)</f>
        <v>-0.7896459159</v>
      </c>
      <c r="X378" s="53">
        <f>IFERROR(__xludf.DUMMYFUNCTION("""COMPUTED_VALUE"""),-0.4354507149228318)</f>
        <v>-0.4354507149</v>
      </c>
      <c r="Y378" s="53">
        <f>IFERROR(__xludf.DUMMYFUNCTION("""COMPUTED_VALUE"""),0.0650262290423206)</f>
        <v>0.06502622904</v>
      </c>
      <c r="Z378" s="53">
        <f>IFERROR(__xludf.DUMMYFUNCTION("""COMPUTED_VALUE"""),0.43299176505743303)</f>
        <v>0.4329917651</v>
      </c>
      <c r="AA378" t="str">
        <f>IFERROR(__xludf.DUMMYFUNCTION("REGEXREPLACE(REGEXREPLACE(REGEXREPLACE(REGEXREPLACE(REGEXREPLACE(REGEXREPLACE(E378,"","",),IF(Projections!$U$3="""",""PG"",),),IF(Projections!$V$3="""",""SG"",),),IF(Projections!$W$3="""",""SF"",),),IF(Projections!$X$3="""",""PF"",),),IF(Projections!$Y$3="&amp;""""",""C"",),)"),"PG")</f>
        <v>PG</v>
      </c>
    </row>
    <row r="379">
      <c r="B379">
        <f>IFERROR(__xludf.DUMMYFUNCTION("""COMPUTED_VALUE"""),370.0)</f>
        <v>370</v>
      </c>
      <c r="C379" t="str">
        <f>IFERROR(__xludf.DUMMYFUNCTION("""COMPUTED_VALUE"""),"Emoni Bates")</f>
        <v>Emoni Bates</v>
      </c>
      <c r="D379">
        <f>IFERROR(__xludf.DUMMYFUNCTION("""COMPUTED_VALUE"""),22.0)</f>
        <v>22</v>
      </c>
      <c r="E379" t="str">
        <f>IFERROR(__xludf.DUMMYFUNCTION("""COMPUTED_VALUE"""),"SF")</f>
        <v>SF</v>
      </c>
      <c r="F379" s="53">
        <f>IFERROR(__xludf.DUMMYFUNCTION("""COMPUTED_VALUE"""),-9.906311598713112)</f>
        <v>-9.906311599</v>
      </c>
      <c r="G379" s="53">
        <f>IFERROR(__xludf.DUMMYFUNCTION("""COMPUTED_VALUE"""),-6.3771545758288735)</f>
        <v>-6.377154576</v>
      </c>
      <c r="H379" s="53">
        <f>IFERROR(__xludf.DUMMYFUNCTION("""COMPUTED_VALUE"""),3.529157022884238)</f>
        <v>3.529157023</v>
      </c>
      <c r="I379" s="53">
        <f>IFERROR(__xludf.DUMMYFUNCTION("""COMPUTED_VALUE"""),5.0)</f>
        <v>5</v>
      </c>
      <c r="J379" s="53">
        <f>IFERROR(__xludf.DUMMYFUNCTION("""COMPUTED_VALUE"""),0.9)</f>
        <v>0.9</v>
      </c>
      <c r="K379" s="53">
        <f>IFERROR(__xludf.DUMMYFUNCTION("""COMPUTED_VALUE"""),2.0)</f>
        <v>2</v>
      </c>
      <c r="L379" s="53">
        <f>IFERROR(__xludf.DUMMYFUNCTION("""COMPUTED_VALUE"""),0.4)</f>
        <v>0.4</v>
      </c>
      <c r="M379" s="53">
        <f>IFERROR(__xludf.DUMMYFUNCTION("""COMPUTED_VALUE"""),0.2)</f>
        <v>0.2</v>
      </c>
      <c r="N379" s="53">
        <f>IFERROR(__xludf.DUMMYFUNCTION("""COMPUTED_VALUE"""),0.2)</f>
        <v>0.2</v>
      </c>
      <c r="O379" s="53">
        <f>IFERROR(__xludf.DUMMYFUNCTION("""COMPUTED_VALUE"""),40.0)</f>
        <v>40</v>
      </c>
      <c r="P379" s="53">
        <f>IFERROR(__xludf.DUMMYFUNCTION("""COMPUTED_VALUE"""),83.33333333333334)</f>
        <v>83.33333333</v>
      </c>
      <c r="Q379" s="53">
        <f>IFERROR(__xludf.DUMMYFUNCTION("""COMPUTED_VALUE"""),0.4)</f>
        <v>0.4</v>
      </c>
      <c r="R379" s="53">
        <f>IFERROR(__xludf.DUMMYFUNCTION("""COMPUTED_VALUE"""),-2.06557162692098)</f>
        <v>-2.065571627</v>
      </c>
      <c r="S379" s="53">
        <f>IFERROR(__xludf.DUMMYFUNCTION("""COMPUTED_VALUE"""),-0.6457219033555379)</f>
        <v>-0.6457219034</v>
      </c>
      <c r="T379" s="53">
        <f>IFERROR(__xludf.DUMMYFUNCTION("""COMPUTED_VALUE"""),-1.7124787801682742)</f>
        <v>-1.71247878</v>
      </c>
      <c r="U379" s="53">
        <f>IFERROR(__xludf.DUMMYFUNCTION("""COMPUTED_VALUE"""),-1.7565247400165278)</f>
        <v>-1.75652474</v>
      </c>
      <c r="V379" s="53">
        <f>IFERROR(__xludf.DUMMYFUNCTION("""COMPUTED_VALUE"""),-1.732769878353462)</f>
        <v>-1.732769878</v>
      </c>
      <c r="W379" s="53">
        <f>IFERROR(__xludf.DUMMYFUNCTION("""COMPUTED_VALUE"""),-0.6583300762210907)</f>
        <v>-0.6583300762</v>
      </c>
      <c r="X379" s="53">
        <f>IFERROR(__xludf.DUMMYFUNCTION("""COMPUTED_VALUE"""),-0.4314397011431928)</f>
        <v>-0.4314397011</v>
      </c>
      <c r="Y379" s="53">
        <f>IFERROR(__xludf.DUMMYFUNCTION("""COMPUTED_VALUE"""),0.0650262290423206)</f>
        <v>0.06502622904</v>
      </c>
      <c r="Z379" s="53">
        <f>IFERROR(__xludf.DUMMYFUNCTION("""COMPUTED_VALUE"""),0.4950842743868928)</f>
        <v>0.4950842744</v>
      </c>
      <c r="AA379" t="str">
        <f>IFERROR(__xludf.DUMMYFUNCTION("REGEXREPLACE(REGEXREPLACE(REGEXREPLACE(REGEXREPLACE(REGEXREPLACE(REGEXREPLACE(E379,"","",),IF(Projections!$U$3="""",""PG"",),),IF(Projections!$V$3="""",""SG"",),),IF(Projections!$W$3="""",""SF"",),),IF(Projections!$X$3="""",""PF"",),),IF(Projections!$Y$3="&amp;""""",""C"",),)"),"SF")</f>
        <v>SF</v>
      </c>
    </row>
    <row r="380">
      <c r="B380">
        <f>IFERROR(__xludf.DUMMYFUNCTION("""COMPUTED_VALUE"""),384.0)</f>
        <v>384</v>
      </c>
      <c r="C380" t="str">
        <f>IFERROR(__xludf.DUMMYFUNCTION("""COMPUTED_VALUE"""),"Alex Len")</f>
        <v>Alex Len</v>
      </c>
      <c r="D380">
        <f>IFERROR(__xludf.DUMMYFUNCTION("""COMPUTED_VALUE"""),30.0)</f>
        <v>30</v>
      </c>
      <c r="E380" t="str">
        <f>IFERROR(__xludf.DUMMYFUNCTION("""COMPUTED_VALUE"""),"C")</f>
        <v>C</v>
      </c>
      <c r="F380" s="53">
        <f>IFERROR(__xludf.DUMMYFUNCTION("""COMPUTED_VALUE"""),-10.20488879534474)</f>
        <v>-10.2048888</v>
      </c>
      <c r="G380" s="53">
        <f>IFERROR(__xludf.DUMMYFUNCTION("""COMPUTED_VALUE"""),-6.401775030329866)</f>
        <v>-6.40177503</v>
      </c>
      <c r="H380" s="53">
        <f>IFERROR(__xludf.DUMMYFUNCTION("""COMPUTED_VALUE"""),3.8031137650148734)</f>
        <v>3.803113765</v>
      </c>
      <c r="I380" s="53">
        <f>IFERROR(__xludf.DUMMYFUNCTION("""COMPUTED_VALUE"""),3.0)</f>
        <v>3</v>
      </c>
      <c r="J380" s="53">
        <f>IFERROR(__xludf.DUMMYFUNCTION("""COMPUTED_VALUE"""),0.1)</f>
        <v>0.1</v>
      </c>
      <c r="K380" s="53">
        <f>IFERROR(__xludf.DUMMYFUNCTION("""COMPUTED_VALUE"""),2.4)</f>
        <v>2.4</v>
      </c>
      <c r="L380" s="53">
        <f>IFERROR(__xludf.DUMMYFUNCTION("""COMPUTED_VALUE"""),0.6)</f>
        <v>0.6</v>
      </c>
      <c r="M380" s="53">
        <f>IFERROR(__xludf.DUMMYFUNCTION("""COMPUTED_VALUE"""),0.2)</f>
        <v>0.2</v>
      </c>
      <c r="N380" s="53">
        <f>IFERROR(__xludf.DUMMYFUNCTION("""COMPUTED_VALUE"""),0.4)</f>
        <v>0.4</v>
      </c>
      <c r="O380" s="53">
        <f>IFERROR(__xludf.DUMMYFUNCTION("""COMPUTED_VALUE"""),54.54545454545454)</f>
        <v>54.54545455</v>
      </c>
      <c r="P380" s="53">
        <f>IFERROR(__xludf.DUMMYFUNCTION("""COMPUTED_VALUE"""),66.66666666666666)</f>
        <v>66.66666667</v>
      </c>
      <c r="Q380" s="53">
        <f>IFERROR(__xludf.DUMMYFUNCTION("""COMPUTED_VALUE"""),0.6)</f>
        <v>0.6</v>
      </c>
      <c r="R380" s="53">
        <f>IFERROR(__xludf.DUMMYFUNCTION("""COMPUTED_VALUE"""),-2.4026243808379197)</f>
        <v>-2.402624381</v>
      </c>
      <c r="S380" s="53">
        <f>IFERROR(__xludf.DUMMYFUNCTION("""COMPUTED_VALUE"""),-1.3394249329228134)</f>
        <v>-1.339424933</v>
      </c>
      <c r="T380" s="53">
        <f>IFERROR(__xludf.DUMMYFUNCTION("""COMPUTED_VALUE"""),-1.5452173007443828)</f>
        <v>-1.545217301</v>
      </c>
      <c r="U380" s="53">
        <f>IFERROR(__xludf.DUMMYFUNCTION("""COMPUTED_VALUE"""),-1.6545198189935006)</f>
        <v>-1.654519819</v>
      </c>
      <c r="V380" s="53">
        <f>IFERROR(__xludf.DUMMYFUNCTION("""COMPUTED_VALUE"""),-1.732769878353462)</f>
        <v>-1.732769878</v>
      </c>
      <c r="W380" s="53">
        <f>IFERROR(__xludf.DUMMYFUNCTION("""COMPUTED_VALUE"""),-0.39569839687757064)</f>
        <v>-0.3956983969</v>
      </c>
      <c r="X380" s="53">
        <f>IFERROR(__xludf.DUMMYFUNCTION("""COMPUTED_VALUE"""),0.10871073323777625)</f>
        <v>0.1087107332</v>
      </c>
      <c r="Y380" s="53">
        <f>IFERROR(__xludf.DUMMYFUNCTION("""COMPUTED_VALUE"""),-0.27584720073334784)</f>
        <v>-0.2758472007</v>
      </c>
      <c r="Z380" s="53">
        <f>IFERROR(__xludf.DUMMYFUNCTION("""COMPUTED_VALUE"""),0.43299176505743303)</f>
        <v>0.4329917651</v>
      </c>
      <c r="AA380" t="str">
        <f>IFERROR(__xludf.DUMMYFUNCTION("REGEXREPLACE(REGEXREPLACE(REGEXREPLACE(REGEXREPLACE(REGEXREPLACE(REGEXREPLACE(E380,"","",),IF(Projections!$U$3="""",""PG"",),),IF(Projections!$V$3="""",""SG"",),),IF(Projections!$W$3="""",""SF"",),),IF(Projections!$X$3="""",""PF"",),),IF(Projections!$Y$3="&amp;""""",""C"",),)"),"C")</f>
        <v>C</v>
      </c>
    </row>
    <row r="381">
      <c r="B381">
        <f>IFERROR(__xludf.DUMMYFUNCTION("""COMPUTED_VALUE"""),363.0)</f>
        <v>363</v>
      </c>
      <c r="C381" t="str">
        <f>IFERROR(__xludf.DUMMYFUNCTION("""COMPUTED_VALUE"""),"Kenneth Lofton Jr.")</f>
        <v>Kenneth Lofton Jr.</v>
      </c>
      <c r="D381">
        <f>IFERROR(__xludf.DUMMYFUNCTION("""COMPUTED_VALUE"""),34.0)</f>
        <v>34</v>
      </c>
      <c r="E381" t="str">
        <f>IFERROR(__xludf.DUMMYFUNCTION("""COMPUTED_VALUE"""),"PF,C")</f>
        <v>PF,C</v>
      </c>
      <c r="F381" s="53">
        <f>IFERROR(__xludf.DUMMYFUNCTION("""COMPUTED_VALUE"""),-9.736451030769391)</f>
        <v>-9.736451031</v>
      </c>
      <c r="G381" s="53">
        <f>IFERROR(__xludf.DUMMYFUNCTION("""COMPUTED_VALUE"""),-6.408259801723064)</f>
        <v>-6.408259802</v>
      </c>
      <c r="H381" s="53">
        <f>IFERROR(__xludf.DUMMYFUNCTION("""COMPUTED_VALUE"""),3.328191229046327)</f>
        <v>3.328191229</v>
      </c>
      <c r="I381" s="53">
        <f>IFERROR(__xludf.DUMMYFUNCTION("""COMPUTED_VALUE"""),7.0)</f>
        <v>7</v>
      </c>
      <c r="J381" s="53">
        <f>IFERROR(__xludf.DUMMYFUNCTION("""COMPUTED_VALUE"""),0.4)</f>
        <v>0.4</v>
      </c>
      <c r="K381" s="53">
        <f>IFERROR(__xludf.DUMMYFUNCTION("""COMPUTED_VALUE"""),3.0)</f>
        <v>3</v>
      </c>
      <c r="L381" s="53">
        <f>IFERROR(__xludf.DUMMYFUNCTION("""COMPUTED_VALUE"""),1.2)</f>
        <v>1.2</v>
      </c>
      <c r="M381" s="53">
        <f>IFERROR(__xludf.DUMMYFUNCTION("""COMPUTED_VALUE"""),0.3)</f>
        <v>0.3</v>
      </c>
      <c r="N381" s="53">
        <f>IFERROR(__xludf.DUMMYFUNCTION("""COMPUTED_VALUE"""),0.1)</f>
        <v>0.1</v>
      </c>
      <c r="O381" s="53">
        <f>IFERROR(__xludf.DUMMYFUNCTION("""COMPUTED_VALUE"""),51.85185185185185)</f>
        <v>51.85185185</v>
      </c>
      <c r="P381" s="53">
        <f>IFERROR(__xludf.DUMMYFUNCTION("""COMPUTED_VALUE"""),56.25)</f>
        <v>56.25</v>
      </c>
      <c r="Q381" s="53">
        <f>IFERROR(__xludf.DUMMYFUNCTION("""COMPUTED_VALUE"""),0.7)</f>
        <v>0.7</v>
      </c>
      <c r="R381" s="53">
        <f>IFERROR(__xludf.DUMMYFUNCTION("""COMPUTED_VALUE"""),-1.72851887300404)</f>
        <v>-1.728518873</v>
      </c>
      <c r="S381" s="53">
        <f>IFERROR(__xludf.DUMMYFUNCTION("""COMPUTED_VALUE"""),-1.079286296835085)</f>
        <v>-1.079286297</v>
      </c>
      <c r="T381" s="53">
        <f>IFERROR(__xludf.DUMMYFUNCTION("""COMPUTED_VALUE"""),-1.2943250816085456)</f>
        <v>-1.294325082</v>
      </c>
      <c r="U381" s="53">
        <f>IFERROR(__xludf.DUMMYFUNCTION("""COMPUTED_VALUE"""),-1.3485050559244194)</f>
        <v>-1.348505056</v>
      </c>
      <c r="V381" s="53">
        <f>IFERROR(__xludf.DUMMYFUNCTION("""COMPUTED_VALUE"""),-1.5147199775539493)</f>
        <v>-1.514719978</v>
      </c>
      <c r="W381" s="53">
        <f>IFERROR(__xludf.DUMMYFUNCTION("""COMPUTED_VALUE"""),-0.7896459158928509)</f>
        <v>-0.7896459159</v>
      </c>
      <c r="X381" s="53">
        <f>IFERROR(__xludf.DUMMYFUNCTION("""COMPUTED_VALUE"""),0.12154597733262079)</f>
        <v>0.1215459773</v>
      </c>
      <c r="Y381" s="53">
        <f>IFERROR(__xludf.DUMMYFUNCTION("""COMPUTED_VALUE"""),-0.9052689616335388)</f>
        <v>-0.9052689616</v>
      </c>
      <c r="Z381" s="53">
        <f>IFERROR(__xludf.DUMMYFUNCTION("""COMPUTED_VALUE"""),0.4019455103927031)</f>
        <v>0.4019455104</v>
      </c>
      <c r="AA381" t="str">
        <f>IFERROR(__xludf.DUMMYFUNCTION("REGEXREPLACE(REGEXREPLACE(REGEXREPLACE(REGEXREPLACE(REGEXREPLACE(REGEXREPLACE(E381,"","",),IF(Projections!$U$3="""",""PG"",),),IF(Projections!$V$3="""",""SG"",),),IF(Projections!$W$3="""",""SF"",),),IF(Projections!$X$3="""",""PF"",),),IF(Projections!$Y$3="&amp;""""",""C"",),)"),"PFC")</f>
        <v>PFC</v>
      </c>
    </row>
    <row r="382">
      <c r="B382">
        <f>IFERROR(__xludf.DUMMYFUNCTION("""COMPUTED_VALUE"""),381.0)</f>
        <v>381</v>
      </c>
      <c r="C382" t="str">
        <f>IFERROR(__xludf.DUMMYFUNCTION("""COMPUTED_VALUE"""),"Patty Mills")</f>
        <v>Patty Mills</v>
      </c>
      <c r="D382">
        <f>IFERROR(__xludf.DUMMYFUNCTION("""COMPUTED_VALUE"""),20.0)</f>
        <v>20</v>
      </c>
      <c r="E382" t="str">
        <f>IFERROR(__xludf.DUMMYFUNCTION("""COMPUTED_VALUE"""),"PG")</f>
        <v>PG</v>
      </c>
      <c r="F382" s="53">
        <f>IFERROR(__xludf.DUMMYFUNCTION("""COMPUTED_VALUE"""),-10.166746731394388)</f>
        <v>-10.16674673</v>
      </c>
      <c r="G382" s="53">
        <f>IFERROR(__xludf.DUMMYFUNCTION("""COMPUTED_VALUE"""),-6.416490273673341)</f>
        <v>-6.416490274</v>
      </c>
      <c r="H382" s="53">
        <f>IFERROR(__xludf.DUMMYFUNCTION("""COMPUTED_VALUE"""),3.750256457721047)</f>
        <v>3.750256458</v>
      </c>
      <c r="I382" s="53">
        <f>IFERROR(__xludf.DUMMYFUNCTION("""COMPUTED_VALUE"""),4.2)</f>
        <v>4.2</v>
      </c>
      <c r="J382" s="53">
        <f>IFERROR(__xludf.DUMMYFUNCTION("""COMPUTED_VALUE"""),1.0)</f>
        <v>1</v>
      </c>
      <c r="K382" s="53">
        <f>IFERROR(__xludf.DUMMYFUNCTION("""COMPUTED_VALUE"""),0.7)</f>
        <v>0.7</v>
      </c>
      <c r="L382" s="53">
        <f>IFERROR(__xludf.DUMMYFUNCTION("""COMPUTED_VALUE"""),0.9)</f>
        <v>0.9</v>
      </c>
      <c r="M382" s="53">
        <f>IFERROR(__xludf.DUMMYFUNCTION("""COMPUTED_VALUE"""),0.2)</f>
        <v>0.2</v>
      </c>
      <c r="N382" s="53">
        <f>IFERROR(__xludf.DUMMYFUNCTION("""COMPUTED_VALUE"""),0.1)</f>
        <v>0.1</v>
      </c>
      <c r="O382" s="53">
        <f>IFERROR(__xludf.DUMMYFUNCTION("""COMPUTED_VALUE"""),41.666666666666664)</f>
        <v>41.66666667</v>
      </c>
      <c r="P382" s="53">
        <f>IFERROR(__xludf.DUMMYFUNCTION("""COMPUTED_VALUE"""),100.0)</f>
        <v>100</v>
      </c>
      <c r="Q382" s="53">
        <f>IFERROR(__xludf.DUMMYFUNCTION("""COMPUTED_VALUE"""),0.4)</f>
        <v>0.4</v>
      </c>
      <c r="R382" s="53">
        <f>IFERROR(__xludf.DUMMYFUNCTION("""COMPUTED_VALUE"""),-2.200392728487756)</f>
        <v>-2.200392728</v>
      </c>
      <c r="S382" s="53">
        <f>IFERROR(__xludf.DUMMYFUNCTION("""COMPUTED_VALUE"""),-0.5590090246596284)</f>
        <v>-0.5590090247</v>
      </c>
      <c r="T382" s="53">
        <f>IFERROR(__xludf.DUMMYFUNCTION("""COMPUTED_VALUE"""),-2.256078588295921)</f>
        <v>-2.256078588</v>
      </c>
      <c r="U382" s="53">
        <f>IFERROR(__xludf.DUMMYFUNCTION("""COMPUTED_VALUE"""),-1.5015124374589601)</f>
        <v>-1.501512437</v>
      </c>
      <c r="V382" s="53">
        <f>IFERROR(__xludf.DUMMYFUNCTION("""COMPUTED_VALUE"""),-1.732769878353462)</f>
        <v>-1.732769878</v>
      </c>
      <c r="W382" s="53">
        <f>IFERROR(__xludf.DUMMYFUNCTION("""COMPUTED_VALUE"""),-0.7896459158928509)</f>
        <v>-0.7896459159</v>
      </c>
      <c r="X382" s="53">
        <f>IFERROR(__xludf.DUMMYFUNCTION("""COMPUTED_VALUE"""),-0.28521985916101217)</f>
        <v>-0.2852198592</v>
      </c>
      <c r="Y382" s="53">
        <f>IFERROR(__xludf.DUMMYFUNCTION("""COMPUTED_VALUE"""),0.15697529595343646)</f>
        <v>0.156975296</v>
      </c>
      <c r="Z382" s="53">
        <f>IFERROR(__xludf.DUMMYFUNCTION("""COMPUTED_VALUE"""),0.4950842743868928)</f>
        <v>0.4950842744</v>
      </c>
      <c r="AA382" t="str">
        <f>IFERROR(__xludf.DUMMYFUNCTION("REGEXREPLACE(REGEXREPLACE(REGEXREPLACE(REGEXREPLACE(REGEXREPLACE(REGEXREPLACE(E382,"","",),IF(Projections!$U$3="""",""PG"",),),IF(Projections!$V$3="""",""SG"",),),IF(Projections!$W$3="""",""SF"",),),IF(Projections!$X$3="""",""PF"",),),IF(Projections!$Y$3="&amp;""""",""C"",),)"),"PG")</f>
        <v>PG</v>
      </c>
    </row>
    <row r="383">
      <c r="B383">
        <f>IFERROR(__xludf.DUMMYFUNCTION("""COMPUTED_VALUE"""),390.0)</f>
        <v>390</v>
      </c>
      <c r="C383" t="str">
        <f>IFERROR(__xludf.DUMMYFUNCTION("""COMPUTED_VALUE"""),"Udoka Azubuike")</f>
        <v>Udoka Azubuike</v>
      </c>
      <c r="D383">
        <f>IFERROR(__xludf.DUMMYFUNCTION("""COMPUTED_VALUE"""),10.0)</f>
        <v>10</v>
      </c>
      <c r="E383" t="str">
        <f>IFERROR(__xludf.DUMMYFUNCTION("""COMPUTED_VALUE"""),"C")</f>
        <v>C</v>
      </c>
      <c r="F383" s="53">
        <f>IFERROR(__xludf.DUMMYFUNCTION("""COMPUTED_VALUE"""),-10.335800285654729)</f>
        <v>-10.33580029</v>
      </c>
      <c r="G383" s="53">
        <f>IFERROR(__xludf.DUMMYFUNCTION("""COMPUTED_VALUE"""),-6.431438983513656)</f>
        <v>-6.431438984</v>
      </c>
      <c r="H383" s="53">
        <f>IFERROR(__xludf.DUMMYFUNCTION("""COMPUTED_VALUE"""),3.904361302141073)</f>
        <v>3.904361302</v>
      </c>
      <c r="I383" s="53">
        <f>IFERROR(__xludf.DUMMYFUNCTION("""COMPUTED_VALUE"""),3.1)</f>
        <v>3.1</v>
      </c>
      <c r="J383" s="53">
        <f>IFERROR(__xludf.DUMMYFUNCTION("""COMPUTED_VALUE"""),0.0)</f>
        <v>0</v>
      </c>
      <c r="K383" s="53">
        <f>IFERROR(__xludf.DUMMYFUNCTION("""COMPUTED_VALUE"""),2.9)</f>
        <v>2.9</v>
      </c>
      <c r="L383" s="53">
        <f>IFERROR(__xludf.DUMMYFUNCTION("""COMPUTED_VALUE"""),0.2)</f>
        <v>0.2</v>
      </c>
      <c r="M383" s="53">
        <f>IFERROR(__xludf.DUMMYFUNCTION("""COMPUTED_VALUE"""),0.1)</f>
        <v>0.1</v>
      </c>
      <c r="N383" s="53">
        <f>IFERROR(__xludf.DUMMYFUNCTION("""COMPUTED_VALUE"""),0.4)</f>
        <v>0.4</v>
      </c>
      <c r="O383" s="53">
        <f>IFERROR(__xludf.DUMMYFUNCTION("""COMPUTED_VALUE"""),78.94736842105263)</f>
        <v>78.94736842</v>
      </c>
      <c r="P383" s="53">
        <f>IFERROR(__xludf.DUMMYFUNCTION("""COMPUTED_VALUE"""),40.0)</f>
        <v>40</v>
      </c>
      <c r="Q383" s="53">
        <f>IFERROR(__xludf.DUMMYFUNCTION("""COMPUTED_VALUE"""),0.5)</f>
        <v>0.5</v>
      </c>
      <c r="R383" s="53">
        <f>IFERROR(__xludf.DUMMYFUNCTION("""COMPUTED_VALUE"""),-2.385771743142073)</f>
        <v>-2.385771743</v>
      </c>
      <c r="S383" s="53">
        <f>IFERROR(__xludf.DUMMYFUNCTION("""COMPUTED_VALUE"""),-1.4261378116187227)</f>
        <v>-1.426137812</v>
      </c>
      <c r="T383" s="53">
        <f>IFERROR(__xludf.DUMMYFUNCTION("""COMPUTED_VALUE"""),-1.3361404514645185)</f>
        <v>-1.336140451</v>
      </c>
      <c r="U383" s="53">
        <f>IFERROR(__xludf.DUMMYFUNCTION("""COMPUTED_VALUE"""),-1.858529661039555)</f>
        <v>-1.858529661</v>
      </c>
      <c r="V383" s="53">
        <f>IFERROR(__xludf.DUMMYFUNCTION("""COMPUTED_VALUE"""),-1.9508197791529749)</f>
        <v>-1.950819779</v>
      </c>
      <c r="W383" s="53">
        <f>IFERROR(__xludf.DUMMYFUNCTION("""COMPUTED_VALUE"""),-0.39569839687757064)</f>
        <v>-0.3956983969</v>
      </c>
      <c r="X383" s="53">
        <f>IFERROR(__xludf.DUMMYFUNCTION("""COMPUTED_VALUE"""),0.5569966922554528)</f>
        <v>0.5569966923</v>
      </c>
      <c r="Y383" s="53">
        <f>IFERROR(__xludf.DUMMYFUNCTION("""COMPUTED_VALUE"""),-0.4851475953379296)</f>
        <v>-0.4851475953</v>
      </c>
      <c r="Z383" s="53">
        <f>IFERROR(__xludf.DUMMYFUNCTION("""COMPUTED_VALUE"""),0.4640380197221629)</f>
        <v>0.4640380197</v>
      </c>
      <c r="AA383" t="str">
        <f>IFERROR(__xludf.DUMMYFUNCTION("REGEXREPLACE(REGEXREPLACE(REGEXREPLACE(REGEXREPLACE(REGEXREPLACE(REGEXREPLACE(E383,"","",),IF(Projections!$U$3="""",""PG"",),),IF(Projections!$V$3="""",""SG"",),),IF(Projections!$W$3="""",""SF"",),),IF(Projections!$X$3="""",""PF"",),),IF(Projections!$Y$3="&amp;""""",""C"",),)"),"C")</f>
        <v>C</v>
      </c>
    </row>
    <row r="384">
      <c r="B384">
        <f>IFERROR(__xludf.DUMMYFUNCTION("""COMPUTED_VALUE"""),379.0)</f>
        <v>379</v>
      </c>
      <c r="C384" t="str">
        <f>IFERROR(__xludf.DUMMYFUNCTION("""COMPUTED_VALUE"""),"Oshae Brissett")</f>
        <v>Oshae Brissett</v>
      </c>
      <c r="D384">
        <f>IFERROR(__xludf.DUMMYFUNCTION("""COMPUTED_VALUE"""),58.0)</f>
        <v>58</v>
      </c>
      <c r="E384" t="str">
        <f>IFERROR(__xludf.DUMMYFUNCTION("""COMPUTED_VALUE"""),"SF,PF")</f>
        <v>SF,PF</v>
      </c>
      <c r="F384" s="53">
        <f>IFERROR(__xludf.DUMMYFUNCTION("""COMPUTED_VALUE"""),-10.115473837087858)</f>
        <v>-10.11547384</v>
      </c>
      <c r="G384" s="53">
        <f>IFERROR(__xludf.DUMMYFUNCTION("""COMPUTED_VALUE"""),-6.443785910218416)</f>
        <v>-6.44378591</v>
      </c>
      <c r="H384" s="53">
        <f>IFERROR(__xludf.DUMMYFUNCTION("""COMPUTED_VALUE"""),3.671687926869442)</f>
        <v>3.671687927</v>
      </c>
      <c r="I384" s="53">
        <f>IFERROR(__xludf.DUMMYFUNCTION("""COMPUTED_VALUE"""),4.3)</f>
        <v>4.3</v>
      </c>
      <c r="J384" s="53">
        <f>IFERROR(__xludf.DUMMYFUNCTION("""COMPUTED_VALUE"""),0.6)</f>
        <v>0.6</v>
      </c>
      <c r="K384" s="53">
        <f>IFERROR(__xludf.DUMMYFUNCTION("""COMPUTED_VALUE"""),2.5)</f>
        <v>2.5</v>
      </c>
      <c r="L384" s="53">
        <f>IFERROR(__xludf.DUMMYFUNCTION("""COMPUTED_VALUE"""),0.5)</f>
        <v>0.5</v>
      </c>
      <c r="M384" s="53">
        <f>IFERROR(__xludf.DUMMYFUNCTION("""COMPUTED_VALUE"""),0.3)</f>
        <v>0.3</v>
      </c>
      <c r="N384" s="53">
        <f>IFERROR(__xludf.DUMMYFUNCTION("""COMPUTED_VALUE"""),0.2)</f>
        <v>0.2</v>
      </c>
      <c r="O384" s="53">
        <f>IFERROR(__xludf.DUMMYFUNCTION("""COMPUTED_VALUE"""),40.0)</f>
        <v>40</v>
      </c>
      <c r="P384" s="53">
        <f>IFERROR(__xludf.DUMMYFUNCTION("""COMPUTED_VALUE"""),69.23076923076923)</f>
        <v>69.23076923</v>
      </c>
      <c r="Q384" s="53">
        <f>IFERROR(__xludf.DUMMYFUNCTION("""COMPUTED_VALUE"""),0.4)</f>
        <v>0.4</v>
      </c>
      <c r="R384" s="53">
        <f>IFERROR(__xludf.DUMMYFUNCTION("""COMPUTED_VALUE"""),-2.1835400907919085)</f>
        <v>-2.183540091</v>
      </c>
      <c r="S384" s="53">
        <f>IFERROR(__xludf.DUMMYFUNCTION("""COMPUTED_VALUE"""),-0.9058605394432663)</f>
        <v>-0.9058605394</v>
      </c>
      <c r="T384" s="53">
        <f>IFERROR(__xludf.DUMMYFUNCTION("""COMPUTED_VALUE"""),-1.50340193088841)</f>
        <v>-1.503401931</v>
      </c>
      <c r="U384" s="53">
        <f>IFERROR(__xludf.DUMMYFUNCTION("""COMPUTED_VALUE"""),-1.7055222795050142)</f>
        <v>-1.70552228</v>
      </c>
      <c r="V384" s="53">
        <f>IFERROR(__xludf.DUMMYFUNCTION("""COMPUTED_VALUE"""),-1.5147199775539493)</f>
        <v>-1.514719978</v>
      </c>
      <c r="W384" s="53">
        <f>IFERROR(__xludf.DUMMYFUNCTION("""COMPUTED_VALUE"""),-0.6583300762210907)</f>
        <v>-0.6583300762</v>
      </c>
      <c r="X384" s="53">
        <f>IFERROR(__xludf.DUMMYFUNCTION("""COMPUTED_VALUE"""),-0.3355642120002613)</f>
        <v>-0.335564212</v>
      </c>
      <c r="Y384" s="53">
        <f>IFERROR(__xludf.DUMMYFUNCTION("""COMPUTED_VALUE"""),-0.3154711689933183)</f>
        <v>-0.315471169</v>
      </c>
      <c r="Z384" s="53">
        <f>IFERROR(__xludf.DUMMYFUNCTION("""COMPUTED_VALUE"""),0.4950842743868928)</f>
        <v>0.4950842744</v>
      </c>
      <c r="AA384" t="str">
        <f>IFERROR(__xludf.DUMMYFUNCTION("REGEXREPLACE(REGEXREPLACE(REGEXREPLACE(REGEXREPLACE(REGEXREPLACE(REGEXREPLACE(E384,"","",),IF(Projections!$U$3="""",""PG"",),),IF(Projections!$V$3="""",""SG"",),),IF(Projections!$W$3="""",""SF"",),),IF(Projections!$X$3="""",""PF"",),),IF(Projections!$Y$3="&amp;""""",""C"",),)"),"SFPF")</f>
        <v>SFPF</v>
      </c>
    </row>
    <row r="385">
      <c r="B385">
        <f>IFERROR(__xludf.DUMMYFUNCTION("""COMPUTED_VALUE"""),389.0)</f>
        <v>389</v>
      </c>
      <c r="C385" t="str">
        <f>IFERROR(__xludf.DUMMYFUNCTION("""COMPUTED_VALUE"""),"Trayce Jackson-Davis")</f>
        <v>Trayce Jackson-Davis</v>
      </c>
      <c r="D385">
        <f>IFERROR(__xludf.DUMMYFUNCTION("""COMPUTED_VALUE"""),58.0)</f>
        <v>58</v>
      </c>
      <c r="E385" t="str">
        <f>IFERROR(__xludf.DUMMYFUNCTION("""COMPUTED_VALUE"""),"PF")</f>
        <v>PF</v>
      </c>
      <c r="F385" s="53">
        <f>IFERROR(__xludf.DUMMYFUNCTION("""COMPUTED_VALUE"""),-10.311522695321527)</f>
        <v>-10.3115227</v>
      </c>
      <c r="G385" s="53">
        <f>IFERROR(__xludf.DUMMYFUNCTION("""COMPUTED_VALUE"""),-6.466730952549145)</f>
        <v>-6.466730953</v>
      </c>
      <c r="H385" s="53">
        <f>IFERROR(__xludf.DUMMYFUNCTION("""COMPUTED_VALUE"""),3.8447917427723812)</f>
        <v>3.844791743</v>
      </c>
      <c r="I385" s="53">
        <f>IFERROR(__xludf.DUMMYFUNCTION("""COMPUTED_VALUE"""),3.8)</f>
        <v>3.8</v>
      </c>
      <c r="J385" s="53">
        <f>IFERROR(__xludf.DUMMYFUNCTION("""COMPUTED_VALUE"""),0.0)</f>
        <v>0</v>
      </c>
      <c r="K385" s="53">
        <f>IFERROR(__xludf.DUMMYFUNCTION("""COMPUTED_VALUE"""),2.2)</f>
        <v>2.2</v>
      </c>
      <c r="L385" s="53">
        <f>IFERROR(__xludf.DUMMYFUNCTION("""COMPUTED_VALUE"""),1.4)</f>
        <v>1.4</v>
      </c>
      <c r="M385" s="53">
        <f>IFERROR(__xludf.DUMMYFUNCTION("""COMPUTED_VALUE"""),0.2)</f>
        <v>0.2</v>
      </c>
      <c r="N385" s="53">
        <f>IFERROR(__xludf.DUMMYFUNCTION("""COMPUTED_VALUE"""),0.2)</f>
        <v>0.2</v>
      </c>
      <c r="O385" s="53">
        <f>IFERROR(__xludf.DUMMYFUNCTION("""COMPUTED_VALUE"""),55.55555555555555)</f>
        <v>55.55555556</v>
      </c>
      <c r="P385" s="53">
        <f>IFERROR(__xludf.DUMMYFUNCTION("""COMPUTED_VALUE"""),66.66666666666667)</f>
        <v>66.66666667</v>
      </c>
      <c r="Q385" s="53">
        <f>IFERROR(__xludf.DUMMYFUNCTION("""COMPUTED_VALUE"""),0.6)</f>
        <v>0.6</v>
      </c>
      <c r="R385" s="53">
        <f>IFERROR(__xludf.DUMMYFUNCTION("""COMPUTED_VALUE"""),-2.2678032792711433)</f>
        <v>-2.267803279</v>
      </c>
      <c r="S385" s="53">
        <f>IFERROR(__xludf.DUMMYFUNCTION("""COMPUTED_VALUE"""),-1.4261378116187227)</f>
        <v>-1.426137812</v>
      </c>
      <c r="T385" s="53">
        <f>IFERROR(__xludf.DUMMYFUNCTION("""COMPUTED_VALUE"""),-1.6288480404563284)</f>
        <v>-1.62884804</v>
      </c>
      <c r="U385" s="53">
        <f>IFERROR(__xludf.DUMMYFUNCTION("""COMPUTED_VALUE"""),-1.246500134901392)</f>
        <v>-1.246500135</v>
      </c>
      <c r="V385" s="53">
        <f>IFERROR(__xludf.DUMMYFUNCTION("""COMPUTED_VALUE"""),-1.732769878353462)</f>
        <v>-1.732769878</v>
      </c>
      <c r="W385" s="53">
        <f>IFERROR(__xludf.DUMMYFUNCTION("""COMPUTED_VALUE"""),-0.6583300762210907)</f>
        <v>-0.6583300762</v>
      </c>
      <c r="X385" s="53">
        <f>IFERROR(__xludf.DUMMYFUNCTION("""COMPUTED_VALUE"""),0.160659491588881)</f>
        <v>0.1606594916</v>
      </c>
      <c r="Y385" s="53">
        <f>IFERROR(__xludf.DUMMYFUNCTION("""COMPUTED_VALUE"""),-0.36779626764446344)</f>
        <v>-0.3677962676</v>
      </c>
      <c r="Z385" s="53">
        <f>IFERROR(__xludf.DUMMYFUNCTION("""COMPUTED_VALUE"""),0.43299176505743303)</f>
        <v>0.4329917651</v>
      </c>
      <c r="AA385" t="str">
        <f>IFERROR(__xludf.DUMMYFUNCTION("REGEXREPLACE(REGEXREPLACE(REGEXREPLACE(REGEXREPLACE(REGEXREPLACE(REGEXREPLACE(E385,"","",),IF(Projections!$U$3="""",""PG"",),),IF(Projections!$V$3="""",""SG"",),),IF(Projections!$W$3="""",""SF"",),),IF(Projections!$X$3="""",""PF"",),),IF(Projections!$Y$3="&amp;""""",""C"",),)"),"PF")</f>
        <v>PF</v>
      </c>
    </row>
    <row r="386">
      <c r="B386">
        <f>IFERROR(__xludf.DUMMYFUNCTION("""COMPUTED_VALUE"""),386.0)</f>
        <v>386</v>
      </c>
      <c r="C386" t="str">
        <f>IFERROR(__xludf.DUMMYFUNCTION("""COMPUTED_VALUE"""),"Dalano Banton")</f>
        <v>Dalano Banton</v>
      </c>
      <c r="D386">
        <f>IFERROR(__xludf.DUMMYFUNCTION("""COMPUTED_VALUE"""),44.0)</f>
        <v>44</v>
      </c>
      <c r="E386" t="str">
        <f>IFERROR(__xludf.DUMMYFUNCTION("""COMPUTED_VALUE"""),"PG,SG")</f>
        <v>PG,SG</v>
      </c>
      <c r="F386" s="53">
        <f>IFERROR(__xludf.DUMMYFUNCTION("""COMPUTED_VALUE"""),-10.229264139019671)</f>
        <v>-10.22926414</v>
      </c>
      <c r="G386" s="53">
        <f>IFERROR(__xludf.DUMMYFUNCTION("""COMPUTED_VALUE"""),-6.466763578685261)</f>
        <v>-6.466763579</v>
      </c>
      <c r="H386" s="53">
        <f>IFERROR(__xludf.DUMMYFUNCTION("""COMPUTED_VALUE"""),3.76250056033441)</f>
        <v>3.76250056</v>
      </c>
      <c r="I386" s="53">
        <f>IFERROR(__xludf.DUMMYFUNCTION("""COMPUTED_VALUE"""),3.0)</f>
        <v>3</v>
      </c>
      <c r="J386" s="53">
        <f>IFERROR(__xludf.DUMMYFUNCTION("""COMPUTED_VALUE"""),0.2)</f>
        <v>0.2</v>
      </c>
      <c r="K386" s="53">
        <f>IFERROR(__xludf.DUMMYFUNCTION("""COMPUTED_VALUE"""),1.5)</f>
        <v>1.5</v>
      </c>
      <c r="L386" s="53">
        <f>IFERROR(__xludf.DUMMYFUNCTION("""COMPUTED_VALUE"""),1.2)</f>
        <v>1.2</v>
      </c>
      <c r="M386" s="53">
        <f>IFERROR(__xludf.DUMMYFUNCTION("""COMPUTED_VALUE"""),0.4)</f>
        <v>0.4</v>
      </c>
      <c r="N386" s="53">
        <f>IFERROR(__xludf.DUMMYFUNCTION("""COMPUTED_VALUE"""),0.2)</f>
        <v>0.2</v>
      </c>
      <c r="O386" s="53">
        <f>IFERROR(__xludf.DUMMYFUNCTION("""COMPUTED_VALUE"""),41.37931034482759)</f>
        <v>41.37931034</v>
      </c>
      <c r="P386" s="53">
        <f>IFERROR(__xludf.DUMMYFUNCTION("""COMPUTED_VALUE"""),66.66666666666667)</f>
        <v>66.66666667</v>
      </c>
      <c r="Q386" s="53">
        <f>IFERROR(__xludf.DUMMYFUNCTION("""COMPUTED_VALUE"""),0.6)</f>
        <v>0.6</v>
      </c>
      <c r="R386" s="53">
        <f>IFERROR(__xludf.DUMMYFUNCTION("""COMPUTED_VALUE"""),-2.4026243808379197)</f>
        <v>-2.402624381</v>
      </c>
      <c r="S386" s="53">
        <f>IFERROR(__xludf.DUMMYFUNCTION("""COMPUTED_VALUE"""),-1.252712054226904)</f>
        <v>-1.252712054</v>
      </c>
      <c r="T386" s="53">
        <f>IFERROR(__xludf.DUMMYFUNCTION("""COMPUTED_VALUE"""),-1.9215556294481384)</f>
        <v>-1.921555629</v>
      </c>
      <c r="U386" s="53">
        <f>IFERROR(__xludf.DUMMYFUNCTION("""COMPUTED_VALUE"""),-1.3485050559244194)</f>
        <v>-1.348505056</v>
      </c>
      <c r="V386" s="53">
        <f>IFERROR(__xludf.DUMMYFUNCTION("""COMPUTED_VALUE"""),-1.2966700767544366)</f>
        <v>-1.296670077</v>
      </c>
      <c r="W386" s="53">
        <f>IFERROR(__xludf.DUMMYFUNCTION("""COMPUTED_VALUE"""),-0.6583300762210907)</f>
        <v>-0.6583300762</v>
      </c>
      <c r="X386" s="53">
        <f>IFERROR(__xludf.DUMMYFUNCTION("""COMPUTED_VALUE"""),-0.23808431734547383)</f>
        <v>-0.2380843173</v>
      </c>
      <c r="Y386" s="53">
        <f>IFERROR(__xludf.DUMMYFUNCTION("""COMPUTED_VALUE"""),-0.18389813382223172)</f>
        <v>-0.1838981338</v>
      </c>
      <c r="Z386" s="53">
        <f>IFERROR(__xludf.DUMMYFUNCTION("""COMPUTED_VALUE"""),0.43299176505743303)</f>
        <v>0.4329917651</v>
      </c>
      <c r="AA386" t="str">
        <f>IFERROR(__xludf.DUMMYFUNCTION("REGEXREPLACE(REGEXREPLACE(REGEXREPLACE(REGEXREPLACE(REGEXREPLACE(REGEXREPLACE(E386,"","",),IF(Projections!$U$3="""",""PG"",),),IF(Projections!$V$3="""",""SG"",),),IF(Projections!$W$3="""",""SF"",),),IF(Projections!$X$3="""",""PF"",),),IF(Projections!$Y$3="&amp;""""",""C"",),)"),"PGSG")</f>
        <v>PGSG</v>
      </c>
    </row>
    <row r="387">
      <c r="B387">
        <f>IFERROR(__xludf.DUMMYFUNCTION("""COMPUTED_VALUE"""),388.0)</f>
        <v>388</v>
      </c>
      <c r="C387" t="str">
        <f>IFERROR(__xludf.DUMMYFUNCTION("""COMPUTED_VALUE"""),"Aaron Holiday")</f>
        <v>Aaron Holiday</v>
      </c>
      <c r="D387">
        <f>IFERROR(__xludf.DUMMYFUNCTION("""COMPUTED_VALUE"""),30.0)</f>
        <v>30</v>
      </c>
      <c r="E387" t="str">
        <f>IFERROR(__xludf.DUMMYFUNCTION("""COMPUTED_VALUE"""),"PG,SG")</f>
        <v>PG,SG</v>
      </c>
      <c r="F387" s="53">
        <f>IFERROR(__xludf.DUMMYFUNCTION("""COMPUTED_VALUE"""),-10.262817234303174)</f>
        <v>-10.26281723</v>
      </c>
      <c r="G387" s="53">
        <f>IFERROR(__xludf.DUMMYFUNCTION("""COMPUTED_VALUE"""),-6.487333603019612)</f>
        <v>-6.487333603</v>
      </c>
      <c r="H387" s="53">
        <f>IFERROR(__xludf.DUMMYFUNCTION("""COMPUTED_VALUE"""),3.7754836312835627)</f>
        <v>3.775483631</v>
      </c>
      <c r="I387" s="53">
        <f>IFERROR(__xludf.DUMMYFUNCTION("""COMPUTED_VALUE"""),3.0)</f>
        <v>3</v>
      </c>
      <c r="J387" s="53">
        <f>IFERROR(__xludf.DUMMYFUNCTION("""COMPUTED_VALUE"""),0.3)</f>
        <v>0.3</v>
      </c>
      <c r="K387" s="53">
        <f>IFERROR(__xludf.DUMMYFUNCTION("""COMPUTED_VALUE"""),0.9)</f>
        <v>0.9</v>
      </c>
      <c r="L387" s="53">
        <f>IFERROR(__xludf.DUMMYFUNCTION("""COMPUTED_VALUE"""),1.1)</f>
        <v>1.1</v>
      </c>
      <c r="M387" s="53">
        <f>IFERROR(__xludf.DUMMYFUNCTION("""COMPUTED_VALUE"""),0.4)</f>
        <v>0.4</v>
      </c>
      <c r="N387" s="53">
        <f>IFERROR(__xludf.DUMMYFUNCTION("""COMPUTED_VALUE"""),0.1)</f>
        <v>0.1</v>
      </c>
      <c r="O387" s="53">
        <f>IFERROR(__xludf.DUMMYFUNCTION("""COMPUTED_VALUE"""),44.00000000000001)</f>
        <v>44</v>
      </c>
      <c r="P387" s="53">
        <f>IFERROR(__xludf.DUMMYFUNCTION("""COMPUTED_VALUE"""),80.0)</f>
        <v>80</v>
      </c>
      <c r="Q387" s="53">
        <f>IFERROR(__xludf.DUMMYFUNCTION("""COMPUTED_VALUE"""),0.5)</f>
        <v>0.5</v>
      </c>
      <c r="R387" s="53">
        <f>IFERROR(__xludf.DUMMYFUNCTION("""COMPUTED_VALUE"""),-2.4026243808379197)</f>
        <v>-2.402624381</v>
      </c>
      <c r="S387" s="53">
        <f>IFERROR(__xludf.DUMMYFUNCTION("""COMPUTED_VALUE"""),-1.1659991755309944)</f>
        <v>-1.165999176</v>
      </c>
      <c r="T387" s="53">
        <f>IFERROR(__xludf.DUMMYFUNCTION("""COMPUTED_VALUE"""),-2.172447848583975)</f>
        <v>-2.172447849</v>
      </c>
      <c r="U387" s="53">
        <f>IFERROR(__xludf.DUMMYFUNCTION("""COMPUTED_VALUE"""),-1.3995075164359327)</f>
        <v>-1.399507516</v>
      </c>
      <c r="V387" s="53">
        <f>IFERROR(__xludf.DUMMYFUNCTION("""COMPUTED_VALUE"""),-1.2966700767544366)</f>
        <v>-1.296670077</v>
      </c>
      <c r="W387" s="53">
        <f>IFERROR(__xludf.DUMMYFUNCTION("""COMPUTED_VALUE"""),-0.7896459158928509)</f>
        <v>-0.7896459159</v>
      </c>
      <c r="X387" s="53">
        <f>IFERROR(__xludf.DUMMYFUNCTION("""COMPUTED_VALUE"""),-0.13980221993475858)</f>
        <v>-0.1398022199</v>
      </c>
      <c r="Y387" s="53">
        <f>IFERROR(__xludf.DUMMYFUNCTION("""COMPUTED_VALUE"""),0.01270113039117512)</f>
        <v>0.01270113039</v>
      </c>
      <c r="Z387" s="53">
        <f>IFERROR(__xludf.DUMMYFUNCTION("""COMPUTED_VALUE"""),0.4640380197221629)</f>
        <v>0.4640380197</v>
      </c>
      <c r="AA387" t="str">
        <f>IFERROR(__xludf.DUMMYFUNCTION("REGEXREPLACE(REGEXREPLACE(REGEXREPLACE(REGEXREPLACE(REGEXREPLACE(REGEXREPLACE(E387,"","",),IF(Projections!$U$3="""",""PG"",),),IF(Projections!$V$3="""",""SG"",),),IF(Projections!$W$3="""",""SF"",),),IF(Projections!$X$3="""",""PF"",),),IF(Projections!$Y$3="&amp;""""",""C"",),)"),"PGSG")</f>
        <v>PGSG</v>
      </c>
    </row>
    <row r="388">
      <c r="B388">
        <f>IFERROR(__xludf.DUMMYFUNCTION("""COMPUTED_VALUE"""),372.0)</f>
        <v>372</v>
      </c>
      <c r="C388" t="str">
        <f>IFERROR(__xludf.DUMMYFUNCTION("""COMPUTED_VALUE"""),"Keon Johnson")</f>
        <v>Keon Johnson</v>
      </c>
      <c r="D388">
        <f>IFERROR(__xludf.DUMMYFUNCTION("""COMPUTED_VALUE"""),44.0)</f>
        <v>44</v>
      </c>
      <c r="E388" t="str">
        <f>IFERROR(__xludf.DUMMYFUNCTION("""COMPUTED_VALUE"""),"PG,SG")</f>
        <v>PG,SG</v>
      </c>
      <c r="F388" s="53">
        <f>IFERROR(__xludf.DUMMYFUNCTION("""COMPUTED_VALUE"""),-9.945351051646554)</f>
        <v>-9.945351052</v>
      </c>
      <c r="G388" s="53">
        <f>IFERROR(__xludf.DUMMYFUNCTION("""COMPUTED_VALUE"""),-6.493403518732839)</f>
        <v>-6.493403519</v>
      </c>
      <c r="H388" s="53">
        <f>IFERROR(__xludf.DUMMYFUNCTION("""COMPUTED_VALUE"""),3.4519475329137155)</f>
        <v>3.451947533</v>
      </c>
      <c r="I388" s="53">
        <f>IFERROR(__xludf.DUMMYFUNCTION("""COMPUTED_VALUE"""),4.3)</f>
        <v>4.3</v>
      </c>
      <c r="J388" s="53">
        <f>IFERROR(__xludf.DUMMYFUNCTION("""COMPUTED_VALUE"""),0.6)</f>
        <v>0.6</v>
      </c>
      <c r="K388" s="53">
        <f>IFERROR(__xludf.DUMMYFUNCTION("""COMPUTED_VALUE"""),1.2)</f>
        <v>1.2</v>
      </c>
      <c r="L388" s="53">
        <f>IFERROR(__xludf.DUMMYFUNCTION("""COMPUTED_VALUE"""),1.3)</f>
        <v>1.3</v>
      </c>
      <c r="M388" s="53">
        <f>IFERROR(__xludf.DUMMYFUNCTION("""COMPUTED_VALUE"""),0.4)</f>
        <v>0.4</v>
      </c>
      <c r="N388" s="53">
        <f>IFERROR(__xludf.DUMMYFUNCTION("""COMPUTED_VALUE"""),0.2)</f>
        <v>0.2</v>
      </c>
      <c r="O388" s="53">
        <f>IFERROR(__xludf.DUMMYFUNCTION("""COMPUTED_VALUE"""),34.883720930232556)</f>
        <v>34.88372093</v>
      </c>
      <c r="P388" s="53">
        <f>IFERROR(__xludf.DUMMYFUNCTION("""COMPUTED_VALUE"""),77.77777777777777)</f>
        <v>77.77777778</v>
      </c>
      <c r="Q388" s="53">
        <f>IFERROR(__xludf.DUMMYFUNCTION("""COMPUTED_VALUE"""),0.8)</f>
        <v>0.8</v>
      </c>
      <c r="R388" s="53">
        <f>IFERROR(__xludf.DUMMYFUNCTION("""COMPUTED_VALUE"""),-2.1835400907919085)</f>
        <v>-2.183540091</v>
      </c>
      <c r="S388" s="53">
        <f>IFERROR(__xludf.DUMMYFUNCTION("""COMPUTED_VALUE"""),-0.9058605394432663)</f>
        <v>-0.9058605394</v>
      </c>
      <c r="T388" s="53">
        <f>IFERROR(__xludf.DUMMYFUNCTION("""COMPUTED_VALUE"""),-2.0470017390160566)</f>
        <v>-2.047001739</v>
      </c>
      <c r="U388" s="53">
        <f>IFERROR(__xludf.DUMMYFUNCTION("""COMPUTED_VALUE"""),-1.2975025954129054)</f>
        <v>-1.297502595</v>
      </c>
      <c r="V388" s="53">
        <f>IFERROR(__xludf.DUMMYFUNCTION("""COMPUTED_VALUE"""),-1.2966700767544366)</f>
        <v>-1.296670077</v>
      </c>
      <c r="W388" s="53">
        <f>IFERROR(__xludf.DUMMYFUNCTION("""COMPUTED_VALUE"""),-0.6583300762210907)</f>
        <v>-0.6583300762</v>
      </c>
      <c r="X388" s="53">
        <f>IFERROR(__xludf.DUMMYFUNCTION("""COMPUTED_VALUE"""),-0.6320149097442621)</f>
        <v>-0.6320149097</v>
      </c>
      <c r="Y388" s="53">
        <f>IFERROR(__xludf.DUMMYFUNCTION("""COMPUTED_VALUE"""),-0.026922837868795582)</f>
        <v>-0.02692283787</v>
      </c>
      <c r="Z388" s="53">
        <f>IFERROR(__xludf.DUMMYFUNCTION("""COMPUTED_VALUE"""),0.37089925572797316)</f>
        <v>0.3708992557</v>
      </c>
      <c r="AA388" t="str">
        <f>IFERROR(__xludf.DUMMYFUNCTION("REGEXREPLACE(REGEXREPLACE(REGEXREPLACE(REGEXREPLACE(REGEXREPLACE(REGEXREPLACE(E388,"","",),IF(Projections!$U$3="""",""PG"",),),IF(Projections!$V$3="""",""SG"",),),IF(Projections!$W$3="""",""SF"",),),IF(Projections!$X$3="""",""PF"",),),IF(Projections!$Y$3="&amp;""""",""C"",),)"),"PGSG")</f>
        <v>PGSG</v>
      </c>
    </row>
    <row r="389">
      <c r="B389">
        <f>IFERROR(__xludf.DUMMYFUNCTION("""COMPUTED_VALUE"""),385.0)</f>
        <v>385</v>
      </c>
      <c r="C389" t="str">
        <f>IFERROR(__xludf.DUMMYFUNCTION("""COMPUTED_VALUE"""),"Jabari Walker")</f>
        <v>Jabari Walker</v>
      </c>
      <c r="D389">
        <f>IFERROR(__xludf.DUMMYFUNCTION("""COMPUTED_VALUE"""),68.0)</f>
        <v>68</v>
      </c>
      <c r="E389" t="str">
        <f>IFERROR(__xludf.DUMMYFUNCTION("""COMPUTED_VALUE"""),"SF,PF")</f>
        <v>SF,PF</v>
      </c>
      <c r="F389" s="53">
        <f>IFERROR(__xludf.DUMMYFUNCTION("""COMPUTED_VALUE"""),-10.210178375236982)</f>
        <v>-10.21017838</v>
      </c>
      <c r="G389" s="53">
        <f>IFERROR(__xludf.DUMMYFUNCTION("""COMPUTED_VALUE"""),-6.507035170040403)</f>
        <v>-6.50703517</v>
      </c>
      <c r="H389" s="53">
        <f>IFERROR(__xludf.DUMMYFUNCTION("""COMPUTED_VALUE"""),3.7031432051965787)</f>
        <v>3.703143205</v>
      </c>
      <c r="I389" s="53">
        <f>IFERROR(__xludf.DUMMYFUNCTION("""COMPUTED_VALUE"""),4.2)</f>
        <v>4.2</v>
      </c>
      <c r="J389" s="53">
        <f>IFERROR(__xludf.DUMMYFUNCTION("""COMPUTED_VALUE"""),0.3)</f>
        <v>0.3</v>
      </c>
      <c r="K389" s="53">
        <f>IFERROR(__xludf.DUMMYFUNCTION("""COMPUTED_VALUE"""),2.4)</f>
        <v>2.4</v>
      </c>
      <c r="L389" s="53">
        <f>IFERROR(__xludf.DUMMYFUNCTION("""COMPUTED_VALUE"""),0.6)</f>
        <v>0.6</v>
      </c>
      <c r="M389" s="53">
        <f>IFERROR(__xludf.DUMMYFUNCTION("""COMPUTED_VALUE"""),0.2)</f>
        <v>0.2</v>
      </c>
      <c r="N389" s="53">
        <f>IFERROR(__xludf.DUMMYFUNCTION("""COMPUTED_VALUE"""),0.2)</f>
        <v>0.2</v>
      </c>
      <c r="O389" s="53">
        <f>IFERROR(__xludf.DUMMYFUNCTION("""COMPUTED_VALUE"""),45.945945945945944)</f>
        <v>45.94594595</v>
      </c>
      <c r="P389" s="53">
        <f>IFERROR(__xludf.DUMMYFUNCTION("""COMPUTED_VALUE"""),74.99999999999999)</f>
        <v>75</v>
      </c>
      <c r="Q389" s="53">
        <f>IFERROR(__xludf.DUMMYFUNCTION("""COMPUTED_VALUE"""),0.5)</f>
        <v>0.5</v>
      </c>
      <c r="R389" s="53">
        <f>IFERROR(__xludf.DUMMYFUNCTION("""COMPUTED_VALUE"""),-2.200392728487756)</f>
        <v>-2.200392728</v>
      </c>
      <c r="S389" s="53">
        <f>IFERROR(__xludf.DUMMYFUNCTION("""COMPUTED_VALUE"""),-1.1659991755309944)</f>
        <v>-1.165999176</v>
      </c>
      <c r="T389" s="53">
        <f>IFERROR(__xludf.DUMMYFUNCTION("""COMPUTED_VALUE"""),-1.5452173007443828)</f>
        <v>-1.545217301</v>
      </c>
      <c r="U389" s="53">
        <f>IFERROR(__xludf.DUMMYFUNCTION("""COMPUTED_VALUE"""),-1.6545198189935006)</f>
        <v>-1.654519819</v>
      </c>
      <c r="V389" s="53">
        <f>IFERROR(__xludf.DUMMYFUNCTION("""COMPUTED_VALUE"""),-1.732769878353462)</f>
        <v>-1.732769878</v>
      </c>
      <c r="W389" s="53">
        <f>IFERROR(__xludf.DUMMYFUNCTION("""COMPUTED_VALUE"""),-0.6583300762210907)</f>
        <v>-0.6583300762</v>
      </c>
      <c r="X389" s="53">
        <f>IFERROR(__xludf.DUMMYFUNCTION("""COMPUTED_VALUE"""),-0.1349890033991921)</f>
        <v>-0.1349890034</v>
      </c>
      <c r="Y389" s="53">
        <f>IFERROR(__xludf.DUMMYFUNCTION("""COMPUTED_VALUE"""),-0.07924793651994107)</f>
        <v>-0.07924793652</v>
      </c>
      <c r="Z389" s="53">
        <f>IFERROR(__xludf.DUMMYFUNCTION("""COMPUTED_VALUE"""),0.4640380197221629)</f>
        <v>0.4640380197</v>
      </c>
      <c r="AA389" t="str">
        <f>IFERROR(__xludf.DUMMYFUNCTION("REGEXREPLACE(REGEXREPLACE(REGEXREPLACE(REGEXREPLACE(REGEXREPLACE(REGEXREPLACE(E389,"","",),IF(Projections!$U$3="""",""PG"",),),IF(Projections!$V$3="""",""SG"",),),IF(Projections!$W$3="""",""SF"",),),IF(Projections!$X$3="""",""PF"",),),IF(Projections!$Y$3="&amp;""""",""C"",),)"),"SFPF")</f>
        <v>SFPF</v>
      </c>
    </row>
    <row r="390">
      <c r="B390">
        <f>IFERROR(__xludf.DUMMYFUNCTION("""COMPUTED_VALUE"""),369.0)</f>
        <v>369</v>
      </c>
      <c r="C390" t="str">
        <f>IFERROR(__xludf.DUMMYFUNCTION("""COMPUTED_VALUE"""),"Simone Fontecchio")</f>
        <v>Simone Fontecchio</v>
      </c>
      <c r="D390">
        <f>IFERROR(__xludf.DUMMYFUNCTION("""COMPUTED_VALUE"""),40.0)</f>
        <v>40</v>
      </c>
      <c r="E390" t="str">
        <f>IFERROR(__xludf.DUMMYFUNCTION("""COMPUTED_VALUE"""),"SF")</f>
        <v>SF</v>
      </c>
      <c r="F390" s="53">
        <f>IFERROR(__xludf.DUMMYFUNCTION("""COMPUTED_VALUE"""),-9.884331826876418)</f>
        <v>-9.884331827</v>
      </c>
      <c r="G390" s="53">
        <f>IFERROR(__xludf.DUMMYFUNCTION("""COMPUTED_VALUE"""),-6.508726281862177)</f>
        <v>-6.508726282</v>
      </c>
      <c r="H390" s="53">
        <f>IFERROR(__xludf.DUMMYFUNCTION("""COMPUTED_VALUE"""),3.37560554501424)</f>
        <v>3.375605545</v>
      </c>
      <c r="I390" s="53">
        <f>IFERROR(__xludf.DUMMYFUNCTION("""COMPUTED_VALUE"""),5.4)</f>
        <v>5.4</v>
      </c>
      <c r="J390" s="53">
        <f>IFERROR(__xludf.DUMMYFUNCTION("""COMPUTED_VALUE"""),1.0)</f>
        <v>1</v>
      </c>
      <c r="K390" s="53">
        <f>IFERROR(__xludf.DUMMYFUNCTION("""COMPUTED_VALUE"""),1.4)</f>
        <v>1.4</v>
      </c>
      <c r="L390" s="53">
        <f>IFERROR(__xludf.DUMMYFUNCTION("""COMPUTED_VALUE"""),0.7)</f>
        <v>0.7</v>
      </c>
      <c r="M390" s="53">
        <f>IFERROR(__xludf.DUMMYFUNCTION("""COMPUTED_VALUE"""),0.3)</f>
        <v>0.3</v>
      </c>
      <c r="N390" s="53">
        <f>IFERROR(__xludf.DUMMYFUNCTION("""COMPUTED_VALUE"""),0.1)</f>
        <v>0.1</v>
      </c>
      <c r="O390" s="53">
        <f>IFERROR(__xludf.DUMMYFUNCTION("""COMPUTED_VALUE"""),37.254901960784316)</f>
        <v>37.25490196</v>
      </c>
      <c r="P390" s="53">
        <f>IFERROR(__xludf.DUMMYFUNCTION("""COMPUTED_VALUE"""),85.71428571428572)</f>
        <v>85.71428571</v>
      </c>
      <c r="Q390" s="53">
        <f>IFERROR(__xludf.DUMMYFUNCTION("""COMPUTED_VALUE"""),0.6)</f>
        <v>0.6</v>
      </c>
      <c r="R390" s="53">
        <f>IFERROR(__xludf.DUMMYFUNCTION("""COMPUTED_VALUE"""),-1.9981610761375916)</f>
        <v>-1.998161076</v>
      </c>
      <c r="S390" s="53">
        <f>IFERROR(__xludf.DUMMYFUNCTION("""COMPUTED_VALUE"""),-0.5590090246596284)</f>
        <v>-0.5590090247</v>
      </c>
      <c r="T390" s="53">
        <f>IFERROR(__xludf.DUMMYFUNCTION("""COMPUTED_VALUE"""),-1.963370999304111)</f>
        <v>-1.963370999</v>
      </c>
      <c r="U390" s="53">
        <f>IFERROR(__xludf.DUMMYFUNCTION("""COMPUTED_VALUE"""),-1.603517358481987)</f>
        <v>-1.603517358</v>
      </c>
      <c r="V390" s="53">
        <f>IFERROR(__xludf.DUMMYFUNCTION("""COMPUTED_VALUE"""),-1.5147199775539493)</f>
        <v>-1.514719978</v>
      </c>
      <c r="W390" s="53">
        <f>IFERROR(__xludf.DUMMYFUNCTION("""COMPUTED_VALUE"""),-0.7896459158928509)</f>
        <v>-0.7896459159</v>
      </c>
      <c r="X390" s="53">
        <f>IFERROR(__xludf.DUMMYFUNCTION("""COMPUTED_VALUE"""),-0.6288060987205509)</f>
        <v>-0.6288060987</v>
      </c>
      <c r="Y390" s="53">
        <f>IFERROR(__xludf.DUMMYFUNCTION("""COMPUTED_VALUE"""),0.11735132769346612)</f>
        <v>0.1173513277</v>
      </c>
      <c r="Z390" s="53">
        <f>IFERROR(__xludf.DUMMYFUNCTION("""COMPUTED_VALUE"""),0.43299176505743303)</f>
        <v>0.4329917651</v>
      </c>
      <c r="AA390" t="str">
        <f>IFERROR(__xludf.DUMMYFUNCTION("REGEXREPLACE(REGEXREPLACE(REGEXREPLACE(REGEXREPLACE(REGEXREPLACE(REGEXREPLACE(E390,"","",),IF(Projections!$U$3="""",""PG"",),),IF(Projections!$V$3="""",""SG"",),),IF(Projections!$W$3="""",""SF"",),),IF(Projections!$X$3="""",""PF"",),),IF(Projections!$Y$3="&amp;""""",""C"",),)"),"SF")</f>
        <v>SF</v>
      </c>
    </row>
    <row r="391">
      <c r="B391">
        <f>IFERROR(__xludf.DUMMYFUNCTION("""COMPUTED_VALUE"""),383.0)</f>
        <v>383</v>
      </c>
      <c r="C391" t="str">
        <f>IFERROR(__xludf.DUMMYFUNCTION("""COMPUTED_VALUE"""),"Jeff Green")</f>
        <v>Jeff Green</v>
      </c>
      <c r="D391">
        <f>IFERROR(__xludf.DUMMYFUNCTION("""COMPUTED_VALUE"""),40.0)</f>
        <v>40</v>
      </c>
      <c r="E391" t="str">
        <f>IFERROR(__xludf.DUMMYFUNCTION("""COMPUTED_VALUE"""),"PF,C")</f>
        <v>PF,C</v>
      </c>
      <c r="F391" s="53">
        <f>IFERROR(__xludf.DUMMYFUNCTION("""COMPUTED_VALUE"""),-10.179111681155044)</f>
        <v>-10.17911168</v>
      </c>
      <c r="G391" s="53">
        <f>IFERROR(__xludf.DUMMYFUNCTION("""COMPUTED_VALUE"""),-6.5398009204046055)</f>
        <v>-6.53980092</v>
      </c>
      <c r="H391" s="53">
        <f>IFERROR(__xludf.DUMMYFUNCTION("""COMPUTED_VALUE"""),3.6393107607504387)</f>
        <v>3.639310761</v>
      </c>
      <c r="I391" s="53">
        <f>IFERROR(__xludf.DUMMYFUNCTION("""COMPUTED_VALUE"""),4.4)</f>
        <v>4.4</v>
      </c>
      <c r="J391" s="53">
        <f>IFERROR(__xludf.DUMMYFUNCTION("""COMPUTED_VALUE"""),0.3)</f>
        <v>0.3</v>
      </c>
      <c r="K391" s="53">
        <f>IFERROR(__xludf.DUMMYFUNCTION("""COMPUTED_VALUE"""),1.4)</f>
        <v>1.4</v>
      </c>
      <c r="L391" s="53">
        <f>IFERROR(__xludf.DUMMYFUNCTION("""COMPUTED_VALUE"""),0.6)</f>
        <v>0.6</v>
      </c>
      <c r="M391" s="53">
        <f>IFERROR(__xludf.DUMMYFUNCTION("""COMPUTED_VALUE"""),0.2)</f>
        <v>0.2</v>
      </c>
      <c r="N391" s="53">
        <f>IFERROR(__xludf.DUMMYFUNCTION("""COMPUTED_VALUE"""),0.2)</f>
        <v>0.2</v>
      </c>
      <c r="O391" s="53">
        <f>IFERROR(__xludf.DUMMYFUNCTION("""COMPUTED_VALUE"""),51.61290322580645)</f>
        <v>51.61290323</v>
      </c>
      <c r="P391" s="53">
        <f>IFERROR(__xludf.DUMMYFUNCTION("""COMPUTED_VALUE"""),81.81818181818181)</f>
        <v>81.81818182</v>
      </c>
      <c r="Q391" s="53">
        <f>IFERROR(__xludf.DUMMYFUNCTION("""COMPUTED_VALUE"""),0.4)</f>
        <v>0.4</v>
      </c>
      <c r="R391" s="53">
        <f>IFERROR(__xludf.DUMMYFUNCTION("""COMPUTED_VALUE"""),-2.1666874530960616)</f>
        <v>-2.166687453</v>
      </c>
      <c r="S391" s="53">
        <f>IFERROR(__xludf.DUMMYFUNCTION("""COMPUTED_VALUE"""),-1.1659991755309944)</f>
        <v>-1.165999176</v>
      </c>
      <c r="T391" s="53">
        <f>IFERROR(__xludf.DUMMYFUNCTION("""COMPUTED_VALUE"""),-1.963370999304111)</f>
        <v>-1.963370999</v>
      </c>
      <c r="U391" s="53">
        <f>IFERROR(__xludf.DUMMYFUNCTION("""COMPUTED_VALUE"""),-1.6545198189935006)</f>
        <v>-1.654519819</v>
      </c>
      <c r="V391" s="53">
        <f>IFERROR(__xludf.DUMMYFUNCTION("""COMPUTED_VALUE"""),-1.732769878353462)</f>
        <v>-1.732769878</v>
      </c>
      <c r="W391" s="53">
        <f>IFERROR(__xludf.DUMMYFUNCTION("""COMPUTED_VALUE"""),-0.6583300762210907)</f>
        <v>-0.6583300762</v>
      </c>
      <c r="X391" s="53">
        <f>IFERROR(__xludf.DUMMYFUNCTION("""COMPUTED_VALUE"""),0.06237739417816599)</f>
        <v>0.06237739418</v>
      </c>
      <c r="Y391" s="53">
        <f>IFERROR(__xludf.DUMMYFUNCTION("""COMPUTED_VALUE"""),0.07772735943349546)</f>
        <v>0.07772735943</v>
      </c>
      <c r="Z391" s="53">
        <f>IFERROR(__xludf.DUMMYFUNCTION("""COMPUTED_VALUE"""),0.4950842743868928)</f>
        <v>0.4950842744</v>
      </c>
      <c r="AA391" t="str">
        <f>IFERROR(__xludf.DUMMYFUNCTION("REGEXREPLACE(REGEXREPLACE(REGEXREPLACE(REGEXREPLACE(REGEXREPLACE(REGEXREPLACE(E391,"","",),IF(Projections!$U$3="""",""PG"",),),IF(Projections!$V$3="""",""SG"",),),IF(Projections!$W$3="""",""SF"",),),IF(Projections!$X$3="""",""PF"",),),IF(Projections!$Y$3="&amp;""""",""C"",),)"),"PFC")</f>
        <v>PFC</v>
      </c>
    </row>
    <row r="392">
      <c r="B392">
        <f>IFERROR(__xludf.DUMMYFUNCTION("""COMPUTED_VALUE"""),392.0)</f>
        <v>392</v>
      </c>
      <c r="C392" t="str">
        <f>IFERROR(__xludf.DUMMYFUNCTION("""COMPUTED_VALUE"""),"Cody Zeller")</f>
        <v>Cody Zeller</v>
      </c>
      <c r="D392">
        <f>IFERROR(__xludf.DUMMYFUNCTION("""COMPUTED_VALUE"""),33.0)</f>
        <v>33</v>
      </c>
      <c r="E392" t="str">
        <f>IFERROR(__xludf.DUMMYFUNCTION("""COMPUTED_VALUE"""),"C")</f>
        <v>C</v>
      </c>
      <c r="F392" s="53">
        <f>IFERROR(__xludf.DUMMYFUNCTION("""COMPUTED_VALUE"""),-10.4098107140549)</f>
        <v>-10.40981071</v>
      </c>
      <c r="G392" s="53">
        <f>IFERROR(__xludf.DUMMYFUNCTION("""COMPUTED_VALUE"""),-6.543551780129588)</f>
        <v>-6.54355178</v>
      </c>
      <c r="H392" s="53">
        <f>IFERROR(__xludf.DUMMYFUNCTION("""COMPUTED_VALUE"""),3.8662589339253124)</f>
        <v>3.866258934</v>
      </c>
      <c r="I392" s="53">
        <f>IFERROR(__xludf.DUMMYFUNCTION("""COMPUTED_VALUE"""),3.5)</f>
        <v>3.5</v>
      </c>
      <c r="J392" s="53">
        <f>IFERROR(__xludf.DUMMYFUNCTION("""COMPUTED_VALUE"""),0.0)</f>
        <v>0</v>
      </c>
      <c r="K392" s="53">
        <f>IFERROR(__xludf.DUMMYFUNCTION("""COMPUTED_VALUE"""),2.8)</f>
        <v>2.8</v>
      </c>
      <c r="L392" s="53">
        <f>IFERROR(__xludf.DUMMYFUNCTION("""COMPUTED_VALUE"""),0.5)</f>
        <v>0.5</v>
      </c>
      <c r="M392" s="53">
        <f>IFERROR(__xludf.DUMMYFUNCTION("""COMPUTED_VALUE"""),0.2)</f>
        <v>0.2</v>
      </c>
      <c r="N392" s="53">
        <f>IFERROR(__xludf.DUMMYFUNCTION("""COMPUTED_VALUE"""),0.2)</f>
        <v>0.2</v>
      </c>
      <c r="O392" s="53">
        <f>IFERROR(__xludf.DUMMYFUNCTION("""COMPUTED_VALUE"""),59.09090909090908)</f>
        <v>59.09090909</v>
      </c>
      <c r="P392" s="53">
        <f>IFERROR(__xludf.DUMMYFUNCTION("""COMPUTED_VALUE"""),69.23076923076923)</f>
        <v>69.23076923</v>
      </c>
      <c r="Q392" s="53">
        <f>IFERROR(__xludf.DUMMYFUNCTION("""COMPUTED_VALUE"""),0.5)</f>
        <v>0.5</v>
      </c>
      <c r="R392" s="53">
        <f>IFERROR(__xludf.DUMMYFUNCTION("""COMPUTED_VALUE"""),-2.3183611923586844)</f>
        <v>-2.318361192</v>
      </c>
      <c r="S392" s="53">
        <f>IFERROR(__xludf.DUMMYFUNCTION("""COMPUTED_VALUE"""),-1.4261378116187227)</f>
        <v>-1.426137812</v>
      </c>
      <c r="T392" s="53">
        <f>IFERROR(__xludf.DUMMYFUNCTION("""COMPUTED_VALUE"""),-1.3779558213204914)</f>
        <v>-1.377955821</v>
      </c>
      <c r="U392" s="53">
        <f>IFERROR(__xludf.DUMMYFUNCTION("""COMPUTED_VALUE"""),-1.7055222795050142)</f>
        <v>-1.70552228</v>
      </c>
      <c r="V392" s="53">
        <f>IFERROR(__xludf.DUMMYFUNCTION("""COMPUTED_VALUE"""),-1.732769878353462)</f>
        <v>-1.732769878</v>
      </c>
      <c r="W392" s="53">
        <f>IFERROR(__xludf.DUMMYFUNCTION("""COMPUTED_VALUE"""),-0.6583300762210907)</f>
        <v>-0.6583300762</v>
      </c>
      <c r="X392" s="53">
        <f>IFERROR(__xludf.DUMMYFUNCTION("""COMPUTED_VALUE"""),0.20859723616034687)</f>
        <v>0.2085972362</v>
      </c>
      <c r="Y392" s="53">
        <f>IFERROR(__xludf.DUMMYFUNCTION("""COMPUTED_VALUE"""),-0.3154711689933183)</f>
        <v>-0.315471169</v>
      </c>
      <c r="Z392" s="53">
        <f>IFERROR(__xludf.DUMMYFUNCTION("""COMPUTED_VALUE"""),0.4640380197221629)</f>
        <v>0.4640380197</v>
      </c>
      <c r="AA392" t="str">
        <f>IFERROR(__xludf.DUMMYFUNCTION("REGEXREPLACE(REGEXREPLACE(REGEXREPLACE(REGEXREPLACE(REGEXREPLACE(REGEXREPLACE(E392,"","",),IF(Projections!$U$3="""",""PG"",),),IF(Projections!$V$3="""",""SG"",),),IF(Projections!$W$3="""",""SF"",),),IF(Projections!$X$3="""",""PF"",),),IF(Projections!$Y$3="&amp;""""",""C"",),)"),"C")</f>
        <v>C</v>
      </c>
    </row>
    <row r="393">
      <c r="B393">
        <f>IFERROR(__xludf.DUMMYFUNCTION("""COMPUTED_VALUE"""),394.0)</f>
        <v>394</v>
      </c>
      <c r="C393" t="str">
        <f>IFERROR(__xludf.DUMMYFUNCTION("""COMPUTED_VALUE"""),"AJ Green")</f>
        <v>AJ Green</v>
      </c>
      <c r="D393">
        <f>IFERROR(__xludf.DUMMYFUNCTION("""COMPUTED_VALUE"""),30.0)</f>
        <v>30</v>
      </c>
      <c r="E393" t="str">
        <f>IFERROR(__xludf.DUMMYFUNCTION("""COMPUTED_VALUE"""),"PG,SG")</f>
        <v>PG,SG</v>
      </c>
      <c r="F393" s="53">
        <f>IFERROR(__xludf.DUMMYFUNCTION("""COMPUTED_VALUE"""),-10.421154295194416)</f>
        <v>-10.4211543</v>
      </c>
      <c r="G393" s="53">
        <f>IFERROR(__xludf.DUMMYFUNCTION("""COMPUTED_VALUE"""),-6.548147400480881)</f>
        <v>-6.5481474</v>
      </c>
      <c r="H393" s="53">
        <f>IFERROR(__xludf.DUMMYFUNCTION("""COMPUTED_VALUE"""),3.8730068947135354)</f>
        <v>3.873006895</v>
      </c>
      <c r="I393" s="53">
        <f>IFERROR(__xludf.DUMMYFUNCTION("""COMPUTED_VALUE"""),3.8)</f>
        <v>3.8</v>
      </c>
      <c r="J393" s="53">
        <f>IFERROR(__xludf.DUMMYFUNCTION("""COMPUTED_VALUE"""),1.1)</f>
        <v>1.1</v>
      </c>
      <c r="K393" s="53">
        <f>IFERROR(__xludf.DUMMYFUNCTION("""COMPUTED_VALUE"""),1.1)</f>
        <v>1.1</v>
      </c>
      <c r="L393" s="53">
        <f>IFERROR(__xludf.DUMMYFUNCTION("""COMPUTED_VALUE"""),0.5)</f>
        <v>0.5</v>
      </c>
      <c r="M393" s="53">
        <f>IFERROR(__xludf.DUMMYFUNCTION("""COMPUTED_VALUE"""),0.2)</f>
        <v>0.2</v>
      </c>
      <c r="N393" s="53">
        <f>IFERROR(__xludf.DUMMYFUNCTION("""COMPUTED_VALUE"""),0.0)</f>
        <v>0</v>
      </c>
      <c r="O393" s="53">
        <f>IFERROR(__xludf.DUMMYFUNCTION("""COMPUTED_VALUE"""),41.935483870967744)</f>
        <v>41.93548387</v>
      </c>
      <c r="P393" s="53">
        <f>IFERROR(__xludf.DUMMYFUNCTION("""COMPUTED_VALUE"""),100.0)</f>
        <v>100</v>
      </c>
      <c r="Q393" s="53">
        <f>IFERROR(__xludf.DUMMYFUNCTION("""COMPUTED_VALUE"""),0.2)</f>
        <v>0.2</v>
      </c>
      <c r="R393" s="53">
        <f>IFERROR(__xludf.DUMMYFUNCTION("""COMPUTED_VALUE"""),-2.2678032792711433)</f>
        <v>-2.267803279</v>
      </c>
      <c r="S393" s="53">
        <f>IFERROR(__xludf.DUMMYFUNCTION("""COMPUTED_VALUE"""),-0.472296145963719)</f>
        <v>-0.472296146</v>
      </c>
      <c r="T393" s="53">
        <f>IFERROR(__xludf.DUMMYFUNCTION("""COMPUTED_VALUE"""),-2.0888171088720298)</f>
        <v>-2.088817109</v>
      </c>
      <c r="U393" s="53">
        <f>IFERROR(__xludf.DUMMYFUNCTION("""COMPUTED_VALUE"""),-1.7055222795050142)</f>
        <v>-1.70552228</v>
      </c>
      <c r="V393" s="53">
        <f>IFERROR(__xludf.DUMMYFUNCTION("""COMPUTED_VALUE"""),-1.732769878353462)</f>
        <v>-1.732769878</v>
      </c>
      <c r="W393" s="53">
        <f>IFERROR(__xludf.DUMMYFUNCTION("""COMPUTED_VALUE"""),-0.920961755564611)</f>
        <v>-0.9209617556</v>
      </c>
      <c r="X393" s="53">
        <f>IFERROR(__xludf.DUMMYFUNCTION("""COMPUTED_VALUE"""),-0.23728211458954598)</f>
        <v>-0.2372821146</v>
      </c>
      <c r="Y393" s="53">
        <f>IFERROR(__xludf.DUMMYFUNCTION("""COMPUTED_VALUE"""),0.052325098651145485)</f>
        <v>0.05232509865</v>
      </c>
      <c r="Z393" s="53">
        <f>IFERROR(__xludf.DUMMYFUNCTION("""COMPUTED_VALUE"""),0.5571767837163527)</f>
        <v>0.5571767837</v>
      </c>
      <c r="AA393" t="str">
        <f>IFERROR(__xludf.DUMMYFUNCTION("REGEXREPLACE(REGEXREPLACE(REGEXREPLACE(REGEXREPLACE(REGEXREPLACE(REGEXREPLACE(E393,"","",),IF(Projections!$U$3="""",""PG"",),),IF(Projections!$V$3="""",""SG"",),),IF(Projections!$W$3="""",""SF"",),),IF(Projections!$X$3="""",""PF"",),),IF(Projections!$Y$3="&amp;""""",""C"",),)"),"PGSG")</f>
        <v>PGSG</v>
      </c>
    </row>
    <row r="394">
      <c r="B394">
        <f>IFERROR(__xludf.DUMMYFUNCTION("""COMPUTED_VALUE"""),387.0)</f>
        <v>387</v>
      </c>
      <c r="C394" t="str">
        <f>IFERROR(__xludf.DUMMYFUNCTION("""COMPUTED_VALUE"""),"Neemias Queta")</f>
        <v>Neemias Queta</v>
      </c>
      <c r="D394">
        <f>IFERROR(__xludf.DUMMYFUNCTION("""COMPUTED_VALUE"""),40.0)</f>
        <v>40</v>
      </c>
      <c r="E394" t="str">
        <f>IFERROR(__xludf.DUMMYFUNCTION("""COMPUTED_VALUE"""),"C")</f>
        <v>C</v>
      </c>
      <c r="F394" s="53">
        <f>IFERROR(__xludf.DUMMYFUNCTION("""COMPUTED_VALUE"""),-10.240977342158825)</f>
        <v>-10.24097734</v>
      </c>
      <c r="G394" s="53">
        <f>IFERROR(__xludf.DUMMYFUNCTION("""COMPUTED_VALUE"""),-6.557435617727705)</f>
        <v>-6.557435618</v>
      </c>
      <c r="H394" s="53">
        <f>IFERROR(__xludf.DUMMYFUNCTION("""COMPUTED_VALUE"""),3.6835417244311195)</f>
        <v>3.683541724</v>
      </c>
      <c r="I394" s="53">
        <f>IFERROR(__xludf.DUMMYFUNCTION("""COMPUTED_VALUE"""),4.0)</f>
        <v>4</v>
      </c>
      <c r="J394" s="53">
        <f>IFERROR(__xludf.DUMMYFUNCTION("""COMPUTED_VALUE"""),0.0)</f>
        <v>0</v>
      </c>
      <c r="K394" s="53">
        <f>IFERROR(__xludf.DUMMYFUNCTION("""COMPUTED_VALUE"""),2.9)</f>
        <v>2.9</v>
      </c>
      <c r="L394" s="53">
        <f>IFERROR(__xludf.DUMMYFUNCTION("""COMPUTED_VALUE"""),0.5)</f>
        <v>0.5</v>
      </c>
      <c r="M394" s="53">
        <f>IFERROR(__xludf.DUMMYFUNCTION("""COMPUTED_VALUE"""),0.1)</f>
        <v>0.1</v>
      </c>
      <c r="N394" s="53">
        <f>IFERROR(__xludf.DUMMYFUNCTION("""COMPUTED_VALUE"""),0.7)</f>
        <v>0.7</v>
      </c>
      <c r="O394" s="53">
        <f>IFERROR(__xludf.DUMMYFUNCTION("""COMPUTED_VALUE"""),48.48484848484849)</f>
        <v>48.48484848</v>
      </c>
      <c r="P394" s="53">
        <f>IFERROR(__xludf.DUMMYFUNCTION("""COMPUTED_VALUE"""),61.53846153846154)</f>
        <v>61.53846154</v>
      </c>
      <c r="Q394" s="53">
        <f>IFERROR(__xludf.DUMMYFUNCTION("""COMPUTED_VALUE"""),0.5)</f>
        <v>0.5</v>
      </c>
      <c r="R394" s="53">
        <f>IFERROR(__xludf.DUMMYFUNCTION("""COMPUTED_VALUE"""),-2.2340980038794496)</f>
        <v>-2.234098004</v>
      </c>
      <c r="S394" s="53">
        <f>IFERROR(__xludf.DUMMYFUNCTION("""COMPUTED_VALUE"""),-1.4261378116187227)</f>
        <v>-1.426137812</v>
      </c>
      <c r="T394" s="53">
        <f>IFERROR(__xludf.DUMMYFUNCTION("""COMPUTED_VALUE"""),-1.3361404514645185)</f>
        <v>-1.336140451</v>
      </c>
      <c r="U394" s="53">
        <f>IFERROR(__xludf.DUMMYFUNCTION("""COMPUTED_VALUE"""),-1.7055222795050142)</f>
        <v>-1.70552228</v>
      </c>
      <c r="V394" s="53">
        <f>IFERROR(__xludf.DUMMYFUNCTION("""COMPUTED_VALUE"""),-1.9508197791529749)</f>
        <v>-1.950819779</v>
      </c>
      <c r="W394" s="53">
        <f>IFERROR(__xludf.DUMMYFUNCTION("""COMPUTED_VALUE"""),-0.0017508778622903794)</f>
        <v>-0.001750877862</v>
      </c>
      <c r="X394" s="53">
        <f>IFERROR(__xludf.DUMMYFUNCTION("""COMPUTED_VALUE"""),-0.036706905988476646)</f>
        <v>-0.03670690599</v>
      </c>
      <c r="Y394" s="53">
        <f>IFERROR(__xludf.DUMMYFUNCTION("""COMPUTED_VALUE"""),-0.5643955318578705)</f>
        <v>-0.5643955319</v>
      </c>
      <c r="Z394" s="53">
        <f>IFERROR(__xludf.DUMMYFUNCTION("""COMPUTED_VALUE"""),0.4640380197221629)</f>
        <v>0.4640380197</v>
      </c>
      <c r="AA394" t="str">
        <f>IFERROR(__xludf.DUMMYFUNCTION("REGEXREPLACE(REGEXREPLACE(REGEXREPLACE(REGEXREPLACE(REGEXREPLACE(REGEXREPLACE(E394,"","",),IF(Projections!$U$3="""",""PG"",),),IF(Projections!$V$3="""",""SG"",),),IF(Projections!$W$3="""",""SF"",),),IF(Projections!$X$3="""",""PF"",),),IF(Projections!$Y$3="&amp;""""",""C"",),)"),"C")</f>
        <v>C</v>
      </c>
    </row>
    <row r="395">
      <c r="B395">
        <f>IFERROR(__xludf.DUMMYFUNCTION("""COMPUTED_VALUE"""),391.0)</f>
        <v>391</v>
      </c>
      <c r="C395" t="str">
        <f>IFERROR(__xludf.DUMMYFUNCTION("""COMPUTED_VALUE"""),"Daniel Theis")</f>
        <v>Daniel Theis</v>
      </c>
      <c r="D395">
        <f>IFERROR(__xludf.DUMMYFUNCTION("""COMPUTED_VALUE"""),20.0)</f>
        <v>20</v>
      </c>
      <c r="E395" t="str">
        <f>IFERROR(__xludf.DUMMYFUNCTION("""COMPUTED_VALUE"""),"C")</f>
        <v>C</v>
      </c>
      <c r="F395" s="53">
        <f>IFERROR(__xludf.DUMMYFUNCTION("""COMPUTED_VALUE"""),-10.390257411996206)</f>
        <v>-10.39025741</v>
      </c>
      <c r="G395" s="53">
        <f>IFERROR(__xludf.DUMMYFUNCTION("""COMPUTED_VALUE"""),-6.56544525399952)</f>
        <v>-6.565445254</v>
      </c>
      <c r="H395" s="53">
        <f>IFERROR(__xludf.DUMMYFUNCTION("""COMPUTED_VALUE"""),3.8248121579966865)</f>
        <v>3.824812158</v>
      </c>
      <c r="I395" s="53">
        <f>IFERROR(__xludf.DUMMYFUNCTION("""COMPUTED_VALUE"""),3.3)</f>
        <v>3.3</v>
      </c>
      <c r="J395" s="53">
        <f>IFERROR(__xludf.DUMMYFUNCTION("""COMPUTED_VALUE"""),0.3)</f>
        <v>0.3</v>
      </c>
      <c r="K395" s="53">
        <f>IFERROR(__xludf.DUMMYFUNCTION("""COMPUTED_VALUE"""),1.9)</f>
        <v>1.9</v>
      </c>
      <c r="L395" s="53">
        <f>IFERROR(__xludf.DUMMYFUNCTION("""COMPUTED_VALUE"""),0.4)</f>
        <v>0.4</v>
      </c>
      <c r="M395" s="53">
        <f>IFERROR(__xludf.DUMMYFUNCTION("""COMPUTED_VALUE"""),0.2)</f>
        <v>0.2</v>
      </c>
      <c r="N395" s="53">
        <f>IFERROR(__xludf.DUMMYFUNCTION("""COMPUTED_VALUE"""),0.3)</f>
        <v>0.3</v>
      </c>
      <c r="O395" s="53">
        <f>IFERROR(__xludf.DUMMYFUNCTION("""COMPUTED_VALUE"""),52.0)</f>
        <v>52</v>
      </c>
      <c r="P395" s="53">
        <f>IFERROR(__xludf.DUMMYFUNCTION("""COMPUTED_VALUE"""),66.66666666666667)</f>
        <v>66.66666667</v>
      </c>
      <c r="Q395" s="53">
        <f>IFERROR(__xludf.DUMMYFUNCTION("""COMPUTED_VALUE"""),0.4)</f>
        <v>0.4</v>
      </c>
      <c r="R395" s="53">
        <f>IFERROR(__xludf.DUMMYFUNCTION("""COMPUTED_VALUE"""),-2.3520664677503786)</f>
        <v>-2.352066468</v>
      </c>
      <c r="S395" s="53">
        <f>IFERROR(__xludf.DUMMYFUNCTION("""COMPUTED_VALUE"""),-1.1659991755309944)</f>
        <v>-1.165999176</v>
      </c>
      <c r="T395" s="53">
        <f>IFERROR(__xludf.DUMMYFUNCTION("""COMPUTED_VALUE"""),-1.7542941500242468)</f>
        <v>-1.75429415</v>
      </c>
      <c r="U395" s="53">
        <f>IFERROR(__xludf.DUMMYFUNCTION("""COMPUTED_VALUE"""),-1.7565247400165278)</f>
        <v>-1.75652474</v>
      </c>
      <c r="V395" s="53">
        <f>IFERROR(__xludf.DUMMYFUNCTION("""COMPUTED_VALUE"""),-1.732769878353462)</f>
        <v>-1.732769878</v>
      </c>
      <c r="W395" s="53">
        <f>IFERROR(__xludf.DUMMYFUNCTION("""COMPUTED_VALUE"""),-0.5270142365493308)</f>
        <v>-0.5270142365</v>
      </c>
      <c r="X395" s="53">
        <f>IFERROR(__xludf.DUMMYFUNCTION("""COMPUTED_VALUE"""),0.059970785910382726)</f>
        <v>0.05997078591</v>
      </c>
      <c r="Y395" s="53">
        <f>IFERROR(__xludf.DUMMYFUNCTION("""COMPUTED_VALUE"""),-0.18389813382223172)</f>
        <v>-0.1838981338</v>
      </c>
      <c r="Z395" s="53">
        <f>IFERROR(__xludf.DUMMYFUNCTION("""COMPUTED_VALUE"""),0.4950842743868928)</f>
        <v>0.4950842744</v>
      </c>
      <c r="AA395" t="str">
        <f>IFERROR(__xludf.DUMMYFUNCTION("REGEXREPLACE(REGEXREPLACE(REGEXREPLACE(REGEXREPLACE(REGEXREPLACE(REGEXREPLACE(E395,"","",),IF(Projections!$U$3="""",""PG"",),),IF(Projections!$V$3="""",""SG"",),),IF(Projections!$W$3="""",""SF"",),),IF(Projections!$X$3="""",""PF"",),),IF(Projections!$Y$3="&amp;""""",""C"",),)"),"C")</f>
        <v>C</v>
      </c>
    </row>
    <row r="396">
      <c r="B396">
        <f>IFERROR(__xludf.DUMMYFUNCTION("""COMPUTED_VALUE"""),382.0)</f>
        <v>382</v>
      </c>
      <c r="C396" t="str">
        <f>IFERROR(__xludf.DUMMYFUNCTION("""COMPUTED_VALUE"""),"Robin Lopez")</f>
        <v>Robin Lopez</v>
      </c>
      <c r="D396">
        <f>IFERROR(__xludf.DUMMYFUNCTION("""COMPUTED_VALUE"""),68.0)</f>
        <v>68</v>
      </c>
      <c r="E396" t="str">
        <f>IFERROR(__xludf.DUMMYFUNCTION("""COMPUTED_VALUE"""),"C")</f>
        <v>C</v>
      </c>
      <c r="F396" s="53">
        <f>IFERROR(__xludf.DUMMYFUNCTION("""COMPUTED_VALUE"""),-10.168408240133633)</f>
        <v>-10.16840824</v>
      </c>
      <c r="G396" s="53">
        <f>IFERROR(__xludf.DUMMYFUNCTION("""COMPUTED_VALUE"""),-6.570316670592025)</f>
        <v>-6.570316671</v>
      </c>
      <c r="H396" s="53">
        <f>IFERROR(__xludf.DUMMYFUNCTION("""COMPUTED_VALUE"""),3.5980915695416087)</f>
        <v>3.59809157</v>
      </c>
      <c r="I396" s="53">
        <f>IFERROR(__xludf.DUMMYFUNCTION("""COMPUTED_VALUE"""),4.5)</f>
        <v>4.5</v>
      </c>
      <c r="J396" s="53">
        <f>IFERROR(__xludf.DUMMYFUNCTION("""COMPUTED_VALUE"""),0.1)</f>
        <v>0.1</v>
      </c>
      <c r="K396" s="53">
        <f>IFERROR(__xludf.DUMMYFUNCTION("""COMPUTED_VALUE"""),2.2)</f>
        <v>2.2</v>
      </c>
      <c r="L396" s="53">
        <f>IFERROR(__xludf.DUMMYFUNCTION("""COMPUTED_VALUE"""),0.9)</f>
        <v>0.9</v>
      </c>
      <c r="M396" s="53">
        <f>IFERROR(__xludf.DUMMYFUNCTION("""COMPUTED_VALUE"""),0.1)</f>
        <v>0.1</v>
      </c>
      <c r="N396" s="53">
        <f>IFERROR(__xludf.DUMMYFUNCTION("""COMPUTED_VALUE"""),0.3)</f>
        <v>0.3</v>
      </c>
      <c r="O396" s="53">
        <f>IFERROR(__xludf.DUMMYFUNCTION("""COMPUTED_VALUE"""),58.82352941176471)</f>
        <v>58.82352941</v>
      </c>
      <c r="P396" s="53">
        <f>IFERROR(__xludf.DUMMYFUNCTION("""COMPUTED_VALUE"""),66.66666666666666)</f>
        <v>66.66666667</v>
      </c>
      <c r="Q396" s="53">
        <f>IFERROR(__xludf.DUMMYFUNCTION("""COMPUTED_VALUE"""),0.9)</f>
        <v>0.9</v>
      </c>
      <c r="R396" s="53">
        <f>IFERROR(__xludf.DUMMYFUNCTION("""COMPUTED_VALUE"""),-2.1498348154002147)</f>
        <v>-2.149834815</v>
      </c>
      <c r="S396" s="53">
        <f>IFERROR(__xludf.DUMMYFUNCTION("""COMPUTED_VALUE"""),-1.3394249329228134)</f>
        <v>-1.339424933</v>
      </c>
      <c r="T396" s="53">
        <f>IFERROR(__xludf.DUMMYFUNCTION("""COMPUTED_VALUE"""),-1.6288480404563284)</f>
        <v>-1.62884804</v>
      </c>
      <c r="U396" s="53">
        <f>IFERROR(__xludf.DUMMYFUNCTION("""COMPUTED_VALUE"""),-1.5015124374589601)</f>
        <v>-1.501512437</v>
      </c>
      <c r="V396" s="53">
        <f>IFERROR(__xludf.DUMMYFUNCTION("""COMPUTED_VALUE"""),-1.9508197791529749)</f>
        <v>-1.950819779</v>
      </c>
      <c r="W396" s="53">
        <f>IFERROR(__xludf.DUMMYFUNCTION("""COMPUTED_VALUE"""),-0.5270142365493308)</f>
        <v>-0.5270142365</v>
      </c>
      <c r="X396" s="53">
        <f>IFERROR(__xludf.DUMMYFUNCTION("""COMPUTED_VALUE"""),0.3132969556184846)</f>
        <v>0.3132969556</v>
      </c>
      <c r="Y396" s="53">
        <f>IFERROR(__xludf.DUMMYFUNCTION("""COMPUTED_VALUE"""),-0.27584720073334784)</f>
        <v>-0.2758472007</v>
      </c>
      <c r="Z396" s="53">
        <f>IFERROR(__xludf.DUMMYFUNCTION("""COMPUTED_VALUE"""),0.33985300106324323)</f>
        <v>0.3398530011</v>
      </c>
    </row>
    <row r="397">
      <c r="B397">
        <f>IFERROR(__xludf.DUMMYFUNCTION("""COMPUTED_VALUE"""),378.0)</f>
        <v>378</v>
      </c>
      <c r="C397" t="str">
        <f>IFERROR(__xludf.DUMMYFUNCTION("""COMPUTED_VALUE"""),"Tre Mann")</f>
        <v>Tre Mann</v>
      </c>
      <c r="D397">
        <f>IFERROR(__xludf.DUMMYFUNCTION("""COMPUTED_VALUE"""),26.0)</f>
        <v>26</v>
      </c>
      <c r="E397" t="str">
        <f>IFERROR(__xludf.DUMMYFUNCTION("""COMPUTED_VALUE"""),"PG,SG")</f>
        <v>PG,SG</v>
      </c>
      <c r="F397" s="53">
        <f>IFERROR(__xludf.DUMMYFUNCTION("""COMPUTED_VALUE"""),-10.086192814506543)</f>
        <v>-10.08619281</v>
      </c>
      <c r="G397" s="53">
        <f>IFERROR(__xludf.DUMMYFUNCTION("""COMPUTED_VALUE"""),-6.594508529921681)</f>
        <v>-6.59450853</v>
      </c>
      <c r="H397" s="53">
        <f>IFERROR(__xludf.DUMMYFUNCTION("""COMPUTED_VALUE"""),3.4916842845848617)</f>
        <v>3.491684285</v>
      </c>
      <c r="I397" s="53">
        <f>IFERROR(__xludf.DUMMYFUNCTION("""COMPUTED_VALUE"""),4.7)</f>
        <v>4.7</v>
      </c>
      <c r="J397" s="53">
        <f>IFERROR(__xludf.DUMMYFUNCTION("""COMPUTED_VALUE"""),0.7)</f>
        <v>0.7</v>
      </c>
      <c r="K397" s="53">
        <f>IFERROR(__xludf.DUMMYFUNCTION("""COMPUTED_VALUE"""),1.3)</f>
        <v>1.3</v>
      </c>
      <c r="L397" s="53">
        <f>IFERROR(__xludf.DUMMYFUNCTION("""COMPUTED_VALUE"""),0.9)</f>
        <v>0.9</v>
      </c>
      <c r="M397" s="53">
        <f>IFERROR(__xludf.DUMMYFUNCTION("""COMPUTED_VALUE"""),0.4)</f>
        <v>0.4</v>
      </c>
      <c r="N397" s="53">
        <f>IFERROR(__xludf.DUMMYFUNCTION("""COMPUTED_VALUE"""),0.1)</f>
        <v>0.1</v>
      </c>
      <c r="O397" s="53">
        <f>IFERROR(__xludf.DUMMYFUNCTION("""COMPUTED_VALUE"""),40.0)</f>
        <v>40</v>
      </c>
      <c r="P397" s="53">
        <f>IFERROR(__xludf.DUMMYFUNCTION("""COMPUTED_VALUE"""),66.66666666666667)</f>
        <v>66.66666667</v>
      </c>
      <c r="Q397" s="53">
        <f>IFERROR(__xludf.DUMMYFUNCTION("""COMPUTED_VALUE"""),0.6)</f>
        <v>0.6</v>
      </c>
      <c r="R397" s="53">
        <f>IFERROR(__xludf.DUMMYFUNCTION("""COMPUTED_VALUE"""),-2.116129540008521)</f>
        <v>-2.11612954</v>
      </c>
      <c r="S397" s="53">
        <f>IFERROR(__xludf.DUMMYFUNCTION("""COMPUTED_VALUE"""),-0.8191476607473568)</f>
        <v>-0.8191476607</v>
      </c>
      <c r="T397" s="53">
        <f>IFERROR(__xludf.DUMMYFUNCTION("""COMPUTED_VALUE"""),-2.005186369160084)</f>
        <v>-2.005186369</v>
      </c>
      <c r="U397" s="53">
        <f>IFERROR(__xludf.DUMMYFUNCTION("""COMPUTED_VALUE"""),-1.5015124374589601)</f>
        <v>-1.501512437</v>
      </c>
      <c r="V397" s="53">
        <f>IFERROR(__xludf.DUMMYFUNCTION("""COMPUTED_VALUE"""),-1.2966700767544366)</f>
        <v>-1.296670077</v>
      </c>
      <c r="W397" s="53">
        <f>IFERROR(__xludf.DUMMYFUNCTION("""COMPUTED_VALUE"""),-0.7896459158928509)</f>
        <v>-0.7896459159</v>
      </c>
      <c r="X397" s="53">
        <f>IFERROR(__xludf.DUMMYFUNCTION("""COMPUTED_VALUE"""),-0.4314397011431928)</f>
        <v>-0.4314397011</v>
      </c>
      <c r="Y397" s="53">
        <f>IFERROR(__xludf.DUMMYFUNCTION("""COMPUTED_VALUE"""),-0.18389813382223172)</f>
        <v>-0.1838981338</v>
      </c>
      <c r="Z397" s="53">
        <f>IFERROR(__xludf.DUMMYFUNCTION("""COMPUTED_VALUE"""),0.43299176505743303)</f>
        <v>0.4329917651</v>
      </c>
    </row>
    <row r="398">
      <c r="B398">
        <f>IFERROR(__xludf.DUMMYFUNCTION("""COMPUTED_VALUE"""),399.0)</f>
        <v>399</v>
      </c>
      <c r="C398" t="str">
        <f>IFERROR(__xludf.DUMMYFUNCTION("""COMPUTED_VALUE"""),"Jay Huff")</f>
        <v>Jay Huff</v>
      </c>
      <c r="D398">
        <f>IFERROR(__xludf.DUMMYFUNCTION("""COMPUTED_VALUE"""),10.0)</f>
        <v>10</v>
      </c>
      <c r="E398" t="str">
        <f>IFERROR(__xludf.DUMMYFUNCTION("""COMPUTED_VALUE"""),"C")</f>
        <v>C</v>
      </c>
      <c r="F398" s="53">
        <f>IFERROR(__xludf.DUMMYFUNCTION("""COMPUTED_VALUE"""),-10.65355017802232)</f>
        <v>-10.65355018</v>
      </c>
      <c r="G398" s="53">
        <f>IFERROR(__xludf.DUMMYFUNCTION("""COMPUTED_VALUE"""),-6.605486485303875)</f>
        <v>-6.605486485</v>
      </c>
      <c r="H398" s="53">
        <f>IFERROR(__xludf.DUMMYFUNCTION("""COMPUTED_VALUE"""),4.048063692718444)</f>
        <v>4.048063693</v>
      </c>
      <c r="I398" s="53">
        <f>IFERROR(__xludf.DUMMYFUNCTION("""COMPUTED_VALUE"""),2.0)</f>
        <v>2</v>
      </c>
      <c r="J398" s="53">
        <f>IFERROR(__xludf.DUMMYFUNCTION("""COMPUTED_VALUE"""),0.2)</f>
        <v>0.2</v>
      </c>
      <c r="K398" s="53">
        <f>IFERROR(__xludf.DUMMYFUNCTION("""COMPUTED_VALUE"""),1.0)</f>
        <v>1</v>
      </c>
      <c r="L398" s="53">
        <f>IFERROR(__xludf.DUMMYFUNCTION("""COMPUTED_VALUE"""),0.4)</f>
        <v>0.4</v>
      </c>
      <c r="M398" s="53">
        <f>IFERROR(__xludf.DUMMYFUNCTION("""COMPUTED_VALUE"""),0.2)</f>
        <v>0.2</v>
      </c>
      <c r="N398" s="53">
        <f>IFERROR(__xludf.DUMMYFUNCTION("""COMPUTED_VALUE"""),0.2)</f>
        <v>0.2</v>
      </c>
      <c r="O398" s="53">
        <f>IFERROR(__xludf.DUMMYFUNCTION("""COMPUTED_VALUE"""),54.54545454545454)</f>
        <v>54.54545455</v>
      </c>
      <c r="P398" s="53">
        <f>IFERROR(__xludf.DUMMYFUNCTION("""COMPUTED_VALUE"""),100.0)</f>
        <v>100</v>
      </c>
      <c r="Q398" s="53">
        <f>IFERROR(__xludf.DUMMYFUNCTION("""COMPUTED_VALUE"""),0.2)</f>
        <v>0.2</v>
      </c>
      <c r="R398" s="53">
        <f>IFERROR(__xludf.DUMMYFUNCTION("""COMPUTED_VALUE"""),-2.5711507577963895)</f>
        <v>-2.571150758</v>
      </c>
      <c r="S398" s="53">
        <f>IFERROR(__xludf.DUMMYFUNCTION("""COMPUTED_VALUE"""),-1.252712054226904)</f>
        <v>-1.252712054</v>
      </c>
      <c r="T398" s="53">
        <f>IFERROR(__xludf.DUMMYFUNCTION("""COMPUTED_VALUE"""),-2.1306324787280024)</f>
        <v>-2.130632479</v>
      </c>
      <c r="U398" s="53">
        <f>IFERROR(__xludf.DUMMYFUNCTION("""COMPUTED_VALUE"""),-1.7565247400165278)</f>
        <v>-1.75652474</v>
      </c>
      <c r="V398" s="53">
        <f>IFERROR(__xludf.DUMMYFUNCTION("""COMPUTED_VALUE"""),-1.732769878353462)</f>
        <v>-1.732769878</v>
      </c>
      <c r="W398" s="53">
        <f>IFERROR(__xludf.DUMMYFUNCTION("""COMPUTED_VALUE"""),-0.6583300762210907)</f>
        <v>-0.6583300762</v>
      </c>
      <c r="X398" s="53">
        <f>IFERROR(__xludf.DUMMYFUNCTION("""COMPUTED_VALUE"""),0.054355366618888123)</f>
        <v>0.05435536662</v>
      </c>
      <c r="Y398" s="53">
        <f>IFERROR(__xludf.DUMMYFUNCTION("""COMPUTED_VALUE"""),0.3139505919068729)</f>
        <v>0.3139505919</v>
      </c>
      <c r="Z398" s="53">
        <f>IFERROR(__xludf.DUMMYFUNCTION("""COMPUTED_VALUE"""),0.5571767837163527)</f>
        <v>0.5571767837</v>
      </c>
    </row>
    <row r="399">
      <c r="B399">
        <f>IFERROR(__xludf.DUMMYFUNCTION("""COMPUTED_VALUE"""),376.0)</f>
        <v>376</v>
      </c>
      <c r="C399" t="str">
        <f>IFERROR(__xludf.DUMMYFUNCTION("""COMPUTED_VALUE"""),"Bryce McGowens")</f>
        <v>Bryce McGowens</v>
      </c>
      <c r="D399">
        <f>IFERROR(__xludf.DUMMYFUNCTION("""COMPUTED_VALUE"""),64.0)</f>
        <v>64</v>
      </c>
      <c r="E399" t="str">
        <f>IFERROR(__xludf.DUMMYFUNCTION("""COMPUTED_VALUE"""),"SG,SF")</f>
        <v>SG,SF</v>
      </c>
      <c r="F399" s="53">
        <f>IFERROR(__xludf.DUMMYFUNCTION("""COMPUTED_VALUE"""),-10.0378096908964)</f>
        <v>-10.03780969</v>
      </c>
      <c r="G399" s="53">
        <f>IFERROR(__xludf.DUMMYFUNCTION("""COMPUTED_VALUE"""),-6.616024857581531)</f>
        <v>-6.616024858</v>
      </c>
      <c r="H399" s="53">
        <f>IFERROR(__xludf.DUMMYFUNCTION("""COMPUTED_VALUE"""),3.42178483331487)</f>
        <v>3.421784833</v>
      </c>
      <c r="I399" s="53">
        <f>IFERROR(__xludf.DUMMYFUNCTION("""COMPUTED_VALUE"""),5.4)</f>
        <v>5.4</v>
      </c>
      <c r="J399" s="53">
        <f>IFERROR(__xludf.DUMMYFUNCTION("""COMPUTED_VALUE"""),0.6)</f>
        <v>0.6</v>
      </c>
      <c r="K399" s="53">
        <f>IFERROR(__xludf.DUMMYFUNCTION("""COMPUTED_VALUE"""),2.0)</f>
        <v>2</v>
      </c>
      <c r="L399" s="53">
        <f>IFERROR(__xludf.DUMMYFUNCTION("""COMPUTED_VALUE"""),1.2)</f>
        <v>1.2</v>
      </c>
      <c r="M399" s="53">
        <f>IFERROR(__xludf.DUMMYFUNCTION("""COMPUTED_VALUE"""),0.3)</f>
        <v>0.3</v>
      </c>
      <c r="N399" s="53">
        <f>IFERROR(__xludf.DUMMYFUNCTION("""COMPUTED_VALUE"""),0.1)</f>
        <v>0.1</v>
      </c>
      <c r="O399" s="53">
        <f>IFERROR(__xludf.DUMMYFUNCTION("""COMPUTED_VALUE"""),40.90909090909091)</f>
        <v>40.90909091</v>
      </c>
      <c r="P399" s="53">
        <f>IFERROR(__xludf.DUMMYFUNCTION("""COMPUTED_VALUE"""),72.22222222222221)</f>
        <v>72.22222222</v>
      </c>
      <c r="Q399" s="53">
        <f>IFERROR(__xludf.DUMMYFUNCTION("""COMPUTED_VALUE"""),0.9)</f>
        <v>0.9</v>
      </c>
      <c r="R399" s="53">
        <f>IFERROR(__xludf.DUMMYFUNCTION("""COMPUTED_VALUE"""),-1.9981610761375916)</f>
        <v>-1.998161076</v>
      </c>
      <c r="S399" s="53">
        <f>IFERROR(__xludf.DUMMYFUNCTION("""COMPUTED_VALUE"""),-0.9058605394432663)</f>
        <v>-0.9058605394</v>
      </c>
      <c r="T399" s="53">
        <f>IFERROR(__xludf.DUMMYFUNCTION("""COMPUTED_VALUE"""),-1.7124787801682742)</f>
        <v>-1.71247878</v>
      </c>
      <c r="U399" s="53">
        <f>IFERROR(__xludf.DUMMYFUNCTION("""COMPUTED_VALUE"""),-1.3485050559244194)</f>
        <v>-1.348505056</v>
      </c>
      <c r="V399" s="53">
        <f>IFERROR(__xludf.DUMMYFUNCTION("""COMPUTED_VALUE"""),-1.5147199775539493)</f>
        <v>-1.514719978</v>
      </c>
      <c r="W399" s="53">
        <f>IFERROR(__xludf.DUMMYFUNCTION("""COMPUTED_VALUE"""),-0.7896459158928509)</f>
        <v>-0.7896459159</v>
      </c>
      <c r="X399" s="53">
        <f>IFERROR(__xludf.DUMMYFUNCTION("""COMPUTED_VALUE"""),-0.38189755105987166)</f>
        <v>-0.3818975511</v>
      </c>
      <c r="Y399" s="53">
        <f>IFERROR(__xludf.DUMMYFUNCTION("""COMPUTED_VALUE"""),-0.3027700386021432)</f>
        <v>-0.3027700386</v>
      </c>
      <c r="Z399" s="53">
        <f>IFERROR(__xludf.DUMMYFUNCTION("""COMPUTED_VALUE"""),0.33985300106324323)</f>
        <v>0.3398530011</v>
      </c>
    </row>
    <row r="400">
      <c r="B400">
        <f>IFERROR(__xludf.DUMMYFUNCTION("""COMPUTED_VALUE"""),396.0)</f>
        <v>396</v>
      </c>
      <c r="C400" t="str">
        <f>IFERROR(__xludf.DUMMYFUNCTION("""COMPUTED_VALUE"""),"Admiral Schofield")</f>
        <v>Admiral Schofield</v>
      </c>
      <c r="D400">
        <f>IFERROR(__xludf.DUMMYFUNCTION("""COMPUTED_VALUE"""),30.0)</f>
        <v>30</v>
      </c>
      <c r="E400" t="str">
        <f>IFERROR(__xludf.DUMMYFUNCTION("""COMPUTED_VALUE"""),"SF,PF")</f>
        <v>SF,PF</v>
      </c>
      <c r="F400" s="53">
        <f>IFERROR(__xludf.DUMMYFUNCTION("""COMPUTED_VALUE"""),-10.563428790961645)</f>
        <v>-10.56342879</v>
      </c>
      <c r="G400" s="53">
        <f>IFERROR(__xludf.DUMMYFUNCTION("""COMPUTED_VALUE"""),-6.622928441489463)</f>
        <v>-6.622928441</v>
      </c>
      <c r="H400" s="53">
        <f>IFERROR(__xludf.DUMMYFUNCTION("""COMPUTED_VALUE"""),3.940500349472182)</f>
        <v>3.940500349</v>
      </c>
      <c r="I400" s="53">
        <f>IFERROR(__xludf.DUMMYFUNCTION("""COMPUTED_VALUE"""),3.3)</f>
        <v>3.3</v>
      </c>
      <c r="J400" s="53">
        <f>IFERROR(__xludf.DUMMYFUNCTION("""COMPUTED_VALUE"""),0.6)</f>
        <v>0.6</v>
      </c>
      <c r="K400" s="53">
        <f>IFERROR(__xludf.DUMMYFUNCTION("""COMPUTED_VALUE"""),1.7)</f>
        <v>1.7</v>
      </c>
      <c r="L400" s="53">
        <f>IFERROR(__xludf.DUMMYFUNCTION("""COMPUTED_VALUE"""),0.6)</f>
        <v>0.6</v>
      </c>
      <c r="M400" s="53">
        <f>IFERROR(__xludf.DUMMYFUNCTION("""COMPUTED_VALUE"""),0.1)</f>
        <v>0.1</v>
      </c>
      <c r="N400" s="53">
        <f>IFERROR(__xludf.DUMMYFUNCTION("""COMPUTED_VALUE"""),0.1)</f>
        <v>0.1</v>
      </c>
      <c r="O400" s="53">
        <f>IFERROR(__xludf.DUMMYFUNCTION("""COMPUTED_VALUE"""),42.85714285714286)</f>
        <v>42.85714286</v>
      </c>
      <c r="P400" s="53">
        <f>IFERROR(__xludf.DUMMYFUNCTION("""COMPUTED_VALUE"""),100.0)</f>
        <v>100</v>
      </c>
      <c r="Q400" s="53">
        <f>IFERROR(__xludf.DUMMYFUNCTION("""COMPUTED_VALUE"""),0.4)</f>
        <v>0.4</v>
      </c>
      <c r="R400" s="53">
        <f>IFERROR(__xludf.DUMMYFUNCTION("""COMPUTED_VALUE"""),-2.3520664677503786)</f>
        <v>-2.352066468</v>
      </c>
      <c r="S400" s="53">
        <f>IFERROR(__xludf.DUMMYFUNCTION("""COMPUTED_VALUE"""),-0.9058605394432663)</f>
        <v>-0.9058605394</v>
      </c>
      <c r="T400" s="53">
        <f>IFERROR(__xludf.DUMMYFUNCTION("""COMPUTED_VALUE"""),-1.8379248897361926)</f>
        <v>-1.83792489</v>
      </c>
      <c r="U400" s="53">
        <f>IFERROR(__xludf.DUMMYFUNCTION("""COMPUTED_VALUE"""),-1.6545198189935006)</f>
        <v>-1.654519819</v>
      </c>
      <c r="V400" s="53">
        <f>IFERROR(__xludf.DUMMYFUNCTION("""COMPUTED_VALUE"""),-1.9508197791529749)</f>
        <v>-1.950819779</v>
      </c>
      <c r="W400" s="53">
        <f>IFERROR(__xludf.DUMMYFUNCTION("""COMPUTED_VALUE"""),-0.7896459158928509)</f>
        <v>-0.7896459159</v>
      </c>
      <c r="X400" s="53">
        <f>IFERROR(__xludf.DUMMYFUNCTION("""COMPUTED_VALUE"""),-0.1885421672621523)</f>
        <v>-0.1885421673</v>
      </c>
      <c r="Y400" s="53">
        <f>IFERROR(__xludf.DUMMYFUNCTION("""COMPUTED_VALUE"""),0.20930039460458194)</f>
        <v>0.2093003946</v>
      </c>
      <c r="Z400" s="53">
        <f>IFERROR(__xludf.DUMMYFUNCTION("""COMPUTED_VALUE"""),0.4950842743868928)</f>
        <v>0.4950842744</v>
      </c>
    </row>
    <row r="401">
      <c r="B401">
        <f>IFERROR(__xludf.DUMMYFUNCTION("""COMPUTED_VALUE"""),397.0)</f>
        <v>397</v>
      </c>
      <c r="C401" t="str">
        <f>IFERROR(__xludf.DUMMYFUNCTION("""COMPUTED_VALUE"""),"Wesley Matthews")</f>
        <v>Wesley Matthews</v>
      </c>
      <c r="D401">
        <f>IFERROR(__xludf.DUMMYFUNCTION("""COMPUTED_VALUE"""),34.0)</f>
        <v>34</v>
      </c>
      <c r="E401" t="str">
        <f>IFERROR(__xludf.DUMMYFUNCTION("""COMPUTED_VALUE"""),"SG")</f>
        <v>SG</v>
      </c>
      <c r="F401" s="53">
        <f>IFERROR(__xludf.DUMMYFUNCTION("""COMPUTED_VALUE"""),-10.602683401158666)</f>
        <v>-10.6026834</v>
      </c>
      <c r="G401" s="53">
        <f>IFERROR(__xludf.DUMMYFUNCTION("""COMPUTED_VALUE"""),-6.681844023848191)</f>
        <v>-6.681844024</v>
      </c>
      <c r="H401" s="53">
        <f>IFERROR(__xludf.DUMMYFUNCTION("""COMPUTED_VALUE"""),3.9208393773104753)</f>
        <v>3.920839377</v>
      </c>
      <c r="I401" s="53">
        <f>IFERROR(__xludf.DUMMYFUNCTION("""COMPUTED_VALUE"""),2.9)</f>
        <v>2.9</v>
      </c>
      <c r="J401" s="53">
        <f>IFERROR(__xludf.DUMMYFUNCTION("""COMPUTED_VALUE"""),0.6)</f>
        <v>0.6</v>
      </c>
      <c r="K401" s="53">
        <f>IFERROR(__xludf.DUMMYFUNCTION("""COMPUTED_VALUE"""),1.4)</f>
        <v>1.4</v>
      </c>
      <c r="L401" s="53">
        <f>IFERROR(__xludf.DUMMYFUNCTION("""COMPUTED_VALUE"""),0.5)</f>
        <v>0.5</v>
      </c>
      <c r="M401" s="53">
        <f>IFERROR(__xludf.DUMMYFUNCTION("""COMPUTED_VALUE"""),0.3)</f>
        <v>0.3</v>
      </c>
      <c r="N401" s="53">
        <f>IFERROR(__xludf.DUMMYFUNCTION("""COMPUTED_VALUE"""),0.1)</f>
        <v>0.1</v>
      </c>
      <c r="O401" s="53">
        <f>IFERROR(__xludf.DUMMYFUNCTION("""COMPUTED_VALUE"""),38.46153846153846)</f>
        <v>38.46153846</v>
      </c>
      <c r="P401" s="53">
        <f>IFERROR(__xludf.DUMMYFUNCTION("""COMPUTED_VALUE"""),74.99999999999999)</f>
        <v>75</v>
      </c>
      <c r="Q401" s="53">
        <f>IFERROR(__xludf.DUMMYFUNCTION("""COMPUTED_VALUE"""),0.3)</f>
        <v>0.3</v>
      </c>
      <c r="R401" s="53">
        <f>IFERROR(__xludf.DUMMYFUNCTION("""COMPUTED_VALUE"""),-2.4194770185337666)</f>
        <v>-2.419477019</v>
      </c>
      <c r="S401" s="53">
        <f>IFERROR(__xludf.DUMMYFUNCTION("""COMPUTED_VALUE"""),-0.9058605394432663)</f>
        <v>-0.9058605394</v>
      </c>
      <c r="T401" s="53">
        <f>IFERROR(__xludf.DUMMYFUNCTION("""COMPUTED_VALUE"""),-1.963370999304111)</f>
        <v>-1.963370999</v>
      </c>
      <c r="U401" s="53">
        <f>IFERROR(__xludf.DUMMYFUNCTION("""COMPUTED_VALUE"""),-1.7055222795050142)</f>
        <v>-1.70552228</v>
      </c>
      <c r="V401" s="53">
        <f>IFERROR(__xludf.DUMMYFUNCTION("""COMPUTED_VALUE"""),-1.5147199775539493)</f>
        <v>-1.514719978</v>
      </c>
      <c r="W401" s="53">
        <f>IFERROR(__xludf.DUMMYFUNCTION("""COMPUTED_VALUE"""),-0.7896459158928509)</f>
        <v>-0.7896459159</v>
      </c>
      <c r="X401" s="53">
        <f>IFERROR(__xludf.DUMMYFUNCTION("""COMPUTED_VALUE"""),-0.289230872940651)</f>
        <v>-0.2892308729</v>
      </c>
      <c r="Y401" s="53">
        <f>IFERROR(__xludf.DUMMYFUNCTION("""COMPUTED_VALUE"""),-0.039623968259970534)</f>
        <v>-0.03962396826</v>
      </c>
      <c r="Z401" s="53">
        <f>IFERROR(__xludf.DUMMYFUNCTION("""COMPUTED_VALUE"""),0.5261305290516227)</f>
        <v>0.5261305291</v>
      </c>
    </row>
    <row r="402">
      <c r="B402">
        <f>IFERROR(__xludf.DUMMYFUNCTION("""COMPUTED_VALUE"""),393.0)</f>
        <v>393</v>
      </c>
      <c r="C402" t="str">
        <f>IFERROR(__xludf.DUMMYFUNCTION("""COMPUTED_VALUE"""),"Brice Sensabaugh")</f>
        <v>Brice Sensabaugh</v>
      </c>
      <c r="D402">
        <f>IFERROR(__xludf.DUMMYFUNCTION("""COMPUTED_VALUE"""),40.0)</f>
        <v>40</v>
      </c>
      <c r="E402" t="str">
        <f>IFERROR(__xludf.DUMMYFUNCTION("""COMPUTED_VALUE"""),"SF")</f>
        <v>SF</v>
      </c>
      <c r="F402" s="53">
        <f>IFERROR(__xludf.DUMMYFUNCTION("""COMPUTED_VALUE"""),-10.419922581580416)</f>
        <v>-10.41992258</v>
      </c>
      <c r="G402" s="53">
        <f>IFERROR(__xludf.DUMMYFUNCTION("""COMPUTED_VALUE"""),-6.691598964303604)</f>
        <v>-6.691598964</v>
      </c>
      <c r="H402" s="53">
        <f>IFERROR(__xludf.DUMMYFUNCTION("""COMPUTED_VALUE"""),3.7283236172768115)</f>
        <v>3.728323617</v>
      </c>
      <c r="I402" s="53">
        <f>IFERROR(__xludf.DUMMYFUNCTION("""COMPUTED_VALUE"""),4.6)</f>
        <v>4.6</v>
      </c>
      <c r="J402" s="53">
        <f>IFERROR(__xludf.DUMMYFUNCTION("""COMPUTED_VALUE"""),0.8)</f>
        <v>0.8</v>
      </c>
      <c r="K402" s="53">
        <f>IFERROR(__xludf.DUMMYFUNCTION("""COMPUTED_VALUE"""),1.7)</f>
        <v>1.7</v>
      </c>
      <c r="L402" s="53">
        <f>IFERROR(__xludf.DUMMYFUNCTION("""COMPUTED_VALUE"""),0.4)</f>
        <v>0.4</v>
      </c>
      <c r="M402" s="53">
        <f>IFERROR(__xludf.DUMMYFUNCTION("""COMPUTED_VALUE"""),0.2)</f>
        <v>0.2</v>
      </c>
      <c r="N402" s="53">
        <f>IFERROR(__xludf.DUMMYFUNCTION("""COMPUTED_VALUE"""),0.1)</f>
        <v>0.1</v>
      </c>
      <c r="O402" s="53">
        <f>IFERROR(__xludf.DUMMYFUNCTION("""COMPUTED_VALUE"""),44.73684210526316)</f>
        <v>44.73684211</v>
      </c>
      <c r="P402" s="53">
        <f>IFERROR(__xludf.DUMMYFUNCTION("""COMPUTED_VALUE"""),66.66666666666667)</f>
        <v>66.66666667</v>
      </c>
      <c r="Q402" s="53">
        <f>IFERROR(__xludf.DUMMYFUNCTION("""COMPUTED_VALUE"""),0.3)</f>
        <v>0.3</v>
      </c>
      <c r="R402" s="53">
        <f>IFERROR(__xludf.DUMMYFUNCTION("""COMPUTED_VALUE"""),-2.132982177704368)</f>
        <v>-2.132982178</v>
      </c>
      <c r="S402" s="53">
        <f>IFERROR(__xludf.DUMMYFUNCTION("""COMPUTED_VALUE"""),-0.7324347820514473)</f>
        <v>-0.7324347821</v>
      </c>
      <c r="T402" s="53">
        <f>IFERROR(__xludf.DUMMYFUNCTION("""COMPUTED_VALUE"""),-1.8379248897361926)</f>
        <v>-1.83792489</v>
      </c>
      <c r="U402" s="53">
        <f>IFERROR(__xludf.DUMMYFUNCTION("""COMPUTED_VALUE"""),-1.7565247400165278)</f>
        <v>-1.75652474</v>
      </c>
      <c r="V402" s="53">
        <f>IFERROR(__xludf.DUMMYFUNCTION("""COMPUTED_VALUE"""),-1.732769878353462)</f>
        <v>-1.732769878</v>
      </c>
      <c r="W402" s="53">
        <f>IFERROR(__xludf.DUMMYFUNCTION("""COMPUTED_VALUE"""),-0.7896459158928509)</f>
        <v>-0.7896459159</v>
      </c>
      <c r="X402" s="53">
        <f>IFERROR(__xludf.DUMMYFUNCTION("""COMPUTED_VALUE"""),-0.18453115348251345)</f>
        <v>-0.1845311535</v>
      </c>
      <c r="Y402" s="53">
        <f>IFERROR(__xludf.DUMMYFUNCTION("""COMPUTED_VALUE"""),-0.18389813382223172)</f>
        <v>-0.1838981338</v>
      </c>
      <c r="Z402" s="53">
        <f>IFERROR(__xludf.DUMMYFUNCTION("""COMPUTED_VALUE"""),0.5261305290516227)</f>
        <v>0.5261305291</v>
      </c>
    </row>
    <row r="403">
      <c r="B403">
        <f>IFERROR(__xludf.DUMMYFUNCTION("""COMPUTED_VALUE"""),395.0)</f>
        <v>395</v>
      </c>
      <c r="C403" t="str">
        <f>IFERROR(__xludf.DUMMYFUNCTION("""COMPUTED_VALUE"""),"Julian Strawther")</f>
        <v>Julian Strawther</v>
      </c>
      <c r="D403">
        <f>IFERROR(__xludf.DUMMYFUNCTION("""COMPUTED_VALUE"""),38.0)</f>
        <v>38</v>
      </c>
      <c r="E403" t="str">
        <f>IFERROR(__xludf.DUMMYFUNCTION("""COMPUTED_VALUE"""),"SF")</f>
        <v>SF</v>
      </c>
      <c r="F403" s="53">
        <f>IFERROR(__xludf.DUMMYFUNCTION("""COMPUTED_VALUE"""),-10.474969415006328)</f>
        <v>-10.47496942</v>
      </c>
      <c r="G403" s="53">
        <f>IFERROR(__xludf.DUMMYFUNCTION("""COMPUTED_VALUE"""),-6.741141114386925)</f>
        <v>-6.741141114</v>
      </c>
      <c r="H403" s="53">
        <f>IFERROR(__xludf.DUMMYFUNCTION("""COMPUTED_VALUE"""),3.733828300619403)</f>
        <v>3.733828301</v>
      </c>
      <c r="I403" s="53">
        <f>IFERROR(__xludf.DUMMYFUNCTION("""COMPUTED_VALUE"""),4.6)</f>
        <v>4.6</v>
      </c>
      <c r="J403" s="53">
        <f>IFERROR(__xludf.DUMMYFUNCTION("""COMPUTED_VALUE"""),0.8)</f>
        <v>0.8</v>
      </c>
      <c r="K403" s="53">
        <f>IFERROR(__xludf.DUMMYFUNCTION("""COMPUTED_VALUE"""),1.7)</f>
        <v>1.7</v>
      </c>
      <c r="L403" s="53">
        <f>IFERROR(__xludf.DUMMYFUNCTION("""COMPUTED_VALUE"""),0.4)</f>
        <v>0.4</v>
      </c>
      <c r="M403" s="53">
        <f>IFERROR(__xludf.DUMMYFUNCTION("""COMPUTED_VALUE"""),0.2)</f>
        <v>0.2</v>
      </c>
      <c r="N403" s="53">
        <f>IFERROR(__xludf.DUMMYFUNCTION("""COMPUTED_VALUE"""),0.1)</f>
        <v>0.1</v>
      </c>
      <c r="O403" s="53">
        <f>IFERROR(__xludf.DUMMYFUNCTION("""COMPUTED_VALUE"""),43.58974358974359)</f>
        <v>43.58974359</v>
      </c>
      <c r="P403" s="53">
        <f>IFERROR(__xludf.DUMMYFUNCTION("""COMPUTED_VALUE"""),66.66666666666667)</f>
        <v>66.66666667</v>
      </c>
      <c r="Q403" s="53">
        <f>IFERROR(__xludf.DUMMYFUNCTION("""COMPUTED_VALUE"""),0.3)</f>
        <v>0.3</v>
      </c>
      <c r="R403" s="53">
        <f>IFERROR(__xludf.DUMMYFUNCTION("""COMPUTED_VALUE"""),-2.132982177704368)</f>
        <v>-2.132982178</v>
      </c>
      <c r="S403" s="53">
        <f>IFERROR(__xludf.DUMMYFUNCTION("""COMPUTED_VALUE"""),-0.7324347820514473)</f>
        <v>-0.7324347821</v>
      </c>
      <c r="T403" s="53">
        <f>IFERROR(__xludf.DUMMYFUNCTION("""COMPUTED_VALUE"""),-1.8379248897361926)</f>
        <v>-1.83792489</v>
      </c>
      <c r="U403" s="53">
        <f>IFERROR(__xludf.DUMMYFUNCTION("""COMPUTED_VALUE"""),-1.7565247400165278)</f>
        <v>-1.75652474</v>
      </c>
      <c r="V403" s="53">
        <f>IFERROR(__xludf.DUMMYFUNCTION("""COMPUTED_VALUE"""),-1.732769878353462)</f>
        <v>-1.732769878</v>
      </c>
      <c r="W403" s="53">
        <f>IFERROR(__xludf.DUMMYFUNCTION("""COMPUTED_VALUE"""),-0.7896459158928509)</f>
        <v>-0.7896459159</v>
      </c>
      <c r="X403" s="53">
        <f>IFERROR(__xludf.DUMMYFUNCTION("""COMPUTED_VALUE"""),-0.23407330356583486)</f>
        <v>-0.2340733036</v>
      </c>
      <c r="Y403" s="53">
        <f>IFERROR(__xludf.DUMMYFUNCTION("""COMPUTED_VALUE"""),-0.18389813382223172)</f>
        <v>-0.1838981338</v>
      </c>
      <c r="Z403" s="53">
        <f>IFERROR(__xludf.DUMMYFUNCTION("""COMPUTED_VALUE"""),0.5261305290516227)</f>
        <v>0.5261305291</v>
      </c>
    </row>
    <row r="404">
      <c r="B404">
        <f>IFERROR(__xludf.DUMMYFUNCTION("""COMPUTED_VALUE"""),400.0)</f>
        <v>400</v>
      </c>
      <c r="C404" t="str">
        <f>IFERROR(__xludf.DUMMYFUNCTION("""COMPUTED_VALUE"""),"Jeremiah Robinson-Earl")</f>
        <v>Jeremiah Robinson-Earl</v>
      </c>
      <c r="D404">
        <f>IFERROR(__xludf.DUMMYFUNCTION("""COMPUTED_VALUE"""),30.0)</f>
        <v>30</v>
      </c>
      <c r="E404" t="str">
        <f>IFERROR(__xludf.DUMMYFUNCTION("""COMPUTED_VALUE"""),"PF,C")</f>
        <v>PF,C</v>
      </c>
      <c r="F404" s="53">
        <f>IFERROR(__xludf.DUMMYFUNCTION("""COMPUTED_VALUE"""),-10.79136719624374)</f>
        <v>-10.7913672</v>
      </c>
      <c r="G404" s="53">
        <f>IFERROR(__xludf.DUMMYFUNCTION("""COMPUTED_VALUE"""),-6.7735434204926275)</f>
        <v>-6.77354342</v>
      </c>
      <c r="H404" s="53">
        <f>IFERROR(__xludf.DUMMYFUNCTION("""COMPUTED_VALUE"""),4.017823775751113)</f>
        <v>4.017823776</v>
      </c>
      <c r="I404" s="53">
        <f>IFERROR(__xludf.DUMMYFUNCTION("""COMPUTED_VALUE"""),2.9)</f>
        <v>2.9</v>
      </c>
      <c r="J404" s="53">
        <f>IFERROR(__xludf.DUMMYFUNCTION("""COMPUTED_VALUE"""),0.4)</f>
        <v>0.4</v>
      </c>
      <c r="K404" s="53">
        <f>IFERROR(__xludf.DUMMYFUNCTION("""COMPUTED_VALUE"""),2.0)</f>
        <v>2</v>
      </c>
      <c r="L404" s="53">
        <f>IFERROR(__xludf.DUMMYFUNCTION("""COMPUTED_VALUE"""),0.4)</f>
        <v>0.4</v>
      </c>
      <c r="M404" s="53">
        <f>IFERROR(__xludf.DUMMYFUNCTION("""COMPUTED_VALUE"""),0.2)</f>
        <v>0.2</v>
      </c>
      <c r="N404" s="53">
        <f>IFERROR(__xludf.DUMMYFUNCTION("""COMPUTED_VALUE"""),0.1)</f>
        <v>0.1</v>
      </c>
      <c r="O404" s="53">
        <f>IFERROR(__xludf.DUMMYFUNCTION("""COMPUTED_VALUE"""),42.30769230769231)</f>
        <v>42.30769231</v>
      </c>
      <c r="P404" s="53">
        <f>IFERROR(__xludf.DUMMYFUNCTION("""COMPUTED_VALUE"""),74.99999999999999)</f>
        <v>75</v>
      </c>
      <c r="Q404" s="53">
        <f>IFERROR(__xludf.DUMMYFUNCTION("""COMPUTED_VALUE"""),0.3)</f>
        <v>0.3</v>
      </c>
      <c r="R404" s="53">
        <f>IFERROR(__xludf.DUMMYFUNCTION("""COMPUTED_VALUE"""),-2.4194770185337666)</f>
        <v>-2.419477019</v>
      </c>
      <c r="S404" s="53">
        <f>IFERROR(__xludf.DUMMYFUNCTION("""COMPUTED_VALUE"""),-1.079286296835085)</f>
        <v>-1.079286297</v>
      </c>
      <c r="T404" s="53">
        <f>IFERROR(__xludf.DUMMYFUNCTION("""COMPUTED_VALUE"""),-1.7124787801682742)</f>
        <v>-1.71247878</v>
      </c>
      <c r="U404" s="53">
        <f>IFERROR(__xludf.DUMMYFUNCTION("""COMPUTED_VALUE"""),-1.7565247400165278)</f>
        <v>-1.75652474</v>
      </c>
      <c r="V404" s="53">
        <f>IFERROR(__xludf.DUMMYFUNCTION("""COMPUTED_VALUE"""),-1.732769878353462)</f>
        <v>-1.732769878</v>
      </c>
      <c r="W404" s="53">
        <f>IFERROR(__xludf.DUMMYFUNCTION("""COMPUTED_VALUE"""),-0.7896459158928509)</f>
        <v>-0.7896459159</v>
      </c>
      <c r="X404" s="53">
        <f>IFERROR(__xludf.DUMMYFUNCTION("""COMPUTED_VALUE"""),-0.1893443700180802)</f>
        <v>-0.18934437</v>
      </c>
      <c r="Y404" s="53">
        <f>IFERROR(__xludf.DUMMYFUNCTION("""COMPUTED_VALUE"""),-0.039623968259970534)</f>
        <v>-0.03962396826</v>
      </c>
      <c r="Z404" s="53">
        <f>IFERROR(__xludf.DUMMYFUNCTION("""COMPUTED_VALUE"""),0.5261305290516227)</f>
        <v>0.5261305291</v>
      </c>
    </row>
    <row r="405">
      <c r="B405">
        <f>IFERROR(__xludf.DUMMYFUNCTION("""COMPUTED_VALUE"""),398.0)</f>
        <v>398</v>
      </c>
      <c r="C405" t="str">
        <f>IFERROR(__xludf.DUMMYFUNCTION("""COMPUTED_VALUE"""),"Kobe Bufkin")</f>
        <v>Kobe Bufkin</v>
      </c>
      <c r="D405">
        <f>IFERROR(__xludf.DUMMYFUNCTION("""COMPUTED_VALUE"""),67.0)</f>
        <v>67</v>
      </c>
      <c r="E405" t="str">
        <f>IFERROR(__xludf.DUMMYFUNCTION("""COMPUTED_VALUE"""),"SG")</f>
        <v>SG</v>
      </c>
      <c r="F405" s="53">
        <f>IFERROR(__xludf.DUMMYFUNCTION("""COMPUTED_VALUE"""),-10.602815720707659)</f>
        <v>-10.60281572</v>
      </c>
      <c r="G405" s="53">
        <f>IFERROR(__xludf.DUMMYFUNCTION("""COMPUTED_VALUE"""),-6.896921747288518)</f>
        <v>-6.896921747</v>
      </c>
      <c r="H405" s="53">
        <f>IFERROR(__xludf.DUMMYFUNCTION("""COMPUTED_VALUE"""),3.7058939734191405)</f>
        <v>3.705893973</v>
      </c>
      <c r="I405" s="53">
        <f>IFERROR(__xludf.DUMMYFUNCTION("""COMPUTED_VALUE"""),4.4)</f>
        <v>4.4</v>
      </c>
      <c r="J405" s="53">
        <f>IFERROR(__xludf.DUMMYFUNCTION("""COMPUTED_VALUE"""),0.2)</f>
        <v>0.2</v>
      </c>
      <c r="K405" s="53">
        <f>IFERROR(__xludf.DUMMYFUNCTION("""COMPUTED_VALUE"""),0.8)</f>
        <v>0.8</v>
      </c>
      <c r="L405" s="53">
        <f>IFERROR(__xludf.DUMMYFUNCTION("""COMPUTED_VALUE"""),0.9)</f>
        <v>0.9</v>
      </c>
      <c r="M405" s="53">
        <f>IFERROR(__xludf.DUMMYFUNCTION("""COMPUTED_VALUE"""),0.2)</f>
        <v>0.2</v>
      </c>
      <c r="N405" s="53">
        <f>IFERROR(__xludf.DUMMYFUNCTION("""COMPUTED_VALUE"""),0.2)</f>
        <v>0.2</v>
      </c>
      <c r="O405" s="53">
        <f>IFERROR(__xludf.DUMMYFUNCTION("""COMPUTED_VALUE"""),46.875)</f>
        <v>46.875</v>
      </c>
      <c r="P405" s="53">
        <f>IFERROR(__xludf.DUMMYFUNCTION("""COMPUTED_VALUE"""),80.0)</f>
        <v>80</v>
      </c>
      <c r="Q405" s="53">
        <f>IFERROR(__xludf.DUMMYFUNCTION("""COMPUTED_VALUE"""),0.5)</f>
        <v>0.5</v>
      </c>
      <c r="R405" s="53">
        <f>IFERROR(__xludf.DUMMYFUNCTION("""COMPUTED_VALUE"""),-2.1666874530960616)</f>
        <v>-2.166687453</v>
      </c>
      <c r="S405" s="53">
        <f>IFERROR(__xludf.DUMMYFUNCTION("""COMPUTED_VALUE"""),-1.252712054226904)</f>
        <v>-1.252712054</v>
      </c>
      <c r="T405" s="53">
        <f>IFERROR(__xludf.DUMMYFUNCTION("""COMPUTED_VALUE"""),-2.214263218439948)</f>
        <v>-2.214263218</v>
      </c>
      <c r="U405" s="53">
        <f>IFERROR(__xludf.DUMMYFUNCTION("""COMPUTED_VALUE"""),-1.5015124374589601)</f>
        <v>-1.501512437</v>
      </c>
      <c r="V405" s="53">
        <f>IFERROR(__xludf.DUMMYFUNCTION("""COMPUTED_VALUE"""),-1.732769878353462)</f>
        <v>-1.732769878</v>
      </c>
      <c r="W405" s="53">
        <f>IFERROR(__xludf.DUMMYFUNCTION("""COMPUTED_VALUE"""),-0.6583300762210907)</f>
        <v>-0.6583300762</v>
      </c>
      <c r="X405" s="53">
        <f>IFERROR(__xludf.DUMMYFUNCTION("""COMPUTED_VALUE"""),-0.08705125882772613)</f>
        <v>-0.08705125883</v>
      </c>
      <c r="Y405" s="53">
        <f>IFERROR(__xludf.DUMMYFUNCTION("""COMPUTED_VALUE"""),0.038103391173524945)</f>
        <v>0.03810339117</v>
      </c>
      <c r="Z405" s="53">
        <f>IFERROR(__xludf.DUMMYFUNCTION("""COMPUTED_VALUE"""),0.4640380197221629)</f>
        <v>0.4640380197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15" max="16" width="20.0"/>
    <col customWidth="1" min="17" max="17" width="6.13"/>
    <col customWidth="1" min="18" max="18" width="5.88"/>
    <col customWidth="1" min="19" max="19" width="5.75"/>
    <col customWidth="1" min="20" max="20" width="7.75"/>
    <col customWidth="1" min="21" max="29" width="6.63"/>
    <col customWidth="1" min="30" max="30" width="7.38"/>
    <col customWidth="1" min="31" max="31" width="4.75"/>
    <col customWidth="1" min="32" max="32" width="6.88"/>
    <col customWidth="1" min="33" max="33" width="4.75"/>
    <col customWidth="1" min="34" max="34" width="4.63"/>
    <col customWidth="1" min="35" max="35" width="4.75"/>
    <col customWidth="1" min="36" max="36" width="5.25"/>
    <col customWidth="1" min="37" max="37" width="4.75"/>
    <col customWidth="1" min="38" max="40" width="5.25"/>
  </cols>
  <sheetData>
    <row r="1">
      <c r="A1" s="33" t="s">
        <v>405</v>
      </c>
      <c r="B1" s="112">
        <f>AVERAGE(Update!L2:L151)</f>
        <v>17.25666667</v>
      </c>
      <c r="C1" s="112">
        <f>AVERAGE(Update!$K$2:$K$151)</f>
        <v>1.644666667</v>
      </c>
      <c r="D1" s="112">
        <f>AVERAGE(Update!$M$2:$M$151)</f>
        <v>6.095333333</v>
      </c>
      <c r="E1" s="112">
        <f>AVERAGE(Update!$N$2:$N$151)</f>
        <v>3.844</v>
      </c>
      <c r="F1" s="112">
        <f>AVERAGE(Update!$O$2:$O$151)</f>
        <v>0.9946666667</v>
      </c>
      <c r="G1" s="112">
        <f>AVERAGE(Update!$P$2:$P$151)</f>
        <v>0.7013333333</v>
      </c>
      <c r="H1" s="112">
        <f>AVERAGE(Update!$H$2:$H$151)</f>
        <v>0.4959844287</v>
      </c>
      <c r="I1" s="53">
        <f>AVERAGE(I4:I151)</f>
        <v>13.0027027</v>
      </c>
      <c r="J1" s="112">
        <f>AVERAGE(Update!$J$2:$J$151)</f>
        <v>0.789795189</v>
      </c>
      <c r="K1" s="53">
        <f>AVERAGE(K4:K151)</f>
        <v>3.726351351</v>
      </c>
      <c r="L1" s="112">
        <f>AVERAGE(Update!$Q$2:$Q$151)</f>
        <v>1.994666667</v>
      </c>
      <c r="M1" s="112">
        <f>SUM(Update!R2:R202)</f>
        <v>0</v>
      </c>
      <c r="N1" s="113">
        <f>Team!AA2</f>
        <v>150</v>
      </c>
    </row>
    <row r="2">
      <c r="A2" s="33" t="s">
        <v>406</v>
      </c>
      <c r="B2" s="53">
        <f>STDEV(Update!L2:L151)</f>
        <v>5.933789227</v>
      </c>
      <c r="C2" s="53">
        <f>STDEV(Update!$K$2:$K$151)</f>
        <v>1.03790811</v>
      </c>
      <c r="D2" s="53">
        <f>STDEV(Update!$M$2:$M$151)</f>
        <v>2.391465156</v>
      </c>
      <c r="E2" s="53">
        <f>STDEV(Update!$N$2:$N$151)</f>
        <v>2.156758692</v>
      </c>
      <c r="F2" s="53">
        <f>STDEV(Update!$O$2:$O$151)</f>
        <v>0.3210274334</v>
      </c>
      <c r="G2" s="53">
        <f>STDEV(Update!$P$2:$P$151)</f>
        <v>0.5330659285</v>
      </c>
      <c r="H2" s="53">
        <f>STDEV(Update!$H$2:$H$151)</f>
        <v>0.06929502696</v>
      </c>
      <c r="J2" s="53">
        <f>STDEV(Update!$J$2:$J$151)</f>
        <v>0.08624596412</v>
      </c>
      <c r="L2" s="53">
        <f>STDEV(Update!$Q$2:$Q$151)</f>
        <v>0.8052501105</v>
      </c>
      <c r="O2" s="114" t="s">
        <v>43</v>
      </c>
      <c r="P2" s="114"/>
      <c r="Q2" s="114" t="s">
        <v>44</v>
      </c>
      <c r="R2" s="114" t="s">
        <v>45</v>
      </c>
      <c r="S2" s="114" t="s">
        <v>46</v>
      </c>
      <c r="T2" s="114"/>
      <c r="U2" s="114" t="s">
        <v>47</v>
      </c>
    </row>
    <row r="3">
      <c r="A3" t="str">
        <f>Update!B1</f>
        <v>NAME</v>
      </c>
      <c r="B3" s="115" t="s">
        <v>62</v>
      </c>
      <c r="C3" s="115" t="s">
        <v>63</v>
      </c>
      <c r="D3" s="115" t="s">
        <v>64</v>
      </c>
      <c r="E3" s="115" t="s">
        <v>65</v>
      </c>
      <c r="F3" s="115" t="s">
        <v>66</v>
      </c>
      <c r="G3" s="115" t="s">
        <v>67</v>
      </c>
      <c r="H3" s="115" t="s">
        <v>68</v>
      </c>
      <c r="I3" s="115" t="s">
        <v>407</v>
      </c>
      <c r="J3" s="115" t="s">
        <v>69</v>
      </c>
      <c r="K3" s="115" t="s">
        <v>408</v>
      </c>
      <c r="L3" s="115" t="s">
        <v>70</v>
      </c>
      <c r="N3" s="116"/>
      <c r="O3" s="117" t="s">
        <v>43</v>
      </c>
      <c r="P3" s="117"/>
      <c r="Q3" s="117"/>
      <c r="R3" s="117" t="s">
        <v>45</v>
      </c>
      <c r="S3" s="117" t="s">
        <v>46</v>
      </c>
      <c r="T3" s="117"/>
      <c r="U3" s="117" t="s">
        <v>47</v>
      </c>
    </row>
    <row r="4">
      <c r="A4" s="118" t="str">
        <f>IF(Update!B2="",ROW(Update!B2),Update!B2)</f>
        <v>Nikola Jokic</v>
      </c>
      <c r="B4" s="119">
        <f>IF(TYPE($A4)=1,"",(Update!$L2-B$1)/B$2)</f>
        <v>1.220692724</v>
      </c>
      <c r="C4" s="119">
        <f>IF(TYPE($A4)=1,"",(Update!$K2-C$1)/C$2)</f>
        <v>-0.6211211385</v>
      </c>
      <c r="D4" s="119">
        <f>IF(TYPE($A4)=1,"",(Update!$M2-D$1)/D$2)</f>
        <v>2.343612096</v>
      </c>
      <c r="E4" s="119">
        <f>IF(TYPE($A4)=1,"",(Update!$N2-E$1)/E$2)</f>
        <v>2.715185534</v>
      </c>
      <c r="F4" s="119">
        <f>IF(TYPE($A4)=1,"",(Update!$O2-F$1)/F$2)</f>
        <v>1.262612759</v>
      </c>
      <c r="G4" s="119">
        <f>IF(TYPE($A4)=1,"",(Update!$P2-G$1)/G$2)</f>
        <v>-0.002501254089</v>
      </c>
      <c r="H4" s="119">
        <f>IF(TYPE($A4)=1,"",(Update!$H2-H$1)/H$2*I4/$I$1)</f>
        <v>2.063688952</v>
      </c>
      <c r="I4" s="119">
        <f>IF(TYPE($A4)=1,"",IF(Update!H2=0,0,Update!G2/Update!H2))</f>
        <v>14.8</v>
      </c>
      <c r="J4" s="120">
        <f>IF(TYPE($A4)=1,"",(Update!$J2-J$1)/J$2*K4/$K$1)</f>
        <v>0.5670787828</v>
      </c>
      <c r="K4" s="121">
        <f>IF(TYPE($A4)=1,"",IF(Update!J2=0,0,Update!I2/Update!J2))</f>
        <v>6.1</v>
      </c>
      <c r="L4" s="119">
        <f>IF(TYPE($A4)=1,"",-(Update!$Q2-L$1)/L$2)</f>
        <v>-2.117768518</v>
      </c>
    </row>
    <row r="5">
      <c r="A5" s="118" t="str">
        <f>IF(Update!B3="",ROW(Update!B3),Update!B3)</f>
        <v>Joel Embiid</v>
      </c>
      <c r="B5" s="119">
        <f>IF(TYPE($A5)=1,"",(Update!$L3-B$1)/B$2)</f>
        <v>2.585756377</v>
      </c>
      <c r="C5" s="119">
        <f>IF(TYPE($A5)=1,"",(Update!$K3-C$1)/C$2)</f>
        <v>-0.4284258525</v>
      </c>
      <c r="D5" s="119">
        <f>IF(TYPE($A5)=1,"",(Update!$M3-D$1)/D$2)</f>
        <v>1.716381548</v>
      </c>
      <c r="E5" s="119">
        <f>IF(TYPE($A5)=1,"",(Update!$N3-E$1)/E$2)</f>
        <v>0.1650625086</v>
      </c>
      <c r="F5" s="119">
        <f>IF(TYPE($A5)=1,"",(Update!$O3-F$1)/F$2)</f>
        <v>0.3281131841</v>
      </c>
      <c r="G5" s="119">
        <f>IF(TYPE($A5)=1,"",(Update!$P3-G$1)/G$2)</f>
        <v>1.685845256</v>
      </c>
      <c r="H5" s="119">
        <f>IF(TYPE($A5)=1,"",(Update!$H3-H$1)/H$2*I5/$I$1)</f>
        <v>0.9770136655</v>
      </c>
      <c r="I5" s="119">
        <f>IF(TYPE($A5)=1,"",IF(Update!H3=0,0,Update!G3/Update!H3))</f>
        <v>20</v>
      </c>
      <c r="J5" s="120">
        <f>IF(TYPE($A5)=1,"",(Update!$J3-J$1)/J$2*K5/$K$1)</f>
        <v>1.560249353</v>
      </c>
      <c r="K5" s="121">
        <f>IF(TYPE($A5)=1,"",IF(Update!J3=0,0,Update!I3/Update!J3))</f>
        <v>11.9</v>
      </c>
      <c r="L5" s="119">
        <f>IF(TYPE($A5)=1,"",-(Update!$Q3-L$1)/L$2)</f>
        <v>-1.621028444</v>
      </c>
    </row>
    <row r="6">
      <c r="A6" s="118" t="str">
        <f>IF(Update!B4="",ROW(Update!B4),Update!B4)</f>
        <v>Shai Gilgeous-Alexander</v>
      </c>
      <c r="B6" s="119">
        <f>IF(TYPE($A6)=1,"",(Update!$L4-B$1)/B$2)</f>
        <v>2.080177246</v>
      </c>
      <c r="C6" s="119">
        <f>IF(TYPE($A6)=1,"",(Update!$K4-C$1)/C$2)</f>
        <v>-0.6211211385</v>
      </c>
      <c r="D6" s="119">
        <f>IF(TYPE($A6)=1,"",(Update!$M4-D$1)/D$2)</f>
        <v>-0.4580176845</v>
      </c>
      <c r="E6" s="119">
        <f>IF(TYPE($A6)=1,"",(Update!$N4-E$1)/E$2)</f>
        <v>0.8141847333</v>
      </c>
      <c r="F6" s="119">
        <f>IF(TYPE($A6)=1,"",(Update!$O4-F$1)/F$2)</f>
        <v>1.574112617</v>
      </c>
      <c r="G6" s="119">
        <f>IF(TYPE($A6)=1,"",(Update!$P4-G$1)/G$2)</f>
        <v>0.3726868593</v>
      </c>
      <c r="H6" s="119">
        <f>IF(TYPE($A6)=1,"",(Update!$H4-H$1)/H$2*I6/$I$1)</f>
        <v>-0.2438213702</v>
      </c>
      <c r="I6" s="119">
        <f>IF(TYPE($A6)=1,"",IF(Update!H4=0,0,Update!G4/Update!H4))</f>
        <v>20</v>
      </c>
      <c r="J6" s="120">
        <f>IF(TYPE($A6)=1,"",(Update!$J4-J$1)/J$2*K6/$K$1)</f>
        <v>3.068397382</v>
      </c>
      <c r="K6" s="121">
        <f>IF(TYPE($A6)=1,"",IF(Update!J4=0,0,Update!I4/Update!J4))</f>
        <v>10.4</v>
      </c>
      <c r="L6" s="119">
        <f>IF(TYPE($A6)=1,"",-(Update!$Q4-L$1)/L$2)</f>
        <v>-1.124288369</v>
      </c>
    </row>
    <row r="7">
      <c r="A7" s="118" t="str">
        <f>IF(Update!B5="",ROW(Update!B5),Update!B5)</f>
        <v>Tyrese Haliburton</v>
      </c>
      <c r="B7" s="119">
        <f>IF(TYPE($A7)=1,"",(Update!$L5-B$1)/B$2)</f>
        <v>1.018461071</v>
      </c>
      <c r="C7" s="119">
        <f>IF(TYPE($A7)=1,"",(Update!$K5-C$1)/C$2)</f>
        <v>1.113136435</v>
      </c>
      <c r="D7" s="119">
        <f>IF(TYPE($A7)=1,"",(Update!$M5-D$1)/D$2)</f>
        <v>-0.876171383</v>
      </c>
      <c r="E7" s="119">
        <f>IF(TYPE($A7)=1,"",(Update!$N5-E$1)/E$2)</f>
        <v>3.08611252</v>
      </c>
      <c r="F7" s="119">
        <f>IF(TYPE($A7)=1,"",(Update!$O5-F$1)/F$2)</f>
        <v>2.197112334</v>
      </c>
      <c r="G7" s="119">
        <f>IF(TYPE($A7)=1,"",(Update!$P5-G$1)/G$2)</f>
        <v>-0.5652834241</v>
      </c>
      <c r="H7" s="119">
        <f>IF(TYPE($A7)=1,"",(Update!$H5-H$1)/H$2*I7/$I$1)</f>
        <v>-0.1399670581</v>
      </c>
      <c r="I7" s="119">
        <f>IF(TYPE($A7)=1,"",IF(Update!H5=0,0,Update!G5/Update!H5))</f>
        <v>18.4</v>
      </c>
      <c r="J7" s="120">
        <f>IF(TYPE($A7)=1,"",(Update!$J5-J$1)/J$2*K7/$K$1)</f>
        <v>0.7175693851</v>
      </c>
      <c r="K7" s="121">
        <f>IF(TYPE($A7)=1,"",IF(Update!J5=0,0,Update!I5/Update!J5))</f>
        <v>3</v>
      </c>
      <c r="L7" s="119">
        <f>IF(TYPE($A7)=1,"",-(Update!$Q5-L$1)/L$2)</f>
        <v>-0.7517333129</v>
      </c>
    </row>
    <row r="8">
      <c r="A8" s="118" t="str">
        <f>IF(Update!B6="",ROW(Update!B6),Update!B6)</f>
        <v>Jayson Tatum</v>
      </c>
      <c r="B8" s="119">
        <f>IF(TYPE($A8)=1,"",(Update!$L6-B$1)/B$2)</f>
        <v>2.063324609</v>
      </c>
      <c r="C8" s="119">
        <f>IF(TYPE($A8)=1,"",(Update!$K6-C$1)/C$2)</f>
        <v>1.59487465</v>
      </c>
      <c r="D8" s="119">
        <f>IF(TYPE($A8)=1,"",(Update!$M6-D$1)/D$2)</f>
        <v>0.8800741509</v>
      </c>
      <c r="E8" s="119">
        <f>IF(TYPE($A8)=1,"",(Update!$N6-E$1)/E$2)</f>
        <v>0.4432577477</v>
      </c>
      <c r="F8" s="119">
        <f>IF(TYPE($A8)=1,"",(Update!$O6-F$1)/F$2)</f>
        <v>0.3281131841</v>
      </c>
      <c r="G8" s="119">
        <f>IF(TYPE($A8)=1,"",(Update!$P6-G$1)/G$2)</f>
        <v>-0.002501254089</v>
      </c>
      <c r="H8" s="119">
        <f>IF(TYPE($A8)=1,"",(Update!$H6-H$1)/H$2*I8/$I$1)</f>
        <v>-0.6833047012</v>
      </c>
      <c r="I8" s="119">
        <f>IF(TYPE($A8)=1,"",IF(Update!H6=0,0,Update!G6/Update!H6))</f>
        <v>21</v>
      </c>
      <c r="J8" s="120">
        <f>IF(TYPE($A8)=1,"",(Update!$J6-J$1)/J$2*K8/$K$1)</f>
        <v>1.613580756</v>
      </c>
      <c r="K8" s="121">
        <f>IF(TYPE($A8)=1,"",IF(Update!J6=0,0,Update!I6/Update!J6))</f>
        <v>7.7</v>
      </c>
      <c r="L8" s="119">
        <f>IF(TYPE($A8)=1,"",-(Update!$Q6-L$1)/L$2)</f>
        <v>-1.248473388</v>
      </c>
      <c r="U8" s="33">
        <v>2.0</v>
      </c>
    </row>
    <row r="9">
      <c r="A9" s="118" t="str">
        <f>IF(Update!B7="",ROW(Update!B7),Update!B7)</f>
        <v>Luka Doncic</v>
      </c>
      <c r="B9" s="119">
        <f>IF(TYPE($A9)=1,"",(Update!$L7-B$1)/B$2)</f>
        <v>2.602609015</v>
      </c>
      <c r="C9" s="119">
        <f>IF(TYPE($A9)=1,"",(Update!$K7-C$1)/C$2)</f>
        <v>1.305831721</v>
      </c>
      <c r="D9" s="119">
        <f>IF(TYPE($A9)=1,"",(Update!$M7-D$1)/D$2)</f>
        <v>1.13096637</v>
      </c>
      <c r="E9" s="119">
        <f>IF(TYPE($A9)=1,"",(Update!$N7-E$1)/E$2)</f>
        <v>1.973331563</v>
      </c>
      <c r="F9" s="119">
        <f>IF(TYPE($A9)=1,"",(Update!$O7-F$1)/F$2)</f>
        <v>0.9511129006</v>
      </c>
      <c r="G9" s="119">
        <f>IF(TYPE($A9)=1,"",(Update!$P7-G$1)/G$2)</f>
        <v>-0.3776893674</v>
      </c>
      <c r="H9" s="119">
        <f>IF(TYPE($A9)=1,"",(Update!$H7-H$1)/H$2*I9/$I$1)</f>
        <v>-0.1221403302</v>
      </c>
      <c r="I9" s="119">
        <f>IF(TYPE($A9)=1,"",IF(Update!H7=0,0,Update!G7/Update!H7))</f>
        <v>22.4</v>
      </c>
      <c r="J9" s="120">
        <f>IF(TYPE($A9)=1,"",(Update!$J7-J$1)/J$2*K9/$K$1)</f>
        <v>-0.7962808079</v>
      </c>
      <c r="K9" s="121">
        <f>IF(TYPE($A9)=1,"",IF(Update!J7=0,0,Update!I7/Update!J7))</f>
        <v>10.2</v>
      </c>
      <c r="L9" s="119">
        <f>IF(TYPE($A9)=1,"",-(Update!$Q7-L$1)/L$2)</f>
        <v>-1.9935835</v>
      </c>
      <c r="U9" s="122">
        <v>1.75</v>
      </c>
    </row>
    <row r="10">
      <c r="A10" s="118" t="str">
        <f>IF(Update!B8="",ROW(Update!B8),Update!B8)</f>
        <v>Stephen Curry</v>
      </c>
      <c r="B10" s="119">
        <f>IF(TYPE($A10)=1,"",(Update!$L8-B$1)/B$2)</f>
        <v>1.810535043</v>
      </c>
      <c r="C10" s="119">
        <f>IF(TYPE($A10)=1,"",(Update!$K8-C$1)/C$2)</f>
        <v>2.943741652</v>
      </c>
      <c r="D10" s="119">
        <f>IF(TYPE($A10)=1,"",(Update!$M8-D$1)/D$2)</f>
        <v>-0.2071254654</v>
      </c>
      <c r="E10" s="119">
        <f>IF(TYPE($A10)=1,"",(Update!$N8-E$1)/E$2)</f>
        <v>0.8141847333</v>
      </c>
      <c r="F10" s="119">
        <f>IF(TYPE($A10)=1,"",(Update!$O8-F$1)/F$2)</f>
        <v>-0.2948865325</v>
      </c>
      <c r="G10" s="119">
        <f>IF(TYPE($A10)=1,"",(Update!$P8-G$1)/G$2)</f>
        <v>-0.7528774808</v>
      </c>
      <c r="H10" s="119">
        <f>IF(TYPE($A10)=1,"",(Update!$H8-H$1)/H$2*I10/$I$1)</f>
        <v>-0.4666827131</v>
      </c>
      <c r="I10" s="119">
        <f>IF(TYPE($A10)=1,"",IF(Update!H8=0,0,Update!G8/Update!H8))</f>
        <v>19.8</v>
      </c>
      <c r="J10" s="120">
        <f>IF(TYPE($A10)=1,"",(Update!$J8-J$1)/J$2*K10/$K$1)</f>
        <v>1.960290478</v>
      </c>
      <c r="K10" s="121">
        <f>IF(TYPE($A10)=1,"",IF(Update!J8=0,0,Update!I8/Update!J8))</f>
        <v>4.9</v>
      </c>
      <c r="L10" s="119">
        <f>IF(TYPE($A10)=1,"",-(Update!$Q8-L$1)/L$2)</f>
        <v>-1.621028444</v>
      </c>
      <c r="U10" s="123">
        <v>1.5</v>
      </c>
    </row>
    <row r="11">
      <c r="A11" s="118" t="str">
        <f>IF(Update!B9="",ROW(Update!B9),Update!B9)</f>
        <v>Kevin Durant</v>
      </c>
      <c r="B11" s="119">
        <f>IF(TYPE($A11)=1,"",(Update!$L9-B$1)/B$2)</f>
        <v>1.355513825</v>
      </c>
      <c r="C11" s="119">
        <f>IF(TYPE($A11)=1,"",(Update!$K9-C$1)/C$2)</f>
        <v>0.2460076484</v>
      </c>
      <c r="D11" s="119">
        <f>IF(TYPE($A11)=1,"",(Update!$M9-D$1)/D$2)</f>
        <v>0.1692128634</v>
      </c>
      <c r="E11" s="119">
        <f>IF(TYPE($A11)=1,"",(Update!$N9-E$1)/E$2)</f>
        <v>0.5359894941</v>
      </c>
      <c r="F11" s="119">
        <f>IF(TYPE($A11)=1,"",(Update!$O9-F$1)/F$2)</f>
        <v>-0.9178862491</v>
      </c>
      <c r="G11" s="119">
        <f>IF(TYPE($A11)=1,"",(Update!$P9-G$1)/G$2)</f>
        <v>0.5602809159</v>
      </c>
      <c r="H11" s="119">
        <f>IF(TYPE($A11)=1,"",(Update!$H9-H$1)/H$2*I11/$I$1)</f>
        <v>0.5188122702</v>
      </c>
      <c r="I11" s="119">
        <f>IF(TYPE($A11)=1,"",IF(Update!H9=0,0,Update!G9/Update!H9))</f>
        <v>16.8</v>
      </c>
      <c r="J11" s="120">
        <f>IF(TYPE($A11)=1,"",(Update!$J9-J$1)/J$2*K11/$K$1)</f>
        <v>2.138732464</v>
      </c>
      <c r="K11" s="121">
        <f>IF(TYPE($A11)=1,"",IF(Update!J9=0,0,Update!I9/Update!J9))</f>
        <v>6.6</v>
      </c>
      <c r="L11" s="119">
        <f>IF(TYPE($A11)=1,"",-(Update!$Q9-L$1)/L$2)</f>
        <v>-1.372658406</v>
      </c>
      <c r="U11" s="124">
        <v>1.25</v>
      </c>
      <c r="Y11" s="115"/>
      <c r="Z11" s="125"/>
    </row>
    <row r="12">
      <c r="A12" s="118" t="str">
        <f>IF(Update!B10="",ROW(Update!B10),Update!B10)</f>
        <v>Damian Lillard</v>
      </c>
      <c r="B12" s="119">
        <f>IF(TYPE($A12)=1,"",(Update!$L10-B$1)/B$2)</f>
        <v>1.675713942</v>
      </c>
      <c r="C12" s="119">
        <f>IF(TYPE($A12)=1,"",(Update!$K10-C$1)/C$2)</f>
        <v>2.076612865</v>
      </c>
      <c r="D12" s="119">
        <f>IF(TYPE($A12)=1,"",(Update!$M10-D$1)/D$2)</f>
        <v>-0.876171383</v>
      </c>
      <c r="E12" s="119">
        <f>IF(TYPE($A12)=1,"",(Update!$N10-E$1)/E$2)</f>
        <v>1.416941085</v>
      </c>
      <c r="F12" s="119">
        <f>IF(TYPE($A12)=1,"",(Update!$O10-F$1)/F$2)</f>
        <v>-0.2948865325</v>
      </c>
      <c r="G12" s="119">
        <f>IF(TYPE($A12)=1,"",(Update!$P10-G$1)/G$2)</f>
        <v>-0.7528774808</v>
      </c>
      <c r="H12" s="119">
        <f>IF(TYPE($A12)=1,"",(Update!$H10-H$1)/H$2*I12/$I$1)</f>
        <v>-0.6975660835</v>
      </c>
      <c r="I12" s="119">
        <f>IF(TYPE($A12)=1,"",IF(Update!H10=0,0,Update!G10/Update!H10))</f>
        <v>17.8</v>
      </c>
      <c r="J12" s="120">
        <f>IF(TYPE($A12)=1,"",(Update!$J10-J$1)/J$2*K12/$K$1)</f>
        <v>2.923608943</v>
      </c>
      <c r="K12" s="121">
        <f>IF(TYPE($A12)=1,"",IF(Update!J10=0,0,Update!I10/Update!J10))</f>
        <v>7.8</v>
      </c>
      <c r="L12" s="119">
        <f>IF(TYPE($A12)=1,"",-(Update!$Q10-L$1)/L$2)</f>
        <v>-1.372658406</v>
      </c>
      <c r="M12" t="str">
        <f t="array" ref="M12:M31">transpose(Projections!J5:AC5)</f>
        <v>Pos</v>
      </c>
      <c r="U12" s="126">
        <v>1.0</v>
      </c>
      <c r="Y12" s="127"/>
      <c r="Z12" s="127"/>
    </row>
    <row r="13">
      <c r="A13" s="118" t="str">
        <f>IF(Update!B11="",ROW(Update!B11),Update!B11)</f>
        <v>Kyrie Irving</v>
      </c>
      <c r="B13" s="119">
        <f>IF(TYPE($A13)=1,"",(Update!$L11-B$1)/B$2)</f>
        <v>1.591450753</v>
      </c>
      <c r="C13" s="119">
        <f>IF(TYPE($A13)=1,"",(Update!$K11-C$1)/C$2)</f>
        <v>1.498527007</v>
      </c>
      <c r="D13" s="119">
        <f>IF(TYPE($A13)=1,"",(Update!$M11-D$1)/D$2)</f>
        <v>-0.5416484242</v>
      </c>
      <c r="E13" s="119">
        <f>IF(TYPE($A13)=1,"",(Update!$N11-E$1)/E$2)</f>
        <v>0.7678188601</v>
      </c>
      <c r="F13" s="119">
        <f>IF(TYPE($A13)=1,"",(Update!$O11-F$1)/F$2)</f>
        <v>0.6396130423</v>
      </c>
      <c r="G13" s="119">
        <f>IF(TYPE($A13)=1,"",(Update!$P11-G$1)/G$2)</f>
        <v>-0.002501254089</v>
      </c>
      <c r="H13" s="119">
        <f>IF(TYPE($A13)=1,"",(Update!$H11-H$1)/H$2*I13/$I$1)</f>
        <v>-0.1878832004</v>
      </c>
      <c r="I13" s="119">
        <f>IF(TYPE($A13)=1,"",IF(Update!H11=0,0,Update!G11/Update!H11))</f>
        <v>20.1</v>
      </c>
      <c r="J13" s="120">
        <f>IF(TYPE($A13)=1,"",(Update!$J11-J$1)/J$2*K13/$K$1)</f>
        <v>1.633258611</v>
      </c>
      <c r="K13" s="121">
        <f>IF(TYPE($A13)=1,"",IF(Update!J11=0,0,Update!I11/Update!J11))</f>
        <v>4.4</v>
      </c>
      <c r="L13" s="119">
        <f>IF(TYPE($A13)=1,"",-(Update!$Q11-L$1)/L$2)</f>
        <v>-0.2549932383</v>
      </c>
      <c r="M13" t="s">
        <v>59</v>
      </c>
      <c r="U13" s="124">
        <v>0.75</v>
      </c>
    </row>
    <row r="14">
      <c r="A14" s="118" t="str">
        <f>IF(Update!B12="",ROW(Update!B12),Update!B12)</f>
        <v>Anthony Davis</v>
      </c>
      <c r="B14" s="119">
        <f>IF(TYPE($A14)=1,"",(Update!$L12-B$1)/B$2)</f>
        <v>1.186987448</v>
      </c>
      <c r="C14" s="119">
        <f>IF(TYPE($A14)=1,"",(Update!$K12-C$1)/C$2)</f>
        <v>-1.295554639</v>
      </c>
      <c r="D14" s="119">
        <f>IF(TYPE($A14)=1,"",(Update!$M12-D$1)/D$2)</f>
        <v>2.134535247</v>
      </c>
      <c r="E14" s="119">
        <f>IF(TYPE($A14)=1,"",(Update!$N12-E$1)/E$2)</f>
        <v>-0.4840597161</v>
      </c>
      <c r="F14" s="119">
        <f>IF(TYPE($A14)=1,"",(Update!$O12-F$1)/F$2)</f>
        <v>0.3281131841</v>
      </c>
      <c r="G14" s="119">
        <f>IF(TYPE($A14)=1,"",(Update!$P12-G$1)/G$2)</f>
        <v>2.623815539</v>
      </c>
      <c r="H14" s="119">
        <f>IF(TYPE($A14)=1,"",(Update!$H12-H$1)/H$2*I14/$I$1)</f>
        <v>0.9636436196</v>
      </c>
      <c r="I14" s="119">
        <f>IF(TYPE($A14)=1,"",IF(Update!H12=0,0,Update!G12/Update!H12))</f>
        <v>17</v>
      </c>
      <c r="J14" s="120">
        <f>IF(TYPE($A14)=1,"",(Update!$J12-J$1)/J$2*K14/$K$1)</f>
        <v>-0.7111965789</v>
      </c>
      <c r="K14" s="121">
        <f>IF(TYPE($A14)=1,"",IF(Update!J12=0,0,Update!I12/Update!J12))</f>
        <v>7</v>
      </c>
      <c r="L14" s="119">
        <f>IF(TYPE($A14)=1,"",-(Update!$Q12-L$1)/L$2)</f>
        <v>-0.1308082197</v>
      </c>
      <c r="M14" t="s">
        <v>48</v>
      </c>
      <c r="U14" s="124">
        <v>0.5</v>
      </c>
    </row>
    <row r="15">
      <c r="A15" s="118" t="str">
        <f>IF(Update!B13="",ROW(Update!B13),Update!B13)</f>
        <v>LaMelo Ball</v>
      </c>
      <c r="B15" s="119">
        <f>IF(TYPE($A15)=1,"",(Update!$L13-B$1)/B$2)</f>
        <v>1.035313709</v>
      </c>
      <c r="C15" s="119">
        <f>IF(TYPE($A15)=1,"",(Update!$K13-C$1)/C$2)</f>
        <v>1.980265222</v>
      </c>
      <c r="D15" s="119">
        <f>IF(TYPE($A15)=1,"",(Update!$M13-D$1)/D$2)</f>
        <v>0.3782897126</v>
      </c>
      <c r="E15" s="119">
        <f>IF(TYPE($A15)=1,"",(Update!$N13-E$1)/E$2)</f>
        <v>2.205160929</v>
      </c>
      <c r="F15" s="119">
        <f>IF(TYPE($A15)=1,"",(Update!$O13-F$1)/F$2)</f>
        <v>1.885612475</v>
      </c>
      <c r="G15" s="119">
        <f>IF(TYPE($A15)=1,"",(Update!$P13-G$1)/G$2)</f>
        <v>-0.5652834241</v>
      </c>
      <c r="H15" s="119">
        <f>IF(TYPE($A15)=1,"",(Update!$H13-H$1)/H$2*I15/$I$1)</f>
        <v>-1.467330415</v>
      </c>
      <c r="I15" s="119">
        <f>IF(TYPE($A15)=1,"",IF(Update!H13=0,0,Update!G13/Update!H13))</f>
        <v>19.4</v>
      </c>
      <c r="J15" s="120">
        <f>IF(TYPE($A15)=1,"",(Update!$J13-J$1)/J$2*K15/$K$1)</f>
        <v>0.7334457981</v>
      </c>
      <c r="K15" s="121">
        <f>IF(TYPE($A15)=1,"",IF(Update!J13=0,0,Update!I13/Update!J13))</f>
        <v>3.5</v>
      </c>
      <c r="L15" s="119">
        <f>IF(TYPE($A15)=1,"",-(Update!$Q13-L$1)/L$2)</f>
        <v>-1.9935835</v>
      </c>
      <c r="M15" t="s">
        <v>60</v>
      </c>
      <c r="U15" s="124">
        <v>0.25</v>
      </c>
    </row>
    <row r="16">
      <c r="A16" s="118" t="str">
        <f>IF(Update!B14="",ROW(Update!B14),Update!B14)</f>
        <v>Donovan Mitchell</v>
      </c>
      <c r="B16" s="119">
        <f>IF(TYPE($A16)=1,"",(Update!$L14-B$1)/B$2)</f>
        <v>1.75997713</v>
      </c>
      <c r="C16" s="119">
        <f>IF(TYPE($A16)=1,"",(Update!$K14-C$1)/C$2)</f>
        <v>1.883917579</v>
      </c>
      <c r="D16" s="119">
        <f>IF(TYPE($A16)=1,"",(Update!$M14-D$1)/D$2)</f>
        <v>-0.7089099036</v>
      </c>
      <c r="E16" s="119">
        <f>IF(TYPE($A16)=1,"",(Update!$N14-E$1)/E$2)</f>
        <v>0.2577942549</v>
      </c>
      <c r="F16" s="119">
        <f>IF(TYPE($A16)=1,"",(Update!$O14-F$1)/F$2)</f>
        <v>1.574112617</v>
      </c>
      <c r="G16" s="119">
        <f>IF(TYPE($A16)=1,"",(Update!$P14-G$1)/G$2)</f>
        <v>-0.7528774808</v>
      </c>
      <c r="H16" s="119">
        <f>IF(TYPE($A16)=1,"",(Update!$H14-H$1)/H$2*I16/$I$1)</f>
        <v>-0.4080705341</v>
      </c>
      <c r="I16" s="119">
        <f>IF(TYPE($A16)=1,"",IF(Update!H14=0,0,Update!G14/Update!H14))</f>
        <v>20.5</v>
      </c>
      <c r="J16" s="120">
        <f>IF(TYPE($A16)=1,"",(Update!$J14-J$1)/J$2*K16/$K$1)</f>
        <v>1.223043237</v>
      </c>
      <c r="K16" s="121">
        <f>IF(TYPE($A16)=1,"",IF(Update!J14=0,0,Update!I14/Update!J14))</f>
        <v>5.2</v>
      </c>
      <c r="L16" s="119">
        <f>IF(TYPE($A16)=1,"",-(Update!$Q14-L$1)/L$2)</f>
        <v>-0.8759183316</v>
      </c>
      <c r="M16" t="s">
        <v>34</v>
      </c>
      <c r="U16" s="124">
        <v>0.0</v>
      </c>
    </row>
    <row r="17">
      <c r="A17" s="118" t="str">
        <f>IF(Update!B15="",ROW(Update!B15),Update!B15)</f>
        <v>Devin Booker</v>
      </c>
      <c r="B17" s="119">
        <f>IF(TYPE($A17)=1,"",(Update!$L15-B$1)/B$2)</f>
        <v>1.675713942</v>
      </c>
      <c r="C17" s="119">
        <f>IF(TYPE($A17)=1,"",(Update!$K15-C$1)/C$2)</f>
        <v>0.6313982204</v>
      </c>
      <c r="D17" s="119">
        <f>IF(TYPE($A17)=1,"",(Update!$M15-D$1)/D$2)</f>
        <v>-0.4998330543</v>
      </c>
      <c r="E17" s="119">
        <f>IF(TYPE($A17)=1,"",(Update!$N15-E$1)/E$2)</f>
        <v>1.138745846</v>
      </c>
      <c r="F17" s="119">
        <f>IF(TYPE($A17)=1,"",(Update!$O15-F$1)/F$2)</f>
        <v>0.3281131841</v>
      </c>
      <c r="G17" s="119">
        <f>IF(TYPE($A17)=1,"",(Update!$P15-G$1)/G$2)</f>
        <v>-0.5652834241</v>
      </c>
      <c r="H17" s="119">
        <f>IF(TYPE($A17)=1,"",(Update!$H15-H$1)/H$2*I17/$I$1)</f>
        <v>-0.1878832004</v>
      </c>
      <c r="I17" s="119">
        <f>IF(TYPE($A17)=1,"",IF(Update!H15=0,0,Update!G15/Update!H15))</f>
        <v>20.1</v>
      </c>
      <c r="J17" s="120">
        <f>IF(TYPE($A17)=1,"",(Update!$J15-J$1)/J$2*K17/$K$1)</f>
        <v>1.500545144</v>
      </c>
      <c r="K17" s="121">
        <f>IF(TYPE($A17)=1,"",IF(Update!J15=0,0,Update!I15/Update!J15))</f>
        <v>6.1</v>
      </c>
      <c r="L17" s="119">
        <f>IF(TYPE($A17)=1,"",-(Update!$Q15-L$1)/L$2)</f>
        <v>-0.7517333129</v>
      </c>
      <c r="M17" t="s">
        <v>35</v>
      </c>
    </row>
    <row r="18">
      <c r="A18" s="118" t="str">
        <f>IF(Update!B16="",ROW(Update!B16),Update!B16)</f>
        <v>Trae Young</v>
      </c>
      <c r="B18" s="119">
        <f>IF(TYPE($A18)=1,"",(Update!$L16-B$1)/B$2)</f>
        <v>1.658861304</v>
      </c>
      <c r="C18" s="119">
        <f>IF(TYPE($A18)=1,"",(Update!$K16-C$1)/C$2)</f>
        <v>0.5350505774</v>
      </c>
      <c r="D18" s="119">
        <f>IF(TYPE($A18)=1,"",(Update!$M16-D$1)/D$2)</f>
        <v>-1.127063602</v>
      </c>
      <c r="E18" s="119">
        <f>IF(TYPE($A18)=1,"",(Update!$N16-E$1)/E$2)</f>
        <v>2.854283154</v>
      </c>
      <c r="F18" s="119">
        <f>IF(TYPE($A18)=1,"",(Update!$O16-F$1)/F$2)</f>
        <v>0.3281131841</v>
      </c>
      <c r="G18" s="119">
        <f>IF(TYPE($A18)=1,"",(Update!$P16-G$1)/G$2)</f>
        <v>-1.128065594</v>
      </c>
      <c r="H18" s="119">
        <f>IF(TYPE($A18)=1,"",(Update!$H16-H$1)/H$2*I18/$I$1)</f>
        <v>-1.35188873</v>
      </c>
      <c r="I18" s="119">
        <f>IF(TYPE($A18)=1,"",IF(Update!H16=0,0,Update!G16/Update!H16))</f>
        <v>20.4</v>
      </c>
      <c r="J18" s="120">
        <f>IF(TYPE($A18)=1,"",(Update!$J16-J$1)/J$2*K18/$K$1)</f>
        <v>2.497517156</v>
      </c>
      <c r="K18" s="121">
        <f>IF(TYPE($A18)=1,"",IF(Update!J16=0,0,Update!I16/Update!J16))</f>
        <v>8.1</v>
      </c>
      <c r="L18" s="119">
        <f>IF(TYPE($A18)=1,"",-(Update!$Q16-L$1)/L$2)</f>
        <v>-2.614508593</v>
      </c>
      <c r="M18" t="s">
        <v>36</v>
      </c>
      <c r="Q18" s="114"/>
      <c r="R18" s="128"/>
      <c r="S18" s="114"/>
      <c r="T18" s="114"/>
      <c r="U18" s="114" t="s">
        <v>34</v>
      </c>
      <c r="V18" s="128">
        <v>3.0</v>
      </c>
      <c r="W18" s="114" t="s">
        <v>36</v>
      </c>
      <c r="X18" s="114" t="s">
        <v>37</v>
      </c>
      <c r="Y18" s="114" t="s">
        <v>38</v>
      </c>
      <c r="Z18" s="114" t="s">
        <v>39</v>
      </c>
      <c r="AA18" s="114" t="s">
        <v>40</v>
      </c>
      <c r="AB18" s="114" t="s">
        <v>41</v>
      </c>
      <c r="AC18" s="114" t="s">
        <v>42</v>
      </c>
    </row>
    <row r="19">
      <c r="A19" s="118" t="str">
        <f>IF(Update!B17="",ROW(Update!B17),Update!B17)</f>
        <v>Domantas Sabonis</v>
      </c>
      <c r="B19" s="119">
        <f>IF(TYPE($A19)=1,"",(Update!$L17-B$1)/B$2)</f>
        <v>0.378060839</v>
      </c>
      <c r="C19" s="119">
        <f>IF(TYPE($A19)=1,"",(Update!$K17-C$1)/C$2)</f>
        <v>-1.102859353</v>
      </c>
      <c r="D19" s="119">
        <f>IF(TYPE($A19)=1,"",(Update!$M17-D$1)/D$2)</f>
        <v>2.636319685</v>
      </c>
      <c r="E19" s="119">
        <f>IF(TYPE($A19)=1,"",(Update!$N17-E$1)/E$2)</f>
        <v>1.602404578</v>
      </c>
      <c r="F19" s="119">
        <f>IF(TYPE($A19)=1,"",(Update!$O17-F$1)/F$2)</f>
        <v>-0.2948865325</v>
      </c>
      <c r="G19" s="119">
        <f>IF(TYPE($A19)=1,"",(Update!$P17-G$1)/G$2)</f>
        <v>-0.3776893674</v>
      </c>
      <c r="H19" s="119">
        <f>IF(TYPE($A19)=1,"",(Update!$H17-H$1)/H$2*I19/$I$1)</f>
        <v>1.497176562</v>
      </c>
      <c r="I19" s="119">
        <f>IF(TYPE($A19)=1,"",IF(Update!H17=0,0,Update!G17/Update!H17))</f>
        <v>12.2</v>
      </c>
      <c r="J19" s="120">
        <f>IF(TYPE($A19)=1,"",(Update!$J17-J$1)/J$2*K19/$K$1)</f>
        <v>-0.7588258179</v>
      </c>
      <c r="K19" s="121">
        <f>IF(TYPE($A19)=1,"",IF(Update!J17=0,0,Update!I17/Update!J17))</f>
        <v>5.5</v>
      </c>
      <c r="L19" s="119">
        <f>IF(TYPE($A19)=1,"",-(Update!$Q17-L$1)/L$2)</f>
        <v>-1.248473388</v>
      </c>
      <c r="M19" t="s">
        <v>37</v>
      </c>
      <c r="U19" s="33">
        <f>Projections!L3</f>
        <v>1</v>
      </c>
      <c r="V19" s="33">
        <f>Projections!M3</f>
        <v>0.9</v>
      </c>
      <c r="W19" s="33">
        <f>Projections!N3</f>
        <v>1</v>
      </c>
      <c r="X19" s="33">
        <f>Projections!O3</f>
        <v>1.1</v>
      </c>
      <c r="Y19" s="33">
        <f>Projections!P3</f>
        <v>0.7</v>
      </c>
      <c r="Z19" s="33">
        <f>Projections!Q3</f>
        <v>0.7</v>
      </c>
      <c r="AA19" s="33">
        <f>Projections!R3</f>
        <v>0.9</v>
      </c>
      <c r="AB19" s="33">
        <f>Projections!S3</f>
        <v>0.8</v>
      </c>
      <c r="AC19" s="33">
        <f>Projections!T3</f>
        <v>0.25</v>
      </c>
    </row>
    <row r="20">
      <c r="A20" s="118" t="str">
        <f>IF(Update!B18="",ROW(Update!B18),Update!B18)</f>
        <v>Jaren Jackson Jr.</v>
      </c>
      <c r="B20" s="119">
        <f>IF(TYPE($A20)=1,"",(Update!$L18-B$1)/B$2)</f>
        <v>0.3949134767</v>
      </c>
      <c r="C20" s="119">
        <f>IF(TYPE($A20)=1,"",(Update!$K18-C$1)/C$2)</f>
        <v>0.05331236246</v>
      </c>
      <c r="D20" s="119">
        <f>IF(TYPE($A20)=1,"",(Update!$M18-D$1)/D$2)</f>
        <v>0.4201050825</v>
      </c>
      <c r="E20" s="119">
        <f>IF(TYPE($A20)=1,"",(Update!$N18-E$1)/E$2)</f>
        <v>-1.225913687</v>
      </c>
      <c r="F20" s="119">
        <f>IF(TYPE($A20)=1,"",(Update!$O18-F$1)/F$2)</f>
        <v>0.01661332578</v>
      </c>
      <c r="G20" s="119">
        <f>IF(TYPE($A20)=1,"",(Update!$P18-G$1)/G$2)</f>
        <v>3.561785823</v>
      </c>
      <c r="H20" s="119">
        <f>IF(TYPE($A20)=1,"",(Update!$H18-H$1)/H$2*I20/$I$1)</f>
        <v>-0.2678874529</v>
      </c>
      <c r="I20" s="119">
        <f>IF(TYPE($A20)=1,"",IF(Update!H18=0,0,Update!G18/Update!H18))</f>
        <v>14.6</v>
      </c>
      <c r="J20" s="120">
        <f>IF(TYPE($A20)=1,"",(Update!$J18-J$1)/J$2*K20/$K$1)</f>
        <v>0.1587641299</v>
      </c>
      <c r="K20" s="121">
        <f>IF(TYPE($A20)=1,"",IF(Update!J18=0,0,Update!I18/Update!J18))</f>
        <v>5</v>
      </c>
      <c r="L20" s="119">
        <f>IF(TYPE($A20)=1,"",-(Update!$Q18-L$1)/L$2)</f>
        <v>-0.006623200995</v>
      </c>
      <c r="M20" t="s">
        <v>38</v>
      </c>
      <c r="N20" s="125" t="s">
        <v>54</v>
      </c>
      <c r="O20" s="125" t="s">
        <v>56</v>
      </c>
      <c r="P20" s="129" t="s">
        <v>57</v>
      </c>
      <c r="Q20" s="125" t="s">
        <v>58</v>
      </c>
      <c r="R20" s="116" t="s">
        <v>59</v>
      </c>
      <c r="S20" s="125" t="s">
        <v>48</v>
      </c>
      <c r="T20" s="129" t="s">
        <v>60</v>
      </c>
      <c r="U20" s="116" t="s">
        <v>34</v>
      </c>
      <c r="V20" s="116" t="s">
        <v>35</v>
      </c>
      <c r="W20" s="116" t="s">
        <v>36</v>
      </c>
      <c r="X20" s="116" t="s">
        <v>37</v>
      </c>
      <c r="Y20" s="116" t="s">
        <v>38</v>
      </c>
      <c r="Z20" s="116" t="s">
        <v>61</v>
      </c>
      <c r="AA20" s="116" t="s">
        <v>40</v>
      </c>
      <c r="AB20" s="116" t="s">
        <v>41</v>
      </c>
      <c r="AC20" s="129" t="s">
        <v>42</v>
      </c>
      <c r="AD20" s="115" t="s">
        <v>62</v>
      </c>
      <c r="AE20" s="115" t="s">
        <v>63</v>
      </c>
      <c r="AF20" s="115" t="s">
        <v>64</v>
      </c>
      <c r="AG20" s="115" t="s">
        <v>65</v>
      </c>
      <c r="AH20" s="115" t="s">
        <v>66</v>
      </c>
      <c r="AI20" s="115" t="s">
        <v>67</v>
      </c>
      <c r="AJ20" s="115" t="s">
        <v>68</v>
      </c>
      <c r="AK20" s="115" t="s">
        <v>69</v>
      </c>
      <c r="AL20" s="115" t="s">
        <v>70</v>
      </c>
      <c r="AM20" s="116" t="s">
        <v>409</v>
      </c>
      <c r="AN20" s="116" t="s">
        <v>410</v>
      </c>
    </row>
    <row r="21">
      <c r="A21" s="118" t="str">
        <f>IF(Update!B19="",ROW(Update!B19),Update!B19)</f>
        <v>James Harden</v>
      </c>
      <c r="B21" s="119">
        <f>IF(TYPE($A21)=1,"",(Update!$L19-B$1)/B$2)</f>
        <v>0.4623240275</v>
      </c>
      <c r="C21" s="119">
        <f>IF(TYPE($A21)=1,"",(Update!$K19-C$1)/C$2)</f>
        <v>0.7277458634</v>
      </c>
      <c r="D21" s="119">
        <f>IF(TYPE($A21)=1,"",(Update!$M19-D$1)/D$2)</f>
        <v>-0.2071254654</v>
      </c>
      <c r="E21" s="119">
        <f>IF(TYPE($A21)=1,"",(Update!$N19-E$1)/E$2)</f>
        <v>2.900649027</v>
      </c>
      <c r="F21" s="119">
        <f>IF(TYPE($A21)=1,"",(Update!$O19-F$1)/F$2)</f>
        <v>0.3281131841</v>
      </c>
      <c r="G21" s="119">
        <f>IF(TYPE($A21)=1,"",(Update!$P19-G$1)/G$2)</f>
        <v>-0.3776893674</v>
      </c>
      <c r="H21" s="119">
        <f>IF(TYPE($A21)=1,"",(Update!$H19-H$1)/H$2*I21/$I$1)</f>
        <v>-1.048347821</v>
      </c>
      <c r="I21" s="119">
        <f>IF(TYPE($A21)=1,"",IF(Update!H19=0,0,Update!G19/Update!H19))</f>
        <v>13.8</v>
      </c>
      <c r="J21" s="120">
        <f>IF(TYPE($A21)=1,"",(Update!$J19-J$1)/J$2*K21/$K$1)</f>
        <v>1.647234303</v>
      </c>
      <c r="K21" s="121">
        <f>IF(TYPE($A21)=1,"",IF(Update!J19=0,0,Update!I19/Update!J19))</f>
        <v>6.8</v>
      </c>
      <c r="L21" s="119">
        <f>IF(TYPE($A21)=1,"",-(Update!$Q19-L$1)/L$2)</f>
        <v>-2.241953537</v>
      </c>
      <c r="M21" t="s">
        <v>61</v>
      </c>
      <c r="N21" s="124">
        <v>1.0</v>
      </c>
      <c r="O21" s="130" t="str">
        <f>IF(Update!B2="",ROW(Update!B2),Update!B2)</f>
        <v>Nikola Jokic</v>
      </c>
      <c r="P21" s="131">
        <f>Update!E2</f>
        <v>72</v>
      </c>
      <c r="Q21" s="131" t="str">
        <f>IF(Update!C2="",ROW(Update!N17),Update!C2)</f>
        <v>C</v>
      </c>
      <c r="R21" s="127">
        <f>VLOOKUP($O21,'NO USAR1'!$A$4:$L$403,2,False)+VLOOKUP($O21,'NO USAR1'!$A$4:$L$403,3,False)+VLOOKUP($O21,'NO USAR1'!$A$4:$L$403,4,False)+VLOOKUP($O21,'NO USAR1'!$A$4:$L$403,5,False)+VLOOKUP($O21,'NO USAR1'!$A$4:$L$403,6,False)+VLOOKUP($O21,'NO USAR1'!$A$4:$L$403,7,False)+VLOOKUP($O21,'NO USAR1'!$A$4:$L$403,8,False)+VLOOKUP($O21,'NO USAR1'!$A$4:$L$403,10,False)+VLOOKUP($O21,'NO USAR1'!$A$4:$L$403,12,False)*0</f>
        <v>9.549248455</v>
      </c>
      <c r="S21" s="127">
        <f>VLOOKUP($O21,'NO USAR1'!$A$4:$L$403,2,False)*$U$19+VLOOKUP($O21,'NO USAR1'!$A$4:$L$403,3,False)*$V$19+VLOOKUP($O21,'NO USAR1'!$A$4:$L$403,4,False)*$W$19+VLOOKUP($O21,'NO USAR1'!$A$4:$L$403,5,False)*$X$19+VLOOKUP($O21,'NO USAR1'!$A$4:$L$403,6,False)*$Y$19+VLOOKUP($O21,'NO USAR1'!$A$4:$L$403,7,False)*$Z$19+VLOOKUP($O21,'NO USAR1'!$A$4:$L$403,8,False)*$AA$19+VLOOKUP($O21,'NO USAR1'!$A$4:$L$403,10,False)*$AB$19+VLOOKUP($O21,'NO USAR1'!$A$4:$L$403,12,False)*$AC$19+IF(Projections!$K$3,-AN21, IF(Projections!$J$3,-AM21,0))</f>
        <v>9.214627914</v>
      </c>
      <c r="T21" s="127">
        <f t="shared" ref="T21:T420" si="1">S21-R21</f>
        <v>-0.3346205408</v>
      </c>
      <c r="U21" s="127">
        <f>VLOOKUP($O21,Update!$B$2:$R$401,11,False)</f>
        <v>24.5</v>
      </c>
      <c r="V21" s="122">
        <f>VLOOKUP($O21,Update!$B$2:$R$401,10,False)</f>
        <v>1</v>
      </c>
      <c r="W21" s="127">
        <f>VLOOKUP($O21,Update!$B$2:$R$401,12,False)</f>
        <v>11.7</v>
      </c>
      <c r="X21" s="127">
        <f>VLOOKUP($O21,Update!$B$2:$R$401,13,False)</f>
        <v>9.7</v>
      </c>
      <c r="Y21" s="127">
        <f>VLOOKUP($O21,Update!$B$2:$R$401,14,False)</f>
        <v>1.4</v>
      </c>
      <c r="Z21" s="132">
        <f>VLOOKUP($O21,Update!$B$2:$R$401,15,False)</f>
        <v>0.7</v>
      </c>
      <c r="AA21" s="127">
        <f>100*VLOOKUP($O21,Update!$B$2:$R$401,7,False)</f>
        <v>62.16216216</v>
      </c>
      <c r="AB21" s="127">
        <f>100*VLOOKUP($O21,Update!$B$2:$R$401,9,False)</f>
        <v>81.96721311</v>
      </c>
      <c r="AC21" s="127">
        <f>VLOOKUP($O21,Update!$B$2:$Q$401,16,False)</f>
        <v>3.7</v>
      </c>
      <c r="AD21" s="127">
        <f>VLOOKUP($O21,'NO USAR1'!$A$4:$L$403,2,False)*$U$19</f>
        <v>1.220692724</v>
      </c>
      <c r="AE21" s="127">
        <f>VLOOKUP($O21,'NO USAR1'!$A$4:$L$403,3,False)*$V$19</f>
        <v>-0.5590090247</v>
      </c>
      <c r="AF21" s="127">
        <f>VLOOKUP($O21,'NO USAR1'!$A$4:$L$403,4,False)*$W$19</f>
        <v>2.343612096</v>
      </c>
      <c r="AG21" s="127">
        <f>VLOOKUP($O21,'NO USAR1'!$A$4:$L$403,5,False)*$X$19</f>
        <v>2.986704088</v>
      </c>
      <c r="AH21" s="127">
        <f>VLOOKUP($O21,'NO USAR1'!$A$4:$L$403,6,False)*$Y$19</f>
        <v>0.8838289312</v>
      </c>
      <c r="AI21" s="127">
        <f>VLOOKUP($O21,'NO USAR1'!$A$4:$L$403,7,False)*$Z$19</f>
        <v>-0.001750877862</v>
      </c>
      <c r="AJ21" s="127">
        <f>VLOOKUP($O21,'NO USAR1'!$A$4:$L$403,8,False)*$AA$19</f>
        <v>1.857320057</v>
      </c>
      <c r="AK21" s="132">
        <f>VLOOKUP($O21,'NO USAR1'!$A$4:$L$403,10,False)*$AB$19</f>
        <v>0.4536630262</v>
      </c>
      <c r="AL21" s="127">
        <f>VLOOKUP($O21,'NO USAR1'!$A$4:$L$403,12,False)*$AC$19</f>
        <v>-0.5294421295</v>
      </c>
      <c r="AM21" s="133">
        <f t="shared" ref="AM21:AM420" si="2">MIN(AD21:AL21)</f>
        <v>-0.5590090247</v>
      </c>
      <c r="AN21" s="133">
        <f t="shared" ref="AN21:AN420" si="3">small(AD21:AL21,2)+AM21</f>
        <v>-1.088451154</v>
      </c>
    </row>
    <row r="22">
      <c r="A22" s="118" t="str">
        <f>IF(Update!B20="",ROW(Update!B20),Update!B20)</f>
        <v>Jimmy Butler</v>
      </c>
      <c r="B22" s="119">
        <f>IF(TYPE($A22)=1,"",(Update!$L20-B$1)/B$2)</f>
        <v>0.6814083175</v>
      </c>
      <c r="C22" s="119">
        <f>IF(TYPE($A22)=1,"",(Update!$K20-C$1)/C$2)</f>
        <v>-1.102859353</v>
      </c>
      <c r="D22" s="119">
        <f>IF(TYPE($A22)=1,"",(Update!$M20-D$1)/D$2)</f>
        <v>-0.1653100955</v>
      </c>
      <c r="E22" s="119">
        <f>IF(TYPE($A22)=1,"",(Update!$N20-E$1)/E$2)</f>
        <v>0.5359894941</v>
      </c>
      <c r="F22" s="119">
        <f>IF(TYPE($A22)=1,"",(Update!$O20-F$1)/F$2)</f>
        <v>1.885612475</v>
      </c>
      <c r="G22" s="119">
        <f>IF(TYPE($A22)=1,"",(Update!$P20-G$1)/G$2)</f>
        <v>-0.5652834241</v>
      </c>
      <c r="H22" s="119">
        <f>IF(TYPE($A22)=1,"",(Update!$H20-H$1)/H$2*I22/$I$1)</f>
        <v>0.2825808814</v>
      </c>
      <c r="I22" s="119">
        <f>IF(TYPE($A22)=1,"",IF(Update!H20=0,0,Update!G20/Update!H20))</f>
        <v>13.6</v>
      </c>
      <c r="J22" s="120">
        <f>IF(TYPE($A22)=1,"",(Update!$J20-J$1)/J$2*K22/$K$1)</f>
        <v>1.809799876</v>
      </c>
      <c r="K22" s="121">
        <f>IF(TYPE($A22)=1,"",IF(Update!J20=0,0,Update!I20/Update!J20))</f>
        <v>8</v>
      </c>
      <c r="L22" s="119">
        <f>IF(TYPE($A22)=1,"",-(Update!$Q20-L$1)/L$2)</f>
        <v>0.2417468363</v>
      </c>
      <c r="M22" t="s">
        <v>40</v>
      </c>
      <c r="N22" s="33">
        <v>2.0</v>
      </c>
      <c r="O22" s="130" t="str">
        <f>IF(Update!B3="",ROW(Update!B3),Update!B3)</f>
        <v>Joel Embiid</v>
      </c>
      <c r="P22" s="131">
        <f>Update!E3</f>
        <v>67</v>
      </c>
      <c r="Q22" s="131" t="str">
        <f>IF(Update!C3="",ROW(Update!N18),Update!C3)</f>
        <v>C</v>
      </c>
      <c r="R22" s="127">
        <f>VLOOKUP($O22,'NO USAR1'!$A$4:$L$403,2,False)+VLOOKUP($O22,'NO USAR1'!$A$4:$L$403,3,False)+VLOOKUP($O22,'NO USAR1'!$A$4:$L$403,4,False)+VLOOKUP($O22,'NO USAR1'!$A$4:$L$403,5,False)+VLOOKUP($O22,'NO USAR1'!$A$4:$L$403,6,False)+VLOOKUP($O22,'NO USAR1'!$A$4:$L$403,7,False)+VLOOKUP($O22,'NO USAR1'!$A$4:$L$403,8,False)+VLOOKUP($O22,'NO USAR1'!$A$4:$L$403,10,False)+VLOOKUP($O22,'NO USAR1'!$A$4:$L$403,12,False)*0</f>
        <v>8.58999604</v>
      </c>
      <c r="S22" s="127">
        <f>VLOOKUP($O22,'NO USAR1'!$A$4:$L$403,2,False)*$U$19+VLOOKUP($O22,'NO USAR1'!$A$4:$L$403,3,False)*$V$19+VLOOKUP($O22,'NO USAR1'!$A$4:$L$403,4,False)*$W$19+VLOOKUP($O22,'NO USAR1'!$A$4:$L$403,5,False)*$X$19+VLOOKUP($O22,'NO USAR1'!$A$4:$L$403,6,False)*$Y$19+VLOOKUP($O22,'NO USAR1'!$A$4:$L$403,7,False)*$Z$19+VLOOKUP($O22,'NO USAR1'!$A$4:$L$403,8,False)*$AA$19+VLOOKUP($O22,'NO USAR1'!$A$4:$L$403,10,False)*$AB$19+VLOOKUP($O22,'NO USAR1'!$A$4:$L$403,12,False)*$AC$19+IF(Projections!$K$3,-AN22, IF(Projections!$J$3,-AM22,0))</f>
        <v>7.635406107</v>
      </c>
      <c r="T22" s="127">
        <f t="shared" si="1"/>
        <v>-0.954589933</v>
      </c>
      <c r="U22" s="127">
        <f>VLOOKUP($O22,Update!$B$2:$R$401,11,False)</f>
        <v>32.6</v>
      </c>
      <c r="V22" s="122">
        <f>VLOOKUP($O22,Update!$B$2:$R$401,10,False)</f>
        <v>1.2</v>
      </c>
      <c r="W22" s="127">
        <f>VLOOKUP($O22,Update!$B$2:$R$401,12,False)</f>
        <v>10.2</v>
      </c>
      <c r="X22" s="127">
        <f>VLOOKUP($O22,Update!$B$2:$R$401,13,False)</f>
        <v>4.2</v>
      </c>
      <c r="Y22" s="127">
        <f>VLOOKUP($O22,Update!$B$2:$R$401,14,False)</f>
        <v>1.1</v>
      </c>
      <c r="Z22" s="132">
        <f>VLOOKUP($O22,Update!$B$2:$R$401,15,False)</f>
        <v>1.6</v>
      </c>
      <c r="AA22" s="127">
        <f>100*VLOOKUP($O22,Update!$B$2:$R$401,7,False)</f>
        <v>54</v>
      </c>
      <c r="AB22" s="127">
        <f>100*VLOOKUP($O22,Update!$B$2:$R$401,9,False)</f>
        <v>83.19327731</v>
      </c>
      <c r="AC22" s="127">
        <f>VLOOKUP($O22,Update!$B$2:$Q$401,16,False)</f>
        <v>3.3</v>
      </c>
      <c r="AD22" s="127">
        <f>VLOOKUP($O22,'NO USAR1'!$A$4:$L$403,2,False)*$U$19</f>
        <v>2.585756377</v>
      </c>
      <c r="AE22" s="127">
        <f>VLOOKUP($O22,'NO USAR1'!$A$4:$L$403,3,False)*$V$19</f>
        <v>-0.3855832673</v>
      </c>
      <c r="AF22" s="127">
        <f>VLOOKUP($O22,'NO USAR1'!$A$4:$L$403,4,False)*$W$19</f>
        <v>1.716381548</v>
      </c>
      <c r="AG22" s="127">
        <f>VLOOKUP($O22,'NO USAR1'!$A$4:$L$403,5,False)*$X$19</f>
        <v>0.1815687594</v>
      </c>
      <c r="AH22" s="127">
        <f>VLOOKUP($O22,'NO USAR1'!$A$4:$L$403,6,False)*$Y$19</f>
        <v>0.2296792288</v>
      </c>
      <c r="AI22" s="127">
        <f>VLOOKUP($O22,'NO USAR1'!$A$4:$L$403,7,False)*$Z$19</f>
        <v>1.180091679</v>
      </c>
      <c r="AJ22" s="127">
        <f>VLOOKUP($O22,'NO USAR1'!$A$4:$L$403,8,False)*$AA$19</f>
        <v>0.879312299</v>
      </c>
      <c r="AK22" s="132">
        <f>VLOOKUP($O22,'NO USAR1'!$A$4:$L$403,10,False)*$AB$19</f>
        <v>1.248199482</v>
      </c>
      <c r="AL22" s="127">
        <f>VLOOKUP($O22,'NO USAR1'!$A$4:$L$403,12,False)*$AC$19</f>
        <v>-0.4052571109</v>
      </c>
      <c r="AM22" s="133">
        <f t="shared" si="2"/>
        <v>-0.4052571109</v>
      </c>
      <c r="AN22" s="133">
        <f t="shared" si="3"/>
        <v>-0.7908403782</v>
      </c>
    </row>
    <row r="23">
      <c r="A23" s="118" t="str">
        <f>IF(Update!B21="",ROW(Update!B21),Update!B21)</f>
        <v>Kawhi Leonard</v>
      </c>
      <c r="B23" s="119">
        <f>IF(TYPE($A23)=1,"",(Update!$L21-B$1)/B$2)</f>
        <v>1.001608434</v>
      </c>
      <c r="C23" s="119">
        <f>IF(TYPE($A23)=1,"",(Update!$K21-C$1)/C$2)</f>
        <v>0.2460076484</v>
      </c>
      <c r="D23" s="119">
        <f>IF(TYPE($A23)=1,"",(Update!$M21-D$1)/D$2)</f>
        <v>0.04376675378</v>
      </c>
      <c r="E23" s="119">
        <f>IF(TYPE($A23)=1,"",(Update!$N21-E$1)/E$2)</f>
        <v>-0.0667668574</v>
      </c>
      <c r="F23" s="119">
        <f>IF(TYPE($A23)=1,"",(Update!$O21-F$1)/F$2)</f>
        <v>0.9511129006</v>
      </c>
      <c r="G23" s="119">
        <f>IF(TYPE($A23)=1,"",(Update!$P21-G$1)/G$2)</f>
        <v>-0.3776893674</v>
      </c>
      <c r="H23" s="119">
        <f>IF(TYPE($A23)=1,"",(Update!$H21-H$1)/H$2*I23/$I$1)</f>
        <v>0.1299190906</v>
      </c>
      <c r="I23" s="119">
        <f>IF(TYPE($A23)=1,"",IF(Update!H21=0,0,Update!G21/Update!H21))</f>
        <v>16.7</v>
      </c>
      <c r="J23" s="120">
        <f>IF(TYPE($A23)=1,"",(Update!$J21-J$1)/J$2*K23/$K$1)</f>
        <v>1.157636864</v>
      </c>
      <c r="K23" s="121">
        <f>IF(TYPE($A23)=1,"",IF(Update!J21=0,0,Update!I21/Update!J21))</f>
        <v>5.1</v>
      </c>
      <c r="L23" s="119">
        <f>IF(TYPE($A23)=1,"",-(Update!$Q21-L$1)/L$2)</f>
        <v>0.365931855</v>
      </c>
      <c r="M23" t="s">
        <v>41</v>
      </c>
      <c r="N23" s="124">
        <v>3.0</v>
      </c>
      <c r="O23" s="130" t="str">
        <f>IF(Update!B7="",ROW(Update!B7),Update!B7)</f>
        <v>Luka Doncic</v>
      </c>
      <c r="P23" s="131">
        <f>Update!E7</f>
        <v>66</v>
      </c>
      <c r="Q23" s="131" t="str">
        <f>IF(Update!C7="",ROW(Update!N22),Update!C7)</f>
        <v>PG</v>
      </c>
      <c r="R23" s="127">
        <f>VLOOKUP($O23,'NO USAR1'!$A$4:$L$403,2,False)+VLOOKUP($O23,'NO USAR1'!$A$4:$L$403,3,False)+VLOOKUP($O23,'NO USAR1'!$A$4:$L$403,4,False)+VLOOKUP($O23,'NO USAR1'!$A$4:$L$403,5,False)+VLOOKUP($O23,'NO USAR1'!$A$4:$L$403,6,False)+VLOOKUP($O23,'NO USAR1'!$A$4:$L$403,7,False)+VLOOKUP($O23,'NO USAR1'!$A$4:$L$403,8,False)+VLOOKUP($O23,'NO USAR1'!$A$4:$L$403,10,False)+VLOOKUP($O23,'NO USAR1'!$A$4:$L$403,12,False)*0</f>
        <v>6.667741064</v>
      </c>
      <c r="S23" s="127">
        <f>VLOOKUP($O23,'NO USAR1'!$A$4:$L$403,2,False)*$U$19+VLOOKUP($O23,'NO USAR1'!$A$4:$L$403,3,False)*$V$19+VLOOKUP($O23,'NO USAR1'!$A$4:$L$403,4,False)*$W$19+VLOOKUP($O23,'NO USAR1'!$A$4:$L$403,5,False)*$X$19+VLOOKUP($O23,'NO USAR1'!$A$4:$L$403,6,False)*$Y$19+VLOOKUP($O23,'NO USAR1'!$A$4:$L$403,7,False)*$Z$19+VLOOKUP($O23,'NO USAR1'!$A$4:$L$403,8,False)*$AA$19+VLOOKUP($O23,'NO USAR1'!$A$4:$L$403,10,False)*$AB$19+VLOOKUP($O23,'NO USAR1'!$A$4:$L$403,12,False)*$AC$19+IF(Projections!$K$3,-AN23, IF(Projections!$J$3,-AM23,0))</f>
        <v>6.872562955</v>
      </c>
      <c r="T23" s="127">
        <f t="shared" si="1"/>
        <v>0.2048218903</v>
      </c>
      <c r="U23" s="127">
        <f>VLOOKUP($O23,Update!$B$2:$R$401,11,False)</f>
        <v>32.7</v>
      </c>
      <c r="V23" s="122">
        <f>VLOOKUP($O23,Update!$B$2:$R$401,10,False)</f>
        <v>3</v>
      </c>
      <c r="W23" s="127">
        <f>VLOOKUP($O23,Update!$B$2:$R$401,12,False)</f>
        <v>8.8</v>
      </c>
      <c r="X23" s="127">
        <f>VLOOKUP($O23,Update!$B$2:$R$401,13,False)</f>
        <v>8.1</v>
      </c>
      <c r="Y23" s="127">
        <f>VLOOKUP($O23,Update!$B$2:$R$401,14,False)</f>
        <v>1.3</v>
      </c>
      <c r="Z23" s="132">
        <f>VLOOKUP($O23,Update!$B$2:$R$401,15,False)</f>
        <v>0.5</v>
      </c>
      <c r="AA23" s="127">
        <f>100*VLOOKUP($O23,Update!$B$2:$R$401,7,False)</f>
        <v>49.10714286</v>
      </c>
      <c r="AB23" s="127">
        <f>100*VLOOKUP($O23,Update!$B$2:$R$401,9,False)</f>
        <v>76.47058824</v>
      </c>
      <c r="AC23" s="127">
        <f>VLOOKUP($O23,Update!$B$2:$Q$401,16,False)</f>
        <v>3.6</v>
      </c>
      <c r="AD23" s="127">
        <f>VLOOKUP($O23,'NO USAR1'!$A$4:$L$403,2,False)*$U$19</f>
        <v>2.602609015</v>
      </c>
      <c r="AE23" s="127">
        <f>VLOOKUP($O23,'NO USAR1'!$A$4:$L$403,3,False)*$V$19</f>
        <v>1.175248549</v>
      </c>
      <c r="AF23" s="127">
        <f>VLOOKUP($O23,'NO USAR1'!$A$4:$L$403,4,False)*$W$19</f>
        <v>1.13096637</v>
      </c>
      <c r="AG23" s="127">
        <f>VLOOKUP($O23,'NO USAR1'!$A$4:$L$403,5,False)*$X$19</f>
        <v>2.170664719</v>
      </c>
      <c r="AH23" s="127">
        <f>VLOOKUP($O23,'NO USAR1'!$A$4:$L$403,6,False)*$Y$19</f>
        <v>0.6657790304</v>
      </c>
      <c r="AI23" s="127">
        <f>VLOOKUP($O23,'NO USAR1'!$A$4:$L$403,7,False)*$Z$19</f>
        <v>-0.2643825572</v>
      </c>
      <c r="AJ23" s="127">
        <f>VLOOKUP($O23,'NO USAR1'!$A$4:$L$403,8,False)*$AA$19</f>
        <v>-0.1099262972</v>
      </c>
      <c r="AK23" s="132">
        <f>VLOOKUP($O23,'NO USAR1'!$A$4:$L$403,10,False)*$AB$19</f>
        <v>-0.6370246463</v>
      </c>
      <c r="AL23" s="127">
        <f>VLOOKUP($O23,'NO USAR1'!$A$4:$L$403,12,False)*$AC$19</f>
        <v>-0.4983958749</v>
      </c>
      <c r="AM23" s="133">
        <f t="shared" si="2"/>
        <v>-0.6370246463</v>
      </c>
      <c r="AN23" s="133">
        <f t="shared" si="3"/>
        <v>-1.135420521</v>
      </c>
    </row>
    <row r="24">
      <c r="A24" s="118" t="str">
        <f>IF(Update!B22="",ROW(Update!B22),Update!B22)</f>
        <v>Giannis Antetokounmpo</v>
      </c>
      <c r="B24" s="119">
        <f>IF(TYPE($A24)=1,"",(Update!$L22-B$1)/B$2)</f>
        <v>1.861092956</v>
      </c>
      <c r="C24" s="119">
        <f>IF(TYPE($A24)=1,"",(Update!$K22-C$1)/C$2)</f>
        <v>-0.7174687815</v>
      </c>
      <c r="D24" s="119">
        <f>IF(TYPE($A24)=1,"",(Update!$M22-D$1)/D$2)</f>
        <v>2.301796726</v>
      </c>
      <c r="E24" s="119">
        <f>IF(TYPE($A24)=1,"",(Update!$N22-E$1)/E$2)</f>
        <v>0.8605506064</v>
      </c>
      <c r="F24" s="119">
        <f>IF(TYPE($A24)=1,"",(Update!$O22-F$1)/F$2)</f>
        <v>0.3281131841</v>
      </c>
      <c r="G24" s="119">
        <f>IF(TYPE($A24)=1,"",(Update!$P22-G$1)/G$2)</f>
        <v>0.5602809159</v>
      </c>
      <c r="H24" s="119">
        <f>IF(TYPE($A24)=1,"",(Update!$H22-H$1)/H$2*I24/$I$1)</f>
        <v>1.352536799</v>
      </c>
      <c r="I24" s="119">
        <f>IF(TYPE($A24)=1,"",IF(Update!H22=0,0,Update!G22/Update!H22))</f>
        <v>17.1</v>
      </c>
      <c r="J24" s="120">
        <f>IF(TYPE($A24)=1,"",(Update!$J22-J$1)/J$2*K24/$K$1)</f>
        <v>-4.105955185</v>
      </c>
      <c r="K24" s="121">
        <f>IF(TYPE($A24)=1,"",IF(Update!J22=0,0,Update!I22/Update!J22))</f>
        <v>11.8</v>
      </c>
      <c r="L24" s="119">
        <f>IF(TYPE($A24)=1,"",-(Update!$Q22-L$1)/L$2)</f>
        <v>-1.9935835</v>
      </c>
      <c r="M24" t="s">
        <v>42</v>
      </c>
      <c r="N24" s="124">
        <v>4.0</v>
      </c>
      <c r="O24" s="130" t="str">
        <f>IF(Update!B4="",ROW(Update!B4),Update!B4)</f>
        <v>Shai Gilgeous-Alexander</v>
      </c>
      <c r="P24" s="131">
        <f>Update!E4</f>
        <v>67</v>
      </c>
      <c r="Q24" s="131" t="str">
        <f>IF(Update!C4="",ROW(Update!N19),Update!C4)</f>
        <v>PG,SG</v>
      </c>
      <c r="R24" s="127">
        <f>VLOOKUP($O24,'NO USAR1'!$A$4:$L$403,2,False)+VLOOKUP($O24,'NO USAR1'!$A$4:$L$403,3,False)+VLOOKUP($O24,'NO USAR1'!$A$4:$L$403,4,False)+VLOOKUP($O24,'NO USAR1'!$A$4:$L$403,5,False)+VLOOKUP($O24,'NO USAR1'!$A$4:$L$403,6,False)+VLOOKUP($O24,'NO USAR1'!$A$4:$L$403,7,False)+VLOOKUP($O24,'NO USAR1'!$A$4:$L$403,8,False)+VLOOKUP($O24,'NO USAR1'!$A$4:$L$403,10,False)+VLOOKUP($O24,'NO USAR1'!$A$4:$L$403,12,False)*0</f>
        <v>6.586598644</v>
      </c>
      <c r="S24" s="127">
        <f>VLOOKUP($O24,'NO USAR1'!$A$4:$L$403,2,False)*$U$19+VLOOKUP($O24,'NO USAR1'!$A$4:$L$403,3,False)*$V$19+VLOOKUP($O24,'NO USAR1'!$A$4:$L$403,4,False)*$W$19+VLOOKUP($O24,'NO USAR1'!$A$4:$L$403,5,False)*$X$19+VLOOKUP($O24,'NO USAR1'!$A$4:$L$403,6,False)*$Y$19+VLOOKUP($O24,'NO USAR1'!$A$4:$L$403,7,False)*$Z$19+VLOOKUP($O24,'NO USAR1'!$A$4:$L$403,8,False)*$AA$19+VLOOKUP($O24,'NO USAR1'!$A$4:$L$403,10,False)*$AB$19+VLOOKUP($O24,'NO USAR1'!$A$4:$L$403,12,False)*$AC$19+IF(Projections!$K$3,-AN24, IF(Projections!$J$3,-AM24,0))</f>
        <v>5.834728982</v>
      </c>
      <c r="T24" s="127">
        <f t="shared" si="1"/>
        <v>-0.7518696626</v>
      </c>
      <c r="U24" s="127">
        <f>VLOOKUP($O24,Update!$B$2:$R$401,11,False)</f>
        <v>29.6</v>
      </c>
      <c r="V24" s="122">
        <f>VLOOKUP($O24,Update!$B$2:$R$401,10,False)</f>
        <v>1</v>
      </c>
      <c r="W24" s="127">
        <f>VLOOKUP($O24,Update!$B$2:$R$401,12,False)</f>
        <v>5</v>
      </c>
      <c r="X24" s="127">
        <f>VLOOKUP($O24,Update!$B$2:$R$401,13,False)</f>
        <v>5.6</v>
      </c>
      <c r="Y24" s="127">
        <f>VLOOKUP($O24,Update!$B$2:$R$401,14,False)</f>
        <v>1.5</v>
      </c>
      <c r="Z24" s="132">
        <f>VLOOKUP($O24,Update!$B$2:$R$401,15,False)</f>
        <v>0.9</v>
      </c>
      <c r="AA24" s="127">
        <f>100*VLOOKUP($O24,Update!$B$2:$R$401,7,False)</f>
        <v>48.5</v>
      </c>
      <c r="AB24" s="127">
        <f>100*VLOOKUP($O24,Update!$B$2:$R$401,9,False)</f>
        <v>88.46153846</v>
      </c>
      <c r="AC24" s="127">
        <f>VLOOKUP($O24,Update!$B$2:$Q$401,16,False)</f>
        <v>2.9</v>
      </c>
      <c r="AD24" s="127">
        <f>VLOOKUP($O24,'NO USAR1'!$A$4:$L$403,2,False)*$U$19</f>
        <v>2.080177246</v>
      </c>
      <c r="AE24" s="127">
        <f>VLOOKUP($O24,'NO USAR1'!$A$4:$L$403,3,False)*$V$19</f>
        <v>-0.5590090247</v>
      </c>
      <c r="AF24" s="127">
        <f>VLOOKUP($O24,'NO USAR1'!$A$4:$L$403,4,False)*$W$19</f>
        <v>-0.4580176845</v>
      </c>
      <c r="AG24" s="127">
        <f>VLOOKUP($O24,'NO USAR1'!$A$4:$L$403,5,False)*$X$19</f>
        <v>0.8956032066</v>
      </c>
      <c r="AH24" s="127">
        <f>VLOOKUP($O24,'NO USAR1'!$A$4:$L$403,6,False)*$Y$19</f>
        <v>1.101878832</v>
      </c>
      <c r="AI24" s="127">
        <f>VLOOKUP($O24,'NO USAR1'!$A$4:$L$403,7,False)*$Z$19</f>
        <v>0.2608808015</v>
      </c>
      <c r="AJ24" s="127">
        <f>VLOOKUP($O24,'NO USAR1'!$A$4:$L$403,8,False)*$AA$19</f>
        <v>-0.2194392332</v>
      </c>
      <c r="AK24" s="132">
        <f>VLOOKUP($O24,'NO USAR1'!$A$4:$L$403,10,False)*$AB$19</f>
        <v>2.454717905</v>
      </c>
      <c r="AL24" s="127">
        <f>VLOOKUP($O24,'NO USAR1'!$A$4:$L$403,12,False)*$AC$19</f>
        <v>-0.2810720922</v>
      </c>
      <c r="AM24" s="133">
        <f t="shared" si="2"/>
        <v>-0.5590090247</v>
      </c>
      <c r="AN24" s="133">
        <f t="shared" si="3"/>
        <v>-1.017026709</v>
      </c>
    </row>
    <row r="25">
      <c r="A25" s="118" t="str">
        <f>IF(Update!B23="",ROW(Update!B23),Update!B23)</f>
        <v>Karl-Anthony Towns</v>
      </c>
      <c r="B25" s="119">
        <f>IF(TYPE($A25)=1,"",(Update!$L23-B$1)/B$2)</f>
        <v>0.6982609552</v>
      </c>
      <c r="C25" s="119">
        <f>IF(TYPE($A25)=1,"",(Update!$K23-C$1)/C$2)</f>
        <v>0.4387029344</v>
      </c>
      <c r="D25" s="119">
        <f>IF(TYPE($A25)=1,"",(Update!$M23-D$1)/D$2)</f>
        <v>1.00552026</v>
      </c>
      <c r="E25" s="119">
        <f>IF(TYPE($A25)=1,"",(Update!$N23-E$1)/E$2)</f>
        <v>0.3505260013</v>
      </c>
      <c r="F25" s="119">
        <f>IF(TYPE($A25)=1,"",(Update!$O23-F$1)/F$2)</f>
        <v>-0.9178862491</v>
      </c>
      <c r="G25" s="119">
        <f>IF(TYPE($A25)=1,"",(Update!$P23-G$1)/G$2)</f>
        <v>-0.002501254089</v>
      </c>
      <c r="H25" s="119">
        <f>IF(TYPE($A25)=1,"",(Update!$H23-H$1)/H$2*I25/$I$1)</f>
        <v>0.06685022966</v>
      </c>
      <c r="I25" s="119">
        <f>IF(TYPE($A25)=1,"",IF(Update!H23=0,0,Update!G23/Update!H23))</f>
        <v>15</v>
      </c>
      <c r="J25" s="120">
        <f>IF(TYPE($A25)=1,"",(Update!$J23-J$1)/J$2*K25/$K$1)</f>
        <v>0.9118877837</v>
      </c>
      <c r="K25" s="121">
        <f>IF(TYPE($A25)=1,"",IF(Update!J23=0,0,Update!I23/Update!J23))</f>
        <v>5.2</v>
      </c>
      <c r="L25" s="119">
        <f>IF(TYPE($A25)=1,"",-(Update!$Q23-L$1)/L$2)</f>
        <v>-1.00010335</v>
      </c>
      <c r="M25" t="s">
        <v>62</v>
      </c>
      <c r="N25" s="33">
        <v>5.0</v>
      </c>
      <c r="O25" s="130" t="str">
        <f>IF(Update!B5="",ROW(Update!B5),Update!B5)</f>
        <v>Tyrese Haliburton</v>
      </c>
      <c r="P25" s="131">
        <f>Update!E5</f>
        <v>73</v>
      </c>
      <c r="Q25" s="131" t="str">
        <f>IF(Update!C5="",ROW(Update!N20),Update!C5)</f>
        <v>PG,SG</v>
      </c>
      <c r="R25" s="127">
        <f>VLOOKUP($O25,'NO USAR1'!$A$4:$L$403,2,False)+VLOOKUP($O25,'NO USAR1'!$A$4:$L$403,3,False)+VLOOKUP($O25,'NO USAR1'!$A$4:$L$403,4,False)+VLOOKUP($O25,'NO USAR1'!$A$4:$L$403,5,False)+VLOOKUP($O25,'NO USAR1'!$A$4:$L$403,6,False)+VLOOKUP($O25,'NO USAR1'!$A$4:$L$403,7,False)+VLOOKUP($O25,'NO USAR1'!$A$4:$L$403,8,False)+VLOOKUP($O25,'NO USAR1'!$A$4:$L$403,10,False)+VLOOKUP($O25,'NO USAR1'!$A$4:$L$403,12,False)*0</f>
        <v>6.55096988</v>
      </c>
      <c r="S25" s="127">
        <f>VLOOKUP($O25,'NO USAR1'!$A$4:$L$403,2,False)*$U$19+VLOOKUP($O25,'NO USAR1'!$A$4:$L$403,3,False)*$V$19+VLOOKUP($O25,'NO USAR1'!$A$4:$L$403,4,False)*$W$19+VLOOKUP($O25,'NO USAR1'!$A$4:$L$403,5,False)*$X$19+VLOOKUP($O25,'NO USAR1'!$A$4:$L$403,6,False)*$Y$19+VLOOKUP($O25,'NO USAR1'!$A$4:$L$403,7,False)*$Z$19+VLOOKUP($O25,'NO USAR1'!$A$4:$L$403,8,False)*$AA$19+VLOOKUP($O25,'NO USAR1'!$A$4:$L$403,10,False)*$AB$19+VLOOKUP($O25,'NO USAR1'!$A$4:$L$403,12,False)*$AC$19+IF(Projections!$K$3,-AN25, IF(Projections!$J$3,-AM25,0))</f>
        <v>6.817439699</v>
      </c>
      <c r="T25" s="127">
        <f t="shared" si="1"/>
        <v>0.2664698191</v>
      </c>
      <c r="U25" s="127">
        <f>VLOOKUP($O25,Update!$B$2:$R$401,11,False)</f>
        <v>23.3</v>
      </c>
      <c r="V25" s="122">
        <f>VLOOKUP($O25,Update!$B$2:$R$401,10,False)</f>
        <v>2.8</v>
      </c>
      <c r="W25" s="127">
        <f>VLOOKUP($O25,Update!$B$2:$R$401,12,False)</f>
        <v>4</v>
      </c>
      <c r="X25" s="127">
        <f>VLOOKUP($O25,Update!$B$2:$R$401,13,False)</f>
        <v>10.5</v>
      </c>
      <c r="Y25" s="127">
        <f>VLOOKUP($O25,Update!$B$2:$R$401,14,False)</f>
        <v>1.7</v>
      </c>
      <c r="Z25" s="132">
        <f>VLOOKUP($O25,Update!$B$2:$R$401,15,False)</f>
        <v>0.4</v>
      </c>
      <c r="AA25" s="127">
        <f>100*VLOOKUP($O25,Update!$B$2:$R$401,7,False)</f>
        <v>48.91304348</v>
      </c>
      <c r="AB25" s="127">
        <f>100*VLOOKUP($O25,Update!$B$2:$R$401,9,False)</f>
        <v>86.66666667</v>
      </c>
      <c r="AC25" s="127">
        <f>VLOOKUP($O25,Update!$B$2:$Q$401,16,False)</f>
        <v>2.6</v>
      </c>
      <c r="AD25" s="127">
        <f>VLOOKUP($O25,'NO USAR1'!$A$4:$L$403,2,False)*$U$19</f>
        <v>1.018461071</v>
      </c>
      <c r="AE25" s="127">
        <f>VLOOKUP($O25,'NO USAR1'!$A$4:$L$403,3,False)*$V$19</f>
        <v>1.001822792</v>
      </c>
      <c r="AF25" s="127">
        <f>VLOOKUP($O25,'NO USAR1'!$A$4:$L$403,4,False)*$W$19</f>
        <v>-0.876171383</v>
      </c>
      <c r="AG25" s="127">
        <f>VLOOKUP($O25,'NO USAR1'!$A$4:$L$403,5,False)*$X$19</f>
        <v>3.394723772</v>
      </c>
      <c r="AH25" s="127">
        <f>VLOOKUP($O25,'NO USAR1'!$A$4:$L$403,6,False)*$Y$19</f>
        <v>1.537978634</v>
      </c>
      <c r="AI25" s="127">
        <f>VLOOKUP($O25,'NO USAR1'!$A$4:$L$403,7,False)*$Z$19</f>
        <v>-0.3956983969</v>
      </c>
      <c r="AJ25" s="127">
        <f>VLOOKUP($O25,'NO USAR1'!$A$4:$L$403,8,False)*$AA$19</f>
        <v>-0.1259703523</v>
      </c>
      <c r="AK25" s="132">
        <f>VLOOKUP($O25,'NO USAR1'!$A$4:$L$403,10,False)*$AB$19</f>
        <v>0.5740555081</v>
      </c>
      <c r="AL25" s="127">
        <f>VLOOKUP($O25,'NO USAR1'!$A$4:$L$403,12,False)*$AC$19</f>
        <v>-0.1879333282</v>
      </c>
      <c r="AM25" s="133">
        <f t="shared" si="2"/>
        <v>-0.876171383</v>
      </c>
      <c r="AN25" s="133">
        <f t="shared" si="3"/>
        <v>-1.27186978</v>
      </c>
    </row>
    <row r="26">
      <c r="A26" s="118" t="str">
        <f>IF(Update!B24="",ROW(Update!B24),Update!B24)</f>
        <v>Anthony Edwards</v>
      </c>
      <c r="B26" s="119">
        <f>IF(TYPE($A26)=1,"",(Update!$L24-B$1)/B$2)</f>
        <v>1.439777014</v>
      </c>
      <c r="C26" s="119">
        <f>IF(TYPE($A26)=1,"",(Update!$K24-C$1)/C$2)</f>
        <v>1.305831721</v>
      </c>
      <c r="D26" s="119">
        <f>IF(TYPE($A26)=1,"",(Update!$M24-D$1)/D$2)</f>
        <v>-0.1653100955</v>
      </c>
      <c r="E26" s="119">
        <f>IF(TYPE($A26)=1,"",(Update!$N24-E$1)/E$2)</f>
        <v>0.4432577477</v>
      </c>
      <c r="F26" s="119">
        <f>IF(TYPE($A26)=1,"",(Update!$O24-F$1)/F$2)</f>
        <v>1.885612475</v>
      </c>
      <c r="G26" s="119">
        <f>IF(TYPE($A26)=1,"",(Update!$P24-G$1)/G$2)</f>
        <v>-0.002501254089</v>
      </c>
      <c r="H26" s="119">
        <f>IF(TYPE($A26)=1,"",(Update!$H24-H$1)/H$2*I26/$I$1)</f>
        <v>-0.743699553</v>
      </c>
      <c r="I26" s="119">
        <f>IF(TYPE($A26)=1,"",IF(Update!H24=0,0,Update!G24/Update!H24))</f>
        <v>19.9</v>
      </c>
      <c r="J26" s="120">
        <f>IF(TYPE($A26)=1,"",(Update!$J24-J$1)/J$2*K26/$K$1)</f>
        <v>-0.382263991</v>
      </c>
      <c r="K26" s="121">
        <f>IF(TYPE($A26)=1,"",IF(Update!J24=0,0,Update!I24/Update!J24))</f>
        <v>5.6</v>
      </c>
      <c r="L26" s="119">
        <f>IF(TYPE($A26)=1,"",-(Update!$Q24-L$1)/L$2)</f>
        <v>-1.496843425</v>
      </c>
      <c r="M26" t="s">
        <v>63</v>
      </c>
      <c r="N26" s="124">
        <v>6.0</v>
      </c>
      <c r="O26" s="130" t="str">
        <f>IF(Update!B6="",ROW(Update!B6),Update!B6)</f>
        <v>Jayson Tatum</v>
      </c>
      <c r="P26" s="131">
        <f>Update!E6</f>
        <v>75</v>
      </c>
      <c r="Q26" s="131" t="str">
        <f>IF(Update!C6="",ROW(Update!N21),Update!C6)</f>
        <v>SF,PF</v>
      </c>
      <c r="R26" s="127">
        <f>VLOOKUP($O26,'NO USAR1'!$A$4:$L$403,2,False)+VLOOKUP($O26,'NO USAR1'!$A$4:$L$403,3,False)+VLOOKUP($O26,'NO USAR1'!$A$4:$L$403,4,False)+VLOOKUP($O26,'NO USAR1'!$A$4:$L$403,5,False)+VLOOKUP($O26,'NO USAR1'!$A$4:$L$403,6,False)+VLOOKUP($O26,'NO USAR1'!$A$4:$L$403,7,False)+VLOOKUP($O26,'NO USAR1'!$A$4:$L$403,8,False)+VLOOKUP($O26,'NO USAR1'!$A$4:$L$403,10,False)+VLOOKUP($O26,'NO USAR1'!$A$4:$L$403,12,False)*0</f>
        <v>6.237419142</v>
      </c>
      <c r="S26" s="127">
        <f>VLOOKUP($O26,'NO USAR1'!$A$4:$L$403,2,False)*$U$19+VLOOKUP($O26,'NO USAR1'!$A$4:$L$403,3,False)*$V$19+VLOOKUP($O26,'NO USAR1'!$A$4:$L$403,4,False)*$W$19+VLOOKUP($O26,'NO USAR1'!$A$4:$L$403,5,False)*$X$19+VLOOKUP($O26,'NO USAR1'!$A$4:$L$403,6,False)*$Y$19+VLOOKUP($O26,'NO USAR1'!$A$4:$L$403,7,False)*$Z$19+VLOOKUP($O26,'NO USAR1'!$A$4:$L$403,8,False)*$AA$19+VLOOKUP($O26,'NO USAR1'!$A$4:$L$403,10,False)*$AB$19+VLOOKUP($O26,'NO USAR1'!$A$4:$L$403,12,False)*$AC$19+IF(Projections!$K$3,-AN26, IF(Projections!$J$3,-AM26,0))</f>
        <v>6.073044076</v>
      </c>
      <c r="T26" s="127">
        <f t="shared" si="1"/>
        <v>-0.1643750661</v>
      </c>
      <c r="U26" s="127">
        <f>VLOOKUP($O26,Update!$B$2:$R$401,11,False)</f>
        <v>29.5</v>
      </c>
      <c r="V26" s="122">
        <f>VLOOKUP($O26,Update!$B$2:$R$401,10,False)</f>
        <v>3.3</v>
      </c>
      <c r="W26" s="127">
        <f>VLOOKUP($O26,Update!$B$2:$R$401,12,False)</f>
        <v>8.2</v>
      </c>
      <c r="X26" s="127">
        <f>VLOOKUP($O26,Update!$B$2:$R$401,13,False)</f>
        <v>4.8</v>
      </c>
      <c r="Y26" s="127">
        <f>VLOOKUP($O26,Update!$B$2:$R$401,14,False)</f>
        <v>1.1</v>
      </c>
      <c r="Z26" s="132">
        <f>VLOOKUP($O26,Update!$B$2:$R$401,15,False)</f>
        <v>0.7</v>
      </c>
      <c r="AA26" s="127">
        <f>100*VLOOKUP($O26,Update!$B$2:$R$401,7,False)</f>
        <v>46.66666667</v>
      </c>
      <c r="AB26" s="127">
        <f>100*VLOOKUP($O26,Update!$B$2:$R$401,9,False)</f>
        <v>85.71428571</v>
      </c>
      <c r="AC26" s="127">
        <f>VLOOKUP($O26,Update!$B$2:$Q$401,16,False)</f>
        <v>3</v>
      </c>
      <c r="AD26" s="127">
        <f>VLOOKUP($O26,'NO USAR1'!$A$4:$L$403,2,False)*$U$19</f>
        <v>2.063324609</v>
      </c>
      <c r="AE26" s="127">
        <f>VLOOKUP($O26,'NO USAR1'!$A$4:$L$403,3,False)*$V$19</f>
        <v>1.435387185</v>
      </c>
      <c r="AF26" s="127">
        <f>VLOOKUP($O26,'NO USAR1'!$A$4:$L$403,4,False)*$W$19</f>
        <v>0.8800741509</v>
      </c>
      <c r="AG26" s="127">
        <f>VLOOKUP($O26,'NO USAR1'!$A$4:$L$403,5,False)*$X$19</f>
        <v>0.4875835225</v>
      </c>
      <c r="AH26" s="127">
        <f>VLOOKUP($O26,'NO USAR1'!$A$4:$L$403,6,False)*$Y$19</f>
        <v>0.2296792288</v>
      </c>
      <c r="AI26" s="127">
        <f>VLOOKUP($O26,'NO USAR1'!$A$4:$L$403,7,False)*$Z$19</f>
        <v>-0.001750877862</v>
      </c>
      <c r="AJ26" s="127">
        <f>VLOOKUP($O26,'NO USAR1'!$A$4:$L$403,8,False)*$AA$19</f>
        <v>-0.6149742311</v>
      </c>
      <c r="AK26" s="132">
        <f>VLOOKUP($O26,'NO USAR1'!$A$4:$L$403,10,False)*$AB$19</f>
        <v>1.290864605</v>
      </c>
      <c r="AL26" s="127">
        <f>VLOOKUP($O26,'NO USAR1'!$A$4:$L$403,12,False)*$AC$19</f>
        <v>-0.3121183469</v>
      </c>
      <c r="AM26" s="133">
        <f t="shared" si="2"/>
        <v>-0.6149742311</v>
      </c>
      <c r="AN26" s="133">
        <f t="shared" si="3"/>
        <v>-0.927092578</v>
      </c>
    </row>
    <row r="27">
      <c r="A27" s="118" t="str">
        <f>IF(Update!B25="",ROW(Update!B25),Update!B25)</f>
        <v>Mikal Bridges</v>
      </c>
      <c r="B27" s="119">
        <f>IF(TYPE($A27)=1,"",(Update!$L25-B$1)/B$2)</f>
        <v>1.372366463</v>
      </c>
      <c r="C27" s="119">
        <f>IF(TYPE($A27)=1,"",(Update!$K25-C$1)/C$2)</f>
        <v>0.7277458634</v>
      </c>
      <c r="D27" s="119">
        <f>IF(TYPE($A27)=1,"",(Update!$M25-D$1)/D$2)</f>
        <v>-0.6252791639</v>
      </c>
      <c r="E27" s="119">
        <f>IF(TYPE($A27)=1,"",(Update!$N25-E$1)/E$2)</f>
        <v>-0.205864477</v>
      </c>
      <c r="F27" s="119">
        <f>IF(TYPE($A27)=1,"",(Update!$O25-F$1)/F$2)</f>
        <v>0.3281131841</v>
      </c>
      <c r="G27" s="119">
        <f>IF(TYPE($A27)=1,"",(Update!$P25-G$1)/G$2)</f>
        <v>-0.1900953108</v>
      </c>
      <c r="H27" s="119">
        <f>IF(TYPE($A27)=1,"",(Update!$H25-H$1)/H$2*I27/$I$1)</f>
        <v>-0.4693567223</v>
      </c>
      <c r="I27" s="119">
        <f>IF(TYPE($A27)=1,"",IF(Update!H25=0,0,Update!G25/Update!H25))</f>
        <v>19.2</v>
      </c>
      <c r="J27" s="120">
        <f>IF(TYPE($A27)=1,"",(Update!$J25-J$1)/J$2*K27/$K$1)</f>
        <v>1.353855984</v>
      </c>
      <c r="K27" s="121">
        <f>IF(TYPE($A27)=1,"",IF(Update!J25=0,0,Update!I25/Update!J25))</f>
        <v>5.4</v>
      </c>
      <c r="L27" s="119">
        <f>IF(TYPE($A27)=1,"",-(Update!$Q25-L$1)/L$2)</f>
        <v>0.2417468363</v>
      </c>
      <c r="M27" t="s">
        <v>64</v>
      </c>
      <c r="N27" s="124">
        <v>7.0</v>
      </c>
      <c r="O27" s="130" t="str">
        <f>IF(Update!B13="",ROW(Update!B13),Update!B13)</f>
        <v>LaMelo Ball</v>
      </c>
      <c r="P27" s="131">
        <f>Update!E13</f>
        <v>69</v>
      </c>
      <c r="Q27" s="131" t="str">
        <f>IF(Update!C13="",ROW(Update!N28),Update!C13)</f>
        <v>PG,SG</v>
      </c>
      <c r="R27" s="127">
        <f>VLOOKUP($O27,'NO USAR1'!$A$4:$L$403,2,False)+VLOOKUP($O27,'NO USAR1'!$A$4:$L$403,3,False)+VLOOKUP($O27,'NO USAR1'!$A$4:$L$403,4,False)+VLOOKUP($O27,'NO USAR1'!$A$4:$L$403,5,False)+VLOOKUP($O27,'NO USAR1'!$A$4:$L$403,6,False)+VLOOKUP($O27,'NO USAR1'!$A$4:$L$403,7,False)+VLOOKUP($O27,'NO USAR1'!$A$4:$L$403,8,False)+VLOOKUP($O27,'NO USAR1'!$A$4:$L$403,10,False)+VLOOKUP($O27,'NO USAR1'!$A$4:$L$403,12,False)*0</f>
        <v>6.185474007</v>
      </c>
      <c r="S27" s="127">
        <f>VLOOKUP($O27,'NO USAR1'!$A$4:$L$403,2,False)*$U$19+VLOOKUP($O27,'NO USAR1'!$A$4:$L$403,3,False)*$V$19+VLOOKUP($O27,'NO USAR1'!$A$4:$L$403,4,False)*$W$19+VLOOKUP($O27,'NO USAR1'!$A$4:$L$403,5,False)*$X$19+VLOOKUP($O27,'NO USAR1'!$A$4:$L$403,6,False)*$Y$19+VLOOKUP($O27,'NO USAR1'!$A$4:$L$403,7,False)*$Z$19+VLOOKUP($O27,'NO USAR1'!$A$4:$L$403,8,False)*$AA$19+VLOOKUP($O27,'NO USAR1'!$A$4:$L$403,10,False)*$AB$19+VLOOKUP($O27,'NO USAR1'!$A$4:$L$403,12,False)*$AC$19+IF(Projections!$K$3,-AN27, IF(Projections!$J$3,-AM27,0))</f>
        <v>6.634110243</v>
      </c>
      <c r="T27" s="127">
        <f t="shared" si="1"/>
        <v>0.4486362359</v>
      </c>
      <c r="U27" s="127">
        <f>VLOOKUP($O27,Update!$B$2:$R$401,11,False)</f>
        <v>23.4</v>
      </c>
      <c r="V27" s="122">
        <f>VLOOKUP($O27,Update!$B$2:$R$401,10,False)</f>
        <v>3.7</v>
      </c>
      <c r="W27" s="127">
        <f>VLOOKUP($O27,Update!$B$2:$R$401,12,False)</f>
        <v>7</v>
      </c>
      <c r="X27" s="127">
        <f>VLOOKUP($O27,Update!$B$2:$R$401,13,False)</f>
        <v>8.6</v>
      </c>
      <c r="Y27" s="127">
        <f>VLOOKUP($O27,Update!$B$2:$R$401,14,False)</f>
        <v>1.6</v>
      </c>
      <c r="Z27" s="132">
        <f>VLOOKUP($O27,Update!$B$2:$R$401,15,False)</f>
        <v>0.4</v>
      </c>
      <c r="AA27" s="127">
        <f>100*VLOOKUP($O27,Update!$B$2:$R$401,7,False)</f>
        <v>42.78350515</v>
      </c>
      <c r="AB27" s="127">
        <f>100*VLOOKUP($O27,Update!$B$2:$R$401,9,False)</f>
        <v>85.71428571</v>
      </c>
      <c r="AC27" s="127">
        <f>VLOOKUP($O27,Update!$B$2:$Q$401,16,False)</f>
        <v>3.6</v>
      </c>
      <c r="AD27" s="127">
        <f>VLOOKUP($O27,'NO USAR1'!$A$4:$L$403,2,False)*$U$19</f>
        <v>1.035313709</v>
      </c>
      <c r="AE27" s="127">
        <f>VLOOKUP($O27,'NO USAR1'!$A$4:$L$403,3,False)*$V$19</f>
        <v>1.7822387</v>
      </c>
      <c r="AF27" s="127">
        <f>VLOOKUP($O27,'NO USAR1'!$A$4:$L$403,4,False)*$W$19</f>
        <v>0.3782897126</v>
      </c>
      <c r="AG27" s="127">
        <f>VLOOKUP($O27,'NO USAR1'!$A$4:$L$403,5,False)*$X$19</f>
        <v>2.425677022</v>
      </c>
      <c r="AH27" s="127">
        <f>VLOOKUP($O27,'NO USAR1'!$A$4:$L$403,6,False)*$Y$19</f>
        <v>1.319928733</v>
      </c>
      <c r="AI27" s="127">
        <f>VLOOKUP($O27,'NO USAR1'!$A$4:$L$403,7,False)*$Z$19</f>
        <v>-0.3956983969</v>
      </c>
      <c r="AJ27" s="127">
        <f>VLOOKUP($O27,'NO USAR1'!$A$4:$L$403,8,False)*$AA$19</f>
        <v>-1.320597374</v>
      </c>
      <c r="AK27" s="132">
        <f>VLOOKUP($O27,'NO USAR1'!$A$4:$L$403,10,False)*$AB$19</f>
        <v>0.5867566385</v>
      </c>
      <c r="AL27" s="127">
        <f>VLOOKUP($O27,'NO USAR1'!$A$4:$L$403,12,False)*$AC$19</f>
        <v>-0.4983958749</v>
      </c>
      <c r="AM27" s="133">
        <f t="shared" si="2"/>
        <v>-1.320597374</v>
      </c>
      <c r="AN27" s="133">
        <f t="shared" si="3"/>
        <v>-1.818993248</v>
      </c>
    </row>
    <row r="28">
      <c r="A28" s="118" t="str">
        <f>IF(Update!B26="",ROW(Update!B26),Update!B26)</f>
        <v>Lauri Markkanen</v>
      </c>
      <c r="B28" s="119">
        <f>IF(TYPE($A28)=1,"",(Update!$L26-B$1)/B$2)</f>
        <v>1.119576898</v>
      </c>
      <c r="C28" s="119">
        <f>IF(TYPE($A28)=1,"",(Update!$K26-C$1)/C$2)</f>
        <v>1.209484078</v>
      </c>
      <c r="D28" s="119">
        <f>IF(TYPE($A28)=1,"",(Update!$M26-D$1)/D$2)</f>
        <v>0.7964434112</v>
      </c>
      <c r="E28" s="119">
        <f>IF(TYPE($A28)=1,"",(Update!$N26-E$1)/E$2)</f>
        <v>-0.9013525749</v>
      </c>
      <c r="F28" s="119">
        <f>IF(TYPE($A28)=1,"",(Update!$O26-F$1)/F$2)</f>
        <v>-0.9178862491</v>
      </c>
      <c r="G28" s="119">
        <f>IF(TYPE($A28)=1,"",(Update!$P26-G$1)/G$2)</f>
        <v>-0.1900953108</v>
      </c>
      <c r="H28" s="119">
        <f>IF(TYPE($A28)=1,"",(Update!$H26-H$1)/H$2*I28/$I$1)</f>
        <v>-0.1488804221</v>
      </c>
      <c r="I28" s="119">
        <f>IF(TYPE($A28)=1,"",IF(Update!H26=0,0,Update!G26/Update!H26))</f>
        <v>16.4</v>
      </c>
      <c r="J28" s="120">
        <f>IF(TYPE($A28)=1,"",(Update!$J26-J$1)/J$2*K28/$K$1)</f>
        <v>1.550075104</v>
      </c>
      <c r="K28" s="121">
        <f>IF(TYPE($A28)=1,"",IF(Update!J26=0,0,Update!I26/Update!J26))</f>
        <v>5.7</v>
      </c>
      <c r="L28" s="119">
        <f>IF(TYPE($A28)=1,"",-(Update!$Q26-L$1)/L$2)</f>
        <v>0.1175618177</v>
      </c>
      <c r="M28" t="s">
        <v>65</v>
      </c>
      <c r="N28" s="33">
        <v>8.0</v>
      </c>
      <c r="O28" s="130" t="str">
        <f>IF(Update!B8="",ROW(Update!B8),Update!B8)</f>
        <v>Stephen Curry</v>
      </c>
      <c r="P28" s="131">
        <f>Update!E8</f>
        <v>65</v>
      </c>
      <c r="Q28" s="131" t="str">
        <f>IF(Update!C8="",ROW(Update!N23),Update!C8)</f>
        <v>PG</v>
      </c>
      <c r="R28" s="127">
        <f>VLOOKUP($O28,'NO USAR1'!$A$4:$L$403,2,False)+VLOOKUP($O28,'NO USAR1'!$A$4:$L$403,3,False)+VLOOKUP($O28,'NO USAR1'!$A$4:$L$403,4,False)+VLOOKUP($O28,'NO USAR1'!$A$4:$L$403,5,False)+VLOOKUP($O28,'NO USAR1'!$A$4:$L$403,6,False)+VLOOKUP($O28,'NO USAR1'!$A$4:$L$403,7,False)+VLOOKUP($O28,'NO USAR1'!$A$4:$L$403,8,False)+VLOOKUP($O28,'NO USAR1'!$A$4:$L$403,10,False)+VLOOKUP($O28,'NO USAR1'!$A$4:$L$403,12,False)*0</f>
        <v>5.807179715</v>
      </c>
      <c r="S28" s="127">
        <f>VLOOKUP($O28,'NO USAR1'!$A$4:$L$403,2,False)*$U$19+VLOOKUP($O28,'NO USAR1'!$A$4:$L$403,3,False)*$V$19+VLOOKUP($O28,'NO USAR1'!$A$4:$L$403,4,False)*$W$19+VLOOKUP($O28,'NO USAR1'!$A$4:$L$403,5,False)*$X$19+VLOOKUP($O28,'NO USAR1'!$A$4:$L$403,6,False)*$Y$19+VLOOKUP($O28,'NO USAR1'!$A$4:$L$403,7,False)*$Z$19+VLOOKUP($O28,'NO USAR1'!$A$4:$L$403,8,False)*$AA$19+VLOOKUP($O28,'NO USAR1'!$A$4:$L$403,10,False)*$AB$19+VLOOKUP($O28,'NO USAR1'!$A$4:$L$403,12,False)*$AC$19+IF(Projections!$K$3,-AN28, IF(Projections!$J$3,-AM28,0))</f>
        <v>5.684920528</v>
      </c>
      <c r="T28" s="127">
        <f t="shared" si="1"/>
        <v>-0.1222591866</v>
      </c>
      <c r="U28" s="127">
        <f>VLOOKUP($O28,Update!$B$2:$R$401,11,False)</f>
        <v>28</v>
      </c>
      <c r="V28" s="122">
        <f>VLOOKUP($O28,Update!$B$2:$R$401,10,False)</f>
        <v>4.7</v>
      </c>
      <c r="W28" s="127">
        <f>VLOOKUP($O28,Update!$B$2:$R$401,12,False)</f>
        <v>5.6</v>
      </c>
      <c r="X28" s="127">
        <f>VLOOKUP($O28,Update!$B$2:$R$401,13,False)</f>
        <v>5.6</v>
      </c>
      <c r="Y28" s="127">
        <f>VLOOKUP($O28,Update!$B$2:$R$401,14,False)</f>
        <v>0.9</v>
      </c>
      <c r="Z28" s="132">
        <f>VLOOKUP($O28,Update!$B$2:$R$401,15,False)</f>
        <v>0.3</v>
      </c>
      <c r="AA28" s="127">
        <f>100*VLOOKUP($O28,Update!$B$2:$R$401,7,False)</f>
        <v>47.47474747</v>
      </c>
      <c r="AB28" s="127">
        <f>100*VLOOKUP($O28,Update!$B$2:$R$401,9,False)</f>
        <v>91.83673469</v>
      </c>
      <c r="AC28" s="127">
        <f>VLOOKUP($O28,Update!$B$2:$Q$401,16,False)</f>
        <v>3.3</v>
      </c>
      <c r="AD28" s="127">
        <f>VLOOKUP($O28,'NO USAR1'!$A$4:$L$403,2,False)*$U$19</f>
        <v>1.810535043</v>
      </c>
      <c r="AE28" s="127">
        <f>VLOOKUP($O28,'NO USAR1'!$A$4:$L$403,3,False)*$V$19</f>
        <v>2.649367487</v>
      </c>
      <c r="AF28" s="127">
        <f>VLOOKUP($O28,'NO USAR1'!$A$4:$L$403,4,False)*$W$19</f>
        <v>-0.2071254654</v>
      </c>
      <c r="AG28" s="127">
        <f>VLOOKUP($O28,'NO USAR1'!$A$4:$L$403,5,False)*$X$19</f>
        <v>0.8956032066</v>
      </c>
      <c r="AH28" s="127">
        <f>VLOOKUP($O28,'NO USAR1'!$A$4:$L$403,6,False)*$Y$19</f>
        <v>-0.2064205728</v>
      </c>
      <c r="AI28" s="127">
        <f>VLOOKUP($O28,'NO USAR1'!$A$4:$L$403,7,False)*$Z$19</f>
        <v>-0.5270142365</v>
      </c>
      <c r="AJ28" s="127">
        <f>VLOOKUP($O28,'NO USAR1'!$A$4:$L$403,8,False)*$AA$19</f>
        <v>-0.4200144418</v>
      </c>
      <c r="AK28" s="132">
        <f>VLOOKUP($O28,'NO USAR1'!$A$4:$L$403,10,False)*$AB$19</f>
        <v>1.568232382</v>
      </c>
      <c r="AL28" s="127">
        <f>VLOOKUP($O28,'NO USAR1'!$A$4:$L$403,12,False)*$AC$19</f>
        <v>-0.4052571109</v>
      </c>
      <c r="AM28" s="133">
        <f t="shared" si="2"/>
        <v>-0.5270142365</v>
      </c>
      <c r="AN28" s="133">
        <f t="shared" si="3"/>
        <v>-0.9470286783</v>
      </c>
    </row>
    <row r="29">
      <c r="A29" s="118" t="str">
        <f>IF(Update!B27="",ROW(Update!B27),Update!B27)</f>
        <v>Desmond Bane</v>
      </c>
      <c r="B29" s="119">
        <f>IF(TYPE($A29)=1,"",(Update!$L27-B$1)/B$2)</f>
        <v>0.9004926075</v>
      </c>
      <c r="C29" s="119">
        <f>IF(TYPE($A29)=1,"",(Update!$K27-C$1)/C$2)</f>
        <v>1.691222293</v>
      </c>
      <c r="D29" s="119">
        <f>IF(TYPE($A29)=1,"",(Update!$M27-D$1)/D$2)</f>
        <v>-0.2907562051</v>
      </c>
      <c r="E29" s="119">
        <f>IF(TYPE($A29)=1,"",(Update!$N27-E$1)/E$2)</f>
        <v>0.07233076218</v>
      </c>
      <c r="F29" s="119">
        <f>IF(TYPE($A29)=1,"",(Update!$O27-F$1)/F$2)</f>
        <v>0.6396130423</v>
      </c>
      <c r="G29" s="119">
        <f>IF(TYPE($A29)=1,"",(Update!$P27-G$1)/G$2)</f>
        <v>-0.5652834241</v>
      </c>
      <c r="H29" s="119">
        <f>IF(TYPE($A29)=1,"",(Update!$H27-H$1)/H$2*I29/$I$1)</f>
        <v>-0.5874724167</v>
      </c>
      <c r="I29" s="119">
        <f>IF(TYPE($A29)=1,"",IF(Update!H27=0,0,Update!G27/Update!H27))</f>
        <v>17.6</v>
      </c>
      <c r="J29" s="120">
        <f>IF(TYPE($A29)=1,"",(Update!$J27-J$1)/J$2*K29/$K$1)</f>
        <v>1.094131212</v>
      </c>
      <c r="K29" s="121">
        <f>IF(TYPE($A29)=1,"",IF(Update!J27=0,0,Update!I27/Update!J27))</f>
        <v>3.1</v>
      </c>
      <c r="L29" s="119">
        <f>IF(TYPE($A29)=1,"",-(Update!$Q27-L$1)/L$2)</f>
        <v>-0.2549932383</v>
      </c>
      <c r="M29" t="s">
        <v>66</v>
      </c>
      <c r="N29" s="124">
        <v>9.0</v>
      </c>
      <c r="O29" s="130" t="str">
        <f>IF(Update!B10="",ROW(Update!B10),Update!B10)</f>
        <v>Damian Lillard</v>
      </c>
      <c r="P29" s="131">
        <f>Update!E10</f>
        <v>67</v>
      </c>
      <c r="Q29" s="131" t="str">
        <f>IF(Update!C10="",ROW(Update!N25),Update!C10)</f>
        <v>PG</v>
      </c>
      <c r="R29" s="127">
        <f>VLOOKUP($O29,'NO USAR1'!$A$4:$L$403,2,False)+VLOOKUP($O29,'NO USAR1'!$A$4:$L$403,3,False)+VLOOKUP($O29,'NO USAR1'!$A$4:$L$403,4,False)+VLOOKUP($O29,'NO USAR1'!$A$4:$L$403,5,False)+VLOOKUP($O29,'NO USAR1'!$A$4:$L$403,6,False)+VLOOKUP($O29,'NO USAR1'!$A$4:$L$403,7,False)+VLOOKUP($O29,'NO USAR1'!$A$4:$L$403,8,False)+VLOOKUP($O29,'NO USAR1'!$A$4:$L$403,10,False)+VLOOKUP($O29,'NO USAR1'!$A$4:$L$403,12,False)*0</f>
        <v>5.471375355</v>
      </c>
      <c r="S29" s="127">
        <f>VLOOKUP($O29,'NO USAR1'!$A$4:$L$403,2,False)*$U$19+VLOOKUP($O29,'NO USAR1'!$A$4:$L$403,3,False)*$V$19+VLOOKUP($O29,'NO USAR1'!$A$4:$L$403,4,False)*$W$19+VLOOKUP($O29,'NO USAR1'!$A$4:$L$403,5,False)*$X$19+VLOOKUP($O29,'NO USAR1'!$A$4:$L$403,6,False)*$Y$19+VLOOKUP($O29,'NO USAR1'!$A$4:$L$403,7,False)*$Z$19+VLOOKUP($O29,'NO USAR1'!$A$4:$L$403,8,False)*$AA$19+VLOOKUP($O29,'NO USAR1'!$A$4:$L$403,10,False)*$AB$19+VLOOKUP($O29,'NO USAR1'!$A$4:$L$403,12,False)*$AC$19+IF(Projections!$K$3,-AN29, IF(Projections!$J$3,-AM29,0))</f>
        <v>5.737778982</v>
      </c>
      <c r="T29" s="127">
        <f t="shared" si="1"/>
        <v>0.2664036271</v>
      </c>
      <c r="U29" s="127">
        <f>VLOOKUP($O29,Update!$B$2:$R$401,11,False)</f>
        <v>27.2</v>
      </c>
      <c r="V29" s="122">
        <f>VLOOKUP($O29,Update!$B$2:$R$401,10,False)</f>
        <v>3.8</v>
      </c>
      <c r="W29" s="127">
        <f>VLOOKUP($O29,Update!$B$2:$R$401,12,False)</f>
        <v>4</v>
      </c>
      <c r="X29" s="127">
        <f>VLOOKUP($O29,Update!$B$2:$R$401,13,False)</f>
        <v>6.9</v>
      </c>
      <c r="Y29" s="127">
        <f>VLOOKUP($O29,Update!$B$2:$R$401,14,False)</f>
        <v>0.9</v>
      </c>
      <c r="Z29" s="132">
        <f>VLOOKUP($O29,Update!$B$2:$R$401,15,False)</f>
        <v>0.3</v>
      </c>
      <c r="AA29" s="127">
        <f>100*VLOOKUP($O29,Update!$B$2:$R$401,7,False)</f>
        <v>46.06741573</v>
      </c>
      <c r="AB29" s="127">
        <f>100*VLOOKUP($O29,Update!$B$2:$R$401,9,False)</f>
        <v>91.02564103</v>
      </c>
      <c r="AC29" s="127">
        <f>VLOOKUP($O29,Update!$B$2:$Q$401,16,False)</f>
        <v>3.1</v>
      </c>
      <c r="AD29" s="127">
        <f>VLOOKUP($O29,'NO USAR1'!$A$4:$L$403,2,False)*$U$19</f>
        <v>1.675713942</v>
      </c>
      <c r="AE29" s="127">
        <f>VLOOKUP($O29,'NO USAR1'!$A$4:$L$403,3,False)*$V$19</f>
        <v>1.868951579</v>
      </c>
      <c r="AF29" s="127">
        <f>VLOOKUP($O29,'NO USAR1'!$A$4:$L$403,4,False)*$W$19</f>
        <v>-0.876171383</v>
      </c>
      <c r="AG29" s="127">
        <f>VLOOKUP($O29,'NO USAR1'!$A$4:$L$403,5,False)*$X$19</f>
        <v>1.558635193</v>
      </c>
      <c r="AH29" s="127">
        <f>VLOOKUP($O29,'NO USAR1'!$A$4:$L$403,6,False)*$Y$19</f>
        <v>-0.2064205728</v>
      </c>
      <c r="AI29" s="127">
        <f>VLOOKUP($O29,'NO USAR1'!$A$4:$L$403,7,False)*$Z$19</f>
        <v>-0.5270142365</v>
      </c>
      <c r="AJ29" s="127">
        <f>VLOOKUP($O29,'NO USAR1'!$A$4:$L$403,8,False)*$AA$19</f>
        <v>-0.6278094752</v>
      </c>
      <c r="AK29" s="132">
        <f>VLOOKUP($O29,'NO USAR1'!$A$4:$L$403,10,False)*$AB$19</f>
        <v>2.338887155</v>
      </c>
      <c r="AL29" s="127">
        <f>VLOOKUP($O29,'NO USAR1'!$A$4:$L$403,12,False)*$AC$19</f>
        <v>-0.3431646016</v>
      </c>
      <c r="AM29" s="133">
        <f t="shared" si="2"/>
        <v>-0.876171383</v>
      </c>
      <c r="AN29" s="133">
        <f t="shared" si="3"/>
        <v>-1.503980858</v>
      </c>
    </row>
    <row r="30">
      <c r="A30" s="118" t="str">
        <f>IF(Update!B28="",ROW(Update!B28),Update!B28)</f>
        <v>Paul George</v>
      </c>
      <c r="B30" s="119">
        <f>IF(TYPE($A30)=1,"",(Update!$L28-B$1)/B$2)</f>
        <v>0.9679031583</v>
      </c>
      <c r="C30" s="119">
        <f>IF(TYPE($A30)=1,"",(Update!$K28-C$1)/C$2)</f>
        <v>1.113136435</v>
      </c>
      <c r="D30" s="119">
        <f>IF(TYPE($A30)=1,"",(Update!$M28-D$1)/D$2)</f>
        <v>0.001951383927</v>
      </c>
      <c r="E30" s="119">
        <f>IF(TYPE($A30)=1,"",(Update!$N28-E$1)/E$2)</f>
        <v>0.5359894941</v>
      </c>
      <c r="F30" s="119">
        <f>IF(TYPE($A30)=1,"",(Update!$O28-F$1)/F$2)</f>
        <v>1.574112617</v>
      </c>
      <c r="G30" s="119">
        <f>IF(TYPE($A30)=1,"",(Update!$P28-G$1)/G$2)</f>
        <v>-0.5652834241</v>
      </c>
      <c r="H30" s="119">
        <f>IF(TYPE($A30)=1,"",(Update!$H28-H$1)/H$2*I30/$I$1)</f>
        <v>-1.08467659</v>
      </c>
      <c r="I30" s="119">
        <f>IF(TYPE($A30)=1,"",IF(Update!H28=0,0,Update!G28/Update!H28))</f>
        <v>18.1</v>
      </c>
      <c r="J30" s="120">
        <f>IF(TYPE($A30)=1,"",(Update!$J28-J$1)/J$2*K30/$K$1)</f>
        <v>1.026824117</v>
      </c>
      <c r="K30" s="121">
        <f>IF(TYPE($A30)=1,"",IF(Update!J28=0,0,Update!I28/Update!J28))</f>
        <v>4.9</v>
      </c>
      <c r="L30" s="119">
        <f>IF(TYPE($A30)=1,"",-(Update!$Q28-L$1)/L$2)</f>
        <v>-1.621028444</v>
      </c>
      <c r="M30" t="s">
        <v>67</v>
      </c>
      <c r="N30" s="124">
        <v>10.0</v>
      </c>
      <c r="O30" s="130" t="str">
        <f>IF(Update!B11="",ROW(Update!B11),Update!B11)</f>
        <v>Kyrie Irving</v>
      </c>
      <c r="P30" s="131">
        <f>Update!E11</f>
        <v>62</v>
      </c>
      <c r="Q30" s="131" t="str">
        <f>IF(Update!C11="",ROW(Update!N26),Update!C11)</f>
        <v>PG,SG</v>
      </c>
      <c r="R30" s="127">
        <f>VLOOKUP($O30,'NO USAR1'!$A$4:$L$403,2,False)+VLOOKUP($O30,'NO USAR1'!$A$4:$L$403,3,False)+VLOOKUP($O30,'NO USAR1'!$A$4:$L$403,4,False)+VLOOKUP($O30,'NO USAR1'!$A$4:$L$403,5,False)+VLOOKUP($O30,'NO USAR1'!$A$4:$L$403,6,False)+VLOOKUP($O30,'NO USAR1'!$A$4:$L$403,7,False)+VLOOKUP($O30,'NO USAR1'!$A$4:$L$403,8,False)+VLOOKUP($O30,'NO USAR1'!$A$4:$L$403,10,False)+VLOOKUP($O30,'NO USAR1'!$A$4:$L$403,12,False)*0</f>
        <v>5.398635396</v>
      </c>
      <c r="S30" s="127">
        <f>VLOOKUP($O30,'NO USAR1'!$A$4:$L$403,2,False)*$U$19+VLOOKUP($O30,'NO USAR1'!$A$4:$L$403,3,False)*$V$19+VLOOKUP($O30,'NO USAR1'!$A$4:$L$403,4,False)*$W$19+VLOOKUP($O30,'NO USAR1'!$A$4:$L$403,5,False)*$X$19+VLOOKUP($O30,'NO USAR1'!$A$4:$L$403,6,False)*$Y$19+VLOOKUP($O30,'NO USAR1'!$A$4:$L$403,7,False)*$Z$19+VLOOKUP($O30,'NO USAR1'!$A$4:$L$403,8,False)*$AA$19+VLOOKUP($O30,'NO USAR1'!$A$4:$L$403,10,False)*$AB$19+VLOOKUP($O30,'NO USAR1'!$A$4:$L$403,12,False)*$AC$19+IF(Projections!$K$3,-AN30, IF(Projections!$J$3,-AM30,0))</f>
        <v>5.304467757</v>
      </c>
      <c r="T30" s="127">
        <f t="shared" si="1"/>
        <v>-0.09416763885</v>
      </c>
      <c r="U30" s="127">
        <f>VLOOKUP($O30,Update!$B$2:$R$401,11,False)</f>
        <v>26.7</v>
      </c>
      <c r="V30" s="122">
        <f>VLOOKUP($O30,Update!$B$2:$R$401,10,False)</f>
        <v>3.2</v>
      </c>
      <c r="W30" s="127">
        <f>VLOOKUP($O30,Update!$B$2:$R$401,12,False)</f>
        <v>4.8</v>
      </c>
      <c r="X30" s="127">
        <f>VLOOKUP($O30,Update!$B$2:$R$401,13,False)</f>
        <v>5.5</v>
      </c>
      <c r="Y30" s="127">
        <f>VLOOKUP($O30,Update!$B$2:$R$401,14,False)</f>
        <v>1.2</v>
      </c>
      <c r="Z30" s="132">
        <f>VLOOKUP($O30,Update!$B$2:$R$401,15,False)</f>
        <v>0.7</v>
      </c>
      <c r="AA30" s="127">
        <f>100*VLOOKUP($O30,Update!$B$2:$R$401,7,False)</f>
        <v>48.75621891</v>
      </c>
      <c r="AB30" s="127">
        <f>100*VLOOKUP($O30,Update!$B$2:$R$401,9,False)</f>
        <v>90.90909091</v>
      </c>
      <c r="AC30" s="127">
        <f>VLOOKUP($O30,Update!$B$2:$Q$401,16,False)</f>
        <v>2.2</v>
      </c>
      <c r="AD30" s="127">
        <f>VLOOKUP($O30,'NO USAR1'!$A$4:$L$403,2,False)*$U$19</f>
        <v>1.591450753</v>
      </c>
      <c r="AE30" s="127">
        <f>VLOOKUP($O30,'NO USAR1'!$A$4:$L$403,3,False)*$V$19</f>
        <v>1.348674307</v>
      </c>
      <c r="AF30" s="127">
        <f>VLOOKUP($O30,'NO USAR1'!$A$4:$L$403,4,False)*$W$19</f>
        <v>-0.5416484242</v>
      </c>
      <c r="AG30" s="127">
        <f>VLOOKUP($O30,'NO USAR1'!$A$4:$L$403,5,False)*$X$19</f>
        <v>0.8446007461</v>
      </c>
      <c r="AH30" s="127">
        <f>VLOOKUP($O30,'NO USAR1'!$A$4:$L$403,6,False)*$Y$19</f>
        <v>0.4477291296</v>
      </c>
      <c r="AI30" s="127">
        <f>VLOOKUP($O30,'NO USAR1'!$A$4:$L$403,7,False)*$Z$19</f>
        <v>-0.001750877862</v>
      </c>
      <c r="AJ30" s="127">
        <f>VLOOKUP($O30,'NO USAR1'!$A$4:$L$403,8,False)*$AA$19</f>
        <v>-0.1690948803</v>
      </c>
      <c r="AK30" s="132">
        <f>VLOOKUP($O30,'NO USAR1'!$A$4:$L$403,10,False)*$AB$19</f>
        <v>1.306606889</v>
      </c>
      <c r="AL30" s="127">
        <f>VLOOKUP($O30,'NO USAR1'!$A$4:$L$403,12,False)*$AC$19</f>
        <v>-0.06374830958</v>
      </c>
      <c r="AM30" s="133">
        <f t="shared" si="2"/>
        <v>-0.5416484242</v>
      </c>
      <c r="AN30" s="133">
        <f t="shared" si="3"/>
        <v>-0.7107433045</v>
      </c>
    </row>
    <row r="31">
      <c r="A31" s="118" t="str">
        <f>IF(Update!B29="",ROW(Update!B29),Update!B29)</f>
        <v>Bam Adebayo</v>
      </c>
      <c r="B31" s="119">
        <f>IF(TYPE($A31)=1,"",(Update!$L29-B$1)/B$2)</f>
        <v>0.4960293028</v>
      </c>
      <c r="C31" s="119">
        <f>IF(TYPE($A31)=1,"",(Update!$K29-C$1)/C$2)</f>
        <v>-1.584597568</v>
      </c>
      <c r="D31" s="119">
        <f>IF(TYPE($A31)=1,"",(Update!$M29-D$1)/D$2)</f>
        <v>1.549120069</v>
      </c>
      <c r="E31" s="119">
        <f>IF(TYPE($A31)=1,"",(Update!$N29-E$1)/E$2)</f>
        <v>-0.1594986038</v>
      </c>
      <c r="F31" s="119">
        <f>IF(TYPE($A31)=1,"",(Update!$O29-F$1)/F$2)</f>
        <v>0.9511129006</v>
      </c>
      <c r="G31" s="119">
        <f>IF(TYPE($A31)=1,"",(Update!$P29-G$1)/G$2)</f>
        <v>0.1850928026</v>
      </c>
      <c r="H31" s="119">
        <f>IF(TYPE($A31)=1,"",(Update!$H29-H$1)/H$2*I31/$I$1)</f>
        <v>0.6759307429</v>
      </c>
      <c r="I31" s="119">
        <f>IF(TYPE($A31)=1,"",IF(Update!H29=0,0,Update!G29/Update!H29))</f>
        <v>14.7</v>
      </c>
      <c r="J31" s="120">
        <f>IF(TYPE($A31)=1,"",(Update!$J29-J$1)/J$2*K31/$K$1)</f>
        <v>0.2400469162</v>
      </c>
      <c r="K31" s="121">
        <f>IF(TYPE($A31)=1,"",IF(Update!J29=0,0,Update!I29/Update!J29))</f>
        <v>5.6</v>
      </c>
      <c r="L31" s="119">
        <f>IF(TYPE($A31)=1,"",-(Update!$Q29-L$1)/L$2)</f>
        <v>-0.7517333129</v>
      </c>
      <c r="M31" t="s">
        <v>68</v>
      </c>
      <c r="N31" s="33">
        <v>11.0</v>
      </c>
      <c r="O31" s="130" t="str">
        <f>IF(Update!B14="",ROW(Update!B14),Update!B14)</f>
        <v>Donovan Mitchell</v>
      </c>
      <c r="P31" s="131">
        <f>Update!E14</f>
        <v>69</v>
      </c>
      <c r="Q31" s="131" t="str">
        <f>IF(Update!C14="",ROW(Update!N29),Update!C14)</f>
        <v>PG,SG</v>
      </c>
      <c r="R31" s="127">
        <f>VLOOKUP($O31,'NO USAR1'!$A$4:$L$403,2,False)+VLOOKUP($O31,'NO USAR1'!$A$4:$L$403,3,False)+VLOOKUP($O31,'NO USAR1'!$A$4:$L$403,4,False)+VLOOKUP($O31,'NO USAR1'!$A$4:$L$403,5,False)+VLOOKUP($O31,'NO USAR1'!$A$4:$L$403,6,False)+VLOOKUP($O31,'NO USAR1'!$A$4:$L$403,7,False)+VLOOKUP($O31,'NO USAR1'!$A$4:$L$403,8,False)+VLOOKUP($O31,'NO USAR1'!$A$4:$L$403,10,False)+VLOOKUP($O31,'NO USAR1'!$A$4:$L$403,12,False)*0</f>
        <v>4.8289869</v>
      </c>
      <c r="S31" s="127">
        <f>VLOOKUP($O31,'NO USAR1'!$A$4:$L$403,2,False)*$U$19+VLOOKUP($O31,'NO USAR1'!$A$4:$L$403,3,False)*$V$19+VLOOKUP($O31,'NO USAR1'!$A$4:$L$403,4,False)*$W$19+VLOOKUP($O31,'NO USAR1'!$A$4:$L$403,5,False)*$X$19+VLOOKUP($O31,'NO USAR1'!$A$4:$L$403,6,False)*$Y$19+VLOOKUP($O31,'NO USAR1'!$A$4:$L$403,7,False)*$Z$19+VLOOKUP($O31,'NO USAR1'!$A$4:$L$403,8,False)*$AA$19+VLOOKUP($O31,'NO USAR1'!$A$4:$L$403,10,False)*$AB$19+VLOOKUP($O31,'NO USAR1'!$A$4:$L$403,12,False)*$AC$19+IF(Projections!$K$3,-AN31, IF(Projections!$J$3,-AM31,0))</f>
        <v>4.706132754</v>
      </c>
      <c r="T31" s="127">
        <f t="shared" si="1"/>
        <v>-0.1228541467</v>
      </c>
      <c r="U31" s="127">
        <f>VLOOKUP($O31,Update!$B$2:$R$401,11,False)</f>
        <v>27.7</v>
      </c>
      <c r="V31" s="122">
        <f>VLOOKUP($O31,Update!$B$2:$R$401,10,False)</f>
        <v>3.6</v>
      </c>
      <c r="W31" s="127">
        <f>VLOOKUP($O31,Update!$B$2:$R$401,12,False)</f>
        <v>4.4</v>
      </c>
      <c r="X31" s="127">
        <f>VLOOKUP($O31,Update!$B$2:$R$401,13,False)</f>
        <v>4.4</v>
      </c>
      <c r="Y31" s="127">
        <f>VLOOKUP($O31,Update!$B$2:$R$401,14,False)</f>
        <v>1.5</v>
      </c>
      <c r="Z31" s="132">
        <f>VLOOKUP($O31,Update!$B$2:$R$401,15,False)</f>
        <v>0.3</v>
      </c>
      <c r="AA31" s="127">
        <f>100*VLOOKUP($O31,Update!$B$2:$R$401,7,False)</f>
        <v>47.80487805</v>
      </c>
      <c r="AB31" s="127">
        <f>100*VLOOKUP($O31,Update!$B$2:$R$401,9,False)</f>
        <v>86.53846154</v>
      </c>
      <c r="AC31" s="127">
        <f>VLOOKUP($O31,Update!$B$2:$Q$401,16,False)</f>
        <v>2.7</v>
      </c>
      <c r="AD31" s="127">
        <f>VLOOKUP($O31,'NO USAR1'!$A$4:$L$403,2,False)*$U$19</f>
        <v>1.75997713</v>
      </c>
      <c r="AE31" s="127">
        <f>VLOOKUP($O31,'NO USAR1'!$A$4:$L$403,3,False)*$V$19</f>
        <v>1.695525821</v>
      </c>
      <c r="AF31" s="127">
        <f>VLOOKUP($O31,'NO USAR1'!$A$4:$L$403,4,False)*$W$19</f>
        <v>-0.7089099036</v>
      </c>
      <c r="AG31" s="127">
        <f>VLOOKUP($O31,'NO USAR1'!$A$4:$L$403,5,False)*$X$19</f>
        <v>0.2835736804</v>
      </c>
      <c r="AH31" s="127">
        <f>VLOOKUP($O31,'NO USAR1'!$A$4:$L$403,6,False)*$Y$19</f>
        <v>1.101878832</v>
      </c>
      <c r="AI31" s="127">
        <f>VLOOKUP($O31,'NO USAR1'!$A$4:$L$403,7,False)*$Z$19</f>
        <v>-0.5270142365</v>
      </c>
      <c r="AJ31" s="127">
        <f>VLOOKUP($O31,'NO USAR1'!$A$4:$L$403,8,False)*$AA$19</f>
        <v>-0.3672634807</v>
      </c>
      <c r="AK31" s="132">
        <f>VLOOKUP($O31,'NO USAR1'!$A$4:$L$403,10,False)*$AB$19</f>
        <v>0.9784345898</v>
      </c>
      <c r="AL31" s="127">
        <f>VLOOKUP($O31,'NO USAR1'!$A$4:$L$403,12,False)*$AC$19</f>
        <v>-0.2189795829</v>
      </c>
      <c r="AM31" s="133">
        <f t="shared" si="2"/>
        <v>-0.7089099036</v>
      </c>
      <c r="AN31" s="133">
        <f t="shared" si="3"/>
        <v>-1.23592414</v>
      </c>
    </row>
    <row r="32">
      <c r="A32" s="118" t="str">
        <f>IF(Update!B30="",ROW(Update!B30),Update!B30)</f>
        <v>LeBron James</v>
      </c>
      <c r="B32" s="119">
        <f>IF(TYPE($A32)=1,"",(Update!$L30-B$1)/B$2)</f>
        <v>1.591450753</v>
      </c>
      <c r="C32" s="119">
        <f>IF(TYPE($A32)=1,"",(Update!$K30-C$1)/C$2)</f>
        <v>0.6313982204</v>
      </c>
      <c r="D32" s="119">
        <f>IF(TYPE($A32)=1,"",(Update!$M30-D$1)/D$2)</f>
        <v>0.6291819318</v>
      </c>
      <c r="E32" s="119">
        <f>IF(TYPE($A32)=1,"",(Update!$N30-E$1)/E$2)</f>
        <v>0.999648226</v>
      </c>
      <c r="F32" s="119">
        <f>IF(TYPE($A32)=1,"",(Update!$O30-F$1)/F$2)</f>
        <v>-0.6063863908</v>
      </c>
      <c r="G32" s="119">
        <f>IF(TYPE($A32)=1,"",(Update!$P30-G$1)/G$2)</f>
        <v>-0.3776893674</v>
      </c>
      <c r="H32" s="119">
        <f>IF(TYPE($A32)=1,"",(Update!$H30-H$1)/H$2*I32/$I$1)</f>
        <v>0.1450718094</v>
      </c>
      <c r="I32" s="119">
        <f>IF(TYPE($A32)=1,"",IF(Update!H30=0,0,Update!G30/Update!H30))</f>
        <v>20.1</v>
      </c>
      <c r="J32" s="120">
        <f>IF(TYPE($A32)=1,"",(Update!$J30-J$1)/J$2*K32/$K$1)</f>
        <v>-0.4476703643</v>
      </c>
      <c r="K32" s="121">
        <f>IF(TYPE($A32)=1,"",IF(Update!J30=0,0,Update!I30/Update!J30))</f>
        <v>5.5</v>
      </c>
      <c r="L32" s="119">
        <f>IF(TYPE($A32)=1,"",-(Update!$Q30-L$1)/L$2)</f>
        <v>-1.372658406</v>
      </c>
      <c r="M32" s="33" t="s">
        <v>70</v>
      </c>
      <c r="N32" s="124">
        <v>12.0</v>
      </c>
      <c r="O32" s="130" t="str">
        <f>IF(Update!B12="",ROW(Update!B12),Update!B12)</f>
        <v>Anthony Davis</v>
      </c>
      <c r="P32" s="131">
        <f>Update!E12</f>
        <v>60</v>
      </c>
      <c r="Q32" s="131" t="str">
        <f>IF(Update!C12="",ROW(Update!N27),Update!C12)</f>
        <v>PF,C</v>
      </c>
      <c r="R32" s="127">
        <f>VLOOKUP($O32,'NO USAR1'!$A$4:$L$403,2,False)+VLOOKUP($O32,'NO USAR1'!$A$4:$L$403,3,False)+VLOOKUP($O32,'NO USAR1'!$A$4:$L$403,4,False)+VLOOKUP($O32,'NO USAR1'!$A$4:$L$403,5,False)+VLOOKUP($O32,'NO USAR1'!$A$4:$L$403,6,False)+VLOOKUP($O32,'NO USAR1'!$A$4:$L$403,7,False)+VLOOKUP($O32,'NO USAR1'!$A$4:$L$403,8,False)+VLOOKUP($O32,'NO USAR1'!$A$4:$L$403,10,False)+VLOOKUP($O32,'NO USAR1'!$A$4:$L$403,12,False)*0</f>
        <v>4.746284103</v>
      </c>
      <c r="S32" s="127">
        <f>VLOOKUP($O32,'NO USAR1'!$A$4:$L$403,2,False)*$U$19+VLOOKUP($O32,'NO USAR1'!$A$4:$L$403,3,False)*$V$19+VLOOKUP($O32,'NO USAR1'!$A$4:$L$403,4,False)*$W$19+VLOOKUP($O32,'NO USAR1'!$A$4:$L$403,5,False)*$X$19+VLOOKUP($O32,'NO USAR1'!$A$4:$L$403,6,False)*$Y$19+VLOOKUP($O32,'NO USAR1'!$A$4:$L$403,7,False)*$Z$19+VLOOKUP($O32,'NO USAR1'!$A$4:$L$403,8,False)*$AA$19+VLOOKUP($O32,'NO USAR1'!$A$4:$L$403,10,False)*$AB$19+VLOOKUP($O32,'NO USAR1'!$A$4:$L$403,12,False)*$AC$19+IF(Projections!$K$3,-AN32, IF(Projections!$J$3,-AM32,0))</f>
        <v>5.121027053</v>
      </c>
      <c r="T32" s="127">
        <f t="shared" si="1"/>
        <v>0.3747429498</v>
      </c>
      <c r="U32" s="127">
        <f>VLOOKUP($O32,Update!$B$2:$R$401,11,False)</f>
        <v>24.3</v>
      </c>
      <c r="V32" s="122">
        <f>VLOOKUP($O32,Update!$B$2:$R$401,10,False)</f>
        <v>0.3</v>
      </c>
      <c r="W32" s="127">
        <f>VLOOKUP($O32,Update!$B$2:$R$401,12,False)</f>
        <v>11.2</v>
      </c>
      <c r="X32" s="127">
        <f>VLOOKUP($O32,Update!$B$2:$R$401,13,False)</f>
        <v>2.8</v>
      </c>
      <c r="Y32" s="127">
        <f>VLOOKUP($O32,Update!$B$2:$R$401,14,False)</f>
        <v>1.1</v>
      </c>
      <c r="Z32" s="132">
        <f>VLOOKUP($O32,Update!$B$2:$R$401,15,False)</f>
        <v>2.1</v>
      </c>
      <c r="AA32" s="127">
        <f>100*VLOOKUP($O32,Update!$B$2:$R$401,7,False)</f>
        <v>54.70588235</v>
      </c>
      <c r="AB32" s="127">
        <f>100*VLOOKUP($O32,Update!$B$2:$R$401,9,False)</f>
        <v>75.71428571</v>
      </c>
      <c r="AC32" s="127">
        <f>VLOOKUP($O32,Update!$B$2:$Q$401,16,False)</f>
        <v>2.1</v>
      </c>
      <c r="AD32" s="127">
        <f>VLOOKUP($O32,'NO USAR1'!$A$4:$L$403,2,False)*$U$19</f>
        <v>1.186987448</v>
      </c>
      <c r="AE32" s="127">
        <f>VLOOKUP($O32,'NO USAR1'!$A$4:$L$403,3,False)*$V$19</f>
        <v>-1.165999176</v>
      </c>
      <c r="AF32" s="127">
        <f>VLOOKUP($O32,'NO USAR1'!$A$4:$L$403,4,False)*$W$19</f>
        <v>2.134535247</v>
      </c>
      <c r="AG32" s="127">
        <f>VLOOKUP($O32,'NO USAR1'!$A$4:$L$403,5,False)*$X$19</f>
        <v>-0.5324656877</v>
      </c>
      <c r="AH32" s="127">
        <f>VLOOKUP($O32,'NO USAR1'!$A$4:$L$403,6,False)*$Y$19</f>
        <v>0.2296792288</v>
      </c>
      <c r="AI32" s="127">
        <f>VLOOKUP($O32,'NO USAR1'!$A$4:$L$403,7,False)*$Z$19</f>
        <v>1.836670878</v>
      </c>
      <c r="AJ32" s="127">
        <f>VLOOKUP($O32,'NO USAR1'!$A$4:$L$403,8,False)*$AA$19</f>
        <v>0.8672792576</v>
      </c>
      <c r="AK32" s="132">
        <f>VLOOKUP($O32,'NO USAR1'!$A$4:$L$403,10,False)*$AB$19</f>
        <v>-0.5689572631</v>
      </c>
      <c r="AL32" s="127">
        <f>VLOOKUP($O32,'NO USAR1'!$A$4:$L$403,12,False)*$AC$19</f>
        <v>-0.03270205491</v>
      </c>
      <c r="AM32" s="133">
        <f t="shared" si="2"/>
        <v>-1.165999176</v>
      </c>
      <c r="AN32" s="133">
        <f t="shared" si="3"/>
        <v>-1.734956439</v>
      </c>
    </row>
    <row r="33">
      <c r="A33" s="118" t="str">
        <f>IF(Update!B31="",ROW(Update!B31),Update!B31)</f>
        <v>Kristaps Porzingis</v>
      </c>
      <c r="B33" s="119">
        <f>IF(TYPE($A33)=1,"",(Update!$L31-B$1)/B$2)</f>
        <v>0.2432397374</v>
      </c>
      <c r="C33" s="119">
        <f>IF(TYPE($A33)=1,"",(Update!$K31-C$1)/C$2)</f>
        <v>0.1496600055</v>
      </c>
      <c r="D33" s="119">
        <f>IF(TYPE($A33)=1,"",(Update!$M31-D$1)/D$2)</f>
        <v>0.7546280413</v>
      </c>
      <c r="E33" s="119">
        <f>IF(TYPE($A33)=1,"",(Update!$N31-E$1)/E$2)</f>
        <v>-0.8086208285</v>
      </c>
      <c r="F33" s="119">
        <f>IF(TYPE($A33)=1,"",(Update!$O31-F$1)/F$2)</f>
        <v>-0.6063863908</v>
      </c>
      <c r="G33" s="119">
        <f>IF(TYPE($A33)=1,"",(Update!$P31-G$1)/G$2)</f>
        <v>1.498251199</v>
      </c>
      <c r="H33" s="119">
        <f>IF(TYPE($A33)=1,"",(Update!$H31-H$1)/H$2*I33/$I$1)</f>
        <v>-0.2172973014</v>
      </c>
      <c r="I33" s="119">
        <f>IF(TYPE($A33)=1,"",IF(Update!H31=0,0,Update!G31/Update!H31))</f>
        <v>13.5</v>
      </c>
      <c r="J33" s="120">
        <f>IF(TYPE($A33)=1,"",(Update!$J31-J$1)/J$2*K33/$K$1)</f>
        <v>0.8960113707</v>
      </c>
      <c r="K33" s="121">
        <f>IF(TYPE($A33)=1,"",IF(Update!J31=0,0,Update!I31/Update!J31))</f>
        <v>4.7</v>
      </c>
      <c r="L33" s="119">
        <f>IF(TYPE($A33)=1,"",-(Update!$Q31-L$1)/L$2)</f>
        <v>0.2417468363</v>
      </c>
      <c r="N33" s="124">
        <v>13.0</v>
      </c>
      <c r="O33" s="130" t="str">
        <f>IF(Update!B9="",ROW(Update!B9),Update!B9)</f>
        <v>Kevin Durant</v>
      </c>
      <c r="P33" s="131">
        <f>Update!E9</f>
        <v>60</v>
      </c>
      <c r="Q33" s="131" t="str">
        <f>IF(Update!C9="",ROW(Update!N24),Update!C9)</f>
        <v>SF,PF</v>
      </c>
      <c r="R33" s="127">
        <f>VLOOKUP($O33,'NO USAR1'!$A$4:$L$403,2,False)+VLOOKUP($O33,'NO USAR1'!$A$4:$L$403,3,False)+VLOOKUP($O33,'NO USAR1'!$A$4:$L$403,4,False)+VLOOKUP($O33,'NO USAR1'!$A$4:$L$403,5,False)+VLOOKUP($O33,'NO USAR1'!$A$4:$L$403,6,False)+VLOOKUP($O33,'NO USAR1'!$A$4:$L$403,7,False)+VLOOKUP($O33,'NO USAR1'!$A$4:$L$403,8,False)+VLOOKUP($O33,'NO USAR1'!$A$4:$L$403,10,False)+VLOOKUP($O33,'NO USAR1'!$A$4:$L$403,12,False)*0</f>
        <v>4.606663232</v>
      </c>
      <c r="S33" s="127">
        <f>VLOOKUP($O33,'NO USAR1'!$A$4:$L$403,2,False)*$U$19+VLOOKUP($O33,'NO USAR1'!$A$4:$L$403,3,False)*$V$19+VLOOKUP($O33,'NO USAR1'!$A$4:$L$403,4,False)*$W$19+VLOOKUP($O33,'NO USAR1'!$A$4:$L$403,5,False)*$X$19+VLOOKUP($O33,'NO USAR1'!$A$4:$L$403,6,False)*$Y$19+VLOOKUP($O33,'NO USAR1'!$A$4:$L$403,7,False)*$Z$19+VLOOKUP($O33,'NO USAR1'!$A$4:$L$403,8,False)*$AA$19+VLOOKUP($O33,'NO USAR1'!$A$4:$L$403,10,False)*$AB$19+VLOOKUP($O33,'NO USAR1'!$A$4:$L$403,12,False)*$AC$19+IF(Projections!$K$3,-AN33, IF(Projections!$J$3,-AM33,0))</f>
        <v>4.56267107</v>
      </c>
      <c r="T33" s="127">
        <f t="shared" si="1"/>
        <v>-0.04399216245</v>
      </c>
      <c r="U33" s="127">
        <f>VLOOKUP($O33,Update!$B$2:$R$401,11,False)</f>
        <v>25.3</v>
      </c>
      <c r="V33" s="122">
        <f>VLOOKUP($O33,Update!$B$2:$R$401,10,False)</f>
        <v>1.9</v>
      </c>
      <c r="W33" s="127">
        <f>VLOOKUP($O33,Update!$B$2:$R$401,12,False)</f>
        <v>6.5</v>
      </c>
      <c r="X33" s="127">
        <f>VLOOKUP($O33,Update!$B$2:$R$401,13,False)</f>
        <v>5</v>
      </c>
      <c r="Y33" s="127">
        <f>VLOOKUP($O33,Update!$B$2:$R$401,14,False)</f>
        <v>0.7</v>
      </c>
      <c r="Z33" s="132">
        <f>VLOOKUP($O33,Update!$B$2:$R$401,15,False)</f>
        <v>1</v>
      </c>
      <c r="AA33" s="127">
        <f>100*VLOOKUP($O33,Update!$B$2:$R$401,7,False)</f>
        <v>52.38095238</v>
      </c>
      <c r="AB33" s="127">
        <f>100*VLOOKUP($O33,Update!$B$2:$R$401,9,False)</f>
        <v>89.39393939</v>
      </c>
      <c r="AC33" s="127">
        <f>VLOOKUP($O33,Update!$B$2:$Q$401,16,False)</f>
        <v>3.1</v>
      </c>
      <c r="AD33" s="127">
        <f>VLOOKUP($O33,'NO USAR1'!$A$4:$L$403,2,False)*$U$19</f>
        <v>1.355513825</v>
      </c>
      <c r="AE33" s="127">
        <f>VLOOKUP($O33,'NO USAR1'!$A$4:$L$403,3,False)*$V$19</f>
        <v>0.2214068836</v>
      </c>
      <c r="AF33" s="127">
        <f>VLOOKUP($O33,'NO USAR1'!$A$4:$L$403,4,False)*$W$19</f>
        <v>0.1692128634</v>
      </c>
      <c r="AG33" s="127">
        <f>VLOOKUP($O33,'NO USAR1'!$A$4:$L$403,5,False)*$X$19</f>
        <v>0.5895884435</v>
      </c>
      <c r="AH33" s="127">
        <f>VLOOKUP($O33,'NO USAR1'!$A$4:$L$403,6,False)*$Y$19</f>
        <v>-0.6425203744</v>
      </c>
      <c r="AI33" s="127">
        <f>VLOOKUP($O33,'NO USAR1'!$A$4:$L$403,7,False)*$Z$19</f>
        <v>0.3921966412</v>
      </c>
      <c r="AJ33" s="127">
        <f>VLOOKUP($O33,'NO USAR1'!$A$4:$L$403,8,False)*$AA$19</f>
        <v>0.4669310432</v>
      </c>
      <c r="AK33" s="132">
        <f>VLOOKUP($O33,'NO USAR1'!$A$4:$L$403,10,False)*$AB$19</f>
        <v>1.710985971</v>
      </c>
      <c r="AL33" s="127">
        <f>VLOOKUP($O33,'NO USAR1'!$A$4:$L$403,12,False)*$AC$19</f>
        <v>-0.3431646016</v>
      </c>
      <c r="AM33" s="133">
        <f t="shared" si="2"/>
        <v>-0.6425203744</v>
      </c>
      <c r="AN33" s="133">
        <f t="shared" si="3"/>
        <v>-0.9856849759</v>
      </c>
    </row>
    <row r="34">
      <c r="A34" s="118" t="str">
        <f>IF(Update!B32="",ROW(Update!B32),Update!B32)</f>
        <v>Myles Turner</v>
      </c>
      <c r="B34" s="119">
        <f>IF(TYPE($A34)=1,"",(Update!$L32-B$1)/B$2)</f>
        <v>-0.1949288427</v>
      </c>
      <c r="C34" s="119">
        <f>IF(TYPE($A34)=1,"",(Update!$K32-C$1)/C$2)</f>
        <v>-0.1393829235</v>
      </c>
      <c r="D34" s="119">
        <f>IF(TYPE($A34)=1,"",(Update!$M32-D$1)/D$2)</f>
        <v>0.5455511921</v>
      </c>
      <c r="E34" s="119">
        <f>IF(TYPE($A34)=1,"",(Update!$N32-E$1)/E$2)</f>
        <v>-1.179547814</v>
      </c>
      <c r="F34" s="119">
        <f>IF(TYPE($A34)=1,"",(Update!$O32-F$1)/F$2)</f>
        <v>-1.229386107</v>
      </c>
      <c r="G34" s="119">
        <f>IF(TYPE($A34)=1,"",(Update!$P32-G$1)/G$2)</f>
        <v>2.999003653</v>
      </c>
      <c r="H34" s="119">
        <f>IF(TYPE($A34)=1,"",(Update!$H32-H$1)/H$2*I34/$I$1)</f>
        <v>0.4929635147</v>
      </c>
      <c r="I34" s="119">
        <f>IF(TYPE($A34)=1,"",IF(Update!H32=0,0,Update!G32/Update!H32))</f>
        <v>11</v>
      </c>
      <c r="J34" s="120">
        <f>IF(TYPE($A34)=1,"",(Update!$J32-J$1)/J$2*K34/$K$1)</f>
        <v>-0.06920781603</v>
      </c>
      <c r="K34" s="121">
        <f>IF(TYPE($A34)=1,"",IF(Update!J32=0,0,Update!I32/Update!J32))</f>
        <v>3.7</v>
      </c>
      <c r="L34" s="119">
        <f>IF(TYPE($A34)=1,"",-(Update!$Q32-L$1)/L$2)</f>
        <v>0.6143018923</v>
      </c>
      <c r="N34" s="33">
        <v>14.0</v>
      </c>
      <c r="O34" s="130" t="str">
        <f>IF(Update!B19="",ROW(Update!B19),Update!B19)</f>
        <v>James Harden</v>
      </c>
      <c r="P34" s="131">
        <f>Update!E19</f>
        <v>60</v>
      </c>
      <c r="Q34" s="131" t="str">
        <f>IF(Update!C19="",ROW(Update!N34),Update!C19)</f>
        <v>PG,SG</v>
      </c>
      <c r="R34" s="127">
        <f>VLOOKUP($O34,'NO USAR1'!$A$4:$L$403,2,False)+VLOOKUP($O34,'NO USAR1'!$A$4:$L$403,3,False)+VLOOKUP($O34,'NO USAR1'!$A$4:$L$403,4,False)+VLOOKUP($O34,'NO USAR1'!$A$4:$L$403,5,False)+VLOOKUP($O34,'NO USAR1'!$A$4:$L$403,6,False)+VLOOKUP($O34,'NO USAR1'!$A$4:$L$403,7,False)+VLOOKUP($O34,'NO USAR1'!$A$4:$L$403,8,False)+VLOOKUP($O34,'NO USAR1'!$A$4:$L$403,10,False)+VLOOKUP($O34,'NO USAR1'!$A$4:$L$403,12,False)*0</f>
        <v>4.432903751</v>
      </c>
      <c r="S34" s="127">
        <f>VLOOKUP($O34,'NO USAR1'!$A$4:$L$403,2,False)*$U$19+VLOOKUP($O34,'NO USAR1'!$A$4:$L$403,3,False)*$V$19+VLOOKUP($O34,'NO USAR1'!$A$4:$L$403,4,False)*$W$19+VLOOKUP($O34,'NO USAR1'!$A$4:$L$403,5,False)*$X$19+VLOOKUP($O34,'NO USAR1'!$A$4:$L$403,6,False)*$Y$19+VLOOKUP($O34,'NO USAR1'!$A$4:$L$403,7,False)*$Z$19+VLOOKUP($O34,'NO USAR1'!$A$4:$L$403,8,False)*$AA$19+VLOOKUP($O34,'NO USAR1'!$A$4:$L$403,10,False)*$AB$19+VLOOKUP($O34,'NO USAR1'!$A$4:$L$403,12,False)*$AC$19+IF(Projections!$K$3,-AN34, IF(Projections!$J$3,-AM34,0))</f>
        <v>4.823479499</v>
      </c>
      <c r="T34" s="127">
        <f t="shared" si="1"/>
        <v>0.3905757477</v>
      </c>
      <c r="U34" s="127">
        <f>VLOOKUP($O34,Update!$B$2:$R$401,11,False)</f>
        <v>20</v>
      </c>
      <c r="V34" s="122">
        <f>VLOOKUP($O34,Update!$B$2:$R$401,10,False)</f>
        <v>2.4</v>
      </c>
      <c r="W34" s="127">
        <f>VLOOKUP($O34,Update!$B$2:$R$401,12,False)</f>
        <v>5.6</v>
      </c>
      <c r="X34" s="127">
        <f>VLOOKUP($O34,Update!$B$2:$R$401,13,False)</f>
        <v>10.1</v>
      </c>
      <c r="Y34" s="127">
        <f>VLOOKUP($O34,Update!$B$2:$R$401,14,False)</f>
        <v>1.1</v>
      </c>
      <c r="Z34" s="132">
        <f>VLOOKUP($O34,Update!$B$2:$R$401,15,False)</f>
        <v>0.5</v>
      </c>
      <c r="AA34" s="127">
        <f>100*VLOOKUP($O34,Update!$B$2:$R$401,7,False)</f>
        <v>42.75362319</v>
      </c>
      <c r="AB34" s="127">
        <f>100*VLOOKUP($O34,Update!$B$2:$R$401,9,False)</f>
        <v>86.76470588</v>
      </c>
      <c r="AC34" s="127">
        <f>VLOOKUP($O34,Update!$B$2:$Q$401,16,False)</f>
        <v>3.8</v>
      </c>
      <c r="AD34" s="127">
        <f>VLOOKUP($O34,'NO USAR1'!$A$4:$L$403,2,False)*$U$19</f>
        <v>0.4623240275</v>
      </c>
      <c r="AE34" s="127">
        <f>VLOOKUP($O34,'NO USAR1'!$A$4:$L$403,3,False)*$V$19</f>
        <v>0.6549712771</v>
      </c>
      <c r="AF34" s="127">
        <f>VLOOKUP($O34,'NO USAR1'!$A$4:$L$403,4,False)*$W$19</f>
        <v>-0.2071254654</v>
      </c>
      <c r="AG34" s="127">
        <f>VLOOKUP($O34,'NO USAR1'!$A$4:$L$403,5,False)*$X$19</f>
        <v>3.19071393</v>
      </c>
      <c r="AH34" s="127">
        <f>VLOOKUP($O34,'NO USAR1'!$A$4:$L$403,6,False)*$Y$19</f>
        <v>0.2296792288</v>
      </c>
      <c r="AI34" s="127">
        <f>VLOOKUP($O34,'NO USAR1'!$A$4:$L$403,7,False)*$Z$19</f>
        <v>-0.2643825572</v>
      </c>
      <c r="AJ34" s="127">
        <f>VLOOKUP($O34,'NO USAR1'!$A$4:$L$403,8,False)*$AA$19</f>
        <v>-0.9435130391</v>
      </c>
      <c r="AK34" s="132">
        <f>VLOOKUP($O34,'NO USAR1'!$A$4:$L$403,10,False)*$AB$19</f>
        <v>1.317787442</v>
      </c>
      <c r="AL34" s="127">
        <f>VLOOKUP($O34,'NO USAR1'!$A$4:$L$403,12,False)*$AC$19</f>
        <v>-0.5604883842</v>
      </c>
      <c r="AM34" s="133">
        <f t="shared" si="2"/>
        <v>-0.9435130391</v>
      </c>
      <c r="AN34" s="133">
        <f t="shared" si="3"/>
        <v>-1.504001423</v>
      </c>
    </row>
    <row r="35">
      <c r="A35" s="118" t="str">
        <f>IF(Update!B33="",ROW(Update!B33),Update!B33)</f>
        <v>Darius Garland</v>
      </c>
      <c r="B35" s="119">
        <f>IF(TYPE($A35)=1,"",(Update!$L33-B$1)/B$2)</f>
        <v>0.765671506</v>
      </c>
      <c r="C35" s="119">
        <f>IF(TYPE($A35)=1,"",(Update!$K33-C$1)/C$2)</f>
        <v>0.8240935064</v>
      </c>
      <c r="D35" s="119">
        <f>IF(TYPE($A35)=1,"",(Update!$M33-D$1)/D$2)</f>
        <v>-1.294325082</v>
      </c>
      <c r="E35" s="119">
        <f>IF(TYPE($A35)=1,"",(Update!$N33-E$1)/E$2)</f>
        <v>1.834233943</v>
      </c>
      <c r="F35" s="119">
        <f>IF(TYPE($A35)=1,"",(Update!$O33-F$1)/F$2)</f>
        <v>0.6396130423</v>
      </c>
      <c r="G35" s="119">
        <f>IF(TYPE($A35)=1,"",(Update!$P33-G$1)/G$2)</f>
        <v>-1.128065594</v>
      </c>
      <c r="H35" s="119">
        <f>IF(TYPE($A35)=1,"",(Update!$H33-H$1)/H$2*I35/$I$1)</f>
        <v>-0.7011314291</v>
      </c>
      <c r="I35" s="119">
        <f>IF(TYPE($A35)=1,"",IF(Update!H33=0,0,Update!G33/Update!H33))</f>
        <v>17</v>
      </c>
      <c r="J35" s="120">
        <f>IF(TYPE($A35)=1,"",(Update!$J33-J$1)/J$2*K35/$K$1)</f>
        <v>1.125884038</v>
      </c>
      <c r="K35" s="121">
        <f>IF(TYPE($A35)=1,"",IF(Update!J33=0,0,Update!I33/Update!J33))</f>
        <v>4.1</v>
      </c>
      <c r="L35" s="119">
        <f>IF(TYPE($A35)=1,"",-(Update!$Q33-L$1)/L$2)</f>
        <v>-1.248473388</v>
      </c>
      <c r="N35" s="124">
        <v>15.0</v>
      </c>
      <c r="O35" s="130" t="str">
        <f>IF(Update!B16="",ROW(Update!B16),Update!B16)</f>
        <v>Trae Young</v>
      </c>
      <c r="P35" s="131">
        <f>Update!E16</f>
        <v>75</v>
      </c>
      <c r="Q35" s="131" t="str">
        <f>IF(Update!C16="",ROW(Update!N31),Update!C16)</f>
        <v>PG</v>
      </c>
      <c r="R35" s="127">
        <f>VLOOKUP($O35,'NO USAR1'!$A$4:$L$403,2,False)+VLOOKUP($O35,'NO USAR1'!$A$4:$L$403,3,False)+VLOOKUP($O35,'NO USAR1'!$A$4:$L$403,4,False)+VLOOKUP($O35,'NO USAR1'!$A$4:$L$403,5,False)+VLOOKUP($O35,'NO USAR1'!$A$4:$L$403,6,False)+VLOOKUP($O35,'NO USAR1'!$A$4:$L$403,7,False)+VLOOKUP($O35,'NO USAR1'!$A$4:$L$403,8,False)+VLOOKUP($O35,'NO USAR1'!$A$4:$L$403,10,False)+VLOOKUP($O35,'NO USAR1'!$A$4:$L$403,12,False)*0</f>
        <v>4.266807449</v>
      </c>
      <c r="S35" s="127">
        <f>VLOOKUP($O35,'NO USAR1'!$A$4:$L$403,2,False)*$U$19+VLOOKUP($O35,'NO USAR1'!$A$4:$L$403,3,False)*$V$19+VLOOKUP($O35,'NO USAR1'!$A$4:$L$403,4,False)*$W$19+VLOOKUP($O35,'NO USAR1'!$A$4:$L$403,5,False)*$X$19+VLOOKUP($O35,'NO USAR1'!$A$4:$L$403,6,False)*$Y$19+VLOOKUP($O35,'NO USAR1'!$A$4:$L$403,7,False)*$Z$19+VLOOKUP($O35,'NO USAR1'!$A$4:$L$403,8,False)*$AA$19+VLOOKUP($O35,'NO USAR1'!$A$4:$L$403,10,False)*$AB$19+VLOOKUP($O35,'NO USAR1'!$A$4:$L$403,12,False)*$AC$19+IF(Projections!$K$3,-AN35, IF(Projections!$J$3,-AM35,0))</f>
        <v>4.93747458</v>
      </c>
      <c r="T35" s="127">
        <f t="shared" si="1"/>
        <v>0.6706671311</v>
      </c>
      <c r="U35" s="127">
        <f>VLOOKUP($O35,Update!$B$2:$R$401,11,False)</f>
        <v>27.1</v>
      </c>
      <c r="V35" s="122">
        <f>VLOOKUP($O35,Update!$B$2:$R$401,10,False)</f>
        <v>2.2</v>
      </c>
      <c r="W35" s="127">
        <f>VLOOKUP($O35,Update!$B$2:$R$401,12,False)</f>
        <v>3.4</v>
      </c>
      <c r="X35" s="127">
        <f>VLOOKUP($O35,Update!$B$2:$R$401,13,False)</f>
        <v>10</v>
      </c>
      <c r="Y35" s="127">
        <f>VLOOKUP($O35,Update!$B$2:$R$401,14,False)</f>
        <v>1.1</v>
      </c>
      <c r="Z35" s="132">
        <f>VLOOKUP($O35,Update!$B$2:$R$401,15,False)</f>
        <v>0.1</v>
      </c>
      <c r="AA35" s="127">
        <f>100*VLOOKUP($O35,Update!$B$2:$R$401,7,False)</f>
        <v>43.62745098</v>
      </c>
      <c r="AB35" s="127">
        <f>100*VLOOKUP($O35,Update!$B$2:$R$401,9,False)</f>
        <v>88.88888889</v>
      </c>
      <c r="AC35" s="127">
        <f>VLOOKUP($O35,Update!$B$2:$Q$401,16,False)</f>
        <v>4.1</v>
      </c>
      <c r="AD35" s="127">
        <f>VLOOKUP($O35,'NO USAR1'!$A$4:$L$403,2,False)*$U$19</f>
        <v>1.658861304</v>
      </c>
      <c r="AE35" s="127">
        <f>VLOOKUP($O35,'NO USAR1'!$A$4:$L$403,3,False)*$V$19</f>
        <v>0.4815455197</v>
      </c>
      <c r="AF35" s="127">
        <f>VLOOKUP($O35,'NO USAR1'!$A$4:$L$403,4,False)*$W$19</f>
        <v>-1.127063602</v>
      </c>
      <c r="AG35" s="127">
        <f>VLOOKUP($O35,'NO USAR1'!$A$4:$L$403,5,False)*$X$19</f>
        <v>3.139711469</v>
      </c>
      <c r="AH35" s="127">
        <f>VLOOKUP($O35,'NO USAR1'!$A$4:$L$403,6,False)*$Y$19</f>
        <v>0.2296792288</v>
      </c>
      <c r="AI35" s="127">
        <f>VLOOKUP($O35,'NO USAR1'!$A$4:$L$403,7,False)*$Z$19</f>
        <v>-0.7896459159</v>
      </c>
      <c r="AJ35" s="127">
        <f>VLOOKUP($O35,'NO USAR1'!$A$4:$L$403,8,False)*$AA$19</f>
        <v>-1.216699857</v>
      </c>
      <c r="AK35" s="132">
        <f>VLOOKUP($O35,'NO USAR1'!$A$4:$L$403,10,False)*$AB$19</f>
        <v>1.998013725</v>
      </c>
      <c r="AL35" s="127">
        <f>VLOOKUP($O35,'NO USAR1'!$A$4:$L$403,12,False)*$AC$19</f>
        <v>-0.6536271482</v>
      </c>
      <c r="AM35" s="133">
        <f t="shared" si="2"/>
        <v>-1.216699857</v>
      </c>
      <c r="AN35" s="133">
        <f t="shared" si="3"/>
        <v>-2.343763459</v>
      </c>
    </row>
    <row r="36">
      <c r="A36" s="118" t="str">
        <f>IF(Update!B34="",ROW(Update!B34),Update!B34)</f>
        <v>DeMar DeRozan</v>
      </c>
      <c r="B36" s="119">
        <f>IF(TYPE($A36)=1,"",(Update!$L34-B$1)/B$2)</f>
        <v>1.254397999</v>
      </c>
      <c r="C36" s="119">
        <f>IF(TYPE($A36)=1,"",(Update!$K34-C$1)/C$2)</f>
        <v>-1.00651171</v>
      </c>
      <c r="D36" s="119">
        <f>IF(TYPE($A36)=1,"",(Update!$M34-D$1)/D$2)</f>
        <v>-0.6252791639</v>
      </c>
      <c r="E36" s="119">
        <f>IF(TYPE($A36)=1,"",(Update!$N34-E$1)/E$2)</f>
        <v>0.4896236209</v>
      </c>
      <c r="F36" s="119">
        <f>IF(TYPE($A36)=1,"",(Update!$O34-F$1)/F$2)</f>
        <v>0.01661332578</v>
      </c>
      <c r="G36" s="119">
        <f>IF(TYPE($A36)=1,"",(Update!$P34-G$1)/G$2)</f>
        <v>-0.5652834241</v>
      </c>
      <c r="H36" s="119">
        <f>IF(TYPE($A36)=1,"",(Update!$H34-H$1)/H$2*I36/$I$1)</f>
        <v>0.1912052788</v>
      </c>
      <c r="I36" s="119">
        <f>IF(TYPE($A36)=1,"",IF(Update!H34=0,0,Update!G34/Update!H34))</f>
        <v>18</v>
      </c>
      <c r="J36" s="120">
        <f>IF(TYPE($A36)=1,"",(Update!$J34-J$1)/J$2*K36/$K$1)</f>
        <v>1.712640676</v>
      </c>
      <c r="K36" s="121">
        <f>IF(TYPE($A36)=1,"",IF(Update!J34=0,0,Update!I34/Update!J34))</f>
        <v>6.9</v>
      </c>
      <c r="L36" s="119">
        <f>IF(TYPE($A36)=1,"",-(Update!$Q34-L$1)/L$2)</f>
        <v>-0.1308082197</v>
      </c>
      <c r="N36" s="124">
        <v>16.0</v>
      </c>
      <c r="O36" s="130" t="str">
        <f>IF(Update!B15="",ROW(Update!B15),Update!B15)</f>
        <v>Devin Booker</v>
      </c>
      <c r="P36" s="131">
        <f>Update!E15</f>
        <v>68</v>
      </c>
      <c r="Q36" s="131" t="str">
        <f>IF(Update!C15="",ROW(Update!N30),Update!C15)</f>
        <v>SG,SF</v>
      </c>
      <c r="R36" s="127">
        <f>VLOOKUP($O36,'NO USAR1'!$A$4:$L$403,2,False)+VLOOKUP($O36,'NO USAR1'!$A$4:$L$403,3,False)+VLOOKUP($O36,'NO USAR1'!$A$4:$L$403,4,False)+VLOOKUP($O36,'NO USAR1'!$A$4:$L$403,5,False)+VLOOKUP($O36,'NO USAR1'!$A$4:$L$403,6,False)+VLOOKUP($O36,'NO USAR1'!$A$4:$L$403,7,False)+VLOOKUP($O36,'NO USAR1'!$A$4:$L$403,8,False)+VLOOKUP($O36,'NO USAR1'!$A$4:$L$403,10,False)+VLOOKUP($O36,'NO USAR1'!$A$4:$L$403,12,False)*0</f>
        <v>4.021516656</v>
      </c>
      <c r="S36" s="127">
        <f>VLOOKUP($O36,'NO USAR1'!$A$4:$L$403,2,False)*$U$19+VLOOKUP($O36,'NO USAR1'!$A$4:$L$403,3,False)*$V$19+VLOOKUP($O36,'NO USAR1'!$A$4:$L$403,4,False)*$W$19+VLOOKUP($O36,'NO USAR1'!$A$4:$L$403,5,False)*$X$19+VLOOKUP($O36,'NO USAR1'!$A$4:$L$403,6,False)*$Y$19+VLOOKUP($O36,'NO USAR1'!$A$4:$L$403,7,False)*$Z$19+VLOOKUP($O36,'NO USAR1'!$A$4:$L$403,8,False)*$AA$19+VLOOKUP($O36,'NO USAR1'!$A$4:$L$403,10,False)*$AB$19+VLOOKUP($O36,'NO USAR1'!$A$4:$L$403,12,False)*$AC$19+IF(Projections!$K$3,-AN36, IF(Projections!$J$3,-AM36,0))</f>
        <v>4.173981508</v>
      </c>
      <c r="T36" s="127">
        <f t="shared" si="1"/>
        <v>0.152464852</v>
      </c>
      <c r="U36" s="127">
        <f>VLOOKUP($O36,Update!$B$2:$R$401,11,False)</f>
        <v>27.2</v>
      </c>
      <c r="V36" s="122">
        <f>VLOOKUP($O36,Update!$B$2:$R$401,10,False)</f>
        <v>2.3</v>
      </c>
      <c r="W36" s="127">
        <f>VLOOKUP($O36,Update!$B$2:$R$401,12,False)</f>
        <v>4.9</v>
      </c>
      <c r="X36" s="127">
        <f>VLOOKUP($O36,Update!$B$2:$R$401,13,False)</f>
        <v>6.3</v>
      </c>
      <c r="Y36" s="127">
        <f>VLOOKUP($O36,Update!$B$2:$R$401,14,False)</f>
        <v>1.1</v>
      </c>
      <c r="Z36" s="132">
        <f>VLOOKUP($O36,Update!$B$2:$R$401,15,False)</f>
        <v>0.4</v>
      </c>
      <c r="AA36" s="127">
        <f>100*VLOOKUP($O36,Update!$B$2:$R$401,7,False)</f>
        <v>48.75621891</v>
      </c>
      <c r="AB36" s="127">
        <f>100*VLOOKUP($O36,Update!$B$2:$R$401,9,False)</f>
        <v>86.8852459</v>
      </c>
      <c r="AC36" s="127">
        <f>VLOOKUP($O36,Update!$B$2:$Q$401,16,False)</f>
        <v>2.6</v>
      </c>
      <c r="AD36" s="127">
        <f>VLOOKUP($O36,'NO USAR1'!$A$4:$L$403,2,False)*$U$19</f>
        <v>1.675713942</v>
      </c>
      <c r="AE36" s="127">
        <f>VLOOKUP($O36,'NO USAR1'!$A$4:$L$403,3,False)*$V$19</f>
        <v>0.5682583984</v>
      </c>
      <c r="AF36" s="127">
        <f>VLOOKUP($O36,'NO USAR1'!$A$4:$L$403,4,False)*$W$19</f>
        <v>-0.4998330543</v>
      </c>
      <c r="AG36" s="127">
        <f>VLOOKUP($O36,'NO USAR1'!$A$4:$L$403,5,False)*$X$19</f>
        <v>1.25262043</v>
      </c>
      <c r="AH36" s="127">
        <f>VLOOKUP($O36,'NO USAR1'!$A$4:$L$403,6,False)*$Y$19</f>
        <v>0.2296792288</v>
      </c>
      <c r="AI36" s="127">
        <f>VLOOKUP($O36,'NO USAR1'!$A$4:$L$403,7,False)*$Z$19</f>
        <v>-0.3956983969</v>
      </c>
      <c r="AJ36" s="127">
        <f>VLOOKUP($O36,'NO USAR1'!$A$4:$L$403,8,False)*$AA$19</f>
        <v>-0.1690948803</v>
      </c>
      <c r="AK36" s="132">
        <f>VLOOKUP($O36,'NO USAR1'!$A$4:$L$403,10,False)*$AB$19</f>
        <v>1.200436115</v>
      </c>
      <c r="AL36" s="127">
        <f>VLOOKUP($O36,'NO USAR1'!$A$4:$L$403,12,False)*$AC$19</f>
        <v>-0.1879333282</v>
      </c>
      <c r="AM36" s="133">
        <f t="shared" si="2"/>
        <v>-0.4998330543</v>
      </c>
      <c r="AN36" s="133">
        <f t="shared" si="3"/>
        <v>-0.8955314512</v>
      </c>
    </row>
    <row r="37">
      <c r="A37" s="118" t="str">
        <f>IF(Update!B35="",ROW(Update!B35),Update!B35)</f>
        <v>Fred VanVleet</v>
      </c>
      <c r="B37" s="119">
        <f>IF(TYPE($A37)=1,"",(Update!$L35-B$1)/B$2)</f>
        <v>0.1926818243</v>
      </c>
      <c r="C37" s="119">
        <f>IF(TYPE($A37)=1,"",(Update!$K35-C$1)/C$2)</f>
        <v>1.402179364</v>
      </c>
      <c r="D37" s="119">
        <f>IF(TYPE($A37)=1,"",(Update!$M35-D$1)/D$2)</f>
        <v>-0.9179867529</v>
      </c>
      <c r="E37" s="119">
        <f>IF(TYPE($A37)=1,"",(Update!$N35-E$1)/E$2)</f>
        <v>1.185111719</v>
      </c>
      <c r="F37" s="119">
        <f>IF(TYPE($A37)=1,"",(Update!$O35-F$1)/F$2)</f>
        <v>1.885612475</v>
      </c>
      <c r="G37" s="119">
        <f>IF(TYPE($A37)=1,"",(Update!$P35-G$1)/G$2)</f>
        <v>-0.3776893674</v>
      </c>
      <c r="H37" s="119">
        <f>IF(TYPE($A37)=1,"",(Update!$H35-H$1)/H$2*I37/$I$1)</f>
        <v>-1.652080316</v>
      </c>
      <c r="I37" s="119">
        <f>IF(TYPE($A37)=1,"",IF(Update!H35=0,0,Update!G35/Update!H35))</f>
        <v>15.3</v>
      </c>
      <c r="J37" s="120">
        <f>IF(TYPE($A37)=1,"",(Update!$J35-J$1)/J$2*K37/$K$1)</f>
        <v>1.044601252</v>
      </c>
      <c r="K37" s="121">
        <f>IF(TYPE($A37)=1,"",IF(Update!J35=0,0,Update!I35/Update!J35))</f>
        <v>3.5</v>
      </c>
      <c r="L37" s="119">
        <f>IF(TYPE($A37)=1,"",-(Update!$Q35-L$1)/L$2)</f>
        <v>-0.1308082197</v>
      </c>
      <c r="N37" s="33">
        <v>17.0</v>
      </c>
      <c r="O37" s="130" t="str">
        <f>IF(Update!B24="",ROW(Update!B24),Update!B24)</f>
        <v>Anthony Edwards</v>
      </c>
      <c r="P37" s="131">
        <f>Update!E24</f>
        <v>76</v>
      </c>
      <c r="Q37" s="131" t="str">
        <f>IF(Update!C24="",ROW(Update!N39),Update!C24)</f>
        <v>SG,SF</v>
      </c>
      <c r="R37" s="127">
        <f>VLOOKUP($O37,'NO USAR1'!$A$4:$L$403,2,False)+VLOOKUP($O37,'NO USAR1'!$A$4:$L$403,3,False)+VLOOKUP($O37,'NO USAR1'!$A$4:$L$403,4,False)+VLOOKUP($O37,'NO USAR1'!$A$4:$L$403,5,False)+VLOOKUP($O37,'NO USAR1'!$A$4:$L$403,6,False)+VLOOKUP($O37,'NO USAR1'!$A$4:$L$403,7,False)+VLOOKUP($O37,'NO USAR1'!$A$4:$L$403,8,False)+VLOOKUP($O37,'NO USAR1'!$A$4:$L$403,10,False)+VLOOKUP($O37,'NO USAR1'!$A$4:$L$403,12,False)*0</f>
        <v>3.780704065</v>
      </c>
      <c r="S37" s="127">
        <f>VLOOKUP($O37,'NO USAR1'!$A$4:$L$403,2,False)*$U$19+VLOOKUP($O37,'NO USAR1'!$A$4:$L$403,3,False)*$V$19+VLOOKUP($O37,'NO USAR1'!$A$4:$L$403,4,False)*$W$19+VLOOKUP($O37,'NO USAR1'!$A$4:$L$403,5,False)*$X$19+VLOOKUP($O37,'NO USAR1'!$A$4:$L$403,6,False)*$Y$19+VLOOKUP($O37,'NO USAR1'!$A$4:$L$403,7,False)*$Z$19+VLOOKUP($O37,'NO USAR1'!$A$4:$L$403,8,False)*$AA$19+VLOOKUP($O37,'NO USAR1'!$A$4:$L$403,10,False)*$AB$19+VLOOKUP($O37,'NO USAR1'!$A$4:$L$403,12,False)*$AC$19+IF(Projections!$K$3,-AN37, IF(Projections!$J$3,-AM37,0))</f>
        <v>3.575454796</v>
      </c>
      <c r="T37" s="127">
        <f t="shared" si="1"/>
        <v>-0.2052492688</v>
      </c>
      <c r="U37" s="127">
        <f>VLOOKUP($O37,Update!$B$2:$R$401,11,False)</f>
        <v>25.8</v>
      </c>
      <c r="V37" s="122">
        <f>VLOOKUP($O37,Update!$B$2:$R$401,10,False)</f>
        <v>3</v>
      </c>
      <c r="W37" s="127">
        <f>VLOOKUP($O37,Update!$B$2:$R$401,12,False)</f>
        <v>5.7</v>
      </c>
      <c r="X37" s="127">
        <f>VLOOKUP($O37,Update!$B$2:$R$401,13,False)</f>
        <v>4.8</v>
      </c>
      <c r="Y37" s="127">
        <f>VLOOKUP($O37,Update!$B$2:$R$401,14,False)</f>
        <v>1.6</v>
      </c>
      <c r="Z37" s="132">
        <f>VLOOKUP($O37,Update!$B$2:$R$401,15,False)</f>
        <v>0.7</v>
      </c>
      <c r="AA37" s="127">
        <f>100*VLOOKUP($O37,Update!$B$2:$R$401,7,False)</f>
        <v>46.23115578</v>
      </c>
      <c r="AB37" s="127">
        <f>100*VLOOKUP($O37,Update!$B$2:$R$401,9,False)</f>
        <v>76.78571429</v>
      </c>
      <c r="AC37" s="127">
        <f>VLOOKUP($O37,Update!$B$2:$Q$401,16,False)</f>
        <v>3.2</v>
      </c>
      <c r="AD37" s="127">
        <f>VLOOKUP($O37,'NO USAR1'!$A$4:$L$403,2,False)*$U$19</f>
        <v>1.439777014</v>
      </c>
      <c r="AE37" s="127">
        <f>VLOOKUP($O37,'NO USAR1'!$A$4:$L$403,3,False)*$V$19</f>
        <v>1.175248549</v>
      </c>
      <c r="AF37" s="127">
        <f>VLOOKUP($O37,'NO USAR1'!$A$4:$L$403,4,False)*$W$19</f>
        <v>-0.1653100955</v>
      </c>
      <c r="AG37" s="127">
        <f>VLOOKUP($O37,'NO USAR1'!$A$4:$L$403,5,False)*$X$19</f>
        <v>0.4875835225</v>
      </c>
      <c r="AH37" s="127">
        <f>VLOOKUP($O37,'NO USAR1'!$A$4:$L$403,6,False)*$Y$19</f>
        <v>1.319928733</v>
      </c>
      <c r="AI37" s="127">
        <f>VLOOKUP($O37,'NO USAR1'!$A$4:$L$403,7,False)*$Z$19</f>
        <v>-0.001750877862</v>
      </c>
      <c r="AJ37" s="127">
        <f>VLOOKUP($O37,'NO USAR1'!$A$4:$L$403,8,False)*$AA$19</f>
        <v>-0.6693295977</v>
      </c>
      <c r="AK37" s="132">
        <f>VLOOKUP($O37,'NO USAR1'!$A$4:$L$403,10,False)*$AB$19</f>
        <v>-0.3058111928</v>
      </c>
      <c r="AL37" s="127">
        <f>VLOOKUP($O37,'NO USAR1'!$A$4:$L$403,12,False)*$AC$19</f>
        <v>-0.3742108562</v>
      </c>
      <c r="AM37" s="133">
        <f t="shared" si="2"/>
        <v>-0.6693295977</v>
      </c>
      <c r="AN37" s="133">
        <f t="shared" si="3"/>
        <v>-1.043540454</v>
      </c>
    </row>
    <row r="38">
      <c r="A38" s="118" t="str">
        <f>IF(Update!B36="",ROW(Update!B36),Update!B36)</f>
        <v>Dejounte Murray</v>
      </c>
      <c r="B38" s="119">
        <f>IF(TYPE($A38)=1,"",(Update!$L36-B$1)/B$2)</f>
        <v>0.5802924913</v>
      </c>
      <c r="C38" s="119">
        <f>IF(TYPE($A38)=1,"",(Update!$K36-C$1)/C$2)</f>
        <v>-0.04303528054</v>
      </c>
      <c r="D38" s="119">
        <f>IF(TYPE($A38)=1,"",(Update!$M36-D$1)/D$2)</f>
        <v>0.1692128634</v>
      </c>
      <c r="E38" s="119">
        <f>IF(TYPE($A38)=1,"",(Update!$N36-E$1)/E$2)</f>
        <v>1.185111719</v>
      </c>
      <c r="F38" s="119">
        <f>IF(TYPE($A38)=1,"",(Update!$O36-F$1)/F$2)</f>
        <v>1.885612475</v>
      </c>
      <c r="G38" s="119">
        <f>IF(TYPE($A38)=1,"",(Update!$P36-G$1)/G$2)</f>
        <v>-0.7528774808</v>
      </c>
      <c r="H38" s="119">
        <f>IF(TYPE($A38)=1,"",(Update!$H36-H$1)/H$2*I38/$I$1)</f>
        <v>-0.6398452409</v>
      </c>
      <c r="I38" s="119">
        <f>IF(TYPE($A38)=1,"",IF(Update!H36=0,0,Update!G36/Update!H36))</f>
        <v>18.3</v>
      </c>
      <c r="J38" s="120">
        <f>IF(TYPE($A38)=1,"",(Update!$J36-J$1)/J$2*K38/$K$1)</f>
        <v>0.1447884383</v>
      </c>
      <c r="K38" s="121">
        <f>IF(TYPE($A38)=1,"",IF(Update!J36=0,0,Update!I36/Update!J36))</f>
        <v>2.6</v>
      </c>
      <c r="L38" s="119">
        <f>IF(TYPE($A38)=1,"",-(Update!$Q36-L$1)/L$2)</f>
        <v>-0.2549932383</v>
      </c>
      <c r="N38" s="124">
        <v>18.0</v>
      </c>
      <c r="O38" s="130" t="str">
        <f>IF(Update!B17="",ROW(Update!B17),Update!B17)</f>
        <v>Domantas Sabonis</v>
      </c>
      <c r="P38" s="131">
        <f>Update!E17</f>
        <v>72</v>
      </c>
      <c r="Q38" s="131" t="str">
        <f>IF(Update!C17="",ROW(Update!N32),Update!C17)</f>
        <v>PF,C</v>
      </c>
      <c r="R38" s="127">
        <f>VLOOKUP($O38,'NO USAR1'!$A$4:$L$403,2,False)+VLOOKUP($O38,'NO USAR1'!$A$4:$L$403,3,False)+VLOOKUP($O38,'NO USAR1'!$A$4:$L$403,4,False)+VLOOKUP($O38,'NO USAR1'!$A$4:$L$403,5,False)+VLOOKUP($O38,'NO USAR1'!$A$4:$L$403,6,False)+VLOOKUP($O38,'NO USAR1'!$A$4:$L$403,7,False)+VLOOKUP($O38,'NO USAR1'!$A$4:$L$403,8,False)+VLOOKUP($O38,'NO USAR1'!$A$4:$L$403,10,False)+VLOOKUP($O38,'NO USAR1'!$A$4:$L$403,12,False)*0</f>
        <v>3.579700592</v>
      </c>
      <c r="S38" s="127">
        <f>VLOOKUP($O38,'NO USAR1'!$A$4:$L$403,2,False)*$U$19+VLOOKUP($O38,'NO USAR1'!$A$4:$L$403,3,False)*$V$19+VLOOKUP($O38,'NO USAR1'!$A$4:$L$403,4,False)*$W$19+VLOOKUP($O38,'NO USAR1'!$A$4:$L$403,5,False)*$X$19+VLOOKUP($O38,'NO USAR1'!$A$4:$L$403,6,False)*$Y$19+VLOOKUP($O38,'NO USAR1'!$A$4:$L$403,7,False)*$Z$19+VLOOKUP($O38,'NO USAR1'!$A$4:$L$403,8,False)*$AA$19+VLOOKUP($O38,'NO USAR1'!$A$4:$L$403,10,False)*$AB$19+VLOOKUP($O38,'NO USAR1'!$A$4:$L$403,12,False)*$AC$19+IF(Projections!$K$3,-AN38, IF(Projections!$J$3,-AM38,0))</f>
        <v>4.734502334</v>
      </c>
      <c r="T38" s="127">
        <f t="shared" si="1"/>
        <v>1.154801742</v>
      </c>
      <c r="U38" s="127">
        <f>VLOOKUP($O38,Update!$B$2:$R$401,11,False)</f>
        <v>19.5</v>
      </c>
      <c r="V38" s="122">
        <f>VLOOKUP($O38,Update!$B$2:$R$401,10,False)</f>
        <v>0.5</v>
      </c>
      <c r="W38" s="127">
        <f>VLOOKUP($O38,Update!$B$2:$R$401,12,False)</f>
        <v>12.4</v>
      </c>
      <c r="X38" s="127">
        <f>VLOOKUP($O38,Update!$B$2:$R$401,13,False)</f>
        <v>7.3</v>
      </c>
      <c r="Y38" s="127">
        <f>VLOOKUP($O38,Update!$B$2:$R$401,14,False)</f>
        <v>0.9</v>
      </c>
      <c r="Z38" s="132">
        <f>VLOOKUP($O38,Update!$B$2:$R$401,15,False)</f>
        <v>0.5</v>
      </c>
      <c r="AA38" s="127">
        <f>100*VLOOKUP($O38,Update!$B$2:$R$401,7,False)</f>
        <v>60.6557377</v>
      </c>
      <c r="AB38" s="127">
        <f>100*VLOOKUP($O38,Update!$B$2:$R$401,9,False)</f>
        <v>74.54545455</v>
      </c>
      <c r="AC38" s="127">
        <f>VLOOKUP($O38,Update!$B$2:$Q$401,16,False)</f>
        <v>3</v>
      </c>
      <c r="AD38" s="127">
        <f>VLOOKUP($O38,'NO USAR1'!$A$4:$L$403,2,False)*$U$19</f>
        <v>0.378060839</v>
      </c>
      <c r="AE38" s="127">
        <f>VLOOKUP($O38,'NO USAR1'!$A$4:$L$403,3,False)*$V$19</f>
        <v>-0.9925734181</v>
      </c>
      <c r="AF38" s="127">
        <f>VLOOKUP($O38,'NO USAR1'!$A$4:$L$403,4,False)*$W$19</f>
        <v>2.636319685</v>
      </c>
      <c r="AG38" s="127">
        <f>VLOOKUP($O38,'NO USAR1'!$A$4:$L$403,5,False)*$X$19</f>
        <v>1.762645035</v>
      </c>
      <c r="AH38" s="127">
        <f>VLOOKUP($O38,'NO USAR1'!$A$4:$L$403,6,False)*$Y$19</f>
        <v>-0.2064205728</v>
      </c>
      <c r="AI38" s="127">
        <f>VLOOKUP($O38,'NO USAR1'!$A$4:$L$403,7,False)*$Z$19</f>
        <v>-0.2643825572</v>
      </c>
      <c r="AJ38" s="127">
        <f>VLOOKUP($O38,'NO USAR1'!$A$4:$L$403,8,False)*$AA$19</f>
        <v>1.347458906</v>
      </c>
      <c r="AK38" s="132">
        <f>VLOOKUP($O38,'NO USAR1'!$A$4:$L$403,10,False)*$AB$19</f>
        <v>-0.6070606543</v>
      </c>
      <c r="AL38" s="127">
        <f>VLOOKUP($O38,'NO USAR1'!$A$4:$L$403,12,False)*$AC$19</f>
        <v>-0.3121183469</v>
      </c>
      <c r="AM38" s="133">
        <f t="shared" si="2"/>
        <v>-0.9925734181</v>
      </c>
      <c r="AN38" s="133">
        <f t="shared" si="3"/>
        <v>-1.599634072</v>
      </c>
    </row>
    <row r="39">
      <c r="A39" s="118" t="str">
        <f>IF(Update!B37="",ROW(Update!B37),Update!B37)</f>
        <v>Jaylen Brown</v>
      </c>
      <c r="B39" s="119">
        <f>IF(TYPE($A39)=1,"",(Update!$L37-B$1)/B$2)</f>
        <v>1.54089284</v>
      </c>
      <c r="C39" s="119">
        <f>IF(TYPE($A39)=1,"",(Update!$K37-C$1)/C$2)</f>
        <v>0.9204411494</v>
      </c>
      <c r="D39" s="119">
        <f>IF(TYPE($A39)=1,"",(Update!$M37-D$1)/D$2)</f>
        <v>0.2528436031</v>
      </c>
      <c r="E39" s="119">
        <f>IF(TYPE($A39)=1,"",(Update!$N37-E$1)/E$2)</f>
        <v>-0.1131327306</v>
      </c>
      <c r="F39" s="119">
        <f>IF(TYPE($A39)=1,"",(Update!$O37-F$1)/F$2)</f>
        <v>0.3281131841</v>
      </c>
      <c r="G39" s="119">
        <f>IF(TYPE($A39)=1,"",(Update!$P37-G$1)/G$2)</f>
        <v>-0.7528774808</v>
      </c>
      <c r="H39" s="119">
        <f>IF(TYPE($A39)=1,"",(Update!$H37-H$1)/H$2*I39/$I$1)</f>
        <v>-0.0209600273</v>
      </c>
      <c r="I39" s="119">
        <f>IF(TYPE($A39)=1,"",IF(Update!H37=0,0,Update!G37/Update!H37))</f>
        <v>20.2</v>
      </c>
      <c r="J39" s="120">
        <f>IF(TYPE($A39)=1,"",(Update!$J37-J$1)/J$2*K39/$K$1)</f>
        <v>-0.398140404</v>
      </c>
      <c r="K39" s="121">
        <f>IF(TYPE($A39)=1,"",IF(Update!J37=0,0,Update!I37/Update!J37))</f>
        <v>5.1</v>
      </c>
      <c r="L39" s="119">
        <f>IF(TYPE($A39)=1,"",-(Update!$Q37-L$1)/L$2)</f>
        <v>-1.124288369</v>
      </c>
      <c r="N39" s="124">
        <v>19.0</v>
      </c>
      <c r="O39" s="130" t="str">
        <f>IF(Update!B28="",ROW(Update!B28),Update!B28)</f>
        <v>Paul George</v>
      </c>
      <c r="P39" s="131">
        <f>Update!E28</f>
        <v>60</v>
      </c>
      <c r="Q39" s="131" t="str">
        <f>IF(Update!C28="",ROW(Update!N43),Update!C28)</f>
        <v>SG,SF,PF</v>
      </c>
      <c r="R39" s="127">
        <f>VLOOKUP($O39,'NO USAR1'!$A$4:$L$403,2,False)+VLOOKUP($O39,'NO USAR1'!$A$4:$L$403,3,False)+VLOOKUP($O39,'NO USAR1'!$A$4:$L$403,4,False)+VLOOKUP($O39,'NO USAR1'!$A$4:$L$403,5,False)+VLOOKUP($O39,'NO USAR1'!$A$4:$L$403,6,False)+VLOOKUP($O39,'NO USAR1'!$A$4:$L$403,7,False)+VLOOKUP($O39,'NO USAR1'!$A$4:$L$403,8,False)+VLOOKUP($O39,'NO USAR1'!$A$4:$L$403,10,False)+VLOOKUP($O39,'NO USAR1'!$A$4:$L$403,12,False)*0</f>
        <v>3.569957192</v>
      </c>
      <c r="S39" s="127">
        <f>VLOOKUP($O39,'NO USAR1'!$A$4:$L$403,2,False)*$U$19+VLOOKUP($O39,'NO USAR1'!$A$4:$L$403,3,False)*$V$19+VLOOKUP($O39,'NO USAR1'!$A$4:$L$403,4,False)*$W$19+VLOOKUP($O39,'NO USAR1'!$A$4:$L$403,5,False)*$X$19+VLOOKUP($O39,'NO USAR1'!$A$4:$L$403,6,False)*$Y$19+VLOOKUP($O39,'NO USAR1'!$A$4:$L$403,7,False)*$Z$19+VLOOKUP($O39,'NO USAR1'!$A$4:$L$403,8,False)*$AA$19+VLOOKUP($O39,'NO USAR1'!$A$4:$L$403,10,False)*$AB$19+VLOOKUP($O39,'NO USAR1'!$A$4:$L$403,12,False)*$AC$19+IF(Projections!$K$3,-AN39, IF(Projections!$J$3,-AM39,0))</f>
        <v>3.683648396</v>
      </c>
      <c r="T39" s="127">
        <f t="shared" si="1"/>
        <v>0.1136912039</v>
      </c>
      <c r="U39" s="127">
        <f>VLOOKUP($O39,Update!$B$2:$R$401,11,False)</f>
        <v>23</v>
      </c>
      <c r="V39" s="122">
        <f>VLOOKUP($O39,Update!$B$2:$R$401,10,False)</f>
        <v>2.8</v>
      </c>
      <c r="W39" s="127">
        <f>VLOOKUP($O39,Update!$B$2:$R$401,12,False)</f>
        <v>6.1</v>
      </c>
      <c r="X39" s="127">
        <f>VLOOKUP($O39,Update!$B$2:$R$401,13,False)</f>
        <v>5</v>
      </c>
      <c r="Y39" s="127">
        <f>VLOOKUP($O39,Update!$B$2:$R$401,14,False)</f>
        <v>1.5</v>
      </c>
      <c r="Z39" s="132">
        <f>VLOOKUP($O39,Update!$B$2:$R$401,15,False)</f>
        <v>0.4</v>
      </c>
      <c r="AA39" s="127">
        <f>100*VLOOKUP($O39,Update!$B$2:$R$401,7,False)</f>
        <v>44.19889503</v>
      </c>
      <c r="AB39" s="127">
        <f>100*VLOOKUP($O39,Update!$B$2:$R$401,9,False)</f>
        <v>85.71428571</v>
      </c>
      <c r="AC39" s="127">
        <f>VLOOKUP($O39,Update!$B$2:$Q$401,16,False)</f>
        <v>3.3</v>
      </c>
      <c r="AD39" s="127">
        <f>VLOOKUP($O39,'NO USAR1'!$A$4:$L$403,2,False)*$U$19</f>
        <v>0.9679031583</v>
      </c>
      <c r="AE39" s="127">
        <f>VLOOKUP($O39,'NO USAR1'!$A$4:$L$403,3,False)*$V$19</f>
        <v>1.001822792</v>
      </c>
      <c r="AF39" s="127">
        <f>VLOOKUP($O39,'NO USAR1'!$A$4:$L$403,4,False)*$W$19</f>
        <v>0.001951383927</v>
      </c>
      <c r="AG39" s="127">
        <f>VLOOKUP($O39,'NO USAR1'!$A$4:$L$403,5,False)*$X$19</f>
        <v>0.5895884435</v>
      </c>
      <c r="AH39" s="127">
        <f>VLOOKUP($O39,'NO USAR1'!$A$4:$L$403,6,False)*$Y$19</f>
        <v>1.101878832</v>
      </c>
      <c r="AI39" s="127">
        <f>VLOOKUP($O39,'NO USAR1'!$A$4:$L$403,7,False)*$Z$19</f>
        <v>-0.3956983969</v>
      </c>
      <c r="AJ39" s="127">
        <f>VLOOKUP($O39,'NO USAR1'!$A$4:$L$403,8,False)*$AA$19</f>
        <v>-0.9762089313</v>
      </c>
      <c r="AK39" s="132">
        <f>VLOOKUP($O39,'NO USAR1'!$A$4:$L$403,10,False)*$AB$19</f>
        <v>0.8214592939</v>
      </c>
      <c r="AL39" s="127">
        <f>VLOOKUP($O39,'NO USAR1'!$A$4:$L$403,12,False)*$AC$19</f>
        <v>-0.4052571109</v>
      </c>
      <c r="AM39" s="133">
        <f t="shared" si="2"/>
        <v>-0.9762089313</v>
      </c>
      <c r="AN39" s="133">
        <f t="shared" si="3"/>
        <v>-1.381466042</v>
      </c>
    </row>
    <row r="40">
      <c r="A40" s="118" t="str">
        <f>IF(Update!B38="",ROW(Update!B38),Update!B38)</f>
        <v>Jalen Brunson</v>
      </c>
      <c r="B40" s="119">
        <f>IF(TYPE($A40)=1,"",(Update!$L38-B$1)/B$2)</f>
        <v>1.170134811</v>
      </c>
      <c r="C40" s="119">
        <f>IF(TYPE($A40)=1,"",(Update!$K38-C$1)/C$2)</f>
        <v>0.3423552914</v>
      </c>
      <c r="D40" s="119">
        <f>IF(TYPE($A40)=1,"",(Update!$M38-D$1)/D$2)</f>
        <v>-1.001617493</v>
      </c>
      <c r="E40" s="119">
        <f>IF(TYPE($A40)=1,"",(Update!$N38-E$1)/E$2)</f>
        <v>1.231477592</v>
      </c>
      <c r="F40" s="119">
        <f>IF(TYPE($A40)=1,"",(Update!$O38-F$1)/F$2)</f>
        <v>0.01661332578</v>
      </c>
      <c r="G40" s="119">
        <f>IF(TYPE($A40)=1,"",(Update!$P38-G$1)/G$2)</f>
        <v>-0.9404715375</v>
      </c>
      <c r="H40" s="119">
        <f>IF(TYPE($A40)=1,"",(Update!$H38-H$1)/H$2*I40/$I$1)</f>
        <v>-0.08492022468</v>
      </c>
      <c r="I40" s="119">
        <f>IF(TYPE($A40)=1,"",IF(Update!H38=0,0,Update!G38/Update!H38))</f>
        <v>18.3</v>
      </c>
      <c r="J40" s="120">
        <f>IF(TYPE($A40)=1,"",(Update!$J38-J$1)/J$2*K40/$K$1)</f>
        <v>0.7810750371</v>
      </c>
      <c r="K40" s="121">
        <f>IF(TYPE($A40)=1,"",IF(Update!J38=0,0,Update!I38/Update!J38))</f>
        <v>5</v>
      </c>
      <c r="L40" s="119">
        <f>IF(TYPE($A40)=1,"",-(Update!$Q38-L$1)/L$2)</f>
        <v>-0.2549932383</v>
      </c>
      <c r="N40" s="33">
        <v>20.0</v>
      </c>
      <c r="O40" s="130" t="str">
        <f>IF(Update!B20="",ROW(Update!B20),Update!B20)</f>
        <v>Jimmy Butler</v>
      </c>
      <c r="P40" s="131">
        <f>Update!E20</f>
        <v>65</v>
      </c>
      <c r="Q40" s="131" t="str">
        <f>IF(Update!C20="",ROW(Update!N35),Update!C20)</f>
        <v>SF,PF</v>
      </c>
      <c r="R40" s="127">
        <f>VLOOKUP($O40,'NO USAR1'!$A$4:$L$403,2,False)+VLOOKUP($O40,'NO USAR1'!$A$4:$L$403,3,False)+VLOOKUP($O40,'NO USAR1'!$A$4:$L$403,4,False)+VLOOKUP($O40,'NO USAR1'!$A$4:$L$403,5,False)+VLOOKUP($O40,'NO USAR1'!$A$4:$L$403,6,False)+VLOOKUP($O40,'NO USAR1'!$A$4:$L$403,7,False)+VLOOKUP($O40,'NO USAR1'!$A$4:$L$403,8,False)+VLOOKUP($O40,'NO USAR1'!$A$4:$L$403,10,False)+VLOOKUP($O40,'NO USAR1'!$A$4:$L$403,12,False)*0</f>
        <v>3.361938171</v>
      </c>
      <c r="S40" s="127">
        <f>VLOOKUP($O40,'NO USAR1'!$A$4:$L$403,2,False)*$U$19+VLOOKUP($O40,'NO USAR1'!$A$4:$L$403,3,False)*$V$19+VLOOKUP($O40,'NO USAR1'!$A$4:$L$403,4,False)*$W$19+VLOOKUP($O40,'NO USAR1'!$A$4:$L$403,5,False)*$X$19+VLOOKUP($O40,'NO USAR1'!$A$4:$L$403,6,False)*$Y$19+VLOOKUP($O40,'NO USAR1'!$A$4:$L$403,7,False)*$Z$19+VLOOKUP($O40,'NO USAR1'!$A$4:$L$403,8,False)*$AA$19+VLOOKUP($O40,'NO USAR1'!$A$4:$L$403,10,False)*$AB$19+VLOOKUP($O40,'NO USAR1'!$A$4:$L$403,12,False)*$AC$19+IF(Projections!$K$3,-AN40, IF(Projections!$J$3,-AM40,0))</f>
        <v>3.792516404</v>
      </c>
      <c r="T40" s="127">
        <f t="shared" si="1"/>
        <v>0.4305782333</v>
      </c>
      <c r="U40" s="127">
        <f>VLOOKUP($O40,Update!$B$2:$R$401,11,False)</f>
        <v>21.3</v>
      </c>
      <c r="V40" s="122">
        <f>VLOOKUP($O40,Update!$B$2:$R$401,10,False)</f>
        <v>0.5</v>
      </c>
      <c r="W40" s="127">
        <f>VLOOKUP($O40,Update!$B$2:$R$401,12,False)</f>
        <v>5.7</v>
      </c>
      <c r="X40" s="127">
        <f>VLOOKUP($O40,Update!$B$2:$R$401,13,False)</f>
        <v>5</v>
      </c>
      <c r="Y40" s="127">
        <f>VLOOKUP($O40,Update!$B$2:$R$401,14,False)</f>
        <v>1.6</v>
      </c>
      <c r="Z40" s="132">
        <f>VLOOKUP($O40,Update!$B$2:$R$401,15,False)</f>
        <v>0.4</v>
      </c>
      <c r="AA40" s="127">
        <f>100*VLOOKUP($O40,Update!$B$2:$R$401,7,False)</f>
        <v>51.47058824</v>
      </c>
      <c r="AB40" s="127">
        <f>100*VLOOKUP($O40,Update!$B$2:$R$401,9,False)</f>
        <v>86.25</v>
      </c>
      <c r="AC40" s="127">
        <f>VLOOKUP($O40,Update!$B$2:$Q$401,16,False)</f>
        <v>1.8</v>
      </c>
      <c r="AD40" s="127">
        <f>VLOOKUP($O40,'NO USAR1'!$A$4:$L$403,2,False)*$U$19</f>
        <v>0.6814083175</v>
      </c>
      <c r="AE40" s="127">
        <f>VLOOKUP($O40,'NO USAR1'!$A$4:$L$403,3,False)*$V$19</f>
        <v>-0.9925734181</v>
      </c>
      <c r="AF40" s="127">
        <f>VLOOKUP($O40,'NO USAR1'!$A$4:$L$403,4,False)*$W$19</f>
        <v>-0.1653100955</v>
      </c>
      <c r="AG40" s="127">
        <f>VLOOKUP($O40,'NO USAR1'!$A$4:$L$403,5,False)*$X$19</f>
        <v>0.5895884435</v>
      </c>
      <c r="AH40" s="127">
        <f>VLOOKUP($O40,'NO USAR1'!$A$4:$L$403,6,False)*$Y$19</f>
        <v>1.319928733</v>
      </c>
      <c r="AI40" s="127">
        <f>VLOOKUP($O40,'NO USAR1'!$A$4:$L$403,7,False)*$Z$19</f>
        <v>-0.3956983969</v>
      </c>
      <c r="AJ40" s="127">
        <f>VLOOKUP($O40,'NO USAR1'!$A$4:$L$403,8,False)*$AA$19</f>
        <v>0.2543227932</v>
      </c>
      <c r="AK40" s="132">
        <f>VLOOKUP($O40,'NO USAR1'!$A$4:$L$403,10,False)*$AB$19</f>
        <v>1.447839901</v>
      </c>
      <c r="AL40" s="127">
        <f>VLOOKUP($O40,'NO USAR1'!$A$4:$L$403,12,False)*$AC$19</f>
        <v>0.06043670908</v>
      </c>
      <c r="AM40" s="133">
        <f t="shared" si="2"/>
        <v>-0.9925734181</v>
      </c>
      <c r="AN40" s="133">
        <f t="shared" si="3"/>
        <v>-1.388271815</v>
      </c>
    </row>
    <row r="41">
      <c r="A41" s="118" t="str">
        <f>IF(Update!B39="",ROW(Update!B39),Update!B39)</f>
        <v>Zach LaVine</v>
      </c>
      <c r="B41" s="119">
        <f>IF(TYPE($A41)=1,"",(Update!$L39-B$1)/B$2)</f>
        <v>1.288103275</v>
      </c>
      <c r="C41" s="119">
        <f>IF(TYPE($A41)=1,"",(Update!$K39-C$1)/C$2)</f>
        <v>0.9204411494</v>
      </c>
      <c r="D41" s="119">
        <f>IF(TYPE($A41)=1,"",(Update!$M39-D$1)/D$2)</f>
        <v>-0.7089099036</v>
      </c>
      <c r="E41" s="119">
        <f>IF(TYPE($A41)=1,"",(Update!$N39-E$1)/E$2)</f>
        <v>0.2114283818</v>
      </c>
      <c r="F41" s="119">
        <f>IF(TYPE($A41)=1,"",(Update!$O39-F$1)/F$2)</f>
        <v>-0.6063863908</v>
      </c>
      <c r="G41" s="119">
        <f>IF(TYPE($A41)=1,"",(Update!$P39-G$1)/G$2)</f>
        <v>-0.7528774808</v>
      </c>
      <c r="H41" s="119">
        <f>IF(TYPE($A41)=1,"",(Update!$H39-H$1)/H$2*I41/$I$1)</f>
        <v>-0.362828401</v>
      </c>
      <c r="I41" s="119">
        <f>IF(TYPE($A41)=1,"",IF(Update!H39=0,0,Update!G39/Update!H39))</f>
        <v>18.2</v>
      </c>
      <c r="J41" s="120">
        <f>IF(TYPE($A41)=1,"",(Update!$J39-J$1)/J$2*K41/$K$1)</f>
        <v>0.9277641967</v>
      </c>
      <c r="K41" s="121">
        <f>IF(TYPE($A41)=1,"",IF(Update!J39=0,0,Update!I39/Update!J39))</f>
        <v>5.7</v>
      </c>
      <c r="L41" s="119">
        <f>IF(TYPE($A41)=1,"",-(Update!$Q39-L$1)/L$2)</f>
        <v>-0.7517333129</v>
      </c>
      <c r="N41" s="124">
        <v>21.0</v>
      </c>
      <c r="O41" s="130" t="str">
        <f>IF(Update!B18="",ROW(Update!B18),Update!B18)</f>
        <v>Jaren Jackson Jr.</v>
      </c>
      <c r="P41" s="131">
        <f>Update!E18</f>
        <v>69</v>
      </c>
      <c r="Q41" s="131" t="str">
        <f>IF(Update!C18="",ROW(Update!N33),Update!C18)</f>
        <v>PF,C</v>
      </c>
      <c r="R41" s="127">
        <f>VLOOKUP($O41,'NO USAR1'!$A$4:$L$403,2,False)+VLOOKUP($O41,'NO USAR1'!$A$4:$L$403,3,False)+VLOOKUP($O41,'NO USAR1'!$A$4:$L$403,4,False)+VLOOKUP($O41,'NO USAR1'!$A$4:$L$403,5,False)+VLOOKUP($O41,'NO USAR1'!$A$4:$L$403,6,False)+VLOOKUP($O41,'NO USAR1'!$A$4:$L$403,7,False)+VLOOKUP($O41,'NO USAR1'!$A$4:$L$403,8,False)+VLOOKUP($O41,'NO USAR1'!$A$4:$L$403,10,False)+VLOOKUP($O41,'NO USAR1'!$A$4:$L$403,12,False)*0</f>
        <v>3.11169306</v>
      </c>
      <c r="S41" s="127">
        <f>VLOOKUP($O41,'NO USAR1'!$A$4:$L$403,2,False)*$U$19+VLOOKUP($O41,'NO USAR1'!$A$4:$L$403,3,False)*$V$19+VLOOKUP($O41,'NO USAR1'!$A$4:$L$403,4,False)*$W$19+VLOOKUP($O41,'NO USAR1'!$A$4:$L$403,5,False)*$X$19+VLOOKUP($O41,'NO USAR1'!$A$4:$L$403,6,False)*$Y$19+VLOOKUP($O41,'NO USAR1'!$A$4:$L$403,7,False)*$Z$19+VLOOKUP($O41,'NO USAR1'!$A$4:$L$403,8,False)*$AA$19+VLOOKUP($O41,'NO USAR1'!$A$4:$L$403,10,False)*$AB$19+VLOOKUP($O41,'NO USAR1'!$A$4:$L$403,12,False)*$AC$19+IF(Projections!$K$3,-AN41, IF(Projections!$J$3,-AM41,0))</f>
        <v>3.252135885</v>
      </c>
      <c r="T41" s="127">
        <f t="shared" si="1"/>
        <v>0.1404428255</v>
      </c>
      <c r="U41" s="127">
        <f>VLOOKUP($O41,Update!$B$2:$R$401,11,False)</f>
        <v>19.6</v>
      </c>
      <c r="V41" s="122">
        <f>VLOOKUP($O41,Update!$B$2:$R$401,10,False)</f>
        <v>1.7</v>
      </c>
      <c r="W41" s="127">
        <f>VLOOKUP($O41,Update!$B$2:$R$401,12,False)</f>
        <v>7.1</v>
      </c>
      <c r="X41" s="127">
        <f>VLOOKUP($O41,Update!$B$2:$R$401,13,False)</f>
        <v>1.2</v>
      </c>
      <c r="Y41" s="127">
        <f>VLOOKUP($O41,Update!$B$2:$R$401,14,False)</f>
        <v>1</v>
      </c>
      <c r="Z41" s="132">
        <f>VLOOKUP($O41,Update!$B$2:$R$401,15,False)</f>
        <v>2.6</v>
      </c>
      <c r="AA41" s="127">
        <f>100*VLOOKUP($O41,Update!$B$2:$R$401,7,False)</f>
        <v>47.94520548</v>
      </c>
      <c r="AB41" s="127">
        <f>100*VLOOKUP($O41,Update!$B$2:$R$401,9,False)</f>
        <v>80</v>
      </c>
      <c r="AC41" s="127">
        <f>VLOOKUP($O41,Update!$B$2:$Q$401,16,False)</f>
        <v>2</v>
      </c>
      <c r="AD41" s="127">
        <f>VLOOKUP($O41,'NO USAR1'!$A$4:$L$403,2,False)*$U$19</f>
        <v>0.3949134767</v>
      </c>
      <c r="AE41" s="127">
        <f>VLOOKUP($O41,'NO USAR1'!$A$4:$L$403,3,False)*$V$19</f>
        <v>0.04798112621</v>
      </c>
      <c r="AF41" s="127">
        <f>VLOOKUP($O41,'NO USAR1'!$A$4:$L$403,4,False)*$W$19</f>
        <v>0.4201050825</v>
      </c>
      <c r="AG41" s="127">
        <f>VLOOKUP($O41,'NO USAR1'!$A$4:$L$403,5,False)*$X$19</f>
        <v>-1.348505056</v>
      </c>
      <c r="AH41" s="127">
        <f>VLOOKUP($O41,'NO USAR1'!$A$4:$L$403,6,False)*$Y$19</f>
        <v>0.01162932804</v>
      </c>
      <c r="AI41" s="127">
        <f>VLOOKUP($O41,'NO USAR1'!$A$4:$L$403,7,False)*$Z$19</f>
        <v>2.493250076</v>
      </c>
      <c r="AJ41" s="127">
        <f>VLOOKUP($O41,'NO USAR1'!$A$4:$L$403,8,False)*$AA$19</f>
        <v>-0.2410987076</v>
      </c>
      <c r="AK41" s="132">
        <f>VLOOKUP($O41,'NO USAR1'!$A$4:$L$403,10,False)*$AB$19</f>
        <v>0.1270113039</v>
      </c>
      <c r="AL41" s="127">
        <f>VLOOKUP($O41,'NO USAR1'!$A$4:$L$403,12,False)*$AC$19</f>
        <v>-0.001655800249</v>
      </c>
      <c r="AM41" s="133">
        <f t="shared" si="2"/>
        <v>-1.348505056</v>
      </c>
      <c r="AN41" s="133">
        <f t="shared" si="3"/>
        <v>-1.589603764</v>
      </c>
    </row>
    <row r="42">
      <c r="A42" s="118" t="str">
        <f>IF(Update!B40="",ROW(Update!B40),Update!B40)</f>
        <v>Cade Cunningham</v>
      </c>
      <c r="B42" s="119">
        <f>IF(TYPE($A42)=1,"",(Update!$L40-B$1)/B$2)</f>
        <v>0.6139977667</v>
      </c>
      <c r="C42" s="119">
        <f>IF(TYPE($A42)=1,"",(Update!$K40-C$1)/C$2)</f>
        <v>0.1496600055</v>
      </c>
      <c r="D42" s="119">
        <f>IF(TYPE($A42)=1,"",(Update!$M40-D$1)/D$2)</f>
        <v>0.1273974935</v>
      </c>
      <c r="E42" s="119">
        <f>IF(TYPE($A42)=1,"",(Update!$N40-E$1)/E$2)</f>
        <v>1.277843465</v>
      </c>
      <c r="F42" s="119">
        <f>IF(TYPE($A42)=1,"",(Update!$O40-F$1)/F$2)</f>
        <v>0.9511129006</v>
      </c>
      <c r="G42" s="119">
        <f>IF(TYPE($A42)=1,"",(Update!$P40-G$1)/G$2)</f>
        <v>-0.002501254089</v>
      </c>
      <c r="H42" s="119">
        <f>IF(TYPE($A42)=1,"",(Update!$H40-H$1)/H$2*I42/$I$1)</f>
        <v>-1.580989428</v>
      </c>
      <c r="I42" s="119">
        <f>IF(TYPE($A42)=1,"",IF(Update!H40=0,0,Update!G40/Update!H40))</f>
        <v>18.8</v>
      </c>
      <c r="J42" s="120">
        <f>IF(TYPE($A42)=1,"",(Update!$J40-J$1)/J$2*K42/$K$1)</f>
        <v>0.6185094644</v>
      </c>
      <c r="K42" s="121">
        <f>IF(TYPE($A42)=1,"",IF(Update!J40=0,0,Update!I40/Update!J40))</f>
        <v>3.8</v>
      </c>
      <c r="L42" s="119">
        <f>IF(TYPE($A42)=1,"",-(Update!$Q40-L$1)/L$2)</f>
        <v>-1.621028444</v>
      </c>
      <c r="N42" s="124">
        <v>22.0</v>
      </c>
      <c r="O42" s="130" t="str">
        <f>IF(Update!B21="",ROW(Update!B21),Update!B21)</f>
        <v>Kawhi Leonard</v>
      </c>
      <c r="P42" s="131">
        <f>Update!E21</f>
        <v>56</v>
      </c>
      <c r="Q42" s="131" t="str">
        <f>IF(Update!C21="",ROW(Update!N36),Update!C21)</f>
        <v>SG,SF</v>
      </c>
      <c r="R42" s="127">
        <f>VLOOKUP($O42,'NO USAR1'!$A$4:$L$403,2,False)+VLOOKUP($O42,'NO USAR1'!$A$4:$L$403,3,False)+VLOOKUP($O42,'NO USAR1'!$A$4:$L$403,4,False)+VLOOKUP($O42,'NO USAR1'!$A$4:$L$403,5,False)+VLOOKUP($O42,'NO USAR1'!$A$4:$L$403,6,False)+VLOOKUP($O42,'NO USAR1'!$A$4:$L$403,7,False)+VLOOKUP($O42,'NO USAR1'!$A$4:$L$403,8,False)+VLOOKUP($O42,'NO USAR1'!$A$4:$L$403,10,False)+VLOOKUP($O42,'NO USAR1'!$A$4:$L$403,12,False)*0</f>
        <v>3.085595466</v>
      </c>
      <c r="S42" s="127">
        <f>VLOOKUP($O42,'NO USAR1'!$A$4:$L$403,2,False)*$U$19+VLOOKUP($O42,'NO USAR1'!$A$4:$L$403,3,False)*$V$19+VLOOKUP($O42,'NO USAR1'!$A$4:$L$403,4,False)*$W$19+VLOOKUP($O42,'NO USAR1'!$A$4:$L$403,5,False)*$X$19+VLOOKUP($O42,'NO USAR1'!$A$4:$L$403,6,False)*$Y$19+VLOOKUP($O42,'NO USAR1'!$A$4:$L$403,7,False)*$Z$19+VLOOKUP($O42,'NO USAR1'!$A$4:$L$403,8,False)*$AA$19+VLOOKUP($O42,'NO USAR1'!$A$4:$L$403,10,False)*$AB$19+VLOOKUP($O42,'NO USAR1'!$A$4:$L$403,12,False)*$AC$19+IF(Projections!$K$3,-AN42, IF(Projections!$J$3,-AM42,0))</f>
        <v>2.993637195</v>
      </c>
      <c r="T42" s="127">
        <f t="shared" si="1"/>
        <v>-0.09195827145</v>
      </c>
      <c r="U42" s="127">
        <f>VLOOKUP($O42,Update!$B$2:$R$401,11,False)</f>
        <v>23.2</v>
      </c>
      <c r="V42" s="122">
        <f>VLOOKUP($O42,Update!$B$2:$R$401,10,False)</f>
        <v>1.9</v>
      </c>
      <c r="W42" s="127">
        <f>VLOOKUP($O42,Update!$B$2:$R$401,12,False)</f>
        <v>6.2</v>
      </c>
      <c r="X42" s="127">
        <f>VLOOKUP($O42,Update!$B$2:$R$401,13,False)</f>
        <v>3.7</v>
      </c>
      <c r="Y42" s="127">
        <f>VLOOKUP($O42,Update!$B$2:$R$401,14,False)</f>
        <v>1.3</v>
      </c>
      <c r="Z42" s="132">
        <f>VLOOKUP($O42,Update!$B$2:$R$401,15,False)</f>
        <v>0.5</v>
      </c>
      <c r="AA42" s="127">
        <f>100*VLOOKUP($O42,Update!$B$2:$R$401,7,False)</f>
        <v>50.2994012</v>
      </c>
      <c r="AB42" s="127">
        <f>100*VLOOKUP($O42,Update!$B$2:$R$401,9,False)</f>
        <v>86.2745098</v>
      </c>
      <c r="AC42" s="127">
        <f>VLOOKUP($O42,Update!$B$2:$Q$401,16,False)</f>
        <v>1.7</v>
      </c>
      <c r="AD42" s="127">
        <f>VLOOKUP($O42,'NO USAR1'!$A$4:$L$403,2,False)*$U$19</f>
        <v>1.001608434</v>
      </c>
      <c r="AE42" s="127">
        <f>VLOOKUP($O42,'NO USAR1'!$A$4:$L$403,3,False)*$V$19</f>
        <v>0.2214068836</v>
      </c>
      <c r="AF42" s="127">
        <f>VLOOKUP($O42,'NO USAR1'!$A$4:$L$403,4,False)*$W$19</f>
        <v>0.04376675378</v>
      </c>
      <c r="AG42" s="127">
        <f>VLOOKUP($O42,'NO USAR1'!$A$4:$L$403,5,False)*$X$19</f>
        <v>-0.07344354314</v>
      </c>
      <c r="AH42" s="127">
        <f>VLOOKUP($O42,'NO USAR1'!$A$4:$L$403,6,False)*$Y$19</f>
        <v>0.6657790304</v>
      </c>
      <c r="AI42" s="127">
        <f>VLOOKUP($O42,'NO USAR1'!$A$4:$L$403,7,False)*$Z$19</f>
        <v>-0.2643825572</v>
      </c>
      <c r="AJ42" s="127">
        <f>VLOOKUP($O42,'NO USAR1'!$A$4:$L$403,8,False)*$AA$19</f>
        <v>0.1169271816</v>
      </c>
      <c r="AK42" s="132">
        <f>VLOOKUP($O42,'NO USAR1'!$A$4:$L$403,10,False)*$AB$19</f>
        <v>0.9261094912</v>
      </c>
      <c r="AL42" s="127">
        <f>VLOOKUP($O42,'NO USAR1'!$A$4:$L$403,12,False)*$AC$19</f>
        <v>0.09148296375</v>
      </c>
      <c r="AM42" s="133">
        <f t="shared" si="2"/>
        <v>-0.2643825572</v>
      </c>
      <c r="AN42" s="133">
        <f t="shared" si="3"/>
        <v>-0.3378261003</v>
      </c>
    </row>
    <row r="43">
      <c r="A43" s="118" t="str">
        <f>IF(Update!B41="",ROW(Update!B41),Update!B41)</f>
        <v>De'Aaron Fox</v>
      </c>
      <c r="B43" s="119">
        <f>IF(TYPE($A43)=1,"",(Update!$L41-B$1)/B$2)</f>
        <v>1.32180855</v>
      </c>
      <c r="C43" s="119">
        <f>IF(TYPE($A43)=1,"",(Update!$K41-C$1)/C$2)</f>
        <v>-0.04303528054</v>
      </c>
      <c r="D43" s="119">
        <f>IF(TYPE($A43)=1,"",(Update!$M41-D$1)/D$2)</f>
        <v>-0.7925406433</v>
      </c>
      <c r="E43" s="119">
        <f>IF(TYPE($A43)=1,"",(Update!$N41-E$1)/E$2)</f>
        <v>1.046014099</v>
      </c>
      <c r="F43" s="119">
        <f>IF(TYPE($A43)=1,"",(Update!$O41-F$1)/F$2)</f>
        <v>0.6396130423</v>
      </c>
      <c r="G43" s="119">
        <f>IF(TYPE($A43)=1,"",(Update!$P41-G$1)/G$2)</f>
        <v>-0.5652834241</v>
      </c>
      <c r="H43" s="119">
        <f>IF(TYPE($A43)=1,"",(Update!$H41-H$1)/H$2*I43/$I$1)</f>
        <v>0.02873878775</v>
      </c>
      <c r="I43" s="119">
        <f>IF(TYPE($A43)=1,"",IF(Update!H41=0,0,Update!G41/Update!H41))</f>
        <v>18.9</v>
      </c>
      <c r="J43" s="120">
        <f>IF(TYPE($A43)=1,"",(Update!$J41-J$1)/J$2*K43/$K$1)</f>
        <v>-0.366387578</v>
      </c>
      <c r="K43" s="121">
        <f>IF(TYPE($A43)=1,"",IF(Update!J41=0,0,Update!I41/Update!J41))</f>
        <v>6.1</v>
      </c>
      <c r="L43" s="119">
        <f>IF(TYPE($A43)=1,"",-(Update!$Q41-L$1)/L$2)</f>
        <v>-0.8759183316</v>
      </c>
      <c r="N43" s="33">
        <v>23.0</v>
      </c>
      <c r="O43" s="130" t="str">
        <f>IF(Update!B27="",ROW(Update!B27),Update!B27)</f>
        <v>Desmond Bane</v>
      </c>
      <c r="P43" s="131">
        <f>Update!E27</f>
        <v>70</v>
      </c>
      <c r="Q43" s="131" t="str">
        <f>IF(Update!C27="",ROW(Update!N42),Update!C27)</f>
        <v>SG,SF</v>
      </c>
      <c r="R43" s="127">
        <f>VLOOKUP($O43,'NO USAR1'!$A$4:$L$403,2,False)+VLOOKUP($O43,'NO USAR1'!$A$4:$L$403,3,False)+VLOOKUP($O43,'NO USAR1'!$A$4:$L$403,4,False)+VLOOKUP($O43,'NO USAR1'!$A$4:$L$403,5,False)+VLOOKUP($O43,'NO USAR1'!$A$4:$L$403,6,False)+VLOOKUP($O43,'NO USAR1'!$A$4:$L$403,7,False)+VLOOKUP($O43,'NO USAR1'!$A$4:$L$403,8,False)+VLOOKUP($O43,'NO USAR1'!$A$4:$L$403,10,False)+VLOOKUP($O43,'NO USAR1'!$A$4:$L$403,12,False)*0</f>
        <v>2.954277872</v>
      </c>
      <c r="S43" s="127">
        <f>VLOOKUP($O43,'NO USAR1'!$A$4:$L$403,2,False)*$U$19+VLOOKUP($O43,'NO USAR1'!$A$4:$L$403,3,False)*$V$19+VLOOKUP($O43,'NO USAR1'!$A$4:$L$403,4,False)*$W$19+VLOOKUP($O43,'NO USAR1'!$A$4:$L$403,5,False)*$X$19+VLOOKUP($O43,'NO USAR1'!$A$4:$L$403,6,False)*$Y$19+VLOOKUP($O43,'NO USAR1'!$A$4:$L$403,7,False)*$Z$19+VLOOKUP($O43,'NO USAR1'!$A$4:$L$403,8,False)*$AA$19+VLOOKUP($O43,'NO USAR1'!$A$4:$L$403,10,False)*$AB$19+VLOOKUP($O43,'NO USAR1'!$A$4:$L$403,12,False)*$AC$19+IF(Projections!$K$3,-AN43, IF(Projections!$J$3,-AM43,0))</f>
        <v>3.074987698</v>
      </c>
      <c r="T43" s="127">
        <f t="shared" si="1"/>
        <v>0.1207098261</v>
      </c>
      <c r="U43" s="127">
        <f>VLOOKUP($O43,Update!$B$2:$R$401,11,False)</f>
        <v>22.6</v>
      </c>
      <c r="V43" s="122">
        <f>VLOOKUP($O43,Update!$B$2:$R$401,10,False)</f>
        <v>3.4</v>
      </c>
      <c r="W43" s="127">
        <f>VLOOKUP($O43,Update!$B$2:$R$401,12,False)</f>
        <v>5.4</v>
      </c>
      <c r="X43" s="127">
        <f>VLOOKUP($O43,Update!$B$2:$R$401,13,False)</f>
        <v>4</v>
      </c>
      <c r="Y43" s="127">
        <f>VLOOKUP($O43,Update!$B$2:$R$401,14,False)</f>
        <v>1.2</v>
      </c>
      <c r="Z43" s="132">
        <f>VLOOKUP($O43,Update!$B$2:$R$401,15,False)</f>
        <v>0.4</v>
      </c>
      <c r="AA43" s="127">
        <f>100*VLOOKUP($O43,Update!$B$2:$R$401,7,False)</f>
        <v>46.59090909</v>
      </c>
      <c r="AB43" s="127">
        <f>100*VLOOKUP($O43,Update!$B$2:$R$401,9,False)</f>
        <v>90.32258065</v>
      </c>
      <c r="AC43" s="127">
        <f>VLOOKUP($O43,Update!$B$2:$Q$401,16,False)</f>
        <v>2.2</v>
      </c>
      <c r="AD43" s="127">
        <f>VLOOKUP($O43,'NO USAR1'!$A$4:$L$403,2,False)*$U$19</f>
        <v>0.9004926075</v>
      </c>
      <c r="AE43" s="127">
        <f>VLOOKUP($O43,'NO USAR1'!$A$4:$L$403,3,False)*$V$19</f>
        <v>1.522100064</v>
      </c>
      <c r="AF43" s="127">
        <f>VLOOKUP($O43,'NO USAR1'!$A$4:$L$403,4,False)*$W$19</f>
        <v>-0.2907562051</v>
      </c>
      <c r="AG43" s="127">
        <f>VLOOKUP($O43,'NO USAR1'!$A$4:$L$403,5,False)*$X$19</f>
        <v>0.0795638384</v>
      </c>
      <c r="AH43" s="127">
        <f>VLOOKUP($O43,'NO USAR1'!$A$4:$L$403,6,False)*$Y$19</f>
        <v>0.4477291296</v>
      </c>
      <c r="AI43" s="127">
        <f>VLOOKUP($O43,'NO USAR1'!$A$4:$L$403,7,False)*$Z$19</f>
        <v>-0.3956983969</v>
      </c>
      <c r="AJ43" s="127">
        <f>VLOOKUP($O43,'NO USAR1'!$A$4:$L$403,8,False)*$AA$19</f>
        <v>-0.528725175</v>
      </c>
      <c r="AK43" s="132">
        <f>VLOOKUP($O43,'NO USAR1'!$A$4:$L$403,10,False)*$AB$19</f>
        <v>0.8753049696</v>
      </c>
      <c r="AL43" s="127">
        <f>VLOOKUP($O43,'NO USAR1'!$A$4:$L$403,12,False)*$AC$19</f>
        <v>-0.06374830958</v>
      </c>
      <c r="AM43" s="133">
        <f t="shared" si="2"/>
        <v>-0.528725175</v>
      </c>
      <c r="AN43" s="133">
        <f t="shared" si="3"/>
        <v>-0.9244235719</v>
      </c>
    </row>
    <row r="44">
      <c r="A44" s="118" t="str">
        <f>IF(Update!B42="",ROW(Update!B42),Update!B42)</f>
        <v>Jamal Murray</v>
      </c>
      <c r="B44" s="119">
        <f>IF(TYPE($A44)=1,"",(Update!$L42-B$1)/B$2)</f>
        <v>0.6308504044</v>
      </c>
      <c r="C44" s="119">
        <f>IF(TYPE($A44)=1,"",(Update!$K42-C$1)/C$2)</f>
        <v>1.016788792</v>
      </c>
      <c r="D44" s="119">
        <f>IF(TYPE($A44)=1,"",(Update!$M42-D$1)/D$2)</f>
        <v>-0.8343560132</v>
      </c>
      <c r="E44" s="119">
        <f>IF(TYPE($A44)=1,"",(Update!$N42-E$1)/E$2)</f>
        <v>1.138745846</v>
      </c>
      <c r="F44" s="119">
        <f>IF(TYPE($A44)=1,"",(Update!$O42-F$1)/F$2)</f>
        <v>0.01661332578</v>
      </c>
      <c r="G44" s="119">
        <f>IF(TYPE($A44)=1,"",(Update!$P42-G$1)/G$2)</f>
        <v>-0.7528774808</v>
      </c>
      <c r="H44" s="119">
        <f>IF(TYPE($A44)=1,"",(Update!$H42-H$1)/H$2*I44/$I$1)</f>
        <v>-0.4809440954</v>
      </c>
      <c r="I44" s="119">
        <f>IF(TYPE($A44)=1,"",IF(Update!H42=0,0,Update!G42/Update!H42))</f>
        <v>16.6</v>
      </c>
      <c r="J44" s="120">
        <f>IF(TYPE($A44)=1,"",(Update!$J42-J$1)/J$2*K44/$K$1)</f>
        <v>0.3568839712</v>
      </c>
      <c r="K44" s="121">
        <f>IF(TYPE($A44)=1,"",IF(Update!J42=0,0,Update!I42/Update!J42))</f>
        <v>3.4</v>
      </c>
      <c r="L44" s="119">
        <f>IF(TYPE($A44)=1,"",-(Update!$Q42-L$1)/L$2)</f>
        <v>-0.379178257</v>
      </c>
      <c r="N44" s="124">
        <v>24.0</v>
      </c>
      <c r="O44" s="130" t="str">
        <f>IF(Update!B35="",ROW(Update!B35),Update!B35)</f>
        <v>Fred VanVleet</v>
      </c>
      <c r="P44" s="131">
        <f>Update!E35</f>
        <v>67</v>
      </c>
      <c r="Q44" s="131" t="str">
        <f>IF(Update!C35="",ROW(Update!N50),Update!C35)</f>
        <v>PG</v>
      </c>
      <c r="R44" s="127">
        <f>VLOOKUP($O44,'NO USAR1'!$A$4:$L$403,2,False)+VLOOKUP($O44,'NO USAR1'!$A$4:$L$403,3,False)+VLOOKUP($O44,'NO USAR1'!$A$4:$L$403,4,False)+VLOOKUP($O44,'NO USAR1'!$A$4:$L$403,5,False)+VLOOKUP($O44,'NO USAR1'!$A$4:$L$403,6,False)+VLOOKUP($O44,'NO USAR1'!$A$4:$L$403,7,False)+VLOOKUP($O44,'NO USAR1'!$A$4:$L$403,8,False)+VLOOKUP($O44,'NO USAR1'!$A$4:$L$403,10,False)+VLOOKUP($O44,'NO USAR1'!$A$4:$L$403,12,False)*0</f>
        <v>2.762430198</v>
      </c>
      <c r="S44" s="127">
        <f>VLOOKUP($O44,'NO USAR1'!$A$4:$L$403,2,False)*$U$19+VLOOKUP($O44,'NO USAR1'!$A$4:$L$403,3,False)*$V$19+VLOOKUP($O44,'NO USAR1'!$A$4:$L$403,4,False)*$W$19+VLOOKUP($O44,'NO USAR1'!$A$4:$L$403,5,False)*$X$19+VLOOKUP($O44,'NO USAR1'!$A$4:$L$403,6,False)*$Y$19+VLOOKUP($O44,'NO USAR1'!$A$4:$L$403,7,False)*$Z$19+VLOOKUP($O44,'NO USAR1'!$A$4:$L$403,8,False)*$AA$19+VLOOKUP($O44,'NO USAR1'!$A$4:$L$403,10,False)*$AB$19+VLOOKUP($O44,'NO USAR1'!$A$4:$L$403,12,False)*$AC$19+IF(Projections!$K$3,-AN44, IF(Projections!$J$3,-AM44,0))</f>
        <v>3.698804512</v>
      </c>
      <c r="T44" s="127">
        <f t="shared" si="1"/>
        <v>0.9363743139</v>
      </c>
      <c r="U44" s="127">
        <f>VLOOKUP($O44,Update!$B$2:$R$401,11,False)</f>
        <v>18.4</v>
      </c>
      <c r="V44" s="122">
        <f>VLOOKUP($O44,Update!$B$2:$R$401,10,False)</f>
        <v>3.1</v>
      </c>
      <c r="W44" s="127">
        <f>VLOOKUP($O44,Update!$B$2:$R$401,12,False)</f>
        <v>3.9</v>
      </c>
      <c r="X44" s="127">
        <f>VLOOKUP($O44,Update!$B$2:$R$401,13,False)</f>
        <v>6.4</v>
      </c>
      <c r="Y44" s="127">
        <f>VLOOKUP($O44,Update!$B$2:$R$401,14,False)</f>
        <v>1.6</v>
      </c>
      <c r="Z44" s="132">
        <f>VLOOKUP($O44,Update!$B$2:$R$401,15,False)</f>
        <v>0.5</v>
      </c>
      <c r="AA44" s="127">
        <f>100*VLOOKUP($O44,Update!$B$2:$R$401,7,False)</f>
        <v>39.86928105</v>
      </c>
      <c r="AB44" s="127">
        <f>100*VLOOKUP($O44,Update!$B$2:$R$401,9,False)</f>
        <v>88.57142857</v>
      </c>
      <c r="AC44" s="127">
        <f>VLOOKUP($O44,Update!$B$2:$Q$401,16,False)</f>
        <v>2.1</v>
      </c>
      <c r="AD44" s="127">
        <f>VLOOKUP($O44,'NO USAR1'!$A$4:$L$403,2,False)*$U$19</f>
        <v>0.1926818243</v>
      </c>
      <c r="AE44" s="127">
        <f>VLOOKUP($O44,'NO USAR1'!$A$4:$L$403,3,False)*$V$19</f>
        <v>1.261961428</v>
      </c>
      <c r="AF44" s="127">
        <f>VLOOKUP($O44,'NO USAR1'!$A$4:$L$403,4,False)*$W$19</f>
        <v>-0.9179867529</v>
      </c>
      <c r="AG44" s="127">
        <f>VLOOKUP($O44,'NO USAR1'!$A$4:$L$403,5,False)*$X$19</f>
        <v>1.303622891</v>
      </c>
      <c r="AH44" s="127">
        <f>VLOOKUP($O44,'NO USAR1'!$A$4:$L$403,6,False)*$Y$19</f>
        <v>1.319928733</v>
      </c>
      <c r="AI44" s="127">
        <f>VLOOKUP($O44,'NO USAR1'!$A$4:$L$403,7,False)*$Z$19</f>
        <v>-0.2643825572</v>
      </c>
      <c r="AJ44" s="127">
        <f>VLOOKUP($O44,'NO USAR1'!$A$4:$L$403,8,False)*$AA$19</f>
        <v>-1.486872284</v>
      </c>
      <c r="AK44" s="132">
        <f>VLOOKUP($O44,'NO USAR1'!$A$4:$L$403,10,False)*$AB$19</f>
        <v>0.8356810013</v>
      </c>
      <c r="AL44" s="127">
        <f>VLOOKUP($O44,'NO USAR1'!$A$4:$L$403,12,False)*$AC$19</f>
        <v>-0.03270205491</v>
      </c>
      <c r="AM44" s="133">
        <f t="shared" si="2"/>
        <v>-1.486872284</v>
      </c>
      <c r="AN44" s="133">
        <f t="shared" si="3"/>
        <v>-2.404859037</v>
      </c>
    </row>
    <row r="45">
      <c r="A45" s="118" t="str">
        <f>IF(Update!B43="",ROW(Update!B43),Update!B43)</f>
        <v>Evan Mobley</v>
      </c>
      <c r="B45" s="119">
        <f>IF(TYPE($A45)=1,"",(Update!$L43-B$1)/B$2)</f>
        <v>-0.009549828028</v>
      </c>
      <c r="C45" s="119">
        <f>IF(TYPE($A45)=1,"",(Update!$K43-C$1)/C$2)</f>
        <v>-1.295554639</v>
      </c>
      <c r="D45" s="119">
        <f>IF(TYPE($A45)=1,"",(Update!$M43-D$1)/D$2)</f>
        <v>1.340043219</v>
      </c>
      <c r="E45" s="119">
        <f>IF(TYPE($A45)=1,"",(Update!$N43-E$1)/E$2)</f>
        <v>-0.4376938429</v>
      </c>
      <c r="F45" s="119">
        <f>IF(TYPE($A45)=1,"",(Update!$O43-F$1)/F$2)</f>
        <v>-0.2948865325</v>
      </c>
      <c r="G45" s="119">
        <f>IF(TYPE($A45)=1,"",(Update!$P43-G$1)/G$2)</f>
        <v>1.873439313</v>
      </c>
      <c r="H45" s="119">
        <f>IF(TYPE($A45)=1,"",(Update!$H43-H$1)/H$2*I45/$I$1)</f>
        <v>0.7788937186</v>
      </c>
      <c r="I45" s="119">
        <f>IF(TYPE($A45)=1,"",IF(Update!H43=0,0,Update!G43/Update!H43))</f>
        <v>12.9</v>
      </c>
      <c r="J45" s="120">
        <f>IF(TYPE($A45)=1,"",(Update!$J43-J$1)/J$2*K45/$K$1)</f>
        <v>-1.428765964</v>
      </c>
      <c r="K45" s="121">
        <f>IF(TYPE($A45)=1,"",IF(Update!J43=0,0,Update!I43/Update!J43))</f>
        <v>4</v>
      </c>
      <c r="L45" s="119">
        <f>IF(TYPE($A45)=1,"",-(Update!$Q43-L$1)/L$2)</f>
        <v>0.1175618177</v>
      </c>
      <c r="N45" s="124">
        <v>25.0</v>
      </c>
      <c r="O45" s="130" t="str">
        <f>IF(Update!B30="",ROW(Update!B30),Update!B30)</f>
        <v>LeBron James</v>
      </c>
      <c r="P45" s="131">
        <f>Update!E30</f>
        <v>56</v>
      </c>
      <c r="Q45" s="131" t="str">
        <f>IF(Update!C30="",ROW(Update!N45),Update!C30)</f>
        <v>SF,PF</v>
      </c>
      <c r="R45" s="127">
        <f>VLOOKUP($O45,'NO USAR1'!$A$4:$L$403,2,False)+VLOOKUP($O45,'NO USAR1'!$A$4:$L$403,3,False)+VLOOKUP($O45,'NO USAR1'!$A$4:$L$403,4,False)+VLOOKUP($O45,'NO USAR1'!$A$4:$L$403,5,False)+VLOOKUP($O45,'NO USAR1'!$A$4:$L$403,6,False)+VLOOKUP($O45,'NO USAR1'!$A$4:$L$403,7,False)+VLOOKUP($O45,'NO USAR1'!$A$4:$L$403,8,False)+VLOOKUP($O45,'NO USAR1'!$A$4:$L$403,10,False)+VLOOKUP($O45,'NO USAR1'!$A$4:$L$403,12,False)*0</f>
        <v>2.565004818</v>
      </c>
      <c r="S45" s="127">
        <f>VLOOKUP($O45,'NO USAR1'!$A$4:$L$403,2,False)*$U$19+VLOOKUP($O45,'NO USAR1'!$A$4:$L$403,3,False)*$V$19+VLOOKUP($O45,'NO USAR1'!$A$4:$L$403,4,False)*$W$19+VLOOKUP($O45,'NO USAR1'!$A$4:$L$403,5,False)*$X$19+VLOOKUP($O45,'NO USAR1'!$A$4:$L$403,6,False)*$Y$19+VLOOKUP($O45,'NO USAR1'!$A$4:$L$403,7,False)*$Z$19+VLOOKUP($O45,'NO USAR1'!$A$4:$L$403,8,False)*$AA$19+VLOOKUP($O45,'NO USAR1'!$A$4:$L$403,10,False)*$AB$19+VLOOKUP($O45,'NO USAR1'!$A$4:$L$403,12,False)*$AC$19+IF(Projections!$K$3,-AN45, IF(Projections!$J$3,-AM45,0))</f>
        <v>3.05338531</v>
      </c>
      <c r="T45" s="127">
        <f t="shared" si="1"/>
        <v>0.4883804919</v>
      </c>
      <c r="U45" s="127">
        <f>VLOOKUP($O45,Update!$B$2:$R$401,11,False)</f>
        <v>26.7</v>
      </c>
      <c r="V45" s="122">
        <f>VLOOKUP($O45,Update!$B$2:$R$401,10,False)</f>
        <v>2.3</v>
      </c>
      <c r="W45" s="127">
        <f>VLOOKUP($O45,Update!$B$2:$R$401,12,False)</f>
        <v>7.6</v>
      </c>
      <c r="X45" s="127">
        <f>VLOOKUP($O45,Update!$B$2:$R$401,13,False)</f>
        <v>6</v>
      </c>
      <c r="Y45" s="127">
        <f>VLOOKUP($O45,Update!$B$2:$R$401,14,False)</f>
        <v>0.8</v>
      </c>
      <c r="Z45" s="132">
        <f>VLOOKUP($O45,Update!$B$2:$R$401,15,False)</f>
        <v>0.5</v>
      </c>
      <c r="AA45" s="127">
        <f>100*VLOOKUP($O45,Update!$B$2:$R$401,7,False)</f>
        <v>50.24875622</v>
      </c>
      <c r="AB45" s="127">
        <f>100*VLOOKUP($O45,Update!$B$2:$R$401,9,False)</f>
        <v>76.36363636</v>
      </c>
      <c r="AC45" s="127">
        <f>VLOOKUP($O45,Update!$B$2:$Q$401,16,False)</f>
        <v>3.1</v>
      </c>
      <c r="AD45" s="127">
        <f>VLOOKUP($O45,'NO USAR1'!$A$4:$L$403,2,False)*$U$19</f>
        <v>1.591450753</v>
      </c>
      <c r="AE45" s="127">
        <f>VLOOKUP($O45,'NO USAR1'!$A$4:$L$403,3,False)*$V$19</f>
        <v>0.5682583984</v>
      </c>
      <c r="AF45" s="127">
        <f>VLOOKUP($O45,'NO USAR1'!$A$4:$L$403,4,False)*$W$19</f>
        <v>0.6291819318</v>
      </c>
      <c r="AG45" s="127">
        <f>VLOOKUP($O45,'NO USAR1'!$A$4:$L$403,5,False)*$X$19</f>
        <v>1.099613049</v>
      </c>
      <c r="AH45" s="127">
        <f>VLOOKUP($O45,'NO USAR1'!$A$4:$L$403,6,False)*$Y$19</f>
        <v>-0.4244704736</v>
      </c>
      <c r="AI45" s="127">
        <f>VLOOKUP($O45,'NO USAR1'!$A$4:$L$403,7,False)*$Z$19</f>
        <v>-0.2643825572</v>
      </c>
      <c r="AJ45" s="127">
        <f>VLOOKUP($O45,'NO USAR1'!$A$4:$L$403,8,False)*$AA$19</f>
        <v>0.1305646284</v>
      </c>
      <c r="AK45" s="132">
        <f>VLOOKUP($O45,'NO USAR1'!$A$4:$L$403,10,False)*$AB$19</f>
        <v>-0.3581362914</v>
      </c>
      <c r="AL45" s="127">
        <f>VLOOKUP($O45,'NO USAR1'!$A$4:$L$403,12,False)*$AC$19</f>
        <v>-0.3431646016</v>
      </c>
      <c r="AM45" s="133">
        <f t="shared" si="2"/>
        <v>-0.4244704736</v>
      </c>
      <c r="AN45" s="133">
        <f t="shared" si="3"/>
        <v>-0.782606765</v>
      </c>
    </row>
    <row r="46">
      <c r="A46" s="118" t="str">
        <f>IF(Update!B44="",ROW(Update!B44),Update!B44)</f>
        <v>Victor Wembanyama</v>
      </c>
      <c r="B46" s="119">
        <f>IF(TYPE($A46)=1,"",(Update!$L44-B$1)/B$2)</f>
        <v>0.007302809668</v>
      </c>
      <c r="C46" s="119">
        <f>IF(TYPE($A46)=1,"",(Update!$K44-C$1)/C$2)</f>
        <v>-0.6211211385</v>
      </c>
      <c r="D46" s="119">
        <f>IF(TYPE($A46)=1,"",(Update!$M44-D$1)/D$2)</f>
        <v>0.8800741509</v>
      </c>
      <c r="E46" s="119">
        <f>IF(TYPE($A46)=1,"",(Update!$N44-E$1)/E$2)</f>
        <v>-0.9477184481</v>
      </c>
      <c r="F46" s="119">
        <f>IF(TYPE($A46)=1,"",(Update!$O44-F$1)/F$2)</f>
        <v>-0.9178862491</v>
      </c>
      <c r="G46" s="119">
        <f>IF(TYPE($A46)=1,"",(Update!$P44-G$1)/G$2)</f>
        <v>2.999003653</v>
      </c>
      <c r="H46" s="119">
        <f>IF(TYPE($A46)=1,"",(Update!$H44-H$1)/H$2*I46/$I$1)</f>
        <v>-0.6035164718</v>
      </c>
      <c r="I46" s="119">
        <f>IF(TYPE($A46)=1,"",IF(Update!H44=0,0,Update!G44/Update!H44))</f>
        <v>14</v>
      </c>
      <c r="J46" s="120">
        <f>IF(TYPE($A46)=1,"",(Update!$J44-J$1)/J$2*K46/$K$1)</f>
        <v>-0.1028613634</v>
      </c>
      <c r="K46" s="121">
        <f>IF(TYPE($A46)=1,"",IF(Update!J44=0,0,Update!I44/Update!J44))</f>
        <v>4.6</v>
      </c>
      <c r="L46" s="119">
        <f>IF(TYPE($A46)=1,"",-(Update!$Q44-L$1)/L$2)</f>
        <v>0.2417468363</v>
      </c>
      <c r="N46" s="33">
        <v>26.0</v>
      </c>
      <c r="O46" s="130" t="str">
        <f>IF(Update!B23="",ROW(Update!B23),Update!B23)</f>
        <v>Karl-Anthony Towns</v>
      </c>
      <c r="P46" s="131">
        <f>Update!E23</f>
        <v>70</v>
      </c>
      <c r="Q46" s="131" t="str">
        <f>IF(Update!C23="",ROW(Update!N38),Update!C23)</f>
        <v>PF,C</v>
      </c>
      <c r="R46" s="127">
        <f>VLOOKUP($O46,'NO USAR1'!$A$4:$L$403,2,False)+VLOOKUP($O46,'NO USAR1'!$A$4:$L$403,3,False)+VLOOKUP($O46,'NO USAR1'!$A$4:$L$403,4,False)+VLOOKUP($O46,'NO USAR1'!$A$4:$L$403,5,False)+VLOOKUP($O46,'NO USAR1'!$A$4:$L$403,6,False)+VLOOKUP($O46,'NO USAR1'!$A$4:$L$403,7,False)+VLOOKUP($O46,'NO USAR1'!$A$4:$L$403,8,False)+VLOOKUP($O46,'NO USAR1'!$A$4:$L$403,10,False)+VLOOKUP($O46,'NO USAR1'!$A$4:$L$403,12,False)*0</f>
        <v>2.551360662</v>
      </c>
      <c r="S46" s="127">
        <f>VLOOKUP($O46,'NO USAR1'!$A$4:$L$403,2,False)*$U$19+VLOOKUP($O46,'NO USAR1'!$A$4:$L$403,3,False)*$V$19+VLOOKUP($O46,'NO USAR1'!$A$4:$L$403,4,False)*$W$19+VLOOKUP($O46,'NO USAR1'!$A$4:$L$403,5,False)*$X$19+VLOOKUP($O46,'NO USAR1'!$A$4:$L$403,6,False)*$Y$19+VLOOKUP($O46,'NO USAR1'!$A$4:$L$403,7,False)*$Z$19+VLOOKUP($O46,'NO USAR1'!$A$4:$L$403,8,False)*$AA$19+VLOOKUP($O46,'NO USAR1'!$A$4:$L$403,10,False)*$AB$19+VLOOKUP($O46,'NO USAR1'!$A$4:$L$403,12,False)*$AC$19+IF(Projections!$K$3,-AN46, IF(Projections!$J$3,-AM46,0))</f>
        <v>3.022091176</v>
      </c>
      <c r="T46" s="127">
        <f t="shared" si="1"/>
        <v>0.4707305147</v>
      </c>
      <c r="U46" s="127">
        <f>VLOOKUP($O46,Update!$B$2:$R$401,11,False)</f>
        <v>21.4</v>
      </c>
      <c r="V46" s="122">
        <f>VLOOKUP($O46,Update!$B$2:$R$401,10,False)</f>
        <v>2.1</v>
      </c>
      <c r="W46" s="127">
        <f>VLOOKUP($O46,Update!$B$2:$R$401,12,False)</f>
        <v>8.5</v>
      </c>
      <c r="X46" s="127">
        <f>VLOOKUP($O46,Update!$B$2:$R$401,13,False)</f>
        <v>4.6</v>
      </c>
      <c r="Y46" s="127">
        <f>VLOOKUP($O46,Update!$B$2:$R$401,14,False)</f>
        <v>0.7</v>
      </c>
      <c r="Z46" s="132">
        <f>VLOOKUP($O46,Update!$B$2:$R$401,15,False)</f>
        <v>0.7</v>
      </c>
      <c r="AA46" s="127">
        <f>100*VLOOKUP($O46,Update!$B$2:$R$401,7,False)</f>
        <v>50</v>
      </c>
      <c r="AB46" s="127">
        <f>100*VLOOKUP($O46,Update!$B$2:$R$401,9,False)</f>
        <v>84.61538462</v>
      </c>
      <c r="AC46" s="127">
        <f>VLOOKUP($O46,Update!$B$2:$Q$401,16,False)</f>
        <v>2.8</v>
      </c>
      <c r="AD46" s="127">
        <f>VLOOKUP($O46,'NO USAR1'!$A$4:$L$403,2,False)*$U$19</f>
        <v>0.6982609552</v>
      </c>
      <c r="AE46" s="127">
        <f>VLOOKUP($O46,'NO USAR1'!$A$4:$L$403,3,False)*$V$19</f>
        <v>0.394832641</v>
      </c>
      <c r="AF46" s="127">
        <f>VLOOKUP($O46,'NO USAR1'!$A$4:$L$403,4,False)*$W$19</f>
        <v>1.00552026</v>
      </c>
      <c r="AG46" s="127">
        <f>VLOOKUP($O46,'NO USAR1'!$A$4:$L$403,5,False)*$X$19</f>
        <v>0.3855786015</v>
      </c>
      <c r="AH46" s="127">
        <f>VLOOKUP($O46,'NO USAR1'!$A$4:$L$403,6,False)*$Y$19</f>
        <v>-0.6425203744</v>
      </c>
      <c r="AI46" s="127">
        <f>VLOOKUP($O46,'NO USAR1'!$A$4:$L$403,7,False)*$Z$19</f>
        <v>-0.001750877862</v>
      </c>
      <c r="AJ46" s="127">
        <f>VLOOKUP($O46,'NO USAR1'!$A$4:$L$403,8,False)*$AA$19</f>
        <v>0.06016520669</v>
      </c>
      <c r="AK46" s="132">
        <f>VLOOKUP($O46,'NO USAR1'!$A$4:$L$403,10,False)*$AB$19</f>
        <v>0.7295102269</v>
      </c>
      <c r="AL46" s="127">
        <f>VLOOKUP($O46,'NO USAR1'!$A$4:$L$403,12,False)*$AC$19</f>
        <v>-0.2500258376</v>
      </c>
      <c r="AM46" s="133">
        <f t="shared" si="2"/>
        <v>-0.6425203744</v>
      </c>
      <c r="AN46" s="133">
        <f t="shared" si="3"/>
        <v>-0.8925462119</v>
      </c>
    </row>
    <row r="47">
      <c r="A47" s="118" t="str">
        <f>IF(Update!B45="",ROW(Update!B45),Update!B45)</f>
        <v>Walker Kessler</v>
      </c>
      <c r="B47" s="119">
        <f>IF(TYPE($A47)=1,"",(Update!$L45-B$1)/B$2)</f>
        <v>-1.02070809</v>
      </c>
      <c r="C47" s="119">
        <f>IF(TYPE($A47)=1,"",(Update!$K45-C$1)/C$2)</f>
        <v>-1.584597568</v>
      </c>
      <c r="D47" s="119">
        <f>IF(TYPE($A47)=1,"",(Update!$M45-D$1)/D$2)</f>
        <v>1.758196918</v>
      </c>
      <c r="E47" s="119">
        <f>IF(TYPE($A47)=1,"",(Update!$N45-E$1)/E$2)</f>
        <v>-1.27227956</v>
      </c>
      <c r="F47" s="119">
        <f>IF(TYPE($A47)=1,"",(Update!$O45-F$1)/F$2)</f>
        <v>-1.852385824</v>
      </c>
      <c r="G47" s="119">
        <f>IF(TYPE($A47)=1,"",(Update!$P45-G$1)/G$2)</f>
        <v>3.749379879</v>
      </c>
      <c r="H47" s="119">
        <f>IF(TYPE($A47)=1,"",(Update!$H45-H$1)/H$2*I47/$I$1)</f>
        <v>1.695080486</v>
      </c>
      <c r="I47" s="119">
        <f>IF(TYPE($A47)=1,"",IF(Update!H45=0,0,Update!G45/Update!H45))</f>
        <v>6.8</v>
      </c>
      <c r="J47" s="120">
        <f>IF(TYPE($A47)=1,"",(Update!$J45-J$1)/J$2*K47/$K$1)</f>
        <v>-2.033299737</v>
      </c>
      <c r="K47" s="121">
        <f>IF(TYPE($A47)=1,"",IF(Update!J45=0,0,Update!I45/Update!J45))</f>
        <v>2.6</v>
      </c>
      <c r="L47" s="119">
        <f>IF(TYPE($A47)=1,"",-(Update!$Q45-L$1)/L$2)</f>
        <v>1.235226986</v>
      </c>
      <c r="N47" s="124">
        <v>27.0</v>
      </c>
      <c r="O47" s="130" t="str">
        <f>IF(Update!B36="",ROW(Update!B36),Update!B36)</f>
        <v>Dejounte Murray</v>
      </c>
      <c r="P47" s="131">
        <f>Update!E36</f>
        <v>74</v>
      </c>
      <c r="Q47" s="131" t="str">
        <f>IF(Update!C36="",ROW(Update!N51),Update!C36)</f>
        <v>PG,SG</v>
      </c>
      <c r="R47" s="127">
        <f>VLOOKUP($O47,'NO USAR1'!$A$4:$L$403,2,False)+VLOOKUP($O47,'NO USAR1'!$A$4:$L$403,3,False)+VLOOKUP($O47,'NO USAR1'!$A$4:$L$403,4,False)+VLOOKUP($O47,'NO USAR1'!$A$4:$L$403,5,False)+VLOOKUP($O47,'NO USAR1'!$A$4:$L$403,6,False)+VLOOKUP($O47,'NO USAR1'!$A$4:$L$403,7,False)+VLOOKUP($O47,'NO USAR1'!$A$4:$L$403,8,False)+VLOOKUP($O47,'NO USAR1'!$A$4:$L$403,10,False)+VLOOKUP($O47,'NO USAR1'!$A$4:$L$403,12,False)*0</f>
        <v>2.529259985</v>
      </c>
      <c r="S47" s="127">
        <f>VLOOKUP($O47,'NO USAR1'!$A$4:$L$403,2,False)*$U$19+VLOOKUP($O47,'NO USAR1'!$A$4:$L$403,3,False)*$V$19+VLOOKUP($O47,'NO USAR1'!$A$4:$L$403,4,False)*$W$19+VLOOKUP($O47,'NO USAR1'!$A$4:$L$403,5,False)*$X$19+VLOOKUP($O47,'NO USAR1'!$A$4:$L$403,6,False)*$Y$19+VLOOKUP($O47,'NO USAR1'!$A$4:$L$403,7,False)*$Z$19+VLOOKUP($O47,'NO USAR1'!$A$4:$L$403,8,False)*$AA$19+VLOOKUP($O47,'NO USAR1'!$A$4:$L$403,10,False)*$AB$19+VLOOKUP($O47,'NO USAR1'!$A$4:$L$403,12,False)*$AC$19+IF(Projections!$K$3,-AN47, IF(Projections!$J$3,-AM47,0))</f>
        <v>2.85939343</v>
      </c>
      <c r="T47" s="127">
        <f t="shared" si="1"/>
        <v>0.3301334452</v>
      </c>
      <c r="U47" s="127">
        <f>VLOOKUP($O47,Update!$B$2:$R$401,11,False)</f>
        <v>20.7</v>
      </c>
      <c r="V47" s="122">
        <f>VLOOKUP($O47,Update!$B$2:$R$401,10,False)</f>
        <v>1.6</v>
      </c>
      <c r="W47" s="127">
        <f>VLOOKUP($O47,Update!$B$2:$R$401,12,False)</f>
        <v>6.5</v>
      </c>
      <c r="X47" s="127">
        <f>VLOOKUP($O47,Update!$B$2:$R$401,13,False)</f>
        <v>6.4</v>
      </c>
      <c r="Y47" s="127">
        <f>VLOOKUP($O47,Update!$B$2:$R$401,14,False)</f>
        <v>1.6</v>
      </c>
      <c r="Z47" s="132">
        <f>VLOOKUP($O47,Update!$B$2:$R$401,15,False)</f>
        <v>0.3</v>
      </c>
      <c r="AA47" s="127">
        <f>100*VLOOKUP($O47,Update!$B$2:$R$401,7,False)</f>
        <v>46.44808743</v>
      </c>
      <c r="AB47" s="127">
        <f>100*VLOOKUP($O47,Update!$B$2:$R$401,9,False)</f>
        <v>80.76923077</v>
      </c>
      <c r="AC47" s="127">
        <f>VLOOKUP($O47,Update!$B$2:$Q$401,16,False)</f>
        <v>2.2</v>
      </c>
      <c r="AD47" s="127">
        <f>VLOOKUP($O47,'NO USAR1'!$A$4:$L$403,2,False)*$U$19</f>
        <v>0.5802924913</v>
      </c>
      <c r="AE47" s="127">
        <f>VLOOKUP($O47,'NO USAR1'!$A$4:$L$403,3,False)*$V$19</f>
        <v>-0.03873175248</v>
      </c>
      <c r="AF47" s="127">
        <f>VLOOKUP($O47,'NO USAR1'!$A$4:$L$403,4,False)*$W$19</f>
        <v>0.1692128634</v>
      </c>
      <c r="AG47" s="127">
        <f>VLOOKUP($O47,'NO USAR1'!$A$4:$L$403,5,False)*$X$19</f>
        <v>1.303622891</v>
      </c>
      <c r="AH47" s="127">
        <f>VLOOKUP($O47,'NO USAR1'!$A$4:$L$403,6,False)*$Y$19</f>
        <v>1.319928733</v>
      </c>
      <c r="AI47" s="127">
        <f>VLOOKUP($O47,'NO USAR1'!$A$4:$L$403,7,False)*$Z$19</f>
        <v>-0.5270142365</v>
      </c>
      <c r="AJ47" s="127">
        <f>VLOOKUP($O47,'NO USAR1'!$A$4:$L$403,8,False)*$AA$19</f>
        <v>-0.5758607168</v>
      </c>
      <c r="AK47" s="132">
        <f>VLOOKUP($O47,'NO USAR1'!$A$4:$L$403,10,False)*$AB$19</f>
        <v>0.1158307506</v>
      </c>
      <c r="AL47" s="127">
        <f>VLOOKUP($O47,'NO USAR1'!$A$4:$L$403,12,False)*$AC$19</f>
        <v>-0.06374830958</v>
      </c>
      <c r="AM47" s="133">
        <f t="shared" si="2"/>
        <v>-0.5758607168</v>
      </c>
      <c r="AN47" s="133">
        <f t="shared" si="3"/>
        <v>-1.102874953</v>
      </c>
    </row>
    <row r="48">
      <c r="A48" s="118" t="str">
        <f>IF(Update!B46="",ROW(Update!B46),Update!B46)</f>
        <v>Tyrese Maxey</v>
      </c>
      <c r="B48" s="119">
        <f>IF(TYPE($A48)=1,"",(Update!$L46-B$1)/B$2)</f>
        <v>0.7151135929</v>
      </c>
      <c r="C48" s="119">
        <f>IF(TYPE($A48)=1,"",(Update!$K46-C$1)/C$2)</f>
        <v>1.209484078</v>
      </c>
      <c r="D48" s="119">
        <f>IF(TYPE($A48)=1,"",(Update!$M46-D$1)/D$2)</f>
        <v>-1.168878972</v>
      </c>
      <c r="E48" s="119">
        <f>IF(TYPE($A48)=1,"",(Update!$N46-E$1)/E$2)</f>
        <v>0.2577942549</v>
      </c>
      <c r="F48" s="119">
        <f>IF(TYPE($A48)=1,"",(Update!$O46-F$1)/F$2)</f>
        <v>-0.6063863908</v>
      </c>
      <c r="G48" s="119">
        <f>IF(TYPE($A48)=1,"",(Update!$P46-G$1)/G$2)</f>
        <v>-0.7528774808</v>
      </c>
      <c r="H48" s="119">
        <f>IF(TYPE($A48)=1,"",(Update!$H46-H$1)/H$2*I48/$I$1)</f>
        <v>-0.1506630949</v>
      </c>
      <c r="I48" s="119">
        <f>IF(TYPE($A48)=1,"",IF(Update!H46=0,0,Update!G46/Update!H46))</f>
        <v>16</v>
      </c>
      <c r="J48" s="120">
        <f>IF(TYPE($A48)=1,"",(Update!$J46-J$1)/J$2*K48/$K$1)</f>
        <v>0.7988521714</v>
      </c>
      <c r="K48" s="121">
        <f>IF(TYPE($A48)=1,"",IF(Update!J46=0,0,Update!I46/Update!J46))</f>
        <v>3.6</v>
      </c>
      <c r="L48" s="119">
        <f>IF(TYPE($A48)=1,"",-(Update!$Q46-L$1)/L$2)</f>
        <v>0.8626719296</v>
      </c>
      <c r="N48" s="124">
        <v>28.0</v>
      </c>
      <c r="O48" s="130" t="str">
        <f>IF(Update!B26="",ROW(Update!B26),Update!B26)</f>
        <v>Lauri Markkanen</v>
      </c>
      <c r="P48" s="131">
        <f>Update!E26</f>
        <v>66</v>
      </c>
      <c r="Q48" s="131" t="str">
        <f>IF(Update!C26="",ROW(Update!N41),Update!C26)</f>
        <v>SF,PF</v>
      </c>
      <c r="R48" s="127">
        <f>VLOOKUP($O48,'NO USAR1'!$A$4:$L$403,2,False)+VLOOKUP($O48,'NO USAR1'!$A$4:$L$403,3,False)+VLOOKUP($O48,'NO USAR1'!$A$4:$L$403,4,False)+VLOOKUP($O48,'NO USAR1'!$A$4:$L$403,5,False)+VLOOKUP($O48,'NO USAR1'!$A$4:$L$403,6,False)+VLOOKUP($O48,'NO USAR1'!$A$4:$L$403,7,False)+VLOOKUP($O48,'NO USAR1'!$A$4:$L$403,8,False)+VLOOKUP($O48,'NO USAR1'!$A$4:$L$403,10,False)+VLOOKUP($O48,'NO USAR1'!$A$4:$L$403,12,False)*0</f>
        <v>2.517364934</v>
      </c>
      <c r="S48" s="127">
        <f>VLOOKUP($O48,'NO USAR1'!$A$4:$L$403,2,False)*$U$19+VLOOKUP($O48,'NO USAR1'!$A$4:$L$403,3,False)*$V$19+VLOOKUP($O48,'NO USAR1'!$A$4:$L$403,4,False)*$W$19+VLOOKUP($O48,'NO USAR1'!$A$4:$L$403,5,False)*$X$19+VLOOKUP($O48,'NO USAR1'!$A$4:$L$403,6,False)*$Y$19+VLOOKUP($O48,'NO USAR1'!$A$4:$L$403,7,False)*$Z$19+VLOOKUP($O48,'NO USAR1'!$A$4:$L$403,8,False)*$AA$19+VLOOKUP($O48,'NO USAR1'!$A$4:$L$403,10,False)*$AB$19+VLOOKUP($O48,'NO USAR1'!$A$4:$L$403,12,False)*$AC$19+IF(Projections!$K$3,-AN48, IF(Projections!$J$3,-AM48,0))</f>
        <v>3.364427045</v>
      </c>
      <c r="T48" s="127">
        <f t="shared" si="1"/>
        <v>0.8470621108</v>
      </c>
      <c r="U48" s="127">
        <f>VLOOKUP($O48,Update!$B$2:$R$401,11,False)</f>
        <v>23.9</v>
      </c>
      <c r="V48" s="122">
        <f>VLOOKUP($O48,Update!$B$2:$R$401,10,False)</f>
        <v>2.9</v>
      </c>
      <c r="W48" s="127">
        <f>VLOOKUP($O48,Update!$B$2:$R$401,12,False)</f>
        <v>8</v>
      </c>
      <c r="X48" s="127">
        <f>VLOOKUP($O48,Update!$B$2:$R$401,13,False)</f>
        <v>1.9</v>
      </c>
      <c r="Y48" s="127">
        <f>VLOOKUP($O48,Update!$B$2:$R$401,14,False)</f>
        <v>0.7</v>
      </c>
      <c r="Z48" s="132">
        <f>VLOOKUP($O48,Update!$B$2:$R$401,15,False)</f>
        <v>0.6</v>
      </c>
      <c r="AA48" s="127">
        <f>100*VLOOKUP($O48,Update!$B$2:$R$401,7,False)</f>
        <v>48.7804878</v>
      </c>
      <c r="AB48" s="127">
        <f>100*VLOOKUP($O48,Update!$B$2:$R$401,9,False)</f>
        <v>87.71929825</v>
      </c>
      <c r="AC48" s="127">
        <f>VLOOKUP($O48,Update!$B$2:$Q$401,16,False)</f>
        <v>1.9</v>
      </c>
      <c r="AD48" s="127">
        <f>VLOOKUP($O48,'NO USAR1'!$A$4:$L$403,2,False)*$U$19</f>
        <v>1.119576898</v>
      </c>
      <c r="AE48" s="127">
        <f>VLOOKUP($O48,'NO USAR1'!$A$4:$L$403,3,False)*$V$19</f>
        <v>1.088535671</v>
      </c>
      <c r="AF48" s="127">
        <f>VLOOKUP($O48,'NO USAR1'!$A$4:$L$403,4,False)*$W$19</f>
        <v>0.7964434112</v>
      </c>
      <c r="AG48" s="127">
        <f>VLOOKUP($O48,'NO USAR1'!$A$4:$L$403,5,False)*$X$19</f>
        <v>-0.9914878323</v>
      </c>
      <c r="AH48" s="127">
        <f>VLOOKUP($O48,'NO USAR1'!$A$4:$L$403,6,False)*$Y$19</f>
        <v>-0.6425203744</v>
      </c>
      <c r="AI48" s="127">
        <f>VLOOKUP($O48,'NO USAR1'!$A$4:$L$403,7,False)*$Z$19</f>
        <v>-0.1330667175</v>
      </c>
      <c r="AJ48" s="127">
        <f>VLOOKUP($O48,'NO USAR1'!$A$4:$L$403,8,False)*$AA$19</f>
        <v>-0.1339923799</v>
      </c>
      <c r="AK48" s="132">
        <f>VLOOKUP($O48,'NO USAR1'!$A$4:$L$403,10,False)*$AB$19</f>
        <v>1.240060083</v>
      </c>
      <c r="AL48" s="127">
        <f>VLOOKUP($O48,'NO USAR1'!$A$4:$L$403,12,False)*$AC$19</f>
        <v>0.02939045442</v>
      </c>
      <c r="AM48" s="133">
        <f t="shared" si="2"/>
        <v>-0.9914878323</v>
      </c>
      <c r="AN48" s="133">
        <f t="shared" si="3"/>
        <v>-1.634008207</v>
      </c>
    </row>
    <row r="49">
      <c r="A49" s="118" t="str">
        <f>IF(Update!B47="",ROW(Update!B47),Update!B47)</f>
        <v>Nikola Vucevic</v>
      </c>
      <c r="B49" s="119">
        <f>IF(TYPE($A49)=1,"",(Update!$L47-B$1)/B$2)</f>
        <v>0.02415544736</v>
      </c>
      <c r="C49" s="119">
        <f>IF(TYPE($A49)=1,"",(Update!$K47-C$1)/C$2)</f>
        <v>-0.1393829235</v>
      </c>
      <c r="D49" s="119">
        <f>IF(TYPE($A49)=1,"",(Update!$M47-D$1)/D$2)</f>
        <v>2.050904507</v>
      </c>
      <c r="E49" s="119">
        <f>IF(TYPE($A49)=1,"",(Update!$N47-E$1)/E$2)</f>
        <v>-0.2985962234</v>
      </c>
      <c r="F49" s="119">
        <f>IF(TYPE($A49)=1,"",(Update!$O47-F$1)/F$2)</f>
        <v>-0.9178862491</v>
      </c>
      <c r="G49" s="119">
        <f>IF(TYPE($A49)=1,"",(Update!$P47-G$1)/G$2)</f>
        <v>-0.002501254089</v>
      </c>
      <c r="H49" s="119">
        <f>IF(TYPE($A49)=1,"",(Update!$H47-H$1)/H$2*I49/$I$1)</f>
        <v>-0.1560111132</v>
      </c>
      <c r="I49" s="119">
        <f>IF(TYPE($A49)=1,"",IF(Update!H47=0,0,Update!G47/Update!H47))</f>
        <v>14.8</v>
      </c>
      <c r="J49" s="120">
        <f>IF(TYPE($A49)=1,"",(Update!$J47-J$1)/J$2*K49/$K$1)</f>
        <v>0.2438483589</v>
      </c>
      <c r="K49" s="121">
        <f>IF(TYPE($A49)=1,"",IF(Update!J47=0,0,Update!I47/Update!J47))</f>
        <v>1.8</v>
      </c>
      <c r="L49" s="119">
        <f>IF(TYPE($A49)=1,"",-(Update!$Q47-L$1)/L$2)</f>
        <v>0.2417468363</v>
      </c>
      <c r="N49" s="33">
        <v>29.0</v>
      </c>
      <c r="O49" s="130" t="str">
        <f>IF(Update!B22="",ROW(Update!B22),Update!B22)</f>
        <v>Giannis Antetokounmpo</v>
      </c>
      <c r="P49" s="131">
        <f>Update!E22</f>
        <v>65</v>
      </c>
      <c r="Q49" s="131" t="str">
        <f>IF(Update!C22="",ROW(Update!N37),Update!C22)</f>
        <v>PF,C</v>
      </c>
      <c r="R49" s="127">
        <f>VLOOKUP($O49,'NO USAR1'!$A$4:$L$403,2,False)+VLOOKUP($O49,'NO USAR1'!$A$4:$L$403,3,False)+VLOOKUP($O49,'NO USAR1'!$A$4:$L$403,4,False)+VLOOKUP($O49,'NO USAR1'!$A$4:$L$403,5,False)+VLOOKUP($O49,'NO USAR1'!$A$4:$L$403,6,False)+VLOOKUP($O49,'NO USAR1'!$A$4:$L$403,7,False)+VLOOKUP($O49,'NO USAR1'!$A$4:$L$403,8,False)+VLOOKUP($O49,'NO USAR1'!$A$4:$L$403,10,False)+VLOOKUP($O49,'NO USAR1'!$A$4:$L$403,12,False)*0</f>
        <v>2.440947221</v>
      </c>
      <c r="S49" s="127">
        <f>VLOOKUP($O49,'NO USAR1'!$A$4:$L$403,2,False)*$U$19+VLOOKUP($O49,'NO USAR1'!$A$4:$L$403,3,False)*$V$19+VLOOKUP($O49,'NO USAR1'!$A$4:$L$403,4,False)*$W$19+VLOOKUP($O49,'NO USAR1'!$A$4:$L$403,5,False)*$X$19+VLOOKUP($O49,'NO USAR1'!$A$4:$L$403,6,False)*$Y$19+VLOOKUP($O49,'NO USAR1'!$A$4:$L$403,7,False)*$Z$19+VLOOKUP($O49,'NO USAR1'!$A$4:$L$403,8,False)*$AA$19+VLOOKUP($O49,'NO USAR1'!$A$4:$L$403,10,False)*$AB$19+VLOOKUP($O49,'NO USAR1'!$A$4:$L$403,12,False)*$AC$19+IF(Projections!$K$3,-AN49, IF(Projections!$J$3,-AM49,0))</f>
        <v>5.80453656</v>
      </c>
      <c r="T49" s="127">
        <f t="shared" si="1"/>
        <v>3.363589339</v>
      </c>
      <c r="U49" s="127">
        <f>VLOOKUP($O49,Update!$B$2:$R$401,11,False)</f>
        <v>28.3</v>
      </c>
      <c r="V49" s="122">
        <f>VLOOKUP($O49,Update!$B$2:$R$401,10,False)</f>
        <v>0.9</v>
      </c>
      <c r="W49" s="127">
        <f>VLOOKUP($O49,Update!$B$2:$R$401,12,False)</f>
        <v>11.6</v>
      </c>
      <c r="X49" s="127">
        <f>VLOOKUP($O49,Update!$B$2:$R$401,13,False)</f>
        <v>5.7</v>
      </c>
      <c r="Y49" s="127">
        <f>VLOOKUP($O49,Update!$B$2:$R$401,14,False)</f>
        <v>1.1</v>
      </c>
      <c r="Z49" s="132">
        <f>VLOOKUP($O49,Update!$B$2:$R$401,15,False)</f>
        <v>1</v>
      </c>
      <c r="AA49" s="127">
        <f>100*VLOOKUP($O49,Update!$B$2:$R$401,7,False)</f>
        <v>56.7251462</v>
      </c>
      <c r="AB49" s="127">
        <f>100*VLOOKUP($O49,Update!$B$2:$R$401,9,False)</f>
        <v>67.79661017</v>
      </c>
      <c r="AC49" s="127">
        <f>VLOOKUP($O49,Update!$B$2:$Q$401,16,False)</f>
        <v>3.6</v>
      </c>
      <c r="AD49" s="127">
        <f>VLOOKUP($O49,'NO USAR1'!$A$4:$L$403,2,False)*$U$19</f>
        <v>1.861092956</v>
      </c>
      <c r="AE49" s="127">
        <f>VLOOKUP($O49,'NO USAR1'!$A$4:$L$403,3,False)*$V$19</f>
        <v>-0.6457219034</v>
      </c>
      <c r="AF49" s="127">
        <f>VLOOKUP($O49,'NO USAR1'!$A$4:$L$403,4,False)*$W$19</f>
        <v>2.301796726</v>
      </c>
      <c r="AG49" s="127">
        <f>VLOOKUP($O49,'NO USAR1'!$A$4:$L$403,5,False)*$X$19</f>
        <v>0.9466056671</v>
      </c>
      <c r="AH49" s="127">
        <f>VLOOKUP($O49,'NO USAR1'!$A$4:$L$403,6,False)*$Y$19</f>
        <v>0.2296792288</v>
      </c>
      <c r="AI49" s="127">
        <f>VLOOKUP($O49,'NO USAR1'!$A$4:$L$403,7,False)*$Z$19</f>
        <v>0.3921966412</v>
      </c>
      <c r="AJ49" s="127">
        <f>VLOOKUP($O49,'NO USAR1'!$A$4:$L$403,8,False)*$AA$19</f>
        <v>1.217283119</v>
      </c>
      <c r="AK49" s="132">
        <f>VLOOKUP($O49,'NO USAR1'!$A$4:$L$403,10,False)*$AB$19</f>
        <v>-3.284764148</v>
      </c>
      <c r="AL49" s="127">
        <f>VLOOKUP($O49,'NO USAR1'!$A$4:$L$403,12,False)*$AC$19</f>
        <v>-0.4983958749</v>
      </c>
      <c r="AM49" s="133">
        <f t="shared" si="2"/>
        <v>-3.284764148</v>
      </c>
      <c r="AN49" s="133">
        <f t="shared" si="3"/>
        <v>-3.930486051</v>
      </c>
    </row>
    <row r="50">
      <c r="A50" s="118" t="str">
        <f>IF(Update!B48="",ROW(Update!B48),Update!B48)</f>
        <v>Nicolas Claxton</v>
      </c>
      <c r="B50" s="119">
        <f>IF(TYPE($A50)=1,"",(Update!$L48-B$1)/B$2)</f>
        <v>-0.8858869882</v>
      </c>
      <c r="C50" s="119">
        <f>IF(TYPE($A50)=1,"",(Update!$K48-C$1)/C$2)</f>
        <v>-1.584597568</v>
      </c>
      <c r="D50" s="119">
        <f>IF(TYPE($A50)=1,"",(Update!$M48-D$1)/D$2)</f>
        <v>1.25641248</v>
      </c>
      <c r="E50" s="119">
        <f>IF(TYPE($A50)=1,"",(Update!$N48-E$1)/E$2)</f>
        <v>-0.9477184481</v>
      </c>
      <c r="F50" s="119">
        <f>IF(TYPE($A50)=1,"",(Update!$O48-F$1)/F$2)</f>
        <v>-0.6063863908</v>
      </c>
      <c r="G50" s="119">
        <f>IF(TYPE($A50)=1,"",(Update!$P48-G$1)/G$2)</f>
        <v>3.186597709</v>
      </c>
      <c r="H50" s="119">
        <f>IF(TYPE($A50)=1,"",(Update!$H48-H$1)/H$2*I50/$I$1)</f>
        <v>1.366582158</v>
      </c>
      <c r="I50" s="119">
        <f>IF(TYPE($A50)=1,"",IF(Update!H48=0,0,Update!G48/Update!H48))</f>
        <v>7.8</v>
      </c>
      <c r="J50" s="120">
        <f>IF(TYPE($A50)=1,"",(Update!$J48-J$1)/J$2*K50/$K$1)</f>
        <v>-2.082829697</v>
      </c>
      <c r="K50" s="121">
        <f>IF(TYPE($A50)=1,"",IF(Update!J48=0,0,Update!I48/Update!J48))</f>
        <v>3</v>
      </c>
      <c r="L50" s="119">
        <f>IF(TYPE($A50)=1,"",-(Update!$Q48-L$1)/L$2)</f>
        <v>0.8626719296</v>
      </c>
      <c r="N50" s="124">
        <v>30.0</v>
      </c>
      <c r="O50" s="130" t="str">
        <f>IF(Update!B29="",ROW(Update!B29),Update!B29)</f>
        <v>Bam Adebayo</v>
      </c>
      <c r="P50" s="131">
        <f>Update!E29</f>
        <v>72</v>
      </c>
      <c r="Q50" s="131" t="str">
        <f>IF(Update!C29="",ROW(Update!N44),Update!C29)</f>
        <v>C</v>
      </c>
      <c r="R50" s="127">
        <f>VLOOKUP($O50,'NO USAR1'!$A$4:$L$403,2,False)+VLOOKUP($O50,'NO USAR1'!$A$4:$L$403,3,False)+VLOOKUP($O50,'NO USAR1'!$A$4:$L$403,4,False)+VLOOKUP($O50,'NO USAR1'!$A$4:$L$403,5,False)+VLOOKUP($O50,'NO USAR1'!$A$4:$L$403,6,False)+VLOOKUP($O50,'NO USAR1'!$A$4:$L$403,7,False)+VLOOKUP($O50,'NO USAR1'!$A$4:$L$403,8,False)+VLOOKUP($O50,'NO USAR1'!$A$4:$L$403,10,False)+VLOOKUP($O50,'NO USAR1'!$A$4:$L$403,12,False)*0</f>
        <v>2.353236562</v>
      </c>
      <c r="S50" s="127">
        <f>VLOOKUP($O50,'NO USAR1'!$A$4:$L$403,2,False)*$U$19+VLOOKUP($O50,'NO USAR1'!$A$4:$L$403,3,False)*$V$19+VLOOKUP($O50,'NO USAR1'!$A$4:$L$403,4,False)*$W$19+VLOOKUP($O50,'NO USAR1'!$A$4:$L$403,5,False)*$X$19+VLOOKUP($O50,'NO USAR1'!$A$4:$L$403,6,False)*$Y$19+VLOOKUP($O50,'NO USAR1'!$A$4:$L$403,7,False)*$Z$19+VLOOKUP($O50,'NO USAR1'!$A$4:$L$403,8,False)*$AA$19+VLOOKUP($O50,'NO USAR1'!$A$4:$L$403,10,False)*$AB$19+VLOOKUP($O50,'NO USAR1'!$A$4:$L$403,12,False)*$AC$19+IF(Projections!$K$3,-AN50, IF(Projections!$J$3,-AM50,0))</f>
        <v>3.277486773</v>
      </c>
      <c r="T50" s="127">
        <f t="shared" si="1"/>
        <v>0.9242502114</v>
      </c>
      <c r="U50" s="127">
        <f>VLOOKUP($O50,Update!$B$2:$R$401,11,False)</f>
        <v>20.2</v>
      </c>
      <c r="V50" s="122">
        <f>VLOOKUP($O50,Update!$B$2:$R$401,10,False)</f>
        <v>0</v>
      </c>
      <c r="W50" s="127">
        <f>VLOOKUP($O50,Update!$B$2:$R$401,12,False)</f>
        <v>9.8</v>
      </c>
      <c r="X50" s="127">
        <f>VLOOKUP($O50,Update!$B$2:$R$401,13,False)</f>
        <v>3.5</v>
      </c>
      <c r="Y50" s="127">
        <f>VLOOKUP($O50,Update!$B$2:$R$401,14,False)</f>
        <v>1.3</v>
      </c>
      <c r="Z50" s="132">
        <f>VLOOKUP($O50,Update!$B$2:$R$401,15,False)</f>
        <v>0.8</v>
      </c>
      <c r="AA50" s="127">
        <f>100*VLOOKUP($O50,Update!$B$2:$R$401,7,False)</f>
        <v>53.7414966</v>
      </c>
      <c r="AB50" s="127">
        <f>100*VLOOKUP($O50,Update!$B$2:$R$401,9,False)</f>
        <v>80.35714286</v>
      </c>
      <c r="AC50" s="127">
        <f>VLOOKUP($O50,Update!$B$2:$Q$401,16,False)</f>
        <v>2.6</v>
      </c>
      <c r="AD50" s="127">
        <f>VLOOKUP($O50,'NO USAR1'!$A$4:$L$403,2,False)*$U$19</f>
        <v>0.4960293028</v>
      </c>
      <c r="AE50" s="127">
        <f>VLOOKUP($O50,'NO USAR1'!$A$4:$L$403,3,False)*$V$19</f>
        <v>-1.426137812</v>
      </c>
      <c r="AF50" s="127">
        <f>VLOOKUP($O50,'NO USAR1'!$A$4:$L$403,4,False)*$W$19</f>
        <v>1.549120069</v>
      </c>
      <c r="AG50" s="127">
        <f>VLOOKUP($O50,'NO USAR1'!$A$4:$L$403,5,False)*$X$19</f>
        <v>-0.1754484642</v>
      </c>
      <c r="AH50" s="127">
        <f>VLOOKUP($O50,'NO USAR1'!$A$4:$L$403,6,False)*$Y$19</f>
        <v>0.6657790304</v>
      </c>
      <c r="AI50" s="127">
        <f>VLOOKUP($O50,'NO USAR1'!$A$4:$L$403,7,False)*$Z$19</f>
        <v>0.1295649618</v>
      </c>
      <c r="AJ50" s="127">
        <f>VLOOKUP($O50,'NO USAR1'!$A$4:$L$403,8,False)*$AA$19</f>
        <v>0.6083376686</v>
      </c>
      <c r="AK50" s="132">
        <f>VLOOKUP($O50,'NO USAR1'!$A$4:$L$403,10,False)*$AB$19</f>
        <v>0.192037533</v>
      </c>
      <c r="AL50" s="127">
        <f>VLOOKUP($O50,'NO USAR1'!$A$4:$L$403,12,False)*$AC$19</f>
        <v>-0.1879333282</v>
      </c>
      <c r="AM50" s="133">
        <f t="shared" si="2"/>
        <v>-1.426137812</v>
      </c>
      <c r="AN50" s="133">
        <f t="shared" si="3"/>
        <v>-1.61407114</v>
      </c>
    </row>
    <row r="51">
      <c r="A51" s="118" t="str">
        <f>IF(Update!B49="",ROW(Update!B49),Update!B49)</f>
        <v>Deandre Ayton</v>
      </c>
      <c r="B51" s="119">
        <f>IF(TYPE($A51)=1,"",(Update!$L49-B$1)/B$2)</f>
        <v>0.2769450128</v>
      </c>
      <c r="C51" s="119">
        <f>IF(TYPE($A51)=1,"",(Update!$K49-C$1)/C$2)</f>
        <v>-1.488249925</v>
      </c>
      <c r="D51" s="119">
        <f>IF(TYPE($A51)=1,"",(Update!$M49-D$1)/D$2)</f>
        <v>1.674566178</v>
      </c>
      <c r="E51" s="119">
        <f>IF(TYPE($A51)=1,"",(Update!$N49-E$1)/E$2)</f>
        <v>-0.9940843212</v>
      </c>
      <c r="F51" s="119">
        <f>IF(TYPE($A51)=1,"",(Update!$O49-F$1)/F$2)</f>
        <v>-0.9178862491</v>
      </c>
      <c r="G51" s="119">
        <f>IF(TYPE($A51)=1,"",(Update!$P49-G$1)/G$2)</f>
        <v>0.1850928026</v>
      </c>
      <c r="H51" s="119">
        <f>IF(TYPE($A51)=1,"",(Update!$H49-H$1)/H$2*I51/$I$1)</f>
        <v>1.395104923</v>
      </c>
      <c r="I51" s="119">
        <f>IF(TYPE($A51)=1,"",IF(Update!H49=0,0,Update!G49/Update!H49))</f>
        <v>14.2</v>
      </c>
      <c r="J51" s="120">
        <f>IF(TYPE($A51)=1,"",(Update!$J49-J$1)/J$2*K51/$K$1)</f>
        <v>-0.5270524292</v>
      </c>
      <c r="K51" s="121">
        <f>IF(TYPE($A51)=1,"",IF(Update!J49=0,0,Update!I49/Update!J49))</f>
        <v>3</v>
      </c>
      <c r="L51" s="119">
        <f>IF(TYPE($A51)=1,"",-(Update!$Q49-L$1)/L$2)</f>
        <v>0.2417468363</v>
      </c>
      <c r="N51" s="124">
        <v>31.0</v>
      </c>
      <c r="O51" s="130" t="str">
        <f>IF(Update!B25="",ROW(Update!B25),Update!B25)</f>
        <v>Mikal Bridges</v>
      </c>
      <c r="P51" s="131">
        <f>Update!E25</f>
        <v>80</v>
      </c>
      <c r="Q51" s="131" t="str">
        <f>IF(Update!C25="",ROW(Update!N40),Update!C25)</f>
        <v>SG,SF</v>
      </c>
      <c r="R51" s="127">
        <f>VLOOKUP($O51,'NO USAR1'!$A$4:$L$403,2,False)+VLOOKUP($O51,'NO USAR1'!$A$4:$L$403,3,False)+VLOOKUP($O51,'NO USAR1'!$A$4:$L$403,4,False)+VLOOKUP($O51,'NO USAR1'!$A$4:$L$403,5,False)+VLOOKUP($O51,'NO USAR1'!$A$4:$L$403,6,False)+VLOOKUP($O51,'NO USAR1'!$A$4:$L$403,7,False)+VLOOKUP($O51,'NO USAR1'!$A$4:$L$403,8,False)+VLOOKUP($O51,'NO USAR1'!$A$4:$L$403,10,False)+VLOOKUP($O51,'NO USAR1'!$A$4:$L$403,12,False)*0</f>
        <v>2.29148582</v>
      </c>
      <c r="S51" s="127">
        <f>VLOOKUP($O51,'NO USAR1'!$A$4:$L$403,2,False)*$U$19+VLOOKUP($O51,'NO USAR1'!$A$4:$L$403,3,False)*$V$19+VLOOKUP($O51,'NO USAR1'!$A$4:$L$403,4,False)*$W$19+VLOOKUP($O51,'NO USAR1'!$A$4:$L$403,5,False)*$X$19+VLOOKUP($O51,'NO USAR1'!$A$4:$L$403,6,False)*$Y$19+VLOOKUP($O51,'NO USAR1'!$A$4:$L$403,7,False)*$Z$19+VLOOKUP($O51,'NO USAR1'!$A$4:$L$403,8,False)*$AA$19+VLOOKUP($O51,'NO USAR1'!$A$4:$L$403,10,False)*$AB$19+VLOOKUP($O51,'NO USAR1'!$A$4:$L$403,12,False)*$AC$19+IF(Projections!$K$3,-AN51, IF(Projections!$J$3,-AM51,0))</f>
        <v>2.618599773</v>
      </c>
      <c r="T51" s="127">
        <f t="shared" si="1"/>
        <v>0.3271139524</v>
      </c>
      <c r="U51" s="127">
        <f>VLOOKUP($O51,Update!$B$2:$R$401,11,False)</f>
        <v>25.4</v>
      </c>
      <c r="V51" s="122">
        <f>VLOOKUP($O51,Update!$B$2:$R$401,10,False)</f>
        <v>2.4</v>
      </c>
      <c r="W51" s="127">
        <f>VLOOKUP($O51,Update!$B$2:$R$401,12,False)</f>
        <v>4.6</v>
      </c>
      <c r="X51" s="127">
        <f>VLOOKUP($O51,Update!$B$2:$R$401,13,False)</f>
        <v>3.4</v>
      </c>
      <c r="Y51" s="127">
        <f>VLOOKUP($O51,Update!$B$2:$R$401,14,False)</f>
        <v>1.1</v>
      </c>
      <c r="Z51" s="132">
        <f>VLOOKUP($O51,Update!$B$2:$R$401,15,False)</f>
        <v>0.6</v>
      </c>
      <c r="AA51" s="127">
        <f>100*VLOOKUP($O51,Update!$B$2:$R$401,7,False)</f>
        <v>47.39583333</v>
      </c>
      <c r="AB51" s="127">
        <f>100*VLOOKUP($O51,Update!$B$2:$R$401,9,False)</f>
        <v>87.03703704</v>
      </c>
      <c r="AC51" s="127">
        <f>VLOOKUP($O51,Update!$B$2:$Q$401,16,False)</f>
        <v>1.8</v>
      </c>
      <c r="AD51" s="127">
        <f>VLOOKUP($O51,'NO USAR1'!$A$4:$L$403,2,False)*$U$19</f>
        <v>1.372366463</v>
      </c>
      <c r="AE51" s="127">
        <f>VLOOKUP($O51,'NO USAR1'!$A$4:$L$403,3,False)*$V$19</f>
        <v>0.6549712771</v>
      </c>
      <c r="AF51" s="127">
        <f>VLOOKUP($O51,'NO USAR1'!$A$4:$L$403,4,False)*$W$19</f>
        <v>-0.6252791639</v>
      </c>
      <c r="AG51" s="127">
        <f>VLOOKUP($O51,'NO USAR1'!$A$4:$L$403,5,False)*$X$19</f>
        <v>-0.2264509247</v>
      </c>
      <c r="AH51" s="127">
        <f>VLOOKUP($O51,'NO USAR1'!$A$4:$L$403,6,False)*$Y$19</f>
        <v>0.2296792288</v>
      </c>
      <c r="AI51" s="127">
        <f>VLOOKUP($O51,'NO USAR1'!$A$4:$L$403,7,False)*$Z$19</f>
        <v>-0.1330667175</v>
      </c>
      <c r="AJ51" s="127">
        <f>VLOOKUP($O51,'NO USAR1'!$A$4:$L$403,8,False)*$AA$19</f>
        <v>-0.42242105</v>
      </c>
      <c r="AK51" s="132">
        <f>VLOOKUP($O51,'NO USAR1'!$A$4:$L$403,10,False)*$AB$19</f>
        <v>1.083084787</v>
      </c>
      <c r="AL51" s="127">
        <f>VLOOKUP($O51,'NO USAR1'!$A$4:$L$403,12,False)*$AC$19</f>
        <v>0.06043670908</v>
      </c>
      <c r="AM51" s="133">
        <f t="shared" si="2"/>
        <v>-0.6252791639</v>
      </c>
      <c r="AN51" s="133">
        <f t="shared" si="3"/>
        <v>-1.047700214</v>
      </c>
    </row>
    <row r="52">
      <c r="A52" s="118" t="str">
        <f>IF(Update!B50="",ROW(Update!B50),Update!B50)</f>
        <v>Pascal Siakam</v>
      </c>
      <c r="B52" s="119">
        <f>IF(TYPE($A52)=1,"",(Update!$L50-B$1)/B$2)</f>
        <v>0.8162294191</v>
      </c>
      <c r="C52" s="119">
        <f>IF(TYPE($A52)=1,"",(Update!$K50-C$1)/C$2)</f>
        <v>-0.4284258525</v>
      </c>
      <c r="D52" s="119">
        <f>IF(TYPE($A52)=1,"",(Update!$M50-D$1)/D$2)</f>
        <v>0.7128126715</v>
      </c>
      <c r="E52" s="119">
        <f>IF(TYPE($A52)=1,"",(Update!$N50-E$1)/E$2)</f>
        <v>0.8605506064</v>
      </c>
      <c r="F52" s="119">
        <f>IF(TYPE($A52)=1,"",(Update!$O50-F$1)/F$2)</f>
        <v>0.01661332578</v>
      </c>
      <c r="G52" s="119">
        <f>IF(TYPE($A52)=1,"",(Update!$P50-G$1)/G$2)</f>
        <v>-0.3776893674</v>
      </c>
      <c r="H52" s="119">
        <f>IF(TYPE($A52)=1,"",(Update!$H50-H$1)/H$2*I52/$I$1)</f>
        <v>-0.367285083</v>
      </c>
      <c r="I52" s="119">
        <f>IF(TYPE($A52)=1,"",IF(Update!H50=0,0,Update!G50/Update!H50))</f>
        <v>17.2</v>
      </c>
      <c r="J52" s="120">
        <f>IF(TYPE($A52)=1,"",(Update!$J50-J$1)/J$2*K52/$K$1)</f>
        <v>-0.2514512443</v>
      </c>
      <c r="K52" s="121">
        <f>IF(TYPE($A52)=1,"",IF(Update!J50=0,0,Update!I50/Update!J50))</f>
        <v>5.8</v>
      </c>
      <c r="L52" s="119">
        <f>IF(TYPE($A52)=1,"",-(Update!$Q50-L$1)/L$2)</f>
        <v>-0.5033632756</v>
      </c>
      <c r="N52" s="33">
        <v>32.0</v>
      </c>
      <c r="O52" s="130" t="str">
        <f>IF(Update!B40="",ROW(Update!B40),Update!B40)</f>
        <v>Cade Cunningham</v>
      </c>
      <c r="P52" s="131">
        <f>Update!E40</f>
        <v>65</v>
      </c>
      <c r="Q52" s="131" t="str">
        <f>IF(Update!C40="",ROW(Update!N55),Update!C40)</f>
        <v>PG,SG</v>
      </c>
      <c r="R52" s="127">
        <f>VLOOKUP($O52,'NO USAR1'!$A$4:$L$403,2,False)+VLOOKUP($O52,'NO USAR1'!$A$4:$L$403,3,False)+VLOOKUP($O52,'NO USAR1'!$A$4:$L$403,4,False)+VLOOKUP($O52,'NO USAR1'!$A$4:$L$403,5,False)+VLOOKUP($O52,'NO USAR1'!$A$4:$L$403,6,False)+VLOOKUP($O52,'NO USAR1'!$A$4:$L$403,7,False)+VLOOKUP($O52,'NO USAR1'!$A$4:$L$403,8,False)+VLOOKUP($O52,'NO USAR1'!$A$4:$L$403,10,False)+VLOOKUP($O52,'NO USAR1'!$A$4:$L$403,12,False)*0</f>
        <v>2.155030414</v>
      </c>
      <c r="S52" s="127">
        <f>VLOOKUP($O52,'NO USAR1'!$A$4:$L$403,2,False)*$U$19+VLOOKUP($O52,'NO USAR1'!$A$4:$L$403,3,False)*$V$19+VLOOKUP($O52,'NO USAR1'!$A$4:$L$403,4,False)*$W$19+VLOOKUP($O52,'NO USAR1'!$A$4:$L$403,5,False)*$X$19+VLOOKUP($O52,'NO USAR1'!$A$4:$L$403,6,False)*$Y$19+VLOOKUP($O52,'NO USAR1'!$A$4:$L$403,7,False)*$Z$19+VLOOKUP($O52,'NO USAR1'!$A$4:$L$403,8,False)*$AA$19+VLOOKUP($O52,'NO USAR1'!$A$4:$L$403,10,False)*$AB$19+VLOOKUP($O52,'NO USAR1'!$A$4:$L$403,12,False)*$AC$19+IF(Projections!$K$3,-AN52, IF(Projections!$J$3,-AM52,0))</f>
        <v>3.03529569</v>
      </c>
      <c r="T52" s="127">
        <f t="shared" si="1"/>
        <v>0.8802652758</v>
      </c>
      <c r="U52" s="127">
        <f>VLOOKUP($O52,Update!$B$2:$R$401,11,False)</f>
        <v>20.9</v>
      </c>
      <c r="V52" s="122">
        <f>VLOOKUP($O52,Update!$B$2:$R$401,10,False)</f>
        <v>1.8</v>
      </c>
      <c r="W52" s="127">
        <f>VLOOKUP($O52,Update!$B$2:$R$401,12,False)</f>
        <v>6.4</v>
      </c>
      <c r="X52" s="127">
        <f>VLOOKUP($O52,Update!$B$2:$R$401,13,False)</f>
        <v>6.6</v>
      </c>
      <c r="Y52" s="127">
        <f>VLOOKUP($O52,Update!$B$2:$R$401,14,False)</f>
        <v>1.3</v>
      </c>
      <c r="Z52" s="132">
        <f>VLOOKUP($O52,Update!$B$2:$R$401,15,False)</f>
        <v>0.7</v>
      </c>
      <c r="AA52" s="127">
        <f>100*VLOOKUP($O52,Update!$B$2:$R$401,7,False)</f>
        <v>42.0212766</v>
      </c>
      <c r="AB52" s="127">
        <f>100*VLOOKUP($O52,Update!$B$2:$R$401,9,False)</f>
        <v>84.21052632</v>
      </c>
      <c r="AC52" s="127">
        <f>VLOOKUP($O52,Update!$B$2:$Q$401,16,False)</f>
        <v>3.3</v>
      </c>
      <c r="AD52" s="127">
        <f>VLOOKUP($O52,'NO USAR1'!$A$4:$L$403,2,False)*$U$19</f>
        <v>0.6139977667</v>
      </c>
      <c r="AE52" s="127">
        <f>VLOOKUP($O52,'NO USAR1'!$A$4:$L$403,3,False)*$V$19</f>
        <v>0.1346940049</v>
      </c>
      <c r="AF52" s="127">
        <f>VLOOKUP($O52,'NO USAR1'!$A$4:$L$403,4,False)*$W$19</f>
        <v>0.1273974935</v>
      </c>
      <c r="AG52" s="127">
        <f>VLOOKUP($O52,'NO USAR1'!$A$4:$L$403,5,False)*$X$19</f>
        <v>1.405627812</v>
      </c>
      <c r="AH52" s="127">
        <f>VLOOKUP($O52,'NO USAR1'!$A$4:$L$403,6,False)*$Y$19</f>
        <v>0.6657790304</v>
      </c>
      <c r="AI52" s="127">
        <f>VLOOKUP($O52,'NO USAR1'!$A$4:$L$403,7,False)*$Z$19</f>
        <v>-0.001750877862</v>
      </c>
      <c r="AJ52" s="127">
        <f>VLOOKUP($O52,'NO USAR1'!$A$4:$L$403,8,False)*$AA$19</f>
        <v>-1.422890485</v>
      </c>
      <c r="AK52" s="132">
        <f>VLOOKUP($O52,'NO USAR1'!$A$4:$L$403,10,False)*$AB$19</f>
        <v>0.4948075716</v>
      </c>
      <c r="AL52" s="127">
        <f>VLOOKUP($O52,'NO USAR1'!$A$4:$L$403,12,False)*$AC$19</f>
        <v>-0.4052571109</v>
      </c>
      <c r="AM52" s="133">
        <f t="shared" si="2"/>
        <v>-1.422890485</v>
      </c>
      <c r="AN52" s="133">
        <f t="shared" si="3"/>
        <v>-1.828147596</v>
      </c>
    </row>
    <row r="53">
      <c r="A53" s="118" t="str">
        <f>IF(Update!B51="",ROW(Update!B51),Update!B51)</f>
        <v>Jordan Poole</v>
      </c>
      <c r="B53" s="119">
        <f>IF(TYPE($A53)=1,"",(Update!$L51-B$1)/B$2)</f>
        <v>0.7993767814</v>
      </c>
      <c r="C53" s="119">
        <f>IF(TYPE($A53)=1,"",(Update!$K51-C$1)/C$2)</f>
        <v>1.305831721</v>
      </c>
      <c r="D53" s="119">
        <f>IF(TYPE($A53)=1,"",(Update!$M51-D$1)/D$2)</f>
        <v>-1.085248232</v>
      </c>
      <c r="E53" s="119">
        <f>IF(TYPE($A53)=1,"",(Update!$N51-E$1)/E$2)</f>
        <v>0.4432577477</v>
      </c>
      <c r="F53" s="119">
        <f>IF(TYPE($A53)=1,"",(Update!$O51-F$1)/F$2)</f>
        <v>-0.2948865325</v>
      </c>
      <c r="G53" s="119">
        <f>IF(TYPE($A53)=1,"",(Update!$P51-G$1)/G$2)</f>
        <v>-0.7528774808</v>
      </c>
      <c r="H53" s="119">
        <f>IF(TYPE($A53)=1,"",(Update!$H51-H$1)/H$2*I53/$I$1)</f>
        <v>-1.090915945</v>
      </c>
      <c r="I53" s="119">
        <f>IF(TYPE($A53)=1,"",IF(Update!H51=0,0,Update!G51/Update!H51))</f>
        <v>16.7</v>
      </c>
      <c r="J53" s="120">
        <f>IF(TYPE($A53)=1,"",(Update!$J51-J$1)/J$2*K53/$K$1)</f>
        <v>1.337979571</v>
      </c>
      <c r="K53" s="121">
        <f>IF(TYPE($A53)=1,"",IF(Update!J51=0,0,Update!I51/Update!J51))</f>
        <v>4.9</v>
      </c>
      <c r="L53" s="119">
        <f>IF(TYPE($A53)=1,"",-(Update!$Q51-L$1)/L$2)</f>
        <v>-1.372658406</v>
      </c>
      <c r="N53" s="124">
        <v>33.0</v>
      </c>
      <c r="O53" s="130" t="str">
        <f>IF(Update!B33="",ROW(Update!B33),Update!B33)</f>
        <v>Darius Garland</v>
      </c>
      <c r="P53" s="131">
        <f>Update!E33</f>
        <v>69</v>
      </c>
      <c r="Q53" s="131" t="str">
        <f>IF(Update!C33="",ROW(Update!N48),Update!C33)</f>
        <v>PG</v>
      </c>
      <c r="R53" s="127">
        <f>VLOOKUP($O53,'NO USAR1'!$A$4:$L$403,2,False)+VLOOKUP($O53,'NO USAR1'!$A$4:$L$403,3,False)+VLOOKUP($O53,'NO USAR1'!$A$4:$L$403,4,False)+VLOOKUP($O53,'NO USAR1'!$A$4:$L$403,5,False)+VLOOKUP($O53,'NO USAR1'!$A$4:$L$403,6,False)+VLOOKUP($O53,'NO USAR1'!$A$4:$L$403,7,False)+VLOOKUP($O53,'NO USAR1'!$A$4:$L$403,8,False)+VLOOKUP($O53,'NO USAR1'!$A$4:$L$403,10,False)+VLOOKUP($O53,'NO USAR1'!$A$4:$L$403,12,False)*0</f>
        <v>2.065973931</v>
      </c>
      <c r="S53" s="127">
        <f>VLOOKUP($O53,'NO USAR1'!$A$4:$L$403,2,False)*$U$19+VLOOKUP($O53,'NO USAR1'!$A$4:$L$403,3,False)*$V$19+VLOOKUP($O53,'NO USAR1'!$A$4:$L$403,4,False)*$W$19+VLOOKUP($O53,'NO USAR1'!$A$4:$L$403,5,False)*$X$19+VLOOKUP($O53,'NO USAR1'!$A$4:$L$403,6,False)*$Y$19+VLOOKUP($O53,'NO USAR1'!$A$4:$L$403,7,False)*$Z$19+VLOOKUP($O53,'NO USAR1'!$A$4:$L$403,8,False)*$AA$19+VLOOKUP($O53,'NO USAR1'!$A$4:$L$403,10,False)*$AB$19+VLOOKUP($O53,'NO USAR1'!$A$4:$L$403,12,False)*$AC$19+IF(Projections!$K$3,-AN53, IF(Projections!$J$3,-AM53,0))</f>
        <v>3.140666811</v>
      </c>
      <c r="T53" s="127">
        <f t="shared" si="1"/>
        <v>1.074692879</v>
      </c>
      <c r="U53" s="127">
        <f>VLOOKUP($O53,Update!$B$2:$R$401,11,False)</f>
        <v>21.8</v>
      </c>
      <c r="V53" s="122">
        <f>VLOOKUP($O53,Update!$B$2:$R$401,10,False)</f>
        <v>2.5</v>
      </c>
      <c r="W53" s="127">
        <f>VLOOKUP($O53,Update!$B$2:$R$401,12,False)</f>
        <v>3</v>
      </c>
      <c r="X53" s="127">
        <f>VLOOKUP($O53,Update!$B$2:$R$401,13,False)</f>
        <v>7.8</v>
      </c>
      <c r="Y53" s="127">
        <f>VLOOKUP($O53,Update!$B$2:$R$401,14,False)</f>
        <v>1.2</v>
      </c>
      <c r="Z53" s="132">
        <f>VLOOKUP($O53,Update!$B$2:$R$401,15,False)</f>
        <v>0.1</v>
      </c>
      <c r="AA53" s="127">
        <f>100*VLOOKUP($O53,Update!$B$2:$R$401,7,False)</f>
        <v>45.88235294</v>
      </c>
      <c r="AB53" s="127">
        <f>100*VLOOKUP($O53,Update!$B$2:$R$401,9,False)</f>
        <v>87.80487805</v>
      </c>
      <c r="AC53" s="127">
        <f>VLOOKUP($O53,Update!$B$2:$Q$401,16,False)</f>
        <v>3</v>
      </c>
      <c r="AD53" s="127">
        <f>VLOOKUP($O53,'NO USAR1'!$A$4:$L$403,2,False)*$U$19</f>
        <v>0.765671506</v>
      </c>
      <c r="AE53" s="127">
        <f>VLOOKUP($O53,'NO USAR1'!$A$4:$L$403,3,False)*$V$19</f>
        <v>0.7416841558</v>
      </c>
      <c r="AF53" s="127">
        <f>VLOOKUP($O53,'NO USAR1'!$A$4:$L$403,4,False)*$W$19</f>
        <v>-1.294325082</v>
      </c>
      <c r="AG53" s="127">
        <f>VLOOKUP($O53,'NO USAR1'!$A$4:$L$403,5,False)*$X$19</f>
        <v>2.017657338</v>
      </c>
      <c r="AH53" s="127">
        <f>VLOOKUP($O53,'NO USAR1'!$A$4:$L$403,6,False)*$Y$19</f>
        <v>0.4477291296</v>
      </c>
      <c r="AI53" s="127">
        <f>VLOOKUP($O53,'NO USAR1'!$A$4:$L$403,7,False)*$Z$19</f>
        <v>-0.7896459159</v>
      </c>
      <c r="AJ53" s="127">
        <f>VLOOKUP($O53,'NO USAR1'!$A$4:$L$403,8,False)*$AA$19</f>
        <v>-0.6310182862</v>
      </c>
      <c r="AK53" s="132">
        <f>VLOOKUP($O53,'NO USAR1'!$A$4:$L$403,10,False)*$AB$19</f>
        <v>0.9007072304</v>
      </c>
      <c r="AL53" s="127">
        <f>VLOOKUP($O53,'NO USAR1'!$A$4:$L$403,12,False)*$AC$19</f>
        <v>-0.3121183469</v>
      </c>
      <c r="AM53" s="133">
        <f t="shared" si="2"/>
        <v>-1.294325082</v>
      </c>
      <c r="AN53" s="133">
        <f t="shared" si="3"/>
        <v>-2.083970998</v>
      </c>
    </row>
    <row r="54">
      <c r="A54" s="118" t="str">
        <f>IF(Update!B52="",ROW(Update!B52),Update!B52)</f>
        <v>Jrue Holiday</v>
      </c>
      <c r="B54" s="119">
        <f>IF(TYPE($A54)=1,"",(Update!$L52-B$1)/B$2)</f>
        <v>-0.1612235673</v>
      </c>
      <c r="C54" s="119">
        <f>IF(TYPE($A54)=1,"",(Update!$K52-C$1)/C$2)</f>
        <v>0.5350505774</v>
      </c>
      <c r="D54" s="119">
        <f>IF(TYPE($A54)=1,"",(Update!$M52-D$1)/D$2)</f>
        <v>-0.5416484242</v>
      </c>
      <c r="E54" s="119">
        <f>IF(TYPE($A54)=1,"",(Update!$N52-E$1)/E$2)</f>
        <v>0.5823553673</v>
      </c>
      <c r="F54" s="119">
        <f>IF(TYPE($A54)=1,"",(Update!$O52-F$1)/F$2)</f>
        <v>1.262612759</v>
      </c>
      <c r="G54" s="119">
        <f>IF(TYPE($A54)=1,"",(Update!$P52-G$1)/G$2)</f>
        <v>-0.5652834241</v>
      </c>
      <c r="H54" s="119">
        <f>IF(TYPE($A54)=1,"",(Update!$H52-H$1)/H$2*I54/$I$1)</f>
        <v>-0.2768008168</v>
      </c>
      <c r="I54" s="119">
        <f>IF(TYPE($A54)=1,"",IF(Update!H52=0,0,Update!G52/Update!H52))</f>
        <v>12.6</v>
      </c>
      <c r="J54" s="120">
        <f>IF(TYPE($A54)=1,"",(Update!$J52-J$1)/J$2*K54/$K$1)</f>
        <v>0.2101948116</v>
      </c>
      <c r="K54" s="121">
        <f>IF(TYPE($A54)=1,"",IF(Update!J52=0,0,Update!I52/Update!J52))</f>
        <v>2.7</v>
      </c>
      <c r="L54" s="119">
        <f>IF(TYPE($A54)=1,"",-(Update!$Q52-L$1)/L$2)</f>
        <v>-1.00010335</v>
      </c>
      <c r="N54" s="124">
        <v>34.0</v>
      </c>
      <c r="O54" s="130" t="str">
        <f>IF(Update!B31="",ROW(Update!B31),Update!B31)</f>
        <v>Kristaps Porzingis</v>
      </c>
      <c r="P54" s="131">
        <f>Update!E31</f>
        <v>60</v>
      </c>
      <c r="Q54" s="131" t="str">
        <f>IF(Update!C31="",ROW(Update!N46),Update!C31)</f>
        <v>PF,C</v>
      </c>
      <c r="R54" s="127">
        <f>VLOOKUP($O54,'NO USAR1'!$A$4:$L$403,2,False)+VLOOKUP($O54,'NO USAR1'!$A$4:$L$403,3,False)+VLOOKUP($O54,'NO USAR1'!$A$4:$L$403,4,False)+VLOOKUP($O54,'NO USAR1'!$A$4:$L$403,5,False)+VLOOKUP($O54,'NO USAR1'!$A$4:$L$403,6,False)+VLOOKUP($O54,'NO USAR1'!$A$4:$L$403,7,False)+VLOOKUP($O54,'NO USAR1'!$A$4:$L$403,8,False)+VLOOKUP($O54,'NO USAR1'!$A$4:$L$403,10,False)+VLOOKUP($O54,'NO USAR1'!$A$4:$L$403,12,False)*0</f>
        <v>1.909485833</v>
      </c>
      <c r="S54" s="127">
        <f>VLOOKUP($O54,'NO USAR1'!$A$4:$L$403,2,False)*$U$19+VLOOKUP($O54,'NO USAR1'!$A$4:$L$403,3,False)*$V$19+VLOOKUP($O54,'NO USAR1'!$A$4:$L$403,4,False)*$W$19+VLOOKUP($O54,'NO USAR1'!$A$4:$L$403,5,False)*$X$19+VLOOKUP($O54,'NO USAR1'!$A$4:$L$403,6,False)*$Y$19+VLOOKUP($O54,'NO USAR1'!$A$4:$L$403,7,False)*$Z$19+VLOOKUP($O54,'NO USAR1'!$A$4:$L$403,8,False)*$AA$19+VLOOKUP($O54,'NO USAR1'!$A$4:$L$403,10,False)*$AB$19+VLOOKUP($O54,'NO USAR1'!$A$4:$L$403,12,False)*$AC$19+IF(Projections!$K$3,-AN54, IF(Projections!$J$3,-AM54,0))</f>
        <v>2.338545384</v>
      </c>
      <c r="T54" s="127">
        <f t="shared" si="1"/>
        <v>0.4290595505</v>
      </c>
      <c r="U54" s="127">
        <f>VLOOKUP($O54,Update!$B$2:$R$401,11,False)</f>
        <v>18.7</v>
      </c>
      <c r="V54" s="122">
        <f>VLOOKUP($O54,Update!$B$2:$R$401,10,False)</f>
        <v>1.8</v>
      </c>
      <c r="W54" s="127">
        <f>VLOOKUP($O54,Update!$B$2:$R$401,12,False)</f>
        <v>7.9</v>
      </c>
      <c r="X54" s="127">
        <f>VLOOKUP($O54,Update!$B$2:$R$401,13,False)</f>
        <v>2.1</v>
      </c>
      <c r="Y54" s="127">
        <f>VLOOKUP($O54,Update!$B$2:$R$401,14,False)</f>
        <v>0.8</v>
      </c>
      <c r="Z54" s="132">
        <f>VLOOKUP($O54,Update!$B$2:$R$401,15,False)</f>
        <v>1.5</v>
      </c>
      <c r="AA54" s="127">
        <f>100*VLOOKUP($O54,Update!$B$2:$R$401,7,False)</f>
        <v>48.14814815</v>
      </c>
      <c r="AB54" s="127">
        <f>100*VLOOKUP($O54,Update!$B$2:$R$401,9,False)</f>
        <v>85.10638298</v>
      </c>
      <c r="AC54" s="127">
        <f>VLOOKUP($O54,Update!$B$2:$Q$401,16,False)</f>
        <v>1.8</v>
      </c>
      <c r="AD54" s="127">
        <f>VLOOKUP($O54,'NO USAR1'!$A$4:$L$403,2,False)*$U$19</f>
        <v>0.2432397374</v>
      </c>
      <c r="AE54" s="127">
        <f>VLOOKUP($O54,'NO USAR1'!$A$4:$L$403,3,False)*$V$19</f>
        <v>0.1346940049</v>
      </c>
      <c r="AF54" s="127">
        <f>VLOOKUP($O54,'NO USAR1'!$A$4:$L$403,4,False)*$W$19</f>
        <v>0.7546280413</v>
      </c>
      <c r="AG54" s="127">
        <f>VLOOKUP($O54,'NO USAR1'!$A$4:$L$403,5,False)*$X$19</f>
        <v>-0.8894829113</v>
      </c>
      <c r="AH54" s="127">
        <f>VLOOKUP($O54,'NO USAR1'!$A$4:$L$403,6,False)*$Y$19</f>
        <v>-0.4244704736</v>
      </c>
      <c r="AI54" s="127">
        <f>VLOOKUP($O54,'NO USAR1'!$A$4:$L$403,7,False)*$Z$19</f>
        <v>1.04877584</v>
      </c>
      <c r="AJ54" s="127">
        <f>VLOOKUP($O54,'NO USAR1'!$A$4:$L$403,8,False)*$AA$19</f>
        <v>-0.1955675713</v>
      </c>
      <c r="AK54" s="132">
        <f>VLOOKUP($O54,'NO USAR1'!$A$4:$L$403,10,False)*$AB$19</f>
        <v>0.7168090966</v>
      </c>
      <c r="AL54" s="127">
        <f>VLOOKUP($O54,'NO USAR1'!$A$4:$L$403,12,False)*$AC$19</f>
        <v>0.06043670908</v>
      </c>
      <c r="AM54" s="133">
        <f t="shared" si="2"/>
        <v>-0.8894829113</v>
      </c>
      <c r="AN54" s="133">
        <f t="shared" si="3"/>
        <v>-1.313953385</v>
      </c>
    </row>
    <row r="55">
      <c r="A55" s="118" t="str">
        <f>IF(Update!B53="",ROW(Update!B53),Update!B53)</f>
        <v>Jarrett Allen</v>
      </c>
      <c r="B55" s="119">
        <f>IF(TYPE($A55)=1,"",(Update!$L53-B$1)/B$2)</f>
        <v>-0.5319815966</v>
      </c>
      <c r="C55" s="119">
        <f>IF(TYPE($A55)=1,"",(Update!$K53-C$1)/C$2)</f>
        <v>-1.584597568</v>
      </c>
      <c r="D55" s="119">
        <f>IF(TYPE($A55)=1,"",(Update!$M53-D$1)/D$2)</f>
        <v>1.507304699</v>
      </c>
      <c r="E55" s="119">
        <f>IF(TYPE($A55)=1,"",(Update!$N53-E$1)/E$2)</f>
        <v>-1.086816068</v>
      </c>
      <c r="F55" s="119">
        <f>IF(TYPE($A55)=1,"",(Update!$O53-F$1)/F$2)</f>
        <v>-0.9178862491</v>
      </c>
      <c r="G55" s="119">
        <f>IF(TYPE($A55)=1,"",(Update!$P53-G$1)/G$2)</f>
        <v>0.9354690293</v>
      </c>
      <c r="H55" s="119">
        <f>IF(TYPE($A55)=1,"",(Update!$H53-H$1)/H$2*I55/$I$1)</f>
        <v>1.593008847</v>
      </c>
      <c r="I55" s="119">
        <f>IF(TYPE($A55)=1,"",IF(Update!H53=0,0,Update!G53/Update!H53))</f>
        <v>8.8</v>
      </c>
      <c r="J55" s="120">
        <f>IF(TYPE($A55)=1,"",(Update!$J53-J$1)/J$2*K55/$K$1)</f>
        <v>-0.5765823896</v>
      </c>
      <c r="K55" s="121">
        <f>IF(TYPE($A55)=1,"",IF(Update!J53=0,0,Update!I53/Update!J53))</f>
        <v>3.4</v>
      </c>
      <c r="L55" s="119">
        <f>IF(TYPE($A55)=1,"",-(Update!$Q53-L$1)/L$2)</f>
        <v>0.738486911</v>
      </c>
      <c r="N55" s="33">
        <v>35.0</v>
      </c>
      <c r="O55" s="130" t="str">
        <f>IF(Update!B37="",ROW(Update!B37),Update!B37)</f>
        <v>Jaylen Brown</v>
      </c>
      <c r="P55" s="131">
        <f>Update!E37</f>
        <v>69</v>
      </c>
      <c r="Q55" s="131" t="str">
        <f>IF(Update!C37="",ROW(Update!N52),Update!C37)</f>
        <v>SG,SF</v>
      </c>
      <c r="R55" s="127">
        <f>VLOOKUP($O55,'NO USAR1'!$A$4:$L$403,2,False)+VLOOKUP($O55,'NO USAR1'!$A$4:$L$403,3,False)+VLOOKUP($O55,'NO USAR1'!$A$4:$L$403,4,False)+VLOOKUP($O55,'NO USAR1'!$A$4:$L$403,5,False)+VLOOKUP($O55,'NO USAR1'!$A$4:$L$403,6,False)+VLOOKUP($O55,'NO USAR1'!$A$4:$L$403,7,False)+VLOOKUP($O55,'NO USAR1'!$A$4:$L$403,8,False)+VLOOKUP($O55,'NO USAR1'!$A$4:$L$403,10,False)+VLOOKUP($O55,'NO USAR1'!$A$4:$L$403,12,False)*0</f>
        <v>1.757180134</v>
      </c>
      <c r="S55" s="127">
        <f>VLOOKUP($O55,'NO USAR1'!$A$4:$L$403,2,False)*$U$19+VLOOKUP($O55,'NO USAR1'!$A$4:$L$403,3,False)*$V$19+VLOOKUP($O55,'NO USAR1'!$A$4:$L$403,4,False)*$W$19+VLOOKUP($O55,'NO USAR1'!$A$4:$L$403,5,False)*$X$19+VLOOKUP($O55,'NO USAR1'!$A$4:$L$403,6,False)*$Y$19+VLOOKUP($O55,'NO USAR1'!$A$4:$L$403,7,False)*$Z$19+VLOOKUP($O55,'NO USAR1'!$A$4:$L$403,8,False)*$AA$19+VLOOKUP($O55,'NO USAR1'!$A$4:$L$403,10,False)*$AB$19+VLOOKUP($O55,'NO USAR1'!$A$4:$L$403,12,False)*$AC$19+IF(Projections!$K$3,-AN55, IF(Projections!$J$3,-AM55,0))</f>
        <v>2.108918263</v>
      </c>
      <c r="T55" s="127">
        <f t="shared" si="1"/>
        <v>0.3517381289</v>
      </c>
      <c r="U55" s="127">
        <f>VLOOKUP($O55,Update!$B$2:$R$401,11,False)</f>
        <v>26.4</v>
      </c>
      <c r="V55" s="122">
        <f>VLOOKUP($O55,Update!$B$2:$R$401,10,False)</f>
        <v>2.6</v>
      </c>
      <c r="W55" s="127">
        <f>VLOOKUP($O55,Update!$B$2:$R$401,12,False)</f>
        <v>6.7</v>
      </c>
      <c r="X55" s="127">
        <f>VLOOKUP($O55,Update!$B$2:$R$401,13,False)</f>
        <v>3.6</v>
      </c>
      <c r="Y55" s="127">
        <f>VLOOKUP($O55,Update!$B$2:$R$401,14,False)</f>
        <v>1.1</v>
      </c>
      <c r="Z55" s="132">
        <f>VLOOKUP($O55,Update!$B$2:$R$401,15,False)</f>
        <v>0.3</v>
      </c>
      <c r="AA55" s="127">
        <f>100*VLOOKUP($O55,Update!$B$2:$R$401,7,False)</f>
        <v>49.5049505</v>
      </c>
      <c r="AB55" s="127">
        <f>100*VLOOKUP($O55,Update!$B$2:$R$401,9,False)</f>
        <v>76.47058824</v>
      </c>
      <c r="AC55" s="127">
        <f>VLOOKUP($O55,Update!$B$2:$Q$401,16,False)</f>
        <v>2.9</v>
      </c>
      <c r="AD55" s="127">
        <f>VLOOKUP($O55,'NO USAR1'!$A$4:$L$403,2,False)*$U$19</f>
        <v>1.54089284</v>
      </c>
      <c r="AE55" s="127">
        <f>VLOOKUP($O55,'NO USAR1'!$A$4:$L$403,3,False)*$V$19</f>
        <v>0.8283970345</v>
      </c>
      <c r="AF55" s="127">
        <f>VLOOKUP($O55,'NO USAR1'!$A$4:$L$403,4,False)*$W$19</f>
        <v>0.2528436031</v>
      </c>
      <c r="AG55" s="127">
        <f>VLOOKUP($O55,'NO USAR1'!$A$4:$L$403,5,False)*$X$19</f>
        <v>-0.1244460036</v>
      </c>
      <c r="AH55" s="127">
        <f>VLOOKUP($O55,'NO USAR1'!$A$4:$L$403,6,False)*$Y$19</f>
        <v>0.2296792288</v>
      </c>
      <c r="AI55" s="127">
        <f>VLOOKUP($O55,'NO USAR1'!$A$4:$L$403,7,False)*$Z$19</f>
        <v>-0.5270142365</v>
      </c>
      <c r="AJ55" s="127">
        <f>VLOOKUP($O55,'NO USAR1'!$A$4:$L$403,8,False)*$AA$19</f>
        <v>-0.01886402457</v>
      </c>
      <c r="AK55" s="132">
        <f>VLOOKUP($O55,'NO USAR1'!$A$4:$L$403,10,False)*$AB$19</f>
        <v>-0.3185123232</v>
      </c>
      <c r="AL55" s="127">
        <f>VLOOKUP($O55,'NO USAR1'!$A$4:$L$403,12,False)*$AC$19</f>
        <v>-0.2810720922</v>
      </c>
      <c r="AM55" s="133">
        <f t="shared" si="2"/>
        <v>-0.5270142365</v>
      </c>
      <c r="AN55" s="133">
        <f t="shared" si="3"/>
        <v>-0.8455265597</v>
      </c>
    </row>
    <row r="56">
      <c r="A56" s="118" t="str">
        <f>IF(Update!B54="",ROW(Update!B54),Update!B54)</f>
        <v>Chet Holmgren</v>
      </c>
      <c r="B56" s="119">
        <f>IF(TYPE($A56)=1,"",(Update!$L54-B$1)/B$2)</f>
        <v>-0.4982763212</v>
      </c>
      <c r="C56" s="119">
        <f>IF(TYPE($A56)=1,"",(Update!$K54-C$1)/C$2)</f>
        <v>-0.3320782095</v>
      </c>
      <c r="D56" s="119">
        <f>IF(TYPE($A56)=1,"",(Update!$M54-D$1)/D$2)</f>
        <v>1.298227849</v>
      </c>
      <c r="E56" s="119">
        <f>IF(TYPE($A56)=1,"",(Update!$N54-E$1)/E$2)</f>
        <v>-1.040450194</v>
      </c>
      <c r="F56" s="119">
        <f>IF(TYPE($A56)=1,"",(Update!$O54-F$1)/F$2)</f>
        <v>-1.540885966</v>
      </c>
      <c r="G56" s="119">
        <f>IF(TYPE($A56)=1,"",(Update!$P54-G$1)/G$2)</f>
        <v>2.436221483</v>
      </c>
      <c r="H56" s="119">
        <f>IF(TYPE($A56)=1,"",(Update!$H54-H$1)/H$2*I56/$I$1)</f>
        <v>-0.1756205139</v>
      </c>
      <c r="I56" s="119">
        <f>IF(TYPE($A56)=1,"",IF(Update!H54=0,0,Update!G54/Update!H54))</f>
        <v>10.4</v>
      </c>
      <c r="J56" s="120">
        <f>IF(TYPE($A56)=1,"",(Update!$J54-J$1)/J$2*K56/$K$1)</f>
        <v>-0.4952996032</v>
      </c>
      <c r="K56" s="121">
        <f>IF(TYPE($A56)=1,"",IF(Update!J54=0,0,Update!I54/Update!J54))</f>
        <v>4</v>
      </c>
      <c r="L56" s="119">
        <f>IF(TYPE($A56)=1,"",-(Update!$Q54-L$1)/L$2)</f>
        <v>0.9868569483</v>
      </c>
      <c r="N56" s="124">
        <v>36.0</v>
      </c>
      <c r="O56" s="130" t="str">
        <f>IF(Update!B38="",ROW(Update!B38),Update!B38)</f>
        <v>Jalen Brunson</v>
      </c>
      <c r="P56" s="131">
        <f>Update!E38</f>
        <v>72</v>
      </c>
      <c r="Q56" s="131" t="str">
        <f>IF(Update!C38="",ROW(Update!N53),Update!C38)</f>
        <v>PG</v>
      </c>
      <c r="R56" s="127">
        <f>VLOOKUP($O56,'NO USAR1'!$A$4:$L$403,2,False)+VLOOKUP($O56,'NO USAR1'!$A$4:$L$403,3,False)+VLOOKUP($O56,'NO USAR1'!$A$4:$L$403,4,False)+VLOOKUP($O56,'NO USAR1'!$A$4:$L$403,5,False)+VLOOKUP($O56,'NO USAR1'!$A$4:$L$403,6,False)+VLOOKUP($O56,'NO USAR1'!$A$4:$L$403,7,False)+VLOOKUP($O56,'NO USAR1'!$A$4:$L$403,8,False)+VLOOKUP($O56,'NO USAR1'!$A$4:$L$403,10,False)+VLOOKUP($O56,'NO USAR1'!$A$4:$L$403,12,False)*0</f>
        <v>1.514646802</v>
      </c>
      <c r="S56" s="127">
        <f>VLOOKUP($O56,'NO USAR1'!$A$4:$L$403,2,False)*$U$19+VLOOKUP($O56,'NO USAR1'!$A$4:$L$403,3,False)*$V$19+VLOOKUP($O56,'NO USAR1'!$A$4:$L$403,4,False)*$W$19+VLOOKUP($O56,'NO USAR1'!$A$4:$L$403,5,False)*$X$19+VLOOKUP($O56,'NO USAR1'!$A$4:$L$403,6,False)*$Y$19+VLOOKUP($O56,'NO USAR1'!$A$4:$L$403,7,False)*$Z$19+VLOOKUP($O56,'NO USAR1'!$A$4:$L$403,8,False)*$AA$19+VLOOKUP($O56,'NO USAR1'!$A$4:$L$403,10,False)*$AB$19+VLOOKUP($O56,'NO USAR1'!$A$4:$L$403,12,False)*$AC$19+IF(Projections!$K$3,-AN56, IF(Projections!$J$3,-AM56,0))</f>
        <v>2.670862694</v>
      </c>
      <c r="T56" s="127">
        <f t="shared" si="1"/>
        <v>1.156215892</v>
      </c>
      <c r="U56" s="127">
        <f>VLOOKUP($O56,Update!$B$2:$R$401,11,False)</f>
        <v>24.2</v>
      </c>
      <c r="V56" s="122">
        <f>VLOOKUP($O56,Update!$B$2:$R$401,10,False)</f>
        <v>2</v>
      </c>
      <c r="W56" s="127">
        <f>VLOOKUP($O56,Update!$B$2:$R$401,12,False)</f>
        <v>3.7</v>
      </c>
      <c r="X56" s="127">
        <f>VLOOKUP($O56,Update!$B$2:$R$401,13,False)</f>
        <v>6.5</v>
      </c>
      <c r="Y56" s="127">
        <f>VLOOKUP($O56,Update!$B$2:$R$401,14,False)</f>
        <v>1</v>
      </c>
      <c r="Z56" s="132">
        <f>VLOOKUP($O56,Update!$B$2:$R$401,15,False)</f>
        <v>0.2</v>
      </c>
      <c r="AA56" s="127">
        <f>100*VLOOKUP($O56,Update!$B$2:$R$401,7,False)</f>
        <v>49.18032787</v>
      </c>
      <c r="AB56" s="127">
        <f>100*VLOOKUP($O56,Update!$B$2:$R$401,9,False)</f>
        <v>84</v>
      </c>
      <c r="AC56" s="127">
        <f>VLOOKUP($O56,Update!$B$2:$Q$401,16,False)</f>
        <v>2.2</v>
      </c>
      <c r="AD56" s="127">
        <f>VLOOKUP($O56,'NO USAR1'!$A$4:$L$403,2,False)*$U$19</f>
        <v>1.170134811</v>
      </c>
      <c r="AE56" s="127">
        <f>VLOOKUP($O56,'NO USAR1'!$A$4:$L$403,3,False)*$V$19</f>
        <v>0.3081197623</v>
      </c>
      <c r="AF56" s="127">
        <f>VLOOKUP($O56,'NO USAR1'!$A$4:$L$403,4,False)*$W$19</f>
        <v>-1.001617493</v>
      </c>
      <c r="AG56" s="127">
        <f>VLOOKUP($O56,'NO USAR1'!$A$4:$L$403,5,False)*$X$19</f>
        <v>1.354625351</v>
      </c>
      <c r="AH56" s="127">
        <f>VLOOKUP($O56,'NO USAR1'!$A$4:$L$403,6,False)*$Y$19</f>
        <v>0.01162932804</v>
      </c>
      <c r="AI56" s="127">
        <f>VLOOKUP($O56,'NO USAR1'!$A$4:$L$403,7,False)*$Z$19</f>
        <v>-0.6583300762</v>
      </c>
      <c r="AJ56" s="127">
        <f>VLOOKUP($O56,'NO USAR1'!$A$4:$L$403,8,False)*$AA$19</f>
        <v>-0.07642820222</v>
      </c>
      <c r="AK56" s="132">
        <f>VLOOKUP($O56,'NO USAR1'!$A$4:$L$403,10,False)*$AB$19</f>
        <v>0.6248600296</v>
      </c>
      <c r="AL56" s="127">
        <f>VLOOKUP($O56,'NO USAR1'!$A$4:$L$403,12,False)*$AC$19</f>
        <v>-0.06374830958</v>
      </c>
      <c r="AM56" s="133">
        <f t="shared" si="2"/>
        <v>-1.001617493</v>
      </c>
      <c r="AN56" s="133">
        <f t="shared" si="3"/>
        <v>-1.659947569</v>
      </c>
    </row>
    <row r="57">
      <c r="A57" s="118" t="str">
        <f>IF(Update!B55="",ROW(Update!B55),Update!B55)</f>
        <v>Brandon Ingram</v>
      </c>
      <c r="B57" s="119">
        <f>IF(TYPE($A57)=1,"",(Update!$L55-B$1)/B$2)</f>
        <v>0.9679031583</v>
      </c>
      <c r="C57" s="119">
        <f>IF(TYPE($A57)=1,"",(Update!$K55-C$1)/C$2)</f>
        <v>-0.3320782095</v>
      </c>
      <c r="D57" s="119">
        <f>IF(TYPE($A57)=1,"",(Update!$M55-D$1)/D$2)</f>
        <v>-0.2489408352</v>
      </c>
      <c r="E57" s="119">
        <f>IF(TYPE($A57)=1,"",(Update!$N55-E$1)/E$2)</f>
        <v>0.7678188601</v>
      </c>
      <c r="F57" s="119">
        <f>IF(TYPE($A57)=1,"",(Update!$O55-F$1)/F$2)</f>
        <v>-0.9178862491</v>
      </c>
      <c r="G57" s="119">
        <f>IF(TYPE($A57)=1,"",(Update!$P55-G$1)/G$2)</f>
        <v>-0.5652834241</v>
      </c>
      <c r="H57" s="119">
        <f>IF(TYPE($A57)=1,"",(Update!$H55-H$1)/H$2*I57/$I$1)</f>
        <v>-0.5315342469</v>
      </c>
      <c r="I57" s="119">
        <f>IF(TYPE($A57)=1,"",IF(Update!H55=0,0,Update!G55/Update!H55))</f>
        <v>17.7</v>
      </c>
      <c r="J57" s="120">
        <f>IF(TYPE($A57)=1,"",(Update!$J55-J$1)/J$2*K57/$K$1)</f>
        <v>0.99317057</v>
      </c>
      <c r="K57" s="121">
        <f>IF(TYPE($A57)=1,"",IF(Update!J55=0,0,Update!I55/Update!J55))</f>
        <v>5.8</v>
      </c>
      <c r="L57" s="119">
        <f>IF(TYPE($A57)=1,"",-(Update!$Q55-L$1)/L$2)</f>
        <v>-1.124288369</v>
      </c>
      <c r="N57" s="124">
        <v>37.0</v>
      </c>
      <c r="O57" s="130" t="str">
        <f>IF(Update!B34="",ROW(Update!B34),Update!B34)</f>
        <v>DeMar DeRozan</v>
      </c>
      <c r="P57" s="131">
        <f>Update!E34</f>
        <v>74</v>
      </c>
      <c r="Q57" s="131" t="str">
        <f>IF(Update!C34="",ROW(Update!N49),Update!C34)</f>
        <v>SG</v>
      </c>
      <c r="R57" s="127">
        <f>VLOOKUP($O57,'NO USAR1'!$A$4:$L$403,2,False)+VLOOKUP($O57,'NO USAR1'!$A$4:$L$403,3,False)+VLOOKUP($O57,'NO USAR1'!$A$4:$L$403,4,False)+VLOOKUP($O57,'NO USAR1'!$A$4:$L$403,5,False)+VLOOKUP($O57,'NO USAR1'!$A$4:$L$403,6,False)+VLOOKUP($O57,'NO USAR1'!$A$4:$L$403,7,False)+VLOOKUP($O57,'NO USAR1'!$A$4:$L$403,8,False)+VLOOKUP($O57,'NO USAR1'!$A$4:$L$403,10,False)+VLOOKUP($O57,'NO USAR1'!$A$4:$L$403,12,False)*0</f>
        <v>1.467406603</v>
      </c>
      <c r="S57" s="127">
        <f>VLOOKUP($O57,'NO USAR1'!$A$4:$L$403,2,False)*$U$19+VLOOKUP($O57,'NO USAR1'!$A$4:$L$403,3,False)*$V$19+VLOOKUP($O57,'NO USAR1'!$A$4:$L$403,4,False)*$W$19+VLOOKUP($O57,'NO USAR1'!$A$4:$L$403,5,False)*$X$19+VLOOKUP($O57,'NO USAR1'!$A$4:$L$403,6,False)*$Y$19+VLOOKUP($O57,'NO USAR1'!$A$4:$L$403,7,False)*$Z$19+VLOOKUP($O57,'NO USAR1'!$A$4:$L$403,8,False)*$AA$19+VLOOKUP($O57,'NO USAR1'!$A$4:$L$403,10,False)*$AB$19+VLOOKUP($O57,'NO USAR1'!$A$4:$L$403,12,False)*$AC$19+IF(Projections!$K$3,-AN57, IF(Projections!$J$3,-AM57,0))</f>
        <v>2.293130987</v>
      </c>
      <c r="T57" s="127">
        <f t="shared" si="1"/>
        <v>0.825724384</v>
      </c>
      <c r="U57" s="127">
        <f>VLOOKUP($O57,Update!$B$2:$R$401,11,False)</f>
        <v>24.7</v>
      </c>
      <c r="V57" s="122">
        <f>VLOOKUP($O57,Update!$B$2:$R$401,10,False)</f>
        <v>0.6</v>
      </c>
      <c r="W57" s="127">
        <f>VLOOKUP($O57,Update!$B$2:$R$401,12,False)</f>
        <v>4.6</v>
      </c>
      <c r="X57" s="127">
        <f>VLOOKUP($O57,Update!$B$2:$R$401,13,False)</f>
        <v>4.9</v>
      </c>
      <c r="Y57" s="127">
        <f>VLOOKUP($O57,Update!$B$2:$R$401,14,False)</f>
        <v>1</v>
      </c>
      <c r="Z57" s="132">
        <f>VLOOKUP($O57,Update!$B$2:$R$401,15,False)</f>
        <v>0.4</v>
      </c>
      <c r="AA57" s="127">
        <f>100*VLOOKUP($O57,Update!$B$2:$R$401,7,False)</f>
        <v>50.55555556</v>
      </c>
      <c r="AB57" s="127">
        <f>100*VLOOKUP($O57,Update!$B$2:$R$401,9,False)</f>
        <v>86.95652174</v>
      </c>
      <c r="AC57" s="127">
        <f>VLOOKUP($O57,Update!$B$2:$Q$401,16,False)</f>
        <v>2.1</v>
      </c>
      <c r="AD57" s="127">
        <f>VLOOKUP($O57,'NO USAR1'!$A$4:$L$403,2,False)*$U$19</f>
        <v>1.254397999</v>
      </c>
      <c r="AE57" s="127">
        <f>VLOOKUP($O57,'NO USAR1'!$A$4:$L$403,3,False)*$V$19</f>
        <v>-0.9058605394</v>
      </c>
      <c r="AF57" s="127">
        <f>VLOOKUP($O57,'NO USAR1'!$A$4:$L$403,4,False)*$W$19</f>
        <v>-0.6252791639</v>
      </c>
      <c r="AG57" s="127">
        <f>VLOOKUP($O57,'NO USAR1'!$A$4:$L$403,5,False)*$X$19</f>
        <v>0.538585983</v>
      </c>
      <c r="AH57" s="127">
        <f>VLOOKUP($O57,'NO USAR1'!$A$4:$L$403,6,False)*$Y$19</f>
        <v>0.01162932804</v>
      </c>
      <c r="AI57" s="127">
        <f>VLOOKUP($O57,'NO USAR1'!$A$4:$L$403,7,False)*$Z$19</f>
        <v>-0.3956983969</v>
      </c>
      <c r="AJ57" s="127">
        <f>VLOOKUP($O57,'NO USAR1'!$A$4:$L$403,8,False)*$AA$19</f>
        <v>0.172084751</v>
      </c>
      <c r="AK57" s="132">
        <f>VLOOKUP($O57,'NO USAR1'!$A$4:$L$403,10,False)*$AB$19</f>
        <v>1.370112541</v>
      </c>
      <c r="AL57" s="127">
        <f>VLOOKUP($O57,'NO USAR1'!$A$4:$L$403,12,False)*$AC$19</f>
        <v>-0.03270205491</v>
      </c>
      <c r="AM57" s="133">
        <f t="shared" si="2"/>
        <v>-0.9058605394</v>
      </c>
      <c r="AN57" s="133">
        <f t="shared" si="3"/>
        <v>-1.531139703</v>
      </c>
    </row>
    <row r="58">
      <c r="A58" s="118" t="str">
        <f>IF(Update!B56="",ROW(Update!B56),Update!B56)</f>
        <v>Zion Williamson</v>
      </c>
      <c r="B58" s="119">
        <f>IF(TYPE($A58)=1,"",(Update!$L56-B$1)/B$2)</f>
        <v>1.355513825</v>
      </c>
      <c r="C58" s="119">
        <f>IF(TYPE($A58)=1,"",(Update!$K56-C$1)/C$2)</f>
        <v>-1.391902282</v>
      </c>
      <c r="D58" s="119">
        <f>IF(TYPE($A58)=1,"",(Update!$M56-D$1)/D$2)</f>
        <v>0.2946589729</v>
      </c>
      <c r="E58" s="119">
        <f>IF(TYPE($A58)=1,"",(Update!$N56-E$1)/E$2)</f>
        <v>0.3041601281</v>
      </c>
      <c r="F58" s="119">
        <f>IF(TYPE($A58)=1,"",(Update!$O56-F$1)/F$2)</f>
        <v>0.01661332578</v>
      </c>
      <c r="G58" s="119">
        <f>IF(TYPE($A58)=1,"",(Update!$P56-G$1)/G$2)</f>
        <v>-0.3776893674</v>
      </c>
      <c r="H58" s="119">
        <f>IF(TYPE($A58)=1,"",(Update!$H56-H$1)/H$2*I58/$I$1)</f>
        <v>1.902113797</v>
      </c>
      <c r="I58" s="119">
        <f>IF(TYPE($A58)=1,"",IF(Update!H56=0,0,Update!G56/Update!H56))</f>
        <v>15.9</v>
      </c>
      <c r="J58" s="120">
        <f>IF(TYPE($A58)=1,"",(Update!$J56-J$1)/J$2*K58/$K$1)</f>
        <v>-2.284750981</v>
      </c>
      <c r="K58" s="121">
        <f>IF(TYPE($A58)=1,"",IF(Update!J56=0,0,Update!I56/Update!J56))</f>
        <v>8.4</v>
      </c>
      <c r="L58" s="119">
        <f>IF(TYPE($A58)=1,"",-(Update!$Q56-L$1)/L$2)</f>
        <v>-1.745213462</v>
      </c>
      <c r="N58" s="33">
        <v>38.0</v>
      </c>
      <c r="O58" s="130" t="str">
        <f>IF(Update!B41="",ROW(Update!B41),Update!B41)</f>
        <v>De'Aaron Fox</v>
      </c>
      <c r="P58" s="131">
        <f>Update!E41</f>
        <v>70</v>
      </c>
      <c r="Q58" s="131" t="str">
        <f>IF(Update!C41="",ROW(Update!N56),Update!C41)</f>
        <v>PG</v>
      </c>
      <c r="R58" s="127">
        <f>VLOOKUP($O58,'NO USAR1'!$A$4:$L$403,2,False)+VLOOKUP($O58,'NO USAR1'!$A$4:$L$403,3,False)+VLOOKUP($O58,'NO USAR1'!$A$4:$L$403,4,False)+VLOOKUP($O58,'NO USAR1'!$A$4:$L$403,5,False)+VLOOKUP($O58,'NO USAR1'!$A$4:$L$403,6,False)+VLOOKUP($O58,'NO USAR1'!$A$4:$L$403,7,False)+VLOOKUP($O58,'NO USAR1'!$A$4:$L$403,8,False)+VLOOKUP($O58,'NO USAR1'!$A$4:$L$403,10,False)+VLOOKUP($O58,'NO USAR1'!$A$4:$L$403,12,False)*0</f>
        <v>1.268927553</v>
      </c>
      <c r="S58" s="127">
        <f>VLOOKUP($O58,'NO USAR1'!$A$4:$L$403,2,False)*$U$19+VLOOKUP($O58,'NO USAR1'!$A$4:$L$403,3,False)*$V$19+VLOOKUP($O58,'NO USAR1'!$A$4:$L$403,4,False)*$W$19+VLOOKUP($O58,'NO USAR1'!$A$4:$L$403,5,False)*$X$19+VLOOKUP($O58,'NO USAR1'!$A$4:$L$403,6,False)*$Y$19+VLOOKUP($O58,'NO USAR1'!$A$4:$L$403,7,False)*$Z$19+VLOOKUP($O58,'NO USAR1'!$A$4:$L$403,8,False)*$AA$19+VLOOKUP($O58,'NO USAR1'!$A$4:$L$403,10,False)*$AB$19+VLOOKUP($O58,'NO USAR1'!$A$4:$L$403,12,False)*$AC$19+IF(Projections!$K$3,-AN58, IF(Projections!$J$3,-AM58,0))</f>
        <v>1.999498303</v>
      </c>
      <c r="T58" s="127">
        <f t="shared" si="1"/>
        <v>0.7305707498</v>
      </c>
      <c r="U58" s="127">
        <f>VLOOKUP($O58,Update!$B$2:$R$401,11,False)</f>
        <v>25.1</v>
      </c>
      <c r="V58" s="122">
        <f>VLOOKUP($O58,Update!$B$2:$R$401,10,False)</f>
        <v>1.6</v>
      </c>
      <c r="W58" s="127">
        <f>VLOOKUP($O58,Update!$B$2:$R$401,12,False)</f>
        <v>4.2</v>
      </c>
      <c r="X58" s="127">
        <f>VLOOKUP($O58,Update!$B$2:$R$401,13,False)</f>
        <v>6.1</v>
      </c>
      <c r="Y58" s="127">
        <f>VLOOKUP($O58,Update!$B$2:$R$401,14,False)</f>
        <v>1.2</v>
      </c>
      <c r="Z58" s="132">
        <f>VLOOKUP($O58,Update!$B$2:$R$401,15,False)</f>
        <v>0.4</v>
      </c>
      <c r="AA58" s="127">
        <f>100*VLOOKUP($O58,Update!$B$2:$R$401,7,False)</f>
        <v>49.73544974</v>
      </c>
      <c r="AB58" s="127">
        <f>100*VLOOKUP($O58,Update!$B$2:$R$401,9,False)</f>
        <v>77.04918033</v>
      </c>
      <c r="AC58" s="127">
        <f>VLOOKUP($O58,Update!$B$2:$Q$401,16,False)</f>
        <v>2.7</v>
      </c>
      <c r="AD58" s="127">
        <f>VLOOKUP($O58,'NO USAR1'!$A$4:$L$403,2,False)*$U$19</f>
        <v>1.32180855</v>
      </c>
      <c r="AE58" s="127">
        <f>VLOOKUP($O58,'NO USAR1'!$A$4:$L$403,3,False)*$V$19</f>
        <v>-0.03873175248</v>
      </c>
      <c r="AF58" s="127">
        <f>VLOOKUP($O58,'NO USAR1'!$A$4:$L$403,4,False)*$W$19</f>
        <v>-0.7925406433</v>
      </c>
      <c r="AG58" s="127">
        <f>VLOOKUP($O58,'NO USAR1'!$A$4:$L$403,5,False)*$X$19</f>
        <v>1.150615509</v>
      </c>
      <c r="AH58" s="127">
        <f>VLOOKUP($O58,'NO USAR1'!$A$4:$L$403,6,False)*$Y$19</f>
        <v>0.4477291296</v>
      </c>
      <c r="AI58" s="127">
        <f>VLOOKUP($O58,'NO USAR1'!$A$4:$L$403,7,False)*$Z$19</f>
        <v>-0.3956983969</v>
      </c>
      <c r="AJ58" s="127">
        <f>VLOOKUP($O58,'NO USAR1'!$A$4:$L$403,8,False)*$AA$19</f>
        <v>0.02586490897</v>
      </c>
      <c r="AK58" s="132">
        <f>VLOOKUP($O58,'NO USAR1'!$A$4:$L$403,10,False)*$AB$19</f>
        <v>-0.2931100624</v>
      </c>
      <c r="AL58" s="127">
        <f>VLOOKUP($O58,'NO USAR1'!$A$4:$L$403,12,False)*$AC$19</f>
        <v>-0.2189795829</v>
      </c>
      <c r="AM58" s="133">
        <f t="shared" si="2"/>
        <v>-0.7925406433</v>
      </c>
      <c r="AN58" s="133">
        <f t="shared" si="3"/>
        <v>-1.18823904</v>
      </c>
    </row>
    <row r="59">
      <c r="A59" s="118" t="str">
        <f>IF(Update!B57="",ROW(Update!B57),Update!B57)</f>
        <v>Ja Morant</v>
      </c>
      <c r="B59" s="119">
        <f>IF(TYPE($A59)=1,"",(Update!$L57-B$1)/B$2)</f>
        <v>1.557745478</v>
      </c>
      <c r="C59" s="119">
        <f>IF(TYPE($A59)=1,"",(Update!$K57-C$1)/C$2)</f>
        <v>-0.1393829235</v>
      </c>
      <c r="D59" s="119">
        <f>IF(TYPE($A59)=1,"",(Update!$M57-D$1)/D$2)</f>
        <v>-0.1234947256</v>
      </c>
      <c r="E59" s="119">
        <f>IF(TYPE($A59)=1,"",(Update!$N57-E$1)/E$2)</f>
        <v>1.509672831</v>
      </c>
      <c r="F59" s="119">
        <f>IF(TYPE($A59)=1,"",(Update!$O57-F$1)/F$2)</f>
        <v>0.3281131841</v>
      </c>
      <c r="G59" s="119">
        <f>IF(TYPE($A59)=1,"",(Update!$P57-G$1)/G$2)</f>
        <v>-0.7528774808</v>
      </c>
      <c r="H59" s="119">
        <f>IF(TYPE($A59)=1,"",(Update!$H57-H$1)/H$2*I59/$I$1)</f>
        <v>-0.4649000403</v>
      </c>
      <c r="I59" s="119">
        <f>IF(TYPE($A59)=1,"",IF(Update!H57=0,0,Update!G57/Update!H57))</f>
        <v>20.2</v>
      </c>
      <c r="J59" s="120">
        <f>IF(TYPE($A59)=1,"",(Update!$J57-J$1)/J$2*K59/$K$1)</f>
        <v>-0.8756628729</v>
      </c>
      <c r="K59" s="121">
        <f>IF(TYPE($A59)=1,"",IF(Update!J57=0,0,Update!I57/Update!J57))</f>
        <v>7.7</v>
      </c>
      <c r="L59" s="119">
        <f>IF(TYPE($A59)=1,"",-(Update!$Q57-L$1)/L$2)</f>
        <v>-1.745213462</v>
      </c>
      <c r="N59" s="124">
        <v>39.0</v>
      </c>
      <c r="O59" s="130" t="str">
        <f>IF(Update!B32="",ROW(Update!B32),Update!B32)</f>
        <v>Myles Turner</v>
      </c>
      <c r="P59" s="131">
        <f>Update!E32</f>
        <v>64</v>
      </c>
      <c r="Q59" s="131" t="str">
        <f>IF(Update!C32="",ROW(Update!N47),Update!C32)</f>
        <v>C</v>
      </c>
      <c r="R59" s="127">
        <f>VLOOKUP($O59,'NO USAR1'!$A$4:$L$403,2,False)+VLOOKUP($O59,'NO USAR1'!$A$4:$L$403,3,False)+VLOOKUP($O59,'NO USAR1'!$A$4:$L$403,4,False)+VLOOKUP($O59,'NO USAR1'!$A$4:$L$403,5,False)+VLOOKUP($O59,'NO USAR1'!$A$4:$L$403,6,False)+VLOOKUP($O59,'NO USAR1'!$A$4:$L$403,7,False)+VLOOKUP($O59,'NO USAR1'!$A$4:$L$403,8,False)+VLOOKUP($O59,'NO USAR1'!$A$4:$L$403,10,False)+VLOOKUP($O59,'NO USAR1'!$A$4:$L$403,12,False)*0</f>
        <v>1.225064856</v>
      </c>
      <c r="S59" s="127">
        <f>VLOOKUP($O59,'NO USAR1'!$A$4:$L$403,2,False)*$U$19+VLOOKUP($O59,'NO USAR1'!$A$4:$L$403,3,False)*$V$19+VLOOKUP($O59,'NO USAR1'!$A$4:$L$403,4,False)*$W$19+VLOOKUP($O59,'NO USAR1'!$A$4:$L$403,5,False)*$X$19+VLOOKUP($O59,'NO USAR1'!$A$4:$L$403,6,False)*$Y$19+VLOOKUP($O59,'NO USAR1'!$A$4:$L$403,7,False)*$Z$19+VLOOKUP($O59,'NO USAR1'!$A$4:$L$403,8,False)*$AA$19+VLOOKUP($O59,'NO USAR1'!$A$4:$L$403,10,False)*$AB$19+VLOOKUP($O59,'NO USAR1'!$A$4:$L$403,12,False)*$AC$19+IF(Projections!$K$3,-AN59, IF(Projections!$J$3,-AM59,0))</f>
        <v>2.005786383</v>
      </c>
      <c r="T59" s="127">
        <f t="shared" si="1"/>
        <v>0.7807215276</v>
      </c>
      <c r="U59" s="127">
        <f>VLOOKUP($O59,Update!$B$2:$R$401,11,False)</f>
        <v>16.1</v>
      </c>
      <c r="V59" s="122">
        <f>VLOOKUP($O59,Update!$B$2:$R$401,10,False)</f>
        <v>1.5</v>
      </c>
      <c r="W59" s="127">
        <f>VLOOKUP($O59,Update!$B$2:$R$401,12,False)</f>
        <v>7.4</v>
      </c>
      <c r="X59" s="127">
        <f>VLOOKUP($O59,Update!$B$2:$R$401,13,False)</f>
        <v>1.3</v>
      </c>
      <c r="Y59" s="127">
        <f>VLOOKUP($O59,Update!$B$2:$R$401,14,False)</f>
        <v>0.6</v>
      </c>
      <c r="Z59" s="132">
        <f>VLOOKUP($O59,Update!$B$2:$R$401,15,False)</f>
        <v>2.3</v>
      </c>
      <c r="AA59" s="127">
        <f>100*VLOOKUP($O59,Update!$B$2:$R$401,7,False)</f>
        <v>53.63636364</v>
      </c>
      <c r="AB59" s="127">
        <f>100*VLOOKUP($O59,Update!$B$2:$R$401,9,False)</f>
        <v>78.37837838</v>
      </c>
      <c r="AC59" s="127">
        <f>VLOOKUP($O59,Update!$B$2:$Q$401,16,False)</f>
        <v>1.5</v>
      </c>
      <c r="AD59" s="127">
        <f>VLOOKUP($O59,'NO USAR1'!$A$4:$L$403,2,False)*$U$19</f>
        <v>-0.1949288427</v>
      </c>
      <c r="AE59" s="127">
        <f>VLOOKUP($O59,'NO USAR1'!$A$4:$L$403,3,False)*$V$19</f>
        <v>-0.1254446312</v>
      </c>
      <c r="AF59" s="127">
        <f>VLOOKUP($O59,'NO USAR1'!$A$4:$L$403,4,False)*$W$19</f>
        <v>0.5455511921</v>
      </c>
      <c r="AG59" s="127">
        <f>VLOOKUP($O59,'NO USAR1'!$A$4:$L$403,5,False)*$X$19</f>
        <v>-1.297502595</v>
      </c>
      <c r="AH59" s="127">
        <f>VLOOKUP($O59,'NO USAR1'!$A$4:$L$403,6,False)*$Y$19</f>
        <v>-0.8605702752</v>
      </c>
      <c r="AI59" s="127">
        <f>VLOOKUP($O59,'NO USAR1'!$A$4:$L$403,7,False)*$Z$19</f>
        <v>2.099302557</v>
      </c>
      <c r="AJ59" s="127">
        <f>VLOOKUP($O59,'NO USAR1'!$A$4:$L$403,8,False)*$AA$19</f>
        <v>0.4436671633</v>
      </c>
      <c r="AK59" s="132">
        <f>VLOOKUP($O59,'NO USAR1'!$A$4:$L$403,10,False)*$AB$19</f>
        <v>-0.05536625282</v>
      </c>
      <c r="AL59" s="127">
        <f>VLOOKUP($O59,'NO USAR1'!$A$4:$L$403,12,False)*$AC$19</f>
        <v>0.1535754731</v>
      </c>
      <c r="AM59" s="133">
        <f t="shared" si="2"/>
        <v>-1.297502595</v>
      </c>
      <c r="AN59" s="133">
        <f t="shared" si="3"/>
        <v>-2.158072871</v>
      </c>
    </row>
    <row r="60">
      <c r="A60" s="118" t="str">
        <f>IF(Update!B58="",ROW(Update!B58),Update!B58)</f>
        <v>Bradley Beal</v>
      </c>
      <c r="B60" s="119">
        <f>IF(TYPE($A60)=1,"",(Update!$L58-B$1)/B$2)</f>
        <v>0.597145129</v>
      </c>
      <c r="C60" s="119">
        <f>IF(TYPE($A60)=1,"",(Update!$K58-C$1)/C$2)</f>
        <v>-0.04303528054</v>
      </c>
      <c r="D60" s="119">
        <f>IF(TYPE($A60)=1,"",(Update!$M58-D$1)/D$2)</f>
        <v>-0.7925406433</v>
      </c>
      <c r="E60" s="119">
        <f>IF(TYPE($A60)=1,"",(Update!$N58-E$1)/E$2)</f>
        <v>0.8605506064</v>
      </c>
      <c r="F60" s="119">
        <f>IF(TYPE($A60)=1,"",(Update!$O58-F$1)/F$2)</f>
        <v>-0.2948865325</v>
      </c>
      <c r="G60" s="119">
        <f>IF(TYPE($A60)=1,"",(Update!$P58-G$1)/G$2)</f>
        <v>-0.3776893674</v>
      </c>
      <c r="H60" s="119">
        <f>IF(TYPE($A60)=1,"",(Update!$H58-H$1)/H$2*I60/$I$1)</f>
        <v>-0.3726331014</v>
      </c>
      <c r="I60" s="119">
        <f>IF(TYPE($A60)=1,"",IF(Update!H58=0,0,Update!G58/Update!H58))</f>
        <v>16</v>
      </c>
      <c r="J60" s="120">
        <f>IF(TYPE($A60)=1,"",(Update!$J58-J$1)/J$2*K60/$K$1)</f>
        <v>0.5848559171</v>
      </c>
      <c r="K60" s="121">
        <f>IF(TYPE($A60)=1,"",IF(Update!J58=0,0,Update!I58/Update!J58))</f>
        <v>4.7</v>
      </c>
      <c r="L60" s="119">
        <f>IF(TYPE($A60)=1,"",-(Update!$Q58-L$1)/L$2)</f>
        <v>-1.372658406</v>
      </c>
      <c r="N60" s="124">
        <v>40.0</v>
      </c>
      <c r="O60" s="130" t="str">
        <f>IF(Update!B42="",ROW(Update!B42),Update!B42)</f>
        <v>Jamal Murray</v>
      </c>
      <c r="P60" s="131">
        <f>Update!E42</f>
        <v>70</v>
      </c>
      <c r="Q60" s="131" t="str">
        <f>IF(Update!C42="",ROW(Update!N57),Update!C42)</f>
        <v>PG,SG</v>
      </c>
      <c r="R60" s="127">
        <f>VLOOKUP($O60,'NO USAR1'!$A$4:$L$403,2,False)+VLOOKUP($O60,'NO USAR1'!$A$4:$L$403,3,False)+VLOOKUP($O60,'NO USAR1'!$A$4:$L$403,4,False)+VLOOKUP($O60,'NO USAR1'!$A$4:$L$403,5,False)+VLOOKUP($O60,'NO USAR1'!$A$4:$L$403,6,False)+VLOOKUP($O60,'NO USAR1'!$A$4:$L$403,7,False)+VLOOKUP($O60,'NO USAR1'!$A$4:$L$403,8,False)+VLOOKUP($O60,'NO USAR1'!$A$4:$L$403,10,False)+VLOOKUP($O60,'NO USAR1'!$A$4:$L$403,12,False)*0</f>
        <v>1.09170475</v>
      </c>
      <c r="S60" s="127">
        <f>VLOOKUP($O60,'NO USAR1'!$A$4:$L$403,2,False)*$U$19+VLOOKUP($O60,'NO USAR1'!$A$4:$L$403,3,False)*$V$19+VLOOKUP($O60,'NO USAR1'!$A$4:$L$403,4,False)*$W$19+VLOOKUP($O60,'NO USAR1'!$A$4:$L$403,5,False)*$X$19+VLOOKUP($O60,'NO USAR1'!$A$4:$L$403,6,False)*$Y$19+VLOOKUP($O60,'NO USAR1'!$A$4:$L$403,7,False)*$Z$19+VLOOKUP($O60,'NO USAR1'!$A$4:$L$403,8,False)*$AA$19+VLOOKUP($O60,'NO USAR1'!$A$4:$L$403,10,False)*$AB$19+VLOOKUP($O60,'NO USAR1'!$A$4:$L$403,12,False)*$AC$19+IF(Projections!$K$3,-AN60, IF(Projections!$J$3,-AM60,0))</f>
        <v>2.041058766</v>
      </c>
      <c r="T60" s="127">
        <f t="shared" si="1"/>
        <v>0.9493540161</v>
      </c>
      <c r="U60" s="127">
        <f>VLOOKUP($O60,Update!$B$2:$R$401,11,False)</f>
        <v>21</v>
      </c>
      <c r="V60" s="122">
        <f>VLOOKUP($O60,Update!$B$2:$R$401,10,False)</f>
        <v>2.7</v>
      </c>
      <c r="W60" s="127">
        <f>VLOOKUP($O60,Update!$B$2:$R$401,12,False)</f>
        <v>4.1</v>
      </c>
      <c r="X60" s="127">
        <f>VLOOKUP($O60,Update!$B$2:$R$401,13,False)</f>
        <v>6.3</v>
      </c>
      <c r="Y60" s="127">
        <f>VLOOKUP($O60,Update!$B$2:$R$401,14,False)</f>
        <v>1</v>
      </c>
      <c r="Z60" s="132">
        <f>VLOOKUP($O60,Update!$B$2:$R$401,15,False)</f>
        <v>0.3</v>
      </c>
      <c r="AA60" s="127">
        <f>100*VLOOKUP($O60,Update!$B$2:$R$401,7,False)</f>
        <v>46.98795181</v>
      </c>
      <c r="AB60" s="127">
        <f>100*VLOOKUP($O60,Update!$B$2:$R$401,9,False)</f>
        <v>82.35294118</v>
      </c>
      <c r="AC60" s="127">
        <f>VLOOKUP($O60,Update!$B$2:$Q$401,16,False)</f>
        <v>2.3</v>
      </c>
      <c r="AD60" s="127">
        <f>VLOOKUP($O60,'NO USAR1'!$A$4:$L$403,2,False)*$U$19</f>
        <v>0.6308504044</v>
      </c>
      <c r="AE60" s="127">
        <f>VLOOKUP($O60,'NO USAR1'!$A$4:$L$403,3,False)*$V$19</f>
        <v>0.9151099132</v>
      </c>
      <c r="AF60" s="127">
        <f>VLOOKUP($O60,'NO USAR1'!$A$4:$L$403,4,False)*$W$19</f>
        <v>-0.8343560132</v>
      </c>
      <c r="AG60" s="127">
        <f>VLOOKUP($O60,'NO USAR1'!$A$4:$L$403,5,False)*$X$19</f>
        <v>1.25262043</v>
      </c>
      <c r="AH60" s="127">
        <f>VLOOKUP($O60,'NO USAR1'!$A$4:$L$403,6,False)*$Y$19</f>
        <v>0.01162932804</v>
      </c>
      <c r="AI60" s="127">
        <f>VLOOKUP($O60,'NO USAR1'!$A$4:$L$403,7,False)*$Z$19</f>
        <v>-0.5270142365</v>
      </c>
      <c r="AJ60" s="127">
        <f>VLOOKUP($O60,'NO USAR1'!$A$4:$L$403,8,False)*$AA$19</f>
        <v>-0.4328496859</v>
      </c>
      <c r="AK60" s="132">
        <f>VLOOKUP($O60,'NO USAR1'!$A$4:$L$403,10,False)*$AB$19</f>
        <v>0.285507177</v>
      </c>
      <c r="AL60" s="127">
        <f>VLOOKUP($O60,'NO USAR1'!$A$4:$L$403,12,False)*$AC$19</f>
        <v>-0.09479456424</v>
      </c>
      <c r="AM60" s="133">
        <f t="shared" si="2"/>
        <v>-0.8343560132</v>
      </c>
      <c r="AN60" s="133">
        <f t="shared" si="3"/>
        <v>-1.36137025</v>
      </c>
    </row>
    <row r="61">
      <c r="A61" s="118" t="str">
        <f>IF(Update!B59="",ROW(Update!B59),Update!B59)</f>
        <v>Alperen Sengün</v>
      </c>
      <c r="B61" s="119">
        <f>IF(TYPE($A61)=1,"",(Update!$L59-B$1)/B$2)</f>
        <v>-0.2791920312</v>
      </c>
      <c r="C61" s="119">
        <f>IF(TYPE($A61)=1,"",(Update!$K59-C$1)/C$2)</f>
        <v>-1.102859353</v>
      </c>
      <c r="D61" s="119">
        <f>IF(TYPE($A61)=1,"",(Update!$M59-D$1)/D$2)</f>
        <v>1.25641248</v>
      </c>
      <c r="E61" s="119">
        <f>IF(TYPE($A61)=1,"",(Update!$N59-E$1)/E$2)</f>
        <v>0.07233076218</v>
      </c>
      <c r="F61" s="119">
        <f>IF(TYPE($A61)=1,"",(Update!$O59-F$1)/F$2)</f>
        <v>0.01661332578</v>
      </c>
      <c r="G61" s="119">
        <f>IF(TYPE($A61)=1,"",(Update!$P59-G$1)/G$2)</f>
        <v>0.5602809159</v>
      </c>
      <c r="H61" s="119">
        <f>IF(TYPE($A61)=1,"",(Update!$H59-H$1)/H$2*I61/$I$1)</f>
        <v>0.603948518</v>
      </c>
      <c r="I61" s="119">
        <f>IF(TYPE($A61)=1,"",IF(Update!H59=0,0,Update!G59/Update!H59))</f>
        <v>11</v>
      </c>
      <c r="J61" s="120">
        <f>IF(TYPE($A61)=1,"",(Update!$J59-J$1)/J$2*K61/$K$1)</f>
        <v>-0.9213913905</v>
      </c>
      <c r="K61" s="121">
        <f>IF(TYPE($A61)=1,"",IF(Update!J59=0,0,Update!I59/Update!J59))</f>
        <v>4.3</v>
      </c>
      <c r="L61" s="119">
        <f>IF(TYPE($A61)=1,"",-(Update!$Q59-L$1)/L$2)</f>
        <v>-1.00010335</v>
      </c>
      <c r="N61" s="33">
        <v>41.0</v>
      </c>
      <c r="O61" s="130" t="str">
        <f>IF(Update!B52="",ROW(Update!B52),Update!B52)</f>
        <v>Jrue Holiday</v>
      </c>
      <c r="P61" s="131">
        <f>Update!E52</f>
        <v>67</v>
      </c>
      <c r="Q61" s="131" t="str">
        <f>IF(Update!C52="",ROW(Update!N67),Update!C52)</f>
        <v>PG,SG</v>
      </c>
      <c r="R61" s="127">
        <f>VLOOKUP($O61,'NO USAR1'!$A$4:$L$403,2,False)+VLOOKUP($O61,'NO USAR1'!$A$4:$L$403,3,False)+VLOOKUP($O61,'NO USAR1'!$A$4:$L$403,4,False)+VLOOKUP($O61,'NO USAR1'!$A$4:$L$403,5,False)+VLOOKUP($O61,'NO USAR1'!$A$4:$L$403,6,False)+VLOOKUP($O61,'NO USAR1'!$A$4:$L$403,7,False)+VLOOKUP($O61,'NO USAR1'!$A$4:$L$403,8,False)+VLOOKUP($O61,'NO USAR1'!$A$4:$L$403,10,False)+VLOOKUP($O61,'NO USAR1'!$A$4:$L$403,12,False)*0</f>
        <v>1.045257283</v>
      </c>
      <c r="S61" s="127">
        <f>VLOOKUP($O61,'NO USAR1'!$A$4:$L$403,2,False)*$U$19+VLOOKUP($O61,'NO USAR1'!$A$4:$L$403,3,False)*$V$19+VLOOKUP($O61,'NO USAR1'!$A$4:$L$403,4,False)*$W$19+VLOOKUP($O61,'NO USAR1'!$A$4:$L$403,5,False)*$X$19+VLOOKUP($O61,'NO USAR1'!$A$4:$L$403,6,False)*$Y$19+VLOOKUP($O61,'NO USAR1'!$A$4:$L$403,7,False)*$Z$19+VLOOKUP($O61,'NO USAR1'!$A$4:$L$403,8,False)*$AA$19+VLOOKUP($O61,'NO USAR1'!$A$4:$L$403,10,False)*$AB$19+VLOOKUP($O61,'NO USAR1'!$A$4:$L$403,12,False)*$AC$19+IF(Projections!$K$3,-AN61, IF(Projections!$J$3,-AM61,0))</f>
        <v>1.118052667</v>
      </c>
      <c r="T61" s="127">
        <f t="shared" si="1"/>
        <v>0.07279538455</v>
      </c>
      <c r="U61" s="127">
        <f>VLOOKUP($O61,Update!$B$2:$R$401,11,False)</f>
        <v>16.3</v>
      </c>
      <c r="V61" s="122">
        <f>VLOOKUP($O61,Update!$B$2:$R$401,10,False)</f>
        <v>2.2</v>
      </c>
      <c r="W61" s="127">
        <f>VLOOKUP($O61,Update!$B$2:$R$401,12,False)</f>
        <v>4.8</v>
      </c>
      <c r="X61" s="127">
        <f>VLOOKUP($O61,Update!$B$2:$R$401,13,False)</f>
        <v>5.1</v>
      </c>
      <c r="Y61" s="127">
        <f>VLOOKUP($O61,Update!$B$2:$R$401,14,False)</f>
        <v>1.4</v>
      </c>
      <c r="Z61" s="132">
        <f>VLOOKUP($O61,Update!$B$2:$R$401,15,False)</f>
        <v>0.4</v>
      </c>
      <c r="AA61" s="127">
        <f>100*VLOOKUP($O61,Update!$B$2:$R$401,7,False)</f>
        <v>47.61904762</v>
      </c>
      <c r="AB61" s="127">
        <f>100*VLOOKUP($O61,Update!$B$2:$R$401,9,False)</f>
        <v>81.48148148</v>
      </c>
      <c r="AC61" s="127">
        <f>VLOOKUP($O61,Update!$B$2:$Q$401,16,False)</f>
        <v>2.8</v>
      </c>
      <c r="AD61" s="127">
        <f>VLOOKUP($O61,'NO USAR1'!$A$4:$L$403,2,False)*$U$19</f>
        <v>-0.1612235673</v>
      </c>
      <c r="AE61" s="127">
        <f>VLOOKUP($O61,'NO USAR1'!$A$4:$L$403,3,False)*$V$19</f>
        <v>0.4815455197</v>
      </c>
      <c r="AF61" s="127">
        <f>VLOOKUP($O61,'NO USAR1'!$A$4:$L$403,4,False)*$W$19</f>
        <v>-0.5416484242</v>
      </c>
      <c r="AG61" s="127">
        <f>VLOOKUP($O61,'NO USAR1'!$A$4:$L$403,5,False)*$X$19</f>
        <v>0.640590904</v>
      </c>
      <c r="AH61" s="127">
        <f>VLOOKUP($O61,'NO USAR1'!$A$4:$L$403,6,False)*$Y$19</f>
        <v>0.8838289312</v>
      </c>
      <c r="AI61" s="127">
        <f>VLOOKUP($O61,'NO USAR1'!$A$4:$L$403,7,False)*$Z$19</f>
        <v>-0.3956983969</v>
      </c>
      <c r="AJ61" s="127">
        <f>VLOOKUP($O61,'NO USAR1'!$A$4:$L$403,8,False)*$AA$19</f>
        <v>-0.2491207351</v>
      </c>
      <c r="AK61" s="132">
        <f>VLOOKUP($O61,'NO USAR1'!$A$4:$L$403,10,False)*$AB$19</f>
        <v>0.1681558493</v>
      </c>
      <c r="AL61" s="127">
        <f>VLOOKUP($O61,'NO USAR1'!$A$4:$L$403,12,False)*$AC$19</f>
        <v>-0.2500258376</v>
      </c>
      <c r="AM61" s="133">
        <f t="shared" si="2"/>
        <v>-0.5416484242</v>
      </c>
      <c r="AN61" s="133">
        <f t="shared" si="3"/>
        <v>-0.9373468211</v>
      </c>
    </row>
    <row r="62">
      <c r="A62" s="118" t="str">
        <f>IF(Update!B60="",ROW(Update!B60),Update!B60)</f>
        <v>Franz Wagner</v>
      </c>
      <c r="B62" s="119">
        <f>IF(TYPE($A62)=1,"",(Update!$L60-B$1)/B$2)</f>
        <v>0.2600923751</v>
      </c>
      <c r="C62" s="119">
        <f>IF(TYPE($A62)=1,"",(Update!$K60-C$1)/C$2)</f>
        <v>0.05331236246</v>
      </c>
      <c r="D62" s="119">
        <f>IF(TYPE($A62)=1,"",(Update!$M60-D$1)/D$2)</f>
        <v>-0.6252791639</v>
      </c>
      <c r="E62" s="119">
        <f>IF(TYPE($A62)=1,"",(Update!$N60-E$1)/E$2)</f>
        <v>-0.1131327306</v>
      </c>
      <c r="F62" s="119">
        <f>IF(TYPE($A62)=1,"",(Update!$O60-F$1)/F$2)</f>
        <v>0.3281131841</v>
      </c>
      <c r="G62" s="119">
        <f>IF(TYPE($A62)=1,"",(Update!$P60-G$1)/G$2)</f>
        <v>-0.7528774808</v>
      </c>
      <c r="H62" s="119">
        <f>IF(TYPE($A62)=1,"",(Update!$H60-H$1)/H$2*I62/$I$1)</f>
        <v>-0.1045296254</v>
      </c>
      <c r="I62" s="119">
        <f>IF(TYPE($A62)=1,"",IF(Update!H60=0,0,Update!G60/Update!H60))</f>
        <v>13.9</v>
      </c>
      <c r="J62" s="120">
        <f>IF(TYPE($A62)=1,"",(Update!$J60-J$1)/J$2*K62/$K$1)</f>
        <v>0.8801349577</v>
      </c>
      <c r="K62" s="121">
        <f>IF(TYPE($A62)=1,"",IF(Update!J60=0,0,Update!I60/Update!J60))</f>
        <v>4.2</v>
      </c>
      <c r="L62" s="119">
        <f>IF(TYPE($A62)=1,"",-(Update!$Q60-L$1)/L$2)</f>
        <v>-0.006623200995</v>
      </c>
      <c r="N62" s="124">
        <v>42.0</v>
      </c>
      <c r="O62" s="130" t="str">
        <f>IF(Update!B57="",ROW(Update!B57),Update!B57)</f>
        <v>Ja Morant</v>
      </c>
      <c r="P62" s="131">
        <f>Update!E57</f>
        <v>48</v>
      </c>
      <c r="Q62" s="131" t="str">
        <f>IF(Update!C57="",ROW(Update!N72),Update!C57)</f>
        <v>PG</v>
      </c>
      <c r="R62" s="127">
        <f>VLOOKUP($O62,'NO USAR1'!$A$4:$L$403,2,False)+VLOOKUP($O62,'NO USAR1'!$A$4:$L$403,3,False)+VLOOKUP($O62,'NO USAR1'!$A$4:$L$403,4,False)+VLOOKUP($O62,'NO USAR1'!$A$4:$L$403,5,False)+VLOOKUP($O62,'NO USAR1'!$A$4:$L$403,6,False)+VLOOKUP($O62,'NO USAR1'!$A$4:$L$403,7,False)+VLOOKUP($O62,'NO USAR1'!$A$4:$L$403,8,False)+VLOOKUP($O62,'NO USAR1'!$A$4:$L$403,10,False)+VLOOKUP($O62,'NO USAR1'!$A$4:$L$403,12,False)*0</f>
        <v>1.03921345</v>
      </c>
      <c r="S62" s="127">
        <f>VLOOKUP($O62,'NO USAR1'!$A$4:$L$403,2,False)*$U$19+VLOOKUP($O62,'NO USAR1'!$A$4:$L$403,3,False)*$V$19+VLOOKUP($O62,'NO USAR1'!$A$4:$L$403,4,False)*$W$19+VLOOKUP($O62,'NO USAR1'!$A$4:$L$403,5,False)*$X$19+VLOOKUP($O62,'NO USAR1'!$A$4:$L$403,6,False)*$Y$19+VLOOKUP($O62,'NO USAR1'!$A$4:$L$403,7,False)*$Z$19+VLOOKUP($O62,'NO USAR1'!$A$4:$L$403,8,False)*$AA$19+VLOOKUP($O62,'NO USAR1'!$A$4:$L$403,10,False)*$AB$19+VLOOKUP($O62,'NO USAR1'!$A$4:$L$403,12,False)*$AC$19+IF(Projections!$K$3,-AN62, IF(Projections!$J$3,-AM62,0))</f>
        <v>1.817397826</v>
      </c>
      <c r="T62" s="127">
        <f t="shared" si="1"/>
        <v>0.7781843758</v>
      </c>
      <c r="U62" s="127">
        <f>VLOOKUP($O62,Update!$B$2:$R$401,11,False)</f>
        <v>26.5</v>
      </c>
      <c r="V62" s="122">
        <f>VLOOKUP($O62,Update!$B$2:$R$401,10,False)</f>
        <v>1.5</v>
      </c>
      <c r="W62" s="127">
        <f>VLOOKUP($O62,Update!$B$2:$R$401,12,False)</f>
        <v>5.8</v>
      </c>
      <c r="X62" s="127">
        <f>VLOOKUP($O62,Update!$B$2:$R$401,13,False)</f>
        <v>7.1</v>
      </c>
      <c r="Y62" s="127">
        <f>VLOOKUP($O62,Update!$B$2:$R$401,14,False)</f>
        <v>1.1</v>
      </c>
      <c r="Z62" s="132">
        <f>VLOOKUP($O62,Update!$B$2:$R$401,15,False)</f>
        <v>0.3</v>
      </c>
      <c r="AA62" s="127">
        <f>100*VLOOKUP($O62,Update!$B$2:$R$401,7,False)</f>
        <v>47.52475248</v>
      </c>
      <c r="AB62" s="127">
        <f>100*VLOOKUP($O62,Update!$B$2:$R$401,9,False)</f>
        <v>75.32467532</v>
      </c>
      <c r="AC62" s="127">
        <f>VLOOKUP($O62,Update!$B$2:$Q$401,16,False)</f>
        <v>3.4</v>
      </c>
      <c r="AD62" s="127">
        <f>VLOOKUP($O62,'NO USAR1'!$A$4:$L$403,2,False)*$U$19</f>
        <v>1.557745478</v>
      </c>
      <c r="AE62" s="127">
        <f>VLOOKUP($O62,'NO USAR1'!$A$4:$L$403,3,False)*$V$19</f>
        <v>-0.1254446312</v>
      </c>
      <c r="AF62" s="127">
        <f>VLOOKUP($O62,'NO USAR1'!$A$4:$L$403,4,False)*$W$19</f>
        <v>-0.1234947256</v>
      </c>
      <c r="AG62" s="127">
        <f>VLOOKUP($O62,'NO USAR1'!$A$4:$L$403,5,False)*$X$19</f>
        <v>1.660640114</v>
      </c>
      <c r="AH62" s="127">
        <f>VLOOKUP($O62,'NO USAR1'!$A$4:$L$403,6,False)*$Y$19</f>
        <v>0.2296792288</v>
      </c>
      <c r="AI62" s="127">
        <f>VLOOKUP($O62,'NO USAR1'!$A$4:$L$403,7,False)*$Z$19</f>
        <v>-0.5270142365</v>
      </c>
      <c r="AJ62" s="127">
        <f>VLOOKUP($O62,'NO USAR1'!$A$4:$L$403,8,False)*$AA$19</f>
        <v>-0.4184100363</v>
      </c>
      <c r="AK62" s="132">
        <f>VLOOKUP($O62,'NO USAR1'!$A$4:$L$403,10,False)*$AB$19</f>
        <v>-0.7005302983</v>
      </c>
      <c r="AL62" s="127">
        <f>VLOOKUP($O62,'NO USAR1'!$A$4:$L$403,12,False)*$AC$19</f>
        <v>-0.4363033656</v>
      </c>
      <c r="AM62" s="133">
        <f t="shared" si="2"/>
        <v>-0.7005302983</v>
      </c>
      <c r="AN62" s="133">
        <f t="shared" si="3"/>
        <v>-1.227544535</v>
      </c>
    </row>
    <row r="63">
      <c r="A63" s="118" t="str">
        <f>IF(Update!B61="",ROW(Update!B61),Update!B61)</f>
        <v>Cameron Johnson</v>
      </c>
      <c r="B63" s="119">
        <f>IF(TYPE($A63)=1,"",(Update!$L61-B$1)/B$2)</f>
        <v>-0.178076205</v>
      </c>
      <c r="C63" s="119">
        <f>IF(TYPE($A63)=1,"",(Update!$K61-C$1)/C$2)</f>
        <v>1.305831721</v>
      </c>
      <c r="D63" s="119">
        <f>IF(TYPE($A63)=1,"",(Update!$M61-D$1)/D$2)</f>
        <v>-0.4580176845</v>
      </c>
      <c r="E63" s="119">
        <f>IF(TYPE($A63)=1,"",(Update!$N61-E$1)/E$2)</f>
        <v>-0.8549867017</v>
      </c>
      <c r="F63" s="119">
        <f>IF(TYPE($A63)=1,"",(Update!$O61-F$1)/F$2)</f>
        <v>0.9511129006</v>
      </c>
      <c r="G63" s="119">
        <f>IF(TYPE($A63)=1,"",(Update!$P61-G$1)/G$2)</f>
        <v>-0.7528774808</v>
      </c>
      <c r="H63" s="119">
        <f>IF(TYPE($A63)=1,"",(Update!$H61-H$1)/H$2*I63/$I$1)</f>
        <v>-0.4463979991</v>
      </c>
      <c r="I63" s="119">
        <f>IF(TYPE($A63)=1,"",IF(Update!H61=0,0,Update!G61/Update!H61))</f>
        <v>11.9</v>
      </c>
      <c r="J63" s="120">
        <f>IF(TYPE($A63)=1,"",(Update!$J61-J$1)/J$2*K63/$K$1)</f>
        <v>0.4559438918</v>
      </c>
      <c r="K63" s="121">
        <f>IF(TYPE($A63)=1,"",IF(Update!J61=0,0,Update!I61/Update!J61))</f>
        <v>2.6</v>
      </c>
      <c r="L63" s="119">
        <f>IF(TYPE($A63)=1,"",-(Update!$Q61-L$1)/L$2)</f>
        <v>1.359412004</v>
      </c>
      <c r="N63" s="124">
        <v>43.0</v>
      </c>
      <c r="O63" s="130" t="str">
        <f>IF(Update!B50="",ROW(Update!B50),Update!B50)</f>
        <v>Pascal Siakam</v>
      </c>
      <c r="P63" s="131">
        <f>Update!E50</f>
        <v>70</v>
      </c>
      <c r="Q63" s="131" t="str">
        <f>IF(Update!C50="",ROW(Update!N65),Update!C50)</f>
        <v>PF,C</v>
      </c>
      <c r="R63" s="127">
        <f>VLOOKUP($O63,'NO USAR1'!$A$4:$L$403,2,False)+VLOOKUP($O63,'NO USAR1'!$A$4:$L$403,3,False)+VLOOKUP($O63,'NO USAR1'!$A$4:$L$403,4,False)+VLOOKUP($O63,'NO USAR1'!$A$4:$L$403,5,False)+VLOOKUP($O63,'NO USAR1'!$A$4:$L$403,6,False)+VLOOKUP($O63,'NO USAR1'!$A$4:$L$403,7,False)+VLOOKUP($O63,'NO USAR1'!$A$4:$L$403,8,False)+VLOOKUP($O63,'NO USAR1'!$A$4:$L$403,10,False)+VLOOKUP($O63,'NO USAR1'!$A$4:$L$403,12,False)*0</f>
        <v>0.9813544755</v>
      </c>
      <c r="S63" s="127">
        <f>VLOOKUP($O63,'NO USAR1'!$A$4:$L$403,2,False)*$U$19+VLOOKUP($O63,'NO USAR1'!$A$4:$L$403,3,False)*$V$19+VLOOKUP($O63,'NO USAR1'!$A$4:$L$403,4,False)*$W$19+VLOOKUP($O63,'NO USAR1'!$A$4:$L$403,5,False)*$X$19+VLOOKUP($O63,'NO USAR1'!$A$4:$L$403,6,False)*$Y$19+VLOOKUP($O63,'NO USAR1'!$A$4:$L$403,7,False)*$Z$19+VLOOKUP($O63,'NO USAR1'!$A$4:$L$403,8,False)*$AA$19+VLOOKUP($O63,'NO USAR1'!$A$4:$L$403,10,False)*$AB$19+VLOOKUP($O63,'NO USAR1'!$A$4:$L$403,12,False)*$AC$19+IF(Projections!$K$3,-AN63, IF(Projections!$J$3,-AM63,0))</f>
        <v>1.565336139</v>
      </c>
      <c r="T63" s="127">
        <f t="shared" si="1"/>
        <v>0.5839816639</v>
      </c>
      <c r="U63" s="127">
        <f>VLOOKUP($O63,Update!$B$2:$R$401,11,False)</f>
        <v>22.1</v>
      </c>
      <c r="V63" s="122">
        <f>VLOOKUP($O63,Update!$B$2:$R$401,10,False)</f>
        <v>1.2</v>
      </c>
      <c r="W63" s="127">
        <f>VLOOKUP($O63,Update!$B$2:$R$401,12,False)</f>
        <v>7.8</v>
      </c>
      <c r="X63" s="127">
        <f>VLOOKUP($O63,Update!$B$2:$R$401,13,False)</f>
        <v>5.7</v>
      </c>
      <c r="Y63" s="127">
        <f>VLOOKUP($O63,Update!$B$2:$R$401,14,False)</f>
        <v>1</v>
      </c>
      <c r="Z63" s="132">
        <f>VLOOKUP($O63,Update!$B$2:$R$401,15,False)</f>
        <v>0.5</v>
      </c>
      <c r="AA63" s="127">
        <f>100*VLOOKUP($O63,Update!$B$2:$R$401,7,False)</f>
        <v>47.6744186</v>
      </c>
      <c r="AB63" s="127">
        <f>100*VLOOKUP($O63,Update!$B$2:$R$401,9,False)</f>
        <v>77.5862069</v>
      </c>
      <c r="AC63" s="127">
        <f>VLOOKUP($O63,Update!$B$2:$Q$401,16,False)</f>
        <v>2.4</v>
      </c>
      <c r="AD63" s="127">
        <f>VLOOKUP($O63,'NO USAR1'!$A$4:$L$403,2,False)*$U$19</f>
        <v>0.8162294191</v>
      </c>
      <c r="AE63" s="127">
        <f>VLOOKUP($O63,'NO USAR1'!$A$4:$L$403,3,False)*$V$19</f>
        <v>-0.3855832673</v>
      </c>
      <c r="AF63" s="127">
        <f>VLOOKUP($O63,'NO USAR1'!$A$4:$L$403,4,False)*$W$19</f>
        <v>0.7128126715</v>
      </c>
      <c r="AG63" s="127">
        <f>VLOOKUP($O63,'NO USAR1'!$A$4:$L$403,5,False)*$X$19</f>
        <v>0.9466056671</v>
      </c>
      <c r="AH63" s="127">
        <f>VLOOKUP($O63,'NO USAR1'!$A$4:$L$403,6,False)*$Y$19</f>
        <v>0.01162932804</v>
      </c>
      <c r="AI63" s="127">
        <f>VLOOKUP($O63,'NO USAR1'!$A$4:$L$403,7,False)*$Z$19</f>
        <v>-0.2643825572</v>
      </c>
      <c r="AJ63" s="127">
        <f>VLOOKUP($O63,'NO USAR1'!$A$4:$L$403,8,False)*$AA$19</f>
        <v>-0.3305565747</v>
      </c>
      <c r="AK63" s="132">
        <f>VLOOKUP($O63,'NO USAR1'!$A$4:$L$403,10,False)*$AB$19</f>
        <v>-0.2011609955</v>
      </c>
      <c r="AL63" s="127">
        <f>VLOOKUP($O63,'NO USAR1'!$A$4:$L$403,12,False)*$AC$19</f>
        <v>-0.1258408189</v>
      </c>
      <c r="AM63" s="133">
        <f t="shared" si="2"/>
        <v>-0.3855832673</v>
      </c>
      <c r="AN63" s="133">
        <f t="shared" si="3"/>
        <v>-0.7161398419</v>
      </c>
    </row>
    <row r="64">
      <c r="A64" s="118" t="str">
        <f>IF(Update!B62="",ROW(Update!B62),Update!B62)</f>
        <v>Anfernee Simons</v>
      </c>
      <c r="B64" s="119">
        <f>IF(TYPE($A64)=1,"",(Update!$L62-B$1)/B$2)</f>
        <v>0.7319662306</v>
      </c>
      <c r="C64" s="119">
        <f>IF(TYPE($A64)=1,"",(Update!$K62-C$1)/C$2)</f>
        <v>1.980265222</v>
      </c>
      <c r="D64" s="119">
        <f>IF(TYPE($A64)=1,"",(Update!$M62-D$1)/D$2)</f>
        <v>-1.336140451</v>
      </c>
      <c r="E64" s="119">
        <f>IF(TYPE($A64)=1,"",(Update!$N62-E$1)/E$2)</f>
        <v>0.7214529869</v>
      </c>
      <c r="F64" s="119">
        <f>IF(TYPE($A64)=1,"",(Update!$O62-F$1)/F$2)</f>
        <v>-0.9178862491</v>
      </c>
      <c r="G64" s="119">
        <f>IF(TYPE($A64)=1,"",(Update!$P62-G$1)/G$2)</f>
        <v>-0.9404715375</v>
      </c>
      <c r="H64" s="119">
        <f>IF(TYPE($A64)=1,"",(Update!$H62-H$1)/H$2*I64/$I$1)</f>
        <v>-0.9790396054</v>
      </c>
      <c r="I64" s="119">
        <f>IF(TYPE($A64)=1,"",IF(Update!H62=0,0,Update!G62/Update!H62))</f>
        <v>16.9</v>
      </c>
      <c r="J64" s="120">
        <f>IF(TYPE($A64)=1,"",(Update!$J62-J$1)/J$2*K64/$K$1)</f>
        <v>1.159537585</v>
      </c>
      <c r="K64" s="121">
        <f>IF(TYPE($A64)=1,"",IF(Update!J62=0,0,Update!I62/Update!J62))</f>
        <v>3.2</v>
      </c>
      <c r="L64" s="119">
        <f>IF(TYPE($A64)=1,"",-(Update!$Q62-L$1)/L$2)</f>
        <v>-0.2549932383</v>
      </c>
      <c r="N64" s="33">
        <v>44.0</v>
      </c>
      <c r="O64" s="130" t="str">
        <f>IF(Update!B39="",ROW(Update!B39),Update!B39)</f>
        <v>Zach LaVine</v>
      </c>
      <c r="P64" s="131">
        <f>Update!E39</f>
        <v>74</v>
      </c>
      <c r="Q64" s="131" t="str">
        <f>IF(Update!C39="",ROW(Update!N54),Update!C39)</f>
        <v>SG,SF</v>
      </c>
      <c r="R64" s="127">
        <f>VLOOKUP($O64,'NO USAR1'!$A$4:$L$403,2,False)+VLOOKUP($O64,'NO USAR1'!$A$4:$L$403,3,False)+VLOOKUP($O64,'NO USAR1'!$A$4:$L$403,4,False)+VLOOKUP($O64,'NO USAR1'!$A$4:$L$403,5,False)+VLOOKUP($O64,'NO USAR1'!$A$4:$L$403,6,False)+VLOOKUP($O64,'NO USAR1'!$A$4:$L$403,7,False)+VLOOKUP($O64,'NO USAR1'!$A$4:$L$403,8,False)+VLOOKUP($O64,'NO USAR1'!$A$4:$L$403,10,False)+VLOOKUP($O64,'NO USAR1'!$A$4:$L$403,12,False)*0</f>
        <v>0.9167348262</v>
      </c>
      <c r="S64" s="127">
        <f>VLOOKUP($O64,'NO USAR1'!$A$4:$L$403,2,False)*$U$19+VLOOKUP($O64,'NO USAR1'!$A$4:$L$403,3,False)*$V$19+VLOOKUP($O64,'NO USAR1'!$A$4:$L$403,4,False)*$W$19+VLOOKUP($O64,'NO USAR1'!$A$4:$L$403,5,False)*$X$19+VLOOKUP($O64,'NO USAR1'!$A$4:$L$403,6,False)*$Y$19+VLOOKUP($O64,'NO USAR1'!$A$4:$L$403,7,False)*$Z$19+VLOOKUP($O64,'NO USAR1'!$A$4:$L$403,8,False)*$AA$19+VLOOKUP($O64,'NO USAR1'!$A$4:$L$403,10,False)*$AB$19+VLOOKUP($O64,'NO USAR1'!$A$4:$L$403,12,False)*$AC$19+IF(Projections!$K$3,-AN64, IF(Projections!$J$3,-AM64,0))</f>
        <v>1.625319287</v>
      </c>
      <c r="T64" s="127">
        <f t="shared" si="1"/>
        <v>0.7085844609</v>
      </c>
      <c r="U64" s="127">
        <f>VLOOKUP($O64,Update!$B$2:$R$401,11,False)</f>
        <v>24.9</v>
      </c>
      <c r="V64" s="122">
        <f>VLOOKUP($O64,Update!$B$2:$R$401,10,False)</f>
        <v>2.6</v>
      </c>
      <c r="W64" s="127">
        <f>VLOOKUP($O64,Update!$B$2:$R$401,12,False)</f>
        <v>4.4</v>
      </c>
      <c r="X64" s="127">
        <f>VLOOKUP($O64,Update!$B$2:$R$401,13,False)</f>
        <v>4.3</v>
      </c>
      <c r="Y64" s="127">
        <f>VLOOKUP($O64,Update!$B$2:$R$401,14,False)</f>
        <v>0.8</v>
      </c>
      <c r="Z64" s="132">
        <f>VLOOKUP($O64,Update!$B$2:$R$401,15,False)</f>
        <v>0.3</v>
      </c>
      <c r="AA64" s="127">
        <f>100*VLOOKUP($O64,Update!$B$2:$R$401,7,False)</f>
        <v>47.8021978</v>
      </c>
      <c r="AB64" s="127">
        <f>100*VLOOKUP($O64,Update!$B$2:$R$401,9,False)</f>
        <v>84.21052632</v>
      </c>
      <c r="AC64" s="127">
        <f>VLOOKUP($O64,Update!$B$2:$Q$401,16,False)</f>
        <v>2.6</v>
      </c>
      <c r="AD64" s="127">
        <f>VLOOKUP($O64,'NO USAR1'!$A$4:$L$403,2,False)*$U$19</f>
        <v>1.288103275</v>
      </c>
      <c r="AE64" s="127">
        <f>VLOOKUP($O64,'NO USAR1'!$A$4:$L$403,3,False)*$V$19</f>
        <v>0.8283970345</v>
      </c>
      <c r="AF64" s="127">
        <f>VLOOKUP($O64,'NO USAR1'!$A$4:$L$403,4,False)*$W$19</f>
        <v>-0.7089099036</v>
      </c>
      <c r="AG64" s="127">
        <f>VLOOKUP($O64,'NO USAR1'!$A$4:$L$403,5,False)*$X$19</f>
        <v>0.2325712199</v>
      </c>
      <c r="AH64" s="127">
        <f>VLOOKUP($O64,'NO USAR1'!$A$4:$L$403,6,False)*$Y$19</f>
        <v>-0.4244704736</v>
      </c>
      <c r="AI64" s="127">
        <f>VLOOKUP($O64,'NO USAR1'!$A$4:$L$403,7,False)*$Z$19</f>
        <v>-0.5270142365</v>
      </c>
      <c r="AJ64" s="127">
        <f>VLOOKUP($O64,'NO USAR1'!$A$4:$L$403,8,False)*$AA$19</f>
        <v>-0.3265455609</v>
      </c>
      <c r="AK64" s="132">
        <f>VLOOKUP($O64,'NO USAR1'!$A$4:$L$403,10,False)*$AB$19</f>
        <v>0.7422113573</v>
      </c>
      <c r="AL64" s="127">
        <f>VLOOKUP($O64,'NO USAR1'!$A$4:$L$403,12,False)*$AC$19</f>
        <v>-0.1879333282</v>
      </c>
      <c r="AM64" s="133">
        <f t="shared" si="2"/>
        <v>-0.7089099036</v>
      </c>
      <c r="AN64" s="133">
        <f t="shared" si="3"/>
        <v>-1.23592414</v>
      </c>
    </row>
    <row r="65">
      <c r="A65" s="118" t="str">
        <f>IF(Update!B63="",ROW(Update!B63),Update!B63)</f>
        <v>Daniel Gafford</v>
      </c>
      <c r="B65" s="119">
        <f>IF(TYPE($A65)=1,"",(Update!$L63-B$1)/B$2)</f>
        <v>-0.7510658866</v>
      </c>
      <c r="C65" s="119">
        <f>IF(TYPE($A65)=1,"",(Update!$K63-C$1)/C$2)</f>
        <v>-1.584597568</v>
      </c>
      <c r="D65" s="119">
        <f>IF(TYPE($A65)=1,"",(Update!$M63-D$1)/D$2)</f>
        <v>0.7128126715</v>
      </c>
      <c r="E65" s="119">
        <f>IF(TYPE($A65)=1,"",(Update!$N63-E$1)/E$2)</f>
        <v>-1.133181941</v>
      </c>
      <c r="F65" s="119">
        <f>IF(TYPE($A65)=1,"",(Update!$O63-F$1)/F$2)</f>
        <v>-1.229386107</v>
      </c>
      <c r="G65" s="119">
        <f>IF(TYPE($A65)=1,"",(Update!$P63-G$1)/G$2)</f>
        <v>1.873439313</v>
      </c>
      <c r="H65" s="119">
        <f>IF(TYPE($A65)=1,"",(Update!$H63-H$1)/H$2*I65/$I$1)</f>
        <v>1.808739499</v>
      </c>
      <c r="I65" s="119">
        <f>IF(TYPE($A65)=1,"",IF(Update!H63=0,0,Update!G63/Update!H63))</f>
        <v>7.4</v>
      </c>
      <c r="J65" s="120">
        <f>IF(TYPE($A65)=1,"",(Update!$J63-J$1)/J$2*K65/$K$1)</f>
        <v>-0.7728015095</v>
      </c>
      <c r="K65" s="121">
        <f>IF(TYPE($A65)=1,"",IF(Update!J63=0,0,Update!I63/Update!J63))</f>
        <v>3.1</v>
      </c>
      <c r="L65" s="119">
        <f>IF(TYPE($A65)=1,"",-(Update!$Q63-L$1)/L$2)</f>
        <v>0.738486911</v>
      </c>
      <c r="N65" s="124">
        <v>45.0</v>
      </c>
      <c r="O65" s="130" t="str">
        <f>IF(Update!B47="",ROW(Update!B47),Update!B47)</f>
        <v>Nikola Vucevic</v>
      </c>
      <c r="P65" s="131">
        <f>Update!E47</f>
        <v>74</v>
      </c>
      <c r="Q65" s="131" t="str">
        <f>IF(Update!C47="",ROW(Update!N62),Update!C47)</f>
        <v>C</v>
      </c>
      <c r="R65" s="127">
        <f>VLOOKUP($O65,'NO USAR1'!$A$4:$L$403,2,False)+VLOOKUP($O65,'NO USAR1'!$A$4:$L$403,3,False)+VLOOKUP($O65,'NO USAR1'!$A$4:$L$403,4,False)+VLOOKUP($O65,'NO USAR1'!$A$4:$L$403,5,False)+VLOOKUP($O65,'NO USAR1'!$A$4:$L$403,6,False)+VLOOKUP($O65,'NO USAR1'!$A$4:$L$403,7,False)+VLOOKUP($O65,'NO USAR1'!$A$4:$L$403,8,False)+VLOOKUP($O65,'NO USAR1'!$A$4:$L$403,10,False)+VLOOKUP($O65,'NO USAR1'!$A$4:$L$403,12,False)*0</f>
        <v>0.8045305499</v>
      </c>
      <c r="S65" s="127">
        <f>VLOOKUP($O65,'NO USAR1'!$A$4:$L$403,2,False)*$U$19+VLOOKUP($O65,'NO USAR1'!$A$4:$L$403,3,False)*$V$19+VLOOKUP($O65,'NO USAR1'!$A$4:$L$403,4,False)*$W$19+VLOOKUP($O65,'NO USAR1'!$A$4:$L$403,5,False)*$X$19+VLOOKUP($O65,'NO USAR1'!$A$4:$L$403,6,False)*$Y$19+VLOOKUP($O65,'NO USAR1'!$A$4:$L$403,7,False)*$Z$19+VLOOKUP($O65,'NO USAR1'!$A$4:$L$403,8,False)*$AA$19+VLOOKUP($O65,'NO USAR1'!$A$4:$L$403,10,False)*$AB$19+VLOOKUP($O65,'NO USAR1'!$A$4:$L$403,12,False)*$AC$19+IF(Projections!$K$3,-AN65, IF(Projections!$J$3,-AM65,0))</f>
        <v>1.734513994</v>
      </c>
      <c r="T65" s="127">
        <f t="shared" si="1"/>
        <v>0.9299834439</v>
      </c>
      <c r="U65" s="127">
        <f>VLOOKUP($O65,Update!$B$2:$R$401,11,False)</f>
        <v>17.4</v>
      </c>
      <c r="V65" s="122">
        <f>VLOOKUP($O65,Update!$B$2:$R$401,10,False)</f>
        <v>1.5</v>
      </c>
      <c r="W65" s="127">
        <f>VLOOKUP($O65,Update!$B$2:$R$401,12,False)</f>
        <v>11</v>
      </c>
      <c r="X65" s="127">
        <f>VLOOKUP($O65,Update!$B$2:$R$401,13,False)</f>
        <v>3.2</v>
      </c>
      <c r="Y65" s="127">
        <f>VLOOKUP($O65,Update!$B$2:$R$401,14,False)</f>
        <v>0.7</v>
      </c>
      <c r="Z65" s="132">
        <f>VLOOKUP($O65,Update!$B$2:$R$401,15,False)</f>
        <v>0.7</v>
      </c>
      <c r="AA65" s="127">
        <f>100*VLOOKUP($O65,Update!$B$2:$R$401,7,False)</f>
        <v>48.64864865</v>
      </c>
      <c r="AB65" s="127">
        <f>100*VLOOKUP($O65,Update!$B$2:$R$401,9,False)</f>
        <v>83.33333333</v>
      </c>
      <c r="AC65" s="127">
        <f>VLOOKUP($O65,Update!$B$2:$Q$401,16,False)</f>
        <v>1.8</v>
      </c>
      <c r="AD65" s="127">
        <f>VLOOKUP($O65,'NO USAR1'!$A$4:$L$403,2,False)*$U$19</f>
        <v>0.02415544736</v>
      </c>
      <c r="AE65" s="127">
        <f>VLOOKUP($O65,'NO USAR1'!$A$4:$L$403,3,False)*$V$19</f>
        <v>-0.1254446312</v>
      </c>
      <c r="AF65" s="127">
        <f>VLOOKUP($O65,'NO USAR1'!$A$4:$L$403,4,False)*$W$19</f>
        <v>2.050904507</v>
      </c>
      <c r="AG65" s="127">
        <f>VLOOKUP($O65,'NO USAR1'!$A$4:$L$403,5,False)*$X$19</f>
        <v>-0.3284558457</v>
      </c>
      <c r="AH65" s="127">
        <f>VLOOKUP($O65,'NO USAR1'!$A$4:$L$403,6,False)*$Y$19</f>
        <v>-0.6425203744</v>
      </c>
      <c r="AI65" s="127">
        <f>VLOOKUP($O65,'NO USAR1'!$A$4:$L$403,7,False)*$Z$19</f>
        <v>-0.001750877862</v>
      </c>
      <c r="AJ65" s="127">
        <f>VLOOKUP($O65,'NO USAR1'!$A$4:$L$403,8,False)*$AA$19</f>
        <v>-0.1404100019</v>
      </c>
      <c r="AK65" s="132">
        <f>VLOOKUP($O65,'NO USAR1'!$A$4:$L$403,10,False)*$AB$19</f>
        <v>0.1950786871</v>
      </c>
      <c r="AL65" s="127">
        <f>VLOOKUP($O65,'NO USAR1'!$A$4:$L$403,12,False)*$AC$19</f>
        <v>0.06043670908</v>
      </c>
      <c r="AM65" s="133">
        <f t="shared" si="2"/>
        <v>-0.6425203744</v>
      </c>
      <c r="AN65" s="133">
        <f t="shared" si="3"/>
        <v>-0.9709762201</v>
      </c>
    </row>
    <row r="66">
      <c r="A66" s="118" t="str">
        <f>IF(Update!B64="",ROW(Update!B64),Update!B64)</f>
        <v>Devin Vassell</v>
      </c>
      <c r="B66" s="119">
        <f>IF(TYPE($A66)=1,"",(Update!$L64-B$1)/B$2)</f>
        <v>0.1758291866</v>
      </c>
      <c r="C66" s="119">
        <f>IF(TYPE($A66)=1,"",(Update!$K64-C$1)/C$2)</f>
        <v>1.209484078</v>
      </c>
      <c r="D66" s="119">
        <f>IF(TYPE($A66)=1,"",(Update!$M64-D$1)/D$2)</f>
        <v>-0.7507252735</v>
      </c>
      <c r="E66" s="119">
        <f>IF(TYPE($A66)=1,"",(Update!$N64-E$1)/E$2)</f>
        <v>-0.0204009842</v>
      </c>
      <c r="F66" s="119">
        <f>IF(TYPE($A66)=1,"",(Update!$O64-F$1)/F$2)</f>
        <v>0.6396130423</v>
      </c>
      <c r="G66" s="119">
        <f>IF(TYPE($A66)=1,"",(Update!$P64-G$1)/G$2)</f>
        <v>-0.1900953108</v>
      </c>
      <c r="H66" s="119">
        <f>IF(TYPE($A66)=1,"",(Update!$H64-H$1)/H$2*I66/$I$1)</f>
        <v>-1.098046636</v>
      </c>
      <c r="I66" s="119">
        <f>IF(TYPE($A66)=1,"",IF(Update!H64=0,0,Update!G64/Update!H64))</f>
        <v>15.1</v>
      </c>
      <c r="J66" s="120">
        <f>IF(TYPE($A66)=1,"",(Update!$J64-J$1)/J$2*K66/$K$1)</f>
        <v>0.3410075582</v>
      </c>
      <c r="K66" s="121">
        <f>IF(TYPE($A66)=1,"",IF(Update!J64=0,0,Update!I64/Update!J64))</f>
        <v>2.9</v>
      </c>
      <c r="L66" s="119">
        <f>IF(TYPE($A66)=1,"",-(Update!$Q64-L$1)/L$2)</f>
        <v>0.9868569483</v>
      </c>
      <c r="N66" s="124">
        <v>46.0</v>
      </c>
      <c r="O66" s="130" t="str">
        <f>IF(Update!B71="",ROW(Update!B71),Update!B71)</f>
        <v>Julius Randle</v>
      </c>
      <c r="P66" s="131">
        <f>Update!E71</f>
        <v>74</v>
      </c>
      <c r="Q66" s="131" t="str">
        <f>IF(Update!C71="",ROW(Update!N86),Update!C71)</f>
        <v>PF</v>
      </c>
      <c r="R66" s="127">
        <f>VLOOKUP($O66,'NO USAR1'!$A$4:$L$403,2,False)+VLOOKUP($O66,'NO USAR1'!$A$4:$L$403,3,False)+VLOOKUP($O66,'NO USAR1'!$A$4:$L$403,4,False)+VLOOKUP($O66,'NO USAR1'!$A$4:$L$403,5,False)+VLOOKUP($O66,'NO USAR1'!$A$4:$L$403,6,False)+VLOOKUP($O66,'NO USAR1'!$A$4:$L$403,7,False)+VLOOKUP($O66,'NO USAR1'!$A$4:$L$403,8,False)+VLOOKUP($O66,'NO USAR1'!$A$4:$L$403,10,False)+VLOOKUP($O66,'NO USAR1'!$A$4:$L$403,12,False)*0</f>
        <v>0.7168108728</v>
      </c>
      <c r="S66" s="127">
        <f>VLOOKUP($O66,'NO USAR1'!$A$4:$L$403,2,False)*$U$19+VLOOKUP($O66,'NO USAR1'!$A$4:$L$403,3,False)*$V$19+VLOOKUP($O66,'NO USAR1'!$A$4:$L$403,4,False)*$W$19+VLOOKUP($O66,'NO USAR1'!$A$4:$L$403,5,False)*$X$19+VLOOKUP($O66,'NO USAR1'!$A$4:$L$403,6,False)*$Y$19+VLOOKUP($O66,'NO USAR1'!$A$4:$L$403,7,False)*$Z$19+VLOOKUP($O66,'NO USAR1'!$A$4:$L$403,8,False)*$AA$19+VLOOKUP($O66,'NO USAR1'!$A$4:$L$403,10,False)*$AB$19+VLOOKUP($O66,'NO USAR1'!$A$4:$L$403,12,False)*$AC$19+IF(Projections!$K$3,-AN66, IF(Projections!$J$3,-AM66,0))</f>
        <v>1.769873189</v>
      </c>
      <c r="T66" s="127">
        <f t="shared" si="1"/>
        <v>1.053062316</v>
      </c>
      <c r="U66" s="127">
        <f>VLOOKUP($O66,Update!$B$2:$R$401,11,False)</f>
        <v>22.9</v>
      </c>
      <c r="V66" s="122">
        <f>VLOOKUP($O66,Update!$B$2:$R$401,10,False)</f>
        <v>2.3</v>
      </c>
      <c r="W66" s="127">
        <f>VLOOKUP($O66,Update!$B$2:$R$401,12,False)</f>
        <v>10</v>
      </c>
      <c r="X66" s="127">
        <f>VLOOKUP($O66,Update!$B$2:$R$401,13,False)</f>
        <v>4.7</v>
      </c>
      <c r="Y66" s="127">
        <f>VLOOKUP($O66,Update!$B$2:$R$401,14,False)</f>
        <v>0.7</v>
      </c>
      <c r="Z66" s="132">
        <f>VLOOKUP($O66,Update!$B$2:$R$401,15,False)</f>
        <v>0.4</v>
      </c>
      <c r="AA66" s="127">
        <f>100*VLOOKUP($O66,Update!$B$2:$R$401,7,False)</f>
        <v>45.14285714</v>
      </c>
      <c r="AB66" s="127">
        <f>100*VLOOKUP($O66,Update!$B$2:$R$401,9,False)</f>
        <v>76.19047619</v>
      </c>
      <c r="AC66" s="127">
        <f>VLOOKUP($O66,Update!$B$2:$Q$401,16,False)</f>
        <v>3.1</v>
      </c>
      <c r="AD66" s="127">
        <f>VLOOKUP($O66,'NO USAR1'!$A$4:$L$403,2,False)*$U$19</f>
        <v>0.9510505206</v>
      </c>
      <c r="AE66" s="127">
        <f>VLOOKUP($O66,'NO USAR1'!$A$4:$L$403,3,False)*$V$19</f>
        <v>0.5682583984</v>
      </c>
      <c r="AF66" s="127">
        <f>VLOOKUP($O66,'NO USAR1'!$A$4:$L$403,4,False)*$W$19</f>
        <v>1.632750808</v>
      </c>
      <c r="AG66" s="127">
        <f>VLOOKUP($O66,'NO USAR1'!$A$4:$L$403,5,False)*$X$19</f>
        <v>0.436581062</v>
      </c>
      <c r="AH66" s="127">
        <f>VLOOKUP($O66,'NO USAR1'!$A$4:$L$403,6,False)*$Y$19</f>
        <v>-0.6425203744</v>
      </c>
      <c r="AI66" s="127">
        <f>VLOOKUP($O66,'NO USAR1'!$A$4:$L$403,7,False)*$Z$19</f>
        <v>-0.3956983969</v>
      </c>
      <c r="AJ66" s="127">
        <f>VLOOKUP($O66,'NO USAR1'!$A$4:$L$403,8,False)*$AA$19</f>
        <v>-0.7788425337</v>
      </c>
      <c r="AK66" s="132">
        <f>VLOOKUP($O66,'NO USAR1'!$A$4:$L$403,10,False)*$AB$19</f>
        <v>-0.4373842279</v>
      </c>
      <c r="AL66" s="127">
        <f>VLOOKUP($O66,'NO USAR1'!$A$4:$L$403,12,False)*$AC$19</f>
        <v>-0.3431646016</v>
      </c>
      <c r="AM66" s="133">
        <f t="shared" si="2"/>
        <v>-0.7788425337</v>
      </c>
      <c r="AN66" s="133">
        <f t="shared" si="3"/>
        <v>-1.421362908</v>
      </c>
    </row>
    <row r="67">
      <c r="A67" s="118" t="str">
        <f>IF(Update!B65="",ROW(Update!B65),Update!B65)</f>
        <v>Brook Lopez</v>
      </c>
      <c r="B67" s="119">
        <f>IF(TYPE($A67)=1,"",(Update!$L65-B$1)/B$2)</f>
        <v>-0.6330974228</v>
      </c>
      <c r="C67" s="119">
        <f>IF(TYPE($A67)=1,"",(Update!$K65-C$1)/C$2)</f>
        <v>-0.1393829235</v>
      </c>
      <c r="D67" s="119">
        <f>IF(TYPE($A67)=1,"",(Update!$M65-D$1)/D$2)</f>
        <v>-0.08167935579</v>
      </c>
      <c r="E67" s="119">
        <f>IF(TYPE($A67)=1,"",(Update!$N65-E$1)/E$2)</f>
        <v>-1.318645434</v>
      </c>
      <c r="F67" s="119">
        <f>IF(TYPE($A67)=1,"",(Update!$O65-F$1)/F$2)</f>
        <v>-1.852385824</v>
      </c>
      <c r="G67" s="119">
        <f>IF(TYPE($A67)=1,"",(Update!$P65-G$1)/G$2)</f>
        <v>2.436221483</v>
      </c>
      <c r="H67" s="119">
        <f>IF(TYPE($A67)=1,"",(Update!$H65-H$1)/H$2*I67/$I$1)</f>
        <v>0.2665368263</v>
      </c>
      <c r="I67" s="119">
        <f>IF(TYPE($A67)=1,"",IF(Update!H65=0,0,Update!G65/Update!H65))</f>
        <v>10</v>
      </c>
      <c r="J67" s="120">
        <f>IF(TYPE($A67)=1,"",(Update!$J65-J$1)/J$2*K67/$K$1)</f>
        <v>0.06350565196</v>
      </c>
      <c r="K67" s="121">
        <f>IF(TYPE($A67)=1,"",IF(Update!J65=0,0,Update!I65/Update!J65))</f>
        <v>2</v>
      </c>
      <c r="L67" s="119">
        <f>IF(TYPE($A67)=1,"",-(Update!$Q65-L$1)/L$2)</f>
        <v>0.9868569483</v>
      </c>
      <c r="N67" s="33">
        <v>47.0</v>
      </c>
      <c r="O67" s="130" t="str">
        <f>IF(Update!B44="",ROW(Update!B44),Update!B44)</f>
        <v>Victor Wembanyama</v>
      </c>
      <c r="P67" s="131">
        <f>Update!E44</f>
        <v>65</v>
      </c>
      <c r="Q67" s="131" t="str">
        <f>IF(Update!C44="",ROW(Update!N59),Update!C44)</f>
        <v>PF,C</v>
      </c>
      <c r="R67" s="127">
        <f>VLOOKUP($O67,'NO USAR1'!$A$4:$L$403,2,False)+VLOOKUP($O67,'NO USAR1'!$A$4:$L$403,3,False)+VLOOKUP($O67,'NO USAR1'!$A$4:$L$403,4,False)+VLOOKUP($O67,'NO USAR1'!$A$4:$L$403,5,False)+VLOOKUP($O67,'NO USAR1'!$A$4:$L$403,6,False)+VLOOKUP($O67,'NO USAR1'!$A$4:$L$403,7,False)+VLOOKUP($O67,'NO USAR1'!$A$4:$L$403,8,False)+VLOOKUP($O67,'NO USAR1'!$A$4:$L$403,10,False)+VLOOKUP($O67,'NO USAR1'!$A$4:$L$403,12,False)*0</f>
        <v>0.6932769425</v>
      </c>
      <c r="S67" s="127">
        <f>VLOOKUP($O67,'NO USAR1'!$A$4:$L$403,2,False)*$U$19+VLOOKUP($O67,'NO USAR1'!$A$4:$L$403,3,False)*$V$19+VLOOKUP($O67,'NO USAR1'!$A$4:$L$403,4,False)*$W$19+VLOOKUP($O67,'NO USAR1'!$A$4:$L$403,5,False)*$X$19+VLOOKUP($O67,'NO USAR1'!$A$4:$L$403,6,False)*$Y$19+VLOOKUP($O67,'NO USAR1'!$A$4:$L$403,7,False)*$Z$19+VLOOKUP($O67,'NO USAR1'!$A$4:$L$403,8,False)*$AA$19+VLOOKUP($O67,'NO USAR1'!$A$4:$L$403,10,False)*$AB$19+VLOOKUP($O67,'NO USAR1'!$A$4:$L$403,12,False)*$AC$19+IF(Projections!$K$3,-AN67, IF(Projections!$J$3,-AM67,0))</f>
        <v>1.220132912</v>
      </c>
      <c r="T67" s="127">
        <f t="shared" si="1"/>
        <v>0.5268559698</v>
      </c>
      <c r="U67" s="127">
        <f>VLOOKUP($O67,Update!$B$2:$R$401,11,False)</f>
        <v>17.3</v>
      </c>
      <c r="V67" s="122">
        <f>VLOOKUP($O67,Update!$B$2:$R$401,10,False)</f>
        <v>1</v>
      </c>
      <c r="W67" s="127">
        <f>VLOOKUP($O67,Update!$B$2:$R$401,12,False)</f>
        <v>8.2</v>
      </c>
      <c r="X67" s="127">
        <f>VLOOKUP($O67,Update!$B$2:$R$401,13,False)</f>
        <v>1.8</v>
      </c>
      <c r="Y67" s="127">
        <f>VLOOKUP($O67,Update!$B$2:$R$401,14,False)</f>
        <v>0.7</v>
      </c>
      <c r="Z67" s="132">
        <f>VLOOKUP($O67,Update!$B$2:$R$401,15,False)</f>
        <v>2.3</v>
      </c>
      <c r="AA67" s="127">
        <f>100*VLOOKUP($O67,Update!$B$2:$R$401,7,False)</f>
        <v>45.71428571</v>
      </c>
      <c r="AB67" s="127">
        <f>100*VLOOKUP($O67,Update!$B$2:$R$401,9,False)</f>
        <v>78.26086957</v>
      </c>
      <c r="AC67" s="127">
        <f>VLOOKUP($O67,Update!$B$2:$Q$401,16,False)</f>
        <v>1.8</v>
      </c>
      <c r="AD67" s="127">
        <f>VLOOKUP($O67,'NO USAR1'!$A$4:$L$403,2,False)*$U$19</f>
        <v>0.007302809668</v>
      </c>
      <c r="AE67" s="127">
        <f>VLOOKUP($O67,'NO USAR1'!$A$4:$L$403,3,False)*$V$19</f>
        <v>-0.5590090247</v>
      </c>
      <c r="AF67" s="127">
        <f>VLOOKUP($O67,'NO USAR1'!$A$4:$L$403,4,False)*$W$19</f>
        <v>0.8800741509</v>
      </c>
      <c r="AG67" s="127">
        <f>VLOOKUP($O67,'NO USAR1'!$A$4:$L$403,5,False)*$X$19</f>
        <v>-1.042490293</v>
      </c>
      <c r="AH67" s="127">
        <f>VLOOKUP($O67,'NO USAR1'!$A$4:$L$403,6,False)*$Y$19</f>
        <v>-0.6425203744</v>
      </c>
      <c r="AI67" s="127">
        <f>VLOOKUP($O67,'NO USAR1'!$A$4:$L$403,7,False)*$Z$19</f>
        <v>2.099302557</v>
      </c>
      <c r="AJ67" s="127">
        <f>VLOOKUP($O67,'NO USAR1'!$A$4:$L$403,8,False)*$AA$19</f>
        <v>-0.5431648246</v>
      </c>
      <c r="AK67" s="132">
        <f>VLOOKUP($O67,'NO USAR1'!$A$4:$L$403,10,False)*$AB$19</f>
        <v>-0.08228909069</v>
      </c>
      <c r="AL67" s="127">
        <f>VLOOKUP($O67,'NO USAR1'!$A$4:$L$403,12,False)*$AC$19</f>
        <v>0.06043670908</v>
      </c>
      <c r="AM67" s="133">
        <f t="shared" si="2"/>
        <v>-1.042490293</v>
      </c>
      <c r="AN67" s="133">
        <f t="shared" si="3"/>
        <v>-1.685010667</v>
      </c>
    </row>
    <row r="68">
      <c r="A68" s="118" t="str">
        <f>IF(Update!B66="",ROW(Update!B66),Update!B66)</f>
        <v>Onyeka Okongwu</v>
      </c>
      <c r="B68" s="119">
        <f>IF(TYPE($A68)=1,"",(Update!$L66-B$1)/B$2)</f>
        <v>-1.054413365</v>
      </c>
      <c r="C68" s="119">
        <f>IF(TYPE($A68)=1,"",(Update!$K66-C$1)/C$2)</f>
        <v>-1.584597568</v>
      </c>
      <c r="D68" s="119">
        <f>IF(TYPE($A68)=1,"",(Update!$M66-D$1)/D$2)</f>
        <v>0.7964434112</v>
      </c>
      <c r="E68" s="119">
        <f>IF(TYPE($A68)=1,"",(Update!$N66-E$1)/E$2)</f>
        <v>-1.225913687</v>
      </c>
      <c r="F68" s="119">
        <f>IF(TYPE($A68)=1,"",(Update!$O66-F$1)/F$2)</f>
        <v>-0.6063863908</v>
      </c>
      <c r="G68" s="119">
        <f>IF(TYPE($A68)=1,"",(Update!$P66-G$1)/G$2)</f>
        <v>1.498251199</v>
      </c>
      <c r="H68" s="119">
        <f>IF(TYPE($A68)=1,"",(Update!$H66-H$1)/H$2*I68/$I$1)</f>
        <v>1.195202303</v>
      </c>
      <c r="I68" s="119">
        <f>IF(TYPE($A68)=1,"",IF(Update!H66=0,0,Update!G66/Update!H66))</f>
        <v>6.7</v>
      </c>
      <c r="J68" s="120">
        <f>IF(TYPE($A68)=1,"",(Update!$J66-J$1)/J$2*K68/$K$1)</f>
        <v>-0.03555426869</v>
      </c>
      <c r="K68" s="121">
        <f>IF(TYPE($A68)=1,"",IF(Update!J66=0,0,Update!I66/Update!J66))</f>
        <v>2.8</v>
      </c>
      <c r="L68" s="119">
        <f>IF(TYPE($A68)=1,"",-(Update!$Q66-L$1)/L$2)</f>
        <v>0.9868569483</v>
      </c>
      <c r="N68" s="124">
        <v>48.0</v>
      </c>
      <c r="O68" s="130" t="str">
        <f>IF(Update!B51="",ROW(Update!B51),Update!B51)</f>
        <v>Jordan Poole</v>
      </c>
      <c r="P68" s="131">
        <f>Update!E51</f>
        <v>78</v>
      </c>
      <c r="Q68" s="131" t="str">
        <f>IF(Update!C51="",ROW(Update!N66),Update!C51)</f>
        <v>PG,SG</v>
      </c>
      <c r="R68" s="127">
        <f>VLOOKUP($O68,'NO USAR1'!$A$4:$L$403,2,False)+VLOOKUP($O68,'NO USAR1'!$A$4:$L$403,3,False)+VLOOKUP($O68,'NO USAR1'!$A$4:$L$403,4,False)+VLOOKUP($O68,'NO USAR1'!$A$4:$L$403,5,False)+VLOOKUP($O68,'NO USAR1'!$A$4:$L$403,6,False)+VLOOKUP($O68,'NO USAR1'!$A$4:$L$403,7,False)+VLOOKUP($O68,'NO USAR1'!$A$4:$L$403,8,False)+VLOOKUP($O68,'NO USAR1'!$A$4:$L$403,10,False)+VLOOKUP($O68,'NO USAR1'!$A$4:$L$403,12,False)*0</f>
        <v>0.6625176307</v>
      </c>
      <c r="S68" s="127">
        <f>VLOOKUP($O68,'NO USAR1'!$A$4:$L$403,2,False)*$U$19+VLOOKUP($O68,'NO USAR1'!$A$4:$L$403,3,False)*$V$19+VLOOKUP($O68,'NO USAR1'!$A$4:$L$403,4,False)*$W$19+VLOOKUP($O68,'NO USAR1'!$A$4:$L$403,5,False)*$X$19+VLOOKUP($O68,'NO USAR1'!$A$4:$L$403,6,False)*$Y$19+VLOOKUP($O68,'NO USAR1'!$A$4:$L$403,7,False)*$Z$19+VLOOKUP($O68,'NO USAR1'!$A$4:$L$403,8,False)*$AA$19+VLOOKUP($O68,'NO USAR1'!$A$4:$L$403,10,False)*$AB$19+VLOOKUP($O68,'NO USAR1'!$A$4:$L$403,12,False)*$AC$19+IF(Projections!$K$3,-AN68, IF(Projections!$J$3,-AM68,0))</f>
        <v>1.474168748</v>
      </c>
      <c r="T68" s="127">
        <f t="shared" si="1"/>
        <v>0.8116511177</v>
      </c>
      <c r="U68" s="127">
        <f>VLOOKUP($O68,Update!$B$2:$R$401,11,False)</f>
        <v>22</v>
      </c>
      <c r="V68" s="122">
        <f>VLOOKUP($O68,Update!$B$2:$R$401,10,False)</f>
        <v>3</v>
      </c>
      <c r="W68" s="127">
        <f>VLOOKUP($O68,Update!$B$2:$R$401,12,False)</f>
        <v>3.5</v>
      </c>
      <c r="X68" s="127">
        <f>VLOOKUP($O68,Update!$B$2:$R$401,13,False)</f>
        <v>4.8</v>
      </c>
      <c r="Y68" s="127">
        <f>VLOOKUP($O68,Update!$B$2:$R$401,14,False)</f>
        <v>0.9</v>
      </c>
      <c r="Z68" s="132">
        <f>VLOOKUP($O68,Update!$B$2:$R$401,15,False)</f>
        <v>0.3</v>
      </c>
      <c r="AA68" s="127">
        <f>100*VLOOKUP($O68,Update!$B$2:$R$401,7,False)</f>
        <v>43.71257485</v>
      </c>
      <c r="AB68" s="127">
        <f>100*VLOOKUP($O68,Update!$B$2:$R$401,9,False)</f>
        <v>87.75510204</v>
      </c>
      <c r="AC68" s="127">
        <f>VLOOKUP($O68,Update!$B$2:$Q$401,16,False)</f>
        <v>3.1</v>
      </c>
      <c r="AD68" s="127">
        <f>VLOOKUP($O68,'NO USAR1'!$A$4:$L$403,2,False)*$U$19</f>
        <v>0.7993767814</v>
      </c>
      <c r="AE68" s="127">
        <f>VLOOKUP($O68,'NO USAR1'!$A$4:$L$403,3,False)*$V$19</f>
        <v>1.175248549</v>
      </c>
      <c r="AF68" s="127">
        <f>VLOOKUP($O68,'NO USAR1'!$A$4:$L$403,4,False)*$W$19</f>
        <v>-1.085248232</v>
      </c>
      <c r="AG68" s="127">
        <f>VLOOKUP($O68,'NO USAR1'!$A$4:$L$403,5,False)*$X$19</f>
        <v>0.4875835225</v>
      </c>
      <c r="AH68" s="127">
        <f>VLOOKUP($O68,'NO USAR1'!$A$4:$L$403,6,False)*$Y$19</f>
        <v>-0.2064205728</v>
      </c>
      <c r="AI68" s="127">
        <f>VLOOKUP($O68,'NO USAR1'!$A$4:$L$403,7,False)*$Z$19</f>
        <v>-0.5270142365</v>
      </c>
      <c r="AJ68" s="127">
        <f>VLOOKUP($O68,'NO USAR1'!$A$4:$L$403,8,False)*$AA$19</f>
        <v>-0.9818243506</v>
      </c>
      <c r="AK68" s="132">
        <f>VLOOKUP($O68,'NO USAR1'!$A$4:$L$403,10,False)*$AB$19</f>
        <v>1.070383657</v>
      </c>
      <c r="AL68" s="127">
        <f>VLOOKUP($O68,'NO USAR1'!$A$4:$L$403,12,False)*$AC$19</f>
        <v>-0.3431646016</v>
      </c>
      <c r="AM68" s="133">
        <f t="shared" si="2"/>
        <v>-1.085248232</v>
      </c>
      <c r="AN68" s="133">
        <f t="shared" si="3"/>
        <v>-2.067072583</v>
      </c>
    </row>
    <row r="69">
      <c r="A69" s="118" t="str">
        <f>IF(Update!B67="",ROW(Update!B67),Update!B67)</f>
        <v>Jalen Williams</v>
      </c>
      <c r="B69" s="119">
        <f>IF(TYPE($A69)=1,"",(Update!$L67-B$1)/B$2)</f>
        <v>-0.3803078573</v>
      </c>
      <c r="C69" s="119">
        <f>IF(TYPE($A69)=1,"",(Update!$K67-C$1)/C$2)</f>
        <v>-0.6211211385</v>
      </c>
      <c r="D69" s="119">
        <f>IF(TYPE($A69)=1,"",(Update!$M67-D$1)/D$2)</f>
        <v>-0.5416484242</v>
      </c>
      <c r="E69" s="119">
        <f>IF(TYPE($A69)=1,"",(Update!$N67-E$1)/E$2)</f>
        <v>-0.1594986038</v>
      </c>
      <c r="F69" s="119">
        <f>IF(TYPE($A69)=1,"",(Update!$O67-F$1)/F$2)</f>
        <v>1.574112617</v>
      </c>
      <c r="G69" s="119">
        <f>IF(TYPE($A69)=1,"",(Update!$P67-G$1)/G$2)</f>
        <v>-0.3776893674</v>
      </c>
      <c r="H69" s="119">
        <f>IF(TYPE($A69)=1,"",(Update!$H67-H$1)/H$2*I69/$I$1)</f>
        <v>0.3828698479</v>
      </c>
      <c r="I69" s="119">
        <f>IF(TYPE($A69)=1,"",IF(Update!H67=0,0,Update!G67/Update!H67))</f>
        <v>11.2</v>
      </c>
      <c r="J69" s="120">
        <f>IF(TYPE($A69)=1,"",(Update!$J67-J$1)/J$2*K69/$K$1)</f>
        <v>0.2101948116</v>
      </c>
      <c r="K69" s="121">
        <f>IF(TYPE($A69)=1,"",IF(Update!J67=0,0,Update!I67/Update!J67))</f>
        <v>2.7</v>
      </c>
      <c r="L69" s="119">
        <f>IF(TYPE($A69)=1,"",-(Update!$Q67-L$1)/L$2)</f>
        <v>0.365931855</v>
      </c>
      <c r="N69" s="124">
        <v>49.0</v>
      </c>
      <c r="O69" s="130" t="str">
        <f>IF(Update!B43="",ROW(Update!B43),Update!B43)</f>
        <v>Evan Mobley</v>
      </c>
      <c r="P69" s="131">
        <f>Update!E43</f>
        <v>76</v>
      </c>
      <c r="Q69" s="131" t="str">
        <f>IF(Update!C43="",ROW(Update!N58),Update!C43)</f>
        <v>PF,C</v>
      </c>
      <c r="R69" s="127">
        <f>VLOOKUP($O69,'NO USAR1'!$A$4:$L$403,2,False)+VLOOKUP($O69,'NO USAR1'!$A$4:$L$403,3,False)+VLOOKUP($O69,'NO USAR1'!$A$4:$L$403,4,False)+VLOOKUP($O69,'NO USAR1'!$A$4:$L$403,5,False)+VLOOKUP($O69,'NO USAR1'!$A$4:$L$403,6,False)+VLOOKUP($O69,'NO USAR1'!$A$4:$L$403,7,False)+VLOOKUP($O69,'NO USAR1'!$A$4:$L$403,8,False)+VLOOKUP($O69,'NO USAR1'!$A$4:$L$403,10,False)+VLOOKUP($O69,'NO USAR1'!$A$4:$L$403,12,False)*0</f>
        <v>0.5259254436</v>
      </c>
      <c r="S69" s="127">
        <f>VLOOKUP($O69,'NO USAR1'!$A$4:$L$403,2,False)*$U$19+VLOOKUP($O69,'NO USAR1'!$A$4:$L$403,3,False)*$V$19+VLOOKUP($O69,'NO USAR1'!$A$4:$L$403,4,False)*$W$19+VLOOKUP($O69,'NO USAR1'!$A$4:$L$403,5,False)*$X$19+VLOOKUP($O69,'NO USAR1'!$A$4:$L$403,6,False)*$Y$19+VLOOKUP($O69,'NO USAR1'!$A$4:$L$403,7,False)*$Z$19+VLOOKUP($O69,'NO USAR1'!$A$4:$L$403,8,False)*$AA$19+VLOOKUP($O69,'NO USAR1'!$A$4:$L$403,10,False)*$AB$19+VLOOKUP($O69,'NO USAR1'!$A$4:$L$403,12,False)*$AC$19+IF(Projections!$K$3,-AN69, IF(Projections!$J$3,-AM69,0))</f>
        <v>1.54139914</v>
      </c>
      <c r="T69" s="127">
        <f t="shared" si="1"/>
        <v>1.015473696</v>
      </c>
      <c r="U69" s="127">
        <f>VLOOKUP($O69,Update!$B$2:$R$401,11,False)</f>
        <v>17.2</v>
      </c>
      <c r="V69" s="122">
        <f>VLOOKUP($O69,Update!$B$2:$R$401,10,False)</f>
        <v>0.3</v>
      </c>
      <c r="W69" s="127">
        <f>VLOOKUP($O69,Update!$B$2:$R$401,12,False)</f>
        <v>9.3</v>
      </c>
      <c r="X69" s="127">
        <f>VLOOKUP($O69,Update!$B$2:$R$401,13,False)</f>
        <v>2.9</v>
      </c>
      <c r="Y69" s="127">
        <f>VLOOKUP($O69,Update!$B$2:$R$401,14,False)</f>
        <v>0.9</v>
      </c>
      <c r="Z69" s="132">
        <f>VLOOKUP($O69,Update!$B$2:$R$401,15,False)</f>
        <v>1.7</v>
      </c>
      <c r="AA69" s="127">
        <f>100*VLOOKUP($O69,Update!$B$2:$R$401,7,False)</f>
        <v>55.03875969</v>
      </c>
      <c r="AB69" s="127">
        <f>100*VLOOKUP($O69,Update!$B$2:$R$401,9,False)</f>
        <v>67.5</v>
      </c>
      <c r="AC69" s="127">
        <f>VLOOKUP($O69,Update!$B$2:$Q$401,16,False)</f>
        <v>1.9</v>
      </c>
      <c r="AD69" s="127">
        <f>VLOOKUP($O69,'NO USAR1'!$A$4:$L$403,2,False)*$U$19</f>
        <v>-0.009549828028</v>
      </c>
      <c r="AE69" s="127">
        <f>VLOOKUP($O69,'NO USAR1'!$A$4:$L$403,3,False)*$V$19</f>
        <v>-1.165999176</v>
      </c>
      <c r="AF69" s="127">
        <f>VLOOKUP($O69,'NO USAR1'!$A$4:$L$403,4,False)*$W$19</f>
        <v>1.340043219</v>
      </c>
      <c r="AG69" s="127">
        <f>VLOOKUP($O69,'NO USAR1'!$A$4:$L$403,5,False)*$X$19</f>
        <v>-0.4814632272</v>
      </c>
      <c r="AH69" s="127">
        <f>VLOOKUP($O69,'NO USAR1'!$A$4:$L$403,6,False)*$Y$19</f>
        <v>-0.2064205728</v>
      </c>
      <c r="AI69" s="127">
        <f>VLOOKUP($O69,'NO USAR1'!$A$4:$L$403,7,False)*$Z$19</f>
        <v>1.311407519</v>
      </c>
      <c r="AJ69" s="127">
        <f>VLOOKUP($O69,'NO USAR1'!$A$4:$L$403,8,False)*$AA$19</f>
        <v>0.7010043468</v>
      </c>
      <c r="AK69" s="132">
        <f>VLOOKUP($O69,'NO USAR1'!$A$4:$L$403,10,False)*$AB$19</f>
        <v>-1.143012771</v>
      </c>
      <c r="AL69" s="127">
        <f>VLOOKUP($O69,'NO USAR1'!$A$4:$L$403,12,False)*$AC$19</f>
        <v>0.02939045442</v>
      </c>
      <c r="AM69" s="133">
        <f t="shared" si="2"/>
        <v>-1.165999176</v>
      </c>
      <c r="AN69" s="133">
        <f t="shared" si="3"/>
        <v>-2.309011947</v>
      </c>
    </row>
    <row r="70">
      <c r="A70" s="118" t="str">
        <f>IF(Update!B68="",ROW(Update!B68),Update!B68)</f>
        <v>OG Anunoby</v>
      </c>
      <c r="B70" s="119">
        <f>IF(TYPE($A70)=1,"",(Update!$L68-B$1)/B$2)</f>
        <v>-0.1949288427</v>
      </c>
      <c r="C70" s="119">
        <f>IF(TYPE($A70)=1,"",(Update!$K68-C$1)/C$2)</f>
        <v>0.4387029344</v>
      </c>
      <c r="D70" s="119">
        <f>IF(TYPE($A70)=1,"",(Update!$M68-D$1)/D$2)</f>
        <v>-0.4998330543</v>
      </c>
      <c r="E70" s="119">
        <f>IF(TYPE($A70)=1,"",(Update!$N68-E$1)/E$2)</f>
        <v>-0.8086208285</v>
      </c>
      <c r="F70" s="119">
        <f>IF(TYPE($A70)=1,"",(Update!$O68-F$1)/F$2)</f>
        <v>1.885612475</v>
      </c>
      <c r="G70" s="119">
        <f>IF(TYPE($A70)=1,"",(Update!$P68-G$1)/G$2)</f>
        <v>-0.1900953108</v>
      </c>
      <c r="H70" s="119">
        <f>IF(TYPE($A70)=1,"",(Update!$H68-H$1)/H$2*I70/$I$1)</f>
        <v>-0.552034984</v>
      </c>
      <c r="I70" s="119">
        <f>IF(TYPE($A70)=1,"",IF(Update!H68=0,0,Update!G68/Update!H68))</f>
        <v>13.1</v>
      </c>
      <c r="J70" s="120">
        <f>IF(TYPE($A70)=1,"",(Update!$J68-J$1)/J$2*K70/$K$1)</f>
        <v>0.01397569163</v>
      </c>
      <c r="K70" s="121">
        <f>IF(TYPE($A70)=1,"",IF(Update!J68=0,0,Update!I68/Update!J68))</f>
        <v>2.4</v>
      </c>
      <c r="L70" s="119">
        <f>IF(TYPE($A70)=1,"",-(Update!$Q68-L$1)/L$2)</f>
        <v>0.2417468363</v>
      </c>
      <c r="N70" s="33">
        <v>50.0</v>
      </c>
      <c r="O70" s="130" t="str">
        <f>IF(Update!B62="",ROW(Update!B62),Update!B62)</f>
        <v>Anfernee Simons</v>
      </c>
      <c r="P70" s="131">
        <f>Update!E62</f>
        <v>65</v>
      </c>
      <c r="Q70" s="131" t="str">
        <f>IF(Update!C62="",ROW(Update!N77),Update!C62)</f>
        <v>PG,SG</v>
      </c>
      <c r="R70" s="127">
        <f>VLOOKUP($O70,'NO USAR1'!$A$4:$L$403,2,False)+VLOOKUP($O70,'NO USAR1'!$A$4:$L$403,3,False)+VLOOKUP($O70,'NO USAR1'!$A$4:$L$403,4,False)+VLOOKUP($O70,'NO USAR1'!$A$4:$L$403,5,False)+VLOOKUP($O70,'NO USAR1'!$A$4:$L$403,6,False)+VLOOKUP($O70,'NO USAR1'!$A$4:$L$403,7,False)+VLOOKUP($O70,'NO USAR1'!$A$4:$L$403,8,False)+VLOOKUP($O70,'NO USAR1'!$A$4:$L$403,10,False)+VLOOKUP($O70,'NO USAR1'!$A$4:$L$403,12,False)*0</f>
        <v>0.4196841817</v>
      </c>
      <c r="S70" s="127">
        <f>VLOOKUP($O70,'NO USAR1'!$A$4:$L$403,2,False)*$U$19+VLOOKUP($O70,'NO USAR1'!$A$4:$L$403,3,False)*$V$19+VLOOKUP($O70,'NO USAR1'!$A$4:$L$403,4,False)*$W$19+VLOOKUP($O70,'NO USAR1'!$A$4:$L$403,5,False)*$X$19+VLOOKUP($O70,'NO USAR1'!$A$4:$L$403,6,False)*$Y$19+VLOOKUP($O70,'NO USAR1'!$A$4:$L$403,7,False)*$Z$19+VLOOKUP($O70,'NO USAR1'!$A$4:$L$403,8,False)*$AA$19+VLOOKUP($O70,'NO USAR1'!$A$4:$L$403,10,False)*$AB$19+VLOOKUP($O70,'NO USAR1'!$A$4:$L$403,12,False)*$AC$19+IF(Projections!$K$3,-AN70, IF(Projections!$J$3,-AM70,0))</f>
        <v>1.989698879</v>
      </c>
      <c r="T70" s="127">
        <f t="shared" si="1"/>
        <v>1.570014698</v>
      </c>
      <c r="U70" s="127">
        <f>VLOOKUP($O70,Update!$B$2:$R$401,11,False)</f>
        <v>21.6</v>
      </c>
      <c r="V70" s="122">
        <f>VLOOKUP($O70,Update!$B$2:$R$401,10,False)</f>
        <v>3.7</v>
      </c>
      <c r="W70" s="127">
        <f>VLOOKUP($O70,Update!$B$2:$R$401,12,False)</f>
        <v>2.9</v>
      </c>
      <c r="X70" s="127">
        <f>VLOOKUP($O70,Update!$B$2:$R$401,13,False)</f>
        <v>5.4</v>
      </c>
      <c r="Y70" s="127">
        <f>VLOOKUP($O70,Update!$B$2:$R$401,14,False)</f>
        <v>0.7</v>
      </c>
      <c r="Z70" s="132">
        <f>VLOOKUP($O70,Update!$B$2:$R$401,15,False)</f>
        <v>0.2</v>
      </c>
      <c r="AA70" s="127">
        <f>100*VLOOKUP($O70,Update!$B$2:$R$401,7,False)</f>
        <v>44.37869822</v>
      </c>
      <c r="AB70" s="127">
        <f>100*VLOOKUP($O70,Update!$B$2:$R$401,9,False)</f>
        <v>90.625</v>
      </c>
      <c r="AC70" s="127">
        <f>VLOOKUP($O70,Update!$B$2:$Q$401,16,False)</f>
        <v>2.2</v>
      </c>
      <c r="AD70" s="127">
        <f>VLOOKUP($O70,'NO USAR1'!$A$4:$L$403,2,False)*$U$19</f>
        <v>0.7319662306</v>
      </c>
      <c r="AE70" s="127">
        <f>VLOOKUP($O70,'NO USAR1'!$A$4:$L$403,3,False)*$V$19</f>
        <v>1.7822387</v>
      </c>
      <c r="AF70" s="127">
        <f>VLOOKUP($O70,'NO USAR1'!$A$4:$L$403,4,False)*$W$19</f>
        <v>-1.336140451</v>
      </c>
      <c r="AG70" s="127">
        <f>VLOOKUP($O70,'NO USAR1'!$A$4:$L$403,5,False)*$X$19</f>
        <v>0.7935982856</v>
      </c>
      <c r="AH70" s="127">
        <f>VLOOKUP($O70,'NO USAR1'!$A$4:$L$403,6,False)*$Y$19</f>
        <v>-0.6425203744</v>
      </c>
      <c r="AI70" s="127">
        <f>VLOOKUP($O70,'NO USAR1'!$A$4:$L$403,7,False)*$Z$19</f>
        <v>-0.6583300762</v>
      </c>
      <c r="AJ70" s="127">
        <f>VLOOKUP($O70,'NO USAR1'!$A$4:$L$403,8,False)*$AA$19</f>
        <v>-0.8811356449</v>
      </c>
      <c r="AK70" s="132">
        <f>VLOOKUP($O70,'NO USAR1'!$A$4:$L$403,10,False)*$AB$19</f>
        <v>0.9276300682</v>
      </c>
      <c r="AL70" s="127">
        <f>VLOOKUP($O70,'NO USAR1'!$A$4:$L$403,12,False)*$AC$19</f>
        <v>-0.06374830958</v>
      </c>
      <c r="AM70" s="133">
        <f t="shared" si="2"/>
        <v>-1.336140451</v>
      </c>
      <c r="AN70" s="133">
        <f t="shared" si="3"/>
        <v>-2.217276096</v>
      </c>
    </row>
    <row r="71">
      <c r="A71" s="118" t="str">
        <f>IF(Update!B69="",ROW(Update!B69),Update!B69)</f>
        <v>Mark Williams</v>
      </c>
      <c r="B71" s="119">
        <f>IF(TYPE($A71)=1,"",(Update!$L69-B$1)/B$2)</f>
        <v>-0.784771162</v>
      </c>
      <c r="C71" s="119">
        <f>IF(TYPE($A71)=1,"",(Update!$K69-C$1)/C$2)</f>
        <v>-1.584597568</v>
      </c>
      <c r="D71" s="119">
        <f>IF(TYPE($A71)=1,"",(Update!$M69-D$1)/D$2)</f>
        <v>1.590935438</v>
      </c>
      <c r="E71" s="119">
        <f>IF(TYPE($A71)=1,"",(Update!$N69-E$1)/E$2)</f>
        <v>-1.504108926</v>
      </c>
      <c r="F71" s="119">
        <f>IF(TYPE($A71)=1,"",(Update!$O69-F$1)/F$2)</f>
        <v>-0.2948865325</v>
      </c>
      <c r="G71" s="119">
        <f>IF(TYPE($A71)=1,"",(Update!$P69-G$1)/G$2)</f>
        <v>1.310657143</v>
      </c>
      <c r="H71" s="119">
        <f>IF(TYPE($A71)=1,"",(Update!$H69-H$1)/H$2*I71/$I$1)</f>
        <v>1.257379828</v>
      </c>
      <c r="I71" s="119">
        <f>IF(TYPE($A71)=1,"",IF(Update!H69=0,0,Update!G69/Update!H69))</f>
        <v>8.2</v>
      </c>
      <c r="J71" s="120">
        <f>IF(TYPE($A71)=1,"",(Update!$J69-J$1)/J$2*K71/$K$1)</f>
        <v>-1.01855059</v>
      </c>
      <c r="K71" s="121">
        <f>IF(TYPE($A71)=1,"",IF(Update!J69=0,0,Update!I69/Update!J69))</f>
        <v>3.2</v>
      </c>
      <c r="L71" s="119">
        <f>IF(TYPE($A71)=1,"",-(Update!$Q69-L$1)/L$2)</f>
        <v>0.8626719296</v>
      </c>
      <c r="N71" s="124">
        <v>51.0</v>
      </c>
      <c r="O71" s="130" t="str">
        <f>IF(Update!B64="",ROW(Update!B64),Update!B64)</f>
        <v>Devin Vassell</v>
      </c>
      <c r="P71" s="131">
        <f>Update!E64</f>
        <v>69</v>
      </c>
      <c r="Q71" s="131" t="str">
        <f>IF(Update!C64="",ROW(Update!N79),Update!C64)</f>
        <v>SG,SF</v>
      </c>
      <c r="R71" s="127">
        <f>VLOOKUP($O71,'NO USAR1'!$A$4:$L$403,2,False)+VLOOKUP($O71,'NO USAR1'!$A$4:$L$403,3,False)+VLOOKUP($O71,'NO USAR1'!$A$4:$L$403,4,False)+VLOOKUP($O71,'NO USAR1'!$A$4:$L$403,5,False)+VLOOKUP($O71,'NO USAR1'!$A$4:$L$403,6,False)+VLOOKUP($O71,'NO USAR1'!$A$4:$L$403,7,False)+VLOOKUP($O71,'NO USAR1'!$A$4:$L$403,8,False)+VLOOKUP($O71,'NO USAR1'!$A$4:$L$403,10,False)+VLOOKUP($O71,'NO USAR1'!$A$4:$L$403,12,False)*0</f>
        <v>0.3066656609</v>
      </c>
      <c r="S71" s="127">
        <f>VLOOKUP($O71,'NO USAR1'!$A$4:$L$403,2,False)*$U$19+VLOOKUP($O71,'NO USAR1'!$A$4:$L$403,3,False)*$V$19+VLOOKUP($O71,'NO USAR1'!$A$4:$L$403,4,False)*$W$19+VLOOKUP($O71,'NO USAR1'!$A$4:$L$403,5,False)*$X$19+VLOOKUP($O71,'NO USAR1'!$A$4:$L$403,6,False)*$Y$19+VLOOKUP($O71,'NO USAR1'!$A$4:$L$403,7,False)*$Z$19+VLOOKUP($O71,'NO USAR1'!$A$4:$L$403,8,False)*$AA$19+VLOOKUP($O71,'NO USAR1'!$A$4:$L$403,10,False)*$AB$19+VLOOKUP($O71,'NO USAR1'!$A$4:$L$403,12,False)*$AC$19+IF(Projections!$K$3,-AN71, IF(Projections!$J$3,-AM71,0))</f>
        <v>1.325381197</v>
      </c>
      <c r="T71" s="127">
        <f t="shared" si="1"/>
        <v>1.018715536</v>
      </c>
      <c r="U71" s="127">
        <f>VLOOKUP($O71,Update!$B$2:$R$401,11,False)</f>
        <v>18.3</v>
      </c>
      <c r="V71" s="122">
        <f>VLOOKUP($O71,Update!$B$2:$R$401,10,False)</f>
        <v>2.9</v>
      </c>
      <c r="W71" s="127">
        <f>VLOOKUP($O71,Update!$B$2:$R$401,12,False)</f>
        <v>4.3</v>
      </c>
      <c r="X71" s="127">
        <f>VLOOKUP($O71,Update!$B$2:$R$401,13,False)</f>
        <v>3.8</v>
      </c>
      <c r="Y71" s="127">
        <f>VLOOKUP($O71,Update!$B$2:$R$401,14,False)</f>
        <v>1.2</v>
      </c>
      <c r="Z71" s="132">
        <f>VLOOKUP($O71,Update!$B$2:$R$401,15,False)</f>
        <v>0.6</v>
      </c>
      <c r="AA71" s="127">
        <f>100*VLOOKUP($O71,Update!$B$2:$R$401,7,False)</f>
        <v>43.04635762</v>
      </c>
      <c r="AB71" s="127">
        <f>100*VLOOKUP($O71,Update!$B$2:$R$401,9,False)</f>
        <v>82.75862069</v>
      </c>
      <c r="AC71" s="127">
        <f>VLOOKUP($O71,Update!$B$2:$Q$401,16,False)</f>
        <v>1.2</v>
      </c>
      <c r="AD71" s="127">
        <f>VLOOKUP($O71,'NO USAR1'!$A$4:$L$403,2,False)*$U$19</f>
        <v>0.1758291866</v>
      </c>
      <c r="AE71" s="127">
        <f>VLOOKUP($O71,'NO USAR1'!$A$4:$L$403,3,False)*$V$19</f>
        <v>1.088535671</v>
      </c>
      <c r="AF71" s="127">
        <f>VLOOKUP($O71,'NO USAR1'!$A$4:$L$403,4,False)*$W$19</f>
        <v>-0.7507252735</v>
      </c>
      <c r="AG71" s="127">
        <f>VLOOKUP($O71,'NO USAR1'!$A$4:$L$403,5,False)*$X$19</f>
        <v>-0.02244108263</v>
      </c>
      <c r="AH71" s="127">
        <f>VLOOKUP($O71,'NO USAR1'!$A$4:$L$403,6,False)*$Y$19</f>
        <v>0.4477291296</v>
      </c>
      <c r="AI71" s="127">
        <f>VLOOKUP($O71,'NO USAR1'!$A$4:$L$403,7,False)*$Z$19</f>
        <v>-0.1330667175</v>
      </c>
      <c r="AJ71" s="127">
        <f>VLOOKUP($O71,'NO USAR1'!$A$4:$L$403,8,False)*$AA$19</f>
        <v>-0.9882419726</v>
      </c>
      <c r="AK71" s="132">
        <f>VLOOKUP($O71,'NO USAR1'!$A$4:$L$403,10,False)*$AB$19</f>
        <v>0.2728060466</v>
      </c>
      <c r="AL71" s="127">
        <f>VLOOKUP($O71,'NO USAR1'!$A$4:$L$403,12,False)*$AC$19</f>
        <v>0.2467142371</v>
      </c>
      <c r="AM71" s="133">
        <f t="shared" si="2"/>
        <v>-0.9882419726</v>
      </c>
      <c r="AN71" s="133">
        <f t="shared" si="3"/>
        <v>-1.738967246</v>
      </c>
    </row>
    <row r="72">
      <c r="A72" s="118" t="str">
        <f>IF(Update!B70="",ROW(Update!B70),Update!B70)</f>
        <v>Khris Middleton</v>
      </c>
      <c r="B72" s="119">
        <f>IF(TYPE($A72)=1,"",(Update!$L70-B$1)/B$2)</f>
        <v>0.05786072276</v>
      </c>
      <c r="C72" s="119">
        <f>IF(TYPE($A72)=1,"",(Update!$K70-C$1)/C$2)</f>
        <v>0.3423552914</v>
      </c>
      <c r="D72" s="119">
        <f>IF(TYPE($A72)=1,"",(Update!$M70-D$1)/D$2)</f>
        <v>-0.4998330543</v>
      </c>
      <c r="E72" s="119">
        <f>IF(TYPE($A72)=1,"",(Update!$N70-E$1)/E$2)</f>
        <v>0.1186966354</v>
      </c>
      <c r="F72" s="119">
        <f>IF(TYPE($A72)=1,"",(Update!$O70-F$1)/F$2)</f>
        <v>0.3281131841</v>
      </c>
      <c r="G72" s="119">
        <f>IF(TYPE($A72)=1,"",(Update!$P70-G$1)/G$2)</f>
        <v>-0.7528774808</v>
      </c>
      <c r="H72" s="119">
        <f>IF(TYPE($A72)=1,"",(Update!$H70-H$1)/H$2*I72/$I$1)</f>
        <v>-0.714501475</v>
      </c>
      <c r="I72" s="119">
        <f>IF(TYPE($A72)=1,"",IF(Update!H70=0,0,Update!G70/Update!H70))</f>
        <v>14</v>
      </c>
      <c r="J72" s="120">
        <f>IF(TYPE($A72)=1,"",(Update!$J70-J$1)/J$2*K72/$K$1)</f>
        <v>1.290350332</v>
      </c>
      <c r="K72" s="121">
        <f>IF(TYPE($A72)=1,"",IF(Update!J70=0,0,Update!I70/Update!J70))</f>
        <v>3.4</v>
      </c>
      <c r="L72" s="119">
        <f>IF(TYPE($A72)=1,"",-(Update!$Q70-L$1)/L$2)</f>
        <v>-0.5033632756</v>
      </c>
      <c r="N72" s="124">
        <v>52.0</v>
      </c>
      <c r="O72" s="130" t="str">
        <f>IF(Update!B46="",ROW(Update!B46),Update!B46)</f>
        <v>Tyrese Maxey</v>
      </c>
      <c r="P72" s="131">
        <f>Update!E46</f>
        <v>70</v>
      </c>
      <c r="Q72" s="131" t="str">
        <f>IF(Update!C46="",ROW(Update!N61),Update!C46)</f>
        <v>PG,SG</v>
      </c>
      <c r="R72" s="127">
        <f>VLOOKUP($O72,'NO USAR1'!$A$4:$L$403,2,False)+VLOOKUP($O72,'NO USAR1'!$A$4:$L$403,3,False)+VLOOKUP($O72,'NO USAR1'!$A$4:$L$403,4,False)+VLOOKUP($O72,'NO USAR1'!$A$4:$L$403,5,False)+VLOOKUP($O72,'NO USAR1'!$A$4:$L$403,6,False)+VLOOKUP($O72,'NO USAR1'!$A$4:$L$403,7,False)+VLOOKUP($O72,'NO USAR1'!$A$4:$L$403,8,False)+VLOOKUP($O72,'NO USAR1'!$A$4:$L$403,10,False)+VLOOKUP($O72,'NO USAR1'!$A$4:$L$403,12,False)*0</f>
        <v>0.3024381592</v>
      </c>
      <c r="S72" s="127">
        <f>VLOOKUP($O72,'NO USAR1'!$A$4:$L$403,2,False)*$U$19+VLOOKUP($O72,'NO USAR1'!$A$4:$L$403,3,False)*$V$19+VLOOKUP($O72,'NO USAR1'!$A$4:$L$403,4,False)*$W$19+VLOOKUP($O72,'NO USAR1'!$A$4:$L$403,5,False)*$X$19+VLOOKUP($O72,'NO USAR1'!$A$4:$L$403,6,False)*$Y$19+VLOOKUP($O72,'NO USAR1'!$A$4:$L$403,7,False)*$Z$19+VLOOKUP($O72,'NO USAR1'!$A$4:$L$403,8,False)*$AA$19+VLOOKUP($O72,'NO USAR1'!$A$4:$L$403,10,False)*$AB$19+VLOOKUP($O72,'NO USAR1'!$A$4:$L$403,12,False)*$AC$19+IF(Projections!$K$3,-AN72, IF(Projections!$J$3,-AM72,0))</f>
        <v>1.854891168</v>
      </c>
      <c r="T72" s="127">
        <f t="shared" si="1"/>
        <v>1.552453009</v>
      </c>
      <c r="U72" s="127">
        <f>VLOOKUP($O72,Update!$B$2:$R$401,11,False)</f>
        <v>21.5</v>
      </c>
      <c r="V72" s="122">
        <f>VLOOKUP($O72,Update!$B$2:$R$401,10,False)</f>
        <v>2.9</v>
      </c>
      <c r="W72" s="127">
        <f>VLOOKUP($O72,Update!$B$2:$R$401,12,False)</f>
        <v>3.3</v>
      </c>
      <c r="X72" s="127">
        <f>VLOOKUP($O72,Update!$B$2:$R$401,13,False)</f>
        <v>4.4</v>
      </c>
      <c r="Y72" s="127">
        <f>VLOOKUP($O72,Update!$B$2:$R$401,14,False)</f>
        <v>0.8</v>
      </c>
      <c r="Z72" s="132">
        <f>VLOOKUP($O72,Update!$B$2:$R$401,15,False)</f>
        <v>0.3</v>
      </c>
      <c r="AA72" s="127">
        <f>100*VLOOKUP($O72,Update!$B$2:$R$401,7,False)</f>
        <v>48.75</v>
      </c>
      <c r="AB72" s="127">
        <f>100*VLOOKUP($O72,Update!$B$2:$R$401,9,False)</f>
        <v>86.11111111</v>
      </c>
      <c r="AC72" s="127">
        <f>VLOOKUP($O72,Update!$B$2:$Q$401,16,False)</f>
        <v>1.3</v>
      </c>
      <c r="AD72" s="127">
        <f>VLOOKUP($O72,'NO USAR1'!$A$4:$L$403,2,False)*$U$19</f>
        <v>0.7151135929</v>
      </c>
      <c r="AE72" s="127">
        <f>VLOOKUP($O72,'NO USAR1'!$A$4:$L$403,3,False)*$V$19</f>
        <v>1.088535671</v>
      </c>
      <c r="AF72" s="127">
        <f>VLOOKUP($O72,'NO USAR1'!$A$4:$L$403,4,False)*$W$19</f>
        <v>-1.168878972</v>
      </c>
      <c r="AG72" s="127">
        <f>VLOOKUP($O72,'NO USAR1'!$A$4:$L$403,5,False)*$X$19</f>
        <v>0.2835736804</v>
      </c>
      <c r="AH72" s="127">
        <f>VLOOKUP($O72,'NO USAR1'!$A$4:$L$403,6,False)*$Y$19</f>
        <v>-0.4244704736</v>
      </c>
      <c r="AI72" s="127">
        <f>VLOOKUP($O72,'NO USAR1'!$A$4:$L$403,7,False)*$Z$19</f>
        <v>-0.5270142365</v>
      </c>
      <c r="AJ72" s="127">
        <f>VLOOKUP($O72,'NO USAR1'!$A$4:$L$403,8,False)*$AA$19</f>
        <v>-0.1355967854</v>
      </c>
      <c r="AK72" s="132">
        <f>VLOOKUP($O72,'NO USAR1'!$A$4:$L$403,10,False)*$AB$19</f>
        <v>0.6390817371</v>
      </c>
      <c r="AL72" s="127">
        <f>VLOOKUP($O72,'NO USAR1'!$A$4:$L$403,12,False)*$AC$19</f>
        <v>0.2156679824</v>
      </c>
      <c r="AM72" s="133">
        <f t="shared" si="2"/>
        <v>-1.168878972</v>
      </c>
      <c r="AN72" s="133">
        <f t="shared" si="3"/>
        <v>-1.695893209</v>
      </c>
    </row>
    <row r="73">
      <c r="A73" s="118" t="str">
        <f>IF(Update!B71="",ROW(Update!B71),Update!B71)</f>
        <v>Julius Randle</v>
      </c>
      <c r="B73" s="119">
        <f>IF(TYPE($A73)=1,"",(Update!$L71-B$1)/B$2)</f>
        <v>0.9510505206</v>
      </c>
      <c r="C73" s="119">
        <f>IF(TYPE($A73)=1,"",(Update!$K71-C$1)/C$2)</f>
        <v>0.6313982204</v>
      </c>
      <c r="D73" s="119">
        <f>IF(TYPE($A73)=1,"",(Update!$M71-D$1)/D$2)</f>
        <v>1.632750808</v>
      </c>
      <c r="E73" s="119">
        <f>IF(TYPE($A73)=1,"",(Update!$N71-E$1)/E$2)</f>
        <v>0.3968918745</v>
      </c>
      <c r="F73" s="119">
        <f>IF(TYPE($A73)=1,"",(Update!$O71-F$1)/F$2)</f>
        <v>-0.9178862491</v>
      </c>
      <c r="G73" s="119">
        <f>IF(TYPE($A73)=1,"",(Update!$P71-G$1)/G$2)</f>
        <v>-0.5652834241</v>
      </c>
      <c r="H73" s="119">
        <f>IF(TYPE($A73)=1,"",(Update!$H71-H$1)/H$2*I73/$I$1)</f>
        <v>-0.865380593</v>
      </c>
      <c r="I73" s="119">
        <f>IF(TYPE($A73)=1,"",IF(Update!H71=0,0,Update!G71/Update!H71))</f>
        <v>17.5</v>
      </c>
      <c r="J73" s="120">
        <f>IF(TYPE($A73)=1,"",(Update!$J71-J$1)/J$2*K73/$K$1)</f>
        <v>-0.5467302849</v>
      </c>
      <c r="K73" s="121">
        <f>IF(TYPE($A73)=1,"",IF(Update!J71=0,0,Update!I71/Update!J71))</f>
        <v>6.3</v>
      </c>
      <c r="L73" s="119">
        <f>IF(TYPE($A73)=1,"",-(Update!$Q71-L$1)/L$2)</f>
        <v>-1.372658406</v>
      </c>
      <c r="N73" s="33">
        <v>53.0</v>
      </c>
      <c r="O73" s="130" t="str">
        <f>IF(Update!B76="",ROW(Update!B76),Update!B76)</f>
        <v>Terry Rozier</v>
      </c>
      <c r="P73" s="131">
        <f>Update!E76</f>
        <v>68</v>
      </c>
      <c r="Q73" s="131" t="str">
        <f>IF(Update!C76="",ROW(Update!N91),Update!C76)</f>
        <v>PG,SG</v>
      </c>
      <c r="R73" s="127">
        <f>VLOOKUP($O73,'NO USAR1'!$A$4:$L$403,2,False)+VLOOKUP($O73,'NO USAR1'!$A$4:$L$403,3,False)+VLOOKUP($O73,'NO USAR1'!$A$4:$L$403,4,False)+VLOOKUP($O73,'NO USAR1'!$A$4:$L$403,5,False)+VLOOKUP($O73,'NO USAR1'!$A$4:$L$403,6,False)+VLOOKUP($O73,'NO USAR1'!$A$4:$L$403,7,False)+VLOOKUP($O73,'NO USAR1'!$A$4:$L$403,8,False)+VLOOKUP($O73,'NO USAR1'!$A$4:$L$403,10,False)+VLOOKUP($O73,'NO USAR1'!$A$4:$L$403,12,False)*0</f>
        <v>0.2967024883</v>
      </c>
      <c r="S73" s="127">
        <f>VLOOKUP($O73,'NO USAR1'!$A$4:$L$403,2,False)*$U$19+VLOOKUP($O73,'NO USAR1'!$A$4:$L$403,3,False)*$V$19+VLOOKUP($O73,'NO USAR1'!$A$4:$L$403,4,False)*$W$19+VLOOKUP($O73,'NO USAR1'!$A$4:$L$403,5,False)*$X$19+VLOOKUP($O73,'NO USAR1'!$A$4:$L$403,6,False)*$Y$19+VLOOKUP($O73,'NO USAR1'!$A$4:$L$403,7,False)*$Z$19+VLOOKUP($O73,'NO USAR1'!$A$4:$L$403,8,False)*$AA$19+VLOOKUP($O73,'NO USAR1'!$A$4:$L$403,10,False)*$AB$19+VLOOKUP($O73,'NO USAR1'!$A$4:$L$403,12,False)*$AC$19+IF(Projections!$K$3,-AN73, IF(Projections!$J$3,-AM73,0))</f>
        <v>1.429562024</v>
      </c>
      <c r="T73" s="127">
        <f t="shared" si="1"/>
        <v>1.132859536</v>
      </c>
      <c r="U73" s="127">
        <f>VLOOKUP($O73,Update!$B$2:$R$401,11,False)</f>
        <v>19.6</v>
      </c>
      <c r="V73" s="122">
        <f>VLOOKUP($O73,Update!$B$2:$R$401,10,False)</f>
        <v>2.8</v>
      </c>
      <c r="W73" s="127">
        <f>VLOOKUP($O73,Update!$B$2:$R$401,12,False)</f>
        <v>4.1</v>
      </c>
      <c r="X73" s="127">
        <f>VLOOKUP($O73,Update!$B$2:$R$401,13,False)</f>
        <v>4.6</v>
      </c>
      <c r="Y73" s="127">
        <f>VLOOKUP($O73,Update!$B$2:$R$401,14,False)</f>
        <v>1.2</v>
      </c>
      <c r="Z73" s="132">
        <f>VLOOKUP($O73,Update!$B$2:$R$401,15,False)</f>
        <v>0.3</v>
      </c>
      <c r="AA73" s="127">
        <f>100*VLOOKUP($O73,Update!$B$2:$R$401,7,False)</f>
        <v>43.19526627</v>
      </c>
      <c r="AB73" s="127">
        <f>100*VLOOKUP($O73,Update!$B$2:$R$401,9,False)</f>
        <v>85.71428571</v>
      </c>
      <c r="AC73" s="127">
        <f>VLOOKUP($O73,Update!$B$2:$Q$401,16,False)</f>
        <v>1.7</v>
      </c>
      <c r="AD73" s="127">
        <f>VLOOKUP($O73,'NO USAR1'!$A$4:$L$403,2,False)*$U$19</f>
        <v>0.3949134767</v>
      </c>
      <c r="AE73" s="127">
        <f>VLOOKUP($O73,'NO USAR1'!$A$4:$L$403,3,False)*$V$19</f>
        <v>1.001822792</v>
      </c>
      <c r="AF73" s="127">
        <f>VLOOKUP($O73,'NO USAR1'!$A$4:$L$403,4,False)*$W$19</f>
        <v>-0.8343560132</v>
      </c>
      <c r="AG73" s="127">
        <f>VLOOKUP($O73,'NO USAR1'!$A$4:$L$403,5,False)*$X$19</f>
        <v>0.3855786015</v>
      </c>
      <c r="AH73" s="127">
        <f>VLOOKUP($O73,'NO USAR1'!$A$4:$L$403,6,False)*$Y$19</f>
        <v>0.4477291296</v>
      </c>
      <c r="AI73" s="127">
        <f>VLOOKUP($O73,'NO USAR1'!$A$4:$L$403,7,False)*$Z$19</f>
        <v>-0.5270142365</v>
      </c>
      <c r="AJ73" s="127">
        <f>VLOOKUP($O73,'NO USAR1'!$A$4:$L$403,8,False)*$AA$19</f>
        <v>-1.080908651</v>
      </c>
      <c r="AK73" s="132">
        <f>VLOOKUP($O73,'NO USAR1'!$A$4:$L$403,10,False)*$AB$19</f>
        <v>0.4694053108</v>
      </c>
      <c r="AL73" s="127">
        <f>VLOOKUP($O73,'NO USAR1'!$A$4:$L$403,12,False)*$AC$19</f>
        <v>0.09148296375</v>
      </c>
      <c r="AM73" s="133">
        <f t="shared" si="2"/>
        <v>-1.080908651</v>
      </c>
      <c r="AN73" s="133">
        <f t="shared" si="3"/>
        <v>-1.915264664</v>
      </c>
    </row>
    <row r="74">
      <c r="A74" s="118" t="str">
        <f>IF(Update!B72="",ROW(Update!B72),Update!B72)</f>
        <v>Josh Hart</v>
      </c>
      <c r="B74" s="119">
        <f>IF(TYPE($A74)=1,"",(Update!$L72-B$1)/B$2)</f>
        <v>-0.9195922636</v>
      </c>
      <c r="C74" s="119">
        <f>IF(TYPE($A74)=1,"",(Update!$K72-C$1)/C$2)</f>
        <v>-0.6211211385</v>
      </c>
      <c r="D74" s="119">
        <f>IF(TYPE($A74)=1,"",(Update!$M72-D$1)/D$2)</f>
        <v>0.5873665619</v>
      </c>
      <c r="E74" s="119">
        <f>IF(TYPE($A74)=1,"",(Update!$N72-E$1)/E$2)</f>
        <v>0.02596488899</v>
      </c>
      <c r="F74" s="119">
        <f>IF(TYPE($A74)=1,"",(Update!$O72-F$1)/F$2)</f>
        <v>1.262612759</v>
      </c>
      <c r="G74" s="119">
        <f>IF(TYPE($A74)=1,"",(Update!$P72-G$1)/G$2)</f>
        <v>-0.3776893674</v>
      </c>
      <c r="H74" s="119">
        <f>IF(TYPE($A74)=1,"",(Update!$H72-H$1)/H$2*I74/$I$1)</f>
        <v>0.2034679653</v>
      </c>
      <c r="I74" s="119">
        <f>IF(TYPE($A74)=1,"",IF(Update!H72=0,0,Update!G72/Update!H72))</f>
        <v>8.3</v>
      </c>
      <c r="J74" s="120">
        <f>IF(TYPE($A74)=1,"",(Update!$J72-J$1)/J$2*K74/$K$1)</f>
        <v>-0.5270524292</v>
      </c>
      <c r="K74" s="121">
        <f>IF(TYPE($A74)=1,"",IF(Update!J72=0,0,Update!I72/Update!J72))</f>
        <v>3</v>
      </c>
      <c r="L74" s="119">
        <f>IF(TYPE($A74)=1,"",-(Update!$Q72-L$1)/L$2)</f>
        <v>0.2417468363</v>
      </c>
      <c r="N74" s="124">
        <v>54.0</v>
      </c>
      <c r="O74" s="130" t="str">
        <f>IF(Update!B59="",ROW(Update!B59),Update!B59)</f>
        <v>Alperen Sengün</v>
      </c>
      <c r="P74" s="131">
        <f>Update!E59</f>
        <v>74</v>
      </c>
      <c r="Q74" s="131" t="str">
        <f>IF(Update!C59="",ROW(Update!N74),Update!C59)</f>
        <v>C</v>
      </c>
      <c r="R74" s="127">
        <f>VLOOKUP($O74,'NO USAR1'!$A$4:$L$403,2,False)+VLOOKUP($O74,'NO USAR1'!$A$4:$L$403,3,False)+VLOOKUP($O74,'NO USAR1'!$A$4:$L$403,4,False)+VLOOKUP($O74,'NO USAR1'!$A$4:$L$403,5,False)+VLOOKUP($O74,'NO USAR1'!$A$4:$L$403,6,False)+VLOOKUP($O74,'NO USAR1'!$A$4:$L$403,7,False)+VLOOKUP($O74,'NO USAR1'!$A$4:$L$403,8,False)+VLOOKUP($O74,'NO USAR1'!$A$4:$L$403,10,False)+VLOOKUP($O74,'NO USAR1'!$A$4:$L$403,12,False)*0</f>
        <v>0.2061432264</v>
      </c>
      <c r="S74" s="127">
        <f>VLOOKUP($O74,'NO USAR1'!$A$4:$L$403,2,False)*$U$19+VLOOKUP($O74,'NO USAR1'!$A$4:$L$403,3,False)*$V$19+VLOOKUP($O74,'NO USAR1'!$A$4:$L$403,4,False)*$W$19+VLOOKUP($O74,'NO USAR1'!$A$4:$L$403,5,False)*$X$19+VLOOKUP($O74,'NO USAR1'!$A$4:$L$403,6,False)*$Y$19+VLOOKUP($O74,'NO USAR1'!$A$4:$L$403,7,False)*$Z$19+VLOOKUP($O74,'NO USAR1'!$A$4:$L$403,8,False)*$AA$19+VLOOKUP($O74,'NO USAR1'!$A$4:$L$403,10,False)*$AB$19+VLOOKUP($O74,'NO USAR1'!$A$4:$L$403,12,False)*$AC$19+IF(Projections!$K$3,-AN74, IF(Projections!$J$3,-AM74,0))</f>
        <v>1.017024972</v>
      </c>
      <c r="T74" s="127">
        <f t="shared" si="1"/>
        <v>0.8108817459</v>
      </c>
      <c r="U74" s="127">
        <f>VLOOKUP($O74,Update!$B$2:$R$401,11,False)</f>
        <v>15.6</v>
      </c>
      <c r="V74" s="122">
        <f>VLOOKUP($O74,Update!$B$2:$R$401,10,False)</f>
        <v>0.5</v>
      </c>
      <c r="W74" s="127">
        <f>VLOOKUP($O74,Update!$B$2:$R$401,12,False)</f>
        <v>9.1</v>
      </c>
      <c r="X74" s="127">
        <f>VLOOKUP($O74,Update!$B$2:$R$401,13,False)</f>
        <v>4</v>
      </c>
      <c r="Y74" s="127">
        <f>VLOOKUP($O74,Update!$B$2:$R$401,14,False)</f>
        <v>1</v>
      </c>
      <c r="Z74" s="132">
        <f>VLOOKUP($O74,Update!$B$2:$R$401,15,False)</f>
        <v>1</v>
      </c>
      <c r="AA74" s="127">
        <f>100*VLOOKUP($O74,Update!$B$2:$R$401,7,False)</f>
        <v>54.54545455</v>
      </c>
      <c r="AB74" s="127">
        <f>100*VLOOKUP($O74,Update!$B$2:$R$401,9,False)</f>
        <v>72.09302326</v>
      </c>
      <c r="AC74" s="127">
        <f>VLOOKUP($O74,Update!$B$2:$Q$401,16,False)</f>
        <v>2.8</v>
      </c>
      <c r="AD74" s="127">
        <f>VLOOKUP($O74,'NO USAR1'!$A$4:$L$403,2,False)*$U$19</f>
        <v>-0.2791920312</v>
      </c>
      <c r="AE74" s="127">
        <f>VLOOKUP($O74,'NO USAR1'!$A$4:$L$403,3,False)*$V$19</f>
        <v>-0.9925734181</v>
      </c>
      <c r="AF74" s="127">
        <f>VLOOKUP($O74,'NO USAR1'!$A$4:$L$403,4,False)*$W$19</f>
        <v>1.25641248</v>
      </c>
      <c r="AG74" s="127">
        <f>VLOOKUP($O74,'NO USAR1'!$A$4:$L$403,5,False)*$X$19</f>
        <v>0.0795638384</v>
      </c>
      <c r="AH74" s="127">
        <f>VLOOKUP($O74,'NO USAR1'!$A$4:$L$403,6,False)*$Y$19</f>
        <v>0.01162932804</v>
      </c>
      <c r="AI74" s="127">
        <f>VLOOKUP($O74,'NO USAR1'!$A$4:$L$403,7,False)*$Z$19</f>
        <v>0.3921966412</v>
      </c>
      <c r="AJ74" s="127">
        <f>VLOOKUP($O74,'NO USAR1'!$A$4:$L$403,8,False)*$AA$19</f>
        <v>0.5435536662</v>
      </c>
      <c r="AK74" s="132">
        <f>VLOOKUP($O74,'NO USAR1'!$A$4:$L$403,10,False)*$AB$19</f>
        <v>-0.7371131124</v>
      </c>
      <c r="AL74" s="127">
        <f>VLOOKUP($O74,'NO USAR1'!$A$4:$L$403,12,False)*$AC$19</f>
        <v>-0.2500258376</v>
      </c>
      <c r="AM74" s="133">
        <f t="shared" si="2"/>
        <v>-0.9925734181</v>
      </c>
      <c r="AN74" s="133">
        <f t="shared" si="3"/>
        <v>-1.729686531</v>
      </c>
    </row>
    <row r="75">
      <c r="A75" s="118" t="str">
        <f>IF(Update!B73="",ROW(Update!B73),Update!B73)</f>
        <v>Tyler Herro</v>
      </c>
      <c r="B75" s="119">
        <f>IF(TYPE($A75)=1,"",(Update!$L73-B$1)/B$2)</f>
        <v>0.597145129</v>
      </c>
      <c r="C75" s="119">
        <f>IF(TYPE($A75)=1,"",(Update!$K73-C$1)/C$2)</f>
        <v>1.209484078</v>
      </c>
      <c r="D75" s="119">
        <f>IF(TYPE($A75)=1,"",(Update!$M73-D$1)/D$2)</f>
        <v>-0.3325715749</v>
      </c>
      <c r="E75" s="119">
        <f>IF(TYPE($A75)=1,"",(Update!$N73-E$1)/E$2)</f>
        <v>0.1650625086</v>
      </c>
      <c r="F75" s="119">
        <f>IF(TYPE($A75)=1,"",(Update!$O73-F$1)/F$2)</f>
        <v>-0.9178862491</v>
      </c>
      <c r="G75" s="119">
        <f>IF(TYPE($A75)=1,"",(Update!$P73-G$1)/G$2)</f>
        <v>-0.9404715375</v>
      </c>
      <c r="H75" s="119">
        <f>IF(TYPE($A75)=1,"",(Update!$H73-H$1)/H$2*I75/$I$1)</f>
        <v>-0.978148269</v>
      </c>
      <c r="I75" s="119">
        <f>IF(TYPE($A75)=1,"",IF(Update!H73=0,0,Update!G73/Update!H73))</f>
        <v>17.1</v>
      </c>
      <c r="J75" s="120">
        <f>IF(TYPE($A75)=1,"",(Update!$J73-J$1)/J$2*K75/$K$1)</f>
        <v>1.094131212</v>
      </c>
      <c r="K75" s="121">
        <f>IF(TYPE($A75)=1,"",IF(Update!J73=0,0,Update!I73/Update!J73))</f>
        <v>3.1</v>
      </c>
      <c r="L75" s="119">
        <f>IF(TYPE($A75)=1,"",-(Update!$Q73-L$1)/L$2)</f>
        <v>-0.6275482943</v>
      </c>
      <c r="N75" s="124">
        <v>55.0</v>
      </c>
      <c r="O75" s="130" t="str">
        <f>IF(Update!B70="",ROW(Update!B70),Update!B70)</f>
        <v>Khris Middleton</v>
      </c>
      <c r="P75" s="131">
        <f>Update!E70</f>
        <v>65</v>
      </c>
      <c r="Q75" s="131" t="str">
        <f>IF(Update!C70="",ROW(Update!N85),Update!C70)</f>
        <v>SF,PF</v>
      </c>
      <c r="R75" s="127">
        <f>VLOOKUP($O75,'NO USAR1'!$A$4:$L$403,2,False)+VLOOKUP($O75,'NO USAR1'!$A$4:$L$403,3,False)+VLOOKUP($O75,'NO USAR1'!$A$4:$L$403,4,False)+VLOOKUP($O75,'NO USAR1'!$A$4:$L$403,5,False)+VLOOKUP($O75,'NO USAR1'!$A$4:$L$403,6,False)+VLOOKUP($O75,'NO USAR1'!$A$4:$L$403,7,False)+VLOOKUP($O75,'NO USAR1'!$A$4:$L$403,8,False)+VLOOKUP($O75,'NO USAR1'!$A$4:$L$403,10,False)+VLOOKUP($O75,'NO USAR1'!$A$4:$L$403,12,False)*0</f>
        <v>0.1701641554</v>
      </c>
      <c r="S75" s="127">
        <f>VLOOKUP($O75,'NO USAR1'!$A$4:$L$403,2,False)*$U$19+VLOOKUP($O75,'NO USAR1'!$A$4:$L$403,3,False)*$V$19+VLOOKUP($O75,'NO USAR1'!$A$4:$L$403,4,False)*$W$19+VLOOKUP($O75,'NO USAR1'!$A$4:$L$403,5,False)*$X$19+VLOOKUP($O75,'NO USAR1'!$A$4:$L$403,6,False)*$Y$19+VLOOKUP($O75,'NO USAR1'!$A$4:$L$403,7,False)*$Z$19+VLOOKUP($O75,'NO USAR1'!$A$4:$L$403,8,False)*$AA$19+VLOOKUP($O75,'NO USAR1'!$A$4:$L$403,10,False)*$AB$19+VLOOKUP($O75,'NO USAR1'!$A$4:$L$403,12,False)*$AC$19+IF(Projections!$K$3,-AN75, IF(Projections!$J$3,-AM75,0))</f>
        <v>0.6058181686</v>
      </c>
      <c r="T75" s="127">
        <f t="shared" si="1"/>
        <v>0.4356540132</v>
      </c>
      <c r="U75" s="127">
        <f>VLOOKUP($O75,Update!$B$2:$R$401,11,False)</f>
        <v>17.6</v>
      </c>
      <c r="V75" s="122">
        <f>VLOOKUP($O75,Update!$B$2:$R$401,10,False)</f>
        <v>2</v>
      </c>
      <c r="W75" s="127">
        <f>VLOOKUP($O75,Update!$B$2:$R$401,12,False)</f>
        <v>4.9</v>
      </c>
      <c r="X75" s="127">
        <f>VLOOKUP($O75,Update!$B$2:$R$401,13,False)</f>
        <v>4.1</v>
      </c>
      <c r="Y75" s="127">
        <f>VLOOKUP($O75,Update!$B$2:$R$401,14,False)</f>
        <v>1.1</v>
      </c>
      <c r="Z75" s="132">
        <f>VLOOKUP($O75,Update!$B$2:$R$401,15,False)</f>
        <v>0.3</v>
      </c>
      <c r="AA75" s="127">
        <f>100*VLOOKUP($O75,Update!$B$2:$R$401,7,False)</f>
        <v>45</v>
      </c>
      <c r="AB75" s="127">
        <f>100*VLOOKUP($O75,Update!$B$2:$R$401,9,False)</f>
        <v>91.17647059</v>
      </c>
      <c r="AC75" s="127">
        <f>VLOOKUP($O75,Update!$B$2:$Q$401,16,False)</f>
        <v>2.4</v>
      </c>
      <c r="AD75" s="127">
        <f>VLOOKUP($O75,'NO USAR1'!$A$4:$L$403,2,False)*$U$19</f>
        <v>0.05786072276</v>
      </c>
      <c r="AE75" s="127">
        <f>VLOOKUP($O75,'NO USAR1'!$A$4:$L$403,3,False)*$V$19</f>
        <v>0.3081197623</v>
      </c>
      <c r="AF75" s="127">
        <f>VLOOKUP($O75,'NO USAR1'!$A$4:$L$403,4,False)*$W$19</f>
        <v>-0.4998330543</v>
      </c>
      <c r="AG75" s="127">
        <f>VLOOKUP($O75,'NO USAR1'!$A$4:$L$403,5,False)*$X$19</f>
        <v>0.1305662989</v>
      </c>
      <c r="AH75" s="127">
        <f>VLOOKUP($O75,'NO USAR1'!$A$4:$L$403,6,False)*$Y$19</f>
        <v>0.2296792288</v>
      </c>
      <c r="AI75" s="127">
        <f>VLOOKUP($O75,'NO USAR1'!$A$4:$L$403,7,False)*$Z$19</f>
        <v>-0.5270142365</v>
      </c>
      <c r="AJ75" s="127">
        <f>VLOOKUP($O75,'NO USAR1'!$A$4:$L$403,8,False)*$AA$19</f>
        <v>-0.6430513275</v>
      </c>
      <c r="AK75" s="132">
        <f>VLOOKUP($O75,'NO USAR1'!$A$4:$L$403,10,False)*$AB$19</f>
        <v>1.032280266</v>
      </c>
      <c r="AL75" s="127">
        <f>VLOOKUP($O75,'NO USAR1'!$A$4:$L$403,12,False)*$AC$19</f>
        <v>-0.1258408189</v>
      </c>
      <c r="AM75" s="133">
        <f t="shared" si="2"/>
        <v>-0.6430513275</v>
      </c>
      <c r="AN75" s="133">
        <f t="shared" si="3"/>
        <v>-1.170065564</v>
      </c>
    </row>
    <row r="76">
      <c r="A76" s="118" t="str">
        <f>IF(Update!B74="",ROW(Update!B74),Update!B74)</f>
        <v>Jerami Grant</v>
      </c>
      <c r="B76" s="119">
        <f>IF(TYPE($A76)=1,"",(Update!$L74-B$1)/B$2)</f>
        <v>0.3949134767</v>
      </c>
      <c r="C76" s="119">
        <f>IF(TYPE($A76)=1,"",(Update!$K74-C$1)/C$2)</f>
        <v>0.4387029344</v>
      </c>
      <c r="D76" s="119">
        <f>IF(TYPE($A76)=1,"",(Update!$M74-D$1)/D$2)</f>
        <v>-0.7089099036</v>
      </c>
      <c r="E76" s="119">
        <f>IF(TYPE($A76)=1,"",(Update!$N74-E$1)/E$2)</f>
        <v>-0.6695232089</v>
      </c>
      <c r="F76" s="119">
        <f>IF(TYPE($A76)=1,"",(Update!$O74-F$1)/F$2)</f>
        <v>-0.2948865325</v>
      </c>
      <c r="G76" s="119">
        <f>IF(TYPE($A76)=1,"",(Update!$P74-G$1)/G$2)</f>
        <v>0.3726868593</v>
      </c>
      <c r="H76" s="119">
        <f>IF(TYPE($A76)=1,"",(Update!$H74-H$1)/H$2*I76/$I$1)</f>
        <v>-0.4357019623</v>
      </c>
      <c r="I76" s="119">
        <f>IF(TYPE($A76)=1,"",IF(Update!H74=0,0,Update!G74/Update!H74))</f>
        <v>14.3</v>
      </c>
      <c r="J76" s="120">
        <f>IF(TYPE($A76)=1,"",(Update!$J74-J$1)/J$2*K76/$K$1)</f>
        <v>0.2895768765</v>
      </c>
      <c r="K76" s="121">
        <f>IF(TYPE($A76)=1,"",IF(Update!J74=0,0,Update!I74/Update!J74))</f>
        <v>5.2</v>
      </c>
      <c r="L76" s="119">
        <f>IF(TYPE($A76)=1,"",-(Update!$Q74-L$1)/L$2)</f>
        <v>0.2417468363</v>
      </c>
      <c r="N76" s="33">
        <v>56.0</v>
      </c>
      <c r="O76" s="130" t="str">
        <f>IF(Update!B58="",ROW(Update!B58),Update!B58)</f>
        <v>Bradley Beal</v>
      </c>
      <c r="P76" s="131">
        <f>Update!E58</f>
        <v>62</v>
      </c>
      <c r="Q76" s="131" t="str">
        <f>IF(Update!C58="",ROW(Update!N73),Update!C58)</f>
        <v>PG,SG</v>
      </c>
      <c r="R76" s="127">
        <f>VLOOKUP($O76,'NO USAR1'!$A$4:$L$403,2,False)+VLOOKUP($O76,'NO USAR1'!$A$4:$L$403,3,False)+VLOOKUP($O76,'NO USAR1'!$A$4:$L$403,4,False)+VLOOKUP($O76,'NO USAR1'!$A$4:$L$403,5,False)+VLOOKUP($O76,'NO USAR1'!$A$4:$L$403,6,False)+VLOOKUP($O76,'NO USAR1'!$A$4:$L$403,7,False)+VLOOKUP($O76,'NO USAR1'!$A$4:$L$403,8,False)+VLOOKUP($O76,'NO USAR1'!$A$4:$L$403,10,False)+VLOOKUP($O76,'NO USAR1'!$A$4:$L$403,12,False)*0</f>
        <v>0.1617667274</v>
      </c>
      <c r="S76" s="127">
        <f>VLOOKUP($O76,'NO USAR1'!$A$4:$L$403,2,False)*$U$19+VLOOKUP($O76,'NO USAR1'!$A$4:$L$403,3,False)*$V$19+VLOOKUP($O76,'NO USAR1'!$A$4:$L$403,4,False)*$W$19+VLOOKUP($O76,'NO USAR1'!$A$4:$L$403,5,False)*$X$19+VLOOKUP($O76,'NO USAR1'!$A$4:$L$403,6,False)*$Y$19+VLOOKUP($O76,'NO USAR1'!$A$4:$L$403,7,False)*$Z$19+VLOOKUP($O76,'NO USAR1'!$A$4:$L$403,8,False)*$AA$19+VLOOKUP($O76,'NO USAR1'!$A$4:$L$403,10,False)*$AB$19+VLOOKUP($O76,'NO USAR1'!$A$4:$L$403,12,False)*$AC$19+IF(Projections!$K$3,-AN76, IF(Projections!$J$3,-AM76,0))</f>
        <v>0.8235662546</v>
      </c>
      <c r="T76" s="127">
        <f t="shared" si="1"/>
        <v>0.6617995272</v>
      </c>
      <c r="U76" s="127">
        <f>VLOOKUP($O76,Update!$B$2:$R$401,11,False)</f>
        <v>20.8</v>
      </c>
      <c r="V76" s="122">
        <f>VLOOKUP($O76,Update!$B$2:$R$401,10,False)</f>
        <v>1.6</v>
      </c>
      <c r="W76" s="127">
        <f>VLOOKUP($O76,Update!$B$2:$R$401,12,False)</f>
        <v>4.2</v>
      </c>
      <c r="X76" s="127">
        <f>VLOOKUP($O76,Update!$B$2:$R$401,13,False)</f>
        <v>5.7</v>
      </c>
      <c r="Y76" s="127">
        <f>VLOOKUP($O76,Update!$B$2:$R$401,14,False)</f>
        <v>0.9</v>
      </c>
      <c r="Z76" s="132">
        <f>VLOOKUP($O76,Update!$B$2:$R$401,15,False)</f>
        <v>0.5</v>
      </c>
      <c r="AA76" s="127">
        <f>100*VLOOKUP($O76,Update!$B$2:$R$401,7,False)</f>
        <v>47.5</v>
      </c>
      <c r="AB76" s="127">
        <f>100*VLOOKUP($O76,Update!$B$2:$R$401,9,False)</f>
        <v>82.9787234</v>
      </c>
      <c r="AC76" s="127">
        <f>VLOOKUP($O76,Update!$B$2:$Q$401,16,False)</f>
        <v>3.1</v>
      </c>
      <c r="AD76" s="127">
        <f>VLOOKUP($O76,'NO USAR1'!$A$4:$L$403,2,False)*$U$19</f>
        <v>0.597145129</v>
      </c>
      <c r="AE76" s="127">
        <f>VLOOKUP($O76,'NO USAR1'!$A$4:$L$403,3,False)*$V$19</f>
        <v>-0.03873175248</v>
      </c>
      <c r="AF76" s="127">
        <f>VLOOKUP($O76,'NO USAR1'!$A$4:$L$403,4,False)*$W$19</f>
        <v>-0.7925406433</v>
      </c>
      <c r="AG76" s="127">
        <f>VLOOKUP($O76,'NO USAR1'!$A$4:$L$403,5,False)*$X$19</f>
        <v>0.9466056671</v>
      </c>
      <c r="AH76" s="127">
        <f>VLOOKUP($O76,'NO USAR1'!$A$4:$L$403,6,False)*$Y$19</f>
        <v>-0.2064205728</v>
      </c>
      <c r="AI76" s="127">
        <f>VLOOKUP($O76,'NO USAR1'!$A$4:$L$403,7,False)*$Z$19</f>
        <v>-0.2643825572</v>
      </c>
      <c r="AJ76" s="127">
        <f>VLOOKUP($O76,'NO USAR1'!$A$4:$L$403,8,False)*$AA$19</f>
        <v>-0.3353697912</v>
      </c>
      <c r="AK76" s="132">
        <f>VLOOKUP($O76,'NO USAR1'!$A$4:$L$403,10,False)*$AB$19</f>
        <v>0.4678847337</v>
      </c>
      <c r="AL76" s="127">
        <f>VLOOKUP($O76,'NO USAR1'!$A$4:$L$403,12,False)*$AC$19</f>
        <v>-0.3431646016</v>
      </c>
      <c r="AM76" s="133">
        <f t="shared" si="2"/>
        <v>-0.7925406433</v>
      </c>
      <c r="AN76" s="133">
        <f t="shared" si="3"/>
        <v>-1.135705245</v>
      </c>
    </row>
    <row r="77">
      <c r="A77" s="118" t="str">
        <f>IF(Update!B75="",ROW(Update!B75),Update!B75)</f>
        <v>Markelle Fultz</v>
      </c>
      <c r="B77" s="119">
        <f>IF(TYPE($A77)=1,"",(Update!$L75-B$1)/B$2)</f>
        <v>-0.4814236835</v>
      </c>
      <c r="C77" s="119">
        <f>IF(TYPE($A77)=1,"",(Update!$K75-C$1)/C$2)</f>
        <v>-1.199206996</v>
      </c>
      <c r="D77" s="119">
        <f>IF(TYPE($A77)=1,"",(Update!$M75-D$1)/D$2)</f>
        <v>-0.876171383</v>
      </c>
      <c r="E77" s="119">
        <f>IF(TYPE($A77)=1,"",(Update!$N75-E$1)/E$2)</f>
        <v>1.092379972</v>
      </c>
      <c r="F77" s="119">
        <f>IF(TYPE($A77)=1,"",(Update!$O75-F$1)/F$2)</f>
        <v>1.574112617</v>
      </c>
      <c r="G77" s="119">
        <f>IF(TYPE($A77)=1,"",(Update!$P75-G$1)/G$2)</f>
        <v>-0.5652834241</v>
      </c>
      <c r="H77" s="119">
        <f>IF(TYPE($A77)=1,"",(Update!$H75-H$1)/H$2*I77/$I$1)</f>
        <v>0.1085270172</v>
      </c>
      <c r="I77" s="119">
        <f>IF(TYPE($A77)=1,"",IF(Update!H75=0,0,Update!G75/Update!H75))</f>
        <v>11.9</v>
      </c>
      <c r="J77" s="120">
        <f>IF(TYPE($A77)=1,"",(Update!$J75-J$1)/J$2*K77/$K$1)</f>
        <v>0.01397569163</v>
      </c>
      <c r="K77" s="121">
        <f>IF(TYPE($A77)=1,"",IF(Update!J75=0,0,Update!I75/Update!J75))</f>
        <v>2.4</v>
      </c>
      <c r="L77" s="119">
        <f>IF(TYPE($A77)=1,"",-(Update!$Q75-L$1)/L$2)</f>
        <v>-0.6275482943</v>
      </c>
      <c r="N77" s="124">
        <v>57.0</v>
      </c>
      <c r="O77" s="130" t="str">
        <f>IF(Update!B55="",ROW(Update!B55),Update!B55)</f>
        <v>Brandon Ingram</v>
      </c>
      <c r="P77" s="131">
        <f>Update!E55</f>
        <v>60</v>
      </c>
      <c r="Q77" s="131" t="str">
        <f>IF(Update!C55="",ROW(Update!N70),Update!C55)</f>
        <v>SG,SF,PF</v>
      </c>
      <c r="R77" s="127">
        <f>VLOOKUP($O77,'NO USAR1'!$A$4:$L$403,2,False)+VLOOKUP($O77,'NO USAR1'!$A$4:$L$403,3,False)+VLOOKUP($O77,'NO USAR1'!$A$4:$L$403,4,False)+VLOOKUP($O77,'NO USAR1'!$A$4:$L$403,5,False)+VLOOKUP($O77,'NO USAR1'!$A$4:$L$403,6,False)+VLOOKUP($O77,'NO USAR1'!$A$4:$L$403,7,False)+VLOOKUP($O77,'NO USAR1'!$A$4:$L$403,8,False)+VLOOKUP($O77,'NO USAR1'!$A$4:$L$403,10,False)+VLOOKUP($O77,'NO USAR1'!$A$4:$L$403,12,False)*0</f>
        <v>0.1331696236</v>
      </c>
      <c r="S77" s="127">
        <f>VLOOKUP($O77,'NO USAR1'!$A$4:$L$403,2,False)*$U$19+VLOOKUP($O77,'NO USAR1'!$A$4:$L$403,3,False)*$V$19+VLOOKUP($O77,'NO USAR1'!$A$4:$L$403,4,False)*$W$19+VLOOKUP($O77,'NO USAR1'!$A$4:$L$403,5,False)*$X$19+VLOOKUP($O77,'NO USAR1'!$A$4:$L$403,6,False)*$Y$19+VLOOKUP($O77,'NO USAR1'!$A$4:$L$403,7,False)*$Z$19+VLOOKUP($O77,'NO USAR1'!$A$4:$L$403,8,False)*$AA$19+VLOOKUP($O77,'NO USAR1'!$A$4:$L$403,10,False)*$AB$19+VLOOKUP($O77,'NO USAR1'!$A$4:$L$403,12,False)*$AC$19+IF(Projections!$K$3,-AN77, IF(Projections!$J$3,-AM77,0))</f>
        <v>0.9040778253</v>
      </c>
      <c r="T77" s="127">
        <f t="shared" si="1"/>
        <v>0.7709082017</v>
      </c>
      <c r="U77" s="127">
        <f>VLOOKUP($O77,Update!$B$2:$R$401,11,False)</f>
        <v>23</v>
      </c>
      <c r="V77" s="122">
        <f>VLOOKUP($O77,Update!$B$2:$R$401,10,False)</f>
        <v>1.3</v>
      </c>
      <c r="W77" s="127">
        <f>VLOOKUP($O77,Update!$B$2:$R$401,12,False)</f>
        <v>5.5</v>
      </c>
      <c r="X77" s="127">
        <f>VLOOKUP($O77,Update!$B$2:$R$401,13,False)</f>
        <v>5.5</v>
      </c>
      <c r="Y77" s="127">
        <f>VLOOKUP($O77,Update!$B$2:$R$401,14,False)</f>
        <v>0.7</v>
      </c>
      <c r="Z77" s="132">
        <f>VLOOKUP($O77,Update!$B$2:$R$401,15,False)</f>
        <v>0.4</v>
      </c>
      <c r="AA77" s="127">
        <f>100*VLOOKUP($O77,Update!$B$2:$R$401,7,False)</f>
        <v>46.89265537</v>
      </c>
      <c r="AB77" s="127">
        <f>100*VLOOKUP($O77,Update!$B$2:$R$401,9,False)</f>
        <v>84.48275862</v>
      </c>
      <c r="AC77" s="127">
        <f>VLOOKUP($O77,Update!$B$2:$Q$401,16,False)</f>
        <v>2.9</v>
      </c>
      <c r="AD77" s="127">
        <f>VLOOKUP($O77,'NO USAR1'!$A$4:$L$403,2,False)*$U$19</f>
        <v>0.9679031583</v>
      </c>
      <c r="AE77" s="127">
        <f>VLOOKUP($O77,'NO USAR1'!$A$4:$L$403,3,False)*$V$19</f>
        <v>-0.2988703886</v>
      </c>
      <c r="AF77" s="127">
        <f>VLOOKUP($O77,'NO USAR1'!$A$4:$L$403,4,False)*$W$19</f>
        <v>-0.2489408352</v>
      </c>
      <c r="AG77" s="127">
        <f>VLOOKUP($O77,'NO USAR1'!$A$4:$L$403,5,False)*$X$19</f>
        <v>0.8446007461</v>
      </c>
      <c r="AH77" s="127">
        <f>VLOOKUP($O77,'NO USAR1'!$A$4:$L$403,6,False)*$Y$19</f>
        <v>-0.6425203744</v>
      </c>
      <c r="AI77" s="127">
        <f>VLOOKUP($O77,'NO USAR1'!$A$4:$L$403,7,False)*$Z$19</f>
        <v>-0.3956983969</v>
      </c>
      <c r="AJ77" s="127">
        <f>VLOOKUP($O77,'NO USAR1'!$A$4:$L$403,8,False)*$AA$19</f>
        <v>-0.4783808222</v>
      </c>
      <c r="AK77" s="132">
        <f>VLOOKUP($O77,'NO USAR1'!$A$4:$L$403,10,False)*$AB$19</f>
        <v>0.794536456</v>
      </c>
      <c r="AL77" s="127">
        <f>VLOOKUP($O77,'NO USAR1'!$A$4:$L$403,12,False)*$AC$19</f>
        <v>-0.2810720922</v>
      </c>
      <c r="AM77" s="133">
        <f t="shared" si="2"/>
        <v>-0.6425203744</v>
      </c>
      <c r="AN77" s="133">
        <f t="shared" si="3"/>
        <v>-1.120901197</v>
      </c>
    </row>
    <row r="78">
      <c r="A78" s="118" t="str">
        <f>IF(Update!B76="",ROW(Update!B76),Update!B76)</f>
        <v>Terry Rozier</v>
      </c>
      <c r="B78" s="119">
        <f>IF(TYPE($A78)=1,"",(Update!$L76-B$1)/B$2)</f>
        <v>0.3949134767</v>
      </c>
      <c r="C78" s="119">
        <f>IF(TYPE($A78)=1,"",(Update!$K76-C$1)/C$2)</f>
        <v>1.113136435</v>
      </c>
      <c r="D78" s="119">
        <f>IF(TYPE($A78)=1,"",(Update!$M76-D$1)/D$2)</f>
        <v>-0.8343560132</v>
      </c>
      <c r="E78" s="119">
        <f>IF(TYPE($A78)=1,"",(Update!$N76-E$1)/E$2)</f>
        <v>0.3505260013</v>
      </c>
      <c r="F78" s="119">
        <f>IF(TYPE($A78)=1,"",(Update!$O76-F$1)/F$2)</f>
        <v>0.6396130423</v>
      </c>
      <c r="G78" s="119">
        <f>IF(TYPE($A78)=1,"",(Update!$P76-G$1)/G$2)</f>
        <v>-0.7528774808</v>
      </c>
      <c r="H78" s="119">
        <f>IF(TYPE($A78)=1,"",(Update!$H76-H$1)/H$2*I78/$I$1)</f>
        <v>-1.201009612</v>
      </c>
      <c r="I78" s="119">
        <f>IF(TYPE($A78)=1,"",IF(Update!H76=0,0,Update!G76/Update!H76))</f>
        <v>16.9</v>
      </c>
      <c r="J78" s="120">
        <f>IF(TYPE($A78)=1,"",(Update!$J76-J$1)/J$2*K78/$K$1)</f>
        <v>0.5867566385</v>
      </c>
      <c r="K78" s="121">
        <f>IF(TYPE($A78)=1,"",IF(Update!J76=0,0,Update!I76/Update!J76))</f>
        <v>2.8</v>
      </c>
      <c r="L78" s="119">
        <f>IF(TYPE($A78)=1,"",-(Update!$Q76-L$1)/L$2)</f>
        <v>0.365931855</v>
      </c>
      <c r="N78" s="124">
        <v>58.0</v>
      </c>
      <c r="O78" s="130" t="str">
        <f>IF(Update!B68="",ROW(Update!B68),Update!B68)</f>
        <v>OG Anunoby</v>
      </c>
      <c r="P78" s="131">
        <f>Update!E68</f>
        <v>68</v>
      </c>
      <c r="Q78" s="131" t="str">
        <f>IF(Update!C68="",ROW(Update!N83),Update!C68)</f>
        <v>SG,SF</v>
      </c>
      <c r="R78" s="127">
        <f>VLOOKUP($O78,'NO USAR1'!$A$4:$L$403,2,False)+VLOOKUP($O78,'NO USAR1'!$A$4:$L$403,3,False)+VLOOKUP($O78,'NO USAR1'!$A$4:$L$403,4,False)+VLOOKUP($O78,'NO USAR1'!$A$4:$L$403,5,False)+VLOOKUP($O78,'NO USAR1'!$A$4:$L$403,6,False)+VLOOKUP($O78,'NO USAR1'!$A$4:$L$403,7,False)+VLOOKUP($O78,'NO USAR1'!$A$4:$L$403,8,False)+VLOOKUP($O78,'NO USAR1'!$A$4:$L$403,10,False)+VLOOKUP($O78,'NO USAR1'!$A$4:$L$403,12,False)*0</f>
        <v>0.09277808134</v>
      </c>
      <c r="S78" s="127">
        <f>VLOOKUP($O78,'NO USAR1'!$A$4:$L$403,2,False)*$U$19+VLOOKUP($O78,'NO USAR1'!$A$4:$L$403,3,False)*$V$19+VLOOKUP($O78,'NO USAR1'!$A$4:$L$403,4,False)*$W$19+VLOOKUP($O78,'NO USAR1'!$A$4:$L$403,5,False)*$X$19+VLOOKUP($O78,'NO USAR1'!$A$4:$L$403,6,False)*$Y$19+VLOOKUP($O78,'NO USAR1'!$A$4:$L$403,7,False)*$Z$19+VLOOKUP($O78,'NO USAR1'!$A$4:$L$403,8,False)*$AA$19+VLOOKUP($O78,'NO USAR1'!$A$4:$L$403,10,False)*$AB$19+VLOOKUP($O78,'NO USAR1'!$A$4:$L$403,12,False)*$AC$19+IF(Projections!$K$3,-AN78, IF(Projections!$J$3,-AM78,0))</f>
        <v>0.4617185361</v>
      </c>
      <c r="T78" s="127">
        <f t="shared" si="1"/>
        <v>0.3689404548</v>
      </c>
      <c r="U78" s="127">
        <f>VLOOKUP($O78,Update!$B$2:$R$401,11,False)</f>
        <v>16.1</v>
      </c>
      <c r="V78" s="122">
        <f>VLOOKUP($O78,Update!$B$2:$R$401,10,False)</f>
        <v>2.1</v>
      </c>
      <c r="W78" s="127">
        <f>VLOOKUP($O78,Update!$B$2:$R$401,12,False)</f>
        <v>4.9</v>
      </c>
      <c r="X78" s="127">
        <f>VLOOKUP($O78,Update!$B$2:$R$401,13,False)</f>
        <v>2.1</v>
      </c>
      <c r="Y78" s="127">
        <f>VLOOKUP($O78,Update!$B$2:$R$401,14,False)</f>
        <v>1.6</v>
      </c>
      <c r="Z78" s="132">
        <f>VLOOKUP($O78,Update!$B$2:$R$401,15,False)</f>
        <v>0.6</v>
      </c>
      <c r="AA78" s="127">
        <f>100*VLOOKUP($O78,Update!$B$2:$R$401,7,False)</f>
        <v>45.80152672</v>
      </c>
      <c r="AB78" s="127">
        <f>100*VLOOKUP($O78,Update!$B$2:$R$401,9,False)</f>
        <v>79.16666667</v>
      </c>
      <c r="AC78" s="127">
        <f>VLOOKUP($O78,Update!$B$2:$Q$401,16,False)</f>
        <v>1.8</v>
      </c>
      <c r="AD78" s="127">
        <f>VLOOKUP($O78,'NO USAR1'!$A$4:$L$403,2,False)*$U$19</f>
        <v>-0.1949288427</v>
      </c>
      <c r="AE78" s="127">
        <f>VLOOKUP($O78,'NO USAR1'!$A$4:$L$403,3,False)*$V$19</f>
        <v>0.394832641</v>
      </c>
      <c r="AF78" s="127">
        <f>VLOOKUP($O78,'NO USAR1'!$A$4:$L$403,4,False)*$W$19</f>
        <v>-0.4998330543</v>
      </c>
      <c r="AG78" s="127">
        <f>VLOOKUP($O78,'NO USAR1'!$A$4:$L$403,5,False)*$X$19</f>
        <v>-0.8894829113</v>
      </c>
      <c r="AH78" s="127">
        <f>VLOOKUP($O78,'NO USAR1'!$A$4:$L$403,6,False)*$Y$19</f>
        <v>1.319928733</v>
      </c>
      <c r="AI78" s="127">
        <f>VLOOKUP($O78,'NO USAR1'!$A$4:$L$403,7,False)*$Z$19</f>
        <v>-0.1330667175</v>
      </c>
      <c r="AJ78" s="127">
        <f>VLOOKUP($O78,'NO USAR1'!$A$4:$L$403,8,False)*$AA$19</f>
        <v>-0.4968314856</v>
      </c>
      <c r="AK78" s="132">
        <f>VLOOKUP($O78,'NO USAR1'!$A$4:$L$403,10,False)*$AB$19</f>
        <v>0.0111805533</v>
      </c>
      <c r="AL78" s="127">
        <f>VLOOKUP($O78,'NO USAR1'!$A$4:$L$403,12,False)*$AC$19</f>
        <v>0.06043670908</v>
      </c>
      <c r="AM78" s="133">
        <f t="shared" si="2"/>
        <v>-0.8894829113</v>
      </c>
      <c r="AN78" s="133">
        <f t="shared" si="3"/>
        <v>-1.389315966</v>
      </c>
    </row>
    <row r="79">
      <c r="A79" s="118" t="str">
        <f>IF(Update!B77="",ROW(Update!B77),Update!B77)</f>
        <v>Rudy Gobert</v>
      </c>
      <c r="B79" s="119">
        <f>IF(TYPE($A79)=1,"",(Update!$L77-B$1)/B$2)</f>
        <v>-0.6330974228</v>
      </c>
      <c r="C79" s="119">
        <f>IF(TYPE($A79)=1,"",(Update!$K77-C$1)/C$2)</f>
        <v>-1.584597568</v>
      </c>
      <c r="D79" s="119">
        <f>IF(TYPE($A79)=1,"",(Update!$M77-D$1)/D$2)</f>
        <v>2.259981356</v>
      </c>
      <c r="E79" s="119">
        <f>IF(TYPE($A79)=1,"",(Update!$N77-E$1)/E$2)</f>
        <v>-1.27227956</v>
      </c>
      <c r="F79" s="119">
        <f>IF(TYPE($A79)=1,"",(Update!$O77-F$1)/F$2)</f>
        <v>-0.9178862491</v>
      </c>
      <c r="G79" s="119">
        <f>IF(TYPE($A79)=1,"",(Update!$P77-G$1)/G$2)</f>
        <v>1.310657143</v>
      </c>
      <c r="H79" s="119">
        <f>IF(TYPE($A79)=1,"",(Update!$H77-H$1)/H$2*I79/$I$1)</f>
        <v>1.585878156</v>
      </c>
      <c r="I79" s="119">
        <f>IF(TYPE($A79)=1,"",IF(Update!H77=0,0,Update!G77/Update!H77))</f>
        <v>7.2</v>
      </c>
      <c r="J79" s="120">
        <f>IF(TYPE($A79)=1,"",(Update!$J77-J$1)/J$2*K79/$K$1)</f>
        <v>-2.068854006</v>
      </c>
      <c r="K79" s="121">
        <f>IF(TYPE($A79)=1,"",IF(Update!J77=0,0,Update!I77/Update!J77))</f>
        <v>5.4</v>
      </c>
      <c r="L79" s="119">
        <f>IF(TYPE($A79)=1,"",-(Update!$Q77-L$1)/L$2)</f>
        <v>0.365931855</v>
      </c>
      <c r="N79" s="33">
        <v>59.0</v>
      </c>
      <c r="O79" s="130" t="str">
        <f>IF(Update!B67="",ROW(Update!B67),Update!B67)</f>
        <v>Jalen Williams</v>
      </c>
      <c r="P79" s="131">
        <f>Update!E67</f>
        <v>74</v>
      </c>
      <c r="Q79" s="131" t="str">
        <f>IF(Update!C67="",ROW(Update!N82),Update!C67)</f>
        <v>SG,SF</v>
      </c>
      <c r="R79" s="127">
        <f>VLOOKUP($O79,'NO USAR1'!$A$4:$L$403,2,False)+VLOOKUP($O79,'NO USAR1'!$A$4:$L$403,3,False)+VLOOKUP($O79,'NO USAR1'!$A$4:$L$403,4,False)+VLOOKUP($O79,'NO USAR1'!$A$4:$L$403,5,False)+VLOOKUP($O79,'NO USAR1'!$A$4:$L$403,6,False)+VLOOKUP($O79,'NO USAR1'!$A$4:$L$403,7,False)+VLOOKUP($O79,'NO USAR1'!$A$4:$L$403,8,False)+VLOOKUP($O79,'NO USAR1'!$A$4:$L$403,10,False)+VLOOKUP($O79,'NO USAR1'!$A$4:$L$403,12,False)*0</f>
        <v>0.0869118854</v>
      </c>
      <c r="S79" s="127">
        <f>VLOOKUP($O79,'NO USAR1'!$A$4:$L$403,2,False)*$U$19+VLOOKUP($O79,'NO USAR1'!$A$4:$L$403,3,False)*$V$19+VLOOKUP($O79,'NO USAR1'!$A$4:$L$403,4,False)*$W$19+VLOOKUP($O79,'NO USAR1'!$A$4:$L$403,5,False)*$X$19+VLOOKUP($O79,'NO USAR1'!$A$4:$L$403,6,False)*$Y$19+VLOOKUP($O79,'NO USAR1'!$A$4:$L$403,7,False)*$Z$19+VLOOKUP($O79,'NO USAR1'!$A$4:$L$403,8,False)*$AA$19+VLOOKUP($O79,'NO USAR1'!$A$4:$L$403,10,False)*$AB$19+VLOOKUP($O79,'NO USAR1'!$A$4:$L$403,12,False)*$AC$19+IF(Projections!$K$3,-AN79, IF(Projections!$J$3,-AM79,0))</f>
        <v>0.3443132052</v>
      </c>
      <c r="T79" s="127">
        <f t="shared" si="1"/>
        <v>0.2574013198</v>
      </c>
      <c r="U79" s="127">
        <f>VLOOKUP($O79,Update!$B$2:$R$401,11,False)</f>
        <v>15</v>
      </c>
      <c r="V79" s="122">
        <f>VLOOKUP($O79,Update!$B$2:$R$401,10,False)</f>
        <v>1</v>
      </c>
      <c r="W79" s="127">
        <f>VLOOKUP($O79,Update!$B$2:$R$401,12,False)</f>
        <v>4.8</v>
      </c>
      <c r="X79" s="127">
        <f>VLOOKUP($O79,Update!$B$2:$R$401,13,False)</f>
        <v>3.5</v>
      </c>
      <c r="Y79" s="127">
        <f>VLOOKUP($O79,Update!$B$2:$R$401,14,False)</f>
        <v>1.5</v>
      </c>
      <c r="Z79" s="132">
        <f>VLOOKUP($O79,Update!$B$2:$R$401,15,False)</f>
        <v>0.5</v>
      </c>
      <c r="AA79" s="127">
        <f>100*VLOOKUP($O79,Update!$B$2:$R$401,7,False)</f>
        <v>52.67857143</v>
      </c>
      <c r="AB79" s="127">
        <f>100*VLOOKUP($O79,Update!$B$2:$R$401,9,False)</f>
        <v>81.48148148</v>
      </c>
      <c r="AC79" s="127">
        <f>VLOOKUP($O79,Update!$B$2:$Q$401,16,False)</f>
        <v>1.7</v>
      </c>
      <c r="AD79" s="127">
        <f>VLOOKUP($O79,'NO USAR1'!$A$4:$L$403,2,False)*$U$19</f>
        <v>-0.3803078573</v>
      </c>
      <c r="AE79" s="127">
        <f>VLOOKUP($O79,'NO USAR1'!$A$4:$L$403,3,False)*$V$19</f>
        <v>-0.5590090247</v>
      </c>
      <c r="AF79" s="127">
        <f>VLOOKUP($O79,'NO USAR1'!$A$4:$L$403,4,False)*$W$19</f>
        <v>-0.5416484242</v>
      </c>
      <c r="AG79" s="127">
        <f>VLOOKUP($O79,'NO USAR1'!$A$4:$L$403,5,False)*$X$19</f>
        <v>-0.1754484642</v>
      </c>
      <c r="AH79" s="127">
        <f>VLOOKUP($O79,'NO USAR1'!$A$4:$L$403,6,False)*$Y$19</f>
        <v>1.101878832</v>
      </c>
      <c r="AI79" s="127">
        <f>VLOOKUP($O79,'NO USAR1'!$A$4:$L$403,7,False)*$Z$19</f>
        <v>-0.2643825572</v>
      </c>
      <c r="AJ79" s="127">
        <f>VLOOKUP($O79,'NO USAR1'!$A$4:$L$403,8,False)*$AA$19</f>
        <v>0.3445828631</v>
      </c>
      <c r="AK79" s="132">
        <f>VLOOKUP($O79,'NO USAR1'!$A$4:$L$403,10,False)*$AB$19</f>
        <v>0.1681558493</v>
      </c>
      <c r="AL79" s="127">
        <f>VLOOKUP($O79,'NO USAR1'!$A$4:$L$403,12,False)*$AC$19</f>
        <v>0.09148296375</v>
      </c>
      <c r="AM79" s="133">
        <f t="shared" si="2"/>
        <v>-0.5590090247</v>
      </c>
      <c r="AN79" s="133">
        <f t="shared" si="3"/>
        <v>-1.100657449</v>
      </c>
    </row>
    <row r="80">
      <c r="A80" s="118" t="str">
        <f>IF(Update!B78="",ROW(Update!B78),Update!B78)</f>
        <v>Miles Bridges</v>
      </c>
      <c r="B80" s="119">
        <f>IF(TYPE($A80)=1,"",(Update!$L78-B$1)/B$2)</f>
        <v>0.007302809668</v>
      </c>
      <c r="C80" s="119">
        <f>IF(TYPE($A80)=1,"",(Update!$K78-C$1)/C$2)</f>
        <v>0.05331236246</v>
      </c>
      <c r="D80" s="119">
        <f>IF(TYPE($A80)=1,"",(Update!$M78-D$1)/D$2)</f>
        <v>0.001951383927</v>
      </c>
      <c r="E80" s="119">
        <f>IF(TYPE($A80)=1,"",(Update!$N78-E$1)/E$2)</f>
        <v>-0.2522303502</v>
      </c>
      <c r="F80" s="119">
        <f>IF(TYPE($A80)=1,"",(Update!$O78-F$1)/F$2)</f>
        <v>-0.6063863908</v>
      </c>
      <c r="G80" s="119">
        <f>IF(TYPE($A80)=1,"",(Update!$P78-G$1)/G$2)</f>
        <v>-0.002501254089</v>
      </c>
      <c r="H80" s="119">
        <f>IF(TYPE($A80)=1,"",(Update!$H78-H$1)/H$2*I80/$I$1)</f>
        <v>-0.108094971</v>
      </c>
      <c r="I80" s="119">
        <f>IF(TYPE($A80)=1,"",IF(Update!H78=0,0,Update!G78/Update!H78))</f>
        <v>13.1</v>
      </c>
      <c r="J80" s="120">
        <f>IF(TYPE($A80)=1,"",(Update!$J78-J$1)/J$2*K80/$K$1)</f>
        <v>0.1765412642</v>
      </c>
      <c r="K80" s="121">
        <f>IF(TYPE($A80)=1,"",IF(Update!J78=0,0,Update!I78/Update!J78))</f>
        <v>3.6</v>
      </c>
      <c r="L80" s="119">
        <f>IF(TYPE($A80)=1,"",-(Update!$Q78-L$1)/L$2)</f>
        <v>0.4901168736</v>
      </c>
      <c r="N80" s="124">
        <v>60.0</v>
      </c>
      <c r="O80" s="130" t="str">
        <f>IF(Update!B61="",ROW(Update!B61),Update!B61)</f>
        <v>Cameron Johnson</v>
      </c>
      <c r="P80" s="131">
        <f>Update!E61</f>
        <v>68</v>
      </c>
      <c r="Q80" s="131" t="str">
        <f>IF(Update!C61="",ROW(Update!N76),Update!C61)</f>
        <v>SF,PF</v>
      </c>
      <c r="R80" s="127">
        <f>VLOOKUP($O80,'NO USAR1'!$A$4:$L$403,2,False)+VLOOKUP($O80,'NO USAR1'!$A$4:$L$403,3,False)+VLOOKUP($O80,'NO USAR1'!$A$4:$L$403,4,False)+VLOOKUP($O80,'NO USAR1'!$A$4:$L$403,5,False)+VLOOKUP($O80,'NO USAR1'!$A$4:$L$403,6,False)+VLOOKUP($O80,'NO USAR1'!$A$4:$L$403,7,False)+VLOOKUP($O80,'NO USAR1'!$A$4:$L$403,8,False)+VLOOKUP($O80,'NO USAR1'!$A$4:$L$403,10,False)+VLOOKUP($O80,'NO USAR1'!$A$4:$L$403,12,False)*0</f>
        <v>0.02253244286</v>
      </c>
      <c r="S80" s="127">
        <f>VLOOKUP($O80,'NO USAR1'!$A$4:$L$403,2,False)*$U$19+VLOOKUP($O80,'NO USAR1'!$A$4:$L$403,3,False)*$V$19+VLOOKUP($O80,'NO USAR1'!$A$4:$L$403,4,False)*$W$19+VLOOKUP($O80,'NO USAR1'!$A$4:$L$403,5,False)*$X$19+VLOOKUP($O80,'NO USAR1'!$A$4:$L$403,6,False)*$Y$19+VLOOKUP($O80,'NO USAR1'!$A$4:$L$403,7,False)*$Z$19+VLOOKUP($O80,'NO USAR1'!$A$4:$L$403,8,False)*$AA$19+VLOOKUP($O80,'NO USAR1'!$A$4:$L$403,10,False)*$AB$19+VLOOKUP($O80,'NO USAR1'!$A$4:$L$403,12,False)*$AC$19+IF(Projections!$K$3,-AN80, IF(Projections!$J$3,-AM80,0))</f>
        <v>0.980769369</v>
      </c>
      <c r="T80" s="127">
        <f t="shared" si="1"/>
        <v>0.9582369262</v>
      </c>
      <c r="U80" s="127">
        <f>VLOOKUP($O80,Update!$B$2:$R$401,11,False)</f>
        <v>16.2</v>
      </c>
      <c r="V80" s="122">
        <f>VLOOKUP($O80,Update!$B$2:$R$401,10,False)</f>
        <v>3</v>
      </c>
      <c r="W80" s="127">
        <f>VLOOKUP($O80,Update!$B$2:$R$401,12,False)</f>
        <v>5</v>
      </c>
      <c r="X80" s="127">
        <f>VLOOKUP($O80,Update!$B$2:$R$401,13,False)</f>
        <v>2</v>
      </c>
      <c r="Y80" s="127">
        <f>VLOOKUP($O80,Update!$B$2:$R$401,14,False)</f>
        <v>1.3</v>
      </c>
      <c r="Z80" s="132">
        <f>VLOOKUP($O80,Update!$B$2:$R$401,15,False)</f>
        <v>0.3</v>
      </c>
      <c r="AA80" s="127">
        <f>100*VLOOKUP($O80,Update!$B$2:$R$401,7,False)</f>
        <v>46.21848739</v>
      </c>
      <c r="AB80" s="127">
        <f>100*VLOOKUP($O80,Update!$B$2:$R$401,9,False)</f>
        <v>84.61538462</v>
      </c>
      <c r="AC80" s="127">
        <f>VLOOKUP($O80,Update!$B$2:$Q$401,16,False)</f>
        <v>0.9</v>
      </c>
      <c r="AD80" s="127">
        <f>VLOOKUP($O80,'NO USAR1'!$A$4:$L$403,2,False)*$U$19</f>
        <v>-0.178076205</v>
      </c>
      <c r="AE80" s="127">
        <f>VLOOKUP($O80,'NO USAR1'!$A$4:$L$403,3,False)*$V$19</f>
        <v>1.175248549</v>
      </c>
      <c r="AF80" s="127">
        <f>VLOOKUP($O80,'NO USAR1'!$A$4:$L$403,4,False)*$W$19</f>
        <v>-0.4580176845</v>
      </c>
      <c r="AG80" s="127">
        <f>VLOOKUP($O80,'NO USAR1'!$A$4:$L$403,5,False)*$X$19</f>
        <v>-0.9404853718</v>
      </c>
      <c r="AH80" s="127">
        <f>VLOOKUP($O80,'NO USAR1'!$A$4:$L$403,6,False)*$Y$19</f>
        <v>0.6657790304</v>
      </c>
      <c r="AI80" s="127">
        <f>VLOOKUP($O80,'NO USAR1'!$A$4:$L$403,7,False)*$Z$19</f>
        <v>-0.5270142365</v>
      </c>
      <c r="AJ80" s="127">
        <f>VLOOKUP($O80,'NO USAR1'!$A$4:$L$403,8,False)*$AA$19</f>
        <v>-0.4017581992</v>
      </c>
      <c r="AK80" s="132">
        <f>VLOOKUP($O80,'NO USAR1'!$A$4:$L$403,10,False)*$AB$19</f>
        <v>0.3647551135</v>
      </c>
      <c r="AL80" s="127">
        <f>VLOOKUP($O80,'NO USAR1'!$A$4:$L$403,12,False)*$AC$19</f>
        <v>0.3398530011</v>
      </c>
      <c r="AM80" s="133">
        <f t="shared" si="2"/>
        <v>-0.9404853718</v>
      </c>
      <c r="AN80" s="133">
        <f t="shared" si="3"/>
        <v>-1.467499608</v>
      </c>
    </row>
    <row r="81">
      <c r="A81" s="118" t="str">
        <f>IF(Update!B79="",ROW(Update!B79),Update!B79)</f>
        <v>Scottie Barnes</v>
      </c>
      <c r="B81" s="119">
        <f>IF(TYPE($A81)=1,"",(Update!$L79-B$1)/B$2)</f>
        <v>-0.3803078573</v>
      </c>
      <c r="C81" s="119">
        <f>IF(TYPE($A81)=1,"",(Update!$K79-C$1)/C$2)</f>
        <v>-0.8138164245</v>
      </c>
      <c r="D81" s="119">
        <f>IF(TYPE($A81)=1,"",(Update!$M79-D$1)/D$2)</f>
        <v>0.3364743428</v>
      </c>
      <c r="E81" s="119">
        <f>IF(TYPE($A81)=1,"",(Update!$N79-E$1)/E$2)</f>
        <v>0.5823553673</v>
      </c>
      <c r="F81" s="119">
        <f>IF(TYPE($A81)=1,"",(Update!$O79-F$1)/F$2)</f>
        <v>0.3281131841</v>
      </c>
      <c r="G81" s="119">
        <f>IF(TYPE($A81)=1,"",(Update!$P79-G$1)/G$2)</f>
        <v>0.1850928026</v>
      </c>
      <c r="H81" s="119">
        <f>IF(TYPE($A81)=1,"",(Update!$H79-H$1)/H$2*I81/$I$1)</f>
        <v>-0.2768008168</v>
      </c>
      <c r="I81" s="119">
        <f>IF(TYPE($A81)=1,"",IF(Update!H79=0,0,Update!G79/Update!H79))</f>
        <v>12.6</v>
      </c>
      <c r="J81" s="120">
        <f>IF(TYPE($A81)=1,"",(Update!$J79-J$1)/J$2*K81/$K$1)</f>
        <v>0.02985210462</v>
      </c>
      <c r="K81" s="121">
        <f>IF(TYPE($A81)=1,"",IF(Update!J79=0,0,Update!I79/Update!J79))</f>
        <v>2.9</v>
      </c>
      <c r="L81" s="119">
        <f>IF(TYPE($A81)=1,"",-(Update!$Q79-L$1)/L$2)</f>
        <v>0.1175618177</v>
      </c>
      <c r="N81" s="124">
        <v>61.0</v>
      </c>
      <c r="O81" s="130" t="str">
        <f>IF(Update!B80="",ROW(Update!B80),Update!B80)</f>
        <v>Josh Giddey</v>
      </c>
      <c r="P81" s="131">
        <f>Update!E80</f>
        <v>74</v>
      </c>
      <c r="Q81" s="131" t="str">
        <f>IF(Update!C80="",ROW(Update!N95),Update!C80)</f>
        <v>SG,SF,PF</v>
      </c>
      <c r="R81" s="127">
        <f>VLOOKUP($O81,'NO USAR1'!$A$4:$L$403,2,False)+VLOOKUP($O81,'NO USAR1'!$A$4:$L$403,3,False)+VLOOKUP($O81,'NO USAR1'!$A$4:$L$403,4,False)+VLOOKUP($O81,'NO USAR1'!$A$4:$L$403,5,False)+VLOOKUP($O81,'NO USAR1'!$A$4:$L$403,6,False)+VLOOKUP($O81,'NO USAR1'!$A$4:$L$403,7,False)+VLOOKUP($O81,'NO USAR1'!$A$4:$L$403,8,False)+VLOOKUP($O81,'NO USAR1'!$A$4:$L$403,10,False)+VLOOKUP($O81,'NO USAR1'!$A$4:$L$403,12,False)*0</f>
        <v>-0.004844422008</v>
      </c>
      <c r="S81" s="127">
        <f>VLOOKUP($O81,'NO USAR1'!$A$4:$L$403,2,False)*$U$19+VLOOKUP($O81,'NO USAR1'!$A$4:$L$403,3,False)*$V$19+VLOOKUP($O81,'NO USAR1'!$A$4:$L$403,4,False)*$W$19+VLOOKUP($O81,'NO USAR1'!$A$4:$L$403,5,False)*$X$19+VLOOKUP($O81,'NO USAR1'!$A$4:$L$403,6,False)*$Y$19+VLOOKUP($O81,'NO USAR1'!$A$4:$L$403,7,False)*$Z$19+VLOOKUP($O81,'NO USAR1'!$A$4:$L$403,8,False)*$AA$19+VLOOKUP($O81,'NO USAR1'!$A$4:$L$403,10,False)*$AB$19+VLOOKUP($O81,'NO USAR1'!$A$4:$L$403,12,False)*$AC$19+IF(Projections!$K$3,-AN81, IF(Projections!$J$3,-AM81,0))</f>
        <v>0.6965497429</v>
      </c>
      <c r="T81" s="127">
        <f t="shared" si="1"/>
        <v>0.7013941649</v>
      </c>
      <c r="U81" s="127">
        <f>VLOOKUP($O81,Update!$B$2:$R$401,11,False)</f>
        <v>17.3</v>
      </c>
      <c r="V81" s="122">
        <f>VLOOKUP($O81,Update!$B$2:$R$401,10,False)</f>
        <v>1.1</v>
      </c>
      <c r="W81" s="127">
        <f>VLOOKUP($O81,Update!$B$2:$R$401,12,False)</f>
        <v>8.1</v>
      </c>
      <c r="X81" s="127">
        <f>VLOOKUP($O81,Update!$B$2:$R$401,13,False)</f>
        <v>6.5</v>
      </c>
      <c r="Y81" s="127">
        <f>VLOOKUP($O81,Update!$B$2:$R$401,14,False)</f>
        <v>0.9</v>
      </c>
      <c r="Z81" s="132">
        <f>VLOOKUP($O81,Update!$B$2:$R$401,15,False)</f>
        <v>0.4</v>
      </c>
      <c r="AA81" s="127">
        <f>100*VLOOKUP($O81,Update!$B$2:$R$401,7,False)</f>
        <v>47.77070064</v>
      </c>
      <c r="AB81" s="127">
        <f>100*VLOOKUP($O81,Update!$B$2:$R$401,9,False)</f>
        <v>72.22222222</v>
      </c>
      <c r="AC81" s="127">
        <f>VLOOKUP($O81,Update!$B$2:$Q$401,16,False)</f>
        <v>3</v>
      </c>
      <c r="AD81" s="127">
        <f>VLOOKUP($O81,'NO USAR1'!$A$4:$L$403,2,False)*$U$19</f>
        <v>0.007302809668</v>
      </c>
      <c r="AE81" s="127">
        <f>VLOOKUP($O81,'NO USAR1'!$A$4:$L$403,3,False)*$V$19</f>
        <v>-0.472296146</v>
      </c>
      <c r="AF81" s="127">
        <f>VLOOKUP($O81,'NO USAR1'!$A$4:$L$403,4,False)*$W$19</f>
        <v>0.838258781</v>
      </c>
      <c r="AG81" s="127">
        <f>VLOOKUP($O81,'NO USAR1'!$A$4:$L$403,5,False)*$X$19</f>
        <v>1.354625351</v>
      </c>
      <c r="AH81" s="127">
        <f>VLOOKUP($O81,'NO USAR1'!$A$4:$L$403,6,False)*$Y$19</f>
        <v>-0.2064205728</v>
      </c>
      <c r="AI81" s="127">
        <f>VLOOKUP($O81,'NO USAR1'!$A$4:$L$403,7,False)*$Z$19</f>
        <v>-0.3956983969</v>
      </c>
      <c r="AJ81" s="127">
        <f>VLOOKUP($O81,'NO USAR1'!$A$4:$L$403,8,False)*$AA$19</f>
        <v>-0.2866298439</v>
      </c>
      <c r="AK81" s="132">
        <f>VLOOKUP($O81,'NO USAR1'!$A$4:$L$403,10,False)*$AB$19</f>
        <v>-0.3027700386</v>
      </c>
      <c r="AL81" s="127">
        <f>VLOOKUP($O81,'NO USAR1'!$A$4:$L$403,12,False)*$AC$19</f>
        <v>-0.3121183469</v>
      </c>
      <c r="AM81" s="133">
        <f t="shared" si="2"/>
        <v>-0.472296146</v>
      </c>
      <c r="AN81" s="133">
        <f t="shared" si="3"/>
        <v>-0.8679945428</v>
      </c>
    </row>
    <row r="82">
      <c r="A82" s="118" t="str">
        <f>IF(Update!B80="",ROW(Update!B80),Update!B80)</f>
        <v>Josh Giddey</v>
      </c>
      <c r="B82" s="119">
        <f>IF(TYPE($A82)=1,"",(Update!$L80-B$1)/B$2)</f>
        <v>0.007302809668</v>
      </c>
      <c r="C82" s="119">
        <f>IF(TYPE($A82)=1,"",(Update!$K80-C$1)/C$2)</f>
        <v>-0.5247734955</v>
      </c>
      <c r="D82" s="119">
        <f>IF(TYPE($A82)=1,"",(Update!$M80-D$1)/D$2)</f>
        <v>0.838258781</v>
      </c>
      <c r="E82" s="119">
        <f>IF(TYPE($A82)=1,"",(Update!$N80-E$1)/E$2)</f>
        <v>1.231477592</v>
      </c>
      <c r="F82" s="119">
        <f>IF(TYPE($A82)=1,"",(Update!$O80-F$1)/F$2)</f>
        <v>-0.2948865325</v>
      </c>
      <c r="G82" s="119">
        <f>IF(TYPE($A82)=1,"",(Update!$P80-G$1)/G$2)</f>
        <v>-0.5652834241</v>
      </c>
      <c r="H82" s="119">
        <f>IF(TYPE($A82)=1,"",(Update!$H80-H$1)/H$2*I82/$I$1)</f>
        <v>-0.3184776043</v>
      </c>
      <c r="I82" s="119">
        <f>IF(TYPE($A82)=1,"",IF(Update!H80=0,0,Update!G80/Update!H80))</f>
        <v>15.7</v>
      </c>
      <c r="J82" s="120">
        <f>IF(TYPE($A82)=1,"",(Update!$J80-J$1)/J$2*K82/$K$1)</f>
        <v>-0.3784625483</v>
      </c>
      <c r="K82" s="121">
        <f>IF(TYPE($A82)=1,"",IF(Update!J80=0,0,Update!I80/Update!J80))</f>
        <v>1.8</v>
      </c>
      <c r="L82" s="119">
        <f>IF(TYPE($A82)=1,"",-(Update!$Q80-L$1)/L$2)</f>
        <v>-1.248473388</v>
      </c>
      <c r="N82" s="33">
        <v>62.0</v>
      </c>
      <c r="O82" s="130" t="str">
        <f>IF(Update!B79="",ROW(Update!B79),Update!B79)</f>
        <v>Scottie Barnes</v>
      </c>
      <c r="P82" s="131">
        <f>Update!E79</f>
        <v>76</v>
      </c>
      <c r="Q82" s="131" t="str">
        <f>IF(Update!C79="",ROW(Update!N94),Update!C79)</f>
        <v>SF,PF</v>
      </c>
      <c r="R82" s="127">
        <f>VLOOKUP($O82,'NO USAR1'!$A$4:$L$403,2,False)+VLOOKUP($O82,'NO USAR1'!$A$4:$L$403,3,False)+VLOOKUP($O82,'NO USAR1'!$A$4:$L$403,4,False)+VLOOKUP($O82,'NO USAR1'!$A$4:$L$403,5,False)+VLOOKUP($O82,'NO USAR1'!$A$4:$L$403,6,False)+VLOOKUP($O82,'NO USAR1'!$A$4:$L$403,7,False)+VLOOKUP($O82,'NO USAR1'!$A$4:$L$403,8,False)+VLOOKUP($O82,'NO USAR1'!$A$4:$L$403,10,False)+VLOOKUP($O82,'NO USAR1'!$A$4:$L$403,12,False)*0</f>
        <v>-0.00903729733</v>
      </c>
      <c r="S82" s="127">
        <f>VLOOKUP($O82,'NO USAR1'!$A$4:$L$403,2,False)*$U$19+VLOOKUP($O82,'NO USAR1'!$A$4:$L$403,3,False)*$V$19+VLOOKUP($O82,'NO USAR1'!$A$4:$L$403,4,False)*$W$19+VLOOKUP($O82,'NO USAR1'!$A$4:$L$403,5,False)*$X$19+VLOOKUP($O82,'NO USAR1'!$A$4:$L$403,6,False)*$Y$19+VLOOKUP($O82,'NO USAR1'!$A$4:$L$403,7,False)*$Z$19+VLOOKUP($O82,'NO USAR1'!$A$4:$L$403,8,False)*$AA$19+VLOOKUP($O82,'NO USAR1'!$A$4:$L$403,10,False)*$AB$19+VLOOKUP($O82,'NO USAR1'!$A$4:$L$403,12,False)*$AC$19+IF(Projections!$K$3,-AN82, IF(Projections!$J$3,-AM82,0))</f>
        <v>0.7601529831</v>
      </c>
      <c r="T82" s="127">
        <f t="shared" si="1"/>
        <v>0.7691902804</v>
      </c>
      <c r="U82" s="127">
        <f>VLOOKUP($O82,Update!$B$2:$R$401,11,False)</f>
        <v>15</v>
      </c>
      <c r="V82" s="122">
        <f>VLOOKUP($O82,Update!$B$2:$R$401,10,False)</f>
        <v>0.8</v>
      </c>
      <c r="W82" s="127">
        <f>VLOOKUP($O82,Update!$B$2:$R$401,12,False)</f>
        <v>6.9</v>
      </c>
      <c r="X82" s="127">
        <f>VLOOKUP($O82,Update!$B$2:$R$401,13,False)</f>
        <v>5.1</v>
      </c>
      <c r="Y82" s="127">
        <f>VLOOKUP($O82,Update!$B$2:$R$401,14,False)</f>
        <v>1.1</v>
      </c>
      <c r="Z82" s="132">
        <f>VLOOKUP($O82,Update!$B$2:$R$401,15,False)</f>
        <v>0.8</v>
      </c>
      <c r="AA82" s="127">
        <f>100*VLOOKUP($O82,Update!$B$2:$R$401,7,False)</f>
        <v>47.61904762</v>
      </c>
      <c r="AB82" s="127">
        <f>100*VLOOKUP($O82,Update!$B$2:$R$401,9,False)</f>
        <v>79.31034483</v>
      </c>
      <c r="AC82" s="127">
        <f>VLOOKUP($O82,Update!$B$2:$Q$401,16,False)</f>
        <v>1.9</v>
      </c>
      <c r="AD82" s="127">
        <f>VLOOKUP($O82,'NO USAR1'!$A$4:$L$403,2,False)*$U$19</f>
        <v>-0.3803078573</v>
      </c>
      <c r="AE82" s="127">
        <f>VLOOKUP($O82,'NO USAR1'!$A$4:$L$403,3,False)*$V$19</f>
        <v>-0.7324347821</v>
      </c>
      <c r="AF82" s="127">
        <f>VLOOKUP($O82,'NO USAR1'!$A$4:$L$403,4,False)*$W$19</f>
        <v>0.3364743428</v>
      </c>
      <c r="AG82" s="127">
        <f>VLOOKUP($O82,'NO USAR1'!$A$4:$L$403,5,False)*$X$19</f>
        <v>0.640590904</v>
      </c>
      <c r="AH82" s="127">
        <f>VLOOKUP($O82,'NO USAR1'!$A$4:$L$403,6,False)*$Y$19</f>
        <v>0.2296792288</v>
      </c>
      <c r="AI82" s="127">
        <f>VLOOKUP($O82,'NO USAR1'!$A$4:$L$403,7,False)*$Z$19</f>
        <v>0.1295649618</v>
      </c>
      <c r="AJ82" s="127">
        <f>VLOOKUP($O82,'NO USAR1'!$A$4:$L$403,8,False)*$AA$19</f>
        <v>-0.2491207351</v>
      </c>
      <c r="AK82" s="132">
        <f>VLOOKUP($O82,'NO USAR1'!$A$4:$L$403,10,False)*$AB$19</f>
        <v>0.0238816837</v>
      </c>
      <c r="AL82" s="127">
        <f>VLOOKUP($O82,'NO USAR1'!$A$4:$L$403,12,False)*$AC$19</f>
        <v>0.02939045442</v>
      </c>
      <c r="AM82" s="133">
        <f t="shared" si="2"/>
        <v>-0.7324347821</v>
      </c>
      <c r="AN82" s="133">
        <f t="shared" si="3"/>
        <v>-1.112742639</v>
      </c>
    </row>
    <row r="83">
      <c r="A83" s="118" t="str">
        <f>IF(Update!B81="",ROW(Update!B81),Update!B81)</f>
        <v>Klay Thompson</v>
      </c>
      <c r="B83" s="119">
        <f>IF(TYPE($A83)=1,"",(Update!$L81-B$1)/B$2)</f>
        <v>0.6645556798</v>
      </c>
      <c r="C83" s="119">
        <f>IF(TYPE($A83)=1,"",(Update!$K81-C$1)/C$2)</f>
        <v>2.462003437</v>
      </c>
      <c r="D83" s="119">
        <f>IF(TYPE($A83)=1,"",(Update!$M81-D$1)/D$2)</f>
        <v>-0.876171383</v>
      </c>
      <c r="E83" s="119">
        <f>IF(TYPE($A83)=1,"",(Update!$N81-E$1)/E$2)</f>
        <v>-0.6695232089</v>
      </c>
      <c r="F83" s="119">
        <f>IF(TYPE($A83)=1,"",(Update!$O81-F$1)/F$2)</f>
        <v>-1.229386107</v>
      </c>
      <c r="G83" s="119">
        <f>IF(TYPE($A83)=1,"",(Update!$P81-G$1)/G$2)</f>
        <v>-0.3776893674</v>
      </c>
      <c r="H83" s="119">
        <f>IF(TYPE($A83)=1,"",(Update!$H81-H$1)/H$2*I83/$I$1)</f>
        <v>-1.2524911</v>
      </c>
      <c r="I83" s="119">
        <f>IF(TYPE($A83)=1,"",IF(Update!H81=0,0,Update!G81/Update!H81))</f>
        <v>17.8</v>
      </c>
      <c r="J83" s="120">
        <f>IF(TYPE($A83)=1,"",(Update!$J81-J$1)/J$2*K83/$K$1)</f>
        <v>0.5550038125</v>
      </c>
      <c r="K83" s="121">
        <f>IF(TYPE($A83)=1,"",IF(Update!J81=0,0,Update!I81/Update!J81))</f>
        <v>1.8</v>
      </c>
      <c r="L83" s="119">
        <f>IF(TYPE($A83)=1,"",-(Update!$Q81-L$1)/L$2)</f>
        <v>0.4901168736</v>
      </c>
      <c r="N83" s="124">
        <v>63.0</v>
      </c>
      <c r="O83" s="130" t="str">
        <f>IF(Update!B86="",ROW(Update!B86),Update!B86)</f>
        <v>Kyle Kuzma</v>
      </c>
      <c r="P83" s="131">
        <f>Update!E86</f>
        <v>65</v>
      </c>
      <c r="Q83" s="131" t="str">
        <f>IF(Update!C86="",ROW(Update!N101),Update!C86)</f>
        <v>SF,PF</v>
      </c>
      <c r="R83" s="127">
        <f>VLOOKUP($O83,'NO USAR1'!$A$4:$L$403,2,False)+VLOOKUP($O83,'NO USAR1'!$A$4:$L$403,3,False)+VLOOKUP($O83,'NO USAR1'!$A$4:$L$403,4,False)+VLOOKUP($O83,'NO USAR1'!$A$4:$L$403,5,False)+VLOOKUP($O83,'NO USAR1'!$A$4:$L$403,6,False)+VLOOKUP($O83,'NO USAR1'!$A$4:$L$403,7,False)+VLOOKUP($O83,'NO USAR1'!$A$4:$L$403,8,False)+VLOOKUP($O83,'NO USAR1'!$A$4:$L$403,10,False)+VLOOKUP($O83,'NO USAR1'!$A$4:$L$403,12,False)*0</f>
        <v>-0.01167588569</v>
      </c>
      <c r="S83" s="127">
        <f>VLOOKUP($O83,'NO USAR1'!$A$4:$L$403,2,False)*$U$19+VLOOKUP($O83,'NO USAR1'!$A$4:$L$403,3,False)*$V$19+VLOOKUP($O83,'NO USAR1'!$A$4:$L$403,4,False)*$W$19+VLOOKUP($O83,'NO USAR1'!$A$4:$L$403,5,False)*$X$19+VLOOKUP($O83,'NO USAR1'!$A$4:$L$403,6,False)*$Y$19+VLOOKUP($O83,'NO USAR1'!$A$4:$L$403,7,False)*$Z$19+VLOOKUP($O83,'NO USAR1'!$A$4:$L$403,8,False)*$AA$19+VLOOKUP($O83,'NO USAR1'!$A$4:$L$403,10,False)*$AB$19+VLOOKUP($O83,'NO USAR1'!$A$4:$L$403,12,False)*$AC$19+IF(Projections!$K$3,-AN83, IF(Projections!$J$3,-AM83,0))</f>
        <v>0.9281138377</v>
      </c>
      <c r="T83" s="127">
        <f t="shared" si="1"/>
        <v>0.9397897234</v>
      </c>
      <c r="U83" s="127">
        <f>VLOOKUP($O83,Update!$B$2:$R$401,11,False)</f>
        <v>22.1</v>
      </c>
      <c r="V83" s="122">
        <f>VLOOKUP($O83,Update!$B$2:$R$401,10,False)</f>
        <v>2.6</v>
      </c>
      <c r="W83" s="127">
        <f>VLOOKUP($O83,Update!$B$2:$R$401,12,False)</f>
        <v>8.1</v>
      </c>
      <c r="X83" s="127">
        <f>VLOOKUP($O83,Update!$B$2:$R$401,13,False)</f>
        <v>3.8</v>
      </c>
      <c r="Y83" s="127">
        <f>VLOOKUP($O83,Update!$B$2:$R$401,14,False)</f>
        <v>0.7</v>
      </c>
      <c r="Z83" s="132">
        <f>VLOOKUP($O83,Update!$B$2:$R$401,15,False)</f>
        <v>0.8</v>
      </c>
      <c r="AA83" s="127">
        <f>100*VLOOKUP($O83,Update!$B$2:$R$401,7,False)</f>
        <v>44.62365591</v>
      </c>
      <c r="AB83" s="127">
        <f>100*VLOOKUP($O83,Update!$B$2:$R$401,9,False)</f>
        <v>72.5</v>
      </c>
      <c r="AC83" s="127">
        <f>VLOOKUP($O83,Update!$B$2:$Q$401,16,False)</f>
        <v>3.2</v>
      </c>
      <c r="AD83" s="127">
        <f>VLOOKUP($O83,'NO USAR1'!$A$4:$L$403,2,False)*$U$19</f>
        <v>0.8162294191</v>
      </c>
      <c r="AE83" s="127">
        <f>VLOOKUP($O83,'NO USAR1'!$A$4:$L$403,3,False)*$V$19</f>
        <v>0.8283970345</v>
      </c>
      <c r="AF83" s="127">
        <f>VLOOKUP($O83,'NO USAR1'!$A$4:$L$403,4,False)*$W$19</f>
        <v>0.838258781</v>
      </c>
      <c r="AG83" s="127">
        <f>VLOOKUP($O83,'NO USAR1'!$A$4:$L$403,5,False)*$X$19</f>
        <v>-0.02244108263</v>
      </c>
      <c r="AH83" s="127">
        <f>VLOOKUP($O83,'NO USAR1'!$A$4:$L$403,6,False)*$Y$19</f>
        <v>-0.6425203744</v>
      </c>
      <c r="AI83" s="127">
        <f>VLOOKUP($O83,'NO USAR1'!$A$4:$L$403,7,False)*$Z$19</f>
        <v>0.1295649618</v>
      </c>
      <c r="AJ83" s="127">
        <f>VLOOKUP($O83,'NO USAR1'!$A$4:$L$403,8,False)*$AA$19</f>
        <v>-0.9242601729</v>
      </c>
      <c r="AK83" s="132">
        <f>VLOOKUP($O83,'NO USAR1'!$A$4:$L$403,10,False)*$AB$19</f>
        <v>-0.6451640455</v>
      </c>
      <c r="AL83" s="127">
        <f>VLOOKUP($O83,'NO USAR1'!$A$4:$L$403,12,False)*$AC$19</f>
        <v>-0.3742108562</v>
      </c>
      <c r="AM83" s="133">
        <f t="shared" si="2"/>
        <v>-0.9242601729</v>
      </c>
      <c r="AN83" s="133">
        <f t="shared" si="3"/>
        <v>-1.569424218</v>
      </c>
    </row>
    <row r="84">
      <c r="A84" s="118" t="str">
        <f>IF(Update!B82="",ROW(Update!B82),Update!B82)</f>
        <v>Tyus Jones</v>
      </c>
      <c r="B84" s="119">
        <f>IF(TYPE($A84)=1,"",(Update!$L82-B$1)/B$2)</f>
        <v>-0.6330974228</v>
      </c>
      <c r="C84" s="119">
        <f>IF(TYPE($A84)=1,"",(Update!$K82-C$1)/C$2)</f>
        <v>0.2460076484</v>
      </c>
      <c r="D84" s="119">
        <f>IF(TYPE($A84)=1,"",(Update!$M82-D$1)/D$2)</f>
        <v>-1.085248232</v>
      </c>
      <c r="E84" s="119">
        <f>IF(TYPE($A84)=1,"",(Update!$N82-E$1)/E$2)</f>
        <v>1.648770451</v>
      </c>
      <c r="F84" s="119">
        <f>IF(TYPE($A84)=1,"",(Update!$O82-F$1)/F$2)</f>
        <v>1.262612759</v>
      </c>
      <c r="G84" s="119">
        <f>IF(TYPE($A84)=1,"",(Update!$P82-G$1)/G$2)</f>
        <v>-1.128065594</v>
      </c>
      <c r="H84" s="119">
        <f>IF(TYPE($A84)=1,"",(Update!$H82-H$1)/H$2*I84/$I$1)</f>
        <v>-0.669259342</v>
      </c>
      <c r="I84" s="119">
        <f>IF(TYPE($A84)=1,"",IF(Update!H82=0,0,Update!G82/Update!H82))</f>
        <v>11.7</v>
      </c>
      <c r="J84" s="120">
        <f>IF(TYPE($A84)=1,"",(Update!$J82-J$1)/J$2*K84/$K$1)</f>
        <v>0.04762923897</v>
      </c>
      <c r="K84" s="121">
        <f>IF(TYPE($A84)=1,"",IF(Update!J82=0,0,Update!I82/Update!J82))</f>
        <v>1.5</v>
      </c>
      <c r="L84" s="119">
        <f>IF(TYPE($A84)=1,"",-(Update!$Q82-L$1)/L$2)</f>
        <v>1.111041967</v>
      </c>
      <c r="N84" s="124">
        <v>64.0</v>
      </c>
      <c r="O84" s="130" t="str">
        <f>IF(Update!B60="",ROW(Update!B60),Update!B60)</f>
        <v>Franz Wagner</v>
      </c>
      <c r="P84" s="131">
        <f>Update!E60</f>
        <v>78</v>
      </c>
      <c r="Q84" s="131" t="str">
        <f>IF(Update!C60="",ROW(Update!N75),Update!C60)</f>
        <v>SG,SF,PF</v>
      </c>
      <c r="R84" s="127">
        <f>VLOOKUP($O84,'NO USAR1'!$A$4:$L$403,2,False)+VLOOKUP($O84,'NO USAR1'!$A$4:$L$403,3,False)+VLOOKUP($O84,'NO USAR1'!$A$4:$L$403,4,False)+VLOOKUP($O84,'NO USAR1'!$A$4:$L$403,5,False)+VLOOKUP($O84,'NO USAR1'!$A$4:$L$403,6,False)+VLOOKUP($O84,'NO USAR1'!$A$4:$L$403,7,False)+VLOOKUP($O84,'NO USAR1'!$A$4:$L$403,8,False)+VLOOKUP($O84,'NO USAR1'!$A$4:$L$403,10,False)+VLOOKUP($O84,'NO USAR1'!$A$4:$L$403,12,False)*0</f>
        <v>-0.07416612135</v>
      </c>
      <c r="S84" s="127">
        <f>VLOOKUP($O84,'NO USAR1'!$A$4:$L$403,2,False)*$U$19+VLOOKUP($O84,'NO USAR1'!$A$4:$L$403,3,False)*$V$19+VLOOKUP($O84,'NO USAR1'!$A$4:$L$403,4,False)*$W$19+VLOOKUP($O84,'NO USAR1'!$A$4:$L$403,5,False)*$X$19+VLOOKUP($O84,'NO USAR1'!$A$4:$L$403,6,False)*$Y$19+VLOOKUP($O84,'NO USAR1'!$A$4:$L$403,7,False)*$Z$19+VLOOKUP($O84,'NO USAR1'!$A$4:$L$403,8,False)*$AA$19+VLOOKUP($O84,'NO USAR1'!$A$4:$L$403,10,False)*$AB$19+VLOOKUP($O84,'NO USAR1'!$A$4:$L$403,12,False)*$AC$19+IF(Projections!$K$3,-AN84, IF(Projections!$J$3,-AM84,0))</f>
        <v>0.494667993</v>
      </c>
      <c r="T84" s="127">
        <f t="shared" si="1"/>
        <v>0.5688341144</v>
      </c>
      <c r="U84" s="127">
        <f>VLOOKUP($O84,Update!$B$2:$R$401,11,False)</f>
        <v>18.8</v>
      </c>
      <c r="V84" s="122">
        <f>VLOOKUP($O84,Update!$B$2:$R$401,10,False)</f>
        <v>1.7</v>
      </c>
      <c r="W84" s="127">
        <f>VLOOKUP($O84,Update!$B$2:$R$401,12,False)</f>
        <v>4.6</v>
      </c>
      <c r="X84" s="127">
        <f>VLOOKUP($O84,Update!$B$2:$R$401,13,False)</f>
        <v>3.6</v>
      </c>
      <c r="Y84" s="127">
        <f>VLOOKUP($O84,Update!$B$2:$R$401,14,False)</f>
        <v>1.1</v>
      </c>
      <c r="Z84" s="132">
        <f>VLOOKUP($O84,Update!$B$2:$R$401,15,False)</f>
        <v>0.3</v>
      </c>
      <c r="AA84" s="127">
        <f>100*VLOOKUP($O84,Update!$B$2:$R$401,7,False)</f>
        <v>48.92086331</v>
      </c>
      <c r="AB84" s="127">
        <f>100*VLOOKUP($O84,Update!$B$2:$R$401,9,False)</f>
        <v>85.71428571</v>
      </c>
      <c r="AC84" s="127">
        <f>VLOOKUP($O84,Update!$B$2:$Q$401,16,False)</f>
        <v>2</v>
      </c>
      <c r="AD84" s="127">
        <f>VLOOKUP($O84,'NO USAR1'!$A$4:$L$403,2,False)*$U$19</f>
        <v>0.2600923751</v>
      </c>
      <c r="AE84" s="127">
        <f>VLOOKUP($O84,'NO USAR1'!$A$4:$L$403,3,False)*$V$19</f>
        <v>0.04798112621</v>
      </c>
      <c r="AF84" s="127">
        <f>VLOOKUP($O84,'NO USAR1'!$A$4:$L$403,4,False)*$W$19</f>
        <v>-0.6252791639</v>
      </c>
      <c r="AG84" s="127">
        <f>VLOOKUP($O84,'NO USAR1'!$A$4:$L$403,5,False)*$X$19</f>
        <v>-0.1244460036</v>
      </c>
      <c r="AH84" s="127">
        <f>VLOOKUP($O84,'NO USAR1'!$A$4:$L$403,6,False)*$Y$19</f>
        <v>0.2296792288</v>
      </c>
      <c r="AI84" s="127">
        <f>VLOOKUP($O84,'NO USAR1'!$A$4:$L$403,7,False)*$Z$19</f>
        <v>-0.5270142365</v>
      </c>
      <c r="AJ84" s="127">
        <f>VLOOKUP($O84,'NO USAR1'!$A$4:$L$403,8,False)*$AA$19</f>
        <v>-0.09407666285</v>
      </c>
      <c r="AK84" s="132">
        <f>VLOOKUP($O84,'NO USAR1'!$A$4:$L$403,10,False)*$AB$19</f>
        <v>0.7041079662</v>
      </c>
      <c r="AL84" s="127">
        <f>VLOOKUP($O84,'NO USAR1'!$A$4:$L$403,12,False)*$AC$19</f>
        <v>-0.001655800249</v>
      </c>
      <c r="AM84" s="133">
        <f t="shared" si="2"/>
        <v>-0.6252791639</v>
      </c>
      <c r="AN84" s="133">
        <f t="shared" si="3"/>
        <v>-1.1522934</v>
      </c>
    </row>
    <row r="85">
      <c r="A85" s="118" t="str">
        <f>IF(Update!B83="",ROW(Update!B83),Update!B83)</f>
        <v>Paul Reed</v>
      </c>
      <c r="B85" s="119">
        <f>IF(TYPE($A85)=1,"",(Update!$L83-B$1)/B$2)</f>
        <v>-1.189234467</v>
      </c>
      <c r="C85" s="119">
        <f>IF(TYPE($A85)=1,"",(Update!$K83-C$1)/C$2)</f>
        <v>-1.488249925</v>
      </c>
      <c r="D85" s="119">
        <f>IF(TYPE($A85)=1,"",(Update!$M83-D$1)/D$2)</f>
        <v>0.4619204523</v>
      </c>
      <c r="E85" s="119">
        <f>IF(TYPE($A85)=1,"",(Update!$N83-E$1)/E$2)</f>
        <v>-1.133181941</v>
      </c>
      <c r="F85" s="119">
        <f>IF(TYPE($A85)=1,"",(Update!$O83-F$1)/F$2)</f>
        <v>0.6396130423</v>
      </c>
      <c r="G85" s="119">
        <f>IF(TYPE($A85)=1,"",(Update!$P83-G$1)/G$2)</f>
        <v>1.310657143</v>
      </c>
      <c r="H85" s="119">
        <f>IF(TYPE($A85)=1,"",(Update!$H83-H$1)/H$2*I85/$I$1)</f>
        <v>0.5905784721</v>
      </c>
      <c r="I85" s="119">
        <f>IF(TYPE($A85)=1,"",IF(Update!H83=0,0,Update!G83/Update!H83))</f>
        <v>8</v>
      </c>
      <c r="J85" s="120">
        <f>IF(TYPE($A85)=1,"",(Update!$J83-J$1)/J$2*K85/$K$1)</f>
        <v>-0.5092752949</v>
      </c>
      <c r="K85" s="121">
        <f>IF(TYPE($A85)=1,"",IF(Update!J83=0,0,Update!I83/Update!J83))</f>
        <v>1.6</v>
      </c>
      <c r="L85" s="119">
        <f>IF(TYPE($A85)=1,"",-(Update!$Q83-L$1)/L$2)</f>
        <v>0.738486911</v>
      </c>
      <c r="N85" s="33">
        <v>65.0</v>
      </c>
      <c r="O85" s="130" t="str">
        <f>IF(Update!B73="",ROW(Update!B73),Update!B73)</f>
        <v>Tyler Herro</v>
      </c>
      <c r="P85" s="131">
        <f>Update!E73</f>
        <v>67</v>
      </c>
      <c r="Q85" s="131" t="str">
        <f>IF(Update!C73="",ROW(Update!N88),Update!C73)</f>
        <v>PG,SG</v>
      </c>
      <c r="R85" s="127">
        <f>VLOOKUP($O85,'NO USAR1'!$A$4:$L$403,2,False)+VLOOKUP($O85,'NO USAR1'!$A$4:$L$403,3,False)+VLOOKUP($O85,'NO USAR1'!$A$4:$L$403,4,False)+VLOOKUP($O85,'NO USAR1'!$A$4:$L$403,5,False)+VLOOKUP($O85,'NO USAR1'!$A$4:$L$403,6,False)+VLOOKUP($O85,'NO USAR1'!$A$4:$L$403,7,False)+VLOOKUP($O85,'NO USAR1'!$A$4:$L$403,8,False)+VLOOKUP($O85,'NO USAR1'!$A$4:$L$403,10,False)+VLOOKUP($O85,'NO USAR1'!$A$4:$L$403,12,False)*0</f>
        <v>-0.1032547025</v>
      </c>
      <c r="S85" s="127">
        <f>VLOOKUP($O85,'NO USAR1'!$A$4:$L$403,2,False)*$U$19+VLOOKUP($O85,'NO USAR1'!$A$4:$L$403,3,False)*$V$19+VLOOKUP($O85,'NO USAR1'!$A$4:$L$403,4,False)*$W$19+VLOOKUP($O85,'NO USAR1'!$A$4:$L$403,5,False)*$X$19+VLOOKUP($O85,'NO USAR1'!$A$4:$L$403,6,False)*$Y$19+VLOOKUP($O85,'NO USAR1'!$A$4:$L$403,7,False)*$Z$19+VLOOKUP($O85,'NO USAR1'!$A$4:$L$403,8,False)*$AA$19+VLOOKUP($O85,'NO USAR1'!$A$4:$L$403,10,False)*$AB$19+VLOOKUP($O85,'NO USAR1'!$A$4:$L$403,12,False)*$AC$19+IF(Projections!$K$3,-AN85, IF(Projections!$J$3,-AM85,0))</f>
        <v>0.9522454295</v>
      </c>
      <c r="T85" s="127">
        <f t="shared" si="1"/>
        <v>1.055500132</v>
      </c>
      <c r="U85" s="127">
        <f>VLOOKUP($O85,Update!$B$2:$R$401,11,False)</f>
        <v>20.8</v>
      </c>
      <c r="V85" s="122">
        <f>VLOOKUP($O85,Update!$B$2:$R$401,10,False)</f>
        <v>2.9</v>
      </c>
      <c r="W85" s="127">
        <f>VLOOKUP($O85,Update!$B$2:$R$401,12,False)</f>
        <v>5.3</v>
      </c>
      <c r="X85" s="127">
        <f>VLOOKUP($O85,Update!$B$2:$R$401,13,False)</f>
        <v>4.2</v>
      </c>
      <c r="Y85" s="127">
        <f>VLOOKUP($O85,Update!$B$2:$R$401,14,False)</f>
        <v>0.7</v>
      </c>
      <c r="Z85" s="132">
        <f>VLOOKUP($O85,Update!$B$2:$R$401,15,False)</f>
        <v>0.2</v>
      </c>
      <c r="AA85" s="127">
        <f>100*VLOOKUP($O85,Update!$B$2:$R$401,7,False)</f>
        <v>44.44444444</v>
      </c>
      <c r="AB85" s="127">
        <f>100*VLOOKUP($O85,Update!$B$2:$R$401,9,False)</f>
        <v>90.32258065</v>
      </c>
      <c r="AC85" s="127">
        <f>VLOOKUP($O85,Update!$B$2:$Q$401,16,False)</f>
        <v>2.5</v>
      </c>
      <c r="AD85" s="127">
        <f>VLOOKUP($O85,'NO USAR1'!$A$4:$L$403,2,False)*$U$19</f>
        <v>0.597145129</v>
      </c>
      <c r="AE85" s="127">
        <f>VLOOKUP($O85,'NO USAR1'!$A$4:$L$403,3,False)*$V$19</f>
        <v>1.088535671</v>
      </c>
      <c r="AF85" s="127">
        <f>VLOOKUP($O85,'NO USAR1'!$A$4:$L$403,4,False)*$W$19</f>
        <v>-0.3325715749</v>
      </c>
      <c r="AG85" s="127">
        <f>VLOOKUP($O85,'NO USAR1'!$A$4:$L$403,5,False)*$X$19</f>
        <v>0.1815687594</v>
      </c>
      <c r="AH85" s="127">
        <f>VLOOKUP($O85,'NO USAR1'!$A$4:$L$403,6,False)*$Y$19</f>
        <v>-0.6425203744</v>
      </c>
      <c r="AI85" s="127">
        <f>VLOOKUP($O85,'NO USAR1'!$A$4:$L$403,7,False)*$Z$19</f>
        <v>-0.6583300762</v>
      </c>
      <c r="AJ85" s="127">
        <f>VLOOKUP($O85,'NO USAR1'!$A$4:$L$403,8,False)*$AA$19</f>
        <v>-0.8803334421</v>
      </c>
      <c r="AK85" s="132">
        <f>VLOOKUP($O85,'NO USAR1'!$A$4:$L$403,10,False)*$AB$19</f>
        <v>0.8753049696</v>
      </c>
      <c r="AL85" s="127">
        <f>VLOOKUP($O85,'NO USAR1'!$A$4:$L$403,12,False)*$AC$19</f>
        <v>-0.1568870736</v>
      </c>
      <c r="AM85" s="133">
        <f t="shared" si="2"/>
        <v>-0.8803334421</v>
      </c>
      <c r="AN85" s="133">
        <f t="shared" si="3"/>
        <v>-1.538663518</v>
      </c>
    </row>
    <row r="86">
      <c r="A86" s="118" t="str">
        <f>IF(Update!B84="",ROW(Update!B84),Update!B84)</f>
        <v>Jakob Poeltl</v>
      </c>
      <c r="B86" s="119">
        <f>IF(TYPE($A86)=1,"",(Update!$L84-B$1)/B$2)</f>
        <v>-0.7005079736</v>
      </c>
      <c r="C86" s="119">
        <f>IF(TYPE($A86)=1,"",(Update!$K84-C$1)/C$2)</f>
        <v>-1.584597568</v>
      </c>
      <c r="D86" s="119">
        <f>IF(TYPE($A86)=1,"",(Update!$M84-D$1)/D$2)</f>
        <v>1.340043219</v>
      </c>
      <c r="E86" s="119">
        <f>IF(TYPE($A86)=1,"",(Update!$N84-E$1)/E$2)</f>
        <v>-0.4840597161</v>
      </c>
      <c r="F86" s="119">
        <f>IF(TYPE($A86)=1,"",(Update!$O84-F$1)/F$2)</f>
        <v>-0.6063863908</v>
      </c>
      <c r="G86" s="119">
        <f>IF(TYPE($A86)=1,"",(Update!$P84-G$1)/G$2)</f>
        <v>1.310657143</v>
      </c>
      <c r="H86" s="119">
        <f>IF(TYPE($A86)=1,"",(Update!$H84-H$1)/H$2*I86/$I$1)</f>
        <v>1.31777468</v>
      </c>
      <c r="I86" s="119">
        <f>IF(TYPE($A86)=1,"",IF(Update!H84=0,0,Update!G84/Update!H84))</f>
        <v>9.3</v>
      </c>
      <c r="J86" s="120">
        <f>IF(TYPE($A86)=1,"",(Update!$J84-J$1)/J$2*K86/$K$1)</f>
        <v>-2.213642444</v>
      </c>
      <c r="K86" s="121">
        <f>IF(TYPE($A86)=1,"",IF(Update!J84=0,0,Update!I84/Update!J84))</f>
        <v>2.8</v>
      </c>
      <c r="L86" s="119">
        <f>IF(TYPE($A86)=1,"",-(Update!$Q84-L$1)/L$2)</f>
        <v>0.365931855</v>
      </c>
      <c r="N86" s="124">
        <v>66.0</v>
      </c>
      <c r="O86" s="130" t="str">
        <f>IF(Update!B56="",ROW(Update!B56),Update!B56)</f>
        <v>Zion Williamson</v>
      </c>
      <c r="P86" s="131">
        <f>Update!E56</f>
        <v>52</v>
      </c>
      <c r="Q86" s="131" t="str">
        <f>IF(Update!C56="",ROW(Update!N71),Update!C56)</f>
        <v>PF,C</v>
      </c>
      <c r="R86" s="127">
        <f>VLOOKUP($O86,'NO USAR1'!$A$4:$L$403,2,False)+VLOOKUP($O86,'NO USAR1'!$A$4:$L$403,3,False)+VLOOKUP($O86,'NO USAR1'!$A$4:$L$403,4,False)+VLOOKUP($O86,'NO USAR1'!$A$4:$L$403,5,False)+VLOOKUP($O86,'NO USAR1'!$A$4:$L$403,6,False)+VLOOKUP($O86,'NO USAR1'!$A$4:$L$403,7,False)+VLOOKUP($O86,'NO USAR1'!$A$4:$L$403,8,False)+VLOOKUP($O86,'NO USAR1'!$A$4:$L$403,10,False)+VLOOKUP($O86,'NO USAR1'!$A$4:$L$403,12,False)*0</f>
        <v>-0.1812825819</v>
      </c>
      <c r="S86" s="127">
        <f>VLOOKUP($O86,'NO USAR1'!$A$4:$L$403,2,False)*$U$19+VLOOKUP($O86,'NO USAR1'!$A$4:$L$403,3,False)*$V$19+VLOOKUP($O86,'NO USAR1'!$A$4:$L$403,4,False)*$W$19+VLOOKUP($O86,'NO USAR1'!$A$4:$L$403,5,False)*$X$19+VLOOKUP($O86,'NO USAR1'!$A$4:$L$403,6,False)*$Y$19+VLOOKUP($O86,'NO USAR1'!$A$4:$L$403,7,False)*$Z$19+VLOOKUP($O86,'NO USAR1'!$A$4:$L$403,8,False)*$AA$19+VLOOKUP($O86,'NO USAR1'!$A$4:$L$403,10,False)*$AB$19+VLOOKUP($O86,'NO USAR1'!$A$4:$L$403,12,False)*$AC$19+IF(Projections!$K$3,-AN86, IF(Projections!$J$3,-AM86,0))</f>
        <v>1.754882708</v>
      </c>
      <c r="T86" s="127">
        <f t="shared" si="1"/>
        <v>1.936165289</v>
      </c>
      <c r="U86" s="127">
        <f>VLOOKUP($O86,Update!$B$2:$R$401,11,False)</f>
        <v>25.3</v>
      </c>
      <c r="V86" s="122">
        <f>VLOOKUP($O86,Update!$B$2:$R$401,10,False)</f>
        <v>0.2</v>
      </c>
      <c r="W86" s="127">
        <f>VLOOKUP($O86,Update!$B$2:$R$401,12,False)</f>
        <v>6.8</v>
      </c>
      <c r="X86" s="127">
        <f>VLOOKUP($O86,Update!$B$2:$R$401,13,False)</f>
        <v>4.5</v>
      </c>
      <c r="Y86" s="127">
        <f>VLOOKUP($O86,Update!$B$2:$R$401,14,False)</f>
        <v>1</v>
      </c>
      <c r="Z86" s="132">
        <f>VLOOKUP($O86,Update!$B$2:$R$401,15,False)</f>
        <v>0.5</v>
      </c>
      <c r="AA86" s="127">
        <f>100*VLOOKUP($O86,Update!$B$2:$R$401,7,False)</f>
        <v>60.37735849</v>
      </c>
      <c r="AB86" s="127">
        <f>100*VLOOKUP($O86,Update!$B$2:$R$401,9,False)</f>
        <v>70.23809524</v>
      </c>
      <c r="AC86" s="127">
        <f>VLOOKUP($O86,Update!$B$2:$Q$401,16,False)</f>
        <v>3.4</v>
      </c>
      <c r="AD86" s="127">
        <f>VLOOKUP($O86,'NO USAR1'!$A$4:$L$403,2,False)*$U$19</f>
        <v>1.355513825</v>
      </c>
      <c r="AE86" s="127">
        <f>VLOOKUP($O86,'NO USAR1'!$A$4:$L$403,3,False)*$V$19</f>
        <v>-1.252712054</v>
      </c>
      <c r="AF86" s="127">
        <f>VLOOKUP($O86,'NO USAR1'!$A$4:$L$403,4,False)*$W$19</f>
        <v>0.2946589729</v>
      </c>
      <c r="AG86" s="127">
        <f>VLOOKUP($O86,'NO USAR1'!$A$4:$L$403,5,False)*$X$19</f>
        <v>0.334576141</v>
      </c>
      <c r="AH86" s="127">
        <f>VLOOKUP($O86,'NO USAR1'!$A$4:$L$403,6,False)*$Y$19</f>
        <v>0.01162932804</v>
      </c>
      <c r="AI86" s="127">
        <f>VLOOKUP($O86,'NO USAR1'!$A$4:$L$403,7,False)*$Z$19</f>
        <v>-0.2643825572</v>
      </c>
      <c r="AJ86" s="127">
        <f>VLOOKUP($O86,'NO USAR1'!$A$4:$L$403,8,False)*$AA$19</f>
        <v>1.711902417</v>
      </c>
      <c r="AK86" s="132">
        <f>VLOOKUP($O86,'NO USAR1'!$A$4:$L$403,10,False)*$AB$19</f>
        <v>-1.827800785</v>
      </c>
      <c r="AL86" s="127">
        <f>VLOOKUP($O86,'NO USAR1'!$A$4:$L$403,12,False)*$AC$19</f>
        <v>-0.4363033656</v>
      </c>
      <c r="AM86" s="133">
        <f t="shared" si="2"/>
        <v>-1.827800785</v>
      </c>
      <c r="AN86" s="133">
        <f t="shared" si="3"/>
        <v>-3.080512839</v>
      </c>
    </row>
    <row r="87">
      <c r="A87" s="118" t="str">
        <f>IF(Update!B85="",ROW(Update!B85),Update!B85)</f>
        <v>D'Angelo Russell</v>
      </c>
      <c r="B87" s="119">
        <f>IF(TYPE($A87)=1,"",(Update!$L85-B$1)/B$2)</f>
        <v>-0.06010774112</v>
      </c>
      <c r="C87" s="119">
        <f>IF(TYPE($A87)=1,"",(Update!$K85-C$1)/C$2)</f>
        <v>0.9204411494</v>
      </c>
      <c r="D87" s="119">
        <f>IF(TYPE($A87)=1,"",(Update!$M85-D$1)/D$2)</f>
        <v>-1.294325082</v>
      </c>
      <c r="E87" s="119">
        <f>IF(TYPE($A87)=1,"",(Update!$N85-E$1)/E$2)</f>
        <v>1.092379972</v>
      </c>
      <c r="F87" s="119">
        <f>IF(TYPE($A87)=1,"",(Update!$O85-F$1)/F$2)</f>
        <v>-0.2948865325</v>
      </c>
      <c r="G87" s="119">
        <f>IF(TYPE($A87)=1,"",(Update!$P85-G$1)/G$2)</f>
        <v>-0.5652834241</v>
      </c>
      <c r="H87" s="119">
        <f>IF(TYPE($A87)=1,"",(Update!$H85-H$1)/H$2*I87/$I$1)</f>
        <v>-0.7731136541</v>
      </c>
      <c r="I87" s="119">
        <f>IF(TYPE($A87)=1,"",IF(Update!H85=0,0,Update!G85/Update!H85))</f>
        <v>13.3</v>
      </c>
      <c r="J87" s="120">
        <f>IF(TYPE($A87)=1,"",(Update!$J85-J$1)/J$2*K87/$K$1)</f>
        <v>0.2260712246</v>
      </c>
      <c r="K87" s="121">
        <f>IF(TYPE($A87)=1,"",IF(Update!J85=0,0,Update!I85/Update!J85))</f>
        <v>3.2</v>
      </c>
      <c r="L87" s="119">
        <f>IF(TYPE($A87)=1,"",-(Update!$Q85-L$1)/L$2)</f>
        <v>-0.5033632756</v>
      </c>
      <c r="N87" s="124">
        <v>67.0</v>
      </c>
      <c r="O87" s="130" t="str">
        <f>IF(Update!B48="",ROW(Update!B48),Update!B48)</f>
        <v>Nicolas Claxton</v>
      </c>
      <c r="P87" s="131">
        <f>Update!E48</f>
        <v>75</v>
      </c>
      <c r="Q87" s="131" t="str">
        <f>IF(Update!C48="",ROW(Update!N63),Update!C48)</f>
        <v>C</v>
      </c>
      <c r="R87" s="127">
        <f>VLOOKUP($O87,'NO USAR1'!$A$4:$L$403,2,False)+VLOOKUP($O87,'NO USAR1'!$A$4:$L$403,3,False)+VLOOKUP($O87,'NO USAR1'!$A$4:$L$403,4,False)+VLOOKUP($O87,'NO USAR1'!$A$4:$L$403,5,False)+VLOOKUP($O87,'NO USAR1'!$A$4:$L$403,6,False)+VLOOKUP($O87,'NO USAR1'!$A$4:$L$403,7,False)+VLOOKUP($O87,'NO USAR1'!$A$4:$L$403,8,False)+VLOOKUP($O87,'NO USAR1'!$A$4:$L$403,10,False)+VLOOKUP($O87,'NO USAR1'!$A$4:$L$403,12,False)*0</f>
        <v>-0.2978267453</v>
      </c>
      <c r="S87" s="127">
        <f>VLOOKUP($O87,'NO USAR1'!$A$4:$L$403,2,False)*$U$19+VLOOKUP($O87,'NO USAR1'!$A$4:$L$403,3,False)*$V$19+VLOOKUP($O87,'NO USAR1'!$A$4:$L$403,4,False)*$W$19+VLOOKUP($O87,'NO USAR1'!$A$4:$L$403,5,False)*$X$19+VLOOKUP($O87,'NO USAR1'!$A$4:$L$403,6,False)*$Y$19+VLOOKUP($O87,'NO USAR1'!$A$4:$L$403,7,False)*$Z$19+VLOOKUP($O87,'NO USAR1'!$A$4:$L$403,8,False)*$AA$19+VLOOKUP($O87,'NO USAR1'!$A$4:$L$403,10,False)*$AB$19+VLOOKUP($O87,'NO USAR1'!$A$4:$L$403,12,False)*$AC$19+IF(Projections!$K$3,-AN87, IF(Projections!$J$3,-AM87,0))</f>
        <v>1.153637235</v>
      </c>
      <c r="T87" s="127">
        <f t="shared" si="1"/>
        <v>1.45146398</v>
      </c>
      <c r="U87" s="127">
        <f>VLOOKUP($O87,Update!$B$2:$R$401,11,False)</f>
        <v>12</v>
      </c>
      <c r="V87" s="122">
        <f>VLOOKUP($O87,Update!$B$2:$R$401,10,False)</f>
        <v>0</v>
      </c>
      <c r="W87" s="127">
        <f>VLOOKUP($O87,Update!$B$2:$R$401,12,False)</f>
        <v>9.1</v>
      </c>
      <c r="X87" s="127">
        <f>VLOOKUP($O87,Update!$B$2:$R$401,13,False)</f>
        <v>1.8</v>
      </c>
      <c r="Y87" s="127">
        <f>VLOOKUP($O87,Update!$B$2:$R$401,14,False)</f>
        <v>0.8</v>
      </c>
      <c r="Z87" s="132">
        <f>VLOOKUP($O87,Update!$B$2:$R$401,15,False)</f>
        <v>2.4</v>
      </c>
      <c r="AA87" s="127">
        <f>100*VLOOKUP($O87,Update!$B$2:$R$401,7,False)</f>
        <v>65.38461538</v>
      </c>
      <c r="AB87" s="127">
        <f>100*VLOOKUP($O87,Update!$B$2:$R$401,9,False)</f>
        <v>56.66666667</v>
      </c>
      <c r="AC87" s="127">
        <f>VLOOKUP($O87,Update!$B$2:$Q$401,16,False)</f>
        <v>1.3</v>
      </c>
      <c r="AD87" s="127">
        <f>VLOOKUP($O87,'NO USAR1'!$A$4:$L$403,2,False)*$U$19</f>
        <v>-0.8858869882</v>
      </c>
      <c r="AE87" s="127">
        <f>VLOOKUP($O87,'NO USAR1'!$A$4:$L$403,3,False)*$V$19</f>
        <v>-1.426137812</v>
      </c>
      <c r="AF87" s="127">
        <f>VLOOKUP($O87,'NO USAR1'!$A$4:$L$403,4,False)*$W$19</f>
        <v>1.25641248</v>
      </c>
      <c r="AG87" s="127">
        <f>VLOOKUP($O87,'NO USAR1'!$A$4:$L$403,5,False)*$X$19</f>
        <v>-1.042490293</v>
      </c>
      <c r="AH87" s="127">
        <f>VLOOKUP($O87,'NO USAR1'!$A$4:$L$403,6,False)*$Y$19</f>
        <v>-0.4244704736</v>
      </c>
      <c r="AI87" s="127">
        <f>VLOOKUP($O87,'NO USAR1'!$A$4:$L$403,7,False)*$Z$19</f>
        <v>2.230618397</v>
      </c>
      <c r="AJ87" s="127">
        <f>VLOOKUP($O87,'NO USAR1'!$A$4:$L$403,8,False)*$AA$19</f>
        <v>1.229923943</v>
      </c>
      <c r="AK87" s="132">
        <f>VLOOKUP($O87,'NO USAR1'!$A$4:$L$403,10,False)*$AB$19</f>
        <v>-1.666263758</v>
      </c>
      <c r="AL87" s="127">
        <f>VLOOKUP($O87,'NO USAR1'!$A$4:$L$403,12,False)*$AC$19</f>
        <v>0.2156679824</v>
      </c>
      <c r="AM87" s="133">
        <f t="shared" si="2"/>
        <v>-1.666263758</v>
      </c>
      <c r="AN87" s="133">
        <f t="shared" si="3"/>
        <v>-3.092401569</v>
      </c>
    </row>
    <row r="88">
      <c r="A88" s="118" t="str">
        <f>IF(Update!B86="",ROW(Update!B86),Update!B86)</f>
        <v>Kyle Kuzma</v>
      </c>
      <c r="B88" s="119">
        <f>IF(TYPE($A88)=1,"",(Update!$L86-B$1)/B$2)</f>
        <v>0.8162294191</v>
      </c>
      <c r="C88" s="119">
        <f>IF(TYPE($A88)=1,"",(Update!$K86-C$1)/C$2)</f>
        <v>0.9204411494</v>
      </c>
      <c r="D88" s="119">
        <f>IF(TYPE($A88)=1,"",(Update!$M86-D$1)/D$2)</f>
        <v>0.838258781</v>
      </c>
      <c r="E88" s="119">
        <f>IF(TYPE($A88)=1,"",(Update!$N86-E$1)/E$2)</f>
        <v>-0.0204009842</v>
      </c>
      <c r="F88" s="119">
        <f>IF(TYPE($A88)=1,"",(Update!$O86-F$1)/F$2)</f>
        <v>-0.9178862491</v>
      </c>
      <c r="G88" s="119">
        <f>IF(TYPE($A88)=1,"",(Update!$P86-G$1)/G$2)</f>
        <v>0.1850928026</v>
      </c>
      <c r="H88" s="119">
        <f>IF(TYPE($A88)=1,"",(Update!$H86-H$1)/H$2*I88/$I$1)</f>
        <v>-1.026955748</v>
      </c>
      <c r="I88" s="119">
        <f>IF(TYPE($A88)=1,"",IF(Update!H86=0,0,Update!G86/Update!H86))</f>
        <v>18.6</v>
      </c>
      <c r="J88" s="120">
        <f>IF(TYPE($A88)=1,"",(Update!$J86-J$1)/J$2*K88/$K$1)</f>
        <v>-0.8064550568</v>
      </c>
      <c r="K88" s="121">
        <f>IF(TYPE($A88)=1,"",IF(Update!J86=0,0,Update!I86/Update!J86))</f>
        <v>4</v>
      </c>
      <c r="L88" s="119">
        <f>IF(TYPE($A88)=1,"",-(Update!$Q86-L$1)/L$2)</f>
        <v>-1.496843425</v>
      </c>
      <c r="N88" s="33">
        <v>68.0</v>
      </c>
      <c r="O88" s="130" t="str">
        <f>IF(Update!B82="",ROW(Update!B82),Update!B82)</f>
        <v>Tyus Jones</v>
      </c>
      <c r="P88" s="131">
        <f>Update!E82</f>
        <v>72</v>
      </c>
      <c r="Q88" s="131" t="str">
        <f>IF(Update!C82="",ROW(Update!N97),Update!C82)</f>
        <v>PG</v>
      </c>
      <c r="R88" s="127">
        <f>VLOOKUP($O88,'NO USAR1'!$A$4:$L$403,2,False)+VLOOKUP($O88,'NO USAR1'!$A$4:$L$403,3,False)+VLOOKUP($O88,'NO USAR1'!$A$4:$L$403,4,False)+VLOOKUP($O88,'NO USAR1'!$A$4:$L$403,5,False)+VLOOKUP($O88,'NO USAR1'!$A$4:$L$403,6,False)+VLOOKUP($O88,'NO USAR1'!$A$4:$L$403,7,False)+VLOOKUP($O88,'NO USAR1'!$A$4:$L$403,8,False)+VLOOKUP($O88,'NO USAR1'!$A$4:$L$403,10,False)+VLOOKUP($O88,'NO USAR1'!$A$4:$L$403,12,False)*0</f>
        <v>-0.3106504942</v>
      </c>
      <c r="S88" s="127">
        <f>VLOOKUP($O88,'NO USAR1'!$A$4:$L$403,2,False)*$U$19+VLOOKUP($O88,'NO USAR1'!$A$4:$L$403,3,False)*$V$19+VLOOKUP($O88,'NO USAR1'!$A$4:$L$403,4,False)*$W$19+VLOOKUP($O88,'NO USAR1'!$A$4:$L$403,5,False)*$X$19+VLOOKUP($O88,'NO USAR1'!$A$4:$L$403,6,False)*$Y$19+VLOOKUP($O88,'NO USAR1'!$A$4:$L$403,7,False)*$Z$19+VLOOKUP($O88,'NO USAR1'!$A$4:$L$403,8,False)*$AA$19+VLOOKUP($O88,'NO USAR1'!$A$4:$L$403,10,False)*$AB$19+VLOOKUP($O88,'NO USAR1'!$A$4:$L$403,12,False)*$AC$19+IF(Projections!$K$3,-AN88, IF(Projections!$J$3,-AM88,0))</f>
        <v>1.209670447</v>
      </c>
      <c r="T88" s="127">
        <f t="shared" si="1"/>
        <v>1.520320941</v>
      </c>
      <c r="U88" s="127">
        <f>VLOOKUP($O88,Update!$B$2:$R$401,11,False)</f>
        <v>13.5</v>
      </c>
      <c r="V88" s="122">
        <f>VLOOKUP($O88,Update!$B$2:$R$401,10,False)</f>
        <v>1.9</v>
      </c>
      <c r="W88" s="127">
        <f>VLOOKUP($O88,Update!$B$2:$R$401,12,False)</f>
        <v>3.5</v>
      </c>
      <c r="X88" s="127">
        <f>VLOOKUP($O88,Update!$B$2:$R$401,13,False)</f>
        <v>7.4</v>
      </c>
      <c r="Y88" s="127">
        <f>VLOOKUP($O88,Update!$B$2:$R$401,14,False)</f>
        <v>1.4</v>
      </c>
      <c r="Z88" s="132">
        <f>VLOOKUP($O88,Update!$B$2:$R$401,15,False)</f>
        <v>0.1</v>
      </c>
      <c r="AA88" s="127">
        <f>100*VLOOKUP($O88,Update!$B$2:$R$401,7,False)</f>
        <v>44.44444444</v>
      </c>
      <c r="AB88" s="127">
        <f>100*VLOOKUP($O88,Update!$B$2:$R$401,9,False)</f>
        <v>80</v>
      </c>
      <c r="AC88" s="127">
        <f>VLOOKUP($O88,Update!$B$2:$Q$401,16,False)</f>
        <v>1.1</v>
      </c>
      <c r="AD88" s="127">
        <f>VLOOKUP($O88,'NO USAR1'!$A$4:$L$403,2,False)*$U$19</f>
        <v>-0.6330974228</v>
      </c>
      <c r="AE88" s="127">
        <f>VLOOKUP($O88,'NO USAR1'!$A$4:$L$403,3,False)*$V$19</f>
        <v>0.2214068836</v>
      </c>
      <c r="AF88" s="127">
        <f>VLOOKUP($O88,'NO USAR1'!$A$4:$L$403,4,False)*$W$19</f>
        <v>-1.085248232</v>
      </c>
      <c r="AG88" s="127">
        <f>VLOOKUP($O88,'NO USAR1'!$A$4:$L$403,5,False)*$X$19</f>
        <v>1.813647496</v>
      </c>
      <c r="AH88" s="127">
        <f>VLOOKUP($O88,'NO USAR1'!$A$4:$L$403,6,False)*$Y$19</f>
        <v>0.8838289312</v>
      </c>
      <c r="AI88" s="127">
        <f>VLOOKUP($O88,'NO USAR1'!$A$4:$L$403,7,False)*$Z$19</f>
        <v>-0.7896459159</v>
      </c>
      <c r="AJ88" s="127">
        <f>VLOOKUP($O88,'NO USAR1'!$A$4:$L$403,8,False)*$AA$19</f>
        <v>-0.6023334078</v>
      </c>
      <c r="AK88" s="132">
        <f>VLOOKUP($O88,'NO USAR1'!$A$4:$L$403,10,False)*$AB$19</f>
        <v>0.03810339117</v>
      </c>
      <c r="AL88" s="127">
        <f>VLOOKUP($O88,'NO USAR1'!$A$4:$L$403,12,False)*$AC$19</f>
        <v>0.2777604917</v>
      </c>
      <c r="AM88" s="133">
        <f t="shared" si="2"/>
        <v>-1.085248232</v>
      </c>
      <c r="AN88" s="133">
        <f t="shared" si="3"/>
        <v>-1.874894148</v>
      </c>
    </row>
    <row r="89">
      <c r="A89" s="118" t="str">
        <f>IF(Update!B87="",ROW(Update!B87),Update!B87)</f>
        <v>Clint Capela</v>
      </c>
      <c r="B89" s="119">
        <f>IF(TYPE($A89)=1,"",(Update!$L87-B$1)/B$2)</f>
        <v>-0.9870028144</v>
      </c>
      <c r="C89" s="119">
        <f>IF(TYPE($A89)=1,"",(Update!$K87-C$1)/C$2)</f>
        <v>-1.584597568</v>
      </c>
      <c r="D89" s="119">
        <f>IF(TYPE($A89)=1,"",(Update!$M87-D$1)/D$2)</f>
        <v>2.134535247</v>
      </c>
      <c r="E89" s="119">
        <f>IF(TYPE($A89)=1,"",(Update!$N87-E$1)/E$2)</f>
        <v>-1.27227956</v>
      </c>
      <c r="F89" s="119">
        <f>IF(TYPE($A89)=1,"",(Update!$O87-F$1)/F$2)</f>
        <v>-0.9178862491</v>
      </c>
      <c r="G89" s="119">
        <f>IF(TYPE($A89)=1,"",(Update!$P87-G$1)/G$2)</f>
        <v>0.9354690293</v>
      </c>
      <c r="H89" s="119">
        <f>IF(TYPE($A89)=1,"",(Update!$H87-H$1)/H$2*I89/$I$1)</f>
        <v>1.256488492</v>
      </c>
      <c r="I89" s="119">
        <f>IF(TYPE($A89)=1,"",IF(Update!H87=0,0,Update!G87/Update!H87))</f>
        <v>8</v>
      </c>
      <c r="J89" s="120">
        <f>IF(TYPE($A89)=1,"",(Update!$J87-J$1)/J$2*K89/$K$1)</f>
        <v>-1.426865243</v>
      </c>
      <c r="K89" s="121">
        <f>IF(TYPE($A89)=1,"",IF(Update!J87=0,0,Update!I87/Update!J87))</f>
        <v>2.1</v>
      </c>
      <c r="L89" s="119">
        <f>IF(TYPE($A89)=1,"",-(Update!$Q87-L$1)/L$2)</f>
        <v>1.607782042</v>
      </c>
      <c r="N89" s="124">
        <v>69.0</v>
      </c>
      <c r="O89" s="130" t="str">
        <f>IF(Update!B75="",ROW(Update!B75),Update!B75)</f>
        <v>Markelle Fultz</v>
      </c>
      <c r="P89" s="131">
        <f>Update!E75</f>
        <v>60</v>
      </c>
      <c r="Q89" s="131" t="str">
        <f>IF(Update!C75="",ROW(Update!N90),Update!C75)</f>
        <v>PG,SG</v>
      </c>
      <c r="R89" s="127">
        <f>VLOOKUP($O89,'NO USAR1'!$A$4:$L$403,2,False)+VLOOKUP($O89,'NO USAR1'!$A$4:$L$403,3,False)+VLOOKUP($O89,'NO USAR1'!$A$4:$L$403,4,False)+VLOOKUP($O89,'NO USAR1'!$A$4:$L$403,5,False)+VLOOKUP($O89,'NO USAR1'!$A$4:$L$403,6,False)+VLOOKUP($O89,'NO USAR1'!$A$4:$L$403,7,False)+VLOOKUP($O89,'NO USAR1'!$A$4:$L$403,8,False)+VLOOKUP($O89,'NO USAR1'!$A$4:$L$403,10,False)+VLOOKUP($O89,'NO USAR1'!$A$4:$L$403,12,False)*0</f>
        <v>-0.3330901888</v>
      </c>
      <c r="S89" s="127">
        <f>VLOOKUP($O89,'NO USAR1'!$A$4:$L$403,2,False)*$U$19+VLOOKUP($O89,'NO USAR1'!$A$4:$L$403,3,False)*$V$19+VLOOKUP($O89,'NO USAR1'!$A$4:$L$403,4,False)*$W$19+VLOOKUP($O89,'NO USAR1'!$A$4:$L$403,5,False)*$X$19+VLOOKUP($O89,'NO USAR1'!$A$4:$L$403,6,False)*$Y$19+VLOOKUP($O89,'NO USAR1'!$A$4:$L$403,7,False)*$Z$19+VLOOKUP($O89,'NO USAR1'!$A$4:$L$403,8,False)*$AA$19+VLOOKUP($O89,'NO USAR1'!$A$4:$L$403,10,False)*$AB$19+VLOOKUP($O89,'NO USAR1'!$A$4:$L$403,12,False)*$AC$19+IF(Projections!$K$3,-AN89, IF(Projections!$J$3,-AM89,0))</f>
        <v>0.5021711334</v>
      </c>
      <c r="T89" s="127">
        <f t="shared" si="1"/>
        <v>0.8352613222</v>
      </c>
      <c r="U89" s="127">
        <f>VLOOKUP($O89,Update!$B$2:$R$401,11,False)</f>
        <v>14.4</v>
      </c>
      <c r="V89" s="122">
        <f>VLOOKUP($O89,Update!$B$2:$R$401,10,False)</f>
        <v>0.4</v>
      </c>
      <c r="W89" s="127">
        <f>VLOOKUP($O89,Update!$B$2:$R$401,12,False)</f>
        <v>4</v>
      </c>
      <c r="X89" s="127">
        <f>VLOOKUP($O89,Update!$B$2:$R$401,13,False)</f>
        <v>6.2</v>
      </c>
      <c r="Y89" s="127">
        <f>VLOOKUP($O89,Update!$B$2:$R$401,14,False)</f>
        <v>1.5</v>
      </c>
      <c r="Z89" s="132">
        <f>VLOOKUP($O89,Update!$B$2:$R$401,15,False)</f>
        <v>0.4</v>
      </c>
      <c r="AA89" s="127">
        <f>100*VLOOKUP($O89,Update!$B$2:$R$401,7,False)</f>
        <v>50.42016807</v>
      </c>
      <c r="AB89" s="127">
        <f>100*VLOOKUP($O89,Update!$B$2:$R$401,9,False)</f>
        <v>79.16666667</v>
      </c>
      <c r="AC89" s="127">
        <f>VLOOKUP($O89,Update!$B$2:$Q$401,16,False)</f>
        <v>2.5</v>
      </c>
      <c r="AD89" s="127">
        <f>VLOOKUP($O89,'NO USAR1'!$A$4:$L$403,2,False)*$U$19</f>
        <v>-0.4814236835</v>
      </c>
      <c r="AE89" s="127">
        <f>VLOOKUP($O89,'NO USAR1'!$A$4:$L$403,3,False)*$V$19</f>
        <v>-1.079286297</v>
      </c>
      <c r="AF89" s="127">
        <f>VLOOKUP($O89,'NO USAR1'!$A$4:$L$403,4,False)*$W$19</f>
        <v>-0.876171383</v>
      </c>
      <c r="AG89" s="127">
        <f>VLOOKUP($O89,'NO USAR1'!$A$4:$L$403,5,False)*$X$19</f>
        <v>1.20161797</v>
      </c>
      <c r="AH89" s="127">
        <f>VLOOKUP($O89,'NO USAR1'!$A$4:$L$403,6,False)*$Y$19</f>
        <v>1.101878832</v>
      </c>
      <c r="AI89" s="127">
        <f>VLOOKUP($O89,'NO USAR1'!$A$4:$L$403,7,False)*$Z$19</f>
        <v>-0.3956983969</v>
      </c>
      <c r="AJ89" s="127">
        <f>VLOOKUP($O89,'NO USAR1'!$A$4:$L$403,8,False)*$AA$19</f>
        <v>0.09767431544</v>
      </c>
      <c r="AK89" s="132">
        <f>VLOOKUP($O89,'NO USAR1'!$A$4:$L$403,10,False)*$AB$19</f>
        <v>0.0111805533</v>
      </c>
      <c r="AL89" s="127">
        <f>VLOOKUP($O89,'NO USAR1'!$A$4:$L$403,12,False)*$AC$19</f>
        <v>-0.1568870736</v>
      </c>
      <c r="AM89" s="133">
        <f t="shared" si="2"/>
        <v>-1.079286297</v>
      </c>
      <c r="AN89" s="133">
        <f t="shared" si="3"/>
        <v>-1.95545768</v>
      </c>
    </row>
    <row r="90">
      <c r="A90" s="118" t="str">
        <f>IF(Update!B88="",ROW(Update!B88),Update!B88)</f>
        <v>Austin Reaves</v>
      </c>
      <c r="B90" s="119">
        <f>IF(TYPE($A90)=1,"",(Update!$L88-B$1)/B$2)</f>
        <v>-0.3128973066</v>
      </c>
      <c r="C90" s="119">
        <f>IF(TYPE($A90)=1,"",(Update!$K88-C$1)/C$2)</f>
        <v>-0.04303528054</v>
      </c>
      <c r="D90" s="119">
        <f>IF(TYPE($A90)=1,"",(Update!$M88-D$1)/D$2)</f>
        <v>-1.168878972</v>
      </c>
      <c r="E90" s="119">
        <f>IF(TYPE($A90)=1,"",(Update!$N88-E$1)/E$2)</f>
        <v>-0.0204009842</v>
      </c>
      <c r="F90" s="119">
        <f>IF(TYPE($A90)=1,"",(Update!$O88-F$1)/F$2)</f>
        <v>-0.9178862491</v>
      </c>
      <c r="G90" s="119">
        <f>IF(TYPE($A90)=1,"",(Update!$P88-G$1)/G$2)</f>
        <v>-0.3776893674</v>
      </c>
      <c r="H90" s="119">
        <f>IF(TYPE($A90)=1,"",(Update!$H88-H$1)/H$2*I90/$I$1)</f>
        <v>0.04456681977</v>
      </c>
      <c r="I90" s="119">
        <f>IF(TYPE($A90)=1,"",IF(Update!H88=0,0,Update!G88/Update!H88))</f>
        <v>10</v>
      </c>
      <c r="J90" s="120">
        <f>IF(TYPE($A90)=1,"",(Update!$J88-J$1)/J$2*K90/$K$1)</f>
        <v>1.076354078</v>
      </c>
      <c r="K90" s="121">
        <f>IF(TYPE($A90)=1,"",IF(Update!J88=0,0,Update!I88/Update!J88))</f>
        <v>4.5</v>
      </c>
      <c r="L90" s="119">
        <f>IF(TYPE($A90)=1,"",-(Update!$Q88-L$1)/L$2)</f>
        <v>0.4901168736</v>
      </c>
      <c r="N90" s="124">
        <v>70.0</v>
      </c>
      <c r="O90" s="130" t="str">
        <f>IF(Update!B54="",ROW(Update!B54),Update!B54)</f>
        <v>Chet Holmgren</v>
      </c>
      <c r="P90" s="131">
        <f>Update!E54</f>
        <v>64</v>
      </c>
      <c r="Q90" s="131" t="str">
        <f>IF(Update!C54="",ROW(Update!N69),Update!C54)</f>
        <v>PF,C</v>
      </c>
      <c r="R90" s="127">
        <f>VLOOKUP($O90,'NO USAR1'!$A$4:$L$403,2,False)+VLOOKUP($O90,'NO USAR1'!$A$4:$L$403,3,False)+VLOOKUP($O90,'NO USAR1'!$A$4:$L$403,4,False)+VLOOKUP($O90,'NO USAR1'!$A$4:$L$403,5,False)+VLOOKUP($O90,'NO USAR1'!$A$4:$L$403,6,False)+VLOOKUP($O90,'NO USAR1'!$A$4:$L$403,7,False)+VLOOKUP($O90,'NO USAR1'!$A$4:$L$403,8,False)+VLOOKUP($O90,'NO USAR1'!$A$4:$L$403,10,False)+VLOOKUP($O90,'NO USAR1'!$A$4:$L$403,12,False)*0</f>
        <v>-0.3481614759</v>
      </c>
      <c r="S90" s="127">
        <f>VLOOKUP($O90,'NO USAR1'!$A$4:$L$403,2,False)*$U$19+VLOOKUP($O90,'NO USAR1'!$A$4:$L$403,3,False)*$V$19+VLOOKUP($O90,'NO USAR1'!$A$4:$L$403,4,False)*$W$19+VLOOKUP($O90,'NO USAR1'!$A$4:$L$403,5,False)*$X$19+VLOOKUP($O90,'NO USAR1'!$A$4:$L$403,6,False)*$Y$19+VLOOKUP($O90,'NO USAR1'!$A$4:$L$403,7,False)*$Z$19+VLOOKUP($O90,'NO USAR1'!$A$4:$L$403,8,False)*$AA$19+VLOOKUP($O90,'NO USAR1'!$A$4:$L$403,10,False)*$AB$19+VLOOKUP($O90,'NO USAR1'!$A$4:$L$403,12,False)*$AC$19+IF(Projections!$K$3,-AN90, IF(Projections!$J$3,-AM90,0))</f>
        <v>0.8202320935</v>
      </c>
      <c r="T90" s="127">
        <f t="shared" si="1"/>
        <v>1.168393569</v>
      </c>
      <c r="U90" s="127">
        <f>VLOOKUP($O90,Update!$B$2:$R$401,11,False)</f>
        <v>14.3</v>
      </c>
      <c r="V90" s="122">
        <f>VLOOKUP($O90,Update!$B$2:$R$401,10,False)</f>
        <v>1.3</v>
      </c>
      <c r="W90" s="127">
        <f>VLOOKUP($O90,Update!$B$2:$R$401,12,False)</f>
        <v>9.2</v>
      </c>
      <c r="X90" s="127">
        <f>VLOOKUP($O90,Update!$B$2:$R$401,13,False)</f>
        <v>1.6</v>
      </c>
      <c r="Y90" s="127">
        <f>VLOOKUP($O90,Update!$B$2:$R$401,14,False)</f>
        <v>0.5</v>
      </c>
      <c r="Z90" s="132">
        <f>VLOOKUP($O90,Update!$B$2:$R$401,15,False)</f>
        <v>2</v>
      </c>
      <c r="AA90" s="127">
        <f>100*VLOOKUP($O90,Update!$B$2:$R$401,7,False)</f>
        <v>48.07692308</v>
      </c>
      <c r="AB90" s="127">
        <f>100*VLOOKUP($O90,Update!$B$2:$R$401,9,False)</f>
        <v>75</v>
      </c>
      <c r="AC90" s="127">
        <f>VLOOKUP($O90,Update!$B$2:$Q$401,16,False)</f>
        <v>1.2</v>
      </c>
      <c r="AD90" s="127">
        <f>VLOOKUP($O90,'NO USAR1'!$A$4:$L$403,2,False)*$U$19</f>
        <v>-0.4982763212</v>
      </c>
      <c r="AE90" s="127">
        <f>VLOOKUP($O90,'NO USAR1'!$A$4:$L$403,3,False)*$V$19</f>
        <v>-0.2988703886</v>
      </c>
      <c r="AF90" s="127">
        <f>VLOOKUP($O90,'NO USAR1'!$A$4:$L$403,4,False)*$W$19</f>
        <v>1.298227849</v>
      </c>
      <c r="AG90" s="127">
        <f>VLOOKUP($O90,'NO USAR1'!$A$4:$L$403,5,False)*$X$19</f>
        <v>-1.144495214</v>
      </c>
      <c r="AH90" s="127">
        <f>VLOOKUP($O90,'NO USAR1'!$A$4:$L$403,6,False)*$Y$19</f>
        <v>-1.078620176</v>
      </c>
      <c r="AI90" s="127">
        <f>VLOOKUP($O90,'NO USAR1'!$A$4:$L$403,7,False)*$Z$19</f>
        <v>1.705355038</v>
      </c>
      <c r="AJ90" s="127">
        <f>VLOOKUP($O90,'NO USAR1'!$A$4:$L$403,8,False)*$AA$19</f>
        <v>-0.1580584625</v>
      </c>
      <c r="AK90" s="132">
        <f>VLOOKUP($O90,'NO USAR1'!$A$4:$L$403,10,False)*$AB$19</f>
        <v>-0.3962396826</v>
      </c>
      <c r="AL90" s="127">
        <f>VLOOKUP($O90,'NO USAR1'!$A$4:$L$403,12,False)*$AC$19</f>
        <v>0.2467142371</v>
      </c>
      <c r="AM90" s="133">
        <f t="shared" si="2"/>
        <v>-1.144495214</v>
      </c>
      <c r="AN90" s="133">
        <f t="shared" si="3"/>
        <v>-2.22311539</v>
      </c>
    </row>
    <row r="91">
      <c r="A91" s="118" t="str">
        <f>IF(Update!B89="",ROW(Update!B89),Update!B89)</f>
        <v>CJ McCollum</v>
      </c>
      <c r="B91" s="119">
        <f>IF(TYPE($A91)=1,"",(Update!$L89-B$1)/B$2)</f>
        <v>0.5465872159</v>
      </c>
      <c r="C91" s="119">
        <f>IF(TYPE($A91)=1,"",(Update!$K89-C$1)/C$2)</f>
        <v>1.016788792</v>
      </c>
      <c r="D91" s="119">
        <f>IF(TYPE($A91)=1,"",(Update!$M89-D$1)/D$2)</f>
        <v>-0.7925406433</v>
      </c>
      <c r="E91" s="119">
        <f>IF(TYPE($A91)=1,"",(Update!$N89-E$1)/E$2)</f>
        <v>0.6287212405</v>
      </c>
      <c r="F91" s="119">
        <f>IF(TYPE($A91)=1,"",(Update!$O89-F$1)/F$2)</f>
        <v>0.01661332578</v>
      </c>
      <c r="G91" s="119">
        <f>IF(TYPE($A91)=1,"",(Update!$P89-G$1)/G$2)</f>
        <v>-0.5652834241</v>
      </c>
      <c r="H91" s="119">
        <f>IF(TYPE($A91)=1,"",(Update!$H89-H$1)/H$2*I91/$I$1)</f>
        <v>-0.9763655962</v>
      </c>
      <c r="I91" s="119">
        <f>IF(TYPE($A91)=1,"",IF(Update!H89=0,0,Update!G89/Update!H89))</f>
        <v>17.5</v>
      </c>
      <c r="J91" s="120">
        <f>IF(TYPE($A91)=1,"",(Update!$J89-J$1)/J$2*K91/$K$1)</f>
        <v>-0.3467097223</v>
      </c>
      <c r="K91" s="121">
        <f>IF(TYPE($A91)=1,"",IF(Update!J89=0,0,Update!I89/Update!J89))</f>
        <v>2.8</v>
      </c>
      <c r="L91" s="119">
        <f>IF(TYPE($A91)=1,"",-(Update!$Q89-L$1)/L$2)</f>
        <v>-0.2549932383</v>
      </c>
      <c r="N91" s="33">
        <v>71.0</v>
      </c>
      <c r="O91" s="130" t="str">
        <f>IF(Update!B72="",ROW(Update!B72),Update!B72)</f>
        <v>Josh Hart</v>
      </c>
      <c r="P91" s="131">
        <f>Update!E72</f>
        <v>74</v>
      </c>
      <c r="Q91" s="131" t="str">
        <f>IF(Update!C72="",ROW(Update!N87),Update!C72)</f>
        <v>SG,SF</v>
      </c>
      <c r="R91" s="127">
        <f>VLOOKUP($O91,'NO USAR1'!$A$4:$L$403,2,False)+VLOOKUP($O91,'NO USAR1'!$A$4:$L$403,3,False)+VLOOKUP($O91,'NO USAR1'!$A$4:$L$403,4,False)+VLOOKUP($O91,'NO USAR1'!$A$4:$L$403,5,False)+VLOOKUP($O91,'NO USAR1'!$A$4:$L$403,6,False)+VLOOKUP($O91,'NO USAR1'!$A$4:$L$403,7,False)+VLOOKUP($O91,'NO USAR1'!$A$4:$L$403,8,False)+VLOOKUP($O91,'NO USAR1'!$A$4:$L$403,10,False)+VLOOKUP($O91,'NO USAR1'!$A$4:$L$403,12,False)*0</f>
        <v>-0.3660430237</v>
      </c>
      <c r="S91" s="127">
        <f>VLOOKUP($O91,'NO USAR1'!$A$4:$L$403,2,False)*$U$19+VLOOKUP($O91,'NO USAR1'!$A$4:$L$403,3,False)*$V$19+VLOOKUP($O91,'NO USAR1'!$A$4:$L$403,4,False)*$W$19+VLOOKUP($O91,'NO USAR1'!$A$4:$L$403,5,False)*$X$19+VLOOKUP($O91,'NO USAR1'!$A$4:$L$403,6,False)*$Y$19+VLOOKUP($O91,'NO USAR1'!$A$4:$L$403,7,False)*$Z$19+VLOOKUP($O91,'NO USAR1'!$A$4:$L$403,8,False)*$AA$19+VLOOKUP($O91,'NO USAR1'!$A$4:$L$403,10,False)*$AB$19+VLOOKUP($O91,'NO USAR1'!$A$4:$L$403,12,False)*$AC$19+IF(Projections!$K$3,-AN91, IF(Projections!$J$3,-AM91,0))</f>
        <v>0.4982812236</v>
      </c>
      <c r="T91" s="127">
        <f t="shared" si="1"/>
        <v>0.8643242473</v>
      </c>
      <c r="U91" s="127">
        <f>VLOOKUP($O91,Update!$B$2:$R$401,11,False)</f>
        <v>11.8</v>
      </c>
      <c r="V91" s="122">
        <f>VLOOKUP($O91,Update!$B$2:$R$401,10,False)</f>
        <v>1</v>
      </c>
      <c r="W91" s="127">
        <f>VLOOKUP($O91,Update!$B$2:$R$401,12,False)</f>
        <v>7.5</v>
      </c>
      <c r="X91" s="127">
        <f>VLOOKUP($O91,Update!$B$2:$R$401,13,False)</f>
        <v>3.9</v>
      </c>
      <c r="Y91" s="127">
        <f>VLOOKUP($O91,Update!$B$2:$R$401,14,False)</f>
        <v>1.4</v>
      </c>
      <c r="Z91" s="132">
        <f>VLOOKUP($O91,Update!$B$2:$R$401,15,False)</f>
        <v>0.5</v>
      </c>
      <c r="AA91" s="127">
        <f>100*VLOOKUP($O91,Update!$B$2:$R$401,7,False)</f>
        <v>51.80722892</v>
      </c>
      <c r="AB91" s="127">
        <f>100*VLOOKUP($O91,Update!$B$2:$R$401,9,False)</f>
        <v>73.33333333</v>
      </c>
      <c r="AC91" s="127">
        <f>VLOOKUP($O91,Update!$B$2:$Q$401,16,False)</f>
        <v>1.8</v>
      </c>
      <c r="AD91" s="127">
        <f>VLOOKUP($O91,'NO USAR1'!$A$4:$L$403,2,False)*$U$19</f>
        <v>-0.9195922636</v>
      </c>
      <c r="AE91" s="127">
        <f>VLOOKUP($O91,'NO USAR1'!$A$4:$L$403,3,False)*$V$19</f>
        <v>-0.5590090247</v>
      </c>
      <c r="AF91" s="127">
        <f>VLOOKUP($O91,'NO USAR1'!$A$4:$L$403,4,False)*$W$19</f>
        <v>0.5873665619</v>
      </c>
      <c r="AG91" s="127">
        <f>VLOOKUP($O91,'NO USAR1'!$A$4:$L$403,5,False)*$X$19</f>
        <v>0.02856137789</v>
      </c>
      <c r="AH91" s="127">
        <f>VLOOKUP($O91,'NO USAR1'!$A$4:$L$403,6,False)*$Y$19</f>
        <v>0.8838289312</v>
      </c>
      <c r="AI91" s="127">
        <f>VLOOKUP($O91,'NO USAR1'!$A$4:$L$403,7,False)*$Z$19</f>
        <v>-0.2643825572</v>
      </c>
      <c r="AJ91" s="127">
        <f>VLOOKUP($O91,'NO USAR1'!$A$4:$L$403,8,False)*$AA$19</f>
        <v>0.1831211688</v>
      </c>
      <c r="AK91" s="132">
        <f>VLOOKUP($O91,'NO USAR1'!$A$4:$L$403,10,False)*$AB$19</f>
        <v>-0.4216419434</v>
      </c>
      <c r="AL91" s="127">
        <f>VLOOKUP($O91,'NO USAR1'!$A$4:$L$403,12,False)*$AC$19</f>
        <v>0.06043670908</v>
      </c>
      <c r="AM91" s="133">
        <f t="shared" si="2"/>
        <v>-0.9195922636</v>
      </c>
      <c r="AN91" s="133">
        <f t="shared" si="3"/>
        <v>-1.478601288</v>
      </c>
    </row>
    <row r="92">
      <c r="A92" s="118" t="str">
        <f>IF(Update!B90="",ROW(Update!B90),Update!B90)</f>
        <v>Zach Collins</v>
      </c>
      <c r="B92" s="119">
        <f>IF(TYPE($A92)=1,"",(Update!$L90-B$1)/B$2)</f>
        <v>-0.6836553359</v>
      </c>
      <c r="C92" s="119">
        <f>IF(TYPE($A92)=1,"",(Update!$K90-C$1)/C$2)</f>
        <v>-0.6211211385</v>
      </c>
      <c r="D92" s="119">
        <f>IF(TYPE($A92)=1,"",(Update!$M90-D$1)/D$2)</f>
        <v>0.5455511921</v>
      </c>
      <c r="E92" s="119">
        <f>IF(TYPE($A92)=1,"",(Update!$N90-E$1)/E$2)</f>
        <v>-0.205864477</v>
      </c>
      <c r="F92" s="119">
        <f>IF(TYPE($A92)=1,"",(Update!$O90-F$1)/F$2)</f>
        <v>-0.9178862491</v>
      </c>
      <c r="G92" s="119">
        <f>IF(TYPE($A92)=1,"",(Update!$P90-G$1)/G$2)</f>
        <v>0.5602809159</v>
      </c>
      <c r="H92" s="119">
        <f>IF(TYPE($A92)=1,"",(Update!$H90-H$1)/H$2*I92/$I$1)</f>
        <v>0.0996136532</v>
      </c>
      <c r="I92" s="119">
        <f>IF(TYPE($A92)=1,"",IF(Update!H90=0,0,Update!G90/Update!H90))</f>
        <v>9.9</v>
      </c>
      <c r="J92" s="120">
        <f>IF(TYPE($A92)=1,"",(Update!$J90-J$1)/J$2*K92/$K$1)</f>
        <v>-0.281303349</v>
      </c>
      <c r="K92" s="121">
        <f>IF(TYPE($A92)=1,"",IF(Update!J90=0,0,Update!I90/Update!J90))</f>
        <v>2.9</v>
      </c>
      <c r="L92" s="119">
        <f>IF(TYPE($A92)=1,"",-(Update!$Q90-L$1)/L$2)</f>
        <v>-0.6275482943</v>
      </c>
      <c r="N92" s="124">
        <v>72.0</v>
      </c>
      <c r="O92" s="130" t="str">
        <f>IF(Update!B49="",ROW(Update!B49),Update!B49)</f>
        <v>Deandre Ayton</v>
      </c>
      <c r="P92" s="131">
        <f>Update!E49</f>
        <v>69</v>
      </c>
      <c r="Q92" s="131" t="str">
        <f>IF(Update!C49="",ROW(Update!N64),Update!C49)</f>
        <v>C</v>
      </c>
      <c r="R92" s="127">
        <f>VLOOKUP($O92,'NO USAR1'!$A$4:$L$403,2,False)+VLOOKUP($O92,'NO USAR1'!$A$4:$L$403,3,False)+VLOOKUP($O92,'NO USAR1'!$A$4:$L$403,4,False)+VLOOKUP($O92,'NO USAR1'!$A$4:$L$403,5,False)+VLOOKUP($O92,'NO USAR1'!$A$4:$L$403,6,False)+VLOOKUP($O92,'NO USAR1'!$A$4:$L$403,7,False)+VLOOKUP($O92,'NO USAR1'!$A$4:$L$403,8,False)+VLOOKUP($O92,'NO USAR1'!$A$4:$L$403,10,False)+VLOOKUP($O92,'NO USAR1'!$A$4:$L$403,12,False)*0</f>
        <v>-0.3955640084</v>
      </c>
      <c r="S92" s="127">
        <f>VLOOKUP($O92,'NO USAR1'!$A$4:$L$403,2,False)*$U$19+VLOOKUP($O92,'NO USAR1'!$A$4:$L$403,3,False)*$V$19+VLOOKUP($O92,'NO USAR1'!$A$4:$L$403,4,False)*$W$19+VLOOKUP($O92,'NO USAR1'!$A$4:$L$403,5,False)*$X$19+VLOOKUP($O92,'NO USAR1'!$A$4:$L$403,6,False)*$Y$19+VLOOKUP($O92,'NO USAR1'!$A$4:$L$403,7,False)*$Z$19+VLOOKUP($O92,'NO USAR1'!$A$4:$L$403,8,False)*$AA$19+VLOOKUP($O92,'NO USAR1'!$A$4:$L$403,10,False)*$AB$19+VLOOKUP($O92,'NO USAR1'!$A$4:$L$403,12,False)*$AC$19+IF(Projections!$K$3,-AN92, IF(Projections!$J$3,-AM92,0))</f>
        <v>1.239452221</v>
      </c>
      <c r="T92" s="127">
        <f t="shared" si="1"/>
        <v>1.63501623</v>
      </c>
      <c r="U92" s="127">
        <f>VLOOKUP($O92,Update!$B$2:$R$401,11,False)</f>
        <v>18.9</v>
      </c>
      <c r="V92" s="122">
        <f>VLOOKUP($O92,Update!$B$2:$R$401,10,False)</f>
        <v>0.1</v>
      </c>
      <c r="W92" s="127">
        <f>VLOOKUP($O92,Update!$B$2:$R$401,12,False)</f>
        <v>10.1</v>
      </c>
      <c r="X92" s="127">
        <f>VLOOKUP($O92,Update!$B$2:$R$401,13,False)</f>
        <v>1.7</v>
      </c>
      <c r="Y92" s="127">
        <f>VLOOKUP($O92,Update!$B$2:$R$401,14,False)</f>
        <v>0.7</v>
      </c>
      <c r="Z92" s="132">
        <f>VLOOKUP($O92,Update!$B$2:$R$401,15,False)</f>
        <v>0.8</v>
      </c>
      <c r="AA92" s="127">
        <f>100*VLOOKUP($O92,Update!$B$2:$R$401,7,False)</f>
        <v>58.45070423</v>
      </c>
      <c r="AB92" s="127">
        <f>100*VLOOKUP($O92,Update!$B$2:$R$401,9,False)</f>
        <v>73.33333333</v>
      </c>
      <c r="AC92" s="127">
        <f>VLOOKUP($O92,Update!$B$2:$Q$401,16,False)</f>
        <v>1.8</v>
      </c>
      <c r="AD92" s="127">
        <f>VLOOKUP($O92,'NO USAR1'!$A$4:$L$403,2,False)*$U$19</f>
        <v>0.2769450128</v>
      </c>
      <c r="AE92" s="127">
        <f>VLOOKUP($O92,'NO USAR1'!$A$4:$L$403,3,False)*$V$19</f>
        <v>-1.339424933</v>
      </c>
      <c r="AF92" s="127">
        <f>VLOOKUP($O92,'NO USAR1'!$A$4:$L$403,4,False)*$W$19</f>
        <v>1.674566178</v>
      </c>
      <c r="AG92" s="127">
        <f>VLOOKUP($O92,'NO USAR1'!$A$4:$L$403,5,False)*$X$19</f>
        <v>-1.093492753</v>
      </c>
      <c r="AH92" s="127">
        <f>VLOOKUP($O92,'NO USAR1'!$A$4:$L$403,6,False)*$Y$19</f>
        <v>-0.6425203744</v>
      </c>
      <c r="AI92" s="127">
        <f>VLOOKUP($O92,'NO USAR1'!$A$4:$L$403,7,False)*$Z$19</f>
        <v>0.1295649618</v>
      </c>
      <c r="AJ92" s="127">
        <f>VLOOKUP($O92,'NO USAR1'!$A$4:$L$403,8,False)*$AA$19</f>
        <v>1.255594431</v>
      </c>
      <c r="AK92" s="132">
        <f>VLOOKUP($O92,'NO USAR1'!$A$4:$L$403,10,False)*$AB$19</f>
        <v>-0.4216419434</v>
      </c>
      <c r="AL92" s="127">
        <f>VLOOKUP($O92,'NO USAR1'!$A$4:$L$403,12,False)*$AC$19</f>
        <v>0.06043670908</v>
      </c>
      <c r="AM92" s="133">
        <f t="shared" si="2"/>
        <v>-1.339424933</v>
      </c>
      <c r="AN92" s="133">
        <f t="shared" si="3"/>
        <v>-2.432917686</v>
      </c>
    </row>
    <row r="93">
      <c r="A93" s="118" t="str">
        <f>IF(Update!B91="",ROW(Update!B91),Update!B91)</f>
        <v>John Collins</v>
      </c>
      <c r="B93" s="119">
        <f>IF(TYPE($A93)=1,"",(Update!$L91-B$1)/B$2)</f>
        <v>-0.4814236835</v>
      </c>
      <c r="C93" s="119">
        <f>IF(TYPE($A93)=1,"",(Update!$K91-C$1)/C$2)</f>
        <v>-0.5247734955</v>
      </c>
      <c r="D93" s="119">
        <f>IF(TYPE($A93)=1,"",(Update!$M91-D$1)/D$2)</f>
        <v>0.4201050825</v>
      </c>
      <c r="E93" s="119">
        <f>IF(TYPE($A93)=1,"",(Update!$N91-E$1)/E$2)</f>
        <v>-1.086816068</v>
      </c>
      <c r="F93" s="119">
        <f>IF(TYPE($A93)=1,"",(Update!$O91-F$1)/F$2)</f>
        <v>-1.229386107</v>
      </c>
      <c r="G93" s="119">
        <f>IF(TYPE($A93)=1,"",(Update!$P91-G$1)/G$2)</f>
        <v>0.5602809159</v>
      </c>
      <c r="H93" s="119">
        <f>IF(TYPE($A93)=1,"",(Update!$H91-H$1)/H$2*I93/$I$1)</f>
        <v>0.2701021719</v>
      </c>
      <c r="I93" s="119">
        <f>IF(TYPE($A93)=1,"",IF(Update!H91=0,0,Update!G91/Update!H91))</f>
        <v>10.8</v>
      </c>
      <c r="J93" s="120">
        <f>IF(TYPE($A93)=1,"",(Update!$J91-J$1)/J$2*K93/$K$1)</f>
        <v>-0.03555426869</v>
      </c>
      <c r="K93" s="121">
        <f>IF(TYPE($A93)=1,"",IF(Update!J91=0,0,Update!I91/Update!J91))</f>
        <v>2.8</v>
      </c>
      <c r="L93" s="119">
        <f>IF(TYPE($A93)=1,"",-(Update!$Q91-L$1)/L$2)</f>
        <v>1.111041967</v>
      </c>
      <c r="N93" s="124">
        <v>73.0</v>
      </c>
      <c r="O93" s="130" t="str">
        <f>IF(Update!B89="",ROW(Update!B89),Update!B89)</f>
        <v>CJ McCollum</v>
      </c>
      <c r="P93" s="131">
        <f>Update!E89</f>
        <v>72</v>
      </c>
      <c r="Q93" s="131" t="str">
        <f>IF(Update!C89="",ROW(Update!N104),Update!C89)</f>
        <v>PG,SG</v>
      </c>
      <c r="R93" s="127">
        <f>VLOOKUP($O93,'NO USAR1'!$A$4:$L$403,2,False)+VLOOKUP($O93,'NO USAR1'!$A$4:$L$403,3,False)+VLOOKUP($O93,'NO USAR1'!$A$4:$L$403,4,False)+VLOOKUP($O93,'NO USAR1'!$A$4:$L$403,5,False)+VLOOKUP($O93,'NO USAR1'!$A$4:$L$403,6,False)+VLOOKUP($O93,'NO USAR1'!$A$4:$L$403,7,False)+VLOOKUP($O93,'NO USAR1'!$A$4:$L$403,8,False)+VLOOKUP($O93,'NO USAR1'!$A$4:$L$403,10,False)+VLOOKUP($O93,'NO USAR1'!$A$4:$L$403,12,False)*0</f>
        <v>-0.4721888114</v>
      </c>
      <c r="S93" s="127">
        <f>VLOOKUP($O93,'NO USAR1'!$A$4:$L$403,2,False)*$U$19+VLOOKUP($O93,'NO USAR1'!$A$4:$L$403,3,False)*$V$19+VLOOKUP($O93,'NO USAR1'!$A$4:$L$403,4,False)*$W$19+VLOOKUP($O93,'NO USAR1'!$A$4:$L$403,5,False)*$X$19+VLOOKUP($O93,'NO USAR1'!$A$4:$L$403,6,False)*$Y$19+VLOOKUP($O93,'NO USAR1'!$A$4:$L$403,7,False)*$Z$19+VLOOKUP($O93,'NO USAR1'!$A$4:$L$403,8,False)*$AA$19+VLOOKUP($O93,'NO USAR1'!$A$4:$L$403,10,False)*$AB$19+VLOOKUP($O93,'NO USAR1'!$A$4:$L$403,12,False)*$AC$19+IF(Projections!$K$3,-AN93, IF(Projections!$J$3,-AM93,0))</f>
        <v>0.6355646941</v>
      </c>
      <c r="T93" s="127">
        <f t="shared" si="1"/>
        <v>1.107753505</v>
      </c>
      <c r="U93" s="127">
        <f>VLOOKUP($O93,Update!$B$2:$R$401,11,False)</f>
        <v>20.5</v>
      </c>
      <c r="V93" s="122">
        <f>VLOOKUP($O93,Update!$B$2:$R$401,10,False)</f>
        <v>2.7</v>
      </c>
      <c r="W93" s="127">
        <f>VLOOKUP($O93,Update!$B$2:$R$401,12,False)</f>
        <v>4.2</v>
      </c>
      <c r="X93" s="127">
        <f>VLOOKUP($O93,Update!$B$2:$R$401,13,False)</f>
        <v>5.2</v>
      </c>
      <c r="Y93" s="127">
        <f>VLOOKUP($O93,Update!$B$2:$R$401,14,False)</f>
        <v>1</v>
      </c>
      <c r="Z93" s="132">
        <f>VLOOKUP($O93,Update!$B$2:$R$401,15,False)</f>
        <v>0.4</v>
      </c>
      <c r="AA93" s="127">
        <f>100*VLOOKUP($O93,Update!$B$2:$R$401,7,False)</f>
        <v>44.57142857</v>
      </c>
      <c r="AB93" s="127">
        <f>100*VLOOKUP($O93,Update!$B$2:$R$401,9,False)</f>
        <v>75</v>
      </c>
      <c r="AC93" s="127">
        <f>VLOOKUP($O93,Update!$B$2:$Q$401,16,False)</f>
        <v>2.2</v>
      </c>
      <c r="AD93" s="127">
        <f>VLOOKUP($O93,'NO USAR1'!$A$4:$L$403,2,False)*$U$19</f>
        <v>0.5465872159</v>
      </c>
      <c r="AE93" s="127">
        <f>VLOOKUP($O93,'NO USAR1'!$A$4:$L$403,3,False)*$V$19</f>
        <v>0.9151099132</v>
      </c>
      <c r="AF93" s="127">
        <f>VLOOKUP($O93,'NO USAR1'!$A$4:$L$403,4,False)*$W$19</f>
        <v>-0.7925406433</v>
      </c>
      <c r="AG93" s="127">
        <f>VLOOKUP($O93,'NO USAR1'!$A$4:$L$403,5,False)*$X$19</f>
        <v>0.6915933645</v>
      </c>
      <c r="AH93" s="127">
        <f>VLOOKUP($O93,'NO USAR1'!$A$4:$L$403,6,False)*$Y$19</f>
        <v>0.01162932804</v>
      </c>
      <c r="AI93" s="127">
        <f>VLOOKUP($O93,'NO USAR1'!$A$4:$L$403,7,False)*$Z$19</f>
        <v>-0.3956983969</v>
      </c>
      <c r="AJ93" s="127">
        <f>VLOOKUP($O93,'NO USAR1'!$A$4:$L$403,8,False)*$AA$19</f>
        <v>-0.8787290366</v>
      </c>
      <c r="AK93" s="132">
        <f>VLOOKUP($O93,'NO USAR1'!$A$4:$L$403,10,False)*$AB$19</f>
        <v>-0.2773677778</v>
      </c>
      <c r="AL93" s="127">
        <f>VLOOKUP($O93,'NO USAR1'!$A$4:$L$403,12,False)*$AC$19</f>
        <v>-0.06374830958</v>
      </c>
      <c r="AM93" s="133">
        <f t="shared" si="2"/>
        <v>-0.8787290366</v>
      </c>
      <c r="AN93" s="133">
        <f t="shared" si="3"/>
        <v>-1.67126968</v>
      </c>
    </row>
    <row r="94">
      <c r="A94" s="118" t="str">
        <f>IF(Update!B92="",ROW(Update!B92),Update!B92)</f>
        <v>Chris Paul</v>
      </c>
      <c r="B94" s="119">
        <f>IF(TYPE($A94)=1,"",(Update!$L92-B$1)/B$2)</f>
        <v>-0.953297539</v>
      </c>
      <c r="C94" s="119">
        <f>IF(TYPE($A94)=1,"",(Update!$K92-C$1)/C$2)</f>
        <v>-0.3320782095</v>
      </c>
      <c r="D94" s="119">
        <f>IF(TYPE($A94)=1,"",(Update!$M92-D$1)/D$2)</f>
        <v>-1.043432862</v>
      </c>
      <c r="E94" s="119">
        <f>IF(TYPE($A94)=1,"",(Update!$N92-E$1)/E$2)</f>
        <v>1.695136324</v>
      </c>
      <c r="F94" s="119">
        <f>IF(TYPE($A94)=1,"",(Update!$O92-F$1)/F$2)</f>
        <v>0.6396130423</v>
      </c>
      <c r="G94" s="119">
        <f>IF(TYPE($A94)=1,"",(Update!$P92-G$1)/G$2)</f>
        <v>-0.7528774808</v>
      </c>
      <c r="H94" s="119">
        <f>IF(TYPE($A94)=1,"",(Update!$H92-H$1)/H$2*I94/$I$1)</f>
        <v>-0.6240172089</v>
      </c>
      <c r="I94" s="119">
        <f>IF(TYPE($A94)=1,"",IF(Update!H92=0,0,Update!G92/Update!H92))</f>
        <v>9.4</v>
      </c>
      <c r="J94" s="120">
        <f>IF(TYPE($A94)=1,"",(Update!$J92-J$1)/J$2*K94/$K$1)</f>
        <v>0.3251311452</v>
      </c>
      <c r="K94" s="121">
        <f>IF(TYPE($A94)=1,"",IF(Update!J92=0,0,Update!I92/Update!J92))</f>
        <v>2.4</v>
      </c>
      <c r="L94" s="119">
        <f>IF(TYPE($A94)=1,"",-(Update!$Q92-L$1)/L$2)</f>
        <v>0.2417468363</v>
      </c>
      <c r="N94" s="33">
        <v>74.0</v>
      </c>
      <c r="O94" s="130" t="str">
        <f>IF(Update!B45="",ROW(Update!B45),Update!B45)</f>
        <v>Walker Kessler</v>
      </c>
      <c r="P94" s="131">
        <f>Update!E45</f>
        <v>74</v>
      </c>
      <c r="Q94" s="131" t="str">
        <f>IF(Update!C45="",ROW(Update!N60),Update!C45)</f>
        <v>C</v>
      </c>
      <c r="R94" s="127">
        <f>VLOOKUP($O94,'NO USAR1'!$A$4:$L$403,2,False)+VLOOKUP($O94,'NO USAR1'!$A$4:$L$403,3,False)+VLOOKUP($O94,'NO USAR1'!$A$4:$L$403,4,False)+VLOOKUP($O94,'NO USAR1'!$A$4:$L$403,5,False)+VLOOKUP($O94,'NO USAR1'!$A$4:$L$403,6,False)+VLOOKUP($O94,'NO USAR1'!$A$4:$L$403,7,False)+VLOOKUP($O94,'NO USAR1'!$A$4:$L$403,8,False)+VLOOKUP($O94,'NO USAR1'!$A$4:$L$403,10,False)+VLOOKUP($O94,'NO USAR1'!$A$4:$L$403,12,False)*0</f>
        <v>-0.560613496</v>
      </c>
      <c r="S94" s="127">
        <f>VLOOKUP($O94,'NO USAR1'!$A$4:$L$403,2,False)*$U$19+VLOOKUP($O94,'NO USAR1'!$A$4:$L$403,3,False)*$V$19+VLOOKUP($O94,'NO USAR1'!$A$4:$L$403,4,False)*$W$19+VLOOKUP($O94,'NO USAR1'!$A$4:$L$403,5,False)*$X$19+VLOOKUP($O94,'NO USAR1'!$A$4:$L$403,6,False)*$Y$19+VLOOKUP($O94,'NO USAR1'!$A$4:$L$403,7,False)*$Z$19+VLOOKUP($O94,'NO USAR1'!$A$4:$L$403,8,False)*$AA$19+VLOOKUP($O94,'NO USAR1'!$A$4:$L$403,10,False)*$AB$19+VLOOKUP($O94,'NO USAR1'!$A$4:$L$403,12,False)*$AC$19+IF(Projections!$K$3,-AN94, IF(Projections!$J$3,-AM94,0))</f>
        <v>1.074118523</v>
      </c>
      <c r="T94" s="127">
        <f t="shared" si="1"/>
        <v>1.634732019</v>
      </c>
      <c r="U94" s="127">
        <f>VLOOKUP($O94,Update!$B$2:$R$401,11,False)</f>
        <v>11.2</v>
      </c>
      <c r="V94" s="122">
        <f>VLOOKUP($O94,Update!$B$2:$R$401,10,False)</f>
        <v>0</v>
      </c>
      <c r="W94" s="127">
        <f>VLOOKUP($O94,Update!$B$2:$R$401,12,False)</f>
        <v>10.3</v>
      </c>
      <c r="X94" s="127">
        <f>VLOOKUP($O94,Update!$B$2:$R$401,13,False)</f>
        <v>1.1</v>
      </c>
      <c r="Y94" s="127">
        <f>VLOOKUP($O94,Update!$B$2:$R$401,14,False)</f>
        <v>0.4</v>
      </c>
      <c r="Z94" s="132">
        <f>VLOOKUP($O94,Update!$B$2:$R$401,15,False)</f>
        <v>2.7</v>
      </c>
      <c r="AA94" s="127">
        <f>100*VLOOKUP($O94,Update!$B$2:$R$401,7,False)</f>
        <v>72.05882353</v>
      </c>
      <c r="AB94" s="127">
        <f>100*VLOOKUP($O94,Update!$B$2:$R$401,9,False)</f>
        <v>53.84615385</v>
      </c>
      <c r="AC94" s="127">
        <f>VLOOKUP($O94,Update!$B$2:$Q$401,16,False)</f>
        <v>1</v>
      </c>
      <c r="AD94" s="127">
        <f>VLOOKUP($O94,'NO USAR1'!$A$4:$L$403,2,False)*$U$19</f>
        <v>-1.02070809</v>
      </c>
      <c r="AE94" s="127">
        <f>VLOOKUP($O94,'NO USAR1'!$A$4:$L$403,3,False)*$V$19</f>
        <v>-1.426137812</v>
      </c>
      <c r="AF94" s="127">
        <f>VLOOKUP($O94,'NO USAR1'!$A$4:$L$403,4,False)*$W$19</f>
        <v>1.758196918</v>
      </c>
      <c r="AG94" s="127">
        <f>VLOOKUP($O94,'NO USAR1'!$A$4:$L$403,5,False)*$X$19</f>
        <v>-1.399507516</v>
      </c>
      <c r="AH94" s="127">
        <f>VLOOKUP($O94,'NO USAR1'!$A$4:$L$403,6,False)*$Y$19</f>
        <v>-1.296670077</v>
      </c>
      <c r="AI94" s="127">
        <f>VLOOKUP($O94,'NO USAR1'!$A$4:$L$403,7,False)*$Z$19</f>
        <v>2.624565916</v>
      </c>
      <c r="AJ94" s="127">
        <f>VLOOKUP($O94,'NO USAR1'!$A$4:$L$403,8,False)*$AA$19</f>
        <v>1.525572438</v>
      </c>
      <c r="AK94" s="132">
        <f>VLOOKUP($O94,'NO USAR1'!$A$4:$L$403,10,False)*$AB$19</f>
        <v>-1.626639789</v>
      </c>
      <c r="AL94" s="127">
        <f>VLOOKUP($O94,'NO USAR1'!$A$4:$L$403,12,False)*$AC$19</f>
        <v>0.3088067464</v>
      </c>
      <c r="AM94" s="133">
        <f t="shared" si="2"/>
        <v>-1.626639789</v>
      </c>
      <c r="AN94" s="133">
        <f t="shared" si="3"/>
        <v>-3.052777601</v>
      </c>
    </row>
    <row r="95">
      <c r="A95" s="118" t="str">
        <f>IF(Update!B93="",ROW(Update!B93),Update!B93)</f>
        <v>De'Anthony Melton</v>
      </c>
      <c r="B95" s="119">
        <f>IF(TYPE($A95)=1,"",(Update!$L93-B$1)/B$2)</f>
        <v>-1.003855452</v>
      </c>
      <c r="C95" s="119">
        <f>IF(TYPE($A95)=1,"",(Update!$K93-C$1)/C$2)</f>
        <v>0.4387029344</v>
      </c>
      <c r="D95" s="119">
        <f>IF(TYPE($A95)=1,"",(Update!$M93-D$1)/D$2)</f>
        <v>-0.6252791639</v>
      </c>
      <c r="E95" s="119">
        <f>IF(TYPE($A95)=1,"",(Update!$N93-E$1)/E$2)</f>
        <v>-0.4840597161</v>
      </c>
      <c r="F95" s="119">
        <f>IF(TYPE($A95)=1,"",(Update!$O93-F$1)/F$2)</f>
        <v>2.197112334</v>
      </c>
      <c r="G95" s="119">
        <f>IF(TYPE($A95)=1,"",(Update!$P93-G$1)/G$2)</f>
        <v>-0.1900953108</v>
      </c>
      <c r="H95" s="119">
        <f>IF(TYPE($A95)=1,"",(Update!$H93-H$1)/H$2*I95/$I$1)</f>
        <v>-0.7350022121</v>
      </c>
      <c r="I95" s="119">
        <f>IF(TYPE($A95)=1,"",IF(Update!H93=0,0,Update!G93/Update!H93))</f>
        <v>9.4</v>
      </c>
      <c r="J95" s="120">
        <f>IF(TYPE($A95)=1,"",(Update!$J93-J$1)/J$2*K95/$K$1)</f>
        <v>-0.2635262146</v>
      </c>
      <c r="K95" s="121">
        <f>IF(TYPE($A95)=1,"",IF(Update!J93=0,0,Update!I93/Update!J93))</f>
        <v>1.5</v>
      </c>
      <c r="L95" s="119">
        <f>IF(TYPE($A95)=1,"",-(Update!$Q93-L$1)/L$2)</f>
        <v>0.6143018923</v>
      </c>
      <c r="N95" s="124">
        <v>75.0</v>
      </c>
      <c r="O95" s="130" t="str">
        <f>IF(Update!B74="",ROW(Update!B74),Update!B74)</f>
        <v>Jerami Grant</v>
      </c>
      <c r="P95" s="131">
        <f>Update!E74</f>
        <v>65</v>
      </c>
      <c r="Q95" s="131" t="str">
        <f>IF(Update!C74="",ROW(Update!N89),Update!C74)</f>
        <v>PF</v>
      </c>
      <c r="R95" s="127">
        <f>VLOOKUP($O95,'NO USAR1'!$A$4:$L$403,2,False)+VLOOKUP($O95,'NO USAR1'!$A$4:$L$403,3,False)+VLOOKUP($O95,'NO USAR1'!$A$4:$L$403,4,False)+VLOOKUP($O95,'NO USAR1'!$A$4:$L$403,5,False)+VLOOKUP($O95,'NO USAR1'!$A$4:$L$403,6,False)+VLOOKUP($O95,'NO USAR1'!$A$4:$L$403,7,False)+VLOOKUP($O95,'NO USAR1'!$A$4:$L$403,8,False)+VLOOKUP($O95,'NO USAR1'!$A$4:$L$403,10,False)+VLOOKUP($O95,'NO USAR1'!$A$4:$L$403,12,False)*0</f>
        <v>-0.6131414605</v>
      </c>
      <c r="S95" s="127">
        <f>VLOOKUP($O95,'NO USAR1'!$A$4:$L$403,2,False)*$U$19+VLOOKUP($O95,'NO USAR1'!$A$4:$L$403,3,False)*$V$19+VLOOKUP($O95,'NO USAR1'!$A$4:$L$403,4,False)*$W$19+VLOOKUP($O95,'NO USAR1'!$A$4:$L$403,5,False)*$X$19+VLOOKUP($O95,'NO USAR1'!$A$4:$L$403,6,False)*$Y$19+VLOOKUP($O95,'NO USAR1'!$A$4:$L$403,7,False)*$Z$19+VLOOKUP($O95,'NO USAR1'!$A$4:$L$403,8,False)*$AA$19+VLOOKUP($O95,'NO USAR1'!$A$4:$L$403,10,False)*$AB$19+VLOOKUP($O95,'NO USAR1'!$A$4:$L$403,12,False)*$AC$19+IF(Projections!$K$3,-AN95, IF(Projections!$J$3,-AM95,0))</f>
        <v>0.03526288696</v>
      </c>
      <c r="T95" s="127">
        <f t="shared" si="1"/>
        <v>0.6484043474</v>
      </c>
      <c r="U95" s="127">
        <f>VLOOKUP($O95,Update!$B$2:$R$401,11,False)</f>
        <v>19.6</v>
      </c>
      <c r="V95" s="122">
        <f>VLOOKUP($O95,Update!$B$2:$R$401,10,False)</f>
        <v>2.1</v>
      </c>
      <c r="W95" s="127">
        <f>VLOOKUP($O95,Update!$B$2:$R$401,12,False)</f>
        <v>4.4</v>
      </c>
      <c r="X95" s="127">
        <f>VLOOKUP($O95,Update!$B$2:$R$401,13,False)</f>
        <v>2.4</v>
      </c>
      <c r="Y95" s="127">
        <f>VLOOKUP($O95,Update!$B$2:$R$401,14,False)</f>
        <v>0.9</v>
      </c>
      <c r="Z95" s="132">
        <f>VLOOKUP($O95,Update!$B$2:$R$401,15,False)</f>
        <v>0.9</v>
      </c>
      <c r="AA95" s="127">
        <f>100*VLOOKUP($O95,Update!$B$2:$R$401,7,False)</f>
        <v>46.85314685</v>
      </c>
      <c r="AB95" s="127">
        <f>100*VLOOKUP($O95,Update!$B$2:$R$401,9,False)</f>
        <v>80.76923077</v>
      </c>
      <c r="AC95" s="127">
        <f>VLOOKUP($O95,Update!$B$2:$Q$401,16,False)</f>
        <v>1.8</v>
      </c>
      <c r="AD95" s="127">
        <f>VLOOKUP($O95,'NO USAR1'!$A$4:$L$403,2,False)*$U$19</f>
        <v>0.3949134767</v>
      </c>
      <c r="AE95" s="127">
        <f>VLOOKUP($O95,'NO USAR1'!$A$4:$L$403,3,False)*$V$19</f>
        <v>0.394832641</v>
      </c>
      <c r="AF95" s="127">
        <f>VLOOKUP($O95,'NO USAR1'!$A$4:$L$403,4,False)*$W$19</f>
        <v>-0.7089099036</v>
      </c>
      <c r="AG95" s="127">
        <f>VLOOKUP($O95,'NO USAR1'!$A$4:$L$403,5,False)*$X$19</f>
        <v>-0.7364755298</v>
      </c>
      <c r="AH95" s="127">
        <f>VLOOKUP($O95,'NO USAR1'!$A$4:$L$403,6,False)*$Y$19</f>
        <v>-0.2064205728</v>
      </c>
      <c r="AI95" s="127">
        <f>VLOOKUP($O95,'NO USAR1'!$A$4:$L$403,7,False)*$Z$19</f>
        <v>0.2608808015</v>
      </c>
      <c r="AJ95" s="127">
        <f>VLOOKUP($O95,'NO USAR1'!$A$4:$L$403,8,False)*$AA$19</f>
        <v>-0.3921317661</v>
      </c>
      <c r="AK95" s="132">
        <f>VLOOKUP($O95,'NO USAR1'!$A$4:$L$403,10,False)*$AB$19</f>
        <v>0.2316615012</v>
      </c>
      <c r="AL95" s="127">
        <f>VLOOKUP($O95,'NO USAR1'!$A$4:$L$403,12,False)*$AC$19</f>
        <v>0.06043670908</v>
      </c>
      <c r="AM95" s="133">
        <f t="shared" si="2"/>
        <v>-0.7364755298</v>
      </c>
      <c r="AN95" s="133">
        <f t="shared" si="3"/>
        <v>-1.445385433</v>
      </c>
    </row>
    <row r="96">
      <c r="A96" s="118" t="str">
        <f>IF(Update!B94="",ROW(Update!B94),Update!B94)</f>
        <v>Tobias Harris</v>
      </c>
      <c r="B96" s="119">
        <f>IF(TYPE($A96)=1,"",(Update!$L94-B$1)/B$2)</f>
        <v>-0.3466025819</v>
      </c>
      <c r="C96" s="119">
        <f>IF(TYPE($A96)=1,"",(Update!$K94-C$1)/C$2)</f>
        <v>-0.1393829235</v>
      </c>
      <c r="D96" s="119">
        <f>IF(TYPE($A96)=1,"",(Update!$M94-D$1)/D$2)</f>
        <v>-0.03986398593</v>
      </c>
      <c r="E96" s="119">
        <f>IF(TYPE($A96)=1,"",(Update!$N94-E$1)/E$2)</f>
        <v>-0.4840597161</v>
      </c>
      <c r="F96" s="119">
        <f>IF(TYPE($A96)=1,"",(Update!$O94-F$1)/F$2)</f>
        <v>-0.6063863908</v>
      </c>
      <c r="G96" s="119">
        <f>IF(TYPE($A96)=1,"",(Update!$P94-G$1)/G$2)</f>
        <v>-0.3776893674</v>
      </c>
      <c r="H96" s="119">
        <f>IF(TYPE($A96)=1,"",(Update!$H94-H$1)/H$2*I96/$I$1)</f>
        <v>-0.1125516529</v>
      </c>
      <c r="I96" s="119">
        <f>IF(TYPE($A96)=1,"",IF(Update!H94=0,0,Update!G94/Update!H94))</f>
        <v>12.1</v>
      </c>
      <c r="J96" s="120">
        <f>IF(TYPE($A96)=1,"",(Update!$J94-J$1)/J$2*K96/$K$1)</f>
        <v>0.1943183986</v>
      </c>
      <c r="K96" s="121">
        <f>IF(TYPE($A96)=1,"",IF(Update!J94=0,0,Update!I94/Update!J94))</f>
        <v>2.2</v>
      </c>
      <c r="L96" s="119">
        <f>IF(TYPE($A96)=1,"",-(Update!$Q94-L$1)/L$2)</f>
        <v>0.8626719296</v>
      </c>
      <c r="N96" s="124">
        <v>76.0</v>
      </c>
      <c r="O96" s="130" t="str">
        <f>IF(Update!B53="",ROW(Update!B53),Update!B53)</f>
        <v>Jarrett Allen</v>
      </c>
      <c r="P96" s="131">
        <f>Update!E53</f>
        <v>68</v>
      </c>
      <c r="Q96" s="131" t="str">
        <f>IF(Update!C53="",ROW(Update!N68),Update!C53)</f>
        <v>C</v>
      </c>
      <c r="R96" s="127">
        <f>VLOOKUP($O96,'NO USAR1'!$A$4:$L$403,2,False)+VLOOKUP($O96,'NO USAR1'!$A$4:$L$403,3,False)+VLOOKUP($O96,'NO USAR1'!$A$4:$L$403,4,False)+VLOOKUP($O96,'NO USAR1'!$A$4:$L$403,5,False)+VLOOKUP($O96,'NO USAR1'!$A$4:$L$403,6,False)+VLOOKUP($O96,'NO USAR1'!$A$4:$L$403,7,False)+VLOOKUP($O96,'NO USAR1'!$A$4:$L$403,8,False)+VLOOKUP($O96,'NO USAR1'!$A$4:$L$403,10,False)+VLOOKUP($O96,'NO USAR1'!$A$4:$L$403,12,False)*0</f>
        <v>-0.6620812964</v>
      </c>
      <c r="S96" s="127">
        <f>VLOOKUP($O96,'NO USAR1'!$A$4:$L$403,2,False)*$U$19+VLOOKUP($O96,'NO USAR1'!$A$4:$L$403,3,False)*$V$19+VLOOKUP($O96,'NO USAR1'!$A$4:$L$403,4,False)*$W$19+VLOOKUP($O96,'NO USAR1'!$A$4:$L$403,5,False)*$X$19+VLOOKUP($O96,'NO USAR1'!$A$4:$L$403,6,False)*$Y$19+VLOOKUP($O96,'NO USAR1'!$A$4:$L$403,7,False)*$Z$19+VLOOKUP($O96,'NO USAR1'!$A$4:$L$403,8,False)*$AA$19+VLOOKUP($O96,'NO USAR1'!$A$4:$L$403,10,False)*$AB$19+VLOOKUP($O96,'NO USAR1'!$A$4:$L$403,12,False)*$AC$19+IF(Projections!$K$3,-AN96, IF(Projections!$J$3,-AM96,0))</f>
        <v>0.9491971522</v>
      </c>
      <c r="T96" s="127">
        <f t="shared" si="1"/>
        <v>1.611278449</v>
      </c>
      <c r="U96" s="127">
        <f>VLOOKUP($O96,Update!$B$2:$R$401,11,False)</f>
        <v>14.1</v>
      </c>
      <c r="V96" s="122">
        <f>VLOOKUP($O96,Update!$B$2:$R$401,10,False)</f>
        <v>0</v>
      </c>
      <c r="W96" s="127">
        <f>VLOOKUP($O96,Update!$B$2:$R$401,12,False)</f>
        <v>9.7</v>
      </c>
      <c r="X96" s="127">
        <f>VLOOKUP($O96,Update!$B$2:$R$401,13,False)</f>
        <v>1.5</v>
      </c>
      <c r="Y96" s="127">
        <f>VLOOKUP($O96,Update!$B$2:$R$401,14,False)</f>
        <v>0.7</v>
      </c>
      <c r="Z96" s="132">
        <f>VLOOKUP($O96,Update!$B$2:$R$401,15,False)</f>
        <v>1.2</v>
      </c>
      <c r="AA96" s="127">
        <f>100*VLOOKUP($O96,Update!$B$2:$R$401,7,False)</f>
        <v>65.90909091</v>
      </c>
      <c r="AB96" s="127">
        <f>100*VLOOKUP($O96,Update!$B$2:$R$401,9,False)</f>
        <v>73.52941176</v>
      </c>
      <c r="AC96" s="127">
        <f>VLOOKUP($O96,Update!$B$2:$Q$401,16,False)</f>
        <v>1.4</v>
      </c>
      <c r="AD96" s="127">
        <f>VLOOKUP($O96,'NO USAR1'!$A$4:$L$403,2,False)*$U$19</f>
        <v>-0.5319815966</v>
      </c>
      <c r="AE96" s="127">
        <f>VLOOKUP($O96,'NO USAR1'!$A$4:$L$403,3,False)*$V$19</f>
        <v>-1.426137812</v>
      </c>
      <c r="AF96" s="127">
        <f>VLOOKUP($O96,'NO USAR1'!$A$4:$L$403,4,False)*$W$19</f>
        <v>1.507304699</v>
      </c>
      <c r="AG96" s="127">
        <f>VLOOKUP($O96,'NO USAR1'!$A$4:$L$403,5,False)*$X$19</f>
        <v>-1.195497674</v>
      </c>
      <c r="AH96" s="127">
        <f>VLOOKUP($O96,'NO USAR1'!$A$4:$L$403,6,False)*$Y$19</f>
        <v>-0.6425203744</v>
      </c>
      <c r="AI96" s="127">
        <f>VLOOKUP($O96,'NO USAR1'!$A$4:$L$403,7,False)*$Z$19</f>
        <v>0.6548283205</v>
      </c>
      <c r="AJ96" s="127">
        <f>VLOOKUP($O96,'NO USAR1'!$A$4:$L$403,8,False)*$AA$19</f>
        <v>1.433707962</v>
      </c>
      <c r="AK96" s="132">
        <f>VLOOKUP($O96,'NO USAR1'!$A$4:$L$403,10,False)*$AB$19</f>
        <v>-0.4612659116</v>
      </c>
      <c r="AL96" s="127">
        <f>VLOOKUP($O96,'NO USAR1'!$A$4:$L$403,12,False)*$AC$19</f>
        <v>0.1846217277</v>
      </c>
      <c r="AM96" s="133">
        <f t="shared" si="2"/>
        <v>-1.426137812</v>
      </c>
      <c r="AN96" s="133">
        <f t="shared" si="3"/>
        <v>-2.621635486</v>
      </c>
    </row>
    <row r="97">
      <c r="A97" s="118" t="str">
        <f>IF(Update!B95="",ROW(Update!B95),Update!B95)</f>
        <v>Derrick White</v>
      </c>
      <c r="B97" s="119">
        <f>IF(TYPE($A97)=1,"",(Update!$L95-B$1)/B$2)</f>
        <v>-0.7173606113</v>
      </c>
      <c r="C97" s="119">
        <f>IF(TYPE($A97)=1,"",(Update!$K95-C$1)/C$2)</f>
        <v>0.05331236246</v>
      </c>
      <c r="D97" s="119">
        <f>IF(TYPE($A97)=1,"",(Update!$M95-D$1)/D$2)</f>
        <v>-1.043432862</v>
      </c>
      <c r="E97" s="119">
        <f>IF(TYPE($A97)=1,"",(Update!$N95-E$1)/E$2)</f>
        <v>0.07233076218</v>
      </c>
      <c r="F97" s="119">
        <f>IF(TYPE($A97)=1,"",(Update!$O95-F$1)/F$2)</f>
        <v>-0.6063863908</v>
      </c>
      <c r="G97" s="119">
        <f>IF(TYPE($A97)=1,"",(Update!$P95-G$1)/G$2)</f>
        <v>0.3726868593</v>
      </c>
      <c r="H97" s="119">
        <f>IF(TYPE($A97)=1,"",(Update!$H95-H$1)/H$2*I97/$I$1)</f>
        <v>-0.455311363</v>
      </c>
      <c r="I97" s="119">
        <f>IF(TYPE($A97)=1,"",IF(Update!H95=0,0,Update!G95/Update!H95))</f>
        <v>9.9</v>
      </c>
      <c r="J97" s="120">
        <f>IF(TYPE($A97)=1,"",(Update!$J95-J$1)/J$2*K97/$K$1)</f>
        <v>0.5867566385</v>
      </c>
      <c r="K97" s="121">
        <f>IF(TYPE($A97)=1,"",IF(Update!J95=0,0,Update!I95/Update!J95))</f>
        <v>2.8</v>
      </c>
      <c r="L97" s="119">
        <f>IF(TYPE($A97)=1,"",-(Update!$Q95-L$1)/L$2)</f>
        <v>0.738486911</v>
      </c>
      <c r="N97" s="33">
        <v>77.0</v>
      </c>
      <c r="O97" s="130" t="str">
        <f>IF(Update!B93="",ROW(Update!B93),Update!B93)</f>
        <v>De'Anthony Melton</v>
      </c>
      <c r="P97" s="131">
        <f>Update!E93</f>
        <v>72</v>
      </c>
      <c r="Q97" s="131" t="str">
        <f>IF(Update!C93="",ROW(Update!N108),Update!C93)</f>
        <v>PG,SG</v>
      </c>
      <c r="R97" s="127">
        <f>VLOOKUP($O97,'NO USAR1'!$A$4:$L$403,2,False)+VLOOKUP($O97,'NO USAR1'!$A$4:$L$403,3,False)+VLOOKUP($O97,'NO USAR1'!$A$4:$L$403,4,False)+VLOOKUP($O97,'NO USAR1'!$A$4:$L$403,5,False)+VLOOKUP($O97,'NO USAR1'!$A$4:$L$403,6,False)+VLOOKUP($O97,'NO USAR1'!$A$4:$L$403,7,False)+VLOOKUP($O97,'NO USAR1'!$A$4:$L$403,8,False)+VLOOKUP($O97,'NO USAR1'!$A$4:$L$403,10,False)+VLOOKUP($O97,'NO USAR1'!$A$4:$L$403,12,False)*0</f>
        <v>-0.6660028014</v>
      </c>
      <c r="S97" s="127">
        <f>VLOOKUP($O97,'NO USAR1'!$A$4:$L$403,2,False)*$U$19+VLOOKUP($O97,'NO USAR1'!$A$4:$L$403,3,False)*$V$19+VLOOKUP($O97,'NO USAR1'!$A$4:$L$403,4,False)*$W$19+VLOOKUP($O97,'NO USAR1'!$A$4:$L$403,5,False)*$X$19+VLOOKUP($O97,'NO USAR1'!$A$4:$L$403,6,False)*$Y$19+VLOOKUP($O97,'NO USAR1'!$A$4:$L$403,7,False)*$Z$19+VLOOKUP($O97,'NO USAR1'!$A$4:$L$403,8,False)*$AA$19+VLOOKUP($O97,'NO USAR1'!$A$4:$L$403,10,False)*$AB$19+VLOOKUP($O97,'NO USAR1'!$A$4:$L$403,12,False)*$AC$19+IF(Projections!$K$3,-AN97, IF(Projections!$J$3,-AM97,0))</f>
        <v>-0.0767477841</v>
      </c>
      <c r="T97" s="127">
        <f t="shared" si="1"/>
        <v>0.5892550173</v>
      </c>
      <c r="U97" s="127">
        <f>VLOOKUP($O97,Update!$B$2:$R$401,11,False)</f>
        <v>11.3</v>
      </c>
      <c r="V97" s="122">
        <f>VLOOKUP($O97,Update!$B$2:$R$401,10,False)</f>
        <v>2.1</v>
      </c>
      <c r="W97" s="127">
        <f>VLOOKUP($O97,Update!$B$2:$R$401,12,False)</f>
        <v>4.6</v>
      </c>
      <c r="X97" s="127">
        <f>VLOOKUP($O97,Update!$B$2:$R$401,13,False)</f>
        <v>2.8</v>
      </c>
      <c r="Y97" s="127">
        <f>VLOOKUP($O97,Update!$B$2:$R$401,14,False)</f>
        <v>1.7</v>
      </c>
      <c r="Z97" s="132">
        <f>VLOOKUP($O97,Update!$B$2:$R$401,15,False)</f>
        <v>0.6</v>
      </c>
      <c r="AA97" s="127">
        <f>100*VLOOKUP($O97,Update!$B$2:$R$401,7,False)</f>
        <v>42.55319149</v>
      </c>
      <c r="AB97" s="127">
        <f>100*VLOOKUP($O97,Update!$B$2:$R$401,9,False)</f>
        <v>73.33333333</v>
      </c>
      <c r="AC97" s="127">
        <f>VLOOKUP($O97,Update!$B$2:$Q$401,16,False)</f>
        <v>1.5</v>
      </c>
      <c r="AD97" s="127">
        <f>VLOOKUP($O97,'NO USAR1'!$A$4:$L$403,2,False)*$U$19</f>
        <v>-1.003855452</v>
      </c>
      <c r="AE97" s="127">
        <f>VLOOKUP($O97,'NO USAR1'!$A$4:$L$403,3,False)*$V$19</f>
        <v>0.394832641</v>
      </c>
      <c r="AF97" s="127">
        <f>VLOOKUP($O97,'NO USAR1'!$A$4:$L$403,4,False)*$W$19</f>
        <v>-0.6252791639</v>
      </c>
      <c r="AG97" s="127">
        <f>VLOOKUP($O97,'NO USAR1'!$A$4:$L$403,5,False)*$X$19</f>
        <v>-0.5324656877</v>
      </c>
      <c r="AH97" s="127">
        <f>VLOOKUP($O97,'NO USAR1'!$A$4:$L$403,6,False)*$Y$19</f>
        <v>1.537978634</v>
      </c>
      <c r="AI97" s="127">
        <f>VLOOKUP($O97,'NO USAR1'!$A$4:$L$403,7,False)*$Z$19</f>
        <v>-0.1330667175</v>
      </c>
      <c r="AJ97" s="127">
        <f>VLOOKUP($O97,'NO USAR1'!$A$4:$L$403,8,False)*$AA$19</f>
        <v>-0.6615019909</v>
      </c>
      <c r="AK97" s="132">
        <f>VLOOKUP($O97,'NO USAR1'!$A$4:$L$403,10,False)*$AB$19</f>
        <v>-0.2108209717</v>
      </c>
      <c r="AL97" s="127">
        <f>VLOOKUP($O97,'NO USAR1'!$A$4:$L$403,12,False)*$AC$19</f>
        <v>0.1535754731</v>
      </c>
      <c r="AM97" s="133">
        <f t="shared" si="2"/>
        <v>-1.003855452</v>
      </c>
      <c r="AN97" s="133">
        <f t="shared" si="3"/>
        <v>-1.665357443</v>
      </c>
    </row>
    <row r="98">
      <c r="A98" s="118" t="str">
        <f>IF(Update!B96="",ROW(Update!B96),Update!B96)</f>
        <v>Jonas Valanciunas</v>
      </c>
      <c r="B98" s="119">
        <f>IF(TYPE($A98)=1,"",(Update!$L96-B$1)/B$2)</f>
        <v>-0.5319815966</v>
      </c>
      <c r="C98" s="119">
        <f>IF(TYPE($A98)=1,"",(Update!$K96-C$1)/C$2)</f>
        <v>-1.00651171</v>
      </c>
      <c r="D98" s="119">
        <f>IF(TYPE($A98)=1,"",(Update!$M96-D$1)/D$2)</f>
        <v>1.590935438</v>
      </c>
      <c r="E98" s="119">
        <f>IF(TYPE($A98)=1,"",(Update!$N96-E$1)/E$2)</f>
        <v>-0.8549867017</v>
      </c>
      <c r="F98" s="119">
        <f>IF(TYPE($A98)=1,"",(Update!$O96-F$1)/F$2)</f>
        <v>-1.852385824</v>
      </c>
      <c r="G98" s="119">
        <f>IF(TYPE($A98)=1,"",(Update!$P96-G$1)/G$2)</f>
        <v>-0.002501254089</v>
      </c>
      <c r="H98" s="119">
        <f>IF(TYPE($A98)=1,"",(Update!$H96-H$1)/H$2*I98/$I$1)</f>
        <v>0.5462276754</v>
      </c>
      <c r="I98" s="119">
        <f>IF(TYPE($A98)=1,"",IF(Update!H96=0,0,Update!G96/Update!H96))</f>
        <v>10.5</v>
      </c>
      <c r="J98" s="120">
        <f>IF(TYPE($A98)=1,"",(Update!$J96-J$1)/J$2*K98/$K$1)</f>
        <v>0.3905375185</v>
      </c>
      <c r="K98" s="121">
        <f>IF(TYPE($A98)=1,"",IF(Update!J96=0,0,Update!I96/Update!J96))</f>
        <v>2.5</v>
      </c>
      <c r="L98" s="119">
        <f>IF(TYPE($A98)=1,"",-(Update!$Q96-L$1)/L$2)</f>
        <v>-0.006623200995</v>
      </c>
      <c r="N98" s="124">
        <v>78.0</v>
      </c>
      <c r="O98" s="130" t="str">
        <f>IF(Update!B81="",ROW(Update!B81),Update!B81)</f>
        <v>Klay Thompson</v>
      </c>
      <c r="P98" s="131">
        <f>Update!E81</f>
        <v>68</v>
      </c>
      <c r="Q98" s="131" t="str">
        <f>IF(Update!C81="",ROW(Update!N96),Update!C81)</f>
        <v>SG,SF</v>
      </c>
      <c r="R98" s="127">
        <f>VLOOKUP($O98,'NO USAR1'!$A$4:$L$403,2,False)+VLOOKUP($O98,'NO USAR1'!$A$4:$L$403,3,False)+VLOOKUP($O98,'NO USAR1'!$A$4:$L$403,4,False)+VLOOKUP($O98,'NO USAR1'!$A$4:$L$403,5,False)+VLOOKUP($O98,'NO USAR1'!$A$4:$L$403,6,False)+VLOOKUP($O98,'NO USAR1'!$A$4:$L$403,7,False)+VLOOKUP($O98,'NO USAR1'!$A$4:$L$403,8,False)+VLOOKUP($O98,'NO USAR1'!$A$4:$L$403,10,False)+VLOOKUP($O98,'NO USAR1'!$A$4:$L$403,12,False)*0</f>
        <v>-0.7236982369</v>
      </c>
      <c r="S98" s="127">
        <f>VLOOKUP($O98,'NO USAR1'!$A$4:$L$403,2,False)*$U$19+VLOOKUP($O98,'NO USAR1'!$A$4:$L$403,3,False)*$V$19+VLOOKUP($O98,'NO USAR1'!$A$4:$L$403,4,False)*$W$19+VLOOKUP($O98,'NO USAR1'!$A$4:$L$403,5,False)*$X$19+VLOOKUP($O98,'NO USAR1'!$A$4:$L$403,6,False)*$Y$19+VLOOKUP($O98,'NO USAR1'!$A$4:$L$403,7,False)*$Z$19+VLOOKUP($O98,'NO USAR1'!$A$4:$L$403,8,False)*$AA$19+VLOOKUP($O98,'NO USAR1'!$A$4:$L$403,10,False)*$AB$19+VLOOKUP($O98,'NO USAR1'!$A$4:$L$403,12,False)*$AC$19+IF(Projections!$K$3,-AN98, IF(Projections!$J$3,-AM98,0))</f>
        <v>0.7092912966</v>
      </c>
      <c r="T98" s="127">
        <f t="shared" si="1"/>
        <v>1.432989533</v>
      </c>
      <c r="U98" s="127">
        <f>VLOOKUP($O98,Update!$B$2:$R$401,11,False)</f>
        <v>21.2</v>
      </c>
      <c r="V98" s="122">
        <f>VLOOKUP($O98,Update!$B$2:$R$401,10,False)</f>
        <v>4.2</v>
      </c>
      <c r="W98" s="127">
        <f>VLOOKUP($O98,Update!$B$2:$R$401,12,False)</f>
        <v>4</v>
      </c>
      <c r="X98" s="127">
        <f>VLOOKUP($O98,Update!$B$2:$R$401,13,False)</f>
        <v>2.4</v>
      </c>
      <c r="Y98" s="127">
        <f>VLOOKUP($O98,Update!$B$2:$R$401,14,False)</f>
        <v>0.6</v>
      </c>
      <c r="Z98" s="132">
        <f>VLOOKUP($O98,Update!$B$2:$R$401,15,False)</f>
        <v>0.5</v>
      </c>
      <c r="AA98" s="127">
        <f>100*VLOOKUP($O98,Update!$B$2:$R$401,7,False)</f>
        <v>43.25842697</v>
      </c>
      <c r="AB98" s="127">
        <f>100*VLOOKUP($O98,Update!$B$2:$R$401,9,False)</f>
        <v>88.88888889</v>
      </c>
      <c r="AC98" s="127">
        <f>VLOOKUP($O98,Update!$B$2:$Q$401,16,False)</f>
        <v>1.6</v>
      </c>
      <c r="AD98" s="127">
        <f>VLOOKUP($O98,'NO USAR1'!$A$4:$L$403,2,False)*$U$19</f>
        <v>0.6645556798</v>
      </c>
      <c r="AE98" s="127">
        <f>VLOOKUP($O98,'NO USAR1'!$A$4:$L$403,3,False)*$V$19</f>
        <v>2.215803094</v>
      </c>
      <c r="AF98" s="127">
        <f>VLOOKUP($O98,'NO USAR1'!$A$4:$L$403,4,False)*$W$19</f>
        <v>-0.876171383</v>
      </c>
      <c r="AG98" s="127">
        <f>VLOOKUP($O98,'NO USAR1'!$A$4:$L$403,5,False)*$X$19</f>
        <v>-0.7364755298</v>
      </c>
      <c r="AH98" s="127">
        <f>VLOOKUP($O98,'NO USAR1'!$A$4:$L$403,6,False)*$Y$19</f>
        <v>-0.8605702752</v>
      </c>
      <c r="AI98" s="127">
        <f>VLOOKUP($O98,'NO USAR1'!$A$4:$L$403,7,False)*$Z$19</f>
        <v>-0.2643825572</v>
      </c>
      <c r="AJ98" s="127">
        <f>VLOOKUP($O98,'NO USAR1'!$A$4:$L$403,8,False)*$AA$19</f>
        <v>-1.12724199</v>
      </c>
      <c r="AK98" s="132">
        <f>VLOOKUP($O98,'NO USAR1'!$A$4:$L$403,10,False)*$AB$19</f>
        <v>0.44400305</v>
      </c>
      <c r="AL98" s="127">
        <f>VLOOKUP($O98,'NO USAR1'!$A$4:$L$403,12,False)*$AC$19</f>
        <v>0.1225292184</v>
      </c>
      <c r="AM98" s="133">
        <f t="shared" si="2"/>
        <v>-1.12724199</v>
      </c>
      <c r="AN98" s="133">
        <f t="shared" si="3"/>
        <v>-2.003413373</v>
      </c>
    </row>
    <row r="99">
      <c r="A99" s="118" t="str">
        <f>IF(Update!B97="",ROW(Update!B97),Update!B97)</f>
        <v>Robert Williams III</v>
      </c>
      <c r="B99" s="119">
        <f>IF(TYPE($A99)=1,"",(Update!$L97-B$1)/B$2)</f>
        <v>-1.627403047</v>
      </c>
      <c r="C99" s="119">
        <f>IF(TYPE($A99)=1,"",(Update!$K97-C$1)/C$2)</f>
        <v>-1.584597568</v>
      </c>
      <c r="D99" s="119">
        <f>IF(TYPE($A99)=1,"",(Update!$M97-D$1)/D$2)</f>
        <v>0.6709973016</v>
      </c>
      <c r="E99" s="119">
        <f>IF(TYPE($A99)=1,"",(Update!$N97-E$1)/E$2)</f>
        <v>-0.8086208285</v>
      </c>
      <c r="F99" s="119">
        <f>IF(TYPE($A99)=1,"",(Update!$O97-F$1)/F$2)</f>
        <v>-1.229386107</v>
      </c>
      <c r="G99" s="119">
        <f>IF(TYPE($A99)=1,"",(Update!$P97-G$1)/G$2)</f>
        <v>1.310657143</v>
      </c>
      <c r="H99" s="119">
        <f>IF(TYPE($A99)=1,"",(Update!$H97-H$1)/H$2*I99/$I$1)</f>
        <v>1.187180276</v>
      </c>
      <c r="I99" s="119">
        <f>IF(TYPE($A99)=1,"",IF(Update!H97=0,0,Update!G97/Update!H97))</f>
        <v>4.9</v>
      </c>
      <c r="J99" s="120">
        <f>IF(TYPE($A99)=1,"",(Update!$J97-J$1)/J$2*K99/$K$1)</f>
        <v>-0.5251517079</v>
      </c>
      <c r="K99" s="121">
        <f>IF(TYPE($A99)=1,"",IF(Update!J97=0,0,Update!I97/Update!J97))</f>
        <v>1.1</v>
      </c>
      <c r="L99" s="119">
        <f>IF(TYPE($A99)=1,"",-(Update!$Q97-L$1)/L$2)</f>
        <v>1.359412004</v>
      </c>
      <c r="N99" s="124">
        <v>79.0</v>
      </c>
      <c r="O99" s="130" t="str">
        <f>IF(Update!B78="",ROW(Update!B78),Update!B78)</f>
        <v>Miles Bridges</v>
      </c>
      <c r="P99" s="131">
        <f>Update!E78</f>
        <v>60</v>
      </c>
      <c r="Q99" s="131" t="str">
        <f>IF(Update!C78="",ROW(Update!N93),Update!C78)</f>
        <v>SF,PF</v>
      </c>
      <c r="R99" s="127">
        <f>VLOOKUP($O99,'NO USAR1'!$A$4:$L$403,2,False)+VLOOKUP($O99,'NO USAR1'!$A$4:$L$403,3,False)+VLOOKUP($O99,'NO USAR1'!$A$4:$L$403,4,False)+VLOOKUP($O99,'NO USAR1'!$A$4:$L$403,5,False)+VLOOKUP($O99,'NO USAR1'!$A$4:$L$403,6,False)+VLOOKUP($O99,'NO USAR1'!$A$4:$L$403,7,False)+VLOOKUP($O99,'NO USAR1'!$A$4:$L$403,8,False)+VLOOKUP($O99,'NO USAR1'!$A$4:$L$403,10,False)+VLOOKUP($O99,'NO USAR1'!$A$4:$L$403,12,False)*0</f>
        <v>-0.7301051457</v>
      </c>
      <c r="S99" s="127">
        <f>VLOOKUP($O99,'NO USAR1'!$A$4:$L$403,2,False)*$U$19+VLOOKUP($O99,'NO USAR1'!$A$4:$L$403,3,False)*$V$19+VLOOKUP($O99,'NO USAR1'!$A$4:$L$403,4,False)*$W$19+VLOOKUP($O99,'NO USAR1'!$A$4:$L$403,5,False)*$X$19+VLOOKUP($O99,'NO USAR1'!$A$4:$L$403,6,False)*$Y$19+VLOOKUP($O99,'NO USAR1'!$A$4:$L$403,7,False)*$Z$19+VLOOKUP($O99,'NO USAR1'!$A$4:$L$403,8,False)*$AA$19+VLOOKUP($O99,'NO USAR1'!$A$4:$L$403,10,False)*$AB$19+VLOOKUP($O99,'NO USAR1'!$A$4:$L$403,12,False)*$AC$19+IF(Projections!$K$3,-AN99, IF(Projections!$J$3,-AM99,0))</f>
        <v>-0.05549218731</v>
      </c>
      <c r="T99" s="127">
        <f t="shared" si="1"/>
        <v>0.6746129584</v>
      </c>
      <c r="U99" s="127">
        <f>VLOOKUP($O99,Update!$B$2:$R$401,11,False)</f>
        <v>17.3</v>
      </c>
      <c r="V99" s="122">
        <f>VLOOKUP($O99,Update!$B$2:$R$401,10,False)</f>
        <v>1.7</v>
      </c>
      <c r="W99" s="127">
        <f>VLOOKUP($O99,Update!$B$2:$R$401,12,False)</f>
        <v>6.1</v>
      </c>
      <c r="X99" s="127">
        <f>VLOOKUP($O99,Update!$B$2:$R$401,13,False)</f>
        <v>3.3</v>
      </c>
      <c r="Y99" s="127">
        <f>VLOOKUP($O99,Update!$B$2:$R$401,14,False)</f>
        <v>0.8</v>
      </c>
      <c r="Z99" s="132">
        <f>VLOOKUP($O99,Update!$B$2:$R$401,15,False)</f>
        <v>0.7</v>
      </c>
      <c r="AA99" s="127">
        <f>100*VLOOKUP($O99,Update!$B$2:$R$401,7,False)</f>
        <v>48.85496183</v>
      </c>
      <c r="AB99" s="127">
        <f>100*VLOOKUP($O99,Update!$B$2:$R$401,9,False)</f>
        <v>80.55555556</v>
      </c>
      <c r="AC99" s="127">
        <f>VLOOKUP($O99,Update!$B$2:$Q$401,16,False)</f>
        <v>1.6</v>
      </c>
      <c r="AD99" s="127">
        <f>VLOOKUP($O99,'NO USAR1'!$A$4:$L$403,2,False)*$U$19</f>
        <v>0.007302809668</v>
      </c>
      <c r="AE99" s="127">
        <f>VLOOKUP($O99,'NO USAR1'!$A$4:$L$403,3,False)*$V$19</f>
        <v>0.04798112621</v>
      </c>
      <c r="AF99" s="127">
        <f>VLOOKUP($O99,'NO USAR1'!$A$4:$L$403,4,False)*$W$19</f>
        <v>0.001951383927</v>
      </c>
      <c r="AG99" s="127">
        <f>VLOOKUP($O99,'NO USAR1'!$A$4:$L$403,5,False)*$X$19</f>
        <v>-0.2774533852</v>
      </c>
      <c r="AH99" s="127">
        <f>VLOOKUP($O99,'NO USAR1'!$A$4:$L$403,6,False)*$Y$19</f>
        <v>-0.4244704736</v>
      </c>
      <c r="AI99" s="127">
        <f>VLOOKUP($O99,'NO USAR1'!$A$4:$L$403,7,False)*$Z$19</f>
        <v>-0.001750877862</v>
      </c>
      <c r="AJ99" s="127">
        <f>VLOOKUP($O99,'NO USAR1'!$A$4:$L$403,8,False)*$AA$19</f>
        <v>-0.09728547387</v>
      </c>
      <c r="AK99" s="132">
        <f>VLOOKUP($O99,'NO USAR1'!$A$4:$L$403,10,False)*$AB$19</f>
        <v>0.1412330114</v>
      </c>
      <c r="AL99" s="127">
        <f>VLOOKUP($O99,'NO USAR1'!$A$4:$L$403,12,False)*$AC$19</f>
        <v>0.1225292184</v>
      </c>
      <c r="AM99" s="133">
        <f t="shared" si="2"/>
        <v>-0.4244704736</v>
      </c>
      <c r="AN99" s="133">
        <f t="shared" si="3"/>
        <v>-0.7019238587</v>
      </c>
    </row>
    <row r="100">
      <c r="A100" s="118" t="str">
        <f>IF(Update!B98="",ROW(Update!B98),Update!B98)</f>
        <v>Trey Murphy III</v>
      </c>
      <c r="B100" s="119">
        <f>IF(TYPE($A100)=1,"",(Update!$L98-B$1)/B$2)</f>
        <v>-0.6162447851</v>
      </c>
      <c r="C100" s="119">
        <f>IF(TYPE($A100)=1,"",(Update!$K98-C$1)/C$2)</f>
        <v>0.8240935064</v>
      </c>
      <c r="D100" s="119">
        <f>IF(TYPE($A100)=1,"",(Update!$M98-D$1)/D$2)</f>
        <v>-0.9179867529</v>
      </c>
      <c r="E100" s="119">
        <f>IF(TYPE($A100)=1,"",(Update!$N98-E$1)/E$2)</f>
        <v>-1.133181941</v>
      </c>
      <c r="F100" s="119">
        <f>IF(TYPE($A100)=1,"",(Update!$O98-F$1)/F$2)</f>
        <v>0.01661332578</v>
      </c>
      <c r="G100" s="119">
        <f>IF(TYPE($A100)=1,"",(Update!$P98-G$1)/G$2)</f>
        <v>-0.3776893674</v>
      </c>
      <c r="H100" s="119">
        <f>IF(TYPE($A100)=1,"",(Update!$H98-H$1)/H$2*I100/$I$1)</f>
        <v>-0.3443263598</v>
      </c>
      <c r="I100" s="119">
        <f>IF(TYPE($A100)=1,"",IF(Update!H98=0,0,Update!G98/Update!H98))</f>
        <v>9.9</v>
      </c>
      <c r="J100" s="120">
        <f>IF(TYPE($A100)=1,"",(Update!$J98-J$1)/J$2*K100/$K$1)</f>
        <v>0.8166293057</v>
      </c>
      <c r="K100" s="121">
        <f>IF(TYPE($A100)=1,"",IF(Update!J98=0,0,Update!I98/Update!J98))</f>
        <v>2.2</v>
      </c>
      <c r="L100" s="119">
        <f>IF(TYPE($A100)=1,"",-(Update!$Q98-L$1)/L$2)</f>
        <v>1.607782042</v>
      </c>
      <c r="N100" s="33">
        <v>80.0</v>
      </c>
      <c r="O100" s="130" t="str">
        <f>IF(Update!B85="",ROW(Update!B85),Update!B85)</f>
        <v>D'Angelo Russell</v>
      </c>
      <c r="P100" s="131">
        <f>Update!E85</f>
        <v>70</v>
      </c>
      <c r="Q100" s="131" t="str">
        <f>IF(Update!C85="",ROW(Update!N100),Update!C85)</f>
        <v>PG,SG</v>
      </c>
      <c r="R100" s="127">
        <f>VLOOKUP($O100,'NO USAR1'!$A$4:$L$403,2,False)+VLOOKUP($O100,'NO USAR1'!$A$4:$L$403,3,False)+VLOOKUP($O100,'NO USAR1'!$A$4:$L$403,4,False)+VLOOKUP($O100,'NO USAR1'!$A$4:$L$403,5,False)+VLOOKUP($O100,'NO USAR1'!$A$4:$L$403,6,False)+VLOOKUP($O100,'NO USAR1'!$A$4:$L$403,7,False)+VLOOKUP($O100,'NO USAR1'!$A$4:$L$403,8,False)+VLOOKUP($O100,'NO USAR1'!$A$4:$L$403,10,False)+VLOOKUP($O100,'NO USAR1'!$A$4:$L$403,12,False)*0</f>
        <v>-0.748824087</v>
      </c>
      <c r="S100" s="127">
        <f>VLOOKUP($O100,'NO USAR1'!$A$4:$L$403,2,False)*$U$19+VLOOKUP($O100,'NO USAR1'!$A$4:$L$403,3,False)*$V$19+VLOOKUP($O100,'NO USAR1'!$A$4:$L$403,4,False)*$W$19+VLOOKUP($O100,'NO USAR1'!$A$4:$L$403,5,False)*$X$19+VLOOKUP($O100,'NO USAR1'!$A$4:$L$403,6,False)*$Y$19+VLOOKUP($O100,'NO USAR1'!$A$4:$L$403,7,False)*$Z$19+VLOOKUP($O100,'NO USAR1'!$A$4:$L$403,8,False)*$AA$19+VLOOKUP($O100,'NO USAR1'!$A$4:$L$403,10,False)*$AB$19+VLOOKUP($O100,'NO USAR1'!$A$4:$L$403,12,False)*$AC$19+IF(Projections!$K$3,-AN100, IF(Projections!$J$3,-AM100,0))</f>
        <v>0.7270021655</v>
      </c>
      <c r="T100" s="127">
        <f t="shared" si="1"/>
        <v>1.475826252</v>
      </c>
      <c r="U100" s="127">
        <f>VLOOKUP($O100,Update!$B$2:$R$401,11,False)</f>
        <v>16.9</v>
      </c>
      <c r="V100" s="122">
        <f>VLOOKUP($O100,Update!$B$2:$R$401,10,False)</f>
        <v>2.6</v>
      </c>
      <c r="W100" s="127">
        <f>VLOOKUP($O100,Update!$B$2:$R$401,12,False)</f>
        <v>3</v>
      </c>
      <c r="X100" s="127">
        <f>VLOOKUP($O100,Update!$B$2:$R$401,13,False)</f>
        <v>6.2</v>
      </c>
      <c r="Y100" s="127">
        <f>VLOOKUP($O100,Update!$B$2:$R$401,14,False)</f>
        <v>0.9</v>
      </c>
      <c r="Z100" s="132">
        <f>VLOOKUP($O100,Update!$B$2:$R$401,15,False)</f>
        <v>0.4</v>
      </c>
      <c r="AA100" s="127">
        <f>100*VLOOKUP($O100,Update!$B$2:$R$401,7,False)</f>
        <v>44.36090226</v>
      </c>
      <c r="AB100" s="127">
        <f>100*VLOOKUP($O100,Update!$B$2:$R$401,9,False)</f>
        <v>81.25</v>
      </c>
      <c r="AC100" s="127">
        <f>VLOOKUP($O100,Update!$B$2:$Q$401,16,False)</f>
        <v>2.4</v>
      </c>
      <c r="AD100" s="127">
        <f>VLOOKUP($O100,'NO USAR1'!$A$4:$L$403,2,False)*$U$19</f>
        <v>-0.06010774112</v>
      </c>
      <c r="AE100" s="127">
        <f>VLOOKUP($O100,'NO USAR1'!$A$4:$L$403,3,False)*$V$19</f>
        <v>0.8283970345</v>
      </c>
      <c r="AF100" s="127">
        <f>VLOOKUP($O100,'NO USAR1'!$A$4:$L$403,4,False)*$W$19</f>
        <v>-1.294325082</v>
      </c>
      <c r="AG100" s="127">
        <f>VLOOKUP($O100,'NO USAR1'!$A$4:$L$403,5,False)*$X$19</f>
        <v>1.20161797</v>
      </c>
      <c r="AH100" s="127">
        <f>VLOOKUP($O100,'NO USAR1'!$A$4:$L$403,6,False)*$Y$19</f>
        <v>-0.2064205728</v>
      </c>
      <c r="AI100" s="127">
        <f>VLOOKUP($O100,'NO USAR1'!$A$4:$L$403,7,False)*$Z$19</f>
        <v>-0.3956983969</v>
      </c>
      <c r="AJ100" s="127">
        <f>VLOOKUP($O100,'NO USAR1'!$A$4:$L$403,8,False)*$AA$19</f>
        <v>-0.6958022887</v>
      </c>
      <c r="AK100" s="132">
        <f>VLOOKUP($O100,'NO USAR1'!$A$4:$L$403,10,False)*$AB$19</f>
        <v>0.1808569796</v>
      </c>
      <c r="AL100" s="127">
        <f>VLOOKUP($O100,'NO USAR1'!$A$4:$L$403,12,False)*$AC$19</f>
        <v>-0.1258408189</v>
      </c>
      <c r="AM100" s="133">
        <f t="shared" si="2"/>
        <v>-1.294325082</v>
      </c>
      <c r="AN100" s="133">
        <f t="shared" si="3"/>
        <v>-1.99012737</v>
      </c>
    </row>
    <row r="101">
      <c r="A101" s="118" t="str">
        <f>IF(Update!B99="",ROW(Update!B99),Update!B99)</f>
        <v>Draymond Green</v>
      </c>
      <c r="B101" s="119">
        <f>IF(TYPE($A101)=1,"",(Update!$L99-B$1)/B$2)</f>
        <v>-1.492581945</v>
      </c>
      <c r="C101" s="119">
        <f>IF(TYPE($A101)=1,"",(Update!$K99-C$1)/C$2)</f>
        <v>-1.102859353</v>
      </c>
      <c r="D101" s="119">
        <f>IF(TYPE($A101)=1,"",(Update!$M99-D$1)/D$2)</f>
        <v>0.5873665619</v>
      </c>
      <c r="E101" s="119">
        <f>IF(TYPE($A101)=1,"",(Update!$N99-E$1)/E$2)</f>
        <v>0.999648226</v>
      </c>
      <c r="F101" s="119">
        <f>IF(TYPE($A101)=1,"",(Update!$O99-F$1)/F$2)</f>
        <v>0.01661332578</v>
      </c>
      <c r="G101" s="119">
        <f>IF(TYPE($A101)=1,"",(Update!$P99-G$1)/G$2)</f>
        <v>-0.002501254089</v>
      </c>
      <c r="H101" s="119">
        <f>IF(TYPE($A101)=1,"",(Update!$H99-H$1)/H$2*I101/$I$1)</f>
        <v>0.2504927711</v>
      </c>
      <c r="I101" s="119">
        <f>IF(TYPE($A101)=1,"",IF(Update!H99=0,0,Update!G99/Update!H99))</f>
        <v>6.4</v>
      </c>
      <c r="J101" s="120">
        <f>IF(TYPE($A101)=1,"",(Update!$J99-J$1)/J$2*K101/$K$1)</f>
        <v>-0.4438689216</v>
      </c>
      <c r="K101" s="121">
        <f>IF(TYPE($A101)=1,"",IF(Update!J99=0,0,Update!I99/Update!J99))</f>
        <v>1.7</v>
      </c>
      <c r="L101" s="119">
        <f>IF(TYPE($A101)=1,"",-(Update!$Q99-L$1)/L$2)</f>
        <v>-1.248473388</v>
      </c>
      <c r="N101" s="124">
        <v>81.0</v>
      </c>
      <c r="O101" s="130" t="str">
        <f>IF(Update!B111="",ROW(Update!B111),Update!B111)</f>
        <v>Scoot Henderson</v>
      </c>
      <c r="P101" s="131">
        <f>Update!E111</f>
        <v>72</v>
      </c>
      <c r="Q101" s="131" t="str">
        <f>IF(Update!C111="",ROW(Update!N126),Update!C111)</f>
        <v>PG</v>
      </c>
      <c r="R101" s="127">
        <f>VLOOKUP($O101,'NO USAR1'!$A$4:$L$403,2,False)+VLOOKUP($O101,'NO USAR1'!$A$4:$L$403,3,False)+VLOOKUP($O101,'NO USAR1'!$A$4:$L$403,4,False)+VLOOKUP($O101,'NO USAR1'!$A$4:$L$403,5,False)+VLOOKUP($O101,'NO USAR1'!$A$4:$L$403,6,False)+VLOOKUP($O101,'NO USAR1'!$A$4:$L$403,7,False)+VLOOKUP($O101,'NO USAR1'!$A$4:$L$403,8,False)+VLOOKUP($O101,'NO USAR1'!$A$4:$L$403,10,False)+VLOOKUP($O101,'NO USAR1'!$A$4:$L$403,12,False)*0</f>
        <v>-0.8958280157</v>
      </c>
      <c r="S101" s="127">
        <f>VLOOKUP($O101,'NO USAR1'!$A$4:$L$403,2,False)*$U$19+VLOOKUP($O101,'NO USAR1'!$A$4:$L$403,3,False)*$V$19+VLOOKUP($O101,'NO USAR1'!$A$4:$L$403,4,False)*$W$19+VLOOKUP($O101,'NO USAR1'!$A$4:$L$403,5,False)*$X$19+VLOOKUP($O101,'NO USAR1'!$A$4:$L$403,6,False)*$Y$19+VLOOKUP($O101,'NO USAR1'!$A$4:$L$403,7,False)*$Z$19+VLOOKUP($O101,'NO USAR1'!$A$4:$L$403,8,False)*$AA$19+VLOOKUP($O101,'NO USAR1'!$A$4:$L$403,10,False)*$AB$19+VLOOKUP($O101,'NO USAR1'!$A$4:$L$403,12,False)*$AC$19+IF(Projections!$K$3,-AN101, IF(Projections!$J$3,-AM101,0))</f>
        <v>-0.3062173705</v>
      </c>
      <c r="T101" s="127">
        <f t="shared" si="1"/>
        <v>0.5896106452</v>
      </c>
      <c r="U101" s="127">
        <f>VLOOKUP($O101,Update!$B$2:$R$401,11,False)</f>
        <v>16.4</v>
      </c>
      <c r="V101" s="122">
        <f>VLOOKUP($O101,Update!$B$2:$R$401,10,False)</f>
        <v>1.5</v>
      </c>
      <c r="W101" s="127">
        <f>VLOOKUP($O101,Update!$B$2:$R$401,12,False)</f>
        <v>5.1</v>
      </c>
      <c r="X101" s="127">
        <f>VLOOKUP($O101,Update!$B$2:$R$401,13,False)</f>
        <v>5.8</v>
      </c>
      <c r="Y101" s="127">
        <f>VLOOKUP($O101,Update!$B$2:$R$401,14,False)</f>
        <v>1.1</v>
      </c>
      <c r="Z101" s="132">
        <f>VLOOKUP($O101,Update!$B$2:$R$401,15,False)</f>
        <v>0.3</v>
      </c>
      <c r="AA101" s="127">
        <f>100*VLOOKUP($O101,Update!$B$2:$R$401,7,False)</f>
        <v>44.52054795</v>
      </c>
      <c r="AB101" s="127">
        <f>100*VLOOKUP($O101,Update!$B$2:$R$401,9,False)</f>
        <v>80.76923077</v>
      </c>
      <c r="AC101" s="127">
        <f>VLOOKUP($O101,Update!$B$2:$Q$401,16,False)</f>
        <v>3.4</v>
      </c>
      <c r="AD101" s="127">
        <f>VLOOKUP($O101,'NO USAR1'!$A$4:$L$403,2,False)*$U$19</f>
        <v>-0.1443709296</v>
      </c>
      <c r="AE101" s="127">
        <f>VLOOKUP($O101,'NO USAR1'!$A$4:$L$403,3,False)*$V$19</f>
        <v>-0.1254446312</v>
      </c>
      <c r="AF101" s="127">
        <f>VLOOKUP($O101,'NO USAR1'!$A$4:$L$403,4,False)*$W$19</f>
        <v>-0.4162023146</v>
      </c>
      <c r="AG101" s="127">
        <f>VLOOKUP($O101,'NO USAR1'!$A$4:$L$403,5,False)*$X$19</f>
        <v>0.9976081276</v>
      </c>
      <c r="AH101" s="127">
        <f>VLOOKUP($O101,'NO USAR1'!$A$4:$L$403,6,False)*$Y$19</f>
        <v>0.2296792288</v>
      </c>
      <c r="AI101" s="127">
        <f>VLOOKUP($O101,'NO USAR1'!$A$4:$L$403,7,False)*$Z$19</f>
        <v>-0.5270142365</v>
      </c>
      <c r="AJ101" s="127">
        <f>VLOOKUP($O101,'NO USAR1'!$A$4:$L$403,8,False)*$AA$19</f>
        <v>-0.7405312222</v>
      </c>
      <c r="AK101" s="132">
        <f>VLOOKUP($O101,'NO USAR1'!$A$4:$L$403,10,False)*$AB$19</f>
        <v>0.1158307506</v>
      </c>
      <c r="AL101" s="127">
        <f>VLOOKUP($O101,'NO USAR1'!$A$4:$L$403,12,False)*$AC$19</f>
        <v>-0.4363033656</v>
      </c>
      <c r="AM101" s="133">
        <f t="shared" si="2"/>
        <v>-0.7405312222</v>
      </c>
      <c r="AN101" s="133">
        <f t="shared" si="3"/>
        <v>-1.267545459</v>
      </c>
    </row>
    <row r="102">
      <c r="A102" s="118" t="str">
        <f>IF(Update!B100="",ROW(Update!B100),Update!B100)</f>
        <v>Michael Porter Jr.</v>
      </c>
      <c r="B102" s="119">
        <f>IF(TYPE($A102)=1,"",(Update!$L100-B$1)/B$2)</f>
        <v>0.007302809668</v>
      </c>
      <c r="C102" s="119">
        <f>IF(TYPE($A102)=1,"",(Update!$K100-C$1)/C$2)</f>
        <v>1.209484078</v>
      </c>
      <c r="D102" s="119">
        <f>IF(TYPE($A102)=1,"",(Update!$M100-D$1)/D$2)</f>
        <v>-0.08167935579</v>
      </c>
      <c r="E102" s="119">
        <f>IF(TYPE($A102)=1,"",(Update!$N100-E$1)/E$2)</f>
        <v>-1.225913687</v>
      </c>
      <c r="F102" s="119">
        <f>IF(TYPE($A102)=1,"",(Update!$O100-F$1)/F$2)</f>
        <v>-0.9178862491</v>
      </c>
      <c r="G102" s="119">
        <f>IF(TYPE($A102)=1,"",(Update!$P100-G$1)/G$2)</f>
        <v>-0.3776893674</v>
      </c>
      <c r="H102" s="119">
        <f>IF(TYPE($A102)=1,"",(Update!$H100-H$1)/H$2*I102/$I$1)</f>
        <v>-0.3833291381</v>
      </c>
      <c r="I102" s="119">
        <f>IF(TYPE($A102)=1,"",IF(Update!H100=0,0,Update!G100/Update!H100))</f>
        <v>13.6</v>
      </c>
      <c r="J102" s="120">
        <f>IF(TYPE($A102)=1,"",(Update!$J100-J$1)/J$2*K102/$K$1)</f>
        <v>-0.001900721358</v>
      </c>
      <c r="K102" s="121">
        <f>IF(TYPE($A102)=1,"",IF(Update!J100=0,0,Update!I100/Update!J100))</f>
        <v>1.9</v>
      </c>
      <c r="L102" s="119">
        <f>IF(TYPE($A102)=1,"",-(Update!$Q100-L$1)/L$2)</f>
        <v>0.9868569483</v>
      </c>
      <c r="N102" s="124">
        <v>82.0</v>
      </c>
      <c r="O102" s="130" t="str">
        <f>IF(Update!B102="",ROW(Update!B102),Update!B102)</f>
        <v>Paolo Banchero</v>
      </c>
      <c r="P102" s="131">
        <f>Update!E102</f>
        <v>72</v>
      </c>
      <c r="Q102" s="131" t="str">
        <f>IF(Update!C102="",ROW(Update!N117),Update!C102)</f>
        <v>SF,PF</v>
      </c>
      <c r="R102" s="127">
        <f>VLOOKUP($O102,'NO USAR1'!$A$4:$L$403,2,False)+VLOOKUP($O102,'NO USAR1'!$A$4:$L$403,3,False)+VLOOKUP($O102,'NO USAR1'!$A$4:$L$403,4,False)+VLOOKUP($O102,'NO USAR1'!$A$4:$L$403,5,False)+VLOOKUP($O102,'NO USAR1'!$A$4:$L$403,6,False)+VLOOKUP($O102,'NO USAR1'!$A$4:$L$403,7,False)+VLOOKUP($O102,'NO USAR1'!$A$4:$L$403,8,False)+VLOOKUP($O102,'NO USAR1'!$A$4:$L$403,10,False)+VLOOKUP($O102,'NO USAR1'!$A$4:$L$403,12,False)*0</f>
        <v>-0.9304531186</v>
      </c>
      <c r="S102" s="127">
        <f>VLOOKUP($O102,'NO USAR1'!$A$4:$L$403,2,False)*$U$19+VLOOKUP($O102,'NO USAR1'!$A$4:$L$403,3,False)*$V$19+VLOOKUP($O102,'NO USAR1'!$A$4:$L$403,4,False)*$W$19+VLOOKUP($O102,'NO USAR1'!$A$4:$L$403,5,False)*$X$19+VLOOKUP($O102,'NO USAR1'!$A$4:$L$403,6,False)*$Y$19+VLOOKUP($O102,'NO USAR1'!$A$4:$L$403,7,False)*$Z$19+VLOOKUP($O102,'NO USAR1'!$A$4:$L$403,8,False)*$AA$19+VLOOKUP($O102,'NO USAR1'!$A$4:$L$403,10,False)*$AB$19+VLOOKUP($O102,'NO USAR1'!$A$4:$L$403,12,False)*$AC$19+IF(Projections!$K$3,-AN102, IF(Projections!$J$3,-AM102,0))</f>
        <v>0.03784572165</v>
      </c>
      <c r="T102" s="127">
        <f t="shared" si="1"/>
        <v>0.9682988402</v>
      </c>
      <c r="U102" s="127">
        <f>VLOOKUP($O102,Update!$B$2:$R$401,11,False)</f>
        <v>21.5</v>
      </c>
      <c r="V102" s="122">
        <f>VLOOKUP($O102,Update!$B$2:$R$401,10,False)</f>
        <v>1.3</v>
      </c>
      <c r="W102" s="127">
        <f>VLOOKUP($O102,Update!$B$2:$R$401,12,False)</f>
        <v>7.5</v>
      </c>
      <c r="X102" s="127">
        <f>VLOOKUP($O102,Update!$B$2:$R$401,13,False)</f>
        <v>4</v>
      </c>
      <c r="Y102" s="127">
        <f>VLOOKUP($O102,Update!$B$2:$R$401,14,False)</f>
        <v>1</v>
      </c>
      <c r="Z102" s="132">
        <f>VLOOKUP($O102,Update!$B$2:$R$401,15,False)</f>
        <v>0.7</v>
      </c>
      <c r="AA102" s="127">
        <f>100*VLOOKUP($O102,Update!$B$2:$R$401,7,False)</f>
        <v>44.24242424</v>
      </c>
      <c r="AB102" s="127">
        <f>100*VLOOKUP($O102,Update!$B$2:$R$401,9,False)</f>
        <v>74.66666667</v>
      </c>
      <c r="AC102" s="127">
        <f>VLOOKUP($O102,Update!$B$2:$Q$401,16,False)</f>
        <v>2.8</v>
      </c>
      <c r="AD102" s="127">
        <f>VLOOKUP($O102,'NO USAR1'!$A$4:$L$403,2,False)*$U$19</f>
        <v>0.7151135929</v>
      </c>
      <c r="AE102" s="127">
        <f>VLOOKUP($O102,'NO USAR1'!$A$4:$L$403,3,False)*$V$19</f>
        <v>-0.2988703886</v>
      </c>
      <c r="AF102" s="127">
        <f>VLOOKUP($O102,'NO USAR1'!$A$4:$L$403,4,False)*$W$19</f>
        <v>0.5873665619</v>
      </c>
      <c r="AG102" s="127">
        <f>VLOOKUP($O102,'NO USAR1'!$A$4:$L$403,5,False)*$X$19</f>
        <v>0.0795638384</v>
      </c>
      <c r="AH102" s="127">
        <f>VLOOKUP($O102,'NO USAR1'!$A$4:$L$403,6,False)*$Y$19</f>
        <v>0.01162932804</v>
      </c>
      <c r="AI102" s="127">
        <f>VLOOKUP($O102,'NO USAR1'!$A$4:$L$403,7,False)*$Z$19</f>
        <v>-0.001750877862</v>
      </c>
      <c r="AJ102" s="127">
        <f>VLOOKUP($O102,'NO USAR1'!$A$4:$L$403,8,False)*$AA$19</f>
        <v>-0.8827400504</v>
      </c>
      <c r="AK102" s="132">
        <f>VLOOKUP($O102,'NO USAR1'!$A$4:$L$403,10,False)*$AB$19</f>
        <v>-0.8051804956</v>
      </c>
      <c r="AL102" s="127">
        <f>VLOOKUP($O102,'NO USAR1'!$A$4:$L$403,12,False)*$AC$19</f>
        <v>-0.2500258376</v>
      </c>
      <c r="AM102" s="133">
        <f t="shared" si="2"/>
        <v>-0.8827400504</v>
      </c>
      <c r="AN102" s="133">
        <f t="shared" si="3"/>
        <v>-1.687920546</v>
      </c>
    </row>
    <row r="103">
      <c r="A103" s="118" t="str">
        <f>IF(Update!B101="",ROW(Update!B101),Update!B101)</f>
        <v>Mitchell Robinson</v>
      </c>
      <c r="B103" s="119">
        <f>IF(TYPE($A103)=1,"",(Update!$L101-B$1)/B$2)</f>
        <v>-1.509434583</v>
      </c>
      <c r="C103" s="119">
        <f>IF(TYPE($A103)=1,"",(Update!$K101-C$1)/C$2)</f>
        <v>-1.584597568</v>
      </c>
      <c r="D103" s="119">
        <f>IF(TYPE($A103)=1,"",(Update!$M101-D$1)/D$2)</f>
        <v>1.340043219</v>
      </c>
      <c r="E103" s="119">
        <f>IF(TYPE($A103)=1,"",(Update!$N101-E$1)/E$2)</f>
        <v>-1.457743053</v>
      </c>
      <c r="F103" s="119">
        <f>IF(TYPE($A103)=1,"",(Update!$O101-F$1)/F$2)</f>
        <v>-0.2948865325</v>
      </c>
      <c r="G103" s="119">
        <f>IF(TYPE($A103)=1,"",(Update!$P101-G$1)/G$2)</f>
        <v>2.248627426</v>
      </c>
      <c r="H103" s="119">
        <f>IF(TYPE($A103)=1,"",(Update!$H101-H$1)/H$2*I103/$I$1)</f>
        <v>1.243118446</v>
      </c>
      <c r="I103" s="119">
        <f>IF(TYPE($A103)=1,"",IF(Update!H101=0,0,Update!G101/Update!H101))</f>
        <v>5</v>
      </c>
      <c r="J103" s="120">
        <f>IF(TYPE($A103)=1,"",(Update!$J101-J$1)/J$2*K103/$K$1)</f>
        <v>-2.164112483</v>
      </c>
      <c r="K103" s="121">
        <f>IF(TYPE($A103)=1,"",IF(Update!J101=0,0,Update!I101/Update!J101))</f>
        <v>2.4</v>
      </c>
      <c r="L103" s="119">
        <f>IF(TYPE($A103)=1,"",-(Update!$Q101-L$1)/L$2)</f>
        <v>1.483597023</v>
      </c>
      <c r="N103" s="33">
        <v>83.0</v>
      </c>
      <c r="O103" s="130" t="str">
        <f>IF(Update!B116="",ROW(Update!B116),Update!B116)</f>
        <v>Marcus Smart</v>
      </c>
      <c r="P103" s="131">
        <f>Update!E116</f>
        <v>67</v>
      </c>
      <c r="Q103" s="131" t="str">
        <f>IF(Update!C116="",ROW(Update!N131),Update!C116)</f>
        <v>PG</v>
      </c>
      <c r="R103" s="127">
        <f>VLOOKUP($O103,'NO USAR1'!$A$4:$L$403,2,False)+VLOOKUP($O103,'NO USAR1'!$A$4:$L$403,3,False)+VLOOKUP($O103,'NO USAR1'!$A$4:$L$403,4,False)+VLOOKUP($O103,'NO USAR1'!$A$4:$L$403,5,False)+VLOOKUP($O103,'NO USAR1'!$A$4:$L$403,6,False)+VLOOKUP($O103,'NO USAR1'!$A$4:$L$403,7,False)+VLOOKUP($O103,'NO USAR1'!$A$4:$L$403,8,False)+VLOOKUP($O103,'NO USAR1'!$A$4:$L$403,10,False)+VLOOKUP($O103,'NO USAR1'!$A$4:$L$403,12,False)*0</f>
        <v>-1.007508643</v>
      </c>
      <c r="S103" s="127">
        <f>VLOOKUP($O103,'NO USAR1'!$A$4:$L$403,2,False)*$U$19+VLOOKUP($O103,'NO USAR1'!$A$4:$L$403,3,False)*$V$19+VLOOKUP($O103,'NO USAR1'!$A$4:$L$403,4,False)*$W$19+VLOOKUP($O103,'NO USAR1'!$A$4:$L$403,5,False)*$X$19+VLOOKUP($O103,'NO USAR1'!$A$4:$L$403,6,False)*$Y$19+VLOOKUP($O103,'NO USAR1'!$A$4:$L$403,7,False)*$Z$19+VLOOKUP($O103,'NO USAR1'!$A$4:$L$403,8,False)*$AA$19+VLOOKUP($O103,'NO USAR1'!$A$4:$L$403,10,False)*$AB$19+VLOOKUP($O103,'NO USAR1'!$A$4:$L$403,12,False)*$AC$19+IF(Projections!$K$3,-AN103, IF(Projections!$J$3,-AM103,0))</f>
        <v>-0.1966340312</v>
      </c>
      <c r="T103" s="127">
        <f t="shared" si="1"/>
        <v>0.8108746121</v>
      </c>
      <c r="U103" s="127">
        <f>VLOOKUP($O103,Update!$B$2:$R$401,11,False)</f>
        <v>11.8</v>
      </c>
      <c r="V103" s="122">
        <f>VLOOKUP($O103,Update!$B$2:$R$401,10,False)</f>
        <v>1.8</v>
      </c>
      <c r="W103" s="127">
        <f>VLOOKUP($O103,Update!$B$2:$R$401,12,False)</f>
        <v>3.5</v>
      </c>
      <c r="X103" s="127">
        <f>VLOOKUP($O103,Update!$B$2:$R$401,13,False)</f>
        <v>5.3</v>
      </c>
      <c r="Y103" s="127">
        <f>VLOOKUP($O103,Update!$B$2:$R$401,14,False)</f>
        <v>1.6</v>
      </c>
      <c r="Z103" s="132">
        <f>VLOOKUP($O103,Update!$B$2:$R$401,15,False)</f>
        <v>0.3</v>
      </c>
      <c r="AA103" s="127">
        <f>100*VLOOKUP($O103,Update!$B$2:$R$401,7,False)</f>
        <v>42</v>
      </c>
      <c r="AB103" s="127">
        <f>100*VLOOKUP($O103,Update!$B$2:$R$401,9,False)</f>
        <v>77.27272727</v>
      </c>
      <c r="AC103" s="127">
        <f>VLOOKUP($O103,Update!$B$2:$Q$401,16,False)</f>
        <v>2.3</v>
      </c>
      <c r="AD103" s="127">
        <f>VLOOKUP($O103,'NO USAR1'!$A$4:$L$403,2,False)*$U$19</f>
        <v>-0.9195922636</v>
      </c>
      <c r="AE103" s="127">
        <f>VLOOKUP($O103,'NO USAR1'!$A$4:$L$403,3,False)*$V$19</f>
        <v>0.1346940049</v>
      </c>
      <c r="AF103" s="127">
        <f>VLOOKUP($O103,'NO USAR1'!$A$4:$L$403,4,False)*$W$19</f>
        <v>-1.085248232</v>
      </c>
      <c r="AG103" s="127">
        <f>VLOOKUP($O103,'NO USAR1'!$A$4:$L$403,5,False)*$X$19</f>
        <v>0.742595825</v>
      </c>
      <c r="AH103" s="127">
        <f>VLOOKUP($O103,'NO USAR1'!$A$4:$L$403,6,False)*$Y$19</f>
        <v>1.319928733</v>
      </c>
      <c r="AI103" s="127">
        <f>VLOOKUP($O103,'NO USAR1'!$A$4:$L$403,7,False)*$Z$19</f>
        <v>-0.5270142365</v>
      </c>
      <c r="AJ103" s="127">
        <f>VLOOKUP($O103,'NO USAR1'!$A$4:$L$403,8,False)*$AA$19</f>
        <v>-0.7589818856</v>
      </c>
      <c r="AK103" s="132">
        <f>VLOOKUP($O103,'NO USAR1'!$A$4:$L$403,10,False)*$AB$19</f>
        <v>-0.093469644</v>
      </c>
      <c r="AL103" s="127">
        <f>VLOOKUP($O103,'NO USAR1'!$A$4:$L$403,12,False)*$AC$19</f>
        <v>-0.09479456424</v>
      </c>
      <c r="AM103" s="133">
        <f t="shared" si="2"/>
        <v>-1.085248232</v>
      </c>
      <c r="AN103" s="133">
        <f t="shared" si="3"/>
        <v>-2.004840496</v>
      </c>
    </row>
    <row r="104">
      <c r="A104" s="118" t="str">
        <f>IF(Update!B102="",ROW(Update!B102),Update!B102)</f>
        <v>Paolo Banchero</v>
      </c>
      <c r="B104" s="119">
        <f>IF(TYPE($A104)=1,"",(Update!$L102-B$1)/B$2)</f>
        <v>0.7151135929</v>
      </c>
      <c r="C104" s="119">
        <f>IF(TYPE($A104)=1,"",(Update!$K102-C$1)/C$2)</f>
        <v>-0.3320782095</v>
      </c>
      <c r="D104" s="119">
        <f>IF(TYPE($A104)=1,"",(Update!$M102-D$1)/D$2)</f>
        <v>0.5873665619</v>
      </c>
      <c r="E104" s="119">
        <f>IF(TYPE($A104)=1,"",(Update!$N102-E$1)/E$2)</f>
        <v>0.07233076218</v>
      </c>
      <c r="F104" s="119">
        <f>IF(TYPE($A104)=1,"",(Update!$O102-F$1)/F$2)</f>
        <v>0.01661332578</v>
      </c>
      <c r="G104" s="119">
        <f>IF(TYPE($A104)=1,"",(Update!$P102-G$1)/G$2)</f>
        <v>-0.002501254089</v>
      </c>
      <c r="H104" s="119">
        <f>IF(TYPE($A104)=1,"",(Update!$H102-H$1)/H$2*I104/$I$1)</f>
        <v>-0.9808222782</v>
      </c>
      <c r="I104" s="119">
        <f>IF(TYPE($A104)=1,"",IF(Update!H102=0,0,Update!G102/Update!H102))</f>
        <v>16.5</v>
      </c>
      <c r="J104" s="120">
        <f>IF(TYPE($A104)=1,"",(Update!$J102-J$1)/J$2*K104/$K$1)</f>
        <v>-1.006475619</v>
      </c>
      <c r="K104" s="121">
        <f>IF(TYPE($A104)=1,"",IF(Update!J102=0,0,Update!I102/Update!J102))</f>
        <v>7.5</v>
      </c>
      <c r="L104" s="119">
        <f>IF(TYPE($A104)=1,"",-(Update!$Q102-L$1)/L$2)</f>
        <v>-1.00010335</v>
      </c>
      <c r="N104" s="124">
        <v>84.0</v>
      </c>
      <c r="O104" s="130" t="str">
        <f>IF(Update!B66="",ROW(Update!B66),Update!B66)</f>
        <v>Onyeka Okongwu</v>
      </c>
      <c r="P104" s="131">
        <f>Update!E66</f>
        <v>76</v>
      </c>
      <c r="Q104" s="131" t="str">
        <f>IF(Update!C66="",ROW(Update!N81),Update!C66)</f>
        <v>C</v>
      </c>
      <c r="R104" s="127">
        <f>VLOOKUP($O104,'NO USAR1'!$A$4:$L$403,2,False)+VLOOKUP($O104,'NO USAR1'!$A$4:$L$403,3,False)+VLOOKUP($O104,'NO USAR1'!$A$4:$L$403,4,False)+VLOOKUP($O104,'NO USAR1'!$A$4:$L$403,5,False)+VLOOKUP($O104,'NO USAR1'!$A$4:$L$403,6,False)+VLOOKUP($O104,'NO USAR1'!$A$4:$L$403,7,False)+VLOOKUP($O104,'NO USAR1'!$A$4:$L$403,8,False)+VLOOKUP($O104,'NO USAR1'!$A$4:$L$403,10,False)+VLOOKUP($O104,'NO USAR1'!$A$4:$L$403,12,False)*0</f>
        <v>-1.016968366</v>
      </c>
      <c r="S104" s="127">
        <f>VLOOKUP($O104,'NO USAR1'!$A$4:$L$403,2,False)*$U$19+VLOOKUP($O104,'NO USAR1'!$A$4:$L$403,3,False)*$V$19+VLOOKUP($O104,'NO USAR1'!$A$4:$L$403,4,False)*$W$19+VLOOKUP($O104,'NO USAR1'!$A$4:$L$403,5,False)*$X$19+VLOOKUP($O104,'NO USAR1'!$A$4:$L$403,6,False)*$Y$19+VLOOKUP($O104,'NO USAR1'!$A$4:$L$403,7,False)*$Z$19+VLOOKUP($O104,'NO USAR1'!$A$4:$L$403,8,False)*$AA$19+VLOOKUP($O104,'NO USAR1'!$A$4:$L$403,10,False)*$AB$19+VLOOKUP($O104,'NO USAR1'!$A$4:$L$403,12,False)*$AC$19+IF(Projections!$K$3,-AN104, IF(Projections!$J$3,-AM104,0))</f>
        <v>0.3117832512</v>
      </c>
      <c r="T104" s="127">
        <f t="shared" si="1"/>
        <v>1.328751618</v>
      </c>
      <c r="U104" s="127">
        <f>VLOOKUP($O104,Update!$B$2:$R$401,11,False)</f>
        <v>11</v>
      </c>
      <c r="V104" s="122">
        <f>VLOOKUP($O104,Update!$B$2:$R$401,10,False)</f>
        <v>0</v>
      </c>
      <c r="W104" s="127">
        <f>VLOOKUP($O104,Update!$B$2:$R$401,12,False)</f>
        <v>8</v>
      </c>
      <c r="X104" s="127">
        <f>VLOOKUP($O104,Update!$B$2:$R$401,13,False)</f>
        <v>1.2</v>
      </c>
      <c r="Y104" s="127">
        <f>VLOOKUP($O104,Update!$B$2:$R$401,14,False)</f>
        <v>0.8</v>
      </c>
      <c r="Z104" s="132">
        <f>VLOOKUP($O104,Update!$B$2:$R$401,15,False)</f>
        <v>1.5</v>
      </c>
      <c r="AA104" s="127">
        <f>100*VLOOKUP($O104,Update!$B$2:$R$401,7,False)</f>
        <v>65.67164179</v>
      </c>
      <c r="AB104" s="127">
        <f>100*VLOOKUP($O104,Update!$B$2:$R$401,9,False)</f>
        <v>78.57142857</v>
      </c>
      <c r="AC104" s="127">
        <f>VLOOKUP($O104,Update!$B$2:$Q$401,16,False)</f>
        <v>1.2</v>
      </c>
      <c r="AD104" s="127">
        <f>VLOOKUP($O104,'NO USAR1'!$A$4:$L$403,2,False)*$U$19</f>
        <v>-1.054413365</v>
      </c>
      <c r="AE104" s="127">
        <f>VLOOKUP($O104,'NO USAR1'!$A$4:$L$403,3,False)*$V$19</f>
        <v>-1.426137812</v>
      </c>
      <c r="AF104" s="127">
        <f>VLOOKUP($O104,'NO USAR1'!$A$4:$L$403,4,False)*$W$19</f>
        <v>0.7964434112</v>
      </c>
      <c r="AG104" s="127">
        <f>VLOOKUP($O104,'NO USAR1'!$A$4:$L$403,5,False)*$X$19</f>
        <v>-1.348505056</v>
      </c>
      <c r="AH104" s="127">
        <f>VLOOKUP($O104,'NO USAR1'!$A$4:$L$403,6,False)*$Y$19</f>
        <v>-0.4244704736</v>
      </c>
      <c r="AI104" s="127">
        <f>VLOOKUP($O104,'NO USAR1'!$A$4:$L$403,7,False)*$Z$19</f>
        <v>1.04877584</v>
      </c>
      <c r="AJ104" s="127">
        <f>VLOOKUP($O104,'NO USAR1'!$A$4:$L$403,8,False)*$AA$19</f>
        <v>1.075682073</v>
      </c>
      <c r="AK104" s="132">
        <f>VLOOKUP($O104,'NO USAR1'!$A$4:$L$403,10,False)*$AB$19</f>
        <v>-0.02844341496</v>
      </c>
      <c r="AL104" s="127">
        <f>VLOOKUP($O104,'NO USAR1'!$A$4:$L$403,12,False)*$AC$19</f>
        <v>0.2467142371</v>
      </c>
      <c r="AM104" s="133">
        <f t="shared" si="2"/>
        <v>-1.426137812</v>
      </c>
      <c r="AN104" s="133">
        <f t="shared" si="3"/>
        <v>-2.774642868</v>
      </c>
    </row>
    <row r="105">
      <c r="A105" s="118" t="str">
        <f>IF(Update!B103="",ROW(Update!B103),Update!B103)</f>
        <v>Jusuf Nurkic</v>
      </c>
      <c r="B105" s="119">
        <f>IF(TYPE($A105)=1,"",(Update!$L103-B$1)/B$2)</f>
        <v>-0.6836553359</v>
      </c>
      <c r="C105" s="119">
        <f>IF(TYPE($A105)=1,"",(Update!$K103-C$1)/C$2)</f>
        <v>-1.00651171</v>
      </c>
      <c r="D105" s="119">
        <f>IF(TYPE($A105)=1,"",(Update!$M103-D$1)/D$2)</f>
        <v>1.25641248</v>
      </c>
      <c r="E105" s="119">
        <f>IF(TYPE($A105)=1,"",(Update!$N103-E$1)/E$2)</f>
        <v>-0.6231573357</v>
      </c>
      <c r="F105" s="119">
        <f>IF(TYPE($A105)=1,"",(Update!$O103-F$1)/F$2)</f>
        <v>-0.6063863908</v>
      </c>
      <c r="G105" s="119">
        <f>IF(TYPE($A105)=1,"",(Update!$P103-G$1)/G$2)</f>
        <v>0.3726868593</v>
      </c>
      <c r="H105" s="119">
        <f>IF(TYPE($A105)=1,"",(Update!$H103-H$1)/H$2*I105/$I$1)</f>
        <v>0.4858328236</v>
      </c>
      <c r="I105" s="119">
        <f>IF(TYPE($A105)=1,"",IF(Update!H103=0,0,Update!G103/Update!H103))</f>
        <v>9.4</v>
      </c>
      <c r="J105" s="120">
        <f>IF(TYPE($A105)=1,"",(Update!$J103-J$1)/J$2*K105/$K$1)</f>
        <v>-1.06808055</v>
      </c>
      <c r="K105" s="121">
        <f>IF(TYPE($A105)=1,"",IF(Update!J103=0,0,Update!I103/Update!J103))</f>
        <v>3.6</v>
      </c>
      <c r="L105" s="119">
        <f>IF(TYPE($A105)=1,"",-(Update!$Q103-L$1)/L$2)</f>
        <v>0.2417468363</v>
      </c>
      <c r="N105" s="124">
        <v>85.0</v>
      </c>
      <c r="O105" s="130" t="str">
        <f>IF(Update!B69="",ROW(Update!B69),Update!B69)</f>
        <v>Mark Williams</v>
      </c>
      <c r="P105" s="131">
        <f>Update!E69</f>
        <v>70</v>
      </c>
      <c r="Q105" s="131" t="str">
        <f>IF(Update!C69="",ROW(Update!N84),Update!C69)</f>
        <v>C</v>
      </c>
      <c r="R105" s="127">
        <f>VLOOKUP($O105,'NO USAR1'!$A$4:$L$403,2,False)+VLOOKUP($O105,'NO USAR1'!$A$4:$L$403,3,False)+VLOOKUP($O105,'NO USAR1'!$A$4:$L$403,4,False)+VLOOKUP($O105,'NO USAR1'!$A$4:$L$403,5,False)+VLOOKUP($O105,'NO USAR1'!$A$4:$L$403,6,False)+VLOOKUP($O105,'NO USAR1'!$A$4:$L$403,7,False)+VLOOKUP($O105,'NO USAR1'!$A$4:$L$403,8,False)+VLOOKUP($O105,'NO USAR1'!$A$4:$L$403,10,False)+VLOOKUP($O105,'NO USAR1'!$A$4:$L$403,12,False)*0</f>
        <v>-1.02794237</v>
      </c>
      <c r="S105" s="127">
        <f>VLOOKUP($O105,'NO USAR1'!$A$4:$L$403,2,False)*$U$19+VLOOKUP($O105,'NO USAR1'!$A$4:$L$403,3,False)*$V$19+VLOOKUP($O105,'NO USAR1'!$A$4:$L$403,4,False)*$W$19+VLOOKUP($O105,'NO USAR1'!$A$4:$L$403,5,False)*$X$19+VLOOKUP($O105,'NO USAR1'!$A$4:$L$403,6,False)*$Y$19+VLOOKUP($O105,'NO USAR1'!$A$4:$L$403,7,False)*$Z$19+VLOOKUP($O105,'NO USAR1'!$A$4:$L$403,8,False)*$AA$19+VLOOKUP($O105,'NO USAR1'!$A$4:$L$403,10,False)*$AB$19+VLOOKUP($O105,'NO USAR1'!$A$4:$L$403,12,False)*$AC$19+IF(Projections!$K$3,-AN105, IF(Projections!$J$3,-AM105,0))</f>
        <v>0.6235352476</v>
      </c>
      <c r="T105" s="127">
        <f t="shared" si="1"/>
        <v>1.651477618</v>
      </c>
      <c r="U105" s="127">
        <f>VLOOKUP($O105,Update!$B$2:$R$401,11,False)</f>
        <v>12.6</v>
      </c>
      <c r="V105" s="122">
        <f>VLOOKUP($O105,Update!$B$2:$R$401,10,False)</f>
        <v>0</v>
      </c>
      <c r="W105" s="127">
        <f>VLOOKUP($O105,Update!$B$2:$R$401,12,False)</f>
        <v>9.9</v>
      </c>
      <c r="X105" s="127">
        <f>VLOOKUP($O105,Update!$B$2:$R$401,13,False)</f>
        <v>0.6</v>
      </c>
      <c r="Y105" s="127">
        <f>VLOOKUP($O105,Update!$B$2:$R$401,14,False)</f>
        <v>0.9</v>
      </c>
      <c r="Z105" s="132">
        <f>VLOOKUP($O105,Update!$B$2:$R$401,15,False)</f>
        <v>1.4</v>
      </c>
      <c r="AA105" s="127">
        <f>100*VLOOKUP($O105,Update!$B$2:$R$401,7,False)</f>
        <v>63.41463415</v>
      </c>
      <c r="AB105" s="127">
        <f>100*VLOOKUP($O105,Update!$B$2:$R$401,9,False)</f>
        <v>68.75</v>
      </c>
      <c r="AC105" s="127">
        <f>VLOOKUP($O105,Update!$B$2:$Q$401,16,False)</f>
        <v>1.3</v>
      </c>
      <c r="AD105" s="127">
        <f>VLOOKUP($O105,'NO USAR1'!$A$4:$L$403,2,False)*$U$19</f>
        <v>-0.784771162</v>
      </c>
      <c r="AE105" s="127">
        <f>VLOOKUP($O105,'NO USAR1'!$A$4:$L$403,3,False)*$V$19</f>
        <v>-1.426137812</v>
      </c>
      <c r="AF105" s="127">
        <f>VLOOKUP($O105,'NO USAR1'!$A$4:$L$403,4,False)*$W$19</f>
        <v>1.590935438</v>
      </c>
      <c r="AG105" s="127">
        <f>VLOOKUP($O105,'NO USAR1'!$A$4:$L$403,5,False)*$X$19</f>
        <v>-1.654519819</v>
      </c>
      <c r="AH105" s="127">
        <f>VLOOKUP($O105,'NO USAR1'!$A$4:$L$403,6,False)*$Y$19</f>
        <v>-0.2064205728</v>
      </c>
      <c r="AI105" s="127">
        <f>VLOOKUP($O105,'NO USAR1'!$A$4:$L$403,7,False)*$Z$19</f>
        <v>0.9174599998</v>
      </c>
      <c r="AJ105" s="127">
        <f>VLOOKUP($O105,'NO USAR1'!$A$4:$L$403,8,False)*$AA$19</f>
        <v>1.131641845</v>
      </c>
      <c r="AK105" s="132">
        <f>VLOOKUP($O105,'NO USAR1'!$A$4:$L$403,10,False)*$AB$19</f>
        <v>-0.8148404718</v>
      </c>
      <c r="AL105" s="127">
        <f>VLOOKUP($O105,'NO USAR1'!$A$4:$L$403,12,False)*$AC$19</f>
        <v>0.2156679824</v>
      </c>
      <c r="AM105" s="133">
        <f t="shared" si="2"/>
        <v>-1.654519819</v>
      </c>
      <c r="AN105" s="133">
        <f t="shared" si="3"/>
        <v>-3.080657631</v>
      </c>
    </row>
    <row r="106">
      <c r="A106" s="118" t="str">
        <f>IF(Update!B104="",ROW(Update!B104),Update!B104)</f>
        <v>Al Horford</v>
      </c>
      <c r="B106" s="119">
        <f>IF(TYPE($A106)=1,"",(Update!$L104-B$1)/B$2)</f>
        <v>-1.324055568</v>
      </c>
      <c r="C106" s="119">
        <f>IF(TYPE($A106)=1,"",(Update!$K104-C$1)/C$2)</f>
        <v>0.05331236246</v>
      </c>
      <c r="D106" s="119">
        <f>IF(TYPE($A106)=1,"",(Update!$M104-D$1)/D$2)</f>
        <v>0.2110282332</v>
      </c>
      <c r="E106" s="119">
        <f>IF(TYPE($A106)=1,"",(Update!$N104-E$1)/E$2)</f>
        <v>-0.3913279697</v>
      </c>
      <c r="F106" s="119">
        <f>IF(TYPE($A106)=1,"",(Update!$O104-F$1)/F$2)</f>
        <v>-1.229386107</v>
      </c>
      <c r="G106" s="119">
        <f>IF(TYPE($A106)=1,"",(Update!$P104-G$1)/G$2)</f>
        <v>0.7478749726</v>
      </c>
      <c r="H106" s="119">
        <f>IF(TYPE($A106)=1,"",(Update!$H104-H$1)/H$2*I106/$I$1)</f>
        <v>-0.2440373933</v>
      </c>
      <c r="I106" s="119">
        <f>IF(TYPE($A106)=1,"",IF(Update!H104=0,0,Update!G104/Update!H104))</f>
        <v>7.5</v>
      </c>
      <c r="J106" s="120">
        <f>IF(TYPE($A106)=1,"",(Update!$J104-J$1)/J$2*K106/$K$1)</f>
        <v>-0.09905992065</v>
      </c>
      <c r="K106" s="121">
        <f>IF(TYPE($A106)=1,"",IF(Update!J104=0,0,Update!I104/Update!J104))</f>
        <v>0.8</v>
      </c>
      <c r="L106" s="119">
        <f>IF(TYPE($A106)=1,"",-(Update!$Q104-L$1)/L$2)</f>
        <v>1.607782042</v>
      </c>
      <c r="N106" s="33">
        <v>86.0</v>
      </c>
      <c r="O106" s="130" t="str">
        <f>IF(Update!B92="",ROW(Update!B92),Update!B92)</f>
        <v>Chris Paul</v>
      </c>
      <c r="P106" s="131">
        <f>Update!E92</f>
        <v>60</v>
      </c>
      <c r="Q106" s="131" t="str">
        <f>IF(Update!C92="",ROW(Update!N107),Update!C92)</f>
        <v>PG</v>
      </c>
      <c r="R106" s="127">
        <f>VLOOKUP($O106,'NO USAR1'!$A$4:$L$403,2,False)+VLOOKUP($O106,'NO USAR1'!$A$4:$L$403,3,False)+VLOOKUP($O106,'NO USAR1'!$A$4:$L$403,4,False)+VLOOKUP($O106,'NO USAR1'!$A$4:$L$403,5,False)+VLOOKUP($O106,'NO USAR1'!$A$4:$L$403,6,False)+VLOOKUP($O106,'NO USAR1'!$A$4:$L$403,7,False)+VLOOKUP($O106,'NO USAR1'!$A$4:$L$403,8,False)+VLOOKUP($O106,'NO USAR1'!$A$4:$L$403,10,False)+VLOOKUP($O106,'NO USAR1'!$A$4:$L$403,12,False)*0</f>
        <v>-1.045822789</v>
      </c>
      <c r="S106" s="127">
        <f>VLOOKUP($O106,'NO USAR1'!$A$4:$L$403,2,False)*$U$19+VLOOKUP($O106,'NO USAR1'!$A$4:$L$403,3,False)*$V$19+VLOOKUP($O106,'NO USAR1'!$A$4:$L$403,4,False)*$W$19+VLOOKUP($O106,'NO USAR1'!$A$4:$L$403,5,False)*$X$19+VLOOKUP($O106,'NO USAR1'!$A$4:$L$403,6,False)*$Y$19+VLOOKUP($O106,'NO USAR1'!$A$4:$L$403,7,False)*$Z$19+VLOOKUP($O106,'NO USAR1'!$A$4:$L$403,8,False)*$AA$19+VLOOKUP($O106,'NO USAR1'!$A$4:$L$403,10,False)*$AB$19+VLOOKUP($O106,'NO USAR1'!$A$4:$L$403,12,False)*$AC$19+IF(Projections!$K$3,-AN106, IF(Projections!$J$3,-AM106,0))</f>
        <v>0.2921230591</v>
      </c>
      <c r="T106" s="127">
        <f t="shared" si="1"/>
        <v>1.337945848</v>
      </c>
      <c r="U106" s="127">
        <f>VLOOKUP($O106,Update!$B$2:$R$401,11,False)</f>
        <v>11.6</v>
      </c>
      <c r="V106" s="122">
        <f>VLOOKUP($O106,Update!$B$2:$R$401,10,False)</f>
        <v>1.3</v>
      </c>
      <c r="W106" s="127">
        <f>VLOOKUP($O106,Update!$B$2:$R$401,12,False)</f>
        <v>3.6</v>
      </c>
      <c r="X106" s="127">
        <f>VLOOKUP($O106,Update!$B$2:$R$401,13,False)</f>
        <v>7.5</v>
      </c>
      <c r="Y106" s="127">
        <f>VLOOKUP($O106,Update!$B$2:$R$401,14,False)</f>
        <v>1.2</v>
      </c>
      <c r="Z106" s="132">
        <f>VLOOKUP($O106,Update!$B$2:$R$401,15,False)</f>
        <v>0.3</v>
      </c>
      <c r="AA106" s="127">
        <f>100*VLOOKUP($O106,Update!$B$2:$R$401,7,False)</f>
        <v>43.61702128</v>
      </c>
      <c r="AB106" s="127">
        <f>100*VLOOKUP($O106,Update!$B$2:$R$401,9,False)</f>
        <v>83.33333333</v>
      </c>
      <c r="AC106" s="127">
        <f>VLOOKUP($O106,Update!$B$2:$Q$401,16,False)</f>
        <v>1.8</v>
      </c>
      <c r="AD106" s="127">
        <f>VLOOKUP($O106,'NO USAR1'!$A$4:$L$403,2,False)*$U$19</f>
        <v>-0.953297539</v>
      </c>
      <c r="AE106" s="127">
        <f>VLOOKUP($O106,'NO USAR1'!$A$4:$L$403,3,False)*$V$19</f>
        <v>-0.2988703886</v>
      </c>
      <c r="AF106" s="127">
        <f>VLOOKUP($O106,'NO USAR1'!$A$4:$L$403,4,False)*$W$19</f>
        <v>-1.043432862</v>
      </c>
      <c r="AG106" s="127">
        <f>VLOOKUP($O106,'NO USAR1'!$A$4:$L$403,5,False)*$X$19</f>
        <v>1.864649956</v>
      </c>
      <c r="AH106" s="127">
        <f>VLOOKUP($O106,'NO USAR1'!$A$4:$L$403,6,False)*$Y$19</f>
        <v>0.4477291296</v>
      </c>
      <c r="AI106" s="127">
        <f>VLOOKUP($O106,'NO USAR1'!$A$4:$L$403,7,False)*$Z$19</f>
        <v>-0.5270142365</v>
      </c>
      <c r="AJ106" s="127">
        <f>VLOOKUP($O106,'NO USAR1'!$A$4:$L$403,8,False)*$AA$19</f>
        <v>-0.561615488</v>
      </c>
      <c r="AK106" s="132">
        <f>VLOOKUP($O106,'NO USAR1'!$A$4:$L$403,10,False)*$AB$19</f>
        <v>0.2601049162</v>
      </c>
      <c r="AL106" s="127">
        <f>VLOOKUP($O106,'NO USAR1'!$A$4:$L$403,12,False)*$AC$19</f>
        <v>0.06043670908</v>
      </c>
      <c r="AM106" s="133">
        <f t="shared" si="2"/>
        <v>-1.043432862</v>
      </c>
      <c r="AN106" s="133">
        <f t="shared" si="3"/>
        <v>-1.996730401</v>
      </c>
    </row>
    <row r="107">
      <c r="A107" s="118" t="str">
        <f>IF(Update!B105="",ROW(Update!B105),Update!B105)</f>
        <v>Bojan Bogdanovic</v>
      </c>
      <c r="B107" s="119">
        <f>IF(TYPE($A107)=1,"",(Update!$L105-B$1)/B$2)</f>
        <v>0.4454713898</v>
      </c>
      <c r="C107" s="119">
        <f>IF(TYPE($A107)=1,"",(Update!$K105-C$1)/C$2)</f>
        <v>0.9204411494</v>
      </c>
      <c r="D107" s="119">
        <f>IF(TYPE($A107)=1,"",(Update!$M105-D$1)/D$2)</f>
        <v>-0.8343560132</v>
      </c>
      <c r="E107" s="119">
        <f>IF(TYPE($A107)=1,"",(Update!$N105-E$1)/E$2)</f>
        <v>-0.8086208285</v>
      </c>
      <c r="F107" s="119">
        <f>IF(TYPE($A107)=1,"",(Update!$O105-F$1)/F$2)</f>
        <v>-1.540885966</v>
      </c>
      <c r="G107" s="119">
        <f>IF(TYPE($A107)=1,"",(Update!$P105-G$1)/G$2)</f>
        <v>-1.128065594</v>
      </c>
      <c r="H107" s="119">
        <f>IF(TYPE($A107)=1,"",(Update!$H105-H$1)/H$2*I107/$I$1)</f>
        <v>-0.4357019623</v>
      </c>
      <c r="I107" s="119">
        <f>IF(TYPE($A107)=1,"",IF(Update!H105=0,0,Update!G105/Update!H105))</f>
        <v>14.3</v>
      </c>
      <c r="J107" s="120">
        <f>IF(TYPE($A107)=1,"",(Update!$J105-J$1)/J$2*K107/$K$1)</f>
        <v>1.322103158</v>
      </c>
      <c r="K107" s="121">
        <f>IF(TYPE($A107)=1,"",IF(Update!J105=0,0,Update!I105/Update!J105))</f>
        <v>4.4</v>
      </c>
      <c r="L107" s="119">
        <f>IF(TYPE($A107)=1,"",-(Update!$Q105-L$1)/L$2)</f>
        <v>-0.006623200995</v>
      </c>
      <c r="N107" s="124">
        <v>87.0</v>
      </c>
      <c r="O107" s="130" t="str">
        <f>IF(Update!B63="",ROW(Update!B63),Update!B63)</f>
        <v>Daniel Gafford</v>
      </c>
      <c r="P107" s="131">
        <f>Update!E63</f>
        <v>76</v>
      </c>
      <c r="Q107" s="131" t="str">
        <f>IF(Update!C63="",ROW(Update!N78),Update!C63)</f>
        <v>PF</v>
      </c>
      <c r="R107" s="127">
        <f>VLOOKUP($O107,'NO USAR1'!$A$4:$L$403,2,False)+VLOOKUP($O107,'NO USAR1'!$A$4:$L$403,3,False)+VLOOKUP($O107,'NO USAR1'!$A$4:$L$403,4,False)+VLOOKUP($O107,'NO USAR1'!$A$4:$L$403,5,False)+VLOOKUP($O107,'NO USAR1'!$A$4:$L$403,6,False)+VLOOKUP($O107,'NO USAR1'!$A$4:$L$403,7,False)+VLOOKUP($O107,'NO USAR1'!$A$4:$L$403,8,False)+VLOOKUP($O107,'NO USAR1'!$A$4:$L$403,10,False)+VLOOKUP($O107,'NO USAR1'!$A$4:$L$403,12,False)*0</f>
        <v>-1.07604153</v>
      </c>
      <c r="S107" s="127">
        <f>VLOOKUP($O107,'NO USAR1'!$A$4:$L$403,2,False)*$U$19+VLOOKUP($O107,'NO USAR1'!$A$4:$L$403,3,False)*$V$19+VLOOKUP($O107,'NO USAR1'!$A$4:$L$403,4,False)*$W$19+VLOOKUP($O107,'NO USAR1'!$A$4:$L$403,5,False)*$X$19+VLOOKUP($O107,'NO USAR1'!$A$4:$L$403,6,False)*$Y$19+VLOOKUP($O107,'NO USAR1'!$A$4:$L$403,7,False)*$Z$19+VLOOKUP($O107,'NO USAR1'!$A$4:$L$403,8,False)*$AA$19+VLOOKUP($O107,'NO USAR1'!$A$4:$L$403,10,False)*$AB$19+VLOOKUP($O107,'NO USAR1'!$A$4:$L$403,12,False)*$AC$19+IF(Projections!$K$3,-AN107, IF(Projections!$J$3,-AM107,0))</f>
        <v>0.3603299625</v>
      </c>
      <c r="T107" s="127">
        <f t="shared" si="1"/>
        <v>1.436371493</v>
      </c>
      <c r="U107" s="127">
        <f>VLOOKUP($O107,Update!$B$2:$R$401,11,False)</f>
        <v>12.8</v>
      </c>
      <c r="V107" s="122">
        <f>VLOOKUP($O107,Update!$B$2:$R$401,10,False)</f>
        <v>0</v>
      </c>
      <c r="W107" s="127">
        <f>VLOOKUP($O107,Update!$B$2:$R$401,12,False)</f>
        <v>7.8</v>
      </c>
      <c r="X107" s="127">
        <f>VLOOKUP($O107,Update!$B$2:$R$401,13,False)</f>
        <v>1.4</v>
      </c>
      <c r="Y107" s="127">
        <f>VLOOKUP($O107,Update!$B$2:$R$401,14,False)</f>
        <v>0.6</v>
      </c>
      <c r="Z107" s="132">
        <f>VLOOKUP($O107,Update!$B$2:$R$401,15,False)</f>
        <v>1.7</v>
      </c>
      <c r="AA107" s="127">
        <f>100*VLOOKUP($O107,Update!$B$2:$R$401,7,False)</f>
        <v>71.62162162</v>
      </c>
      <c r="AB107" s="127">
        <f>100*VLOOKUP($O107,Update!$B$2:$R$401,9,False)</f>
        <v>70.96774194</v>
      </c>
      <c r="AC107" s="127">
        <f>VLOOKUP($O107,Update!$B$2:$Q$401,16,False)</f>
        <v>1.4</v>
      </c>
      <c r="AD107" s="127">
        <f>VLOOKUP($O107,'NO USAR1'!$A$4:$L$403,2,False)*$U$19</f>
        <v>-0.7510658866</v>
      </c>
      <c r="AE107" s="127">
        <f>VLOOKUP($O107,'NO USAR1'!$A$4:$L$403,3,False)*$V$19</f>
        <v>-1.426137812</v>
      </c>
      <c r="AF107" s="127">
        <f>VLOOKUP($O107,'NO USAR1'!$A$4:$L$403,4,False)*$W$19</f>
        <v>0.7128126715</v>
      </c>
      <c r="AG107" s="127">
        <f>VLOOKUP($O107,'NO USAR1'!$A$4:$L$403,5,False)*$X$19</f>
        <v>-1.246500135</v>
      </c>
      <c r="AH107" s="127">
        <f>VLOOKUP($O107,'NO USAR1'!$A$4:$L$403,6,False)*$Y$19</f>
        <v>-0.8605702752</v>
      </c>
      <c r="AI107" s="127">
        <f>VLOOKUP($O107,'NO USAR1'!$A$4:$L$403,7,False)*$Z$19</f>
        <v>1.311407519</v>
      </c>
      <c r="AJ107" s="127">
        <f>VLOOKUP($O107,'NO USAR1'!$A$4:$L$403,8,False)*$AA$19</f>
        <v>1.627865549</v>
      </c>
      <c r="AK107" s="132">
        <f>VLOOKUP($O107,'NO USAR1'!$A$4:$L$403,10,False)*$AB$19</f>
        <v>-0.6182412076</v>
      </c>
      <c r="AL107" s="127">
        <f>VLOOKUP($O107,'NO USAR1'!$A$4:$L$403,12,False)*$AC$19</f>
        <v>0.1846217277</v>
      </c>
      <c r="AM107" s="133">
        <f t="shared" si="2"/>
        <v>-1.426137812</v>
      </c>
      <c r="AN107" s="133">
        <f t="shared" si="3"/>
        <v>-2.672637947</v>
      </c>
    </row>
    <row r="108">
      <c r="A108" s="118" t="str">
        <f>IF(Update!B106="",ROW(Update!B106),Update!B106)</f>
        <v>Buddy Hield</v>
      </c>
      <c r="B108" s="119">
        <f>IF(TYPE($A108)=1,"",(Update!$L106-B$1)/B$2)</f>
        <v>-0.3466025819</v>
      </c>
      <c r="C108" s="119">
        <f>IF(TYPE($A108)=1,"",(Update!$K106-C$1)/C$2)</f>
        <v>1.402179364</v>
      </c>
      <c r="D108" s="119">
        <f>IF(TYPE($A108)=1,"",(Update!$M106-D$1)/D$2)</f>
        <v>-0.7507252735</v>
      </c>
      <c r="E108" s="119">
        <f>IF(TYPE($A108)=1,"",(Update!$N106-E$1)/E$2)</f>
        <v>-0.5767914625</v>
      </c>
      <c r="F108" s="119">
        <f>IF(TYPE($A108)=1,"",(Update!$O106-F$1)/F$2)</f>
        <v>-0.2948865325</v>
      </c>
      <c r="G108" s="119">
        <f>IF(TYPE($A108)=1,"",(Update!$P106-G$1)/G$2)</f>
        <v>-0.7528774808</v>
      </c>
      <c r="H108" s="119">
        <f>IF(TYPE($A108)=1,"",(Update!$H106-H$1)/H$2*I108/$I$1)</f>
        <v>-0.6674766692</v>
      </c>
      <c r="I108" s="119">
        <f>IF(TYPE($A108)=1,"",IF(Update!H106=0,0,Update!G106/Update!H106))</f>
        <v>12.1</v>
      </c>
      <c r="J108" s="120">
        <f>IF(TYPE($A108)=1,"",(Update!$J106-J$1)/J$2*K108/$K$1)</f>
        <v>0.04762923897</v>
      </c>
      <c r="K108" s="121">
        <f>IF(TYPE($A108)=1,"",IF(Update!J106=0,0,Update!I106/Update!J106))</f>
        <v>1.5</v>
      </c>
      <c r="L108" s="119">
        <f>IF(TYPE($A108)=1,"",-(Update!$Q106-L$1)/L$2)</f>
        <v>0.365931855</v>
      </c>
      <c r="N108" s="124">
        <v>88.0</v>
      </c>
      <c r="O108" s="130" t="str">
        <f>IF(Update!B99="",ROW(Update!B99),Update!B99)</f>
        <v>Draymond Green</v>
      </c>
      <c r="P108" s="131">
        <f>Update!E99</f>
        <v>55</v>
      </c>
      <c r="Q108" s="131" t="str">
        <f>IF(Update!C99="",ROW(Update!N114),Update!C99)</f>
        <v>PF,C</v>
      </c>
      <c r="R108" s="127">
        <f>VLOOKUP($O108,'NO USAR1'!$A$4:$L$403,2,False)+VLOOKUP($O108,'NO USAR1'!$A$4:$L$403,3,False)+VLOOKUP($O108,'NO USAR1'!$A$4:$L$403,4,False)+VLOOKUP($O108,'NO USAR1'!$A$4:$L$403,5,False)+VLOOKUP($O108,'NO USAR1'!$A$4:$L$403,6,False)+VLOOKUP($O108,'NO USAR1'!$A$4:$L$403,7,False)+VLOOKUP($O108,'NO USAR1'!$A$4:$L$403,8,False)+VLOOKUP($O108,'NO USAR1'!$A$4:$L$403,10,False)+VLOOKUP($O108,'NO USAR1'!$A$4:$L$403,12,False)*0</f>
        <v>-1.18769059</v>
      </c>
      <c r="S108" s="127">
        <f>VLOOKUP($O108,'NO USAR1'!$A$4:$L$403,2,False)*$U$19+VLOOKUP($O108,'NO USAR1'!$A$4:$L$403,3,False)*$V$19+VLOOKUP($O108,'NO USAR1'!$A$4:$L$403,4,False)*$W$19+VLOOKUP($O108,'NO USAR1'!$A$4:$L$403,5,False)*$X$19+VLOOKUP($O108,'NO USAR1'!$A$4:$L$403,6,False)*$Y$19+VLOOKUP($O108,'NO USAR1'!$A$4:$L$403,7,False)*$Z$19+VLOOKUP($O108,'NO USAR1'!$A$4:$L$403,8,False)*$AA$19+VLOOKUP($O108,'NO USAR1'!$A$4:$L$403,10,False)*$AB$19+VLOOKUP($O108,'NO USAR1'!$A$4:$L$403,12,False)*$AC$19+IF(Projections!$K$3,-AN108, IF(Projections!$J$3,-AM108,0))</f>
        <v>0.2625146525</v>
      </c>
      <c r="T108" s="127">
        <f t="shared" si="1"/>
        <v>1.450205242</v>
      </c>
      <c r="U108" s="127">
        <f>VLOOKUP($O108,Update!$B$2:$R$401,11,False)</f>
        <v>8.4</v>
      </c>
      <c r="V108" s="122">
        <f>VLOOKUP($O108,Update!$B$2:$R$401,10,False)</f>
        <v>0.5</v>
      </c>
      <c r="W108" s="127">
        <f>VLOOKUP($O108,Update!$B$2:$R$401,12,False)</f>
        <v>7.5</v>
      </c>
      <c r="X108" s="127">
        <f>VLOOKUP($O108,Update!$B$2:$R$401,13,False)</f>
        <v>6</v>
      </c>
      <c r="Y108" s="127">
        <f>VLOOKUP($O108,Update!$B$2:$R$401,14,False)</f>
        <v>1</v>
      </c>
      <c r="Z108" s="132">
        <f>VLOOKUP($O108,Update!$B$2:$R$401,15,False)</f>
        <v>0.7</v>
      </c>
      <c r="AA108" s="127">
        <f>100*VLOOKUP($O108,Update!$B$2:$R$401,7,False)</f>
        <v>53.125</v>
      </c>
      <c r="AB108" s="127">
        <f>100*VLOOKUP($O108,Update!$B$2:$R$401,9,False)</f>
        <v>70.58823529</v>
      </c>
      <c r="AC108" s="127">
        <f>VLOOKUP($O108,Update!$B$2:$Q$401,16,False)</f>
        <v>3</v>
      </c>
      <c r="AD108" s="127">
        <f>VLOOKUP($O108,'NO USAR1'!$A$4:$L$403,2,False)*$U$19</f>
        <v>-1.492581945</v>
      </c>
      <c r="AE108" s="127">
        <f>VLOOKUP($O108,'NO USAR1'!$A$4:$L$403,3,False)*$V$19</f>
        <v>-0.9925734181</v>
      </c>
      <c r="AF108" s="127">
        <f>VLOOKUP($O108,'NO USAR1'!$A$4:$L$403,4,False)*$W$19</f>
        <v>0.5873665619</v>
      </c>
      <c r="AG108" s="127">
        <f>VLOOKUP($O108,'NO USAR1'!$A$4:$L$403,5,False)*$X$19</f>
        <v>1.099613049</v>
      </c>
      <c r="AH108" s="127">
        <f>VLOOKUP($O108,'NO USAR1'!$A$4:$L$403,6,False)*$Y$19</f>
        <v>0.01162932804</v>
      </c>
      <c r="AI108" s="127">
        <f>VLOOKUP($O108,'NO USAR1'!$A$4:$L$403,7,False)*$Z$19</f>
        <v>-0.001750877862</v>
      </c>
      <c r="AJ108" s="127">
        <f>VLOOKUP($O108,'NO USAR1'!$A$4:$L$403,8,False)*$AA$19</f>
        <v>0.225443494</v>
      </c>
      <c r="AK108" s="132">
        <f>VLOOKUP($O108,'NO USAR1'!$A$4:$L$403,10,False)*$AB$19</f>
        <v>-0.3550951373</v>
      </c>
      <c r="AL108" s="127">
        <f>VLOOKUP($O108,'NO USAR1'!$A$4:$L$403,12,False)*$AC$19</f>
        <v>-0.3121183469</v>
      </c>
      <c r="AM108" s="133">
        <f t="shared" si="2"/>
        <v>-1.492581945</v>
      </c>
      <c r="AN108" s="133">
        <f t="shared" si="3"/>
        <v>-2.485155363</v>
      </c>
    </row>
    <row r="109">
      <c r="A109" s="118" t="str">
        <f>IF(Update!B107="",ROW(Update!B107),Update!B107)</f>
        <v>Keegan Murray</v>
      </c>
      <c r="B109" s="119">
        <f>IF(TYPE($A109)=1,"",(Update!$L107-B$1)/B$2)</f>
        <v>-0.5488342343</v>
      </c>
      <c r="C109" s="119">
        <f>IF(TYPE($A109)=1,"",(Update!$K107-C$1)/C$2)</f>
        <v>1.016788792</v>
      </c>
      <c r="D109" s="119">
        <f>IF(TYPE($A109)=1,"",(Update!$M107-D$1)/D$2)</f>
        <v>-0.4998330543</v>
      </c>
      <c r="E109" s="119">
        <f>IF(TYPE($A109)=1,"",(Update!$N107-E$1)/E$2)</f>
        <v>-1.179547814</v>
      </c>
      <c r="F109" s="119">
        <f>IF(TYPE($A109)=1,"",(Update!$O107-F$1)/F$2)</f>
        <v>-0.2948865325</v>
      </c>
      <c r="G109" s="119">
        <f>IF(TYPE($A109)=1,"",(Update!$P107-G$1)/G$2)</f>
        <v>-0.1900953108</v>
      </c>
      <c r="H109" s="119">
        <f>IF(TYPE($A109)=1,"",(Update!$H107-H$1)/H$2*I109/$I$1)</f>
        <v>-0.3949165112</v>
      </c>
      <c r="I109" s="119">
        <f>IF(TYPE($A109)=1,"",IF(Update!H107=0,0,Update!G107/Update!H107))</f>
        <v>11</v>
      </c>
      <c r="J109" s="120">
        <f>IF(TYPE($A109)=1,"",(Update!$J107-J$1)/J$2*K109/$K$1)</f>
        <v>-0.01777713435</v>
      </c>
      <c r="K109" s="121">
        <f>IF(TYPE($A109)=1,"",IF(Update!J107=0,0,Update!I107/Update!J107))</f>
        <v>1.4</v>
      </c>
      <c r="L109" s="119">
        <f>IF(TYPE($A109)=1,"",-(Update!$Q107-L$1)/L$2)</f>
        <v>1.359412004</v>
      </c>
      <c r="N109" s="33">
        <v>89.0</v>
      </c>
      <c r="O109" s="130" t="str">
        <f>IF(Update!B65="",ROW(Update!B65),Update!B65)</f>
        <v>Brook Lopez</v>
      </c>
      <c r="P109" s="131">
        <f>Update!E65</f>
        <v>72</v>
      </c>
      <c r="Q109" s="131" t="str">
        <f>IF(Update!C65="",ROW(Update!N80),Update!C65)</f>
        <v>C</v>
      </c>
      <c r="R109" s="127">
        <f>VLOOKUP($O109,'NO USAR1'!$A$4:$L$403,2,False)+VLOOKUP($O109,'NO USAR1'!$A$4:$L$403,3,False)+VLOOKUP($O109,'NO USAR1'!$A$4:$L$403,4,False)+VLOOKUP($O109,'NO USAR1'!$A$4:$L$403,5,False)+VLOOKUP($O109,'NO USAR1'!$A$4:$L$403,6,False)+VLOOKUP($O109,'NO USAR1'!$A$4:$L$403,7,False)+VLOOKUP($O109,'NO USAR1'!$A$4:$L$403,8,False)+VLOOKUP($O109,'NO USAR1'!$A$4:$L$403,10,False)+VLOOKUP($O109,'NO USAR1'!$A$4:$L$403,12,False)*0</f>
        <v>-1.258926999</v>
      </c>
      <c r="S109" s="127">
        <f>VLOOKUP($O109,'NO USAR1'!$A$4:$L$403,2,False)*$U$19+VLOOKUP($O109,'NO USAR1'!$A$4:$L$403,3,False)*$V$19+VLOOKUP($O109,'NO USAR1'!$A$4:$L$403,4,False)*$W$19+VLOOKUP($O109,'NO USAR1'!$A$4:$L$403,5,False)*$X$19+VLOOKUP($O109,'NO USAR1'!$A$4:$L$403,6,False)*$Y$19+VLOOKUP($O109,'NO USAR1'!$A$4:$L$403,7,False)*$Z$19+VLOOKUP($O109,'NO USAR1'!$A$4:$L$403,8,False)*$AA$19+VLOOKUP($O109,'NO USAR1'!$A$4:$L$403,10,False)*$AB$19+VLOOKUP($O109,'NO USAR1'!$A$4:$L$403,12,False)*$AC$19+IF(Projections!$K$3,-AN109, IF(Projections!$J$3,-AM109,0))</f>
        <v>0.1058654537</v>
      </c>
      <c r="T109" s="127">
        <f t="shared" si="1"/>
        <v>1.364792452</v>
      </c>
      <c r="U109" s="127">
        <f>VLOOKUP($O109,Update!$B$2:$R$401,11,False)</f>
        <v>13.5</v>
      </c>
      <c r="V109" s="122">
        <f>VLOOKUP($O109,Update!$B$2:$R$401,10,False)</f>
        <v>1.5</v>
      </c>
      <c r="W109" s="127">
        <f>VLOOKUP($O109,Update!$B$2:$R$401,12,False)</f>
        <v>5.9</v>
      </c>
      <c r="X109" s="127">
        <f>VLOOKUP($O109,Update!$B$2:$R$401,13,False)</f>
        <v>1</v>
      </c>
      <c r="Y109" s="127">
        <f>VLOOKUP($O109,Update!$B$2:$R$401,14,False)</f>
        <v>0.4</v>
      </c>
      <c r="Z109" s="132">
        <f>VLOOKUP($O109,Update!$B$2:$R$401,15,False)</f>
        <v>2</v>
      </c>
      <c r="AA109" s="127">
        <f>100*VLOOKUP($O109,Update!$B$2:$R$401,7,False)</f>
        <v>52</v>
      </c>
      <c r="AB109" s="127">
        <f>100*VLOOKUP($O109,Update!$B$2:$R$401,9,False)</f>
        <v>80</v>
      </c>
      <c r="AC109" s="127">
        <f>VLOOKUP($O109,Update!$B$2:$Q$401,16,False)</f>
        <v>1.2</v>
      </c>
      <c r="AD109" s="127">
        <f>VLOOKUP($O109,'NO USAR1'!$A$4:$L$403,2,False)*$U$19</f>
        <v>-0.6330974228</v>
      </c>
      <c r="AE109" s="127">
        <f>VLOOKUP($O109,'NO USAR1'!$A$4:$L$403,3,False)*$V$19</f>
        <v>-0.1254446312</v>
      </c>
      <c r="AF109" s="127">
        <f>VLOOKUP($O109,'NO USAR1'!$A$4:$L$403,4,False)*$W$19</f>
        <v>-0.08167935579</v>
      </c>
      <c r="AG109" s="127">
        <f>VLOOKUP($O109,'NO USAR1'!$A$4:$L$403,5,False)*$X$19</f>
        <v>-1.450509977</v>
      </c>
      <c r="AH109" s="127">
        <f>VLOOKUP($O109,'NO USAR1'!$A$4:$L$403,6,False)*$Y$19</f>
        <v>-1.296670077</v>
      </c>
      <c r="AI109" s="127">
        <f>VLOOKUP($O109,'NO USAR1'!$A$4:$L$403,7,False)*$Z$19</f>
        <v>1.705355038</v>
      </c>
      <c r="AJ109" s="127">
        <f>VLOOKUP($O109,'NO USAR1'!$A$4:$L$403,8,False)*$AA$19</f>
        <v>0.2398831436</v>
      </c>
      <c r="AK109" s="132">
        <f>VLOOKUP($O109,'NO USAR1'!$A$4:$L$403,10,False)*$AB$19</f>
        <v>0.05080452156</v>
      </c>
      <c r="AL109" s="127">
        <f>VLOOKUP($O109,'NO USAR1'!$A$4:$L$403,12,False)*$AC$19</f>
        <v>0.2467142371</v>
      </c>
      <c r="AM109" s="133">
        <f t="shared" si="2"/>
        <v>-1.450509977</v>
      </c>
      <c r="AN109" s="133">
        <f t="shared" si="3"/>
        <v>-2.747180054</v>
      </c>
    </row>
    <row r="110">
      <c r="A110" s="118" t="str">
        <f>IF(Update!B108="",ROW(Update!B108),Update!B108)</f>
        <v>Jalen Duren</v>
      </c>
      <c r="B110" s="119">
        <f>IF(TYPE($A110)=1,"",(Update!$L108-B$1)/B$2)</f>
        <v>-1.155529191</v>
      </c>
      <c r="C110" s="119">
        <f>IF(TYPE($A110)=1,"",(Update!$K108-C$1)/C$2)</f>
        <v>-1.584597568</v>
      </c>
      <c r="D110" s="119">
        <f>IF(TYPE($A110)=1,"",(Update!$M108-D$1)/D$2)</f>
        <v>1.674566178</v>
      </c>
      <c r="E110" s="119">
        <f>IF(TYPE($A110)=1,"",(Update!$N108-E$1)/E$2)</f>
        <v>-1.179547814</v>
      </c>
      <c r="F110" s="119">
        <f>IF(TYPE($A110)=1,"",(Update!$O108-F$1)/F$2)</f>
        <v>-0.6063863908</v>
      </c>
      <c r="G110" s="119">
        <f>IF(TYPE($A110)=1,"",(Update!$P108-G$1)/G$2)</f>
        <v>0.9354690293</v>
      </c>
      <c r="H110" s="119">
        <f>IF(TYPE($A110)=1,"",(Update!$H108-H$1)/H$2*I110/$I$1)</f>
        <v>1.14015547</v>
      </c>
      <c r="I110" s="119">
        <f>IF(TYPE($A110)=1,"",IF(Update!H108=0,0,Update!G108/Update!H108))</f>
        <v>6.8</v>
      </c>
      <c r="J110" s="120">
        <f>IF(TYPE($A110)=1,"",(Update!$J108-J$1)/J$2*K110/$K$1)</f>
        <v>-1.65673791</v>
      </c>
      <c r="K110" s="121">
        <f>IF(TYPE($A110)=1,"",IF(Update!J108=0,0,Update!I108/Update!J108))</f>
        <v>2.7</v>
      </c>
      <c r="L110" s="119">
        <f>IF(TYPE($A110)=1,"",-(Update!$Q108-L$1)/L$2)</f>
        <v>0.4901168736</v>
      </c>
      <c r="N110" s="124">
        <v>90.0</v>
      </c>
      <c r="O110" s="130" t="str">
        <f>IF(Update!B83="",ROW(Update!B83),Update!B83)</f>
        <v>Paul Reed</v>
      </c>
      <c r="P110" s="131">
        <f>Update!E83</f>
        <v>69</v>
      </c>
      <c r="Q110" s="131" t="str">
        <f>IF(Update!C83="",ROW(Update!N98),Update!C83)</f>
        <v>PF,C</v>
      </c>
      <c r="R110" s="127">
        <f>VLOOKUP($O110,'NO USAR1'!$A$4:$L$403,2,False)+VLOOKUP($O110,'NO USAR1'!$A$4:$L$403,3,False)+VLOOKUP($O110,'NO USAR1'!$A$4:$L$403,4,False)+VLOOKUP($O110,'NO USAR1'!$A$4:$L$403,5,False)+VLOOKUP($O110,'NO USAR1'!$A$4:$L$403,6,False)+VLOOKUP($O110,'NO USAR1'!$A$4:$L$403,7,False)+VLOOKUP($O110,'NO USAR1'!$A$4:$L$403,8,False)+VLOOKUP($O110,'NO USAR1'!$A$4:$L$403,10,False)+VLOOKUP($O110,'NO USAR1'!$A$4:$L$403,12,False)*0</f>
        <v>-1.317172519</v>
      </c>
      <c r="S110" s="127">
        <f>VLOOKUP($O110,'NO USAR1'!$A$4:$L$403,2,False)*$U$19+VLOOKUP($O110,'NO USAR1'!$A$4:$L$403,3,False)*$V$19+VLOOKUP($O110,'NO USAR1'!$A$4:$L$403,4,False)*$W$19+VLOOKUP($O110,'NO USAR1'!$A$4:$L$403,5,False)*$X$19+VLOOKUP($O110,'NO USAR1'!$A$4:$L$403,6,False)*$Y$19+VLOOKUP($O110,'NO USAR1'!$A$4:$L$403,7,False)*$Z$19+VLOOKUP($O110,'NO USAR1'!$A$4:$L$403,8,False)*$AA$19+VLOOKUP($O110,'NO USAR1'!$A$4:$L$403,10,False)*$AB$19+VLOOKUP($O110,'NO USAR1'!$A$4:$L$403,12,False)*$AC$19+IF(Projections!$K$3,-AN110, IF(Projections!$J$3,-AM110,0))</f>
        <v>-0.2999029031</v>
      </c>
      <c r="T110" s="127">
        <f t="shared" si="1"/>
        <v>1.017269615</v>
      </c>
      <c r="U110" s="127">
        <f>VLOOKUP($O110,Update!$B$2:$R$401,11,False)</f>
        <v>10.2</v>
      </c>
      <c r="V110" s="122">
        <f>VLOOKUP($O110,Update!$B$2:$R$401,10,False)</f>
        <v>0.1</v>
      </c>
      <c r="W110" s="127">
        <f>VLOOKUP($O110,Update!$B$2:$R$401,12,False)</f>
        <v>7.2</v>
      </c>
      <c r="X110" s="127">
        <f>VLOOKUP($O110,Update!$B$2:$R$401,13,False)</f>
        <v>1.4</v>
      </c>
      <c r="Y110" s="127">
        <f>VLOOKUP($O110,Update!$B$2:$R$401,14,False)</f>
        <v>1.2</v>
      </c>
      <c r="Z110" s="132">
        <f>VLOOKUP($O110,Update!$B$2:$R$401,15,False)</f>
        <v>1.4</v>
      </c>
      <c r="AA110" s="127">
        <f>100*VLOOKUP($O110,Update!$B$2:$R$401,7,False)</f>
        <v>56.25</v>
      </c>
      <c r="AB110" s="127">
        <f>100*VLOOKUP($O110,Update!$B$2:$R$401,9,False)</f>
        <v>68.75</v>
      </c>
      <c r="AC110" s="127">
        <f>VLOOKUP($O110,Update!$B$2:$Q$401,16,False)</f>
        <v>1.4</v>
      </c>
      <c r="AD110" s="127">
        <f>VLOOKUP($O110,'NO USAR1'!$A$4:$L$403,2,False)*$U$19</f>
        <v>-1.189234467</v>
      </c>
      <c r="AE110" s="127">
        <f>VLOOKUP($O110,'NO USAR1'!$A$4:$L$403,3,False)*$V$19</f>
        <v>-1.339424933</v>
      </c>
      <c r="AF110" s="127">
        <f>VLOOKUP($O110,'NO USAR1'!$A$4:$L$403,4,False)*$W$19</f>
        <v>0.4619204523</v>
      </c>
      <c r="AG110" s="127">
        <f>VLOOKUP($O110,'NO USAR1'!$A$4:$L$403,5,False)*$X$19</f>
        <v>-1.246500135</v>
      </c>
      <c r="AH110" s="127">
        <f>VLOOKUP($O110,'NO USAR1'!$A$4:$L$403,6,False)*$Y$19</f>
        <v>0.4477291296</v>
      </c>
      <c r="AI110" s="127">
        <f>VLOOKUP($O110,'NO USAR1'!$A$4:$L$403,7,False)*$Z$19</f>
        <v>0.9174599998</v>
      </c>
      <c r="AJ110" s="127">
        <f>VLOOKUP($O110,'NO USAR1'!$A$4:$L$403,8,False)*$AA$19</f>
        <v>0.5315206248</v>
      </c>
      <c r="AK110" s="132">
        <f>VLOOKUP($O110,'NO USAR1'!$A$4:$L$403,10,False)*$AB$19</f>
        <v>-0.4074202359</v>
      </c>
      <c r="AL110" s="127">
        <f>VLOOKUP($O110,'NO USAR1'!$A$4:$L$403,12,False)*$AC$19</f>
        <v>0.1846217277</v>
      </c>
      <c r="AM110" s="133">
        <f t="shared" si="2"/>
        <v>-1.339424933</v>
      </c>
      <c r="AN110" s="133">
        <f t="shared" si="3"/>
        <v>-2.585925068</v>
      </c>
    </row>
    <row r="111">
      <c r="A111" s="118" t="str">
        <f>IF(Update!B109="",ROW(Update!B109),Update!B109)</f>
        <v>Ivica Zubac</v>
      </c>
      <c r="B111" s="119">
        <f>IF(TYPE($A111)=1,"",(Update!$L109-B$1)/B$2)</f>
        <v>-1.037560727</v>
      </c>
      <c r="C111" s="119">
        <f>IF(TYPE($A111)=1,"",(Update!$K109-C$1)/C$2)</f>
        <v>-1.584597568</v>
      </c>
      <c r="D111" s="119">
        <f>IF(TYPE($A111)=1,"",(Update!$M109-D$1)/D$2)</f>
        <v>1.507304699</v>
      </c>
      <c r="E111" s="119">
        <f>IF(TYPE($A111)=1,"",(Update!$N109-E$1)/E$2)</f>
        <v>-1.133181941</v>
      </c>
      <c r="F111" s="119">
        <f>IF(TYPE($A111)=1,"",(Update!$O109-F$1)/F$2)</f>
        <v>-1.540885966</v>
      </c>
      <c r="G111" s="119">
        <f>IF(TYPE($A111)=1,"",(Update!$P109-G$1)/G$2)</f>
        <v>0.9354690293</v>
      </c>
      <c r="H111" s="119">
        <f>IF(TYPE($A111)=1,"",(Update!$H109-H$1)/H$2*I111/$I$1)</f>
        <v>1.030061803</v>
      </c>
      <c r="I111" s="119">
        <f>IF(TYPE($A111)=1,"",IF(Update!H109=0,0,Update!G109/Update!H109))</f>
        <v>7</v>
      </c>
      <c r="J111" s="120">
        <f>IF(TYPE($A111)=1,"",(Update!$J109-J$1)/J$2*K111/$K$1)</f>
        <v>-0.7073951362</v>
      </c>
      <c r="K111" s="121">
        <f>IF(TYPE($A111)=1,"",IF(Update!J109=0,0,Update!I109/Update!J109))</f>
        <v>3.2</v>
      </c>
      <c r="L111" s="119">
        <f>IF(TYPE($A111)=1,"",-(Update!$Q109-L$1)/L$2)</f>
        <v>0.4901168736</v>
      </c>
      <c r="N111" s="124">
        <v>91.0</v>
      </c>
      <c r="O111" s="130" t="str">
        <f>IF(Update!B77="",ROW(Update!B77),Update!B77)</f>
        <v>Rudy Gobert</v>
      </c>
      <c r="P111" s="131">
        <f>Update!E77</f>
        <v>68</v>
      </c>
      <c r="Q111" s="131" t="str">
        <f>IF(Update!C77="",ROW(Update!N92),Update!C77)</f>
        <v>C</v>
      </c>
      <c r="R111" s="127">
        <f>VLOOKUP($O111,'NO USAR1'!$A$4:$L$403,2,False)+VLOOKUP($O111,'NO USAR1'!$A$4:$L$403,3,False)+VLOOKUP($O111,'NO USAR1'!$A$4:$L$403,4,False)+VLOOKUP($O111,'NO USAR1'!$A$4:$L$403,5,False)+VLOOKUP($O111,'NO USAR1'!$A$4:$L$403,6,False)+VLOOKUP($O111,'NO USAR1'!$A$4:$L$403,7,False)+VLOOKUP($O111,'NO USAR1'!$A$4:$L$403,8,False)+VLOOKUP($O111,'NO USAR1'!$A$4:$L$403,10,False)+VLOOKUP($O111,'NO USAR1'!$A$4:$L$403,12,False)*0</f>
        <v>-1.320198152</v>
      </c>
      <c r="S111" s="127">
        <f>VLOOKUP($O111,'NO USAR1'!$A$4:$L$403,2,False)*$U$19+VLOOKUP($O111,'NO USAR1'!$A$4:$L$403,3,False)*$V$19+VLOOKUP($O111,'NO USAR1'!$A$4:$L$403,4,False)*$W$19+VLOOKUP($O111,'NO USAR1'!$A$4:$L$403,5,False)*$X$19+VLOOKUP($O111,'NO USAR1'!$A$4:$L$403,6,False)*$Y$19+VLOOKUP($O111,'NO USAR1'!$A$4:$L$403,7,False)*$Z$19+VLOOKUP($O111,'NO USAR1'!$A$4:$L$403,8,False)*$AA$19+VLOOKUP($O111,'NO USAR1'!$A$4:$L$403,10,False)*$AB$19+VLOOKUP($O111,'NO USAR1'!$A$4:$L$403,12,False)*$AC$19+IF(Projections!$K$3,-AN111, IF(Projections!$J$3,-AM111,0))</f>
        <v>0.5949515347</v>
      </c>
      <c r="T111" s="127">
        <f t="shared" si="1"/>
        <v>1.915149686</v>
      </c>
      <c r="U111" s="127">
        <f>VLOOKUP($O111,Update!$B$2:$R$401,11,False)</f>
        <v>13.5</v>
      </c>
      <c r="V111" s="122">
        <f>VLOOKUP($O111,Update!$B$2:$R$401,10,False)</f>
        <v>0</v>
      </c>
      <c r="W111" s="127">
        <f>VLOOKUP($O111,Update!$B$2:$R$401,12,False)</f>
        <v>11.5</v>
      </c>
      <c r="X111" s="127">
        <f>VLOOKUP($O111,Update!$B$2:$R$401,13,False)</f>
        <v>1.1</v>
      </c>
      <c r="Y111" s="127">
        <f>VLOOKUP($O111,Update!$B$2:$R$401,14,False)</f>
        <v>0.7</v>
      </c>
      <c r="Z111" s="132">
        <f>VLOOKUP($O111,Update!$B$2:$R$401,15,False)</f>
        <v>1.4</v>
      </c>
      <c r="AA111" s="127">
        <f>100*VLOOKUP($O111,Update!$B$2:$R$401,7,False)</f>
        <v>69.44444444</v>
      </c>
      <c r="AB111" s="127">
        <f>100*VLOOKUP($O111,Update!$B$2:$R$401,9,False)</f>
        <v>66.66666667</v>
      </c>
      <c r="AC111" s="127">
        <f>VLOOKUP($O111,Update!$B$2:$Q$401,16,False)</f>
        <v>1.7</v>
      </c>
      <c r="AD111" s="127">
        <f>VLOOKUP($O111,'NO USAR1'!$A$4:$L$403,2,False)*$U$19</f>
        <v>-0.6330974228</v>
      </c>
      <c r="AE111" s="127">
        <f>VLOOKUP($O111,'NO USAR1'!$A$4:$L$403,3,False)*$V$19</f>
        <v>-1.426137812</v>
      </c>
      <c r="AF111" s="127">
        <f>VLOOKUP($O111,'NO USAR1'!$A$4:$L$403,4,False)*$W$19</f>
        <v>2.259981356</v>
      </c>
      <c r="AG111" s="127">
        <f>VLOOKUP($O111,'NO USAR1'!$A$4:$L$403,5,False)*$X$19</f>
        <v>-1.399507516</v>
      </c>
      <c r="AH111" s="127">
        <f>VLOOKUP($O111,'NO USAR1'!$A$4:$L$403,6,False)*$Y$19</f>
        <v>-0.6425203744</v>
      </c>
      <c r="AI111" s="127">
        <f>VLOOKUP($O111,'NO USAR1'!$A$4:$L$403,7,False)*$Z$19</f>
        <v>0.9174599998</v>
      </c>
      <c r="AJ111" s="127">
        <f>VLOOKUP($O111,'NO USAR1'!$A$4:$L$403,8,False)*$AA$19</f>
        <v>1.42729034</v>
      </c>
      <c r="AK111" s="132">
        <f>VLOOKUP($O111,'NO USAR1'!$A$4:$L$403,10,False)*$AB$19</f>
        <v>-1.655083204</v>
      </c>
      <c r="AL111" s="127">
        <f>VLOOKUP($O111,'NO USAR1'!$A$4:$L$403,12,False)*$AC$19</f>
        <v>0.09148296375</v>
      </c>
      <c r="AM111" s="133">
        <f t="shared" si="2"/>
        <v>-1.655083204</v>
      </c>
      <c r="AN111" s="133">
        <f t="shared" si="3"/>
        <v>-3.081221016</v>
      </c>
    </row>
    <row r="112">
      <c r="A112" s="118" t="str">
        <f>IF(Update!B110="",ROW(Update!B110),Update!B110)</f>
        <v>Bruce Brown</v>
      </c>
      <c r="B112" s="119">
        <f>IF(TYPE($A112)=1,"",(Update!$L110-B$1)/B$2)</f>
        <v>-0.9364449013</v>
      </c>
      <c r="C112" s="119">
        <f>IF(TYPE($A112)=1,"",(Update!$K110-C$1)/C$2)</f>
        <v>-0.6211211385</v>
      </c>
      <c r="D112" s="119">
        <f>IF(TYPE($A112)=1,"",(Update!$M110-D$1)/D$2)</f>
        <v>-0.4580176845</v>
      </c>
      <c r="E112" s="119">
        <f>IF(TYPE($A112)=1,"",(Update!$N110-E$1)/E$2)</f>
        <v>-0.3449620966</v>
      </c>
      <c r="F112" s="119">
        <f>IF(TYPE($A112)=1,"",(Update!$O110-F$1)/F$2)</f>
        <v>0.6396130423</v>
      </c>
      <c r="G112" s="119">
        <f>IF(TYPE($A112)=1,"",(Update!$P110-G$1)/G$2)</f>
        <v>0.1850928026</v>
      </c>
      <c r="H112" s="119">
        <f>IF(TYPE($A112)=1,"",(Update!$H110-H$1)/H$2*I112/$I$1)</f>
        <v>-0.06909219266</v>
      </c>
      <c r="I112" s="119">
        <f>IF(TYPE($A112)=1,"",IF(Update!H110=0,0,Update!G110/Update!H110))</f>
        <v>9.4</v>
      </c>
      <c r="J112" s="120">
        <f>IF(TYPE($A112)=1,"",(Update!$J110-J$1)/J$2*K112/$K$1)</f>
        <v>-0.1822434283</v>
      </c>
      <c r="K112" s="121">
        <f>IF(TYPE($A112)=1,"",IF(Update!J110=0,0,Update!I110/Update!J110))</f>
        <v>2.1</v>
      </c>
      <c r="L112" s="119">
        <f>IF(TYPE($A112)=1,"",-(Update!$Q110-L$1)/L$2)</f>
        <v>0.8626719296</v>
      </c>
      <c r="N112" s="33">
        <v>92.0</v>
      </c>
      <c r="O112" s="130" t="str">
        <f>IF(Update!B90="",ROW(Update!B90),Update!B90)</f>
        <v>Zach Collins</v>
      </c>
      <c r="P112" s="131">
        <f>Update!E90</f>
        <v>66</v>
      </c>
      <c r="Q112" s="131" t="str">
        <f>IF(Update!C90="",ROW(Update!N105),Update!C90)</f>
        <v>PF,C</v>
      </c>
      <c r="R112" s="127">
        <f>VLOOKUP($O112,'NO USAR1'!$A$4:$L$403,2,False)+VLOOKUP($O112,'NO USAR1'!$A$4:$L$403,3,False)+VLOOKUP($O112,'NO USAR1'!$A$4:$L$403,4,False)+VLOOKUP($O112,'NO USAR1'!$A$4:$L$403,5,False)+VLOOKUP($O112,'NO USAR1'!$A$4:$L$403,6,False)+VLOOKUP($O112,'NO USAR1'!$A$4:$L$403,7,False)+VLOOKUP($O112,'NO USAR1'!$A$4:$L$403,8,False)+VLOOKUP($O112,'NO USAR1'!$A$4:$L$403,10,False)+VLOOKUP($O112,'NO USAR1'!$A$4:$L$403,12,False)*0</f>
        <v>-1.504384788</v>
      </c>
      <c r="S112" s="127">
        <f>VLOOKUP($O112,'NO USAR1'!$A$4:$L$403,2,False)*$U$19+VLOOKUP($O112,'NO USAR1'!$A$4:$L$403,3,False)*$V$19+VLOOKUP($O112,'NO USAR1'!$A$4:$L$403,4,False)*$W$19+VLOOKUP($O112,'NO USAR1'!$A$4:$L$403,5,False)*$X$19+VLOOKUP($O112,'NO USAR1'!$A$4:$L$403,6,False)*$Y$19+VLOOKUP($O112,'NO USAR1'!$A$4:$L$403,7,False)*$Z$19+VLOOKUP($O112,'NO USAR1'!$A$4:$L$403,8,False)*$AA$19+VLOOKUP($O112,'NO USAR1'!$A$4:$L$403,10,False)*$AB$19+VLOOKUP($O112,'NO USAR1'!$A$4:$L$403,12,False)*$AC$19+IF(Projections!$K$3,-AN112, IF(Projections!$J$3,-AM112,0))</f>
        <v>-0.7825099553</v>
      </c>
      <c r="T112" s="127">
        <f t="shared" si="1"/>
        <v>0.7218748329</v>
      </c>
      <c r="U112" s="127">
        <f>VLOOKUP($O112,Update!$B$2:$R$401,11,False)</f>
        <v>13.2</v>
      </c>
      <c r="V112" s="122">
        <f>VLOOKUP($O112,Update!$B$2:$R$401,10,False)</f>
        <v>1</v>
      </c>
      <c r="W112" s="127">
        <f>VLOOKUP($O112,Update!$B$2:$R$401,12,False)</f>
        <v>7.4</v>
      </c>
      <c r="X112" s="127">
        <f>VLOOKUP($O112,Update!$B$2:$R$401,13,False)</f>
        <v>3.4</v>
      </c>
      <c r="Y112" s="127">
        <f>VLOOKUP($O112,Update!$B$2:$R$401,14,False)</f>
        <v>0.7</v>
      </c>
      <c r="Z112" s="132">
        <f>VLOOKUP($O112,Update!$B$2:$R$401,15,False)</f>
        <v>1</v>
      </c>
      <c r="AA112" s="127">
        <f>100*VLOOKUP($O112,Update!$B$2:$R$401,7,False)</f>
        <v>50.50505051</v>
      </c>
      <c r="AB112" s="127">
        <f>100*VLOOKUP($O112,Update!$B$2:$R$401,9,False)</f>
        <v>75.86206897</v>
      </c>
      <c r="AC112" s="127">
        <f>VLOOKUP($O112,Update!$B$2:$Q$401,16,False)</f>
        <v>2.5</v>
      </c>
      <c r="AD112" s="127">
        <f>VLOOKUP($O112,'NO USAR1'!$A$4:$L$403,2,False)*$U$19</f>
        <v>-0.6836553359</v>
      </c>
      <c r="AE112" s="127">
        <f>VLOOKUP($O112,'NO USAR1'!$A$4:$L$403,3,False)*$V$19</f>
        <v>-0.5590090247</v>
      </c>
      <c r="AF112" s="127">
        <f>VLOOKUP($O112,'NO USAR1'!$A$4:$L$403,4,False)*$W$19</f>
        <v>0.5455511921</v>
      </c>
      <c r="AG112" s="127">
        <f>VLOOKUP($O112,'NO USAR1'!$A$4:$L$403,5,False)*$X$19</f>
        <v>-0.2264509247</v>
      </c>
      <c r="AH112" s="127">
        <f>VLOOKUP($O112,'NO USAR1'!$A$4:$L$403,6,False)*$Y$19</f>
        <v>-0.6425203744</v>
      </c>
      <c r="AI112" s="127">
        <f>VLOOKUP($O112,'NO USAR1'!$A$4:$L$403,7,False)*$Z$19</f>
        <v>0.3921966412</v>
      </c>
      <c r="AJ112" s="127">
        <f>VLOOKUP($O112,'NO USAR1'!$A$4:$L$403,8,False)*$AA$19</f>
        <v>0.08965228788</v>
      </c>
      <c r="AK112" s="132">
        <f>VLOOKUP($O112,'NO USAR1'!$A$4:$L$403,10,False)*$AB$19</f>
        <v>-0.2250426792</v>
      </c>
      <c r="AL112" s="127">
        <f>VLOOKUP($O112,'NO USAR1'!$A$4:$L$403,12,False)*$AC$19</f>
        <v>-0.1568870736</v>
      </c>
      <c r="AM112" s="133">
        <f t="shared" si="2"/>
        <v>-0.6836553359</v>
      </c>
      <c r="AN112" s="133">
        <f t="shared" si="3"/>
        <v>-1.32617571</v>
      </c>
    </row>
    <row r="113">
      <c r="A113" s="118" t="str">
        <f>IF(Update!B111="",ROW(Update!B111),Update!B111)</f>
        <v>Scoot Henderson</v>
      </c>
      <c r="B113" s="119">
        <f>IF(TYPE($A113)=1,"",(Update!$L111-B$1)/B$2)</f>
        <v>-0.1443709296</v>
      </c>
      <c r="C113" s="119">
        <f>IF(TYPE($A113)=1,"",(Update!$K111-C$1)/C$2)</f>
        <v>-0.1393829235</v>
      </c>
      <c r="D113" s="119">
        <f>IF(TYPE($A113)=1,"",(Update!$M111-D$1)/D$2)</f>
        <v>-0.4162023146</v>
      </c>
      <c r="E113" s="119">
        <f>IF(TYPE($A113)=1,"",(Update!$N111-E$1)/E$2)</f>
        <v>0.9069164796</v>
      </c>
      <c r="F113" s="119">
        <f>IF(TYPE($A113)=1,"",(Update!$O111-F$1)/F$2)</f>
        <v>0.3281131841</v>
      </c>
      <c r="G113" s="119">
        <f>IF(TYPE($A113)=1,"",(Update!$P111-G$1)/G$2)</f>
        <v>-0.7528774808</v>
      </c>
      <c r="H113" s="119">
        <f>IF(TYPE($A113)=1,"",(Update!$H111-H$1)/H$2*I113/$I$1)</f>
        <v>-0.8228124691</v>
      </c>
      <c r="I113" s="119">
        <f>IF(TYPE($A113)=1,"",IF(Update!H111=0,0,Update!G111/Update!H111))</f>
        <v>14.6</v>
      </c>
      <c r="J113" s="120">
        <f>IF(TYPE($A113)=1,"",(Update!$J111-J$1)/J$2*K113/$K$1)</f>
        <v>0.1447884383</v>
      </c>
      <c r="K113" s="121">
        <f>IF(TYPE($A113)=1,"",IF(Update!J111=0,0,Update!I111/Update!J111))</f>
        <v>2.6</v>
      </c>
      <c r="L113" s="119">
        <f>IF(TYPE($A113)=1,"",-(Update!$Q111-L$1)/L$2)</f>
        <v>-1.745213462</v>
      </c>
      <c r="N113" s="124">
        <v>93.0</v>
      </c>
      <c r="O113" s="130" t="str">
        <f>IF(Update!B84="",ROW(Update!B84),Update!B84)</f>
        <v>Jakob Poeltl</v>
      </c>
      <c r="P113" s="131">
        <f>Update!E84</f>
        <v>70</v>
      </c>
      <c r="Q113" s="131" t="str">
        <f>IF(Update!C84="",ROW(Update!N99),Update!C84)</f>
        <v>C</v>
      </c>
      <c r="R113" s="127">
        <f>VLOOKUP($O113,'NO USAR1'!$A$4:$L$403,2,False)+VLOOKUP($O113,'NO USAR1'!$A$4:$L$403,3,False)+VLOOKUP($O113,'NO USAR1'!$A$4:$L$403,4,False)+VLOOKUP($O113,'NO USAR1'!$A$4:$L$403,5,False)+VLOOKUP($O113,'NO USAR1'!$A$4:$L$403,6,False)+VLOOKUP($O113,'NO USAR1'!$A$4:$L$403,7,False)+VLOOKUP($O113,'NO USAR1'!$A$4:$L$403,8,False)+VLOOKUP($O113,'NO USAR1'!$A$4:$L$403,10,False)+VLOOKUP($O113,'NO USAR1'!$A$4:$L$403,12,False)*0</f>
        <v>-1.620719051</v>
      </c>
      <c r="S113" s="127">
        <f>VLOOKUP($O113,'NO USAR1'!$A$4:$L$403,2,False)*$U$19+VLOOKUP($O113,'NO USAR1'!$A$4:$L$403,3,False)*$V$19+VLOOKUP($O113,'NO USAR1'!$A$4:$L$403,4,False)*$W$19+VLOOKUP($O113,'NO USAR1'!$A$4:$L$403,5,False)*$X$19+VLOOKUP($O113,'NO USAR1'!$A$4:$L$403,6,False)*$Y$19+VLOOKUP($O113,'NO USAR1'!$A$4:$L$403,7,False)*$Z$19+VLOOKUP($O113,'NO USAR1'!$A$4:$L$403,8,False)*$AA$19+VLOOKUP($O113,'NO USAR1'!$A$4:$L$403,10,False)*$AB$19+VLOOKUP($O113,'NO USAR1'!$A$4:$L$403,12,False)*$AC$19+IF(Projections!$K$3,-AN113, IF(Projections!$J$3,-AM113,0))</f>
        <v>0.4514014482</v>
      </c>
      <c r="T113" s="127">
        <f t="shared" si="1"/>
        <v>2.072120499</v>
      </c>
      <c r="U113" s="127">
        <f>VLOOKUP($O113,Update!$B$2:$R$401,11,False)</f>
        <v>13.1</v>
      </c>
      <c r="V113" s="122">
        <f>VLOOKUP($O113,Update!$B$2:$R$401,10,False)</f>
        <v>0</v>
      </c>
      <c r="W113" s="127">
        <f>VLOOKUP($O113,Update!$B$2:$R$401,12,False)</f>
        <v>9.3</v>
      </c>
      <c r="X113" s="127">
        <f>VLOOKUP($O113,Update!$B$2:$R$401,13,False)</f>
        <v>2.8</v>
      </c>
      <c r="Y113" s="127">
        <f>VLOOKUP($O113,Update!$B$2:$R$401,14,False)</f>
        <v>0.8</v>
      </c>
      <c r="Z113" s="132">
        <f>VLOOKUP($O113,Update!$B$2:$R$401,15,False)</f>
        <v>1.4</v>
      </c>
      <c r="AA113" s="127">
        <f>100*VLOOKUP($O113,Update!$B$2:$R$401,7,False)</f>
        <v>62.3655914</v>
      </c>
      <c r="AB113" s="127">
        <f>100*VLOOKUP($O113,Update!$B$2:$R$401,9,False)</f>
        <v>53.57142857</v>
      </c>
      <c r="AC113" s="127">
        <f>VLOOKUP($O113,Update!$B$2:$Q$401,16,False)</f>
        <v>1.7</v>
      </c>
      <c r="AD113" s="127">
        <f>VLOOKUP($O113,'NO USAR1'!$A$4:$L$403,2,False)*$U$19</f>
        <v>-0.7005079736</v>
      </c>
      <c r="AE113" s="127">
        <f>VLOOKUP($O113,'NO USAR1'!$A$4:$L$403,3,False)*$V$19</f>
        <v>-1.426137812</v>
      </c>
      <c r="AF113" s="127">
        <f>VLOOKUP($O113,'NO USAR1'!$A$4:$L$403,4,False)*$W$19</f>
        <v>1.340043219</v>
      </c>
      <c r="AG113" s="127">
        <f>VLOOKUP($O113,'NO USAR1'!$A$4:$L$403,5,False)*$X$19</f>
        <v>-0.5324656877</v>
      </c>
      <c r="AH113" s="127">
        <f>VLOOKUP($O113,'NO USAR1'!$A$4:$L$403,6,False)*$Y$19</f>
        <v>-0.4244704736</v>
      </c>
      <c r="AI113" s="127">
        <f>VLOOKUP($O113,'NO USAR1'!$A$4:$L$403,7,False)*$Z$19</f>
        <v>0.9174599998</v>
      </c>
      <c r="AJ113" s="127">
        <f>VLOOKUP($O113,'NO USAR1'!$A$4:$L$403,8,False)*$AA$19</f>
        <v>1.185997212</v>
      </c>
      <c r="AK113" s="132">
        <f>VLOOKUP($O113,'NO USAR1'!$A$4:$L$403,10,False)*$AB$19</f>
        <v>-1.770913955</v>
      </c>
      <c r="AL113" s="127">
        <f>VLOOKUP($O113,'NO USAR1'!$A$4:$L$403,12,False)*$AC$19</f>
        <v>0.09148296375</v>
      </c>
      <c r="AM113" s="133">
        <f t="shared" si="2"/>
        <v>-1.770913955</v>
      </c>
      <c r="AN113" s="133">
        <f t="shared" si="3"/>
        <v>-3.197051767</v>
      </c>
    </row>
    <row r="114">
      <c r="A114" s="118" t="str">
        <f>IF(Update!B112="",ROW(Update!B112),Update!B112)</f>
        <v>Herbert Jones</v>
      </c>
      <c r="B114" s="119">
        <f>IF(TYPE($A114)=1,"",(Update!$L112-B$1)/B$2)</f>
        <v>-1.256645018</v>
      </c>
      <c r="C114" s="119">
        <f>IF(TYPE($A114)=1,"",(Update!$K112-C$1)/C$2)</f>
        <v>-0.8138164245</v>
      </c>
      <c r="D114" s="119">
        <f>IF(TYPE($A114)=1,"",(Update!$M112-D$1)/D$2)</f>
        <v>-0.876171383</v>
      </c>
      <c r="E114" s="119">
        <f>IF(TYPE($A114)=1,"",(Update!$N112-E$1)/E$2)</f>
        <v>-0.7158890821</v>
      </c>
      <c r="F114" s="119">
        <f>IF(TYPE($A114)=1,"",(Update!$O112-F$1)/F$2)</f>
        <v>2.197112334</v>
      </c>
      <c r="G114" s="119">
        <f>IF(TYPE($A114)=1,"",(Update!$P112-G$1)/G$2)</f>
        <v>-0.002501254089</v>
      </c>
      <c r="H114" s="119">
        <f>IF(TYPE($A114)=1,"",(Update!$H112-H$1)/H$2*I114/$I$1)</f>
        <v>-0.1880992235</v>
      </c>
      <c r="I114" s="119">
        <f>IF(TYPE($A114)=1,"",IF(Update!H112=0,0,Update!G112/Update!H112))</f>
        <v>7.6</v>
      </c>
      <c r="J114" s="120">
        <f>IF(TYPE($A114)=1,"",(Update!$J112-J$1)/J$2*K114/$K$1)</f>
        <v>-0.05143068168</v>
      </c>
      <c r="K114" s="121">
        <f>IF(TYPE($A114)=1,"",IF(Update!J112=0,0,Update!I112/Update!J112))</f>
        <v>2.3</v>
      </c>
      <c r="L114" s="119">
        <f>IF(TYPE($A114)=1,"",-(Update!$Q112-L$1)/L$2)</f>
        <v>0.8626719296</v>
      </c>
      <c r="N114" s="124">
        <v>94.0</v>
      </c>
      <c r="O114" s="130" t="str">
        <f>IF(Update!B113="",ROW(Update!B113),Update!B113)</f>
        <v>Immanuel Quickley</v>
      </c>
      <c r="P114" s="131">
        <f>Update!E113</f>
        <v>76</v>
      </c>
      <c r="Q114" s="131" t="str">
        <f>IF(Update!C113="",ROW(Update!N128),Update!C113)</f>
        <v>PG,SG</v>
      </c>
      <c r="R114" s="127">
        <f>VLOOKUP($O114,'NO USAR1'!$A$4:$L$403,2,False)+VLOOKUP($O114,'NO USAR1'!$A$4:$L$403,3,False)+VLOOKUP($O114,'NO USAR1'!$A$4:$L$403,4,False)+VLOOKUP($O114,'NO USAR1'!$A$4:$L$403,5,False)+VLOOKUP($O114,'NO USAR1'!$A$4:$L$403,6,False)+VLOOKUP($O114,'NO USAR1'!$A$4:$L$403,7,False)+VLOOKUP($O114,'NO USAR1'!$A$4:$L$403,8,False)+VLOOKUP($O114,'NO USAR1'!$A$4:$L$403,10,False)+VLOOKUP($O114,'NO USAR1'!$A$4:$L$403,12,False)*0</f>
        <v>-1.65897979</v>
      </c>
      <c r="S114" s="127">
        <f>VLOOKUP($O114,'NO USAR1'!$A$4:$L$403,2,False)*$U$19+VLOOKUP($O114,'NO USAR1'!$A$4:$L$403,3,False)*$V$19+VLOOKUP($O114,'NO USAR1'!$A$4:$L$403,4,False)*$W$19+VLOOKUP($O114,'NO USAR1'!$A$4:$L$403,5,False)*$X$19+VLOOKUP($O114,'NO USAR1'!$A$4:$L$403,6,False)*$Y$19+VLOOKUP($O114,'NO USAR1'!$A$4:$L$403,7,False)*$Z$19+VLOOKUP($O114,'NO USAR1'!$A$4:$L$403,8,False)*$AA$19+VLOOKUP($O114,'NO USAR1'!$A$4:$L$403,10,False)*$AB$19+VLOOKUP($O114,'NO USAR1'!$A$4:$L$403,12,False)*$AC$19+IF(Projections!$K$3,-AN114, IF(Projections!$J$3,-AM114,0))</f>
        <v>-0.4430140741</v>
      </c>
      <c r="T114" s="127">
        <f t="shared" si="1"/>
        <v>1.215965716</v>
      </c>
      <c r="U114" s="127">
        <f>VLOOKUP($O114,Update!$B$2:$R$401,11,False)</f>
        <v>15.2</v>
      </c>
      <c r="V114" s="122">
        <f>VLOOKUP($O114,Update!$B$2:$R$401,10,False)</f>
        <v>2.1</v>
      </c>
      <c r="W114" s="127">
        <f>VLOOKUP($O114,Update!$B$2:$R$401,12,False)</f>
        <v>4.1</v>
      </c>
      <c r="X114" s="127">
        <f>VLOOKUP($O114,Update!$B$2:$R$401,13,False)</f>
        <v>3.9</v>
      </c>
      <c r="Y114" s="127">
        <f>VLOOKUP($O114,Update!$B$2:$R$401,14,False)</f>
        <v>1</v>
      </c>
      <c r="Z114" s="132">
        <f>VLOOKUP($O114,Update!$B$2:$R$401,15,False)</f>
        <v>0.1</v>
      </c>
      <c r="AA114" s="127">
        <f>100*VLOOKUP($O114,Update!$B$2:$R$401,7,False)</f>
        <v>44.82758621</v>
      </c>
      <c r="AB114" s="127">
        <f>100*VLOOKUP($O114,Update!$B$2:$R$401,9,False)</f>
        <v>87.09677419</v>
      </c>
      <c r="AC114" s="127">
        <f>VLOOKUP($O114,Update!$B$2:$Q$401,16,False)</f>
        <v>1.4</v>
      </c>
      <c r="AD114" s="127">
        <f>VLOOKUP($O114,'NO USAR1'!$A$4:$L$403,2,False)*$U$19</f>
        <v>-0.3466025819</v>
      </c>
      <c r="AE114" s="127">
        <f>VLOOKUP($O114,'NO USAR1'!$A$4:$L$403,3,False)*$V$19</f>
        <v>0.394832641</v>
      </c>
      <c r="AF114" s="127">
        <f>VLOOKUP($O114,'NO USAR1'!$A$4:$L$403,4,False)*$W$19</f>
        <v>-0.8343560132</v>
      </c>
      <c r="AG114" s="127">
        <f>VLOOKUP($O114,'NO USAR1'!$A$4:$L$403,5,False)*$X$19</f>
        <v>0.02856137789</v>
      </c>
      <c r="AH114" s="127">
        <f>VLOOKUP($O114,'NO USAR1'!$A$4:$L$403,6,False)*$Y$19</f>
        <v>0.01162932804</v>
      </c>
      <c r="AI114" s="127">
        <f>VLOOKUP($O114,'NO USAR1'!$A$4:$L$403,7,False)*$Z$19</f>
        <v>-0.7896459159</v>
      </c>
      <c r="AJ114" s="127">
        <f>VLOOKUP($O114,'NO USAR1'!$A$4:$L$403,8,False)*$AA$19</f>
        <v>-0.5527912577</v>
      </c>
      <c r="AK114" s="132">
        <f>VLOOKUP($O114,'NO USAR1'!$A$4:$L$403,10,False)*$AB$19</f>
        <v>0.6263806067</v>
      </c>
      <c r="AL114" s="127">
        <f>VLOOKUP($O114,'NO USAR1'!$A$4:$L$403,12,False)*$AC$19</f>
        <v>0.1846217277</v>
      </c>
      <c r="AM114" s="133">
        <f t="shared" si="2"/>
        <v>-0.8343560132</v>
      </c>
      <c r="AN114" s="133">
        <f t="shared" si="3"/>
        <v>-1.624001929</v>
      </c>
    </row>
    <row r="115">
      <c r="A115" s="118" t="str">
        <f>IF(Update!B113="",ROW(Update!B113),Update!B113)</f>
        <v>Immanuel Quickley</v>
      </c>
      <c r="B115" s="119">
        <f>IF(TYPE($A115)=1,"",(Update!$L113-B$1)/B$2)</f>
        <v>-0.3466025819</v>
      </c>
      <c r="C115" s="119">
        <f>IF(TYPE($A115)=1,"",(Update!$K113-C$1)/C$2)</f>
        <v>0.4387029344</v>
      </c>
      <c r="D115" s="119">
        <f>IF(TYPE($A115)=1,"",(Update!$M113-D$1)/D$2)</f>
        <v>-0.8343560132</v>
      </c>
      <c r="E115" s="119">
        <f>IF(TYPE($A115)=1,"",(Update!$N113-E$1)/E$2)</f>
        <v>0.02596488899</v>
      </c>
      <c r="F115" s="119">
        <f>IF(TYPE($A115)=1,"",(Update!$O113-F$1)/F$2)</f>
        <v>0.01661332578</v>
      </c>
      <c r="G115" s="119">
        <f>IF(TYPE($A115)=1,"",(Update!$P113-G$1)/G$2)</f>
        <v>-1.128065594</v>
      </c>
      <c r="H115" s="119">
        <f>IF(TYPE($A115)=1,"",(Update!$H113-H$1)/H$2*I115/$I$1)</f>
        <v>-0.6142125085</v>
      </c>
      <c r="I115" s="119">
        <f>IF(TYPE($A115)=1,"",IF(Update!H113=0,0,Update!G113/Update!H113))</f>
        <v>11.6</v>
      </c>
      <c r="J115" s="120">
        <f>IF(TYPE($A115)=1,"",(Update!$J113-J$1)/J$2*K115/$K$1)</f>
        <v>0.7829757584</v>
      </c>
      <c r="K115" s="121">
        <f>IF(TYPE($A115)=1,"",IF(Update!J113=0,0,Update!I113/Update!J113))</f>
        <v>3.1</v>
      </c>
      <c r="L115" s="119">
        <f>IF(TYPE($A115)=1,"",-(Update!$Q113-L$1)/L$2)</f>
        <v>0.738486911</v>
      </c>
      <c r="N115" s="33">
        <v>95.0</v>
      </c>
      <c r="O115" s="130" t="str">
        <f>IF(Update!B112="",ROW(Update!B112),Update!B112)</f>
        <v>Herbert Jones</v>
      </c>
      <c r="P115" s="131">
        <f>Update!E112</f>
        <v>69</v>
      </c>
      <c r="Q115" s="131" t="str">
        <f>IF(Update!C112="",ROW(Update!N127),Update!C112)</f>
        <v>SF,PF</v>
      </c>
      <c r="R115" s="127">
        <f>VLOOKUP($O115,'NO USAR1'!$A$4:$L$403,2,False)+VLOOKUP($O115,'NO USAR1'!$A$4:$L$403,3,False)+VLOOKUP($O115,'NO USAR1'!$A$4:$L$403,4,False)+VLOOKUP($O115,'NO USAR1'!$A$4:$L$403,5,False)+VLOOKUP($O115,'NO USAR1'!$A$4:$L$403,6,False)+VLOOKUP($O115,'NO USAR1'!$A$4:$L$403,7,False)+VLOOKUP($O115,'NO USAR1'!$A$4:$L$403,8,False)+VLOOKUP($O115,'NO USAR1'!$A$4:$L$403,10,False)+VLOOKUP($O115,'NO USAR1'!$A$4:$L$403,12,False)*0</f>
        <v>-1.707440733</v>
      </c>
      <c r="S115" s="127">
        <f>VLOOKUP($O115,'NO USAR1'!$A$4:$L$403,2,False)*$U$19+VLOOKUP($O115,'NO USAR1'!$A$4:$L$403,3,False)*$V$19+VLOOKUP($O115,'NO USAR1'!$A$4:$L$403,4,False)*$W$19+VLOOKUP($O115,'NO USAR1'!$A$4:$L$403,5,False)*$X$19+VLOOKUP($O115,'NO USAR1'!$A$4:$L$403,6,False)*$Y$19+VLOOKUP($O115,'NO USAR1'!$A$4:$L$403,7,False)*$Z$19+VLOOKUP($O115,'NO USAR1'!$A$4:$L$403,8,False)*$AA$19+VLOOKUP($O115,'NO USAR1'!$A$4:$L$403,10,False)*$AB$19+VLOOKUP($O115,'NO USAR1'!$A$4:$L$403,12,False)*$AC$19+IF(Projections!$K$3,-AN115, IF(Projections!$J$3,-AM115,0))</f>
        <v>-0.8546222637</v>
      </c>
      <c r="T115" s="127">
        <f t="shared" si="1"/>
        <v>0.8528184689</v>
      </c>
      <c r="U115" s="127">
        <f>VLOOKUP($O115,Update!$B$2:$R$401,11,False)</f>
        <v>9.8</v>
      </c>
      <c r="V115" s="122">
        <f>VLOOKUP($O115,Update!$B$2:$R$401,10,False)</f>
        <v>0.8</v>
      </c>
      <c r="W115" s="127">
        <f>VLOOKUP($O115,Update!$B$2:$R$401,12,False)</f>
        <v>4</v>
      </c>
      <c r="X115" s="127">
        <f>VLOOKUP($O115,Update!$B$2:$R$401,13,False)</f>
        <v>2.3</v>
      </c>
      <c r="Y115" s="127">
        <f>VLOOKUP($O115,Update!$B$2:$R$401,14,False)</f>
        <v>1.7</v>
      </c>
      <c r="Z115" s="132">
        <f>VLOOKUP($O115,Update!$B$2:$R$401,15,False)</f>
        <v>0.7</v>
      </c>
      <c r="AA115" s="127">
        <f>100*VLOOKUP($O115,Update!$B$2:$R$401,7,False)</f>
        <v>47.36842105</v>
      </c>
      <c r="AB115" s="127">
        <f>100*VLOOKUP($O115,Update!$B$2:$R$401,9,False)</f>
        <v>78.26086957</v>
      </c>
      <c r="AC115" s="127">
        <f>VLOOKUP($O115,Update!$B$2:$Q$401,16,False)</f>
        <v>1.3</v>
      </c>
      <c r="AD115" s="127">
        <f>VLOOKUP($O115,'NO USAR1'!$A$4:$L$403,2,False)*$U$19</f>
        <v>-1.256645018</v>
      </c>
      <c r="AE115" s="127">
        <f>VLOOKUP($O115,'NO USAR1'!$A$4:$L$403,3,False)*$V$19</f>
        <v>-0.7324347821</v>
      </c>
      <c r="AF115" s="127">
        <f>VLOOKUP($O115,'NO USAR1'!$A$4:$L$403,4,False)*$W$19</f>
        <v>-0.876171383</v>
      </c>
      <c r="AG115" s="127">
        <f>VLOOKUP($O115,'NO USAR1'!$A$4:$L$403,5,False)*$X$19</f>
        <v>-0.7874779903</v>
      </c>
      <c r="AH115" s="127">
        <f>VLOOKUP($O115,'NO USAR1'!$A$4:$L$403,6,False)*$Y$19</f>
        <v>1.537978634</v>
      </c>
      <c r="AI115" s="127">
        <f>VLOOKUP($O115,'NO USAR1'!$A$4:$L$403,7,False)*$Z$19</f>
        <v>-0.001750877862</v>
      </c>
      <c r="AJ115" s="127">
        <f>VLOOKUP($O115,'NO USAR1'!$A$4:$L$403,8,False)*$AA$19</f>
        <v>-0.1692893011</v>
      </c>
      <c r="AK115" s="132">
        <f>VLOOKUP($O115,'NO USAR1'!$A$4:$L$403,10,False)*$AB$19</f>
        <v>-0.04114454535</v>
      </c>
      <c r="AL115" s="127">
        <f>VLOOKUP($O115,'NO USAR1'!$A$4:$L$403,12,False)*$AC$19</f>
        <v>0.2156679824</v>
      </c>
      <c r="AM115" s="133">
        <f t="shared" si="2"/>
        <v>-1.256645018</v>
      </c>
      <c r="AN115" s="133">
        <f t="shared" si="3"/>
        <v>-2.132816401</v>
      </c>
    </row>
    <row r="116">
      <c r="A116" s="118" t="str">
        <f>IF(Update!B114="",ROW(Update!B114),Update!B114)</f>
        <v>Bobby Portis</v>
      </c>
      <c r="B116" s="119">
        <f>IF(TYPE($A116)=1,"",(Update!$L114-B$1)/B$2)</f>
        <v>-0.4477184081</v>
      </c>
      <c r="C116" s="119">
        <f>IF(TYPE($A116)=1,"",(Update!$K114-C$1)/C$2)</f>
        <v>-0.04303528054</v>
      </c>
      <c r="D116" s="119">
        <f>IF(TYPE($A116)=1,"",(Update!$M114-D$1)/D$2)</f>
        <v>1.423673959</v>
      </c>
      <c r="E116" s="119">
        <f>IF(TYPE($A116)=1,"",(Update!$N114-E$1)/E$2)</f>
        <v>-1.133181941</v>
      </c>
      <c r="F116" s="119">
        <f>IF(TYPE($A116)=1,"",(Update!$O114-F$1)/F$2)</f>
        <v>-1.229386107</v>
      </c>
      <c r="G116" s="119">
        <f>IF(TYPE($A116)=1,"",(Update!$P114-G$1)/G$2)</f>
        <v>-0.3776893674</v>
      </c>
      <c r="H116" s="119">
        <f>IF(TYPE($A116)=1,"",(Update!$H114-H$1)/H$2*I116/$I$1)</f>
        <v>-0.1684898228</v>
      </c>
      <c r="I116" s="119">
        <f>IF(TYPE($A116)=1,"",IF(Update!H114=0,0,Update!G114/Update!H114))</f>
        <v>12</v>
      </c>
      <c r="J116" s="120">
        <f>IF(TYPE($A116)=1,"",(Update!$J114-J$1)/J$2*K116/$K$1)</f>
        <v>-0.132713468</v>
      </c>
      <c r="K116" s="121">
        <f>IF(TYPE($A116)=1,"",IF(Update!J114=0,0,Update!I114/Update!J114))</f>
        <v>1.7</v>
      </c>
      <c r="L116" s="119">
        <f>IF(TYPE($A116)=1,"",-(Update!$Q114-L$1)/L$2)</f>
        <v>0.9868569483</v>
      </c>
      <c r="N116" s="124">
        <v>96.0</v>
      </c>
      <c r="O116" s="130" t="str">
        <f>IF(Update!B88="",ROW(Update!B88),Update!B88)</f>
        <v>Austin Reaves</v>
      </c>
      <c r="P116" s="131">
        <f>Update!E88</f>
        <v>71</v>
      </c>
      <c r="Q116" s="131" t="str">
        <f>IF(Update!C88="",ROW(Update!N103),Update!C88)</f>
        <v>SG,SF</v>
      </c>
      <c r="R116" s="127">
        <f>VLOOKUP($O116,'NO USAR1'!$A$4:$L$403,2,False)+VLOOKUP($O116,'NO USAR1'!$A$4:$L$403,3,False)+VLOOKUP($O116,'NO USAR1'!$A$4:$L$403,4,False)+VLOOKUP($O116,'NO USAR1'!$A$4:$L$403,5,False)+VLOOKUP($O116,'NO USAR1'!$A$4:$L$403,6,False)+VLOOKUP($O116,'NO USAR1'!$A$4:$L$403,7,False)+VLOOKUP($O116,'NO USAR1'!$A$4:$L$403,8,False)+VLOOKUP($O116,'NO USAR1'!$A$4:$L$403,10,False)+VLOOKUP($O116,'NO USAR1'!$A$4:$L$403,12,False)*0</f>
        <v>-1.719867262</v>
      </c>
      <c r="S116" s="127">
        <f>VLOOKUP($O116,'NO USAR1'!$A$4:$L$403,2,False)*$U$19+VLOOKUP($O116,'NO USAR1'!$A$4:$L$403,3,False)*$V$19+VLOOKUP($O116,'NO USAR1'!$A$4:$L$403,4,False)*$W$19+VLOOKUP($O116,'NO USAR1'!$A$4:$L$403,5,False)*$X$19+VLOOKUP($O116,'NO USAR1'!$A$4:$L$403,6,False)*$Y$19+VLOOKUP($O116,'NO USAR1'!$A$4:$L$403,7,False)*$Z$19+VLOOKUP($O116,'NO USAR1'!$A$4:$L$403,8,False)*$AA$19+VLOOKUP($O116,'NO USAR1'!$A$4:$L$403,10,False)*$AB$19+VLOOKUP($O116,'NO USAR1'!$A$4:$L$403,12,False)*$AC$19+IF(Projections!$K$3,-AN116, IF(Projections!$J$3,-AM116,0))</f>
        <v>-0.2572504549</v>
      </c>
      <c r="T116" s="127">
        <f t="shared" si="1"/>
        <v>1.462616808</v>
      </c>
      <c r="U116" s="127">
        <f>VLOOKUP($O116,Update!$B$2:$R$401,11,False)</f>
        <v>15.4</v>
      </c>
      <c r="V116" s="122">
        <f>VLOOKUP($O116,Update!$B$2:$R$401,10,False)</f>
        <v>1.6</v>
      </c>
      <c r="W116" s="127">
        <f>VLOOKUP($O116,Update!$B$2:$R$401,12,False)</f>
        <v>3.3</v>
      </c>
      <c r="X116" s="127">
        <f>VLOOKUP($O116,Update!$B$2:$R$401,13,False)</f>
        <v>3.8</v>
      </c>
      <c r="Y116" s="127">
        <f>VLOOKUP($O116,Update!$B$2:$R$401,14,False)</f>
        <v>0.7</v>
      </c>
      <c r="Z116" s="132">
        <f>VLOOKUP($O116,Update!$B$2:$R$401,15,False)</f>
        <v>0.5</v>
      </c>
      <c r="AA116" s="127">
        <f>100*VLOOKUP($O116,Update!$B$2:$R$401,7,False)</f>
        <v>50</v>
      </c>
      <c r="AB116" s="127">
        <f>100*VLOOKUP($O116,Update!$B$2:$R$401,9,False)</f>
        <v>86.66666667</v>
      </c>
      <c r="AC116" s="127">
        <f>VLOOKUP($O116,Update!$B$2:$Q$401,16,False)</f>
        <v>1.6</v>
      </c>
      <c r="AD116" s="127">
        <f>VLOOKUP($O116,'NO USAR1'!$A$4:$L$403,2,False)*$U$19</f>
        <v>-0.3128973066</v>
      </c>
      <c r="AE116" s="127">
        <f>VLOOKUP($O116,'NO USAR1'!$A$4:$L$403,3,False)*$V$19</f>
        <v>-0.03873175248</v>
      </c>
      <c r="AF116" s="127">
        <f>VLOOKUP($O116,'NO USAR1'!$A$4:$L$403,4,False)*$W$19</f>
        <v>-1.168878972</v>
      </c>
      <c r="AG116" s="127">
        <f>VLOOKUP($O116,'NO USAR1'!$A$4:$L$403,5,False)*$X$19</f>
        <v>-0.02244108263</v>
      </c>
      <c r="AH116" s="127">
        <f>VLOOKUP($O116,'NO USAR1'!$A$4:$L$403,6,False)*$Y$19</f>
        <v>-0.6425203744</v>
      </c>
      <c r="AI116" s="127">
        <f>VLOOKUP($O116,'NO USAR1'!$A$4:$L$403,7,False)*$Z$19</f>
        <v>-0.2643825572</v>
      </c>
      <c r="AJ116" s="127">
        <f>VLOOKUP($O116,'NO USAR1'!$A$4:$L$403,8,False)*$AA$19</f>
        <v>0.0401101378</v>
      </c>
      <c r="AK116" s="132">
        <f>VLOOKUP($O116,'NO USAR1'!$A$4:$L$403,10,False)*$AB$19</f>
        <v>0.8610832621</v>
      </c>
      <c r="AL116" s="127">
        <f>VLOOKUP($O116,'NO USAR1'!$A$4:$L$403,12,False)*$AC$19</f>
        <v>0.1225292184</v>
      </c>
      <c r="AM116" s="133">
        <f t="shared" si="2"/>
        <v>-1.168878972</v>
      </c>
      <c r="AN116" s="133">
        <f t="shared" si="3"/>
        <v>-1.811399346</v>
      </c>
    </row>
    <row r="117">
      <c r="A117" s="118" t="str">
        <f>IF(Update!B115="",ROW(Update!B115),Update!B115)</f>
        <v>Jabari Smith Jr.</v>
      </c>
      <c r="B117" s="119">
        <f>IF(TYPE($A117)=1,"",(Update!$L115-B$1)/B$2)</f>
        <v>-0.4140131327</v>
      </c>
      <c r="C117" s="119">
        <f>IF(TYPE($A117)=1,"",(Update!$K115-C$1)/C$2)</f>
        <v>0.05331236246</v>
      </c>
      <c r="D117" s="119">
        <f>IF(TYPE($A117)=1,"",(Update!$M115-D$1)/D$2)</f>
        <v>0.7964434112</v>
      </c>
      <c r="E117" s="119">
        <f>IF(TYPE($A117)=1,"",(Update!$N115-E$1)/E$2)</f>
        <v>-1.133181941</v>
      </c>
      <c r="F117" s="119">
        <f>IF(TYPE($A117)=1,"",(Update!$O115-F$1)/F$2)</f>
        <v>-1.229386107</v>
      </c>
      <c r="G117" s="119">
        <f>IF(TYPE($A117)=1,"",(Update!$P115-G$1)/G$2)</f>
        <v>0.9354690293</v>
      </c>
      <c r="H117" s="119">
        <f>IF(TYPE($A117)=1,"",(Update!$H115-H$1)/H$2*I117/$I$1)</f>
        <v>-0.8876640029</v>
      </c>
      <c r="I117" s="119">
        <f>IF(TYPE($A117)=1,"",IF(Update!H115=0,0,Update!G115/Update!H115))</f>
        <v>12.5</v>
      </c>
      <c r="J117" s="120">
        <f>IF(TYPE($A117)=1,"",(Update!$J115-J$1)/J$2*K117/$K$1)</f>
        <v>-0.2158969756</v>
      </c>
      <c r="K117" s="121">
        <f>IF(TYPE($A117)=1,"",IF(Update!J115=0,0,Update!I115/Update!J115))</f>
        <v>3</v>
      </c>
      <c r="L117" s="119">
        <f>IF(TYPE($A117)=1,"",-(Update!$Q115-L$1)/L$2)</f>
        <v>0.6143018923</v>
      </c>
      <c r="N117" s="124">
        <v>97.0</v>
      </c>
      <c r="O117" s="130" t="str">
        <f>IF(Update!B96="",ROW(Update!B96),Update!B96)</f>
        <v>Jonas Valanciunas</v>
      </c>
      <c r="P117" s="131">
        <f>Update!E96</f>
        <v>74</v>
      </c>
      <c r="Q117" s="131" t="str">
        <f>IF(Update!C96="",ROW(Update!N111),Update!C96)</f>
        <v>C</v>
      </c>
      <c r="R117" s="127">
        <f>VLOOKUP($O117,'NO USAR1'!$A$4:$L$403,2,False)+VLOOKUP($O117,'NO USAR1'!$A$4:$L$403,3,False)+VLOOKUP($O117,'NO USAR1'!$A$4:$L$403,4,False)+VLOOKUP($O117,'NO USAR1'!$A$4:$L$403,5,False)+VLOOKUP($O117,'NO USAR1'!$A$4:$L$403,6,False)+VLOOKUP($O117,'NO USAR1'!$A$4:$L$403,7,False)+VLOOKUP($O117,'NO USAR1'!$A$4:$L$403,8,False)+VLOOKUP($O117,'NO USAR1'!$A$4:$L$403,10,False)+VLOOKUP($O117,'NO USAR1'!$A$4:$L$403,12,False)*0</f>
        <v>-1.720666454</v>
      </c>
      <c r="S117" s="127">
        <f>VLOOKUP($O117,'NO USAR1'!$A$4:$L$403,2,False)*$U$19+VLOOKUP($O117,'NO USAR1'!$A$4:$L$403,3,False)*$V$19+VLOOKUP($O117,'NO USAR1'!$A$4:$L$403,4,False)*$W$19+VLOOKUP($O117,'NO USAR1'!$A$4:$L$403,5,False)*$X$19+VLOOKUP($O117,'NO USAR1'!$A$4:$L$403,6,False)*$Y$19+VLOOKUP($O117,'NO USAR1'!$A$4:$L$403,7,False)*$Z$19+VLOOKUP($O117,'NO USAR1'!$A$4:$L$403,8,False)*$AA$19+VLOOKUP($O117,'NO USAR1'!$A$4:$L$403,10,False)*$AB$19+VLOOKUP($O117,'NO USAR1'!$A$4:$L$403,12,False)*$AC$19+IF(Projections!$K$3,-AN117, IF(Projections!$J$3,-AM117,0))</f>
        <v>0.01323617513</v>
      </c>
      <c r="T117" s="127">
        <f t="shared" si="1"/>
        <v>1.73390263</v>
      </c>
      <c r="U117" s="127">
        <f>VLOOKUP($O117,Update!$B$2:$R$401,11,False)</f>
        <v>14.1</v>
      </c>
      <c r="V117" s="122">
        <f>VLOOKUP($O117,Update!$B$2:$R$401,10,False)</f>
        <v>0.6</v>
      </c>
      <c r="W117" s="127">
        <f>VLOOKUP($O117,Update!$B$2:$R$401,12,False)</f>
        <v>9.9</v>
      </c>
      <c r="X117" s="127">
        <f>VLOOKUP($O117,Update!$B$2:$R$401,13,False)</f>
        <v>2</v>
      </c>
      <c r="Y117" s="127">
        <f>VLOOKUP($O117,Update!$B$2:$R$401,14,False)</f>
        <v>0.4</v>
      </c>
      <c r="Z117" s="132">
        <f>VLOOKUP($O117,Update!$B$2:$R$401,15,False)</f>
        <v>0.7</v>
      </c>
      <c r="AA117" s="127">
        <f>100*VLOOKUP($O117,Update!$B$2:$R$401,7,False)</f>
        <v>54.28571429</v>
      </c>
      <c r="AB117" s="127">
        <f>100*VLOOKUP($O117,Update!$B$2:$R$401,9,False)</f>
        <v>84</v>
      </c>
      <c r="AC117" s="127">
        <f>VLOOKUP($O117,Update!$B$2:$Q$401,16,False)</f>
        <v>2</v>
      </c>
      <c r="AD117" s="127">
        <f>VLOOKUP($O117,'NO USAR1'!$A$4:$L$403,2,False)*$U$19</f>
        <v>-0.5319815966</v>
      </c>
      <c r="AE117" s="127">
        <f>VLOOKUP($O117,'NO USAR1'!$A$4:$L$403,3,False)*$V$19</f>
        <v>-0.9058605394</v>
      </c>
      <c r="AF117" s="127">
        <f>VLOOKUP($O117,'NO USAR1'!$A$4:$L$403,4,False)*$W$19</f>
        <v>1.590935438</v>
      </c>
      <c r="AG117" s="127">
        <f>VLOOKUP($O117,'NO USAR1'!$A$4:$L$403,5,False)*$X$19</f>
        <v>-0.9404853718</v>
      </c>
      <c r="AH117" s="127">
        <f>VLOOKUP($O117,'NO USAR1'!$A$4:$L$403,6,False)*$Y$19</f>
        <v>-1.296670077</v>
      </c>
      <c r="AI117" s="127">
        <f>VLOOKUP($O117,'NO USAR1'!$A$4:$L$403,7,False)*$Z$19</f>
        <v>-0.001750877862</v>
      </c>
      <c r="AJ117" s="127">
        <f>VLOOKUP($O117,'NO USAR1'!$A$4:$L$403,8,False)*$AA$19</f>
        <v>0.4916049078</v>
      </c>
      <c r="AK117" s="132">
        <f>VLOOKUP($O117,'NO USAR1'!$A$4:$L$403,10,False)*$AB$19</f>
        <v>0.3124300148</v>
      </c>
      <c r="AL117" s="127">
        <f>VLOOKUP($O117,'NO USAR1'!$A$4:$L$403,12,False)*$AC$19</f>
        <v>-0.001655800249</v>
      </c>
      <c r="AM117" s="133">
        <f t="shared" si="2"/>
        <v>-1.296670077</v>
      </c>
      <c r="AN117" s="133">
        <f t="shared" si="3"/>
        <v>-2.237155449</v>
      </c>
    </row>
    <row r="118">
      <c r="A118" s="118" t="str">
        <f>IF(Update!B116="",ROW(Update!B116),Update!B116)</f>
        <v>Marcus Smart</v>
      </c>
      <c r="B118" s="119">
        <f>IF(TYPE($A118)=1,"",(Update!$L116-B$1)/B$2)</f>
        <v>-0.9195922636</v>
      </c>
      <c r="C118" s="119">
        <f>IF(TYPE($A118)=1,"",(Update!$K116-C$1)/C$2)</f>
        <v>0.1496600055</v>
      </c>
      <c r="D118" s="119">
        <f>IF(TYPE($A118)=1,"",(Update!$M116-D$1)/D$2)</f>
        <v>-1.085248232</v>
      </c>
      <c r="E118" s="119">
        <f>IF(TYPE($A118)=1,"",(Update!$N116-E$1)/E$2)</f>
        <v>0.6750871137</v>
      </c>
      <c r="F118" s="119">
        <f>IF(TYPE($A118)=1,"",(Update!$O116-F$1)/F$2)</f>
        <v>1.885612475</v>
      </c>
      <c r="G118" s="119">
        <f>IF(TYPE($A118)=1,"",(Update!$P116-G$1)/G$2)</f>
        <v>-0.7528774808</v>
      </c>
      <c r="H118" s="119">
        <f>IF(TYPE($A118)=1,"",(Update!$H116-H$1)/H$2*I118/$I$1)</f>
        <v>-0.8433132062</v>
      </c>
      <c r="I118" s="119">
        <f>IF(TYPE($A118)=1,"",IF(Update!H116=0,0,Update!G116/Update!H116))</f>
        <v>10</v>
      </c>
      <c r="J118" s="120">
        <f>IF(TYPE($A118)=1,"",(Update!$J116-J$1)/J$2*K118/$K$1)</f>
        <v>-0.116837055</v>
      </c>
      <c r="K118" s="121">
        <f>IF(TYPE($A118)=1,"",IF(Update!J116=0,0,Update!I116/Update!J116))</f>
        <v>2.2</v>
      </c>
      <c r="L118" s="119">
        <f>IF(TYPE($A118)=1,"",-(Update!$Q116-L$1)/L$2)</f>
        <v>-0.379178257</v>
      </c>
      <c r="N118" s="33">
        <v>98.0</v>
      </c>
      <c r="O118" s="130" t="str">
        <f>IF(Update!B98="",ROW(Update!B98),Update!B98)</f>
        <v>Trey Murphy III</v>
      </c>
      <c r="P118" s="131">
        <f>Update!E98</f>
        <v>60</v>
      </c>
      <c r="Q118" s="131" t="str">
        <f>IF(Update!C98="",ROW(Update!N113),Update!C98)</f>
        <v>SF,PF</v>
      </c>
      <c r="R118" s="127">
        <f>VLOOKUP($O118,'NO USAR1'!$A$4:$L$403,2,False)+VLOOKUP($O118,'NO USAR1'!$A$4:$L$403,3,False)+VLOOKUP($O118,'NO USAR1'!$A$4:$L$403,4,False)+VLOOKUP($O118,'NO USAR1'!$A$4:$L$403,5,False)+VLOOKUP($O118,'NO USAR1'!$A$4:$L$403,6,False)+VLOOKUP($O118,'NO USAR1'!$A$4:$L$403,7,False)+VLOOKUP($O118,'NO USAR1'!$A$4:$L$403,8,False)+VLOOKUP($O118,'NO USAR1'!$A$4:$L$403,10,False)+VLOOKUP($O118,'NO USAR1'!$A$4:$L$403,12,False)*0</f>
        <v>-1.732093068</v>
      </c>
      <c r="S118" s="127">
        <f>VLOOKUP($O118,'NO USAR1'!$A$4:$L$403,2,False)*$U$19+VLOOKUP($O118,'NO USAR1'!$A$4:$L$403,3,False)*$V$19+VLOOKUP($O118,'NO USAR1'!$A$4:$L$403,4,False)*$W$19+VLOOKUP($O118,'NO USAR1'!$A$4:$L$403,5,False)*$X$19+VLOOKUP($O118,'NO USAR1'!$A$4:$L$403,6,False)*$Y$19+VLOOKUP($O118,'NO USAR1'!$A$4:$L$403,7,False)*$Z$19+VLOOKUP($O118,'NO USAR1'!$A$4:$L$403,8,False)*$AA$19+VLOOKUP($O118,'NO USAR1'!$A$4:$L$403,10,False)*$AB$19+VLOOKUP($O118,'NO USAR1'!$A$4:$L$403,12,False)*$AC$19+IF(Projections!$K$3,-AN118, IF(Projections!$J$3,-AM118,0))</f>
        <v>-0.2999453802</v>
      </c>
      <c r="T118" s="127">
        <f t="shared" si="1"/>
        <v>1.432147688</v>
      </c>
      <c r="U118" s="127">
        <f>VLOOKUP($O118,Update!$B$2:$R$401,11,False)</f>
        <v>13.6</v>
      </c>
      <c r="V118" s="122">
        <f>VLOOKUP($O118,Update!$B$2:$R$401,10,False)</f>
        <v>2.5</v>
      </c>
      <c r="W118" s="127">
        <f>VLOOKUP($O118,Update!$B$2:$R$401,12,False)</f>
        <v>3.9</v>
      </c>
      <c r="X118" s="127">
        <f>VLOOKUP($O118,Update!$B$2:$R$401,13,False)</f>
        <v>1.4</v>
      </c>
      <c r="Y118" s="127">
        <f>VLOOKUP($O118,Update!$B$2:$R$401,14,False)</f>
        <v>1</v>
      </c>
      <c r="Z118" s="132">
        <f>VLOOKUP($O118,Update!$B$2:$R$401,15,False)</f>
        <v>0.5</v>
      </c>
      <c r="AA118" s="127">
        <f>100*VLOOKUP($O118,Update!$B$2:$R$401,7,False)</f>
        <v>46.46464646</v>
      </c>
      <c r="AB118" s="127">
        <f>100*VLOOKUP($O118,Update!$B$2:$R$401,9,False)</f>
        <v>90.90909091</v>
      </c>
      <c r="AC118" s="127">
        <f>VLOOKUP($O118,Update!$B$2:$Q$401,16,False)</f>
        <v>0.7</v>
      </c>
      <c r="AD118" s="127">
        <f>VLOOKUP($O118,'NO USAR1'!$A$4:$L$403,2,False)*$U$19</f>
        <v>-0.6162447851</v>
      </c>
      <c r="AE118" s="127">
        <f>VLOOKUP($O118,'NO USAR1'!$A$4:$L$403,3,False)*$V$19</f>
        <v>0.7416841558</v>
      </c>
      <c r="AF118" s="127">
        <f>VLOOKUP($O118,'NO USAR1'!$A$4:$L$403,4,False)*$W$19</f>
        <v>-0.9179867529</v>
      </c>
      <c r="AG118" s="127">
        <f>VLOOKUP($O118,'NO USAR1'!$A$4:$L$403,5,False)*$X$19</f>
        <v>-1.246500135</v>
      </c>
      <c r="AH118" s="127">
        <f>VLOOKUP($O118,'NO USAR1'!$A$4:$L$403,6,False)*$Y$19</f>
        <v>0.01162932804</v>
      </c>
      <c r="AI118" s="127">
        <f>VLOOKUP($O118,'NO USAR1'!$A$4:$L$403,7,False)*$Z$19</f>
        <v>-0.2643825572</v>
      </c>
      <c r="AJ118" s="127">
        <f>VLOOKUP($O118,'NO USAR1'!$A$4:$L$403,8,False)*$AA$19</f>
        <v>-0.3098937238</v>
      </c>
      <c r="AK118" s="132">
        <f>VLOOKUP($O118,'NO USAR1'!$A$4:$L$403,10,False)*$AB$19</f>
        <v>0.6533034446</v>
      </c>
      <c r="AL118" s="127">
        <f>VLOOKUP($O118,'NO USAR1'!$A$4:$L$403,12,False)*$AC$19</f>
        <v>0.4019455104</v>
      </c>
      <c r="AM118" s="133">
        <f t="shared" si="2"/>
        <v>-1.246500135</v>
      </c>
      <c r="AN118" s="133">
        <f t="shared" si="3"/>
        <v>-2.164486888</v>
      </c>
    </row>
    <row r="119">
      <c r="A119" s="118" t="str">
        <f>IF(Update!B117="",ROW(Update!B117),Update!B117)</f>
        <v>Wendell Carter Jr.</v>
      </c>
      <c r="B119" s="119">
        <f>IF(TYPE($A119)=1,"",(Update!$L117-B$1)/B$2)</f>
        <v>-0.3128973066</v>
      </c>
      <c r="C119" s="119">
        <f>IF(TYPE($A119)=1,"",(Update!$K117-C$1)/C$2)</f>
        <v>-0.3320782095</v>
      </c>
      <c r="D119" s="119">
        <f>IF(TYPE($A119)=1,"",(Update!$M117-D$1)/D$2)</f>
        <v>1.089151</v>
      </c>
      <c r="E119" s="119">
        <f>IF(TYPE($A119)=1,"",(Update!$N117-E$1)/E$2)</f>
        <v>-0.7622549553</v>
      </c>
      <c r="F119" s="119">
        <f>IF(TYPE($A119)=1,"",(Update!$O117-F$1)/F$2)</f>
        <v>-1.229386107</v>
      </c>
      <c r="G119" s="119">
        <f>IF(TYPE($A119)=1,"",(Update!$P117-G$1)/G$2)</f>
        <v>-0.002501254089</v>
      </c>
      <c r="H119" s="119">
        <f>IF(TYPE($A119)=1,"",(Update!$H117-H$1)/H$2*I119/$I$1)</f>
        <v>0.3269316781</v>
      </c>
      <c r="I119" s="119">
        <f>IF(TYPE($A119)=1,"",IF(Update!H117=0,0,Update!G117/Update!H117))</f>
        <v>11.1</v>
      </c>
      <c r="J119" s="120">
        <f>IF(TYPE($A119)=1,"",(Update!$J117-J$1)/J$2*K119/$K$1)</f>
        <v>-0.5765823896</v>
      </c>
      <c r="K119" s="121">
        <f>IF(TYPE($A119)=1,"",IF(Update!J117=0,0,Update!I117/Update!J117))</f>
        <v>3.4</v>
      </c>
      <c r="L119" s="119">
        <f>IF(TYPE($A119)=1,"",-(Update!$Q117-L$1)/L$2)</f>
        <v>0.1175618177</v>
      </c>
      <c r="N119" s="124">
        <v>99.0</v>
      </c>
      <c r="O119" s="130" t="str">
        <f>IF(Update!B95="",ROW(Update!B95),Update!B95)</f>
        <v>Derrick White</v>
      </c>
      <c r="P119" s="131">
        <f>Update!E95</f>
        <v>77</v>
      </c>
      <c r="Q119" s="131" t="str">
        <f>IF(Update!C95="",ROW(Update!N110),Update!C95)</f>
        <v>PG,SG</v>
      </c>
      <c r="R119" s="127">
        <f>VLOOKUP($O119,'NO USAR1'!$A$4:$L$403,2,False)+VLOOKUP($O119,'NO USAR1'!$A$4:$L$403,3,False)+VLOOKUP($O119,'NO USAR1'!$A$4:$L$403,4,False)+VLOOKUP($O119,'NO USAR1'!$A$4:$L$403,5,False)+VLOOKUP($O119,'NO USAR1'!$A$4:$L$403,6,False)+VLOOKUP($O119,'NO USAR1'!$A$4:$L$403,7,False)+VLOOKUP($O119,'NO USAR1'!$A$4:$L$403,8,False)+VLOOKUP($O119,'NO USAR1'!$A$4:$L$403,10,False)+VLOOKUP($O119,'NO USAR1'!$A$4:$L$403,12,False)*0</f>
        <v>-1.737404605</v>
      </c>
      <c r="S119" s="127">
        <f>VLOOKUP($O119,'NO USAR1'!$A$4:$L$403,2,False)*$U$19+VLOOKUP($O119,'NO USAR1'!$A$4:$L$403,3,False)*$V$19+VLOOKUP($O119,'NO USAR1'!$A$4:$L$403,4,False)*$W$19+VLOOKUP($O119,'NO USAR1'!$A$4:$L$403,5,False)*$X$19+VLOOKUP($O119,'NO USAR1'!$A$4:$L$403,6,False)*$Y$19+VLOOKUP($O119,'NO USAR1'!$A$4:$L$403,7,False)*$Z$19+VLOOKUP($O119,'NO USAR1'!$A$4:$L$403,8,False)*$AA$19+VLOOKUP($O119,'NO USAR1'!$A$4:$L$403,10,False)*$AB$19+VLOOKUP($O119,'NO USAR1'!$A$4:$L$403,12,False)*$AC$19+IF(Projections!$K$3,-AN119, IF(Projections!$J$3,-AM119,0))</f>
        <v>-0.5091585069</v>
      </c>
      <c r="T119" s="127">
        <f t="shared" si="1"/>
        <v>1.228246098</v>
      </c>
      <c r="U119" s="127">
        <f>VLOOKUP($O119,Update!$B$2:$R$401,11,False)</f>
        <v>13</v>
      </c>
      <c r="V119" s="122">
        <f>VLOOKUP($O119,Update!$B$2:$R$401,10,False)</f>
        <v>1.7</v>
      </c>
      <c r="W119" s="127">
        <f>VLOOKUP($O119,Update!$B$2:$R$401,12,False)</f>
        <v>3.6</v>
      </c>
      <c r="X119" s="127">
        <f>VLOOKUP($O119,Update!$B$2:$R$401,13,False)</f>
        <v>4</v>
      </c>
      <c r="Y119" s="127">
        <f>VLOOKUP($O119,Update!$B$2:$R$401,14,False)</f>
        <v>0.8</v>
      </c>
      <c r="Z119" s="132">
        <f>VLOOKUP($O119,Update!$B$2:$R$401,15,False)</f>
        <v>0.9</v>
      </c>
      <c r="AA119" s="127">
        <f>100*VLOOKUP($O119,Update!$B$2:$R$401,7,False)</f>
        <v>45.45454545</v>
      </c>
      <c r="AB119" s="127">
        <f>100*VLOOKUP($O119,Update!$B$2:$R$401,9,False)</f>
        <v>85.71428571</v>
      </c>
      <c r="AC119" s="127">
        <f>VLOOKUP($O119,Update!$B$2:$Q$401,16,False)</f>
        <v>1.4</v>
      </c>
      <c r="AD119" s="127">
        <f>VLOOKUP($O119,'NO USAR1'!$A$4:$L$403,2,False)*$U$19</f>
        <v>-0.7173606113</v>
      </c>
      <c r="AE119" s="127">
        <f>VLOOKUP($O119,'NO USAR1'!$A$4:$L$403,3,False)*$V$19</f>
        <v>0.04798112621</v>
      </c>
      <c r="AF119" s="127">
        <f>VLOOKUP($O119,'NO USAR1'!$A$4:$L$403,4,False)*$W$19</f>
        <v>-1.043432862</v>
      </c>
      <c r="AG119" s="127">
        <f>VLOOKUP($O119,'NO USAR1'!$A$4:$L$403,5,False)*$X$19</f>
        <v>0.0795638384</v>
      </c>
      <c r="AH119" s="127">
        <f>VLOOKUP($O119,'NO USAR1'!$A$4:$L$403,6,False)*$Y$19</f>
        <v>-0.4244704736</v>
      </c>
      <c r="AI119" s="127">
        <f>VLOOKUP($O119,'NO USAR1'!$A$4:$L$403,7,False)*$Z$19</f>
        <v>0.2608808015</v>
      </c>
      <c r="AJ119" s="127">
        <f>VLOOKUP($O119,'NO USAR1'!$A$4:$L$403,8,False)*$AA$19</f>
        <v>-0.4097802267</v>
      </c>
      <c r="AK119" s="132">
        <f>VLOOKUP($O119,'NO USAR1'!$A$4:$L$403,10,False)*$AB$19</f>
        <v>0.4694053108</v>
      </c>
      <c r="AL119" s="127">
        <f>VLOOKUP($O119,'NO USAR1'!$A$4:$L$403,12,False)*$AC$19</f>
        <v>0.1846217277</v>
      </c>
      <c r="AM119" s="133">
        <f t="shared" si="2"/>
        <v>-1.043432862</v>
      </c>
      <c r="AN119" s="133">
        <f t="shared" si="3"/>
        <v>-1.760793474</v>
      </c>
    </row>
    <row r="120">
      <c r="A120" s="118" t="str">
        <f>IF(Update!B118="",ROW(Update!B118),Update!B118)</f>
        <v>Mike Conley</v>
      </c>
      <c r="B120" s="119">
        <f>IF(TYPE($A120)=1,"",(Update!$L118-B$1)/B$2)</f>
        <v>-0.8184764374</v>
      </c>
      <c r="C120" s="119">
        <f>IF(TYPE($A120)=1,"",(Update!$K118-C$1)/C$2)</f>
        <v>0.4387029344</v>
      </c>
      <c r="D120" s="119">
        <f>IF(TYPE($A120)=1,"",(Update!$M118-D$1)/D$2)</f>
        <v>-1.377955821</v>
      </c>
      <c r="E120" s="119">
        <f>IF(TYPE($A120)=1,"",(Update!$N118-E$1)/E$2)</f>
        <v>0.999648226</v>
      </c>
      <c r="F120" s="119">
        <f>IF(TYPE($A120)=1,"",(Update!$O118-F$1)/F$2)</f>
        <v>0.3281131841</v>
      </c>
      <c r="G120" s="119">
        <f>IF(TYPE($A120)=1,"",(Update!$P118-G$1)/G$2)</f>
        <v>-0.9404715375</v>
      </c>
      <c r="H120" s="119">
        <f>IF(TYPE($A120)=1,"",(Update!$H118-H$1)/H$2*I120/$I$1)</f>
        <v>-0.6781727059</v>
      </c>
      <c r="I120" s="119">
        <f>IF(TYPE($A120)=1,"",IF(Update!H118=0,0,Update!G118/Update!H118))</f>
        <v>9.7</v>
      </c>
      <c r="J120" s="120">
        <f>IF(TYPE($A120)=1,"",(Update!$J118-J$1)/J$2*K120/$K$1)</f>
        <v>0.2597247719</v>
      </c>
      <c r="K120" s="121">
        <f>IF(TYPE($A120)=1,"",IF(Update!J118=0,0,Update!I118/Update!J118))</f>
        <v>2.3</v>
      </c>
      <c r="L120" s="119">
        <f>IF(TYPE($A120)=1,"",-(Update!$Q118-L$1)/L$2)</f>
        <v>0.4901168736</v>
      </c>
      <c r="N120" s="124">
        <v>100.0</v>
      </c>
      <c r="O120" s="130" t="str">
        <f>IF(Update!B100="",ROW(Update!B100),Update!B100)</f>
        <v>Michael Porter Jr.</v>
      </c>
      <c r="P120" s="131">
        <f>Update!E100</f>
        <v>65</v>
      </c>
      <c r="Q120" s="131" t="str">
        <f>IF(Update!C100="",ROW(Update!N115),Update!C100)</f>
        <v>SF</v>
      </c>
      <c r="R120" s="127">
        <f>VLOOKUP($O120,'NO USAR1'!$A$4:$L$403,2,False)+VLOOKUP($O120,'NO USAR1'!$A$4:$L$403,3,False)+VLOOKUP($O120,'NO USAR1'!$A$4:$L$403,4,False)+VLOOKUP($O120,'NO USAR1'!$A$4:$L$403,5,False)+VLOOKUP($O120,'NO USAR1'!$A$4:$L$403,6,False)+VLOOKUP($O120,'NO USAR1'!$A$4:$L$403,7,False)+VLOOKUP($O120,'NO USAR1'!$A$4:$L$403,8,False)+VLOOKUP($O120,'NO USAR1'!$A$4:$L$403,10,False)+VLOOKUP($O120,'NO USAR1'!$A$4:$L$403,12,False)*0</f>
        <v>-1.771611631</v>
      </c>
      <c r="S120" s="127">
        <f>VLOOKUP($O120,'NO USAR1'!$A$4:$L$403,2,False)*$U$19+VLOOKUP($O120,'NO USAR1'!$A$4:$L$403,3,False)*$V$19+VLOOKUP($O120,'NO USAR1'!$A$4:$L$403,4,False)*$W$19+VLOOKUP($O120,'NO USAR1'!$A$4:$L$403,5,False)*$X$19+VLOOKUP($O120,'NO USAR1'!$A$4:$L$403,6,False)*$Y$19+VLOOKUP($O120,'NO USAR1'!$A$4:$L$403,7,False)*$Z$19+VLOOKUP($O120,'NO USAR1'!$A$4:$L$403,8,False)*$AA$19+VLOOKUP($O120,'NO USAR1'!$A$4:$L$403,10,False)*$AB$19+VLOOKUP($O120,'NO USAR1'!$A$4:$L$403,12,False)*$AC$19+IF(Projections!$K$3,-AN120, IF(Projections!$J$3,-AM120,0))</f>
        <v>0.007453628579</v>
      </c>
      <c r="T120" s="127">
        <f t="shared" si="1"/>
        <v>1.779065259</v>
      </c>
      <c r="U120" s="127">
        <f>VLOOKUP($O120,Update!$B$2:$R$401,11,False)</f>
        <v>17.3</v>
      </c>
      <c r="V120" s="122">
        <f>VLOOKUP($O120,Update!$B$2:$R$401,10,False)</f>
        <v>2.9</v>
      </c>
      <c r="W120" s="127">
        <f>VLOOKUP($O120,Update!$B$2:$R$401,12,False)</f>
        <v>5.9</v>
      </c>
      <c r="X120" s="127">
        <f>VLOOKUP($O120,Update!$B$2:$R$401,13,False)</f>
        <v>1.2</v>
      </c>
      <c r="Y120" s="127">
        <f>VLOOKUP($O120,Update!$B$2:$R$401,14,False)</f>
        <v>0.7</v>
      </c>
      <c r="Z120" s="132">
        <f>VLOOKUP($O120,Update!$B$2:$R$401,15,False)</f>
        <v>0.5</v>
      </c>
      <c r="AA120" s="127">
        <f>100*VLOOKUP($O120,Update!$B$2:$R$401,7,False)</f>
        <v>47.05882353</v>
      </c>
      <c r="AB120" s="127">
        <f>100*VLOOKUP($O120,Update!$B$2:$R$401,9,False)</f>
        <v>78.94736842</v>
      </c>
      <c r="AC120" s="127">
        <f>VLOOKUP($O120,Update!$B$2:$Q$401,16,False)</f>
        <v>1.2</v>
      </c>
      <c r="AD120" s="127">
        <f>VLOOKUP($O120,'NO USAR1'!$A$4:$L$403,2,False)*$U$19</f>
        <v>0.007302809668</v>
      </c>
      <c r="AE120" s="127">
        <f>VLOOKUP($O120,'NO USAR1'!$A$4:$L$403,3,False)*$V$19</f>
        <v>1.088535671</v>
      </c>
      <c r="AF120" s="127">
        <f>VLOOKUP($O120,'NO USAR1'!$A$4:$L$403,4,False)*$W$19</f>
        <v>-0.08167935579</v>
      </c>
      <c r="AG120" s="127">
        <f>VLOOKUP($O120,'NO USAR1'!$A$4:$L$403,5,False)*$X$19</f>
        <v>-1.348505056</v>
      </c>
      <c r="AH120" s="127">
        <f>VLOOKUP($O120,'NO USAR1'!$A$4:$L$403,6,False)*$Y$19</f>
        <v>-0.6425203744</v>
      </c>
      <c r="AI120" s="127">
        <f>VLOOKUP($O120,'NO USAR1'!$A$4:$L$403,7,False)*$Z$19</f>
        <v>-0.2643825572</v>
      </c>
      <c r="AJ120" s="127">
        <f>VLOOKUP($O120,'NO USAR1'!$A$4:$L$403,8,False)*$AA$19</f>
        <v>-0.3449962243</v>
      </c>
      <c r="AK120" s="132">
        <f>VLOOKUP($O120,'NO USAR1'!$A$4:$L$403,10,False)*$AB$19</f>
        <v>-0.001520577086</v>
      </c>
      <c r="AL120" s="127">
        <f>VLOOKUP($O120,'NO USAR1'!$A$4:$L$403,12,False)*$AC$19</f>
        <v>0.2467142371</v>
      </c>
      <c r="AM120" s="133">
        <f t="shared" si="2"/>
        <v>-1.348505056</v>
      </c>
      <c r="AN120" s="133">
        <f t="shared" si="3"/>
        <v>-1.99102543</v>
      </c>
    </row>
    <row r="121">
      <c r="A121" s="118" t="str">
        <f>IF(Update!B119="",ROW(Update!B119),Update!B119)</f>
        <v>Spencer Dinwiddie</v>
      </c>
      <c r="B121" s="119">
        <f>IF(TYPE($A121)=1,"",(Update!$L119-B$1)/B$2)</f>
        <v>-0.1275182919</v>
      </c>
      <c r="C121" s="119">
        <f>IF(TYPE($A121)=1,"",(Update!$K119-C$1)/C$2)</f>
        <v>0.4387029344</v>
      </c>
      <c r="D121" s="119">
        <f>IF(TYPE($A121)=1,"",(Update!$M119-D$1)/D$2)</f>
        <v>-0.876171383</v>
      </c>
      <c r="E121" s="119">
        <f>IF(TYPE($A121)=1,"",(Update!$N119-E$1)/E$2)</f>
        <v>1.092379972</v>
      </c>
      <c r="F121" s="119">
        <f>IF(TYPE($A121)=1,"",(Update!$O119-F$1)/F$2)</f>
        <v>-0.6063863908</v>
      </c>
      <c r="G121" s="119">
        <f>IF(TYPE($A121)=1,"",(Update!$P119-G$1)/G$2)</f>
        <v>-0.7528774808</v>
      </c>
      <c r="H121" s="119">
        <f>IF(TYPE($A121)=1,"",(Update!$H119-H$1)/H$2*I121/$I$1)</f>
        <v>-0.9418194999</v>
      </c>
      <c r="I121" s="119">
        <f>IF(TYPE($A121)=1,"",IF(Update!H119=0,0,Update!G119/Update!H119))</f>
        <v>12.8</v>
      </c>
      <c r="J121" s="120">
        <f>IF(TYPE($A121)=1,"",(Update!$J119-J$1)/J$2*K121/$K$1)</f>
        <v>-0.05333140304</v>
      </c>
      <c r="K121" s="121">
        <f>IF(TYPE($A121)=1,"",IF(Update!J119=0,0,Update!I119/Update!J119))</f>
        <v>4.2</v>
      </c>
      <c r="L121" s="119">
        <f>IF(TYPE($A121)=1,"",-(Update!$Q119-L$1)/L$2)</f>
        <v>0.2417468363</v>
      </c>
      <c r="N121" s="33">
        <v>101.0</v>
      </c>
      <c r="O121" s="130" t="str">
        <f>IF(Update!B110="",ROW(Update!B110),Update!B110)</f>
        <v>Bruce Brown</v>
      </c>
      <c r="P121" s="131">
        <f>Update!E110</f>
        <v>70</v>
      </c>
      <c r="Q121" s="131" t="str">
        <f>IF(Update!C110="",ROW(Update!N125),Update!C110)</f>
        <v>PG,SG,SF</v>
      </c>
      <c r="R121" s="127">
        <f>VLOOKUP($O121,'NO USAR1'!$A$4:$L$403,2,False)+VLOOKUP($O121,'NO USAR1'!$A$4:$L$403,3,False)+VLOOKUP($O121,'NO USAR1'!$A$4:$L$403,4,False)+VLOOKUP($O121,'NO USAR1'!$A$4:$L$403,5,False)+VLOOKUP($O121,'NO USAR1'!$A$4:$L$403,6,False)+VLOOKUP($O121,'NO USAR1'!$A$4:$L$403,7,False)+VLOOKUP($O121,'NO USAR1'!$A$4:$L$403,8,False)+VLOOKUP($O121,'NO USAR1'!$A$4:$L$403,10,False)+VLOOKUP($O121,'NO USAR1'!$A$4:$L$403,12,False)*0</f>
        <v>-1.787175597</v>
      </c>
      <c r="S121" s="127">
        <f>VLOOKUP($O121,'NO USAR1'!$A$4:$L$403,2,False)*$U$19+VLOOKUP($O121,'NO USAR1'!$A$4:$L$403,3,False)*$V$19+VLOOKUP($O121,'NO USAR1'!$A$4:$L$403,4,False)*$W$19+VLOOKUP($O121,'NO USAR1'!$A$4:$L$403,5,False)*$X$19+VLOOKUP($O121,'NO USAR1'!$A$4:$L$403,6,False)*$Y$19+VLOOKUP($O121,'NO USAR1'!$A$4:$L$403,7,False)*$Z$19+VLOOKUP($O121,'NO USAR1'!$A$4:$L$403,8,False)*$AA$19+VLOOKUP($O121,'NO USAR1'!$A$4:$L$403,10,False)*$AB$19+VLOOKUP($O121,'NO USAR1'!$A$4:$L$403,12,False)*$AC$19+IF(Projections!$K$3,-AN121, IF(Projections!$J$3,-AM121,0))</f>
        <v>-0.8115006575</v>
      </c>
      <c r="T121" s="127">
        <f t="shared" si="1"/>
        <v>0.9756749393</v>
      </c>
      <c r="U121" s="127">
        <f>VLOOKUP($O121,Update!$B$2:$R$401,11,False)</f>
        <v>11.7</v>
      </c>
      <c r="V121" s="122">
        <f>VLOOKUP($O121,Update!$B$2:$R$401,10,False)</f>
        <v>1</v>
      </c>
      <c r="W121" s="127">
        <f>VLOOKUP($O121,Update!$B$2:$R$401,12,False)</f>
        <v>5</v>
      </c>
      <c r="X121" s="127">
        <f>VLOOKUP($O121,Update!$B$2:$R$401,13,False)</f>
        <v>3.1</v>
      </c>
      <c r="Y121" s="127">
        <f>VLOOKUP($O121,Update!$B$2:$R$401,14,False)</f>
        <v>1.2</v>
      </c>
      <c r="Z121" s="132">
        <f>VLOOKUP($O121,Update!$B$2:$R$401,15,False)</f>
        <v>0.8</v>
      </c>
      <c r="AA121" s="127">
        <f>100*VLOOKUP($O121,Update!$B$2:$R$401,7,False)</f>
        <v>48.93617021</v>
      </c>
      <c r="AB121" s="127">
        <f>100*VLOOKUP($O121,Update!$B$2:$R$401,9,False)</f>
        <v>76.19047619</v>
      </c>
      <c r="AC121" s="127">
        <f>VLOOKUP($O121,Update!$B$2:$Q$401,16,False)</f>
        <v>1.3</v>
      </c>
      <c r="AD121" s="127">
        <f>VLOOKUP($O121,'NO USAR1'!$A$4:$L$403,2,False)*$U$19</f>
        <v>-0.9364449013</v>
      </c>
      <c r="AE121" s="127">
        <f>VLOOKUP($O121,'NO USAR1'!$A$4:$L$403,3,False)*$V$19</f>
        <v>-0.5590090247</v>
      </c>
      <c r="AF121" s="127">
        <f>VLOOKUP($O121,'NO USAR1'!$A$4:$L$403,4,False)*$W$19</f>
        <v>-0.4580176845</v>
      </c>
      <c r="AG121" s="127">
        <f>VLOOKUP($O121,'NO USAR1'!$A$4:$L$403,5,False)*$X$19</f>
        <v>-0.3794583062</v>
      </c>
      <c r="AH121" s="127">
        <f>VLOOKUP($O121,'NO USAR1'!$A$4:$L$403,6,False)*$Y$19</f>
        <v>0.4477291296</v>
      </c>
      <c r="AI121" s="127">
        <f>VLOOKUP($O121,'NO USAR1'!$A$4:$L$403,7,False)*$Z$19</f>
        <v>0.1295649618</v>
      </c>
      <c r="AJ121" s="127">
        <f>VLOOKUP($O121,'NO USAR1'!$A$4:$L$403,8,False)*$AA$19</f>
        <v>-0.06218297339</v>
      </c>
      <c r="AK121" s="132">
        <f>VLOOKUP($O121,'NO USAR1'!$A$4:$L$403,10,False)*$AB$19</f>
        <v>-0.1457947426</v>
      </c>
      <c r="AL121" s="127">
        <f>VLOOKUP($O121,'NO USAR1'!$A$4:$L$403,12,False)*$AC$19</f>
        <v>0.2156679824</v>
      </c>
      <c r="AM121" s="133">
        <f t="shared" si="2"/>
        <v>-0.9364449013</v>
      </c>
      <c r="AN121" s="133">
        <f t="shared" si="3"/>
        <v>-1.495453926</v>
      </c>
    </row>
    <row r="122">
      <c r="A122" s="118" t="str">
        <f>IF(Update!B120="",ROW(Update!B120),Update!B120)</f>
        <v>Tre Jones</v>
      </c>
      <c r="B122" s="119">
        <f>IF(TYPE($A122)=1,"",(Update!$L120-B$1)/B$2)</f>
        <v>-0.8690343505</v>
      </c>
      <c r="C122" s="119">
        <f>IF(TYPE($A122)=1,"",(Update!$K120-C$1)/C$2)</f>
        <v>-1.102859353</v>
      </c>
      <c r="D122" s="119">
        <f>IF(TYPE($A122)=1,"",(Update!$M120-D$1)/D$2)</f>
        <v>-0.9598021228</v>
      </c>
      <c r="E122" s="119">
        <f>IF(TYPE($A122)=1,"",(Update!$N120-E$1)/E$2)</f>
        <v>1.185111719</v>
      </c>
      <c r="F122" s="119">
        <f>IF(TYPE($A122)=1,"",(Update!$O120-F$1)/F$2)</f>
        <v>0.6396130423</v>
      </c>
      <c r="G122" s="119">
        <f>IF(TYPE($A122)=1,"",(Update!$P120-G$1)/G$2)</f>
        <v>-0.9404715375</v>
      </c>
      <c r="H122" s="119">
        <f>IF(TYPE($A122)=1,"",(Update!$H120-H$1)/H$2*I122/$I$1)</f>
        <v>-0.2874968536</v>
      </c>
      <c r="I122" s="119">
        <f>IF(TYPE($A122)=1,"",IF(Update!H120=0,0,Update!G120/Update!H120))</f>
        <v>10.2</v>
      </c>
      <c r="J122" s="120">
        <f>IF(TYPE($A122)=1,"",(Update!$J120-J$1)/J$2*K122/$K$1)</f>
        <v>0.3905375185</v>
      </c>
      <c r="K122" s="121">
        <f>IF(TYPE($A122)=1,"",IF(Update!J120=0,0,Update!I120/Update!J120))</f>
        <v>2.5</v>
      </c>
      <c r="L122" s="119">
        <f>IF(TYPE($A122)=1,"",-(Update!$Q120-L$1)/L$2)</f>
        <v>0.6143018923</v>
      </c>
      <c r="N122" s="124">
        <v>102.0</v>
      </c>
      <c r="O122" s="130" t="str">
        <f>IF(Update!B118="",ROW(Update!B118),Update!B118)</f>
        <v>Mike Conley</v>
      </c>
      <c r="P122" s="131">
        <f>Update!E118</f>
        <v>68</v>
      </c>
      <c r="Q122" s="131" t="str">
        <f>IF(Update!C118="",ROW(Update!N133),Update!C118)</f>
        <v>PG</v>
      </c>
      <c r="R122" s="127">
        <f>VLOOKUP($O122,'NO USAR1'!$A$4:$L$403,2,False)+VLOOKUP($O122,'NO USAR1'!$A$4:$L$403,3,False)+VLOOKUP($O122,'NO USAR1'!$A$4:$L$403,4,False)+VLOOKUP($O122,'NO USAR1'!$A$4:$L$403,5,False)+VLOOKUP($O122,'NO USAR1'!$A$4:$L$403,6,False)+VLOOKUP($O122,'NO USAR1'!$A$4:$L$403,7,False)+VLOOKUP($O122,'NO USAR1'!$A$4:$L$403,8,False)+VLOOKUP($O122,'NO USAR1'!$A$4:$L$403,10,False)+VLOOKUP($O122,'NO USAR1'!$A$4:$L$403,12,False)*0</f>
        <v>-1.788887386</v>
      </c>
      <c r="S122" s="127">
        <f>VLOOKUP($O122,'NO USAR1'!$A$4:$L$403,2,False)*$U$19+VLOOKUP($O122,'NO USAR1'!$A$4:$L$403,3,False)*$V$19+VLOOKUP($O122,'NO USAR1'!$A$4:$L$403,4,False)*$W$19+VLOOKUP($O122,'NO USAR1'!$A$4:$L$403,5,False)*$X$19+VLOOKUP($O122,'NO USAR1'!$A$4:$L$403,6,False)*$Y$19+VLOOKUP($O122,'NO USAR1'!$A$4:$L$403,7,False)*$Z$19+VLOOKUP($O122,'NO USAR1'!$A$4:$L$403,8,False)*$AA$19+VLOOKUP($O122,'NO USAR1'!$A$4:$L$403,10,False)*$AB$19+VLOOKUP($O122,'NO USAR1'!$A$4:$L$403,12,False)*$AC$19+IF(Projections!$K$3,-AN122, IF(Projections!$J$3,-AM122,0))</f>
        <v>-0.03272799459</v>
      </c>
      <c r="T122" s="127">
        <f t="shared" si="1"/>
        <v>1.756159391</v>
      </c>
      <c r="U122" s="127">
        <f>VLOOKUP($O122,Update!$B$2:$R$401,11,False)</f>
        <v>12.4</v>
      </c>
      <c r="V122" s="122">
        <f>VLOOKUP($O122,Update!$B$2:$R$401,10,False)</f>
        <v>2.1</v>
      </c>
      <c r="W122" s="127">
        <f>VLOOKUP($O122,Update!$B$2:$R$401,12,False)</f>
        <v>2.8</v>
      </c>
      <c r="X122" s="127">
        <f>VLOOKUP($O122,Update!$B$2:$R$401,13,False)</f>
        <v>6</v>
      </c>
      <c r="Y122" s="127">
        <f>VLOOKUP($O122,Update!$B$2:$R$401,14,False)</f>
        <v>1.1</v>
      </c>
      <c r="Z122" s="132">
        <f>VLOOKUP($O122,Update!$B$2:$R$401,15,False)</f>
        <v>0.2</v>
      </c>
      <c r="AA122" s="127">
        <f>100*VLOOKUP($O122,Update!$B$2:$R$401,7,False)</f>
        <v>43.29896907</v>
      </c>
      <c r="AB122" s="127">
        <f>100*VLOOKUP($O122,Update!$B$2:$R$401,9,False)</f>
        <v>82.60869565</v>
      </c>
      <c r="AC122" s="127">
        <f>VLOOKUP($O122,Update!$B$2:$Q$401,16,False)</f>
        <v>1.6</v>
      </c>
      <c r="AD122" s="127">
        <f>VLOOKUP($O122,'NO USAR1'!$A$4:$L$403,2,False)*$U$19</f>
        <v>-0.8184764374</v>
      </c>
      <c r="AE122" s="127">
        <f>VLOOKUP($O122,'NO USAR1'!$A$4:$L$403,3,False)*$V$19</f>
        <v>0.394832641</v>
      </c>
      <c r="AF122" s="127">
        <f>VLOOKUP($O122,'NO USAR1'!$A$4:$L$403,4,False)*$W$19</f>
        <v>-1.377955821</v>
      </c>
      <c r="AG122" s="127">
        <f>VLOOKUP($O122,'NO USAR1'!$A$4:$L$403,5,False)*$X$19</f>
        <v>1.099613049</v>
      </c>
      <c r="AH122" s="127">
        <f>VLOOKUP($O122,'NO USAR1'!$A$4:$L$403,6,False)*$Y$19</f>
        <v>0.2296792288</v>
      </c>
      <c r="AI122" s="127">
        <f>VLOOKUP($O122,'NO USAR1'!$A$4:$L$403,7,False)*$Z$19</f>
        <v>-0.6583300762</v>
      </c>
      <c r="AJ122" s="127">
        <f>VLOOKUP($O122,'NO USAR1'!$A$4:$L$403,8,False)*$AA$19</f>
        <v>-0.6103554353</v>
      </c>
      <c r="AK122" s="132">
        <f>VLOOKUP($O122,'NO USAR1'!$A$4:$L$403,10,False)*$AB$19</f>
        <v>0.2077798175</v>
      </c>
      <c r="AL122" s="127">
        <f>VLOOKUP($O122,'NO USAR1'!$A$4:$L$403,12,False)*$AC$19</f>
        <v>0.1225292184</v>
      </c>
      <c r="AM122" s="133">
        <f t="shared" si="2"/>
        <v>-1.377955821</v>
      </c>
      <c r="AN122" s="133">
        <f t="shared" si="3"/>
        <v>-2.196432259</v>
      </c>
    </row>
    <row r="123">
      <c r="A123" s="118" t="str">
        <f>IF(Update!B121="",ROW(Update!B121),Update!B121)</f>
        <v>Kentavious Caldwell-Pope</v>
      </c>
      <c r="B123" s="119">
        <f>IF(TYPE($A123)=1,"",(Update!$L121-B$1)/B$2)</f>
        <v>-0.8690343505</v>
      </c>
      <c r="C123" s="119">
        <f>IF(TYPE($A123)=1,"",(Update!$K121-C$1)/C$2)</f>
        <v>0.1496600055</v>
      </c>
      <c r="D123" s="119">
        <f>IF(TYPE($A123)=1,"",(Update!$M121-D$1)/D$2)</f>
        <v>-1.252509712</v>
      </c>
      <c r="E123" s="119">
        <f>IF(TYPE($A123)=1,"",(Update!$N121-E$1)/E$2)</f>
        <v>-0.7622549553</v>
      </c>
      <c r="F123" s="119">
        <f>IF(TYPE($A123)=1,"",(Update!$O121-F$1)/F$2)</f>
        <v>1.262612759</v>
      </c>
      <c r="G123" s="119">
        <f>IF(TYPE($A123)=1,"",(Update!$P121-G$1)/G$2)</f>
        <v>-0.5652834241</v>
      </c>
      <c r="H123" s="119">
        <f>IF(TYPE($A123)=1,"",(Update!$H121-H$1)/H$2*I123/$I$1)</f>
        <v>-0.4562026994</v>
      </c>
      <c r="I123" s="119">
        <f>IF(TYPE($A123)=1,"",IF(Update!H121=0,0,Update!G121/Update!H121))</f>
        <v>9.7</v>
      </c>
      <c r="J123" s="120">
        <f>IF(TYPE($A123)=1,"",(Update!$J121-J$1)/J$2*K123/$K$1)</f>
        <v>0.3092547322</v>
      </c>
      <c r="K123" s="121">
        <f>IF(TYPE($A123)=1,"",IF(Update!J121=0,0,Update!I121/Update!J121))</f>
        <v>1.9</v>
      </c>
      <c r="L123" s="119">
        <f>IF(TYPE($A123)=1,"",-(Update!$Q121-L$1)/L$2)</f>
        <v>0.9868569483</v>
      </c>
      <c r="N123" s="124">
        <v>103.0</v>
      </c>
      <c r="O123" s="130" t="str">
        <f>IF(Update!B117="",ROW(Update!B117),Update!B117)</f>
        <v>Wendell Carter Jr.</v>
      </c>
      <c r="P123" s="131">
        <f>Update!E117</f>
        <v>62</v>
      </c>
      <c r="Q123" s="131" t="str">
        <f>IF(Update!C117="",ROW(Update!N132),Update!C117)</f>
        <v>C</v>
      </c>
      <c r="R123" s="127">
        <f>VLOOKUP($O123,'NO USAR1'!$A$4:$L$403,2,False)+VLOOKUP($O123,'NO USAR1'!$A$4:$L$403,3,False)+VLOOKUP($O123,'NO USAR1'!$A$4:$L$403,4,False)+VLOOKUP($O123,'NO USAR1'!$A$4:$L$403,5,False)+VLOOKUP($O123,'NO USAR1'!$A$4:$L$403,6,False)+VLOOKUP($O123,'NO USAR1'!$A$4:$L$403,7,False)+VLOOKUP($O123,'NO USAR1'!$A$4:$L$403,8,False)+VLOOKUP($O123,'NO USAR1'!$A$4:$L$403,10,False)+VLOOKUP($O123,'NO USAR1'!$A$4:$L$403,12,False)*0</f>
        <v>-1.799617544</v>
      </c>
      <c r="S123" s="127">
        <f>VLOOKUP($O123,'NO USAR1'!$A$4:$L$403,2,False)*$U$19+VLOOKUP($O123,'NO USAR1'!$A$4:$L$403,3,False)*$V$19+VLOOKUP($O123,'NO USAR1'!$A$4:$L$403,4,False)*$W$19+VLOOKUP($O123,'NO USAR1'!$A$4:$L$403,5,False)*$X$19+VLOOKUP($O123,'NO USAR1'!$A$4:$L$403,6,False)*$Y$19+VLOOKUP($O123,'NO USAR1'!$A$4:$L$403,7,False)*$Z$19+VLOOKUP($O123,'NO USAR1'!$A$4:$L$403,8,False)*$AA$19+VLOOKUP($O123,'NO USAR1'!$A$4:$L$403,10,False)*$AB$19+VLOOKUP($O123,'NO USAR1'!$A$4:$L$403,12,False)*$AC$19+IF(Projections!$K$3,-AN123, IF(Projections!$J$3,-AM123,0))</f>
        <v>-0.5004849706</v>
      </c>
      <c r="T123" s="127">
        <f t="shared" si="1"/>
        <v>1.299132574</v>
      </c>
      <c r="U123" s="127">
        <f>VLOOKUP($O123,Update!$B$2:$R$401,11,False)</f>
        <v>15.4</v>
      </c>
      <c r="V123" s="122">
        <f>VLOOKUP($O123,Update!$B$2:$R$401,10,False)</f>
        <v>1.3</v>
      </c>
      <c r="W123" s="127">
        <f>VLOOKUP($O123,Update!$B$2:$R$401,12,False)</f>
        <v>8.7</v>
      </c>
      <c r="X123" s="127">
        <f>VLOOKUP($O123,Update!$B$2:$R$401,13,False)</f>
        <v>2.2</v>
      </c>
      <c r="Y123" s="127">
        <f>VLOOKUP($O123,Update!$B$2:$R$401,14,False)</f>
        <v>0.6</v>
      </c>
      <c r="Z123" s="132">
        <f>VLOOKUP($O123,Update!$B$2:$R$401,15,False)</f>
        <v>0.7</v>
      </c>
      <c r="AA123" s="127">
        <f>100*VLOOKUP($O123,Update!$B$2:$R$401,7,False)</f>
        <v>52.25225225</v>
      </c>
      <c r="AB123" s="127">
        <f>100*VLOOKUP($O123,Update!$B$2:$R$401,9,False)</f>
        <v>73.52941176</v>
      </c>
      <c r="AC123" s="127">
        <f>VLOOKUP($O123,Update!$B$2:$Q$401,16,False)</f>
        <v>1.9</v>
      </c>
      <c r="AD123" s="127">
        <f>VLOOKUP($O123,'NO USAR1'!$A$4:$L$403,2,False)*$U$19</f>
        <v>-0.3128973066</v>
      </c>
      <c r="AE123" s="127">
        <f>VLOOKUP($O123,'NO USAR1'!$A$4:$L$403,3,False)*$V$19</f>
        <v>-0.2988703886</v>
      </c>
      <c r="AF123" s="127">
        <f>VLOOKUP($O123,'NO USAR1'!$A$4:$L$403,4,False)*$W$19</f>
        <v>1.089151</v>
      </c>
      <c r="AG123" s="127">
        <f>VLOOKUP($O123,'NO USAR1'!$A$4:$L$403,5,False)*$X$19</f>
        <v>-0.8384804508</v>
      </c>
      <c r="AH123" s="127">
        <f>VLOOKUP($O123,'NO USAR1'!$A$4:$L$403,6,False)*$Y$19</f>
        <v>-0.8605702752</v>
      </c>
      <c r="AI123" s="127">
        <f>VLOOKUP($O123,'NO USAR1'!$A$4:$L$403,7,False)*$Z$19</f>
        <v>-0.001750877862</v>
      </c>
      <c r="AJ123" s="127">
        <f>VLOOKUP($O123,'NO USAR1'!$A$4:$L$403,8,False)*$AA$19</f>
        <v>0.2942385103</v>
      </c>
      <c r="AK123" s="132">
        <f>VLOOKUP($O123,'NO USAR1'!$A$4:$L$403,10,False)*$AB$19</f>
        <v>-0.4612659116</v>
      </c>
      <c r="AL123" s="127">
        <f>VLOOKUP($O123,'NO USAR1'!$A$4:$L$403,12,False)*$AC$19</f>
        <v>0.02939045442</v>
      </c>
      <c r="AM123" s="133">
        <f t="shared" si="2"/>
        <v>-0.8605702752</v>
      </c>
      <c r="AN123" s="133">
        <f t="shared" si="3"/>
        <v>-1.699050726</v>
      </c>
    </row>
    <row r="124">
      <c r="A124" s="118" t="str">
        <f>IF(Update!B122="",ROW(Update!B122),Update!B122)</f>
        <v>Andrew Wiggins</v>
      </c>
      <c r="B124" s="119">
        <f>IF(TYPE($A124)=1,"",(Update!$L122-B$1)/B$2)</f>
        <v>0.05786072276</v>
      </c>
      <c r="C124" s="119">
        <f>IF(TYPE($A124)=1,"",(Update!$K122-C$1)/C$2)</f>
        <v>0.6313982204</v>
      </c>
      <c r="D124" s="119">
        <f>IF(TYPE($A124)=1,"",(Update!$M122-D$1)/D$2)</f>
        <v>-0.5416484242</v>
      </c>
      <c r="E124" s="119">
        <f>IF(TYPE($A124)=1,"",(Update!$N122-E$1)/E$2)</f>
        <v>-0.7158890821</v>
      </c>
      <c r="F124" s="119">
        <f>IF(TYPE($A124)=1,"",(Update!$O122-F$1)/F$2)</f>
        <v>0.3281131841</v>
      </c>
      <c r="G124" s="119">
        <f>IF(TYPE($A124)=1,"",(Update!$P122-G$1)/G$2)</f>
        <v>-0.002501254089</v>
      </c>
      <c r="H124" s="119">
        <f>IF(TYPE($A124)=1,"",(Update!$H122-H$1)/H$2*I124/$I$1)</f>
        <v>-0.3797637925</v>
      </c>
      <c r="I124" s="119">
        <f>IF(TYPE($A124)=1,"",IF(Update!H122=0,0,Update!G122/Update!H122))</f>
        <v>14.4</v>
      </c>
      <c r="J124" s="120">
        <f>IF(TYPE($A124)=1,"",(Update!$J122-J$1)/J$2*K124/$K$1)</f>
        <v>-1.525925163</v>
      </c>
      <c r="K124" s="121">
        <f>IF(TYPE($A124)=1,"",IF(Update!J122=0,0,Update!I122/Update!J122))</f>
        <v>2.9</v>
      </c>
      <c r="L124" s="119">
        <f>IF(TYPE($A124)=1,"",-(Update!$Q122-L$1)/L$2)</f>
        <v>0.6143018923</v>
      </c>
      <c r="N124" s="33">
        <v>104.0</v>
      </c>
      <c r="O124" s="130" t="str">
        <f>IF(Update!B119="",ROW(Update!B119),Update!B119)</f>
        <v>Spencer Dinwiddie</v>
      </c>
      <c r="P124" s="131">
        <f>Update!E119</f>
        <v>73</v>
      </c>
      <c r="Q124" s="131" t="str">
        <f>IF(Update!C119="",ROW(Update!N134),Update!C119)</f>
        <v>PG</v>
      </c>
      <c r="R124" s="127">
        <f>VLOOKUP($O124,'NO USAR1'!$A$4:$L$403,2,False)+VLOOKUP($O124,'NO USAR1'!$A$4:$L$403,3,False)+VLOOKUP($O124,'NO USAR1'!$A$4:$L$403,4,False)+VLOOKUP($O124,'NO USAR1'!$A$4:$L$403,5,False)+VLOOKUP($O124,'NO USAR1'!$A$4:$L$403,6,False)+VLOOKUP($O124,'NO USAR1'!$A$4:$L$403,7,False)+VLOOKUP($O124,'NO USAR1'!$A$4:$L$403,8,False)+VLOOKUP($O124,'NO USAR1'!$A$4:$L$403,10,False)+VLOOKUP($O124,'NO USAR1'!$A$4:$L$403,12,False)*0</f>
        <v>-1.827021543</v>
      </c>
      <c r="S124" s="127">
        <f>VLOOKUP($O124,'NO USAR1'!$A$4:$L$403,2,False)*$U$19+VLOOKUP($O124,'NO USAR1'!$A$4:$L$403,3,False)*$V$19+VLOOKUP($O124,'NO USAR1'!$A$4:$L$403,4,False)*$W$19+VLOOKUP($O124,'NO USAR1'!$A$4:$L$403,5,False)*$X$19+VLOOKUP($O124,'NO USAR1'!$A$4:$L$403,6,False)*$Y$19+VLOOKUP($O124,'NO USAR1'!$A$4:$L$403,7,False)*$Z$19+VLOOKUP($O124,'NO USAR1'!$A$4:$L$403,8,False)*$AA$19+VLOOKUP($O124,'NO USAR1'!$A$4:$L$403,10,False)*$AB$19+VLOOKUP($O124,'NO USAR1'!$A$4:$L$403,12,False)*$AC$19+IF(Projections!$K$3,-AN124, IF(Projections!$J$3,-AM124,0))</f>
        <v>-0.3124183546</v>
      </c>
      <c r="T124" s="127">
        <f t="shared" si="1"/>
        <v>1.514603188</v>
      </c>
      <c r="U124" s="127">
        <f>VLOOKUP($O124,Update!$B$2:$R$401,11,False)</f>
        <v>16.5</v>
      </c>
      <c r="V124" s="122">
        <f>VLOOKUP($O124,Update!$B$2:$R$401,10,False)</f>
        <v>2.1</v>
      </c>
      <c r="W124" s="127">
        <f>VLOOKUP($O124,Update!$B$2:$R$401,12,False)</f>
        <v>4</v>
      </c>
      <c r="X124" s="127">
        <f>VLOOKUP($O124,Update!$B$2:$R$401,13,False)</f>
        <v>6.2</v>
      </c>
      <c r="Y124" s="127">
        <f>VLOOKUP($O124,Update!$B$2:$R$401,14,False)</f>
        <v>0.8</v>
      </c>
      <c r="Z124" s="132">
        <f>VLOOKUP($O124,Update!$B$2:$R$401,15,False)</f>
        <v>0.3</v>
      </c>
      <c r="AA124" s="127">
        <f>100*VLOOKUP($O124,Update!$B$2:$R$401,7,False)</f>
        <v>42.96875</v>
      </c>
      <c r="AB124" s="127">
        <f>100*VLOOKUP($O124,Update!$B$2:$R$401,9,False)</f>
        <v>78.57142857</v>
      </c>
      <c r="AC124" s="127">
        <f>VLOOKUP($O124,Update!$B$2:$Q$401,16,False)</f>
        <v>1.8</v>
      </c>
      <c r="AD124" s="127">
        <f>VLOOKUP($O124,'NO USAR1'!$A$4:$L$403,2,False)*$U$19</f>
        <v>-0.1275182919</v>
      </c>
      <c r="AE124" s="127">
        <f>VLOOKUP($O124,'NO USAR1'!$A$4:$L$403,3,False)*$V$19</f>
        <v>0.394832641</v>
      </c>
      <c r="AF124" s="127">
        <f>VLOOKUP($O124,'NO USAR1'!$A$4:$L$403,4,False)*$W$19</f>
        <v>-0.876171383</v>
      </c>
      <c r="AG124" s="127">
        <f>VLOOKUP($O124,'NO USAR1'!$A$4:$L$403,5,False)*$X$19</f>
        <v>1.20161797</v>
      </c>
      <c r="AH124" s="127">
        <f>VLOOKUP($O124,'NO USAR1'!$A$4:$L$403,6,False)*$Y$19</f>
        <v>-0.4244704736</v>
      </c>
      <c r="AI124" s="127">
        <f>VLOOKUP($O124,'NO USAR1'!$A$4:$L$403,7,False)*$Z$19</f>
        <v>-0.5270142365</v>
      </c>
      <c r="AJ124" s="127">
        <f>VLOOKUP($O124,'NO USAR1'!$A$4:$L$403,8,False)*$AA$19</f>
        <v>-0.8476375499</v>
      </c>
      <c r="AK124" s="132">
        <f>VLOOKUP($O124,'NO USAR1'!$A$4:$L$403,10,False)*$AB$19</f>
        <v>-0.04266512243</v>
      </c>
      <c r="AL124" s="127">
        <f>VLOOKUP($O124,'NO USAR1'!$A$4:$L$403,12,False)*$AC$19</f>
        <v>0.06043670908</v>
      </c>
      <c r="AM124" s="133">
        <f t="shared" si="2"/>
        <v>-0.876171383</v>
      </c>
      <c r="AN124" s="133">
        <f t="shared" si="3"/>
        <v>-1.723808933</v>
      </c>
    </row>
    <row r="125">
      <c r="A125" s="118" t="str">
        <f>IF(Update!B123="",ROW(Update!B123),Update!B123)</f>
        <v>Kyle Anderson</v>
      </c>
      <c r="B125" s="119">
        <f>IF(TYPE($A125)=1,"",(Update!$L123-B$1)/B$2)</f>
        <v>-1.357760844</v>
      </c>
      <c r="C125" s="119">
        <f>IF(TYPE($A125)=1,"",(Update!$K123-C$1)/C$2)</f>
        <v>-1.00651171</v>
      </c>
      <c r="D125" s="119">
        <f>IF(TYPE($A125)=1,"",(Update!$M123-D$1)/D$2)</f>
        <v>-0.2071254654</v>
      </c>
      <c r="E125" s="119">
        <f>IF(TYPE($A125)=1,"",(Update!$N123-E$1)/E$2)</f>
        <v>0.02596488899</v>
      </c>
      <c r="F125" s="119">
        <f>IF(TYPE($A125)=1,"",(Update!$O123-F$1)/F$2)</f>
        <v>0.3281131841</v>
      </c>
      <c r="G125" s="119">
        <f>IF(TYPE($A125)=1,"",(Update!$P123-G$1)/G$2)</f>
        <v>0.1850928026</v>
      </c>
      <c r="H125" s="119">
        <f>IF(TYPE($A125)=1,"",(Update!$H123-H$1)/H$2*I125/$I$1)</f>
        <v>0.08802628006</v>
      </c>
      <c r="I125" s="119">
        <f>IF(TYPE($A125)=1,"",IF(Update!H123=0,0,Update!G123/Update!H123))</f>
        <v>7.3</v>
      </c>
      <c r="J125" s="120">
        <f>IF(TYPE($A125)=1,"",(Update!$J123-J$1)/J$2*K125/$K$1)</f>
        <v>-0.3784625483</v>
      </c>
      <c r="K125" s="121">
        <f>IF(TYPE($A125)=1,"",IF(Update!J123=0,0,Update!I123/Update!J123))</f>
        <v>1.8</v>
      </c>
      <c r="L125" s="119">
        <f>IF(TYPE($A125)=1,"",-(Update!$Q123-L$1)/L$2)</f>
        <v>0.8626719296</v>
      </c>
      <c r="N125" s="124">
        <v>105.0</v>
      </c>
      <c r="O125" s="130" t="str">
        <f>IF(Update!B87="",ROW(Update!B87),Update!B87)</f>
        <v>Clint Capela</v>
      </c>
      <c r="P125" s="131">
        <f>Update!E87</f>
        <v>68</v>
      </c>
      <c r="Q125" s="131" t="str">
        <f>IF(Update!C87="",ROW(Update!N102),Update!C87)</f>
        <v>C</v>
      </c>
      <c r="R125" s="127">
        <f>VLOOKUP($O125,'NO USAR1'!$A$4:$L$403,2,False)+VLOOKUP($O125,'NO USAR1'!$A$4:$L$403,3,False)+VLOOKUP($O125,'NO USAR1'!$A$4:$L$403,4,False)+VLOOKUP($O125,'NO USAR1'!$A$4:$L$403,5,False)+VLOOKUP($O125,'NO USAR1'!$A$4:$L$403,6,False)+VLOOKUP($O125,'NO USAR1'!$A$4:$L$403,7,False)+VLOOKUP($O125,'NO USAR1'!$A$4:$L$403,8,False)+VLOOKUP($O125,'NO USAR1'!$A$4:$L$403,10,False)+VLOOKUP($O125,'NO USAR1'!$A$4:$L$403,12,False)*0</f>
        <v>-1.862138668</v>
      </c>
      <c r="S125" s="127">
        <f>VLOOKUP($O125,'NO USAR1'!$A$4:$L$403,2,False)*$U$19+VLOOKUP($O125,'NO USAR1'!$A$4:$L$403,3,False)*$V$19+VLOOKUP($O125,'NO USAR1'!$A$4:$L$403,4,False)*$W$19+VLOOKUP($O125,'NO USAR1'!$A$4:$L$403,5,False)*$X$19+VLOOKUP($O125,'NO USAR1'!$A$4:$L$403,6,False)*$Y$19+VLOOKUP($O125,'NO USAR1'!$A$4:$L$403,7,False)*$Z$19+VLOOKUP($O125,'NO USAR1'!$A$4:$L$403,8,False)*$AA$19+VLOOKUP($O125,'NO USAR1'!$A$4:$L$403,10,False)*$AB$19+VLOOKUP($O125,'NO USAR1'!$A$4:$L$403,12,False)*$AC$19+IF(Projections!$K$3,-AN125, IF(Projections!$J$3,-AM125,0))</f>
        <v>0.1516258206</v>
      </c>
      <c r="T125" s="127">
        <f t="shared" si="1"/>
        <v>2.013764488</v>
      </c>
      <c r="U125" s="127">
        <f>VLOOKUP($O125,Update!$B$2:$R$401,11,False)</f>
        <v>11.4</v>
      </c>
      <c r="V125" s="122">
        <f>VLOOKUP($O125,Update!$B$2:$R$401,10,False)</f>
        <v>0</v>
      </c>
      <c r="W125" s="127">
        <f>VLOOKUP($O125,Update!$B$2:$R$401,12,False)</f>
        <v>11.2</v>
      </c>
      <c r="X125" s="127">
        <f>VLOOKUP($O125,Update!$B$2:$R$401,13,False)</f>
        <v>1.1</v>
      </c>
      <c r="Y125" s="127">
        <f>VLOOKUP($O125,Update!$B$2:$R$401,14,False)</f>
        <v>0.7</v>
      </c>
      <c r="Z125" s="132">
        <f>VLOOKUP($O125,Update!$B$2:$R$401,15,False)</f>
        <v>1.2</v>
      </c>
      <c r="AA125" s="127">
        <f>100*VLOOKUP($O125,Update!$B$2:$R$401,7,False)</f>
        <v>63.75</v>
      </c>
      <c r="AB125" s="127">
        <f>100*VLOOKUP($O125,Update!$B$2:$R$401,9,False)</f>
        <v>57.14285714</v>
      </c>
      <c r="AC125" s="127">
        <f>VLOOKUP($O125,Update!$B$2:$Q$401,16,False)</f>
        <v>0.7</v>
      </c>
      <c r="AD125" s="127">
        <f>VLOOKUP($O125,'NO USAR1'!$A$4:$L$403,2,False)*$U$19</f>
        <v>-0.9870028144</v>
      </c>
      <c r="AE125" s="127">
        <f>VLOOKUP($O125,'NO USAR1'!$A$4:$L$403,3,False)*$V$19</f>
        <v>-1.426137812</v>
      </c>
      <c r="AF125" s="127">
        <f>VLOOKUP($O125,'NO USAR1'!$A$4:$L$403,4,False)*$W$19</f>
        <v>2.134535247</v>
      </c>
      <c r="AG125" s="127">
        <f>VLOOKUP($O125,'NO USAR1'!$A$4:$L$403,5,False)*$X$19</f>
        <v>-1.399507516</v>
      </c>
      <c r="AH125" s="127">
        <f>VLOOKUP($O125,'NO USAR1'!$A$4:$L$403,6,False)*$Y$19</f>
        <v>-0.6425203744</v>
      </c>
      <c r="AI125" s="127">
        <f>VLOOKUP($O125,'NO USAR1'!$A$4:$L$403,7,False)*$Z$19</f>
        <v>0.6548283205</v>
      </c>
      <c r="AJ125" s="127">
        <f>VLOOKUP($O125,'NO USAR1'!$A$4:$L$403,8,False)*$AA$19</f>
        <v>1.130839642</v>
      </c>
      <c r="AK125" s="132">
        <f>VLOOKUP($O125,'NO USAR1'!$A$4:$L$403,10,False)*$AB$19</f>
        <v>-1.141492194</v>
      </c>
      <c r="AL125" s="127">
        <f>VLOOKUP($O125,'NO USAR1'!$A$4:$L$403,12,False)*$AC$19</f>
        <v>0.4019455104</v>
      </c>
      <c r="AM125" s="133">
        <f t="shared" si="2"/>
        <v>-1.426137812</v>
      </c>
      <c r="AN125" s="133">
        <f t="shared" si="3"/>
        <v>-2.825645328</v>
      </c>
    </row>
    <row r="126">
      <c r="A126" s="118" t="str">
        <f>IF(Update!B124="",ROW(Update!B124),Update!B124)</f>
        <v>Kevin Huerter</v>
      </c>
      <c r="B126" s="119">
        <f>IF(TYPE($A126)=1,"",(Update!$L124-B$1)/B$2)</f>
        <v>-0.5488342343</v>
      </c>
      <c r="C126" s="119">
        <f>IF(TYPE($A126)=1,"",(Update!$K124-C$1)/C$2)</f>
        <v>0.8240935064</v>
      </c>
      <c r="D126" s="119">
        <f>IF(TYPE($A126)=1,"",(Update!$M124-D$1)/D$2)</f>
        <v>-1.085248232</v>
      </c>
      <c r="E126" s="119">
        <f>IF(TYPE($A126)=1,"",(Update!$N124-E$1)/E$2)</f>
        <v>-0.4376938429</v>
      </c>
      <c r="F126" s="119">
        <f>IF(TYPE($A126)=1,"",(Update!$O124-F$1)/F$2)</f>
        <v>-0.2948865325</v>
      </c>
      <c r="G126" s="119">
        <f>IF(TYPE($A126)=1,"",(Update!$P124-G$1)/G$2)</f>
        <v>-0.5652834241</v>
      </c>
      <c r="H126" s="119">
        <f>IF(TYPE($A126)=1,"",(Update!$H124-H$1)/H$2*I126/$I$1)</f>
        <v>-0.2830401716</v>
      </c>
      <c r="I126" s="119">
        <f>IF(TYPE($A126)=1,"",IF(Update!H124=0,0,Update!G124/Update!H124))</f>
        <v>11.2</v>
      </c>
      <c r="J126" s="120">
        <f>IF(TYPE($A126)=1,"",(Update!$J124-J$1)/J$2*K126/$K$1)</f>
        <v>-0.08318350766</v>
      </c>
      <c r="K126" s="121">
        <f>IF(TYPE($A126)=1,"",IF(Update!J124=0,0,Update!I124/Update!J124))</f>
        <v>1.3</v>
      </c>
      <c r="L126" s="119">
        <f>IF(TYPE($A126)=1,"",-(Update!$Q124-L$1)/L$2)</f>
        <v>0.8626719296</v>
      </c>
      <c r="N126" s="124">
        <v>106.0</v>
      </c>
      <c r="O126" s="130" t="str">
        <f>IF(Update!B103="",ROW(Update!B103),Update!B103)</f>
        <v>Jusuf Nurkic</v>
      </c>
      <c r="P126" s="131">
        <f>Update!E103</f>
        <v>54</v>
      </c>
      <c r="Q126" s="131" t="str">
        <f>IF(Update!C103="",ROW(Update!N118),Update!C103)</f>
        <v>C</v>
      </c>
      <c r="R126" s="127">
        <f>VLOOKUP($O126,'NO USAR1'!$A$4:$L$403,2,False)+VLOOKUP($O126,'NO USAR1'!$A$4:$L$403,3,False)+VLOOKUP($O126,'NO USAR1'!$A$4:$L$403,4,False)+VLOOKUP($O126,'NO USAR1'!$A$4:$L$403,5,False)+VLOOKUP($O126,'NO USAR1'!$A$4:$L$403,6,False)+VLOOKUP($O126,'NO USAR1'!$A$4:$L$403,7,False)+VLOOKUP($O126,'NO USAR1'!$A$4:$L$403,8,False)+VLOOKUP($O126,'NO USAR1'!$A$4:$L$403,10,False)+VLOOKUP($O126,'NO USAR1'!$A$4:$L$403,12,False)*0</f>
        <v>-1.87285916</v>
      </c>
      <c r="S126" s="127">
        <f>VLOOKUP($O126,'NO USAR1'!$A$4:$L$403,2,False)*$U$19+VLOOKUP($O126,'NO USAR1'!$A$4:$L$403,3,False)*$V$19+VLOOKUP($O126,'NO USAR1'!$A$4:$L$403,4,False)*$W$19+VLOOKUP($O126,'NO USAR1'!$A$4:$L$403,5,False)*$X$19+VLOOKUP($O126,'NO USAR1'!$A$4:$L$403,6,False)*$Y$19+VLOOKUP($O126,'NO USAR1'!$A$4:$L$403,7,False)*$Z$19+VLOOKUP($O126,'NO USAR1'!$A$4:$L$403,8,False)*$AA$19+VLOOKUP($O126,'NO USAR1'!$A$4:$L$403,10,False)*$AB$19+VLOOKUP($O126,'NO USAR1'!$A$4:$L$403,12,False)*$AC$19+IF(Projections!$K$3,-AN126, IF(Projections!$J$3,-AM126,0))</f>
        <v>-0.6330837874</v>
      </c>
      <c r="T126" s="127">
        <f t="shared" si="1"/>
        <v>1.239775373</v>
      </c>
      <c r="U126" s="127">
        <f>VLOOKUP($O126,Update!$B$2:$R$401,11,False)</f>
        <v>13.2</v>
      </c>
      <c r="V126" s="122">
        <f>VLOOKUP($O126,Update!$B$2:$R$401,10,False)</f>
        <v>0.6</v>
      </c>
      <c r="W126" s="127">
        <f>VLOOKUP($O126,Update!$B$2:$R$401,12,False)</f>
        <v>9.1</v>
      </c>
      <c r="X126" s="127">
        <f>VLOOKUP($O126,Update!$B$2:$R$401,13,False)</f>
        <v>2.5</v>
      </c>
      <c r="Y126" s="127">
        <f>VLOOKUP($O126,Update!$B$2:$R$401,14,False)</f>
        <v>0.8</v>
      </c>
      <c r="Z126" s="132">
        <f>VLOOKUP($O126,Update!$B$2:$R$401,15,False)</f>
        <v>0.9</v>
      </c>
      <c r="AA126" s="127">
        <f>100*VLOOKUP($O126,Update!$B$2:$R$401,7,False)</f>
        <v>54.25531915</v>
      </c>
      <c r="AB126" s="127">
        <f>100*VLOOKUP($O126,Update!$B$2:$R$401,9,False)</f>
        <v>69.44444444</v>
      </c>
      <c r="AC126" s="127">
        <f>VLOOKUP($O126,Update!$B$2:$Q$401,16,False)</f>
        <v>1.8</v>
      </c>
      <c r="AD126" s="127">
        <f>VLOOKUP($O126,'NO USAR1'!$A$4:$L$403,2,False)*$U$19</f>
        <v>-0.6836553359</v>
      </c>
      <c r="AE126" s="127">
        <f>VLOOKUP($O126,'NO USAR1'!$A$4:$L$403,3,False)*$V$19</f>
        <v>-0.9058605394</v>
      </c>
      <c r="AF126" s="127">
        <f>VLOOKUP($O126,'NO USAR1'!$A$4:$L$403,4,False)*$W$19</f>
        <v>1.25641248</v>
      </c>
      <c r="AG126" s="127">
        <f>VLOOKUP($O126,'NO USAR1'!$A$4:$L$403,5,False)*$X$19</f>
        <v>-0.6854730693</v>
      </c>
      <c r="AH126" s="127">
        <f>VLOOKUP($O126,'NO USAR1'!$A$4:$L$403,6,False)*$Y$19</f>
        <v>-0.4244704736</v>
      </c>
      <c r="AI126" s="127">
        <f>VLOOKUP($O126,'NO USAR1'!$A$4:$L$403,7,False)*$Z$19</f>
        <v>0.2608808015</v>
      </c>
      <c r="AJ126" s="127">
        <f>VLOOKUP($O126,'NO USAR1'!$A$4:$L$403,8,False)*$AA$19</f>
        <v>0.4372495412</v>
      </c>
      <c r="AK126" s="132">
        <f>VLOOKUP($O126,'NO USAR1'!$A$4:$L$403,10,False)*$AB$19</f>
        <v>-0.8544644401</v>
      </c>
      <c r="AL126" s="127">
        <f>VLOOKUP($O126,'NO USAR1'!$A$4:$L$403,12,False)*$AC$19</f>
        <v>0.06043670908</v>
      </c>
      <c r="AM126" s="133">
        <f t="shared" si="2"/>
        <v>-0.9058605394</v>
      </c>
      <c r="AN126" s="133">
        <f t="shared" si="3"/>
        <v>-1.76032498</v>
      </c>
    </row>
    <row r="127">
      <c r="A127" s="118" t="str">
        <f>IF(Update!B125="",ROW(Update!B125),Update!B125)</f>
        <v>Tari Eason</v>
      </c>
      <c r="B127" s="119">
        <f>IF(TYPE($A127)=1,"",(Update!$L125-B$1)/B$2)</f>
        <v>-0.9870028144</v>
      </c>
      <c r="C127" s="119">
        <f>IF(TYPE($A127)=1,"",(Update!$K125-C$1)/C$2)</f>
        <v>-0.7174687815</v>
      </c>
      <c r="D127" s="119">
        <f>IF(TYPE($A127)=1,"",(Update!$M125-D$1)/D$2)</f>
        <v>0.5455511921</v>
      </c>
      <c r="E127" s="119">
        <f>IF(TYPE($A127)=1,"",(Update!$N125-E$1)/E$2)</f>
        <v>-1.179547814</v>
      </c>
      <c r="F127" s="119">
        <f>IF(TYPE($A127)=1,"",(Update!$O125-F$1)/F$2)</f>
        <v>0.9511129006</v>
      </c>
      <c r="G127" s="119">
        <f>IF(TYPE($A127)=1,"",(Update!$P125-G$1)/G$2)</f>
        <v>-0.002501254089</v>
      </c>
      <c r="H127" s="119">
        <f>IF(TYPE($A127)=1,"",(Update!$H125-H$1)/H$2*I127/$I$1)</f>
        <v>-0.4002645296</v>
      </c>
      <c r="I127" s="119">
        <f>IF(TYPE($A127)=1,"",IF(Update!H125=0,0,Update!G125/Update!H125))</f>
        <v>9.8</v>
      </c>
      <c r="J127" s="120">
        <f>IF(TYPE($A127)=1,"",(Update!$J125-J$1)/J$2*K127/$K$1)</f>
        <v>-0.4279925086</v>
      </c>
      <c r="K127" s="121">
        <f>IF(TYPE($A127)=1,"",IF(Update!J125=0,0,Update!I125/Update!J125))</f>
        <v>2.2</v>
      </c>
      <c r="L127" s="119">
        <f>IF(TYPE($A127)=1,"",-(Update!$Q125-L$1)/L$2)</f>
        <v>0.6143018923</v>
      </c>
      <c r="N127" s="33">
        <v>107.0</v>
      </c>
      <c r="O127" s="130" t="str">
        <f>IF(Update!B94="",ROW(Update!B94),Update!B94)</f>
        <v>Tobias Harris</v>
      </c>
      <c r="P127" s="131">
        <f>Update!E94</f>
        <v>73</v>
      </c>
      <c r="Q127" s="131" t="str">
        <f>IF(Update!C94="",ROW(Update!N109),Update!C94)</f>
        <v>SF,PF</v>
      </c>
      <c r="R127" s="127">
        <f>VLOOKUP($O127,'NO USAR1'!$A$4:$L$403,2,False)+VLOOKUP($O127,'NO USAR1'!$A$4:$L$403,3,False)+VLOOKUP($O127,'NO USAR1'!$A$4:$L$403,4,False)+VLOOKUP($O127,'NO USAR1'!$A$4:$L$403,5,False)+VLOOKUP($O127,'NO USAR1'!$A$4:$L$403,6,False)+VLOOKUP($O127,'NO USAR1'!$A$4:$L$403,7,False)+VLOOKUP($O127,'NO USAR1'!$A$4:$L$403,8,False)+VLOOKUP($O127,'NO USAR1'!$A$4:$L$403,10,False)+VLOOKUP($O127,'NO USAR1'!$A$4:$L$403,12,False)*0</f>
        <v>-1.91221822</v>
      </c>
      <c r="S127" s="127">
        <f>VLOOKUP($O127,'NO USAR1'!$A$4:$L$403,2,False)*$U$19+VLOOKUP($O127,'NO USAR1'!$A$4:$L$403,3,False)*$V$19+VLOOKUP($O127,'NO USAR1'!$A$4:$L$403,4,False)*$W$19+VLOOKUP($O127,'NO USAR1'!$A$4:$L$403,5,False)*$X$19+VLOOKUP($O127,'NO USAR1'!$A$4:$L$403,6,False)*$Y$19+VLOOKUP($O127,'NO USAR1'!$A$4:$L$403,7,False)*$Z$19+VLOOKUP($O127,'NO USAR1'!$A$4:$L$403,8,False)*$AA$19+VLOOKUP($O127,'NO USAR1'!$A$4:$L$403,10,False)*$AB$19+VLOOKUP($O127,'NO USAR1'!$A$4:$L$403,12,False)*$AC$19+IF(Projections!$K$3,-AN127, IF(Projections!$J$3,-AM127,0))</f>
        <v>-0.9309380162</v>
      </c>
      <c r="T127" s="127">
        <f t="shared" si="1"/>
        <v>0.9812802039</v>
      </c>
      <c r="U127" s="127">
        <f>VLOOKUP($O127,Update!$B$2:$R$401,11,False)</f>
        <v>15.2</v>
      </c>
      <c r="V127" s="122">
        <f>VLOOKUP($O127,Update!$B$2:$R$401,10,False)</f>
        <v>1.5</v>
      </c>
      <c r="W127" s="127">
        <f>VLOOKUP($O127,Update!$B$2:$R$401,12,False)</f>
        <v>6</v>
      </c>
      <c r="X127" s="127">
        <f>VLOOKUP($O127,Update!$B$2:$R$401,13,False)</f>
        <v>2.8</v>
      </c>
      <c r="Y127" s="127">
        <f>VLOOKUP($O127,Update!$B$2:$R$401,14,False)</f>
        <v>0.8</v>
      </c>
      <c r="Z127" s="132">
        <f>VLOOKUP($O127,Update!$B$2:$R$401,15,False)</f>
        <v>0.5</v>
      </c>
      <c r="AA127" s="127">
        <f>100*VLOOKUP($O127,Update!$B$2:$R$401,7,False)</f>
        <v>48.76033058</v>
      </c>
      <c r="AB127" s="127">
        <f>100*VLOOKUP($O127,Update!$B$2:$R$401,9,False)</f>
        <v>81.81818182</v>
      </c>
      <c r="AC127" s="127">
        <f>VLOOKUP($O127,Update!$B$2:$Q$401,16,False)</f>
        <v>1.3</v>
      </c>
      <c r="AD127" s="127">
        <f>VLOOKUP($O127,'NO USAR1'!$A$4:$L$403,2,False)*$U$19</f>
        <v>-0.3466025819</v>
      </c>
      <c r="AE127" s="127">
        <f>VLOOKUP($O127,'NO USAR1'!$A$4:$L$403,3,False)*$V$19</f>
        <v>-0.1254446312</v>
      </c>
      <c r="AF127" s="127">
        <f>VLOOKUP($O127,'NO USAR1'!$A$4:$L$403,4,False)*$W$19</f>
        <v>-0.03986398593</v>
      </c>
      <c r="AG127" s="127">
        <f>VLOOKUP($O127,'NO USAR1'!$A$4:$L$403,5,False)*$X$19</f>
        <v>-0.5324656877</v>
      </c>
      <c r="AH127" s="127">
        <f>VLOOKUP($O127,'NO USAR1'!$A$4:$L$403,6,False)*$Y$19</f>
        <v>-0.4244704736</v>
      </c>
      <c r="AI127" s="127">
        <f>VLOOKUP($O127,'NO USAR1'!$A$4:$L$403,7,False)*$Z$19</f>
        <v>-0.2643825572</v>
      </c>
      <c r="AJ127" s="127">
        <f>VLOOKUP($O127,'NO USAR1'!$A$4:$L$403,8,False)*$AA$19</f>
        <v>-0.1012964877</v>
      </c>
      <c r="AK127" s="132">
        <f>VLOOKUP($O127,'NO USAR1'!$A$4:$L$403,10,False)*$AB$19</f>
        <v>0.1554547189</v>
      </c>
      <c r="AL127" s="127">
        <f>VLOOKUP($O127,'NO USAR1'!$A$4:$L$403,12,False)*$AC$19</f>
        <v>0.2156679824</v>
      </c>
      <c r="AM127" s="133">
        <f t="shared" si="2"/>
        <v>-0.5324656877</v>
      </c>
      <c r="AN127" s="133">
        <f t="shared" si="3"/>
        <v>-0.9569361613</v>
      </c>
    </row>
    <row r="128">
      <c r="A128" s="118" t="str">
        <f>IF(Update!B126="",ROW(Update!B126),Update!B126)</f>
        <v>Jaden McDaniels</v>
      </c>
      <c r="B128" s="119">
        <f>IF(TYPE($A128)=1,"",(Update!$L126-B$1)/B$2)</f>
        <v>-0.9195922636</v>
      </c>
      <c r="C128" s="119">
        <f>IF(TYPE($A128)=1,"",(Update!$K126-C$1)/C$2)</f>
        <v>-0.2357305665</v>
      </c>
      <c r="D128" s="119">
        <f>IF(TYPE($A128)=1,"",(Update!$M126-D$1)/D$2)</f>
        <v>-0.7089099036</v>
      </c>
      <c r="E128" s="119">
        <f>IF(TYPE($A128)=1,"",(Update!$N126-E$1)/E$2)</f>
        <v>-0.9940843212</v>
      </c>
      <c r="F128" s="119">
        <f>IF(TYPE($A128)=1,"",(Update!$O126-F$1)/F$2)</f>
        <v>-0.2948865325</v>
      </c>
      <c r="G128" s="119">
        <f>IF(TYPE($A128)=1,"",(Update!$P126-G$1)/G$2)</f>
        <v>0.5602809159</v>
      </c>
      <c r="H128" s="119">
        <f>IF(TYPE($A128)=1,"",(Update!$H126-H$1)/H$2*I128/$I$1)</f>
        <v>-0.06909219266</v>
      </c>
      <c r="I128" s="119">
        <f>IF(TYPE($A128)=1,"",IF(Update!H126=0,0,Update!G126/Update!H126))</f>
        <v>9.4</v>
      </c>
      <c r="J128" s="120">
        <f>IF(TYPE($A128)=1,"",(Update!$J126-J$1)/J$2*K128/$K$1)</f>
        <v>-0.1981198413</v>
      </c>
      <c r="K128" s="121">
        <f>IF(TYPE($A128)=1,"",IF(Update!J126=0,0,Update!I126/Update!J126))</f>
        <v>1.6</v>
      </c>
      <c r="L128" s="119">
        <f>IF(TYPE($A128)=1,"",-(Update!$Q126-L$1)/L$2)</f>
        <v>0.738486911</v>
      </c>
      <c r="N128" s="124">
        <v>108.0</v>
      </c>
      <c r="O128" s="130" t="str">
        <f>IF(Update!B106="",ROW(Update!B106),Update!B106)</f>
        <v>Buddy Hield</v>
      </c>
      <c r="P128" s="131">
        <f>Update!E106</f>
        <v>76</v>
      </c>
      <c r="Q128" s="131" t="str">
        <f>IF(Update!C106="",ROW(Update!N121),Update!C106)</f>
        <v>SG,SF</v>
      </c>
      <c r="R128" s="127">
        <f>VLOOKUP($O128,'NO USAR1'!$A$4:$L$403,2,False)+VLOOKUP($O128,'NO USAR1'!$A$4:$L$403,3,False)+VLOOKUP($O128,'NO USAR1'!$A$4:$L$403,4,False)+VLOOKUP($O128,'NO USAR1'!$A$4:$L$403,5,False)+VLOOKUP($O128,'NO USAR1'!$A$4:$L$403,6,False)+VLOOKUP($O128,'NO USAR1'!$A$4:$L$403,7,False)+VLOOKUP($O128,'NO USAR1'!$A$4:$L$403,8,False)+VLOOKUP($O128,'NO USAR1'!$A$4:$L$403,10,False)+VLOOKUP($O128,'NO USAR1'!$A$4:$L$403,12,False)*0</f>
        <v>-1.939551397</v>
      </c>
      <c r="S128" s="127">
        <f>VLOOKUP($O128,'NO USAR1'!$A$4:$L$403,2,False)*$U$19+VLOOKUP($O128,'NO USAR1'!$A$4:$L$403,3,False)*$V$19+VLOOKUP($O128,'NO USAR1'!$A$4:$L$403,4,False)*$W$19+VLOOKUP($O128,'NO USAR1'!$A$4:$L$403,5,False)*$X$19+VLOOKUP($O128,'NO USAR1'!$A$4:$L$403,6,False)*$Y$19+VLOOKUP($O128,'NO USAR1'!$A$4:$L$403,7,False)*$Z$19+VLOOKUP($O128,'NO USAR1'!$A$4:$L$403,8,False)*$AA$19+VLOOKUP($O128,'NO USAR1'!$A$4:$L$403,10,False)*$AB$19+VLOOKUP($O128,'NO USAR1'!$A$4:$L$403,12,False)*$AC$19+IF(Projections!$K$3,-AN128, IF(Projections!$J$3,-AM128,0))</f>
        <v>-0.9236892194</v>
      </c>
      <c r="T128" s="127">
        <f t="shared" si="1"/>
        <v>1.015862178</v>
      </c>
      <c r="U128" s="127">
        <f>VLOOKUP($O128,Update!$B$2:$R$401,11,False)</f>
        <v>15.2</v>
      </c>
      <c r="V128" s="122">
        <f>VLOOKUP($O128,Update!$B$2:$R$401,10,False)</f>
        <v>3.1</v>
      </c>
      <c r="W128" s="127">
        <f>VLOOKUP($O128,Update!$B$2:$R$401,12,False)</f>
        <v>4.3</v>
      </c>
      <c r="X128" s="127">
        <f>VLOOKUP($O128,Update!$B$2:$R$401,13,False)</f>
        <v>2.6</v>
      </c>
      <c r="Y128" s="127">
        <f>VLOOKUP($O128,Update!$B$2:$R$401,14,False)</f>
        <v>0.9</v>
      </c>
      <c r="Z128" s="132">
        <f>VLOOKUP($O128,Update!$B$2:$R$401,15,False)</f>
        <v>0.3</v>
      </c>
      <c r="AA128" s="127">
        <f>100*VLOOKUP($O128,Update!$B$2:$R$401,7,False)</f>
        <v>44.62809917</v>
      </c>
      <c r="AB128" s="127">
        <f>100*VLOOKUP($O128,Update!$B$2:$R$401,9,False)</f>
        <v>80</v>
      </c>
      <c r="AC128" s="127">
        <f>VLOOKUP($O128,Update!$B$2:$Q$401,16,False)</f>
        <v>1.7</v>
      </c>
      <c r="AD128" s="127">
        <f>VLOOKUP($O128,'NO USAR1'!$A$4:$L$403,2,False)*$U$19</f>
        <v>-0.3466025819</v>
      </c>
      <c r="AE128" s="127">
        <f>VLOOKUP($O128,'NO USAR1'!$A$4:$L$403,3,False)*$V$19</f>
        <v>1.261961428</v>
      </c>
      <c r="AF128" s="127">
        <f>VLOOKUP($O128,'NO USAR1'!$A$4:$L$403,4,False)*$W$19</f>
        <v>-0.7507252735</v>
      </c>
      <c r="AG128" s="127">
        <f>VLOOKUP($O128,'NO USAR1'!$A$4:$L$403,5,False)*$X$19</f>
        <v>-0.6344706088</v>
      </c>
      <c r="AH128" s="127">
        <f>VLOOKUP($O128,'NO USAR1'!$A$4:$L$403,6,False)*$Y$19</f>
        <v>-0.2064205728</v>
      </c>
      <c r="AI128" s="127">
        <f>VLOOKUP($O128,'NO USAR1'!$A$4:$L$403,7,False)*$Z$19</f>
        <v>-0.5270142365</v>
      </c>
      <c r="AJ128" s="127">
        <f>VLOOKUP($O128,'NO USAR1'!$A$4:$L$403,8,False)*$AA$19</f>
        <v>-0.6007290023</v>
      </c>
      <c r="AK128" s="132">
        <f>VLOOKUP($O128,'NO USAR1'!$A$4:$L$403,10,False)*$AB$19</f>
        <v>0.03810339117</v>
      </c>
      <c r="AL128" s="127">
        <f>VLOOKUP($O128,'NO USAR1'!$A$4:$L$403,12,False)*$AC$19</f>
        <v>0.09148296375</v>
      </c>
      <c r="AM128" s="133">
        <f t="shared" si="2"/>
        <v>-0.7507252735</v>
      </c>
      <c r="AN128" s="133">
        <f t="shared" si="3"/>
        <v>-1.385195882</v>
      </c>
    </row>
    <row r="129">
      <c r="A129" s="118" t="str">
        <f>IF(Update!B127="",ROW(Update!B127),Update!B127)</f>
        <v>Jarred Vanderbilt</v>
      </c>
      <c r="B129" s="119">
        <f>IF(TYPE($A129)=1,"",(Update!$L127-B$1)/B$2)</f>
        <v>-1.559992496</v>
      </c>
      <c r="C129" s="119">
        <f>IF(TYPE($A129)=1,"",(Update!$K127-C$1)/C$2)</f>
        <v>-1.391902282</v>
      </c>
      <c r="D129" s="119">
        <f>IF(TYPE($A129)=1,"",(Update!$M127-D$1)/D$2)</f>
        <v>1.04733563</v>
      </c>
      <c r="E129" s="119">
        <f>IF(TYPE($A129)=1,"",(Update!$N127-E$1)/E$2)</f>
        <v>-0.8549867017</v>
      </c>
      <c r="F129" s="119">
        <f>IF(TYPE($A129)=1,"",(Update!$O127-F$1)/F$2)</f>
        <v>0.9511129006</v>
      </c>
      <c r="G129" s="119">
        <f>IF(TYPE($A129)=1,"",(Update!$P127-G$1)/G$2)</f>
        <v>-0.3776893674</v>
      </c>
      <c r="H129" s="119">
        <f>IF(TYPE($A129)=1,"",(Update!$H127-H$1)/H$2*I129/$I$1)</f>
        <v>0.4697887685</v>
      </c>
      <c r="I129" s="119">
        <f>IF(TYPE($A129)=1,"",IF(Update!H127=0,0,Update!G127/Update!H127))</f>
        <v>5.8</v>
      </c>
      <c r="J129" s="120">
        <f>IF(TYPE($A129)=1,"",(Update!$J127-J$1)/J$2*K129/$K$1)</f>
        <v>-0.6242116285</v>
      </c>
      <c r="K129" s="121">
        <f>IF(TYPE($A129)=1,"",IF(Update!J127=0,0,Update!I127/Update!J127))</f>
        <v>1.9</v>
      </c>
      <c r="L129" s="119">
        <f>IF(TYPE($A129)=1,"",-(Update!$Q127-L$1)/L$2)</f>
        <v>0.9868569483</v>
      </c>
      <c r="N129" s="124">
        <v>109.0</v>
      </c>
      <c r="O129" s="130" t="str">
        <f>IF(Update!B120="",ROW(Update!B120),Update!B120)</f>
        <v>Tre Jones</v>
      </c>
      <c r="P129" s="131">
        <f>Update!E120</f>
        <v>69</v>
      </c>
      <c r="Q129" s="131" t="str">
        <f>IF(Update!C120="",ROW(Update!N135),Update!C120)</f>
        <v>PG</v>
      </c>
      <c r="R129" s="127">
        <f>VLOOKUP($O129,'NO USAR1'!$A$4:$L$403,2,False)+VLOOKUP($O129,'NO USAR1'!$A$4:$L$403,3,False)+VLOOKUP($O129,'NO USAR1'!$A$4:$L$403,4,False)+VLOOKUP($O129,'NO USAR1'!$A$4:$L$403,5,False)+VLOOKUP($O129,'NO USAR1'!$A$4:$L$403,6,False)+VLOOKUP($O129,'NO USAR1'!$A$4:$L$403,7,False)+VLOOKUP($O129,'NO USAR1'!$A$4:$L$403,8,False)+VLOOKUP($O129,'NO USAR1'!$A$4:$L$403,10,False)+VLOOKUP($O129,'NO USAR1'!$A$4:$L$403,12,False)*0</f>
        <v>-1.944401938</v>
      </c>
      <c r="S129" s="127">
        <f>VLOOKUP($O129,'NO USAR1'!$A$4:$L$403,2,False)*$U$19+VLOOKUP($O129,'NO USAR1'!$A$4:$L$403,3,False)*$V$19+VLOOKUP($O129,'NO USAR1'!$A$4:$L$403,4,False)*$W$19+VLOOKUP($O129,'NO USAR1'!$A$4:$L$403,5,False)*$X$19+VLOOKUP($O129,'NO USAR1'!$A$4:$L$403,6,False)*$Y$19+VLOOKUP($O129,'NO USAR1'!$A$4:$L$403,7,False)*$Z$19+VLOOKUP($O129,'NO USAR1'!$A$4:$L$403,8,False)*$AA$19+VLOOKUP($O129,'NO USAR1'!$A$4:$L$403,10,False)*$AB$19+VLOOKUP($O129,'NO USAR1'!$A$4:$L$403,12,False)*$AC$19+IF(Projections!$K$3,-AN129, IF(Projections!$J$3,-AM129,0))</f>
        <v>-0.5285562095</v>
      </c>
      <c r="T129" s="127">
        <f t="shared" si="1"/>
        <v>1.415845729</v>
      </c>
      <c r="U129" s="127">
        <f>VLOOKUP($O129,Update!$B$2:$R$401,11,False)</f>
        <v>12.1</v>
      </c>
      <c r="V129" s="122">
        <f>VLOOKUP($O129,Update!$B$2:$R$401,10,False)</f>
        <v>0.5</v>
      </c>
      <c r="W129" s="127">
        <f>VLOOKUP($O129,Update!$B$2:$R$401,12,False)</f>
        <v>3.8</v>
      </c>
      <c r="X129" s="127">
        <f>VLOOKUP($O129,Update!$B$2:$R$401,13,False)</f>
        <v>6.4</v>
      </c>
      <c r="Y129" s="127">
        <f>VLOOKUP($O129,Update!$B$2:$R$401,14,False)</f>
        <v>1.2</v>
      </c>
      <c r="Z129" s="132">
        <f>VLOOKUP($O129,Update!$B$2:$R$401,15,False)</f>
        <v>0.2</v>
      </c>
      <c r="AA129" s="127">
        <f>100*VLOOKUP($O129,Update!$B$2:$R$401,7,False)</f>
        <v>47.05882353</v>
      </c>
      <c r="AB129" s="127">
        <f>100*VLOOKUP($O129,Update!$B$2:$R$401,9,False)</f>
        <v>84</v>
      </c>
      <c r="AC129" s="127">
        <f>VLOOKUP($O129,Update!$B$2:$Q$401,16,False)</f>
        <v>1.5</v>
      </c>
      <c r="AD129" s="127">
        <f>VLOOKUP($O129,'NO USAR1'!$A$4:$L$403,2,False)*$U$19</f>
        <v>-0.8690343505</v>
      </c>
      <c r="AE129" s="127">
        <f>VLOOKUP($O129,'NO USAR1'!$A$4:$L$403,3,False)*$V$19</f>
        <v>-0.9925734181</v>
      </c>
      <c r="AF129" s="127">
        <f>VLOOKUP($O129,'NO USAR1'!$A$4:$L$403,4,False)*$W$19</f>
        <v>-0.9598021228</v>
      </c>
      <c r="AG129" s="127">
        <f>VLOOKUP($O129,'NO USAR1'!$A$4:$L$403,5,False)*$X$19</f>
        <v>1.303622891</v>
      </c>
      <c r="AH129" s="127">
        <f>VLOOKUP($O129,'NO USAR1'!$A$4:$L$403,6,False)*$Y$19</f>
        <v>0.4477291296</v>
      </c>
      <c r="AI129" s="127">
        <f>VLOOKUP($O129,'NO USAR1'!$A$4:$L$403,7,False)*$Z$19</f>
        <v>-0.6583300762</v>
      </c>
      <c r="AJ129" s="127">
        <f>VLOOKUP($O129,'NO USAR1'!$A$4:$L$403,8,False)*$AA$19</f>
        <v>-0.2587471682</v>
      </c>
      <c r="AK129" s="132">
        <f>VLOOKUP($O129,'NO USAR1'!$A$4:$L$403,10,False)*$AB$19</f>
        <v>0.3124300148</v>
      </c>
      <c r="AL129" s="127">
        <f>VLOOKUP($O129,'NO USAR1'!$A$4:$L$403,12,False)*$AC$19</f>
        <v>0.1535754731</v>
      </c>
      <c r="AM129" s="133">
        <f t="shared" si="2"/>
        <v>-0.9925734181</v>
      </c>
      <c r="AN129" s="133">
        <f t="shared" si="3"/>
        <v>-1.952375541</v>
      </c>
    </row>
    <row r="130">
      <c r="A130" s="118" t="str">
        <f>IF(Update!B128="",ROW(Update!B128),Update!B128)</f>
        <v>Ben Simmons</v>
      </c>
      <c r="B130" s="119">
        <f>IF(TYPE($A130)=1,"",(Update!$L128-B$1)/B$2)</f>
        <v>-1.475729308</v>
      </c>
      <c r="C130" s="119">
        <f>IF(TYPE($A130)=1,"",(Update!$K128-C$1)/C$2)</f>
        <v>-1.584597568</v>
      </c>
      <c r="D130" s="119">
        <f>IF(TYPE($A130)=1,"",(Update!$M128-D$1)/D$2)</f>
        <v>0.08558212364</v>
      </c>
      <c r="E130" s="119">
        <f>IF(TYPE($A130)=1,"",(Update!$N128-E$1)/E$2)</f>
        <v>1.092379972</v>
      </c>
      <c r="F130" s="119">
        <f>IF(TYPE($A130)=1,"",(Update!$O128-F$1)/F$2)</f>
        <v>0.9511129006</v>
      </c>
      <c r="G130" s="119">
        <f>IF(TYPE($A130)=1,"",(Update!$P128-G$1)/G$2)</f>
        <v>-0.1900953108</v>
      </c>
      <c r="H130" s="119">
        <f>IF(TYPE($A130)=1,"",(Update!$H128-H$1)/H$2*I130/$I$1)</f>
        <v>0.5310749567</v>
      </c>
      <c r="I130" s="119">
        <f>IF(TYPE($A130)=1,"",IF(Update!H128=0,0,Update!G128/Update!H128))</f>
        <v>7.1</v>
      </c>
      <c r="J130" s="120">
        <f>IF(TYPE($A130)=1,"",(Update!$J128-J$1)/J$2*K130/$K$1)</f>
        <v>-1.573554402</v>
      </c>
      <c r="K130" s="121">
        <f>IF(TYPE($A130)=1,"",IF(Update!J128=0,0,Update!I128/Update!J128))</f>
        <v>1.4</v>
      </c>
      <c r="L130" s="119">
        <f>IF(TYPE($A130)=1,"",-(Update!$Q128-L$1)/L$2)</f>
        <v>-0.379178257</v>
      </c>
      <c r="N130" s="33">
        <v>110.0</v>
      </c>
      <c r="O130" s="130" t="str">
        <f>IF(Update!B105="",ROW(Update!B105),Update!B105)</f>
        <v>Bojan Bogdanovic</v>
      </c>
      <c r="P130" s="131">
        <f>Update!E105</f>
        <v>68</v>
      </c>
      <c r="Q130" s="131" t="str">
        <f>IF(Update!C105="",ROW(Update!N120),Update!C105)</f>
        <v>SG,SF</v>
      </c>
      <c r="R130" s="127">
        <f>VLOOKUP($O130,'NO USAR1'!$A$4:$L$403,2,False)+VLOOKUP($O130,'NO USAR1'!$A$4:$L$403,3,False)+VLOOKUP($O130,'NO USAR1'!$A$4:$L$403,4,False)+VLOOKUP($O130,'NO USAR1'!$A$4:$L$403,5,False)+VLOOKUP($O130,'NO USAR1'!$A$4:$L$403,6,False)+VLOOKUP($O130,'NO USAR1'!$A$4:$L$403,7,False)+VLOOKUP($O130,'NO USAR1'!$A$4:$L$403,8,False)+VLOOKUP($O130,'NO USAR1'!$A$4:$L$403,10,False)+VLOOKUP($O130,'NO USAR1'!$A$4:$L$403,12,False)*0</f>
        <v>-2.059614667</v>
      </c>
      <c r="S130" s="127">
        <f>VLOOKUP($O130,'NO USAR1'!$A$4:$L$403,2,False)*$U$19+VLOOKUP($O130,'NO USAR1'!$A$4:$L$403,3,False)*$V$19+VLOOKUP($O130,'NO USAR1'!$A$4:$L$403,4,False)*$W$19+VLOOKUP($O130,'NO USAR1'!$A$4:$L$403,5,False)*$X$19+VLOOKUP($O130,'NO USAR1'!$A$4:$L$403,6,False)*$Y$19+VLOOKUP($O130,'NO USAR1'!$A$4:$L$403,7,False)*$Z$19+VLOOKUP($O130,'NO USAR1'!$A$4:$L$403,8,False)*$AA$19+VLOOKUP($O130,'NO USAR1'!$A$4:$L$403,10,False)*$AB$19+VLOOKUP($O130,'NO USAR1'!$A$4:$L$403,12,False)*$AC$19+IF(Projections!$K$3,-AN130, IF(Projections!$J$3,-AM130,0))</f>
        <v>-0.5757214562</v>
      </c>
      <c r="T130" s="127">
        <f t="shared" si="1"/>
        <v>1.483893211</v>
      </c>
      <c r="U130" s="127">
        <f>VLOOKUP($O130,Update!$B$2:$R$401,11,False)</f>
        <v>19.9</v>
      </c>
      <c r="V130" s="122">
        <f>VLOOKUP($O130,Update!$B$2:$R$401,10,False)</f>
        <v>2.6</v>
      </c>
      <c r="W130" s="127">
        <f>VLOOKUP($O130,Update!$B$2:$R$401,12,False)</f>
        <v>4.1</v>
      </c>
      <c r="X130" s="127">
        <f>VLOOKUP($O130,Update!$B$2:$R$401,13,False)</f>
        <v>2.1</v>
      </c>
      <c r="Y130" s="127">
        <f>VLOOKUP($O130,Update!$B$2:$R$401,14,False)</f>
        <v>0.5</v>
      </c>
      <c r="Z130" s="132">
        <f>VLOOKUP($O130,Update!$B$2:$R$401,15,False)</f>
        <v>0.1</v>
      </c>
      <c r="AA130" s="127">
        <f>100*VLOOKUP($O130,Update!$B$2:$R$401,7,False)</f>
        <v>46.85314685</v>
      </c>
      <c r="AB130" s="127">
        <f>100*VLOOKUP($O130,Update!$B$2:$R$401,9,False)</f>
        <v>88.63636364</v>
      </c>
      <c r="AC130" s="127">
        <f>VLOOKUP($O130,Update!$B$2:$Q$401,16,False)</f>
        <v>2</v>
      </c>
      <c r="AD130" s="127">
        <f>VLOOKUP($O130,'NO USAR1'!$A$4:$L$403,2,False)*$U$19</f>
        <v>0.4454713898</v>
      </c>
      <c r="AE130" s="127">
        <f>VLOOKUP($O130,'NO USAR1'!$A$4:$L$403,3,False)*$V$19</f>
        <v>0.8283970345</v>
      </c>
      <c r="AF130" s="127">
        <f>VLOOKUP($O130,'NO USAR1'!$A$4:$L$403,4,False)*$W$19</f>
        <v>-0.8343560132</v>
      </c>
      <c r="AG130" s="127">
        <f>VLOOKUP($O130,'NO USAR1'!$A$4:$L$403,5,False)*$X$19</f>
        <v>-0.8894829113</v>
      </c>
      <c r="AH130" s="127">
        <f>VLOOKUP($O130,'NO USAR1'!$A$4:$L$403,6,False)*$Y$19</f>
        <v>-1.078620176</v>
      </c>
      <c r="AI130" s="127">
        <f>VLOOKUP($O130,'NO USAR1'!$A$4:$L$403,7,False)*$Z$19</f>
        <v>-0.7896459159</v>
      </c>
      <c r="AJ130" s="127">
        <f>VLOOKUP($O130,'NO USAR1'!$A$4:$L$403,8,False)*$AA$19</f>
        <v>-0.3921317661</v>
      </c>
      <c r="AK130" s="132">
        <f>VLOOKUP($O130,'NO USAR1'!$A$4:$L$403,10,False)*$AB$19</f>
        <v>1.057682526</v>
      </c>
      <c r="AL130" s="127">
        <f>VLOOKUP($O130,'NO USAR1'!$A$4:$L$403,12,False)*$AC$19</f>
        <v>-0.001655800249</v>
      </c>
      <c r="AM130" s="133">
        <f t="shared" si="2"/>
        <v>-1.078620176</v>
      </c>
      <c r="AN130" s="133">
        <f t="shared" si="3"/>
        <v>-1.968103087</v>
      </c>
    </row>
    <row r="131">
      <c r="A131" s="118" t="str">
        <f>IF(Update!B129="",ROW(Update!B129),Update!B129)</f>
        <v>Matisse Thybulle</v>
      </c>
      <c r="B131" s="119">
        <f>IF(TYPE($A131)=1,"",(Update!$L129-B$1)/B$2)</f>
        <v>-1.762224148</v>
      </c>
      <c r="C131" s="119">
        <f>IF(TYPE($A131)=1,"",(Update!$K129-C$1)/C$2)</f>
        <v>-0.4284258525</v>
      </c>
      <c r="D131" s="119">
        <f>IF(TYPE($A131)=1,"",(Update!$M129-D$1)/D$2)</f>
        <v>-1.377955821</v>
      </c>
      <c r="E131" s="119">
        <f>IF(TYPE($A131)=1,"",(Update!$N129-E$1)/E$2)</f>
        <v>-1.225913687</v>
      </c>
      <c r="F131" s="119">
        <f>IF(TYPE($A131)=1,"",(Update!$O129-F$1)/F$2)</f>
        <v>1.885612475</v>
      </c>
      <c r="G131" s="119">
        <f>IF(TYPE($A131)=1,"",(Update!$P129-G$1)/G$2)</f>
        <v>0.5602809159</v>
      </c>
      <c r="H131" s="119">
        <f>IF(TYPE($A131)=1,"",(Update!$H129-H$1)/H$2*I131/$I$1)</f>
        <v>-0.1970125874</v>
      </c>
      <c r="I131" s="119">
        <f>IF(TYPE($A131)=1,"",IF(Update!H129=0,0,Update!G129/Update!H129))</f>
        <v>5.6</v>
      </c>
      <c r="J131" s="120">
        <f>IF(TYPE($A131)=1,"",(Update!$J129-J$1)/J$2*K131/$K$1)</f>
        <v>-0.164466294</v>
      </c>
      <c r="K131" s="121">
        <f>IF(TYPE($A131)=1,"",IF(Update!J129=0,0,Update!I129/Update!J129))</f>
        <v>0.7</v>
      </c>
      <c r="L131" s="119">
        <f>IF(TYPE($A131)=1,"",-(Update!$Q129-L$1)/L$2)</f>
        <v>1.73196706</v>
      </c>
      <c r="N131" s="124">
        <v>111.0</v>
      </c>
      <c r="O131" s="130" t="str">
        <f>IF(Update!B115="",ROW(Update!B115),Update!B115)</f>
        <v>Jabari Smith Jr.</v>
      </c>
      <c r="P131" s="131">
        <f>Update!E115</f>
        <v>79</v>
      </c>
      <c r="Q131" s="131" t="str">
        <f>IF(Update!C115="",ROW(Update!N130),Update!C115)</f>
        <v>PF,C</v>
      </c>
      <c r="R131" s="127">
        <f>VLOOKUP($O131,'NO USAR1'!$A$4:$L$403,2,False)+VLOOKUP($O131,'NO USAR1'!$A$4:$L$403,3,False)+VLOOKUP($O131,'NO USAR1'!$A$4:$L$403,4,False)+VLOOKUP($O131,'NO USAR1'!$A$4:$L$403,5,False)+VLOOKUP($O131,'NO USAR1'!$A$4:$L$403,6,False)+VLOOKUP($O131,'NO USAR1'!$A$4:$L$403,7,False)+VLOOKUP($O131,'NO USAR1'!$A$4:$L$403,8,False)+VLOOKUP($O131,'NO USAR1'!$A$4:$L$403,10,False)+VLOOKUP($O131,'NO USAR1'!$A$4:$L$403,12,False)*0</f>
        <v>-2.094917357</v>
      </c>
      <c r="S131" s="127">
        <f>VLOOKUP($O131,'NO USAR1'!$A$4:$L$403,2,False)*$U$19+VLOOKUP($O131,'NO USAR1'!$A$4:$L$403,3,False)*$V$19+VLOOKUP($O131,'NO USAR1'!$A$4:$L$403,4,False)*$W$19+VLOOKUP($O131,'NO USAR1'!$A$4:$L$403,5,False)*$X$19+VLOOKUP($O131,'NO USAR1'!$A$4:$L$403,6,False)*$Y$19+VLOOKUP($O131,'NO USAR1'!$A$4:$L$403,7,False)*$Z$19+VLOOKUP($O131,'NO USAR1'!$A$4:$L$403,8,False)*$AA$19+VLOOKUP($O131,'NO USAR1'!$A$4:$L$403,10,False)*$AB$19+VLOOKUP($O131,'NO USAR1'!$A$4:$L$403,12,False)*$AC$19+IF(Projections!$K$3,-AN131, IF(Projections!$J$3,-AM131,0))</f>
        <v>-0.59337026</v>
      </c>
      <c r="T131" s="127">
        <f t="shared" si="1"/>
        <v>1.501547096</v>
      </c>
      <c r="U131" s="127">
        <f>VLOOKUP($O131,Update!$B$2:$R$401,11,False)</f>
        <v>14.8</v>
      </c>
      <c r="V131" s="122">
        <f>VLOOKUP($O131,Update!$B$2:$R$401,10,False)</f>
        <v>1.7</v>
      </c>
      <c r="W131" s="127">
        <f>VLOOKUP($O131,Update!$B$2:$R$401,12,False)</f>
        <v>8</v>
      </c>
      <c r="X131" s="127">
        <f>VLOOKUP($O131,Update!$B$2:$R$401,13,False)</f>
        <v>1.4</v>
      </c>
      <c r="Y131" s="127">
        <f>VLOOKUP($O131,Update!$B$2:$R$401,14,False)</f>
        <v>0.6</v>
      </c>
      <c r="Z131" s="132">
        <f>VLOOKUP($O131,Update!$B$2:$R$401,15,False)</f>
        <v>1.2</v>
      </c>
      <c r="AA131" s="127">
        <f>100*VLOOKUP($O131,Update!$B$2:$R$401,7,False)</f>
        <v>43.2</v>
      </c>
      <c r="AB131" s="127">
        <f>100*VLOOKUP($O131,Update!$B$2:$R$401,9,False)</f>
        <v>76.66666667</v>
      </c>
      <c r="AC131" s="127">
        <f>VLOOKUP($O131,Update!$B$2:$Q$401,16,False)</f>
        <v>1.5</v>
      </c>
      <c r="AD131" s="127">
        <f>VLOOKUP($O131,'NO USAR1'!$A$4:$L$403,2,False)*$U$19</f>
        <v>-0.4140131327</v>
      </c>
      <c r="AE131" s="127">
        <f>VLOOKUP($O131,'NO USAR1'!$A$4:$L$403,3,False)*$V$19</f>
        <v>0.04798112621</v>
      </c>
      <c r="AF131" s="127">
        <f>VLOOKUP($O131,'NO USAR1'!$A$4:$L$403,4,False)*$W$19</f>
        <v>0.7964434112</v>
      </c>
      <c r="AG131" s="127">
        <f>VLOOKUP($O131,'NO USAR1'!$A$4:$L$403,5,False)*$X$19</f>
        <v>-1.246500135</v>
      </c>
      <c r="AH131" s="127">
        <f>VLOOKUP($O131,'NO USAR1'!$A$4:$L$403,6,False)*$Y$19</f>
        <v>-0.8605702752</v>
      </c>
      <c r="AI131" s="127">
        <f>VLOOKUP($O131,'NO USAR1'!$A$4:$L$403,7,False)*$Z$19</f>
        <v>0.6548283205</v>
      </c>
      <c r="AJ131" s="127">
        <f>VLOOKUP($O131,'NO USAR1'!$A$4:$L$403,8,False)*$AA$19</f>
        <v>-0.7988976026</v>
      </c>
      <c r="AK131" s="132">
        <f>VLOOKUP($O131,'NO USAR1'!$A$4:$L$403,10,False)*$AB$19</f>
        <v>-0.1727175805</v>
      </c>
      <c r="AL131" s="127">
        <f>VLOOKUP($O131,'NO USAR1'!$A$4:$L$403,12,False)*$AC$19</f>
        <v>0.1535754731</v>
      </c>
      <c r="AM131" s="133">
        <f t="shared" si="2"/>
        <v>-1.246500135</v>
      </c>
      <c r="AN131" s="133">
        <f t="shared" si="3"/>
        <v>-2.10707041</v>
      </c>
    </row>
    <row r="132">
      <c r="A132" s="118" t="str">
        <f>IF(Update!B130="",ROW(Update!B130),Update!B130)</f>
        <v>Obi Toppin</v>
      </c>
      <c r="B132" s="119">
        <f>IF(TYPE($A132)=1,"",(Update!$L130-B$1)/B$2)</f>
        <v>-0.4308657704</v>
      </c>
      <c r="C132" s="119">
        <f>IF(TYPE($A132)=1,"",(Update!$K130-C$1)/C$2)</f>
        <v>-0.1393829235</v>
      </c>
      <c r="D132" s="119">
        <f>IF(TYPE($A132)=1,"",(Update!$M130-D$1)/D$2)</f>
        <v>-0.2071254654</v>
      </c>
      <c r="E132" s="119">
        <f>IF(TYPE($A132)=1,"",(Update!$N130-E$1)/E$2)</f>
        <v>-1.040450194</v>
      </c>
      <c r="F132" s="119">
        <f>IF(TYPE($A132)=1,"",(Update!$O130-F$1)/F$2)</f>
        <v>-1.229386107</v>
      </c>
      <c r="G132" s="119">
        <f>IF(TYPE($A132)=1,"",(Update!$P130-G$1)/G$2)</f>
        <v>-0.1900953108</v>
      </c>
      <c r="H132" s="119">
        <f>IF(TYPE($A132)=1,"",(Update!$H130-H$1)/H$2*I132/$I$1)</f>
        <v>-0.2244279926</v>
      </c>
      <c r="I132" s="119">
        <f>IF(TYPE($A132)=1,"",IF(Update!H130=0,0,Update!G130/Update!H130))</f>
        <v>11.9</v>
      </c>
      <c r="J132" s="120">
        <f>IF(TYPE($A132)=1,"",(Update!$J130-J$1)/J$2*K132/$K$1)</f>
        <v>0.1289120253</v>
      </c>
      <c r="K132" s="121">
        <f>IF(TYPE($A132)=1,"",IF(Update!J130=0,0,Update!I130/Update!J130))</f>
        <v>2.1</v>
      </c>
      <c r="L132" s="119">
        <f>IF(TYPE($A132)=1,"",-(Update!$Q130-L$1)/L$2)</f>
        <v>0.9868569483</v>
      </c>
      <c r="N132" s="124">
        <v>112.0</v>
      </c>
      <c r="O132" s="130" t="str">
        <f>IF(Update!B91="",ROW(Update!B91),Update!B91)</f>
        <v>John Collins</v>
      </c>
      <c r="P132" s="131">
        <f>Update!E91</f>
        <v>70</v>
      </c>
      <c r="Q132" s="131" t="str">
        <f>IF(Update!C91="",ROW(Update!N106),Update!C91)</f>
        <v>PF</v>
      </c>
      <c r="R132" s="127">
        <f>VLOOKUP($O132,'NO USAR1'!$A$4:$L$403,2,False)+VLOOKUP($O132,'NO USAR1'!$A$4:$L$403,3,False)+VLOOKUP($O132,'NO USAR1'!$A$4:$L$403,4,False)+VLOOKUP($O132,'NO USAR1'!$A$4:$L$403,5,False)+VLOOKUP($O132,'NO USAR1'!$A$4:$L$403,6,False)+VLOOKUP($O132,'NO USAR1'!$A$4:$L$403,7,False)+VLOOKUP($O132,'NO USAR1'!$A$4:$L$403,8,False)+VLOOKUP($O132,'NO USAR1'!$A$4:$L$403,10,False)+VLOOKUP($O132,'NO USAR1'!$A$4:$L$403,12,False)*0</f>
        <v>-2.107465452</v>
      </c>
      <c r="S132" s="127">
        <f>VLOOKUP($O132,'NO USAR1'!$A$4:$L$403,2,False)*$U$19+VLOOKUP($O132,'NO USAR1'!$A$4:$L$403,3,False)*$V$19+VLOOKUP($O132,'NO USAR1'!$A$4:$L$403,4,False)*$W$19+VLOOKUP($O132,'NO USAR1'!$A$4:$L$403,5,False)*$X$19+VLOOKUP($O132,'NO USAR1'!$A$4:$L$403,6,False)*$Y$19+VLOOKUP($O132,'NO USAR1'!$A$4:$L$403,7,False)*$Z$19+VLOOKUP($O132,'NO USAR1'!$A$4:$L$403,8,False)*$AA$19+VLOOKUP($O132,'NO USAR1'!$A$4:$L$403,10,False)*$AB$19+VLOOKUP($O132,'NO USAR1'!$A$4:$L$403,12,False)*$AC$19+IF(Projections!$K$3,-AN132, IF(Projections!$J$3,-AM132,0))</f>
        <v>-0.5095793495</v>
      </c>
      <c r="T132" s="127">
        <f t="shared" si="1"/>
        <v>1.597886103</v>
      </c>
      <c r="U132" s="127">
        <f>VLOOKUP($O132,Update!$B$2:$R$401,11,False)</f>
        <v>14.4</v>
      </c>
      <c r="V132" s="122">
        <f>VLOOKUP($O132,Update!$B$2:$R$401,10,False)</f>
        <v>1.1</v>
      </c>
      <c r="W132" s="127">
        <f>VLOOKUP($O132,Update!$B$2:$R$401,12,False)</f>
        <v>7.1</v>
      </c>
      <c r="X132" s="127">
        <f>VLOOKUP($O132,Update!$B$2:$R$401,13,False)</f>
        <v>1.5</v>
      </c>
      <c r="Y132" s="127">
        <f>VLOOKUP($O132,Update!$B$2:$R$401,14,False)</f>
        <v>0.6</v>
      </c>
      <c r="Z132" s="132">
        <f>VLOOKUP($O132,Update!$B$2:$R$401,15,False)</f>
        <v>1</v>
      </c>
      <c r="AA132" s="127">
        <f>100*VLOOKUP($O132,Update!$B$2:$R$401,7,False)</f>
        <v>51.85185185</v>
      </c>
      <c r="AB132" s="127">
        <f>100*VLOOKUP($O132,Update!$B$2:$R$401,9,False)</f>
        <v>78.57142857</v>
      </c>
      <c r="AC132" s="127">
        <f>VLOOKUP($O132,Update!$B$2:$Q$401,16,False)</f>
        <v>1.1</v>
      </c>
      <c r="AD132" s="127">
        <f>VLOOKUP($O132,'NO USAR1'!$A$4:$L$403,2,False)*$U$19</f>
        <v>-0.4814236835</v>
      </c>
      <c r="AE132" s="127">
        <f>VLOOKUP($O132,'NO USAR1'!$A$4:$L$403,3,False)*$V$19</f>
        <v>-0.472296146</v>
      </c>
      <c r="AF132" s="127">
        <f>VLOOKUP($O132,'NO USAR1'!$A$4:$L$403,4,False)*$W$19</f>
        <v>0.4201050825</v>
      </c>
      <c r="AG132" s="127">
        <f>VLOOKUP($O132,'NO USAR1'!$A$4:$L$403,5,False)*$X$19</f>
        <v>-1.195497674</v>
      </c>
      <c r="AH132" s="127">
        <f>VLOOKUP($O132,'NO USAR1'!$A$4:$L$403,6,False)*$Y$19</f>
        <v>-0.8605702752</v>
      </c>
      <c r="AI132" s="127">
        <f>VLOOKUP($O132,'NO USAR1'!$A$4:$L$403,7,False)*$Z$19</f>
        <v>0.3921966412</v>
      </c>
      <c r="AJ132" s="127">
        <f>VLOOKUP($O132,'NO USAR1'!$A$4:$L$403,8,False)*$AA$19</f>
        <v>0.2430919547</v>
      </c>
      <c r="AK132" s="132">
        <f>VLOOKUP($O132,'NO USAR1'!$A$4:$L$403,10,False)*$AB$19</f>
        <v>-0.02844341496</v>
      </c>
      <c r="AL132" s="127">
        <f>VLOOKUP($O132,'NO USAR1'!$A$4:$L$403,12,False)*$AC$19</f>
        <v>0.2777604917</v>
      </c>
      <c r="AM132" s="133">
        <f t="shared" si="2"/>
        <v>-1.195497674</v>
      </c>
      <c r="AN132" s="133">
        <f t="shared" si="3"/>
        <v>-2.05606795</v>
      </c>
    </row>
    <row r="133">
      <c r="A133" s="118" t="str">
        <f>IF(Update!B131="",ROW(Update!B131),Update!B131)</f>
        <v>Delon Wright</v>
      </c>
      <c r="B133" s="119">
        <f>IF(TYPE($A133)=1,"",(Update!$L131-B$1)/B$2)</f>
        <v>-1.812782061</v>
      </c>
      <c r="C133" s="119">
        <f>IF(TYPE($A133)=1,"",(Update!$K131-C$1)/C$2)</f>
        <v>-0.8138164245</v>
      </c>
      <c r="D133" s="119">
        <f>IF(TYPE($A133)=1,"",(Update!$M131-D$1)/D$2)</f>
        <v>-1.043432862</v>
      </c>
      <c r="E133" s="119">
        <f>IF(TYPE($A133)=1,"",(Update!$N131-E$1)/E$2)</f>
        <v>-0.1594986038</v>
      </c>
      <c r="F133" s="119">
        <f>IF(TYPE($A133)=1,"",(Update!$O131-F$1)/F$2)</f>
        <v>1.885612475</v>
      </c>
      <c r="G133" s="119">
        <f>IF(TYPE($A133)=1,"",(Update!$P131-G$1)/G$2)</f>
        <v>-0.7528774808</v>
      </c>
      <c r="H133" s="119">
        <f>IF(TYPE($A133)=1,"",(Update!$H131-H$1)/H$2*I133/$I$1)</f>
        <v>-0.1437484268</v>
      </c>
      <c r="I133" s="119">
        <f>IF(TYPE($A133)=1,"",IF(Update!H131=0,0,Update!G131/Update!H131))</f>
        <v>5.1</v>
      </c>
      <c r="J133" s="120">
        <f>IF(TYPE($A133)=1,"",(Update!$J131-J$1)/J$2*K133/$K$1)</f>
        <v>0.4083146529</v>
      </c>
      <c r="K133" s="121">
        <f>IF(TYPE($A133)=1,"",IF(Update!J131=0,0,Update!I131/Update!J131))</f>
        <v>1.1</v>
      </c>
      <c r="L133" s="119">
        <f>IF(TYPE($A133)=1,"",-(Update!$Q131-L$1)/L$2)</f>
        <v>1.483597023</v>
      </c>
      <c r="N133" s="33">
        <v>113.0</v>
      </c>
      <c r="O133" s="130" t="str">
        <f>IF(Update!B114="",ROW(Update!B114),Update!B114)</f>
        <v>Bobby Portis</v>
      </c>
      <c r="P133" s="131">
        <f>Update!E114</f>
        <v>71</v>
      </c>
      <c r="Q133" s="131" t="str">
        <f>IF(Update!C114="",ROW(Update!N129),Update!C114)</f>
        <v>PF,C</v>
      </c>
      <c r="R133" s="127">
        <f>VLOOKUP($O133,'NO USAR1'!$A$4:$L$403,2,False)+VLOOKUP($O133,'NO USAR1'!$A$4:$L$403,3,False)+VLOOKUP($O133,'NO USAR1'!$A$4:$L$403,4,False)+VLOOKUP($O133,'NO USAR1'!$A$4:$L$403,5,False)+VLOOKUP($O133,'NO USAR1'!$A$4:$L$403,6,False)+VLOOKUP($O133,'NO USAR1'!$A$4:$L$403,7,False)+VLOOKUP($O133,'NO USAR1'!$A$4:$L$403,8,False)+VLOOKUP($O133,'NO USAR1'!$A$4:$L$403,10,False)+VLOOKUP($O133,'NO USAR1'!$A$4:$L$403,12,False)*0</f>
        <v>-2.108540436</v>
      </c>
      <c r="S133" s="127">
        <f>VLOOKUP($O133,'NO USAR1'!$A$4:$L$403,2,False)*$U$19+VLOOKUP($O133,'NO USAR1'!$A$4:$L$403,3,False)*$V$19+VLOOKUP($O133,'NO USAR1'!$A$4:$L$403,4,False)*$W$19+VLOOKUP($O133,'NO USAR1'!$A$4:$L$403,5,False)*$X$19+VLOOKUP($O133,'NO USAR1'!$A$4:$L$403,6,False)*$Y$19+VLOOKUP($O133,'NO USAR1'!$A$4:$L$403,7,False)*$Z$19+VLOOKUP($O133,'NO USAR1'!$A$4:$L$403,8,False)*$AA$19+VLOOKUP($O133,'NO USAR1'!$A$4:$L$403,10,False)*$AB$19+VLOOKUP($O133,'NO USAR1'!$A$4:$L$403,12,False)*$AC$19+IF(Projections!$K$3,-AN133, IF(Projections!$J$3,-AM133,0))</f>
        <v>-0.1988264117</v>
      </c>
      <c r="T133" s="127">
        <f t="shared" si="1"/>
        <v>1.909714024</v>
      </c>
      <c r="U133" s="127">
        <f>VLOOKUP($O133,Update!$B$2:$R$401,11,False)</f>
        <v>14.6</v>
      </c>
      <c r="V133" s="122">
        <f>VLOOKUP($O133,Update!$B$2:$R$401,10,False)</f>
        <v>1.6</v>
      </c>
      <c r="W133" s="127">
        <f>VLOOKUP($O133,Update!$B$2:$R$401,12,False)</f>
        <v>9.5</v>
      </c>
      <c r="X133" s="127">
        <f>VLOOKUP($O133,Update!$B$2:$R$401,13,False)</f>
        <v>1.4</v>
      </c>
      <c r="Y133" s="127">
        <f>VLOOKUP($O133,Update!$B$2:$R$401,14,False)</f>
        <v>0.6</v>
      </c>
      <c r="Z133" s="132">
        <f>VLOOKUP($O133,Update!$B$2:$R$401,15,False)</f>
        <v>0.5</v>
      </c>
      <c r="AA133" s="127">
        <f>100*VLOOKUP($O133,Update!$B$2:$R$401,7,False)</f>
        <v>48.33333333</v>
      </c>
      <c r="AB133" s="127">
        <f>100*VLOOKUP($O133,Update!$B$2:$R$401,9,False)</f>
        <v>76.47058824</v>
      </c>
      <c r="AC133" s="127">
        <f>VLOOKUP($O133,Update!$B$2:$Q$401,16,False)</f>
        <v>1.2</v>
      </c>
      <c r="AD133" s="127">
        <f>VLOOKUP($O133,'NO USAR1'!$A$4:$L$403,2,False)*$U$19</f>
        <v>-0.4477184081</v>
      </c>
      <c r="AE133" s="127">
        <f>VLOOKUP($O133,'NO USAR1'!$A$4:$L$403,3,False)*$V$19</f>
        <v>-0.03873175248</v>
      </c>
      <c r="AF133" s="127">
        <f>VLOOKUP($O133,'NO USAR1'!$A$4:$L$403,4,False)*$W$19</f>
        <v>1.423673959</v>
      </c>
      <c r="AG133" s="127">
        <f>VLOOKUP($O133,'NO USAR1'!$A$4:$L$403,5,False)*$X$19</f>
        <v>-1.246500135</v>
      </c>
      <c r="AH133" s="127">
        <f>VLOOKUP($O133,'NO USAR1'!$A$4:$L$403,6,False)*$Y$19</f>
        <v>-0.8605702752</v>
      </c>
      <c r="AI133" s="127">
        <f>VLOOKUP($O133,'NO USAR1'!$A$4:$L$403,7,False)*$Z$19</f>
        <v>-0.2643825572</v>
      </c>
      <c r="AJ133" s="127">
        <f>VLOOKUP($O133,'NO USAR1'!$A$4:$L$403,8,False)*$AA$19</f>
        <v>-0.1516408405</v>
      </c>
      <c r="AK133" s="132">
        <f>VLOOKUP($O133,'NO USAR1'!$A$4:$L$403,10,False)*$AB$19</f>
        <v>-0.1061707744</v>
      </c>
      <c r="AL133" s="127">
        <f>VLOOKUP($O133,'NO USAR1'!$A$4:$L$403,12,False)*$AC$19</f>
        <v>0.2467142371</v>
      </c>
      <c r="AM133" s="133">
        <f t="shared" si="2"/>
        <v>-1.246500135</v>
      </c>
      <c r="AN133" s="133">
        <f t="shared" si="3"/>
        <v>-2.10707041</v>
      </c>
    </row>
    <row r="134">
      <c r="A134" s="118" t="str">
        <f>IF(Update!B132="",ROW(Update!B132),Update!B132)</f>
        <v>Jordan Clarkson</v>
      </c>
      <c r="B134" s="119">
        <f>IF(TYPE($A134)=1,"",(Update!$L132-B$1)/B$2)</f>
        <v>0.3275029259</v>
      </c>
      <c r="C134" s="119">
        <f>IF(TYPE($A134)=1,"",(Update!$K132-C$1)/C$2)</f>
        <v>0.9204411494</v>
      </c>
      <c r="D134" s="119">
        <f>IF(TYPE($A134)=1,"",(Update!$M132-D$1)/D$2)</f>
        <v>-0.9179867529</v>
      </c>
      <c r="E134" s="119">
        <f>IF(TYPE($A134)=1,"",(Update!$N132-E$1)/E$2)</f>
        <v>-0.1594986038</v>
      </c>
      <c r="F134" s="119">
        <f>IF(TYPE($A134)=1,"",(Update!$O132-F$1)/F$2)</f>
        <v>-0.6063863908</v>
      </c>
      <c r="G134" s="119">
        <f>IF(TYPE($A134)=1,"",(Update!$P132-G$1)/G$2)</f>
        <v>-0.9404715375</v>
      </c>
      <c r="H134" s="119">
        <f>IF(TYPE($A134)=1,"",(Update!$H132-H$1)/H$2*I134/$I$1)</f>
        <v>-1.203683621</v>
      </c>
      <c r="I134" s="119">
        <f>IF(TYPE($A134)=1,"",IF(Update!H132=0,0,Update!G132/Update!H132))</f>
        <v>16.3</v>
      </c>
      <c r="J134" s="120">
        <f>IF(TYPE($A134)=1,"",(Update!$J132-J$1)/J$2*K134/$K$1)</f>
        <v>0.2260712246</v>
      </c>
      <c r="K134" s="121">
        <f>IF(TYPE($A134)=1,"",IF(Update!J132=0,0,Update!I132/Update!J132))</f>
        <v>3.2</v>
      </c>
      <c r="L134" s="119">
        <f>IF(TYPE($A134)=1,"",-(Update!$Q132-L$1)/L$2)</f>
        <v>-0.5033632756</v>
      </c>
      <c r="N134" s="124">
        <v>114.0</v>
      </c>
      <c r="O134" s="130" t="str">
        <f>IF(Update!B107="",ROW(Update!B107),Update!B107)</f>
        <v>Keegan Murray</v>
      </c>
      <c r="P134" s="131">
        <f>Update!E107</f>
        <v>78</v>
      </c>
      <c r="Q134" s="131" t="str">
        <f>IF(Update!C107="",ROW(Update!N122),Update!C107)</f>
        <v>SF,PF</v>
      </c>
      <c r="R134" s="127">
        <f>VLOOKUP($O134,'NO USAR1'!$A$4:$L$403,2,False)+VLOOKUP($O134,'NO USAR1'!$A$4:$L$403,3,False)+VLOOKUP($O134,'NO USAR1'!$A$4:$L$403,4,False)+VLOOKUP($O134,'NO USAR1'!$A$4:$L$403,5,False)+VLOOKUP($O134,'NO USAR1'!$A$4:$L$403,6,False)+VLOOKUP($O134,'NO USAR1'!$A$4:$L$403,7,False)+VLOOKUP($O134,'NO USAR1'!$A$4:$L$403,8,False)+VLOOKUP($O134,'NO USAR1'!$A$4:$L$403,10,False)+VLOOKUP($O134,'NO USAR1'!$A$4:$L$403,12,False)*0</f>
        <v>-2.109101799</v>
      </c>
      <c r="S134" s="127">
        <f>VLOOKUP($O134,'NO USAR1'!$A$4:$L$403,2,False)*$U$19+VLOOKUP($O134,'NO USAR1'!$A$4:$L$403,3,False)*$V$19+VLOOKUP($O134,'NO USAR1'!$A$4:$L$403,4,False)*$W$19+VLOOKUP($O134,'NO USAR1'!$A$4:$L$403,5,False)*$X$19+VLOOKUP($O134,'NO USAR1'!$A$4:$L$403,6,False)*$Y$19+VLOOKUP($O134,'NO USAR1'!$A$4:$L$403,7,False)*$Z$19+VLOOKUP($O134,'NO USAR1'!$A$4:$L$403,8,False)*$AA$19+VLOOKUP($O134,'NO USAR1'!$A$4:$L$403,10,False)*$AB$19+VLOOKUP($O134,'NO USAR1'!$A$4:$L$403,12,False)*$AC$19+IF(Projections!$K$3,-AN134, IF(Projections!$J$3,-AM134,0))</f>
        <v>-0.5028382323</v>
      </c>
      <c r="T134" s="127">
        <f t="shared" si="1"/>
        <v>1.606263567</v>
      </c>
      <c r="U134" s="127">
        <f>VLOOKUP($O134,Update!$B$2:$R$401,11,False)</f>
        <v>14</v>
      </c>
      <c r="V134" s="122">
        <f>VLOOKUP($O134,Update!$B$2:$R$401,10,False)</f>
        <v>2.7</v>
      </c>
      <c r="W134" s="127">
        <f>VLOOKUP($O134,Update!$B$2:$R$401,12,False)</f>
        <v>4.9</v>
      </c>
      <c r="X134" s="127">
        <f>VLOOKUP($O134,Update!$B$2:$R$401,13,False)</f>
        <v>1.3</v>
      </c>
      <c r="Y134" s="127">
        <f>VLOOKUP($O134,Update!$B$2:$R$401,14,False)</f>
        <v>0.9</v>
      </c>
      <c r="Z134" s="132">
        <f>VLOOKUP($O134,Update!$B$2:$R$401,15,False)</f>
        <v>0.6</v>
      </c>
      <c r="AA134" s="127">
        <f>100*VLOOKUP($O134,Update!$B$2:$R$401,7,False)</f>
        <v>46.36363636</v>
      </c>
      <c r="AB134" s="127">
        <f>100*VLOOKUP($O134,Update!$B$2:$R$401,9,False)</f>
        <v>78.57142857</v>
      </c>
      <c r="AC134" s="127">
        <f>VLOOKUP($O134,Update!$B$2:$Q$401,16,False)</f>
        <v>0.9</v>
      </c>
      <c r="AD134" s="127">
        <f>VLOOKUP($O134,'NO USAR1'!$A$4:$L$403,2,False)*$U$19</f>
        <v>-0.5488342343</v>
      </c>
      <c r="AE134" s="127">
        <f>VLOOKUP($O134,'NO USAR1'!$A$4:$L$403,3,False)*$V$19</f>
        <v>0.9151099132</v>
      </c>
      <c r="AF134" s="127">
        <f>VLOOKUP($O134,'NO USAR1'!$A$4:$L$403,4,False)*$W$19</f>
        <v>-0.4998330543</v>
      </c>
      <c r="AG134" s="127">
        <f>VLOOKUP($O134,'NO USAR1'!$A$4:$L$403,5,False)*$X$19</f>
        <v>-1.297502595</v>
      </c>
      <c r="AH134" s="127">
        <f>VLOOKUP($O134,'NO USAR1'!$A$4:$L$403,6,False)*$Y$19</f>
        <v>-0.2064205728</v>
      </c>
      <c r="AI134" s="127">
        <f>VLOOKUP($O134,'NO USAR1'!$A$4:$L$403,7,False)*$Z$19</f>
        <v>-0.1330667175</v>
      </c>
      <c r="AJ134" s="127">
        <f>VLOOKUP($O134,'NO USAR1'!$A$4:$L$403,8,False)*$AA$19</f>
        <v>-0.3554248601</v>
      </c>
      <c r="AK134" s="132">
        <f>VLOOKUP($O134,'NO USAR1'!$A$4:$L$403,10,False)*$AB$19</f>
        <v>-0.01422170748</v>
      </c>
      <c r="AL134" s="127">
        <f>VLOOKUP($O134,'NO USAR1'!$A$4:$L$403,12,False)*$AC$19</f>
        <v>0.3398530011</v>
      </c>
      <c r="AM134" s="133">
        <f t="shared" si="2"/>
        <v>-1.297502595</v>
      </c>
      <c r="AN134" s="133">
        <f t="shared" si="3"/>
        <v>-1.84633683</v>
      </c>
    </row>
    <row r="135">
      <c r="A135" s="118" t="str">
        <f>IF(Update!B133="",ROW(Update!B133),Update!B133)</f>
        <v>Aaron Gordon</v>
      </c>
      <c r="B135" s="119">
        <f>IF(TYPE($A135)=1,"",(Update!$L133-B$1)/B$2)</f>
        <v>-0.2117814804</v>
      </c>
      <c r="C135" s="119">
        <f>IF(TYPE($A135)=1,"",(Update!$K133-C$1)/C$2)</f>
        <v>-0.5247734955</v>
      </c>
      <c r="D135" s="119">
        <f>IF(TYPE($A135)=1,"",(Update!$M133-D$1)/D$2)</f>
        <v>0.08558212364</v>
      </c>
      <c r="E135" s="119">
        <f>IF(TYPE($A135)=1,"",(Update!$N133-E$1)/E$2)</f>
        <v>-0.4840597161</v>
      </c>
      <c r="F135" s="119">
        <f>IF(TYPE($A135)=1,"",(Update!$O133-F$1)/F$2)</f>
        <v>-0.9178862491</v>
      </c>
      <c r="G135" s="119">
        <f>IF(TYPE($A135)=1,"",(Update!$P133-G$1)/G$2)</f>
        <v>-0.002501254089</v>
      </c>
      <c r="H135" s="119">
        <f>IF(TYPE($A135)=1,"",(Update!$H133-H$1)/H$2*I135/$I$1)</f>
        <v>0.6057311908</v>
      </c>
      <c r="I135" s="119">
        <f>IF(TYPE($A135)=1,"",IF(Update!H133=0,0,Update!G133/Update!H133))</f>
        <v>11.4</v>
      </c>
      <c r="J135" s="120">
        <f>IF(TYPE($A135)=1,"",(Update!$J133-J$1)/J$2*K135/$K$1)</f>
        <v>-1.494172337</v>
      </c>
      <c r="K135" s="121">
        <f>IF(TYPE($A135)=1,"",IF(Update!J133=0,0,Update!I133/Update!J133))</f>
        <v>3.9</v>
      </c>
      <c r="L135" s="119">
        <f>IF(TYPE($A135)=1,"",-(Update!$Q133-L$1)/L$2)</f>
        <v>0.365931855</v>
      </c>
      <c r="N135" s="124">
        <v>115.0</v>
      </c>
      <c r="O135" s="130" t="str">
        <f>IF(Update!B122="",ROW(Update!B122),Update!B122)</f>
        <v>Andrew Wiggins</v>
      </c>
      <c r="P135" s="131">
        <f>Update!E122</f>
        <v>69</v>
      </c>
      <c r="Q135" s="131" t="str">
        <f>IF(Update!C122="",ROW(Update!N137),Update!C122)</f>
        <v>SF,PF</v>
      </c>
      <c r="R135" s="127">
        <f>VLOOKUP($O135,'NO USAR1'!$A$4:$L$403,2,False)+VLOOKUP($O135,'NO USAR1'!$A$4:$L$403,3,False)+VLOOKUP($O135,'NO USAR1'!$A$4:$L$403,4,False)+VLOOKUP($O135,'NO USAR1'!$A$4:$L$403,5,False)+VLOOKUP($O135,'NO USAR1'!$A$4:$L$403,6,False)+VLOOKUP($O135,'NO USAR1'!$A$4:$L$403,7,False)+VLOOKUP($O135,'NO USAR1'!$A$4:$L$403,8,False)+VLOOKUP($O135,'NO USAR1'!$A$4:$L$403,10,False)+VLOOKUP($O135,'NO USAR1'!$A$4:$L$403,12,False)*0</f>
        <v>-2.148355589</v>
      </c>
      <c r="S135" s="127">
        <f>VLOOKUP($O135,'NO USAR1'!$A$4:$L$403,2,False)*$U$19+VLOOKUP($O135,'NO USAR1'!$A$4:$L$403,3,False)*$V$19+VLOOKUP($O135,'NO USAR1'!$A$4:$L$403,4,False)*$W$19+VLOOKUP($O135,'NO USAR1'!$A$4:$L$403,5,False)*$X$19+VLOOKUP($O135,'NO USAR1'!$A$4:$L$403,6,False)*$Y$19+VLOOKUP($O135,'NO USAR1'!$A$4:$L$403,7,False)*$Z$19+VLOOKUP($O135,'NO USAR1'!$A$4:$L$403,8,False)*$AA$19+VLOOKUP($O135,'NO USAR1'!$A$4:$L$403,10,False)*$AB$19+VLOOKUP($O135,'NO USAR1'!$A$4:$L$403,12,False)*$AC$19+IF(Projections!$K$3,-AN135, IF(Projections!$J$3,-AM135,0))</f>
        <v>-0.6632908826</v>
      </c>
      <c r="T135" s="127">
        <f t="shared" si="1"/>
        <v>1.485064706</v>
      </c>
      <c r="U135" s="127">
        <f>VLOOKUP($O135,Update!$B$2:$R$401,11,False)</f>
        <v>17.6</v>
      </c>
      <c r="V135" s="122">
        <f>VLOOKUP($O135,Update!$B$2:$R$401,10,False)</f>
        <v>2.3</v>
      </c>
      <c r="W135" s="127">
        <f>VLOOKUP($O135,Update!$B$2:$R$401,12,False)</f>
        <v>4.8</v>
      </c>
      <c r="X135" s="127">
        <f>VLOOKUP($O135,Update!$B$2:$R$401,13,False)</f>
        <v>2.3</v>
      </c>
      <c r="Y135" s="127">
        <f>VLOOKUP($O135,Update!$B$2:$R$401,14,False)</f>
        <v>1.1</v>
      </c>
      <c r="Z135" s="132">
        <f>VLOOKUP($O135,Update!$B$2:$R$401,15,False)</f>
        <v>0.7</v>
      </c>
      <c r="AA135" s="127">
        <f>100*VLOOKUP($O135,Update!$B$2:$R$401,7,False)</f>
        <v>47.22222222</v>
      </c>
      <c r="AB135" s="127">
        <f>100*VLOOKUP($O135,Update!$B$2:$R$401,9,False)</f>
        <v>62.06896552</v>
      </c>
      <c r="AC135" s="127">
        <f>VLOOKUP($O135,Update!$B$2:$Q$401,16,False)</f>
        <v>1.5</v>
      </c>
      <c r="AD135" s="127">
        <f>VLOOKUP($O135,'NO USAR1'!$A$4:$L$403,2,False)*$U$19</f>
        <v>0.05786072276</v>
      </c>
      <c r="AE135" s="127">
        <f>VLOOKUP($O135,'NO USAR1'!$A$4:$L$403,3,False)*$V$19</f>
        <v>0.5682583984</v>
      </c>
      <c r="AF135" s="127">
        <f>VLOOKUP($O135,'NO USAR1'!$A$4:$L$403,4,False)*$W$19</f>
        <v>-0.5416484242</v>
      </c>
      <c r="AG135" s="127">
        <f>VLOOKUP($O135,'NO USAR1'!$A$4:$L$403,5,False)*$X$19</f>
        <v>-0.7874779903</v>
      </c>
      <c r="AH135" s="127">
        <f>VLOOKUP($O135,'NO USAR1'!$A$4:$L$403,6,False)*$Y$19</f>
        <v>0.2296792288</v>
      </c>
      <c r="AI135" s="127">
        <f>VLOOKUP($O135,'NO USAR1'!$A$4:$L$403,7,False)*$Z$19</f>
        <v>-0.001750877862</v>
      </c>
      <c r="AJ135" s="127">
        <f>VLOOKUP($O135,'NO USAR1'!$A$4:$L$403,8,False)*$AA$19</f>
        <v>-0.3417874133</v>
      </c>
      <c r="AK135" s="132">
        <f>VLOOKUP($O135,'NO USAR1'!$A$4:$L$403,10,False)*$AB$19</f>
        <v>-1.220740131</v>
      </c>
      <c r="AL135" s="127">
        <f>VLOOKUP($O135,'NO USAR1'!$A$4:$L$403,12,False)*$AC$19</f>
        <v>0.1535754731</v>
      </c>
      <c r="AM135" s="133">
        <f t="shared" si="2"/>
        <v>-1.220740131</v>
      </c>
      <c r="AN135" s="133">
        <f t="shared" si="3"/>
        <v>-2.008218121</v>
      </c>
    </row>
    <row r="136">
      <c r="A136" s="118" t="str">
        <f>IF(Update!B134="",ROW(Update!B134),Update!B134)</f>
        <v>Norman Powell</v>
      </c>
      <c r="B136" s="119">
        <f>IF(TYPE($A136)=1,"",(Update!$L134-B$1)/B$2)</f>
        <v>-0.04325510342</v>
      </c>
      <c r="C136" s="119">
        <f>IF(TYPE($A136)=1,"",(Update!$K134-C$1)/C$2)</f>
        <v>0.3423552914</v>
      </c>
      <c r="D136" s="119">
        <f>IF(TYPE($A136)=1,"",(Update!$M134-D$1)/D$2)</f>
        <v>-1.336140451</v>
      </c>
      <c r="E136" s="119">
        <f>IF(TYPE($A136)=1,"",(Update!$N134-E$1)/E$2)</f>
        <v>-0.9013525749</v>
      </c>
      <c r="F136" s="119">
        <f>IF(TYPE($A136)=1,"",(Update!$O134-F$1)/F$2)</f>
        <v>-0.6063863908</v>
      </c>
      <c r="G136" s="119">
        <f>IF(TYPE($A136)=1,"",(Update!$P134-G$1)/G$2)</f>
        <v>-0.5652834241</v>
      </c>
      <c r="H136" s="119">
        <f>IF(TYPE($A136)=1,"",(Update!$H134-H$1)/H$2*I136/$I$1)</f>
        <v>-0.3354129958</v>
      </c>
      <c r="I136" s="119">
        <f>IF(TYPE($A136)=1,"",IF(Update!H134=0,0,Update!G134/Update!H134))</f>
        <v>11.9</v>
      </c>
      <c r="J136" s="120">
        <f>IF(TYPE($A136)=1,"",(Update!$J134-J$1)/J$2*K136/$K$1)</f>
        <v>0.5194495438</v>
      </c>
      <c r="K136" s="121">
        <f>IF(TYPE($A136)=1,"",IF(Update!J134=0,0,Update!I134/Update!J134))</f>
        <v>4.6</v>
      </c>
      <c r="L136" s="119">
        <f>IF(TYPE($A136)=1,"",-(Update!$Q134-L$1)/L$2)</f>
        <v>0.6143018923</v>
      </c>
      <c r="N136" s="33">
        <v>116.0</v>
      </c>
      <c r="O136" s="130" t="str">
        <f>IF(Update!B128="",ROW(Update!B128),Update!B128)</f>
        <v>Ben Simmons</v>
      </c>
      <c r="P136" s="131">
        <f>Update!E128</f>
        <v>50</v>
      </c>
      <c r="Q136" s="131" t="str">
        <f>IF(Update!C128="",ROW(Update!N143),Update!C128)</f>
        <v>PG,SG,PF</v>
      </c>
      <c r="R136" s="127">
        <f>VLOOKUP($O136,'NO USAR1'!$A$4:$L$403,2,False)+VLOOKUP($O136,'NO USAR1'!$A$4:$L$403,3,False)+VLOOKUP($O136,'NO USAR1'!$A$4:$L$403,4,False)+VLOOKUP($O136,'NO USAR1'!$A$4:$L$403,5,False)+VLOOKUP($O136,'NO USAR1'!$A$4:$L$403,6,False)+VLOOKUP($O136,'NO USAR1'!$A$4:$L$403,7,False)+VLOOKUP($O136,'NO USAR1'!$A$4:$L$403,8,False)+VLOOKUP($O136,'NO USAR1'!$A$4:$L$403,10,False)+VLOOKUP($O136,'NO USAR1'!$A$4:$L$403,12,False)*0</f>
        <v>-2.163826636</v>
      </c>
      <c r="S136" s="127">
        <f>VLOOKUP($O136,'NO USAR1'!$A$4:$L$403,2,False)*$U$19+VLOOKUP($O136,'NO USAR1'!$A$4:$L$403,3,False)*$V$19+VLOOKUP($O136,'NO USAR1'!$A$4:$L$403,4,False)*$W$19+VLOOKUP($O136,'NO USAR1'!$A$4:$L$403,5,False)*$X$19+VLOOKUP($O136,'NO USAR1'!$A$4:$L$403,6,False)*$Y$19+VLOOKUP($O136,'NO USAR1'!$A$4:$L$403,7,False)*$Z$19+VLOOKUP($O136,'NO USAR1'!$A$4:$L$403,8,False)*$AA$19+VLOOKUP($O136,'NO USAR1'!$A$4:$L$403,10,False)*$AB$19+VLOOKUP($O136,'NO USAR1'!$A$4:$L$403,12,False)*$AC$19+IF(Projections!$K$3,-AN136, IF(Projections!$J$3,-AM136,0))</f>
        <v>-0.4818960305</v>
      </c>
      <c r="T136" s="127">
        <f t="shared" si="1"/>
        <v>1.681930605</v>
      </c>
      <c r="U136" s="127">
        <f>VLOOKUP($O136,Update!$B$2:$R$401,11,False)</f>
        <v>8.5</v>
      </c>
      <c r="V136" s="122">
        <f>VLOOKUP($O136,Update!$B$2:$R$401,10,False)</f>
        <v>0</v>
      </c>
      <c r="W136" s="127">
        <f>VLOOKUP($O136,Update!$B$2:$R$401,12,False)</f>
        <v>6.3</v>
      </c>
      <c r="X136" s="127">
        <f>VLOOKUP($O136,Update!$B$2:$R$401,13,False)</f>
        <v>6.2</v>
      </c>
      <c r="Y136" s="127">
        <f>VLOOKUP($O136,Update!$B$2:$R$401,14,False)</f>
        <v>1.3</v>
      </c>
      <c r="Z136" s="132">
        <f>VLOOKUP($O136,Update!$B$2:$R$401,15,False)</f>
        <v>0.6</v>
      </c>
      <c r="AA136" s="127">
        <f>100*VLOOKUP($O136,Update!$B$2:$R$401,7,False)</f>
        <v>56.33802817</v>
      </c>
      <c r="AB136" s="127">
        <f>100*VLOOKUP($O136,Update!$B$2:$R$401,9,False)</f>
        <v>42.85714286</v>
      </c>
      <c r="AC136" s="127">
        <f>VLOOKUP($O136,Update!$B$2:$Q$401,16,False)</f>
        <v>2.3</v>
      </c>
      <c r="AD136" s="127">
        <f>VLOOKUP($O136,'NO USAR1'!$A$4:$L$403,2,False)*$U$19</f>
        <v>-1.475729308</v>
      </c>
      <c r="AE136" s="127">
        <f>VLOOKUP($O136,'NO USAR1'!$A$4:$L$403,3,False)*$V$19</f>
        <v>-1.426137812</v>
      </c>
      <c r="AF136" s="127">
        <f>VLOOKUP($O136,'NO USAR1'!$A$4:$L$403,4,False)*$W$19</f>
        <v>0.08558212364</v>
      </c>
      <c r="AG136" s="127">
        <f>VLOOKUP($O136,'NO USAR1'!$A$4:$L$403,5,False)*$X$19</f>
        <v>1.20161797</v>
      </c>
      <c r="AH136" s="127">
        <f>VLOOKUP($O136,'NO USAR1'!$A$4:$L$403,6,False)*$Y$19</f>
        <v>0.6657790304</v>
      </c>
      <c r="AI136" s="127">
        <f>VLOOKUP($O136,'NO USAR1'!$A$4:$L$403,7,False)*$Z$19</f>
        <v>-0.1330667175</v>
      </c>
      <c r="AJ136" s="127">
        <f>VLOOKUP($O136,'NO USAR1'!$A$4:$L$403,8,False)*$AA$19</f>
        <v>0.477967461</v>
      </c>
      <c r="AK136" s="132">
        <f>VLOOKUP($O136,'NO USAR1'!$A$4:$L$403,10,False)*$AB$19</f>
        <v>-1.258843522</v>
      </c>
      <c r="AL136" s="127">
        <f>VLOOKUP($O136,'NO USAR1'!$A$4:$L$403,12,False)*$AC$19</f>
        <v>-0.09479456424</v>
      </c>
      <c r="AM136" s="133">
        <f t="shared" si="2"/>
        <v>-1.475729308</v>
      </c>
      <c r="AN136" s="133">
        <f t="shared" si="3"/>
        <v>-2.901867119</v>
      </c>
    </row>
    <row r="137">
      <c r="A137" s="118" t="str">
        <f>IF(Update!B135="",ROW(Update!B135),Update!B135)</f>
        <v>Bogdan Bogdanovic</v>
      </c>
      <c r="B137" s="119">
        <f>IF(TYPE($A137)=1,"",(Update!$L135-B$1)/B$2)</f>
        <v>-0.5825395097</v>
      </c>
      <c r="C137" s="119">
        <f>IF(TYPE($A137)=1,"",(Update!$K135-C$1)/C$2)</f>
        <v>0.8240935064</v>
      </c>
      <c r="D137" s="119">
        <f>IF(TYPE($A137)=1,"",(Update!$M135-D$1)/D$2)</f>
        <v>-1.127063602</v>
      </c>
      <c r="E137" s="119">
        <f>IF(TYPE($A137)=1,"",(Update!$N135-E$1)/E$2)</f>
        <v>-0.4840597161</v>
      </c>
      <c r="F137" s="119">
        <f>IF(TYPE($A137)=1,"",(Update!$O135-F$1)/F$2)</f>
        <v>-0.2948865325</v>
      </c>
      <c r="G137" s="119">
        <f>IF(TYPE($A137)=1,"",(Update!$P135-G$1)/G$2)</f>
        <v>-0.7528774808</v>
      </c>
      <c r="H137" s="119">
        <f>IF(TYPE($A137)=1,"",(Update!$H135-H$1)/H$2*I137/$I$1)</f>
        <v>-0.6710420148</v>
      </c>
      <c r="I137" s="119">
        <f>IF(TYPE($A137)=1,"",IF(Update!H135=0,0,Update!G135/Update!H135))</f>
        <v>11.3</v>
      </c>
      <c r="J137" s="120">
        <f>IF(TYPE($A137)=1,"",(Update!$J135-J$1)/J$2*K137/$K$1)</f>
        <v>0.1130356123</v>
      </c>
      <c r="K137" s="121">
        <f>IF(TYPE($A137)=1,"",IF(Update!J135=0,0,Update!I135/Update!J135))</f>
        <v>1.6</v>
      </c>
      <c r="L137" s="119">
        <f>IF(TYPE($A137)=1,"",-(Update!$Q135-L$1)/L$2)</f>
        <v>1.111041967</v>
      </c>
      <c r="N137" s="124">
        <v>117.0</v>
      </c>
      <c r="O137" s="130" t="str">
        <f>IF(Update!B101="",ROW(Update!B101),Update!B101)</f>
        <v>Mitchell Robinson</v>
      </c>
      <c r="P137" s="131">
        <f>Update!E101</f>
        <v>68</v>
      </c>
      <c r="Q137" s="131" t="str">
        <f>IF(Update!C101="",ROW(Update!N116),Update!C101)</f>
        <v>C</v>
      </c>
      <c r="R137" s="127">
        <f>VLOOKUP($O137,'NO USAR1'!$A$4:$L$403,2,False)+VLOOKUP($O137,'NO USAR1'!$A$4:$L$403,3,False)+VLOOKUP($O137,'NO USAR1'!$A$4:$L$403,4,False)+VLOOKUP($O137,'NO USAR1'!$A$4:$L$403,5,False)+VLOOKUP($O137,'NO USAR1'!$A$4:$L$403,6,False)+VLOOKUP($O137,'NO USAR1'!$A$4:$L$403,7,False)+VLOOKUP($O137,'NO USAR1'!$A$4:$L$403,8,False)+VLOOKUP($O137,'NO USAR1'!$A$4:$L$403,10,False)+VLOOKUP($O137,'NO USAR1'!$A$4:$L$403,12,False)*0</f>
        <v>-2.17898513</v>
      </c>
      <c r="S137" s="127">
        <f>VLOOKUP($O137,'NO USAR1'!$A$4:$L$403,2,False)*$U$19+VLOOKUP($O137,'NO USAR1'!$A$4:$L$403,3,False)*$V$19+VLOOKUP($O137,'NO USAR1'!$A$4:$L$403,4,False)*$W$19+VLOOKUP($O137,'NO USAR1'!$A$4:$L$403,5,False)*$X$19+VLOOKUP($O137,'NO USAR1'!$A$4:$L$403,6,False)*$Y$19+VLOOKUP($O137,'NO USAR1'!$A$4:$L$403,7,False)*$Z$19+VLOOKUP($O137,'NO USAR1'!$A$4:$L$403,8,False)*$AA$19+VLOOKUP($O137,'NO USAR1'!$A$4:$L$403,10,False)*$AB$19+VLOOKUP($O137,'NO USAR1'!$A$4:$L$403,12,False)*$AC$19+IF(Projections!$K$3,-AN137, IF(Projections!$J$3,-AM137,0))</f>
        <v>-0.3417220515</v>
      </c>
      <c r="T137" s="127">
        <f t="shared" si="1"/>
        <v>1.837263078</v>
      </c>
      <c r="U137" s="127">
        <f>VLOOKUP($O137,Update!$B$2:$R$401,11,False)</f>
        <v>8.3</v>
      </c>
      <c r="V137" s="122">
        <f>VLOOKUP($O137,Update!$B$2:$R$401,10,False)</f>
        <v>0</v>
      </c>
      <c r="W137" s="127">
        <f>VLOOKUP($O137,Update!$B$2:$R$401,12,False)</f>
        <v>9.3</v>
      </c>
      <c r="X137" s="127">
        <f>VLOOKUP($O137,Update!$B$2:$R$401,13,False)</f>
        <v>0.7</v>
      </c>
      <c r="Y137" s="127">
        <f>VLOOKUP($O137,Update!$B$2:$R$401,14,False)</f>
        <v>0.9</v>
      </c>
      <c r="Z137" s="132">
        <f>VLOOKUP($O137,Update!$B$2:$R$401,15,False)</f>
        <v>1.9</v>
      </c>
      <c r="AA137" s="127">
        <f>100*VLOOKUP($O137,Update!$B$2:$R$401,7,False)</f>
        <v>72</v>
      </c>
      <c r="AB137" s="127">
        <f>100*VLOOKUP($O137,Update!$B$2:$R$401,9,False)</f>
        <v>50</v>
      </c>
      <c r="AC137" s="127">
        <f>VLOOKUP($O137,Update!$B$2:$Q$401,16,False)</f>
        <v>0.8</v>
      </c>
      <c r="AD137" s="127">
        <f>VLOOKUP($O137,'NO USAR1'!$A$4:$L$403,2,False)*$U$19</f>
        <v>-1.509434583</v>
      </c>
      <c r="AE137" s="127">
        <f>VLOOKUP($O137,'NO USAR1'!$A$4:$L$403,3,False)*$V$19</f>
        <v>-1.426137812</v>
      </c>
      <c r="AF137" s="127">
        <f>VLOOKUP($O137,'NO USAR1'!$A$4:$L$403,4,False)*$W$19</f>
        <v>1.340043219</v>
      </c>
      <c r="AG137" s="127">
        <f>VLOOKUP($O137,'NO USAR1'!$A$4:$L$403,5,False)*$X$19</f>
        <v>-1.603517358</v>
      </c>
      <c r="AH137" s="127">
        <f>VLOOKUP($O137,'NO USAR1'!$A$4:$L$403,6,False)*$Y$19</f>
        <v>-0.2064205728</v>
      </c>
      <c r="AI137" s="127">
        <f>VLOOKUP($O137,'NO USAR1'!$A$4:$L$403,7,False)*$Z$19</f>
        <v>1.574039198</v>
      </c>
      <c r="AJ137" s="127">
        <f>VLOOKUP($O137,'NO USAR1'!$A$4:$L$403,8,False)*$AA$19</f>
        <v>1.118806601</v>
      </c>
      <c r="AK137" s="132">
        <f>VLOOKUP($O137,'NO USAR1'!$A$4:$L$403,10,False)*$AB$19</f>
        <v>-1.731289987</v>
      </c>
      <c r="AL137" s="127">
        <f>VLOOKUP($O137,'NO USAR1'!$A$4:$L$403,12,False)*$AC$19</f>
        <v>0.3708992557</v>
      </c>
      <c r="AM137" s="133">
        <f t="shared" si="2"/>
        <v>-1.731289987</v>
      </c>
      <c r="AN137" s="133">
        <f t="shared" si="3"/>
        <v>-3.334807345</v>
      </c>
    </row>
    <row r="138">
      <c r="A138" s="118" t="str">
        <f>IF(Update!B136="",ROW(Update!B136),Update!B136)</f>
        <v>Patrick Williams</v>
      </c>
      <c r="B138" s="119">
        <f>IF(TYPE($A138)=1,"",(Update!$L136-B$1)/B$2)</f>
        <v>-1.104971278</v>
      </c>
      <c r="C138" s="119">
        <f>IF(TYPE($A138)=1,"",(Update!$K136-C$1)/C$2)</f>
        <v>-0.2357305665</v>
      </c>
      <c r="D138" s="119">
        <f>IF(TYPE($A138)=1,"",(Update!$M136-D$1)/D$2)</f>
        <v>-0.7507252735</v>
      </c>
      <c r="E138" s="119">
        <f>IF(TYPE($A138)=1,"",(Update!$N136-E$1)/E$2)</f>
        <v>-1.225913687</v>
      </c>
      <c r="F138" s="119">
        <f>IF(TYPE($A138)=1,"",(Update!$O136-F$1)/F$2)</f>
        <v>-0.2948865325</v>
      </c>
      <c r="G138" s="119">
        <f>IF(TYPE($A138)=1,"",(Update!$P136-G$1)/G$2)</f>
        <v>0.3726868593</v>
      </c>
      <c r="H138" s="119">
        <f>IF(TYPE($A138)=1,"",(Update!$H136-H$1)/H$2*I138/$I$1)</f>
        <v>-0.1845338779</v>
      </c>
      <c r="I138" s="119">
        <f>IF(TYPE($A138)=1,"",IF(Update!H136=0,0,Update!G136/Update!H136))</f>
        <v>8.4</v>
      </c>
      <c r="J138" s="120">
        <f>IF(TYPE($A138)=1,"",(Update!$J136-J$1)/J$2*K138/$K$1)</f>
        <v>0.1130356123</v>
      </c>
      <c r="K138" s="121">
        <f>IF(TYPE($A138)=1,"",IF(Update!J136=0,0,Update!I136/Update!J136))</f>
        <v>1.6</v>
      </c>
      <c r="L138" s="119">
        <f>IF(TYPE($A138)=1,"",-(Update!$Q136-L$1)/L$2)</f>
        <v>0.8626719296</v>
      </c>
      <c r="N138" s="124">
        <v>118.0</v>
      </c>
      <c r="O138" s="130" t="str">
        <f>IF(Update!B121="",ROW(Update!B121),Update!B121)</f>
        <v>Kentavious Caldwell-Pope</v>
      </c>
      <c r="P138" s="131">
        <f>Update!E121</f>
        <v>76</v>
      </c>
      <c r="Q138" s="131" t="str">
        <f>IF(Update!C121="",ROW(Update!N136),Update!C121)</f>
        <v>SG,SF</v>
      </c>
      <c r="R138" s="127">
        <f>VLOOKUP($O138,'NO USAR1'!$A$4:$L$403,2,False)+VLOOKUP($O138,'NO USAR1'!$A$4:$L$403,3,False)+VLOOKUP($O138,'NO USAR1'!$A$4:$L$403,4,False)+VLOOKUP($O138,'NO USAR1'!$A$4:$L$403,5,False)+VLOOKUP($O138,'NO USAR1'!$A$4:$L$403,6,False)+VLOOKUP($O138,'NO USAR1'!$A$4:$L$403,7,False)+VLOOKUP($O138,'NO USAR1'!$A$4:$L$403,8,False)+VLOOKUP($O138,'NO USAR1'!$A$4:$L$403,10,False)+VLOOKUP($O138,'NO USAR1'!$A$4:$L$403,12,False)*0</f>
        <v>-2.183757645</v>
      </c>
      <c r="S138" s="127">
        <f>VLOOKUP($O138,'NO USAR1'!$A$4:$L$403,2,False)*$U$19+VLOOKUP($O138,'NO USAR1'!$A$4:$L$403,3,False)*$V$19+VLOOKUP($O138,'NO USAR1'!$A$4:$L$403,4,False)*$W$19+VLOOKUP($O138,'NO USAR1'!$A$4:$L$403,5,False)*$X$19+VLOOKUP($O138,'NO USAR1'!$A$4:$L$403,6,False)*$Y$19+VLOOKUP($O138,'NO USAR1'!$A$4:$L$403,7,False)*$Z$19+VLOOKUP($O138,'NO USAR1'!$A$4:$L$403,8,False)*$AA$19+VLOOKUP($O138,'NO USAR1'!$A$4:$L$403,10,False)*$AB$19+VLOOKUP($O138,'NO USAR1'!$A$4:$L$403,12,False)*$AC$19+IF(Projections!$K$3,-AN138, IF(Projections!$J$3,-AM138,0))</f>
        <v>-1.001154669</v>
      </c>
      <c r="T138" s="127">
        <f t="shared" si="1"/>
        <v>1.182602976</v>
      </c>
      <c r="U138" s="127">
        <f>VLOOKUP($O138,Update!$B$2:$R$401,11,False)</f>
        <v>12.1</v>
      </c>
      <c r="V138" s="122">
        <f>VLOOKUP($O138,Update!$B$2:$R$401,10,False)</f>
        <v>1.8</v>
      </c>
      <c r="W138" s="127">
        <f>VLOOKUP($O138,Update!$B$2:$R$401,12,False)</f>
        <v>3.1</v>
      </c>
      <c r="X138" s="127">
        <f>VLOOKUP($O138,Update!$B$2:$R$401,13,False)</f>
        <v>2.2</v>
      </c>
      <c r="Y138" s="127">
        <f>VLOOKUP($O138,Update!$B$2:$R$401,14,False)</f>
        <v>1.4</v>
      </c>
      <c r="Z138" s="132">
        <f>VLOOKUP($O138,Update!$B$2:$R$401,15,False)</f>
        <v>0.4</v>
      </c>
      <c r="AA138" s="127">
        <f>100*VLOOKUP($O138,Update!$B$2:$R$401,7,False)</f>
        <v>45.36082474</v>
      </c>
      <c r="AB138" s="127">
        <f>100*VLOOKUP($O138,Update!$B$2:$R$401,9,False)</f>
        <v>84.21052632</v>
      </c>
      <c r="AC138" s="127">
        <f>VLOOKUP($O138,Update!$B$2:$Q$401,16,False)</f>
        <v>1.2</v>
      </c>
      <c r="AD138" s="127">
        <f>VLOOKUP($O138,'NO USAR1'!$A$4:$L$403,2,False)*$U$19</f>
        <v>-0.8690343505</v>
      </c>
      <c r="AE138" s="127">
        <f>VLOOKUP($O138,'NO USAR1'!$A$4:$L$403,3,False)*$V$19</f>
        <v>0.1346940049</v>
      </c>
      <c r="AF138" s="127">
        <f>VLOOKUP($O138,'NO USAR1'!$A$4:$L$403,4,False)*$W$19</f>
        <v>-1.252509712</v>
      </c>
      <c r="AG138" s="127">
        <f>VLOOKUP($O138,'NO USAR1'!$A$4:$L$403,5,False)*$X$19</f>
        <v>-0.8384804508</v>
      </c>
      <c r="AH138" s="127">
        <f>VLOOKUP($O138,'NO USAR1'!$A$4:$L$403,6,False)*$Y$19</f>
        <v>0.8838289312</v>
      </c>
      <c r="AI138" s="127">
        <f>VLOOKUP($O138,'NO USAR1'!$A$4:$L$403,7,False)*$Z$19</f>
        <v>-0.3956983969</v>
      </c>
      <c r="AJ138" s="127">
        <f>VLOOKUP($O138,'NO USAR1'!$A$4:$L$403,8,False)*$AA$19</f>
        <v>-0.4105824295</v>
      </c>
      <c r="AK138" s="132">
        <f>VLOOKUP($O138,'NO USAR1'!$A$4:$L$403,10,False)*$AB$19</f>
        <v>0.2474037858</v>
      </c>
      <c r="AL138" s="127">
        <f>VLOOKUP($O138,'NO USAR1'!$A$4:$L$403,12,False)*$AC$19</f>
        <v>0.2467142371</v>
      </c>
      <c r="AM138" s="133">
        <f t="shared" si="2"/>
        <v>-1.252509712</v>
      </c>
      <c r="AN138" s="133">
        <f t="shared" si="3"/>
        <v>-2.121544062</v>
      </c>
    </row>
    <row r="139">
      <c r="A139" s="118" t="str">
        <f>IF(Update!B137="",ROW(Update!B137),Update!B137)</f>
        <v>Josh Richardson</v>
      </c>
      <c r="B139" s="119">
        <f>IF(TYPE($A139)=1,"",(Update!$L137-B$1)/B$2)</f>
        <v>-0.9364449013</v>
      </c>
      <c r="C139" s="119">
        <f>IF(TYPE($A139)=1,"",(Update!$K137-C$1)/C$2)</f>
        <v>0.2460076484</v>
      </c>
      <c r="D139" s="119">
        <f>IF(TYPE($A139)=1,"",(Update!$M137-D$1)/D$2)</f>
        <v>-1.210694342</v>
      </c>
      <c r="E139" s="119">
        <f>IF(TYPE($A139)=1,"",(Update!$N137-E$1)/E$2)</f>
        <v>-0.5767914625</v>
      </c>
      <c r="F139" s="119">
        <f>IF(TYPE($A139)=1,"",(Update!$O137-F$1)/F$2)</f>
        <v>0.3281131841</v>
      </c>
      <c r="G139" s="119">
        <f>IF(TYPE($A139)=1,"",(Update!$P137-G$1)/G$2)</f>
        <v>-0.5652834241</v>
      </c>
      <c r="H139" s="119">
        <f>IF(TYPE($A139)=1,"",(Update!$H137-H$1)/H$2*I139/$I$1)</f>
        <v>-0.6781727059</v>
      </c>
      <c r="I139" s="119">
        <f>IF(TYPE($A139)=1,"",IF(Update!H137=0,0,Update!G137/Update!H137))</f>
        <v>9.7</v>
      </c>
      <c r="J139" s="120">
        <f>IF(TYPE($A139)=1,"",(Update!$J137-J$1)/J$2*K139/$K$1)</f>
        <v>0.4895974392</v>
      </c>
      <c r="K139" s="121">
        <f>IF(TYPE($A139)=1,"",IF(Update!J137=0,0,Update!I137/Update!J137))</f>
        <v>1.7</v>
      </c>
      <c r="L139" s="119">
        <f>IF(TYPE($A139)=1,"",-(Update!$Q137-L$1)/L$2)</f>
        <v>0.738486911</v>
      </c>
      <c r="N139" s="33">
        <v>119.0</v>
      </c>
      <c r="O139" s="130" t="str">
        <f>IF(Update!B125="",ROW(Update!B125),Update!B125)</f>
        <v>Tari Eason</v>
      </c>
      <c r="P139" s="131">
        <f>Update!E125</f>
        <v>78</v>
      </c>
      <c r="Q139" s="131" t="str">
        <f>IF(Update!C125="",ROW(Update!N140),Update!C125)</f>
        <v>SF,PF</v>
      </c>
      <c r="R139" s="127">
        <f>VLOOKUP($O139,'NO USAR1'!$A$4:$L$403,2,False)+VLOOKUP($O139,'NO USAR1'!$A$4:$L$403,3,False)+VLOOKUP($O139,'NO USAR1'!$A$4:$L$403,4,False)+VLOOKUP($O139,'NO USAR1'!$A$4:$L$403,5,False)+VLOOKUP($O139,'NO USAR1'!$A$4:$L$403,6,False)+VLOOKUP($O139,'NO USAR1'!$A$4:$L$403,7,False)+VLOOKUP($O139,'NO USAR1'!$A$4:$L$403,8,False)+VLOOKUP($O139,'NO USAR1'!$A$4:$L$403,10,False)+VLOOKUP($O139,'NO USAR1'!$A$4:$L$403,12,False)*0</f>
        <v>-2.218113609</v>
      </c>
      <c r="S139" s="127">
        <f>VLOOKUP($O139,'NO USAR1'!$A$4:$L$403,2,False)*$U$19+VLOOKUP($O139,'NO USAR1'!$A$4:$L$403,3,False)*$V$19+VLOOKUP($O139,'NO USAR1'!$A$4:$L$403,4,False)*$W$19+VLOOKUP($O139,'NO USAR1'!$A$4:$L$403,5,False)*$X$19+VLOOKUP($O139,'NO USAR1'!$A$4:$L$403,6,False)*$Y$19+VLOOKUP($O139,'NO USAR1'!$A$4:$L$403,7,False)*$Z$19+VLOOKUP($O139,'NO USAR1'!$A$4:$L$403,8,False)*$AA$19+VLOOKUP($O139,'NO USAR1'!$A$4:$L$403,10,False)*$AB$19+VLOOKUP($O139,'NO USAR1'!$A$4:$L$403,12,False)*$AC$19+IF(Projections!$K$3,-AN139, IF(Projections!$J$3,-AM139,0))</f>
        <v>-0.9722019835</v>
      </c>
      <c r="T139" s="127">
        <f t="shared" si="1"/>
        <v>1.245911626</v>
      </c>
      <c r="U139" s="127">
        <f>VLOOKUP($O139,Update!$B$2:$R$401,11,False)</f>
        <v>11.4</v>
      </c>
      <c r="V139" s="122">
        <f>VLOOKUP($O139,Update!$B$2:$R$401,10,False)</f>
        <v>0.9</v>
      </c>
      <c r="W139" s="127">
        <f>VLOOKUP($O139,Update!$B$2:$R$401,12,False)</f>
        <v>7.4</v>
      </c>
      <c r="X139" s="127">
        <f>VLOOKUP($O139,Update!$B$2:$R$401,13,False)</f>
        <v>1.3</v>
      </c>
      <c r="Y139" s="127">
        <f>VLOOKUP($O139,Update!$B$2:$R$401,14,False)</f>
        <v>1.3</v>
      </c>
      <c r="Z139" s="132">
        <f>VLOOKUP($O139,Update!$B$2:$R$401,15,False)</f>
        <v>0.7</v>
      </c>
      <c r="AA139" s="127">
        <f>100*VLOOKUP($O139,Update!$B$2:$R$401,7,False)</f>
        <v>45.91836735</v>
      </c>
      <c r="AB139" s="127">
        <f>100*VLOOKUP($O139,Update!$B$2:$R$401,9,False)</f>
        <v>72.72727273</v>
      </c>
      <c r="AC139" s="127">
        <f>VLOOKUP($O139,Update!$B$2:$Q$401,16,False)</f>
        <v>1.5</v>
      </c>
      <c r="AD139" s="127">
        <f>VLOOKUP($O139,'NO USAR1'!$A$4:$L$403,2,False)*$U$19</f>
        <v>-0.9870028144</v>
      </c>
      <c r="AE139" s="127">
        <f>VLOOKUP($O139,'NO USAR1'!$A$4:$L$403,3,False)*$V$19</f>
        <v>-0.6457219034</v>
      </c>
      <c r="AF139" s="127">
        <f>VLOOKUP($O139,'NO USAR1'!$A$4:$L$403,4,False)*$W$19</f>
        <v>0.5455511921</v>
      </c>
      <c r="AG139" s="127">
        <f>VLOOKUP($O139,'NO USAR1'!$A$4:$L$403,5,False)*$X$19</f>
        <v>-1.297502595</v>
      </c>
      <c r="AH139" s="127">
        <f>VLOOKUP($O139,'NO USAR1'!$A$4:$L$403,6,False)*$Y$19</f>
        <v>0.6657790304</v>
      </c>
      <c r="AI139" s="127">
        <f>VLOOKUP($O139,'NO USAR1'!$A$4:$L$403,7,False)*$Z$19</f>
        <v>-0.001750877862</v>
      </c>
      <c r="AJ139" s="127">
        <f>VLOOKUP($O139,'NO USAR1'!$A$4:$L$403,8,False)*$AA$19</f>
        <v>-0.3602380766</v>
      </c>
      <c r="AK139" s="132">
        <f>VLOOKUP($O139,'NO USAR1'!$A$4:$L$403,10,False)*$AB$19</f>
        <v>-0.3423940069</v>
      </c>
      <c r="AL139" s="127">
        <f>VLOOKUP($O139,'NO USAR1'!$A$4:$L$403,12,False)*$AC$19</f>
        <v>0.1535754731</v>
      </c>
      <c r="AM139" s="133">
        <f t="shared" si="2"/>
        <v>-1.297502595</v>
      </c>
      <c r="AN139" s="133">
        <f t="shared" si="3"/>
        <v>-2.28450541</v>
      </c>
    </row>
    <row r="140">
      <c r="A140" s="118" t="str">
        <f>IF(Update!B138="",ROW(Update!B138),Update!B138)</f>
        <v>Caleb Martin</v>
      </c>
      <c r="B140" s="119">
        <f>IF(TYPE($A140)=1,"",(Update!$L138-B$1)/B$2)</f>
        <v>-1.104971278</v>
      </c>
      <c r="C140" s="119">
        <f>IF(TYPE($A140)=1,"",(Update!$K138-C$1)/C$2)</f>
        <v>-0.3320782095</v>
      </c>
      <c r="D140" s="119">
        <f>IF(TYPE($A140)=1,"",(Update!$M138-D$1)/D$2)</f>
        <v>-0.4580176845</v>
      </c>
      <c r="E140" s="119">
        <f>IF(TYPE($A140)=1,"",(Update!$N138-E$1)/E$2)</f>
        <v>-1.040450194</v>
      </c>
      <c r="F140" s="119">
        <f>IF(TYPE($A140)=1,"",(Update!$O138-F$1)/F$2)</f>
        <v>0.3281131841</v>
      </c>
      <c r="G140" s="119">
        <f>IF(TYPE($A140)=1,"",(Update!$P138-G$1)/G$2)</f>
        <v>-0.3776893674</v>
      </c>
      <c r="H140" s="119">
        <f>IF(TYPE($A140)=1,"",(Update!$H138-H$1)/H$2*I140/$I$1)</f>
        <v>-0.1294870445</v>
      </c>
      <c r="I140" s="119">
        <f>IF(TYPE($A140)=1,"",IF(Update!H138=0,0,Update!G138/Update!H138))</f>
        <v>8.3</v>
      </c>
      <c r="J140" s="120">
        <f>IF(TYPE($A140)=1,"",(Update!$J138-J$1)/J$2*K140/$K$1)</f>
        <v>-0.06730709467</v>
      </c>
      <c r="K140" s="121">
        <f>IF(TYPE($A140)=1,"",IF(Update!J138=0,0,Update!I138/Update!J138))</f>
        <v>1.8</v>
      </c>
      <c r="L140" s="119">
        <f>IF(TYPE($A140)=1,"",-(Update!$Q138-L$1)/L$2)</f>
        <v>1.111041967</v>
      </c>
      <c r="N140" s="124">
        <v>120.0</v>
      </c>
      <c r="O140" s="130" t="str">
        <f>IF(Update!B104="",ROW(Update!B104),Update!B104)</f>
        <v>Al Horford</v>
      </c>
      <c r="P140" s="131">
        <f>Update!E104</f>
        <v>58</v>
      </c>
      <c r="Q140" s="131" t="str">
        <f>IF(Update!C104="",ROW(Update!N119),Update!C104)</f>
        <v>PF,C</v>
      </c>
      <c r="R140" s="127">
        <f>VLOOKUP($O140,'NO USAR1'!$A$4:$L$403,2,False)+VLOOKUP($O140,'NO USAR1'!$A$4:$L$403,3,False)+VLOOKUP($O140,'NO USAR1'!$A$4:$L$403,4,False)+VLOOKUP($O140,'NO USAR1'!$A$4:$L$403,5,False)+VLOOKUP($O140,'NO USAR1'!$A$4:$L$403,6,False)+VLOOKUP($O140,'NO USAR1'!$A$4:$L$403,7,False)+VLOOKUP($O140,'NO USAR1'!$A$4:$L$403,8,False)+VLOOKUP($O140,'NO USAR1'!$A$4:$L$403,10,False)+VLOOKUP($O140,'NO USAR1'!$A$4:$L$403,12,False)*0</f>
        <v>-2.275651391</v>
      </c>
      <c r="S140" s="127">
        <f>VLOOKUP($O140,'NO USAR1'!$A$4:$L$403,2,False)*$U$19+VLOOKUP($O140,'NO USAR1'!$A$4:$L$403,3,False)*$V$19+VLOOKUP($O140,'NO USAR1'!$A$4:$L$403,4,False)*$W$19+VLOOKUP($O140,'NO USAR1'!$A$4:$L$403,5,False)*$X$19+VLOOKUP($O140,'NO USAR1'!$A$4:$L$403,6,False)*$Y$19+VLOOKUP($O140,'NO USAR1'!$A$4:$L$403,7,False)*$Z$19+VLOOKUP($O140,'NO USAR1'!$A$4:$L$403,8,False)*$AA$19+VLOOKUP($O140,'NO USAR1'!$A$4:$L$403,10,False)*$AB$19+VLOOKUP($O140,'NO USAR1'!$A$4:$L$403,12,False)*$AC$19+IF(Projections!$K$3,-AN140, IF(Projections!$J$3,-AM140,0))</f>
        <v>-0.4054452817</v>
      </c>
      <c r="T140" s="127">
        <f t="shared" si="1"/>
        <v>1.870206109</v>
      </c>
      <c r="U140" s="127">
        <f>VLOOKUP($O140,Update!$B$2:$R$401,11,False)</f>
        <v>9.4</v>
      </c>
      <c r="V140" s="122">
        <f>VLOOKUP($O140,Update!$B$2:$R$401,10,False)</f>
        <v>1.7</v>
      </c>
      <c r="W140" s="127">
        <f>VLOOKUP($O140,Update!$B$2:$R$401,12,False)</f>
        <v>6.6</v>
      </c>
      <c r="X140" s="127">
        <f>VLOOKUP($O140,Update!$B$2:$R$401,13,False)</f>
        <v>3</v>
      </c>
      <c r="Y140" s="127">
        <f>VLOOKUP($O140,Update!$B$2:$R$401,14,False)</f>
        <v>0.6</v>
      </c>
      <c r="Z140" s="132">
        <f>VLOOKUP($O140,Update!$B$2:$R$401,15,False)</f>
        <v>1.1</v>
      </c>
      <c r="AA140" s="127">
        <f>100*VLOOKUP($O140,Update!$B$2:$R$401,7,False)</f>
        <v>46.66666667</v>
      </c>
      <c r="AB140" s="127">
        <f>100*VLOOKUP($O140,Update!$B$2:$R$401,9,False)</f>
        <v>75</v>
      </c>
      <c r="AC140" s="127">
        <f>VLOOKUP($O140,Update!$B$2:$Q$401,16,False)</f>
        <v>0.7</v>
      </c>
      <c r="AD140" s="127">
        <f>VLOOKUP($O140,'NO USAR1'!$A$4:$L$403,2,False)*$U$19</f>
        <v>-1.324055568</v>
      </c>
      <c r="AE140" s="127">
        <f>VLOOKUP($O140,'NO USAR1'!$A$4:$L$403,3,False)*$V$19</f>
        <v>0.04798112621</v>
      </c>
      <c r="AF140" s="127">
        <f>VLOOKUP($O140,'NO USAR1'!$A$4:$L$403,4,False)*$W$19</f>
        <v>0.2110282332</v>
      </c>
      <c r="AG140" s="127">
        <f>VLOOKUP($O140,'NO USAR1'!$A$4:$L$403,5,False)*$X$19</f>
        <v>-0.4304607667</v>
      </c>
      <c r="AH140" s="127">
        <f>VLOOKUP($O140,'NO USAR1'!$A$4:$L$403,6,False)*$Y$19</f>
        <v>-0.8605702752</v>
      </c>
      <c r="AI140" s="127">
        <f>VLOOKUP($O140,'NO USAR1'!$A$4:$L$403,7,False)*$Z$19</f>
        <v>0.5235124808</v>
      </c>
      <c r="AJ140" s="127">
        <f>VLOOKUP($O140,'NO USAR1'!$A$4:$L$403,8,False)*$AA$19</f>
        <v>-0.219633654</v>
      </c>
      <c r="AK140" s="132">
        <f>VLOOKUP($O140,'NO USAR1'!$A$4:$L$403,10,False)*$AB$19</f>
        <v>-0.07924793652</v>
      </c>
      <c r="AL140" s="127">
        <f>VLOOKUP($O140,'NO USAR1'!$A$4:$L$403,12,False)*$AC$19</f>
        <v>0.4019455104</v>
      </c>
      <c r="AM140" s="133">
        <f t="shared" si="2"/>
        <v>-1.324055568</v>
      </c>
      <c r="AN140" s="133">
        <f t="shared" si="3"/>
        <v>-2.184625843</v>
      </c>
    </row>
    <row r="141">
      <c r="A141" s="118" t="str">
        <f>IF(Update!B139="",ROW(Update!B139),Update!B139)</f>
        <v>Donte DiVincenzo</v>
      </c>
      <c r="B141" s="119">
        <f>IF(TYPE($A141)=1,"",(Update!$L139-B$1)/B$2)</f>
        <v>-1.340908206</v>
      </c>
      <c r="C141" s="119">
        <f>IF(TYPE($A141)=1,"",(Update!$K139-C$1)/C$2)</f>
        <v>0.3423552914</v>
      </c>
      <c r="D141" s="119">
        <f>IF(TYPE($A141)=1,"",(Update!$M139-D$1)/D$2)</f>
        <v>-0.7507252735</v>
      </c>
      <c r="E141" s="119">
        <f>IF(TYPE($A141)=1,"",(Update!$N139-E$1)/E$2)</f>
        <v>-0.2985962234</v>
      </c>
      <c r="F141" s="119">
        <f>IF(TYPE($A141)=1,"",(Update!$O139-F$1)/F$2)</f>
        <v>0.9511129006</v>
      </c>
      <c r="G141" s="119">
        <f>IF(TYPE($A141)=1,"",(Update!$P139-G$1)/G$2)</f>
        <v>-0.9404715375</v>
      </c>
      <c r="H141" s="119">
        <f>IF(TYPE($A141)=1,"",(Update!$H139-H$1)/H$2*I141/$I$1)</f>
        <v>-0.5778837394</v>
      </c>
      <c r="I141" s="119">
        <f>IF(TYPE($A141)=1,"",IF(Update!H139=0,0,Update!G139/Update!H139))</f>
        <v>7.3</v>
      </c>
      <c r="J141" s="120">
        <f>IF(TYPE($A141)=1,"",(Update!$J139-J$1)/J$2*K141/$K$1)</f>
        <v>-0.01777713435</v>
      </c>
      <c r="K141" s="121">
        <f>IF(TYPE($A141)=1,"",IF(Update!J139=0,0,Update!I139/Update!J139))</f>
        <v>1.4</v>
      </c>
      <c r="L141" s="119">
        <f>IF(TYPE($A141)=1,"",-(Update!$Q139-L$1)/L$2)</f>
        <v>0.4901168736</v>
      </c>
      <c r="N141" s="124">
        <v>121.0</v>
      </c>
      <c r="O141" s="130" t="str">
        <f>IF(Update!B123="",ROW(Update!B123),Update!B123)</f>
        <v>Kyle Anderson</v>
      </c>
      <c r="P141" s="131">
        <f>Update!E123</f>
        <v>69</v>
      </c>
      <c r="Q141" s="131" t="str">
        <f>IF(Update!C123="",ROW(Update!N138),Update!C123)</f>
        <v>SF,PF</v>
      </c>
      <c r="R141" s="127">
        <f>VLOOKUP($O141,'NO USAR1'!$A$4:$L$403,2,False)+VLOOKUP($O141,'NO USAR1'!$A$4:$L$403,3,False)+VLOOKUP($O141,'NO USAR1'!$A$4:$L$403,4,False)+VLOOKUP($O141,'NO USAR1'!$A$4:$L$403,5,False)+VLOOKUP($O141,'NO USAR1'!$A$4:$L$403,6,False)+VLOOKUP($O141,'NO USAR1'!$A$4:$L$403,7,False)+VLOOKUP($O141,'NO USAR1'!$A$4:$L$403,8,False)+VLOOKUP($O141,'NO USAR1'!$A$4:$L$403,10,False)+VLOOKUP($O141,'NO USAR1'!$A$4:$L$403,12,False)*0</f>
        <v>-2.322663412</v>
      </c>
      <c r="S141" s="127">
        <f>VLOOKUP($O141,'NO USAR1'!$A$4:$L$403,2,False)*$U$19+VLOOKUP($O141,'NO USAR1'!$A$4:$L$403,3,False)*$V$19+VLOOKUP($O141,'NO USAR1'!$A$4:$L$403,4,False)*$W$19+VLOOKUP($O141,'NO USAR1'!$A$4:$L$403,5,False)*$X$19+VLOOKUP($O141,'NO USAR1'!$A$4:$L$403,6,False)*$Y$19+VLOOKUP($O141,'NO USAR1'!$A$4:$L$403,7,False)*$Z$19+VLOOKUP($O141,'NO USAR1'!$A$4:$L$403,8,False)*$AA$19+VLOOKUP($O141,'NO USAR1'!$A$4:$L$403,10,False)*$AB$19+VLOOKUP($O141,'NO USAR1'!$A$4:$L$403,12,False)*$AC$19+IF(Projections!$K$3,-AN141, IF(Projections!$J$3,-AM141,0))</f>
        <v>-0.7330588404</v>
      </c>
      <c r="T141" s="127">
        <f t="shared" si="1"/>
        <v>1.589604572</v>
      </c>
      <c r="U141" s="127">
        <f>VLOOKUP($O141,Update!$B$2:$R$401,11,False)</f>
        <v>9.2</v>
      </c>
      <c r="V141" s="122">
        <f>VLOOKUP($O141,Update!$B$2:$R$401,10,False)</f>
        <v>0.6</v>
      </c>
      <c r="W141" s="127">
        <f>VLOOKUP($O141,Update!$B$2:$R$401,12,False)</f>
        <v>5.6</v>
      </c>
      <c r="X141" s="127">
        <f>VLOOKUP($O141,Update!$B$2:$R$401,13,False)</f>
        <v>3.9</v>
      </c>
      <c r="Y141" s="127">
        <f>VLOOKUP($O141,Update!$B$2:$R$401,14,False)</f>
        <v>1.1</v>
      </c>
      <c r="Z141" s="132">
        <f>VLOOKUP($O141,Update!$B$2:$R$401,15,False)</f>
        <v>0.8</v>
      </c>
      <c r="AA141" s="127">
        <f>100*VLOOKUP($O141,Update!$B$2:$R$401,7,False)</f>
        <v>50.68493151</v>
      </c>
      <c r="AB141" s="127">
        <f>100*VLOOKUP($O141,Update!$B$2:$R$401,9,False)</f>
        <v>72.22222222</v>
      </c>
      <c r="AC141" s="127">
        <f>VLOOKUP($O141,Update!$B$2:$Q$401,16,False)</f>
        <v>1.3</v>
      </c>
      <c r="AD141" s="127">
        <f>VLOOKUP($O141,'NO USAR1'!$A$4:$L$403,2,False)*$U$19</f>
        <v>-1.357760844</v>
      </c>
      <c r="AE141" s="127">
        <f>VLOOKUP($O141,'NO USAR1'!$A$4:$L$403,3,False)*$V$19</f>
        <v>-0.9058605394</v>
      </c>
      <c r="AF141" s="127">
        <f>VLOOKUP($O141,'NO USAR1'!$A$4:$L$403,4,False)*$W$19</f>
        <v>-0.2071254654</v>
      </c>
      <c r="AG141" s="127">
        <f>VLOOKUP($O141,'NO USAR1'!$A$4:$L$403,5,False)*$X$19</f>
        <v>0.02856137789</v>
      </c>
      <c r="AH141" s="127">
        <f>VLOOKUP($O141,'NO USAR1'!$A$4:$L$403,6,False)*$Y$19</f>
        <v>0.2296792288</v>
      </c>
      <c r="AI141" s="127">
        <f>VLOOKUP($O141,'NO USAR1'!$A$4:$L$403,7,False)*$Z$19</f>
        <v>0.1295649618</v>
      </c>
      <c r="AJ141" s="127">
        <f>VLOOKUP($O141,'NO USAR1'!$A$4:$L$403,8,False)*$AA$19</f>
        <v>0.07922365205</v>
      </c>
      <c r="AK141" s="132">
        <f>VLOOKUP($O141,'NO USAR1'!$A$4:$L$403,10,False)*$AB$19</f>
        <v>-0.3027700386</v>
      </c>
      <c r="AL141" s="127">
        <f>VLOOKUP($O141,'NO USAR1'!$A$4:$L$403,12,False)*$AC$19</f>
        <v>0.2156679824</v>
      </c>
      <c r="AM141" s="133">
        <f t="shared" si="2"/>
        <v>-1.357760844</v>
      </c>
      <c r="AN141" s="133">
        <f t="shared" si="3"/>
        <v>-2.263621383</v>
      </c>
    </row>
    <row r="142">
      <c r="A142" s="118" t="str">
        <f>IF(Update!B140="",ROW(Update!B140),Update!B140)</f>
        <v>P.J. Washington</v>
      </c>
      <c r="B142" s="119">
        <f>IF(TYPE($A142)=1,"",(Update!$L140-B$1)/B$2)</f>
        <v>-0.8858869882</v>
      </c>
      <c r="C142" s="119">
        <f>IF(TYPE($A142)=1,"",(Update!$K140-C$1)/C$2)</f>
        <v>0.05331236246</v>
      </c>
      <c r="D142" s="119">
        <f>IF(TYPE($A142)=1,"",(Update!$M140-D$1)/D$2)</f>
        <v>-0.6252791639</v>
      </c>
      <c r="E142" s="119">
        <f>IF(TYPE($A142)=1,"",(Update!$N140-E$1)/E$2)</f>
        <v>-0.8086208285</v>
      </c>
      <c r="F142" s="119">
        <f>IF(TYPE($A142)=1,"",(Update!$O140-F$1)/F$2)</f>
        <v>-0.6063863908</v>
      </c>
      <c r="G142" s="119">
        <f>IF(TYPE($A142)=1,"",(Update!$P140-G$1)/G$2)</f>
        <v>0.3726868593</v>
      </c>
      <c r="H142" s="119">
        <f>IF(TYPE($A142)=1,"",(Update!$H140-H$1)/H$2*I142/$I$1)</f>
        <v>-0.5103581965</v>
      </c>
      <c r="I142" s="119">
        <f>IF(TYPE($A142)=1,"",IF(Update!H140=0,0,Update!G140/Update!H140))</f>
        <v>10</v>
      </c>
      <c r="J142" s="120">
        <f>IF(TYPE($A142)=1,"",(Update!$J140-J$1)/J$2*K142/$K$1)</f>
        <v>-0.4438689216</v>
      </c>
      <c r="K142" s="121">
        <f>IF(TYPE($A142)=1,"",IF(Update!J140=0,0,Update!I140/Update!J140))</f>
        <v>1.7</v>
      </c>
      <c r="L142" s="119">
        <f>IF(TYPE($A142)=1,"",-(Update!$Q140-L$1)/L$2)</f>
        <v>0.8626719296</v>
      </c>
      <c r="N142" s="33">
        <v>122.0</v>
      </c>
      <c r="O142" s="130" t="str">
        <f>IF(Update!B127="",ROW(Update!B127),Update!B127)</f>
        <v>Jarred Vanderbilt</v>
      </c>
      <c r="P142" s="131">
        <f>Update!E127</f>
        <v>76</v>
      </c>
      <c r="Q142" s="131" t="str">
        <f>IF(Update!C127="",ROW(Update!N142),Update!C127)</f>
        <v>PF</v>
      </c>
      <c r="R142" s="127">
        <f>VLOOKUP($O142,'NO USAR1'!$A$4:$L$403,2,False)+VLOOKUP($O142,'NO USAR1'!$A$4:$L$403,3,False)+VLOOKUP($O142,'NO USAR1'!$A$4:$L$403,4,False)+VLOOKUP($O142,'NO USAR1'!$A$4:$L$403,5,False)+VLOOKUP($O142,'NO USAR1'!$A$4:$L$403,6,False)+VLOOKUP($O142,'NO USAR1'!$A$4:$L$403,7,False)+VLOOKUP($O142,'NO USAR1'!$A$4:$L$403,8,False)+VLOOKUP($O142,'NO USAR1'!$A$4:$L$403,10,False)+VLOOKUP($O142,'NO USAR1'!$A$4:$L$403,12,False)*0</f>
        <v>-2.340545177</v>
      </c>
      <c r="S142" s="127">
        <f>VLOOKUP($O142,'NO USAR1'!$A$4:$L$403,2,False)*$U$19+VLOOKUP($O142,'NO USAR1'!$A$4:$L$403,3,False)*$V$19+VLOOKUP($O142,'NO USAR1'!$A$4:$L$403,4,False)*$W$19+VLOOKUP($O142,'NO USAR1'!$A$4:$L$403,5,False)*$X$19+VLOOKUP($O142,'NO USAR1'!$A$4:$L$403,6,False)*$Y$19+VLOOKUP($O142,'NO USAR1'!$A$4:$L$403,7,False)*$Z$19+VLOOKUP($O142,'NO USAR1'!$A$4:$L$403,8,False)*$AA$19+VLOOKUP($O142,'NO USAR1'!$A$4:$L$403,10,False)*$AB$19+VLOOKUP($O142,'NO USAR1'!$A$4:$L$403,12,False)*$AC$19+IF(Projections!$K$3,-AN142, IF(Projections!$J$3,-AM142,0))</f>
        <v>-0.5743104966</v>
      </c>
      <c r="T142" s="127">
        <f t="shared" si="1"/>
        <v>1.76623468</v>
      </c>
      <c r="U142" s="127">
        <f>VLOOKUP($O142,Update!$B$2:$R$401,11,False)</f>
        <v>8</v>
      </c>
      <c r="V142" s="122">
        <f>VLOOKUP($O142,Update!$B$2:$R$401,10,False)</f>
        <v>0.2</v>
      </c>
      <c r="W142" s="127">
        <f>VLOOKUP($O142,Update!$B$2:$R$401,12,False)</f>
        <v>8.6</v>
      </c>
      <c r="X142" s="127">
        <f>VLOOKUP($O142,Update!$B$2:$R$401,13,False)</f>
        <v>2</v>
      </c>
      <c r="Y142" s="127">
        <f>VLOOKUP($O142,Update!$B$2:$R$401,14,False)</f>
        <v>1.3</v>
      </c>
      <c r="Z142" s="132">
        <f>VLOOKUP($O142,Update!$B$2:$R$401,15,False)</f>
        <v>0.5</v>
      </c>
      <c r="AA142" s="127">
        <f>100*VLOOKUP($O142,Update!$B$2:$R$401,7,False)</f>
        <v>56.89655172</v>
      </c>
      <c r="AB142" s="127">
        <f>100*VLOOKUP($O142,Update!$B$2:$R$401,9,False)</f>
        <v>68.42105263</v>
      </c>
      <c r="AC142" s="127">
        <f>VLOOKUP($O142,Update!$B$2:$Q$401,16,False)</f>
        <v>1.2</v>
      </c>
      <c r="AD142" s="127">
        <f>VLOOKUP($O142,'NO USAR1'!$A$4:$L$403,2,False)*$U$19</f>
        <v>-1.559992496</v>
      </c>
      <c r="AE142" s="127">
        <f>VLOOKUP($O142,'NO USAR1'!$A$4:$L$403,3,False)*$V$19</f>
        <v>-1.252712054</v>
      </c>
      <c r="AF142" s="127">
        <f>VLOOKUP($O142,'NO USAR1'!$A$4:$L$403,4,False)*$W$19</f>
        <v>1.04733563</v>
      </c>
      <c r="AG142" s="127">
        <f>VLOOKUP($O142,'NO USAR1'!$A$4:$L$403,5,False)*$X$19</f>
        <v>-0.9404853718</v>
      </c>
      <c r="AH142" s="127">
        <f>VLOOKUP($O142,'NO USAR1'!$A$4:$L$403,6,False)*$Y$19</f>
        <v>0.6657790304</v>
      </c>
      <c r="AI142" s="127">
        <f>VLOOKUP($O142,'NO USAR1'!$A$4:$L$403,7,False)*$Z$19</f>
        <v>-0.2643825572</v>
      </c>
      <c r="AJ142" s="127">
        <f>VLOOKUP($O142,'NO USAR1'!$A$4:$L$403,8,False)*$AA$19</f>
        <v>0.4228098916</v>
      </c>
      <c r="AK142" s="132">
        <f>VLOOKUP($O142,'NO USAR1'!$A$4:$L$403,10,False)*$AB$19</f>
        <v>-0.4993693028</v>
      </c>
      <c r="AL142" s="127">
        <f>VLOOKUP($O142,'NO USAR1'!$A$4:$L$403,12,False)*$AC$19</f>
        <v>0.2467142371</v>
      </c>
      <c r="AM142" s="133">
        <f t="shared" si="2"/>
        <v>-1.559992496</v>
      </c>
      <c r="AN142" s="133">
        <f t="shared" si="3"/>
        <v>-2.81270455</v>
      </c>
    </row>
    <row r="143">
      <c r="A143" s="118" t="str">
        <f>IF(Update!B141="",ROW(Update!B141),Update!B141)</f>
        <v>Kyle Lowry</v>
      </c>
      <c r="B143" s="119">
        <f>IF(TYPE($A143)=1,"",(Update!$L141-B$1)/B$2)</f>
        <v>-1.222939742</v>
      </c>
      <c r="C143" s="119">
        <f>IF(TYPE($A143)=1,"",(Update!$K141-C$1)/C$2)</f>
        <v>0.05331236246</v>
      </c>
      <c r="D143" s="119">
        <f>IF(TYPE($A143)=1,"",(Update!$M141-D$1)/D$2)</f>
        <v>-1.085248232</v>
      </c>
      <c r="E143" s="119">
        <f>IF(TYPE($A143)=1,"",(Update!$N141-E$1)/E$2)</f>
        <v>0.6287212405</v>
      </c>
      <c r="F143" s="119">
        <f>IF(TYPE($A143)=1,"",(Update!$O141-F$1)/F$2)</f>
        <v>-0.2948865325</v>
      </c>
      <c r="G143" s="119">
        <f>IF(TYPE($A143)=1,"",(Update!$P141-G$1)/G$2)</f>
        <v>-0.7528774808</v>
      </c>
      <c r="H143" s="119">
        <f>IF(TYPE($A143)=1,"",(Update!$H141-H$1)/H$2*I143/$I$1)</f>
        <v>-0.5761010666</v>
      </c>
      <c r="I143" s="119">
        <f>IF(TYPE($A143)=1,"",IF(Update!H141=0,0,Update!G141/Update!H141))</f>
        <v>7.7</v>
      </c>
      <c r="J143" s="120">
        <f>IF(TYPE($A143)=1,"",(Update!$J141-J$1)/J$2*K143/$K$1)</f>
        <v>0.4400674789</v>
      </c>
      <c r="K143" s="121">
        <f>IF(TYPE($A143)=1,"",IF(Update!J141=0,0,Update!I141/Update!J141))</f>
        <v>2.1</v>
      </c>
      <c r="L143" s="119">
        <f>IF(TYPE($A143)=1,"",-(Update!$Q141-L$1)/L$2)</f>
        <v>0.1175618177</v>
      </c>
      <c r="N143" s="124">
        <v>123.0</v>
      </c>
      <c r="O143" s="130" t="str">
        <f>IF(Update!B132="",ROW(Update!B132),Update!B132)</f>
        <v>Jordan Clarkson</v>
      </c>
      <c r="P143" s="131">
        <f>Update!E132</f>
        <v>68</v>
      </c>
      <c r="Q143" s="131" t="str">
        <f>IF(Update!C132="",ROW(Update!N147),Update!C132)</f>
        <v>PG,SG</v>
      </c>
      <c r="R143" s="127">
        <f>VLOOKUP($O143,'NO USAR1'!$A$4:$L$403,2,False)+VLOOKUP($O143,'NO USAR1'!$A$4:$L$403,3,False)+VLOOKUP($O143,'NO USAR1'!$A$4:$L$403,4,False)+VLOOKUP($O143,'NO USAR1'!$A$4:$L$403,5,False)+VLOOKUP($O143,'NO USAR1'!$A$4:$L$403,6,False)+VLOOKUP($O143,'NO USAR1'!$A$4:$L$403,7,False)+VLOOKUP($O143,'NO USAR1'!$A$4:$L$403,8,False)+VLOOKUP($O143,'NO USAR1'!$A$4:$L$403,10,False)+VLOOKUP($O143,'NO USAR1'!$A$4:$L$403,12,False)*0</f>
        <v>-2.354011606</v>
      </c>
      <c r="S143" s="127">
        <f>VLOOKUP($O143,'NO USAR1'!$A$4:$L$403,2,False)*$U$19+VLOOKUP($O143,'NO USAR1'!$A$4:$L$403,3,False)*$V$19+VLOOKUP($O143,'NO USAR1'!$A$4:$L$403,4,False)*$W$19+VLOOKUP($O143,'NO USAR1'!$A$4:$L$403,5,False)*$X$19+VLOOKUP($O143,'NO USAR1'!$A$4:$L$403,6,False)*$Y$19+VLOOKUP($O143,'NO USAR1'!$A$4:$L$403,7,False)*$Z$19+VLOOKUP($O143,'NO USAR1'!$A$4:$L$403,8,False)*$AA$19+VLOOKUP($O143,'NO USAR1'!$A$4:$L$403,10,False)*$AB$19+VLOOKUP($O143,'NO USAR1'!$A$4:$L$403,12,False)*$AC$19+IF(Projections!$K$3,-AN143, IF(Projections!$J$3,-AM143,0))</f>
        <v>-0.9653196457</v>
      </c>
      <c r="T143" s="127">
        <f t="shared" si="1"/>
        <v>1.38869196</v>
      </c>
      <c r="U143" s="127">
        <f>VLOOKUP($O143,Update!$B$2:$R$401,11,False)</f>
        <v>19.2</v>
      </c>
      <c r="V143" s="122">
        <f>VLOOKUP($O143,Update!$B$2:$R$401,10,False)</f>
        <v>2.6</v>
      </c>
      <c r="W143" s="127">
        <f>VLOOKUP($O143,Update!$B$2:$R$401,12,False)</f>
        <v>3.9</v>
      </c>
      <c r="X143" s="127">
        <f>VLOOKUP($O143,Update!$B$2:$R$401,13,False)</f>
        <v>3.5</v>
      </c>
      <c r="Y143" s="127">
        <f>VLOOKUP($O143,Update!$B$2:$R$401,14,False)</f>
        <v>0.8</v>
      </c>
      <c r="Z143" s="132">
        <f>VLOOKUP($O143,Update!$B$2:$R$401,15,False)</f>
        <v>0.2</v>
      </c>
      <c r="AA143" s="127">
        <f>100*VLOOKUP($O143,Update!$B$2:$R$401,7,False)</f>
        <v>42.94478528</v>
      </c>
      <c r="AB143" s="127">
        <f>100*VLOOKUP($O143,Update!$B$2:$R$401,9,False)</f>
        <v>81.25</v>
      </c>
      <c r="AC143" s="127">
        <f>VLOOKUP($O143,Update!$B$2:$Q$401,16,False)</f>
        <v>2.4</v>
      </c>
      <c r="AD143" s="127">
        <f>VLOOKUP($O143,'NO USAR1'!$A$4:$L$403,2,False)*$U$19</f>
        <v>0.3275029259</v>
      </c>
      <c r="AE143" s="127">
        <f>VLOOKUP($O143,'NO USAR1'!$A$4:$L$403,3,False)*$V$19</f>
        <v>0.8283970345</v>
      </c>
      <c r="AF143" s="127">
        <f>VLOOKUP($O143,'NO USAR1'!$A$4:$L$403,4,False)*$W$19</f>
        <v>-0.9179867529</v>
      </c>
      <c r="AG143" s="127">
        <f>VLOOKUP($O143,'NO USAR1'!$A$4:$L$403,5,False)*$X$19</f>
        <v>-0.1754484642</v>
      </c>
      <c r="AH143" s="127">
        <f>VLOOKUP($O143,'NO USAR1'!$A$4:$L$403,6,False)*$Y$19</f>
        <v>-0.4244704736</v>
      </c>
      <c r="AI143" s="127">
        <f>VLOOKUP($O143,'NO USAR1'!$A$4:$L$403,7,False)*$Z$19</f>
        <v>-0.6583300762</v>
      </c>
      <c r="AJ143" s="127">
        <f>VLOOKUP($O143,'NO USAR1'!$A$4:$L$403,8,False)*$AA$19</f>
        <v>-1.083315259</v>
      </c>
      <c r="AK143" s="132">
        <f>VLOOKUP($O143,'NO USAR1'!$A$4:$L$403,10,False)*$AB$19</f>
        <v>0.1808569796</v>
      </c>
      <c r="AL143" s="127">
        <f>VLOOKUP($O143,'NO USAR1'!$A$4:$L$403,12,False)*$AC$19</f>
        <v>-0.1258408189</v>
      </c>
      <c r="AM143" s="133">
        <f t="shared" si="2"/>
        <v>-1.083315259</v>
      </c>
      <c r="AN143" s="133">
        <f t="shared" si="3"/>
        <v>-2.001302012</v>
      </c>
    </row>
    <row r="144">
      <c r="A144" s="118" t="str">
        <f>IF(Update!B142="",ROW(Update!B142),Update!B142)</f>
        <v>Saddiq Bey</v>
      </c>
      <c r="B144" s="119">
        <f>IF(TYPE($A144)=1,"",(Update!$L142-B$1)/B$2)</f>
        <v>-0.3297499442</v>
      </c>
      <c r="C144" s="119">
        <f>IF(TYPE($A144)=1,"",(Update!$K142-C$1)/C$2)</f>
        <v>0.5350505774</v>
      </c>
      <c r="D144" s="119">
        <f>IF(TYPE($A144)=1,"",(Update!$M142-D$1)/D$2)</f>
        <v>-0.4998330543</v>
      </c>
      <c r="E144" s="119">
        <f>IF(TYPE($A144)=1,"",(Update!$N142-E$1)/E$2)</f>
        <v>-0.8086208285</v>
      </c>
      <c r="F144" s="119">
        <f>IF(TYPE($A144)=1,"",(Update!$O142-F$1)/F$2)</f>
        <v>-0.2948865325</v>
      </c>
      <c r="G144" s="119">
        <f>IF(TYPE($A144)=1,"",(Update!$P142-G$1)/G$2)</f>
        <v>-0.9404715375</v>
      </c>
      <c r="H144" s="119">
        <f>IF(TYPE($A144)=1,"",(Update!$H142-H$1)/H$2*I144/$I$1)</f>
        <v>-1.05369584</v>
      </c>
      <c r="I144" s="119">
        <f>IF(TYPE($A144)=1,"",IF(Update!H142=0,0,Update!G142/Update!H142))</f>
        <v>12.6</v>
      </c>
      <c r="J144" s="120">
        <f>IF(TYPE($A144)=1,"",(Update!$J142-J$1)/J$2*K144/$K$1)</f>
        <v>0.4064139315</v>
      </c>
      <c r="K144" s="121">
        <f>IF(TYPE($A144)=1,"",IF(Update!J142=0,0,Update!I142/Update!J142))</f>
        <v>3</v>
      </c>
      <c r="L144" s="119">
        <f>IF(TYPE($A144)=1,"",-(Update!$Q142-L$1)/L$2)</f>
        <v>1.235226986</v>
      </c>
      <c r="N144" s="124">
        <v>124.0</v>
      </c>
      <c r="O144" s="130" t="str">
        <f>IF(Update!B131="",ROW(Update!B131),Update!B131)</f>
        <v>Delon Wright</v>
      </c>
      <c r="P144" s="131">
        <f>Update!E131</f>
        <v>68</v>
      </c>
      <c r="Q144" s="131" t="str">
        <f>IF(Update!C131="",ROW(Update!N146),Update!C131)</f>
        <v>PG,SG</v>
      </c>
      <c r="R144" s="127">
        <f>VLOOKUP($O144,'NO USAR1'!$A$4:$L$403,2,False)+VLOOKUP($O144,'NO USAR1'!$A$4:$L$403,3,False)+VLOOKUP($O144,'NO USAR1'!$A$4:$L$403,4,False)+VLOOKUP($O144,'NO USAR1'!$A$4:$L$403,5,False)+VLOOKUP($O144,'NO USAR1'!$A$4:$L$403,6,False)+VLOOKUP($O144,'NO USAR1'!$A$4:$L$403,7,False)+VLOOKUP($O144,'NO USAR1'!$A$4:$L$403,8,False)+VLOOKUP($O144,'NO USAR1'!$A$4:$L$403,10,False)+VLOOKUP($O144,'NO USAR1'!$A$4:$L$403,12,False)*0</f>
        <v>-2.432228731</v>
      </c>
      <c r="S144" s="127">
        <f>VLOOKUP($O144,'NO USAR1'!$A$4:$L$403,2,False)*$U$19+VLOOKUP($O144,'NO USAR1'!$A$4:$L$403,3,False)*$V$19+VLOOKUP($O144,'NO USAR1'!$A$4:$L$403,4,False)*$W$19+VLOOKUP($O144,'NO USAR1'!$A$4:$L$403,5,False)*$X$19+VLOOKUP($O144,'NO USAR1'!$A$4:$L$403,6,False)*$Y$19+VLOOKUP($O144,'NO USAR1'!$A$4:$L$403,7,False)*$Z$19+VLOOKUP($O144,'NO USAR1'!$A$4:$L$403,8,False)*$AA$19+VLOOKUP($O144,'NO USAR1'!$A$4:$L$403,10,False)*$AB$19+VLOOKUP($O144,'NO USAR1'!$A$4:$L$403,12,False)*$AC$19+IF(Projections!$K$3,-AN144, IF(Projections!$J$3,-AM144,0))</f>
        <v>-0.5902242185</v>
      </c>
      <c r="T144" s="127">
        <f t="shared" si="1"/>
        <v>1.842004513</v>
      </c>
      <c r="U144" s="127">
        <f>VLOOKUP($O144,Update!$B$2:$R$401,11,False)</f>
        <v>6.5</v>
      </c>
      <c r="V144" s="122">
        <f>VLOOKUP($O144,Update!$B$2:$R$401,10,False)</f>
        <v>0.8</v>
      </c>
      <c r="W144" s="127">
        <f>VLOOKUP($O144,Update!$B$2:$R$401,12,False)</f>
        <v>3.6</v>
      </c>
      <c r="X144" s="127">
        <f>VLOOKUP($O144,Update!$B$2:$R$401,13,False)</f>
        <v>3.5</v>
      </c>
      <c r="Y144" s="127">
        <f>VLOOKUP($O144,Update!$B$2:$R$401,14,False)</f>
        <v>1.6</v>
      </c>
      <c r="Z144" s="132">
        <f>VLOOKUP($O144,Update!$B$2:$R$401,15,False)</f>
        <v>0.3</v>
      </c>
      <c r="AA144" s="127">
        <f>100*VLOOKUP($O144,Update!$B$2:$R$401,7,False)</f>
        <v>47.05882353</v>
      </c>
      <c r="AB144" s="127">
        <f>100*VLOOKUP($O144,Update!$B$2:$R$401,9,False)</f>
        <v>90.90909091</v>
      </c>
      <c r="AC144" s="127">
        <f>VLOOKUP($O144,Update!$B$2:$Q$401,16,False)</f>
        <v>0.8</v>
      </c>
      <c r="AD144" s="127">
        <f>VLOOKUP($O144,'NO USAR1'!$A$4:$L$403,2,False)*$U$19</f>
        <v>-1.812782061</v>
      </c>
      <c r="AE144" s="127">
        <f>VLOOKUP($O144,'NO USAR1'!$A$4:$L$403,3,False)*$V$19</f>
        <v>-0.7324347821</v>
      </c>
      <c r="AF144" s="127">
        <f>VLOOKUP($O144,'NO USAR1'!$A$4:$L$403,4,False)*$W$19</f>
        <v>-1.043432862</v>
      </c>
      <c r="AG144" s="127">
        <f>VLOOKUP($O144,'NO USAR1'!$A$4:$L$403,5,False)*$X$19</f>
        <v>-0.1754484642</v>
      </c>
      <c r="AH144" s="127">
        <f>VLOOKUP($O144,'NO USAR1'!$A$4:$L$403,6,False)*$Y$19</f>
        <v>1.319928733</v>
      </c>
      <c r="AI144" s="127">
        <f>VLOOKUP($O144,'NO USAR1'!$A$4:$L$403,7,False)*$Z$19</f>
        <v>-0.5270142365</v>
      </c>
      <c r="AJ144" s="127">
        <f>VLOOKUP($O144,'NO USAR1'!$A$4:$L$403,8,False)*$AA$19</f>
        <v>-0.1293735841</v>
      </c>
      <c r="AK144" s="132">
        <f>VLOOKUP($O144,'NO USAR1'!$A$4:$L$403,10,False)*$AB$19</f>
        <v>0.3266517223</v>
      </c>
      <c r="AL144" s="127">
        <f>VLOOKUP($O144,'NO USAR1'!$A$4:$L$403,12,False)*$AC$19</f>
        <v>0.3708992557</v>
      </c>
      <c r="AM144" s="133">
        <f t="shared" si="2"/>
        <v>-1.812782061</v>
      </c>
      <c r="AN144" s="133">
        <f t="shared" si="3"/>
        <v>-2.856214924</v>
      </c>
    </row>
    <row r="145">
      <c r="A145" s="118" t="str">
        <f>IF(Update!B143="",ROW(Update!B143),Update!B143)</f>
        <v>Alex Caruso</v>
      </c>
      <c r="B145" s="119">
        <f>IF(TYPE($A145)=1,"",(Update!$L143-B$1)/B$2)</f>
        <v>-1.846487337</v>
      </c>
      <c r="C145" s="119">
        <f>IF(TYPE($A145)=1,"",(Update!$K143-C$1)/C$2)</f>
        <v>-0.7174687815</v>
      </c>
      <c r="D145" s="119">
        <f>IF(TYPE($A145)=1,"",(Update!$M143-D$1)/D$2)</f>
        <v>-1.210694342</v>
      </c>
      <c r="E145" s="119">
        <f>IF(TYPE($A145)=1,"",(Update!$N143-E$1)/E$2)</f>
        <v>-0.2522303502</v>
      </c>
      <c r="F145" s="119">
        <f>IF(TYPE($A145)=1,"",(Update!$O143-F$1)/F$2)</f>
        <v>1.885612475</v>
      </c>
      <c r="G145" s="119">
        <f>IF(TYPE($A145)=1,"",(Update!$P143-G$1)/G$2)</f>
        <v>-0.1900953108</v>
      </c>
      <c r="H145" s="119">
        <f>IF(TYPE($A145)=1,"",(Update!$H143-H$1)/H$2*I145/$I$1)</f>
        <v>-0.3657184333</v>
      </c>
      <c r="I145" s="119">
        <f>IF(TYPE($A145)=1,"",IF(Update!H143=0,0,Update!G143/Update!H143))</f>
        <v>5.1</v>
      </c>
      <c r="J145" s="120">
        <f>IF(TYPE($A145)=1,"",(Update!$J143-J$1)/J$2*K145/$K$1)</f>
        <v>-0.01777713435</v>
      </c>
      <c r="K145" s="121">
        <f>IF(TYPE($A145)=1,"",IF(Update!J143=0,0,Update!I143/Update!J143))</f>
        <v>1.4</v>
      </c>
      <c r="L145" s="119">
        <f>IF(TYPE($A145)=1,"",-(Update!$Q143-L$1)/L$2)</f>
        <v>0.8626719296</v>
      </c>
      <c r="N145" s="33">
        <v>125.0</v>
      </c>
      <c r="O145" s="130" t="str">
        <f>IF(Update!B108="",ROW(Update!B108),Update!B108)</f>
        <v>Jalen Duren</v>
      </c>
      <c r="P145" s="131">
        <f>Update!E108</f>
        <v>70</v>
      </c>
      <c r="Q145" s="131" t="str">
        <f>IF(Update!C108="",ROW(Update!N123),Update!C108)</f>
        <v>C</v>
      </c>
      <c r="R145" s="127">
        <f>VLOOKUP($O145,'NO USAR1'!$A$4:$L$403,2,False)+VLOOKUP($O145,'NO USAR1'!$A$4:$L$403,3,False)+VLOOKUP($O145,'NO USAR1'!$A$4:$L$403,4,False)+VLOOKUP($O145,'NO USAR1'!$A$4:$L$403,5,False)+VLOOKUP($O145,'NO USAR1'!$A$4:$L$403,6,False)+VLOOKUP($O145,'NO USAR1'!$A$4:$L$403,7,False)+VLOOKUP($O145,'NO USAR1'!$A$4:$L$403,8,False)+VLOOKUP($O145,'NO USAR1'!$A$4:$L$403,10,False)+VLOOKUP($O145,'NO USAR1'!$A$4:$L$403,12,False)*0</f>
        <v>-2.432608197</v>
      </c>
      <c r="S145" s="127">
        <f>VLOOKUP($O145,'NO USAR1'!$A$4:$L$403,2,False)*$U$19+VLOOKUP($O145,'NO USAR1'!$A$4:$L$403,3,False)*$V$19+VLOOKUP($O145,'NO USAR1'!$A$4:$L$403,4,False)*$W$19+VLOOKUP($O145,'NO USAR1'!$A$4:$L$403,5,False)*$X$19+VLOOKUP($O145,'NO USAR1'!$A$4:$L$403,6,False)*$Y$19+VLOOKUP($O145,'NO USAR1'!$A$4:$L$403,7,False)*$Z$19+VLOOKUP($O145,'NO USAR1'!$A$4:$L$403,8,False)*$AA$19+VLOOKUP($O145,'NO USAR1'!$A$4:$L$403,10,False)*$AB$19+VLOOKUP($O145,'NO USAR1'!$A$4:$L$403,12,False)*$AC$19+IF(Projections!$K$3,-AN145, IF(Projections!$J$3,-AM145,0))</f>
        <v>-0.7248289482</v>
      </c>
      <c r="T145" s="127">
        <f t="shared" si="1"/>
        <v>1.707779249</v>
      </c>
      <c r="U145" s="127">
        <f>VLOOKUP($O145,Update!$B$2:$R$401,11,False)</f>
        <v>10.4</v>
      </c>
      <c r="V145" s="122">
        <f>VLOOKUP($O145,Update!$B$2:$R$401,10,False)</f>
        <v>0</v>
      </c>
      <c r="W145" s="127">
        <f>VLOOKUP($O145,Update!$B$2:$R$401,12,False)</f>
        <v>10.1</v>
      </c>
      <c r="X145" s="127">
        <f>VLOOKUP($O145,Update!$B$2:$R$401,13,False)</f>
        <v>1.3</v>
      </c>
      <c r="Y145" s="127">
        <f>VLOOKUP($O145,Update!$B$2:$R$401,14,False)</f>
        <v>0.8</v>
      </c>
      <c r="Z145" s="132">
        <f>VLOOKUP($O145,Update!$B$2:$R$401,15,False)</f>
        <v>1.2</v>
      </c>
      <c r="AA145" s="127">
        <f>100*VLOOKUP($O145,Update!$B$2:$R$401,7,False)</f>
        <v>64.70588235</v>
      </c>
      <c r="AB145" s="127">
        <f>100*VLOOKUP($O145,Update!$B$2:$R$401,9,False)</f>
        <v>59.25925926</v>
      </c>
      <c r="AC145" s="127">
        <f>VLOOKUP($O145,Update!$B$2:$Q$401,16,False)</f>
        <v>1.6</v>
      </c>
      <c r="AD145" s="127">
        <f>VLOOKUP($O145,'NO USAR1'!$A$4:$L$403,2,False)*$U$19</f>
        <v>-1.155529191</v>
      </c>
      <c r="AE145" s="127">
        <f>VLOOKUP($O145,'NO USAR1'!$A$4:$L$403,3,False)*$V$19</f>
        <v>-1.426137812</v>
      </c>
      <c r="AF145" s="127">
        <f>VLOOKUP($O145,'NO USAR1'!$A$4:$L$403,4,False)*$W$19</f>
        <v>1.674566178</v>
      </c>
      <c r="AG145" s="127">
        <f>VLOOKUP($O145,'NO USAR1'!$A$4:$L$403,5,False)*$X$19</f>
        <v>-1.297502595</v>
      </c>
      <c r="AH145" s="127">
        <f>VLOOKUP($O145,'NO USAR1'!$A$4:$L$403,6,False)*$Y$19</f>
        <v>-0.4244704736</v>
      </c>
      <c r="AI145" s="127">
        <f>VLOOKUP($O145,'NO USAR1'!$A$4:$L$403,7,False)*$Z$19</f>
        <v>0.6548283205</v>
      </c>
      <c r="AJ145" s="127">
        <f>VLOOKUP($O145,'NO USAR1'!$A$4:$L$403,8,False)*$AA$19</f>
        <v>1.026139923</v>
      </c>
      <c r="AK145" s="132">
        <f>VLOOKUP($O145,'NO USAR1'!$A$4:$L$403,10,False)*$AB$19</f>
        <v>-1.325390328</v>
      </c>
      <c r="AL145" s="127">
        <f>VLOOKUP($O145,'NO USAR1'!$A$4:$L$403,12,False)*$AC$19</f>
        <v>0.1225292184</v>
      </c>
      <c r="AM145" s="133">
        <f t="shared" si="2"/>
        <v>-1.426137812</v>
      </c>
      <c r="AN145" s="133">
        <f t="shared" si="3"/>
        <v>-2.75152814</v>
      </c>
    </row>
    <row r="146">
      <c r="A146" s="118" t="str">
        <f>IF(Update!B144="",ROW(Update!B144),Update!B144)</f>
        <v>Jevon Carter</v>
      </c>
      <c r="B146" s="119">
        <f>IF(TYPE($A146)=1,"",(Update!$L144-B$1)/B$2)</f>
        <v>-1.222939742</v>
      </c>
      <c r="C146" s="119">
        <f>IF(TYPE($A146)=1,"",(Update!$K144-C$1)/C$2)</f>
        <v>0.5350505774</v>
      </c>
      <c r="D146" s="119">
        <f>IF(TYPE($A146)=1,"",(Update!$M144-D$1)/D$2)</f>
        <v>-1.168878972</v>
      </c>
      <c r="E146" s="119">
        <f>IF(TYPE($A146)=1,"",(Update!$N144-E$1)/E$2)</f>
        <v>-0.0204009842</v>
      </c>
      <c r="F146" s="119">
        <f>IF(TYPE($A146)=1,"",(Update!$O144-F$1)/F$2)</f>
        <v>0.01661332578</v>
      </c>
      <c r="G146" s="119">
        <f>IF(TYPE($A146)=1,"",(Update!$P144-G$1)/G$2)</f>
        <v>-0.3776893674</v>
      </c>
      <c r="H146" s="119">
        <f>IF(TYPE($A146)=1,"",(Update!$H144-H$1)/H$2*I146/$I$1)</f>
        <v>-0.6275825545</v>
      </c>
      <c r="I146" s="119">
        <f>IF(TYPE($A146)=1,"",IF(Update!H144=0,0,Update!G144/Update!H144))</f>
        <v>8.6</v>
      </c>
      <c r="J146" s="120">
        <f>IF(TYPE($A146)=1,"",(Update!$J144-J$1)/J$2*K146/$K$1)</f>
        <v>0.0812827863</v>
      </c>
      <c r="K146" s="121">
        <f>IF(TYPE($A146)=1,"",IF(Update!J144=0,0,Update!I144/Update!J144))</f>
        <v>0.6</v>
      </c>
      <c r="L146" s="119">
        <f>IF(TYPE($A146)=1,"",-(Update!$Q144-L$1)/L$2)</f>
        <v>0.9868569483</v>
      </c>
      <c r="N146" s="124">
        <v>126.0</v>
      </c>
      <c r="O146" s="130" t="str">
        <f>IF(Update!B124="",ROW(Update!B124),Update!B124)</f>
        <v>Kevin Huerter</v>
      </c>
      <c r="P146" s="131">
        <f>Update!E124</f>
        <v>74</v>
      </c>
      <c r="Q146" s="131" t="str">
        <f>IF(Update!C124="",ROW(Update!N139),Update!C124)</f>
        <v>SG,SF</v>
      </c>
      <c r="R146" s="127">
        <f>VLOOKUP($O146,'NO USAR1'!$A$4:$L$403,2,False)+VLOOKUP($O146,'NO USAR1'!$A$4:$L$403,3,False)+VLOOKUP($O146,'NO USAR1'!$A$4:$L$403,4,False)+VLOOKUP($O146,'NO USAR1'!$A$4:$L$403,5,False)+VLOOKUP($O146,'NO USAR1'!$A$4:$L$403,6,False)+VLOOKUP($O146,'NO USAR1'!$A$4:$L$403,7,False)+VLOOKUP($O146,'NO USAR1'!$A$4:$L$403,8,False)+VLOOKUP($O146,'NO USAR1'!$A$4:$L$403,10,False)+VLOOKUP($O146,'NO USAR1'!$A$4:$L$403,12,False)*0</f>
        <v>-2.474076439</v>
      </c>
      <c r="S146" s="127">
        <f>VLOOKUP($O146,'NO USAR1'!$A$4:$L$403,2,False)*$U$19+VLOOKUP($O146,'NO USAR1'!$A$4:$L$403,3,False)*$V$19+VLOOKUP($O146,'NO USAR1'!$A$4:$L$403,4,False)*$W$19+VLOOKUP($O146,'NO USAR1'!$A$4:$L$403,5,False)*$X$19+VLOOKUP($O146,'NO USAR1'!$A$4:$L$403,6,False)*$Y$19+VLOOKUP($O146,'NO USAR1'!$A$4:$L$403,7,False)*$Z$19+VLOOKUP($O146,'NO USAR1'!$A$4:$L$403,8,False)*$AA$19+VLOOKUP($O146,'NO USAR1'!$A$4:$L$403,10,False)*$AB$19+VLOOKUP($O146,'NO USAR1'!$A$4:$L$403,12,False)*$AC$19+IF(Projections!$K$3,-AN146, IF(Projections!$J$3,-AM146,0))</f>
        <v>-0.9963472535</v>
      </c>
      <c r="T146" s="127">
        <f t="shared" si="1"/>
        <v>1.477729185</v>
      </c>
      <c r="U146" s="127">
        <f>VLOOKUP($O146,Update!$B$2:$R$401,11,False)</f>
        <v>14</v>
      </c>
      <c r="V146" s="122">
        <f>VLOOKUP($O146,Update!$B$2:$R$401,10,False)</f>
        <v>2.5</v>
      </c>
      <c r="W146" s="127">
        <f>VLOOKUP($O146,Update!$B$2:$R$401,12,False)</f>
        <v>3.5</v>
      </c>
      <c r="X146" s="127">
        <f>VLOOKUP($O146,Update!$B$2:$R$401,13,False)</f>
        <v>2.9</v>
      </c>
      <c r="Y146" s="127">
        <f>VLOOKUP($O146,Update!$B$2:$R$401,14,False)</f>
        <v>0.9</v>
      </c>
      <c r="Z146" s="132">
        <f>VLOOKUP($O146,Update!$B$2:$R$401,15,False)</f>
        <v>0.4</v>
      </c>
      <c r="AA146" s="127">
        <f>100*VLOOKUP($O146,Update!$B$2:$R$401,7,False)</f>
        <v>47.32142857</v>
      </c>
      <c r="AB146" s="127">
        <f>100*VLOOKUP($O146,Update!$B$2:$R$401,9,False)</f>
        <v>76.92307692</v>
      </c>
      <c r="AC146" s="127">
        <f>VLOOKUP($O146,Update!$B$2:$Q$401,16,False)</f>
        <v>1.3</v>
      </c>
      <c r="AD146" s="127">
        <f>VLOOKUP($O146,'NO USAR1'!$A$4:$L$403,2,False)*$U$19</f>
        <v>-0.5488342343</v>
      </c>
      <c r="AE146" s="127">
        <f>VLOOKUP($O146,'NO USAR1'!$A$4:$L$403,3,False)*$V$19</f>
        <v>0.7416841558</v>
      </c>
      <c r="AF146" s="127">
        <f>VLOOKUP($O146,'NO USAR1'!$A$4:$L$403,4,False)*$W$19</f>
        <v>-1.085248232</v>
      </c>
      <c r="AG146" s="127">
        <f>VLOOKUP($O146,'NO USAR1'!$A$4:$L$403,5,False)*$X$19</f>
        <v>-0.4814632272</v>
      </c>
      <c r="AH146" s="127">
        <f>VLOOKUP($O146,'NO USAR1'!$A$4:$L$403,6,False)*$Y$19</f>
        <v>-0.2064205728</v>
      </c>
      <c r="AI146" s="127">
        <f>VLOOKUP($O146,'NO USAR1'!$A$4:$L$403,7,False)*$Z$19</f>
        <v>-0.3956983969</v>
      </c>
      <c r="AJ146" s="127">
        <f>VLOOKUP($O146,'NO USAR1'!$A$4:$L$403,8,False)*$AA$19</f>
        <v>-0.2547361544</v>
      </c>
      <c r="AK146" s="132">
        <f>VLOOKUP($O146,'NO USAR1'!$A$4:$L$403,10,False)*$AB$19</f>
        <v>-0.06654680613</v>
      </c>
      <c r="AL146" s="127">
        <f>VLOOKUP($O146,'NO USAR1'!$A$4:$L$403,12,False)*$AC$19</f>
        <v>0.2156679824</v>
      </c>
      <c r="AM146" s="133">
        <f t="shared" si="2"/>
        <v>-1.085248232</v>
      </c>
      <c r="AN146" s="133">
        <f t="shared" si="3"/>
        <v>-1.634082467</v>
      </c>
    </row>
    <row r="147">
      <c r="A147" s="118" t="str">
        <f>IF(Update!B145="",ROW(Update!B145),Update!B145)</f>
        <v>Brandon Miller</v>
      </c>
      <c r="B147" s="119">
        <f>IF(TYPE($A147)=1,"",(Update!$L145-B$1)/B$2)</f>
        <v>-0.3803078573</v>
      </c>
      <c r="C147" s="119">
        <f>IF(TYPE($A147)=1,"",(Update!$K145-C$1)/C$2)</f>
        <v>0.5350505774</v>
      </c>
      <c r="D147" s="119">
        <f>IF(TYPE($A147)=1,"",(Update!$M145-D$1)/D$2)</f>
        <v>-0.5416484242</v>
      </c>
      <c r="E147" s="119">
        <f>IF(TYPE($A147)=1,"",(Update!$N145-E$1)/E$2)</f>
        <v>-0.8549867017</v>
      </c>
      <c r="F147" s="119">
        <f>IF(TYPE($A147)=1,"",(Update!$O145-F$1)/F$2)</f>
        <v>-0.6063863908</v>
      </c>
      <c r="G147" s="119">
        <f>IF(TYPE($A147)=1,"",(Update!$P145-G$1)/G$2)</f>
        <v>-0.7528774808</v>
      </c>
      <c r="H147" s="119">
        <f>IF(TYPE($A147)=1,"",(Update!$H145-H$1)/H$2*I147/$I$1)</f>
        <v>-0.9427108363</v>
      </c>
      <c r="I147" s="119">
        <f>IF(TYPE($A147)=1,"",IF(Update!H145=0,0,Update!G145/Update!H145))</f>
        <v>12.6</v>
      </c>
      <c r="J147" s="120">
        <f>IF(TYPE($A147)=1,"",(Update!$J145-J$1)/J$2*K147/$K$1)</f>
        <v>0.2597247719</v>
      </c>
      <c r="K147" s="121">
        <f>IF(TYPE($A147)=1,"",IF(Update!J145=0,0,Update!I145/Update!J145))</f>
        <v>2.3</v>
      </c>
      <c r="L147" s="119">
        <f>IF(TYPE($A147)=1,"",-(Update!$Q145-L$1)/L$2)</f>
        <v>0.738486911</v>
      </c>
      <c r="N147" s="124">
        <v>127.0</v>
      </c>
      <c r="O147" s="130" t="str">
        <f>IF(Update!B151="",ROW(Update!B151),Update!B151)</f>
        <v>Jaden Ivey</v>
      </c>
      <c r="P147" s="131">
        <f>Update!E151</f>
        <v>74</v>
      </c>
      <c r="Q147" s="131" t="str">
        <f>IF(Update!C151="",ROW(Update!N166),Update!C151)</f>
        <v>PG,SG</v>
      </c>
      <c r="R147" s="127">
        <f>VLOOKUP($O147,'NO USAR1'!$A$4:$L$403,2,False)+VLOOKUP($O147,'NO USAR1'!$A$4:$L$403,3,False)+VLOOKUP($O147,'NO USAR1'!$A$4:$L$403,4,False)+VLOOKUP($O147,'NO USAR1'!$A$4:$L$403,5,False)+VLOOKUP($O147,'NO USAR1'!$A$4:$L$403,6,False)+VLOOKUP($O147,'NO USAR1'!$A$4:$L$403,7,False)+VLOOKUP($O147,'NO USAR1'!$A$4:$L$403,8,False)+VLOOKUP($O147,'NO USAR1'!$A$4:$L$403,10,False)+VLOOKUP($O147,'NO USAR1'!$A$4:$L$403,12,False)*0</f>
        <v>-2.512759206</v>
      </c>
      <c r="S147" s="127">
        <f>VLOOKUP($O147,'NO USAR1'!$A$4:$L$403,2,False)*$U$19+VLOOKUP($O147,'NO USAR1'!$A$4:$L$403,3,False)*$V$19+VLOOKUP($O147,'NO USAR1'!$A$4:$L$403,4,False)*$W$19+VLOOKUP($O147,'NO USAR1'!$A$4:$L$403,5,False)*$X$19+VLOOKUP($O147,'NO USAR1'!$A$4:$L$403,6,False)*$Y$19+VLOOKUP($O147,'NO USAR1'!$A$4:$L$403,7,False)*$Z$19+VLOOKUP($O147,'NO USAR1'!$A$4:$L$403,8,False)*$AA$19+VLOOKUP($O147,'NO USAR1'!$A$4:$L$403,10,False)*$AB$19+VLOOKUP($O147,'NO USAR1'!$A$4:$L$403,12,False)*$AC$19+IF(Projections!$K$3,-AN147, IF(Projections!$J$3,-AM147,0))</f>
        <v>-1.347589141</v>
      </c>
      <c r="T147" s="127">
        <f t="shared" si="1"/>
        <v>1.165170065</v>
      </c>
      <c r="U147" s="127">
        <f>VLOOKUP($O147,Update!$B$2:$R$401,11,False)</f>
        <v>17.7</v>
      </c>
      <c r="V147" s="122">
        <f>VLOOKUP($O147,Update!$B$2:$R$401,10,False)</f>
        <v>1.8</v>
      </c>
      <c r="W147" s="127">
        <f>VLOOKUP($O147,Update!$B$2:$R$401,12,False)</f>
        <v>4.1</v>
      </c>
      <c r="X147" s="127">
        <f>VLOOKUP($O147,Update!$B$2:$R$401,13,False)</f>
        <v>5.5</v>
      </c>
      <c r="Y147" s="127">
        <f>VLOOKUP($O147,Update!$B$2:$R$401,14,False)</f>
        <v>0.9</v>
      </c>
      <c r="Z147" s="132">
        <f>VLOOKUP($O147,Update!$B$2:$R$401,15,False)</f>
        <v>0.2</v>
      </c>
      <c r="AA147" s="127">
        <f>100*VLOOKUP($O147,Update!$B$2:$R$401,7,False)</f>
        <v>42.55319149</v>
      </c>
      <c r="AB147" s="127">
        <f>100*VLOOKUP($O147,Update!$B$2:$R$401,9,False)</f>
        <v>76.92307692</v>
      </c>
      <c r="AC147" s="127">
        <f>VLOOKUP($O147,Update!$B$2:$Q$401,16,False)</f>
        <v>3.4</v>
      </c>
      <c r="AD147" s="127">
        <f>VLOOKUP($O147,'NO USAR1'!$A$4:$L$403,2,False)*$U$19</f>
        <v>0.07471336045</v>
      </c>
      <c r="AE147" s="127">
        <f>VLOOKUP($O147,'NO USAR1'!$A$4:$L$403,3,False)*$V$19</f>
        <v>0.1346940049</v>
      </c>
      <c r="AF147" s="127">
        <f>VLOOKUP($O147,'NO USAR1'!$A$4:$L$403,4,False)*$W$19</f>
        <v>-0.8343560132</v>
      </c>
      <c r="AG147" s="127">
        <f>VLOOKUP($O147,'NO USAR1'!$A$4:$L$403,5,False)*$X$19</f>
        <v>0.8446007461</v>
      </c>
      <c r="AH147" s="127">
        <f>VLOOKUP($O147,'NO USAR1'!$A$4:$L$403,6,False)*$Y$19</f>
        <v>-0.2064205728</v>
      </c>
      <c r="AI147" s="127">
        <f>VLOOKUP($O147,'NO USAR1'!$A$4:$L$403,7,False)*$Z$19</f>
        <v>-0.6583300762</v>
      </c>
      <c r="AJ147" s="127">
        <f>VLOOKUP($O147,'NO USAR1'!$A$4:$L$403,8,False)*$AA$19</f>
        <v>-0.9922529864</v>
      </c>
      <c r="AK147" s="132">
        <f>VLOOKUP($O147,'NO USAR1'!$A$4:$L$403,10,False)*$AB$19</f>
        <v>-0.2661872245</v>
      </c>
      <c r="AL147" s="127">
        <f>VLOOKUP($O147,'NO USAR1'!$A$4:$L$403,12,False)*$AC$19</f>
        <v>-0.4363033656</v>
      </c>
      <c r="AM147" s="133">
        <f t="shared" si="2"/>
        <v>-0.9922529864</v>
      </c>
      <c r="AN147" s="133">
        <f t="shared" si="3"/>
        <v>-1.826609</v>
      </c>
    </row>
    <row r="148">
      <c r="A148" s="118" t="str">
        <f>IF(Update!B146="",ROW(Update!B146),Update!B146)</f>
        <v>Cole Anthony</v>
      </c>
      <c r="B148" s="119">
        <f>IF(TYPE($A148)=1,"",(Update!$L146-B$1)/B$2)</f>
        <v>-0.7342132489</v>
      </c>
      <c r="C148" s="119">
        <f>IF(TYPE($A148)=1,"",(Update!$K146-C$1)/C$2)</f>
        <v>-0.1393829235</v>
      </c>
      <c r="D148" s="119">
        <f>IF(TYPE($A148)=1,"",(Update!$M146-D$1)/D$2)</f>
        <v>-0.6670945338</v>
      </c>
      <c r="E148" s="119">
        <f>IF(TYPE($A148)=1,"",(Update!$N146-E$1)/E$2)</f>
        <v>0.07233076218</v>
      </c>
      <c r="F148" s="119">
        <f>IF(TYPE($A148)=1,"",(Update!$O146-F$1)/F$2)</f>
        <v>-1.229386107</v>
      </c>
      <c r="G148" s="119">
        <f>IF(TYPE($A148)=1,"",(Update!$P146-G$1)/G$2)</f>
        <v>-0.7528774808</v>
      </c>
      <c r="H148" s="119">
        <f>IF(TYPE($A148)=1,"",(Update!$H146-H$1)/H$2*I148/$I$1)</f>
        <v>-0.6763900331</v>
      </c>
      <c r="I148" s="119">
        <f>IF(TYPE($A148)=1,"",IF(Update!H146=0,0,Update!G146/Update!H146))</f>
        <v>10.1</v>
      </c>
      <c r="J148" s="120">
        <f>IF(TYPE($A148)=1,"",(Update!$J146-J$1)/J$2*K148/$K$1)</f>
        <v>0.7175693851</v>
      </c>
      <c r="K148" s="121">
        <f>IF(TYPE($A148)=1,"",IF(Update!J146=0,0,Update!I146/Update!J146))</f>
        <v>3</v>
      </c>
      <c r="L148" s="119">
        <f>IF(TYPE($A148)=1,"",-(Update!$Q146-L$1)/L$2)</f>
        <v>0.2417468363</v>
      </c>
      <c r="N148" s="33">
        <v>128.0</v>
      </c>
      <c r="O148" s="130" t="str">
        <f>IF(Update!B109="",ROW(Update!B109),Update!B109)</f>
        <v>Ivica Zubac</v>
      </c>
      <c r="P148" s="131">
        <f>Update!E109</f>
        <v>76</v>
      </c>
      <c r="Q148" s="131" t="str">
        <f>IF(Update!C109="",ROW(Update!N124),Update!C109)</f>
        <v>C</v>
      </c>
      <c r="R148" s="127">
        <f>VLOOKUP($O148,'NO USAR1'!$A$4:$L$403,2,False)+VLOOKUP($O148,'NO USAR1'!$A$4:$L$403,3,False)+VLOOKUP($O148,'NO USAR1'!$A$4:$L$403,4,False)+VLOOKUP($O148,'NO USAR1'!$A$4:$L$403,5,False)+VLOOKUP($O148,'NO USAR1'!$A$4:$L$403,6,False)+VLOOKUP($O148,'NO USAR1'!$A$4:$L$403,7,False)+VLOOKUP($O148,'NO USAR1'!$A$4:$L$403,8,False)+VLOOKUP($O148,'NO USAR1'!$A$4:$L$403,10,False)+VLOOKUP($O148,'NO USAR1'!$A$4:$L$403,12,False)*0</f>
        <v>-2.530785807</v>
      </c>
      <c r="S148" s="127">
        <f>VLOOKUP($O148,'NO USAR1'!$A$4:$L$403,2,False)*$U$19+VLOOKUP($O148,'NO USAR1'!$A$4:$L$403,3,False)*$V$19+VLOOKUP($O148,'NO USAR1'!$A$4:$L$403,4,False)*$W$19+VLOOKUP($O148,'NO USAR1'!$A$4:$L$403,5,False)*$X$19+VLOOKUP($O148,'NO USAR1'!$A$4:$L$403,6,False)*$Y$19+VLOOKUP($O148,'NO USAR1'!$A$4:$L$403,7,False)*$Z$19+VLOOKUP($O148,'NO USAR1'!$A$4:$L$403,8,False)*$AA$19+VLOOKUP($O148,'NO USAR1'!$A$4:$L$403,10,False)*$AB$19+VLOOKUP($O148,'NO USAR1'!$A$4:$L$403,12,False)*$AC$19+IF(Projections!$K$3,-AN148, IF(Projections!$J$3,-AM148,0))</f>
        <v>-0.7168792869</v>
      </c>
      <c r="T148" s="127">
        <f t="shared" si="1"/>
        <v>1.813906521</v>
      </c>
      <c r="U148" s="127">
        <f>VLOOKUP($O148,Update!$B$2:$R$401,11,False)</f>
        <v>11.1</v>
      </c>
      <c r="V148" s="122">
        <f>VLOOKUP($O148,Update!$B$2:$R$401,10,False)</f>
        <v>0</v>
      </c>
      <c r="W148" s="127">
        <f>VLOOKUP($O148,Update!$B$2:$R$401,12,False)</f>
        <v>9.7</v>
      </c>
      <c r="X148" s="127">
        <f>VLOOKUP($O148,Update!$B$2:$R$401,13,False)</f>
        <v>1.4</v>
      </c>
      <c r="Y148" s="127">
        <f>VLOOKUP($O148,Update!$B$2:$R$401,14,False)</f>
        <v>0.5</v>
      </c>
      <c r="Z148" s="132">
        <f>VLOOKUP($O148,Update!$B$2:$R$401,15,False)</f>
        <v>1.2</v>
      </c>
      <c r="AA148" s="127">
        <f>100*VLOOKUP($O148,Update!$B$2:$R$401,7,False)</f>
        <v>62.85714286</v>
      </c>
      <c r="AB148" s="127">
        <f>100*VLOOKUP($O148,Update!$B$2:$R$401,9,False)</f>
        <v>71.875</v>
      </c>
      <c r="AC148" s="127">
        <f>VLOOKUP($O148,Update!$B$2:$Q$401,16,False)</f>
        <v>1.6</v>
      </c>
      <c r="AD148" s="127">
        <f>VLOOKUP($O148,'NO USAR1'!$A$4:$L$403,2,False)*$U$19</f>
        <v>-1.037560727</v>
      </c>
      <c r="AE148" s="127">
        <f>VLOOKUP($O148,'NO USAR1'!$A$4:$L$403,3,False)*$V$19</f>
        <v>-1.426137812</v>
      </c>
      <c r="AF148" s="127">
        <f>VLOOKUP($O148,'NO USAR1'!$A$4:$L$403,4,False)*$W$19</f>
        <v>1.507304699</v>
      </c>
      <c r="AG148" s="127">
        <f>VLOOKUP($O148,'NO USAR1'!$A$4:$L$403,5,False)*$X$19</f>
        <v>-1.246500135</v>
      </c>
      <c r="AH148" s="127">
        <f>VLOOKUP($O148,'NO USAR1'!$A$4:$L$403,6,False)*$Y$19</f>
        <v>-1.078620176</v>
      </c>
      <c r="AI148" s="127">
        <f>VLOOKUP($O148,'NO USAR1'!$A$4:$L$403,7,False)*$Z$19</f>
        <v>0.6548283205</v>
      </c>
      <c r="AJ148" s="127">
        <f>VLOOKUP($O148,'NO USAR1'!$A$4:$L$403,8,False)*$AA$19</f>
        <v>0.9270556228</v>
      </c>
      <c r="AK148" s="132">
        <f>VLOOKUP($O148,'NO USAR1'!$A$4:$L$403,10,False)*$AB$19</f>
        <v>-0.5659161089</v>
      </c>
      <c r="AL148" s="127">
        <f>VLOOKUP($O148,'NO USAR1'!$A$4:$L$403,12,False)*$AC$19</f>
        <v>0.1225292184</v>
      </c>
      <c r="AM148" s="133">
        <f t="shared" si="2"/>
        <v>-1.426137812</v>
      </c>
      <c r="AN148" s="133">
        <f t="shared" si="3"/>
        <v>-2.672637947</v>
      </c>
    </row>
    <row r="149">
      <c r="A149" s="118" t="str">
        <f>IF(Update!B147="",ROW(Update!B147),Update!B147)</f>
        <v>Malcolm Brogdon</v>
      </c>
      <c r="B149" s="119">
        <f>IF(TYPE($A149)=1,"",(Update!$L147-B$1)/B$2)</f>
        <v>-0.6668026982</v>
      </c>
      <c r="C149" s="119">
        <f>IF(TYPE($A149)=1,"",(Update!$K147-C$1)/C$2)</f>
        <v>-0.1393829235</v>
      </c>
      <c r="D149" s="119">
        <f>IF(TYPE($A149)=1,"",(Update!$M147-D$1)/D$2)</f>
        <v>-1.001617493</v>
      </c>
      <c r="E149" s="119">
        <f>IF(TYPE($A149)=1,"",(Update!$N147-E$1)/E$2)</f>
        <v>-0.1131327306</v>
      </c>
      <c r="F149" s="119">
        <f>IF(TYPE($A149)=1,"",(Update!$O147-F$1)/F$2)</f>
        <v>-1.229386107</v>
      </c>
      <c r="G149" s="119">
        <f>IF(TYPE($A149)=1,"",(Update!$P147-G$1)/G$2)</f>
        <v>-0.7528774808</v>
      </c>
      <c r="H149" s="119">
        <f>IF(TYPE($A149)=1,"",(Update!$H147-H$1)/H$2*I149/$I$1)</f>
        <v>-0.28838819</v>
      </c>
      <c r="I149" s="119">
        <f>IF(TYPE($A149)=1,"",IF(Update!H147=0,0,Update!G147/Update!H147))</f>
        <v>10</v>
      </c>
      <c r="J149" s="120">
        <f>IF(TYPE($A149)=1,"",(Update!$J147-J$1)/J$2*K149/$K$1)</f>
        <v>0.5867566385</v>
      </c>
      <c r="K149" s="121">
        <f>IF(TYPE($A149)=1,"",IF(Update!J147=0,0,Update!I147/Update!J147))</f>
        <v>2.8</v>
      </c>
      <c r="L149" s="119">
        <f>IF(TYPE($A149)=1,"",-(Update!$Q147-L$1)/L$2)</f>
        <v>0.738486911</v>
      </c>
      <c r="N149" s="124">
        <v>129.0</v>
      </c>
      <c r="O149" s="130" t="str">
        <f>IF(Update!B97="",ROW(Update!B97),Update!B97)</f>
        <v>Robert Williams III</v>
      </c>
      <c r="P149" s="131">
        <f>Update!E97</f>
        <v>61</v>
      </c>
      <c r="Q149" s="131" t="str">
        <f>IF(Update!C97="",ROW(Update!N112),Update!C97)</f>
        <v>C</v>
      </c>
      <c r="R149" s="127">
        <f>VLOOKUP($O149,'NO USAR1'!$A$4:$L$403,2,False)+VLOOKUP($O149,'NO USAR1'!$A$4:$L$403,3,False)+VLOOKUP($O149,'NO USAR1'!$A$4:$L$403,4,False)+VLOOKUP($O149,'NO USAR1'!$A$4:$L$403,5,False)+VLOOKUP($O149,'NO USAR1'!$A$4:$L$403,6,False)+VLOOKUP($O149,'NO USAR1'!$A$4:$L$403,7,False)+VLOOKUP($O149,'NO USAR1'!$A$4:$L$403,8,False)+VLOOKUP($O149,'NO USAR1'!$A$4:$L$403,10,False)+VLOOKUP($O149,'NO USAR1'!$A$4:$L$403,12,False)*0</f>
        <v>-2.606324539</v>
      </c>
      <c r="S149" s="127">
        <f>VLOOKUP($O149,'NO USAR1'!$A$4:$L$403,2,False)*$U$19+VLOOKUP($O149,'NO USAR1'!$A$4:$L$403,3,False)*$V$19+VLOOKUP($O149,'NO USAR1'!$A$4:$L$403,4,False)*$W$19+VLOOKUP($O149,'NO USAR1'!$A$4:$L$403,5,False)*$X$19+VLOOKUP($O149,'NO USAR1'!$A$4:$L$403,6,False)*$Y$19+VLOOKUP($O149,'NO USAR1'!$A$4:$L$403,7,False)*$Z$19+VLOOKUP($O149,'NO USAR1'!$A$4:$L$403,8,False)*$AA$19+VLOOKUP($O149,'NO USAR1'!$A$4:$L$403,10,False)*$AB$19+VLOOKUP($O149,'NO USAR1'!$A$4:$L$403,12,False)*$AC$19+IF(Projections!$K$3,-AN149, IF(Projections!$J$3,-AM149,0))</f>
        <v>-0.5995398137</v>
      </c>
      <c r="T149" s="127">
        <f t="shared" si="1"/>
        <v>2.006784725</v>
      </c>
      <c r="U149" s="127">
        <f>VLOOKUP($O149,Update!$B$2:$R$401,11,False)</f>
        <v>7.6</v>
      </c>
      <c r="V149" s="122">
        <f>VLOOKUP($O149,Update!$B$2:$R$401,10,False)</f>
        <v>0</v>
      </c>
      <c r="W149" s="127">
        <f>VLOOKUP($O149,Update!$B$2:$R$401,12,False)</f>
        <v>7.7</v>
      </c>
      <c r="X149" s="127">
        <f>VLOOKUP($O149,Update!$B$2:$R$401,13,False)</f>
        <v>2.1</v>
      </c>
      <c r="Y149" s="127">
        <f>VLOOKUP($O149,Update!$B$2:$R$401,14,False)</f>
        <v>0.6</v>
      </c>
      <c r="Z149" s="132">
        <f>VLOOKUP($O149,Update!$B$2:$R$401,15,False)</f>
        <v>1.4</v>
      </c>
      <c r="AA149" s="127">
        <f>100*VLOOKUP($O149,Update!$B$2:$R$401,7,False)</f>
        <v>71.42857143</v>
      </c>
      <c r="AB149" s="127">
        <f>100*VLOOKUP($O149,Update!$B$2:$R$401,9,False)</f>
        <v>63.63636364</v>
      </c>
      <c r="AC149" s="127">
        <f>VLOOKUP($O149,Update!$B$2:$Q$401,16,False)</f>
        <v>0.9</v>
      </c>
      <c r="AD149" s="127">
        <f>VLOOKUP($O149,'NO USAR1'!$A$4:$L$403,2,False)*$U$19</f>
        <v>-1.627403047</v>
      </c>
      <c r="AE149" s="127">
        <f>VLOOKUP($O149,'NO USAR1'!$A$4:$L$403,3,False)*$V$19</f>
        <v>-1.426137812</v>
      </c>
      <c r="AF149" s="127">
        <f>VLOOKUP($O149,'NO USAR1'!$A$4:$L$403,4,False)*$W$19</f>
        <v>0.6709973016</v>
      </c>
      <c r="AG149" s="127">
        <f>VLOOKUP($O149,'NO USAR1'!$A$4:$L$403,5,False)*$X$19</f>
        <v>-0.8894829113</v>
      </c>
      <c r="AH149" s="127">
        <f>VLOOKUP($O149,'NO USAR1'!$A$4:$L$403,6,False)*$Y$19</f>
        <v>-0.8605702752</v>
      </c>
      <c r="AI149" s="127">
        <f>VLOOKUP($O149,'NO USAR1'!$A$4:$L$403,7,False)*$Z$19</f>
        <v>0.9174599998</v>
      </c>
      <c r="AJ149" s="127">
        <f>VLOOKUP($O149,'NO USAR1'!$A$4:$L$403,8,False)*$AA$19</f>
        <v>1.068462248</v>
      </c>
      <c r="AK149" s="132">
        <f>VLOOKUP($O149,'NO USAR1'!$A$4:$L$403,10,False)*$AB$19</f>
        <v>-0.4201213663</v>
      </c>
      <c r="AL149" s="127">
        <f>VLOOKUP($O149,'NO USAR1'!$A$4:$L$403,12,False)*$AC$19</f>
        <v>0.3398530011</v>
      </c>
      <c r="AM149" s="133">
        <f t="shared" si="2"/>
        <v>-1.627403047</v>
      </c>
      <c r="AN149" s="133">
        <f t="shared" si="3"/>
        <v>-3.053540858</v>
      </c>
    </row>
    <row r="150">
      <c r="A150" s="118" t="str">
        <f>IF(Update!B148="",ROW(Update!B148),Update!B148)</f>
        <v>Harrison Barnes</v>
      </c>
      <c r="B150" s="119">
        <f>IF(TYPE($A150)=1,"",(Update!$L148-B$1)/B$2)</f>
        <v>-0.397160495</v>
      </c>
      <c r="C150" s="119">
        <f>IF(TYPE($A150)=1,"",(Update!$K148-C$1)/C$2)</f>
        <v>-0.04303528054</v>
      </c>
      <c r="D150" s="119">
        <f>IF(TYPE($A150)=1,"",(Update!$M148-D$1)/D$2)</f>
        <v>-0.5416484242</v>
      </c>
      <c r="E150" s="119">
        <f>IF(TYPE($A150)=1,"",(Update!$N148-E$1)/E$2)</f>
        <v>-1.086816068</v>
      </c>
      <c r="F150" s="119">
        <f>IF(TYPE($A150)=1,"",(Update!$O148-F$1)/F$2)</f>
        <v>-0.9178862491</v>
      </c>
      <c r="G150" s="119">
        <f>IF(TYPE($A150)=1,"",(Update!$P148-G$1)/G$2)</f>
        <v>-1.128065594</v>
      </c>
      <c r="H150" s="119">
        <f>IF(TYPE($A150)=1,"",(Update!$H148-H$1)/H$2*I150/$I$1)</f>
        <v>-0.2342326929</v>
      </c>
      <c r="I150" s="119">
        <f>IF(TYPE($A150)=1,"",IF(Update!H148=0,0,Update!G148/Update!H148))</f>
        <v>9.7</v>
      </c>
      <c r="J150" s="120">
        <f>IF(TYPE($A150)=1,"",(Update!$J148-J$1)/J$2*K150/$K$1)</f>
        <v>0.7156686637</v>
      </c>
      <c r="K150" s="121">
        <f>IF(TYPE($A150)=1,"",IF(Update!J148=0,0,Update!I148/Update!J148))</f>
        <v>4.9</v>
      </c>
      <c r="L150" s="119">
        <f>IF(TYPE($A150)=1,"",-(Update!$Q148-L$1)/L$2)</f>
        <v>0.9868569483</v>
      </c>
      <c r="N150" s="124">
        <v>130.0</v>
      </c>
      <c r="O150" s="130" t="str">
        <f>IF(Update!B139="",ROW(Update!B139),Update!B139)</f>
        <v>Donte DiVincenzo</v>
      </c>
      <c r="P150" s="131">
        <f>Update!E139</f>
        <v>70</v>
      </c>
      <c r="Q150" s="131" t="str">
        <f>IF(Update!C139="",ROW(Update!N154),Update!C139)</f>
        <v>SG,SF</v>
      </c>
      <c r="R150" s="127">
        <f>VLOOKUP($O150,'NO USAR1'!$A$4:$L$403,2,False)+VLOOKUP($O150,'NO USAR1'!$A$4:$L$403,3,False)+VLOOKUP($O150,'NO USAR1'!$A$4:$L$403,4,False)+VLOOKUP($O150,'NO USAR1'!$A$4:$L$403,5,False)+VLOOKUP($O150,'NO USAR1'!$A$4:$L$403,6,False)+VLOOKUP($O150,'NO USAR1'!$A$4:$L$403,7,False)+VLOOKUP($O150,'NO USAR1'!$A$4:$L$403,8,False)+VLOOKUP($O150,'NO USAR1'!$A$4:$L$403,10,False)+VLOOKUP($O150,'NO USAR1'!$A$4:$L$403,12,False)*0</f>
        <v>-2.632893922</v>
      </c>
      <c r="S150" s="127">
        <f>VLOOKUP($O150,'NO USAR1'!$A$4:$L$403,2,False)*$U$19+VLOOKUP($O150,'NO USAR1'!$A$4:$L$403,3,False)*$V$19+VLOOKUP($O150,'NO USAR1'!$A$4:$L$403,4,False)*$W$19+VLOOKUP($O150,'NO USAR1'!$A$4:$L$403,5,False)*$X$19+VLOOKUP($O150,'NO USAR1'!$A$4:$L$403,6,False)*$Y$19+VLOOKUP($O150,'NO USAR1'!$A$4:$L$403,7,False)*$Z$19+VLOOKUP($O150,'NO USAR1'!$A$4:$L$403,8,False)*$AA$19+VLOOKUP($O150,'NO USAR1'!$A$4:$L$403,10,False)*$AB$19+VLOOKUP($O150,'NO USAR1'!$A$4:$L$403,12,False)*$AC$19+IF(Projections!$K$3,-AN150, IF(Projections!$J$3,-AM150,0))</f>
        <v>-1.175400257</v>
      </c>
      <c r="T150" s="127">
        <f t="shared" si="1"/>
        <v>1.457493665</v>
      </c>
      <c r="U150" s="127">
        <f>VLOOKUP($O150,Update!$B$2:$R$401,11,False)</f>
        <v>9.3</v>
      </c>
      <c r="V150" s="122">
        <f>VLOOKUP($O150,Update!$B$2:$R$401,10,False)</f>
        <v>2</v>
      </c>
      <c r="W150" s="127">
        <f>VLOOKUP($O150,Update!$B$2:$R$401,12,False)</f>
        <v>4.3</v>
      </c>
      <c r="X150" s="127">
        <f>VLOOKUP($O150,Update!$B$2:$R$401,13,False)</f>
        <v>3.2</v>
      </c>
      <c r="Y150" s="127">
        <f>VLOOKUP($O150,Update!$B$2:$R$401,14,False)</f>
        <v>1.3</v>
      </c>
      <c r="Z150" s="132">
        <f>VLOOKUP($O150,Update!$B$2:$R$401,15,False)</f>
        <v>0.2</v>
      </c>
      <c r="AA150" s="127">
        <f>100*VLOOKUP($O150,Update!$B$2:$R$401,7,False)</f>
        <v>42.46575342</v>
      </c>
      <c r="AB150" s="127">
        <f>100*VLOOKUP($O150,Update!$B$2:$R$401,9,False)</f>
        <v>78.57142857</v>
      </c>
      <c r="AC150" s="127">
        <f>VLOOKUP($O150,Update!$B$2:$Q$401,16,False)</f>
        <v>1.6</v>
      </c>
      <c r="AD150" s="127">
        <f>VLOOKUP($O150,'NO USAR1'!$A$4:$L$403,2,False)*$U$19</f>
        <v>-1.340908206</v>
      </c>
      <c r="AE150" s="127">
        <f>VLOOKUP($O150,'NO USAR1'!$A$4:$L$403,3,False)*$V$19</f>
        <v>0.3081197623</v>
      </c>
      <c r="AF150" s="127">
        <f>VLOOKUP($O150,'NO USAR1'!$A$4:$L$403,4,False)*$W$19</f>
        <v>-0.7507252735</v>
      </c>
      <c r="AG150" s="127">
        <f>VLOOKUP($O150,'NO USAR1'!$A$4:$L$403,5,False)*$X$19</f>
        <v>-0.3284558457</v>
      </c>
      <c r="AH150" s="127">
        <f>VLOOKUP($O150,'NO USAR1'!$A$4:$L$403,6,False)*$Y$19</f>
        <v>0.6657790304</v>
      </c>
      <c r="AI150" s="127">
        <f>VLOOKUP($O150,'NO USAR1'!$A$4:$L$403,7,False)*$Z$19</f>
        <v>-0.6583300762</v>
      </c>
      <c r="AJ150" s="127">
        <f>VLOOKUP($O150,'NO USAR1'!$A$4:$L$403,8,False)*$AA$19</f>
        <v>-0.5200953655</v>
      </c>
      <c r="AK150" s="132">
        <f>VLOOKUP($O150,'NO USAR1'!$A$4:$L$403,10,False)*$AB$19</f>
        <v>-0.01422170748</v>
      </c>
      <c r="AL150" s="127">
        <f>VLOOKUP($O150,'NO USAR1'!$A$4:$L$403,12,False)*$AC$19</f>
        <v>0.1225292184</v>
      </c>
      <c r="AM150" s="133">
        <f t="shared" si="2"/>
        <v>-1.340908206</v>
      </c>
      <c r="AN150" s="133">
        <f t="shared" si="3"/>
        <v>-2.091633479</v>
      </c>
    </row>
    <row r="151">
      <c r="A151" s="118" t="str">
        <f>IF(Update!B149="",ROW(Update!B149),Update!B149)</f>
        <v>Richaun Holmes</v>
      </c>
      <c r="B151" s="119">
        <f>IF(TYPE($A151)=1,"",(Update!$L149-B$1)/B$2)</f>
        <v>-1.256645018</v>
      </c>
      <c r="C151" s="119">
        <f>IF(TYPE($A151)=1,"",(Update!$K149-C$1)/C$2)</f>
        <v>-1.488249925</v>
      </c>
      <c r="D151" s="119">
        <f>IF(TYPE($A151)=1,"",(Update!$M149-D$1)/D$2)</f>
        <v>0.1692128634</v>
      </c>
      <c r="E151" s="119">
        <f>IF(TYPE($A151)=1,"",(Update!$N149-E$1)/E$2)</f>
        <v>-1.365011307</v>
      </c>
      <c r="F151" s="119">
        <f>IF(TYPE($A151)=1,"",(Update!$O149-F$1)/F$2)</f>
        <v>-2.163885682</v>
      </c>
      <c r="G151" s="119">
        <f>IF(TYPE($A151)=1,"",(Update!$P149-G$1)/G$2)</f>
        <v>0.3726868593</v>
      </c>
      <c r="H151" s="119">
        <f>IF(TYPE($A151)=1,"",(Update!$H149-H$1)/H$2*I151/$I$1)</f>
        <v>1.027387794</v>
      </c>
      <c r="I151" s="119">
        <f>IF(TYPE($A151)=1,"",IF(Update!H149=0,0,Update!G149/Update!H149))</f>
        <v>6.4</v>
      </c>
      <c r="J151" s="120">
        <f>IF(TYPE($A151)=1,"",(Update!$J149-J$1)/J$2*K151/$K$1)</f>
        <v>-0.06730709467</v>
      </c>
      <c r="K151" s="121">
        <f>IF(TYPE($A151)=1,"",IF(Update!J149=0,0,Update!I149/Update!J149))</f>
        <v>1.8</v>
      </c>
      <c r="L151" s="119">
        <f>IF(TYPE($A151)=1,"",-(Update!$Q149-L$1)/L$2)</f>
        <v>0.9868569483</v>
      </c>
      <c r="N151" s="33">
        <v>131.0</v>
      </c>
      <c r="O151" s="130" t="str">
        <f>IF(Update!B152="",ROW(Update!B152),Update!B152)</f>
        <v>Jalen Green</v>
      </c>
      <c r="P151" s="131">
        <f>Update!E152</f>
        <v>74</v>
      </c>
      <c r="Q151" s="131" t="str">
        <f>IF(Update!C152="",ROW(Update!N167),Update!C152)</f>
        <v>PG,SG</v>
      </c>
      <c r="R151" s="127">
        <f>VLOOKUP($O151,'NO USAR1'!$A$4:$L$403,2,False)+VLOOKUP($O151,'NO USAR1'!$A$4:$L$403,3,False)+VLOOKUP($O151,'NO USAR1'!$A$4:$L$403,4,False)+VLOOKUP($O151,'NO USAR1'!$A$4:$L$403,5,False)+VLOOKUP($O151,'NO USAR1'!$A$4:$L$403,6,False)+VLOOKUP($O151,'NO USAR1'!$A$4:$L$403,7,False)+VLOOKUP($O151,'NO USAR1'!$A$4:$L$403,8,False)+VLOOKUP($O151,'NO USAR1'!$A$4:$L$403,10,False)+VLOOKUP($O151,'NO USAR1'!$A$4:$L$403,12,False)*0</f>
        <v>-2.663643452</v>
      </c>
      <c r="S151" s="127">
        <f>VLOOKUP($O151,'NO USAR1'!$A$4:$L$403,2,False)*$U$19+VLOOKUP($O151,'NO USAR1'!$A$4:$L$403,3,False)*$V$19+VLOOKUP($O151,'NO USAR1'!$A$4:$L$403,4,False)*$W$19+VLOOKUP($O151,'NO USAR1'!$A$4:$L$403,5,False)*$X$19+VLOOKUP($O151,'NO USAR1'!$A$4:$L$403,6,False)*$Y$19+VLOOKUP($O151,'NO USAR1'!$A$4:$L$403,7,False)*$Z$19+VLOOKUP($O151,'NO USAR1'!$A$4:$L$403,8,False)*$AA$19+VLOOKUP($O151,'NO USAR1'!$A$4:$L$403,10,False)*$AB$19+VLOOKUP($O151,'NO USAR1'!$A$4:$L$403,12,False)*$AC$19+IF(Projections!$K$3,-AN151, IF(Projections!$J$3,-AM151,0))</f>
        <v>-1.10400772</v>
      </c>
      <c r="T151" s="127">
        <f t="shared" si="1"/>
        <v>1.559635732</v>
      </c>
      <c r="U151" s="127">
        <f>VLOOKUP($O151,Update!$B$2:$R$401,11,False)</f>
        <v>20.7</v>
      </c>
      <c r="V151" s="122">
        <f>VLOOKUP($O151,Update!$B$2:$R$401,10,False)</f>
        <v>2.5</v>
      </c>
      <c r="W151" s="127">
        <f>VLOOKUP($O151,Update!$B$2:$R$401,12,False)</f>
        <v>3.7</v>
      </c>
      <c r="X151" s="127">
        <f>VLOOKUP($O151,Update!$B$2:$R$401,13,False)</f>
        <v>3.3</v>
      </c>
      <c r="Y151" s="127">
        <f>VLOOKUP($O151,Update!$B$2:$R$401,14,False)</f>
        <v>0.8</v>
      </c>
      <c r="Z151" s="132">
        <f>VLOOKUP($O151,Update!$B$2:$R$401,15,False)</f>
        <v>0.3</v>
      </c>
      <c r="AA151" s="127">
        <f>100*VLOOKUP($O151,Update!$B$2:$R$401,7,False)</f>
        <v>42.26190476</v>
      </c>
      <c r="AB151" s="127">
        <f>100*VLOOKUP($O151,Update!$B$2:$R$401,9,False)</f>
        <v>78.43137255</v>
      </c>
      <c r="AC151" s="127">
        <f>VLOOKUP($O151,Update!$B$2:$Q$401,16,False)</f>
        <v>2.4</v>
      </c>
      <c r="AD151" s="127">
        <f>VLOOKUP($O151,'NO USAR1'!$A$4:$L$403,2,False)*$U$19</f>
        <v>0.5802924913</v>
      </c>
      <c r="AE151" s="127">
        <f>VLOOKUP($O151,'NO USAR1'!$A$4:$L$403,3,False)*$V$19</f>
        <v>0.7416841558</v>
      </c>
      <c r="AF151" s="127">
        <f>VLOOKUP($O151,'NO USAR1'!$A$4:$L$403,4,False)*$W$19</f>
        <v>-1.001617493</v>
      </c>
      <c r="AG151" s="127">
        <f>VLOOKUP($O151,'NO USAR1'!$A$4:$L$403,5,False)*$X$19</f>
        <v>-0.2774533852</v>
      </c>
      <c r="AH151" s="127">
        <f>VLOOKUP($O151,'NO USAR1'!$A$4:$L$403,6,False)*$Y$19</f>
        <v>-0.4244704736</v>
      </c>
      <c r="AI151" s="127">
        <f>VLOOKUP($O151,'NO USAR1'!$A$4:$L$403,7,False)*$Z$19</f>
        <v>-0.5270142365</v>
      </c>
      <c r="AJ151" s="127">
        <f>VLOOKUP($O151,'NO USAR1'!$A$4:$L$403,8,False)*$AA$19</f>
        <v>-1.231139506</v>
      </c>
      <c r="AK151" s="132">
        <f>VLOOKUP($O151,'NO USAR1'!$A$4:$L$403,10,False)*$AB$19</f>
        <v>-0.0695879603</v>
      </c>
      <c r="AL151" s="127">
        <f>VLOOKUP($O151,'NO USAR1'!$A$4:$L$403,12,False)*$AC$19</f>
        <v>-0.1258408189</v>
      </c>
      <c r="AM151" s="133">
        <f t="shared" si="2"/>
        <v>-1.231139506</v>
      </c>
      <c r="AN151" s="133">
        <f t="shared" si="3"/>
        <v>-2.232756999</v>
      </c>
    </row>
    <row r="152">
      <c r="A152" s="118" t="str">
        <f>IF(Update!B150="",ROW(Update!B150),Update!B150)</f>
        <v>Deni Avdija</v>
      </c>
      <c r="B152" s="119">
        <f>IF(TYPE($A152)=1,"",(Update!$L150-B$1)/B$2)</f>
        <v>-1.138676554</v>
      </c>
      <c r="C152" s="119">
        <f>IF(TYPE($A152)=1,"",(Update!$K150-C$1)/C$2)</f>
        <v>-0.5247734955</v>
      </c>
      <c r="D152" s="119">
        <f>IF(TYPE($A152)=1,"",(Update!$M150-D$1)/D$2)</f>
        <v>0.3364743428</v>
      </c>
      <c r="E152" s="119">
        <f>IF(TYPE($A152)=1,"",(Update!$N150-E$1)/E$2)</f>
        <v>-0.4376938429</v>
      </c>
      <c r="F152" s="119">
        <f>IF(TYPE($A152)=1,"",(Update!$O150-F$1)/F$2)</f>
        <v>-0.2948865325</v>
      </c>
      <c r="G152" s="119">
        <f>IF(TYPE($A152)=1,"",(Update!$P150-G$1)/G$2)</f>
        <v>-0.1900953108</v>
      </c>
      <c r="H152" s="119">
        <f>IF(TYPE($A152)=1,"",(Update!$H150-H$1)/H$2*I152/$I$1)</f>
        <v>-0.6266912181</v>
      </c>
      <c r="I152" s="119">
        <f>IF(TYPE($A152)=1,"",IF(Update!H150=0,0,Update!G150/Update!H150))</f>
        <v>8.8</v>
      </c>
      <c r="J152" s="120">
        <f>IF(TYPE($A152)=1,"",(Update!$J150-J$1)/J$2*K152/$K$1)</f>
        <v>-0.3625861353</v>
      </c>
      <c r="K152" s="121">
        <f>IF(TYPE($A152)=1,"",IF(Update!J150=0,0,Update!I150/Update!J150))</f>
        <v>2.3</v>
      </c>
      <c r="L152" s="119">
        <f>IF(TYPE($A152)=1,"",-(Update!$Q150-L$1)/L$2)</f>
        <v>0.4901168736</v>
      </c>
      <c r="N152" s="124">
        <v>132.0</v>
      </c>
      <c r="O152" s="130" t="str">
        <f>IF(Update!B129="",ROW(Update!B129),Update!B129)</f>
        <v>Matisse Thybulle</v>
      </c>
      <c r="P152" s="131">
        <f>Update!E129</f>
        <v>72</v>
      </c>
      <c r="Q152" s="131" t="str">
        <f>IF(Update!C129="",ROW(Update!N144),Update!C129)</f>
        <v>SG,SF</v>
      </c>
      <c r="R152" s="127">
        <f>VLOOKUP($O152,'NO USAR1'!$A$4:$L$403,2,False)+VLOOKUP($O152,'NO USAR1'!$A$4:$L$403,3,False)+VLOOKUP($O152,'NO USAR1'!$A$4:$L$403,4,False)+VLOOKUP($O152,'NO USAR1'!$A$4:$L$403,5,False)+VLOOKUP($O152,'NO USAR1'!$A$4:$L$403,6,False)+VLOOKUP($O152,'NO USAR1'!$A$4:$L$403,7,False)+VLOOKUP($O152,'NO USAR1'!$A$4:$L$403,8,False)+VLOOKUP($O152,'NO USAR1'!$A$4:$L$403,10,False)+VLOOKUP($O152,'NO USAR1'!$A$4:$L$403,12,False)*0</f>
        <v>-2.710104999</v>
      </c>
      <c r="S152" s="127">
        <f>VLOOKUP($O152,'NO USAR1'!$A$4:$L$403,2,False)*$U$19+VLOOKUP($O152,'NO USAR1'!$A$4:$L$403,3,False)*$V$19+VLOOKUP($O152,'NO USAR1'!$A$4:$L$403,4,False)*$W$19+VLOOKUP($O152,'NO USAR1'!$A$4:$L$403,5,False)*$X$19+VLOOKUP($O152,'NO USAR1'!$A$4:$L$403,6,False)*$Y$19+VLOOKUP($O152,'NO USAR1'!$A$4:$L$403,7,False)*$Z$19+VLOOKUP($O152,'NO USAR1'!$A$4:$L$403,8,False)*$AA$19+VLOOKUP($O152,'NO USAR1'!$A$4:$L$403,10,False)*$AB$19+VLOOKUP($O152,'NO USAR1'!$A$4:$L$403,12,False)*$AC$19+IF(Projections!$K$3,-AN152, IF(Projections!$J$3,-AM152,0))</f>
        <v>-1.275811369</v>
      </c>
      <c r="T152" s="127">
        <f t="shared" si="1"/>
        <v>1.43429363</v>
      </c>
      <c r="U152" s="127">
        <f>VLOOKUP($O152,Update!$B$2:$R$401,11,False)</f>
        <v>6.8</v>
      </c>
      <c r="V152" s="122">
        <f>VLOOKUP($O152,Update!$B$2:$R$401,10,False)</f>
        <v>1.2</v>
      </c>
      <c r="W152" s="127">
        <f>VLOOKUP($O152,Update!$B$2:$R$401,12,False)</f>
        <v>2.8</v>
      </c>
      <c r="X152" s="127">
        <f>VLOOKUP($O152,Update!$B$2:$R$401,13,False)</f>
        <v>1.2</v>
      </c>
      <c r="Y152" s="127">
        <f>VLOOKUP($O152,Update!$B$2:$R$401,14,False)</f>
        <v>1.6</v>
      </c>
      <c r="Z152" s="132">
        <f>VLOOKUP($O152,Update!$B$2:$R$401,15,False)</f>
        <v>1</v>
      </c>
      <c r="AA152" s="127">
        <f>100*VLOOKUP($O152,Update!$B$2:$R$401,7,False)</f>
        <v>46.42857143</v>
      </c>
      <c r="AB152" s="127">
        <f>100*VLOOKUP($O152,Update!$B$2:$R$401,9,False)</f>
        <v>71.42857143</v>
      </c>
      <c r="AC152" s="127">
        <f>VLOOKUP($O152,Update!$B$2:$Q$401,16,False)</f>
        <v>0.6</v>
      </c>
      <c r="AD152" s="127">
        <f>VLOOKUP($O152,'NO USAR1'!$A$4:$L$403,2,False)*$U$19</f>
        <v>-1.762224148</v>
      </c>
      <c r="AE152" s="127">
        <f>VLOOKUP($O152,'NO USAR1'!$A$4:$L$403,3,False)*$V$19</f>
        <v>-0.3855832673</v>
      </c>
      <c r="AF152" s="127">
        <f>VLOOKUP($O152,'NO USAR1'!$A$4:$L$403,4,False)*$W$19</f>
        <v>-1.377955821</v>
      </c>
      <c r="AG152" s="127">
        <f>VLOOKUP($O152,'NO USAR1'!$A$4:$L$403,5,False)*$X$19</f>
        <v>-1.348505056</v>
      </c>
      <c r="AH152" s="127">
        <f>VLOOKUP($O152,'NO USAR1'!$A$4:$L$403,6,False)*$Y$19</f>
        <v>1.319928733</v>
      </c>
      <c r="AI152" s="127">
        <f>VLOOKUP($O152,'NO USAR1'!$A$4:$L$403,7,False)*$Z$19</f>
        <v>0.3921966412</v>
      </c>
      <c r="AJ152" s="127">
        <f>VLOOKUP($O152,'NO USAR1'!$A$4:$L$403,8,False)*$AA$19</f>
        <v>-0.1773113287</v>
      </c>
      <c r="AK152" s="132">
        <f>VLOOKUP($O152,'NO USAR1'!$A$4:$L$403,10,False)*$AB$19</f>
        <v>-0.1315730352</v>
      </c>
      <c r="AL152" s="127">
        <f>VLOOKUP($O152,'NO USAR1'!$A$4:$L$403,12,False)*$AC$19</f>
        <v>0.4329917651</v>
      </c>
      <c r="AM152" s="133">
        <f t="shared" si="2"/>
        <v>-1.762224148</v>
      </c>
      <c r="AN152" s="133">
        <f t="shared" si="3"/>
        <v>-3.14017997</v>
      </c>
    </row>
    <row r="153">
      <c r="A153" s="118" t="str">
        <f>IF(Update!B151="",ROW(Update!B151),Update!B151)</f>
        <v>Jaden Ivey</v>
      </c>
      <c r="B153" s="119">
        <f>IF(TYPE($A153)=1,"",(Update!$L151-B$1)/B$2)</f>
        <v>0.07471336045</v>
      </c>
      <c r="C153" s="119">
        <f>IF(TYPE($A153)=1,"",(Update!$K151-C$1)/C$2)</f>
        <v>0.1496600055</v>
      </c>
      <c r="D153" s="119">
        <f>IF(TYPE($A153)=1,"",(Update!$M151-D$1)/D$2)</f>
        <v>-0.8343560132</v>
      </c>
      <c r="E153" s="119">
        <f>IF(TYPE($A153)=1,"",(Update!$N151-E$1)/E$2)</f>
        <v>0.7678188601</v>
      </c>
      <c r="F153" s="119">
        <f>IF(TYPE($A153)=1,"",(Update!$O151-F$1)/F$2)</f>
        <v>-0.2948865325</v>
      </c>
      <c r="G153" s="119">
        <f>IF(TYPE($A153)=1,"",(Update!$P151-G$1)/G$2)</f>
        <v>-0.9404715375</v>
      </c>
      <c r="H153" s="119">
        <f>IF(TYPE($A153)=1,"",(Update!$H151-H$1)/H$2*I153/$I$1)</f>
        <v>-1.102503318</v>
      </c>
      <c r="I153" s="119">
        <f>IF(TYPE($A153)=1,"",IF(Update!H151=0,0,Update!G151/Update!H151))</f>
        <v>14.1</v>
      </c>
      <c r="J153" s="120">
        <f>IF(TYPE($A153)=1,"",(Update!$J151-J$1)/J$2*K153/$K$1)</f>
        <v>-0.3327340306</v>
      </c>
      <c r="K153" s="121">
        <f>IF(TYPE($A153)=1,"",IF(Update!J151=0,0,Update!I151/Update!J151))</f>
        <v>5.2</v>
      </c>
      <c r="L153" s="119">
        <f>IF(TYPE($A153)=1,"",-(Update!$Q151-L$1)/L$2)</f>
        <v>-1.745213462</v>
      </c>
      <c r="N153" s="124">
        <v>133.0</v>
      </c>
      <c r="O153" s="130" t="str">
        <f>IF(Update!B143="",ROW(Update!B143),Update!B143)</f>
        <v>Alex Caruso</v>
      </c>
      <c r="P153" s="131">
        <f>Update!E143</f>
        <v>64</v>
      </c>
      <c r="Q153" s="131" t="str">
        <f>IF(Update!C143="",ROW(Update!N158),Update!C143)</f>
        <v>PG,SG</v>
      </c>
      <c r="R153" s="127">
        <f>VLOOKUP($O153,'NO USAR1'!$A$4:$L$403,2,False)+VLOOKUP($O153,'NO USAR1'!$A$4:$L$403,3,False)+VLOOKUP($O153,'NO USAR1'!$A$4:$L$403,4,False)+VLOOKUP($O153,'NO USAR1'!$A$4:$L$403,5,False)+VLOOKUP($O153,'NO USAR1'!$A$4:$L$403,6,False)+VLOOKUP($O153,'NO USAR1'!$A$4:$L$403,7,False)+VLOOKUP($O153,'NO USAR1'!$A$4:$L$403,8,False)+VLOOKUP($O153,'NO USAR1'!$A$4:$L$403,10,False)+VLOOKUP($O153,'NO USAR1'!$A$4:$L$403,12,False)*0</f>
        <v>-2.714859213</v>
      </c>
      <c r="S153" s="127">
        <f>VLOOKUP($O153,'NO USAR1'!$A$4:$L$403,2,False)*$U$19+VLOOKUP($O153,'NO USAR1'!$A$4:$L$403,3,False)*$V$19+VLOOKUP($O153,'NO USAR1'!$A$4:$L$403,4,False)*$W$19+VLOOKUP($O153,'NO USAR1'!$A$4:$L$403,5,False)*$X$19+VLOOKUP($O153,'NO USAR1'!$A$4:$L$403,6,False)*$Y$19+VLOOKUP($O153,'NO USAR1'!$A$4:$L$403,7,False)*$Z$19+VLOOKUP($O153,'NO USAR1'!$A$4:$L$403,8,False)*$AA$19+VLOOKUP($O153,'NO USAR1'!$A$4:$L$403,10,False)*$AB$19+VLOOKUP($O153,'NO USAR1'!$A$4:$L$403,12,False)*$AC$19+IF(Projections!$K$3,-AN153, IF(Projections!$J$3,-AM153,0))</f>
        <v>-1.07470793</v>
      </c>
      <c r="T153" s="127">
        <f t="shared" si="1"/>
        <v>1.640151283</v>
      </c>
      <c r="U153" s="127">
        <f>VLOOKUP($O153,Update!$B$2:$R$401,11,False)</f>
        <v>6.3</v>
      </c>
      <c r="V153" s="122">
        <f>VLOOKUP($O153,Update!$B$2:$R$401,10,False)</f>
        <v>0.9</v>
      </c>
      <c r="W153" s="127">
        <f>VLOOKUP($O153,Update!$B$2:$R$401,12,False)</f>
        <v>3.2</v>
      </c>
      <c r="X153" s="127">
        <f>VLOOKUP($O153,Update!$B$2:$R$401,13,False)</f>
        <v>3.3</v>
      </c>
      <c r="Y153" s="127">
        <f>VLOOKUP($O153,Update!$B$2:$R$401,14,False)</f>
        <v>1.6</v>
      </c>
      <c r="Z153" s="132">
        <f>VLOOKUP($O153,Update!$B$2:$R$401,15,False)</f>
        <v>0.6</v>
      </c>
      <c r="AA153" s="127">
        <f>100*VLOOKUP($O153,Update!$B$2:$R$401,7,False)</f>
        <v>43.1372549</v>
      </c>
      <c r="AB153" s="127">
        <f>100*VLOOKUP($O153,Update!$B$2:$R$401,9,False)</f>
        <v>78.57142857</v>
      </c>
      <c r="AC153" s="127">
        <f>VLOOKUP($O153,Update!$B$2:$Q$401,16,False)</f>
        <v>1.3</v>
      </c>
      <c r="AD153" s="127">
        <f>VLOOKUP($O153,'NO USAR1'!$A$4:$L$403,2,False)*$U$19</f>
        <v>-1.846487337</v>
      </c>
      <c r="AE153" s="127">
        <f>VLOOKUP($O153,'NO USAR1'!$A$4:$L$403,3,False)*$V$19</f>
        <v>-0.6457219034</v>
      </c>
      <c r="AF153" s="127">
        <f>VLOOKUP($O153,'NO USAR1'!$A$4:$L$403,4,False)*$W$19</f>
        <v>-1.210694342</v>
      </c>
      <c r="AG153" s="127">
        <f>VLOOKUP($O153,'NO USAR1'!$A$4:$L$403,5,False)*$X$19</f>
        <v>-0.2774533852</v>
      </c>
      <c r="AH153" s="127">
        <f>VLOOKUP($O153,'NO USAR1'!$A$4:$L$403,6,False)*$Y$19</f>
        <v>1.319928733</v>
      </c>
      <c r="AI153" s="127">
        <f>VLOOKUP($O153,'NO USAR1'!$A$4:$L$403,7,False)*$Z$19</f>
        <v>-0.1330667175</v>
      </c>
      <c r="AJ153" s="127">
        <f>VLOOKUP($O153,'NO USAR1'!$A$4:$L$403,8,False)*$AA$19</f>
        <v>-0.32914659</v>
      </c>
      <c r="AK153" s="132">
        <f>VLOOKUP($O153,'NO USAR1'!$A$4:$L$403,10,False)*$AB$19</f>
        <v>-0.01422170748</v>
      </c>
      <c r="AL153" s="127">
        <f>VLOOKUP($O153,'NO USAR1'!$A$4:$L$403,12,False)*$AC$19</f>
        <v>0.2156679824</v>
      </c>
      <c r="AM153" s="133">
        <f t="shared" si="2"/>
        <v>-1.846487337</v>
      </c>
      <c r="AN153" s="133">
        <f t="shared" si="3"/>
        <v>-3.057181679</v>
      </c>
    </row>
    <row r="154">
      <c r="A154" s="118" t="str">
        <f>IF(Update!B152="",ROW(Update!B152),Update!B152)</f>
        <v>Jalen Green</v>
      </c>
      <c r="B154" s="119">
        <f>IF(TYPE($A154)=1,"",(Update!$L152-B$1)/B$2)</f>
        <v>0.5802924913</v>
      </c>
      <c r="C154" s="119">
        <f>IF(TYPE($A154)=1,"",(Update!$K152-C$1)/C$2)</f>
        <v>0.8240935064</v>
      </c>
      <c r="D154" s="119">
        <f>IF(TYPE($A154)=1,"",(Update!$M152-D$1)/D$2)</f>
        <v>-1.001617493</v>
      </c>
      <c r="E154" s="119">
        <f>IF(TYPE($A154)=1,"",(Update!$N152-E$1)/E$2)</f>
        <v>-0.2522303502</v>
      </c>
      <c r="F154" s="119">
        <f>IF(TYPE($A154)=1,"",(Update!$O152-F$1)/F$2)</f>
        <v>-0.6063863908</v>
      </c>
      <c r="G154" s="119">
        <f>IF(TYPE($A154)=1,"",(Update!$P152-G$1)/G$2)</f>
        <v>-0.7528774808</v>
      </c>
      <c r="H154" s="119">
        <f>IF(TYPE($A154)=1,"",(Update!$H152-H$1)/H$2*I154/$I$1)</f>
        <v>-1.367932785</v>
      </c>
      <c r="I154" s="119">
        <f>IF(TYPE($A154)=1,"",IF(Update!H152=0,0,Update!G152/Update!H152))</f>
        <v>16.8</v>
      </c>
      <c r="J154" s="120">
        <f>IF(TYPE($A154)=1,"",(Update!$J152-J$1)/J$2*K154/$K$1)</f>
        <v>-0.08698495038</v>
      </c>
      <c r="K154" s="121">
        <f>IF(TYPE($A154)=1,"",IF(Update!J152=0,0,Update!I152/Update!J152))</f>
        <v>5.1</v>
      </c>
      <c r="L154" s="119">
        <f>IF(TYPE($A154)=1,"",-(Update!$Q152-L$1)/L$2)</f>
        <v>-0.5033632756</v>
      </c>
      <c r="N154" s="33">
        <v>134.0</v>
      </c>
      <c r="O154" s="130" t="str">
        <f>IF(Update!B144="",ROW(Update!B144),Update!B144)</f>
        <v>Jevon Carter</v>
      </c>
      <c r="P154" s="131">
        <f>Update!E144</f>
        <v>72</v>
      </c>
      <c r="Q154" s="131" t="str">
        <f>IF(Update!C144="",ROW(Update!N159),Update!C144)</f>
        <v>PG,SG</v>
      </c>
      <c r="R154" s="127">
        <f>VLOOKUP($O154,'NO USAR1'!$A$4:$L$403,2,False)+VLOOKUP($O154,'NO USAR1'!$A$4:$L$403,3,False)+VLOOKUP($O154,'NO USAR1'!$A$4:$L$403,4,False)+VLOOKUP($O154,'NO USAR1'!$A$4:$L$403,5,False)+VLOOKUP($O154,'NO USAR1'!$A$4:$L$403,6,False)+VLOOKUP($O154,'NO USAR1'!$A$4:$L$403,7,False)+VLOOKUP($O154,'NO USAR1'!$A$4:$L$403,8,False)+VLOOKUP($O154,'NO USAR1'!$A$4:$L$403,10,False)+VLOOKUP($O154,'NO USAR1'!$A$4:$L$403,12,False)*0</f>
        <v>-2.784544931</v>
      </c>
      <c r="S154" s="127">
        <f>VLOOKUP($O154,'NO USAR1'!$A$4:$L$403,2,False)*$U$19+VLOOKUP($O154,'NO USAR1'!$A$4:$L$403,3,False)*$V$19+VLOOKUP($O154,'NO USAR1'!$A$4:$L$403,4,False)*$W$19+VLOOKUP($O154,'NO USAR1'!$A$4:$L$403,5,False)*$X$19+VLOOKUP($O154,'NO USAR1'!$A$4:$L$403,6,False)*$Y$19+VLOOKUP($O154,'NO USAR1'!$A$4:$L$403,7,False)*$Z$19+VLOOKUP($O154,'NO USAR1'!$A$4:$L$403,8,False)*$AA$19+VLOOKUP($O154,'NO USAR1'!$A$4:$L$403,10,False)*$AB$19+VLOOKUP($O154,'NO USAR1'!$A$4:$L$403,12,False)*$AC$19+IF(Projections!$K$3,-AN154, IF(Projections!$J$3,-AM154,0))</f>
        <v>-1.215611597</v>
      </c>
      <c r="T154" s="127">
        <f t="shared" si="1"/>
        <v>1.568933334</v>
      </c>
      <c r="U154" s="127">
        <f>VLOOKUP($O154,Update!$B$2:$R$401,11,False)</f>
        <v>10</v>
      </c>
      <c r="V154" s="122">
        <f>VLOOKUP($O154,Update!$B$2:$R$401,10,False)</f>
        <v>2.2</v>
      </c>
      <c r="W154" s="127">
        <f>VLOOKUP($O154,Update!$B$2:$R$401,12,False)</f>
        <v>3.3</v>
      </c>
      <c r="X154" s="127">
        <f>VLOOKUP($O154,Update!$B$2:$R$401,13,False)</f>
        <v>3.8</v>
      </c>
      <c r="Y154" s="127">
        <f>VLOOKUP($O154,Update!$B$2:$R$401,14,False)</f>
        <v>1</v>
      </c>
      <c r="Z154" s="132">
        <f>VLOOKUP($O154,Update!$B$2:$R$401,15,False)</f>
        <v>0.5</v>
      </c>
      <c r="AA154" s="127">
        <f>100*VLOOKUP($O154,Update!$B$2:$R$401,7,False)</f>
        <v>43.02325581</v>
      </c>
      <c r="AB154" s="127">
        <f>100*VLOOKUP($O154,Update!$B$2:$R$401,9,False)</f>
        <v>83.33333333</v>
      </c>
      <c r="AC154" s="127">
        <f>VLOOKUP($O154,Update!$B$2:$Q$401,16,False)</f>
        <v>1.2</v>
      </c>
      <c r="AD154" s="127">
        <f>VLOOKUP($O154,'NO USAR1'!$A$4:$L$403,2,False)*$U$19</f>
        <v>-1.222939742</v>
      </c>
      <c r="AE154" s="127">
        <f>VLOOKUP($O154,'NO USAR1'!$A$4:$L$403,3,False)*$V$19</f>
        <v>0.4815455197</v>
      </c>
      <c r="AF154" s="127">
        <f>VLOOKUP($O154,'NO USAR1'!$A$4:$L$403,4,False)*$W$19</f>
        <v>-1.168878972</v>
      </c>
      <c r="AG154" s="127">
        <f>VLOOKUP($O154,'NO USAR1'!$A$4:$L$403,5,False)*$X$19</f>
        <v>-0.02244108263</v>
      </c>
      <c r="AH154" s="127">
        <f>VLOOKUP($O154,'NO USAR1'!$A$4:$L$403,6,False)*$Y$19</f>
        <v>0.01162932804</v>
      </c>
      <c r="AI154" s="127">
        <f>VLOOKUP($O154,'NO USAR1'!$A$4:$L$403,7,False)*$Z$19</f>
        <v>-0.2643825572</v>
      </c>
      <c r="AJ154" s="127">
        <f>VLOOKUP($O154,'NO USAR1'!$A$4:$L$403,8,False)*$AA$19</f>
        <v>-0.564824299</v>
      </c>
      <c r="AK154" s="132">
        <f>VLOOKUP($O154,'NO USAR1'!$A$4:$L$403,10,False)*$AB$19</f>
        <v>0.06502622904</v>
      </c>
      <c r="AL154" s="127">
        <f>VLOOKUP($O154,'NO USAR1'!$A$4:$L$403,12,False)*$AC$19</f>
        <v>0.2467142371</v>
      </c>
      <c r="AM154" s="133">
        <f t="shared" si="2"/>
        <v>-1.222939742</v>
      </c>
      <c r="AN154" s="133">
        <f t="shared" si="3"/>
        <v>-2.391818714</v>
      </c>
    </row>
    <row r="155">
      <c r="A155" s="118" t="str">
        <f>IF(Update!B153="",ROW(Update!B153),Update!B153)</f>
        <v>Malik Beasley</v>
      </c>
      <c r="B155" s="119">
        <f>IF(TYPE($A155)=1,"",(Update!$L153-B$1)/B$2)</f>
        <v>-0.4982763212</v>
      </c>
      <c r="C155" s="119">
        <f>IF(TYPE($A155)=1,"",(Update!$K153-C$1)/C$2)</f>
        <v>1.691222293</v>
      </c>
      <c r="D155" s="119">
        <f>IF(TYPE($A155)=1,"",(Update!$M153-D$1)/D$2)</f>
        <v>-1.001617493</v>
      </c>
      <c r="E155" s="119">
        <f>IF(TYPE($A155)=1,"",(Update!$N153-E$1)/E$2)</f>
        <v>-0.9940843212</v>
      </c>
      <c r="F155" s="119">
        <f>IF(TYPE($A155)=1,"",(Update!$O153-F$1)/F$2)</f>
        <v>-0.6063863908</v>
      </c>
      <c r="G155" s="119">
        <f>IF(TYPE($A155)=1,"",(Update!$P153-G$1)/G$2)</f>
        <v>-0.9404715375</v>
      </c>
      <c r="H155" s="119">
        <f>IF(TYPE($A155)=1,"",(Update!$H153-H$1)/H$2*I155/$I$1)</f>
        <v>-1.000431679</v>
      </c>
      <c r="I155" s="119">
        <f>IF(TYPE($A155)=1,"",IF(Update!H153=0,0,Update!G153/Update!H153))</f>
        <v>12.1</v>
      </c>
      <c r="J155" s="120">
        <f>IF(TYPE($A155)=1,"",(Update!$J153-J$1)/J$2*K155/$K$1)</f>
        <v>-0.03365354734</v>
      </c>
      <c r="K155" s="121">
        <f>IF(TYPE($A155)=1,"",IF(Update!J153=0,0,Update!I153/Update!J153))</f>
        <v>0.9</v>
      </c>
      <c r="L155" s="119">
        <f>IF(TYPE($A155)=1,"",-(Update!$Q153-L$1)/L$2)</f>
        <v>1.235226986</v>
      </c>
      <c r="N155" s="124">
        <v>135.0</v>
      </c>
      <c r="O155" s="130" t="str">
        <f>IF(Update!B141="",ROW(Update!B141),Update!B141)</f>
        <v>Kyle Lowry</v>
      </c>
      <c r="P155" s="131">
        <f>Update!E141</f>
        <v>60</v>
      </c>
      <c r="Q155" s="131" t="str">
        <f>IF(Update!C141="",ROW(Update!N156),Update!C141)</f>
        <v>PG</v>
      </c>
      <c r="R155" s="127">
        <f>VLOOKUP($O155,'NO USAR1'!$A$4:$L$403,2,False)+VLOOKUP($O155,'NO USAR1'!$A$4:$L$403,3,False)+VLOOKUP($O155,'NO USAR1'!$A$4:$L$403,4,False)+VLOOKUP($O155,'NO USAR1'!$A$4:$L$403,5,False)+VLOOKUP($O155,'NO USAR1'!$A$4:$L$403,6,False)+VLOOKUP($O155,'NO USAR1'!$A$4:$L$403,7,False)+VLOOKUP($O155,'NO USAR1'!$A$4:$L$403,8,False)+VLOOKUP($O155,'NO USAR1'!$A$4:$L$403,10,False)+VLOOKUP($O155,'NO USAR1'!$A$4:$L$403,12,False)*0</f>
        <v>-2.809951973</v>
      </c>
      <c r="S155" s="127">
        <f>VLOOKUP($O155,'NO USAR1'!$A$4:$L$403,2,False)*$U$19+VLOOKUP($O155,'NO USAR1'!$A$4:$L$403,3,False)*$V$19+VLOOKUP($O155,'NO USAR1'!$A$4:$L$403,4,False)*$W$19+VLOOKUP($O155,'NO USAR1'!$A$4:$L$403,5,False)*$X$19+VLOOKUP($O155,'NO USAR1'!$A$4:$L$403,6,False)*$Y$19+VLOOKUP($O155,'NO USAR1'!$A$4:$L$403,7,False)*$Z$19+VLOOKUP($O155,'NO USAR1'!$A$4:$L$403,8,False)*$AA$19+VLOOKUP($O155,'NO USAR1'!$A$4:$L$403,10,False)*$AB$19+VLOOKUP($O155,'NO USAR1'!$A$4:$L$403,12,False)*$AC$19+IF(Projections!$K$3,-AN155, IF(Projections!$J$3,-AM155,0))</f>
        <v>-1.216155073</v>
      </c>
      <c r="T155" s="127">
        <f t="shared" si="1"/>
        <v>1.593796899</v>
      </c>
      <c r="U155" s="127">
        <f>VLOOKUP($O155,Update!$B$2:$R$401,11,False)</f>
        <v>10</v>
      </c>
      <c r="V155" s="122">
        <f>VLOOKUP($O155,Update!$B$2:$R$401,10,False)</f>
        <v>1.7</v>
      </c>
      <c r="W155" s="127">
        <f>VLOOKUP($O155,Update!$B$2:$R$401,12,False)</f>
        <v>3.5</v>
      </c>
      <c r="X155" s="127">
        <f>VLOOKUP($O155,Update!$B$2:$R$401,13,False)</f>
        <v>5.2</v>
      </c>
      <c r="Y155" s="127">
        <f>VLOOKUP($O155,Update!$B$2:$R$401,14,False)</f>
        <v>0.9</v>
      </c>
      <c r="Z155" s="132">
        <f>VLOOKUP($O155,Update!$B$2:$R$401,15,False)</f>
        <v>0.3</v>
      </c>
      <c r="AA155" s="127">
        <f>100*VLOOKUP($O155,Update!$B$2:$R$401,7,False)</f>
        <v>42.85714286</v>
      </c>
      <c r="AB155" s="127">
        <f>100*VLOOKUP($O155,Update!$B$2:$R$401,9,False)</f>
        <v>85.71428571</v>
      </c>
      <c r="AC155" s="127">
        <f>VLOOKUP($O155,Update!$B$2:$Q$401,16,False)</f>
        <v>1.9</v>
      </c>
      <c r="AD155" s="127">
        <f>VLOOKUP($O155,'NO USAR1'!$A$4:$L$403,2,False)*$U$19</f>
        <v>-1.222939742</v>
      </c>
      <c r="AE155" s="127">
        <f>VLOOKUP($O155,'NO USAR1'!$A$4:$L$403,3,False)*$V$19</f>
        <v>0.04798112621</v>
      </c>
      <c r="AF155" s="127">
        <f>VLOOKUP($O155,'NO USAR1'!$A$4:$L$403,4,False)*$W$19</f>
        <v>-1.085248232</v>
      </c>
      <c r="AG155" s="127">
        <f>VLOOKUP($O155,'NO USAR1'!$A$4:$L$403,5,False)*$X$19</f>
        <v>0.6915933645</v>
      </c>
      <c r="AH155" s="127">
        <f>VLOOKUP($O155,'NO USAR1'!$A$4:$L$403,6,False)*$Y$19</f>
        <v>-0.2064205728</v>
      </c>
      <c r="AI155" s="127">
        <f>VLOOKUP($O155,'NO USAR1'!$A$4:$L$403,7,False)*$Z$19</f>
        <v>-0.5270142365</v>
      </c>
      <c r="AJ155" s="127">
        <f>VLOOKUP($O155,'NO USAR1'!$A$4:$L$403,8,False)*$AA$19</f>
        <v>-0.51849096</v>
      </c>
      <c r="AK155" s="132">
        <f>VLOOKUP($O155,'NO USAR1'!$A$4:$L$403,10,False)*$AB$19</f>
        <v>0.3520539831</v>
      </c>
      <c r="AL155" s="127">
        <f>VLOOKUP($O155,'NO USAR1'!$A$4:$L$403,12,False)*$AC$19</f>
        <v>0.02939045442</v>
      </c>
      <c r="AM155" s="133">
        <f t="shared" si="2"/>
        <v>-1.222939742</v>
      </c>
      <c r="AN155" s="133">
        <f t="shared" si="3"/>
        <v>-2.308187974</v>
      </c>
    </row>
    <row r="156">
      <c r="A156" s="118" t="str">
        <f>IF(Update!B154="",ROW(Update!B154),Update!B154)</f>
        <v>Isaiah Hartenstein</v>
      </c>
      <c r="B156" s="119">
        <f>IF(TYPE($A156)=1,"",(Update!$L154-B$1)/B$2)</f>
        <v>-1.745371511</v>
      </c>
      <c r="C156" s="119">
        <f>IF(TYPE($A156)=1,"",(Update!$K154-C$1)/C$2)</f>
        <v>-1.391902282</v>
      </c>
      <c r="D156" s="119">
        <f>IF(TYPE($A156)=1,"",(Update!$M154-D$1)/D$2)</f>
        <v>0.001951383927</v>
      </c>
      <c r="E156" s="119">
        <f>IF(TYPE($A156)=1,"",(Update!$N154-E$1)/E$2)</f>
        <v>-0.9013525749</v>
      </c>
      <c r="F156" s="119">
        <f>IF(TYPE($A156)=1,"",(Update!$O154-F$1)/F$2)</f>
        <v>-0.9178862491</v>
      </c>
      <c r="G156" s="119">
        <f>IF(TYPE($A156)=1,"",(Update!$P154-G$1)/G$2)</f>
        <v>0.5602809159</v>
      </c>
      <c r="H156" s="119">
        <f>IF(TYPE($A156)=1,"",(Update!$H154-H$1)/H$2*I156/$I$1)</f>
        <v>0.5212702563</v>
      </c>
      <c r="I156" s="119">
        <f>IF(TYPE($A156)=1,"",IF(Update!H154=0,0,Update!G154/Update!H154))</f>
        <v>4.9</v>
      </c>
      <c r="J156" s="120">
        <f>IF(TYPE($A156)=1,"",(Update!$J154-J$1)/J$2*K156/$K$1)</f>
        <v>-0.3289325879</v>
      </c>
      <c r="K156" s="121">
        <f>IF(TYPE($A156)=1,"",IF(Update!J154=0,0,Update!I154/Update!J154))</f>
        <v>1.4</v>
      </c>
      <c r="L156" s="119">
        <f>IF(TYPE($A156)=1,"",-(Update!$Q154-L$1)/L$2)</f>
        <v>1.111041967</v>
      </c>
      <c r="N156" s="124">
        <v>136.0</v>
      </c>
      <c r="O156" s="130" t="str">
        <f>IF(Update!B126="",ROW(Update!B126),Update!B126)</f>
        <v>Jaden McDaniels</v>
      </c>
      <c r="P156" s="131">
        <f>Update!E126</f>
        <v>74</v>
      </c>
      <c r="Q156" s="131" t="str">
        <f>IF(Update!C126="",ROW(Update!N141),Update!C126)</f>
        <v>SF,PF</v>
      </c>
      <c r="R156" s="127">
        <f>VLOOKUP($O156,'NO USAR1'!$A$4:$L$403,2,False)+VLOOKUP($O156,'NO USAR1'!$A$4:$L$403,3,False)+VLOOKUP($O156,'NO USAR1'!$A$4:$L$403,4,False)+VLOOKUP($O156,'NO USAR1'!$A$4:$L$403,5,False)+VLOOKUP($O156,'NO USAR1'!$A$4:$L$403,6,False)+VLOOKUP($O156,'NO USAR1'!$A$4:$L$403,7,False)+VLOOKUP($O156,'NO USAR1'!$A$4:$L$403,8,False)+VLOOKUP($O156,'NO USAR1'!$A$4:$L$403,10,False)+VLOOKUP($O156,'NO USAR1'!$A$4:$L$403,12,False)*0</f>
        <v>-2.860134706</v>
      </c>
      <c r="S156" s="127">
        <f>VLOOKUP($O156,'NO USAR1'!$A$4:$L$403,2,False)*$U$19+VLOOKUP($O156,'NO USAR1'!$A$4:$L$403,3,False)*$V$19+VLOOKUP($O156,'NO USAR1'!$A$4:$L$403,4,False)*$W$19+VLOOKUP($O156,'NO USAR1'!$A$4:$L$403,5,False)*$X$19+VLOOKUP($O156,'NO USAR1'!$A$4:$L$403,6,False)*$Y$19+VLOOKUP($O156,'NO USAR1'!$A$4:$L$403,7,False)*$Z$19+VLOOKUP($O156,'NO USAR1'!$A$4:$L$403,8,False)*$AA$19+VLOOKUP($O156,'NO USAR1'!$A$4:$L$403,10,False)*$AB$19+VLOOKUP($O156,'NO USAR1'!$A$4:$L$403,12,False)*$AC$19+IF(Projections!$K$3,-AN156, IF(Projections!$J$3,-AM156,0))</f>
        <v>-1.690940727</v>
      </c>
      <c r="T156" s="127">
        <f t="shared" si="1"/>
        <v>1.169193978</v>
      </c>
      <c r="U156" s="127">
        <f>VLOOKUP($O156,Update!$B$2:$R$401,11,False)</f>
        <v>11.8</v>
      </c>
      <c r="V156" s="122">
        <f>VLOOKUP($O156,Update!$B$2:$R$401,10,False)</f>
        <v>1.4</v>
      </c>
      <c r="W156" s="127">
        <f>VLOOKUP($O156,Update!$B$2:$R$401,12,False)</f>
        <v>4.4</v>
      </c>
      <c r="X156" s="127">
        <f>VLOOKUP($O156,Update!$B$2:$R$401,13,False)</f>
        <v>1.7</v>
      </c>
      <c r="Y156" s="127">
        <f>VLOOKUP($O156,Update!$B$2:$R$401,14,False)</f>
        <v>0.9</v>
      </c>
      <c r="Z156" s="132">
        <f>VLOOKUP($O156,Update!$B$2:$R$401,15,False)</f>
        <v>1</v>
      </c>
      <c r="AA156" s="127">
        <f>100*VLOOKUP($O156,Update!$B$2:$R$401,7,False)</f>
        <v>48.93617021</v>
      </c>
      <c r="AB156" s="127">
        <f>100*VLOOKUP($O156,Update!$B$2:$R$401,9,False)</f>
        <v>75</v>
      </c>
      <c r="AC156" s="127">
        <f>VLOOKUP($O156,Update!$B$2:$Q$401,16,False)</f>
        <v>1.4</v>
      </c>
      <c r="AD156" s="127">
        <f>VLOOKUP($O156,'NO USAR1'!$A$4:$L$403,2,False)*$U$19</f>
        <v>-0.9195922636</v>
      </c>
      <c r="AE156" s="127">
        <f>VLOOKUP($O156,'NO USAR1'!$A$4:$L$403,3,False)*$V$19</f>
        <v>-0.2121575099</v>
      </c>
      <c r="AF156" s="127">
        <f>VLOOKUP($O156,'NO USAR1'!$A$4:$L$403,4,False)*$W$19</f>
        <v>-0.7089099036</v>
      </c>
      <c r="AG156" s="127">
        <f>VLOOKUP($O156,'NO USAR1'!$A$4:$L$403,5,False)*$X$19</f>
        <v>-1.093492753</v>
      </c>
      <c r="AH156" s="127">
        <f>VLOOKUP($O156,'NO USAR1'!$A$4:$L$403,6,False)*$Y$19</f>
        <v>-0.2064205728</v>
      </c>
      <c r="AI156" s="127">
        <f>VLOOKUP($O156,'NO USAR1'!$A$4:$L$403,7,False)*$Z$19</f>
        <v>0.3921966412</v>
      </c>
      <c r="AJ156" s="127">
        <f>VLOOKUP($O156,'NO USAR1'!$A$4:$L$403,8,False)*$AA$19</f>
        <v>-0.06218297339</v>
      </c>
      <c r="AK156" s="132">
        <f>VLOOKUP($O156,'NO USAR1'!$A$4:$L$403,10,False)*$AB$19</f>
        <v>-0.158495873</v>
      </c>
      <c r="AL156" s="127">
        <f>VLOOKUP($O156,'NO USAR1'!$A$4:$L$403,12,False)*$AC$19</f>
        <v>0.1846217277</v>
      </c>
      <c r="AM156" s="133">
        <f t="shared" si="2"/>
        <v>-1.093492753</v>
      </c>
      <c r="AN156" s="133">
        <f t="shared" si="3"/>
        <v>-2.013085017</v>
      </c>
    </row>
    <row r="157">
      <c r="A157" s="118" t="str">
        <f>IF(Update!B155="",ROW(Update!B155),Update!B155)</f>
        <v>Keldon Johnson</v>
      </c>
      <c r="B157" s="119">
        <f>IF(TYPE($A157)=1,"",(Update!$L155-B$1)/B$2)</f>
        <v>0.1252712735</v>
      </c>
      <c r="C157" s="119">
        <f>IF(TYPE($A157)=1,"",(Update!$K155-C$1)/C$2)</f>
        <v>0.2460076484</v>
      </c>
      <c r="D157" s="119">
        <f>IF(TYPE($A157)=1,"",(Update!$M155-D$1)/D$2)</f>
        <v>-0.4998330543</v>
      </c>
      <c r="E157" s="119">
        <f>IF(TYPE($A157)=1,"",(Update!$N155-E$1)/E$2)</f>
        <v>-0.7158890821</v>
      </c>
      <c r="F157" s="119">
        <f>IF(TYPE($A157)=1,"",(Update!$O155-F$1)/F$2)</f>
        <v>-0.9178862491</v>
      </c>
      <c r="G157" s="119">
        <f>IF(TYPE($A157)=1,"",(Update!$P155-G$1)/G$2)</f>
        <v>-0.9404715375</v>
      </c>
      <c r="H157" s="119">
        <f>IF(TYPE($A157)=1,"",(Update!$H155-H$1)/H$2*I157/$I$1)</f>
        <v>-0.4916401322</v>
      </c>
      <c r="I157" s="119">
        <f>IF(TYPE($A157)=1,"",IF(Update!H155=0,0,Update!G155/Update!H155))</f>
        <v>14.2</v>
      </c>
      <c r="J157" s="120">
        <f>IF(TYPE($A157)=1,"",(Update!$J155-J$1)/J$2*K157/$K$1)</f>
        <v>-0.3149568963</v>
      </c>
      <c r="K157" s="121">
        <f>IF(TYPE($A157)=1,"",IF(Update!J155=0,0,Update!I155/Update!J155))</f>
        <v>3.8</v>
      </c>
      <c r="L157" s="119">
        <f>IF(TYPE($A157)=1,"",-(Update!$Q155-L$1)/L$2)</f>
        <v>0.6143018923</v>
      </c>
      <c r="N157" s="33">
        <v>137.0</v>
      </c>
      <c r="O157" s="130" t="str">
        <f>IF(Update!B137="",ROW(Update!B137),Update!B137)</f>
        <v>Josh Richardson</v>
      </c>
      <c r="P157" s="131">
        <f>Update!E137</f>
        <v>65</v>
      </c>
      <c r="Q157" s="131" t="str">
        <f>IF(Update!C137="",ROW(Update!N152),Update!C137)</f>
        <v>SG</v>
      </c>
      <c r="R157" s="127">
        <f>VLOOKUP($O157,'NO USAR1'!$A$4:$L$403,2,False)+VLOOKUP($O157,'NO USAR1'!$A$4:$L$403,3,False)+VLOOKUP($O157,'NO USAR1'!$A$4:$L$403,4,False)+VLOOKUP($O157,'NO USAR1'!$A$4:$L$403,5,False)+VLOOKUP($O157,'NO USAR1'!$A$4:$L$403,6,False)+VLOOKUP($O157,'NO USAR1'!$A$4:$L$403,7,False)+VLOOKUP($O157,'NO USAR1'!$A$4:$L$403,8,False)+VLOOKUP($O157,'NO USAR1'!$A$4:$L$403,10,False)+VLOOKUP($O157,'NO USAR1'!$A$4:$L$403,12,False)*0</f>
        <v>-2.903668564</v>
      </c>
      <c r="S157" s="127">
        <f>VLOOKUP($O157,'NO USAR1'!$A$4:$L$403,2,False)*$U$19+VLOOKUP($O157,'NO USAR1'!$A$4:$L$403,3,False)*$V$19+VLOOKUP($O157,'NO USAR1'!$A$4:$L$403,4,False)*$W$19+VLOOKUP($O157,'NO USAR1'!$A$4:$L$403,5,False)*$X$19+VLOOKUP($O157,'NO USAR1'!$A$4:$L$403,6,False)*$Y$19+VLOOKUP($O157,'NO USAR1'!$A$4:$L$403,7,False)*$Z$19+VLOOKUP($O157,'NO USAR1'!$A$4:$L$403,8,False)*$AA$19+VLOOKUP($O157,'NO USAR1'!$A$4:$L$403,10,False)*$AB$19+VLOOKUP($O157,'NO USAR1'!$A$4:$L$403,12,False)*$AC$19+IF(Projections!$K$3,-AN157, IF(Projections!$J$3,-AM157,0))</f>
        <v>-1.549583551</v>
      </c>
      <c r="T157" s="127">
        <f t="shared" si="1"/>
        <v>1.354085013</v>
      </c>
      <c r="U157" s="127">
        <f>VLOOKUP($O157,Update!$B$2:$R$401,11,False)</f>
        <v>11.7</v>
      </c>
      <c r="V157" s="122">
        <f>VLOOKUP($O157,Update!$B$2:$R$401,10,False)</f>
        <v>1.9</v>
      </c>
      <c r="W157" s="127">
        <f>VLOOKUP($O157,Update!$B$2:$R$401,12,False)</f>
        <v>3.2</v>
      </c>
      <c r="X157" s="127">
        <f>VLOOKUP($O157,Update!$B$2:$R$401,13,False)</f>
        <v>2.6</v>
      </c>
      <c r="Y157" s="127">
        <f>VLOOKUP($O157,Update!$B$2:$R$401,14,False)</f>
        <v>1.1</v>
      </c>
      <c r="Z157" s="132">
        <f>VLOOKUP($O157,Update!$B$2:$R$401,15,False)</f>
        <v>0.4</v>
      </c>
      <c r="AA157" s="127">
        <f>100*VLOOKUP($O157,Update!$B$2:$R$401,7,False)</f>
        <v>43.29896907</v>
      </c>
      <c r="AB157" s="127">
        <f>100*VLOOKUP($O157,Update!$B$2:$R$401,9,False)</f>
        <v>88.23529412</v>
      </c>
      <c r="AC157" s="127">
        <f>VLOOKUP($O157,Update!$B$2:$Q$401,16,False)</f>
        <v>1.4</v>
      </c>
      <c r="AD157" s="127">
        <f>VLOOKUP($O157,'NO USAR1'!$A$4:$L$403,2,False)*$U$19</f>
        <v>-0.9364449013</v>
      </c>
      <c r="AE157" s="127">
        <f>VLOOKUP($O157,'NO USAR1'!$A$4:$L$403,3,False)*$V$19</f>
        <v>0.2214068836</v>
      </c>
      <c r="AF157" s="127">
        <f>VLOOKUP($O157,'NO USAR1'!$A$4:$L$403,4,False)*$W$19</f>
        <v>-1.210694342</v>
      </c>
      <c r="AG157" s="127">
        <f>VLOOKUP($O157,'NO USAR1'!$A$4:$L$403,5,False)*$X$19</f>
        <v>-0.6344706088</v>
      </c>
      <c r="AH157" s="127">
        <f>VLOOKUP($O157,'NO USAR1'!$A$4:$L$403,6,False)*$Y$19</f>
        <v>0.2296792288</v>
      </c>
      <c r="AI157" s="127">
        <f>VLOOKUP($O157,'NO USAR1'!$A$4:$L$403,7,False)*$Z$19</f>
        <v>-0.3956983969</v>
      </c>
      <c r="AJ157" s="127">
        <f>VLOOKUP($O157,'NO USAR1'!$A$4:$L$403,8,False)*$AA$19</f>
        <v>-0.6103554353</v>
      </c>
      <c r="AK157" s="132">
        <f>VLOOKUP($O157,'NO USAR1'!$A$4:$L$403,10,False)*$AB$19</f>
        <v>0.3916779513</v>
      </c>
      <c r="AL157" s="127">
        <f>VLOOKUP($O157,'NO USAR1'!$A$4:$L$403,12,False)*$AC$19</f>
        <v>0.1846217277</v>
      </c>
      <c r="AM157" s="133">
        <f t="shared" si="2"/>
        <v>-1.210694342</v>
      </c>
      <c r="AN157" s="133">
        <f t="shared" si="3"/>
        <v>-2.147139243</v>
      </c>
    </row>
    <row r="158">
      <c r="A158" s="118" t="str">
        <f>IF(Update!B156="",ROW(Update!B156),Update!B156)</f>
        <v>Kevon Looney</v>
      </c>
      <c r="B158" s="119">
        <f>IF(TYPE($A158)=1,"",(Update!$L156-B$1)/B$2)</f>
        <v>-1.728518873</v>
      </c>
      <c r="C158" s="119">
        <f>IF(TYPE($A158)=1,"",(Update!$K156-C$1)/C$2)</f>
        <v>-1.584597568</v>
      </c>
      <c r="D158" s="119">
        <f>IF(TYPE($A158)=1,"",(Update!$M156-D$1)/D$2)</f>
        <v>1.21459711</v>
      </c>
      <c r="E158" s="119">
        <f>IF(TYPE($A158)=1,"",(Update!$N156-E$1)/E$2)</f>
        <v>-0.6695232089</v>
      </c>
      <c r="F158" s="119">
        <f>IF(TYPE($A158)=1,"",(Update!$O156-F$1)/F$2)</f>
        <v>-0.9178862491</v>
      </c>
      <c r="G158" s="119">
        <f>IF(TYPE($A158)=1,"",(Update!$P156-G$1)/G$2)</f>
        <v>-0.002501254089</v>
      </c>
      <c r="H158" s="119">
        <f>IF(TYPE($A158)=1,"",(Update!$H156-H$1)/H$2*I158/$I$1)</f>
        <v>0.6322552595</v>
      </c>
      <c r="I158" s="119">
        <f>IF(TYPE($A158)=1,"",IF(Update!H156=0,0,Update!G156/Update!H156))</f>
        <v>4.9</v>
      </c>
      <c r="J158" s="120">
        <f>IF(TYPE($A158)=1,"",(Update!$J156-J$1)/J$2*K158/$K$1)</f>
        <v>-1.000773455</v>
      </c>
      <c r="K158" s="121">
        <f>IF(TYPE($A158)=1,"",IF(Update!J156=0,0,Update!I156/Update!J156))</f>
        <v>1.8</v>
      </c>
      <c r="L158" s="119">
        <f>IF(TYPE($A158)=1,"",-(Update!$Q156-L$1)/L$2)</f>
        <v>1.607782042</v>
      </c>
      <c r="N158" s="124">
        <v>138.0</v>
      </c>
      <c r="O158" s="130" t="str">
        <f>IF(Update!B134="",ROW(Update!B134),Update!B134)</f>
        <v>Norman Powell</v>
      </c>
      <c r="P158" s="131">
        <f>Update!E134</f>
        <v>60</v>
      </c>
      <c r="Q158" s="131" t="str">
        <f>IF(Update!C134="",ROW(Update!N149),Update!C134)</f>
        <v>SG,SF</v>
      </c>
      <c r="R158" s="127">
        <f>VLOOKUP($O158,'NO USAR1'!$A$4:$L$403,2,False)+VLOOKUP($O158,'NO USAR1'!$A$4:$L$403,3,False)+VLOOKUP($O158,'NO USAR1'!$A$4:$L$403,4,False)+VLOOKUP($O158,'NO USAR1'!$A$4:$L$403,5,False)+VLOOKUP($O158,'NO USAR1'!$A$4:$L$403,6,False)+VLOOKUP($O158,'NO USAR1'!$A$4:$L$403,7,False)+VLOOKUP($O158,'NO USAR1'!$A$4:$L$403,8,False)+VLOOKUP($O158,'NO USAR1'!$A$4:$L$403,10,False)+VLOOKUP($O158,'NO USAR1'!$A$4:$L$403,12,False)*0</f>
        <v>-2.926026105</v>
      </c>
      <c r="S158" s="127">
        <f>VLOOKUP($O158,'NO USAR1'!$A$4:$L$403,2,False)*$U$19+VLOOKUP($O158,'NO USAR1'!$A$4:$L$403,3,False)*$V$19+VLOOKUP($O158,'NO USAR1'!$A$4:$L$403,4,False)*$W$19+VLOOKUP($O158,'NO USAR1'!$A$4:$L$403,5,False)*$X$19+VLOOKUP($O158,'NO USAR1'!$A$4:$L$403,6,False)*$Y$19+VLOOKUP($O158,'NO USAR1'!$A$4:$L$403,7,False)*$Z$19+VLOOKUP($O158,'NO USAR1'!$A$4:$L$403,8,False)*$AA$19+VLOOKUP($O158,'NO USAR1'!$A$4:$L$403,10,False)*$AB$19+VLOOKUP($O158,'NO USAR1'!$A$4:$L$403,12,False)*$AC$19+IF(Projections!$K$3,-AN158, IF(Projections!$J$3,-AM158,0))</f>
        <v>-1.279528632</v>
      </c>
      <c r="T158" s="127">
        <f t="shared" si="1"/>
        <v>1.646497473</v>
      </c>
      <c r="U158" s="127">
        <f>VLOOKUP($O158,Update!$B$2:$R$401,11,False)</f>
        <v>17</v>
      </c>
      <c r="V158" s="122">
        <f>VLOOKUP($O158,Update!$B$2:$R$401,10,False)</f>
        <v>2</v>
      </c>
      <c r="W158" s="127">
        <f>VLOOKUP($O158,Update!$B$2:$R$401,12,False)</f>
        <v>2.9</v>
      </c>
      <c r="X158" s="127">
        <f>VLOOKUP($O158,Update!$B$2:$R$401,13,False)</f>
        <v>1.9</v>
      </c>
      <c r="Y158" s="127">
        <f>VLOOKUP($O158,Update!$B$2:$R$401,14,False)</f>
        <v>0.8</v>
      </c>
      <c r="Z158" s="132">
        <f>VLOOKUP($O158,Update!$B$2:$R$401,15,False)</f>
        <v>0.4</v>
      </c>
      <c r="AA158" s="127">
        <f>100*VLOOKUP($O158,Update!$B$2:$R$401,7,False)</f>
        <v>47.05882353</v>
      </c>
      <c r="AB158" s="127">
        <f>100*VLOOKUP($O158,Update!$B$2:$R$401,9,False)</f>
        <v>82.60869565</v>
      </c>
      <c r="AC158" s="127">
        <f>VLOOKUP($O158,Update!$B$2:$Q$401,16,False)</f>
        <v>1.5</v>
      </c>
      <c r="AD158" s="127">
        <f>VLOOKUP($O158,'NO USAR1'!$A$4:$L$403,2,False)*$U$19</f>
        <v>-0.04325510342</v>
      </c>
      <c r="AE158" s="127">
        <f>VLOOKUP($O158,'NO USAR1'!$A$4:$L$403,3,False)*$V$19</f>
        <v>0.3081197623</v>
      </c>
      <c r="AF158" s="127">
        <f>VLOOKUP($O158,'NO USAR1'!$A$4:$L$403,4,False)*$W$19</f>
        <v>-1.336140451</v>
      </c>
      <c r="AG158" s="127">
        <f>VLOOKUP($O158,'NO USAR1'!$A$4:$L$403,5,False)*$X$19</f>
        <v>-0.9914878323</v>
      </c>
      <c r="AH158" s="127">
        <f>VLOOKUP($O158,'NO USAR1'!$A$4:$L$403,6,False)*$Y$19</f>
        <v>-0.4244704736</v>
      </c>
      <c r="AI158" s="127">
        <f>VLOOKUP($O158,'NO USAR1'!$A$4:$L$403,7,False)*$Z$19</f>
        <v>-0.3956983969</v>
      </c>
      <c r="AJ158" s="127">
        <f>VLOOKUP($O158,'NO USAR1'!$A$4:$L$403,8,False)*$AA$19</f>
        <v>-0.3018716963</v>
      </c>
      <c r="AK158" s="132">
        <f>VLOOKUP($O158,'NO USAR1'!$A$4:$L$403,10,False)*$AB$19</f>
        <v>0.415559635</v>
      </c>
      <c r="AL158" s="127">
        <f>VLOOKUP($O158,'NO USAR1'!$A$4:$L$403,12,False)*$AC$19</f>
        <v>0.1535754731</v>
      </c>
      <c r="AM158" s="133">
        <f t="shared" si="2"/>
        <v>-1.336140451</v>
      </c>
      <c r="AN158" s="133">
        <f t="shared" si="3"/>
        <v>-2.327628284</v>
      </c>
    </row>
    <row r="159">
      <c r="A159" s="118" t="str">
        <f>IF(Update!B157="",ROW(Update!B157),Update!B157)</f>
        <v>Steven Adams</v>
      </c>
      <c r="B159" s="119">
        <f>IF(TYPE($A159)=1,"",(Update!$L157-B$1)/B$2)</f>
        <v>-1.593697771</v>
      </c>
      <c r="C159" s="119">
        <f>IF(TYPE($A159)=1,"",(Update!$K157-C$1)/C$2)</f>
        <v>-1.584597568</v>
      </c>
      <c r="D159" s="119">
        <f>IF(TYPE($A159)=1,"",(Update!$M157-D$1)/D$2)</f>
        <v>2.050904507</v>
      </c>
      <c r="E159" s="119">
        <f>IF(TYPE($A159)=1,"",(Update!$N157-E$1)/E$2)</f>
        <v>-0.3449620966</v>
      </c>
      <c r="F159" s="119">
        <f>IF(TYPE($A159)=1,"",(Update!$O157-F$1)/F$2)</f>
        <v>-0.2948865325</v>
      </c>
      <c r="G159" s="119">
        <f>IF(TYPE($A159)=1,"",(Update!$P157-G$1)/G$2)</f>
        <v>0.3726868593</v>
      </c>
      <c r="H159" s="119">
        <f>IF(TYPE($A159)=1,"",(Update!$H157-H$1)/H$2*I159/$I$1)</f>
        <v>0.4138505986</v>
      </c>
      <c r="I159" s="119">
        <f>IF(TYPE($A159)=1,"",IF(Update!H157=0,0,Update!G157/Update!H157))</f>
        <v>5.7</v>
      </c>
      <c r="J159" s="120">
        <f>IF(TYPE($A159)=1,"",(Update!$J157-J$1)/J$2*K159/$K$1)</f>
        <v>-2.770546978</v>
      </c>
      <c r="K159" s="121">
        <f>IF(TYPE($A159)=1,"",IF(Update!J157=0,0,Update!I157/Update!J157))</f>
        <v>2.9</v>
      </c>
      <c r="L159" s="119">
        <f>IF(TYPE($A159)=1,"",-(Update!$Q157-L$1)/L$2)</f>
        <v>0.365931855</v>
      </c>
      <c r="N159" s="124">
        <v>139.0</v>
      </c>
      <c r="O159" s="130" t="str">
        <f>IF(Update!B133="",ROW(Update!B133),Update!B133)</f>
        <v>Aaron Gordon</v>
      </c>
      <c r="P159" s="131">
        <f>Update!E133</f>
        <v>70</v>
      </c>
      <c r="Q159" s="131" t="str">
        <f>IF(Update!C133="",ROW(Update!N148),Update!C133)</f>
        <v>PF</v>
      </c>
      <c r="R159" s="127">
        <f>VLOOKUP($O159,'NO USAR1'!$A$4:$L$403,2,False)+VLOOKUP($O159,'NO USAR1'!$A$4:$L$403,3,False)+VLOOKUP($O159,'NO USAR1'!$A$4:$L$403,4,False)+VLOOKUP($O159,'NO USAR1'!$A$4:$L$403,5,False)+VLOOKUP($O159,'NO USAR1'!$A$4:$L$403,6,False)+VLOOKUP($O159,'NO USAR1'!$A$4:$L$403,7,False)+VLOOKUP($O159,'NO USAR1'!$A$4:$L$403,8,False)+VLOOKUP($O159,'NO USAR1'!$A$4:$L$403,10,False)+VLOOKUP($O159,'NO USAR1'!$A$4:$L$403,12,False)*0</f>
        <v>-2.943861218</v>
      </c>
      <c r="S159" s="127">
        <f>VLOOKUP($O159,'NO USAR1'!$A$4:$L$403,2,False)*$U$19+VLOOKUP($O159,'NO USAR1'!$A$4:$L$403,3,False)*$V$19+VLOOKUP($O159,'NO USAR1'!$A$4:$L$403,4,False)*$W$19+VLOOKUP($O159,'NO USAR1'!$A$4:$L$403,5,False)*$X$19+VLOOKUP($O159,'NO USAR1'!$A$4:$L$403,6,False)*$Y$19+VLOOKUP($O159,'NO USAR1'!$A$4:$L$403,7,False)*$Z$19+VLOOKUP($O159,'NO USAR1'!$A$4:$L$403,8,False)*$AA$19+VLOOKUP($O159,'NO USAR1'!$A$4:$L$403,10,False)*$AB$19+VLOOKUP($O159,'NO USAR1'!$A$4:$L$403,12,False)*$AC$19+IF(Projections!$K$3,-AN159, IF(Projections!$J$3,-AM159,0))</f>
        <v>-1.138591407</v>
      </c>
      <c r="T159" s="127">
        <f t="shared" si="1"/>
        <v>1.805269811</v>
      </c>
      <c r="U159" s="127">
        <f>VLOOKUP($O159,Update!$B$2:$R$401,11,False)</f>
        <v>16</v>
      </c>
      <c r="V159" s="122">
        <f>VLOOKUP($O159,Update!$B$2:$R$401,10,False)</f>
        <v>1.1</v>
      </c>
      <c r="W159" s="127">
        <f>VLOOKUP($O159,Update!$B$2:$R$401,12,False)</f>
        <v>6.3</v>
      </c>
      <c r="X159" s="127">
        <f>VLOOKUP($O159,Update!$B$2:$R$401,13,False)</f>
        <v>2.8</v>
      </c>
      <c r="Y159" s="127">
        <f>VLOOKUP($O159,Update!$B$2:$R$401,14,False)</f>
        <v>0.7</v>
      </c>
      <c r="Z159" s="132">
        <f>VLOOKUP($O159,Update!$B$2:$R$401,15,False)</f>
        <v>0.7</v>
      </c>
      <c r="AA159" s="127">
        <f>100*VLOOKUP($O159,Update!$B$2:$R$401,7,False)</f>
        <v>54.38596491</v>
      </c>
      <c r="AB159" s="127">
        <f>100*VLOOKUP($O159,Update!$B$2:$R$401,9,False)</f>
        <v>66.66666667</v>
      </c>
      <c r="AC159" s="127">
        <f>VLOOKUP($O159,Update!$B$2:$Q$401,16,False)</f>
        <v>1.7</v>
      </c>
      <c r="AD159" s="127">
        <f>VLOOKUP($O159,'NO USAR1'!$A$4:$L$403,2,False)*$U$19</f>
        <v>-0.2117814804</v>
      </c>
      <c r="AE159" s="127">
        <f>VLOOKUP($O159,'NO USAR1'!$A$4:$L$403,3,False)*$V$19</f>
        <v>-0.472296146</v>
      </c>
      <c r="AF159" s="127">
        <f>VLOOKUP($O159,'NO USAR1'!$A$4:$L$403,4,False)*$W$19</f>
        <v>0.08558212364</v>
      </c>
      <c r="AG159" s="127">
        <f>VLOOKUP($O159,'NO USAR1'!$A$4:$L$403,5,False)*$X$19</f>
        <v>-0.5324656877</v>
      </c>
      <c r="AH159" s="127">
        <f>VLOOKUP($O159,'NO USAR1'!$A$4:$L$403,6,False)*$Y$19</f>
        <v>-0.6425203744</v>
      </c>
      <c r="AI159" s="127">
        <f>VLOOKUP($O159,'NO USAR1'!$A$4:$L$403,7,False)*$Z$19</f>
        <v>-0.001750877862</v>
      </c>
      <c r="AJ159" s="127">
        <f>VLOOKUP($O159,'NO USAR1'!$A$4:$L$403,8,False)*$AA$19</f>
        <v>0.5451580717</v>
      </c>
      <c r="AK159" s="132">
        <f>VLOOKUP($O159,'NO USAR1'!$A$4:$L$403,10,False)*$AB$19</f>
        <v>-1.19533787</v>
      </c>
      <c r="AL159" s="127">
        <f>VLOOKUP($O159,'NO USAR1'!$A$4:$L$403,12,False)*$AC$19</f>
        <v>0.09148296375</v>
      </c>
      <c r="AM159" s="133">
        <f t="shared" si="2"/>
        <v>-1.19533787</v>
      </c>
      <c r="AN159" s="133">
        <f t="shared" si="3"/>
        <v>-1.837858244</v>
      </c>
    </row>
    <row r="160">
      <c r="A160" s="118" t="str">
        <f>IF(Update!B158="",ROW(Update!B158),Update!B158)</f>
        <v>Dennis Schröder</v>
      </c>
      <c r="B160" s="119">
        <f>IF(TYPE($A160)=1,"",(Update!$L158-B$1)/B$2)</f>
        <v>-0.6330974228</v>
      </c>
      <c r="C160" s="119">
        <f>IF(TYPE($A160)=1,"",(Update!$K158-C$1)/C$2)</f>
        <v>-0.3320782095</v>
      </c>
      <c r="D160" s="119">
        <f>IF(TYPE($A160)=1,"",(Update!$M158-D$1)/D$2)</f>
        <v>-1.294325082</v>
      </c>
      <c r="E160" s="119">
        <f>IF(TYPE($A160)=1,"",(Update!$N158-E$1)/E$2)</f>
        <v>0.3968918745</v>
      </c>
      <c r="F160" s="119">
        <f>IF(TYPE($A160)=1,"",(Update!$O158-F$1)/F$2)</f>
        <v>-0.6063863908</v>
      </c>
      <c r="G160" s="119">
        <f>IF(TYPE($A160)=1,"",(Update!$P158-G$1)/G$2)</f>
        <v>-1.128065594</v>
      </c>
      <c r="H160" s="119">
        <f>IF(TYPE($A160)=1,"",(Update!$H158-H$1)/H$2*I160/$I$1)</f>
        <v>-0.894794694</v>
      </c>
      <c r="I160" s="119">
        <f>IF(TYPE($A160)=1,"",IF(Update!H158=0,0,Update!G158/Update!H158))</f>
        <v>10.9</v>
      </c>
      <c r="J160" s="120">
        <f>IF(TYPE($A160)=1,"",(Update!$J158-J$1)/J$2*K160/$K$1)</f>
        <v>0.7334457981</v>
      </c>
      <c r="K160" s="121">
        <f>IF(TYPE($A160)=1,"",IF(Update!J158=0,0,Update!I158/Update!J158))</f>
        <v>3.5</v>
      </c>
      <c r="L160" s="119">
        <f>IF(TYPE($A160)=1,"",-(Update!$Q158-L$1)/L$2)</f>
        <v>-0.006623200995</v>
      </c>
      <c r="N160" s="33">
        <v>140.0</v>
      </c>
      <c r="O160" s="130" t="str">
        <f>IF(Update!B135="",ROW(Update!B135),Update!B135)</f>
        <v>Bogdan Bogdanovic</v>
      </c>
      <c r="P160" s="131">
        <f>Update!E135</f>
        <v>52</v>
      </c>
      <c r="Q160" s="131" t="str">
        <f>IF(Update!C135="",ROW(Update!N150),Update!C135)</f>
        <v>SG,SF,PF</v>
      </c>
      <c r="R160" s="127">
        <f>VLOOKUP($O160,'NO USAR1'!$A$4:$L$403,2,False)+VLOOKUP($O160,'NO USAR1'!$A$4:$L$403,3,False)+VLOOKUP($O160,'NO USAR1'!$A$4:$L$403,4,False)+VLOOKUP($O160,'NO USAR1'!$A$4:$L$403,5,False)+VLOOKUP($O160,'NO USAR1'!$A$4:$L$403,6,False)+VLOOKUP($O160,'NO USAR1'!$A$4:$L$403,7,False)+VLOOKUP($O160,'NO USAR1'!$A$4:$L$403,8,False)+VLOOKUP($O160,'NO USAR1'!$A$4:$L$403,10,False)+VLOOKUP($O160,'NO USAR1'!$A$4:$L$403,12,False)*0</f>
        <v>-2.975339737</v>
      </c>
      <c r="S160" s="127">
        <f>VLOOKUP($O160,'NO USAR1'!$A$4:$L$403,2,False)*$U$19+VLOOKUP($O160,'NO USAR1'!$A$4:$L$403,3,False)*$V$19+VLOOKUP($O160,'NO USAR1'!$A$4:$L$403,4,False)*$W$19+VLOOKUP($O160,'NO USAR1'!$A$4:$L$403,5,False)*$X$19+VLOOKUP($O160,'NO USAR1'!$A$4:$L$403,6,False)*$Y$19+VLOOKUP($O160,'NO USAR1'!$A$4:$L$403,7,False)*$Z$19+VLOOKUP($O160,'NO USAR1'!$A$4:$L$403,8,False)*$AA$19+VLOOKUP($O160,'NO USAR1'!$A$4:$L$403,10,False)*$AB$19+VLOOKUP($O160,'NO USAR1'!$A$4:$L$403,12,False)*$AC$19+IF(Projections!$K$3,-AN160, IF(Projections!$J$3,-AM160,0))</f>
        <v>-1.342504683</v>
      </c>
      <c r="T160" s="127">
        <f t="shared" si="1"/>
        <v>1.632835055</v>
      </c>
      <c r="U160" s="127">
        <f>VLOOKUP($O160,Update!$B$2:$R$401,11,False)</f>
        <v>13.8</v>
      </c>
      <c r="V160" s="122">
        <f>VLOOKUP($O160,Update!$B$2:$R$401,10,False)</f>
        <v>2.5</v>
      </c>
      <c r="W160" s="127">
        <f>VLOOKUP($O160,Update!$B$2:$R$401,12,False)</f>
        <v>3.4</v>
      </c>
      <c r="X160" s="127">
        <f>VLOOKUP($O160,Update!$B$2:$R$401,13,False)</f>
        <v>2.8</v>
      </c>
      <c r="Y160" s="127">
        <f>VLOOKUP($O160,Update!$B$2:$R$401,14,False)</f>
        <v>0.9</v>
      </c>
      <c r="Z160" s="132">
        <f>VLOOKUP($O160,Update!$B$2:$R$401,15,False)</f>
        <v>0.3</v>
      </c>
      <c r="AA160" s="127">
        <f>100*VLOOKUP($O160,Update!$B$2:$R$401,7,False)</f>
        <v>44.24778761</v>
      </c>
      <c r="AB160" s="127">
        <f>100*VLOOKUP($O160,Update!$B$2:$R$401,9,False)</f>
        <v>81.25</v>
      </c>
      <c r="AC160" s="127">
        <f>VLOOKUP($O160,Update!$B$2:$Q$401,16,False)</f>
        <v>1.1</v>
      </c>
      <c r="AD160" s="127">
        <f>VLOOKUP($O160,'NO USAR1'!$A$4:$L$403,2,False)*$U$19</f>
        <v>-0.5825395097</v>
      </c>
      <c r="AE160" s="127">
        <f>VLOOKUP($O160,'NO USAR1'!$A$4:$L$403,3,False)*$V$19</f>
        <v>0.7416841558</v>
      </c>
      <c r="AF160" s="127">
        <f>VLOOKUP($O160,'NO USAR1'!$A$4:$L$403,4,False)*$W$19</f>
        <v>-1.127063602</v>
      </c>
      <c r="AG160" s="127">
        <f>VLOOKUP($O160,'NO USAR1'!$A$4:$L$403,5,False)*$X$19</f>
        <v>-0.5324656877</v>
      </c>
      <c r="AH160" s="127">
        <f>VLOOKUP($O160,'NO USAR1'!$A$4:$L$403,6,False)*$Y$19</f>
        <v>-0.2064205728</v>
      </c>
      <c r="AI160" s="127">
        <f>VLOOKUP($O160,'NO USAR1'!$A$4:$L$403,7,False)*$Z$19</f>
        <v>-0.5270142365</v>
      </c>
      <c r="AJ160" s="127">
        <f>VLOOKUP($O160,'NO USAR1'!$A$4:$L$403,8,False)*$AA$19</f>
        <v>-0.6039378133</v>
      </c>
      <c r="AK160" s="132">
        <f>VLOOKUP($O160,'NO USAR1'!$A$4:$L$403,10,False)*$AB$19</f>
        <v>0.09042848982</v>
      </c>
      <c r="AL160" s="127">
        <f>VLOOKUP($O160,'NO USAR1'!$A$4:$L$403,12,False)*$AC$19</f>
        <v>0.2777604917</v>
      </c>
      <c r="AM160" s="133">
        <f t="shared" si="2"/>
        <v>-1.127063602</v>
      </c>
      <c r="AN160" s="133">
        <f t="shared" si="3"/>
        <v>-1.731001415</v>
      </c>
    </row>
    <row r="161">
      <c r="A161" s="118" t="str">
        <f>IF(Update!B159="",ROW(Update!B159),Update!B159)</f>
        <v>Collin Sexton</v>
      </c>
      <c r="B161" s="119">
        <f>IF(TYPE($A161)=1,"",(Update!$L159-B$1)/B$2)</f>
        <v>-0.09381301651</v>
      </c>
      <c r="C161" s="119">
        <f>IF(TYPE($A161)=1,"",(Update!$K159-C$1)/C$2)</f>
        <v>-0.5247734955</v>
      </c>
      <c r="D161" s="119">
        <f>IF(TYPE($A161)=1,"",(Update!$M159-D$1)/D$2)</f>
        <v>-1.419771191</v>
      </c>
      <c r="E161" s="119">
        <f>IF(TYPE($A161)=1,"",(Update!$N159-E$1)/E$2)</f>
        <v>-0.3449620966</v>
      </c>
      <c r="F161" s="119">
        <f>IF(TYPE($A161)=1,"",(Update!$O159-F$1)/F$2)</f>
        <v>-0.9178862491</v>
      </c>
      <c r="G161" s="119">
        <f>IF(TYPE($A161)=1,"",(Update!$P159-G$1)/G$2)</f>
        <v>-1.128065594</v>
      </c>
      <c r="H161" s="119">
        <f>IF(TYPE($A161)=1,"",(Update!$H159-H$1)/H$2*I161/$I$1)</f>
        <v>-0.05750481952</v>
      </c>
      <c r="I161" s="119">
        <f>IF(TYPE($A161)=1,"",IF(Update!H159=0,0,Update!G159/Update!H159))</f>
        <v>12</v>
      </c>
      <c r="J161" s="120">
        <f>IF(TYPE($A161)=1,"",(Update!$J159-J$1)/J$2*K161/$K$1)</f>
        <v>0.2082940902</v>
      </c>
      <c r="K161" s="121">
        <f>IF(TYPE($A161)=1,"",IF(Update!J159=0,0,Update!I159/Update!J159))</f>
        <v>4.6</v>
      </c>
      <c r="L161" s="119">
        <f>IF(TYPE($A161)=1,"",-(Update!$Q159-L$1)/L$2)</f>
        <v>-0.2549932383</v>
      </c>
      <c r="N161" s="124">
        <v>141.0</v>
      </c>
      <c r="O161" s="130" t="str">
        <f>IF(Update!B142="",ROW(Update!B142),Update!B142)</f>
        <v>Saddiq Bey</v>
      </c>
      <c r="P161" s="131">
        <f>Update!E142</f>
        <v>78</v>
      </c>
      <c r="Q161" s="131" t="str">
        <f>IF(Update!C142="",ROW(Update!N157),Update!C142)</f>
        <v>SF,PF</v>
      </c>
      <c r="R161" s="127">
        <f>VLOOKUP($O161,'NO USAR1'!$A$4:$L$403,2,False)+VLOOKUP($O161,'NO USAR1'!$A$4:$L$403,3,False)+VLOOKUP($O161,'NO USAR1'!$A$4:$L$403,4,False)+VLOOKUP($O161,'NO USAR1'!$A$4:$L$403,5,False)+VLOOKUP($O161,'NO USAR1'!$A$4:$L$403,6,False)+VLOOKUP($O161,'NO USAR1'!$A$4:$L$403,7,False)+VLOOKUP($O161,'NO USAR1'!$A$4:$L$403,8,False)+VLOOKUP($O161,'NO USAR1'!$A$4:$L$403,10,False)+VLOOKUP($O161,'NO USAR1'!$A$4:$L$403,12,False)*0</f>
        <v>-2.985793228</v>
      </c>
      <c r="S161" s="127">
        <f>VLOOKUP($O161,'NO USAR1'!$A$4:$L$403,2,False)*$U$19+VLOOKUP($O161,'NO USAR1'!$A$4:$L$403,3,False)*$V$19+VLOOKUP($O161,'NO USAR1'!$A$4:$L$403,4,False)*$W$19+VLOOKUP($O161,'NO USAR1'!$A$4:$L$403,5,False)*$X$19+VLOOKUP($O161,'NO USAR1'!$A$4:$L$403,6,False)*$Y$19+VLOOKUP($O161,'NO USAR1'!$A$4:$L$403,7,False)*$Z$19+VLOOKUP($O161,'NO USAR1'!$A$4:$L$403,8,False)*$AA$19+VLOOKUP($O161,'NO USAR1'!$A$4:$L$403,10,False)*$AB$19+VLOOKUP($O161,'NO USAR1'!$A$4:$L$403,12,False)*$AC$19+IF(Projections!$K$3,-AN161, IF(Projections!$J$3,-AM161,0))</f>
        <v>-1.468333148</v>
      </c>
      <c r="T161" s="127">
        <f t="shared" si="1"/>
        <v>1.51746008</v>
      </c>
      <c r="U161" s="127">
        <f>VLOOKUP($O161,Update!$B$2:$R$401,11,False)</f>
        <v>15.3</v>
      </c>
      <c r="V161" s="122">
        <f>VLOOKUP($O161,Update!$B$2:$R$401,10,False)</f>
        <v>2.2</v>
      </c>
      <c r="W161" s="127">
        <f>VLOOKUP($O161,Update!$B$2:$R$401,12,False)</f>
        <v>4.9</v>
      </c>
      <c r="X161" s="127">
        <f>VLOOKUP($O161,Update!$B$2:$R$401,13,False)</f>
        <v>2.1</v>
      </c>
      <c r="Y161" s="127">
        <f>VLOOKUP($O161,Update!$B$2:$R$401,14,False)</f>
        <v>0.9</v>
      </c>
      <c r="Z161" s="132">
        <f>VLOOKUP($O161,Update!$B$2:$R$401,15,False)</f>
        <v>0.2</v>
      </c>
      <c r="AA161" s="127">
        <f>100*VLOOKUP($O161,Update!$B$2:$R$401,7,False)</f>
        <v>42.06349206</v>
      </c>
      <c r="AB161" s="127">
        <f>100*VLOOKUP($O161,Update!$B$2:$R$401,9,False)</f>
        <v>83.33333333</v>
      </c>
      <c r="AC161" s="127">
        <f>VLOOKUP($O161,Update!$B$2:$Q$401,16,False)</f>
        <v>1</v>
      </c>
      <c r="AD161" s="127">
        <f>VLOOKUP($O161,'NO USAR1'!$A$4:$L$403,2,False)*$U$19</f>
        <v>-0.3297499442</v>
      </c>
      <c r="AE161" s="127">
        <f>VLOOKUP($O161,'NO USAR1'!$A$4:$L$403,3,False)*$V$19</f>
        <v>0.4815455197</v>
      </c>
      <c r="AF161" s="127">
        <f>VLOOKUP($O161,'NO USAR1'!$A$4:$L$403,4,False)*$W$19</f>
        <v>-0.4998330543</v>
      </c>
      <c r="AG161" s="127">
        <f>VLOOKUP($O161,'NO USAR1'!$A$4:$L$403,5,False)*$X$19</f>
        <v>-0.8894829113</v>
      </c>
      <c r="AH161" s="127">
        <f>VLOOKUP($O161,'NO USAR1'!$A$4:$L$403,6,False)*$Y$19</f>
        <v>-0.2064205728</v>
      </c>
      <c r="AI161" s="127">
        <f>VLOOKUP($O161,'NO USAR1'!$A$4:$L$403,7,False)*$Z$19</f>
        <v>-0.6583300762</v>
      </c>
      <c r="AJ161" s="127">
        <f>VLOOKUP($O161,'NO USAR1'!$A$4:$L$403,8,False)*$AA$19</f>
        <v>-0.9483262556</v>
      </c>
      <c r="AK161" s="132">
        <f>VLOOKUP($O161,'NO USAR1'!$A$4:$L$403,10,False)*$AB$19</f>
        <v>0.3251311452</v>
      </c>
      <c r="AL161" s="127">
        <f>VLOOKUP($O161,'NO USAR1'!$A$4:$L$403,12,False)*$AC$19</f>
        <v>0.3088067464</v>
      </c>
      <c r="AM161" s="133">
        <f t="shared" si="2"/>
        <v>-0.9483262556</v>
      </c>
      <c r="AN161" s="133">
        <f t="shared" si="3"/>
        <v>-1.837809167</v>
      </c>
    </row>
    <row r="162">
      <c r="A162" s="118" t="str">
        <f>IF(Update!B160="",ROW(Update!B160),Update!B160)</f>
        <v>Jae Crowder</v>
      </c>
      <c r="B162" s="119">
        <f>IF(TYPE($A162)=1,"",(Update!$L160-B$1)/B$2)</f>
        <v>-1.509434583</v>
      </c>
      <c r="C162" s="119">
        <f>IF(TYPE($A162)=1,"",(Update!$K160-C$1)/C$2)</f>
        <v>-0.04303528054</v>
      </c>
      <c r="D162" s="119">
        <f>IF(TYPE($A162)=1,"",(Update!$M160-D$1)/D$2)</f>
        <v>-0.7089099036</v>
      </c>
      <c r="E162" s="119">
        <f>IF(TYPE($A162)=1,"",(Update!$N160-E$1)/E$2)</f>
        <v>-1.040450194</v>
      </c>
      <c r="F162" s="119">
        <f>IF(TYPE($A162)=1,"",(Update!$O160-F$1)/F$2)</f>
        <v>0.3281131841</v>
      </c>
      <c r="G162" s="119">
        <f>IF(TYPE($A162)=1,"",(Update!$P160-G$1)/G$2)</f>
        <v>-0.5652834241</v>
      </c>
      <c r="H162" s="119">
        <f>IF(TYPE($A162)=1,"",(Update!$H160-H$1)/H$2*I162/$I$1)</f>
        <v>-0.4145259119</v>
      </c>
      <c r="I162" s="119">
        <f>IF(TYPE($A162)=1,"",IF(Update!H160=0,0,Update!G160/Update!H160))</f>
        <v>6.6</v>
      </c>
      <c r="J162" s="120">
        <f>IF(TYPE($A162)=1,"",(Update!$J160-J$1)/J$2*K162/$K$1)</f>
        <v>0.09715919929</v>
      </c>
      <c r="K162" s="121">
        <f>IF(TYPE($A162)=1,"",IF(Update!J160=0,0,Update!I160/Update!J160))</f>
        <v>1.1</v>
      </c>
      <c r="L162" s="119">
        <f>IF(TYPE($A162)=1,"",-(Update!$Q160-L$1)/L$2)</f>
        <v>1.607782042</v>
      </c>
      <c r="N162" s="124">
        <v>142.0</v>
      </c>
      <c r="O162" s="130" t="str">
        <f>IF(Update!B138="",ROW(Update!B138),Update!B138)</f>
        <v>Caleb Martin</v>
      </c>
      <c r="P162" s="131">
        <f>Update!E138</f>
        <v>70</v>
      </c>
      <c r="Q162" s="131" t="str">
        <f>IF(Update!C138="",ROW(Update!N153),Update!C138)</f>
        <v>SG,SF</v>
      </c>
      <c r="R162" s="127">
        <f>VLOOKUP($O162,'NO USAR1'!$A$4:$L$403,2,False)+VLOOKUP($O162,'NO USAR1'!$A$4:$L$403,3,False)+VLOOKUP($O162,'NO USAR1'!$A$4:$L$403,4,False)+VLOOKUP($O162,'NO USAR1'!$A$4:$L$403,5,False)+VLOOKUP($O162,'NO USAR1'!$A$4:$L$403,6,False)+VLOOKUP($O162,'NO USAR1'!$A$4:$L$403,7,False)+VLOOKUP($O162,'NO USAR1'!$A$4:$L$403,8,False)+VLOOKUP($O162,'NO USAR1'!$A$4:$L$403,10,False)+VLOOKUP($O162,'NO USAR1'!$A$4:$L$403,12,False)*0</f>
        <v>-3.181887689</v>
      </c>
      <c r="S162" s="127">
        <f>VLOOKUP($O162,'NO USAR1'!$A$4:$L$403,2,False)*$U$19+VLOOKUP($O162,'NO USAR1'!$A$4:$L$403,3,False)*$V$19+VLOOKUP($O162,'NO USAR1'!$A$4:$L$403,4,False)*$W$19+VLOOKUP($O162,'NO USAR1'!$A$4:$L$403,5,False)*$X$19+VLOOKUP($O162,'NO USAR1'!$A$4:$L$403,6,False)*$Y$19+VLOOKUP($O162,'NO USAR1'!$A$4:$L$403,7,False)*$Z$19+VLOOKUP($O162,'NO USAR1'!$A$4:$L$403,8,False)*$AA$19+VLOOKUP($O162,'NO USAR1'!$A$4:$L$403,10,False)*$AB$19+VLOOKUP($O162,'NO USAR1'!$A$4:$L$403,12,False)*$AC$19+IF(Projections!$K$3,-AN162, IF(Projections!$J$3,-AM162,0))</f>
        <v>-1.789186204</v>
      </c>
      <c r="T162" s="127">
        <f t="shared" si="1"/>
        <v>1.392701486</v>
      </c>
      <c r="U162" s="127">
        <f>VLOOKUP($O162,Update!$B$2:$R$401,11,False)</f>
        <v>10.7</v>
      </c>
      <c r="V162" s="122">
        <f>VLOOKUP($O162,Update!$B$2:$R$401,10,False)</f>
        <v>1.3</v>
      </c>
      <c r="W162" s="127">
        <f>VLOOKUP($O162,Update!$B$2:$R$401,12,False)</f>
        <v>5</v>
      </c>
      <c r="X162" s="127">
        <f>VLOOKUP($O162,Update!$B$2:$R$401,13,False)</f>
        <v>1.6</v>
      </c>
      <c r="Y162" s="127">
        <f>VLOOKUP($O162,Update!$B$2:$R$401,14,False)</f>
        <v>1.1</v>
      </c>
      <c r="Z162" s="132">
        <f>VLOOKUP($O162,Update!$B$2:$R$401,15,False)</f>
        <v>0.5</v>
      </c>
      <c r="AA162" s="127">
        <f>100*VLOOKUP($O162,Update!$B$2:$R$401,7,False)</f>
        <v>48.19277108</v>
      </c>
      <c r="AB162" s="127">
        <f>100*VLOOKUP($O162,Update!$B$2:$R$401,9,False)</f>
        <v>77.77777778</v>
      </c>
      <c r="AC162" s="127">
        <f>VLOOKUP($O162,Update!$B$2:$Q$401,16,False)</f>
        <v>1.1</v>
      </c>
      <c r="AD162" s="127">
        <f>VLOOKUP($O162,'NO USAR1'!$A$4:$L$403,2,False)*$U$19</f>
        <v>-1.104971278</v>
      </c>
      <c r="AE162" s="127">
        <f>VLOOKUP($O162,'NO USAR1'!$A$4:$L$403,3,False)*$V$19</f>
        <v>-0.2988703886</v>
      </c>
      <c r="AF162" s="127">
        <f>VLOOKUP($O162,'NO USAR1'!$A$4:$L$403,4,False)*$W$19</f>
        <v>-0.4580176845</v>
      </c>
      <c r="AG162" s="127">
        <f>VLOOKUP($O162,'NO USAR1'!$A$4:$L$403,5,False)*$X$19</f>
        <v>-1.144495214</v>
      </c>
      <c r="AH162" s="127">
        <f>VLOOKUP($O162,'NO USAR1'!$A$4:$L$403,6,False)*$Y$19</f>
        <v>0.2296792288</v>
      </c>
      <c r="AI162" s="127">
        <f>VLOOKUP($O162,'NO USAR1'!$A$4:$L$403,7,False)*$Z$19</f>
        <v>-0.2643825572</v>
      </c>
      <c r="AJ162" s="127">
        <f>VLOOKUP($O162,'NO USAR1'!$A$4:$L$403,8,False)*$AA$19</f>
        <v>-0.11653834</v>
      </c>
      <c r="AK162" s="132">
        <f>VLOOKUP($O162,'NO USAR1'!$A$4:$L$403,10,False)*$AB$19</f>
        <v>-0.05384567574</v>
      </c>
      <c r="AL162" s="127">
        <f>VLOOKUP($O162,'NO USAR1'!$A$4:$L$403,12,False)*$AC$19</f>
        <v>0.2777604917</v>
      </c>
      <c r="AM162" s="133">
        <f t="shared" si="2"/>
        <v>-1.144495214</v>
      </c>
      <c r="AN162" s="133">
        <f t="shared" si="3"/>
        <v>-2.249466492</v>
      </c>
    </row>
    <row r="163">
      <c r="A163" s="118" t="str">
        <f>IF(Update!B161="",ROW(Update!B161),Update!B161)</f>
        <v>Shaedon Sharpe</v>
      </c>
      <c r="B163" s="119">
        <f>IF(TYPE($A163)=1,"",(Update!$L161-B$1)/B$2)</f>
        <v>-0.2454867558</v>
      </c>
      <c r="C163" s="119">
        <f>IF(TYPE($A163)=1,"",(Update!$K161-C$1)/C$2)</f>
        <v>0.2460076484</v>
      </c>
      <c r="D163" s="119">
        <f>IF(TYPE($A163)=1,"",(Update!$M161-D$1)/D$2)</f>
        <v>-0.7507252735</v>
      </c>
      <c r="E163" s="119">
        <f>IF(TYPE($A163)=1,"",(Update!$N161-E$1)/E$2)</f>
        <v>-0.9940843212</v>
      </c>
      <c r="F163" s="119">
        <f>IF(TYPE($A163)=1,"",(Update!$O161-F$1)/F$2)</f>
        <v>-0.9178862491</v>
      </c>
      <c r="G163" s="119">
        <f>IF(TYPE($A163)=1,"",(Update!$P161-G$1)/G$2)</f>
        <v>-0.5652834241</v>
      </c>
      <c r="H163" s="119">
        <f>IF(TYPE($A163)=1,"",(Update!$H161-H$1)/H$2*I163/$I$1)</f>
        <v>-0.3868944837</v>
      </c>
      <c r="I163" s="119">
        <f>IF(TYPE($A163)=1,"",IF(Update!H161=0,0,Update!G161/Update!H161))</f>
        <v>12.8</v>
      </c>
      <c r="J163" s="120">
        <f>IF(TYPE($A163)=1,"",(Update!$J161-J$1)/J$2*K163/$K$1)</f>
        <v>-0.4775224689</v>
      </c>
      <c r="K163" s="121">
        <f>IF(TYPE($A163)=1,"",IF(Update!J161=0,0,Update!I161/Update!J161))</f>
        <v>2.6</v>
      </c>
      <c r="L163" s="119">
        <f>IF(TYPE($A163)=1,"",-(Update!$Q161-L$1)/L$2)</f>
        <v>0.6143018923</v>
      </c>
      <c r="N163" s="33">
        <v>143.0</v>
      </c>
      <c r="O163" s="130" t="str">
        <f>IF(Update!B170="",ROW(Update!B170),Update!B170)</f>
        <v>Russell Westbrook</v>
      </c>
      <c r="P163" s="131">
        <f>Update!E170</f>
        <v>74</v>
      </c>
      <c r="Q163" s="131" t="str">
        <f>IF(Update!C170="",ROW(Update!N185),Update!C170)</f>
        <v>PG</v>
      </c>
      <c r="R163" s="127">
        <f>VLOOKUP($O163,'NO USAR1'!$A$4:$L$403,2,False)+VLOOKUP($O163,'NO USAR1'!$A$4:$L$403,3,False)+VLOOKUP($O163,'NO USAR1'!$A$4:$L$403,4,False)+VLOOKUP($O163,'NO USAR1'!$A$4:$L$403,5,False)+VLOOKUP($O163,'NO USAR1'!$A$4:$L$403,6,False)+VLOOKUP($O163,'NO USAR1'!$A$4:$L$403,7,False)+VLOOKUP($O163,'NO USAR1'!$A$4:$L$403,8,False)+VLOOKUP($O163,'NO USAR1'!$A$4:$L$403,10,False)+VLOOKUP($O163,'NO USAR1'!$A$4:$L$403,12,False)*0</f>
        <v>-3.188079077</v>
      </c>
      <c r="S163" s="127">
        <f>VLOOKUP($O163,'NO USAR1'!$A$4:$L$403,2,False)*$U$19+VLOOKUP($O163,'NO USAR1'!$A$4:$L$403,3,False)*$V$19+VLOOKUP($O163,'NO USAR1'!$A$4:$L$403,4,False)*$W$19+VLOOKUP($O163,'NO USAR1'!$A$4:$L$403,5,False)*$X$19+VLOOKUP($O163,'NO USAR1'!$A$4:$L$403,6,False)*$Y$19+VLOOKUP($O163,'NO USAR1'!$A$4:$L$403,7,False)*$Z$19+VLOOKUP($O163,'NO USAR1'!$A$4:$L$403,8,False)*$AA$19+VLOOKUP($O163,'NO USAR1'!$A$4:$L$403,10,False)*$AB$19+VLOOKUP($O163,'NO USAR1'!$A$4:$L$403,12,False)*$AC$19+IF(Projections!$K$3,-AN163, IF(Projections!$J$3,-AM163,0))</f>
        <v>-1.243341897</v>
      </c>
      <c r="T163" s="127">
        <f t="shared" si="1"/>
        <v>1.944737179</v>
      </c>
      <c r="U163" s="127">
        <f>VLOOKUP($O163,Update!$B$2:$R$401,11,False)</f>
        <v>15.9</v>
      </c>
      <c r="V163" s="122">
        <f>VLOOKUP($O163,Update!$B$2:$R$401,10,False)</f>
        <v>1</v>
      </c>
      <c r="W163" s="127">
        <f>VLOOKUP($O163,Update!$B$2:$R$401,12,False)</f>
        <v>6.1</v>
      </c>
      <c r="X163" s="127">
        <f>VLOOKUP($O163,Update!$B$2:$R$401,13,False)</f>
        <v>6.7</v>
      </c>
      <c r="Y163" s="127">
        <f>VLOOKUP($O163,Update!$B$2:$R$401,14,False)</f>
        <v>0.9</v>
      </c>
      <c r="Z163" s="132">
        <f>VLOOKUP($O163,Update!$B$2:$R$401,15,False)</f>
        <v>0.3</v>
      </c>
      <c r="AA163" s="127">
        <f>100*VLOOKUP($O163,Update!$B$2:$R$401,7,False)</f>
        <v>44.11764706</v>
      </c>
      <c r="AB163" s="127">
        <f>100*VLOOKUP($O163,Update!$B$2:$R$401,9,False)</f>
        <v>65.90909091</v>
      </c>
      <c r="AC163" s="127">
        <f>VLOOKUP($O163,Update!$B$2:$Q$401,16,False)</f>
        <v>3.4</v>
      </c>
      <c r="AD163" s="127">
        <f>VLOOKUP($O163,'NO USAR1'!$A$4:$L$403,2,False)*$U$19</f>
        <v>-0.2286341181</v>
      </c>
      <c r="AE163" s="127">
        <f>VLOOKUP($O163,'NO USAR1'!$A$4:$L$403,3,False)*$V$19</f>
        <v>-0.5590090247</v>
      </c>
      <c r="AF163" s="127">
        <f>VLOOKUP($O163,'NO USAR1'!$A$4:$L$403,4,False)*$W$19</f>
        <v>0.001951383927</v>
      </c>
      <c r="AG163" s="127">
        <f>VLOOKUP($O163,'NO USAR1'!$A$4:$L$403,5,False)*$X$19</f>
        <v>1.456630272</v>
      </c>
      <c r="AH163" s="127">
        <f>VLOOKUP($O163,'NO USAR1'!$A$4:$L$403,6,False)*$Y$19</f>
        <v>-0.2064205728</v>
      </c>
      <c r="AI163" s="127">
        <f>VLOOKUP($O163,'NO USAR1'!$A$4:$L$403,7,False)*$Z$19</f>
        <v>-0.5270142365</v>
      </c>
      <c r="AJ163" s="127">
        <f>VLOOKUP($O163,'NO USAR1'!$A$4:$L$403,8,False)*$AA$19</f>
        <v>-0.744542236</v>
      </c>
      <c r="AK163" s="132">
        <f>VLOOKUP($O163,'NO USAR1'!$A$4:$L$403,10,False)*$AB$19</f>
        <v>-1.431561102</v>
      </c>
      <c r="AL163" s="127">
        <f>VLOOKUP($O163,'NO USAR1'!$A$4:$L$403,12,False)*$AC$19</f>
        <v>-0.4363033656</v>
      </c>
      <c r="AM163" s="133">
        <f t="shared" si="2"/>
        <v>-1.431561102</v>
      </c>
      <c r="AN163" s="133">
        <f t="shared" si="3"/>
        <v>-2.176103338</v>
      </c>
    </row>
    <row r="164">
      <c r="A164" s="118" t="str">
        <f>IF(Update!B162="",ROW(Update!B162),Update!B162)</f>
        <v>Quentin Grimes</v>
      </c>
      <c r="B164" s="119">
        <f>IF(TYPE($A164)=1,"",(Update!$L162-B$1)/B$2)</f>
        <v>-1.071266003</v>
      </c>
      <c r="C164" s="119">
        <f>IF(TYPE($A164)=1,"",(Update!$K162-C$1)/C$2)</f>
        <v>0.6313982204</v>
      </c>
      <c r="D164" s="119">
        <f>IF(TYPE($A164)=1,"",(Update!$M162-D$1)/D$2)</f>
        <v>-1.168878972</v>
      </c>
      <c r="E164" s="119">
        <f>IF(TYPE($A164)=1,"",(Update!$N162-E$1)/E$2)</f>
        <v>-0.8549867017</v>
      </c>
      <c r="F164" s="119">
        <f>IF(TYPE($A164)=1,"",(Update!$O162-F$1)/F$2)</f>
        <v>-0.6063863908</v>
      </c>
      <c r="G164" s="119">
        <f>IF(TYPE($A164)=1,"",(Update!$P162-G$1)/G$2)</f>
        <v>-0.5652834241</v>
      </c>
      <c r="H164" s="119">
        <f>IF(TYPE($A164)=1,"",(Update!$H162-H$1)/H$2*I164/$I$1)</f>
        <v>-0.4615507178</v>
      </c>
      <c r="I164" s="119">
        <f>IF(TYPE($A164)=1,"",IF(Update!H162=0,0,Update!G162/Update!H162))</f>
        <v>8.5</v>
      </c>
      <c r="J164" s="120">
        <f>IF(TYPE($A164)=1,"",(Update!$J162-J$1)/J$2*K164/$K$1)</f>
        <v>-0.148589881</v>
      </c>
      <c r="K164" s="121">
        <f>IF(TYPE($A164)=1,"",IF(Update!J162=0,0,Update!I162/Update!J162))</f>
        <v>1.2</v>
      </c>
      <c r="L164" s="119">
        <f>IF(TYPE($A164)=1,"",-(Update!$Q162-L$1)/L$2)</f>
        <v>1.235226986</v>
      </c>
      <c r="N164" s="124">
        <v>144.0</v>
      </c>
      <c r="O164" s="130" t="str">
        <f>IF(Update!B150="",ROW(Update!B150),Update!B150)</f>
        <v>Deni Avdija</v>
      </c>
      <c r="P164" s="131">
        <f>Update!E150</f>
        <v>78</v>
      </c>
      <c r="Q164" s="131" t="str">
        <f>IF(Update!C150="",ROW(Update!N165),Update!C150)</f>
        <v>SF,PF</v>
      </c>
      <c r="R164" s="127">
        <f>VLOOKUP($O164,'NO USAR1'!$A$4:$L$403,2,False)+VLOOKUP($O164,'NO USAR1'!$A$4:$L$403,3,False)+VLOOKUP($O164,'NO USAR1'!$A$4:$L$403,4,False)+VLOOKUP($O164,'NO USAR1'!$A$4:$L$403,5,False)+VLOOKUP($O164,'NO USAR1'!$A$4:$L$403,6,False)+VLOOKUP($O164,'NO USAR1'!$A$4:$L$403,7,False)+VLOOKUP($O164,'NO USAR1'!$A$4:$L$403,8,False)+VLOOKUP($O164,'NO USAR1'!$A$4:$L$403,10,False)+VLOOKUP($O164,'NO USAR1'!$A$4:$L$403,12,False)*0</f>
        <v>-3.238928746</v>
      </c>
      <c r="S164" s="127">
        <f>VLOOKUP($O164,'NO USAR1'!$A$4:$L$403,2,False)*$U$19+VLOOKUP($O164,'NO USAR1'!$A$4:$L$403,3,False)*$V$19+VLOOKUP($O164,'NO USAR1'!$A$4:$L$403,4,False)*$W$19+VLOOKUP($O164,'NO USAR1'!$A$4:$L$403,5,False)*$X$19+VLOOKUP($O164,'NO USAR1'!$A$4:$L$403,6,False)*$Y$19+VLOOKUP($O164,'NO USAR1'!$A$4:$L$403,7,False)*$Z$19+VLOOKUP($O164,'NO USAR1'!$A$4:$L$403,8,False)*$AA$19+VLOOKUP($O164,'NO USAR1'!$A$4:$L$403,10,False)*$AB$19+VLOOKUP($O164,'NO USAR1'!$A$4:$L$403,12,False)*$AC$19+IF(Projections!$K$3,-AN164, IF(Projections!$J$3,-AM164,0))</f>
        <v>-1.688334107</v>
      </c>
      <c r="T164" s="127">
        <f t="shared" si="1"/>
        <v>1.550594639</v>
      </c>
      <c r="U164" s="127">
        <f>VLOOKUP($O164,Update!$B$2:$R$401,11,False)</f>
        <v>10.5</v>
      </c>
      <c r="V164" s="122">
        <f>VLOOKUP($O164,Update!$B$2:$R$401,10,False)</f>
        <v>1.1</v>
      </c>
      <c r="W164" s="127">
        <f>VLOOKUP($O164,Update!$B$2:$R$401,12,False)</f>
        <v>6.9</v>
      </c>
      <c r="X164" s="127">
        <f>VLOOKUP($O164,Update!$B$2:$R$401,13,False)</f>
        <v>2.9</v>
      </c>
      <c r="Y164" s="127">
        <f>VLOOKUP($O164,Update!$B$2:$R$401,14,False)</f>
        <v>0.9</v>
      </c>
      <c r="Z164" s="132">
        <f>VLOOKUP($O164,Update!$B$2:$R$401,15,False)</f>
        <v>0.6</v>
      </c>
      <c r="AA164" s="127">
        <f>100*VLOOKUP($O164,Update!$B$2:$R$401,7,False)</f>
        <v>43.18181818</v>
      </c>
      <c r="AB164" s="127">
        <f>100*VLOOKUP($O164,Update!$B$2:$R$401,9,False)</f>
        <v>73.91304348</v>
      </c>
      <c r="AC164" s="127">
        <f>VLOOKUP($O164,Update!$B$2:$Q$401,16,False)</f>
        <v>1.6</v>
      </c>
      <c r="AD164" s="127">
        <f>VLOOKUP($O164,'NO USAR1'!$A$4:$L$403,2,False)*$U$19</f>
        <v>-1.138676554</v>
      </c>
      <c r="AE164" s="127">
        <f>VLOOKUP($O164,'NO USAR1'!$A$4:$L$403,3,False)*$V$19</f>
        <v>-0.472296146</v>
      </c>
      <c r="AF164" s="127">
        <f>VLOOKUP($O164,'NO USAR1'!$A$4:$L$403,4,False)*$W$19</f>
        <v>0.3364743428</v>
      </c>
      <c r="AG164" s="127">
        <f>VLOOKUP($O164,'NO USAR1'!$A$4:$L$403,5,False)*$X$19</f>
        <v>-0.4814632272</v>
      </c>
      <c r="AH164" s="127">
        <f>VLOOKUP($O164,'NO USAR1'!$A$4:$L$403,6,False)*$Y$19</f>
        <v>-0.2064205728</v>
      </c>
      <c r="AI164" s="127">
        <f>VLOOKUP($O164,'NO USAR1'!$A$4:$L$403,7,False)*$Z$19</f>
        <v>-0.1330667175</v>
      </c>
      <c r="AJ164" s="127">
        <f>VLOOKUP($O164,'NO USAR1'!$A$4:$L$403,8,False)*$AA$19</f>
        <v>-0.5640220963</v>
      </c>
      <c r="AK164" s="132">
        <f>VLOOKUP($O164,'NO USAR1'!$A$4:$L$403,10,False)*$AB$19</f>
        <v>-0.2900689082</v>
      </c>
      <c r="AL164" s="127">
        <f>VLOOKUP($O164,'NO USAR1'!$A$4:$L$403,12,False)*$AC$19</f>
        <v>0.1225292184</v>
      </c>
      <c r="AM164" s="133">
        <f t="shared" si="2"/>
        <v>-1.138676554</v>
      </c>
      <c r="AN164" s="133">
        <f t="shared" si="3"/>
        <v>-1.70269865</v>
      </c>
    </row>
    <row r="165">
      <c r="A165" s="118" t="str">
        <f>IF(Update!B163="",ROW(Update!B163),Update!B163)</f>
        <v>Brandon Clarke</v>
      </c>
      <c r="B165" s="119">
        <f>IF(TYPE($A165)=1,"",(Update!$L163-B$1)/B$2)</f>
        <v>-1.290350293</v>
      </c>
      <c r="C165" s="119">
        <f>IF(TYPE($A165)=1,"",(Update!$K163-C$1)/C$2)</f>
        <v>-1.488249925</v>
      </c>
      <c r="D165" s="119">
        <f>IF(TYPE($A165)=1,"",(Update!$M163-D$1)/D$2)</f>
        <v>-0.4162023146</v>
      </c>
      <c r="E165" s="119">
        <f>IF(TYPE($A165)=1,"",(Update!$N163-E$1)/E$2)</f>
        <v>-1.225913687</v>
      </c>
      <c r="F165" s="119">
        <f>IF(TYPE($A165)=1,"",(Update!$O163-F$1)/F$2)</f>
        <v>-1.229386107</v>
      </c>
      <c r="G165" s="119">
        <f>IF(TYPE($A165)=1,"",(Update!$P163-G$1)/G$2)</f>
        <v>0.1850928026</v>
      </c>
      <c r="H165" s="119">
        <f>IF(TYPE($A165)=1,"",(Update!$H163-H$1)/H$2*I165/$I$1)</f>
        <v>1.137481461</v>
      </c>
      <c r="I165" s="119">
        <f>IF(TYPE($A165)=1,"",IF(Update!H163=0,0,Update!G163/Update!H163))</f>
        <v>6.2</v>
      </c>
      <c r="J165" s="120">
        <f>IF(TYPE($A165)=1,"",(Update!$J163-J$1)/J$2*K165/$K$1)</f>
        <v>-0.8045543355</v>
      </c>
      <c r="K165" s="121">
        <f>IF(TYPE($A165)=1,"",IF(Update!J163=0,0,Update!I163/Update!J163))</f>
        <v>2.1</v>
      </c>
      <c r="L165" s="119">
        <f>IF(TYPE($A165)=1,"",-(Update!$Q163-L$1)/L$2)</f>
        <v>1.607782042</v>
      </c>
      <c r="N165" s="124">
        <v>145.0</v>
      </c>
      <c r="O165" s="130" t="str">
        <f>IF(Update!B145="",ROW(Update!B145),Update!B145)</f>
        <v>Brandon Miller</v>
      </c>
      <c r="P165" s="131">
        <f>Update!E145</f>
        <v>72</v>
      </c>
      <c r="Q165" s="131" t="str">
        <f>IF(Update!C145="",ROW(Update!N160),Update!C145)</f>
        <v>SF</v>
      </c>
      <c r="R165" s="127">
        <f>VLOOKUP($O165,'NO USAR1'!$A$4:$L$403,2,False)+VLOOKUP($O165,'NO USAR1'!$A$4:$L$403,3,False)+VLOOKUP($O165,'NO USAR1'!$A$4:$L$403,4,False)+VLOOKUP($O165,'NO USAR1'!$A$4:$L$403,5,False)+VLOOKUP($O165,'NO USAR1'!$A$4:$L$403,6,False)+VLOOKUP($O165,'NO USAR1'!$A$4:$L$403,7,False)+VLOOKUP($O165,'NO USAR1'!$A$4:$L$403,8,False)+VLOOKUP($O165,'NO USAR1'!$A$4:$L$403,10,False)+VLOOKUP($O165,'NO USAR1'!$A$4:$L$403,12,False)*0</f>
        <v>-3.284142342</v>
      </c>
      <c r="S165" s="127">
        <f>VLOOKUP($O165,'NO USAR1'!$A$4:$L$403,2,False)*$U$19+VLOOKUP($O165,'NO USAR1'!$A$4:$L$403,3,False)*$V$19+VLOOKUP($O165,'NO USAR1'!$A$4:$L$403,4,False)*$W$19+VLOOKUP($O165,'NO USAR1'!$A$4:$L$403,5,False)*$X$19+VLOOKUP($O165,'NO USAR1'!$A$4:$L$403,6,False)*$Y$19+VLOOKUP($O165,'NO USAR1'!$A$4:$L$403,7,False)*$Z$19+VLOOKUP($O165,'NO USAR1'!$A$4:$L$403,8,False)*$AA$19+VLOOKUP($O165,'NO USAR1'!$A$4:$L$403,10,False)*$AB$19+VLOOKUP($O165,'NO USAR1'!$A$4:$L$403,12,False)*$AC$19+IF(Projections!$K$3,-AN165, IF(Projections!$J$3,-AM165,0))</f>
        <v>-1.847933679</v>
      </c>
      <c r="T165" s="127">
        <f t="shared" si="1"/>
        <v>1.436208662</v>
      </c>
      <c r="U165" s="127">
        <f>VLOOKUP($O165,Update!$B$2:$R$401,11,False)</f>
        <v>15</v>
      </c>
      <c r="V165" s="122">
        <f>VLOOKUP($O165,Update!$B$2:$R$401,10,False)</f>
        <v>2.2</v>
      </c>
      <c r="W165" s="127">
        <f>VLOOKUP($O165,Update!$B$2:$R$401,12,False)</f>
        <v>4.8</v>
      </c>
      <c r="X165" s="127">
        <f>VLOOKUP($O165,Update!$B$2:$R$401,13,False)</f>
        <v>2</v>
      </c>
      <c r="Y165" s="127">
        <f>VLOOKUP($O165,Update!$B$2:$R$401,14,False)</f>
        <v>0.8</v>
      </c>
      <c r="Z165" s="132">
        <f>VLOOKUP($O165,Update!$B$2:$R$401,15,False)</f>
        <v>0.3</v>
      </c>
      <c r="AA165" s="127">
        <f>100*VLOOKUP($O165,Update!$B$2:$R$401,7,False)</f>
        <v>42.85714286</v>
      </c>
      <c r="AB165" s="127">
        <f>100*VLOOKUP($O165,Update!$B$2:$R$401,9,False)</f>
        <v>82.60869565</v>
      </c>
      <c r="AC165" s="127">
        <f>VLOOKUP($O165,Update!$B$2:$Q$401,16,False)</f>
        <v>1.4</v>
      </c>
      <c r="AD165" s="127">
        <f>VLOOKUP($O165,'NO USAR1'!$A$4:$L$403,2,False)*$U$19</f>
        <v>-0.3803078573</v>
      </c>
      <c r="AE165" s="127">
        <f>VLOOKUP($O165,'NO USAR1'!$A$4:$L$403,3,False)*$V$19</f>
        <v>0.4815455197</v>
      </c>
      <c r="AF165" s="127">
        <f>VLOOKUP($O165,'NO USAR1'!$A$4:$L$403,4,False)*$W$19</f>
        <v>-0.5416484242</v>
      </c>
      <c r="AG165" s="127">
        <f>VLOOKUP($O165,'NO USAR1'!$A$4:$L$403,5,False)*$X$19</f>
        <v>-0.9404853718</v>
      </c>
      <c r="AH165" s="127">
        <f>VLOOKUP($O165,'NO USAR1'!$A$4:$L$403,6,False)*$Y$19</f>
        <v>-0.4244704736</v>
      </c>
      <c r="AI165" s="127">
        <f>VLOOKUP($O165,'NO USAR1'!$A$4:$L$403,7,False)*$Z$19</f>
        <v>-0.5270142365</v>
      </c>
      <c r="AJ165" s="127">
        <f>VLOOKUP($O165,'NO USAR1'!$A$4:$L$403,8,False)*$AA$19</f>
        <v>-0.8484397527</v>
      </c>
      <c r="AK165" s="132">
        <f>VLOOKUP($O165,'NO USAR1'!$A$4:$L$403,10,False)*$AB$19</f>
        <v>0.2077798175</v>
      </c>
      <c r="AL165" s="127">
        <f>VLOOKUP($O165,'NO USAR1'!$A$4:$L$403,12,False)*$AC$19</f>
        <v>0.1846217277</v>
      </c>
      <c r="AM165" s="133">
        <f t="shared" si="2"/>
        <v>-0.9404853718</v>
      </c>
      <c r="AN165" s="133">
        <f t="shared" si="3"/>
        <v>-1.788925125</v>
      </c>
    </row>
    <row r="166">
      <c r="A166" s="118" t="str">
        <f>IF(Update!B164="",ROW(Update!B164),Update!B164)</f>
        <v>Nicolas Batum</v>
      </c>
      <c r="B166" s="119">
        <f>IF(TYPE($A166)=1,"",(Update!$L164-B$1)/B$2)</f>
        <v>-1.644255685</v>
      </c>
      <c r="C166" s="119">
        <f>IF(TYPE($A166)=1,"",(Update!$K164-C$1)/C$2)</f>
        <v>0.1496600055</v>
      </c>
      <c r="D166" s="119">
        <f>IF(TYPE($A166)=1,"",(Update!$M164-D$1)/D$2)</f>
        <v>-0.7507252735</v>
      </c>
      <c r="E166" s="119">
        <f>IF(TYPE($A166)=1,"",(Update!$N164-E$1)/E$2)</f>
        <v>-0.9940843212</v>
      </c>
      <c r="F166" s="119">
        <f>IF(TYPE($A166)=1,"",(Update!$O164-F$1)/F$2)</f>
        <v>-0.2948865325</v>
      </c>
      <c r="G166" s="119">
        <f>IF(TYPE($A166)=1,"",(Update!$P164-G$1)/G$2)</f>
        <v>-0.002501254089</v>
      </c>
      <c r="H166" s="119">
        <f>IF(TYPE($A166)=1,"",(Update!$H164-H$1)/H$2*I166/$I$1)</f>
        <v>-0.3621530877</v>
      </c>
      <c r="I166" s="119">
        <f>IF(TYPE($A166)=1,"",IF(Update!H164=0,0,Update!G164/Update!H164))</f>
        <v>5.9</v>
      </c>
      <c r="J166" s="120">
        <f>IF(TYPE($A166)=1,"",(Update!$J164-J$1)/J$2*K166/$K$1)</f>
        <v>-0.164466294</v>
      </c>
      <c r="K166" s="121">
        <f>IF(TYPE($A166)=1,"",IF(Update!J164=0,0,Update!I164/Update!J164))</f>
        <v>0.7</v>
      </c>
      <c r="L166" s="119">
        <f>IF(TYPE($A166)=1,"",-(Update!$Q164-L$1)/L$2)</f>
        <v>1.607782042</v>
      </c>
      <c r="N166" s="33">
        <v>146.0</v>
      </c>
      <c r="O166" s="130" t="str">
        <f>IF(Update!B136="",ROW(Update!B136),Update!B136)</f>
        <v>Patrick Williams</v>
      </c>
      <c r="P166" s="131">
        <f>Update!E136</f>
        <v>72</v>
      </c>
      <c r="Q166" s="131" t="str">
        <f>IF(Update!C136="",ROW(Update!N151),Update!C136)</f>
        <v>PF</v>
      </c>
      <c r="R166" s="127">
        <f>VLOOKUP($O166,'NO USAR1'!$A$4:$L$403,2,False)+VLOOKUP($O166,'NO USAR1'!$A$4:$L$403,3,False)+VLOOKUP($O166,'NO USAR1'!$A$4:$L$403,4,False)+VLOOKUP($O166,'NO USAR1'!$A$4:$L$403,5,False)+VLOOKUP($O166,'NO USAR1'!$A$4:$L$403,6,False)+VLOOKUP($O166,'NO USAR1'!$A$4:$L$403,7,False)+VLOOKUP($O166,'NO USAR1'!$A$4:$L$403,8,False)+VLOOKUP($O166,'NO USAR1'!$A$4:$L$403,10,False)+VLOOKUP($O166,'NO USAR1'!$A$4:$L$403,12,False)*0</f>
        <v>-3.311038744</v>
      </c>
      <c r="S166" s="127">
        <f>VLOOKUP($O166,'NO USAR1'!$A$4:$L$403,2,False)*$U$19+VLOOKUP($O166,'NO USAR1'!$A$4:$L$403,3,False)*$V$19+VLOOKUP($O166,'NO USAR1'!$A$4:$L$403,4,False)*$W$19+VLOOKUP($O166,'NO USAR1'!$A$4:$L$403,5,False)*$X$19+VLOOKUP($O166,'NO USAR1'!$A$4:$L$403,6,False)*$Y$19+VLOOKUP($O166,'NO USAR1'!$A$4:$L$403,7,False)*$Z$19+VLOOKUP($O166,'NO USAR1'!$A$4:$L$403,8,False)*$AA$19+VLOOKUP($O166,'NO USAR1'!$A$4:$L$403,10,False)*$AB$19+VLOOKUP($O166,'NO USAR1'!$A$4:$L$403,12,False)*$AC$19+IF(Projections!$K$3,-AN166, IF(Projections!$J$3,-AM166,0))</f>
        <v>-1.873377851</v>
      </c>
      <c r="T166" s="127">
        <f t="shared" si="1"/>
        <v>1.437660894</v>
      </c>
      <c r="U166" s="127">
        <f>VLOOKUP($O166,Update!$B$2:$R$401,11,False)</f>
        <v>10.7</v>
      </c>
      <c r="V166" s="122">
        <f>VLOOKUP($O166,Update!$B$2:$R$401,10,False)</f>
        <v>1.4</v>
      </c>
      <c r="W166" s="127">
        <f>VLOOKUP($O166,Update!$B$2:$R$401,12,False)</f>
        <v>4.3</v>
      </c>
      <c r="X166" s="127">
        <f>VLOOKUP($O166,Update!$B$2:$R$401,13,False)</f>
        <v>1.2</v>
      </c>
      <c r="Y166" s="127">
        <f>VLOOKUP($O166,Update!$B$2:$R$401,14,False)</f>
        <v>0.9</v>
      </c>
      <c r="Z166" s="132">
        <f>VLOOKUP($O166,Update!$B$2:$R$401,15,False)</f>
        <v>0.9</v>
      </c>
      <c r="AA166" s="127">
        <f>100*VLOOKUP($O166,Update!$B$2:$R$401,7,False)</f>
        <v>47.61904762</v>
      </c>
      <c r="AB166" s="127">
        <f>100*VLOOKUP($O166,Update!$B$2:$R$401,9,False)</f>
        <v>81.25</v>
      </c>
      <c r="AC166" s="127">
        <f>VLOOKUP($O166,Update!$B$2:$Q$401,16,False)</f>
        <v>1.3</v>
      </c>
      <c r="AD166" s="127">
        <f>VLOOKUP($O166,'NO USAR1'!$A$4:$L$403,2,False)*$U$19</f>
        <v>-1.104971278</v>
      </c>
      <c r="AE166" s="127">
        <f>VLOOKUP($O166,'NO USAR1'!$A$4:$L$403,3,False)*$V$19</f>
        <v>-0.2121575099</v>
      </c>
      <c r="AF166" s="127">
        <f>VLOOKUP($O166,'NO USAR1'!$A$4:$L$403,4,False)*$W$19</f>
        <v>-0.7507252735</v>
      </c>
      <c r="AG166" s="127">
        <f>VLOOKUP($O166,'NO USAR1'!$A$4:$L$403,5,False)*$X$19</f>
        <v>-1.348505056</v>
      </c>
      <c r="AH166" s="127">
        <f>VLOOKUP($O166,'NO USAR1'!$A$4:$L$403,6,False)*$Y$19</f>
        <v>-0.2064205728</v>
      </c>
      <c r="AI166" s="127">
        <f>VLOOKUP($O166,'NO USAR1'!$A$4:$L$403,7,False)*$Z$19</f>
        <v>0.2608808015</v>
      </c>
      <c r="AJ166" s="127">
        <f>VLOOKUP($O166,'NO USAR1'!$A$4:$L$403,8,False)*$AA$19</f>
        <v>-0.1660804901</v>
      </c>
      <c r="AK166" s="132">
        <f>VLOOKUP($O166,'NO USAR1'!$A$4:$L$403,10,False)*$AB$19</f>
        <v>0.09042848982</v>
      </c>
      <c r="AL166" s="127">
        <f>VLOOKUP($O166,'NO USAR1'!$A$4:$L$403,12,False)*$AC$19</f>
        <v>0.2156679824</v>
      </c>
      <c r="AM166" s="133">
        <f t="shared" si="2"/>
        <v>-1.348505056</v>
      </c>
      <c r="AN166" s="133">
        <f t="shared" si="3"/>
        <v>-2.453476334</v>
      </c>
    </row>
    <row r="167">
      <c r="A167" s="118" t="str">
        <f>IF(Update!B165="",ROW(Update!B165),Update!B165)</f>
        <v>Malik Monk</v>
      </c>
      <c r="B167" s="119">
        <f>IF(TYPE($A167)=1,"",(Update!$L165-B$1)/B$2)</f>
        <v>-0.8858869882</v>
      </c>
      <c r="C167" s="119">
        <f>IF(TYPE($A167)=1,"",(Update!$K165-C$1)/C$2)</f>
        <v>0.1496600055</v>
      </c>
      <c r="D167" s="119">
        <f>IF(TYPE($A167)=1,"",(Update!$M165-D$1)/D$2)</f>
        <v>-1.461586561</v>
      </c>
      <c r="E167" s="119">
        <f>IF(TYPE($A167)=1,"",(Update!$N165-E$1)/E$2)</f>
        <v>-0.3913279697</v>
      </c>
      <c r="F167" s="119">
        <f>IF(TYPE($A167)=1,"",(Update!$O165-F$1)/F$2)</f>
        <v>-1.229386107</v>
      </c>
      <c r="G167" s="119">
        <f>IF(TYPE($A167)=1,"",(Update!$P165-G$1)/G$2)</f>
        <v>-0.7528774808</v>
      </c>
      <c r="H167" s="119">
        <f>IF(TYPE($A167)=1,"",(Update!$H165-H$1)/H$2*I167/$I$1)</f>
        <v>-0.347000369</v>
      </c>
      <c r="I167" s="119">
        <f>IF(TYPE($A167)=1,"",IF(Update!H165=0,0,Update!G165/Update!H165))</f>
        <v>9.3</v>
      </c>
      <c r="J167" s="120">
        <f>IF(TYPE($A167)=1,"",(Update!$J165-J$1)/J$2*K167/$K$1)</f>
        <v>0.3092547322</v>
      </c>
      <c r="K167" s="121">
        <f>IF(TYPE($A167)=1,"",IF(Update!J165=0,0,Update!I165/Update!J165))</f>
        <v>1.9</v>
      </c>
      <c r="L167" s="119">
        <f>IF(TYPE($A167)=1,"",-(Update!$Q165-L$1)/L$2)</f>
        <v>0.6143018923</v>
      </c>
      <c r="N167" s="124">
        <v>147.0</v>
      </c>
      <c r="O167" s="130" t="str">
        <f>IF(Update!B130="",ROW(Update!B130),Update!B130)</f>
        <v>Obi Toppin</v>
      </c>
      <c r="P167" s="131">
        <f>Update!E130</f>
        <v>70</v>
      </c>
      <c r="Q167" s="131" t="str">
        <f>IF(Update!C130="",ROW(Update!N145),Update!C130)</f>
        <v>PF</v>
      </c>
      <c r="R167" s="127">
        <f>VLOOKUP($O167,'NO USAR1'!$A$4:$L$403,2,False)+VLOOKUP($O167,'NO USAR1'!$A$4:$L$403,3,False)+VLOOKUP($O167,'NO USAR1'!$A$4:$L$403,4,False)+VLOOKUP($O167,'NO USAR1'!$A$4:$L$403,5,False)+VLOOKUP($O167,'NO USAR1'!$A$4:$L$403,6,False)+VLOOKUP($O167,'NO USAR1'!$A$4:$L$403,7,False)+VLOOKUP($O167,'NO USAR1'!$A$4:$L$403,8,False)+VLOOKUP($O167,'NO USAR1'!$A$4:$L$403,10,False)+VLOOKUP($O167,'NO USAR1'!$A$4:$L$403,12,False)*0</f>
        <v>-3.332821739</v>
      </c>
      <c r="S167" s="127">
        <f>VLOOKUP($O167,'NO USAR1'!$A$4:$L$403,2,False)*$U$19+VLOOKUP($O167,'NO USAR1'!$A$4:$L$403,3,False)*$V$19+VLOOKUP($O167,'NO USAR1'!$A$4:$L$403,4,False)*$W$19+VLOOKUP($O167,'NO USAR1'!$A$4:$L$403,5,False)*$X$19+VLOOKUP($O167,'NO USAR1'!$A$4:$L$403,6,False)*$Y$19+VLOOKUP($O167,'NO USAR1'!$A$4:$L$403,7,False)*$Z$19+VLOOKUP($O167,'NO USAR1'!$A$4:$L$403,8,False)*$AA$19+VLOOKUP($O167,'NO USAR1'!$A$4:$L$403,10,False)*$AB$19+VLOOKUP($O167,'NO USAR1'!$A$4:$L$403,12,False)*$AC$19+IF(Projections!$K$3,-AN167, IF(Projections!$J$3,-AM167,0))</f>
        <v>-1.609214196</v>
      </c>
      <c r="T167" s="127">
        <f t="shared" si="1"/>
        <v>1.723607544</v>
      </c>
      <c r="U167" s="127">
        <f>VLOOKUP($O167,Update!$B$2:$R$401,11,False)</f>
        <v>14.7</v>
      </c>
      <c r="V167" s="122">
        <f>VLOOKUP($O167,Update!$B$2:$R$401,10,False)</f>
        <v>1.5</v>
      </c>
      <c r="W167" s="127">
        <f>VLOOKUP($O167,Update!$B$2:$R$401,12,False)</f>
        <v>5.6</v>
      </c>
      <c r="X167" s="127">
        <f>VLOOKUP($O167,Update!$B$2:$R$401,13,False)</f>
        <v>1.6</v>
      </c>
      <c r="Y167" s="127">
        <f>VLOOKUP($O167,Update!$B$2:$R$401,14,False)</f>
        <v>0.6</v>
      </c>
      <c r="Z167" s="132">
        <f>VLOOKUP($O167,Update!$B$2:$R$401,15,False)</f>
        <v>0.6</v>
      </c>
      <c r="AA167" s="127">
        <f>100*VLOOKUP($O167,Update!$B$2:$R$401,7,False)</f>
        <v>47.89915966</v>
      </c>
      <c r="AB167" s="127">
        <f>100*VLOOKUP($O167,Update!$B$2:$R$401,9,False)</f>
        <v>80.95238095</v>
      </c>
      <c r="AC167" s="127">
        <f>VLOOKUP($O167,Update!$B$2:$Q$401,16,False)</f>
        <v>1.2</v>
      </c>
      <c r="AD167" s="127">
        <f>VLOOKUP($O167,'NO USAR1'!$A$4:$L$403,2,False)*$U$19</f>
        <v>-0.4308657704</v>
      </c>
      <c r="AE167" s="127">
        <f>VLOOKUP($O167,'NO USAR1'!$A$4:$L$403,3,False)*$V$19</f>
        <v>-0.1254446312</v>
      </c>
      <c r="AF167" s="127">
        <f>VLOOKUP($O167,'NO USAR1'!$A$4:$L$403,4,False)*$W$19</f>
        <v>-0.2071254654</v>
      </c>
      <c r="AG167" s="127">
        <f>VLOOKUP($O167,'NO USAR1'!$A$4:$L$403,5,False)*$X$19</f>
        <v>-1.144495214</v>
      </c>
      <c r="AH167" s="127">
        <f>VLOOKUP($O167,'NO USAR1'!$A$4:$L$403,6,False)*$Y$19</f>
        <v>-0.8605702752</v>
      </c>
      <c r="AI167" s="127">
        <f>VLOOKUP($O167,'NO USAR1'!$A$4:$L$403,7,False)*$Z$19</f>
        <v>-0.1330667175</v>
      </c>
      <c r="AJ167" s="127">
        <f>VLOOKUP($O167,'NO USAR1'!$A$4:$L$403,8,False)*$AA$19</f>
        <v>-0.2019851933</v>
      </c>
      <c r="AK167" s="132">
        <f>VLOOKUP($O167,'NO USAR1'!$A$4:$L$403,10,False)*$AB$19</f>
        <v>0.1031296202</v>
      </c>
      <c r="AL167" s="127">
        <f>VLOOKUP($O167,'NO USAR1'!$A$4:$L$403,12,False)*$AC$19</f>
        <v>0.2467142371</v>
      </c>
      <c r="AM167" s="133">
        <f t="shared" si="2"/>
        <v>-1.144495214</v>
      </c>
      <c r="AN167" s="133">
        <f t="shared" si="3"/>
        <v>-2.005065489</v>
      </c>
    </row>
    <row r="168">
      <c r="A168" s="118" t="str">
        <f>IF(Update!B166="",ROW(Update!B166),Update!B166)</f>
        <v>Grant Williams</v>
      </c>
      <c r="B168" s="119">
        <f>IF(TYPE($A168)=1,"",(Update!$L166-B$1)/B$2)</f>
        <v>-1.391466119</v>
      </c>
      <c r="C168" s="119">
        <f>IF(TYPE($A168)=1,"",(Update!$K166-C$1)/C$2)</f>
        <v>-0.04303528054</v>
      </c>
      <c r="D168" s="119">
        <f>IF(TYPE($A168)=1,"",(Update!$M166-D$1)/D$2)</f>
        <v>-0.6252791639</v>
      </c>
      <c r="E168" s="119">
        <f>IF(TYPE($A168)=1,"",(Update!$N166-E$1)/E$2)</f>
        <v>-1.086816068</v>
      </c>
      <c r="F168" s="119">
        <f>IF(TYPE($A168)=1,"",(Update!$O166-F$1)/F$2)</f>
        <v>-1.229386107</v>
      </c>
      <c r="G168" s="119">
        <f>IF(TYPE($A168)=1,"",(Update!$P166-G$1)/G$2)</f>
        <v>-0.1900953108</v>
      </c>
      <c r="H168" s="119">
        <f>IF(TYPE($A168)=1,"",(Update!$H166-H$1)/H$2*I168/$I$1)</f>
        <v>-0.3035409087</v>
      </c>
      <c r="I168" s="119">
        <f>IF(TYPE($A168)=1,"",IF(Update!H166=0,0,Update!G166/Update!H166))</f>
        <v>6.6</v>
      </c>
      <c r="J168" s="120">
        <f>IF(TYPE($A168)=1,"",(Update!$J166-J$1)/J$2*K168/$K$1)</f>
        <v>0.1130356123</v>
      </c>
      <c r="K168" s="121">
        <f>IF(TYPE($A168)=1,"",IF(Update!J166=0,0,Update!I166/Update!J166))</f>
        <v>1.6</v>
      </c>
      <c r="L168" s="119">
        <f>IF(TYPE($A168)=1,"",-(Update!$Q166-L$1)/L$2)</f>
        <v>1.235226986</v>
      </c>
      <c r="N168" s="124">
        <v>148.0</v>
      </c>
      <c r="O168" s="130" t="str">
        <f>IF(Update!B153="",ROW(Update!B153),Update!B153)</f>
        <v>Malik Beasley</v>
      </c>
      <c r="P168" s="131">
        <f>Update!E153</f>
        <v>72</v>
      </c>
      <c r="Q168" s="131" t="str">
        <f>IF(Update!C153="",ROW(Update!N168),Update!C153)</f>
        <v>SG,SF</v>
      </c>
      <c r="R168" s="127">
        <f>VLOOKUP($O168,'NO USAR1'!$A$4:$L$403,2,False)+VLOOKUP($O168,'NO USAR1'!$A$4:$L$403,3,False)+VLOOKUP($O168,'NO USAR1'!$A$4:$L$403,4,False)+VLOOKUP($O168,'NO USAR1'!$A$4:$L$403,5,False)+VLOOKUP($O168,'NO USAR1'!$A$4:$L$403,6,False)+VLOOKUP($O168,'NO USAR1'!$A$4:$L$403,7,False)+VLOOKUP($O168,'NO USAR1'!$A$4:$L$403,8,False)+VLOOKUP($O168,'NO USAR1'!$A$4:$L$403,10,False)+VLOOKUP($O168,'NO USAR1'!$A$4:$L$403,12,False)*0</f>
        <v>-3.383698996</v>
      </c>
      <c r="S168" s="127">
        <f>VLOOKUP($O168,'NO USAR1'!$A$4:$L$403,2,False)*$U$19+VLOOKUP($O168,'NO USAR1'!$A$4:$L$403,3,False)*$V$19+VLOOKUP($O168,'NO USAR1'!$A$4:$L$403,4,False)*$W$19+VLOOKUP($O168,'NO USAR1'!$A$4:$L$403,5,False)*$X$19+VLOOKUP($O168,'NO USAR1'!$A$4:$L$403,6,False)*$Y$19+VLOOKUP($O168,'NO USAR1'!$A$4:$L$403,7,False)*$Z$19+VLOOKUP($O168,'NO USAR1'!$A$4:$L$403,8,False)*$AA$19+VLOOKUP($O168,'NO USAR1'!$A$4:$L$403,10,False)*$AB$19+VLOOKUP($O168,'NO USAR1'!$A$4:$L$403,12,False)*$AC$19+IF(Projections!$K$3,-AN168, IF(Projections!$J$3,-AM168,0))</f>
        <v>-1.679098902</v>
      </c>
      <c r="T168" s="127">
        <f t="shared" si="1"/>
        <v>1.704600094</v>
      </c>
      <c r="U168" s="127">
        <f>VLOOKUP($O168,Update!$B$2:$R$401,11,False)</f>
        <v>14.3</v>
      </c>
      <c r="V168" s="122">
        <f>VLOOKUP($O168,Update!$B$2:$R$401,10,False)</f>
        <v>3.4</v>
      </c>
      <c r="W168" s="127">
        <f>VLOOKUP($O168,Update!$B$2:$R$401,12,False)</f>
        <v>3.7</v>
      </c>
      <c r="X168" s="127">
        <f>VLOOKUP($O168,Update!$B$2:$R$401,13,False)</f>
        <v>1.7</v>
      </c>
      <c r="Y168" s="127">
        <f>VLOOKUP($O168,Update!$B$2:$R$401,14,False)</f>
        <v>0.8</v>
      </c>
      <c r="Z168" s="132">
        <f>VLOOKUP($O168,Update!$B$2:$R$401,15,False)</f>
        <v>0.2</v>
      </c>
      <c r="AA168" s="127">
        <f>100*VLOOKUP($O168,Update!$B$2:$R$401,7,False)</f>
        <v>42.14876033</v>
      </c>
      <c r="AB168" s="127">
        <f>100*VLOOKUP($O168,Update!$B$2:$R$401,9,False)</f>
        <v>77.77777778</v>
      </c>
      <c r="AC168" s="127">
        <f>VLOOKUP($O168,Update!$B$2:$Q$401,16,False)</f>
        <v>1</v>
      </c>
      <c r="AD168" s="127">
        <f>VLOOKUP($O168,'NO USAR1'!$A$4:$L$403,2,False)*$U$19</f>
        <v>-0.4982763212</v>
      </c>
      <c r="AE168" s="127">
        <f>VLOOKUP($O168,'NO USAR1'!$A$4:$L$403,3,False)*$V$19</f>
        <v>1.522100064</v>
      </c>
      <c r="AF168" s="127">
        <f>VLOOKUP($O168,'NO USAR1'!$A$4:$L$403,4,False)*$W$19</f>
        <v>-1.001617493</v>
      </c>
      <c r="AG168" s="127">
        <f>VLOOKUP($O168,'NO USAR1'!$A$4:$L$403,5,False)*$X$19</f>
        <v>-1.093492753</v>
      </c>
      <c r="AH168" s="127">
        <f>VLOOKUP($O168,'NO USAR1'!$A$4:$L$403,6,False)*$Y$19</f>
        <v>-0.4244704736</v>
      </c>
      <c r="AI168" s="127">
        <f>VLOOKUP($O168,'NO USAR1'!$A$4:$L$403,7,False)*$Z$19</f>
        <v>-0.6583300762</v>
      </c>
      <c r="AJ168" s="127">
        <f>VLOOKUP($O168,'NO USAR1'!$A$4:$L$403,8,False)*$AA$19</f>
        <v>-0.900388511</v>
      </c>
      <c r="AK168" s="132">
        <f>VLOOKUP($O168,'NO USAR1'!$A$4:$L$403,10,False)*$AB$19</f>
        <v>-0.02692283787</v>
      </c>
      <c r="AL168" s="127">
        <f>VLOOKUP($O168,'NO USAR1'!$A$4:$L$403,12,False)*$AC$19</f>
        <v>0.3088067464</v>
      </c>
      <c r="AM168" s="133">
        <f t="shared" si="2"/>
        <v>-1.093492753</v>
      </c>
      <c r="AN168" s="133">
        <f t="shared" si="3"/>
        <v>-2.095110246</v>
      </c>
    </row>
    <row r="169">
      <c r="A169" s="118" t="str">
        <f>IF(Update!B167="",ROW(Update!B167),Update!B167)</f>
        <v>Nick Richards</v>
      </c>
      <c r="B169" s="119">
        <f>IF(TYPE($A169)=1,"",(Update!$L167-B$1)/B$2)</f>
        <v>-1.442024032</v>
      </c>
      <c r="C169" s="119">
        <f>IF(TYPE($A169)=1,"",(Update!$K167-C$1)/C$2)</f>
        <v>-1.584597568</v>
      </c>
      <c r="D169" s="119">
        <f>IF(TYPE($A169)=1,"",(Update!$M167-D$1)/D$2)</f>
        <v>0.1273974935</v>
      </c>
      <c r="E169" s="119">
        <f>IF(TYPE($A169)=1,"",(Update!$N167-E$1)/E$2)</f>
        <v>-1.457743053</v>
      </c>
      <c r="F169" s="119">
        <f>IF(TYPE($A169)=1,"",(Update!$O167-F$1)/F$2)</f>
        <v>-2.163885682</v>
      </c>
      <c r="G169" s="119">
        <f>IF(TYPE($A169)=1,"",(Update!$P167-G$1)/G$2)</f>
        <v>0.9354690293</v>
      </c>
      <c r="H169" s="119">
        <f>IF(TYPE($A169)=1,"",(Update!$H167-H$1)/H$2*I169/$I$1)</f>
        <v>0.8551166024</v>
      </c>
      <c r="I169" s="119">
        <f>IF(TYPE($A169)=1,"",IF(Update!H167=0,0,Update!G167/Update!H167))</f>
        <v>5.1</v>
      </c>
      <c r="J169" s="120">
        <f>IF(TYPE($A169)=1,"",(Update!$J167-J$1)/J$2*K169/$K$1)</f>
        <v>-0.5924588025</v>
      </c>
      <c r="K169" s="121">
        <f>IF(TYPE($A169)=1,"",IF(Update!J167=0,0,Update!I167/Update!J167))</f>
        <v>2.9</v>
      </c>
      <c r="L169" s="119">
        <f>IF(TYPE($A169)=1,"",-(Update!$Q167-L$1)/L$2)</f>
        <v>1.111041967</v>
      </c>
      <c r="N169" s="33">
        <v>149.0</v>
      </c>
      <c r="O169" s="130" t="str">
        <f>IF(Update!B146="",ROW(Update!B146),Update!B146)</f>
        <v>Cole Anthony</v>
      </c>
      <c r="P169" s="131">
        <f>Update!E146</f>
        <v>64</v>
      </c>
      <c r="Q169" s="131" t="str">
        <f>IF(Update!C146="",ROW(Update!N161),Update!C146)</f>
        <v>PG</v>
      </c>
      <c r="R169" s="127">
        <f>VLOOKUP($O169,'NO USAR1'!$A$4:$L$403,2,False)+VLOOKUP($O169,'NO USAR1'!$A$4:$L$403,3,False)+VLOOKUP($O169,'NO USAR1'!$A$4:$L$403,4,False)+VLOOKUP($O169,'NO USAR1'!$A$4:$L$403,5,False)+VLOOKUP($O169,'NO USAR1'!$A$4:$L$403,6,False)+VLOOKUP($O169,'NO USAR1'!$A$4:$L$403,7,False)+VLOOKUP($O169,'NO USAR1'!$A$4:$L$403,8,False)+VLOOKUP($O169,'NO USAR1'!$A$4:$L$403,10,False)+VLOOKUP($O169,'NO USAR1'!$A$4:$L$403,12,False)*0</f>
        <v>-3.40944418</v>
      </c>
      <c r="S169" s="127">
        <f>VLOOKUP($O169,'NO USAR1'!$A$4:$L$403,2,False)*$U$19+VLOOKUP($O169,'NO USAR1'!$A$4:$L$403,3,False)*$V$19+VLOOKUP($O169,'NO USAR1'!$A$4:$L$403,4,False)*$W$19+VLOOKUP($O169,'NO USAR1'!$A$4:$L$403,5,False)*$X$19+VLOOKUP($O169,'NO USAR1'!$A$4:$L$403,6,False)*$Y$19+VLOOKUP($O169,'NO USAR1'!$A$4:$L$403,7,False)*$Z$19+VLOOKUP($O169,'NO USAR1'!$A$4:$L$403,8,False)*$AA$19+VLOOKUP($O169,'NO USAR1'!$A$4:$L$403,10,False)*$AB$19+VLOOKUP($O169,'NO USAR1'!$A$4:$L$403,12,False)*$AC$19+IF(Projections!$K$3,-AN169, IF(Projections!$J$3,-AM169,0))</f>
        <v>-1.948461625</v>
      </c>
      <c r="T169" s="127">
        <f t="shared" si="1"/>
        <v>1.460982556</v>
      </c>
      <c r="U169" s="127">
        <f>VLOOKUP($O169,Update!$B$2:$R$401,11,False)</f>
        <v>12.9</v>
      </c>
      <c r="V169" s="122">
        <f>VLOOKUP($O169,Update!$B$2:$R$401,10,False)</f>
        <v>1.5</v>
      </c>
      <c r="W169" s="127">
        <f>VLOOKUP($O169,Update!$B$2:$R$401,12,False)</f>
        <v>4.5</v>
      </c>
      <c r="X169" s="127">
        <f>VLOOKUP($O169,Update!$B$2:$R$401,13,False)</f>
        <v>4</v>
      </c>
      <c r="Y169" s="127">
        <f>VLOOKUP($O169,Update!$B$2:$R$401,14,False)</f>
        <v>0.6</v>
      </c>
      <c r="Z169" s="132">
        <f>VLOOKUP($O169,Update!$B$2:$R$401,15,False)</f>
        <v>0.3</v>
      </c>
      <c r="AA169" s="127">
        <f>100*VLOOKUP($O169,Update!$B$2:$R$401,7,False)</f>
        <v>43.56435644</v>
      </c>
      <c r="AB169" s="127">
        <f>100*VLOOKUP($O169,Update!$B$2:$R$401,9,False)</f>
        <v>86.66666667</v>
      </c>
      <c r="AC169" s="127">
        <f>VLOOKUP($O169,Update!$B$2:$Q$401,16,False)</f>
        <v>1.8</v>
      </c>
      <c r="AD169" s="127">
        <f>VLOOKUP($O169,'NO USAR1'!$A$4:$L$403,2,False)*$U$19</f>
        <v>-0.7342132489</v>
      </c>
      <c r="AE169" s="127">
        <f>VLOOKUP($O169,'NO USAR1'!$A$4:$L$403,3,False)*$V$19</f>
        <v>-0.1254446312</v>
      </c>
      <c r="AF169" s="127">
        <f>VLOOKUP($O169,'NO USAR1'!$A$4:$L$403,4,False)*$W$19</f>
        <v>-0.6670945338</v>
      </c>
      <c r="AG169" s="127">
        <f>VLOOKUP($O169,'NO USAR1'!$A$4:$L$403,5,False)*$X$19</f>
        <v>0.0795638384</v>
      </c>
      <c r="AH169" s="127">
        <f>VLOOKUP($O169,'NO USAR1'!$A$4:$L$403,6,False)*$Y$19</f>
        <v>-0.8605702752</v>
      </c>
      <c r="AI169" s="127">
        <f>VLOOKUP($O169,'NO USAR1'!$A$4:$L$403,7,False)*$Z$19</f>
        <v>-0.5270142365</v>
      </c>
      <c r="AJ169" s="127">
        <f>VLOOKUP($O169,'NO USAR1'!$A$4:$L$403,8,False)*$AA$19</f>
        <v>-0.6087510298</v>
      </c>
      <c r="AK169" s="132">
        <f>VLOOKUP($O169,'NO USAR1'!$A$4:$L$403,10,False)*$AB$19</f>
        <v>0.5740555081</v>
      </c>
      <c r="AL169" s="127">
        <f>VLOOKUP($O169,'NO USAR1'!$A$4:$L$403,12,False)*$AC$19</f>
        <v>0.06043670908</v>
      </c>
      <c r="AM169" s="133">
        <f t="shared" si="2"/>
        <v>-0.8605702752</v>
      </c>
      <c r="AN169" s="133">
        <f t="shared" si="3"/>
        <v>-1.594783524</v>
      </c>
    </row>
    <row r="170">
      <c r="A170" s="118" t="str">
        <f>IF(Update!B168="",ROW(Update!B168),Update!B168)</f>
        <v>Gary Trent Jr.</v>
      </c>
      <c r="B170" s="119">
        <f>IF(TYPE($A170)=1,"",(Update!$L168-B$1)/B$2)</f>
        <v>-0.7342132489</v>
      </c>
      <c r="C170" s="119">
        <f>IF(TYPE($A170)=1,"",(Update!$K168-C$1)/C$2)</f>
        <v>0.3423552914</v>
      </c>
      <c r="D170" s="119">
        <f>IF(TYPE($A170)=1,"",(Update!$M168-D$1)/D$2)</f>
        <v>-1.75429415</v>
      </c>
      <c r="E170" s="119">
        <f>IF(TYPE($A170)=1,"",(Update!$N168-E$1)/E$2)</f>
        <v>-1.179547814</v>
      </c>
      <c r="F170" s="119">
        <f>IF(TYPE($A170)=1,"",(Update!$O168-F$1)/F$2)</f>
        <v>0.6396130423</v>
      </c>
      <c r="G170" s="119">
        <f>IF(TYPE($A170)=1,"",(Update!$P168-G$1)/G$2)</f>
        <v>-0.9404715375</v>
      </c>
      <c r="H170" s="119">
        <f>IF(TYPE($A170)=1,"",(Update!$H168-H$1)/H$2*I170/$I$1)</f>
        <v>-0.8956860304</v>
      </c>
      <c r="I170" s="119">
        <f>IF(TYPE($A170)=1,"",IF(Update!H168=0,0,Update!G168/Update!H168))</f>
        <v>10.7</v>
      </c>
      <c r="J170" s="120">
        <f>IF(TYPE($A170)=1,"",(Update!$J168-J$1)/J$2*K170/$K$1)</f>
        <v>0.1943183986</v>
      </c>
      <c r="K170" s="121">
        <f>IF(TYPE($A170)=1,"",IF(Update!J168=0,0,Update!I168/Update!J168))</f>
        <v>2.2</v>
      </c>
      <c r="L170" s="119">
        <f>IF(TYPE($A170)=1,"",-(Update!$Q168-L$1)/L$2)</f>
        <v>1.607782042</v>
      </c>
      <c r="N170" s="124">
        <v>150.0</v>
      </c>
      <c r="O170" s="130" t="str">
        <f>IF(Update!B140="",ROW(Update!B140),Update!B140)</f>
        <v>P.J. Washington</v>
      </c>
      <c r="P170" s="131">
        <f>Update!E140</f>
        <v>72</v>
      </c>
      <c r="Q170" s="131" t="str">
        <f>IF(Update!C140="",ROW(Update!N155),Update!C140)</f>
        <v>PF</v>
      </c>
      <c r="R170" s="127">
        <f>VLOOKUP($O170,'NO USAR1'!$A$4:$L$403,2,False)+VLOOKUP($O170,'NO USAR1'!$A$4:$L$403,3,False)+VLOOKUP($O170,'NO USAR1'!$A$4:$L$403,4,False)+VLOOKUP($O170,'NO USAR1'!$A$4:$L$403,5,False)+VLOOKUP($O170,'NO USAR1'!$A$4:$L$403,6,False)+VLOOKUP($O170,'NO USAR1'!$A$4:$L$403,7,False)+VLOOKUP($O170,'NO USAR1'!$A$4:$L$403,8,False)+VLOOKUP($O170,'NO USAR1'!$A$4:$L$403,10,False)+VLOOKUP($O170,'NO USAR1'!$A$4:$L$403,12,False)*0</f>
        <v>-3.454401268</v>
      </c>
      <c r="S170" s="127">
        <f>VLOOKUP($O170,'NO USAR1'!$A$4:$L$403,2,False)*$U$19+VLOOKUP($O170,'NO USAR1'!$A$4:$L$403,3,False)*$V$19+VLOOKUP($O170,'NO USAR1'!$A$4:$L$403,4,False)*$W$19+VLOOKUP($O170,'NO USAR1'!$A$4:$L$403,5,False)*$X$19+VLOOKUP($O170,'NO USAR1'!$A$4:$L$403,6,False)*$Y$19+VLOOKUP($O170,'NO USAR1'!$A$4:$L$403,7,False)*$Z$19+VLOOKUP($O170,'NO USAR1'!$A$4:$L$403,8,False)*$AA$19+VLOOKUP($O170,'NO USAR1'!$A$4:$L$403,10,False)*$AB$19+VLOOKUP($O170,'NO USAR1'!$A$4:$L$403,12,False)*$AC$19+IF(Projections!$K$3,-AN170, IF(Projections!$J$3,-AM170,0))</f>
        <v>-2.22552423</v>
      </c>
      <c r="T170" s="127">
        <f t="shared" si="1"/>
        <v>1.228877038</v>
      </c>
      <c r="U170" s="127">
        <f>VLOOKUP($O170,Update!$B$2:$R$401,11,False)</f>
        <v>12</v>
      </c>
      <c r="V170" s="122">
        <f>VLOOKUP($O170,Update!$B$2:$R$401,10,False)</f>
        <v>1.7</v>
      </c>
      <c r="W170" s="127">
        <f>VLOOKUP($O170,Update!$B$2:$R$401,12,False)</f>
        <v>4.6</v>
      </c>
      <c r="X170" s="127">
        <f>VLOOKUP($O170,Update!$B$2:$R$401,13,False)</f>
        <v>2.1</v>
      </c>
      <c r="Y170" s="127">
        <f>VLOOKUP($O170,Update!$B$2:$R$401,14,False)</f>
        <v>0.8</v>
      </c>
      <c r="Z170" s="132">
        <f>VLOOKUP($O170,Update!$B$2:$R$401,15,False)</f>
        <v>0.9</v>
      </c>
      <c r="AA170" s="127">
        <f>100*VLOOKUP($O170,Update!$B$2:$R$401,7,False)</f>
        <v>45</v>
      </c>
      <c r="AB170" s="127">
        <f>100*VLOOKUP($O170,Update!$B$2:$R$401,9,False)</f>
        <v>70.58823529</v>
      </c>
      <c r="AC170" s="127">
        <f>VLOOKUP($O170,Update!$B$2:$Q$401,16,False)</f>
        <v>1.3</v>
      </c>
      <c r="AD170" s="127">
        <f>VLOOKUP($O170,'NO USAR1'!$A$4:$L$403,2,False)*$U$19</f>
        <v>-0.8858869882</v>
      </c>
      <c r="AE170" s="127">
        <f>VLOOKUP($O170,'NO USAR1'!$A$4:$L$403,3,False)*$V$19</f>
        <v>0.04798112621</v>
      </c>
      <c r="AF170" s="127">
        <f>VLOOKUP($O170,'NO USAR1'!$A$4:$L$403,4,False)*$W$19</f>
        <v>-0.6252791639</v>
      </c>
      <c r="AG170" s="127">
        <f>VLOOKUP($O170,'NO USAR1'!$A$4:$L$403,5,False)*$X$19</f>
        <v>-0.8894829113</v>
      </c>
      <c r="AH170" s="127">
        <f>VLOOKUP($O170,'NO USAR1'!$A$4:$L$403,6,False)*$Y$19</f>
        <v>-0.4244704736</v>
      </c>
      <c r="AI170" s="127">
        <f>VLOOKUP($O170,'NO USAR1'!$A$4:$L$403,7,False)*$Z$19</f>
        <v>0.2608808015</v>
      </c>
      <c r="AJ170" s="127">
        <f>VLOOKUP($O170,'NO USAR1'!$A$4:$L$403,8,False)*$AA$19</f>
        <v>-0.4593223768</v>
      </c>
      <c r="AK170" s="132">
        <f>VLOOKUP($O170,'NO USAR1'!$A$4:$L$403,10,False)*$AB$19</f>
        <v>-0.3550951373</v>
      </c>
      <c r="AL170" s="127">
        <f>VLOOKUP($O170,'NO USAR1'!$A$4:$L$403,12,False)*$AC$19</f>
        <v>0.2156679824</v>
      </c>
      <c r="AM170" s="133">
        <f t="shared" si="2"/>
        <v>-0.8894829113</v>
      </c>
      <c r="AN170" s="133">
        <f t="shared" si="3"/>
        <v>-1.7753699</v>
      </c>
    </row>
    <row r="171">
      <c r="A171" s="118" t="str">
        <f>IF(Update!B169="",ROW(Update!B169),Update!B169)</f>
        <v>Isaiah Stewart</v>
      </c>
      <c r="B171" s="119">
        <f>IF(TYPE($A171)=1,"",(Update!$L169-B$1)/B$2)</f>
        <v>-1.088118641</v>
      </c>
      <c r="C171" s="119">
        <f>IF(TYPE($A171)=1,"",(Update!$K169-C$1)/C$2)</f>
        <v>-0.2357305665</v>
      </c>
      <c r="D171" s="119">
        <f>IF(TYPE($A171)=1,"",(Update!$M169-D$1)/D$2)</f>
        <v>0.8800741509</v>
      </c>
      <c r="E171" s="119">
        <f>IF(TYPE($A171)=1,"",(Update!$N169-E$1)/E$2)</f>
        <v>-1.179547814</v>
      </c>
      <c r="F171" s="119">
        <f>IF(TYPE($A171)=1,"",(Update!$O169-F$1)/F$2)</f>
        <v>-1.852385824</v>
      </c>
      <c r="G171" s="119">
        <f>IF(TYPE($A171)=1,"",(Update!$P169-G$1)/G$2)</f>
        <v>-0.002501254089</v>
      </c>
      <c r="H171" s="119">
        <f>IF(TYPE($A171)=1,"",(Update!$H169-H$1)/H$2*I171/$I$1)</f>
        <v>-0.4606593814</v>
      </c>
      <c r="I171" s="119">
        <f>IF(TYPE($A171)=1,"",IF(Update!H169=0,0,Update!G169/Update!H169))</f>
        <v>8.7</v>
      </c>
      <c r="J171" s="120">
        <f>IF(TYPE($A171)=1,"",(Update!$J169-J$1)/J$2*K171/$K$1)</f>
        <v>-0.4279925086</v>
      </c>
      <c r="K171" s="121">
        <f>IF(TYPE($A171)=1,"",IF(Update!J169=0,0,Update!I169/Update!J169))</f>
        <v>2.2</v>
      </c>
      <c r="L171" s="119">
        <f>IF(TYPE($A171)=1,"",-(Update!$Q169-L$1)/L$2)</f>
        <v>0.738486911</v>
      </c>
      <c r="N171" s="124">
        <v>151.0</v>
      </c>
      <c r="O171" s="130" t="str">
        <f>IF(Update!B155="",ROW(Update!B155),Update!B155)</f>
        <v>Keldon Johnson</v>
      </c>
      <c r="P171" s="131">
        <f>Update!E155</f>
        <v>70</v>
      </c>
      <c r="Q171" s="131" t="str">
        <f>IF(Update!C155="",ROW(Update!N170),Update!C155)</f>
        <v>SG,SF</v>
      </c>
      <c r="R171" s="127">
        <f>VLOOKUP($O171,'NO USAR1'!$A$4:$L$403,2,False)+VLOOKUP($O171,'NO USAR1'!$A$4:$L$403,3,False)+VLOOKUP($O171,'NO USAR1'!$A$4:$L$403,4,False)+VLOOKUP($O171,'NO USAR1'!$A$4:$L$403,5,False)+VLOOKUP($O171,'NO USAR1'!$A$4:$L$403,6,False)+VLOOKUP($O171,'NO USAR1'!$A$4:$L$403,7,False)+VLOOKUP($O171,'NO USAR1'!$A$4:$L$403,8,False)+VLOOKUP($O171,'NO USAR1'!$A$4:$L$403,10,False)+VLOOKUP($O171,'NO USAR1'!$A$4:$L$403,12,False)*0</f>
        <v>-3.509398029</v>
      </c>
      <c r="S171" s="127">
        <f>VLOOKUP($O171,'NO USAR1'!$A$4:$L$403,2,False)*$U$19+VLOOKUP($O171,'NO USAR1'!$A$4:$L$403,3,False)*$V$19+VLOOKUP($O171,'NO USAR1'!$A$4:$L$403,4,False)*$W$19+VLOOKUP($O171,'NO USAR1'!$A$4:$L$403,5,False)*$X$19+VLOOKUP($O171,'NO USAR1'!$A$4:$L$403,6,False)*$Y$19+VLOOKUP($O171,'NO USAR1'!$A$4:$L$403,7,False)*$Z$19+VLOOKUP($O171,'NO USAR1'!$A$4:$L$403,8,False)*$AA$19+VLOOKUP($O171,'NO USAR1'!$A$4:$L$403,10,False)*$AB$19+VLOOKUP($O171,'NO USAR1'!$A$4:$L$403,12,False)*$AC$19+IF(Projections!$K$3,-AN171, IF(Projections!$J$3,-AM171,0))</f>
        <v>-1.994871511</v>
      </c>
      <c r="T171" s="127">
        <f t="shared" si="1"/>
        <v>1.514526519</v>
      </c>
      <c r="U171" s="127">
        <f>VLOOKUP($O171,Update!$B$2:$R$401,11,False)</f>
        <v>18</v>
      </c>
      <c r="V171" s="122">
        <f>VLOOKUP($O171,Update!$B$2:$R$401,10,False)</f>
        <v>1.9</v>
      </c>
      <c r="W171" s="127">
        <f>VLOOKUP($O171,Update!$B$2:$R$401,12,False)</f>
        <v>4.9</v>
      </c>
      <c r="X171" s="127">
        <f>VLOOKUP($O171,Update!$B$2:$R$401,13,False)</f>
        <v>2.3</v>
      </c>
      <c r="Y171" s="127">
        <f>VLOOKUP($O171,Update!$B$2:$R$401,14,False)</f>
        <v>0.7</v>
      </c>
      <c r="Z171" s="132">
        <f>VLOOKUP($O171,Update!$B$2:$R$401,15,False)</f>
        <v>0.2</v>
      </c>
      <c r="AA171" s="127">
        <f>100*VLOOKUP($O171,Update!$B$2:$R$401,7,False)</f>
        <v>46.47887324</v>
      </c>
      <c r="AB171" s="127">
        <f>100*VLOOKUP($O171,Update!$B$2:$R$401,9,False)</f>
        <v>76.31578947</v>
      </c>
      <c r="AC171" s="127">
        <f>VLOOKUP($O171,Update!$B$2:$Q$401,16,False)</f>
        <v>1.5</v>
      </c>
      <c r="AD171" s="127">
        <f>VLOOKUP($O171,'NO USAR1'!$A$4:$L$403,2,False)*$U$19</f>
        <v>0.1252712735</v>
      </c>
      <c r="AE171" s="127">
        <f>VLOOKUP($O171,'NO USAR1'!$A$4:$L$403,3,False)*$V$19</f>
        <v>0.2214068836</v>
      </c>
      <c r="AF171" s="127">
        <f>VLOOKUP($O171,'NO USAR1'!$A$4:$L$403,4,False)*$W$19</f>
        <v>-0.4998330543</v>
      </c>
      <c r="AG171" s="127">
        <f>VLOOKUP($O171,'NO USAR1'!$A$4:$L$403,5,False)*$X$19</f>
        <v>-0.7874779903</v>
      </c>
      <c r="AH171" s="127">
        <f>VLOOKUP($O171,'NO USAR1'!$A$4:$L$403,6,False)*$Y$19</f>
        <v>-0.6425203744</v>
      </c>
      <c r="AI171" s="127">
        <f>VLOOKUP($O171,'NO USAR1'!$A$4:$L$403,7,False)*$Z$19</f>
        <v>-0.6583300762</v>
      </c>
      <c r="AJ171" s="127">
        <f>VLOOKUP($O171,'NO USAR1'!$A$4:$L$403,8,False)*$AA$19</f>
        <v>-0.4424761189</v>
      </c>
      <c r="AK171" s="132">
        <f>VLOOKUP($O171,'NO USAR1'!$A$4:$L$403,10,False)*$AB$19</f>
        <v>-0.251965517</v>
      </c>
      <c r="AL171" s="127">
        <f>VLOOKUP($O171,'NO USAR1'!$A$4:$L$403,12,False)*$AC$19</f>
        <v>0.1535754731</v>
      </c>
      <c r="AM171" s="133">
        <f t="shared" si="2"/>
        <v>-0.7874779903</v>
      </c>
      <c r="AN171" s="133">
        <f t="shared" si="3"/>
        <v>-1.445808067</v>
      </c>
    </row>
    <row r="172">
      <c r="A172" s="118" t="str">
        <f>IF(Update!B170="",ROW(Update!B170),Update!B170)</f>
        <v>Russell Westbrook</v>
      </c>
      <c r="B172" s="119">
        <f>IF(TYPE($A172)=1,"",(Update!$L170-B$1)/B$2)</f>
        <v>-0.2286341181</v>
      </c>
      <c r="C172" s="119">
        <f>IF(TYPE($A172)=1,"",(Update!$K170-C$1)/C$2)</f>
        <v>-0.6211211385</v>
      </c>
      <c r="D172" s="119">
        <f>IF(TYPE($A172)=1,"",(Update!$M170-D$1)/D$2)</f>
        <v>0.001951383927</v>
      </c>
      <c r="E172" s="119">
        <f>IF(TYPE($A172)=1,"",(Update!$N170-E$1)/E$2)</f>
        <v>1.324209338</v>
      </c>
      <c r="F172" s="119">
        <f>IF(TYPE($A172)=1,"",(Update!$O170-F$1)/F$2)</f>
        <v>-0.2948865325</v>
      </c>
      <c r="G172" s="119">
        <f>IF(TYPE($A172)=1,"",(Update!$P170-G$1)/G$2)</f>
        <v>-0.7528774808</v>
      </c>
      <c r="H172" s="119">
        <f>IF(TYPE($A172)=1,"",(Update!$H170-H$1)/H$2*I172/$I$1)</f>
        <v>-0.8272691511</v>
      </c>
      <c r="I172" s="119">
        <f>IF(TYPE($A172)=1,"",IF(Update!H170=0,0,Update!G170/Update!H170))</f>
        <v>13.6</v>
      </c>
      <c r="J172" s="120">
        <f>IF(TYPE($A172)=1,"",(Update!$J170-J$1)/J$2*K172/$K$1)</f>
        <v>-1.789451378</v>
      </c>
      <c r="K172" s="121">
        <f>IF(TYPE($A172)=1,"",IF(Update!J170=0,0,Update!I170/Update!J170))</f>
        <v>4.4</v>
      </c>
      <c r="L172" s="119">
        <f>IF(TYPE($A172)=1,"",-(Update!$Q170-L$1)/L$2)</f>
        <v>-1.745213462</v>
      </c>
      <c r="N172" s="33">
        <v>152.0</v>
      </c>
      <c r="O172" s="130" t="str">
        <f>IF(Update!B147="",ROW(Update!B147),Update!B147)</f>
        <v>Malcolm Brogdon</v>
      </c>
      <c r="P172" s="131">
        <f>Update!E147</f>
        <v>61</v>
      </c>
      <c r="Q172" s="131" t="str">
        <f>IF(Update!C147="",ROW(Update!N162),Update!C147)</f>
        <v>PG,SG</v>
      </c>
      <c r="R172" s="127">
        <f>VLOOKUP($O172,'NO USAR1'!$A$4:$L$403,2,False)+VLOOKUP($O172,'NO USAR1'!$A$4:$L$403,3,False)+VLOOKUP($O172,'NO USAR1'!$A$4:$L$403,4,False)+VLOOKUP($O172,'NO USAR1'!$A$4:$L$403,5,False)+VLOOKUP($O172,'NO USAR1'!$A$4:$L$403,6,False)+VLOOKUP($O172,'NO USAR1'!$A$4:$L$403,7,False)+VLOOKUP($O172,'NO USAR1'!$A$4:$L$403,8,False)+VLOOKUP($O172,'NO USAR1'!$A$4:$L$403,10,False)+VLOOKUP($O172,'NO USAR1'!$A$4:$L$403,12,False)*0</f>
        <v>-3.604830985</v>
      </c>
      <c r="S172" s="127">
        <f>VLOOKUP($O172,'NO USAR1'!$A$4:$L$403,2,False)*$U$19+VLOOKUP($O172,'NO USAR1'!$A$4:$L$403,3,False)*$V$19+VLOOKUP($O172,'NO USAR1'!$A$4:$L$403,4,False)*$W$19+VLOOKUP($O172,'NO USAR1'!$A$4:$L$403,5,False)*$X$19+VLOOKUP($O172,'NO USAR1'!$A$4:$L$403,6,False)*$Y$19+VLOOKUP($O172,'NO USAR1'!$A$4:$L$403,7,False)*$Z$19+VLOOKUP($O172,'NO USAR1'!$A$4:$L$403,8,False)*$AA$19+VLOOKUP($O172,'NO USAR1'!$A$4:$L$403,10,False)*$AB$19+VLOOKUP($O172,'NO USAR1'!$A$4:$L$403,12,False)*$AC$19+IF(Projections!$K$3,-AN172, IF(Projections!$J$3,-AM172,0))</f>
        <v>-1.909800177</v>
      </c>
      <c r="T172" s="127">
        <f t="shared" si="1"/>
        <v>1.695030807</v>
      </c>
      <c r="U172" s="127">
        <f>VLOOKUP($O172,Update!$B$2:$R$401,11,False)</f>
        <v>13.3</v>
      </c>
      <c r="V172" s="122">
        <f>VLOOKUP($O172,Update!$B$2:$R$401,10,False)</f>
        <v>1.5</v>
      </c>
      <c r="W172" s="127">
        <f>VLOOKUP($O172,Update!$B$2:$R$401,12,False)</f>
        <v>3.7</v>
      </c>
      <c r="X172" s="127">
        <f>VLOOKUP($O172,Update!$B$2:$R$401,13,False)</f>
        <v>3.6</v>
      </c>
      <c r="Y172" s="127">
        <f>VLOOKUP($O172,Update!$B$2:$R$401,14,False)</f>
        <v>0.6</v>
      </c>
      <c r="Z172" s="132">
        <f>VLOOKUP($O172,Update!$B$2:$R$401,15,False)</f>
        <v>0.3</v>
      </c>
      <c r="AA172" s="127">
        <f>100*VLOOKUP($O172,Update!$B$2:$R$401,7,False)</f>
        <v>47</v>
      </c>
      <c r="AB172" s="127">
        <f>100*VLOOKUP($O172,Update!$B$2:$R$401,9,False)</f>
        <v>85.71428571</v>
      </c>
      <c r="AC172" s="127">
        <f>VLOOKUP($O172,Update!$B$2:$Q$401,16,False)</f>
        <v>1.4</v>
      </c>
      <c r="AD172" s="127">
        <f>VLOOKUP($O172,'NO USAR1'!$A$4:$L$403,2,False)*$U$19</f>
        <v>-0.6668026982</v>
      </c>
      <c r="AE172" s="127">
        <f>VLOOKUP($O172,'NO USAR1'!$A$4:$L$403,3,False)*$V$19</f>
        <v>-0.1254446312</v>
      </c>
      <c r="AF172" s="127">
        <f>VLOOKUP($O172,'NO USAR1'!$A$4:$L$403,4,False)*$W$19</f>
        <v>-1.001617493</v>
      </c>
      <c r="AG172" s="127">
        <f>VLOOKUP($O172,'NO USAR1'!$A$4:$L$403,5,False)*$X$19</f>
        <v>-0.1244460036</v>
      </c>
      <c r="AH172" s="127">
        <f>VLOOKUP($O172,'NO USAR1'!$A$4:$L$403,6,False)*$Y$19</f>
        <v>-0.8605702752</v>
      </c>
      <c r="AI172" s="127">
        <f>VLOOKUP($O172,'NO USAR1'!$A$4:$L$403,7,False)*$Z$19</f>
        <v>-0.5270142365</v>
      </c>
      <c r="AJ172" s="127">
        <f>VLOOKUP($O172,'NO USAR1'!$A$4:$L$403,8,False)*$AA$19</f>
        <v>-0.259549371</v>
      </c>
      <c r="AK172" s="132">
        <f>VLOOKUP($O172,'NO USAR1'!$A$4:$L$403,10,False)*$AB$19</f>
        <v>0.4694053108</v>
      </c>
      <c r="AL172" s="127">
        <f>VLOOKUP($O172,'NO USAR1'!$A$4:$L$403,12,False)*$AC$19</f>
        <v>0.1846217277</v>
      </c>
      <c r="AM172" s="133">
        <f t="shared" si="2"/>
        <v>-1.001617493</v>
      </c>
      <c r="AN172" s="133">
        <f t="shared" si="3"/>
        <v>-1.862187768</v>
      </c>
    </row>
    <row r="173">
      <c r="A173" s="118" t="str">
        <f>IF(Update!B171="",ROW(Update!B171),Update!B171)</f>
        <v>Bennedict Mathurin</v>
      </c>
      <c r="B173" s="119">
        <f>IF(TYPE($A173)=1,"",(Update!$L171-B$1)/B$2)</f>
        <v>0.09156599815</v>
      </c>
      <c r="C173" s="119">
        <f>IF(TYPE($A173)=1,"",(Update!$K171-C$1)/C$2)</f>
        <v>-0.2357305665</v>
      </c>
      <c r="D173" s="119">
        <f>IF(TYPE($A173)=1,"",(Update!$M171-D$1)/D$2)</f>
        <v>-0.7507252735</v>
      </c>
      <c r="E173" s="119">
        <f>IF(TYPE($A173)=1,"",(Update!$N171-E$1)/E$2)</f>
        <v>-1.040450194</v>
      </c>
      <c r="F173" s="119">
        <f>IF(TYPE($A173)=1,"",(Update!$O171-F$1)/F$2)</f>
        <v>-0.9178862491</v>
      </c>
      <c r="G173" s="119">
        <f>IF(TYPE($A173)=1,"",(Update!$P171-G$1)/G$2)</f>
        <v>-0.9404715375</v>
      </c>
      <c r="H173" s="119">
        <f>IF(TYPE($A173)=1,"",(Update!$H171-H$1)/H$2*I173/$I$1)</f>
        <v>-0.9409281635</v>
      </c>
      <c r="I173" s="119">
        <f>IF(TYPE($A173)=1,"",IF(Update!H171=0,0,Update!G171/Update!H171))</f>
        <v>13</v>
      </c>
      <c r="J173" s="120">
        <f>IF(TYPE($A173)=1,"",(Update!$J171-J$1)/J$2*K173/$K$1)</f>
        <v>0.6324851561</v>
      </c>
      <c r="K173" s="121">
        <f>IF(TYPE($A173)=1,"",IF(Update!J171=0,0,Update!I171/Update!J171))</f>
        <v>6.2</v>
      </c>
      <c r="L173" s="119">
        <f>IF(TYPE($A173)=1,"",-(Update!$Q171-L$1)/L$2)</f>
        <v>-0.1308082197</v>
      </c>
      <c r="N173" s="124">
        <v>153.0</v>
      </c>
      <c r="O173" s="130" t="str">
        <f>IF(Update!B148="",ROW(Update!B148),Update!B148)</f>
        <v>Harrison Barnes</v>
      </c>
      <c r="P173" s="131">
        <f>Update!E148</f>
        <v>78</v>
      </c>
      <c r="Q173" s="131" t="str">
        <f>IF(Update!C148="",ROW(Update!N163),Update!C148)</f>
        <v>SF,PF</v>
      </c>
      <c r="R173" s="127">
        <f>VLOOKUP($O173,'NO USAR1'!$A$4:$L$403,2,False)+VLOOKUP($O173,'NO USAR1'!$A$4:$L$403,3,False)+VLOOKUP($O173,'NO USAR1'!$A$4:$L$403,4,False)+VLOOKUP($O173,'NO USAR1'!$A$4:$L$403,5,False)+VLOOKUP($O173,'NO USAR1'!$A$4:$L$403,6,False)+VLOOKUP($O173,'NO USAR1'!$A$4:$L$403,7,False)+VLOOKUP($O173,'NO USAR1'!$A$4:$L$403,8,False)+VLOOKUP($O173,'NO USAR1'!$A$4:$L$403,10,False)+VLOOKUP($O173,'NO USAR1'!$A$4:$L$403,12,False)*0</f>
        <v>-3.63317614</v>
      </c>
      <c r="S173" s="127">
        <f>VLOOKUP($O173,'NO USAR1'!$A$4:$L$403,2,False)*$U$19+VLOOKUP($O173,'NO USAR1'!$A$4:$L$403,3,False)*$V$19+VLOOKUP($O173,'NO USAR1'!$A$4:$L$403,4,False)*$W$19+VLOOKUP($O173,'NO USAR1'!$A$4:$L$403,5,False)*$X$19+VLOOKUP($O173,'NO USAR1'!$A$4:$L$403,6,False)*$Y$19+VLOOKUP($O173,'NO USAR1'!$A$4:$L$403,7,False)*$Z$19+VLOOKUP($O173,'NO USAR1'!$A$4:$L$403,8,False)*$AA$19+VLOOKUP($O173,'NO USAR1'!$A$4:$L$403,10,False)*$AB$19+VLOOKUP($O173,'NO USAR1'!$A$4:$L$403,12,False)*$AC$19+IF(Projections!$K$3,-AN173, IF(Projections!$J$3,-AM173,0))</f>
        <v>-1.801267218</v>
      </c>
      <c r="T173" s="127">
        <f t="shared" si="1"/>
        <v>1.831908922</v>
      </c>
      <c r="U173" s="127">
        <f>VLOOKUP($O173,Update!$B$2:$R$401,11,False)</f>
        <v>14.9</v>
      </c>
      <c r="V173" s="122">
        <f>VLOOKUP($O173,Update!$B$2:$R$401,10,False)</f>
        <v>1.6</v>
      </c>
      <c r="W173" s="127">
        <f>VLOOKUP($O173,Update!$B$2:$R$401,12,False)</f>
        <v>4.8</v>
      </c>
      <c r="X173" s="127">
        <f>VLOOKUP($O173,Update!$B$2:$R$401,13,False)</f>
        <v>1.5</v>
      </c>
      <c r="Y173" s="127">
        <f>VLOOKUP($O173,Update!$B$2:$R$401,14,False)</f>
        <v>0.7</v>
      </c>
      <c r="Z173" s="132">
        <f>VLOOKUP($O173,Update!$B$2:$R$401,15,False)</f>
        <v>0.1</v>
      </c>
      <c r="AA173" s="127">
        <f>100*VLOOKUP($O173,Update!$B$2:$R$401,7,False)</f>
        <v>47.42268041</v>
      </c>
      <c r="AB173" s="127">
        <f>100*VLOOKUP($O173,Update!$B$2:$R$401,9,False)</f>
        <v>83.67346939</v>
      </c>
      <c r="AC173" s="127">
        <f>VLOOKUP($O173,Update!$B$2:$Q$401,16,False)</f>
        <v>1.2</v>
      </c>
      <c r="AD173" s="127">
        <f>VLOOKUP($O173,'NO USAR1'!$A$4:$L$403,2,False)*$U$19</f>
        <v>-0.397160495</v>
      </c>
      <c r="AE173" s="127">
        <f>VLOOKUP($O173,'NO USAR1'!$A$4:$L$403,3,False)*$V$19</f>
        <v>-0.03873175248</v>
      </c>
      <c r="AF173" s="127">
        <f>VLOOKUP($O173,'NO USAR1'!$A$4:$L$403,4,False)*$W$19</f>
        <v>-0.5416484242</v>
      </c>
      <c r="AG173" s="127">
        <f>VLOOKUP($O173,'NO USAR1'!$A$4:$L$403,5,False)*$X$19</f>
        <v>-1.195497674</v>
      </c>
      <c r="AH173" s="127">
        <f>VLOOKUP($O173,'NO USAR1'!$A$4:$L$403,6,False)*$Y$19</f>
        <v>-0.6425203744</v>
      </c>
      <c r="AI173" s="127">
        <f>VLOOKUP($O173,'NO USAR1'!$A$4:$L$403,7,False)*$Z$19</f>
        <v>-0.7896459159</v>
      </c>
      <c r="AJ173" s="127">
        <f>VLOOKUP($O173,'NO USAR1'!$A$4:$L$403,8,False)*$AA$19</f>
        <v>-0.2108094236</v>
      </c>
      <c r="AK173" s="132">
        <f>VLOOKUP($O173,'NO USAR1'!$A$4:$L$403,10,False)*$AB$19</f>
        <v>0.572534931</v>
      </c>
      <c r="AL173" s="127">
        <f>VLOOKUP($O173,'NO USAR1'!$A$4:$L$403,12,False)*$AC$19</f>
        <v>0.2467142371</v>
      </c>
      <c r="AM173" s="133">
        <f t="shared" si="2"/>
        <v>-1.195497674</v>
      </c>
      <c r="AN173" s="133">
        <f t="shared" si="3"/>
        <v>-1.98514359</v>
      </c>
    </row>
    <row r="174">
      <c r="A174" s="118" t="str">
        <f>IF(Update!B172="",ROW(Update!B172),Update!B172)</f>
        <v>Corey Kispert</v>
      </c>
      <c r="B174" s="119">
        <f>IF(TYPE($A174)=1,"",(Update!$L172-B$1)/B$2)</f>
        <v>-1.02070809</v>
      </c>
      <c r="C174" s="119">
        <f>IF(TYPE($A174)=1,"",(Update!$K172-C$1)/C$2)</f>
        <v>0.6313982204</v>
      </c>
      <c r="D174" s="119">
        <f>IF(TYPE($A174)=1,"",(Update!$M172-D$1)/D$2)</f>
        <v>-1.252509712</v>
      </c>
      <c r="E174" s="119">
        <f>IF(TYPE($A174)=1,"",(Update!$N172-E$1)/E$2)</f>
        <v>-1.179547814</v>
      </c>
      <c r="F174" s="119">
        <f>IF(TYPE($A174)=1,"",(Update!$O172-F$1)/F$2)</f>
        <v>-1.540885966</v>
      </c>
      <c r="G174" s="119">
        <f>IF(TYPE($A174)=1,"",(Update!$P172-G$1)/G$2)</f>
        <v>-0.9404715375</v>
      </c>
      <c r="H174" s="119">
        <f>IF(TYPE($A174)=1,"",(Update!$H172-H$1)/H$2*I174/$I$1)</f>
        <v>-0.01939337761</v>
      </c>
      <c r="I174" s="119">
        <f>IF(TYPE($A174)=1,"",IF(Update!H172=0,0,Update!G172/Update!H172))</f>
        <v>8.1</v>
      </c>
      <c r="J174" s="120">
        <f>IF(TYPE($A174)=1,"",(Update!$J172-J$1)/J$2*K174/$K$1)</f>
        <v>0.4083146529</v>
      </c>
      <c r="K174" s="121">
        <f>IF(TYPE($A174)=1,"",IF(Update!J172=0,0,Update!I172/Update!J172))</f>
        <v>1.1</v>
      </c>
      <c r="L174" s="119">
        <f>IF(TYPE($A174)=1,"",-(Update!$Q172-L$1)/L$2)</f>
        <v>1.483597023</v>
      </c>
      <c r="N174" s="124">
        <v>154.0</v>
      </c>
      <c r="O174" s="130" t="str">
        <f>IF(Update!B157="",ROW(Update!B157),Update!B157)</f>
        <v>Steven Adams</v>
      </c>
      <c r="P174" s="131">
        <f>Update!E157</f>
        <v>68</v>
      </c>
      <c r="Q174" s="131" t="str">
        <f>IF(Update!C157="",ROW(Update!N172),Update!C157)</f>
        <v>C</v>
      </c>
      <c r="R174" s="127">
        <f>VLOOKUP($O174,'NO USAR1'!$A$4:$L$403,2,False)+VLOOKUP($O174,'NO USAR1'!$A$4:$L$403,3,False)+VLOOKUP($O174,'NO USAR1'!$A$4:$L$403,4,False)+VLOOKUP($O174,'NO USAR1'!$A$4:$L$403,5,False)+VLOOKUP($O174,'NO USAR1'!$A$4:$L$403,6,False)+VLOOKUP($O174,'NO USAR1'!$A$4:$L$403,7,False)+VLOOKUP($O174,'NO USAR1'!$A$4:$L$403,8,False)+VLOOKUP($O174,'NO USAR1'!$A$4:$L$403,10,False)+VLOOKUP($O174,'NO USAR1'!$A$4:$L$403,12,False)*0</f>
        <v>-3.751248982</v>
      </c>
      <c r="S174" s="127">
        <f>VLOOKUP($O174,'NO USAR1'!$A$4:$L$403,2,False)*$U$19+VLOOKUP($O174,'NO USAR1'!$A$4:$L$403,3,False)*$V$19+VLOOKUP($O174,'NO USAR1'!$A$4:$L$403,4,False)*$W$19+VLOOKUP($O174,'NO USAR1'!$A$4:$L$403,5,False)*$X$19+VLOOKUP($O174,'NO USAR1'!$A$4:$L$403,6,False)*$Y$19+VLOOKUP($O174,'NO USAR1'!$A$4:$L$403,7,False)*$Z$19+VLOOKUP($O174,'NO USAR1'!$A$4:$L$403,8,False)*$AA$19+VLOOKUP($O174,'NO USAR1'!$A$4:$L$403,10,False)*$AB$19+VLOOKUP($O174,'NO USAR1'!$A$4:$L$403,12,False)*$AC$19+IF(Projections!$K$3,-AN174, IF(Projections!$J$3,-AM174,0))</f>
        <v>-0.8299806511</v>
      </c>
      <c r="T174" s="127">
        <f t="shared" si="1"/>
        <v>2.921268331</v>
      </c>
      <c r="U174" s="127">
        <f>VLOOKUP($O174,Update!$B$2:$R$401,11,False)</f>
        <v>7.8</v>
      </c>
      <c r="V174" s="122">
        <f>VLOOKUP($O174,Update!$B$2:$R$401,10,False)</f>
        <v>0</v>
      </c>
      <c r="W174" s="127">
        <f>VLOOKUP($O174,Update!$B$2:$R$401,12,False)</f>
        <v>11</v>
      </c>
      <c r="X174" s="127">
        <f>VLOOKUP($O174,Update!$B$2:$R$401,13,False)</f>
        <v>3.1</v>
      </c>
      <c r="Y174" s="127">
        <f>VLOOKUP($O174,Update!$B$2:$R$401,14,False)</f>
        <v>0.9</v>
      </c>
      <c r="Z174" s="132">
        <f>VLOOKUP($O174,Update!$B$2:$R$401,15,False)</f>
        <v>0.9</v>
      </c>
      <c r="AA174" s="127">
        <f>100*VLOOKUP($O174,Update!$B$2:$R$401,7,False)</f>
        <v>56.14035088</v>
      </c>
      <c r="AB174" s="127">
        <f>100*VLOOKUP($O174,Update!$B$2:$R$401,9,False)</f>
        <v>48.27586207</v>
      </c>
      <c r="AC174" s="127">
        <f>VLOOKUP($O174,Update!$B$2:$Q$401,16,False)</f>
        <v>1.7</v>
      </c>
      <c r="AD174" s="127">
        <f>VLOOKUP($O174,'NO USAR1'!$A$4:$L$403,2,False)*$U$19</f>
        <v>-1.593697771</v>
      </c>
      <c r="AE174" s="127">
        <f>VLOOKUP($O174,'NO USAR1'!$A$4:$L$403,3,False)*$V$19</f>
        <v>-1.426137812</v>
      </c>
      <c r="AF174" s="127">
        <f>VLOOKUP($O174,'NO USAR1'!$A$4:$L$403,4,False)*$W$19</f>
        <v>2.050904507</v>
      </c>
      <c r="AG174" s="127">
        <f>VLOOKUP($O174,'NO USAR1'!$A$4:$L$403,5,False)*$X$19</f>
        <v>-0.3794583062</v>
      </c>
      <c r="AH174" s="127">
        <f>VLOOKUP($O174,'NO USAR1'!$A$4:$L$403,6,False)*$Y$19</f>
        <v>-0.2064205728</v>
      </c>
      <c r="AI174" s="127">
        <f>VLOOKUP($O174,'NO USAR1'!$A$4:$L$403,7,False)*$Z$19</f>
        <v>0.2608808015</v>
      </c>
      <c r="AJ174" s="127">
        <f>VLOOKUP($O174,'NO USAR1'!$A$4:$L$403,8,False)*$AA$19</f>
        <v>0.3724655388</v>
      </c>
      <c r="AK174" s="132">
        <f>VLOOKUP($O174,'NO USAR1'!$A$4:$L$403,10,False)*$AB$19</f>
        <v>-2.216437582</v>
      </c>
      <c r="AL174" s="127">
        <f>VLOOKUP($O174,'NO USAR1'!$A$4:$L$403,12,False)*$AC$19</f>
        <v>0.09148296375</v>
      </c>
      <c r="AM174" s="133">
        <f t="shared" si="2"/>
        <v>-2.216437582</v>
      </c>
      <c r="AN174" s="133">
        <f t="shared" si="3"/>
        <v>-3.810135354</v>
      </c>
    </row>
    <row r="175">
      <c r="A175" s="118" t="str">
        <f>IF(Update!B173="",ROW(Update!B173),Update!B173)</f>
        <v>Gary Payton II</v>
      </c>
      <c r="B175" s="119">
        <f>IF(TYPE($A175)=1,"",(Update!$L173-B$1)/B$2)</f>
        <v>-1.779076786</v>
      </c>
      <c r="C175" s="119">
        <f>IF(TYPE($A175)=1,"",(Update!$K173-C$1)/C$2)</f>
        <v>-1.00651171</v>
      </c>
      <c r="D175" s="119">
        <f>IF(TYPE($A175)=1,"",(Update!$M173-D$1)/D$2)</f>
        <v>-1.085248232</v>
      </c>
      <c r="E175" s="119">
        <f>IF(TYPE($A175)=1,"",(Update!$N173-E$1)/E$2)</f>
        <v>-1.318645434</v>
      </c>
      <c r="F175" s="119">
        <f>IF(TYPE($A175)=1,"",(Update!$O173-F$1)/F$2)</f>
        <v>0.9511129006</v>
      </c>
      <c r="G175" s="119">
        <f>IF(TYPE($A175)=1,"",(Update!$P173-G$1)/G$2)</f>
        <v>-0.7528774808</v>
      </c>
      <c r="H175" s="119">
        <f>IF(TYPE($A175)=1,"",(Update!$H173-H$1)/H$2*I175/$I$1)</f>
        <v>0.5754257533</v>
      </c>
      <c r="I175" s="119">
        <f>IF(TYPE($A175)=1,"",IF(Update!H173=0,0,Update!G173/Update!H173))</f>
        <v>4.6</v>
      </c>
      <c r="J175" s="120">
        <f>IF(TYPE($A175)=1,"",(Update!$J173-J$1)/J$2*K175/$K$1)</f>
        <v>-0.164466294</v>
      </c>
      <c r="K175" s="121">
        <f>IF(TYPE($A175)=1,"",IF(Update!J173=0,0,Update!I173/Update!J173))</f>
        <v>0.7</v>
      </c>
      <c r="L175" s="119">
        <f>IF(TYPE($A175)=1,"",-(Update!$Q173-L$1)/L$2)</f>
        <v>1.73196706</v>
      </c>
      <c r="N175" s="33">
        <v>155.0</v>
      </c>
      <c r="O175" s="130" t="str">
        <f>IF(Update!B158="",ROW(Update!B158),Update!B158)</f>
        <v>Dennis Schröder</v>
      </c>
      <c r="P175" s="131">
        <f>Update!E158</f>
        <v>70</v>
      </c>
      <c r="Q175" s="131" t="str">
        <f>IF(Update!C158="",ROW(Update!N173),Update!C158)</f>
        <v>PG</v>
      </c>
      <c r="R175" s="127">
        <f>VLOOKUP($O175,'NO USAR1'!$A$4:$L$403,2,False)+VLOOKUP($O175,'NO USAR1'!$A$4:$L$403,3,False)+VLOOKUP($O175,'NO USAR1'!$A$4:$L$403,4,False)+VLOOKUP($O175,'NO USAR1'!$A$4:$L$403,5,False)+VLOOKUP($O175,'NO USAR1'!$A$4:$L$403,6,False)+VLOOKUP($O175,'NO USAR1'!$A$4:$L$403,7,False)+VLOOKUP($O175,'NO USAR1'!$A$4:$L$403,8,False)+VLOOKUP($O175,'NO USAR1'!$A$4:$L$403,10,False)+VLOOKUP($O175,'NO USAR1'!$A$4:$L$403,12,False)*0</f>
        <v>-3.75840972</v>
      </c>
      <c r="S175" s="127">
        <f>VLOOKUP($O175,'NO USAR1'!$A$4:$L$403,2,False)*$U$19+VLOOKUP($O175,'NO USAR1'!$A$4:$L$403,3,False)*$V$19+VLOOKUP($O175,'NO USAR1'!$A$4:$L$403,4,False)*$W$19+VLOOKUP($O175,'NO USAR1'!$A$4:$L$403,5,False)*$X$19+VLOOKUP($O175,'NO USAR1'!$A$4:$L$403,6,False)*$Y$19+VLOOKUP($O175,'NO USAR1'!$A$4:$L$403,7,False)*$Z$19+VLOOKUP($O175,'NO USAR1'!$A$4:$L$403,8,False)*$AA$19+VLOOKUP($O175,'NO USAR1'!$A$4:$L$403,10,False)*$AB$19+VLOOKUP($O175,'NO USAR1'!$A$4:$L$403,12,False)*$AC$19+IF(Projections!$K$3,-AN175, IF(Projections!$J$3,-AM175,0))</f>
        <v>-1.929717525</v>
      </c>
      <c r="T175" s="127">
        <f t="shared" si="1"/>
        <v>1.828692195</v>
      </c>
      <c r="U175" s="127">
        <f>VLOOKUP($O175,Update!$B$2:$R$401,11,False)</f>
        <v>13.5</v>
      </c>
      <c r="V175" s="122">
        <f>VLOOKUP($O175,Update!$B$2:$R$401,10,False)</f>
        <v>1.3</v>
      </c>
      <c r="W175" s="127">
        <f>VLOOKUP($O175,Update!$B$2:$R$401,12,False)</f>
        <v>3</v>
      </c>
      <c r="X175" s="127">
        <f>VLOOKUP($O175,Update!$B$2:$R$401,13,False)</f>
        <v>4.7</v>
      </c>
      <c r="Y175" s="127">
        <f>VLOOKUP($O175,Update!$B$2:$R$401,14,False)</f>
        <v>0.8</v>
      </c>
      <c r="Z175" s="132">
        <f>VLOOKUP($O175,Update!$B$2:$R$401,15,False)</f>
        <v>0.1</v>
      </c>
      <c r="AA175" s="127">
        <f>100*VLOOKUP($O175,Update!$B$2:$R$401,7,False)</f>
        <v>42.20183486</v>
      </c>
      <c r="AB175" s="127">
        <f>100*VLOOKUP($O175,Update!$B$2:$R$401,9,False)</f>
        <v>85.71428571</v>
      </c>
      <c r="AC175" s="127">
        <f>VLOOKUP($O175,Update!$B$2:$Q$401,16,False)</f>
        <v>2</v>
      </c>
      <c r="AD175" s="127">
        <f>VLOOKUP($O175,'NO USAR1'!$A$4:$L$403,2,False)*$U$19</f>
        <v>-0.6330974228</v>
      </c>
      <c r="AE175" s="127">
        <f>VLOOKUP($O175,'NO USAR1'!$A$4:$L$403,3,False)*$V$19</f>
        <v>-0.2988703886</v>
      </c>
      <c r="AF175" s="127">
        <f>VLOOKUP($O175,'NO USAR1'!$A$4:$L$403,4,False)*$W$19</f>
        <v>-1.294325082</v>
      </c>
      <c r="AG175" s="127">
        <f>VLOOKUP($O175,'NO USAR1'!$A$4:$L$403,5,False)*$X$19</f>
        <v>0.436581062</v>
      </c>
      <c r="AH175" s="127">
        <f>VLOOKUP($O175,'NO USAR1'!$A$4:$L$403,6,False)*$Y$19</f>
        <v>-0.4244704736</v>
      </c>
      <c r="AI175" s="127">
        <f>VLOOKUP($O175,'NO USAR1'!$A$4:$L$403,7,False)*$Z$19</f>
        <v>-0.7896459159</v>
      </c>
      <c r="AJ175" s="127">
        <f>VLOOKUP($O175,'NO USAR1'!$A$4:$L$403,8,False)*$AA$19</f>
        <v>-0.8053152246</v>
      </c>
      <c r="AK175" s="132">
        <f>VLOOKUP($O175,'NO USAR1'!$A$4:$L$403,10,False)*$AB$19</f>
        <v>0.5867566385</v>
      </c>
      <c r="AL175" s="127">
        <f>VLOOKUP($O175,'NO USAR1'!$A$4:$L$403,12,False)*$AC$19</f>
        <v>-0.001655800249</v>
      </c>
      <c r="AM175" s="133">
        <f t="shared" si="2"/>
        <v>-1.294325082</v>
      </c>
      <c r="AN175" s="133">
        <f t="shared" si="3"/>
        <v>-2.099640306</v>
      </c>
    </row>
    <row r="176">
      <c r="A176" s="118" t="str">
        <f>IF(Update!B174="",ROW(Update!B174),Update!B174)</f>
        <v>Pat Connaughton</v>
      </c>
      <c r="B176" s="119">
        <f>IF(TYPE($A176)=1,"",(Update!$L174-B$1)/B$2)</f>
        <v>-1.273497655</v>
      </c>
      <c r="C176" s="119">
        <f>IF(TYPE($A176)=1,"",(Update!$K174-C$1)/C$2)</f>
        <v>0.5350505774</v>
      </c>
      <c r="D176" s="119">
        <f>IF(TYPE($A176)=1,"",(Update!$M174-D$1)/D$2)</f>
        <v>-0.5416484242</v>
      </c>
      <c r="E176" s="119">
        <f>IF(TYPE($A176)=1,"",(Update!$N174-E$1)/E$2)</f>
        <v>-1.133181941</v>
      </c>
      <c r="F176" s="119">
        <f>IF(TYPE($A176)=1,"",(Update!$O174-F$1)/F$2)</f>
        <v>-0.6063863908</v>
      </c>
      <c r="G176" s="119">
        <f>IF(TYPE($A176)=1,"",(Update!$P174-G$1)/G$2)</f>
        <v>-0.9404715375</v>
      </c>
      <c r="H176" s="119">
        <f>IF(TYPE($A176)=1,"",(Update!$H174-H$1)/H$2*I176/$I$1)</f>
        <v>-0.5752097302</v>
      </c>
      <c r="I176" s="119">
        <f>IF(TYPE($A176)=1,"",IF(Update!H174=0,0,Update!G174/Update!H174))</f>
        <v>7.9</v>
      </c>
      <c r="J176" s="120">
        <f>IF(TYPE($A176)=1,"",(Update!$J174-J$1)/J$2*K176/$K$1)</f>
        <v>-0.09905992065</v>
      </c>
      <c r="K176" s="121">
        <f>IF(TYPE($A176)=1,"",IF(Update!J174=0,0,Update!I174/Update!J174))</f>
        <v>0.8</v>
      </c>
      <c r="L176" s="119">
        <f>IF(TYPE($A176)=1,"",-(Update!$Q174-L$1)/L$2)</f>
        <v>1.73196706</v>
      </c>
      <c r="N176" s="124">
        <v>156.0</v>
      </c>
      <c r="O176" s="130" t="str">
        <f>IF(Update!B176="",ROW(Update!B176),Update!B176)</f>
        <v>Jeremy Sochan</v>
      </c>
      <c r="P176" s="131">
        <f>Update!E176</f>
        <v>66</v>
      </c>
      <c r="Q176" s="131" t="str">
        <f>IF(Update!C176="",ROW(Update!N191),Update!C176)</f>
        <v>PF</v>
      </c>
      <c r="R176" s="127">
        <f>VLOOKUP($O176,'NO USAR1'!$A$4:$L$403,2,False)+VLOOKUP($O176,'NO USAR1'!$A$4:$L$403,3,False)+VLOOKUP($O176,'NO USAR1'!$A$4:$L$403,4,False)+VLOOKUP($O176,'NO USAR1'!$A$4:$L$403,5,False)+VLOOKUP($O176,'NO USAR1'!$A$4:$L$403,6,False)+VLOOKUP($O176,'NO USAR1'!$A$4:$L$403,7,False)+VLOOKUP($O176,'NO USAR1'!$A$4:$L$403,8,False)+VLOOKUP($O176,'NO USAR1'!$A$4:$L$403,10,False)+VLOOKUP($O176,'NO USAR1'!$A$4:$L$403,12,False)*0</f>
        <v>-3.785654727</v>
      </c>
      <c r="S176" s="127">
        <f>VLOOKUP($O176,'NO USAR1'!$A$4:$L$403,2,False)*$U$19+VLOOKUP($O176,'NO USAR1'!$A$4:$L$403,3,False)*$V$19+VLOOKUP($O176,'NO USAR1'!$A$4:$L$403,4,False)*$W$19+VLOOKUP($O176,'NO USAR1'!$A$4:$L$403,5,False)*$X$19+VLOOKUP($O176,'NO USAR1'!$A$4:$L$403,6,False)*$Y$19+VLOOKUP($O176,'NO USAR1'!$A$4:$L$403,7,False)*$Z$19+VLOOKUP($O176,'NO USAR1'!$A$4:$L$403,8,False)*$AA$19+VLOOKUP($O176,'NO USAR1'!$A$4:$L$403,10,False)*$AB$19+VLOOKUP($O176,'NO USAR1'!$A$4:$L$403,12,False)*$AC$19+IF(Projections!$K$3,-AN176, IF(Projections!$J$3,-AM176,0))</f>
        <v>-2.624780686</v>
      </c>
      <c r="T176" s="127">
        <f t="shared" si="1"/>
        <v>1.160874042</v>
      </c>
      <c r="U176" s="127">
        <f>VLOOKUP($O176,Update!$B$2:$R$401,11,False)</f>
        <v>12.8</v>
      </c>
      <c r="V176" s="122">
        <f>VLOOKUP($O176,Update!$B$2:$R$401,10,False)</f>
        <v>0.8</v>
      </c>
      <c r="W176" s="127">
        <f>VLOOKUP($O176,Update!$B$2:$R$401,12,False)</f>
        <v>6.1</v>
      </c>
      <c r="X176" s="127">
        <f>VLOOKUP($O176,Update!$B$2:$R$401,13,False)</f>
        <v>2.9</v>
      </c>
      <c r="Y176" s="127">
        <f>VLOOKUP($O176,Update!$B$2:$R$401,14,False)</f>
        <v>0.9</v>
      </c>
      <c r="Z176" s="132">
        <f>VLOOKUP($O176,Update!$B$2:$R$401,15,False)</f>
        <v>0.5</v>
      </c>
      <c r="AA176" s="127">
        <f>100*VLOOKUP($O176,Update!$B$2:$R$401,7,False)</f>
        <v>45.61403509</v>
      </c>
      <c r="AB176" s="127">
        <f>100*VLOOKUP($O176,Update!$B$2:$R$401,9,False)</f>
        <v>70.83333333</v>
      </c>
      <c r="AC176" s="127">
        <f>VLOOKUP($O176,Update!$B$2:$Q$401,16,False)</f>
        <v>2</v>
      </c>
      <c r="AD176" s="127">
        <f>VLOOKUP($O176,'NO USAR1'!$A$4:$L$403,2,False)*$U$19</f>
        <v>-0.7510658866</v>
      </c>
      <c r="AE176" s="127">
        <f>VLOOKUP($O176,'NO USAR1'!$A$4:$L$403,3,False)*$V$19</f>
        <v>-0.7324347821</v>
      </c>
      <c r="AF176" s="127">
        <f>VLOOKUP($O176,'NO USAR1'!$A$4:$L$403,4,False)*$W$19</f>
        <v>0.001951383927</v>
      </c>
      <c r="AG176" s="127">
        <f>VLOOKUP($O176,'NO USAR1'!$A$4:$L$403,5,False)*$X$19</f>
        <v>-0.4814632272</v>
      </c>
      <c r="AH176" s="127">
        <f>VLOOKUP($O176,'NO USAR1'!$A$4:$L$403,6,False)*$Y$19</f>
        <v>-0.2064205728</v>
      </c>
      <c r="AI176" s="127">
        <f>VLOOKUP($O176,'NO USAR1'!$A$4:$L$403,7,False)*$Z$19</f>
        <v>-0.2643825572</v>
      </c>
      <c r="AJ176" s="127">
        <f>VLOOKUP($O176,'NO USAR1'!$A$4:$L$403,8,False)*$AA$19</f>
        <v>-0.4537069575</v>
      </c>
      <c r="AK176" s="132">
        <f>VLOOKUP($O176,'NO USAR1'!$A$4:$L$403,10,False)*$AB$19</f>
        <v>-0.4866681724</v>
      </c>
      <c r="AL176" s="127">
        <f>VLOOKUP($O176,'NO USAR1'!$A$4:$L$403,12,False)*$AC$19</f>
        <v>-0.001655800249</v>
      </c>
      <c r="AM176" s="133">
        <f t="shared" si="2"/>
        <v>-0.7510658866</v>
      </c>
      <c r="AN176" s="133">
        <f t="shared" si="3"/>
        <v>-1.483500669</v>
      </c>
    </row>
    <row r="177">
      <c r="A177" s="118" t="str">
        <f>IF(Update!B175="",ROW(Update!B175),Update!B175)</f>
        <v>Max Strus</v>
      </c>
      <c r="B177" s="119">
        <f>IF(TYPE($A177)=1,"",(Update!$L175-B$1)/B$2)</f>
        <v>-0.7679185243</v>
      </c>
      <c r="C177" s="119">
        <f>IF(TYPE($A177)=1,"",(Update!$K175-C$1)/C$2)</f>
        <v>1.016788792</v>
      </c>
      <c r="D177" s="119">
        <f>IF(TYPE($A177)=1,"",(Update!$M175-D$1)/D$2)</f>
        <v>-1.043432862</v>
      </c>
      <c r="E177" s="119">
        <f>IF(TYPE($A177)=1,"",(Update!$N175-E$1)/E$2)</f>
        <v>-0.8086208285</v>
      </c>
      <c r="F177" s="119">
        <f>IF(TYPE($A177)=1,"",(Update!$O175-F$1)/F$2)</f>
        <v>-1.229386107</v>
      </c>
      <c r="G177" s="119">
        <f>IF(TYPE($A177)=1,"",(Update!$P175-G$1)/G$2)</f>
        <v>-0.9404715375</v>
      </c>
      <c r="H177" s="119">
        <f>IF(TYPE($A177)=1,"",(Update!$H175-H$1)/H$2*I177/$I$1)</f>
        <v>-0.8956860304</v>
      </c>
      <c r="I177" s="119">
        <f>IF(TYPE($A177)=1,"",IF(Update!H175=0,0,Update!G175/Update!H175))</f>
        <v>10.7</v>
      </c>
      <c r="J177" s="120">
        <f>IF(TYPE($A177)=1,"",(Update!$J175-J$1)/J$2*K177/$K$1)</f>
        <v>0.4083146529</v>
      </c>
      <c r="K177" s="121">
        <f>IF(TYPE($A177)=1,"",IF(Update!J175=0,0,Update!I175/Update!J175))</f>
        <v>1.1</v>
      </c>
      <c r="L177" s="119">
        <f>IF(TYPE($A177)=1,"",-(Update!$Q175-L$1)/L$2)</f>
        <v>1.235226986</v>
      </c>
      <c r="N177" s="124">
        <v>157.0</v>
      </c>
      <c r="O177" s="130" t="str">
        <f>IF(Update!B160="",ROW(Update!B160),Update!B160)</f>
        <v>Jae Crowder</v>
      </c>
      <c r="P177" s="131">
        <f>Update!E160</f>
        <v>67</v>
      </c>
      <c r="Q177" s="131" t="str">
        <f>IF(Update!C160="",ROW(Update!N175),Update!C160)</f>
        <v>SF,PF</v>
      </c>
      <c r="R177" s="127">
        <f>VLOOKUP($O177,'NO USAR1'!$A$4:$L$403,2,False)+VLOOKUP($O177,'NO USAR1'!$A$4:$L$403,3,False)+VLOOKUP($O177,'NO USAR1'!$A$4:$L$403,4,False)+VLOOKUP($O177,'NO USAR1'!$A$4:$L$403,5,False)+VLOOKUP($O177,'NO USAR1'!$A$4:$L$403,6,False)+VLOOKUP($O177,'NO USAR1'!$A$4:$L$403,7,False)+VLOOKUP($O177,'NO USAR1'!$A$4:$L$403,8,False)+VLOOKUP($O177,'NO USAR1'!$A$4:$L$403,10,False)+VLOOKUP($O177,'NO USAR1'!$A$4:$L$403,12,False)*0</f>
        <v>-3.856366914</v>
      </c>
      <c r="S177" s="127">
        <f>VLOOKUP($O177,'NO USAR1'!$A$4:$L$403,2,False)*$U$19+VLOOKUP($O177,'NO USAR1'!$A$4:$L$403,3,False)*$V$19+VLOOKUP($O177,'NO USAR1'!$A$4:$L$403,4,False)*$W$19+VLOOKUP($O177,'NO USAR1'!$A$4:$L$403,5,False)*$X$19+VLOOKUP($O177,'NO USAR1'!$A$4:$L$403,6,False)*$Y$19+VLOOKUP($O177,'NO USAR1'!$A$4:$L$403,7,False)*$Z$19+VLOOKUP($O177,'NO USAR1'!$A$4:$L$403,8,False)*$AA$19+VLOOKUP($O177,'NO USAR1'!$A$4:$L$403,10,False)*$AB$19+VLOOKUP($O177,'NO USAR1'!$A$4:$L$403,12,False)*$AC$19+IF(Projections!$K$3,-AN177, IF(Projections!$J$3,-AM177,0))</f>
        <v>-1.951556489</v>
      </c>
      <c r="T177" s="127">
        <f t="shared" si="1"/>
        <v>1.904810425</v>
      </c>
      <c r="U177" s="127">
        <f>VLOOKUP($O177,Update!$B$2:$R$401,11,False)</f>
        <v>8.3</v>
      </c>
      <c r="V177" s="122">
        <f>VLOOKUP($O177,Update!$B$2:$R$401,10,False)</f>
        <v>1.6</v>
      </c>
      <c r="W177" s="127">
        <f>VLOOKUP($O177,Update!$B$2:$R$401,12,False)</f>
        <v>4.4</v>
      </c>
      <c r="X177" s="127">
        <f>VLOOKUP($O177,Update!$B$2:$R$401,13,False)</f>
        <v>1.6</v>
      </c>
      <c r="Y177" s="127">
        <f>VLOOKUP($O177,Update!$B$2:$R$401,14,False)</f>
        <v>1.1</v>
      </c>
      <c r="Z177" s="132">
        <f>VLOOKUP($O177,Update!$B$2:$R$401,15,False)</f>
        <v>0.4</v>
      </c>
      <c r="AA177" s="127">
        <f>100*VLOOKUP($O177,Update!$B$2:$R$401,7,False)</f>
        <v>43.93939394</v>
      </c>
      <c r="AB177" s="127">
        <f>100*VLOOKUP($O177,Update!$B$2:$R$401,9,False)</f>
        <v>81.81818182</v>
      </c>
      <c r="AC177" s="127">
        <f>VLOOKUP($O177,Update!$B$2:$Q$401,16,False)</f>
        <v>0.7</v>
      </c>
      <c r="AD177" s="127">
        <f>VLOOKUP($O177,'NO USAR1'!$A$4:$L$403,2,False)*$U$19</f>
        <v>-1.509434583</v>
      </c>
      <c r="AE177" s="127">
        <f>VLOOKUP($O177,'NO USAR1'!$A$4:$L$403,3,False)*$V$19</f>
        <v>-0.03873175248</v>
      </c>
      <c r="AF177" s="127">
        <f>VLOOKUP($O177,'NO USAR1'!$A$4:$L$403,4,False)*$W$19</f>
        <v>-0.7089099036</v>
      </c>
      <c r="AG177" s="127">
        <f>VLOOKUP($O177,'NO USAR1'!$A$4:$L$403,5,False)*$X$19</f>
        <v>-1.144495214</v>
      </c>
      <c r="AH177" s="127">
        <f>VLOOKUP($O177,'NO USAR1'!$A$4:$L$403,6,False)*$Y$19</f>
        <v>0.2296792288</v>
      </c>
      <c r="AI177" s="127">
        <f>VLOOKUP($O177,'NO USAR1'!$A$4:$L$403,7,False)*$Z$19</f>
        <v>-0.3956983969</v>
      </c>
      <c r="AJ177" s="127">
        <f>VLOOKUP($O177,'NO USAR1'!$A$4:$L$403,8,False)*$AA$19</f>
        <v>-0.3730733207</v>
      </c>
      <c r="AK177" s="132">
        <f>VLOOKUP($O177,'NO USAR1'!$A$4:$L$403,10,False)*$AB$19</f>
        <v>0.07772735943</v>
      </c>
      <c r="AL177" s="127">
        <f>VLOOKUP($O177,'NO USAR1'!$A$4:$L$403,12,False)*$AC$19</f>
        <v>0.4019455104</v>
      </c>
      <c r="AM177" s="133">
        <f t="shared" si="2"/>
        <v>-1.509434583</v>
      </c>
      <c r="AN177" s="133">
        <f t="shared" si="3"/>
        <v>-2.653929797</v>
      </c>
    </row>
    <row r="178">
      <c r="A178" s="118" t="str">
        <f>IF(Update!B176="",ROW(Update!B176),Update!B176)</f>
        <v>Jeremy Sochan</v>
      </c>
      <c r="B178" s="119">
        <f>IF(TYPE($A178)=1,"",(Update!$L176-B$1)/B$2)</f>
        <v>-0.7510658866</v>
      </c>
      <c r="C178" s="119">
        <f>IF(TYPE($A178)=1,"",(Update!$K176-C$1)/C$2)</f>
        <v>-0.8138164245</v>
      </c>
      <c r="D178" s="119">
        <f>IF(TYPE($A178)=1,"",(Update!$M176-D$1)/D$2)</f>
        <v>0.001951383927</v>
      </c>
      <c r="E178" s="119">
        <f>IF(TYPE($A178)=1,"",(Update!$N176-E$1)/E$2)</f>
        <v>-0.4376938429</v>
      </c>
      <c r="F178" s="119">
        <f>IF(TYPE($A178)=1,"",(Update!$O176-F$1)/F$2)</f>
        <v>-0.2948865325</v>
      </c>
      <c r="G178" s="119">
        <f>IF(TYPE($A178)=1,"",(Update!$P176-G$1)/G$2)</f>
        <v>-0.3776893674</v>
      </c>
      <c r="H178" s="119">
        <f>IF(TYPE($A178)=1,"",(Update!$H176-H$1)/H$2*I178/$I$1)</f>
        <v>-0.5041188417</v>
      </c>
      <c r="I178" s="119">
        <f>IF(TYPE($A178)=1,"",IF(Update!H176=0,0,Update!G176/Update!H176))</f>
        <v>11.4</v>
      </c>
      <c r="J178" s="120">
        <f>IF(TYPE($A178)=1,"",(Update!$J176-J$1)/J$2*K178/$K$1)</f>
        <v>-0.6083352155</v>
      </c>
      <c r="K178" s="121">
        <f>IF(TYPE($A178)=1,"",IF(Update!J176=0,0,Update!I176/Update!J176))</f>
        <v>2.4</v>
      </c>
      <c r="L178" s="119">
        <f>IF(TYPE($A178)=1,"",-(Update!$Q176-L$1)/L$2)</f>
        <v>-0.006623200995</v>
      </c>
      <c r="N178" s="33">
        <v>158.0</v>
      </c>
      <c r="O178" s="130" t="str">
        <f>IF(Update!B178="",ROW(Update!B178),Update!B178)</f>
        <v>Luguentz Dort</v>
      </c>
      <c r="P178" s="131">
        <f>Update!E178</f>
        <v>72</v>
      </c>
      <c r="Q178" s="131" t="str">
        <f>IF(Update!C178="",ROW(Update!N193),Update!C178)</f>
        <v>SG,SF</v>
      </c>
      <c r="R178" s="127">
        <f>VLOOKUP($O178,'NO USAR1'!$A$4:$L$403,2,False)+VLOOKUP($O178,'NO USAR1'!$A$4:$L$403,3,False)+VLOOKUP($O178,'NO USAR1'!$A$4:$L$403,4,False)+VLOOKUP($O178,'NO USAR1'!$A$4:$L$403,5,False)+VLOOKUP($O178,'NO USAR1'!$A$4:$L$403,6,False)+VLOOKUP($O178,'NO USAR1'!$A$4:$L$403,7,False)+VLOOKUP($O178,'NO USAR1'!$A$4:$L$403,8,False)+VLOOKUP($O178,'NO USAR1'!$A$4:$L$403,10,False)+VLOOKUP($O178,'NO USAR1'!$A$4:$L$403,12,False)*0</f>
        <v>-4.043418077</v>
      </c>
      <c r="S178" s="127">
        <f>VLOOKUP($O178,'NO USAR1'!$A$4:$L$403,2,False)*$U$19+VLOOKUP($O178,'NO USAR1'!$A$4:$L$403,3,False)*$V$19+VLOOKUP($O178,'NO USAR1'!$A$4:$L$403,4,False)*$W$19+VLOOKUP($O178,'NO USAR1'!$A$4:$L$403,5,False)*$X$19+VLOOKUP($O178,'NO USAR1'!$A$4:$L$403,6,False)*$Y$19+VLOOKUP($O178,'NO USAR1'!$A$4:$L$403,7,False)*$Z$19+VLOOKUP($O178,'NO USAR1'!$A$4:$L$403,8,False)*$AA$19+VLOOKUP($O178,'NO USAR1'!$A$4:$L$403,10,False)*$AB$19+VLOOKUP($O178,'NO USAR1'!$A$4:$L$403,12,False)*$AC$19+IF(Projections!$K$3,-AN178, IF(Projections!$J$3,-AM178,0))</f>
        <v>-2.358569558</v>
      </c>
      <c r="T178" s="127">
        <f t="shared" si="1"/>
        <v>1.684848519</v>
      </c>
      <c r="U178" s="127">
        <f>VLOOKUP($O178,Update!$B$2:$R$401,11,False)</f>
        <v>14.5</v>
      </c>
      <c r="V178" s="122">
        <f>VLOOKUP($O178,Update!$B$2:$R$401,10,False)</f>
        <v>2</v>
      </c>
      <c r="W178" s="127">
        <f>VLOOKUP($O178,Update!$B$2:$R$401,12,False)</f>
        <v>4.3</v>
      </c>
      <c r="X178" s="127">
        <f>VLOOKUP($O178,Update!$B$2:$R$401,13,False)</f>
        <v>1.9</v>
      </c>
      <c r="Y178" s="127">
        <f>VLOOKUP($O178,Update!$B$2:$R$401,14,False)</f>
        <v>0.9</v>
      </c>
      <c r="Z178" s="132">
        <f>VLOOKUP($O178,Update!$B$2:$R$401,15,False)</f>
        <v>0.3</v>
      </c>
      <c r="AA178" s="127">
        <f>100*VLOOKUP($O178,Update!$B$2:$R$401,7,False)</f>
        <v>39.83739837</v>
      </c>
      <c r="AB178" s="127">
        <f>100*VLOOKUP($O178,Update!$B$2:$R$401,9,False)</f>
        <v>80</v>
      </c>
      <c r="AC178" s="127">
        <f>VLOOKUP($O178,Update!$B$2:$Q$401,16,False)</f>
        <v>1.4</v>
      </c>
      <c r="AD178" s="127">
        <f>VLOOKUP($O178,'NO USAR1'!$A$4:$L$403,2,False)*$U$19</f>
        <v>-0.4645710458</v>
      </c>
      <c r="AE178" s="127">
        <f>VLOOKUP($O178,'NO USAR1'!$A$4:$L$403,3,False)*$V$19</f>
        <v>0.3081197623</v>
      </c>
      <c r="AF178" s="127">
        <f>VLOOKUP($O178,'NO USAR1'!$A$4:$L$403,4,False)*$W$19</f>
        <v>-0.7507252735</v>
      </c>
      <c r="AG178" s="127">
        <f>VLOOKUP($O178,'NO USAR1'!$A$4:$L$403,5,False)*$X$19</f>
        <v>-0.9914878323</v>
      </c>
      <c r="AH178" s="127">
        <f>VLOOKUP($O178,'NO USAR1'!$A$4:$L$403,6,False)*$Y$19</f>
        <v>-0.2064205728</v>
      </c>
      <c r="AI178" s="127">
        <f>VLOOKUP($O178,'NO USAR1'!$A$4:$L$403,7,False)*$Z$19</f>
        <v>-0.5270142365</v>
      </c>
      <c r="AJ178" s="127">
        <f>VLOOKUP($O178,'NO USAR1'!$A$4:$L$403,8,False)*$AA$19</f>
        <v>-1.199245817</v>
      </c>
      <c r="AK178" s="132">
        <f>VLOOKUP($O178,'NO USAR1'!$A$4:$L$403,10,False)*$AB$19</f>
        <v>0.08890791274</v>
      </c>
      <c r="AL178" s="127">
        <f>VLOOKUP($O178,'NO USAR1'!$A$4:$L$403,12,False)*$AC$19</f>
        <v>0.1846217277</v>
      </c>
      <c r="AM178" s="133">
        <f t="shared" si="2"/>
        <v>-1.199245817</v>
      </c>
      <c r="AN178" s="133">
        <f t="shared" si="3"/>
        <v>-2.190733649</v>
      </c>
    </row>
    <row r="179">
      <c r="A179" s="118" t="str">
        <f>IF(Update!B177="",ROW(Update!B177),Update!B177)</f>
        <v>Luke Kennard</v>
      </c>
      <c r="B179" s="119">
        <f>IF(TYPE($A179)=1,"",(Update!$L177-B$1)/B$2)</f>
        <v>-1.104971278</v>
      </c>
      <c r="C179" s="119">
        <f>IF(TYPE($A179)=1,"",(Update!$K177-C$1)/C$2)</f>
        <v>0.8240935064</v>
      </c>
      <c r="D179" s="119">
        <f>IF(TYPE($A179)=1,"",(Update!$M177-D$1)/D$2)</f>
        <v>-1.294325082</v>
      </c>
      <c r="E179" s="119">
        <f>IF(TYPE($A179)=1,"",(Update!$N177-E$1)/E$2)</f>
        <v>-0.9477184481</v>
      </c>
      <c r="F179" s="119">
        <f>IF(TYPE($A179)=1,"",(Update!$O177-F$1)/F$2)</f>
        <v>-1.229386107</v>
      </c>
      <c r="G179" s="119">
        <f>IF(TYPE($A179)=1,"",(Update!$P177-G$1)/G$2)</f>
        <v>-1.128065594</v>
      </c>
      <c r="H179" s="119">
        <f>IF(TYPE($A179)=1,"",(Update!$H177-H$1)/H$2*I179/$I$1)</f>
        <v>-0.2422547205</v>
      </c>
      <c r="I179" s="119">
        <f>IF(TYPE($A179)=1,"",IF(Update!H177=0,0,Update!G177/Update!H177))</f>
        <v>7.9</v>
      </c>
      <c r="J179" s="120">
        <f>IF(TYPE($A179)=1,"",(Update!$J177-J$1)/J$2*K179/$K$1)</f>
        <v>0.2775019062</v>
      </c>
      <c r="K179" s="121">
        <f>IF(TYPE($A179)=1,"",IF(Update!J177=0,0,Update!I177/Update!J177))</f>
        <v>0.9</v>
      </c>
      <c r="L179" s="119">
        <f>IF(TYPE($A179)=1,"",-(Update!$Q177-L$1)/L$2)</f>
        <v>1.483597023</v>
      </c>
      <c r="N179" s="124">
        <v>159.0</v>
      </c>
      <c r="O179" s="130" t="str">
        <f>IF(Update!B156="",ROW(Update!B156),Update!B156)</f>
        <v>Kevon Looney</v>
      </c>
      <c r="P179" s="131">
        <f>Update!E156</f>
        <v>80</v>
      </c>
      <c r="Q179" s="131" t="str">
        <f>IF(Update!C156="",ROW(Update!N171),Update!C156)</f>
        <v>PF</v>
      </c>
      <c r="R179" s="127">
        <f>VLOOKUP($O179,'NO USAR1'!$A$4:$L$403,2,False)+VLOOKUP($O179,'NO USAR1'!$A$4:$L$403,3,False)+VLOOKUP($O179,'NO USAR1'!$A$4:$L$403,4,False)+VLOOKUP($O179,'NO USAR1'!$A$4:$L$403,5,False)+VLOOKUP($O179,'NO USAR1'!$A$4:$L$403,6,False)+VLOOKUP($O179,'NO USAR1'!$A$4:$L$403,7,False)+VLOOKUP($O179,'NO USAR1'!$A$4:$L$403,8,False)+VLOOKUP($O179,'NO USAR1'!$A$4:$L$403,10,False)+VLOOKUP($O179,'NO USAR1'!$A$4:$L$403,12,False)*0</f>
        <v>-4.05694824</v>
      </c>
      <c r="S179" s="127">
        <f>VLOOKUP($O179,'NO USAR1'!$A$4:$L$403,2,False)*$U$19+VLOOKUP($O179,'NO USAR1'!$A$4:$L$403,3,False)*$V$19+VLOOKUP($O179,'NO USAR1'!$A$4:$L$403,4,False)*$W$19+VLOOKUP($O179,'NO USAR1'!$A$4:$L$403,5,False)*$X$19+VLOOKUP($O179,'NO USAR1'!$A$4:$L$403,6,False)*$Y$19+VLOOKUP($O179,'NO USAR1'!$A$4:$L$403,7,False)*$Z$19+VLOOKUP($O179,'NO USAR1'!$A$4:$L$403,8,False)*$AA$19+VLOOKUP($O179,'NO USAR1'!$A$4:$L$403,10,False)*$AB$19+VLOOKUP($O179,'NO USAR1'!$A$4:$L$403,12,False)*$AC$19+IF(Projections!$K$3,-AN179, IF(Projections!$J$3,-AM179,0))</f>
        <v>-1.421931004</v>
      </c>
      <c r="T179" s="127">
        <f t="shared" si="1"/>
        <v>2.635017235</v>
      </c>
      <c r="U179" s="127">
        <f>VLOOKUP($O179,Update!$B$2:$R$401,11,False)</f>
        <v>7</v>
      </c>
      <c r="V179" s="122">
        <f>VLOOKUP($O179,Update!$B$2:$R$401,10,False)</f>
        <v>0</v>
      </c>
      <c r="W179" s="127">
        <f>VLOOKUP($O179,Update!$B$2:$R$401,12,False)</f>
        <v>9</v>
      </c>
      <c r="X179" s="127">
        <f>VLOOKUP($O179,Update!$B$2:$R$401,13,False)</f>
        <v>2.4</v>
      </c>
      <c r="Y179" s="127">
        <f>VLOOKUP($O179,Update!$B$2:$R$401,14,False)</f>
        <v>0.7</v>
      </c>
      <c r="Z179" s="132">
        <f>VLOOKUP($O179,Update!$B$2:$R$401,15,False)</f>
        <v>0.7</v>
      </c>
      <c r="AA179" s="127">
        <f>100*VLOOKUP($O179,Update!$B$2:$R$401,7,False)</f>
        <v>61.2244898</v>
      </c>
      <c r="AB179" s="127">
        <f>100*VLOOKUP($O179,Update!$B$2:$R$401,9,False)</f>
        <v>61.11111111</v>
      </c>
      <c r="AC179" s="127">
        <f>VLOOKUP($O179,Update!$B$2:$Q$401,16,False)</f>
        <v>0.7</v>
      </c>
      <c r="AD179" s="127">
        <f>VLOOKUP($O179,'NO USAR1'!$A$4:$L$403,2,False)*$U$19</f>
        <v>-1.728518873</v>
      </c>
      <c r="AE179" s="127">
        <f>VLOOKUP($O179,'NO USAR1'!$A$4:$L$403,3,False)*$V$19</f>
        <v>-1.426137812</v>
      </c>
      <c r="AF179" s="127">
        <f>VLOOKUP($O179,'NO USAR1'!$A$4:$L$403,4,False)*$W$19</f>
        <v>1.21459711</v>
      </c>
      <c r="AG179" s="127">
        <f>VLOOKUP($O179,'NO USAR1'!$A$4:$L$403,5,False)*$X$19</f>
        <v>-0.7364755298</v>
      </c>
      <c r="AH179" s="127">
        <f>VLOOKUP($O179,'NO USAR1'!$A$4:$L$403,6,False)*$Y$19</f>
        <v>-0.6425203744</v>
      </c>
      <c r="AI179" s="127">
        <f>VLOOKUP($O179,'NO USAR1'!$A$4:$L$403,7,False)*$Z$19</f>
        <v>-0.001750877862</v>
      </c>
      <c r="AJ179" s="127">
        <f>VLOOKUP($O179,'NO USAR1'!$A$4:$L$403,8,False)*$AA$19</f>
        <v>0.5690297336</v>
      </c>
      <c r="AK179" s="132">
        <f>VLOOKUP($O179,'NO USAR1'!$A$4:$L$403,10,False)*$AB$19</f>
        <v>-0.8006187643</v>
      </c>
      <c r="AL179" s="127">
        <f>VLOOKUP($O179,'NO USAR1'!$A$4:$L$403,12,False)*$AC$19</f>
        <v>0.4019455104</v>
      </c>
      <c r="AM179" s="133">
        <f t="shared" si="2"/>
        <v>-1.728518873</v>
      </c>
      <c r="AN179" s="133">
        <f t="shared" si="3"/>
        <v>-3.154656685</v>
      </c>
    </row>
    <row r="180">
      <c r="A180" s="118" t="str">
        <f>IF(Update!B178="",ROW(Update!B178),Update!B178)</f>
        <v>Luguentz Dort</v>
      </c>
      <c r="B180" s="119">
        <f>IF(TYPE($A180)=1,"",(Update!$L178-B$1)/B$2)</f>
        <v>-0.4645710458</v>
      </c>
      <c r="C180" s="119">
        <f>IF(TYPE($A180)=1,"",(Update!$K178-C$1)/C$2)</f>
        <v>0.3423552914</v>
      </c>
      <c r="D180" s="119">
        <f>IF(TYPE($A180)=1,"",(Update!$M178-D$1)/D$2)</f>
        <v>-0.7507252735</v>
      </c>
      <c r="E180" s="119">
        <f>IF(TYPE($A180)=1,"",(Update!$N178-E$1)/E$2)</f>
        <v>-0.9013525749</v>
      </c>
      <c r="F180" s="119">
        <f>IF(TYPE($A180)=1,"",(Update!$O178-F$1)/F$2)</f>
        <v>-0.2948865325</v>
      </c>
      <c r="G180" s="119">
        <f>IF(TYPE($A180)=1,"",(Update!$P178-G$1)/G$2)</f>
        <v>-0.7528774808</v>
      </c>
      <c r="H180" s="119">
        <f>IF(TYPE($A180)=1,"",(Update!$H178-H$1)/H$2*I180/$I$1)</f>
        <v>-1.332495352</v>
      </c>
      <c r="I180" s="119">
        <f>IF(TYPE($A180)=1,"",IF(Update!H178=0,0,Update!G178/Update!H178))</f>
        <v>12.3</v>
      </c>
      <c r="J180" s="120">
        <f>IF(TYPE($A180)=1,"",(Update!$J178-J$1)/J$2*K180/$K$1)</f>
        <v>0.1111348909</v>
      </c>
      <c r="K180" s="121">
        <f>IF(TYPE($A180)=1,"",IF(Update!J178=0,0,Update!I178/Update!J178))</f>
        <v>3.5</v>
      </c>
      <c r="L180" s="119">
        <f>IF(TYPE($A180)=1,"",-(Update!$Q178-L$1)/L$2)</f>
        <v>0.738486911</v>
      </c>
      <c r="N180" s="124">
        <v>160.0</v>
      </c>
      <c r="O180" s="130" t="str">
        <f>IF(Update!B164="",ROW(Update!B164),Update!B164)</f>
        <v>Nicolas Batum</v>
      </c>
      <c r="P180" s="131">
        <f>Update!E164</f>
        <v>67</v>
      </c>
      <c r="Q180" s="131" t="str">
        <f>IF(Update!C164="",ROW(Update!N179),Update!C164)</f>
        <v>SF,PF</v>
      </c>
      <c r="R180" s="127">
        <f>VLOOKUP($O180,'NO USAR1'!$A$4:$L$403,2,False)+VLOOKUP($O180,'NO USAR1'!$A$4:$L$403,3,False)+VLOOKUP($O180,'NO USAR1'!$A$4:$L$403,4,False)+VLOOKUP($O180,'NO USAR1'!$A$4:$L$403,5,False)+VLOOKUP($O180,'NO USAR1'!$A$4:$L$403,6,False)+VLOOKUP($O180,'NO USAR1'!$A$4:$L$403,7,False)+VLOOKUP($O180,'NO USAR1'!$A$4:$L$403,8,False)+VLOOKUP($O180,'NO USAR1'!$A$4:$L$403,10,False)+VLOOKUP($O180,'NO USAR1'!$A$4:$L$403,12,False)*0</f>
        <v>-4.063412442</v>
      </c>
      <c r="S180" s="127">
        <f>VLOOKUP($O180,'NO USAR1'!$A$4:$L$403,2,False)*$U$19+VLOOKUP($O180,'NO USAR1'!$A$4:$L$403,3,False)*$V$19+VLOOKUP($O180,'NO USAR1'!$A$4:$L$403,4,False)*$W$19+VLOOKUP($O180,'NO USAR1'!$A$4:$L$403,5,False)*$X$19+VLOOKUP($O180,'NO USAR1'!$A$4:$L$403,6,False)*$Y$19+VLOOKUP($O180,'NO USAR1'!$A$4:$L$403,7,False)*$Z$19+VLOOKUP($O180,'NO USAR1'!$A$4:$L$403,8,False)*$AA$19+VLOOKUP($O180,'NO USAR1'!$A$4:$L$403,10,False)*$AB$19+VLOOKUP($O180,'NO USAR1'!$A$4:$L$403,12,False)*$AC$19+IF(Projections!$K$3,-AN180, IF(Projections!$J$3,-AM180,0))</f>
        <v>-1.973260776</v>
      </c>
      <c r="T180" s="127">
        <f t="shared" si="1"/>
        <v>2.090151666</v>
      </c>
      <c r="U180" s="127">
        <f>VLOOKUP($O180,Update!$B$2:$R$401,11,False)</f>
        <v>7.5</v>
      </c>
      <c r="V180" s="122">
        <f>VLOOKUP($O180,Update!$B$2:$R$401,10,False)</f>
        <v>1.8</v>
      </c>
      <c r="W180" s="127">
        <f>VLOOKUP($O180,Update!$B$2:$R$401,12,False)</f>
        <v>4.3</v>
      </c>
      <c r="X180" s="127">
        <f>VLOOKUP($O180,Update!$B$2:$R$401,13,False)</f>
        <v>1.7</v>
      </c>
      <c r="Y180" s="127">
        <f>VLOOKUP($O180,Update!$B$2:$R$401,14,False)</f>
        <v>0.9</v>
      </c>
      <c r="Z180" s="132">
        <f>VLOOKUP($O180,Update!$B$2:$R$401,15,False)</f>
        <v>0.7</v>
      </c>
      <c r="AA180" s="127">
        <f>100*VLOOKUP($O180,Update!$B$2:$R$401,7,False)</f>
        <v>44.06779661</v>
      </c>
      <c r="AB180" s="127">
        <f>100*VLOOKUP($O180,Update!$B$2:$R$401,9,False)</f>
        <v>71.42857143</v>
      </c>
      <c r="AC180" s="127">
        <f>VLOOKUP($O180,Update!$B$2:$Q$401,16,False)</f>
        <v>0.7</v>
      </c>
      <c r="AD180" s="127">
        <f>VLOOKUP($O180,'NO USAR1'!$A$4:$L$403,2,False)*$U$19</f>
        <v>-1.644255685</v>
      </c>
      <c r="AE180" s="127">
        <f>VLOOKUP($O180,'NO USAR1'!$A$4:$L$403,3,False)*$V$19</f>
        <v>0.1346940049</v>
      </c>
      <c r="AF180" s="127">
        <f>VLOOKUP($O180,'NO USAR1'!$A$4:$L$403,4,False)*$W$19</f>
        <v>-0.7507252735</v>
      </c>
      <c r="AG180" s="127">
        <f>VLOOKUP($O180,'NO USAR1'!$A$4:$L$403,5,False)*$X$19</f>
        <v>-1.093492753</v>
      </c>
      <c r="AH180" s="127">
        <f>VLOOKUP($O180,'NO USAR1'!$A$4:$L$403,6,False)*$Y$19</f>
        <v>-0.2064205728</v>
      </c>
      <c r="AI180" s="127">
        <f>VLOOKUP($O180,'NO USAR1'!$A$4:$L$403,7,False)*$Z$19</f>
        <v>-0.001750877862</v>
      </c>
      <c r="AJ180" s="127">
        <f>VLOOKUP($O180,'NO USAR1'!$A$4:$L$403,8,False)*$AA$19</f>
        <v>-0.3259377789</v>
      </c>
      <c r="AK180" s="132">
        <f>VLOOKUP($O180,'NO USAR1'!$A$4:$L$403,10,False)*$AB$19</f>
        <v>-0.1315730352</v>
      </c>
      <c r="AL180" s="127">
        <f>VLOOKUP($O180,'NO USAR1'!$A$4:$L$403,12,False)*$AC$19</f>
        <v>0.4019455104</v>
      </c>
      <c r="AM180" s="133">
        <f t="shared" si="2"/>
        <v>-1.644255685</v>
      </c>
      <c r="AN180" s="133">
        <f t="shared" si="3"/>
        <v>-2.737748438</v>
      </c>
    </row>
    <row r="181">
      <c r="A181" s="118" t="str">
        <f>IF(Update!B179="",ROW(Update!B179),Update!B179)</f>
        <v>Kelly Olynyk</v>
      </c>
      <c r="B181" s="119">
        <f>IF(TYPE($A181)=1,"",(Update!$L179-B$1)/B$2)</f>
        <v>-1.391466119</v>
      </c>
      <c r="C181" s="119">
        <f>IF(TYPE($A181)=1,"",(Update!$K179-C$1)/C$2)</f>
        <v>-0.5247734955</v>
      </c>
      <c r="D181" s="119">
        <f>IF(TYPE($A181)=1,"",(Update!$M179-D$1)/D$2)</f>
        <v>-0.7925406433</v>
      </c>
      <c r="E181" s="119">
        <f>IF(TYPE($A181)=1,"",(Update!$N179-E$1)/E$2)</f>
        <v>-0.5767914625</v>
      </c>
      <c r="F181" s="119">
        <f>IF(TYPE($A181)=1,"",(Update!$O179-F$1)/F$2)</f>
        <v>-1.229386107</v>
      </c>
      <c r="G181" s="119">
        <f>IF(TYPE($A181)=1,"",(Update!$P179-G$1)/G$2)</f>
        <v>-0.5652834241</v>
      </c>
      <c r="H181" s="119">
        <f>IF(TYPE($A181)=1,"",(Update!$H179-H$1)/H$2*I181/$I$1)</f>
        <v>-0.08335357499</v>
      </c>
      <c r="I181" s="119">
        <f>IF(TYPE($A181)=1,"",IF(Update!H179=0,0,Update!G179/Update!H179))</f>
        <v>6.2</v>
      </c>
      <c r="J181" s="120">
        <f>IF(TYPE($A181)=1,"",(Update!$J179-J$1)/J$2*K181/$K$1)</f>
        <v>0.2597247719</v>
      </c>
      <c r="K181" s="121">
        <f>IF(TYPE($A181)=1,"",IF(Update!J179=0,0,Update!I179/Update!J179))</f>
        <v>2.3</v>
      </c>
      <c r="L181" s="119">
        <f>IF(TYPE($A181)=1,"",-(Update!$Q179-L$1)/L$2)</f>
        <v>0.4901168736</v>
      </c>
      <c r="N181" s="33">
        <v>161.0</v>
      </c>
      <c r="O181" s="130" t="str">
        <f>IF(Update!B161="",ROW(Update!B161),Update!B161)</f>
        <v>Shaedon Sharpe</v>
      </c>
      <c r="P181" s="131">
        <f>Update!E161</f>
        <v>78</v>
      </c>
      <c r="Q181" s="131" t="str">
        <f>IF(Update!C161="",ROW(Update!N176),Update!C161)</f>
        <v>SG,SF</v>
      </c>
      <c r="R181" s="127">
        <f>VLOOKUP($O181,'NO USAR1'!$A$4:$L$403,2,False)+VLOOKUP($O181,'NO USAR1'!$A$4:$L$403,3,False)+VLOOKUP($O181,'NO USAR1'!$A$4:$L$403,4,False)+VLOOKUP($O181,'NO USAR1'!$A$4:$L$403,5,False)+VLOOKUP($O181,'NO USAR1'!$A$4:$L$403,6,False)+VLOOKUP($O181,'NO USAR1'!$A$4:$L$403,7,False)+VLOOKUP($O181,'NO USAR1'!$A$4:$L$403,8,False)+VLOOKUP($O181,'NO USAR1'!$A$4:$L$403,10,False)+VLOOKUP($O181,'NO USAR1'!$A$4:$L$403,12,False)*0</f>
        <v>-4.091875328</v>
      </c>
      <c r="S181" s="127">
        <f>VLOOKUP($O181,'NO USAR1'!$A$4:$L$403,2,False)*$U$19+VLOOKUP($O181,'NO USAR1'!$A$4:$L$403,3,False)*$V$19+VLOOKUP($O181,'NO USAR1'!$A$4:$L$403,4,False)*$W$19+VLOOKUP($O181,'NO USAR1'!$A$4:$L$403,5,False)*$X$19+VLOOKUP($O181,'NO USAR1'!$A$4:$L$403,6,False)*$Y$19+VLOOKUP($O181,'NO USAR1'!$A$4:$L$403,7,False)*$Z$19+VLOOKUP($O181,'NO USAR1'!$A$4:$L$403,8,False)*$AA$19+VLOOKUP($O181,'NO USAR1'!$A$4:$L$403,10,False)*$AB$19+VLOOKUP($O181,'NO USAR1'!$A$4:$L$403,12,False)*$AC$19+IF(Projections!$K$3,-AN181, IF(Projections!$J$3,-AM181,0))</f>
        <v>-2.389671454</v>
      </c>
      <c r="T181" s="127">
        <f t="shared" si="1"/>
        <v>1.702203874</v>
      </c>
      <c r="U181" s="127">
        <f>VLOOKUP($O181,Update!$B$2:$R$401,11,False)</f>
        <v>15.8</v>
      </c>
      <c r="V181" s="122">
        <f>VLOOKUP($O181,Update!$B$2:$R$401,10,False)</f>
        <v>1.9</v>
      </c>
      <c r="W181" s="127">
        <f>VLOOKUP($O181,Update!$B$2:$R$401,12,False)</f>
        <v>4.3</v>
      </c>
      <c r="X181" s="127">
        <f>VLOOKUP($O181,Update!$B$2:$R$401,13,False)</f>
        <v>1.7</v>
      </c>
      <c r="Y181" s="127">
        <f>VLOOKUP($O181,Update!$B$2:$R$401,14,False)</f>
        <v>0.7</v>
      </c>
      <c r="Z181" s="132">
        <f>VLOOKUP($O181,Update!$B$2:$R$401,15,False)</f>
        <v>0.4</v>
      </c>
      <c r="AA181" s="127">
        <f>100*VLOOKUP($O181,Update!$B$2:$R$401,7,False)</f>
        <v>46.875</v>
      </c>
      <c r="AB181" s="127">
        <f>100*VLOOKUP($O181,Update!$B$2:$R$401,9,False)</f>
        <v>73.07692308</v>
      </c>
      <c r="AC181" s="127">
        <f>VLOOKUP($O181,Update!$B$2:$Q$401,16,False)</f>
        <v>1.5</v>
      </c>
      <c r="AD181" s="127">
        <f>VLOOKUP($O181,'NO USAR1'!$A$4:$L$403,2,False)*$U$19</f>
        <v>-0.2454867558</v>
      </c>
      <c r="AE181" s="127">
        <f>VLOOKUP($O181,'NO USAR1'!$A$4:$L$403,3,False)*$V$19</f>
        <v>0.2214068836</v>
      </c>
      <c r="AF181" s="127">
        <f>VLOOKUP($O181,'NO USAR1'!$A$4:$L$403,4,False)*$W$19</f>
        <v>-0.7507252735</v>
      </c>
      <c r="AG181" s="127">
        <f>VLOOKUP($O181,'NO USAR1'!$A$4:$L$403,5,False)*$X$19</f>
        <v>-1.093492753</v>
      </c>
      <c r="AH181" s="127">
        <f>VLOOKUP($O181,'NO USAR1'!$A$4:$L$403,6,False)*$Y$19</f>
        <v>-0.6425203744</v>
      </c>
      <c r="AI181" s="127">
        <f>VLOOKUP($O181,'NO USAR1'!$A$4:$L$403,7,False)*$Z$19</f>
        <v>-0.3956983969</v>
      </c>
      <c r="AJ181" s="127">
        <f>VLOOKUP($O181,'NO USAR1'!$A$4:$L$403,8,False)*$AA$19</f>
        <v>-0.3482050353</v>
      </c>
      <c r="AK181" s="132">
        <f>VLOOKUP($O181,'NO USAR1'!$A$4:$L$403,10,False)*$AB$19</f>
        <v>-0.3820179751</v>
      </c>
      <c r="AL181" s="127">
        <f>VLOOKUP($O181,'NO USAR1'!$A$4:$L$403,12,False)*$AC$19</f>
        <v>0.1535754731</v>
      </c>
      <c r="AM181" s="133">
        <f t="shared" si="2"/>
        <v>-1.093492753</v>
      </c>
      <c r="AN181" s="133">
        <f t="shared" si="3"/>
        <v>-1.844218027</v>
      </c>
    </row>
    <row r="182">
      <c r="A182" s="118" t="str">
        <f>IF(Update!B180="",ROW(Update!B180),Update!B180)</f>
        <v>Kris Dunn</v>
      </c>
      <c r="B182" s="119">
        <f>IF(TYPE($A182)=1,"",(Update!$L180-B$1)/B$2)</f>
        <v>-1.559992496</v>
      </c>
      <c r="C182" s="119">
        <f>IF(TYPE($A182)=1,"",(Update!$K180-C$1)/C$2)</f>
        <v>-1.199206996</v>
      </c>
      <c r="D182" s="119">
        <f>IF(TYPE($A182)=1,"",(Update!$M180-D$1)/D$2)</f>
        <v>-1.294325082</v>
      </c>
      <c r="E182" s="119">
        <f>IF(TYPE($A182)=1,"",(Update!$N180-E$1)/E$2)</f>
        <v>0.1186966354</v>
      </c>
      <c r="F182" s="119">
        <f>IF(TYPE($A182)=1,"",(Update!$O180-F$1)/F$2)</f>
        <v>0.01661332578</v>
      </c>
      <c r="G182" s="119">
        <f>IF(TYPE($A182)=1,"",(Update!$P180-G$1)/G$2)</f>
        <v>-0.7528774808</v>
      </c>
      <c r="H182" s="119">
        <f>IF(TYPE($A182)=1,"",(Update!$H180-H$1)/H$2*I182/$I$1)</f>
        <v>0.02852276466</v>
      </c>
      <c r="I182" s="119">
        <f>IF(TYPE($A182)=1,"",IF(Update!H180=0,0,Update!G180/Update!H180))</f>
        <v>6.4</v>
      </c>
      <c r="J182" s="120">
        <f>IF(TYPE($A182)=1,"",(Update!$J180-J$1)/J$2*K182/$K$1)</f>
        <v>0.2933783192</v>
      </c>
      <c r="K182" s="121">
        <f>IF(TYPE($A182)=1,"",IF(Update!J180=0,0,Update!I180/Update!J180))</f>
        <v>1.4</v>
      </c>
      <c r="L182" s="119">
        <f>IF(TYPE($A182)=1,"",-(Update!$Q180-L$1)/L$2)</f>
        <v>0.738486911</v>
      </c>
      <c r="N182" s="124">
        <v>162.0</v>
      </c>
      <c r="O182" s="130" t="str">
        <f>IF(Update!B171="",ROW(Update!B171),Update!B171)</f>
        <v>Bennedict Mathurin</v>
      </c>
      <c r="P182" s="131">
        <f>Update!E171</f>
        <v>74</v>
      </c>
      <c r="Q182" s="131" t="str">
        <f>IF(Update!C171="",ROW(Update!N186),Update!C171)</f>
        <v>SG,SF</v>
      </c>
      <c r="R182" s="127">
        <f>VLOOKUP($O182,'NO USAR1'!$A$4:$L$403,2,False)+VLOOKUP($O182,'NO USAR1'!$A$4:$L$403,3,False)+VLOOKUP($O182,'NO USAR1'!$A$4:$L$403,4,False)+VLOOKUP($O182,'NO USAR1'!$A$4:$L$403,5,False)+VLOOKUP($O182,'NO USAR1'!$A$4:$L$403,6,False)+VLOOKUP($O182,'NO USAR1'!$A$4:$L$403,7,False)+VLOOKUP($O182,'NO USAR1'!$A$4:$L$403,8,False)+VLOOKUP($O182,'NO USAR1'!$A$4:$L$403,10,False)+VLOOKUP($O182,'NO USAR1'!$A$4:$L$403,12,False)*0</f>
        <v>-4.10214083</v>
      </c>
      <c r="S182" s="127">
        <f>VLOOKUP($O182,'NO USAR1'!$A$4:$L$403,2,False)*$U$19+VLOOKUP($O182,'NO USAR1'!$A$4:$L$403,3,False)*$V$19+VLOOKUP($O182,'NO USAR1'!$A$4:$L$403,4,False)*$W$19+VLOOKUP($O182,'NO USAR1'!$A$4:$L$403,5,False)*$X$19+VLOOKUP($O182,'NO USAR1'!$A$4:$L$403,6,False)*$Y$19+VLOOKUP($O182,'NO USAR1'!$A$4:$L$403,7,False)*$Z$19+VLOOKUP($O182,'NO USAR1'!$A$4:$L$403,8,False)*$AA$19+VLOOKUP($O182,'NO USAR1'!$A$4:$L$403,10,False)*$AB$19+VLOOKUP($O182,'NO USAR1'!$A$4:$L$403,12,False)*$AC$19+IF(Projections!$K$3,-AN182, IF(Projections!$J$3,-AM182,0))</f>
        <v>-2.545716513</v>
      </c>
      <c r="T182" s="127">
        <f t="shared" si="1"/>
        <v>1.556424317</v>
      </c>
      <c r="U182" s="127">
        <f>VLOOKUP($O182,Update!$B$2:$R$401,11,False)</f>
        <v>17.8</v>
      </c>
      <c r="V182" s="122">
        <f>VLOOKUP($O182,Update!$B$2:$R$401,10,False)</f>
        <v>1.4</v>
      </c>
      <c r="W182" s="127">
        <f>VLOOKUP($O182,Update!$B$2:$R$401,12,False)</f>
        <v>4.3</v>
      </c>
      <c r="X182" s="127">
        <f>VLOOKUP($O182,Update!$B$2:$R$401,13,False)</f>
        <v>1.6</v>
      </c>
      <c r="Y182" s="127">
        <f>VLOOKUP($O182,Update!$B$2:$R$401,14,False)</f>
        <v>0.7</v>
      </c>
      <c r="Z182" s="132">
        <f>VLOOKUP($O182,Update!$B$2:$R$401,15,False)</f>
        <v>0.2</v>
      </c>
      <c r="AA182" s="127">
        <f>100*VLOOKUP($O182,Update!$B$2:$R$401,7,False)</f>
        <v>43.07692308</v>
      </c>
      <c r="AB182" s="127">
        <f>100*VLOOKUP($O182,Update!$B$2:$R$401,9,False)</f>
        <v>82.25806452</v>
      </c>
      <c r="AC182" s="127">
        <f>VLOOKUP($O182,Update!$B$2:$Q$401,16,False)</f>
        <v>2.1</v>
      </c>
      <c r="AD182" s="127">
        <f>VLOOKUP($O182,'NO USAR1'!$A$4:$L$403,2,False)*$U$19</f>
        <v>0.09156599815</v>
      </c>
      <c r="AE182" s="127">
        <f>VLOOKUP($O182,'NO USAR1'!$A$4:$L$403,3,False)*$V$19</f>
        <v>-0.2121575099</v>
      </c>
      <c r="AF182" s="127">
        <f>VLOOKUP($O182,'NO USAR1'!$A$4:$L$403,4,False)*$W$19</f>
        <v>-0.7507252735</v>
      </c>
      <c r="AG182" s="127">
        <f>VLOOKUP($O182,'NO USAR1'!$A$4:$L$403,5,False)*$X$19</f>
        <v>-1.144495214</v>
      </c>
      <c r="AH182" s="127">
        <f>VLOOKUP($O182,'NO USAR1'!$A$4:$L$403,6,False)*$Y$19</f>
        <v>-0.6425203744</v>
      </c>
      <c r="AI182" s="127">
        <f>VLOOKUP($O182,'NO USAR1'!$A$4:$L$403,7,False)*$Z$19</f>
        <v>-0.6583300762</v>
      </c>
      <c r="AJ182" s="127">
        <f>VLOOKUP($O182,'NO USAR1'!$A$4:$L$403,8,False)*$AA$19</f>
        <v>-0.8468353472</v>
      </c>
      <c r="AK182" s="132">
        <f>VLOOKUP($O182,'NO USAR1'!$A$4:$L$403,10,False)*$AB$19</f>
        <v>0.5059881249</v>
      </c>
      <c r="AL182" s="127">
        <f>VLOOKUP($O182,'NO USAR1'!$A$4:$L$403,12,False)*$AC$19</f>
        <v>-0.03270205491</v>
      </c>
      <c r="AM182" s="133">
        <f t="shared" si="2"/>
        <v>-1.144495214</v>
      </c>
      <c r="AN182" s="133">
        <f t="shared" si="3"/>
        <v>-1.991330561</v>
      </c>
    </row>
    <row r="183">
      <c r="A183" s="118" t="str">
        <f>IF(Update!B181="",ROW(Update!B181),Update!B181)</f>
        <v>Larry Nance Jr.</v>
      </c>
      <c r="B183" s="119">
        <f>IF(TYPE($A183)=1,"",(Update!$L181-B$1)/B$2)</f>
        <v>-1.762224148</v>
      </c>
      <c r="C183" s="119">
        <f>IF(TYPE($A183)=1,"",(Update!$K181-C$1)/C$2)</f>
        <v>-1.295554639</v>
      </c>
      <c r="D183" s="119">
        <f>IF(TYPE($A183)=1,"",(Update!$M181-D$1)/D$2)</f>
        <v>-0.3325715749</v>
      </c>
      <c r="E183" s="119">
        <f>IF(TYPE($A183)=1,"",(Update!$N181-E$1)/E$2)</f>
        <v>-0.9477184481</v>
      </c>
      <c r="F183" s="119">
        <f>IF(TYPE($A183)=1,"",(Update!$O181-F$1)/F$2)</f>
        <v>-0.2948865325</v>
      </c>
      <c r="G183" s="119">
        <f>IF(TYPE($A183)=1,"",(Update!$P181-G$1)/G$2)</f>
        <v>-0.3776893674</v>
      </c>
      <c r="H183" s="119">
        <f>IF(TYPE($A183)=1,"",(Update!$H181-H$1)/H$2*I183/$I$1)</f>
        <v>0.4102852531</v>
      </c>
      <c r="I183" s="119">
        <f>IF(TYPE($A183)=1,"",IF(Update!H181=0,0,Update!G181/Update!H181))</f>
        <v>4.9</v>
      </c>
      <c r="J183" s="120">
        <f>IF(TYPE($A183)=1,"",(Update!$J181-J$1)/J$2*K183/$K$1)</f>
        <v>-0.4597453346</v>
      </c>
      <c r="K183" s="121">
        <f>IF(TYPE($A183)=1,"",IF(Update!J181=0,0,Update!I181/Update!J181))</f>
        <v>1.2</v>
      </c>
      <c r="L183" s="119">
        <f>IF(TYPE($A183)=1,"",-(Update!$Q181-L$1)/L$2)</f>
        <v>1.607782042</v>
      </c>
      <c r="N183" s="124">
        <v>163.0</v>
      </c>
      <c r="O183" s="130" t="str">
        <f>IF(Update!B154="",ROW(Update!B154),Update!B154)</f>
        <v>Isaiah Hartenstein</v>
      </c>
      <c r="P183" s="131">
        <f>Update!E154</f>
        <v>76</v>
      </c>
      <c r="Q183" s="131" t="str">
        <f>IF(Update!C154="",ROW(Update!N169),Update!C154)</f>
        <v>C</v>
      </c>
      <c r="R183" s="127">
        <f>VLOOKUP($O183,'NO USAR1'!$A$4:$L$403,2,False)+VLOOKUP($O183,'NO USAR1'!$A$4:$L$403,3,False)+VLOOKUP($O183,'NO USAR1'!$A$4:$L$403,4,False)+VLOOKUP($O183,'NO USAR1'!$A$4:$L$403,5,False)+VLOOKUP($O183,'NO USAR1'!$A$4:$L$403,6,False)+VLOOKUP($O183,'NO USAR1'!$A$4:$L$403,7,False)+VLOOKUP($O183,'NO USAR1'!$A$4:$L$403,8,False)+VLOOKUP($O183,'NO USAR1'!$A$4:$L$403,10,False)+VLOOKUP($O183,'NO USAR1'!$A$4:$L$403,12,False)*0</f>
        <v>-4.201942649</v>
      </c>
      <c r="S183" s="127">
        <f>VLOOKUP($O183,'NO USAR1'!$A$4:$L$403,2,False)*$U$19+VLOOKUP($O183,'NO USAR1'!$A$4:$L$403,3,False)*$V$19+VLOOKUP($O183,'NO USAR1'!$A$4:$L$403,4,False)*$W$19+VLOOKUP($O183,'NO USAR1'!$A$4:$L$403,5,False)*$X$19+VLOOKUP($O183,'NO USAR1'!$A$4:$L$403,6,False)*$Y$19+VLOOKUP($O183,'NO USAR1'!$A$4:$L$403,7,False)*$Z$19+VLOOKUP($O183,'NO USAR1'!$A$4:$L$403,8,False)*$AA$19+VLOOKUP($O183,'NO USAR1'!$A$4:$L$403,10,False)*$AB$19+VLOOKUP($O183,'NO USAR1'!$A$4:$L$403,12,False)*$AC$19+IF(Projections!$K$3,-AN183, IF(Projections!$J$3,-AM183,0))</f>
        <v>-2.008814584</v>
      </c>
      <c r="T183" s="127">
        <f t="shared" si="1"/>
        <v>2.193128065</v>
      </c>
      <c r="U183" s="127">
        <f>VLOOKUP($O183,Update!$B$2:$R$401,11,False)</f>
        <v>6.9</v>
      </c>
      <c r="V183" s="122">
        <f>VLOOKUP($O183,Update!$B$2:$R$401,10,False)</f>
        <v>0.2</v>
      </c>
      <c r="W183" s="127">
        <f>VLOOKUP($O183,Update!$B$2:$R$401,12,False)</f>
        <v>6.1</v>
      </c>
      <c r="X183" s="127">
        <f>VLOOKUP($O183,Update!$B$2:$R$401,13,False)</f>
        <v>1.9</v>
      </c>
      <c r="Y183" s="127">
        <f>VLOOKUP($O183,Update!$B$2:$R$401,14,False)</f>
        <v>0.7</v>
      </c>
      <c r="Z183" s="132">
        <f>VLOOKUP($O183,Update!$B$2:$R$401,15,False)</f>
        <v>1</v>
      </c>
      <c r="AA183" s="127">
        <f>100*VLOOKUP($O183,Update!$B$2:$R$401,7,False)</f>
        <v>59.18367347</v>
      </c>
      <c r="AB183" s="127">
        <f>100*VLOOKUP($O183,Update!$B$2:$R$401,9,False)</f>
        <v>71.42857143</v>
      </c>
      <c r="AC183" s="127">
        <f>VLOOKUP($O183,Update!$B$2:$Q$401,16,False)</f>
        <v>1.1</v>
      </c>
      <c r="AD183" s="127">
        <f>VLOOKUP($O183,'NO USAR1'!$A$4:$L$403,2,False)*$U$19</f>
        <v>-1.745371511</v>
      </c>
      <c r="AE183" s="127">
        <f>VLOOKUP($O183,'NO USAR1'!$A$4:$L$403,3,False)*$V$19</f>
        <v>-1.252712054</v>
      </c>
      <c r="AF183" s="127">
        <f>VLOOKUP($O183,'NO USAR1'!$A$4:$L$403,4,False)*$W$19</f>
        <v>0.001951383927</v>
      </c>
      <c r="AG183" s="127">
        <f>VLOOKUP($O183,'NO USAR1'!$A$4:$L$403,5,False)*$X$19</f>
        <v>-0.9914878323</v>
      </c>
      <c r="AH183" s="127">
        <f>VLOOKUP($O183,'NO USAR1'!$A$4:$L$403,6,False)*$Y$19</f>
        <v>-0.6425203744</v>
      </c>
      <c r="AI183" s="127">
        <f>VLOOKUP($O183,'NO USAR1'!$A$4:$L$403,7,False)*$Z$19</f>
        <v>0.3921966412</v>
      </c>
      <c r="AJ183" s="127">
        <f>VLOOKUP($O183,'NO USAR1'!$A$4:$L$403,8,False)*$AA$19</f>
        <v>0.4691432307</v>
      </c>
      <c r="AK183" s="132">
        <f>VLOOKUP($O183,'NO USAR1'!$A$4:$L$403,10,False)*$AB$19</f>
        <v>-0.2631460703</v>
      </c>
      <c r="AL183" s="127">
        <f>VLOOKUP($O183,'NO USAR1'!$A$4:$L$403,12,False)*$AC$19</f>
        <v>0.2777604917</v>
      </c>
      <c r="AM183" s="133">
        <f t="shared" si="2"/>
        <v>-1.745371511</v>
      </c>
      <c r="AN183" s="133">
        <f t="shared" si="3"/>
        <v>-2.998083565</v>
      </c>
    </row>
    <row r="184">
      <c r="A184" s="118" t="str">
        <f>IF(Update!B182="",ROW(Update!B182),Update!B182)</f>
        <v>Josh Green</v>
      </c>
      <c r="B184" s="119">
        <f>IF(TYPE($A184)=1,"",(Update!$L182-B$1)/B$2)</f>
        <v>-1.307202931</v>
      </c>
      <c r="C184" s="119">
        <f>IF(TYPE($A184)=1,"",(Update!$K182-C$1)/C$2)</f>
        <v>-0.4284258525</v>
      </c>
      <c r="D184" s="119">
        <f>IF(TYPE($A184)=1,"",(Update!$M182-D$1)/D$2)</f>
        <v>-1.001617493</v>
      </c>
      <c r="E184" s="119">
        <f>IF(TYPE($A184)=1,"",(Update!$N182-E$1)/E$2)</f>
        <v>-0.8549867017</v>
      </c>
      <c r="F184" s="119">
        <f>IF(TYPE($A184)=1,"",(Update!$O182-F$1)/F$2)</f>
        <v>-0.2948865325</v>
      </c>
      <c r="G184" s="119">
        <f>IF(TYPE($A184)=1,"",(Update!$P182-G$1)/G$2)</f>
        <v>-0.9404715375</v>
      </c>
      <c r="H184" s="119">
        <f>IF(TYPE($A184)=1,"",(Update!$H182-H$1)/H$2*I184/$I$1)</f>
        <v>0.1972286105</v>
      </c>
      <c r="I184" s="119">
        <f>IF(TYPE($A184)=1,"",IF(Update!H182=0,0,Update!G182/Update!H182))</f>
        <v>6.9</v>
      </c>
      <c r="J184" s="120">
        <f>IF(TYPE($A184)=1,"",(Update!$J182-J$1)/J$2*K184/$K$1)</f>
        <v>-0.01777713435</v>
      </c>
      <c r="K184" s="121">
        <f>IF(TYPE($A184)=1,"",IF(Update!J182=0,0,Update!I182/Update!J182))</f>
        <v>1.4</v>
      </c>
      <c r="L184" s="119">
        <f>IF(TYPE($A184)=1,"",-(Update!$Q182-L$1)/L$2)</f>
        <v>0.8626719296</v>
      </c>
      <c r="N184" s="33">
        <v>164.0</v>
      </c>
      <c r="O184" s="130" t="str">
        <f>IF(Update!B183="",ROW(Update!B183),Update!B183)</f>
        <v>Caris LeVert</v>
      </c>
      <c r="P184" s="131">
        <f>Update!E183</f>
        <v>67</v>
      </c>
      <c r="Q184" s="131" t="str">
        <f>IF(Update!C183="",ROW(Update!N198),Update!C183)</f>
        <v>SG,SF</v>
      </c>
      <c r="R184" s="127">
        <f>VLOOKUP($O184,'NO USAR1'!$A$4:$L$403,2,False)+VLOOKUP($O184,'NO USAR1'!$A$4:$L$403,3,False)+VLOOKUP($O184,'NO USAR1'!$A$4:$L$403,4,False)+VLOOKUP($O184,'NO USAR1'!$A$4:$L$403,5,False)+VLOOKUP($O184,'NO USAR1'!$A$4:$L$403,6,False)+VLOOKUP($O184,'NO USAR1'!$A$4:$L$403,7,False)+VLOOKUP($O184,'NO USAR1'!$A$4:$L$403,8,False)+VLOOKUP($O184,'NO USAR1'!$A$4:$L$403,10,False)+VLOOKUP($O184,'NO USAR1'!$A$4:$L$403,12,False)*0</f>
        <v>-4.23094119</v>
      </c>
      <c r="S184" s="127">
        <f>VLOOKUP($O184,'NO USAR1'!$A$4:$L$403,2,False)*$U$19+VLOOKUP($O184,'NO USAR1'!$A$4:$L$403,3,False)*$V$19+VLOOKUP($O184,'NO USAR1'!$A$4:$L$403,4,False)*$W$19+VLOOKUP($O184,'NO USAR1'!$A$4:$L$403,5,False)*$X$19+VLOOKUP($O184,'NO USAR1'!$A$4:$L$403,6,False)*$Y$19+VLOOKUP($O184,'NO USAR1'!$A$4:$L$403,7,False)*$Z$19+VLOOKUP($O184,'NO USAR1'!$A$4:$L$403,8,False)*$AA$19+VLOOKUP($O184,'NO USAR1'!$A$4:$L$403,10,False)*$AB$19+VLOOKUP($O184,'NO USAR1'!$A$4:$L$403,12,False)*$AC$19+IF(Projections!$K$3,-AN184, IF(Projections!$J$3,-AM184,0))</f>
        <v>-2.49705973</v>
      </c>
      <c r="T184" s="127">
        <f t="shared" si="1"/>
        <v>1.73388146</v>
      </c>
      <c r="U184" s="127">
        <f>VLOOKUP($O184,Update!$B$2:$R$401,11,False)</f>
        <v>13.1</v>
      </c>
      <c r="V184" s="122">
        <f>VLOOKUP($O184,Update!$B$2:$R$401,10,False)</f>
        <v>1.5</v>
      </c>
      <c r="W184" s="127">
        <f>VLOOKUP($O184,Update!$B$2:$R$401,12,False)</f>
        <v>3.4</v>
      </c>
      <c r="X184" s="127">
        <f>VLOOKUP($O184,Update!$B$2:$R$401,13,False)</f>
        <v>3.7</v>
      </c>
      <c r="Y184" s="127">
        <f>VLOOKUP($O184,Update!$B$2:$R$401,14,False)</f>
        <v>0.9</v>
      </c>
      <c r="Z184" s="132">
        <f>VLOOKUP($O184,Update!$B$2:$R$401,15,False)</f>
        <v>0.3</v>
      </c>
      <c r="AA184" s="127">
        <f>100*VLOOKUP($O184,Update!$B$2:$R$401,7,False)</f>
        <v>44.14414414</v>
      </c>
      <c r="AB184" s="127">
        <f>100*VLOOKUP($O184,Update!$B$2:$R$401,9,False)</f>
        <v>73.07692308</v>
      </c>
      <c r="AC184" s="127">
        <f>VLOOKUP($O184,Update!$B$2:$Q$401,16,False)</f>
        <v>1.6</v>
      </c>
      <c r="AD184" s="127">
        <f>VLOOKUP($O184,'NO USAR1'!$A$4:$L$403,2,False)*$U$19</f>
        <v>-0.7005079736</v>
      </c>
      <c r="AE184" s="127">
        <f>VLOOKUP($O184,'NO USAR1'!$A$4:$L$403,3,False)*$V$19</f>
        <v>-0.1254446312</v>
      </c>
      <c r="AF184" s="127">
        <f>VLOOKUP($O184,'NO USAR1'!$A$4:$L$403,4,False)*$W$19</f>
        <v>-1.127063602</v>
      </c>
      <c r="AG184" s="127">
        <f>VLOOKUP($O184,'NO USAR1'!$A$4:$L$403,5,False)*$X$19</f>
        <v>-0.07344354314</v>
      </c>
      <c r="AH184" s="127">
        <f>VLOOKUP($O184,'NO USAR1'!$A$4:$L$403,6,False)*$Y$19</f>
        <v>-0.2064205728</v>
      </c>
      <c r="AI184" s="127">
        <f>VLOOKUP($O184,'NO USAR1'!$A$4:$L$403,7,False)*$Z$19</f>
        <v>-0.5270142365</v>
      </c>
      <c r="AJ184" s="127">
        <f>VLOOKUP($O184,'NO USAR1'!$A$4:$L$403,8,False)*$AA$19</f>
        <v>-0.604740016</v>
      </c>
      <c r="AK184" s="132">
        <f>VLOOKUP($O184,'NO USAR1'!$A$4:$L$403,10,False)*$AB$19</f>
        <v>-0.3820179751</v>
      </c>
      <c r="AL184" s="127">
        <f>VLOOKUP($O184,'NO USAR1'!$A$4:$L$403,12,False)*$AC$19</f>
        <v>0.1225292184</v>
      </c>
      <c r="AM184" s="133">
        <f t="shared" si="2"/>
        <v>-1.127063602</v>
      </c>
      <c r="AN184" s="133">
        <f t="shared" si="3"/>
        <v>-1.827571576</v>
      </c>
    </row>
    <row r="185">
      <c r="A185" s="118" t="str">
        <f>IF(Update!B183="",ROW(Update!B183),Update!B183)</f>
        <v>Caris LeVert</v>
      </c>
      <c r="B185" s="119">
        <f>IF(TYPE($A185)=1,"",(Update!$L183-B$1)/B$2)</f>
        <v>-0.7005079736</v>
      </c>
      <c r="C185" s="119">
        <f>IF(TYPE($A185)=1,"",(Update!$K183-C$1)/C$2)</f>
        <v>-0.1393829235</v>
      </c>
      <c r="D185" s="119">
        <f>IF(TYPE($A185)=1,"",(Update!$M183-D$1)/D$2)</f>
        <v>-1.127063602</v>
      </c>
      <c r="E185" s="119">
        <f>IF(TYPE($A185)=1,"",(Update!$N183-E$1)/E$2)</f>
        <v>-0.0667668574</v>
      </c>
      <c r="F185" s="119">
        <f>IF(TYPE($A185)=1,"",(Update!$O183-F$1)/F$2)</f>
        <v>-0.2948865325</v>
      </c>
      <c r="G185" s="119">
        <f>IF(TYPE($A185)=1,"",(Update!$P183-G$1)/G$2)</f>
        <v>-0.7528774808</v>
      </c>
      <c r="H185" s="119">
        <f>IF(TYPE($A185)=1,"",(Update!$H183-H$1)/H$2*I185/$I$1)</f>
        <v>-0.6719333512</v>
      </c>
      <c r="I185" s="119">
        <f>IF(TYPE($A185)=1,"",IF(Update!H183=0,0,Update!G183/Update!H183))</f>
        <v>11.1</v>
      </c>
      <c r="J185" s="120">
        <f>IF(TYPE($A185)=1,"",(Update!$J183-J$1)/J$2*K185/$K$1)</f>
        <v>-0.4775224689</v>
      </c>
      <c r="K185" s="121">
        <f>IF(TYPE($A185)=1,"",IF(Update!J183=0,0,Update!I183/Update!J183))</f>
        <v>2.6</v>
      </c>
      <c r="L185" s="119">
        <f>IF(TYPE($A185)=1,"",-(Update!$Q183-L$1)/L$2)</f>
        <v>0.4901168736</v>
      </c>
      <c r="N185" s="124">
        <v>165.0</v>
      </c>
      <c r="O185" s="130" t="str">
        <f>IF(Update!B162="",ROW(Update!B162),Update!B162)</f>
        <v>Quentin Grimes</v>
      </c>
      <c r="P185" s="131">
        <f>Update!E162</f>
        <v>70</v>
      </c>
      <c r="Q185" s="131" t="str">
        <f>IF(Update!C162="",ROW(Update!N177),Update!C162)</f>
        <v>SG,SF</v>
      </c>
      <c r="R185" s="127">
        <f>VLOOKUP($O185,'NO USAR1'!$A$4:$L$403,2,False)+VLOOKUP($O185,'NO USAR1'!$A$4:$L$403,3,False)+VLOOKUP($O185,'NO USAR1'!$A$4:$L$403,4,False)+VLOOKUP($O185,'NO USAR1'!$A$4:$L$403,5,False)+VLOOKUP($O185,'NO USAR1'!$A$4:$L$403,6,False)+VLOOKUP($O185,'NO USAR1'!$A$4:$L$403,7,False)+VLOOKUP($O185,'NO USAR1'!$A$4:$L$403,8,False)+VLOOKUP($O185,'NO USAR1'!$A$4:$L$403,10,False)+VLOOKUP($O185,'NO USAR1'!$A$4:$L$403,12,False)*0</f>
        <v>-4.24554387</v>
      </c>
      <c r="S185" s="127">
        <f>VLOOKUP($O185,'NO USAR1'!$A$4:$L$403,2,False)*$U$19+VLOOKUP($O185,'NO USAR1'!$A$4:$L$403,3,False)*$V$19+VLOOKUP($O185,'NO USAR1'!$A$4:$L$403,4,False)*$W$19+VLOOKUP($O185,'NO USAR1'!$A$4:$L$403,5,False)*$X$19+VLOOKUP($O185,'NO USAR1'!$A$4:$L$403,6,False)*$Y$19+VLOOKUP($O185,'NO USAR1'!$A$4:$L$403,7,False)*$Z$19+VLOOKUP($O185,'NO USAR1'!$A$4:$L$403,8,False)*$AA$19+VLOOKUP($O185,'NO USAR1'!$A$4:$L$403,10,False)*$AB$19+VLOOKUP($O185,'NO USAR1'!$A$4:$L$403,12,False)*$AC$19+IF(Projections!$K$3,-AN185, IF(Projections!$J$3,-AM185,0))</f>
        <v>-2.489122651</v>
      </c>
      <c r="T185" s="127">
        <f t="shared" si="1"/>
        <v>1.756421219</v>
      </c>
      <c r="U185" s="127">
        <f>VLOOKUP($O185,Update!$B$2:$R$401,11,False)</f>
        <v>10.9</v>
      </c>
      <c r="V185" s="122">
        <f>VLOOKUP($O185,Update!$B$2:$R$401,10,False)</f>
        <v>2.3</v>
      </c>
      <c r="W185" s="127">
        <f>VLOOKUP($O185,Update!$B$2:$R$401,12,False)</f>
        <v>3.3</v>
      </c>
      <c r="X185" s="127">
        <f>VLOOKUP($O185,Update!$B$2:$R$401,13,False)</f>
        <v>2</v>
      </c>
      <c r="Y185" s="127">
        <f>VLOOKUP($O185,Update!$B$2:$R$401,14,False)</f>
        <v>0.8</v>
      </c>
      <c r="Z185" s="132">
        <f>VLOOKUP($O185,Update!$B$2:$R$401,15,False)</f>
        <v>0.4</v>
      </c>
      <c r="AA185" s="127">
        <f>100*VLOOKUP($O185,Update!$B$2:$R$401,7,False)</f>
        <v>44.70588235</v>
      </c>
      <c r="AB185" s="127">
        <f>100*VLOOKUP($O185,Update!$B$2:$R$401,9,False)</f>
        <v>75</v>
      </c>
      <c r="AC185" s="127">
        <f>VLOOKUP($O185,Update!$B$2:$Q$401,16,False)</f>
        <v>1</v>
      </c>
      <c r="AD185" s="127">
        <f>VLOOKUP($O185,'NO USAR1'!$A$4:$L$403,2,False)*$U$19</f>
        <v>-1.071266003</v>
      </c>
      <c r="AE185" s="127">
        <f>VLOOKUP($O185,'NO USAR1'!$A$4:$L$403,3,False)*$V$19</f>
        <v>0.5682583984</v>
      </c>
      <c r="AF185" s="127">
        <f>VLOOKUP($O185,'NO USAR1'!$A$4:$L$403,4,False)*$W$19</f>
        <v>-1.168878972</v>
      </c>
      <c r="AG185" s="127">
        <f>VLOOKUP($O185,'NO USAR1'!$A$4:$L$403,5,False)*$X$19</f>
        <v>-0.9404853718</v>
      </c>
      <c r="AH185" s="127">
        <f>VLOOKUP($O185,'NO USAR1'!$A$4:$L$403,6,False)*$Y$19</f>
        <v>-0.4244704736</v>
      </c>
      <c r="AI185" s="127">
        <f>VLOOKUP($O185,'NO USAR1'!$A$4:$L$403,7,False)*$Z$19</f>
        <v>-0.3956983969</v>
      </c>
      <c r="AJ185" s="127">
        <f>VLOOKUP($O185,'NO USAR1'!$A$4:$L$403,8,False)*$AA$19</f>
        <v>-0.415395646</v>
      </c>
      <c r="AK185" s="132">
        <f>VLOOKUP($O185,'NO USAR1'!$A$4:$L$403,10,False)*$AB$19</f>
        <v>-0.1188719048</v>
      </c>
      <c r="AL185" s="127">
        <f>VLOOKUP($O185,'NO USAR1'!$A$4:$L$403,12,False)*$AC$19</f>
        <v>0.3088067464</v>
      </c>
      <c r="AM185" s="133">
        <f t="shared" si="2"/>
        <v>-1.168878972</v>
      </c>
      <c r="AN185" s="133">
        <f t="shared" si="3"/>
        <v>-2.240144975</v>
      </c>
    </row>
    <row r="186">
      <c r="A186" s="118" t="str">
        <f>IF(Update!B184="",ROW(Update!B184),Update!B184)</f>
        <v>Patrick Beverley</v>
      </c>
      <c r="B186" s="119">
        <f>IF(TYPE($A186)=1,"",(Update!$L184-B$1)/B$2)</f>
        <v>-1.745371511</v>
      </c>
      <c r="C186" s="119">
        <f>IF(TYPE($A186)=1,"",(Update!$K184-C$1)/C$2)</f>
        <v>-0.4284258525</v>
      </c>
      <c r="D186" s="119">
        <f>IF(TYPE($A186)=1,"",(Update!$M184-D$1)/D$2)</f>
        <v>-1.085248232</v>
      </c>
      <c r="E186" s="119">
        <f>IF(TYPE($A186)=1,"",(Update!$N184-E$1)/E$2)</f>
        <v>-0.205864477</v>
      </c>
      <c r="F186" s="119">
        <f>IF(TYPE($A186)=1,"",(Update!$O184-F$1)/F$2)</f>
        <v>-0.2948865325</v>
      </c>
      <c r="G186" s="119">
        <f>IF(TYPE($A186)=1,"",(Update!$P184-G$1)/G$2)</f>
        <v>-0.002501254089</v>
      </c>
      <c r="H186" s="119">
        <f>IF(TYPE($A186)=1,"",(Update!$H184-H$1)/H$2*I186/$I$1)</f>
        <v>-0.640061264</v>
      </c>
      <c r="I186" s="119">
        <f>IF(TYPE($A186)=1,"",IF(Update!H184=0,0,Update!G184/Update!H184))</f>
        <v>5.8</v>
      </c>
      <c r="J186" s="120">
        <f>IF(TYPE($A186)=1,"",(Update!$J184-J$1)/J$2*K186/$K$1)</f>
        <v>-0.3289325879</v>
      </c>
      <c r="K186" s="121">
        <f>IF(TYPE($A186)=1,"",IF(Update!J184=0,0,Update!I184/Update!J184))</f>
        <v>1.4</v>
      </c>
      <c r="L186" s="119">
        <f>IF(TYPE($A186)=1,"",-(Update!$Q184-L$1)/L$2)</f>
        <v>1.235226986</v>
      </c>
      <c r="N186" s="124">
        <v>166.0</v>
      </c>
      <c r="O186" s="130" t="str">
        <f>IF(Update!B175="",ROW(Update!B175),Update!B175)</f>
        <v>Max Strus</v>
      </c>
      <c r="P186" s="131">
        <f>Update!E175</f>
        <v>73</v>
      </c>
      <c r="Q186" s="131" t="str">
        <f>IF(Update!C175="",ROW(Update!N190),Update!C175)</f>
        <v>SG,SF</v>
      </c>
      <c r="R186" s="127">
        <f>VLOOKUP($O186,'NO USAR1'!$A$4:$L$403,2,False)+VLOOKUP($O186,'NO USAR1'!$A$4:$L$403,3,False)+VLOOKUP($O186,'NO USAR1'!$A$4:$L$403,4,False)+VLOOKUP($O186,'NO USAR1'!$A$4:$L$403,5,False)+VLOOKUP($O186,'NO USAR1'!$A$4:$L$403,6,False)+VLOOKUP($O186,'NO USAR1'!$A$4:$L$403,7,False)+VLOOKUP($O186,'NO USAR1'!$A$4:$L$403,8,False)+VLOOKUP($O186,'NO USAR1'!$A$4:$L$403,10,False)+VLOOKUP($O186,'NO USAR1'!$A$4:$L$403,12,False)*0</f>
        <v>-4.260412445</v>
      </c>
      <c r="S186" s="127">
        <f>VLOOKUP($O186,'NO USAR1'!$A$4:$L$403,2,False)*$U$19+VLOOKUP($O186,'NO USAR1'!$A$4:$L$403,3,False)*$V$19+VLOOKUP($O186,'NO USAR1'!$A$4:$L$403,4,False)*$W$19+VLOOKUP($O186,'NO USAR1'!$A$4:$L$403,5,False)*$X$19+VLOOKUP($O186,'NO USAR1'!$A$4:$L$403,6,False)*$Y$19+VLOOKUP($O186,'NO USAR1'!$A$4:$L$403,7,False)*$Z$19+VLOOKUP($O186,'NO USAR1'!$A$4:$L$403,8,False)*$AA$19+VLOOKUP($O186,'NO USAR1'!$A$4:$L$403,10,False)*$AB$19+VLOOKUP($O186,'NO USAR1'!$A$4:$L$403,12,False)*$AC$19+IF(Projections!$K$3,-AN186, IF(Projections!$J$3,-AM186,0))</f>
        <v>-2.431850833</v>
      </c>
      <c r="T186" s="127">
        <f t="shared" si="1"/>
        <v>1.828561613</v>
      </c>
      <c r="U186" s="127">
        <f>VLOOKUP($O186,Update!$B$2:$R$401,11,False)</f>
        <v>12.7</v>
      </c>
      <c r="V186" s="122">
        <f>VLOOKUP($O186,Update!$B$2:$R$401,10,False)</f>
        <v>2.7</v>
      </c>
      <c r="W186" s="127">
        <f>VLOOKUP($O186,Update!$B$2:$R$401,12,False)</f>
        <v>3.6</v>
      </c>
      <c r="X186" s="127">
        <f>VLOOKUP($O186,Update!$B$2:$R$401,13,False)</f>
        <v>2.1</v>
      </c>
      <c r="Y186" s="127">
        <f>VLOOKUP($O186,Update!$B$2:$R$401,14,False)</f>
        <v>0.6</v>
      </c>
      <c r="Z186" s="132">
        <f>VLOOKUP($O186,Update!$B$2:$R$401,15,False)</f>
        <v>0.2</v>
      </c>
      <c r="AA186" s="127">
        <f>100*VLOOKUP($O186,Update!$B$2:$R$401,7,False)</f>
        <v>42.05607477</v>
      </c>
      <c r="AB186" s="127">
        <f>100*VLOOKUP($O186,Update!$B$2:$R$401,9,False)</f>
        <v>90.90909091</v>
      </c>
      <c r="AC186" s="127">
        <f>VLOOKUP($O186,Update!$B$2:$Q$401,16,False)</f>
        <v>1</v>
      </c>
      <c r="AD186" s="127">
        <f>VLOOKUP($O186,'NO USAR1'!$A$4:$L$403,2,False)*$U$19</f>
        <v>-0.7679185243</v>
      </c>
      <c r="AE186" s="127">
        <f>VLOOKUP($O186,'NO USAR1'!$A$4:$L$403,3,False)*$V$19</f>
        <v>0.9151099132</v>
      </c>
      <c r="AF186" s="127">
        <f>VLOOKUP($O186,'NO USAR1'!$A$4:$L$403,4,False)*$W$19</f>
        <v>-1.043432862</v>
      </c>
      <c r="AG186" s="127">
        <f>VLOOKUP($O186,'NO USAR1'!$A$4:$L$403,5,False)*$X$19</f>
        <v>-0.8894829113</v>
      </c>
      <c r="AH186" s="127">
        <f>VLOOKUP($O186,'NO USAR1'!$A$4:$L$403,6,False)*$Y$19</f>
        <v>-0.8605702752</v>
      </c>
      <c r="AI186" s="127">
        <f>VLOOKUP($O186,'NO USAR1'!$A$4:$L$403,7,False)*$Z$19</f>
        <v>-0.6583300762</v>
      </c>
      <c r="AJ186" s="127">
        <f>VLOOKUP($O186,'NO USAR1'!$A$4:$L$403,8,False)*$AA$19</f>
        <v>-0.8061174274</v>
      </c>
      <c r="AK186" s="132">
        <f>VLOOKUP($O186,'NO USAR1'!$A$4:$L$403,10,False)*$AB$19</f>
        <v>0.3266517223</v>
      </c>
      <c r="AL186" s="127">
        <f>VLOOKUP($O186,'NO USAR1'!$A$4:$L$403,12,False)*$AC$19</f>
        <v>0.3088067464</v>
      </c>
      <c r="AM186" s="133">
        <f t="shared" si="2"/>
        <v>-1.043432862</v>
      </c>
      <c r="AN186" s="133">
        <f t="shared" si="3"/>
        <v>-1.932915774</v>
      </c>
    </row>
    <row r="187">
      <c r="A187" s="118" t="str">
        <f>IF(Update!B185="",ROW(Update!B185),Update!B185)</f>
        <v>Royce O'Neale</v>
      </c>
      <c r="B187" s="119">
        <f>IF(TYPE($A187)=1,"",(Update!$L185-B$1)/B$2)</f>
        <v>-1.745371511</v>
      </c>
      <c r="C187" s="119">
        <f>IF(TYPE($A187)=1,"",(Update!$K185-C$1)/C$2)</f>
        <v>-0.04303528054</v>
      </c>
      <c r="D187" s="119">
        <f>IF(TYPE($A187)=1,"",(Update!$M185-D$1)/D$2)</f>
        <v>-0.7925406433</v>
      </c>
      <c r="E187" s="119">
        <f>IF(TYPE($A187)=1,"",(Update!$N185-E$1)/E$2)</f>
        <v>-0.5767914625</v>
      </c>
      <c r="F187" s="119">
        <f>IF(TYPE($A187)=1,"",(Update!$O185-F$1)/F$2)</f>
        <v>-0.6063863908</v>
      </c>
      <c r="G187" s="119">
        <f>IF(TYPE($A187)=1,"",(Update!$P185-G$1)/G$2)</f>
        <v>-0.3776893674</v>
      </c>
      <c r="H187" s="119">
        <f>IF(TYPE($A187)=1,"",(Update!$H185-H$1)/H$2*I187/$I$1)</f>
        <v>-0.4740294273</v>
      </c>
      <c r="I187" s="119">
        <f>IF(TYPE($A187)=1,"",IF(Update!H185=0,0,Update!G185/Update!H185))</f>
        <v>5.7</v>
      </c>
      <c r="J187" s="120">
        <f>IF(TYPE($A187)=1,"",(Update!$J185-J$1)/J$2*K187/$K$1)</f>
        <v>-0.164466294</v>
      </c>
      <c r="K187" s="121">
        <f>IF(TYPE($A187)=1,"",IF(Update!J185=0,0,Update!I185/Update!J185))</f>
        <v>0.7</v>
      </c>
      <c r="L187" s="119">
        <f>IF(TYPE($A187)=1,"",-(Update!$Q185-L$1)/L$2)</f>
        <v>1.111041967</v>
      </c>
      <c r="N187" s="33">
        <v>167.0</v>
      </c>
      <c r="O187" s="130" t="str">
        <f>IF(Update!B159="",ROW(Update!B159),Update!B159)</f>
        <v>Collin Sexton</v>
      </c>
      <c r="P187" s="131">
        <f>Update!E159</f>
        <v>62</v>
      </c>
      <c r="Q187" s="131" t="str">
        <f>IF(Update!C159="",ROW(Update!N174),Update!C159)</f>
        <v>PG,SG</v>
      </c>
      <c r="R187" s="127">
        <f>VLOOKUP($O187,'NO USAR1'!$A$4:$L$403,2,False)+VLOOKUP($O187,'NO USAR1'!$A$4:$L$403,3,False)+VLOOKUP($O187,'NO USAR1'!$A$4:$L$403,4,False)+VLOOKUP($O187,'NO USAR1'!$A$4:$L$403,5,False)+VLOOKUP($O187,'NO USAR1'!$A$4:$L$403,6,False)+VLOOKUP($O187,'NO USAR1'!$A$4:$L$403,7,False)+VLOOKUP($O187,'NO USAR1'!$A$4:$L$403,8,False)+VLOOKUP($O187,'NO USAR1'!$A$4:$L$403,10,False)+VLOOKUP($O187,'NO USAR1'!$A$4:$L$403,12,False)*0</f>
        <v>-4.278482372</v>
      </c>
      <c r="S187" s="127">
        <f>VLOOKUP($O187,'NO USAR1'!$A$4:$L$403,2,False)*$U$19+VLOOKUP($O187,'NO USAR1'!$A$4:$L$403,3,False)*$V$19+VLOOKUP($O187,'NO USAR1'!$A$4:$L$403,4,False)*$W$19+VLOOKUP($O187,'NO USAR1'!$A$4:$L$403,5,False)*$X$19+VLOOKUP($O187,'NO USAR1'!$A$4:$L$403,6,False)*$Y$19+VLOOKUP($O187,'NO USAR1'!$A$4:$L$403,7,False)*$Z$19+VLOOKUP($O187,'NO USAR1'!$A$4:$L$403,8,False)*$AA$19+VLOOKUP($O187,'NO USAR1'!$A$4:$L$403,10,False)*$AB$19+VLOOKUP($O187,'NO USAR1'!$A$4:$L$403,12,False)*$AC$19+IF(Projections!$K$3,-AN187, IF(Projections!$J$3,-AM187,0))</f>
        <v>-2.326601134</v>
      </c>
      <c r="T187" s="127">
        <f t="shared" si="1"/>
        <v>1.951881238</v>
      </c>
      <c r="U187" s="127">
        <f>VLOOKUP($O187,Update!$B$2:$R$401,11,False)</f>
        <v>16.7</v>
      </c>
      <c r="V187" s="122">
        <f>VLOOKUP($O187,Update!$B$2:$R$401,10,False)</f>
        <v>1.1</v>
      </c>
      <c r="W187" s="127">
        <f>VLOOKUP($O187,Update!$B$2:$R$401,12,False)</f>
        <v>2.7</v>
      </c>
      <c r="X187" s="127">
        <f>VLOOKUP($O187,Update!$B$2:$R$401,13,False)</f>
        <v>3.1</v>
      </c>
      <c r="Y187" s="127">
        <f>VLOOKUP($O187,Update!$B$2:$R$401,14,False)</f>
        <v>0.7</v>
      </c>
      <c r="Z187" s="132">
        <f>VLOOKUP($O187,Update!$B$2:$R$401,15,False)</f>
        <v>0.1</v>
      </c>
      <c r="AA187" s="127">
        <f>100*VLOOKUP($O187,Update!$B$2:$R$401,7,False)</f>
        <v>49.16666667</v>
      </c>
      <c r="AB187" s="127">
        <f>100*VLOOKUP($O187,Update!$B$2:$R$401,9,False)</f>
        <v>80.43478261</v>
      </c>
      <c r="AC187" s="127">
        <f>VLOOKUP($O187,Update!$B$2:$Q$401,16,False)</f>
        <v>2.2</v>
      </c>
      <c r="AD187" s="127">
        <f>VLOOKUP($O187,'NO USAR1'!$A$4:$L$403,2,False)*$U$19</f>
        <v>-0.09381301651</v>
      </c>
      <c r="AE187" s="127">
        <f>VLOOKUP($O187,'NO USAR1'!$A$4:$L$403,3,False)*$V$19</f>
        <v>-0.472296146</v>
      </c>
      <c r="AF187" s="127">
        <f>VLOOKUP($O187,'NO USAR1'!$A$4:$L$403,4,False)*$W$19</f>
        <v>-1.419771191</v>
      </c>
      <c r="AG187" s="127">
        <f>VLOOKUP($O187,'NO USAR1'!$A$4:$L$403,5,False)*$X$19</f>
        <v>-0.3794583062</v>
      </c>
      <c r="AH187" s="127">
        <f>VLOOKUP($O187,'NO USAR1'!$A$4:$L$403,6,False)*$Y$19</f>
        <v>-0.6425203744</v>
      </c>
      <c r="AI187" s="127">
        <f>VLOOKUP($O187,'NO USAR1'!$A$4:$L$403,7,False)*$Z$19</f>
        <v>-0.7896459159</v>
      </c>
      <c r="AJ187" s="127">
        <f>VLOOKUP($O187,'NO USAR1'!$A$4:$L$403,8,False)*$AA$19</f>
        <v>-0.05175433757</v>
      </c>
      <c r="AK187" s="132">
        <f>VLOOKUP($O187,'NO USAR1'!$A$4:$L$403,10,False)*$AB$19</f>
        <v>0.1666352722</v>
      </c>
      <c r="AL187" s="127">
        <f>VLOOKUP($O187,'NO USAR1'!$A$4:$L$403,12,False)*$AC$19</f>
        <v>-0.06374830958</v>
      </c>
      <c r="AM187" s="133">
        <f t="shared" si="2"/>
        <v>-1.419771191</v>
      </c>
      <c r="AN187" s="133">
        <f t="shared" si="3"/>
        <v>-2.209417107</v>
      </c>
    </row>
    <row r="188">
      <c r="A188" s="118" t="str">
        <f>IF(Update!B186="",ROW(Update!B186),Update!B186)</f>
        <v>Maxi Kleber</v>
      </c>
      <c r="B188" s="119">
        <f>IF(TYPE($A188)=1,"",(Update!$L186-B$1)/B$2)</f>
        <v>-1.661108322</v>
      </c>
      <c r="C188" s="119">
        <f>IF(TYPE($A188)=1,"",(Update!$K186-C$1)/C$2)</f>
        <v>-0.3320782095</v>
      </c>
      <c r="D188" s="119">
        <f>IF(TYPE($A188)=1,"",(Update!$M186-D$1)/D$2)</f>
        <v>-0.3325715749</v>
      </c>
      <c r="E188" s="119">
        <f>IF(TYPE($A188)=1,"",(Update!$N186-E$1)/E$2)</f>
        <v>-1.179547814</v>
      </c>
      <c r="F188" s="119">
        <f>IF(TYPE($A188)=1,"",(Update!$O186-F$1)/F$2)</f>
        <v>-1.540885966</v>
      </c>
      <c r="G188" s="119">
        <f>IF(TYPE($A188)=1,"",(Update!$P186-G$1)/G$2)</f>
        <v>0.5602809159</v>
      </c>
      <c r="H188" s="119">
        <f>IF(TYPE($A188)=1,"",(Update!$H186-H$1)/H$2*I188/$I$1)</f>
        <v>-0.3071062543</v>
      </c>
      <c r="I188" s="119">
        <f>IF(TYPE($A188)=1,"",IF(Update!H186=0,0,Update!G186/Update!H186))</f>
        <v>5.8</v>
      </c>
      <c r="J188" s="120">
        <f>IF(TYPE($A188)=1,"",(Update!$J186-J$1)/J$2*K188/$K$1)</f>
        <v>-0.2139962543</v>
      </c>
      <c r="K188" s="121">
        <f>IF(TYPE($A188)=1,"",IF(Update!J186=0,0,Update!I186/Update!J186))</f>
        <v>1.1</v>
      </c>
      <c r="L188" s="119">
        <f>IF(TYPE($A188)=1,"",-(Update!$Q186-L$1)/L$2)</f>
        <v>1.483597023</v>
      </c>
      <c r="N188" s="124">
        <v>168.0</v>
      </c>
      <c r="O188" s="130" t="str">
        <f>IF(Update!B168="",ROW(Update!B168),Update!B168)</f>
        <v>Gary Trent Jr.</v>
      </c>
      <c r="P188" s="131">
        <f>Update!E168</f>
        <v>65</v>
      </c>
      <c r="Q188" s="131" t="str">
        <f>IF(Update!C168="",ROW(Update!N183),Update!C168)</f>
        <v>PG,SG</v>
      </c>
      <c r="R188" s="127">
        <f>VLOOKUP($O188,'NO USAR1'!$A$4:$L$403,2,False)+VLOOKUP($O188,'NO USAR1'!$A$4:$L$403,3,False)+VLOOKUP($O188,'NO USAR1'!$A$4:$L$403,4,False)+VLOOKUP($O188,'NO USAR1'!$A$4:$L$403,5,False)+VLOOKUP($O188,'NO USAR1'!$A$4:$L$403,6,False)+VLOOKUP($O188,'NO USAR1'!$A$4:$L$403,7,False)+VLOOKUP($O188,'NO USAR1'!$A$4:$L$403,8,False)+VLOOKUP($O188,'NO USAR1'!$A$4:$L$403,10,False)+VLOOKUP($O188,'NO USAR1'!$A$4:$L$403,12,False)*0</f>
        <v>-4.327926049</v>
      </c>
      <c r="S188" s="127">
        <f>VLOOKUP($O188,'NO USAR1'!$A$4:$L$403,2,False)*$U$19+VLOOKUP($O188,'NO USAR1'!$A$4:$L$403,3,False)*$V$19+VLOOKUP($O188,'NO USAR1'!$A$4:$L$403,4,False)*$W$19+VLOOKUP($O188,'NO USAR1'!$A$4:$L$403,5,False)*$X$19+VLOOKUP($O188,'NO USAR1'!$A$4:$L$403,6,False)*$Y$19+VLOOKUP($O188,'NO USAR1'!$A$4:$L$403,7,False)*$Z$19+VLOOKUP($O188,'NO USAR1'!$A$4:$L$403,8,False)*$AA$19+VLOOKUP($O188,'NO USAR1'!$A$4:$L$403,10,False)*$AB$19+VLOOKUP($O188,'NO USAR1'!$A$4:$L$403,12,False)*$AC$19+IF(Projections!$K$3,-AN188, IF(Projections!$J$3,-AM188,0))</f>
        <v>-2.182914227</v>
      </c>
      <c r="T188" s="127">
        <f t="shared" si="1"/>
        <v>2.145011822</v>
      </c>
      <c r="U188" s="127">
        <f>VLOOKUP($O188,Update!$B$2:$R$401,11,False)</f>
        <v>12.9</v>
      </c>
      <c r="V188" s="122">
        <f>VLOOKUP($O188,Update!$B$2:$R$401,10,False)</f>
        <v>2</v>
      </c>
      <c r="W188" s="127">
        <f>VLOOKUP($O188,Update!$B$2:$R$401,12,False)</f>
        <v>1.9</v>
      </c>
      <c r="X188" s="127">
        <f>VLOOKUP($O188,Update!$B$2:$R$401,13,False)</f>
        <v>1.3</v>
      </c>
      <c r="Y188" s="127">
        <f>VLOOKUP($O188,Update!$B$2:$R$401,14,False)</f>
        <v>1.2</v>
      </c>
      <c r="Z188" s="132">
        <f>VLOOKUP($O188,Update!$B$2:$R$401,15,False)</f>
        <v>0.2</v>
      </c>
      <c r="AA188" s="127">
        <f>100*VLOOKUP($O188,Update!$B$2:$R$401,7,False)</f>
        <v>42.05607477</v>
      </c>
      <c r="AB188" s="127">
        <f>100*VLOOKUP($O188,Update!$B$2:$R$401,9,False)</f>
        <v>81.81818182</v>
      </c>
      <c r="AC188" s="127">
        <f>VLOOKUP($O188,Update!$B$2:$Q$401,16,False)</f>
        <v>0.7</v>
      </c>
      <c r="AD188" s="127">
        <f>VLOOKUP($O188,'NO USAR1'!$A$4:$L$403,2,False)*$U$19</f>
        <v>-0.7342132489</v>
      </c>
      <c r="AE188" s="127">
        <f>VLOOKUP($O188,'NO USAR1'!$A$4:$L$403,3,False)*$V$19</f>
        <v>0.3081197623</v>
      </c>
      <c r="AF188" s="127">
        <f>VLOOKUP($O188,'NO USAR1'!$A$4:$L$403,4,False)*$W$19</f>
        <v>-1.75429415</v>
      </c>
      <c r="AG188" s="127">
        <f>VLOOKUP($O188,'NO USAR1'!$A$4:$L$403,5,False)*$X$19</f>
        <v>-1.297502595</v>
      </c>
      <c r="AH188" s="127">
        <f>VLOOKUP($O188,'NO USAR1'!$A$4:$L$403,6,False)*$Y$19</f>
        <v>0.4477291296</v>
      </c>
      <c r="AI188" s="127">
        <f>VLOOKUP($O188,'NO USAR1'!$A$4:$L$403,7,False)*$Z$19</f>
        <v>-0.6583300762</v>
      </c>
      <c r="AJ188" s="127">
        <f>VLOOKUP($O188,'NO USAR1'!$A$4:$L$403,8,False)*$AA$19</f>
        <v>-0.8061174274</v>
      </c>
      <c r="AK188" s="132">
        <f>VLOOKUP($O188,'NO USAR1'!$A$4:$L$403,10,False)*$AB$19</f>
        <v>0.1554547189</v>
      </c>
      <c r="AL188" s="127">
        <f>VLOOKUP($O188,'NO USAR1'!$A$4:$L$403,12,False)*$AC$19</f>
        <v>0.4019455104</v>
      </c>
      <c r="AM188" s="133">
        <f t="shared" si="2"/>
        <v>-1.75429415</v>
      </c>
      <c r="AN188" s="133">
        <f t="shared" si="3"/>
        <v>-3.051796745</v>
      </c>
    </row>
    <row r="189">
      <c r="A189" s="118" t="str">
        <f>IF(Update!B187="",ROW(Update!B187),Update!B187)</f>
        <v>Terance Mann</v>
      </c>
      <c r="B189" s="119">
        <f>IF(TYPE($A189)=1,"",(Update!$L187-B$1)/B$2)</f>
        <v>-1.206087104</v>
      </c>
      <c r="C189" s="119">
        <f>IF(TYPE($A189)=1,"",(Update!$K187-C$1)/C$2)</f>
        <v>-0.5247734955</v>
      </c>
      <c r="D189" s="119">
        <f>IF(TYPE($A189)=1,"",(Update!$M187-D$1)/D$2)</f>
        <v>-0.7089099036</v>
      </c>
      <c r="E189" s="119">
        <f>IF(TYPE($A189)=1,"",(Update!$N187-E$1)/E$2)</f>
        <v>-0.6231573357</v>
      </c>
      <c r="F189" s="119">
        <f>IF(TYPE($A189)=1,"",(Update!$O187-F$1)/F$2)</f>
        <v>-1.229386107</v>
      </c>
      <c r="G189" s="119">
        <f>IF(TYPE($A189)=1,"",(Update!$P187-G$1)/G$2)</f>
        <v>-0.7528774808</v>
      </c>
      <c r="H189" s="119">
        <f>IF(TYPE($A189)=1,"",(Update!$H187-H$1)/H$2*I189/$I$1)</f>
        <v>0.03387078303</v>
      </c>
      <c r="I189" s="119">
        <f>IF(TYPE($A189)=1,"",IF(Update!H187=0,0,Update!G187/Update!H187))</f>
        <v>7.6</v>
      </c>
      <c r="J189" s="120">
        <f>IF(TYPE($A189)=1,"",(Update!$J187-J$1)/J$2*K189/$K$1)</f>
        <v>-0.06730709467</v>
      </c>
      <c r="K189" s="121">
        <f>IF(TYPE($A189)=1,"",IF(Update!J187=0,0,Update!I187/Update!J187))</f>
        <v>1.8</v>
      </c>
      <c r="L189" s="119">
        <f>IF(TYPE($A189)=1,"",-(Update!$Q187-L$1)/L$2)</f>
        <v>1.235226986</v>
      </c>
      <c r="N189" s="124">
        <v>169.0</v>
      </c>
      <c r="O189" s="130" t="str">
        <f>IF(Update!B180="",ROW(Update!B180),Update!B180)</f>
        <v>Kris Dunn</v>
      </c>
      <c r="P189" s="131">
        <f>Update!E180</f>
        <v>60</v>
      </c>
      <c r="Q189" s="131" t="str">
        <f>IF(Update!C180="",ROW(Update!N195),Update!C180)</f>
        <v>PG</v>
      </c>
      <c r="R189" s="127">
        <f>VLOOKUP($O189,'NO USAR1'!$A$4:$L$403,2,False)+VLOOKUP($O189,'NO USAR1'!$A$4:$L$403,3,False)+VLOOKUP($O189,'NO USAR1'!$A$4:$L$403,4,False)+VLOOKUP($O189,'NO USAR1'!$A$4:$L$403,5,False)+VLOOKUP($O189,'NO USAR1'!$A$4:$L$403,6,False)+VLOOKUP($O189,'NO USAR1'!$A$4:$L$403,7,False)+VLOOKUP($O189,'NO USAR1'!$A$4:$L$403,8,False)+VLOOKUP($O189,'NO USAR1'!$A$4:$L$403,10,False)+VLOOKUP($O189,'NO USAR1'!$A$4:$L$403,12,False)*0</f>
        <v>-4.34919101</v>
      </c>
      <c r="S189" s="127">
        <f>VLOOKUP($O189,'NO USAR1'!$A$4:$L$403,2,False)*$U$19+VLOOKUP($O189,'NO USAR1'!$A$4:$L$403,3,False)*$V$19+VLOOKUP($O189,'NO USAR1'!$A$4:$L$403,4,False)*$W$19+VLOOKUP($O189,'NO USAR1'!$A$4:$L$403,5,False)*$X$19+VLOOKUP($O189,'NO USAR1'!$A$4:$L$403,6,False)*$Y$19+VLOOKUP($O189,'NO USAR1'!$A$4:$L$403,7,False)*$Z$19+VLOOKUP($O189,'NO USAR1'!$A$4:$L$403,8,False)*$AA$19+VLOOKUP($O189,'NO USAR1'!$A$4:$L$403,10,False)*$AB$19+VLOOKUP($O189,'NO USAR1'!$A$4:$L$403,12,False)*$AC$19+IF(Projections!$K$3,-AN189, IF(Projections!$J$3,-AM189,0))</f>
        <v>-2.313435117</v>
      </c>
      <c r="T189" s="127">
        <f t="shared" si="1"/>
        <v>2.035755893</v>
      </c>
      <c r="U189" s="127">
        <f>VLOOKUP($O189,Update!$B$2:$R$401,11,False)</f>
        <v>8</v>
      </c>
      <c r="V189" s="122">
        <f>VLOOKUP($O189,Update!$B$2:$R$401,10,False)</f>
        <v>0.4</v>
      </c>
      <c r="W189" s="127">
        <f>VLOOKUP($O189,Update!$B$2:$R$401,12,False)</f>
        <v>3</v>
      </c>
      <c r="X189" s="127">
        <f>VLOOKUP($O189,Update!$B$2:$R$401,13,False)</f>
        <v>4.1</v>
      </c>
      <c r="Y189" s="127">
        <f>VLOOKUP($O189,Update!$B$2:$R$401,14,False)</f>
        <v>1</v>
      </c>
      <c r="Z189" s="132">
        <f>VLOOKUP($O189,Update!$B$2:$R$401,15,False)</f>
        <v>0.3</v>
      </c>
      <c r="AA189" s="127">
        <f>100*VLOOKUP($O189,Update!$B$2:$R$401,7,False)</f>
        <v>50</v>
      </c>
      <c r="AB189" s="127">
        <f>100*VLOOKUP($O189,Update!$B$2:$R$401,9,False)</f>
        <v>85.71428571</v>
      </c>
      <c r="AC189" s="127">
        <f>VLOOKUP($O189,Update!$B$2:$Q$401,16,False)</f>
        <v>1.4</v>
      </c>
      <c r="AD189" s="127">
        <f>VLOOKUP($O189,'NO USAR1'!$A$4:$L$403,2,False)*$U$19</f>
        <v>-1.559992496</v>
      </c>
      <c r="AE189" s="127">
        <f>VLOOKUP($O189,'NO USAR1'!$A$4:$L$403,3,False)*$V$19</f>
        <v>-1.079286297</v>
      </c>
      <c r="AF189" s="127">
        <f>VLOOKUP($O189,'NO USAR1'!$A$4:$L$403,4,False)*$W$19</f>
        <v>-1.294325082</v>
      </c>
      <c r="AG189" s="127">
        <f>VLOOKUP($O189,'NO USAR1'!$A$4:$L$403,5,False)*$X$19</f>
        <v>0.1305662989</v>
      </c>
      <c r="AH189" s="127">
        <f>VLOOKUP($O189,'NO USAR1'!$A$4:$L$403,6,False)*$Y$19</f>
        <v>0.01162932804</v>
      </c>
      <c r="AI189" s="127">
        <f>VLOOKUP($O189,'NO USAR1'!$A$4:$L$403,7,False)*$Z$19</f>
        <v>-0.5270142365</v>
      </c>
      <c r="AJ189" s="127">
        <f>VLOOKUP($O189,'NO USAR1'!$A$4:$L$403,8,False)*$AA$19</f>
        <v>0.02567048819</v>
      </c>
      <c r="AK189" s="132">
        <f>VLOOKUP($O189,'NO USAR1'!$A$4:$L$403,10,False)*$AB$19</f>
        <v>0.2347026554</v>
      </c>
      <c r="AL189" s="127">
        <f>VLOOKUP($O189,'NO USAR1'!$A$4:$L$403,12,False)*$AC$19</f>
        <v>0.1846217277</v>
      </c>
      <c r="AM189" s="133">
        <f t="shared" si="2"/>
        <v>-1.559992496</v>
      </c>
      <c r="AN189" s="133">
        <f t="shared" si="3"/>
        <v>-2.854317578</v>
      </c>
    </row>
    <row r="190">
      <c r="A190" s="118" t="str">
        <f>IF(Update!B188="",ROW(Update!B188),Update!B188)</f>
        <v>Isaiah Jackson</v>
      </c>
      <c r="B190" s="119">
        <f>IF(TYPE($A190)=1,"",(Update!$L188-B$1)/B$2)</f>
        <v>-1.576845134</v>
      </c>
      <c r="C190" s="119">
        <f>IF(TYPE($A190)=1,"",(Update!$K188-C$1)/C$2)</f>
        <v>-1.488249925</v>
      </c>
      <c r="D190" s="119">
        <f>IF(TYPE($A190)=1,"",(Update!$M188-D$1)/D$2)</f>
        <v>-0.6670945338</v>
      </c>
      <c r="E190" s="119">
        <f>IF(TYPE($A190)=1,"",(Update!$N188-E$1)/E$2)</f>
        <v>-1.504108926</v>
      </c>
      <c r="F190" s="119">
        <f>IF(TYPE($A190)=1,"",(Update!$O188-F$1)/F$2)</f>
        <v>-1.229386107</v>
      </c>
      <c r="G190" s="119">
        <f>IF(TYPE($A190)=1,"",(Update!$P188-G$1)/G$2)</f>
        <v>1.498251199</v>
      </c>
      <c r="H190" s="119">
        <f>IF(TYPE($A190)=1,"",(Update!$H188-H$1)/H$2*I190/$I$1)</f>
        <v>0.4129592622</v>
      </c>
      <c r="I190" s="119">
        <f>IF(TYPE($A190)=1,"",IF(Update!H188=0,0,Update!G188/Update!H188))</f>
        <v>5.5</v>
      </c>
      <c r="J190" s="120">
        <f>IF(TYPE($A190)=1,"",(Update!$J188-J$1)/J$2*K190/$K$1)</f>
        <v>-1.165239749</v>
      </c>
      <c r="K190" s="121">
        <f>IF(TYPE($A190)=1,"",IF(Update!J188=0,0,Update!I188/Update!J188))</f>
        <v>2.5</v>
      </c>
      <c r="L190" s="119">
        <f>IF(TYPE($A190)=1,"",-(Update!$Q188-L$1)/L$2)</f>
        <v>1.235226986</v>
      </c>
      <c r="N190" s="33">
        <v>170.0</v>
      </c>
      <c r="O190" s="130" t="str">
        <f>IF(Update!B169="",ROW(Update!B169),Update!B169)</f>
        <v>Isaiah Stewart</v>
      </c>
      <c r="P190" s="131">
        <f>Update!E169</f>
        <v>70</v>
      </c>
      <c r="Q190" s="131" t="str">
        <f>IF(Update!C169="",ROW(Update!N184),Update!C169)</f>
        <v>PF,C</v>
      </c>
      <c r="R190" s="127">
        <f>VLOOKUP($O190,'NO USAR1'!$A$4:$L$403,2,False)+VLOOKUP($O190,'NO USAR1'!$A$4:$L$403,3,False)+VLOOKUP($O190,'NO USAR1'!$A$4:$L$403,4,False)+VLOOKUP($O190,'NO USAR1'!$A$4:$L$403,5,False)+VLOOKUP($O190,'NO USAR1'!$A$4:$L$403,6,False)+VLOOKUP($O190,'NO USAR1'!$A$4:$L$403,7,False)+VLOOKUP($O190,'NO USAR1'!$A$4:$L$403,8,False)+VLOOKUP($O190,'NO USAR1'!$A$4:$L$403,10,False)+VLOOKUP($O190,'NO USAR1'!$A$4:$L$403,12,False)*0</f>
        <v>-4.366861838</v>
      </c>
      <c r="S190" s="127">
        <f>VLOOKUP($O190,'NO USAR1'!$A$4:$L$403,2,False)*$U$19+VLOOKUP($O190,'NO USAR1'!$A$4:$L$403,3,False)*$V$19+VLOOKUP($O190,'NO USAR1'!$A$4:$L$403,4,False)*$W$19+VLOOKUP($O190,'NO USAR1'!$A$4:$L$403,5,False)*$X$19+VLOOKUP($O190,'NO USAR1'!$A$4:$L$403,6,False)*$Y$19+VLOOKUP($O190,'NO USAR1'!$A$4:$L$403,7,False)*$Z$19+VLOOKUP($O190,'NO USAR1'!$A$4:$L$403,8,False)*$AA$19+VLOOKUP($O190,'NO USAR1'!$A$4:$L$403,10,False)*$AB$19+VLOOKUP($O190,'NO USAR1'!$A$4:$L$403,12,False)*$AC$19+IF(Projections!$K$3,-AN190, IF(Projections!$J$3,-AM190,0))</f>
        <v>-2.290988677</v>
      </c>
      <c r="T190" s="127">
        <f t="shared" si="1"/>
        <v>2.075873162</v>
      </c>
      <c r="U190" s="127">
        <f>VLOOKUP($O190,Update!$B$2:$R$401,11,False)</f>
        <v>10.8</v>
      </c>
      <c r="V190" s="122">
        <f>VLOOKUP($O190,Update!$B$2:$R$401,10,False)</f>
        <v>1.4</v>
      </c>
      <c r="W190" s="127">
        <f>VLOOKUP($O190,Update!$B$2:$R$401,12,False)</f>
        <v>8.2</v>
      </c>
      <c r="X190" s="127">
        <f>VLOOKUP($O190,Update!$B$2:$R$401,13,False)</f>
        <v>1.3</v>
      </c>
      <c r="Y190" s="127">
        <f>VLOOKUP($O190,Update!$B$2:$R$401,14,False)</f>
        <v>0.4</v>
      </c>
      <c r="Z190" s="132">
        <f>VLOOKUP($O190,Update!$B$2:$R$401,15,False)</f>
        <v>0.7</v>
      </c>
      <c r="AA190" s="127">
        <f>100*VLOOKUP($O190,Update!$B$2:$R$401,7,False)</f>
        <v>44.82758621</v>
      </c>
      <c r="AB190" s="127">
        <f>100*VLOOKUP($O190,Update!$B$2:$R$401,9,False)</f>
        <v>72.72727273</v>
      </c>
      <c r="AC190" s="127">
        <f>VLOOKUP($O190,Update!$B$2:$Q$401,16,False)</f>
        <v>1.4</v>
      </c>
      <c r="AD190" s="127">
        <f>VLOOKUP($O190,'NO USAR1'!$A$4:$L$403,2,False)*$U$19</f>
        <v>-1.088118641</v>
      </c>
      <c r="AE190" s="127">
        <f>VLOOKUP($O190,'NO USAR1'!$A$4:$L$403,3,False)*$V$19</f>
        <v>-0.2121575099</v>
      </c>
      <c r="AF190" s="127">
        <f>VLOOKUP($O190,'NO USAR1'!$A$4:$L$403,4,False)*$W$19</f>
        <v>0.8800741509</v>
      </c>
      <c r="AG190" s="127">
        <f>VLOOKUP($O190,'NO USAR1'!$A$4:$L$403,5,False)*$X$19</f>
        <v>-1.297502595</v>
      </c>
      <c r="AH190" s="127">
        <f>VLOOKUP($O190,'NO USAR1'!$A$4:$L$403,6,False)*$Y$19</f>
        <v>-1.296670077</v>
      </c>
      <c r="AI190" s="127">
        <f>VLOOKUP($O190,'NO USAR1'!$A$4:$L$403,7,False)*$Z$19</f>
        <v>-0.001750877862</v>
      </c>
      <c r="AJ190" s="127">
        <f>VLOOKUP($O190,'NO USAR1'!$A$4:$L$403,8,False)*$AA$19</f>
        <v>-0.4145934433</v>
      </c>
      <c r="AK190" s="132">
        <f>VLOOKUP($O190,'NO USAR1'!$A$4:$L$403,10,False)*$AB$19</f>
        <v>-0.3423940069</v>
      </c>
      <c r="AL190" s="127">
        <f>VLOOKUP($O190,'NO USAR1'!$A$4:$L$403,12,False)*$AC$19</f>
        <v>0.1846217277</v>
      </c>
      <c r="AM190" s="133">
        <f t="shared" si="2"/>
        <v>-1.297502595</v>
      </c>
      <c r="AN190" s="133">
        <f t="shared" si="3"/>
        <v>-2.594172672</v>
      </c>
    </row>
    <row r="191">
      <c r="A191" s="118" t="str">
        <f>IF(Update!B189="",ROW(Update!B189),Update!B189)</f>
        <v>Gabe Vincent</v>
      </c>
      <c r="B191" s="119">
        <f>IF(TYPE($A191)=1,"",(Update!$L189-B$1)/B$2)</f>
        <v>-1.172381829</v>
      </c>
      <c r="C191" s="119">
        <f>IF(TYPE($A191)=1,"",(Update!$K189-C$1)/C$2)</f>
        <v>0.3423552914</v>
      </c>
      <c r="D191" s="119">
        <f>IF(TYPE($A191)=1,"",(Update!$M189-D$1)/D$2)</f>
        <v>-1.587032671</v>
      </c>
      <c r="E191" s="119">
        <f>IF(TYPE($A191)=1,"",(Update!$N189-E$1)/E$2)</f>
        <v>-0.2985962234</v>
      </c>
      <c r="F191" s="119">
        <f>IF(TYPE($A191)=1,"",(Update!$O189-F$1)/F$2)</f>
        <v>0.01661332578</v>
      </c>
      <c r="G191" s="119">
        <f>IF(TYPE($A191)=1,"",(Update!$P189-G$1)/G$2)</f>
        <v>-1.128065594</v>
      </c>
      <c r="H191" s="119">
        <f>IF(TYPE($A191)=1,"",(Update!$H189-H$1)/H$2*I191/$I$1)</f>
        <v>-0.8477698882</v>
      </c>
      <c r="I191" s="119">
        <f>IF(TYPE($A191)=1,"",IF(Update!H189=0,0,Update!G189/Update!H189))</f>
        <v>9</v>
      </c>
      <c r="J191" s="120">
        <f>IF(TYPE($A191)=1,"",(Update!$J189-J$1)/J$2*K191/$K$1)</f>
        <v>0.09715919929</v>
      </c>
      <c r="K191" s="121">
        <f>IF(TYPE($A191)=1,"",IF(Update!J189=0,0,Update!I189/Update!J189))</f>
        <v>1.1</v>
      </c>
      <c r="L191" s="119">
        <f>IF(TYPE($A191)=1,"",-(Update!$Q189-L$1)/L$2)</f>
        <v>0.4901168736</v>
      </c>
      <c r="N191" s="124">
        <v>171.0</v>
      </c>
      <c r="O191" s="130" t="str">
        <f>IF(Update!B191="",ROW(Update!B191),Update!B191)</f>
        <v>Amen Thompson</v>
      </c>
      <c r="P191" s="131">
        <f>Update!E191</f>
        <v>70</v>
      </c>
      <c r="Q191" s="131" t="str">
        <f>IF(Update!C191="",ROW(Update!N206),Update!C191)</f>
        <v>SF</v>
      </c>
      <c r="R191" s="127">
        <f>VLOOKUP($O191,'NO USAR1'!$A$4:$L$403,2,False)+VLOOKUP($O191,'NO USAR1'!$A$4:$L$403,3,False)+VLOOKUP($O191,'NO USAR1'!$A$4:$L$403,4,False)+VLOOKUP($O191,'NO USAR1'!$A$4:$L$403,5,False)+VLOOKUP($O191,'NO USAR1'!$A$4:$L$403,6,False)+VLOOKUP($O191,'NO USAR1'!$A$4:$L$403,7,False)+VLOOKUP($O191,'NO USAR1'!$A$4:$L$403,8,False)+VLOOKUP($O191,'NO USAR1'!$A$4:$L$403,10,False)+VLOOKUP($O191,'NO USAR1'!$A$4:$L$403,12,False)*0</f>
        <v>-4.441815568</v>
      </c>
      <c r="S191" s="127">
        <f>VLOOKUP($O191,'NO USAR1'!$A$4:$L$403,2,False)*$U$19+VLOOKUP($O191,'NO USAR1'!$A$4:$L$403,3,False)*$V$19+VLOOKUP($O191,'NO USAR1'!$A$4:$L$403,4,False)*$W$19+VLOOKUP($O191,'NO USAR1'!$A$4:$L$403,5,False)*$X$19+VLOOKUP($O191,'NO USAR1'!$A$4:$L$403,6,False)*$Y$19+VLOOKUP($O191,'NO USAR1'!$A$4:$L$403,7,False)*$Z$19+VLOOKUP($O191,'NO USAR1'!$A$4:$L$403,8,False)*$AA$19+VLOOKUP($O191,'NO USAR1'!$A$4:$L$403,10,False)*$AB$19+VLOOKUP($O191,'NO USAR1'!$A$4:$L$403,12,False)*$AC$19+IF(Projections!$K$3,-AN191, IF(Projections!$J$3,-AM191,0))</f>
        <v>-3.034322718</v>
      </c>
      <c r="T191" s="127">
        <f t="shared" si="1"/>
        <v>1.40749285</v>
      </c>
      <c r="U191" s="127">
        <f>VLOOKUP($O191,Update!$B$2:$R$401,11,False)</f>
        <v>12.2</v>
      </c>
      <c r="V191" s="122">
        <f>VLOOKUP($O191,Update!$B$2:$R$401,10,False)</f>
        <v>0.5</v>
      </c>
      <c r="W191" s="127">
        <f>VLOOKUP($O191,Update!$B$2:$R$401,12,False)</f>
        <v>3.7</v>
      </c>
      <c r="X191" s="127">
        <f>VLOOKUP($O191,Update!$B$2:$R$401,13,False)</f>
        <v>4.4</v>
      </c>
      <c r="Y191" s="127">
        <f>VLOOKUP($O191,Update!$B$2:$R$401,14,False)</f>
        <v>1.1</v>
      </c>
      <c r="Z191" s="132">
        <f>VLOOKUP($O191,Update!$B$2:$R$401,15,False)</f>
        <v>0.5</v>
      </c>
      <c r="AA191" s="127">
        <f>100*VLOOKUP($O191,Update!$B$2:$R$401,7,False)</f>
        <v>45</v>
      </c>
      <c r="AB191" s="127">
        <f>100*VLOOKUP($O191,Update!$B$2:$R$401,9,False)</f>
        <v>69.23076923</v>
      </c>
      <c r="AC191" s="127">
        <f>VLOOKUP($O191,Update!$B$2:$Q$401,16,False)</f>
        <v>2.1</v>
      </c>
      <c r="AD191" s="127">
        <f>VLOOKUP($O191,'NO USAR1'!$A$4:$L$403,2,False)*$U$19</f>
        <v>-0.8521817128</v>
      </c>
      <c r="AE191" s="127">
        <f>VLOOKUP($O191,'NO USAR1'!$A$4:$L$403,3,False)*$V$19</f>
        <v>-0.9925734181</v>
      </c>
      <c r="AF191" s="127">
        <f>VLOOKUP($O191,'NO USAR1'!$A$4:$L$403,4,False)*$W$19</f>
        <v>-1.001617493</v>
      </c>
      <c r="AG191" s="127">
        <f>VLOOKUP($O191,'NO USAR1'!$A$4:$L$403,5,False)*$X$19</f>
        <v>0.2835736804</v>
      </c>
      <c r="AH191" s="127">
        <f>VLOOKUP($O191,'NO USAR1'!$A$4:$L$403,6,False)*$Y$19</f>
        <v>0.2296792288</v>
      </c>
      <c r="AI191" s="127">
        <f>VLOOKUP($O191,'NO USAR1'!$A$4:$L$403,7,False)*$Z$19</f>
        <v>-0.2643825572</v>
      </c>
      <c r="AJ191" s="127">
        <f>VLOOKUP($O191,'NO USAR1'!$A$4:$L$403,8,False)*$AA$19</f>
        <v>-0.4593223768</v>
      </c>
      <c r="AK191" s="132">
        <f>VLOOKUP($O191,'NO USAR1'!$A$4:$L$403,10,False)*$AB$19</f>
        <v>-0.946413507</v>
      </c>
      <c r="AL191" s="127">
        <f>VLOOKUP($O191,'NO USAR1'!$A$4:$L$403,12,False)*$AC$19</f>
        <v>-0.03270205491</v>
      </c>
      <c r="AM191" s="133">
        <f t="shared" si="2"/>
        <v>-1.001617493</v>
      </c>
      <c r="AN191" s="133">
        <f t="shared" si="3"/>
        <v>-1.994190911</v>
      </c>
    </row>
    <row r="192">
      <c r="A192" s="118" t="str">
        <f>IF(Update!B190="",ROW(Update!B190),Update!B190)</f>
        <v>De'Andre Hunter</v>
      </c>
      <c r="B192" s="119">
        <f>IF(TYPE($A192)=1,"",(Update!$L190-B$1)/B$2)</f>
        <v>-0.397160495</v>
      </c>
      <c r="C192" s="119">
        <f>IF(TYPE($A192)=1,"",(Update!$K190-C$1)/C$2)</f>
        <v>-0.1393829235</v>
      </c>
      <c r="D192" s="119">
        <f>IF(TYPE($A192)=1,"",(Update!$M190-D$1)/D$2)</f>
        <v>-0.9179867529</v>
      </c>
      <c r="E192" s="119">
        <f>IF(TYPE($A192)=1,"",(Update!$N190-E$1)/E$2)</f>
        <v>-1.133181941</v>
      </c>
      <c r="F192" s="119">
        <f>IF(TYPE($A192)=1,"",(Update!$O190-F$1)/F$2)</f>
        <v>-1.229386107</v>
      </c>
      <c r="G192" s="119">
        <f>IF(TYPE($A192)=1,"",(Update!$P190-G$1)/G$2)</f>
        <v>-0.7528774808</v>
      </c>
      <c r="H192" s="119">
        <f>IF(TYPE($A192)=1,"",(Update!$H190-H$1)/H$2*I192/$I$1)</f>
        <v>-0.6124298358</v>
      </c>
      <c r="I192" s="119">
        <f>IF(TYPE($A192)=1,"",IF(Update!H190=0,0,Update!G190/Update!H190))</f>
        <v>12</v>
      </c>
      <c r="J192" s="120">
        <f>IF(TYPE($A192)=1,"",(Update!$J190-J$1)/J$2*K192/$K$1)</f>
        <v>0.2260712246</v>
      </c>
      <c r="K192" s="121">
        <f>IF(TYPE($A192)=1,"",IF(Update!J190=0,0,Update!I190/Update!J190))</f>
        <v>3.2</v>
      </c>
      <c r="L192" s="119">
        <f>IF(TYPE($A192)=1,"",-(Update!$Q190-L$1)/L$2)</f>
        <v>0.8626719296</v>
      </c>
      <c r="N192" s="124">
        <v>172.0</v>
      </c>
      <c r="O192" s="130" t="str">
        <f>IF(Update!B195="",ROW(Update!B195),Update!B195)</f>
        <v>Jose Alvarado</v>
      </c>
      <c r="P192" s="131">
        <f>Update!E195</f>
        <v>67</v>
      </c>
      <c r="Q192" s="131" t="str">
        <f>IF(Update!C195="",ROW(Update!N210),Update!C195)</f>
        <v>PG</v>
      </c>
      <c r="R192" s="127">
        <f>VLOOKUP($O192,'NO USAR1'!$A$4:$L$403,2,False)+VLOOKUP($O192,'NO USAR1'!$A$4:$L$403,3,False)+VLOOKUP($O192,'NO USAR1'!$A$4:$L$403,4,False)+VLOOKUP($O192,'NO USAR1'!$A$4:$L$403,5,False)+VLOOKUP($O192,'NO USAR1'!$A$4:$L$403,6,False)+VLOOKUP($O192,'NO USAR1'!$A$4:$L$403,7,False)+VLOOKUP($O192,'NO USAR1'!$A$4:$L$403,8,False)+VLOOKUP($O192,'NO USAR1'!$A$4:$L$403,10,False)+VLOOKUP($O192,'NO USAR1'!$A$4:$L$403,12,False)*0</f>
        <v>-4.489300371</v>
      </c>
      <c r="S192" s="127">
        <f>VLOOKUP($O192,'NO USAR1'!$A$4:$L$403,2,False)*$U$19+VLOOKUP($O192,'NO USAR1'!$A$4:$L$403,3,False)*$V$19+VLOOKUP($O192,'NO USAR1'!$A$4:$L$403,4,False)*$W$19+VLOOKUP($O192,'NO USAR1'!$A$4:$L$403,5,False)*$X$19+VLOOKUP($O192,'NO USAR1'!$A$4:$L$403,6,False)*$Y$19+VLOOKUP($O192,'NO USAR1'!$A$4:$L$403,7,False)*$Z$19+VLOOKUP($O192,'NO USAR1'!$A$4:$L$403,8,False)*$AA$19+VLOOKUP($O192,'NO USAR1'!$A$4:$L$403,10,False)*$AB$19+VLOOKUP($O192,'NO USAR1'!$A$4:$L$403,12,False)*$AC$19+IF(Projections!$K$3,-AN192, IF(Projections!$J$3,-AM192,0))</f>
        <v>-2.557155616</v>
      </c>
      <c r="T192" s="127">
        <f t="shared" si="1"/>
        <v>1.932144755</v>
      </c>
      <c r="U192" s="127">
        <f>VLOOKUP($O192,Update!$B$2:$R$401,11,False)</f>
        <v>8.5</v>
      </c>
      <c r="V192" s="122">
        <f>VLOOKUP($O192,Update!$B$2:$R$401,10,False)</f>
        <v>1.1</v>
      </c>
      <c r="W192" s="127">
        <f>VLOOKUP($O192,Update!$B$2:$R$401,12,False)</f>
        <v>2.3</v>
      </c>
      <c r="X192" s="127">
        <f>VLOOKUP($O192,Update!$B$2:$R$401,13,False)</f>
        <v>3.3</v>
      </c>
      <c r="Y192" s="127">
        <f>VLOOKUP($O192,Update!$B$2:$R$401,14,False)</f>
        <v>1.3</v>
      </c>
      <c r="Z192" s="132">
        <f>VLOOKUP($O192,Update!$B$2:$R$401,15,False)</f>
        <v>0.2</v>
      </c>
      <c r="AA192" s="127">
        <f>100*VLOOKUP($O192,Update!$B$2:$R$401,7,False)</f>
        <v>42.66666667</v>
      </c>
      <c r="AB192" s="127">
        <f>100*VLOOKUP($O192,Update!$B$2:$R$401,9,False)</f>
        <v>76.92307692</v>
      </c>
      <c r="AC192" s="127">
        <f>VLOOKUP($O192,Update!$B$2:$Q$401,16,False)</f>
        <v>1.2</v>
      </c>
      <c r="AD192" s="127">
        <f>VLOOKUP($O192,'NO USAR1'!$A$4:$L$403,2,False)*$U$19</f>
        <v>-1.475729308</v>
      </c>
      <c r="AE192" s="127">
        <f>VLOOKUP($O192,'NO USAR1'!$A$4:$L$403,3,False)*$V$19</f>
        <v>-0.472296146</v>
      </c>
      <c r="AF192" s="127">
        <f>VLOOKUP($O192,'NO USAR1'!$A$4:$L$403,4,False)*$W$19</f>
        <v>-1.587032671</v>
      </c>
      <c r="AG192" s="127">
        <f>VLOOKUP($O192,'NO USAR1'!$A$4:$L$403,5,False)*$X$19</f>
        <v>-0.2774533852</v>
      </c>
      <c r="AH192" s="127">
        <f>VLOOKUP($O192,'NO USAR1'!$A$4:$L$403,6,False)*$Y$19</f>
        <v>0.6657790304</v>
      </c>
      <c r="AI192" s="127">
        <f>VLOOKUP($O192,'NO USAR1'!$A$4:$L$403,7,False)*$Z$19</f>
        <v>-0.6583300762</v>
      </c>
      <c r="AJ192" s="127">
        <f>VLOOKUP($O192,'NO USAR1'!$A$4:$L$403,8,False)*$AA$19</f>
        <v>-0.5192931627</v>
      </c>
      <c r="AK192" s="132">
        <f>VLOOKUP($O192,'NO USAR1'!$A$4:$L$403,10,False)*$AB$19</f>
        <v>-0.06654680613</v>
      </c>
      <c r="AL192" s="127">
        <f>VLOOKUP($O192,'NO USAR1'!$A$4:$L$403,12,False)*$AC$19</f>
        <v>0.2467142371</v>
      </c>
      <c r="AM192" s="133">
        <f t="shared" si="2"/>
        <v>-1.587032671</v>
      </c>
      <c r="AN192" s="133">
        <f t="shared" si="3"/>
        <v>-3.062761978</v>
      </c>
    </row>
    <row r="193">
      <c r="A193" s="118" t="str">
        <f>IF(Update!B191="",ROW(Update!B191),Update!B191)</f>
        <v>Amen Thompson</v>
      </c>
      <c r="B193" s="119">
        <f>IF(TYPE($A193)=1,"",(Update!$L191-B$1)/B$2)</f>
        <v>-0.8521817128</v>
      </c>
      <c r="C193" s="119">
        <f>IF(TYPE($A193)=1,"",(Update!$K191-C$1)/C$2)</f>
        <v>-1.102859353</v>
      </c>
      <c r="D193" s="119">
        <f>IF(TYPE($A193)=1,"",(Update!$M191-D$1)/D$2)</f>
        <v>-1.001617493</v>
      </c>
      <c r="E193" s="119">
        <f>IF(TYPE($A193)=1,"",(Update!$N191-E$1)/E$2)</f>
        <v>0.2577942549</v>
      </c>
      <c r="F193" s="119">
        <f>IF(TYPE($A193)=1,"",(Update!$O191-F$1)/F$2)</f>
        <v>0.3281131841</v>
      </c>
      <c r="G193" s="119">
        <f>IF(TYPE($A193)=1,"",(Update!$P191-G$1)/G$2)</f>
        <v>-0.3776893674</v>
      </c>
      <c r="H193" s="119">
        <f>IF(TYPE($A193)=1,"",(Update!$H191-H$1)/H$2*I193/$I$1)</f>
        <v>-0.5103581965</v>
      </c>
      <c r="I193" s="119">
        <f>IF(TYPE($A193)=1,"",IF(Update!H191=0,0,Update!G191/Update!H191))</f>
        <v>10</v>
      </c>
      <c r="J193" s="120">
        <f>IF(TYPE($A193)=1,"",(Update!$J191-J$1)/J$2*K193/$K$1)</f>
        <v>-1.183016884</v>
      </c>
      <c r="K193" s="121">
        <f>IF(TYPE($A193)=1,"",IF(Update!J191=0,0,Update!I191/Update!J191))</f>
        <v>3.9</v>
      </c>
      <c r="L193" s="119">
        <f>IF(TYPE($A193)=1,"",-(Update!$Q191-L$1)/L$2)</f>
        <v>-0.1308082197</v>
      </c>
      <c r="N193" s="33">
        <v>173.0</v>
      </c>
      <c r="O193" s="130" t="str">
        <f>IF(Update!B205="",ROW(Update!B205),Update!B205)</f>
        <v>Jalen Suggs</v>
      </c>
      <c r="P193" s="131">
        <f>Update!E205</f>
        <v>56</v>
      </c>
      <c r="Q193" s="131" t="str">
        <f>IF(Update!C205="",ROW(Update!N220),Update!C205)</f>
        <v>PG,SG</v>
      </c>
      <c r="R193" s="127">
        <f>VLOOKUP($O193,'NO USAR1'!$A$4:$L$403,2,False)+VLOOKUP($O193,'NO USAR1'!$A$4:$L$403,3,False)+VLOOKUP($O193,'NO USAR1'!$A$4:$L$403,4,False)+VLOOKUP($O193,'NO USAR1'!$A$4:$L$403,5,False)+VLOOKUP($O193,'NO USAR1'!$A$4:$L$403,6,False)+VLOOKUP($O193,'NO USAR1'!$A$4:$L$403,7,False)+VLOOKUP($O193,'NO USAR1'!$A$4:$L$403,8,False)+VLOOKUP($O193,'NO USAR1'!$A$4:$L$403,10,False)+VLOOKUP($O193,'NO USAR1'!$A$4:$L$403,12,False)*0</f>
        <v>-4.548418525</v>
      </c>
      <c r="S193" s="127">
        <f>VLOOKUP($O193,'NO USAR1'!$A$4:$L$403,2,False)*$U$19+VLOOKUP($O193,'NO USAR1'!$A$4:$L$403,3,False)*$V$19+VLOOKUP($O193,'NO USAR1'!$A$4:$L$403,4,False)*$W$19+VLOOKUP($O193,'NO USAR1'!$A$4:$L$403,5,False)*$X$19+VLOOKUP($O193,'NO USAR1'!$A$4:$L$403,6,False)*$Y$19+VLOOKUP($O193,'NO USAR1'!$A$4:$L$403,7,False)*$Z$19+VLOOKUP($O193,'NO USAR1'!$A$4:$L$403,8,False)*$AA$19+VLOOKUP($O193,'NO USAR1'!$A$4:$L$403,10,False)*$AB$19+VLOOKUP($O193,'NO USAR1'!$A$4:$L$403,12,False)*$AC$19+IF(Projections!$K$3,-AN193, IF(Projections!$J$3,-AM193,0))</f>
        <v>-3.162131634</v>
      </c>
      <c r="T193" s="127">
        <f t="shared" si="1"/>
        <v>1.386286891</v>
      </c>
      <c r="U193" s="127">
        <f>VLOOKUP($O193,Update!$B$2:$R$401,11,False)</f>
        <v>10.3</v>
      </c>
      <c r="V193" s="122">
        <f>VLOOKUP($O193,Update!$B$2:$R$401,10,False)</f>
        <v>1</v>
      </c>
      <c r="W193" s="127">
        <f>VLOOKUP($O193,Update!$B$2:$R$401,12,False)</f>
        <v>3.1</v>
      </c>
      <c r="X193" s="127">
        <f>VLOOKUP($O193,Update!$B$2:$R$401,13,False)</f>
        <v>3.4</v>
      </c>
      <c r="Y193" s="127">
        <f>VLOOKUP($O193,Update!$B$2:$R$401,14,False)</f>
        <v>1.2</v>
      </c>
      <c r="Z193" s="132">
        <f>VLOOKUP($O193,Update!$B$2:$R$401,15,False)</f>
        <v>0.4</v>
      </c>
      <c r="AA193" s="127">
        <f>100*VLOOKUP($O193,Update!$B$2:$R$401,7,False)</f>
        <v>40</v>
      </c>
      <c r="AB193" s="127">
        <f>100*VLOOKUP($O193,Update!$B$2:$R$401,9,False)</f>
        <v>74.07407407</v>
      </c>
      <c r="AC193" s="127">
        <f>VLOOKUP($O193,Update!$B$2:$Q$401,16,False)</f>
        <v>2.2</v>
      </c>
      <c r="AD193" s="127">
        <f>VLOOKUP($O193,'NO USAR1'!$A$4:$L$403,2,False)*$U$19</f>
        <v>-1.172381829</v>
      </c>
      <c r="AE193" s="127">
        <f>VLOOKUP($O193,'NO USAR1'!$A$4:$L$403,3,False)*$V$19</f>
        <v>-0.5590090247</v>
      </c>
      <c r="AF193" s="127">
        <f>VLOOKUP($O193,'NO USAR1'!$A$4:$L$403,4,False)*$W$19</f>
        <v>-1.252509712</v>
      </c>
      <c r="AG193" s="127">
        <f>VLOOKUP($O193,'NO USAR1'!$A$4:$L$403,5,False)*$X$19</f>
        <v>-0.2264509247</v>
      </c>
      <c r="AH193" s="127">
        <f>VLOOKUP($O193,'NO USAR1'!$A$4:$L$403,6,False)*$Y$19</f>
        <v>0.4477291296</v>
      </c>
      <c r="AI193" s="127">
        <f>VLOOKUP($O193,'NO USAR1'!$A$4:$L$403,7,False)*$Z$19</f>
        <v>-0.3956983969</v>
      </c>
      <c r="AJ193" s="127">
        <f>VLOOKUP($O193,'NO USAR1'!$A$4:$L$403,8,False)*$AA$19</f>
        <v>-0.8628794023</v>
      </c>
      <c r="AK193" s="132">
        <f>VLOOKUP($O193,'NO USAR1'!$A$4:$L$403,10,False)*$AB$19</f>
        <v>-0.3296928765</v>
      </c>
      <c r="AL193" s="127">
        <f>VLOOKUP($O193,'NO USAR1'!$A$4:$L$403,12,False)*$AC$19</f>
        <v>-0.06374830958</v>
      </c>
      <c r="AM193" s="133">
        <f t="shared" si="2"/>
        <v>-1.252509712</v>
      </c>
      <c r="AN193" s="133">
        <f t="shared" si="3"/>
        <v>-2.424891541</v>
      </c>
    </row>
    <row r="194">
      <c r="A194" s="118" t="str">
        <f>IF(Update!B192="",ROW(Update!B192),Update!B192)</f>
        <v>Naz Reid</v>
      </c>
      <c r="B194" s="119">
        <f>IF(TYPE($A194)=1,"",(Update!$L192-B$1)/B$2)</f>
        <v>-1.307202931</v>
      </c>
      <c r="C194" s="119">
        <f>IF(TYPE($A194)=1,"",(Update!$K192-C$1)/C$2)</f>
        <v>-0.7174687815</v>
      </c>
      <c r="D194" s="119">
        <f>IF(TYPE($A194)=1,"",(Update!$M192-D$1)/D$2)</f>
        <v>-0.7507252735</v>
      </c>
      <c r="E194" s="119">
        <f>IF(TYPE($A194)=1,"",(Update!$N192-E$1)/E$2)</f>
        <v>-1.318645434</v>
      </c>
      <c r="F194" s="119">
        <f>IF(TYPE($A194)=1,"",(Update!$O192-F$1)/F$2)</f>
        <v>-1.229386107</v>
      </c>
      <c r="G194" s="119">
        <f>IF(TYPE($A194)=1,"",(Update!$P192-G$1)/G$2)</f>
        <v>0.1850928026</v>
      </c>
      <c r="H194" s="119">
        <f>IF(TYPE($A194)=1,"",(Update!$H192-H$1)/H$2*I194/$I$1)</f>
        <v>0.1981199469</v>
      </c>
      <c r="I194" s="119">
        <f>IF(TYPE($A194)=1,"",IF(Update!H192=0,0,Update!G192/Update!H192))</f>
        <v>7.1</v>
      </c>
      <c r="J194" s="120">
        <f>IF(TYPE($A194)=1,"",(Update!$J192-J$1)/J$2*K194/$K$1)</f>
        <v>-0.6242116285</v>
      </c>
      <c r="K194" s="121">
        <f>IF(TYPE($A194)=1,"",IF(Update!J192=0,0,Update!I192/Update!J192))</f>
        <v>1.9</v>
      </c>
      <c r="L194" s="119">
        <f>IF(TYPE($A194)=1,"",-(Update!$Q192-L$1)/L$2)</f>
        <v>0.9868569483</v>
      </c>
      <c r="N194" s="124">
        <v>174.0</v>
      </c>
      <c r="O194" s="130" t="str">
        <f>IF(Update!B209="",ROW(Update!B209),Update!B209)</f>
        <v>Jonathan Isaac</v>
      </c>
      <c r="P194" s="131">
        <f>Update!E209</f>
        <v>30</v>
      </c>
      <c r="Q194" s="131" t="str">
        <f>IF(Update!C209="",ROW(Update!N224),Update!C209)</f>
        <v>SF,PF</v>
      </c>
      <c r="R194" s="127">
        <f>VLOOKUP($O194,'NO USAR1'!$A$4:$L$403,2,False)+VLOOKUP($O194,'NO USAR1'!$A$4:$L$403,3,False)+VLOOKUP($O194,'NO USAR1'!$A$4:$L$403,4,False)+VLOOKUP($O194,'NO USAR1'!$A$4:$L$403,5,False)+VLOOKUP($O194,'NO USAR1'!$A$4:$L$403,6,False)+VLOOKUP($O194,'NO USAR1'!$A$4:$L$403,7,False)+VLOOKUP($O194,'NO USAR1'!$A$4:$L$403,8,False)+VLOOKUP($O194,'NO USAR1'!$A$4:$L$403,10,False)+VLOOKUP($O194,'NO USAR1'!$A$4:$L$403,12,False)*0</f>
        <v>-4.549397208</v>
      </c>
      <c r="S194" s="127">
        <f>VLOOKUP($O194,'NO USAR1'!$A$4:$L$403,2,False)*$U$19+VLOOKUP($O194,'NO USAR1'!$A$4:$L$403,3,False)*$V$19+VLOOKUP($O194,'NO USAR1'!$A$4:$L$403,4,False)*$W$19+VLOOKUP($O194,'NO USAR1'!$A$4:$L$403,5,False)*$X$19+VLOOKUP($O194,'NO USAR1'!$A$4:$L$403,6,False)*$Y$19+VLOOKUP($O194,'NO USAR1'!$A$4:$L$403,7,False)*$Z$19+VLOOKUP($O194,'NO USAR1'!$A$4:$L$403,8,False)*$AA$19+VLOOKUP($O194,'NO USAR1'!$A$4:$L$403,10,False)*$AB$19+VLOOKUP($O194,'NO USAR1'!$A$4:$L$403,12,False)*$AC$19+IF(Projections!$K$3,-AN194, IF(Projections!$J$3,-AM194,0))</f>
        <v>-2.553996717</v>
      </c>
      <c r="T194" s="127">
        <f t="shared" si="1"/>
        <v>1.995400491</v>
      </c>
      <c r="U194" s="127">
        <f>VLOOKUP($O194,Update!$B$2:$R$401,11,False)</f>
        <v>7.6</v>
      </c>
      <c r="V194" s="122">
        <f>VLOOKUP($O194,Update!$B$2:$R$401,10,False)</f>
        <v>0.8</v>
      </c>
      <c r="W194" s="127">
        <f>VLOOKUP($O194,Update!$B$2:$R$401,12,False)</f>
        <v>6.1</v>
      </c>
      <c r="X194" s="127">
        <f>VLOOKUP($O194,Update!$B$2:$R$401,13,False)</f>
        <v>0.8</v>
      </c>
      <c r="Y194" s="127">
        <f>VLOOKUP($O194,Update!$B$2:$R$401,14,False)</f>
        <v>1.3</v>
      </c>
      <c r="Z194" s="132">
        <f>VLOOKUP($O194,Update!$B$2:$R$401,15,False)</f>
        <v>0.6</v>
      </c>
      <c r="AA194" s="127">
        <f>100*VLOOKUP($O194,Update!$B$2:$R$401,7,False)</f>
        <v>41.09589041</v>
      </c>
      <c r="AB194" s="127">
        <f>100*VLOOKUP($O194,Update!$B$2:$R$401,9,False)</f>
        <v>58.33333333</v>
      </c>
      <c r="AC194" s="127">
        <f>VLOOKUP($O194,Update!$B$2:$Q$401,16,False)</f>
        <v>0.6</v>
      </c>
      <c r="AD194" s="127">
        <f>VLOOKUP($O194,'NO USAR1'!$A$4:$L$403,2,False)*$U$19</f>
        <v>-1.627403047</v>
      </c>
      <c r="AE194" s="127">
        <f>VLOOKUP($O194,'NO USAR1'!$A$4:$L$403,3,False)*$V$19</f>
        <v>-0.7324347821</v>
      </c>
      <c r="AF194" s="127">
        <f>VLOOKUP($O194,'NO USAR1'!$A$4:$L$403,4,False)*$W$19</f>
        <v>0.001951383927</v>
      </c>
      <c r="AG194" s="127">
        <f>VLOOKUP($O194,'NO USAR1'!$A$4:$L$403,5,False)*$X$19</f>
        <v>-1.552514898</v>
      </c>
      <c r="AH194" s="127">
        <f>VLOOKUP($O194,'NO USAR1'!$A$4:$L$403,6,False)*$Y$19</f>
        <v>0.6657790304</v>
      </c>
      <c r="AI194" s="127">
        <f>VLOOKUP($O194,'NO USAR1'!$A$4:$L$403,7,False)*$Z$19</f>
        <v>-0.1330667175</v>
      </c>
      <c r="AJ194" s="127">
        <f>VLOOKUP($O194,'NO USAR1'!$A$4:$L$403,8,False)*$AA$19</f>
        <v>-0.6199818684</v>
      </c>
      <c r="AK194" s="132">
        <f>VLOOKUP($O194,'NO USAR1'!$A$4:$L$403,10,False)*$AB$19</f>
        <v>-0.6167206305</v>
      </c>
      <c r="AL194" s="127">
        <f>VLOOKUP($O194,'NO USAR1'!$A$4:$L$403,12,False)*$AC$19</f>
        <v>0.4329917651</v>
      </c>
      <c r="AM194" s="133">
        <f t="shared" si="2"/>
        <v>-1.627403047</v>
      </c>
      <c r="AN194" s="133">
        <f t="shared" si="3"/>
        <v>-3.179917945</v>
      </c>
    </row>
    <row r="195">
      <c r="A195" s="118" t="str">
        <f>IF(Update!B193="",ROW(Update!B193),Update!B193)</f>
        <v>Marvin Bagley III</v>
      </c>
      <c r="B195" s="119">
        <f>IF(TYPE($A195)=1,"",(Update!$L193-B$1)/B$2)</f>
        <v>-1.003855452</v>
      </c>
      <c r="C195" s="119">
        <f>IF(TYPE($A195)=1,"",(Update!$K193-C$1)/C$2)</f>
        <v>-1.102859353</v>
      </c>
      <c r="D195" s="119">
        <f>IF(TYPE($A195)=1,"",(Update!$M193-D$1)/D$2)</f>
        <v>0.2110282332</v>
      </c>
      <c r="E195" s="119">
        <f>IF(TYPE($A195)=1,"",(Update!$N193-E$1)/E$2)</f>
        <v>-1.41137718</v>
      </c>
      <c r="F195" s="119">
        <f>IF(TYPE($A195)=1,"",(Update!$O193-F$1)/F$2)</f>
        <v>-1.852385824</v>
      </c>
      <c r="G195" s="119">
        <f>IF(TYPE($A195)=1,"",(Update!$P193-G$1)/G$2)</f>
        <v>-0.3776893674</v>
      </c>
      <c r="H195" s="119">
        <f>IF(TYPE($A195)=1,"",(Update!$H193-H$1)/H$2*I195/$I$1)</f>
        <v>0.2061419745</v>
      </c>
      <c r="I195" s="119">
        <f>IF(TYPE($A195)=1,"",IF(Update!H193=0,0,Update!G193/Update!H193))</f>
        <v>8.9</v>
      </c>
      <c r="J195" s="120">
        <f>IF(TYPE($A195)=1,"",(Update!$J193-J$1)/J$2*K195/$K$1)</f>
        <v>-0.1822434283</v>
      </c>
      <c r="K195" s="121">
        <f>IF(TYPE($A195)=1,"",IF(Update!J193=0,0,Update!I193/Update!J193))</f>
        <v>2.1</v>
      </c>
      <c r="L195" s="119">
        <f>IF(TYPE($A195)=1,"",-(Update!$Q193-L$1)/L$2)</f>
        <v>1.359412004</v>
      </c>
      <c r="N195" s="124">
        <v>175.0</v>
      </c>
      <c r="O195" s="130" t="str">
        <f>IF(Update!B189="",ROW(Update!B189),Update!B189)</f>
        <v>Gabe Vincent</v>
      </c>
      <c r="P195" s="131">
        <f>Update!E189</f>
        <v>70</v>
      </c>
      <c r="Q195" s="131" t="str">
        <f>IF(Update!C189="",ROW(Update!N204),Update!C189)</f>
        <v>PG,SG</v>
      </c>
      <c r="R195" s="127">
        <f>VLOOKUP($O195,'NO USAR1'!$A$4:$L$403,2,False)+VLOOKUP($O195,'NO USAR1'!$A$4:$L$403,3,False)+VLOOKUP($O195,'NO USAR1'!$A$4:$L$403,4,False)+VLOOKUP($O195,'NO USAR1'!$A$4:$L$403,5,False)+VLOOKUP($O195,'NO USAR1'!$A$4:$L$403,6,False)+VLOOKUP($O195,'NO USAR1'!$A$4:$L$403,7,False)+VLOOKUP($O195,'NO USAR1'!$A$4:$L$403,8,False)+VLOOKUP($O195,'NO USAR1'!$A$4:$L$403,10,False)+VLOOKUP($O195,'NO USAR1'!$A$4:$L$403,12,False)*0</f>
        <v>-4.577718389</v>
      </c>
      <c r="S195" s="127">
        <f>VLOOKUP($O195,'NO USAR1'!$A$4:$L$403,2,False)*$U$19+VLOOKUP($O195,'NO USAR1'!$A$4:$L$403,3,False)*$V$19+VLOOKUP($O195,'NO USAR1'!$A$4:$L$403,4,False)*$W$19+VLOOKUP($O195,'NO USAR1'!$A$4:$L$403,5,False)*$X$19+VLOOKUP($O195,'NO USAR1'!$A$4:$L$403,6,False)*$Y$19+VLOOKUP($O195,'NO USAR1'!$A$4:$L$403,7,False)*$Z$19+VLOOKUP($O195,'NO USAR1'!$A$4:$L$403,8,False)*$AA$19+VLOOKUP($O195,'NO USAR1'!$A$4:$L$403,10,False)*$AB$19+VLOOKUP($O195,'NO USAR1'!$A$4:$L$403,12,False)*$AC$19+IF(Projections!$K$3,-AN195, IF(Projections!$J$3,-AM195,0))</f>
        <v>-2.533470822</v>
      </c>
      <c r="T195" s="127">
        <f t="shared" si="1"/>
        <v>2.044247567</v>
      </c>
      <c r="U195" s="127">
        <f>VLOOKUP($O195,Update!$B$2:$R$401,11,False)</f>
        <v>10.3</v>
      </c>
      <c r="V195" s="122">
        <f>VLOOKUP($O195,Update!$B$2:$R$401,10,False)</f>
        <v>2</v>
      </c>
      <c r="W195" s="127">
        <f>VLOOKUP($O195,Update!$B$2:$R$401,12,False)</f>
        <v>2.3</v>
      </c>
      <c r="X195" s="127">
        <f>VLOOKUP($O195,Update!$B$2:$R$401,13,False)</f>
        <v>3.2</v>
      </c>
      <c r="Y195" s="127">
        <f>VLOOKUP($O195,Update!$B$2:$R$401,14,False)</f>
        <v>1</v>
      </c>
      <c r="Z195" s="132">
        <f>VLOOKUP($O195,Update!$B$2:$R$401,15,False)</f>
        <v>0.1</v>
      </c>
      <c r="AA195" s="127">
        <f>100*VLOOKUP($O195,Update!$B$2:$R$401,7,False)</f>
        <v>41.11111111</v>
      </c>
      <c r="AB195" s="127">
        <f>100*VLOOKUP($O195,Update!$B$2:$R$401,9,False)</f>
        <v>81.81818182</v>
      </c>
      <c r="AC195" s="127">
        <f>VLOOKUP($O195,Update!$B$2:$Q$401,16,False)</f>
        <v>1.6</v>
      </c>
      <c r="AD195" s="127">
        <f>VLOOKUP($O195,'NO USAR1'!$A$4:$L$403,2,False)*$U$19</f>
        <v>-1.172381829</v>
      </c>
      <c r="AE195" s="127">
        <f>VLOOKUP($O195,'NO USAR1'!$A$4:$L$403,3,False)*$V$19</f>
        <v>0.3081197623</v>
      </c>
      <c r="AF195" s="127">
        <f>VLOOKUP($O195,'NO USAR1'!$A$4:$L$403,4,False)*$W$19</f>
        <v>-1.587032671</v>
      </c>
      <c r="AG195" s="127">
        <f>VLOOKUP($O195,'NO USAR1'!$A$4:$L$403,5,False)*$X$19</f>
        <v>-0.3284558457</v>
      </c>
      <c r="AH195" s="127">
        <f>VLOOKUP($O195,'NO USAR1'!$A$4:$L$403,6,False)*$Y$19</f>
        <v>0.01162932804</v>
      </c>
      <c r="AI195" s="127">
        <f>VLOOKUP($O195,'NO USAR1'!$A$4:$L$403,7,False)*$Z$19</f>
        <v>-0.7896459159</v>
      </c>
      <c r="AJ195" s="127">
        <f>VLOOKUP($O195,'NO USAR1'!$A$4:$L$403,8,False)*$AA$19</f>
        <v>-0.7629928994</v>
      </c>
      <c r="AK195" s="132">
        <f>VLOOKUP($O195,'NO USAR1'!$A$4:$L$403,10,False)*$AB$19</f>
        <v>0.07772735943</v>
      </c>
      <c r="AL195" s="127">
        <f>VLOOKUP($O195,'NO USAR1'!$A$4:$L$403,12,False)*$AC$19</f>
        <v>0.1225292184</v>
      </c>
      <c r="AM195" s="133">
        <f t="shared" si="2"/>
        <v>-1.587032671</v>
      </c>
      <c r="AN195" s="133">
        <f t="shared" si="3"/>
        <v>-2.7594145</v>
      </c>
    </row>
    <row r="196">
      <c r="A196" s="118" t="str">
        <f>IF(Update!B194="",ROW(Update!B194),Update!B194)</f>
        <v>Ayo Dosunmu</v>
      </c>
      <c r="B196" s="119">
        <f>IF(TYPE($A196)=1,"",(Update!$L194-B$1)/B$2)</f>
        <v>-1.425171394</v>
      </c>
      <c r="C196" s="119">
        <f>IF(TYPE($A196)=1,"",(Update!$K194-C$1)/C$2)</f>
        <v>-0.8138164245</v>
      </c>
      <c r="D196" s="119">
        <f>IF(TYPE($A196)=1,"",(Update!$M194-D$1)/D$2)</f>
        <v>-1.377955821</v>
      </c>
      <c r="E196" s="119">
        <f>IF(TYPE($A196)=1,"",(Update!$N194-E$1)/E$2)</f>
        <v>-0.3913279697</v>
      </c>
      <c r="F196" s="119">
        <f>IF(TYPE($A196)=1,"",(Update!$O194-F$1)/F$2)</f>
        <v>-0.6063863908</v>
      </c>
      <c r="G196" s="119">
        <f>IF(TYPE($A196)=1,"",(Update!$P194-G$1)/G$2)</f>
        <v>-0.5652834241</v>
      </c>
      <c r="H196" s="119">
        <f>IF(TYPE($A196)=1,"",(Update!$H194-H$1)/H$2*I196/$I$1)</f>
        <v>0.03208811024</v>
      </c>
      <c r="I196" s="119">
        <f>IF(TYPE($A196)=1,"",IF(Update!H194=0,0,Update!G194/Update!H194))</f>
        <v>7.2</v>
      </c>
      <c r="J196" s="120">
        <f>IF(TYPE($A196)=1,"",(Update!$J194-J$1)/J$2*K196/$K$1)</f>
        <v>0.09715919929</v>
      </c>
      <c r="K196" s="121">
        <f>IF(TYPE($A196)=1,"",IF(Update!J194=0,0,Update!I194/Update!J194))</f>
        <v>1.1</v>
      </c>
      <c r="L196" s="119">
        <f>IF(TYPE($A196)=1,"",-(Update!$Q194-L$1)/L$2)</f>
        <v>0.8626719296</v>
      </c>
      <c r="N196" s="33">
        <v>176.0</v>
      </c>
      <c r="O196" s="130" t="str">
        <f>IF(Update!B173="",ROW(Update!B173),Update!B173)</f>
        <v>Gary Payton II</v>
      </c>
      <c r="P196" s="131">
        <f>Update!E173</f>
        <v>70</v>
      </c>
      <c r="Q196" s="131" t="str">
        <f>IF(Update!C173="",ROW(Update!N188),Update!C173)</f>
        <v>PG,SG,SF</v>
      </c>
      <c r="R196" s="127">
        <f>VLOOKUP($O196,'NO USAR1'!$A$4:$L$403,2,False)+VLOOKUP($O196,'NO USAR1'!$A$4:$L$403,3,False)+VLOOKUP($O196,'NO USAR1'!$A$4:$L$403,4,False)+VLOOKUP($O196,'NO USAR1'!$A$4:$L$403,5,False)+VLOOKUP($O196,'NO USAR1'!$A$4:$L$403,6,False)+VLOOKUP($O196,'NO USAR1'!$A$4:$L$403,7,False)+VLOOKUP($O196,'NO USAR1'!$A$4:$L$403,8,False)+VLOOKUP($O196,'NO USAR1'!$A$4:$L$403,10,False)+VLOOKUP($O196,'NO USAR1'!$A$4:$L$403,12,False)*0</f>
        <v>-4.580287283</v>
      </c>
      <c r="S196" s="127">
        <f>VLOOKUP($O196,'NO USAR1'!$A$4:$L$403,2,False)*$U$19+VLOOKUP($O196,'NO USAR1'!$A$4:$L$403,3,False)*$V$19+VLOOKUP($O196,'NO USAR1'!$A$4:$L$403,4,False)*$W$19+VLOOKUP($O196,'NO USAR1'!$A$4:$L$403,5,False)*$X$19+VLOOKUP($O196,'NO USAR1'!$A$4:$L$403,6,False)*$Y$19+VLOOKUP($O196,'NO USAR1'!$A$4:$L$403,7,False)*$Z$19+VLOOKUP($O196,'NO USAR1'!$A$4:$L$403,8,False)*$AA$19+VLOOKUP($O196,'NO USAR1'!$A$4:$L$403,10,False)*$AB$19+VLOOKUP($O196,'NO USAR1'!$A$4:$L$403,12,False)*$AC$19+IF(Projections!$K$3,-AN196, IF(Projections!$J$3,-AM196,0))</f>
        <v>-2.483552047</v>
      </c>
      <c r="T196" s="127">
        <f t="shared" si="1"/>
        <v>2.096735236</v>
      </c>
      <c r="U196" s="127">
        <f>VLOOKUP($O196,Update!$B$2:$R$401,11,False)</f>
        <v>6.7</v>
      </c>
      <c r="V196" s="122">
        <f>VLOOKUP($O196,Update!$B$2:$R$401,10,False)</f>
        <v>0.6</v>
      </c>
      <c r="W196" s="127">
        <f>VLOOKUP($O196,Update!$B$2:$R$401,12,False)</f>
        <v>3.5</v>
      </c>
      <c r="X196" s="127">
        <f>VLOOKUP($O196,Update!$B$2:$R$401,13,False)</f>
        <v>1</v>
      </c>
      <c r="Y196" s="127">
        <f>VLOOKUP($O196,Update!$B$2:$R$401,14,False)</f>
        <v>1.3</v>
      </c>
      <c r="Z196" s="132">
        <f>VLOOKUP($O196,Update!$B$2:$R$401,15,False)</f>
        <v>0.3</v>
      </c>
      <c r="AA196" s="127">
        <f>100*VLOOKUP($O196,Update!$B$2:$R$401,7,False)</f>
        <v>60.86956522</v>
      </c>
      <c r="AB196" s="127">
        <f>100*VLOOKUP($O196,Update!$B$2:$R$401,9,False)</f>
        <v>71.42857143</v>
      </c>
      <c r="AC196" s="127">
        <f>VLOOKUP($O196,Update!$B$2:$Q$401,16,False)</f>
        <v>0.6</v>
      </c>
      <c r="AD196" s="127">
        <f>VLOOKUP($O196,'NO USAR1'!$A$4:$L$403,2,False)*$U$19</f>
        <v>-1.779076786</v>
      </c>
      <c r="AE196" s="127">
        <f>VLOOKUP($O196,'NO USAR1'!$A$4:$L$403,3,False)*$V$19</f>
        <v>-0.9058605394</v>
      </c>
      <c r="AF196" s="127">
        <f>VLOOKUP($O196,'NO USAR1'!$A$4:$L$403,4,False)*$W$19</f>
        <v>-1.085248232</v>
      </c>
      <c r="AG196" s="127">
        <f>VLOOKUP($O196,'NO USAR1'!$A$4:$L$403,5,False)*$X$19</f>
        <v>-1.450509977</v>
      </c>
      <c r="AH196" s="127">
        <f>VLOOKUP($O196,'NO USAR1'!$A$4:$L$403,6,False)*$Y$19</f>
        <v>0.6657790304</v>
      </c>
      <c r="AI196" s="127">
        <f>VLOOKUP($O196,'NO USAR1'!$A$4:$L$403,7,False)*$Z$19</f>
        <v>-0.5270142365</v>
      </c>
      <c r="AJ196" s="127">
        <f>VLOOKUP($O196,'NO USAR1'!$A$4:$L$403,8,False)*$AA$19</f>
        <v>0.517883178</v>
      </c>
      <c r="AK196" s="132">
        <f>VLOOKUP($O196,'NO USAR1'!$A$4:$L$403,10,False)*$AB$19</f>
        <v>-0.1315730352</v>
      </c>
      <c r="AL196" s="127">
        <f>VLOOKUP($O196,'NO USAR1'!$A$4:$L$403,12,False)*$AC$19</f>
        <v>0.4329917651</v>
      </c>
      <c r="AM196" s="133">
        <f t="shared" si="2"/>
        <v>-1.779076786</v>
      </c>
      <c r="AN196" s="133">
        <f t="shared" si="3"/>
        <v>-3.229586763</v>
      </c>
    </row>
    <row r="197">
      <c r="A197" s="118" t="str">
        <f>IF(Update!B195="",ROW(Update!B195),Update!B195)</f>
        <v>Jose Alvarado</v>
      </c>
      <c r="B197" s="119">
        <f>IF(TYPE($A197)=1,"",(Update!$L195-B$1)/B$2)</f>
        <v>-1.475729308</v>
      </c>
      <c r="C197" s="119">
        <f>IF(TYPE($A197)=1,"",(Update!$K195-C$1)/C$2)</f>
        <v>-0.5247734955</v>
      </c>
      <c r="D197" s="119">
        <f>IF(TYPE($A197)=1,"",(Update!$M195-D$1)/D$2)</f>
        <v>-1.587032671</v>
      </c>
      <c r="E197" s="119">
        <f>IF(TYPE($A197)=1,"",(Update!$N195-E$1)/E$2)</f>
        <v>-0.2522303502</v>
      </c>
      <c r="F197" s="119">
        <f>IF(TYPE($A197)=1,"",(Update!$O195-F$1)/F$2)</f>
        <v>0.9511129006</v>
      </c>
      <c r="G197" s="119">
        <f>IF(TYPE($A197)=1,"",(Update!$P195-G$1)/G$2)</f>
        <v>-0.9404715375</v>
      </c>
      <c r="H197" s="119">
        <f>IF(TYPE($A197)=1,"",(Update!$H195-H$1)/H$2*I197/$I$1)</f>
        <v>-0.576992403</v>
      </c>
      <c r="I197" s="119">
        <f>IF(TYPE($A197)=1,"",IF(Update!H195=0,0,Update!G195/Update!H195))</f>
        <v>7.5</v>
      </c>
      <c r="J197" s="120">
        <f>IF(TYPE($A197)=1,"",(Update!$J195-J$1)/J$2*K197/$K$1)</f>
        <v>-0.08318350766</v>
      </c>
      <c r="K197" s="121">
        <f>IF(TYPE($A197)=1,"",IF(Update!J195=0,0,Update!I195/Update!J195))</f>
        <v>1.3</v>
      </c>
      <c r="L197" s="119">
        <f>IF(TYPE($A197)=1,"",-(Update!$Q195-L$1)/L$2)</f>
        <v>0.9868569483</v>
      </c>
      <c r="N197" s="124">
        <v>177.0</v>
      </c>
      <c r="O197" s="130" t="str">
        <f>IF(Update!B196="",ROW(Update!B196),Update!B196)</f>
        <v>Dillon Brooks</v>
      </c>
      <c r="P197" s="131">
        <f>Update!E196</f>
        <v>70</v>
      </c>
      <c r="Q197" s="131" t="str">
        <f>IF(Update!C196="",ROW(Update!N211),Update!C196)</f>
        <v>SG,SF</v>
      </c>
      <c r="R197" s="127">
        <f>VLOOKUP($O197,'NO USAR1'!$A$4:$L$403,2,False)+VLOOKUP($O197,'NO USAR1'!$A$4:$L$403,3,False)+VLOOKUP($O197,'NO USAR1'!$A$4:$L$403,4,False)+VLOOKUP($O197,'NO USAR1'!$A$4:$L$403,5,False)+VLOOKUP($O197,'NO USAR1'!$A$4:$L$403,6,False)+VLOOKUP($O197,'NO USAR1'!$A$4:$L$403,7,False)+VLOOKUP($O197,'NO USAR1'!$A$4:$L$403,8,False)+VLOOKUP($O197,'NO USAR1'!$A$4:$L$403,10,False)+VLOOKUP($O197,'NO USAR1'!$A$4:$L$403,12,False)*0</f>
        <v>-4.586222254</v>
      </c>
      <c r="S197" s="127">
        <f>VLOOKUP($O197,'NO USAR1'!$A$4:$L$403,2,False)*$U$19+VLOOKUP($O197,'NO USAR1'!$A$4:$L$403,3,False)*$V$19+VLOOKUP($O197,'NO USAR1'!$A$4:$L$403,4,False)*$W$19+VLOOKUP($O197,'NO USAR1'!$A$4:$L$403,5,False)*$X$19+VLOOKUP($O197,'NO USAR1'!$A$4:$L$403,6,False)*$Y$19+VLOOKUP($O197,'NO USAR1'!$A$4:$L$403,7,False)*$Z$19+VLOOKUP($O197,'NO USAR1'!$A$4:$L$403,8,False)*$AA$19+VLOOKUP($O197,'NO USAR1'!$A$4:$L$403,10,False)*$AB$19+VLOOKUP($O197,'NO USAR1'!$A$4:$L$403,12,False)*$AC$19+IF(Projections!$K$3,-AN197, IF(Projections!$J$3,-AM197,0))</f>
        <v>-2.726021896</v>
      </c>
      <c r="T197" s="127">
        <f t="shared" si="1"/>
        <v>1.860200358</v>
      </c>
      <c r="U197" s="127">
        <f>VLOOKUP($O197,Update!$B$2:$R$401,11,False)</f>
        <v>15.2</v>
      </c>
      <c r="V197" s="122">
        <f>VLOOKUP($O197,Update!$B$2:$R$401,10,False)</f>
        <v>1.8</v>
      </c>
      <c r="W197" s="127">
        <f>VLOOKUP($O197,Update!$B$2:$R$401,12,False)</f>
        <v>3.2</v>
      </c>
      <c r="X197" s="127">
        <f>VLOOKUP($O197,Update!$B$2:$R$401,13,False)</f>
        <v>2.6</v>
      </c>
      <c r="Y197" s="127">
        <f>VLOOKUP($O197,Update!$B$2:$R$401,14,False)</f>
        <v>0.9</v>
      </c>
      <c r="Z197" s="132">
        <f>VLOOKUP($O197,Update!$B$2:$R$401,15,False)</f>
        <v>0.2</v>
      </c>
      <c r="AA197" s="127">
        <f>100*VLOOKUP($O197,Update!$B$2:$R$401,7,False)</f>
        <v>40.71428571</v>
      </c>
      <c r="AB197" s="127">
        <f>100*VLOOKUP($O197,Update!$B$2:$R$401,9,False)</f>
        <v>79.16666667</v>
      </c>
      <c r="AC197" s="127">
        <f>VLOOKUP($O197,Update!$B$2:$Q$401,16,False)</f>
        <v>1.4</v>
      </c>
      <c r="AD197" s="127">
        <f>VLOOKUP($O197,'NO USAR1'!$A$4:$L$403,2,False)*$U$19</f>
        <v>-0.3466025819</v>
      </c>
      <c r="AE197" s="127">
        <f>VLOOKUP($O197,'NO USAR1'!$A$4:$L$403,3,False)*$V$19</f>
        <v>0.1346940049</v>
      </c>
      <c r="AF197" s="127">
        <f>VLOOKUP($O197,'NO USAR1'!$A$4:$L$403,4,False)*$W$19</f>
        <v>-1.210694342</v>
      </c>
      <c r="AG197" s="127">
        <f>VLOOKUP($O197,'NO USAR1'!$A$4:$L$403,5,False)*$X$19</f>
        <v>-0.6344706088</v>
      </c>
      <c r="AH197" s="127">
        <f>VLOOKUP($O197,'NO USAR1'!$A$4:$L$403,6,False)*$Y$19</f>
        <v>-0.2064205728</v>
      </c>
      <c r="AI197" s="127">
        <f>VLOOKUP($O197,'NO USAR1'!$A$4:$L$403,7,False)*$Z$19</f>
        <v>-0.6583300762</v>
      </c>
      <c r="AJ197" s="127">
        <f>VLOOKUP($O197,'NO USAR1'!$A$4:$L$403,8,False)*$AA$19</f>
        <v>-1.242370345</v>
      </c>
      <c r="AK197" s="132">
        <f>VLOOKUP($O197,'NO USAR1'!$A$4:$L$403,10,False)*$AB$19</f>
        <v>0.0111805533</v>
      </c>
      <c r="AL197" s="127">
        <f>VLOOKUP($O197,'NO USAR1'!$A$4:$L$403,12,False)*$AC$19</f>
        <v>0.1846217277</v>
      </c>
      <c r="AM197" s="133">
        <f t="shared" si="2"/>
        <v>-1.242370345</v>
      </c>
      <c r="AN197" s="133">
        <f t="shared" si="3"/>
        <v>-2.453064687</v>
      </c>
    </row>
    <row r="198">
      <c r="A198" s="118" t="str">
        <f>IF(Update!B196="",ROW(Update!B196),Update!B196)</f>
        <v>Dillon Brooks</v>
      </c>
      <c r="B198" s="119">
        <f>IF(TYPE($A198)=1,"",(Update!$L196-B$1)/B$2)</f>
        <v>-0.3466025819</v>
      </c>
      <c r="C198" s="119">
        <f>IF(TYPE($A198)=1,"",(Update!$K196-C$1)/C$2)</f>
        <v>0.1496600055</v>
      </c>
      <c r="D198" s="119">
        <f>IF(TYPE($A198)=1,"",(Update!$M196-D$1)/D$2)</f>
        <v>-1.210694342</v>
      </c>
      <c r="E198" s="119">
        <f>IF(TYPE($A198)=1,"",(Update!$N196-E$1)/E$2)</f>
        <v>-0.5767914625</v>
      </c>
      <c r="F198" s="119">
        <f>IF(TYPE($A198)=1,"",(Update!$O196-F$1)/F$2)</f>
        <v>-0.2948865325</v>
      </c>
      <c r="G198" s="119">
        <f>IF(TYPE($A198)=1,"",(Update!$P196-G$1)/G$2)</f>
        <v>-0.9404715375</v>
      </c>
      <c r="H198" s="119">
        <f>IF(TYPE($A198)=1,"",(Update!$H196-H$1)/H$2*I198/$I$1)</f>
        <v>-1.380411495</v>
      </c>
      <c r="I198" s="119">
        <f>IF(TYPE($A198)=1,"",IF(Update!H196=0,0,Update!G196/Update!H196))</f>
        <v>14</v>
      </c>
      <c r="J198" s="120">
        <f>IF(TYPE($A198)=1,"",(Update!$J196-J$1)/J$2*K198/$K$1)</f>
        <v>0.01397569163</v>
      </c>
      <c r="K198" s="121">
        <f>IF(TYPE($A198)=1,"",IF(Update!J196=0,0,Update!I196/Update!J196))</f>
        <v>2.4</v>
      </c>
      <c r="L198" s="119">
        <f>IF(TYPE($A198)=1,"",-(Update!$Q196-L$1)/L$2)</f>
        <v>0.738486911</v>
      </c>
      <c r="N198" s="124">
        <v>178.0</v>
      </c>
      <c r="O198" s="130" t="str">
        <f>IF(Update!B165="",ROW(Update!B165),Update!B165)</f>
        <v>Malik Monk</v>
      </c>
      <c r="P198" s="131">
        <f>Update!E165</f>
        <v>76</v>
      </c>
      <c r="Q198" s="131" t="str">
        <f>IF(Update!C165="",ROW(Update!N180),Update!C165)</f>
        <v>SG,SF</v>
      </c>
      <c r="R198" s="127">
        <f>VLOOKUP($O198,'NO USAR1'!$A$4:$L$403,2,False)+VLOOKUP($O198,'NO USAR1'!$A$4:$L$403,3,False)+VLOOKUP($O198,'NO USAR1'!$A$4:$L$403,4,False)+VLOOKUP($O198,'NO USAR1'!$A$4:$L$403,5,False)+VLOOKUP($O198,'NO USAR1'!$A$4:$L$403,6,False)+VLOOKUP($O198,'NO USAR1'!$A$4:$L$403,7,False)+VLOOKUP($O198,'NO USAR1'!$A$4:$L$403,8,False)+VLOOKUP($O198,'NO USAR1'!$A$4:$L$403,10,False)+VLOOKUP($O198,'NO USAR1'!$A$4:$L$403,12,False)*0</f>
        <v>-4.609150738</v>
      </c>
      <c r="S198" s="127">
        <f>VLOOKUP($O198,'NO USAR1'!$A$4:$L$403,2,False)*$U$19+VLOOKUP($O198,'NO USAR1'!$A$4:$L$403,3,False)*$V$19+VLOOKUP($O198,'NO USAR1'!$A$4:$L$403,4,False)*$W$19+VLOOKUP($O198,'NO USAR1'!$A$4:$L$403,5,False)*$X$19+VLOOKUP($O198,'NO USAR1'!$A$4:$L$403,6,False)*$Y$19+VLOOKUP($O198,'NO USAR1'!$A$4:$L$403,7,False)*$Z$19+VLOOKUP($O198,'NO USAR1'!$A$4:$L$403,8,False)*$AA$19+VLOOKUP($O198,'NO USAR1'!$A$4:$L$403,10,False)*$AB$19+VLOOKUP($O198,'NO USAR1'!$A$4:$L$403,12,False)*$AC$19+IF(Projections!$K$3,-AN198, IF(Projections!$J$3,-AM198,0))</f>
        <v>-2.480559335</v>
      </c>
      <c r="T198" s="127">
        <f t="shared" si="1"/>
        <v>2.128591403</v>
      </c>
      <c r="U198" s="127">
        <f>VLOOKUP($O198,Update!$B$2:$R$401,11,False)</f>
        <v>12</v>
      </c>
      <c r="V198" s="122">
        <f>VLOOKUP($O198,Update!$B$2:$R$401,10,False)</f>
        <v>1.8</v>
      </c>
      <c r="W198" s="127">
        <f>VLOOKUP($O198,Update!$B$2:$R$401,12,False)</f>
        <v>2.6</v>
      </c>
      <c r="X198" s="127">
        <f>VLOOKUP($O198,Update!$B$2:$R$401,13,False)</f>
        <v>3</v>
      </c>
      <c r="Y198" s="127">
        <f>VLOOKUP($O198,Update!$B$2:$R$401,14,False)</f>
        <v>0.6</v>
      </c>
      <c r="Z198" s="132">
        <f>VLOOKUP($O198,Update!$B$2:$R$401,15,False)</f>
        <v>0.3</v>
      </c>
      <c r="AA198" s="127">
        <f>100*VLOOKUP($O198,Update!$B$2:$R$401,7,False)</f>
        <v>46.23655914</v>
      </c>
      <c r="AB198" s="127">
        <f>100*VLOOKUP($O198,Update!$B$2:$R$401,9,False)</f>
        <v>84.21052632</v>
      </c>
      <c r="AC198" s="127">
        <f>VLOOKUP($O198,Update!$B$2:$Q$401,16,False)</f>
        <v>1.5</v>
      </c>
      <c r="AD198" s="127">
        <f>VLOOKUP($O198,'NO USAR1'!$A$4:$L$403,2,False)*$U$19</f>
        <v>-0.8858869882</v>
      </c>
      <c r="AE198" s="127">
        <f>VLOOKUP($O198,'NO USAR1'!$A$4:$L$403,3,False)*$V$19</f>
        <v>0.1346940049</v>
      </c>
      <c r="AF198" s="127">
        <f>VLOOKUP($O198,'NO USAR1'!$A$4:$L$403,4,False)*$W$19</f>
        <v>-1.461586561</v>
      </c>
      <c r="AG198" s="127">
        <f>VLOOKUP($O198,'NO USAR1'!$A$4:$L$403,5,False)*$X$19</f>
        <v>-0.4304607667</v>
      </c>
      <c r="AH198" s="127">
        <f>VLOOKUP($O198,'NO USAR1'!$A$4:$L$403,6,False)*$Y$19</f>
        <v>-0.8605702752</v>
      </c>
      <c r="AI198" s="127">
        <f>VLOOKUP($O198,'NO USAR1'!$A$4:$L$403,7,False)*$Z$19</f>
        <v>-0.5270142365</v>
      </c>
      <c r="AJ198" s="127">
        <f>VLOOKUP($O198,'NO USAR1'!$A$4:$L$403,8,False)*$AA$19</f>
        <v>-0.3123003321</v>
      </c>
      <c r="AK198" s="132">
        <f>VLOOKUP($O198,'NO USAR1'!$A$4:$L$403,10,False)*$AB$19</f>
        <v>0.2474037858</v>
      </c>
      <c r="AL198" s="127">
        <f>VLOOKUP($O198,'NO USAR1'!$A$4:$L$403,12,False)*$AC$19</f>
        <v>0.1535754731</v>
      </c>
      <c r="AM198" s="133">
        <f t="shared" si="2"/>
        <v>-1.461586561</v>
      </c>
      <c r="AN198" s="133">
        <f t="shared" si="3"/>
        <v>-2.347473549</v>
      </c>
    </row>
    <row r="199">
      <c r="A199" s="118" t="str">
        <f>IF(Update!B197="",ROW(Update!B197),Update!B197)</f>
        <v>RJ Barrett</v>
      </c>
      <c r="B199" s="119">
        <f>IF(TYPE($A199)=1,"",(Update!$L197-B$1)/B$2)</f>
        <v>0.4117661144</v>
      </c>
      <c r="C199" s="119">
        <f>IF(TYPE($A199)=1,"",(Update!$K197-C$1)/C$2)</f>
        <v>0.1496600055</v>
      </c>
      <c r="D199" s="119">
        <f>IF(TYPE($A199)=1,"",(Update!$M197-D$1)/D$2)</f>
        <v>-0.2907562051</v>
      </c>
      <c r="E199" s="119">
        <f>IF(TYPE($A199)=1,"",(Update!$N197-E$1)/E$2)</f>
        <v>-0.4840597161</v>
      </c>
      <c r="F199" s="119">
        <f>IF(TYPE($A199)=1,"",(Update!$O197-F$1)/F$2)</f>
        <v>-1.540885966</v>
      </c>
      <c r="G199" s="119">
        <f>IF(TYPE($A199)=1,"",(Update!$P197-G$1)/G$2)</f>
        <v>-0.9404715375</v>
      </c>
      <c r="H199" s="119">
        <f>IF(TYPE($A199)=1,"",(Update!$H197-H$1)/H$2*I199/$I$1)</f>
        <v>-1.149528124</v>
      </c>
      <c r="I199" s="119">
        <f>IF(TYPE($A199)=1,"",IF(Update!H197=0,0,Update!G197/Update!H197))</f>
        <v>16</v>
      </c>
      <c r="J199" s="120">
        <f>IF(TYPE($A199)=1,"",(Update!$J197-J$1)/J$2*K199/$K$1)</f>
        <v>-0.8242321912</v>
      </c>
      <c r="K199" s="121">
        <f>IF(TYPE($A199)=1,"",IF(Update!J197=0,0,Update!I197/Update!J197))</f>
        <v>5.4</v>
      </c>
      <c r="L199" s="119">
        <f>IF(TYPE($A199)=1,"",-(Update!$Q197-L$1)/L$2)</f>
        <v>-0.2549932383</v>
      </c>
      <c r="N199" s="33">
        <v>179.0</v>
      </c>
      <c r="O199" s="130" t="str">
        <f>IF(Update!B174="",ROW(Update!B174),Update!B174)</f>
        <v>Pat Connaughton</v>
      </c>
      <c r="P199" s="131">
        <f>Update!E174</f>
        <v>64</v>
      </c>
      <c r="Q199" s="131" t="str">
        <f>IF(Update!C174="",ROW(Update!N189),Update!C174)</f>
        <v>SG,SF</v>
      </c>
      <c r="R199" s="127">
        <f>VLOOKUP($O199,'NO USAR1'!$A$4:$L$403,2,False)+VLOOKUP($O199,'NO USAR1'!$A$4:$L$403,3,False)+VLOOKUP($O199,'NO USAR1'!$A$4:$L$403,4,False)+VLOOKUP($O199,'NO USAR1'!$A$4:$L$403,5,False)+VLOOKUP($O199,'NO USAR1'!$A$4:$L$403,6,False)+VLOOKUP($O199,'NO USAR1'!$A$4:$L$403,7,False)+VLOOKUP($O199,'NO USAR1'!$A$4:$L$403,8,False)+VLOOKUP($O199,'NO USAR1'!$A$4:$L$403,10,False)+VLOOKUP($O199,'NO USAR1'!$A$4:$L$403,12,False)*0</f>
        <v>-4.634405022</v>
      </c>
      <c r="S199" s="127">
        <f>VLOOKUP($O199,'NO USAR1'!$A$4:$L$403,2,False)*$U$19+VLOOKUP($O199,'NO USAR1'!$A$4:$L$403,3,False)*$V$19+VLOOKUP($O199,'NO USAR1'!$A$4:$L$403,4,False)*$W$19+VLOOKUP($O199,'NO USAR1'!$A$4:$L$403,5,False)*$X$19+VLOOKUP($O199,'NO USAR1'!$A$4:$L$403,6,False)*$Y$19+VLOOKUP($O199,'NO USAR1'!$A$4:$L$403,7,False)*$Z$19+VLOOKUP($O199,'NO USAR1'!$A$4:$L$403,8,False)*$AA$19+VLOOKUP($O199,'NO USAR1'!$A$4:$L$403,10,False)*$AB$19+VLOOKUP($O199,'NO USAR1'!$A$4:$L$403,12,False)*$AC$19+IF(Projections!$K$3,-AN199, IF(Projections!$J$3,-AM199,0))</f>
        <v>-2.553348518</v>
      </c>
      <c r="T199" s="127">
        <f t="shared" si="1"/>
        <v>2.081056504</v>
      </c>
      <c r="U199" s="127">
        <f>VLOOKUP($O199,Update!$B$2:$R$401,11,False)</f>
        <v>9.7</v>
      </c>
      <c r="V199" s="122">
        <f>VLOOKUP($O199,Update!$B$2:$R$401,10,False)</f>
        <v>2.2</v>
      </c>
      <c r="W199" s="127">
        <f>VLOOKUP($O199,Update!$B$2:$R$401,12,False)</f>
        <v>4.8</v>
      </c>
      <c r="X199" s="127">
        <f>VLOOKUP($O199,Update!$B$2:$R$401,13,False)</f>
        <v>1.4</v>
      </c>
      <c r="Y199" s="127">
        <f>VLOOKUP($O199,Update!$B$2:$R$401,14,False)</f>
        <v>0.8</v>
      </c>
      <c r="Z199" s="132">
        <f>VLOOKUP($O199,Update!$B$2:$R$401,15,False)</f>
        <v>0.2</v>
      </c>
      <c r="AA199" s="127">
        <f>100*VLOOKUP($O199,Update!$B$2:$R$401,7,False)</f>
        <v>43.03797468</v>
      </c>
      <c r="AB199" s="127">
        <f>100*VLOOKUP($O199,Update!$B$2:$R$401,9,False)</f>
        <v>75</v>
      </c>
      <c r="AC199" s="127">
        <f>VLOOKUP($O199,Update!$B$2:$Q$401,16,False)</f>
        <v>0.6</v>
      </c>
      <c r="AD199" s="127">
        <f>VLOOKUP($O199,'NO USAR1'!$A$4:$L$403,2,False)*$U$19</f>
        <v>-1.273497655</v>
      </c>
      <c r="AE199" s="127">
        <f>VLOOKUP($O199,'NO USAR1'!$A$4:$L$403,3,False)*$V$19</f>
        <v>0.4815455197</v>
      </c>
      <c r="AF199" s="127">
        <f>VLOOKUP($O199,'NO USAR1'!$A$4:$L$403,4,False)*$W$19</f>
        <v>-0.5416484242</v>
      </c>
      <c r="AG199" s="127">
        <f>VLOOKUP($O199,'NO USAR1'!$A$4:$L$403,5,False)*$X$19</f>
        <v>-1.246500135</v>
      </c>
      <c r="AH199" s="127">
        <f>VLOOKUP($O199,'NO USAR1'!$A$4:$L$403,6,False)*$Y$19</f>
        <v>-0.4244704736</v>
      </c>
      <c r="AI199" s="127">
        <f>VLOOKUP($O199,'NO USAR1'!$A$4:$L$403,7,False)*$Z$19</f>
        <v>-0.6583300762</v>
      </c>
      <c r="AJ199" s="127">
        <f>VLOOKUP($O199,'NO USAR1'!$A$4:$L$403,8,False)*$AA$19</f>
        <v>-0.5176887572</v>
      </c>
      <c r="AK199" s="132">
        <f>VLOOKUP($O199,'NO USAR1'!$A$4:$L$403,10,False)*$AB$19</f>
        <v>-0.07924793652</v>
      </c>
      <c r="AL199" s="127">
        <f>VLOOKUP($O199,'NO USAR1'!$A$4:$L$403,12,False)*$AC$19</f>
        <v>0.4329917651</v>
      </c>
      <c r="AM199" s="133">
        <f t="shared" si="2"/>
        <v>-1.273497655</v>
      </c>
      <c r="AN199" s="133">
        <f t="shared" si="3"/>
        <v>-2.51999779</v>
      </c>
    </row>
    <row r="200">
      <c r="A200" s="118" t="str">
        <f>IF(Update!B198="",ROW(Update!B198),Update!B198)</f>
        <v>Kevin Porter Jr.</v>
      </c>
      <c r="B200" s="119">
        <f>IF(TYPE($A200)=1,"",(Update!$L198-B$1)/B$2)</f>
        <v>-1.071266003</v>
      </c>
      <c r="C200" s="119">
        <f>IF(TYPE($A200)=1,"",(Update!$K198-C$1)/C$2)</f>
        <v>-0.04303528054</v>
      </c>
      <c r="D200" s="119">
        <f>IF(TYPE($A200)=1,"",(Update!$M198-D$1)/D$2)</f>
        <v>-1.252509712</v>
      </c>
      <c r="E200" s="119">
        <f>IF(TYPE($A200)=1,"",(Update!$N198-E$1)/E$2)</f>
        <v>-0.0667668574</v>
      </c>
      <c r="F200" s="119">
        <f>IF(TYPE($A200)=1,"",(Update!$O198-F$1)/F$2)</f>
        <v>-0.6063863908</v>
      </c>
      <c r="G200" s="119">
        <f>IF(TYPE($A200)=1,"",(Update!$P198-G$1)/G$2)</f>
        <v>-0.9404715375</v>
      </c>
      <c r="H200" s="119">
        <f>IF(TYPE($A200)=1,"",(Update!$H198-H$1)/H$2*I200/$I$1)</f>
        <v>-0.6266912181</v>
      </c>
      <c r="I200" s="119">
        <f>IF(TYPE($A200)=1,"",IF(Update!H198=0,0,Update!G198/Update!H198))</f>
        <v>8.8</v>
      </c>
      <c r="J200" s="120">
        <f>IF(TYPE($A200)=1,"",(Update!$J198-J$1)/J$2*K200/$K$1)</f>
        <v>-0.116837055</v>
      </c>
      <c r="K200" s="121">
        <f>IF(TYPE($A200)=1,"",IF(Update!J198=0,0,Update!I198/Update!J198))</f>
        <v>2.2</v>
      </c>
      <c r="L200" s="119">
        <f>IF(TYPE($A200)=1,"",-(Update!$Q198-L$1)/L$2)</f>
        <v>-0.006623200995</v>
      </c>
      <c r="N200" s="124">
        <v>180.0</v>
      </c>
      <c r="O200" s="130" t="str">
        <f>IF(Update!B182="",ROW(Update!B182),Update!B182)</f>
        <v>Josh Green</v>
      </c>
      <c r="P200" s="131">
        <f>Update!E182</f>
        <v>67</v>
      </c>
      <c r="Q200" s="131" t="str">
        <f>IF(Update!C182="",ROW(Update!N197),Update!C182)</f>
        <v>SG,SF</v>
      </c>
      <c r="R200" s="127">
        <f>VLOOKUP($O200,'NO USAR1'!$A$4:$L$403,2,False)+VLOOKUP($O200,'NO USAR1'!$A$4:$L$403,3,False)+VLOOKUP($O200,'NO USAR1'!$A$4:$L$403,4,False)+VLOOKUP($O200,'NO USAR1'!$A$4:$L$403,5,False)+VLOOKUP($O200,'NO USAR1'!$A$4:$L$403,6,False)+VLOOKUP($O200,'NO USAR1'!$A$4:$L$403,7,False)+VLOOKUP($O200,'NO USAR1'!$A$4:$L$403,8,False)+VLOOKUP($O200,'NO USAR1'!$A$4:$L$403,10,False)+VLOOKUP($O200,'NO USAR1'!$A$4:$L$403,12,False)*0</f>
        <v>-4.648139571</v>
      </c>
      <c r="S200" s="127">
        <f>VLOOKUP($O200,'NO USAR1'!$A$4:$L$403,2,False)*$U$19+VLOOKUP($O200,'NO USAR1'!$A$4:$L$403,3,False)*$V$19+VLOOKUP($O200,'NO USAR1'!$A$4:$L$403,4,False)*$W$19+VLOOKUP($O200,'NO USAR1'!$A$4:$L$403,5,False)*$X$19+VLOOKUP($O200,'NO USAR1'!$A$4:$L$403,6,False)*$Y$19+VLOOKUP($O200,'NO USAR1'!$A$4:$L$403,7,False)*$Z$19+VLOOKUP($O200,'NO USAR1'!$A$4:$L$403,8,False)*$AA$19+VLOOKUP($O200,'NO USAR1'!$A$4:$L$403,10,False)*$AB$19+VLOOKUP($O200,'NO USAR1'!$A$4:$L$403,12,False)*$AC$19+IF(Projections!$K$3,-AN200, IF(Projections!$J$3,-AM200,0))</f>
        <v>-2.813484756</v>
      </c>
      <c r="T200" s="127">
        <f t="shared" si="1"/>
        <v>1.834654815</v>
      </c>
      <c r="U200" s="127">
        <f>VLOOKUP($O200,Update!$B$2:$R$401,11,False)</f>
        <v>9.5</v>
      </c>
      <c r="V200" s="122">
        <f>VLOOKUP($O200,Update!$B$2:$R$401,10,False)</f>
        <v>1.2</v>
      </c>
      <c r="W200" s="127">
        <f>VLOOKUP($O200,Update!$B$2:$R$401,12,False)</f>
        <v>3.7</v>
      </c>
      <c r="X200" s="127">
        <f>VLOOKUP($O200,Update!$B$2:$R$401,13,False)</f>
        <v>2</v>
      </c>
      <c r="Y200" s="127">
        <f>VLOOKUP($O200,Update!$B$2:$R$401,14,False)</f>
        <v>0.9</v>
      </c>
      <c r="Z200" s="132">
        <f>VLOOKUP($O200,Update!$B$2:$R$401,15,False)</f>
        <v>0.2</v>
      </c>
      <c r="AA200" s="127">
        <f>100*VLOOKUP($O200,Update!$B$2:$R$401,7,False)</f>
        <v>52.17391304</v>
      </c>
      <c r="AB200" s="127">
        <f>100*VLOOKUP($O200,Update!$B$2:$R$401,9,False)</f>
        <v>78.57142857</v>
      </c>
      <c r="AC200" s="127">
        <f>VLOOKUP($O200,Update!$B$2:$Q$401,16,False)</f>
        <v>1.3</v>
      </c>
      <c r="AD200" s="127">
        <f>VLOOKUP($O200,'NO USAR1'!$A$4:$L$403,2,False)*$U$19</f>
        <v>-1.307202931</v>
      </c>
      <c r="AE200" s="127">
        <f>VLOOKUP($O200,'NO USAR1'!$A$4:$L$403,3,False)*$V$19</f>
        <v>-0.3855832673</v>
      </c>
      <c r="AF200" s="127">
        <f>VLOOKUP($O200,'NO USAR1'!$A$4:$L$403,4,False)*$W$19</f>
        <v>-1.001617493</v>
      </c>
      <c r="AG200" s="127">
        <f>VLOOKUP($O200,'NO USAR1'!$A$4:$L$403,5,False)*$X$19</f>
        <v>-0.9404853718</v>
      </c>
      <c r="AH200" s="127">
        <f>VLOOKUP($O200,'NO USAR1'!$A$4:$L$403,6,False)*$Y$19</f>
        <v>-0.2064205728</v>
      </c>
      <c r="AI200" s="127">
        <f>VLOOKUP($O200,'NO USAR1'!$A$4:$L$403,7,False)*$Z$19</f>
        <v>-0.6583300762</v>
      </c>
      <c r="AJ200" s="127">
        <f>VLOOKUP($O200,'NO USAR1'!$A$4:$L$403,8,False)*$AA$19</f>
        <v>0.1775057495</v>
      </c>
      <c r="AK200" s="132">
        <f>VLOOKUP($O200,'NO USAR1'!$A$4:$L$403,10,False)*$AB$19</f>
        <v>-0.01422170748</v>
      </c>
      <c r="AL200" s="127">
        <f>VLOOKUP($O200,'NO USAR1'!$A$4:$L$403,12,False)*$AC$19</f>
        <v>0.2156679824</v>
      </c>
      <c r="AM200" s="133">
        <f t="shared" si="2"/>
        <v>-1.307202931</v>
      </c>
      <c r="AN200" s="133">
        <f t="shared" si="3"/>
        <v>-2.308820423</v>
      </c>
    </row>
    <row r="201">
      <c r="A201" s="118" t="str">
        <f>IF(Update!B199="",ROW(Update!B199),Update!B199)</f>
        <v>Gordon Hayward</v>
      </c>
      <c r="B201" s="119">
        <f>IF(TYPE($A201)=1,"",(Update!$L199-B$1)/B$2)</f>
        <v>-0.8858869882</v>
      </c>
      <c r="C201" s="119">
        <f>IF(TYPE($A201)=1,"",(Update!$K199-C$1)/C$2)</f>
        <v>-0.6211211385</v>
      </c>
      <c r="D201" s="119">
        <f>IF(TYPE($A201)=1,"",(Update!$M199-D$1)/D$2)</f>
        <v>-1.085248232</v>
      </c>
      <c r="E201" s="119">
        <f>IF(TYPE($A201)=1,"",(Update!$N199-E$1)/E$2)</f>
        <v>-0.3913279697</v>
      </c>
      <c r="F201" s="119">
        <f>IF(TYPE($A201)=1,"",(Update!$O199-F$1)/F$2)</f>
        <v>-1.229386107</v>
      </c>
      <c r="G201" s="119">
        <f>IF(TYPE($A201)=1,"",(Update!$P199-G$1)/G$2)</f>
        <v>-0.9404715375</v>
      </c>
      <c r="H201" s="119">
        <f>IF(TYPE($A201)=1,"",(Update!$H199-H$1)/H$2*I201/$I$1)</f>
        <v>-0.2351240293</v>
      </c>
      <c r="I201" s="119">
        <f>IF(TYPE($A201)=1,"",IF(Update!H199=0,0,Update!G199/Update!H199))</f>
        <v>9.5</v>
      </c>
      <c r="J201" s="120">
        <f>IF(TYPE($A201)=1,"",(Update!$J199-J$1)/J$2*K201/$K$1)</f>
        <v>0.07938206494</v>
      </c>
      <c r="K201" s="121">
        <f>IF(TYPE($A201)=1,"",IF(Update!J199=0,0,Update!I199/Update!J199))</f>
        <v>2.5</v>
      </c>
      <c r="L201" s="119">
        <f>IF(TYPE($A201)=1,"",-(Update!$Q199-L$1)/L$2)</f>
        <v>0.365931855</v>
      </c>
      <c r="N201" s="124">
        <v>181.0</v>
      </c>
      <c r="O201" s="130" t="str">
        <f>IF(Update!B197="",ROW(Update!B197),Update!B197)</f>
        <v>RJ Barrett</v>
      </c>
      <c r="P201" s="131">
        <f>Update!E197</f>
        <v>72</v>
      </c>
      <c r="Q201" s="131" t="str">
        <f>IF(Update!C197="",ROW(Update!N212),Update!C197)</f>
        <v>SG,SF</v>
      </c>
      <c r="R201" s="127">
        <f>VLOOKUP($O201,'NO USAR1'!$A$4:$L$403,2,False)+VLOOKUP($O201,'NO USAR1'!$A$4:$L$403,3,False)+VLOOKUP($O201,'NO USAR1'!$A$4:$L$403,4,False)+VLOOKUP($O201,'NO USAR1'!$A$4:$L$403,5,False)+VLOOKUP($O201,'NO USAR1'!$A$4:$L$403,6,False)+VLOOKUP($O201,'NO USAR1'!$A$4:$L$403,7,False)+VLOOKUP($O201,'NO USAR1'!$A$4:$L$403,8,False)+VLOOKUP($O201,'NO USAR1'!$A$4:$L$403,10,False)+VLOOKUP($O201,'NO USAR1'!$A$4:$L$403,12,False)*0</f>
        <v>-4.66850762</v>
      </c>
      <c r="S201" s="127">
        <f>VLOOKUP($O201,'NO USAR1'!$A$4:$L$403,2,False)*$U$19+VLOOKUP($O201,'NO USAR1'!$A$4:$L$403,3,False)*$V$19+VLOOKUP($O201,'NO USAR1'!$A$4:$L$403,4,False)*$W$19+VLOOKUP($O201,'NO USAR1'!$A$4:$L$403,5,False)*$X$19+VLOOKUP($O201,'NO USAR1'!$A$4:$L$403,6,False)*$Y$19+VLOOKUP($O201,'NO USAR1'!$A$4:$L$403,7,False)*$Z$19+VLOOKUP($O201,'NO USAR1'!$A$4:$L$403,8,False)*$AA$19+VLOOKUP($O201,'NO USAR1'!$A$4:$L$403,10,False)*$AB$19+VLOOKUP($O201,'NO USAR1'!$A$4:$L$403,12,False)*$AC$19+IF(Projections!$K$3,-AN201, IF(Projections!$J$3,-AM201,0))</f>
        <v>-2.692801224</v>
      </c>
      <c r="T201" s="127">
        <f t="shared" si="1"/>
        <v>1.975706396</v>
      </c>
      <c r="U201" s="127">
        <f>VLOOKUP($O201,Update!$B$2:$R$401,11,False)</f>
        <v>19.7</v>
      </c>
      <c r="V201" s="122">
        <f>VLOOKUP($O201,Update!$B$2:$R$401,10,False)</f>
        <v>1.8</v>
      </c>
      <c r="W201" s="127">
        <f>VLOOKUP($O201,Update!$B$2:$R$401,12,False)</f>
        <v>5.4</v>
      </c>
      <c r="X201" s="127">
        <f>VLOOKUP($O201,Update!$B$2:$R$401,13,False)</f>
        <v>2.8</v>
      </c>
      <c r="Y201" s="127">
        <f>VLOOKUP($O201,Update!$B$2:$R$401,14,False)</f>
        <v>0.5</v>
      </c>
      <c r="Z201" s="132">
        <f>VLOOKUP($O201,Update!$B$2:$R$401,15,False)</f>
        <v>0.2</v>
      </c>
      <c r="AA201" s="127">
        <f>100*VLOOKUP($O201,Update!$B$2:$R$401,7,False)</f>
        <v>43.125</v>
      </c>
      <c r="AB201" s="127">
        <f>100*VLOOKUP($O201,Update!$B$2:$R$401,9,False)</f>
        <v>74.07407407</v>
      </c>
      <c r="AC201" s="127">
        <f>VLOOKUP($O201,Update!$B$2:$Q$401,16,False)</f>
        <v>2.2</v>
      </c>
      <c r="AD201" s="127">
        <f>VLOOKUP($O201,'NO USAR1'!$A$4:$L$403,2,False)*$U$19</f>
        <v>0.4117661144</v>
      </c>
      <c r="AE201" s="127">
        <f>VLOOKUP($O201,'NO USAR1'!$A$4:$L$403,3,False)*$V$19</f>
        <v>0.1346940049</v>
      </c>
      <c r="AF201" s="127">
        <f>VLOOKUP($O201,'NO USAR1'!$A$4:$L$403,4,False)*$W$19</f>
        <v>-0.2907562051</v>
      </c>
      <c r="AG201" s="127">
        <f>VLOOKUP($O201,'NO USAR1'!$A$4:$L$403,5,False)*$X$19</f>
        <v>-0.5324656877</v>
      </c>
      <c r="AH201" s="127">
        <f>VLOOKUP($O201,'NO USAR1'!$A$4:$L$403,6,False)*$Y$19</f>
        <v>-1.078620176</v>
      </c>
      <c r="AI201" s="127">
        <f>VLOOKUP($O201,'NO USAR1'!$A$4:$L$403,7,False)*$Z$19</f>
        <v>-0.6583300762</v>
      </c>
      <c r="AJ201" s="127">
        <f>VLOOKUP($O201,'NO USAR1'!$A$4:$L$403,8,False)*$AA$19</f>
        <v>-1.034575312</v>
      </c>
      <c r="AK201" s="132">
        <f>VLOOKUP($O201,'NO USAR1'!$A$4:$L$403,10,False)*$AB$19</f>
        <v>-0.6593857529</v>
      </c>
      <c r="AL201" s="127">
        <f>VLOOKUP($O201,'NO USAR1'!$A$4:$L$403,12,False)*$AC$19</f>
        <v>-0.06374830958</v>
      </c>
      <c r="AM201" s="133">
        <f t="shared" si="2"/>
        <v>-1.078620176</v>
      </c>
      <c r="AN201" s="133">
        <f t="shared" si="3"/>
        <v>-2.113195488</v>
      </c>
    </row>
    <row r="202">
      <c r="A202" s="118" t="str">
        <f>IF(Update!B200="",ROW(Update!B200),Update!B200)</f>
        <v>Andrew Nembhard</v>
      </c>
      <c r="B202" s="119">
        <f>IF(TYPE($A202)=1,"",(Update!$L200-B$1)/B$2)</f>
        <v>-1.374613481</v>
      </c>
      <c r="C202" s="119">
        <f>IF(TYPE($A202)=1,"",(Update!$K200-C$1)/C$2)</f>
        <v>-0.4284258525</v>
      </c>
      <c r="D202" s="119">
        <f>IF(TYPE($A202)=1,"",(Update!$M200-D$1)/D$2)</f>
        <v>-1.503401931</v>
      </c>
      <c r="E202" s="119">
        <f>IF(TYPE($A202)=1,"",(Update!$N200-E$1)/E$2)</f>
        <v>0.2577942549</v>
      </c>
      <c r="F202" s="119">
        <f>IF(TYPE($A202)=1,"",(Update!$O200-F$1)/F$2)</f>
        <v>-0.2948865325</v>
      </c>
      <c r="G202" s="119">
        <f>IF(TYPE($A202)=1,"",(Update!$P200-G$1)/G$2)</f>
        <v>-0.9404715375</v>
      </c>
      <c r="H202" s="119">
        <f>IF(TYPE($A202)=1,"",(Update!$H200-H$1)/H$2*I202/$I$1)</f>
        <v>-0.518380224</v>
      </c>
      <c r="I202" s="119">
        <f>IF(TYPE($A202)=1,"",IF(Update!H200=0,0,Update!G200/Update!H200))</f>
        <v>8.2</v>
      </c>
      <c r="J202" s="120">
        <f>IF(TYPE($A202)=1,"",(Update!$J200-J$1)/J$2*K202/$K$1)</f>
        <v>-0.09905992065</v>
      </c>
      <c r="K202" s="121">
        <f>IF(TYPE($A202)=1,"",IF(Update!J200=0,0,Update!I200/Update!J200))</f>
        <v>0.8</v>
      </c>
      <c r="L202" s="119">
        <f>IF(TYPE($A202)=1,"",-(Update!$Q200-L$1)/L$2)</f>
        <v>0.4901168736</v>
      </c>
      <c r="N202" s="33">
        <v>182.0</v>
      </c>
      <c r="O202" s="130" t="str">
        <f>IF(Update!B198="",ROW(Update!B198),Update!B198)</f>
        <v>Kevin Porter Jr.</v>
      </c>
      <c r="P202" s="131">
        <f>Update!E198</f>
        <v>30</v>
      </c>
      <c r="Q202" s="131" t="str">
        <f>IF(Update!C198="",ROW(Update!N213),Update!C198)</f>
        <v>PG,SG</v>
      </c>
      <c r="R202" s="127">
        <f>VLOOKUP($O202,'NO USAR1'!$A$4:$L$403,2,False)+VLOOKUP($O202,'NO USAR1'!$A$4:$L$403,3,False)+VLOOKUP($O202,'NO USAR1'!$A$4:$L$403,4,False)+VLOOKUP($O202,'NO USAR1'!$A$4:$L$403,5,False)+VLOOKUP($O202,'NO USAR1'!$A$4:$L$403,6,False)+VLOOKUP($O202,'NO USAR1'!$A$4:$L$403,7,False)+VLOOKUP($O202,'NO USAR1'!$A$4:$L$403,8,False)+VLOOKUP($O202,'NO USAR1'!$A$4:$L$403,10,False)+VLOOKUP($O202,'NO USAR1'!$A$4:$L$403,12,False)*0</f>
        <v>-4.723964054</v>
      </c>
      <c r="S202" s="127">
        <f>VLOOKUP($O202,'NO USAR1'!$A$4:$L$403,2,False)*$U$19+VLOOKUP($O202,'NO USAR1'!$A$4:$L$403,3,False)*$V$19+VLOOKUP($O202,'NO USAR1'!$A$4:$L$403,4,False)*$W$19+VLOOKUP($O202,'NO USAR1'!$A$4:$L$403,5,False)*$X$19+VLOOKUP($O202,'NO USAR1'!$A$4:$L$403,6,False)*$Y$19+VLOOKUP($O202,'NO USAR1'!$A$4:$L$403,7,False)*$Z$19+VLOOKUP($O202,'NO USAR1'!$A$4:$L$403,8,False)*$AA$19+VLOOKUP($O202,'NO USAR1'!$A$4:$L$403,10,False)*$AB$19+VLOOKUP($O202,'NO USAR1'!$A$4:$L$403,12,False)*$AC$19+IF(Projections!$K$3,-AN202, IF(Projections!$J$3,-AM202,0))</f>
        <v>-2.925389389</v>
      </c>
      <c r="T202" s="127">
        <f t="shared" si="1"/>
        <v>1.798574665</v>
      </c>
      <c r="U202" s="127">
        <f>VLOOKUP($O202,Update!$B$2:$R$401,11,False)</f>
        <v>10.9</v>
      </c>
      <c r="V202" s="122">
        <f>VLOOKUP($O202,Update!$B$2:$R$401,10,False)</f>
        <v>1.6</v>
      </c>
      <c r="W202" s="127">
        <f>VLOOKUP($O202,Update!$B$2:$R$401,12,False)</f>
        <v>3.1</v>
      </c>
      <c r="X202" s="127">
        <f>VLOOKUP($O202,Update!$B$2:$R$401,13,False)</f>
        <v>3.7</v>
      </c>
      <c r="Y202" s="127">
        <f>VLOOKUP($O202,Update!$B$2:$R$401,14,False)</f>
        <v>0.8</v>
      </c>
      <c r="Z202" s="132">
        <f>VLOOKUP($O202,Update!$B$2:$R$401,15,False)</f>
        <v>0.2</v>
      </c>
      <c r="AA202" s="127">
        <f>100*VLOOKUP($O202,Update!$B$2:$R$401,7,False)</f>
        <v>43.18181818</v>
      </c>
      <c r="AB202" s="127">
        <f>100*VLOOKUP($O202,Update!$B$2:$R$401,9,False)</f>
        <v>77.27272727</v>
      </c>
      <c r="AC202" s="127">
        <f>VLOOKUP($O202,Update!$B$2:$Q$401,16,False)</f>
        <v>2</v>
      </c>
      <c r="AD202" s="127">
        <f>VLOOKUP($O202,'NO USAR1'!$A$4:$L$403,2,False)*$U$19</f>
        <v>-1.071266003</v>
      </c>
      <c r="AE202" s="127">
        <f>VLOOKUP($O202,'NO USAR1'!$A$4:$L$403,3,False)*$V$19</f>
        <v>-0.03873175248</v>
      </c>
      <c r="AF202" s="127">
        <f>VLOOKUP($O202,'NO USAR1'!$A$4:$L$403,4,False)*$W$19</f>
        <v>-1.252509712</v>
      </c>
      <c r="AG202" s="127">
        <f>VLOOKUP($O202,'NO USAR1'!$A$4:$L$403,5,False)*$X$19</f>
        <v>-0.07344354314</v>
      </c>
      <c r="AH202" s="127">
        <f>VLOOKUP($O202,'NO USAR1'!$A$4:$L$403,6,False)*$Y$19</f>
        <v>-0.4244704736</v>
      </c>
      <c r="AI202" s="127">
        <f>VLOOKUP($O202,'NO USAR1'!$A$4:$L$403,7,False)*$Z$19</f>
        <v>-0.6583300762</v>
      </c>
      <c r="AJ202" s="127">
        <f>VLOOKUP($O202,'NO USAR1'!$A$4:$L$403,8,False)*$AA$19</f>
        <v>-0.5640220963</v>
      </c>
      <c r="AK202" s="132">
        <f>VLOOKUP($O202,'NO USAR1'!$A$4:$L$403,10,False)*$AB$19</f>
        <v>-0.093469644</v>
      </c>
      <c r="AL202" s="127">
        <f>VLOOKUP($O202,'NO USAR1'!$A$4:$L$403,12,False)*$AC$19</f>
        <v>-0.001655800249</v>
      </c>
      <c r="AM202" s="133">
        <f t="shared" si="2"/>
        <v>-1.252509712</v>
      </c>
      <c r="AN202" s="133">
        <f t="shared" si="3"/>
        <v>-2.323775715</v>
      </c>
    </row>
    <row r="203">
      <c r="A203" s="118" t="str">
        <f>IF(Update!B201="",ROW(Update!B201),Update!B201)</f>
        <v>Grayson Allen</v>
      </c>
      <c r="B203" s="119">
        <f>IF(TYPE($A203)=1,"",(Update!$L201-B$1)/B$2)</f>
        <v>-1.374613481</v>
      </c>
      <c r="C203" s="119">
        <f>IF(TYPE($A203)=1,"",(Update!$K201-C$1)/C$2)</f>
        <v>0.3423552914</v>
      </c>
      <c r="D203" s="119">
        <f>IF(TYPE($A203)=1,"",(Update!$M201-D$1)/D$2)</f>
        <v>-1.294325082</v>
      </c>
      <c r="E203" s="119">
        <f>IF(TYPE($A203)=1,"",(Update!$N201-E$1)/E$2)</f>
        <v>-0.9940843212</v>
      </c>
      <c r="F203" s="119">
        <f>IF(TYPE($A203)=1,"",(Update!$O201-F$1)/F$2)</f>
        <v>-0.9178862491</v>
      </c>
      <c r="G203" s="119">
        <f>IF(TYPE($A203)=1,"",(Update!$P201-G$1)/G$2)</f>
        <v>-0.9404715375</v>
      </c>
      <c r="H203" s="119">
        <f>IF(TYPE($A203)=1,"",(Update!$H201-H$1)/H$2*I203/$I$1)</f>
        <v>-0.5237282424</v>
      </c>
      <c r="I203" s="119">
        <f>IF(TYPE($A203)=1,"",IF(Update!H201=0,0,Update!G201/Update!H201))</f>
        <v>7</v>
      </c>
      <c r="J203" s="120">
        <f>IF(TYPE($A203)=1,"",(Update!$J201-J$1)/J$2*K203/$K$1)</f>
        <v>0.2279719459</v>
      </c>
      <c r="K203" s="121">
        <f>IF(TYPE($A203)=1,"",IF(Update!J201=0,0,Update!I201/Update!J201))</f>
        <v>1.3</v>
      </c>
      <c r="L203" s="119">
        <f>IF(TYPE($A203)=1,"",-(Update!$Q201-L$1)/L$2)</f>
        <v>1.607782042</v>
      </c>
      <c r="N203" s="124">
        <v>183.0</v>
      </c>
      <c r="O203" s="130" t="str">
        <f>IF(Update!B184="",ROW(Update!B184),Update!B184)</f>
        <v>Patrick Beverley</v>
      </c>
      <c r="P203" s="131">
        <f>Update!E184</f>
        <v>64</v>
      </c>
      <c r="Q203" s="131" t="str">
        <f>IF(Update!C184="",ROW(Update!N199),Update!C184)</f>
        <v>PG</v>
      </c>
      <c r="R203" s="127">
        <f>VLOOKUP($O203,'NO USAR1'!$A$4:$L$403,2,False)+VLOOKUP($O203,'NO USAR1'!$A$4:$L$403,3,False)+VLOOKUP($O203,'NO USAR1'!$A$4:$L$403,4,False)+VLOOKUP($O203,'NO USAR1'!$A$4:$L$403,5,False)+VLOOKUP($O203,'NO USAR1'!$A$4:$L$403,6,False)+VLOOKUP($O203,'NO USAR1'!$A$4:$L$403,7,False)+VLOOKUP($O203,'NO USAR1'!$A$4:$L$403,8,False)+VLOOKUP($O203,'NO USAR1'!$A$4:$L$403,10,False)+VLOOKUP($O203,'NO USAR1'!$A$4:$L$403,12,False)*0</f>
        <v>-4.731291711</v>
      </c>
      <c r="S203" s="127">
        <f>VLOOKUP($O203,'NO USAR1'!$A$4:$L$403,2,False)*$U$19+VLOOKUP($O203,'NO USAR1'!$A$4:$L$403,3,False)*$V$19+VLOOKUP($O203,'NO USAR1'!$A$4:$L$403,4,False)*$W$19+VLOOKUP($O203,'NO USAR1'!$A$4:$L$403,5,False)*$X$19+VLOOKUP($O203,'NO USAR1'!$A$4:$L$403,6,False)*$Y$19+VLOOKUP($O203,'NO USAR1'!$A$4:$L$403,7,False)*$Z$19+VLOOKUP($O203,'NO USAR1'!$A$4:$L$403,8,False)*$AA$19+VLOOKUP($O203,'NO USAR1'!$A$4:$L$403,10,False)*$AB$19+VLOOKUP($O203,'NO USAR1'!$A$4:$L$403,12,False)*$AC$19+IF(Projections!$K$3,-AN203, IF(Projections!$J$3,-AM203,0))</f>
        <v>-2.435848336</v>
      </c>
      <c r="T203" s="127">
        <f t="shared" si="1"/>
        <v>2.295443375</v>
      </c>
      <c r="U203" s="127">
        <f>VLOOKUP($O203,Update!$B$2:$R$401,11,False)</f>
        <v>6.9</v>
      </c>
      <c r="V203" s="122">
        <f>VLOOKUP($O203,Update!$B$2:$R$401,10,False)</f>
        <v>1.2</v>
      </c>
      <c r="W203" s="127">
        <f>VLOOKUP($O203,Update!$B$2:$R$401,12,False)</f>
        <v>3.5</v>
      </c>
      <c r="X203" s="127">
        <f>VLOOKUP($O203,Update!$B$2:$R$401,13,False)</f>
        <v>3.4</v>
      </c>
      <c r="Y203" s="127">
        <f>VLOOKUP($O203,Update!$B$2:$R$401,14,False)</f>
        <v>0.9</v>
      </c>
      <c r="Z203" s="132">
        <f>VLOOKUP($O203,Update!$B$2:$R$401,15,False)</f>
        <v>0.7</v>
      </c>
      <c r="AA203" s="127">
        <f>100*VLOOKUP($O203,Update!$B$2:$R$401,7,False)</f>
        <v>39.65517241</v>
      </c>
      <c r="AB203" s="127">
        <f>100*VLOOKUP($O203,Update!$B$2:$R$401,9,False)</f>
        <v>71.42857143</v>
      </c>
      <c r="AC203" s="127">
        <f>VLOOKUP($O203,Update!$B$2:$Q$401,16,False)</f>
        <v>1</v>
      </c>
      <c r="AD203" s="127">
        <f>VLOOKUP($O203,'NO USAR1'!$A$4:$L$403,2,False)*$U$19</f>
        <v>-1.745371511</v>
      </c>
      <c r="AE203" s="127">
        <f>VLOOKUP($O203,'NO USAR1'!$A$4:$L$403,3,False)*$V$19</f>
        <v>-0.3855832673</v>
      </c>
      <c r="AF203" s="127">
        <f>VLOOKUP($O203,'NO USAR1'!$A$4:$L$403,4,False)*$W$19</f>
        <v>-1.085248232</v>
      </c>
      <c r="AG203" s="127">
        <f>VLOOKUP($O203,'NO USAR1'!$A$4:$L$403,5,False)*$X$19</f>
        <v>-0.2264509247</v>
      </c>
      <c r="AH203" s="127">
        <f>VLOOKUP($O203,'NO USAR1'!$A$4:$L$403,6,False)*$Y$19</f>
        <v>-0.2064205728</v>
      </c>
      <c r="AI203" s="127">
        <f>VLOOKUP($O203,'NO USAR1'!$A$4:$L$403,7,False)*$Z$19</f>
        <v>-0.001750877862</v>
      </c>
      <c r="AJ203" s="127">
        <f>VLOOKUP($O203,'NO USAR1'!$A$4:$L$403,8,False)*$AA$19</f>
        <v>-0.5760551376</v>
      </c>
      <c r="AK203" s="132">
        <f>VLOOKUP($O203,'NO USAR1'!$A$4:$L$403,10,False)*$AB$19</f>
        <v>-0.2631460703</v>
      </c>
      <c r="AL203" s="127">
        <f>VLOOKUP($O203,'NO USAR1'!$A$4:$L$403,12,False)*$AC$19</f>
        <v>0.3088067464</v>
      </c>
      <c r="AM203" s="133">
        <f t="shared" si="2"/>
        <v>-1.745371511</v>
      </c>
      <c r="AN203" s="133">
        <f t="shared" si="3"/>
        <v>-2.830619743</v>
      </c>
    </row>
    <row r="204">
      <c r="A204" s="118" t="str">
        <f>IF(Update!B202="",ROW(Update!B202),Update!B202)</f>
        <v>Santi Aldama</v>
      </c>
      <c r="B204" s="119">
        <f>IF(TYPE($A204)=1,"",(Update!$L202-B$1)/B$2)</f>
        <v>-1.307202931</v>
      </c>
      <c r="C204" s="119">
        <f>IF(TYPE($A204)=1,"",(Update!$K202-C$1)/C$2)</f>
        <v>-0.5247734955</v>
      </c>
      <c r="D204" s="119">
        <f>IF(TYPE($A204)=1,"",(Update!$M202-D$1)/D$2)</f>
        <v>-0.3743869448</v>
      </c>
      <c r="E204" s="119">
        <f>IF(TYPE($A204)=1,"",(Update!$N202-E$1)/E$2)</f>
        <v>-1.133181941</v>
      </c>
      <c r="F204" s="119">
        <f>IF(TYPE($A204)=1,"",(Update!$O202-F$1)/F$2)</f>
        <v>-1.229386107</v>
      </c>
      <c r="G204" s="119">
        <f>IF(TYPE($A204)=1,"",(Update!$P202-G$1)/G$2)</f>
        <v>-0.002501254089</v>
      </c>
      <c r="H204" s="119">
        <f>IF(TYPE($A204)=1,"",(Update!$H202-H$1)/H$2*I204/$I$1)</f>
        <v>-0.3550223965</v>
      </c>
      <c r="I204" s="119">
        <f>IF(TYPE($A204)=1,"",IF(Update!H202=0,0,Update!G202/Update!H202))</f>
        <v>7.5</v>
      </c>
      <c r="J204" s="120">
        <f>IF(TYPE($A204)=1,"",(Update!$J202-J$1)/J$2*K204/$K$1)</f>
        <v>-0.2476498016</v>
      </c>
      <c r="K204" s="121">
        <f>IF(TYPE($A204)=1,"",IF(Update!J202=0,0,Update!I202/Update!J202))</f>
        <v>2</v>
      </c>
      <c r="L204" s="119">
        <f>IF(TYPE($A204)=1,"",-(Update!$Q202-L$1)/L$2)</f>
        <v>1.359412004</v>
      </c>
      <c r="N204" s="124">
        <v>184.0</v>
      </c>
      <c r="O204" s="130" t="str">
        <f>IF(Update!B166="",ROW(Update!B166),Update!B166)</f>
        <v>Grant Williams</v>
      </c>
      <c r="P204" s="131">
        <f>Update!E166</f>
        <v>72</v>
      </c>
      <c r="Q204" s="131" t="str">
        <f>IF(Update!C166="",ROW(Update!N181),Update!C166)</f>
        <v>PF</v>
      </c>
      <c r="R204" s="127">
        <f>VLOOKUP($O204,'NO USAR1'!$A$4:$L$403,2,False)+VLOOKUP($O204,'NO USAR1'!$A$4:$L$403,3,False)+VLOOKUP($O204,'NO USAR1'!$A$4:$L$403,4,False)+VLOOKUP($O204,'NO USAR1'!$A$4:$L$403,5,False)+VLOOKUP($O204,'NO USAR1'!$A$4:$L$403,6,False)+VLOOKUP($O204,'NO USAR1'!$A$4:$L$403,7,False)+VLOOKUP($O204,'NO USAR1'!$A$4:$L$403,8,False)+VLOOKUP($O204,'NO USAR1'!$A$4:$L$403,10,False)+VLOOKUP($O204,'NO USAR1'!$A$4:$L$403,12,False)*0</f>
        <v>-4.756583346</v>
      </c>
      <c r="S204" s="127">
        <f>VLOOKUP($O204,'NO USAR1'!$A$4:$L$403,2,False)*$U$19+VLOOKUP($O204,'NO USAR1'!$A$4:$L$403,3,False)*$V$19+VLOOKUP($O204,'NO USAR1'!$A$4:$L$403,4,False)*$W$19+VLOOKUP($O204,'NO USAR1'!$A$4:$L$403,5,False)*$X$19+VLOOKUP($O204,'NO USAR1'!$A$4:$L$403,6,False)*$Y$19+VLOOKUP($O204,'NO USAR1'!$A$4:$L$403,7,False)*$Z$19+VLOOKUP($O204,'NO USAR1'!$A$4:$L$403,8,False)*$AA$19+VLOOKUP($O204,'NO USAR1'!$A$4:$L$403,10,False)*$AB$19+VLOOKUP($O204,'NO USAR1'!$A$4:$L$403,12,False)*$AC$19+IF(Projections!$K$3,-AN204, IF(Projections!$J$3,-AM204,0))</f>
        <v>-2.727097165</v>
      </c>
      <c r="T204" s="127">
        <f t="shared" si="1"/>
        <v>2.029486181</v>
      </c>
      <c r="U204" s="127">
        <f>VLOOKUP($O204,Update!$B$2:$R$401,11,False)</f>
        <v>9</v>
      </c>
      <c r="V204" s="122">
        <f>VLOOKUP($O204,Update!$B$2:$R$401,10,False)</f>
        <v>1.6</v>
      </c>
      <c r="W204" s="127">
        <f>VLOOKUP($O204,Update!$B$2:$R$401,12,False)</f>
        <v>4.6</v>
      </c>
      <c r="X204" s="127">
        <f>VLOOKUP($O204,Update!$B$2:$R$401,13,False)</f>
        <v>1.5</v>
      </c>
      <c r="Y204" s="127">
        <f>VLOOKUP($O204,Update!$B$2:$R$401,14,False)</f>
        <v>0.6</v>
      </c>
      <c r="Z204" s="132">
        <f>VLOOKUP($O204,Update!$B$2:$R$401,15,False)</f>
        <v>0.6</v>
      </c>
      <c r="AA204" s="127">
        <f>100*VLOOKUP($O204,Update!$B$2:$R$401,7,False)</f>
        <v>45.45454545</v>
      </c>
      <c r="AB204" s="127">
        <f>100*VLOOKUP($O204,Update!$B$2:$R$401,9,False)</f>
        <v>81.25</v>
      </c>
      <c r="AC204" s="127">
        <f>VLOOKUP($O204,Update!$B$2:$Q$401,16,False)</f>
        <v>1</v>
      </c>
      <c r="AD204" s="127">
        <f>VLOOKUP($O204,'NO USAR1'!$A$4:$L$403,2,False)*$U$19</f>
        <v>-1.391466119</v>
      </c>
      <c r="AE204" s="127">
        <f>VLOOKUP($O204,'NO USAR1'!$A$4:$L$403,3,False)*$V$19</f>
        <v>-0.03873175248</v>
      </c>
      <c r="AF204" s="127">
        <f>VLOOKUP($O204,'NO USAR1'!$A$4:$L$403,4,False)*$W$19</f>
        <v>-0.6252791639</v>
      </c>
      <c r="AG204" s="127">
        <f>VLOOKUP($O204,'NO USAR1'!$A$4:$L$403,5,False)*$X$19</f>
        <v>-1.195497674</v>
      </c>
      <c r="AH204" s="127">
        <f>VLOOKUP($O204,'NO USAR1'!$A$4:$L$403,6,False)*$Y$19</f>
        <v>-0.8605702752</v>
      </c>
      <c r="AI204" s="127">
        <f>VLOOKUP($O204,'NO USAR1'!$A$4:$L$403,7,False)*$Z$19</f>
        <v>-0.1330667175</v>
      </c>
      <c r="AJ204" s="127">
        <f>VLOOKUP($O204,'NO USAR1'!$A$4:$L$403,8,False)*$AA$19</f>
        <v>-0.2731868178</v>
      </c>
      <c r="AK204" s="132">
        <f>VLOOKUP($O204,'NO USAR1'!$A$4:$L$403,10,False)*$AB$19</f>
        <v>0.09042848982</v>
      </c>
      <c r="AL204" s="127">
        <f>VLOOKUP($O204,'NO USAR1'!$A$4:$L$403,12,False)*$AC$19</f>
        <v>0.3088067464</v>
      </c>
      <c r="AM204" s="133">
        <f t="shared" si="2"/>
        <v>-1.391466119</v>
      </c>
      <c r="AN204" s="133">
        <f t="shared" si="3"/>
        <v>-2.586963793</v>
      </c>
    </row>
    <row r="205">
      <c r="A205" s="118" t="str">
        <f>IF(Update!B203="",ROW(Update!B203),Update!B203)</f>
        <v>Mason Plumlee</v>
      </c>
      <c r="B205" s="119">
        <f>IF(TYPE($A205)=1,"",(Update!$L203-B$1)/B$2)</f>
        <v>-1.526287221</v>
      </c>
      <c r="C205" s="119">
        <f>IF(TYPE($A205)=1,"",(Update!$K203-C$1)/C$2)</f>
        <v>-1.584597568</v>
      </c>
      <c r="D205" s="119">
        <f>IF(TYPE($A205)=1,"",(Update!$M203-D$1)/D$2)</f>
        <v>0.7128126715</v>
      </c>
      <c r="E205" s="119">
        <f>IF(TYPE($A205)=1,"",(Update!$N203-E$1)/E$2)</f>
        <v>-0.4376938429</v>
      </c>
      <c r="F205" s="119">
        <f>IF(TYPE($A205)=1,"",(Update!$O203-F$1)/F$2)</f>
        <v>-0.9178862491</v>
      </c>
      <c r="G205" s="119">
        <f>IF(TYPE($A205)=1,"",(Update!$P203-G$1)/G$2)</f>
        <v>-0.1900953108</v>
      </c>
      <c r="H205" s="119">
        <f>IF(TYPE($A205)=1,"",(Update!$H203-H$1)/H$2*I205/$I$1)</f>
        <v>0.9652102693</v>
      </c>
      <c r="I205" s="119">
        <f>IF(TYPE($A205)=1,"",IF(Update!H203=0,0,Update!G203/Update!H203))</f>
        <v>4.9</v>
      </c>
      <c r="J205" s="120">
        <f>IF(TYPE($A205)=1,"",(Update!$J203-J$1)/J$2*K205/$K$1)</f>
        <v>-2.393985151</v>
      </c>
      <c r="K205" s="121">
        <f>IF(TYPE($A205)=1,"",IF(Update!J203=0,0,Update!I203/Update!J203))</f>
        <v>3</v>
      </c>
      <c r="L205" s="119">
        <f>IF(TYPE($A205)=1,"",-(Update!$Q203-L$1)/L$2)</f>
        <v>0.8626719296</v>
      </c>
      <c r="N205" s="33">
        <v>185.0</v>
      </c>
      <c r="O205" s="130" t="str">
        <f>IF(Update!B149="",ROW(Update!B149),Update!B149)</f>
        <v>Richaun Holmes</v>
      </c>
      <c r="P205" s="131">
        <f>Update!E149</f>
        <v>70</v>
      </c>
      <c r="Q205" s="131" t="str">
        <f>IF(Update!C149="",ROW(Update!N164),Update!C149)</f>
        <v>PF,C</v>
      </c>
      <c r="R205" s="127">
        <f>VLOOKUP($O205,'NO USAR1'!$A$4:$L$403,2,False)+VLOOKUP($O205,'NO USAR1'!$A$4:$L$403,3,False)+VLOOKUP($O205,'NO USAR1'!$A$4:$L$403,4,False)+VLOOKUP($O205,'NO USAR1'!$A$4:$L$403,5,False)+VLOOKUP($O205,'NO USAR1'!$A$4:$L$403,6,False)+VLOOKUP($O205,'NO USAR1'!$A$4:$L$403,7,False)+VLOOKUP($O205,'NO USAR1'!$A$4:$L$403,8,False)+VLOOKUP($O205,'NO USAR1'!$A$4:$L$403,10,False)+VLOOKUP($O205,'NO USAR1'!$A$4:$L$403,12,False)*0</f>
        <v>-4.77181151</v>
      </c>
      <c r="S205" s="127">
        <f>VLOOKUP($O205,'NO USAR1'!$A$4:$L$403,2,False)*$U$19+VLOOKUP($O205,'NO USAR1'!$A$4:$L$403,3,False)*$V$19+VLOOKUP($O205,'NO USAR1'!$A$4:$L$403,4,False)*$W$19+VLOOKUP($O205,'NO USAR1'!$A$4:$L$403,5,False)*$X$19+VLOOKUP($O205,'NO USAR1'!$A$4:$L$403,6,False)*$Y$19+VLOOKUP($O205,'NO USAR1'!$A$4:$L$403,7,False)*$Z$19+VLOOKUP($O205,'NO USAR1'!$A$4:$L$403,8,False)*$AA$19+VLOOKUP($O205,'NO USAR1'!$A$4:$L$403,10,False)*$AB$19+VLOOKUP($O205,'NO USAR1'!$A$4:$L$403,12,False)*$AC$19+IF(Projections!$K$3,-AN205, IF(Projections!$J$3,-AM205,0))</f>
        <v>-2.549971147</v>
      </c>
      <c r="T205" s="127">
        <f t="shared" si="1"/>
        <v>2.221840363</v>
      </c>
      <c r="U205" s="127">
        <f>VLOOKUP($O205,Update!$B$2:$R$401,11,False)</f>
        <v>9.8</v>
      </c>
      <c r="V205" s="122">
        <f>VLOOKUP($O205,Update!$B$2:$R$401,10,False)</f>
        <v>0.1</v>
      </c>
      <c r="W205" s="127">
        <f>VLOOKUP($O205,Update!$B$2:$R$401,12,False)</f>
        <v>6.5</v>
      </c>
      <c r="X205" s="127">
        <f>VLOOKUP($O205,Update!$B$2:$R$401,13,False)</f>
        <v>0.9</v>
      </c>
      <c r="Y205" s="127">
        <f>VLOOKUP($O205,Update!$B$2:$R$401,14,False)</f>
        <v>0.3</v>
      </c>
      <c r="Z205" s="132">
        <f>VLOOKUP($O205,Update!$B$2:$R$401,15,False)</f>
        <v>0.9</v>
      </c>
      <c r="AA205" s="127">
        <f>100*VLOOKUP($O205,Update!$B$2:$R$401,7,False)</f>
        <v>64.0625</v>
      </c>
      <c r="AB205" s="127">
        <f>100*VLOOKUP($O205,Update!$B$2:$R$401,9,False)</f>
        <v>77.77777778</v>
      </c>
      <c r="AC205" s="127">
        <f>VLOOKUP($O205,Update!$B$2:$Q$401,16,False)</f>
        <v>1.2</v>
      </c>
      <c r="AD205" s="127">
        <f>VLOOKUP($O205,'NO USAR1'!$A$4:$L$403,2,False)*$U$19</f>
        <v>-1.256645018</v>
      </c>
      <c r="AE205" s="127">
        <f>VLOOKUP($O205,'NO USAR1'!$A$4:$L$403,3,False)*$V$19</f>
        <v>-1.339424933</v>
      </c>
      <c r="AF205" s="127">
        <f>VLOOKUP($O205,'NO USAR1'!$A$4:$L$403,4,False)*$W$19</f>
        <v>0.1692128634</v>
      </c>
      <c r="AG205" s="127">
        <f>VLOOKUP($O205,'NO USAR1'!$A$4:$L$403,5,False)*$X$19</f>
        <v>-1.501512437</v>
      </c>
      <c r="AH205" s="127">
        <f>VLOOKUP($O205,'NO USAR1'!$A$4:$L$403,6,False)*$Y$19</f>
        <v>-1.514719978</v>
      </c>
      <c r="AI205" s="127">
        <f>VLOOKUP($O205,'NO USAR1'!$A$4:$L$403,7,False)*$Z$19</f>
        <v>0.2608808015</v>
      </c>
      <c r="AJ205" s="127">
        <f>VLOOKUP($O205,'NO USAR1'!$A$4:$L$403,8,False)*$AA$19</f>
        <v>0.9246490145</v>
      </c>
      <c r="AK205" s="132">
        <f>VLOOKUP($O205,'NO USAR1'!$A$4:$L$403,10,False)*$AB$19</f>
        <v>-0.05384567574</v>
      </c>
      <c r="AL205" s="127">
        <f>VLOOKUP($O205,'NO USAR1'!$A$4:$L$403,12,False)*$AC$19</f>
        <v>0.2467142371</v>
      </c>
      <c r="AM205" s="133">
        <f t="shared" si="2"/>
        <v>-1.514719978</v>
      </c>
      <c r="AN205" s="133">
        <f t="shared" si="3"/>
        <v>-3.016232415</v>
      </c>
    </row>
    <row r="206">
      <c r="A206" s="118" t="str">
        <f>IF(Update!B204="",ROW(Update!B204),Update!B204)</f>
        <v>James Wiseman</v>
      </c>
      <c r="B206" s="119">
        <f>IF(TYPE($A206)=1,"",(Update!$L204-B$1)/B$2)</f>
        <v>-1.071266003</v>
      </c>
      <c r="C206" s="119">
        <f>IF(TYPE($A206)=1,"",(Update!$K204-C$1)/C$2)</f>
        <v>-1.488249925</v>
      </c>
      <c r="D206" s="119">
        <f>IF(TYPE($A206)=1,"",(Update!$M204-D$1)/D$2)</f>
        <v>0.1692128634</v>
      </c>
      <c r="E206" s="119">
        <f>IF(TYPE($A206)=1,"",(Update!$N204-E$1)/E$2)</f>
        <v>-1.457743053</v>
      </c>
      <c r="F206" s="119">
        <f>IF(TYPE($A206)=1,"",(Update!$O204-F$1)/F$2)</f>
        <v>-2.475385541</v>
      </c>
      <c r="G206" s="119">
        <f>IF(TYPE($A206)=1,"",(Update!$P204-G$1)/G$2)</f>
        <v>0.3726868593</v>
      </c>
      <c r="H206" s="119">
        <f>IF(TYPE($A206)=1,"",(Update!$H204-H$1)/H$2*I206/$I$1)</f>
        <v>0.5914698085</v>
      </c>
      <c r="I206" s="119">
        <f>IF(TYPE($A206)=1,"",IF(Update!H204=0,0,Update!G204/Update!H204))</f>
        <v>8.2</v>
      </c>
      <c r="J206" s="120">
        <f>IF(TYPE($A206)=1,"",(Update!$J204-J$1)/J$2*K206/$K$1)</f>
        <v>-0.6083352155</v>
      </c>
      <c r="K206" s="121">
        <f>IF(TYPE($A206)=1,"",IF(Update!J204=0,0,Update!I204/Update!J204))</f>
        <v>2.4</v>
      </c>
      <c r="L206" s="119">
        <f>IF(TYPE($A206)=1,"",-(Update!$Q204-L$1)/L$2)</f>
        <v>0.9868569483</v>
      </c>
      <c r="N206" s="124">
        <v>186.0</v>
      </c>
      <c r="O206" s="130" t="str">
        <f>IF(Update!B185="",ROW(Update!B185),Update!B185)</f>
        <v>Royce O'Neale</v>
      </c>
      <c r="P206" s="131">
        <f>Update!E185</f>
        <v>76</v>
      </c>
      <c r="Q206" s="131" t="str">
        <f>IF(Update!C185="",ROW(Update!N200),Update!C185)</f>
        <v>SG,SF</v>
      </c>
      <c r="R206" s="127">
        <f>VLOOKUP($O206,'NO USAR1'!$A$4:$L$403,2,False)+VLOOKUP($O206,'NO USAR1'!$A$4:$L$403,3,False)+VLOOKUP($O206,'NO USAR1'!$A$4:$L$403,4,False)+VLOOKUP($O206,'NO USAR1'!$A$4:$L$403,5,False)+VLOOKUP($O206,'NO USAR1'!$A$4:$L$403,6,False)+VLOOKUP($O206,'NO USAR1'!$A$4:$L$403,7,False)+VLOOKUP($O206,'NO USAR1'!$A$4:$L$403,8,False)+VLOOKUP($O206,'NO USAR1'!$A$4:$L$403,10,False)+VLOOKUP($O206,'NO USAR1'!$A$4:$L$403,12,False)*0</f>
        <v>-4.780310377</v>
      </c>
      <c r="S206" s="127">
        <f>VLOOKUP($O206,'NO USAR1'!$A$4:$L$403,2,False)*$U$19+VLOOKUP($O206,'NO USAR1'!$A$4:$L$403,3,False)*$V$19+VLOOKUP($O206,'NO USAR1'!$A$4:$L$403,4,False)*$W$19+VLOOKUP($O206,'NO USAR1'!$A$4:$L$403,5,False)*$X$19+VLOOKUP($O206,'NO USAR1'!$A$4:$L$403,6,False)*$Y$19+VLOOKUP($O206,'NO USAR1'!$A$4:$L$403,7,False)*$Z$19+VLOOKUP($O206,'NO USAR1'!$A$4:$L$403,8,False)*$AA$19+VLOOKUP($O206,'NO USAR1'!$A$4:$L$403,10,False)*$AB$19+VLOOKUP($O206,'NO USAR1'!$A$4:$L$403,12,False)*$AC$19+IF(Projections!$K$3,-AN206, IF(Projections!$J$3,-AM206,0))</f>
        <v>-2.435035063</v>
      </c>
      <c r="T206" s="127">
        <f t="shared" si="1"/>
        <v>2.345275313</v>
      </c>
      <c r="U206" s="127">
        <f>VLOOKUP($O206,Update!$B$2:$R$401,11,False)</f>
        <v>6.9</v>
      </c>
      <c r="V206" s="122">
        <f>VLOOKUP($O206,Update!$B$2:$R$401,10,False)</f>
        <v>1.6</v>
      </c>
      <c r="W206" s="127">
        <f>VLOOKUP($O206,Update!$B$2:$R$401,12,False)</f>
        <v>4.2</v>
      </c>
      <c r="X206" s="127">
        <f>VLOOKUP($O206,Update!$B$2:$R$401,13,False)</f>
        <v>2.6</v>
      </c>
      <c r="Y206" s="127">
        <f>VLOOKUP($O206,Update!$B$2:$R$401,14,False)</f>
        <v>0.8</v>
      </c>
      <c r="Z206" s="132">
        <f>VLOOKUP($O206,Update!$B$2:$R$401,15,False)</f>
        <v>0.5</v>
      </c>
      <c r="AA206" s="127">
        <f>100*VLOOKUP($O206,Update!$B$2:$R$401,7,False)</f>
        <v>42.10526316</v>
      </c>
      <c r="AB206" s="127">
        <f>100*VLOOKUP($O206,Update!$B$2:$R$401,9,False)</f>
        <v>71.42857143</v>
      </c>
      <c r="AC206" s="127">
        <f>VLOOKUP($O206,Update!$B$2:$Q$401,16,False)</f>
        <v>1.1</v>
      </c>
      <c r="AD206" s="127">
        <f>VLOOKUP($O206,'NO USAR1'!$A$4:$L$403,2,False)*$U$19</f>
        <v>-1.745371511</v>
      </c>
      <c r="AE206" s="127">
        <f>VLOOKUP($O206,'NO USAR1'!$A$4:$L$403,3,False)*$V$19</f>
        <v>-0.03873175248</v>
      </c>
      <c r="AF206" s="127">
        <f>VLOOKUP($O206,'NO USAR1'!$A$4:$L$403,4,False)*$W$19</f>
        <v>-0.7925406433</v>
      </c>
      <c r="AG206" s="127">
        <f>VLOOKUP($O206,'NO USAR1'!$A$4:$L$403,5,False)*$X$19</f>
        <v>-0.6344706088</v>
      </c>
      <c r="AH206" s="127">
        <f>VLOOKUP($O206,'NO USAR1'!$A$4:$L$403,6,False)*$Y$19</f>
        <v>-0.4244704736</v>
      </c>
      <c r="AI206" s="127">
        <f>VLOOKUP($O206,'NO USAR1'!$A$4:$L$403,7,False)*$Z$19</f>
        <v>-0.2643825572</v>
      </c>
      <c r="AJ206" s="127">
        <f>VLOOKUP($O206,'NO USAR1'!$A$4:$L$403,8,False)*$AA$19</f>
        <v>-0.4266264846</v>
      </c>
      <c r="AK206" s="132">
        <f>VLOOKUP($O206,'NO USAR1'!$A$4:$L$403,10,False)*$AB$19</f>
        <v>-0.1315730352</v>
      </c>
      <c r="AL206" s="127">
        <f>VLOOKUP($O206,'NO USAR1'!$A$4:$L$403,12,False)*$AC$19</f>
        <v>0.2777604917</v>
      </c>
      <c r="AM206" s="133">
        <f t="shared" si="2"/>
        <v>-1.745371511</v>
      </c>
      <c r="AN206" s="133">
        <f t="shared" si="3"/>
        <v>-2.537912154</v>
      </c>
    </row>
    <row r="207">
      <c r="A207" s="118" t="str">
        <f>IF(Update!B205="",ROW(Update!B205),Update!B205)</f>
        <v>Jalen Suggs</v>
      </c>
      <c r="B207" s="119">
        <f>IF(TYPE($A207)=1,"",(Update!$L205-B$1)/B$2)</f>
        <v>-1.172381829</v>
      </c>
      <c r="C207" s="119">
        <f>IF(TYPE($A207)=1,"",(Update!$K205-C$1)/C$2)</f>
        <v>-0.6211211385</v>
      </c>
      <c r="D207" s="119">
        <f>IF(TYPE($A207)=1,"",(Update!$M205-D$1)/D$2)</f>
        <v>-1.252509712</v>
      </c>
      <c r="E207" s="119">
        <f>IF(TYPE($A207)=1,"",(Update!$N205-E$1)/E$2)</f>
        <v>-0.205864477</v>
      </c>
      <c r="F207" s="119">
        <f>IF(TYPE($A207)=1,"",(Update!$O205-F$1)/F$2)</f>
        <v>0.6396130423</v>
      </c>
      <c r="G207" s="119">
        <f>IF(TYPE($A207)=1,"",(Update!$P205-G$1)/G$2)</f>
        <v>-0.5652834241</v>
      </c>
      <c r="H207" s="119">
        <f>IF(TYPE($A207)=1,"",(Update!$H205-H$1)/H$2*I207/$I$1)</f>
        <v>-0.9587548914</v>
      </c>
      <c r="I207" s="119">
        <f>IF(TYPE($A207)=1,"",IF(Update!H205=0,0,Update!G205/Update!H205))</f>
        <v>9</v>
      </c>
      <c r="J207" s="120">
        <f>IF(TYPE($A207)=1,"",(Update!$J205-J$1)/J$2*K207/$K$1)</f>
        <v>-0.4121160956</v>
      </c>
      <c r="K207" s="121">
        <f>IF(TYPE($A207)=1,"",IF(Update!J205=0,0,Update!I205/Update!J205))</f>
        <v>2.7</v>
      </c>
      <c r="L207" s="119">
        <f>IF(TYPE($A207)=1,"",-(Update!$Q205-L$1)/L$2)</f>
        <v>-0.2549932383</v>
      </c>
      <c r="N207" s="124">
        <v>187.0</v>
      </c>
      <c r="O207" s="130" t="str">
        <f>IF(Update!B218="",ROW(Update!B218),Update!B218)</f>
        <v>Ausar Thompson</v>
      </c>
      <c r="P207" s="131">
        <f>Update!E218</f>
        <v>72</v>
      </c>
      <c r="Q207" s="131" t="str">
        <f>IF(Update!C218="",ROW(Update!N233),Update!C218)</f>
        <v>SG,SF</v>
      </c>
      <c r="R207" s="127">
        <f>VLOOKUP($O207,'NO USAR1'!$A$4:$L$403,2,False)+VLOOKUP($O207,'NO USAR1'!$A$4:$L$403,3,False)+VLOOKUP($O207,'NO USAR1'!$A$4:$L$403,4,False)+VLOOKUP($O207,'NO USAR1'!$A$4:$L$403,5,False)+VLOOKUP($O207,'NO USAR1'!$A$4:$L$403,6,False)+VLOOKUP($O207,'NO USAR1'!$A$4:$L$403,7,False)+VLOOKUP($O207,'NO USAR1'!$A$4:$L$403,8,False)+VLOOKUP($O207,'NO USAR1'!$A$4:$L$403,10,False)+VLOOKUP($O207,'NO USAR1'!$A$4:$L$403,12,False)*0</f>
        <v>-4.836565964</v>
      </c>
      <c r="S207" s="127">
        <f>VLOOKUP($O207,'NO USAR1'!$A$4:$L$403,2,False)*$U$19+VLOOKUP($O207,'NO USAR1'!$A$4:$L$403,3,False)*$V$19+VLOOKUP($O207,'NO USAR1'!$A$4:$L$403,4,False)*$W$19+VLOOKUP($O207,'NO USAR1'!$A$4:$L$403,5,False)*$X$19+VLOOKUP($O207,'NO USAR1'!$A$4:$L$403,6,False)*$Y$19+VLOOKUP($O207,'NO USAR1'!$A$4:$L$403,7,False)*$Z$19+VLOOKUP($O207,'NO USAR1'!$A$4:$L$403,8,False)*$AA$19+VLOOKUP($O207,'NO USAR1'!$A$4:$L$403,10,False)*$AB$19+VLOOKUP($O207,'NO USAR1'!$A$4:$L$403,12,False)*$AC$19+IF(Projections!$K$3,-AN207, IF(Projections!$J$3,-AM207,0))</f>
        <v>-3.376272358</v>
      </c>
      <c r="T207" s="127">
        <f t="shared" si="1"/>
        <v>1.460293606</v>
      </c>
      <c r="U207" s="127">
        <f>VLOOKUP($O207,Update!$B$2:$R$401,11,False)</f>
        <v>12.8</v>
      </c>
      <c r="V207" s="122">
        <f>VLOOKUP($O207,Update!$B$2:$R$401,10,False)</f>
        <v>0.7</v>
      </c>
      <c r="W207" s="127">
        <f>VLOOKUP($O207,Update!$B$2:$R$401,12,False)</f>
        <v>4.1</v>
      </c>
      <c r="X207" s="127">
        <f>VLOOKUP($O207,Update!$B$2:$R$401,13,False)</f>
        <v>3.5</v>
      </c>
      <c r="Y207" s="127">
        <f>VLOOKUP($O207,Update!$B$2:$R$401,14,False)</f>
        <v>1</v>
      </c>
      <c r="Z207" s="132">
        <f>VLOOKUP($O207,Update!$B$2:$R$401,15,False)</f>
        <v>0.5</v>
      </c>
      <c r="AA207" s="127">
        <f>100*VLOOKUP($O207,Update!$B$2:$R$401,7,False)</f>
        <v>44.24778761</v>
      </c>
      <c r="AB207" s="127">
        <f>100*VLOOKUP($O207,Update!$B$2:$R$401,9,False)</f>
        <v>66.66666667</v>
      </c>
      <c r="AC207" s="127">
        <f>VLOOKUP($O207,Update!$B$2:$Q$401,16,False)</f>
        <v>1.8</v>
      </c>
      <c r="AD207" s="127">
        <f>VLOOKUP($O207,'NO USAR1'!$A$4:$L$403,2,False)*$U$19</f>
        <v>-0.7510658866</v>
      </c>
      <c r="AE207" s="127">
        <f>VLOOKUP($O207,'NO USAR1'!$A$4:$L$403,3,False)*$V$19</f>
        <v>-0.8191476607</v>
      </c>
      <c r="AF207" s="127">
        <f>VLOOKUP($O207,'NO USAR1'!$A$4:$L$403,4,False)*$W$19</f>
        <v>-0.8343560132</v>
      </c>
      <c r="AG207" s="127">
        <f>VLOOKUP($O207,'NO USAR1'!$A$4:$L$403,5,False)*$X$19</f>
        <v>-0.1754484642</v>
      </c>
      <c r="AH207" s="127">
        <f>VLOOKUP($O207,'NO USAR1'!$A$4:$L$403,6,False)*$Y$19</f>
        <v>0.01162932804</v>
      </c>
      <c r="AI207" s="127">
        <f>VLOOKUP($O207,'NO USAR1'!$A$4:$L$403,7,False)*$Z$19</f>
        <v>-0.2643825572</v>
      </c>
      <c r="AJ207" s="127">
        <f>VLOOKUP($O207,'NO USAR1'!$A$4:$L$403,8,False)*$AA$19</f>
        <v>-0.6039378133</v>
      </c>
      <c r="AK207" s="132">
        <f>VLOOKUP($O207,'NO USAR1'!$A$4:$L$403,10,False)*$AB$19</f>
        <v>-0.9194906691</v>
      </c>
      <c r="AL207" s="127">
        <f>VLOOKUP($O207,'NO USAR1'!$A$4:$L$403,12,False)*$AC$19</f>
        <v>0.06043670908</v>
      </c>
      <c r="AM207" s="133">
        <f t="shared" si="2"/>
        <v>-0.9194906691</v>
      </c>
      <c r="AN207" s="133">
        <f t="shared" si="3"/>
        <v>-1.753846682</v>
      </c>
    </row>
    <row r="208">
      <c r="A208" s="118" t="str">
        <f>IF(Update!B206="",ROW(Update!B206),Update!B206)</f>
        <v>Gary Harris</v>
      </c>
      <c r="B208" s="119">
        <f>IF(TYPE($A208)=1,"",(Update!$L206-B$1)/B$2)</f>
        <v>-1.324055568</v>
      </c>
      <c r="C208" s="119">
        <f>IF(TYPE($A208)=1,"",(Update!$K206-C$1)/C$2)</f>
        <v>0.1496600055</v>
      </c>
      <c r="D208" s="119">
        <f>IF(TYPE($A208)=1,"",(Update!$M206-D$1)/D$2)</f>
        <v>-1.75429415</v>
      </c>
      <c r="E208" s="119">
        <f>IF(TYPE($A208)=1,"",(Update!$N206-E$1)/E$2)</f>
        <v>-1.086816068</v>
      </c>
      <c r="F208" s="119">
        <f>IF(TYPE($A208)=1,"",(Update!$O206-F$1)/F$2)</f>
        <v>-0.2948865325</v>
      </c>
      <c r="G208" s="119">
        <f>IF(TYPE($A208)=1,"",(Update!$P206-G$1)/G$2)</f>
        <v>-0.9404715375</v>
      </c>
      <c r="H208" s="119">
        <f>IF(TYPE($A208)=1,"",(Update!$H206-H$1)/H$2*I208/$I$1)</f>
        <v>-0.4660073998</v>
      </c>
      <c r="I208" s="119">
        <f>IF(TYPE($A208)=1,"",IF(Update!H206=0,0,Update!G206/Update!H206))</f>
        <v>7.5</v>
      </c>
      <c r="J208" s="120">
        <f>IF(TYPE($A208)=1,"",(Update!$J206-J$1)/J$2*K208/$K$1)</f>
        <v>0.4083146529</v>
      </c>
      <c r="K208" s="121">
        <f>IF(TYPE($A208)=1,"",IF(Update!J206=0,0,Update!I206/Update!J206))</f>
        <v>1.1</v>
      </c>
      <c r="L208" s="119">
        <f>IF(TYPE($A208)=1,"",-(Update!$Q206-L$1)/L$2)</f>
        <v>1.483597023</v>
      </c>
      <c r="N208" s="33">
        <v>188.0</v>
      </c>
      <c r="O208" s="130" t="str">
        <f>IF(Update!B177="",ROW(Update!B177),Update!B177)</f>
        <v>Luke Kennard</v>
      </c>
      <c r="P208" s="131">
        <f>Update!E177</f>
        <v>64</v>
      </c>
      <c r="Q208" s="131" t="str">
        <f>IF(Update!C177="",ROW(Update!N192),Update!C177)</f>
        <v>PG,SG</v>
      </c>
      <c r="R208" s="127">
        <f>VLOOKUP($O208,'NO USAR1'!$A$4:$L$403,2,False)+VLOOKUP($O208,'NO USAR1'!$A$4:$L$403,3,False)+VLOOKUP($O208,'NO USAR1'!$A$4:$L$403,4,False)+VLOOKUP($O208,'NO USAR1'!$A$4:$L$403,5,False)+VLOOKUP($O208,'NO USAR1'!$A$4:$L$403,6,False)+VLOOKUP($O208,'NO USAR1'!$A$4:$L$403,7,False)+VLOOKUP($O208,'NO USAR1'!$A$4:$L$403,8,False)+VLOOKUP($O208,'NO USAR1'!$A$4:$L$403,10,False)+VLOOKUP($O208,'NO USAR1'!$A$4:$L$403,12,False)*0</f>
        <v>-4.845125817</v>
      </c>
      <c r="S208" s="127">
        <f>VLOOKUP($O208,'NO USAR1'!$A$4:$L$403,2,False)*$U$19+VLOOKUP($O208,'NO USAR1'!$A$4:$L$403,3,False)*$V$19+VLOOKUP($O208,'NO USAR1'!$A$4:$L$403,4,False)*$W$19+VLOOKUP($O208,'NO USAR1'!$A$4:$L$403,5,False)*$X$19+VLOOKUP($O208,'NO USAR1'!$A$4:$L$403,6,False)*$Y$19+VLOOKUP($O208,'NO USAR1'!$A$4:$L$403,7,False)*$Z$19+VLOOKUP($O208,'NO USAR1'!$A$4:$L$403,8,False)*$AA$19+VLOOKUP($O208,'NO USAR1'!$A$4:$L$403,10,False)*$AB$19+VLOOKUP($O208,'NO USAR1'!$A$4:$L$403,12,False)*$AC$19+IF(Projections!$K$3,-AN208, IF(Projections!$J$3,-AM208,0))</f>
        <v>-2.681122074</v>
      </c>
      <c r="T208" s="127">
        <f t="shared" si="1"/>
        <v>2.164003743</v>
      </c>
      <c r="U208" s="127">
        <f>VLOOKUP($O208,Update!$B$2:$R$401,11,False)</f>
        <v>10.7</v>
      </c>
      <c r="V208" s="122">
        <f>VLOOKUP($O208,Update!$B$2:$R$401,10,False)</f>
        <v>2.5</v>
      </c>
      <c r="W208" s="127">
        <f>VLOOKUP($O208,Update!$B$2:$R$401,12,False)</f>
        <v>3</v>
      </c>
      <c r="X208" s="127">
        <f>VLOOKUP($O208,Update!$B$2:$R$401,13,False)</f>
        <v>1.8</v>
      </c>
      <c r="Y208" s="127">
        <f>VLOOKUP($O208,Update!$B$2:$R$401,14,False)</f>
        <v>0.6</v>
      </c>
      <c r="Z208" s="132">
        <f>VLOOKUP($O208,Update!$B$2:$R$401,15,False)</f>
        <v>0.1</v>
      </c>
      <c r="AA208" s="127">
        <f>100*VLOOKUP($O208,Update!$B$2:$R$401,7,False)</f>
        <v>46.83544304</v>
      </c>
      <c r="AB208" s="127">
        <f>100*VLOOKUP($O208,Update!$B$2:$R$401,9,False)</f>
        <v>88.88888889</v>
      </c>
      <c r="AC208" s="127">
        <f>VLOOKUP($O208,Update!$B$2:$Q$401,16,False)</f>
        <v>0.8</v>
      </c>
      <c r="AD208" s="127">
        <f>VLOOKUP($O208,'NO USAR1'!$A$4:$L$403,2,False)*$U$19</f>
        <v>-1.104971278</v>
      </c>
      <c r="AE208" s="127">
        <f>VLOOKUP($O208,'NO USAR1'!$A$4:$L$403,3,False)*$V$19</f>
        <v>0.7416841558</v>
      </c>
      <c r="AF208" s="127">
        <f>VLOOKUP($O208,'NO USAR1'!$A$4:$L$403,4,False)*$W$19</f>
        <v>-1.294325082</v>
      </c>
      <c r="AG208" s="127">
        <f>VLOOKUP($O208,'NO USAR1'!$A$4:$L$403,5,False)*$X$19</f>
        <v>-1.042490293</v>
      </c>
      <c r="AH208" s="127">
        <f>VLOOKUP($O208,'NO USAR1'!$A$4:$L$403,6,False)*$Y$19</f>
        <v>-0.8605702752</v>
      </c>
      <c r="AI208" s="127">
        <f>VLOOKUP($O208,'NO USAR1'!$A$4:$L$403,7,False)*$Z$19</f>
        <v>-0.7896459159</v>
      </c>
      <c r="AJ208" s="127">
        <f>VLOOKUP($O208,'NO USAR1'!$A$4:$L$403,8,False)*$AA$19</f>
        <v>-0.2180292484</v>
      </c>
      <c r="AK208" s="132">
        <f>VLOOKUP($O208,'NO USAR1'!$A$4:$L$403,10,False)*$AB$19</f>
        <v>0.222001525</v>
      </c>
      <c r="AL208" s="127">
        <f>VLOOKUP($O208,'NO USAR1'!$A$4:$L$403,12,False)*$AC$19</f>
        <v>0.3708992557</v>
      </c>
      <c r="AM208" s="133">
        <f t="shared" si="2"/>
        <v>-1.294325082</v>
      </c>
      <c r="AN208" s="133">
        <f t="shared" si="3"/>
        <v>-2.39929636</v>
      </c>
    </row>
    <row r="209">
      <c r="A209" s="118" t="str">
        <f>IF(Update!B207="",ROW(Update!B207),Update!B207)</f>
        <v>Eric Gordon</v>
      </c>
      <c r="B209" s="119">
        <f>IF(TYPE($A209)=1,"",(Update!$L207-B$1)/B$2)</f>
        <v>-0.9027396259</v>
      </c>
      <c r="C209" s="119">
        <f>IF(TYPE($A209)=1,"",(Update!$K207-C$1)/C$2)</f>
        <v>0.2460076484</v>
      </c>
      <c r="D209" s="119">
        <f>IF(TYPE($A209)=1,"",(Update!$M207-D$1)/D$2)</f>
        <v>-1.79610952</v>
      </c>
      <c r="E209" s="119">
        <f>IF(TYPE($A209)=1,"",(Update!$N207-E$1)/E$2)</f>
        <v>-0.6231573357</v>
      </c>
      <c r="F209" s="119">
        <f>IF(TYPE($A209)=1,"",(Update!$O207-F$1)/F$2)</f>
        <v>-1.540885966</v>
      </c>
      <c r="G209" s="119">
        <f>IF(TYPE($A209)=1,"",(Update!$P207-G$1)/G$2)</f>
        <v>-0.7528774808</v>
      </c>
      <c r="H209" s="119">
        <f>IF(TYPE($A209)=1,"",(Update!$H207-H$1)/H$2*I209/$I$1)</f>
        <v>-0.4038298752</v>
      </c>
      <c r="I209" s="119">
        <f>IF(TYPE($A209)=1,"",IF(Update!H207=0,0,Update!G207/Update!H207))</f>
        <v>9</v>
      </c>
      <c r="J209" s="120">
        <f>IF(TYPE($A209)=1,"",(Update!$J207-J$1)/J$2*K209/$K$1)</f>
        <v>-0.05143068168</v>
      </c>
      <c r="K209" s="121">
        <f>IF(TYPE($A209)=1,"",IF(Update!J207=0,0,Update!I207/Update!J207))</f>
        <v>2.3</v>
      </c>
      <c r="L209" s="119">
        <f>IF(TYPE($A209)=1,"",-(Update!$Q207-L$1)/L$2)</f>
        <v>0.4901168736</v>
      </c>
      <c r="N209" s="124">
        <v>189.0</v>
      </c>
      <c r="O209" s="130" t="str">
        <f>IF(Update!B200="",ROW(Update!B200),Update!B200)</f>
        <v>Andrew Nembhard</v>
      </c>
      <c r="P209" s="131">
        <f>Update!E200</f>
        <v>72</v>
      </c>
      <c r="Q209" s="131" t="str">
        <f>IF(Update!C200="",ROW(Update!N215),Update!C200)</f>
        <v>PG,SG</v>
      </c>
      <c r="R209" s="127">
        <f>VLOOKUP($O209,'NO USAR1'!$A$4:$L$403,2,False)+VLOOKUP($O209,'NO USAR1'!$A$4:$L$403,3,False)+VLOOKUP($O209,'NO USAR1'!$A$4:$L$403,4,False)+VLOOKUP($O209,'NO USAR1'!$A$4:$L$403,5,False)+VLOOKUP($O209,'NO USAR1'!$A$4:$L$403,6,False)+VLOOKUP($O209,'NO USAR1'!$A$4:$L$403,7,False)+VLOOKUP($O209,'NO USAR1'!$A$4:$L$403,8,False)+VLOOKUP($O209,'NO USAR1'!$A$4:$L$403,10,False)+VLOOKUP($O209,'NO USAR1'!$A$4:$L$403,12,False)*0</f>
        <v>-4.901445224</v>
      </c>
      <c r="S209" s="127">
        <f>VLOOKUP($O209,'NO USAR1'!$A$4:$L$403,2,False)*$U$19+VLOOKUP($O209,'NO USAR1'!$A$4:$L$403,3,False)*$V$19+VLOOKUP($O209,'NO USAR1'!$A$4:$L$403,4,False)*$W$19+VLOOKUP($O209,'NO USAR1'!$A$4:$L$403,5,False)*$X$19+VLOOKUP($O209,'NO USAR1'!$A$4:$L$403,6,False)*$Y$19+VLOOKUP($O209,'NO USAR1'!$A$4:$L$403,7,False)*$Z$19+VLOOKUP($O209,'NO USAR1'!$A$4:$L$403,8,False)*$AA$19+VLOOKUP($O209,'NO USAR1'!$A$4:$L$403,10,False)*$AB$19+VLOOKUP($O209,'NO USAR1'!$A$4:$L$403,12,False)*$AC$19+IF(Projections!$K$3,-AN209, IF(Projections!$J$3,-AM209,0))</f>
        <v>-2.764634637</v>
      </c>
      <c r="T209" s="127">
        <f t="shared" si="1"/>
        <v>2.136810588</v>
      </c>
      <c r="U209" s="127">
        <f>VLOOKUP($O209,Update!$B$2:$R$401,11,False)</f>
        <v>9.1</v>
      </c>
      <c r="V209" s="122">
        <f>VLOOKUP($O209,Update!$B$2:$R$401,10,False)</f>
        <v>1.2</v>
      </c>
      <c r="W209" s="127">
        <f>VLOOKUP($O209,Update!$B$2:$R$401,12,False)</f>
        <v>2.5</v>
      </c>
      <c r="X209" s="127">
        <f>VLOOKUP($O209,Update!$B$2:$R$401,13,False)</f>
        <v>4.4</v>
      </c>
      <c r="Y209" s="127">
        <f>VLOOKUP($O209,Update!$B$2:$R$401,14,False)</f>
        <v>0.9</v>
      </c>
      <c r="Z209" s="132">
        <f>VLOOKUP($O209,Update!$B$2:$R$401,15,False)</f>
        <v>0.2</v>
      </c>
      <c r="AA209" s="127">
        <f>100*VLOOKUP($O209,Update!$B$2:$R$401,7,False)</f>
        <v>43.90243902</v>
      </c>
      <c r="AB209" s="127">
        <f>100*VLOOKUP($O209,Update!$B$2:$R$401,9,False)</f>
        <v>75</v>
      </c>
      <c r="AC209" s="127">
        <f>VLOOKUP($O209,Update!$B$2:$Q$401,16,False)</f>
        <v>1.6</v>
      </c>
      <c r="AD209" s="127">
        <f>VLOOKUP($O209,'NO USAR1'!$A$4:$L$403,2,False)*$U$19</f>
        <v>-1.374613481</v>
      </c>
      <c r="AE209" s="127">
        <f>VLOOKUP($O209,'NO USAR1'!$A$4:$L$403,3,False)*$V$19</f>
        <v>-0.3855832673</v>
      </c>
      <c r="AF209" s="127">
        <f>VLOOKUP($O209,'NO USAR1'!$A$4:$L$403,4,False)*$W$19</f>
        <v>-1.503401931</v>
      </c>
      <c r="AG209" s="127">
        <f>VLOOKUP($O209,'NO USAR1'!$A$4:$L$403,5,False)*$X$19</f>
        <v>0.2835736804</v>
      </c>
      <c r="AH209" s="127">
        <f>VLOOKUP($O209,'NO USAR1'!$A$4:$L$403,6,False)*$Y$19</f>
        <v>-0.2064205728</v>
      </c>
      <c r="AI209" s="127">
        <f>VLOOKUP($O209,'NO USAR1'!$A$4:$L$403,7,False)*$Z$19</f>
        <v>-0.6583300762</v>
      </c>
      <c r="AJ209" s="127">
        <f>VLOOKUP($O209,'NO USAR1'!$A$4:$L$403,8,False)*$AA$19</f>
        <v>-0.4665422016</v>
      </c>
      <c r="AK209" s="132">
        <f>VLOOKUP($O209,'NO USAR1'!$A$4:$L$403,10,False)*$AB$19</f>
        <v>-0.07924793652</v>
      </c>
      <c r="AL209" s="127">
        <f>VLOOKUP($O209,'NO USAR1'!$A$4:$L$403,12,False)*$AC$19</f>
        <v>0.1225292184</v>
      </c>
      <c r="AM209" s="133">
        <f t="shared" si="2"/>
        <v>-1.503401931</v>
      </c>
      <c r="AN209" s="133">
        <f t="shared" si="3"/>
        <v>-2.878015412</v>
      </c>
    </row>
    <row r="210">
      <c r="A210" s="118" t="str">
        <f>IF(Update!B208="",ROW(Update!B208),Update!B208)</f>
        <v>Charles Bassey</v>
      </c>
      <c r="B210" s="119">
        <f>IF(TYPE($A210)=1,"",(Update!$L208-B$1)/B$2)</f>
        <v>-1.981308438</v>
      </c>
      <c r="C210" s="119">
        <f>IF(TYPE($A210)=1,"",(Update!$K208-C$1)/C$2)</f>
        <v>-1.488249925</v>
      </c>
      <c r="D210" s="119">
        <f>IF(TYPE($A210)=1,"",(Update!$M208-D$1)/D$2)</f>
        <v>-0.3325715749</v>
      </c>
      <c r="E210" s="119">
        <f>IF(TYPE($A210)=1,"",(Update!$N208-E$1)/E$2)</f>
        <v>-1.27227956</v>
      </c>
      <c r="F210" s="119">
        <f>IF(TYPE($A210)=1,"",(Update!$O208-F$1)/F$2)</f>
        <v>-1.852385824</v>
      </c>
      <c r="G210" s="119">
        <f>IF(TYPE($A210)=1,"",(Update!$P208-G$1)/G$2)</f>
        <v>0.5602809159</v>
      </c>
      <c r="H210" s="119">
        <f>IF(TYPE($A210)=1,"",(Update!$H208-H$1)/H$2*I210/$I$1)</f>
        <v>0.5718604078</v>
      </c>
      <c r="I210" s="119">
        <f>IF(TYPE($A210)=1,"",IF(Update!H208=0,0,Update!G208/Update!H208))</f>
        <v>3.8</v>
      </c>
      <c r="J210" s="120">
        <f>IF(TYPE($A210)=1,"",(Update!$J208-J$1)/J$2*K210/$K$1)</f>
        <v>-0.5905580812</v>
      </c>
      <c r="K210" s="121">
        <f>IF(TYPE($A210)=1,"",IF(Update!J208=0,0,Update!I208/Update!J208))</f>
        <v>1</v>
      </c>
      <c r="L210" s="119">
        <f>IF(TYPE($A210)=1,"",-(Update!$Q208-L$1)/L$2)</f>
        <v>1.235226986</v>
      </c>
      <c r="N210" s="124">
        <v>190.0</v>
      </c>
      <c r="O210" s="130" t="str">
        <f>IF(Update!B179="",ROW(Update!B179),Update!B179)</f>
        <v>Kelly Olynyk</v>
      </c>
      <c r="P210" s="131">
        <f>Update!E179</f>
        <v>66</v>
      </c>
      <c r="Q210" s="131" t="str">
        <f>IF(Update!C179="",ROW(Update!N194),Update!C179)</f>
        <v>PF,C</v>
      </c>
      <c r="R210" s="127">
        <f>VLOOKUP($O210,'NO USAR1'!$A$4:$L$403,2,False)+VLOOKUP($O210,'NO USAR1'!$A$4:$L$403,3,False)+VLOOKUP($O210,'NO USAR1'!$A$4:$L$403,4,False)+VLOOKUP($O210,'NO USAR1'!$A$4:$L$403,5,False)+VLOOKUP($O210,'NO USAR1'!$A$4:$L$403,6,False)+VLOOKUP($O210,'NO USAR1'!$A$4:$L$403,7,False)+VLOOKUP($O210,'NO USAR1'!$A$4:$L$403,8,False)+VLOOKUP($O210,'NO USAR1'!$A$4:$L$403,10,False)+VLOOKUP($O210,'NO USAR1'!$A$4:$L$403,12,False)*0</f>
        <v>-4.903870055</v>
      </c>
      <c r="S210" s="127">
        <f>VLOOKUP($O210,'NO USAR1'!$A$4:$L$403,2,False)*$U$19+VLOOKUP($O210,'NO USAR1'!$A$4:$L$403,3,False)*$V$19+VLOOKUP($O210,'NO USAR1'!$A$4:$L$403,4,False)*$W$19+VLOOKUP($O210,'NO USAR1'!$A$4:$L$403,5,False)*$X$19+VLOOKUP($O210,'NO USAR1'!$A$4:$L$403,6,False)*$Y$19+VLOOKUP($O210,'NO USAR1'!$A$4:$L$403,7,False)*$Z$19+VLOOKUP($O210,'NO USAR1'!$A$4:$L$403,8,False)*$AA$19+VLOOKUP($O210,'NO USAR1'!$A$4:$L$403,10,False)*$AB$19+VLOOKUP($O210,'NO USAR1'!$A$4:$L$403,12,False)*$AC$19+IF(Projections!$K$3,-AN210, IF(Projections!$J$3,-AM210,0))</f>
        <v>-2.900285252</v>
      </c>
      <c r="T210" s="127">
        <f t="shared" si="1"/>
        <v>2.003584803</v>
      </c>
      <c r="U210" s="127">
        <f>VLOOKUP($O210,Update!$B$2:$R$401,11,False)</f>
        <v>9</v>
      </c>
      <c r="V210" s="122">
        <f>VLOOKUP($O210,Update!$B$2:$R$401,10,False)</f>
        <v>1.1</v>
      </c>
      <c r="W210" s="127">
        <f>VLOOKUP($O210,Update!$B$2:$R$401,12,False)</f>
        <v>4.2</v>
      </c>
      <c r="X210" s="127">
        <f>VLOOKUP($O210,Update!$B$2:$R$401,13,False)</f>
        <v>2.6</v>
      </c>
      <c r="Y210" s="127">
        <f>VLOOKUP($O210,Update!$B$2:$R$401,14,False)</f>
        <v>0.6</v>
      </c>
      <c r="Z210" s="132">
        <f>VLOOKUP($O210,Update!$B$2:$R$401,15,False)</f>
        <v>0.4</v>
      </c>
      <c r="AA210" s="127">
        <f>100*VLOOKUP($O210,Update!$B$2:$R$401,7,False)</f>
        <v>48.38709677</v>
      </c>
      <c r="AB210" s="127">
        <f>100*VLOOKUP($O210,Update!$B$2:$R$401,9,False)</f>
        <v>82.60869565</v>
      </c>
      <c r="AC210" s="127">
        <f>VLOOKUP($O210,Update!$B$2:$Q$401,16,False)</f>
        <v>1.6</v>
      </c>
      <c r="AD210" s="127">
        <f>VLOOKUP($O210,'NO USAR1'!$A$4:$L$403,2,False)*$U$19</f>
        <v>-1.391466119</v>
      </c>
      <c r="AE210" s="127">
        <f>VLOOKUP($O210,'NO USAR1'!$A$4:$L$403,3,False)*$V$19</f>
        <v>-0.472296146</v>
      </c>
      <c r="AF210" s="127">
        <f>VLOOKUP($O210,'NO USAR1'!$A$4:$L$403,4,False)*$W$19</f>
        <v>-0.7925406433</v>
      </c>
      <c r="AG210" s="127">
        <f>VLOOKUP($O210,'NO USAR1'!$A$4:$L$403,5,False)*$X$19</f>
        <v>-0.6344706088</v>
      </c>
      <c r="AH210" s="127">
        <f>VLOOKUP($O210,'NO USAR1'!$A$4:$L$403,6,False)*$Y$19</f>
        <v>-0.8605702752</v>
      </c>
      <c r="AI210" s="127">
        <f>VLOOKUP($O210,'NO USAR1'!$A$4:$L$403,7,False)*$Z$19</f>
        <v>-0.3956983969</v>
      </c>
      <c r="AJ210" s="127">
        <f>VLOOKUP($O210,'NO USAR1'!$A$4:$L$403,8,False)*$AA$19</f>
        <v>-0.07501821749</v>
      </c>
      <c r="AK210" s="132">
        <f>VLOOKUP($O210,'NO USAR1'!$A$4:$L$403,10,False)*$AB$19</f>
        <v>0.2077798175</v>
      </c>
      <c r="AL210" s="127">
        <f>VLOOKUP($O210,'NO USAR1'!$A$4:$L$403,12,False)*$AC$19</f>
        <v>0.1225292184</v>
      </c>
      <c r="AM210" s="133">
        <f t="shared" si="2"/>
        <v>-1.391466119</v>
      </c>
      <c r="AN210" s="133">
        <f t="shared" si="3"/>
        <v>-2.252036394</v>
      </c>
    </row>
    <row r="211">
      <c r="A211" s="118" t="str">
        <f>IF(Update!B209="",ROW(Update!B209),Update!B209)</f>
        <v>Jonathan Isaac</v>
      </c>
      <c r="B211" s="119">
        <f>IF(TYPE($A211)=1,"",(Update!$L209-B$1)/B$2)</f>
        <v>-1.627403047</v>
      </c>
      <c r="C211" s="119">
        <f>IF(TYPE($A211)=1,"",(Update!$K209-C$1)/C$2)</f>
        <v>-0.8138164245</v>
      </c>
      <c r="D211" s="119">
        <f>IF(TYPE($A211)=1,"",(Update!$M209-D$1)/D$2)</f>
        <v>0.001951383927</v>
      </c>
      <c r="E211" s="119">
        <f>IF(TYPE($A211)=1,"",(Update!$N209-E$1)/E$2)</f>
        <v>-1.41137718</v>
      </c>
      <c r="F211" s="119">
        <f>IF(TYPE($A211)=1,"",(Update!$O209-F$1)/F$2)</f>
        <v>0.9511129006</v>
      </c>
      <c r="G211" s="119">
        <f>IF(TYPE($A211)=1,"",(Update!$P209-G$1)/G$2)</f>
        <v>-0.1900953108</v>
      </c>
      <c r="H211" s="119">
        <f>IF(TYPE($A211)=1,"",(Update!$H209-H$1)/H$2*I211/$I$1)</f>
        <v>-0.6888687427</v>
      </c>
      <c r="I211" s="119">
        <f>IF(TYPE($A211)=1,"",IF(Update!H209=0,0,Update!G209/Update!H209))</f>
        <v>7.3</v>
      </c>
      <c r="J211" s="120">
        <f>IF(TYPE($A211)=1,"",(Update!$J209-J$1)/J$2*K211/$K$1)</f>
        <v>-0.7709007881</v>
      </c>
      <c r="K211" s="121">
        <f>IF(TYPE($A211)=1,"",IF(Update!J209=0,0,Update!I209/Update!J209))</f>
        <v>1.2</v>
      </c>
      <c r="L211" s="119">
        <f>IF(TYPE($A211)=1,"",-(Update!$Q209-L$1)/L$2)</f>
        <v>1.73196706</v>
      </c>
      <c r="N211" s="33">
        <v>191.0</v>
      </c>
      <c r="O211" s="130" t="str">
        <f>IF(Update!B172="",ROW(Update!B172),Update!B172)</f>
        <v>Corey Kispert</v>
      </c>
      <c r="P211" s="131">
        <f>Update!E172</f>
        <v>74</v>
      </c>
      <c r="Q211" s="131" t="str">
        <f>IF(Update!C172="",ROW(Update!N187),Update!C172)</f>
        <v>SG,SF</v>
      </c>
      <c r="R211" s="127">
        <f>VLOOKUP($O211,'NO USAR1'!$A$4:$L$403,2,False)+VLOOKUP($O211,'NO USAR1'!$A$4:$L$403,3,False)+VLOOKUP($O211,'NO USAR1'!$A$4:$L$403,4,False)+VLOOKUP($O211,'NO USAR1'!$A$4:$L$403,5,False)+VLOOKUP($O211,'NO USAR1'!$A$4:$L$403,6,False)+VLOOKUP($O211,'NO USAR1'!$A$4:$L$403,7,False)+VLOOKUP($O211,'NO USAR1'!$A$4:$L$403,8,False)+VLOOKUP($O211,'NO USAR1'!$A$4:$L$403,10,False)+VLOOKUP($O211,'NO USAR1'!$A$4:$L$403,12,False)*0</f>
        <v>-4.913803623</v>
      </c>
      <c r="S211" s="127">
        <f>VLOOKUP($O211,'NO USAR1'!$A$4:$L$403,2,False)*$U$19+VLOOKUP($O211,'NO USAR1'!$A$4:$L$403,3,False)*$V$19+VLOOKUP($O211,'NO USAR1'!$A$4:$L$403,4,False)*$W$19+VLOOKUP($O211,'NO USAR1'!$A$4:$L$403,5,False)*$X$19+VLOOKUP($O211,'NO USAR1'!$A$4:$L$403,6,False)*$Y$19+VLOOKUP($O211,'NO USAR1'!$A$4:$L$403,7,False)*$Z$19+VLOOKUP($O211,'NO USAR1'!$A$4:$L$403,8,False)*$AA$19+VLOOKUP($O211,'NO USAR1'!$A$4:$L$403,10,False)*$AB$19+VLOOKUP($O211,'NO USAR1'!$A$4:$L$403,12,False)*$AC$19+IF(Projections!$K$3,-AN211, IF(Projections!$J$3,-AM211,0))</f>
        <v>-2.761812717</v>
      </c>
      <c r="T211" s="127">
        <f t="shared" si="1"/>
        <v>2.151990906</v>
      </c>
      <c r="U211" s="127">
        <f>VLOOKUP($O211,Update!$B$2:$R$401,11,False)</f>
        <v>11.2</v>
      </c>
      <c r="V211" s="122">
        <f>VLOOKUP($O211,Update!$B$2:$R$401,10,False)</f>
        <v>2.3</v>
      </c>
      <c r="W211" s="127">
        <f>VLOOKUP($O211,Update!$B$2:$R$401,12,False)</f>
        <v>3.1</v>
      </c>
      <c r="X211" s="127">
        <f>VLOOKUP($O211,Update!$B$2:$R$401,13,False)</f>
        <v>1.3</v>
      </c>
      <c r="Y211" s="127">
        <f>VLOOKUP($O211,Update!$B$2:$R$401,14,False)</f>
        <v>0.5</v>
      </c>
      <c r="Z211" s="132">
        <f>VLOOKUP($O211,Update!$B$2:$R$401,15,False)</f>
        <v>0.2</v>
      </c>
      <c r="AA211" s="127">
        <f>100*VLOOKUP($O211,Update!$B$2:$R$401,7,False)</f>
        <v>49.38271605</v>
      </c>
      <c r="AB211" s="127">
        <f>100*VLOOKUP($O211,Update!$B$2:$R$401,9,False)</f>
        <v>90.90909091</v>
      </c>
      <c r="AC211" s="127">
        <f>VLOOKUP($O211,Update!$B$2:$Q$401,16,False)</f>
        <v>0.8</v>
      </c>
      <c r="AD211" s="127">
        <f>VLOOKUP($O211,'NO USAR1'!$A$4:$L$403,2,False)*$U$19</f>
        <v>-1.02070809</v>
      </c>
      <c r="AE211" s="127">
        <f>VLOOKUP($O211,'NO USAR1'!$A$4:$L$403,3,False)*$V$19</f>
        <v>0.5682583984</v>
      </c>
      <c r="AF211" s="127">
        <f>VLOOKUP($O211,'NO USAR1'!$A$4:$L$403,4,False)*$W$19</f>
        <v>-1.252509712</v>
      </c>
      <c r="AG211" s="127">
        <f>VLOOKUP($O211,'NO USAR1'!$A$4:$L$403,5,False)*$X$19</f>
        <v>-1.297502595</v>
      </c>
      <c r="AH211" s="127">
        <f>VLOOKUP($O211,'NO USAR1'!$A$4:$L$403,6,False)*$Y$19</f>
        <v>-1.078620176</v>
      </c>
      <c r="AI211" s="127">
        <f>VLOOKUP($O211,'NO USAR1'!$A$4:$L$403,7,False)*$Z$19</f>
        <v>-0.6583300762</v>
      </c>
      <c r="AJ211" s="127">
        <f>VLOOKUP($O211,'NO USAR1'!$A$4:$L$403,8,False)*$AA$19</f>
        <v>-0.01745403985</v>
      </c>
      <c r="AK211" s="132">
        <f>VLOOKUP($O211,'NO USAR1'!$A$4:$L$403,10,False)*$AB$19</f>
        <v>0.3266517223</v>
      </c>
      <c r="AL211" s="127">
        <f>VLOOKUP($O211,'NO USAR1'!$A$4:$L$403,12,False)*$AC$19</f>
        <v>0.3708992557</v>
      </c>
      <c r="AM211" s="133">
        <f t="shared" si="2"/>
        <v>-1.297502595</v>
      </c>
      <c r="AN211" s="133">
        <f t="shared" si="3"/>
        <v>-2.550012307</v>
      </c>
    </row>
    <row r="212">
      <c r="A212" s="118" t="str">
        <f>IF(Update!B210="",ROW(Update!B210),Update!B210)</f>
        <v>Drew Eubanks</v>
      </c>
      <c r="B212" s="119">
        <f>IF(TYPE($A212)=1,"",(Update!$L210-B$1)/B$2)</f>
        <v>-1.795929424</v>
      </c>
      <c r="C212" s="119">
        <f>IF(TYPE($A212)=1,"",(Update!$K210-C$1)/C$2)</f>
        <v>-1.488249925</v>
      </c>
      <c r="D212" s="119">
        <f>IF(TYPE($A212)=1,"",(Update!$M210-D$1)/D$2)</f>
        <v>-0.4580176845</v>
      </c>
      <c r="E212" s="119">
        <f>IF(TYPE($A212)=1,"",(Update!$N210-E$1)/E$2)</f>
        <v>-1.225913687</v>
      </c>
      <c r="F212" s="119">
        <f>IF(TYPE($A212)=1,"",(Update!$O210-F$1)/F$2)</f>
        <v>-1.852385824</v>
      </c>
      <c r="G212" s="119">
        <f>IF(TYPE($A212)=1,"",(Update!$P210-G$1)/G$2)</f>
        <v>0.3726868593</v>
      </c>
      <c r="H212" s="119">
        <f>IF(TYPE($A212)=1,"",(Update!$H210-H$1)/H$2*I212/$I$1)</f>
        <v>0.5745344169</v>
      </c>
      <c r="I212" s="119">
        <f>IF(TYPE($A212)=1,"",IF(Update!H210=0,0,Update!G210/Update!H210))</f>
        <v>4.4</v>
      </c>
      <c r="J212" s="120">
        <f>IF(TYPE($A212)=1,"",(Update!$J210-J$1)/J$2*K212/$K$1)</f>
        <v>-0.5092752949</v>
      </c>
      <c r="K212" s="121">
        <f>IF(TYPE($A212)=1,"",IF(Update!J210=0,0,Update!I210/Update!J210))</f>
        <v>1.6</v>
      </c>
      <c r="L212" s="119">
        <f>IF(TYPE($A212)=1,"",-(Update!$Q210-L$1)/L$2)</f>
        <v>1.359412004</v>
      </c>
      <c r="N212" s="124">
        <v>192.0</v>
      </c>
      <c r="O212" s="130" t="str">
        <f>IF(Update!B190="",ROW(Update!B190),Update!B190)</f>
        <v>De'Andre Hunter</v>
      </c>
      <c r="P212" s="131">
        <f>Update!E190</f>
        <v>68</v>
      </c>
      <c r="Q212" s="131" t="str">
        <f>IF(Update!C190="",ROW(Update!N205),Update!C190)</f>
        <v>SF,PF</v>
      </c>
      <c r="R212" s="127">
        <f>VLOOKUP($O212,'NO USAR1'!$A$4:$L$403,2,False)+VLOOKUP($O212,'NO USAR1'!$A$4:$L$403,3,False)+VLOOKUP($O212,'NO USAR1'!$A$4:$L$403,4,False)+VLOOKUP($O212,'NO USAR1'!$A$4:$L$403,5,False)+VLOOKUP($O212,'NO USAR1'!$A$4:$L$403,6,False)+VLOOKUP($O212,'NO USAR1'!$A$4:$L$403,7,False)+VLOOKUP($O212,'NO USAR1'!$A$4:$L$403,8,False)+VLOOKUP($O212,'NO USAR1'!$A$4:$L$403,10,False)+VLOOKUP($O212,'NO USAR1'!$A$4:$L$403,12,False)*0</f>
        <v>-4.956334312</v>
      </c>
      <c r="S212" s="127">
        <f>VLOOKUP($O212,'NO USAR1'!$A$4:$L$403,2,False)*$U$19+VLOOKUP($O212,'NO USAR1'!$A$4:$L$403,3,False)*$V$19+VLOOKUP($O212,'NO USAR1'!$A$4:$L$403,4,False)*$W$19+VLOOKUP($O212,'NO USAR1'!$A$4:$L$403,5,False)*$X$19+VLOOKUP($O212,'NO USAR1'!$A$4:$L$403,6,False)*$Y$19+VLOOKUP($O212,'NO USAR1'!$A$4:$L$403,7,False)*$Z$19+VLOOKUP($O212,'NO USAR1'!$A$4:$L$403,8,False)*$AA$19+VLOOKUP($O212,'NO USAR1'!$A$4:$L$403,10,False)*$AB$19+VLOOKUP($O212,'NO USAR1'!$A$4:$L$403,12,False)*$AC$19+IF(Projections!$K$3,-AN212, IF(Projections!$J$3,-AM212,0))</f>
        <v>-2.982838281</v>
      </c>
      <c r="T212" s="127">
        <f t="shared" si="1"/>
        <v>1.973496031</v>
      </c>
      <c r="U212" s="127">
        <f>VLOOKUP($O212,Update!$B$2:$R$401,11,False)</f>
        <v>14.9</v>
      </c>
      <c r="V212" s="122">
        <f>VLOOKUP($O212,Update!$B$2:$R$401,10,False)</f>
        <v>1.5</v>
      </c>
      <c r="W212" s="127">
        <f>VLOOKUP($O212,Update!$B$2:$R$401,12,False)</f>
        <v>3.9</v>
      </c>
      <c r="X212" s="127">
        <f>VLOOKUP($O212,Update!$B$2:$R$401,13,False)</f>
        <v>1.4</v>
      </c>
      <c r="Y212" s="127">
        <f>VLOOKUP($O212,Update!$B$2:$R$401,14,False)</f>
        <v>0.6</v>
      </c>
      <c r="Z212" s="132">
        <f>VLOOKUP($O212,Update!$B$2:$R$401,15,False)</f>
        <v>0.3</v>
      </c>
      <c r="AA212" s="127">
        <f>100*VLOOKUP($O212,Update!$B$2:$R$401,7,False)</f>
        <v>45</v>
      </c>
      <c r="AB212" s="127">
        <f>100*VLOOKUP($O212,Update!$B$2:$R$401,9,False)</f>
        <v>81.25</v>
      </c>
      <c r="AC212" s="127">
        <f>VLOOKUP($O212,Update!$B$2:$Q$401,16,False)</f>
        <v>1.3</v>
      </c>
      <c r="AD212" s="127">
        <f>VLOOKUP($O212,'NO USAR1'!$A$4:$L$403,2,False)*$U$19</f>
        <v>-0.397160495</v>
      </c>
      <c r="AE212" s="127">
        <f>VLOOKUP($O212,'NO USAR1'!$A$4:$L$403,3,False)*$V$19</f>
        <v>-0.1254446312</v>
      </c>
      <c r="AF212" s="127">
        <f>VLOOKUP($O212,'NO USAR1'!$A$4:$L$403,4,False)*$W$19</f>
        <v>-0.9179867529</v>
      </c>
      <c r="AG212" s="127">
        <f>VLOOKUP($O212,'NO USAR1'!$A$4:$L$403,5,False)*$X$19</f>
        <v>-1.246500135</v>
      </c>
      <c r="AH212" s="127">
        <f>VLOOKUP($O212,'NO USAR1'!$A$4:$L$403,6,False)*$Y$19</f>
        <v>-0.8605702752</v>
      </c>
      <c r="AI212" s="127">
        <f>VLOOKUP($O212,'NO USAR1'!$A$4:$L$403,7,False)*$Z$19</f>
        <v>-0.5270142365</v>
      </c>
      <c r="AJ212" s="127">
        <f>VLOOKUP($O212,'NO USAR1'!$A$4:$L$403,8,False)*$AA$19</f>
        <v>-0.5511868522</v>
      </c>
      <c r="AK212" s="132">
        <f>VLOOKUP($O212,'NO USAR1'!$A$4:$L$403,10,False)*$AB$19</f>
        <v>0.1808569796</v>
      </c>
      <c r="AL212" s="127">
        <f>VLOOKUP($O212,'NO USAR1'!$A$4:$L$403,12,False)*$AC$19</f>
        <v>0.2156679824</v>
      </c>
      <c r="AM212" s="133">
        <f t="shared" si="2"/>
        <v>-1.246500135</v>
      </c>
      <c r="AN212" s="133">
        <f t="shared" si="3"/>
        <v>-2.164486888</v>
      </c>
    </row>
    <row r="213">
      <c r="A213" s="118" t="str">
        <f>IF(Update!B211="",ROW(Update!B211),Update!B211)</f>
        <v>Bones Hyland</v>
      </c>
      <c r="B213" s="119">
        <f>IF(TYPE($A213)=1,"",(Update!$L211-B$1)/B$2)</f>
        <v>-1.104971278</v>
      </c>
      <c r="C213" s="119">
        <f>IF(TYPE($A213)=1,"",(Update!$K211-C$1)/C$2)</f>
        <v>0.3423552914</v>
      </c>
      <c r="D213" s="119">
        <f>IF(TYPE($A213)=1,"",(Update!$M211-D$1)/D$2)</f>
        <v>-1.461586561</v>
      </c>
      <c r="E213" s="119">
        <f>IF(TYPE($A213)=1,"",(Update!$N211-E$1)/E$2)</f>
        <v>-0.4376938429</v>
      </c>
      <c r="F213" s="119">
        <f>IF(TYPE($A213)=1,"",(Update!$O211-F$1)/F$2)</f>
        <v>-1.229386107</v>
      </c>
      <c r="G213" s="119">
        <f>IF(TYPE($A213)=1,"",(Update!$P211-G$1)/G$2)</f>
        <v>-0.7528774808</v>
      </c>
      <c r="H213" s="119">
        <f>IF(TYPE($A213)=1,"",(Update!$H211-H$1)/H$2*I213/$I$1)</f>
        <v>-0.9587548914</v>
      </c>
      <c r="I213" s="119">
        <f>IF(TYPE($A213)=1,"",IF(Update!H211=0,0,Update!G211/Update!H211))</f>
        <v>9</v>
      </c>
      <c r="J213" s="120">
        <f>IF(TYPE($A213)=1,"",(Update!$J211-J$1)/J$2*K213/$K$1)</f>
        <v>0.2438483589</v>
      </c>
      <c r="K213" s="121">
        <f>IF(TYPE($A213)=1,"",IF(Update!J211=0,0,Update!I211/Update!J211))</f>
        <v>1.8</v>
      </c>
      <c r="L213" s="119">
        <f>IF(TYPE($A213)=1,"",-(Update!$Q211-L$1)/L$2)</f>
        <v>0.8626719296</v>
      </c>
      <c r="N213" s="124">
        <v>193.0</v>
      </c>
      <c r="O213" s="130" t="str">
        <f>IF(Update!B186="",ROW(Update!B186),Update!B186)</f>
        <v>Maxi Kleber</v>
      </c>
      <c r="P213" s="131">
        <f>Update!E186</f>
        <v>60</v>
      </c>
      <c r="Q213" s="131" t="str">
        <f>IF(Update!C186="",ROW(Update!N201),Update!C186)</f>
        <v>PF,C</v>
      </c>
      <c r="R213" s="127">
        <f>VLOOKUP($O213,'NO USAR1'!$A$4:$L$403,2,False)+VLOOKUP($O213,'NO USAR1'!$A$4:$L$403,3,False)+VLOOKUP($O213,'NO USAR1'!$A$4:$L$403,4,False)+VLOOKUP($O213,'NO USAR1'!$A$4:$L$403,5,False)+VLOOKUP($O213,'NO USAR1'!$A$4:$L$403,6,False)+VLOOKUP($O213,'NO USAR1'!$A$4:$L$403,7,False)+VLOOKUP($O213,'NO USAR1'!$A$4:$L$403,8,False)+VLOOKUP($O213,'NO USAR1'!$A$4:$L$403,10,False)+VLOOKUP($O213,'NO USAR1'!$A$4:$L$403,12,False)*0</f>
        <v>-5.007013479</v>
      </c>
      <c r="S213" s="127">
        <f>VLOOKUP($O213,'NO USAR1'!$A$4:$L$403,2,False)*$U$19+VLOOKUP($O213,'NO USAR1'!$A$4:$L$403,3,False)*$V$19+VLOOKUP($O213,'NO USAR1'!$A$4:$L$403,4,False)*$W$19+VLOOKUP($O213,'NO USAR1'!$A$4:$L$403,5,False)*$X$19+VLOOKUP($O213,'NO USAR1'!$A$4:$L$403,6,False)*$Y$19+VLOOKUP($O213,'NO USAR1'!$A$4:$L$403,7,False)*$Z$19+VLOOKUP($O213,'NO USAR1'!$A$4:$L$403,8,False)*$AA$19+VLOOKUP($O213,'NO USAR1'!$A$4:$L$403,10,False)*$AB$19+VLOOKUP($O213,'NO USAR1'!$A$4:$L$403,12,False)*$AC$19+IF(Projections!$K$3,-AN213, IF(Projections!$J$3,-AM213,0))</f>
        <v>-2.69206147</v>
      </c>
      <c r="T213" s="127">
        <f t="shared" si="1"/>
        <v>2.314952009</v>
      </c>
      <c r="U213" s="127">
        <f>VLOOKUP($O213,Update!$B$2:$R$401,11,False)</f>
        <v>7.4</v>
      </c>
      <c r="V213" s="122">
        <f>VLOOKUP($O213,Update!$B$2:$R$401,10,False)</f>
        <v>1.3</v>
      </c>
      <c r="W213" s="127">
        <f>VLOOKUP($O213,Update!$B$2:$R$401,12,False)</f>
        <v>5.3</v>
      </c>
      <c r="X213" s="127">
        <f>VLOOKUP($O213,Update!$B$2:$R$401,13,False)</f>
        <v>1.3</v>
      </c>
      <c r="Y213" s="127">
        <f>VLOOKUP($O213,Update!$B$2:$R$401,14,False)</f>
        <v>0.5</v>
      </c>
      <c r="Z213" s="132">
        <f>VLOOKUP($O213,Update!$B$2:$R$401,15,False)</f>
        <v>1</v>
      </c>
      <c r="AA213" s="127">
        <f>100*VLOOKUP($O213,Update!$B$2:$R$401,7,False)</f>
        <v>44.82758621</v>
      </c>
      <c r="AB213" s="127">
        <f>100*VLOOKUP($O213,Update!$B$2:$R$401,9,False)</f>
        <v>72.72727273</v>
      </c>
      <c r="AC213" s="127">
        <f>VLOOKUP($O213,Update!$B$2:$Q$401,16,False)</f>
        <v>0.8</v>
      </c>
      <c r="AD213" s="127">
        <f>VLOOKUP($O213,'NO USAR1'!$A$4:$L$403,2,False)*$U$19</f>
        <v>-1.661108322</v>
      </c>
      <c r="AE213" s="127">
        <f>VLOOKUP($O213,'NO USAR1'!$A$4:$L$403,3,False)*$V$19</f>
        <v>-0.2988703886</v>
      </c>
      <c r="AF213" s="127">
        <f>VLOOKUP($O213,'NO USAR1'!$A$4:$L$403,4,False)*$W$19</f>
        <v>-0.3325715749</v>
      </c>
      <c r="AG213" s="127">
        <f>VLOOKUP($O213,'NO USAR1'!$A$4:$L$403,5,False)*$X$19</f>
        <v>-1.297502595</v>
      </c>
      <c r="AH213" s="127">
        <f>VLOOKUP($O213,'NO USAR1'!$A$4:$L$403,6,False)*$Y$19</f>
        <v>-1.078620176</v>
      </c>
      <c r="AI213" s="127">
        <f>VLOOKUP($O213,'NO USAR1'!$A$4:$L$403,7,False)*$Z$19</f>
        <v>0.3921966412</v>
      </c>
      <c r="AJ213" s="127">
        <f>VLOOKUP($O213,'NO USAR1'!$A$4:$L$403,8,False)*$AA$19</f>
        <v>-0.2763956288</v>
      </c>
      <c r="AK213" s="132">
        <f>VLOOKUP($O213,'NO USAR1'!$A$4:$L$403,10,False)*$AB$19</f>
        <v>-0.1711970034</v>
      </c>
      <c r="AL213" s="127">
        <f>VLOOKUP($O213,'NO USAR1'!$A$4:$L$403,12,False)*$AC$19</f>
        <v>0.3708992557</v>
      </c>
      <c r="AM213" s="133">
        <f t="shared" si="2"/>
        <v>-1.661108322</v>
      </c>
      <c r="AN213" s="133">
        <f t="shared" si="3"/>
        <v>-2.958610918</v>
      </c>
    </row>
    <row r="214">
      <c r="A214" s="118" t="str">
        <f>IF(Update!B212="",ROW(Update!B212),Update!B212)</f>
        <v>Chris Boucher</v>
      </c>
      <c r="B214" s="119">
        <f>IF(TYPE($A214)=1,"",(Update!$L212-B$1)/B$2)</f>
        <v>-1.509434583</v>
      </c>
      <c r="C214" s="119">
        <f>IF(TYPE($A214)=1,"",(Update!$K212-C$1)/C$2)</f>
        <v>-0.9101640675</v>
      </c>
      <c r="D214" s="119">
        <f>IF(TYPE($A214)=1,"",(Update!$M212-D$1)/D$2)</f>
        <v>-0.3743869448</v>
      </c>
      <c r="E214" s="119">
        <f>IF(TYPE($A214)=1,"",(Update!$N212-E$1)/E$2)</f>
        <v>-1.643206546</v>
      </c>
      <c r="F214" s="119">
        <f>IF(TYPE($A214)=1,"",(Update!$O212-F$1)/F$2)</f>
        <v>-1.540885966</v>
      </c>
      <c r="G214" s="119">
        <f>IF(TYPE($A214)=1,"",(Update!$P212-G$1)/G$2)</f>
        <v>0.1850928026</v>
      </c>
      <c r="H214" s="119">
        <f>IF(TYPE($A214)=1,"",(Update!$H212-H$1)/H$2*I214/$I$1)</f>
        <v>-0.1384004084</v>
      </c>
      <c r="I214" s="119">
        <f>IF(TYPE($A214)=1,"",IF(Update!H212=0,0,Update!G212/Update!H212))</f>
        <v>6.3</v>
      </c>
      <c r="J214" s="120">
        <f>IF(TYPE($A214)=1,"",(Update!$J212-J$1)/J$2*K214/$K$1)</f>
        <v>0.06350565196</v>
      </c>
      <c r="K214" s="121">
        <f>IF(TYPE($A214)=1,"",IF(Update!J212=0,0,Update!I212/Update!J212))</f>
        <v>2</v>
      </c>
      <c r="L214" s="119">
        <f>IF(TYPE($A214)=1,"",-(Update!$Q212-L$1)/L$2)</f>
        <v>1.856152079</v>
      </c>
      <c r="N214" s="33">
        <v>194.0</v>
      </c>
      <c r="O214" s="130" t="str">
        <f>IF(Update!B215="",ROW(Update!B215),Update!B215)</f>
        <v>Tim Hardaway Jr.</v>
      </c>
      <c r="P214" s="131">
        <f>Update!E215</f>
        <v>69</v>
      </c>
      <c r="Q214" s="131" t="str">
        <f>IF(Update!C215="",ROW(Update!N230),Update!C215)</f>
        <v>SG,SF</v>
      </c>
      <c r="R214" s="127">
        <f>VLOOKUP($O214,'NO USAR1'!$A$4:$L$403,2,False)+VLOOKUP($O214,'NO USAR1'!$A$4:$L$403,3,False)+VLOOKUP($O214,'NO USAR1'!$A$4:$L$403,4,False)+VLOOKUP($O214,'NO USAR1'!$A$4:$L$403,5,False)+VLOOKUP($O214,'NO USAR1'!$A$4:$L$403,6,False)+VLOOKUP($O214,'NO USAR1'!$A$4:$L$403,7,False)+VLOOKUP($O214,'NO USAR1'!$A$4:$L$403,8,False)+VLOOKUP($O214,'NO USAR1'!$A$4:$L$403,10,False)+VLOOKUP($O214,'NO USAR1'!$A$4:$L$403,12,False)*0</f>
        <v>-5.025926646</v>
      </c>
      <c r="S214" s="127">
        <f>VLOOKUP($O214,'NO USAR1'!$A$4:$L$403,2,False)*$U$19+VLOOKUP($O214,'NO USAR1'!$A$4:$L$403,3,False)*$V$19+VLOOKUP($O214,'NO USAR1'!$A$4:$L$403,4,False)*$W$19+VLOOKUP($O214,'NO USAR1'!$A$4:$L$403,5,False)*$X$19+VLOOKUP($O214,'NO USAR1'!$A$4:$L$403,6,False)*$Y$19+VLOOKUP($O214,'NO USAR1'!$A$4:$L$403,7,False)*$Z$19+VLOOKUP($O214,'NO USAR1'!$A$4:$L$403,8,False)*$AA$19+VLOOKUP($O214,'NO USAR1'!$A$4:$L$403,10,False)*$AB$19+VLOOKUP($O214,'NO USAR1'!$A$4:$L$403,12,False)*$AC$19+IF(Projections!$K$3,-AN214, IF(Projections!$J$3,-AM214,0))</f>
        <v>-2.974997611</v>
      </c>
      <c r="T214" s="127">
        <f t="shared" si="1"/>
        <v>2.050929035</v>
      </c>
      <c r="U214" s="127">
        <f>VLOOKUP($O214,Update!$B$2:$R$401,11,False)</f>
        <v>13.2</v>
      </c>
      <c r="V214" s="122">
        <f>VLOOKUP($O214,Update!$B$2:$R$401,10,False)</f>
        <v>2.6</v>
      </c>
      <c r="W214" s="127">
        <f>VLOOKUP($O214,Update!$B$2:$R$401,12,False)</f>
        <v>3.3</v>
      </c>
      <c r="X214" s="127">
        <f>VLOOKUP($O214,Update!$B$2:$R$401,13,False)</f>
        <v>1.8</v>
      </c>
      <c r="Y214" s="127">
        <f>VLOOKUP($O214,Update!$B$2:$R$401,14,False)</f>
        <v>0.7</v>
      </c>
      <c r="Z214" s="132">
        <f>VLOOKUP($O214,Update!$B$2:$R$401,15,False)</f>
        <v>0.2</v>
      </c>
      <c r="AA214" s="127">
        <f>100*VLOOKUP($O214,Update!$B$2:$R$401,7,False)</f>
        <v>40.17857143</v>
      </c>
      <c r="AB214" s="127">
        <f>100*VLOOKUP($O214,Update!$B$2:$R$401,9,False)</f>
        <v>77.27272727</v>
      </c>
      <c r="AC214" s="127">
        <f>VLOOKUP($O214,Update!$B$2:$Q$401,16,False)</f>
        <v>0.8</v>
      </c>
      <c r="AD214" s="127">
        <f>VLOOKUP($O214,'NO USAR1'!$A$4:$L$403,2,False)*$U$19</f>
        <v>-0.6836553359</v>
      </c>
      <c r="AE214" s="127">
        <f>VLOOKUP($O214,'NO USAR1'!$A$4:$L$403,3,False)*$V$19</f>
        <v>0.8283970345</v>
      </c>
      <c r="AF214" s="127">
        <f>VLOOKUP($O214,'NO USAR1'!$A$4:$L$403,4,False)*$W$19</f>
        <v>-1.168878972</v>
      </c>
      <c r="AG214" s="127">
        <f>VLOOKUP($O214,'NO USAR1'!$A$4:$L$403,5,False)*$X$19</f>
        <v>-1.042490293</v>
      </c>
      <c r="AH214" s="127">
        <f>VLOOKUP($O214,'NO USAR1'!$A$4:$L$403,6,False)*$Y$19</f>
        <v>-0.6425203744</v>
      </c>
      <c r="AI214" s="127">
        <f>VLOOKUP($O214,'NO USAR1'!$A$4:$L$403,7,False)*$Z$19</f>
        <v>-0.6583300762</v>
      </c>
      <c r="AJ214" s="127">
        <f>VLOOKUP($O214,'NO USAR1'!$A$4:$L$403,8,False)*$AA$19</f>
        <v>-1.053828178</v>
      </c>
      <c r="AK214" s="132">
        <f>VLOOKUP($O214,'NO USAR1'!$A$4:$L$403,10,False)*$AB$19</f>
        <v>-0.093469644</v>
      </c>
      <c r="AL214" s="127">
        <f>VLOOKUP($O214,'NO USAR1'!$A$4:$L$403,12,False)*$AC$19</f>
        <v>0.3708992557</v>
      </c>
      <c r="AM214" s="133">
        <f t="shared" si="2"/>
        <v>-1.168878972</v>
      </c>
      <c r="AN214" s="133">
        <f t="shared" si="3"/>
        <v>-2.22270715</v>
      </c>
    </row>
    <row r="215">
      <c r="A215" s="118" t="str">
        <f>IF(Update!B213="",ROW(Update!B213),Update!B213)</f>
        <v>Christian Braun</v>
      </c>
      <c r="B215" s="119">
        <f>IF(TYPE($A215)=1,"",(Update!$L213-B$1)/B$2)</f>
        <v>-1.526287221</v>
      </c>
      <c r="C215" s="119">
        <f>IF(TYPE($A215)=1,"",(Update!$K213-C$1)/C$2)</f>
        <v>-0.7174687815</v>
      </c>
      <c r="D215" s="119">
        <f>IF(TYPE($A215)=1,"",(Update!$M213-D$1)/D$2)</f>
        <v>-0.876171383</v>
      </c>
      <c r="E215" s="119">
        <f>IF(TYPE($A215)=1,"",(Update!$N213-E$1)/E$2)</f>
        <v>-1.179547814</v>
      </c>
      <c r="F215" s="119">
        <f>IF(TYPE($A215)=1,"",(Update!$O213-F$1)/F$2)</f>
        <v>-0.2948865325</v>
      </c>
      <c r="G215" s="119">
        <f>IF(TYPE($A215)=1,"",(Update!$P213-G$1)/G$2)</f>
        <v>-0.5652834241</v>
      </c>
      <c r="H215" s="119">
        <f>IF(TYPE($A215)=1,"",(Update!$H213-H$1)/H$2*I215/$I$1)</f>
        <v>0.02852276466</v>
      </c>
      <c r="I215" s="119">
        <f>IF(TYPE($A215)=1,"",IF(Update!H213=0,0,Update!G213/Update!H213))</f>
        <v>6.4</v>
      </c>
      <c r="J215" s="120">
        <f>IF(TYPE($A215)=1,"",(Update!$J213-J$1)/J$2*K215/$K$1)</f>
        <v>-0.3289325879</v>
      </c>
      <c r="K215" s="121">
        <f>IF(TYPE($A215)=1,"",IF(Update!J213=0,0,Update!I213/Update!J213))</f>
        <v>1.4</v>
      </c>
      <c r="L215" s="119">
        <f>IF(TYPE($A215)=1,"",-(Update!$Q213-L$1)/L$2)</f>
        <v>1.483597023</v>
      </c>
      <c r="N215" s="124">
        <v>195.0</v>
      </c>
      <c r="O215" s="130" t="str">
        <f>IF(Update!B194="",ROW(Update!B194),Update!B194)</f>
        <v>Ayo Dosunmu</v>
      </c>
      <c r="P215" s="131">
        <f>Update!E194</f>
        <v>76</v>
      </c>
      <c r="Q215" s="131" t="str">
        <f>IF(Update!C194="",ROW(Update!N209),Update!C194)</f>
        <v>SG</v>
      </c>
      <c r="R215" s="127">
        <f>VLOOKUP($O215,'NO USAR1'!$A$4:$L$403,2,False)+VLOOKUP($O215,'NO USAR1'!$A$4:$L$403,3,False)+VLOOKUP($O215,'NO USAR1'!$A$4:$L$403,4,False)+VLOOKUP($O215,'NO USAR1'!$A$4:$L$403,5,False)+VLOOKUP($O215,'NO USAR1'!$A$4:$L$403,6,False)+VLOOKUP($O215,'NO USAR1'!$A$4:$L$403,7,False)+VLOOKUP($O215,'NO USAR1'!$A$4:$L$403,8,False)+VLOOKUP($O215,'NO USAR1'!$A$4:$L$403,10,False)+VLOOKUP($O215,'NO USAR1'!$A$4:$L$403,12,False)*0</f>
        <v>-5.050694115</v>
      </c>
      <c r="S215" s="127">
        <f>VLOOKUP($O215,'NO USAR1'!$A$4:$L$403,2,False)*$U$19+VLOOKUP($O215,'NO USAR1'!$A$4:$L$403,3,False)*$V$19+VLOOKUP($O215,'NO USAR1'!$A$4:$L$403,4,False)*$W$19+VLOOKUP($O215,'NO USAR1'!$A$4:$L$403,5,False)*$X$19+VLOOKUP($O215,'NO USAR1'!$A$4:$L$403,6,False)*$Y$19+VLOOKUP($O215,'NO USAR1'!$A$4:$L$403,7,False)*$Z$19+VLOOKUP($O215,'NO USAR1'!$A$4:$L$403,8,False)*$AA$19+VLOOKUP($O215,'NO USAR1'!$A$4:$L$403,10,False)*$AB$19+VLOOKUP($O215,'NO USAR1'!$A$4:$L$403,12,False)*$AC$19+IF(Projections!$K$3,-AN215, IF(Projections!$J$3,-AM215,0))</f>
        <v>-3.038745599</v>
      </c>
      <c r="T215" s="127">
        <f t="shared" si="1"/>
        <v>2.011948516</v>
      </c>
      <c r="U215" s="127">
        <f>VLOOKUP($O215,Update!$B$2:$R$401,11,False)</f>
        <v>8.8</v>
      </c>
      <c r="V215" s="122">
        <f>VLOOKUP($O215,Update!$B$2:$R$401,10,False)</f>
        <v>0.8</v>
      </c>
      <c r="W215" s="127">
        <f>VLOOKUP($O215,Update!$B$2:$R$401,12,False)</f>
        <v>2.8</v>
      </c>
      <c r="X215" s="127">
        <f>VLOOKUP($O215,Update!$B$2:$R$401,13,False)</f>
        <v>3</v>
      </c>
      <c r="Y215" s="127">
        <f>VLOOKUP($O215,Update!$B$2:$R$401,14,False)</f>
        <v>0.8</v>
      </c>
      <c r="Z215" s="132">
        <f>VLOOKUP($O215,Update!$B$2:$R$401,15,False)</f>
        <v>0.4</v>
      </c>
      <c r="AA215" s="127">
        <f>100*VLOOKUP($O215,Update!$B$2:$R$401,7,False)</f>
        <v>50</v>
      </c>
      <c r="AB215" s="127">
        <f>100*VLOOKUP($O215,Update!$B$2:$R$401,9,False)</f>
        <v>81.81818182</v>
      </c>
      <c r="AC215" s="127">
        <f>VLOOKUP($O215,Update!$B$2:$Q$401,16,False)</f>
        <v>1.3</v>
      </c>
      <c r="AD215" s="127">
        <f>VLOOKUP($O215,'NO USAR1'!$A$4:$L$403,2,False)*$U$19</f>
        <v>-1.425171394</v>
      </c>
      <c r="AE215" s="127">
        <f>VLOOKUP($O215,'NO USAR1'!$A$4:$L$403,3,False)*$V$19</f>
        <v>-0.7324347821</v>
      </c>
      <c r="AF215" s="127">
        <f>VLOOKUP($O215,'NO USAR1'!$A$4:$L$403,4,False)*$W$19</f>
        <v>-1.377955821</v>
      </c>
      <c r="AG215" s="127">
        <f>VLOOKUP($O215,'NO USAR1'!$A$4:$L$403,5,False)*$X$19</f>
        <v>-0.4304607667</v>
      </c>
      <c r="AH215" s="127">
        <f>VLOOKUP($O215,'NO USAR1'!$A$4:$L$403,6,False)*$Y$19</f>
        <v>-0.4244704736</v>
      </c>
      <c r="AI215" s="127">
        <f>VLOOKUP($O215,'NO USAR1'!$A$4:$L$403,7,False)*$Z$19</f>
        <v>-0.3956983969</v>
      </c>
      <c r="AJ215" s="127">
        <f>VLOOKUP($O215,'NO USAR1'!$A$4:$L$403,8,False)*$AA$19</f>
        <v>0.02887929921</v>
      </c>
      <c r="AK215" s="132">
        <f>VLOOKUP($O215,'NO USAR1'!$A$4:$L$403,10,False)*$AB$19</f>
        <v>0.07772735943</v>
      </c>
      <c r="AL215" s="127">
        <f>VLOOKUP($O215,'NO USAR1'!$A$4:$L$403,12,False)*$AC$19</f>
        <v>0.2156679824</v>
      </c>
      <c r="AM215" s="133">
        <f t="shared" si="2"/>
        <v>-1.425171394</v>
      </c>
      <c r="AN215" s="133">
        <f t="shared" si="3"/>
        <v>-2.803127216</v>
      </c>
    </row>
    <row r="216">
      <c r="A216" s="118" t="str">
        <f>IF(Update!B214="",ROW(Update!B214),Update!B214)</f>
        <v>Jalen Johnson</v>
      </c>
      <c r="B216" s="119">
        <f>IF(TYPE($A216)=1,"",(Update!$L214-B$1)/B$2)</f>
        <v>-1.576845134</v>
      </c>
      <c r="C216" s="119">
        <f>IF(TYPE($A216)=1,"",(Update!$K214-C$1)/C$2)</f>
        <v>-1.00651171</v>
      </c>
      <c r="D216" s="119">
        <f>IF(TYPE($A216)=1,"",(Update!$M214-D$1)/D$2)</f>
        <v>-0.2907562051</v>
      </c>
      <c r="E216" s="119">
        <f>IF(TYPE($A216)=1,"",(Update!$N214-E$1)/E$2)</f>
        <v>-1.086816068</v>
      </c>
      <c r="F216" s="119">
        <f>IF(TYPE($A216)=1,"",(Update!$O214-F$1)/F$2)</f>
        <v>-0.9178862491</v>
      </c>
      <c r="G216" s="119">
        <f>IF(TYPE($A216)=1,"",(Update!$P214-G$1)/G$2)</f>
        <v>-0.1900953108</v>
      </c>
      <c r="H216" s="119">
        <f>IF(TYPE($A216)=1,"",(Update!$H214-H$1)/H$2*I216/$I$1)</f>
        <v>0.02852276466</v>
      </c>
      <c r="I216" s="119">
        <f>IF(TYPE($A216)=1,"",IF(Update!H214=0,0,Update!G214/Update!H214))</f>
        <v>6.4</v>
      </c>
      <c r="J216" s="120">
        <f>IF(TYPE($A216)=1,"",(Update!$J214-J$1)/J$2*K216/$K$1)</f>
        <v>-0.5746816682</v>
      </c>
      <c r="K216" s="121">
        <f>IF(TYPE($A216)=1,"",IF(Update!J214=0,0,Update!I214/Update!J214))</f>
        <v>1.5</v>
      </c>
      <c r="L216" s="119">
        <f>IF(TYPE($A216)=1,"",-(Update!$Q214-L$1)/L$2)</f>
        <v>1.359412004</v>
      </c>
      <c r="N216" s="124">
        <v>196.0</v>
      </c>
      <c r="O216" s="130" t="str">
        <f>IF(Update!B222="",ROW(Update!B222),Update!B222)</f>
        <v>Josh Okogie</v>
      </c>
      <c r="P216" s="131">
        <f>Update!E222</f>
        <v>70</v>
      </c>
      <c r="Q216" s="131" t="str">
        <f>IF(Update!C222="",ROW(Update!N237),Update!C222)</f>
        <v>SG,SF</v>
      </c>
      <c r="R216" s="127">
        <f>VLOOKUP($O216,'NO USAR1'!$A$4:$L$403,2,False)+VLOOKUP($O216,'NO USAR1'!$A$4:$L$403,3,False)+VLOOKUP($O216,'NO USAR1'!$A$4:$L$403,4,False)+VLOOKUP($O216,'NO USAR1'!$A$4:$L$403,5,False)+VLOOKUP($O216,'NO USAR1'!$A$4:$L$403,6,False)+VLOOKUP($O216,'NO USAR1'!$A$4:$L$403,7,False)+VLOOKUP($O216,'NO USAR1'!$A$4:$L$403,8,False)+VLOOKUP($O216,'NO USAR1'!$A$4:$L$403,10,False)+VLOOKUP($O216,'NO USAR1'!$A$4:$L$403,12,False)*0</f>
        <v>-5.052536703</v>
      </c>
      <c r="S216" s="127">
        <f>VLOOKUP($O216,'NO USAR1'!$A$4:$L$403,2,False)*$U$19+VLOOKUP($O216,'NO USAR1'!$A$4:$L$403,3,False)*$V$19+VLOOKUP($O216,'NO USAR1'!$A$4:$L$403,4,False)*$W$19+VLOOKUP($O216,'NO USAR1'!$A$4:$L$403,5,False)*$X$19+VLOOKUP($O216,'NO USAR1'!$A$4:$L$403,6,False)*$Y$19+VLOOKUP($O216,'NO USAR1'!$A$4:$L$403,7,False)*$Z$19+VLOOKUP($O216,'NO USAR1'!$A$4:$L$403,8,False)*$AA$19+VLOOKUP($O216,'NO USAR1'!$A$4:$L$403,10,False)*$AB$19+VLOOKUP($O216,'NO USAR1'!$A$4:$L$403,12,False)*$AC$19+IF(Projections!$K$3,-AN216, IF(Projections!$J$3,-AM216,0))</f>
        <v>-3.221803275</v>
      </c>
      <c r="T216" s="127">
        <f t="shared" si="1"/>
        <v>1.830733427</v>
      </c>
      <c r="U216" s="127">
        <f>VLOOKUP($O216,Update!$B$2:$R$401,11,False)</f>
        <v>8.8</v>
      </c>
      <c r="V216" s="122">
        <f>VLOOKUP($O216,Update!$B$2:$R$401,10,False)</f>
        <v>1.1</v>
      </c>
      <c r="W216" s="127">
        <f>VLOOKUP($O216,Update!$B$2:$R$401,12,False)</f>
        <v>4.2</v>
      </c>
      <c r="X216" s="127">
        <f>VLOOKUP($O216,Update!$B$2:$R$401,13,False)</f>
        <v>1.7</v>
      </c>
      <c r="Y216" s="127">
        <f>VLOOKUP($O216,Update!$B$2:$R$401,14,False)</f>
        <v>1.1</v>
      </c>
      <c r="Z216" s="132">
        <f>VLOOKUP($O216,Update!$B$2:$R$401,15,False)</f>
        <v>0.6</v>
      </c>
      <c r="AA216" s="127">
        <f>100*VLOOKUP($O216,Update!$B$2:$R$401,7,False)</f>
        <v>39.70588235</v>
      </c>
      <c r="AB216" s="127">
        <f>100*VLOOKUP($O216,Update!$B$2:$R$401,9,False)</f>
        <v>71.875</v>
      </c>
      <c r="AC216" s="127">
        <f>VLOOKUP($O216,Update!$B$2:$Q$401,16,False)</f>
        <v>1.1</v>
      </c>
      <c r="AD216" s="127">
        <f>VLOOKUP($O216,'NO USAR1'!$A$4:$L$403,2,False)*$U$19</f>
        <v>-1.425171394</v>
      </c>
      <c r="AE216" s="127">
        <f>VLOOKUP($O216,'NO USAR1'!$A$4:$L$403,3,False)*$V$19</f>
        <v>-0.472296146</v>
      </c>
      <c r="AF216" s="127">
        <f>VLOOKUP($O216,'NO USAR1'!$A$4:$L$403,4,False)*$W$19</f>
        <v>-0.7925406433</v>
      </c>
      <c r="AG216" s="127">
        <f>VLOOKUP($O216,'NO USAR1'!$A$4:$L$403,5,False)*$X$19</f>
        <v>-1.093492753</v>
      </c>
      <c r="AH216" s="127">
        <f>VLOOKUP($O216,'NO USAR1'!$A$4:$L$403,6,False)*$Y$19</f>
        <v>0.2296792288</v>
      </c>
      <c r="AI216" s="127">
        <f>VLOOKUP($O216,'NO USAR1'!$A$4:$L$403,7,False)*$Z$19</f>
        <v>-0.1330667175</v>
      </c>
      <c r="AJ216" s="127">
        <f>VLOOKUP($O216,'NO USAR1'!$A$4:$L$403,8,False)*$AA$19</f>
        <v>-0.6719306268</v>
      </c>
      <c r="AK216" s="132">
        <f>VLOOKUP($O216,'NO USAR1'!$A$4:$L$403,10,False)*$AB$19</f>
        <v>-0.5659161089</v>
      </c>
      <c r="AL216" s="127">
        <f>VLOOKUP($O216,'NO USAR1'!$A$4:$L$403,12,False)*$AC$19</f>
        <v>0.2777604917</v>
      </c>
      <c r="AM216" s="133">
        <f t="shared" si="2"/>
        <v>-1.425171394</v>
      </c>
      <c r="AN216" s="133">
        <f t="shared" si="3"/>
        <v>-2.518664148</v>
      </c>
    </row>
    <row r="217">
      <c r="A217" s="118" t="str">
        <f>IF(Update!B215="",ROW(Update!B215),Update!B215)</f>
        <v>Tim Hardaway Jr.</v>
      </c>
      <c r="B217" s="119">
        <f>IF(TYPE($A217)=1,"",(Update!$L215-B$1)/B$2)</f>
        <v>-0.6836553359</v>
      </c>
      <c r="C217" s="119">
        <f>IF(TYPE($A217)=1,"",(Update!$K215-C$1)/C$2)</f>
        <v>0.9204411494</v>
      </c>
      <c r="D217" s="119">
        <f>IF(TYPE($A217)=1,"",(Update!$M215-D$1)/D$2)</f>
        <v>-1.168878972</v>
      </c>
      <c r="E217" s="119">
        <f>IF(TYPE($A217)=1,"",(Update!$N215-E$1)/E$2)</f>
        <v>-0.9477184481</v>
      </c>
      <c r="F217" s="119">
        <f>IF(TYPE($A217)=1,"",(Update!$O215-F$1)/F$2)</f>
        <v>-0.9178862491</v>
      </c>
      <c r="G217" s="119">
        <f>IF(TYPE($A217)=1,"",(Update!$P215-G$1)/G$2)</f>
        <v>-0.9404715375</v>
      </c>
      <c r="H217" s="119">
        <f>IF(TYPE($A217)=1,"",(Update!$H215-H$1)/H$2*I217/$I$1)</f>
        <v>-1.170920198</v>
      </c>
      <c r="I217" s="119">
        <f>IF(TYPE($A217)=1,"",IF(Update!H215=0,0,Update!G215/Update!H215))</f>
        <v>11.2</v>
      </c>
      <c r="J217" s="120">
        <f>IF(TYPE($A217)=1,"",(Update!$J215-J$1)/J$2*K217/$K$1)</f>
        <v>-0.116837055</v>
      </c>
      <c r="K217" s="121">
        <f>IF(TYPE($A217)=1,"",IF(Update!J215=0,0,Update!I215/Update!J215))</f>
        <v>2.2</v>
      </c>
      <c r="L217" s="119">
        <f>IF(TYPE($A217)=1,"",-(Update!$Q215-L$1)/L$2)</f>
        <v>1.483597023</v>
      </c>
      <c r="N217" s="33">
        <v>197.0</v>
      </c>
      <c r="O217" s="130" t="str">
        <f>IF(Update!B181="",ROW(Update!B181),Update!B181)</f>
        <v>Larry Nance Jr.</v>
      </c>
      <c r="P217" s="131">
        <f>Update!E181</f>
        <v>65</v>
      </c>
      <c r="Q217" s="131" t="str">
        <f>IF(Update!C181="",ROW(Update!N196),Update!C181)</f>
        <v>PF,C</v>
      </c>
      <c r="R217" s="127">
        <f>VLOOKUP($O217,'NO USAR1'!$A$4:$L$403,2,False)+VLOOKUP($O217,'NO USAR1'!$A$4:$L$403,3,False)+VLOOKUP($O217,'NO USAR1'!$A$4:$L$403,4,False)+VLOOKUP($O217,'NO USAR1'!$A$4:$L$403,5,False)+VLOOKUP($O217,'NO USAR1'!$A$4:$L$403,6,False)+VLOOKUP($O217,'NO USAR1'!$A$4:$L$403,7,False)+VLOOKUP($O217,'NO USAR1'!$A$4:$L$403,8,False)+VLOOKUP($O217,'NO USAR1'!$A$4:$L$403,10,False)+VLOOKUP($O217,'NO USAR1'!$A$4:$L$403,12,False)*0</f>
        <v>-5.060104792</v>
      </c>
      <c r="S217" s="127">
        <f>VLOOKUP($O217,'NO USAR1'!$A$4:$L$403,2,False)*$U$19+VLOOKUP($O217,'NO USAR1'!$A$4:$L$403,3,False)*$V$19+VLOOKUP($O217,'NO USAR1'!$A$4:$L$403,4,False)*$W$19+VLOOKUP($O217,'NO USAR1'!$A$4:$L$403,5,False)*$X$19+VLOOKUP($O217,'NO USAR1'!$A$4:$L$403,6,False)*$Y$19+VLOOKUP($O217,'NO USAR1'!$A$4:$L$403,7,False)*$Z$19+VLOOKUP($O217,'NO USAR1'!$A$4:$L$403,8,False)*$AA$19+VLOOKUP($O217,'NO USAR1'!$A$4:$L$403,10,False)*$AB$19+VLOOKUP($O217,'NO USAR1'!$A$4:$L$403,12,False)*$AC$19+IF(Projections!$K$3,-AN217, IF(Projections!$J$3,-AM217,0))</f>
        <v>-2.608458203</v>
      </c>
      <c r="T217" s="127">
        <f t="shared" si="1"/>
        <v>2.45164659</v>
      </c>
      <c r="U217" s="127">
        <f>VLOOKUP($O217,Update!$B$2:$R$401,11,False)</f>
        <v>6.8</v>
      </c>
      <c r="V217" s="122">
        <f>VLOOKUP($O217,Update!$B$2:$R$401,10,False)</f>
        <v>0.3</v>
      </c>
      <c r="W217" s="127">
        <f>VLOOKUP($O217,Update!$B$2:$R$401,12,False)</f>
        <v>5.3</v>
      </c>
      <c r="X217" s="127">
        <f>VLOOKUP($O217,Update!$B$2:$R$401,13,False)</f>
        <v>1.8</v>
      </c>
      <c r="Y217" s="127">
        <f>VLOOKUP($O217,Update!$B$2:$R$401,14,False)</f>
        <v>0.9</v>
      </c>
      <c r="Z217" s="132">
        <f>VLOOKUP($O217,Update!$B$2:$R$401,15,False)</f>
        <v>0.5</v>
      </c>
      <c r="AA217" s="127">
        <f>100*VLOOKUP($O217,Update!$B$2:$R$401,7,False)</f>
        <v>57.14285714</v>
      </c>
      <c r="AB217" s="127">
        <f>100*VLOOKUP($O217,Update!$B$2:$R$401,9,False)</f>
        <v>66.66666667</v>
      </c>
      <c r="AC217" s="127">
        <f>VLOOKUP($O217,Update!$B$2:$Q$401,16,False)</f>
        <v>0.7</v>
      </c>
      <c r="AD217" s="127">
        <f>VLOOKUP($O217,'NO USAR1'!$A$4:$L$403,2,False)*$U$19</f>
        <v>-1.762224148</v>
      </c>
      <c r="AE217" s="127">
        <f>VLOOKUP($O217,'NO USAR1'!$A$4:$L$403,3,False)*$V$19</f>
        <v>-1.165999176</v>
      </c>
      <c r="AF217" s="127">
        <f>VLOOKUP($O217,'NO USAR1'!$A$4:$L$403,4,False)*$W$19</f>
        <v>-0.3325715749</v>
      </c>
      <c r="AG217" s="127">
        <f>VLOOKUP($O217,'NO USAR1'!$A$4:$L$403,5,False)*$X$19</f>
        <v>-1.042490293</v>
      </c>
      <c r="AH217" s="127">
        <f>VLOOKUP($O217,'NO USAR1'!$A$4:$L$403,6,False)*$Y$19</f>
        <v>-0.2064205728</v>
      </c>
      <c r="AI217" s="127">
        <f>VLOOKUP($O217,'NO USAR1'!$A$4:$L$403,7,False)*$Z$19</f>
        <v>-0.2643825572</v>
      </c>
      <c r="AJ217" s="127">
        <f>VLOOKUP($O217,'NO USAR1'!$A$4:$L$403,8,False)*$AA$19</f>
        <v>0.3692567277</v>
      </c>
      <c r="AK217" s="132">
        <f>VLOOKUP($O217,'NO USAR1'!$A$4:$L$403,10,False)*$AB$19</f>
        <v>-0.3677962676</v>
      </c>
      <c r="AL217" s="127">
        <f>VLOOKUP($O217,'NO USAR1'!$A$4:$L$403,12,False)*$AC$19</f>
        <v>0.4019455104</v>
      </c>
      <c r="AM217" s="133">
        <f t="shared" si="2"/>
        <v>-1.762224148</v>
      </c>
      <c r="AN217" s="133">
        <f t="shared" si="3"/>
        <v>-2.928223324</v>
      </c>
    </row>
    <row r="218">
      <c r="A218" s="118" t="str">
        <f>IF(Update!B216="",ROW(Update!B216),Update!B216)</f>
        <v>Kelly Oubre Jr.</v>
      </c>
      <c r="B218" s="119">
        <f>IF(TYPE($A218)=1,"",(Update!$L216-B$1)/B$2)</f>
        <v>-0.9870028144</v>
      </c>
      <c r="C218" s="119">
        <f>IF(TYPE($A218)=1,"",(Update!$K216-C$1)/C$2)</f>
        <v>-0.2357305665</v>
      </c>
      <c r="D218" s="119">
        <f>IF(TYPE($A218)=1,"",(Update!$M216-D$1)/D$2)</f>
        <v>-1.294325082</v>
      </c>
      <c r="E218" s="119">
        <f>IF(TYPE($A218)=1,"",(Update!$N216-E$1)/E$2)</f>
        <v>-1.365011307</v>
      </c>
      <c r="F218" s="119">
        <f>IF(TYPE($A218)=1,"",(Update!$O216-F$1)/F$2)</f>
        <v>-0.2948865325</v>
      </c>
      <c r="G218" s="119">
        <f>IF(TYPE($A218)=1,"",(Update!$P216-G$1)/G$2)</f>
        <v>-0.7528774808</v>
      </c>
      <c r="H218" s="119">
        <f>IF(TYPE($A218)=1,"",(Update!$H216-H$1)/H$2*I218/$I$1)</f>
        <v>-0.4579853722</v>
      </c>
      <c r="I218" s="119">
        <f>IF(TYPE($A218)=1,"",IF(Update!H216=0,0,Update!G216/Update!H216))</f>
        <v>9.3</v>
      </c>
      <c r="J218" s="120">
        <f>IF(TYPE($A218)=1,"",(Update!$J216-J$1)/J$2*K218/$K$1)</f>
        <v>-0.116837055</v>
      </c>
      <c r="K218" s="121">
        <f>IF(TYPE($A218)=1,"",IF(Update!J216=0,0,Update!I216/Update!J216))</f>
        <v>2.2</v>
      </c>
      <c r="L218" s="119">
        <f>IF(TYPE($A218)=1,"",-(Update!$Q216-L$1)/L$2)</f>
        <v>1.483597023</v>
      </c>
      <c r="N218" s="124">
        <v>198.0</v>
      </c>
      <c r="O218" s="130" t="str">
        <f>IF(Update!B187="",ROW(Update!B187),Update!B187)</f>
        <v>Terance Mann</v>
      </c>
      <c r="P218" s="131">
        <f>Update!E187</f>
        <v>80</v>
      </c>
      <c r="Q218" s="131" t="str">
        <f>IF(Update!C187="",ROW(Update!N202),Update!C187)</f>
        <v>SG,SF</v>
      </c>
      <c r="R218" s="127">
        <f>VLOOKUP($O218,'NO USAR1'!$A$4:$L$403,2,False)+VLOOKUP($O218,'NO USAR1'!$A$4:$L$403,3,False)+VLOOKUP($O218,'NO USAR1'!$A$4:$L$403,4,False)+VLOOKUP($O218,'NO USAR1'!$A$4:$L$403,5,False)+VLOOKUP($O218,'NO USAR1'!$A$4:$L$403,6,False)+VLOOKUP($O218,'NO USAR1'!$A$4:$L$403,7,False)+VLOOKUP($O218,'NO USAR1'!$A$4:$L$403,8,False)+VLOOKUP($O218,'NO USAR1'!$A$4:$L$403,10,False)+VLOOKUP($O218,'NO USAR1'!$A$4:$L$403,12,False)*0</f>
        <v>-5.078627739</v>
      </c>
      <c r="S218" s="127">
        <f>VLOOKUP($O218,'NO USAR1'!$A$4:$L$403,2,False)*$U$19+VLOOKUP($O218,'NO USAR1'!$A$4:$L$403,3,False)*$V$19+VLOOKUP($O218,'NO USAR1'!$A$4:$L$403,4,False)*$W$19+VLOOKUP($O218,'NO USAR1'!$A$4:$L$403,5,False)*$X$19+VLOOKUP($O218,'NO USAR1'!$A$4:$L$403,6,False)*$Y$19+VLOOKUP($O218,'NO USAR1'!$A$4:$L$403,7,False)*$Z$19+VLOOKUP($O218,'NO USAR1'!$A$4:$L$403,8,False)*$AA$19+VLOOKUP($O218,'NO USAR1'!$A$4:$L$403,10,False)*$AB$19+VLOOKUP($O218,'NO USAR1'!$A$4:$L$403,12,False)*$AC$19+IF(Projections!$K$3,-AN218, IF(Projections!$J$3,-AM218,0))</f>
        <v>-2.968818855</v>
      </c>
      <c r="T218" s="127">
        <f t="shared" si="1"/>
        <v>2.109808884</v>
      </c>
      <c r="U218" s="127">
        <f>VLOOKUP($O218,Update!$B$2:$R$401,11,False)</f>
        <v>10.1</v>
      </c>
      <c r="V218" s="122">
        <f>VLOOKUP($O218,Update!$B$2:$R$401,10,False)</f>
        <v>1.1</v>
      </c>
      <c r="W218" s="127">
        <f>VLOOKUP($O218,Update!$B$2:$R$401,12,False)</f>
        <v>4.4</v>
      </c>
      <c r="X218" s="127">
        <f>VLOOKUP($O218,Update!$B$2:$R$401,13,False)</f>
        <v>2.5</v>
      </c>
      <c r="Y218" s="127">
        <f>VLOOKUP($O218,Update!$B$2:$R$401,14,False)</f>
        <v>0.6</v>
      </c>
      <c r="Z218" s="132">
        <f>VLOOKUP($O218,Update!$B$2:$R$401,15,False)</f>
        <v>0.3</v>
      </c>
      <c r="AA218" s="127">
        <f>100*VLOOKUP($O218,Update!$B$2:$R$401,7,False)</f>
        <v>50</v>
      </c>
      <c r="AB218" s="127">
        <f>100*VLOOKUP($O218,Update!$B$2:$R$401,9,False)</f>
        <v>77.77777778</v>
      </c>
      <c r="AC218" s="127">
        <f>VLOOKUP($O218,Update!$B$2:$Q$401,16,False)</f>
        <v>1</v>
      </c>
      <c r="AD218" s="127">
        <f>VLOOKUP($O218,'NO USAR1'!$A$4:$L$403,2,False)*$U$19</f>
        <v>-1.206087104</v>
      </c>
      <c r="AE218" s="127">
        <f>VLOOKUP($O218,'NO USAR1'!$A$4:$L$403,3,False)*$V$19</f>
        <v>-0.472296146</v>
      </c>
      <c r="AF218" s="127">
        <f>VLOOKUP($O218,'NO USAR1'!$A$4:$L$403,4,False)*$W$19</f>
        <v>-0.7089099036</v>
      </c>
      <c r="AG218" s="127">
        <f>VLOOKUP($O218,'NO USAR1'!$A$4:$L$403,5,False)*$X$19</f>
        <v>-0.6854730693</v>
      </c>
      <c r="AH218" s="127">
        <f>VLOOKUP($O218,'NO USAR1'!$A$4:$L$403,6,False)*$Y$19</f>
        <v>-0.8605702752</v>
      </c>
      <c r="AI218" s="127">
        <f>VLOOKUP($O218,'NO USAR1'!$A$4:$L$403,7,False)*$Z$19</f>
        <v>-0.5270142365</v>
      </c>
      <c r="AJ218" s="127">
        <f>VLOOKUP($O218,'NO USAR1'!$A$4:$L$403,8,False)*$AA$19</f>
        <v>0.03048370473</v>
      </c>
      <c r="AK218" s="132">
        <f>VLOOKUP($O218,'NO USAR1'!$A$4:$L$403,10,False)*$AB$19</f>
        <v>-0.05384567574</v>
      </c>
      <c r="AL218" s="127">
        <f>VLOOKUP($O218,'NO USAR1'!$A$4:$L$403,12,False)*$AC$19</f>
        <v>0.3088067464</v>
      </c>
      <c r="AM218" s="133">
        <f t="shared" si="2"/>
        <v>-1.206087104</v>
      </c>
      <c r="AN218" s="133">
        <f t="shared" si="3"/>
        <v>-2.06665738</v>
      </c>
    </row>
    <row r="219">
      <c r="A219" s="118" t="str">
        <f>IF(Update!B217="",ROW(Update!B217),Update!B217)</f>
        <v>Dorian Finney-Smith</v>
      </c>
      <c r="B219" s="119">
        <f>IF(TYPE($A219)=1,"",(Update!$L217-B$1)/B$2)</f>
        <v>-1.593697771</v>
      </c>
      <c r="C219" s="119">
        <f>IF(TYPE($A219)=1,"",(Update!$K217-C$1)/C$2)</f>
        <v>-0.04303528054</v>
      </c>
      <c r="D219" s="119">
        <f>IF(TYPE($A219)=1,"",(Update!$M217-D$1)/D$2)</f>
        <v>-0.9598021228</v>
      </c>
      <c r="E219" s="119">
        <f>IF(TYPE($A219)=1,"",(Update!$N217-E$1)/E$2)</f>
        <v>-1.133181941</v>
      </c>
      <c r="F219" s="119">
        <f>IF(TYPE($A219)=1,"",(Update!$O217-F$1)/F$2)</f>
        <v>-0.6063863908</v>
      </c>
      <c r="G219" s="119">
        <f>IF(TYPE($A219)=1,"",(Update!$P217-G$1)/G$2)</f>
        <v>-0.5652834241</v>
      </c>
      <c r="H219" s="119">
        <f>IF(TYPE($A219)=1,"",(Update!$H217-H$1)/H$2*I219/$I$1)</f>
        <v>-0.4704640818</v>
      </c>
      <c r="I219" s="119">
        <f>IF(TYPE($A219)=1,"",IF(Update!H217=0,0,Update!G217/Update!H217))</f>
        <v>6.5</v>
      </c>
      <c r="J219" s="120">
        <f>IF(TYPE($A219)=1,"",(Update!$J217-J$1)/J$2*K219/$K$1)</f>
        <v>-0.09905992065</v>
      </c>
      <c r="K219" s="121">
        <f>IF(TYPE($A219)=1,"",IF(Update!J217=0,0,Update!I217/Update!J217))</f>
        <v>0.8</v>
      </c>
      <c r="L219" s="119">
        <f>IF(TYPE($A219)=1,"",-(Update!$Q217-L$1)/L$2)</f>
        <v>1.483597023</v>
      </c>
      <c r="N219" s="124">
        <v>199.0</v>
      </c>
      <c r="O219" s="130" t="str">
        <f>IF(Update!B163="",ROW(Update!B163),Update!B163)</f>
        <v>Brandon Clarke</v>
      </c>
      <c r="P219" s="131">
        <f>Update!E163</f>
        <v>8</v>
      </c>
      <c r="Q219" s="131" t="str">
        <f>IF(Update!C163="",ROW(Update!N178),Update!C163)</f>
        <v>PF,C</v>
      </c>
      <c r="R219" s="127">
        <f>VLOOKUP($O219,'NO USAR1'!$A$4:$L$403,2,False)+VLOOKUP($O219,'NO USAR1'!$A$4:$L$403,3,False)+VLOOKUP($O219,'NO USAR1'!$A$4:$L$403,4,False)+VLOOKUP($O219,'NO USAR1'!$A$4:$L$403,5,False)+VLOOKUP($O219,'NO USAR1'!$A$4:$L$403,6,False)+VLOOKUP($O219,'NO USAR1'!$A$4:$L$403,7,False)+VLOOKUP($O219,'NO USAR1'!$A$4:$L$403,8,False)+VLOOKUP($O219,'NO USAR1'!$A$4:$L$403,10,False)+VLOOKUP($O219,'NO USAR1'!$A$4:$L$403,12,False)*0</f>
        <v>-5.1320824</v>
      </c>
      <c r="S219" s="127">
        <f>VLOOKUP($O219,'NO USAR1'!$A$4:$L$403,2,False)*$U$19+VLOOKUP($O219,'NO USAR1'!$A$4:$L$403,3,False)*$V$19+VLOOKUP($O219,'NO USAR1'!$A$4:$L$403,4,False)*$W$19+VLOOKUP($O219,'NO USAR1'!$A$4:$L$403,5,False)*$X$19+VLOOKUP($O219,'NO USAR1'!$A$4:$L$403,6,False)*$Y$19+VLOOKUP($O219,'NO USAR1'!$A$4:$L$403,7,False)*$Z$19+VLOOKUP($O219,'NO USAR1'!$A$4:$L$403,8,False)*$AA$19+VLOOKUP($O219,'NO USAR1'!$A$4:$L$403,10,False)*$AB$19+VLOOKUP($O219,'NO USAR1'!$A$4:$L$403,12,False)*$AC$19+IF(Projections!$K$3,-AN219, IF(Projections!$J$3,-AM219,0))</f>
        <v>-2.994947497</v>
      </c>
      <c r="T219" s="127">
        <f t="shared" si="1"/>
        <v>2.137134903</v>
      </c>
      <c r="U219" s="127">
        <f>VLOOKUP($O219,Update!$B$2:$R$401,11,False)</f>
        <v>9.6</v>
      </c>
      <c r="V219" s="122">
        <f>VLOOKUP($O219,Update!$B$2:$R$401,10,False)</f>
        <v>0.1</v>
      </c>
      <c r="W219" s="127">
        <f>VLOOKUP($O219,Update!$B$2:$R$401,12,False)</f>
        <v>5.1</v>
      </c>
      <c r="X219" s="127">
        <f>VLOOKUP($O219,Update!$B$2:$R$401,13,False)</f>
        <v>1.2</v>
      </c>
      <c r="Y219" s="127">
        <f>VLOOKUP($O219,Update!$B$2:$R$401,14,False)</f>
        <v>0.6</v>
      </c>
      <c r="Z219" s="132">
        <f>VLOOKUP($O219,Update!$B$2:$R$401,15,False)</f>
        <v>0.8</v>
      </c>
      <c r="AA219" s="127">
        <f>100*VLOOKUP($O219,Update!$B$2:$R$401,7,False)</f>
        <v>66.12903226</v>
      </c>
      <c r="AB219" s="127">
        <f>100*VLOOKUP($O219,Update!$B$2:$R$401,9,False)</f>
        <v>66.66666667</v>
      </c>
      <c r="AC219" s="127">
        <f>VLOOKUP($O219,Update!$B$2:$Q$401,16,False)</f>
        <v>0.7</v>
      </c>
      <c r="AD219" s="127">
        <f>VLOOKUP($O219,'NO USAR1'!$A$4:$L$403,2,False)*$U$19</f>
        <v>-1.290350293</v>
      </c>
      <c r="AE219" s="127">
        <f>VLOOKUP($O219,'NO USAR1'!$A$4:$L$403,3,False)*$V$19</f>
        <v>-1.339424933</v>
      </c>
      <c r="AF219" s="127">
        <f>VLOOKUP($O219,'NO USAR1'!$A$4:$L$403,4,False)*$W$19</f>
        <v>-0.4162023146</v>
      </c>
      <c r="AG219" s="127">
        <f>VLOOKUP($O219,'NO USAR1'!$A$4:$L$403,5,False)*$X$19</f>
        <v>-1.348505056</v>
      </c>
      <c r="AH219" s="127">
        <f>VLOOKUP($O219,'NO USAR1'!$A$4:$L$403,6,False)*$Y$19</f>
        <v>-0.8605702752</v>
      </c>
      <c r="AI219" s="127">
        <f>VLOOKUP($O219,'NO USAR1'!$A$4:$L$403,7,False)*$Z$19</f>
        <v>0.1295649618</v>
      </c>
      <c r="AJ219" s="127">
        <f>VLOOKUP($O219,'NO USAR1'!$A$4:$L$403,8,False)*$AA$19</f>
        <v>1.023733315</v>
      </c>
      <c r="AK219" s="132">
        <f>VLOOKUP($O219,'NO USAR1'!$A$4:$L$403,10,False)*$AB$19</f>
        <v>-0.6436434684</v>
      </c>
      <c r="AL219" s="127">
        <f>VLOOKUP($O219,'NO USAR1'!$A$4:$L$403,12,False)*$AC$19</f>
        <v>0.4019455104</v>
      </c>
      <c r="AM219" s="133">
        <f t="shared" si="2"/>
        <v>-1.348505056</v>
      </c>
      <c r="AN219" s="133">
        <f t="shared" si="3"/>
        <v>-2.687929989</v>
      </c>
    </row>
    <row r="220">
      <c r="A220" s="118" t="str">
        <f>IF(Update!B218="",ROW(Update!B218),Update!B218)</f>
        <v>Ausar Thompson</v>
      </c>
      <c r="B220" s="119">
        <f>IF(TYPE($A220)=1,"",(Update!$L218-B$1)/B$2)</f>
        <v>-0.7510658866</v>
      </c>
      <c r="C220" s="119">
        <f>IF(TYPE($A220)=1,"",(Update!$K218-C$1)/C$2)</f>
        <v>-0.9101640675</v>
      </c>
      <c r="D220" s="119">
        <f>IF(TYPE($A220)=1,"",(Update!$M218-D$1)/D$2)</f>
        <v>-0.8343560132</v>
      </c>
      <c r="E220" s="119">
        <f>IF(TYPE($A220)=1,"",(Update!$N218-E$1)/E$2)</f>
        <v>-0.1594986038</v>
      </c>
      <c r="F220" s="119">
        <f>IF(TYPE($A220)=1,"",(Update!$O218-F$1)/F$2)</f>
        <v>0.01661332578</v>
      </c>
      <c r="G220" s="119">
        <f>IF(TYPE($A220)=1,"",(Update!$P218-G$1)/G$2)</f>
        <v>-0.3776893674</v>
      </c>
      <c r="H220" s="119">
        <f>IF(TYPE($A220)=1,"",(Update!$H218-H$1)/H$2*I220/$I$1)</f>
        <v>-0.6710420148</v>
      </c>
      <c r="I220" s="119">
        <f>IF(TYPE($A220)=1,"",IF(Update!H218=0,0,Update!G218/Update!H218))</f>
        <v>11.3</v>
      </c>
      <c r="J220" s="120">
        <f>IF(TYPE($A220)=1,"",(Update!$J218-J$1)/J$2*K220/$K$1)</f>
        <v>-1.149363336</v>
      </c>
      <c r="K220" s="121">
        <f>IF(TYPE($A220)=1,"",IF(Update!J218=0,0,Update!I218/Update!J218))</f>
        <v>3</v>
      </c>
      <c r="L220" s="119">
        <f>IF(TYPE($A220)=1,"",-(Update!$Q218-L$1)/L$2)</f>
        <v>0.2417468363</v>
      </c>
      <c r="N220" s="33">
        <v>200.0</v>
      </c>
      <c r="O220" s="130" t="str">
        <f>IF(Update!B202="",ROW(Update!B202),Update!B202)</f>
        <v>Santi Aldama</v>
      </c>
      <c r="P220" s="131">
        <f>Update!E202</f>
        <v>75</v>
      </c>
      <c r="Q220" s="131" t="str">
        <f>IF(Update!C202="",ROW(Update!N217),Update!C202)</f>
        <v>PF,C</v>
      </c>
      <c r="R220" s="127">
        <f>VLOOKUP($O220,'NO USAR1'!$A$4:$L$403,2,False)+VLOOKUP($O220,'NO USAR1'!$A$4:$L$403,3,False)+VLOOKUP($O220,'NO USAR1'!$A$4:$L$403,4,False)+VLOOKUP($O220,'NO USAR1'!$A$4:$L$403,5,False)+VLOOKUP($O220,'NO USAR1'!$A$4:$L$403,6,False)+VLOOKUP($O220,'NO USAR1'!$A$4:$L$403,7,False)+VLOOKUP($O220,'NO USAR1'!$A$4:$L$403,8,False)+VLOOKUP($O220,'NO USAR1'!$A$4:$L$403,10,False)+VLOOKUP($O220,'NO USAR1'!$A$4:$L$403,12,False)*0</f>
        <v>-5.174104871</v>
      </c>
      <c r="S220" s="127">
        <f>VLOOKUP($O220,'NO USAR1'!$A$4:$L$403,2,False)*$U$19+VLOOKUP($O220,'NO USAR1'!$A$4:$L$403,3,False)*$V$19+VLOOKUP($O220,'NO USAR1'!$A$4:$L$403,4,False)*$W$19+VLOOKUP($O220,'NO USAR1'!$A$4:$L$403,5,False)*$X$19+VLOOKUP($O220,'NO USAR1'!$A$4:$L$403,6,False)*$Y$19+VLOOKUP($O220,'NO USAR1'!$A$4:$L$403,7,False)*$Z$19+VLOOKUP($O220,'NO USAR1'!$A$4:$L$403,8,False)*$AA$19+VLOOKUP($O220,'NO USAR1'!$A$4:$L$403,10,False)*$AB$19+VLOOKUP($O220,'NO USAR1'!$A$4:$L$403,12,False)*$AC$19+IF(Projections!$K$3,-AN220, IF(Projections!$J$3,-AM220,0))</f>
        <v>-3.133291376</v>
      </c>
      <c r="T220" s="127">
        <f t="shared" si="1"/>
        <v>2.040813496</v>
      </c>
      <c r="U220" s="127">
        <f>VLOOKUP($O220,Update!$B$2:$R$401,11,False)</f>
        <v>9.5</v>
      </c>
      <c r="V220" s="122">
        <f>VLOOKUP($O220,Update!$B$2:$R$401,10,False)</f>
        <v>1.1</v>
      </c>
      <c r="W220" s="127">
        <f>VLOOKUP($O220,Update!$B$2:$R$401,12,False)</f>
        <v>5.2</v>
      </c>
      <c r="X220" s="127">
        <f>VLOOKUP($O220,Update!$B$2:$R$401,13,False)</f>
        <v>1.4</v>
      </c>
      <c r="Y220" s="127">
        <f>VLOOKUP($O220,Update!$B$2:$R$401,14,False)</f>
        <v>0.6</v>
      </c>
      <c r="Z220" s="132">
        <f>VLOOKUP($O220,Update!$B$2:$R$401,15,False)</f>
        <v>0.7</v>
      </c>
      <c r="AA220" s="127">
        <f>100*VLOOKUP($O220,Update!$B$2:$R$401,7,False)</f>
        <v>45.33333333</v>
      </c>
      <c r="AB220" s="127">
        <f>100*VLOOKUP($O220,Update!$B$2:$R$401,9,False)</f>
        <v>75</v>
      </c>
      <c r="AC220" s="127">
        <f>VLOOKUP($O220,Update!$B$2:$Q$401,16,False)</f>
        <v>0.9</v>
      </c>
      <c r="AD220" s="127">
        <f>VLOOKUP($O220,'NO USAR1'!$A$4:$L$403,2,False)*$U$19</f>
        <v>-1.307202931</v>
      </c>
      <c r="AE220" s="127">
        <f>VLOOKUP($O220,'NO USAR1'!$A$4:$L$403,3,False)*$V$19</f>
        <v>-0.472296146</v>
      </c>
      <c r="AF220" s="127">
        <f>VLOOKUP($O220,'NO USAR1'!$A$4:$L$403,4,False)*$W$19</f>
        <v>-0.3743869448</v>
      </c>
      <c r="AG220" s="127">
        <f>VLOOKUP($O220,'NO USAR1'!$A$4:$L$403,5,False)*$X$19</f>
        <v>-1.246500135</v>
      </c>
      <c r="AH220" s="127">
        <f>VLOOKUP($O220,'NO USAR1'!$A$4:$L$403,6,False)*$Y$19</f>
        <v>-0.8605702752</v>
      </c>
      <c r="AI220" s="127">
        <f>VLOOKUP($O220,'NO USAR1'!$A$4:$L$403,7,False)*$Z$19</f>
        <v>-0.001750877862</v>
      </c>
      <c r="AJ220" s="127">
        <f>VLOOKUP($O220,'NO USAR1'!$A$4:$L$403,8,False)*$AA$19</f>
        <v>-0.3195201569</v>
      </c>
      <c r="AK220" s="132">
        <f>VLOOKUP($O220,'NO USAR1'!$A$4:$L$403,10,False)*$AB$19</f>
        <v>-0.1981198413</v>
      </c>
      <c r="AL220" s="127">
        <f>VLOOKUP($O220,'NO USAR1'!$A$4:$L$403,12,False)*$AC$19</f>
        <v>0.3398530011</v>
      </c>
      <c r="AM220" s="133">
        <f t="shared" si="2"/>
        <v>-1.307202931</v>
      </c>
      <c r="AN220" s="133">
        <f t="shared" si="3"/>
        <v>-2.553703066</v>
      </c>
    </row>
    <row r="221">
      <c r="A221" s="118" t="str">
        <f>IF(Update!B219="",ROW(Update!B219),Update!B219)</f>
        <v>Jonathan Kuminga</v>
      </c>
      <c r="B221" s="119">
        <f>IF(TYPE($A221)=1,"",(Update!$L219-B$1)/B$2)</f>
        <v>-0.9027396259</v>
      </c>
      <c r="C221" s="119">
        <f>IF(TYPE($A221)=1,"",(Update!$K219-C$1)/C$2)</f>
        <v>-0.7174687815</v>
      </c>
      <c r="D221" s="119">
        <f>IF(TYPE($A221)=1,"",(Update!$M219-D$1)/D$2)</f>
        <v>-0.7925406433</v>
      </c>
      <c r="E221" s="119">
        <f>IF(TYPE($A221)=1,"",(Update!$N219-E$1)/E$2)</f>
        <v>-0.9940843212</v>
      </c>
      <c r="F221" s="119">
        <f>IF(TYPE($A221)=1,"",(Update!$O219-F$1)/F$2)</f>
        <v>-0.9178862491</v>
      </c>
      <c r="G221" s="119">
        <f>IF(TYPE($A221)=1,"",(Update!$P219-G$1)/G$2)</f>
        <v>-0.3776893674</v>
      </c>
      <c r="H221" s="119">
        <f>IF(TYPE($A221)=1,"",(Update!$H219-H$1)/H$2*I221/$I$1)</f>
        <v>0.2602974715</v>
      </c>
      <c r="I221" s="119">
        <f>IF(TYPE($A221)=1,"",IF(Update!H219=0,0,Update!G219/Update!H219))</f>
        <v>8.6</v>
      </c>
      <c r="J221" s="120">
        <f>IF(TYPE($A221)=1,"",(Update!$J219-J$1)/J$2*K221/$K$1)</f>
        <v>-1.149363336</v>
      </c>
      <c r="K221" s="121">
        <f>IF(TYPE($A221)=1,"",IF(Update!J219=0,0,Update!I219/Update!J219))</f>
        <v>3</v>
      </c>
      <c r="L221" s="119">
        <f>IF(TYPE($A221)=1,"",-(Update!$Q219-L$1)/L$2)</f>
        <v>0.6143018923</v>
      </c>
      <c r="N221" s="33">
        <v>201.0</v>
      </c>
      <c r="O221" s="130" t="str">
        <f>IF(Update!B206="",ROW(Update!B206),Update!B206)</f>
        <v>Gary Harris</v>
      </c>
      <c r="P221" s="131">
        <f>Update!E206</f>
        <v>60</v>
      </c>
      <c r="Q221" s="131" t="str">
        <f>IF(Update!C206="",ROW(Update!N221),Update!C206)</f>
        <v>SG,SF</v>
      </c>
      <c r="R221" s="127">
        <f>VLOOKUP($O221,'NO USAR1'!$A$4:$L$403,2,False)+VLOOKUP($O221,'NO USAR1'!$A$4:$L$403,3,False)+VLOOKUP($O221,'NO USAR1'!$A$4:$L$403,4,False)+VLOOKUP($O221,'NO USAR1'!$A$4:$L$403,5,False)+VLOOKUP($O221,'NO USAR1'!$A$4:$L$403,6,False)+VLOOKUP($O221,'NO USAR1'!$A$4:$L$403,7,False)+VLOOKUP($O221,'NO USAR1'!$A$4:$L$403,8,False)+VLOOKUP($O221,'NO USAR1'!$A$4:$L$403,10,False)+VLOOKUP($O221,'NO USAR1'!$A$4:$L$403,12,False)*0</f>
        <v>-5.308556597</v>
      </c>
      <c r="S221" s="127">
        <f>VLOOKUP($O221,'NO USAR1'!$A$4:$L$403,2,False)*$U$19+VLOOKUP($O221,'NO USAR1'!$A$4:$L$403,3,False)*$V$19+VLOOKUP($O221,'NO USAR1'!$A$4:$L$403,4,False)*$W$19+VLOOKUP($O221,'NO USAR1'!$A$4:$L$403,5,False)*$X$19+VLOOKUP($O221,'NO USAR1'!$A$4:$L$403,6,False)*$Y$19+VLOOKUP($O221,'NO USAR1'!$A$4:$L$403,7,False)*$Z$19+VLOOKUP($O221,'NO USAR1'!$A$4:$L$403,8,False)*$AA$19+VLOOKUP($O221,'NO USAR1'!$A$4:$L$403,10,False)*$AB$19+VLOOKUP($O221,'NO USAR1'!$A$4:$L$403,12,False)*$AC$19+IF(Projections!$K$3,-AN221, IF(Projections!$J$3,-AM221,0))</f>
        <v>-2.971465569</v>
      </c>
      <c r="T221" s="127">
        <f t="shared" si="1"/>
        <v>2.337091029</v>
      </c>
      <c r="U221" s="127">
        <f>VLOOKUP($O221,Update!$B$2:$R$401,11,False)</f>
        <v>9.4</v>
      </c>
      <c r="V221" s="122">
        <f>VLOOKUP($O221,Update!$B$2:$R$401,10,False)</f>
        <v>1.8</v>
      </c>
      <c r="W221" s="127">
        <f>VLOOKUP($O221,Update!$B$2:$R$401,12,False)</f>
        <v>1.9</v>
      </c>
      <c r="X221" s="127">
        <f>VLOOKUP($O221,Update!$B$2:$R$401,13,False)</f>
        <v>1.5</v>
      </c>
      <c r="Y221" s="127">
        <f>VLOOKUP($O221,Update!$B$2:$R$401,14,False)</f>
        <v>0.9</v>
      </c>
      <c r="Z221" s="132">
        <f>VLOOKUP($O221,Update!$B$2:$R$401,15,False)</f>
        <v>0.2</v>
      </c>
      <c r="AA221" s="127">
        <f>100*VLOOKUP($O221,Update!$B$2:$R$401,7,False)</f>
        <v>44</v>
      </c>
      <c r="AB221" s="127">
        <f>100*VLOOKUP($O221,Update!$B$2:$R$401,9,False)</f>
        <v>90.90909091</v>
      </c>
      <c r="AC221" s="127">
        <f>VLOOKUP($O221,Update!$B$2:$Q$401,16,False)</f>
        <v>0.8</v>
      </c>
      <c r="AD221" s="127">
        <f>VLOOKUP($O221,'NO USAR1'!$A$4:$L$403,2,False)*$U$19</f>
        <v>-1.324055568</v>
      </c>
      <c r="AE221" s="127">
        <f>VLOOKUP($O221,'NO USAR1'!$A$4:$L$403,3,False)*$V$19</f>
        <v>0.1346940049</v>
      </c>
      <c r="AF221" s="127">
        <f>VLOOKUP($O221,'NO USAR1'!$A$4:$L$403,4,False)*$W$19</f>
        <v>-1.75429415</v>
      </c>
      <c r="AG221" s="127">
        <f>VLOOKUP($O221,'NO USAR1'!$A$4:$L$403,5,False)*$X$19</f>
        <v>-1.195497674</v>
      </c>
      <c r="AH221" s="127">
        <f>VLOOKUP($O221,'NO USAR1'!$A$4:$L$403,6,False)*$Y$19</f>
        <v>-0.2064205728</v>
      </c>
      <c r="AI221" s="127">
        <f>VLOOKUP($O221,'NO USAR1'!$A$4:$L$403,7,False)*$Z$19</f>
        <v>-0.6583300762</v>
      </c>
      <c r="AJ221" s="127">
        <f>VLOOKUP($O221,'NO USAR1'!$A$4:$L$403,8,False)*$AA$19</f>
        <v>-0.4194066598</v>
      </c>
      <c r="AK221" s="132">
        <f>VLOOKUP($O221,'NO USAR1'!$A$4:$L$403,10,False)*$AB$19</f>
        <v>0.3266517223</v>
      </c>
      <c r="AL221" s="127">
        <f>VLOOKUP($O221,'NO USAR1'!$A$4:$L$403,12,False)*$AC$19</f>
        <v>0.3708992557</v>
      </c>
      <c r="AM221" s="133">
        <f t="shared" si="2"/>
        <v>-1.75429415</v>
      </c>
      <c r="AN221" s="133">
        <f t="shared" si="3"/>
        <v>-3.078349718</v>
      </c>
    </row>
    <row r="222">
      <c r="A222" s="118" t="str">
        <f>IF(Update!B220="",ROW(Update!B220),Update!B220)</f>
        <v>Julian Champagnie</v>
      </c>
      <c r="B222" s="119">
        <f>IF(TYPE($A222)=1,"",(Update!$L220-B$1)/B$2)</f>
        <v>-1.155529191</v>
      </c>
      <c r="C222" s="119">
        <f>IF(TYPE($A222)=1,"",(Update!$K220-C$1)/C$2)</f>
        <v>0.4387029344</v>
      </c>
      <c r="D222" s="119">
        <f>IF(TYPE($A222)=1,"",(Update!$M220-D$1)/D$2)</f>
        <v>-0.9598021228</v>
      </c>
      <c r="E222" s="119">
        <f>IF(TYPE($A222)=1,"",(Update!$N220-E$1)/E$2)</f>
        <v>-1.504108926</v>
      </c>
      <c r="F222" s="119">
        <f>IF(TYPE($A222)=1,"",(Update!$O220-F$1)/F$2)</f>
        <v>-1.852385824</v>
      </c>
      <c r="G222" s="119">
        <f>IF(TYPE($A222)=1,"",(Update!$P220-G$1)/G$2)</f>
        <v>-0.7528774808</v>
      </c>
      <c r="H222" s="119">
        <f>IF(TYPE($A222)=1,"",(Update!$H220-H$1)/H$2*I222/$I$1)</f>
        <v>-0.4073952208</v>
      </c>
      <c r="I222" s="119">
        <f>IF(TYPE($A222)=1,"",IF(Update!H220=0,0,Update!G220/Update!H220))</f>
        <v>8.2</v>
      </c>
      <c r="J222" s="120">
        <f>IF(TYPE($A222)=1,"",(Update!$J220-J$1)/J$2*K222/$K$1)</f>
        <v>0.09715919929</v>
      </c>
      <c r="K222" s="121">
        <f>IF(TYPE($A222)=1,"",IF(Update!J220=0,0,Update!I220/Update!J220))</f>
        <v>1.1</v>
      </c>
      <c r="L222" s="119">
        <f>IF(TYPE($A222)=1,"",-(Update!$Q220-L$1)/L$2)</f>
        <v>1.607782042</v>
      </c>
      <c r="N222" s="124">
        <v>202.0</v>
      </c>
      <c r="O222" s="130" t="str">
        <f>IF(Update!B199="",ROW(Update!B199),Update!B199)</f>
        <v>Gordon Hayward</v>
      </c>
      <c r="P222" s="131">
        <f>Update!E199</f>
        <v>50</v>
      </c>
      <c r="Q222" s="131" t="str">
        <f>IF(Update!C199="",ROW(Update!N214),Update!C199)</f>
        <v>SF</v>
      </c>
      <c r="R222" s="127">
        <f>VLOOKUP($O222,'NO USAR1'!$A$4:$L$403,2,False)+VLOOKUP($O222,'NO USAR1'!$A$4:$L$403,3,False)+VLOOKUP($O222,'NO USAR1'!$A$4:$L$403,4,False)+VLOOKUP($O222,'NO USAR1'!$A$4:$L$403,5,False)+VLOOKUP($O222,'NO USAR1'!$A$4:$L$403,6,False)+VLOOKUP($O222,'NO USAR1'!$A$4:$L$403,7,False)+VLOOKUP($O222,'NO USAR1'!$A$4:$L$403,8,False)+VLOOKUP($O222,'NO USAR1'!$A$4:$L$403,10,False)+VLOOKUP($O222,'NO USAR1'!$A$4:$L$403,12,False)*0</f>
        <v>-5.309183938</v>
      </c>
      <c r="S222" s="127">
        <f>VLOOKUP($O222,'NO USAR1'!$A$4:$L$403,2,False)*$U$19+VLOOKUP($O222,'NO USAR1'!$A$4:$L$403,3,False)*$V$19+VLOOKUP($O222,'NO USAR1'!$A$4:$L$403,4,False)*$W$19+VLOOKUP($O222,'NO USAR1'!$A$4:$L$403,5,False)*$X$19+VLOOKUP($O222,'NO USAR1'!$A$4:$L$403,6,False)*$Y$19+VLOOKUP($O222,'NO USAR1'!$A$4:$L$403,7,False)*$Z$19+VLOOKUP($O222,'NO USAR1'!$A$4:$L$403,8,False)*$AA$19+VLOOKUP($O222,'NO USAR1'!$A$4:$L$403,10,False)*$AB$19+VLOOKUP($O222,'NO USAR1'!$A$4:$L$403,12,False)*$AC$19+IF(Projections!$K$3,-AN222, IF(Projections!$J$3,-AM222,0))</f>
        <v>-3.450880142</v>
      </c>
      <c r="T222" s="127">
        <f t="shared" si="1"/>
        <v>1.858303796</v>
      </c>
      <c r="U222" s="127">
        <f>VLOOKUP($O222,Update!$B$2:$R$401,11,False)</f>
        <v>12</v>
      </c>
      <c r="V222" s="122">
        <f>VLOOKUP($O222,Update!$B$2:$R$401,10,False)</f>
        <v>1</v>
      </c>
      <c r="W222" s="127">
        <f>VLOOKUP($O222,Update!$B$2:$R$401,12,False)</f>
        <v>3.5</v>
      </c>
      <c r="X222" s="127">
        <f>VLOOKUP($O222,Update!$B$2:$R$401,13,False)</f>
        <v>3</v>
      </c>
      <c r="Y222" s="127">
        <f>VLOOKUP($O222,Update!$B$2:$R$401,14,False)</f>
        <v>0.6</v>
      </c>
      <c r="Z222" s="132">
        <f>VLOOKUP($O222,Update!$B$2:$R$401,15,False)</f>
        <v>0.2</v>
      </c>
      <c r="AA222" s="127">
        <f>100*VLOOKUP($O222,Update!$B$2:$R$401,7,False)</f>
        <v>47.36842105</v>
      </c>
      <c r="AB222" s="127">
        <f>100*VLOOKUP($O222,Update!$B$2:$R$401,9,False)</f>
        <v>80</v>
      </c>
      <c r="AC222" s="127">
        <f>VLOOKUP($O222,Update!$B$2:$Q$401,16,False)</f>
        <v>1.7</v>
      </c>
      <c r="AD222" s="127">
        <f>VLOOKUP($O222,'NO USAR1'!$A$4:$L$403,2,False)*$U$19</f>
        <v>-0.8858869882</v>
      </c>
      <c r="AE222" s="127">
        <f>VLOOKUP($O222,'NO USAR1'!$A$4:$L$403,3,False)*$V$19</f>
        <v>-0.5590090247</v>
      </c>
      <c r="AF222" s="127">
        <f>VLOOKUP($O222,'NO USAR1'!$A$4:$L$403,4,False)*$W$19</f>
        <v>-1.085248232</v>
      </c>
      <c r="AG222" s="127">
        <f>VLOOKUP($O222,'NO USAR1'!$A$4:$L$403,5,False)*$X$19</f>
        <v>-0.4304607667</v>
      </c>
      <c r="AH222" s="127">
        <f>VLOOKUP($O222,'NO USAR1'!$A$4:$L$403,6,False)*$Y$19</f>
        <v>-0.8605702752</v>
      </c>
      <c r="AI222" s="127">
        <f>VLOOKUP($O222,'NO USAR1'!$A$4:$L$403,7,False)*$Z$19</f>
        <v>-0.6583300762</v>
      </c>
      <c r="AJ222" s="127">
        <f>VLOOKUP($O222,'NO USAR1'!$A$4:$L$403,8,False)*$AA$19</f>
        <v>-0.2116116264</v>
      </c>
      <c r="AK222" s="132">
        <f>VLOOKUP($O222,'NO USAR1'!$A$4:$L$403,10,False)*$AB$19</f>
        <v>0.06350565196</v>
      </c>
      <c r="AL222" s="127">
        <f>VLOOKUP($O222,'NO USAR1'!$A$4:$L$403,12,False)*$AC$19</f>
        <v>0.09148296375</v>
      </c>
      <c r="AM222" s="133">
        <f t="shared" si="2"/>
        <v>-1.085248232</v>
      </c>
      <c r="AN222" s="133">
        <f t="shared" si="3"/>
        <v>-1.971135221</v>
      </c>
    </row>
    <row r="223">
      <c r="A223" s="118" t="str">
        <f>IF(Update!B221="",ROW(Update!B221),Update!B221)</f>
        <v>Isaiah Joe</v>
      </c>
      <c r="B223" s="119">
        <f>IF(TYPE($A223)=1,"",(Update!$L221-B$1)/B$2)</f>
        <v>-1.222939742</v>
      </c>
      <c r="C223" s="119">
        <f>IF(TYPE($A223)=1,"",(Update!$K221-C$1)/C$2)</f>
        <v>0.6313982204</v>
      </c>
      <c r="D223" s="119">
        <f>IF(TYPE($A223)=1,"",(Update!$M221-D$1)/D$2)</f>
        <v>-1.587032671</v>
      </c>
      <c r="E223" s="119">
        <f>IF(TYPE($A223)=1,"",(Update!$N221-E$1)/E$2)</f>
        <v>-1.225913687</v>
      </c>
      <c r="F223" s="119">
        <f>IF(TYPE($A223)=1,"",(Update!$O221-F$1)/F$2)</f>
        <v>-1.229386107</v>
      </c>
      <c r="G223" s="119">
        <f>IF(TYPE($A223)=1,"",(Update!$P221-G$1)/G$2)</f>
        <v>-1.128065594</v>
      </c>
      <c r="H223" s="119">
        <f>IF(TYPE($A223)=1,"",(Update!$H221-H$1)/H$2*I223/$I$1)</f>
        <v>-0.5210542332</v>
      </c>
      <c r="I223" s="119">
        <f>IF(TYPE($A223)=1,"",IF(Update!H221=0,0,Update!G221/Update!H221))</f>
        <v>7.6</v>
      </c>
      <c r="J223" s="120">
        <f>IF(TYPE($A223)=1,"",(Update!$J221-J$1)/J$2*K223/$K$1)</f>
        <v>0.2279719459</v>
      </c>
      <c r="K223" s="121">
        <f>IF(TYPE($A223)=1,"",IF(Update!J221=0,0,Update!I221/Update!J221))</f>
        <v>1.3</v>
      </c>
      <c r="L223" s="119">
        <f>IF(TYPE($A223)=1,"",-(Update!$Q221-L$1)/L$2)</f>
        <v>1.73196706</v>
      </c>
      <c r="N223" s="124">
        <v>203.0</v>
      </c>
      <c r="O223" s="130" t="str">
        <f>IF(Update!B167="",ROW(Update!B167),Update!B167)</f>
        <v>Nick Richards</v>
      </c>
      <c r="P223" s="131">
        <f>Update!E167</f>
        <v>70</v>
      </c>
      <c r="Q223" s="131" t="str">
        <f>IF(Update!C167="",ROW(Update!N182),Update!C167)</f>
        <v>C</v>
      </c>
      <c r="R223" s="127">
        <f>VLOOKUP($O223,'NO USAR1'!$A$4:$L$403,2,False)+VLOOKUP($O223,'NO USAR1'!$A$4:$L$403,3,False)+VLOOKUP($O223,'NO USAR1'!$A$4:$L$403,4,False)+VLOOKUP($O223,'NO USAR1'!$A$4:$L$403,5,False)+VLOOKUP($O223,'NO USAR1'!$A$4:$L$403,6,False)+VLOOKUP($O223,'NO USAR1'!$A$4:$L$403,7,False)+VLOOKUP($O223,'NO USAR1'!$A$4:$L$403,8,False)+VLOOKUP($O223,'NO USAR1'!$A$4:$L$403,10,False)+VLOOKUP($O223,'NO USAR1'!$A$4:$L$403,12,False)*0</f>
        <v>-5.322726013</v>
      </c>
      <c r="S223" s="127">
        <f>VLOOKUP($O223,'NO USAR1'!$A$4:$L$403,2,False)*$U$19+VLOOKUP($O223,'NO USAR1'!$A$4:$L$403,3,False)*$V$19+VLOOKUP($O223,'NO USAR1'!$A$4:$L$403,4,False)*$W$19+VLOOKUP($O223,'NO USAR1'!$A$4:$L$403,5,False)*$X$19+VLOOKUP($O223,'NO USAR1'!$A$4:$L$403,6,False)*$Y$19+VLOOKUP($O223,'NO USAR1'!$A$4:$L$403,7,False)*$Z$19+VLOOKUP($O223,'NO USAR1'!$A$4:$L$403,8,False)*$AA$19+VLOOKUP($O223,'NO USAR1'!$A$4:$L$403,10,False)*$AB$19+VLOOKUP($O223,'NO USAR1'!$A$4:$L$403,12,False)*$AC$19+IF(Projections!$K$3,-AN223, IF(Projections!$J$3,-AM223,0))</f>
        <v>-3.027257615</v>
      </c>
      <c r="T223" s="127">
        <f t="shared" si="1"/>
        <v>2.295468398</v>
      </c>
      <c r="U223" s="127">
        <f>VLOOKUP($O223,Update!$B$2:$R$401,11,False)</f>
        <v>8.7</v>
      </c>
      <c r="V223" s="122">
        <f>VLOOKUP($O223,Update!$B$2:$R$401,10,False)</f>
        <v>0</v>
      </c>
      <c r="W223" s="127">
        <f>VLOOKUP($O223,Update!$B$2:$R$401,12,False)</f>
        <v>6.4</v>
      </c>
      <c r="X223" s="127">
        <f>VLOOKUP($O223,Update!$B$2:$R$401,13,False)</f>
        <v>0.7</v>
      </c>
      <c r="Y223" s="127">
        <f>VLOOKUP($O223,Update!$B$2:$R$401,14,False)</f>
        <v>0.3</v>
      </c>
      <c r="Z223" s="132">
        <f>VLOOKUP($O223,Update!$B$2:$R$401,15,False)</f>
        <v>1.2</v>
      </c>
      <c r="AA223" s="127">
        <f>100*VLOOKUP($O223,Update!$B$2:$R$401,7,False)</f>
        <v>64.70588235</v>
      </c>
      <c r="AB223" s="127">
        <f>100*VLOOKUP($O223,Update!$B$2:$R$401,9,False)</f>
        <v>72.4137931</v>
      </c>
      <c r="AC223" s="127">
        <f>VLOOKUP($O223,Update!$B$2:$Q$401,16,False)</f>
        <v>1.1</v>
      </c>
      <c r="AD223" s="127">
        <f>VLOOKUP($O223,'NO USAR1'!$A$4:$L$403,2,False)*$U$19</f>
        <v>-1.442024032</v>
      </c>
      <c r="AE223" s="127">
        <f>VLOOKUP($O223,'NO USAR1'!$A$4:$L$403,3,False)*$V$19</f>
        <v>-1.426137812</v>
      </c>
      <c r="AF223" s="127">
        <f>VLOOKUP($O223,'NO USAR1'!$A$4:$L$403,4,False)*$W$19</f>
        <v>0.1273974935</v>
      </c>
      <c r="AG223" s="127">
        <f>VLOOKUP($O223,'NO USAR1'!$A$4:$L$403,5,False)*$X$19</f>
        <v>-1.603517358</v>
      </c>
      <c r="AH223" s="127">
        <f>VLOOKUP($O223,'NO USAR1'!$A$4:$L$403,6,False)*$Y$19</f>
        <v>-1.514719978</v>
      </c>
      <c r="AI223" s="127">
        <f>VLOOKUP($O223,'NO USAR1'!$A$4:$L$403,7,False)*$Z$19</f>
        <v>0.6548283205</v>
      </c>
      <c r="AJ223" s="127">
        <f>VLOOKUP($O223,'NO USAR1'!$A$4:$L$403,8,False)*$AA$19</f>
        <v>0.7696049422</v>
      </c>
      <c r="AK223" s="132">
        <f>VLOOKUP($O223,'NO USAR1'!$A$4:$L$403,10,False)*$AB$19</f>
        <v>-0.473967042</v>
      </c>
      <c r="AL223" s="127">
        <f>VLOOKUP($O223,'NO USAR1'!$A$4:$L$403,12,False)*$AC$19</f>
        <v>0.2777604917</v>
      </c>
      <c r="AM223" s="133">
        <f t="shared" si="2"/>
        <v>-1.603517358</v>
      </c>
      <c r="AN223" s="133">
        <f t="shared" si="3"/>
        <v>-3.118237336</v>
      </c>
    </row>
    <row r="224">
      <c r="A224" s="118" t="str">
        <f>IF(Update!B222="",ROW(Update!B222),Update!B222)</f>
        <v>Josh Okogie</v>
      </c>
      <c r="B224" s="119">
        <f>IF(TYPE($A224)=1,"",(Update!$L222-B$1)/B$2)</f>
        <v>-1.425171394</v>
      </c>
      <c r="C224" s="119">
        <f>IF(TYPE($A224)=1,"",(Update!$K222-C$1)/C$2)</f>
        <v>-0.5247734955</v>
      </c>
      <c r="D224" s="119">
        <f>IF(TYPE($A224)=1,"",(Update!$M222-D$1)/D$2)</f>
        <v>-0.7925406433</v>
      </c>
      <c r="E224" s="119">
        <f>IF(TYPE($A224)=1,"",(Update!$N222-E$1)/E$2)</f>
        <v>-0.9940843212</v>
      </c>
      <c r="F224" s="119">
        <f>IF(TYPE($A224)=1,"",(Update!$O222-F$1)/F$2)</f>
        <v>0.3281131841</v>
      </c>
      <c r="G224" s="119">
        <f>IF(TYPE($A224)=1,"",(Update!$P222-G$1)/G$2)</f>
        <v>-0.1900953108</v>
      </c>
      <c r="H224" s="119">
        <f>IF(TYPE($A224)=1,"",(Update!$H222-H$1)/H$2*I224/$I$1)</f>
        <v>-0.7465895853</v>
      </c>
      <c r="I224" s="119">
        <f>IF(TYPE($A224)=1,"",IF(Update!H222=0,0,Update!G222/Update!H222))</f>
        <v>6.8</v>
      </c>
      <c r="J224" s="120">
        <f>IF(TYPE($A224)=1,"",(Update!$J222-J$1)/J$2*K224/$K$1)</f>
        <v>-0.7073951362</v>
      </c>
      <c r="K224" s="121">
        <f>IF(TYPE($A224)=1,"",IF(Update!J222=0,0,Update!I222/Update!J222))</f>
        <v>3.2</v>
      </c>
      <c r="L224" s="119">
        <f>IF(TYPE($A224)=1,"",-(Update!$Q222-L$1)/L$2)</f>
        <v>1.111041967</v>
      </c>
      <c r="N224" s="33">
        <v>204.0</v>
      </c>
      <c r="O224" s="130" t="str">
        <f>IF(Update!B211="",ROW(Update!B211),Update!B211)</f>
        <v>Bones Hyland</v>
      </c>
      <c r="P224" s="131">
        <f>Update!E211</f>
        <v>67</v>
      </c>
      <c r="Q224" s="131" t="str">
        <f>IF(Update!C211="",ROW(Update!N226),Update!C211)</f>
        <v>PG,SG</v>
      </c>
      <c r="R224" s="127">
        <f>VLOOKUP($O224,'NO USAR1'!$A$4:$L$403,2,False)+VLOOKUP($O224,'NO USAR1'!$A$4:$L$403,3,False)+VLOOKUP($O224,'NO USAR1'!$A$4:$L$403,4,False)+VLOOKUP($O224,'NO USAR1'!$A$4:$L$403,5,False)+VLOOKUP($O224,'NO USAR1'!$A$4:$L$403,6,False)+VLOOKUP($O224,'NO USAR1'!$A$4:$L$403,7,False)+VLOOKUP($O224,'NO USAR1'!$A$4:$L$403,8,False)+VLOOKUP($O224,'NO USAR1'!$A$4:$L$403,10,False)+VLOOKUP($O224,'NO USAR1'!$A$4:$L$403,12,False)*0</f>
        <v>-5.359066511</v>
      </c>
      <c r="S224" s="127">
        <f>VLOOKUP($O224,'NO USAR1'!$A$4:$L$403,2,False)*$U$19+VLOOKUP($O224,'NO USAR1'!$A$4:$L$403,3,False)*$V$19+VLOOKUP($O224,'NO USAR1'!$A$4:$L$403,4,False)*$W$19+VLOOKUP($O224,'NO USAR1'!$A$4:$L$403,5,False)*$X$19+VLOOKUP($O224,'NO USAR1'!$A$4:$L$403,6,False)*$Y$19+VLOOKUP($O224,'NO USAR1'!$A$4:$L$403,7,False)*$Z$19+VLOOKUP($O224,'NO USAR1'!$A$4:$L$403,8,False)*$AA$19+VLOOKUP($O224,'NO USAR1'!$A$4:$L$403,10,False)*$AB$19+VLOOKUP($O224,'NO USAR1'!$A$4:$L$403,12,False)*$AC$19+IF(Projections!$K$3,-AN224, IF(Projections!$J$3,-AM224,0))</f>
        <v>-3.118031988</v>
      </c>
      <c r="T224" s="127">
        <f t="shared" si="1"/>
        <v>2.241034524</v>
      </c>
      <c r="U224" s="127">
        <f>VLOOKUP($O224,Update!$B$2:$R$401,11,False)</f>
        <v>10.7</v>
      </c>
      <c r="V224" s="122">
        <f>VLOOKUP($O224,Update!$B$2:$R$401,10,False)</f>
        <v>2</v>
      </c>
      <c r="W224" s="127">
        <f>VLOOKUP($O224,Update!$B$2:$R$401,12,False)</f>
        <v>2.6</v>
      </c>
      <c r="X224" s="127">
        <f>VLOOKUP($O224,Update!$B$2:$R$401,13,False)</f>
        <v>2.9</v>
      </c>
      <c r="Y224" s="127">
        <f>VLOOKUP($O224,Update!$B$2:$R$401,14,False)</f>
        <v>0.6</v>
      </c>
      <c r="Z224" s="132">
        <f>VLOOKUP($O224,Update!$B$2:$R$401,15,False)</f>
        <v>0.3</v>
      </c>
      <c r="AA224" s="127">
        <f>100*VLOOKUP($O224,Update!$B$2:$R$401,7,False)</f>
        <v>40</v>
      </c>
      <c r="AB224" s="127">
        <f>100*VLOOKUP($O224,Update!$B$2:$R$401,9,False)</f>
        <v>83.33333333</v>
      </c>
      <c r="AC224" s="127">
        <f>VLOOKUP($O224,Update!$B$2:$Q$401,16,False)</f>
        <v>1.3</v>
      </c>
      <c r="AD224" s="127">
        <f>VLOOKUP($O224,'NO USAR1'!$A$4:$L$403,2,False)*$U$19</f>
        <v>-1.104971278</v>
      </c>
      <c r="AE224" s="127">
        <f>VLOOKUP($O224,'NO USAR1'!$A$4:$L$403,3,False)*$V$19</f>
        <v>0.3081197623</v>
      </c>
      <c r="AF224" s="127">
        <f>VLOOKUP($O224,'NO USAR1'!$A$4:$L$403,4,False)*$W$19</f>
        <v>-1.461586561</v>
      </c>
      <c r="AG224" s="127">
        <f>VLOOKUP($O224,'NO USAR1'!$A$4:$L$403,5,False)*$X$19</f>
        <v>-0.4814632272</v>
      </c>
      <c r="AH224" s="127">
        <f>VLOOKUP($O224,'NO USAR1'!$A$4:$L$403,6,False)*$Y$19</f>
        <v>-0.8605702752</v>
      </c>
      <c r="AI224" s="127">
        <f>VLOOKUP($O224,'NO USAR1'!$A$4:$L$403,7,False)*$Z$19</f>
        <v>-0.5270142365</v>
      </c>
      <c r="AJ224" s="127">
        <f>VLOOKUP($O224,'NO USAR1'!$A$4:$L$403,8,False)*$AA$19</f>
        <v>-0.8628794023</v>
      </c>
      <c r="AK224" s="132">
        <f>VLOOKUP($O224,'NO USAR1'!$A$4:$L$403,10,False)*$AB$19</f>
        <v>0.1950786871</v>
      </c>
      <c r="AL224" s="127">
        <f>VLOOKUP($O224,'NO USAR1'!$A$4:$L$403,12,False)*$AC$19</f>
        <v>0.2156679824</v>
      </c>
      <c r="AM224" s="133">
        <f t="shared" si="2"/>
        <v>-1.461586561</v>
      </c>
      <c r="AN224" s="133">
        <f t="shared" si="3"/>
        <v>-2.566557839</v>
      </c>
    </row>
    <row r="225">
      <c r="A225" s="118" t="str">
        <f>IF(Update!B223="",ROW(Update!B223),Update!B223)</f>
        <v>Max Christie</v>
      </c>
      <c r="B225" s="119">
        <f>IF(TYPE($A225)=1,"",(Update!$L223-B$1)/B$2)</f>
        <v>-1.661108322</v>
      </c>
      <c r="C225" s="119">
        <f>IF(TYPE($A225)=1,"",(Update!$K223-C$1)/C$2)</f>
        <v>-0.2357305665</v>
      </c>
      <c r="D225" s="119">
        <f>IF(TYPE($A225)=1,"",(Update!$M223-D$1)/D$2)</f>
        <v>-0.9179867529</v>
      </c>
      <c r="E225" s="119">
        <f>IF(TYPE($A225)=1,"",(Update!$N223-E$1)/E$2)</f>
        <v>-1.27227956</v>
      </c>
      <c r="F225" s="119">
        <f>IF(TYPE($A225)=1,"",(Update!$O223-F$1)/F$2)</f>
        <v>-0.9178862491</v>
      </c>
      <c r="G225" s="119">
        <f>IF(TYPE($A225)=1,"",(Update!$P223-G$1)/G$2)</f>
        <v>-0.5652834241</v>
      </c>
      <c r="H225" s="119">
        <f>IF(TYPE($A225)=1,"",(Update!$H223-H$1)/H$2*I225/$I$1)</f>
        <v>-0.4171999211</v>
      </c>
      <c r="I225" s="119">
        <f>IF(TYPE($A225)=1,"",IF(Update!H223=0,0,Update!G223/Update!H223))</f>
        <v>6</v>
      </c>
      <c r="J225" s="120">
        <f>IF(TYPE($A225)=1,"",(Update!$J223-J$1)/J$2*K225/$K$1)</f>
        <v>-0.03365354734</v>
      </c>
      <c r="K225" s="121">
        <f>IF(TYPE($A225)=1,"",IF(Update!J223=0,0,Update!I223/Update!J223))</f>
        <v>0.9</v>
      </c>
      <c r="L225" s="119">
        <f>IF(TYPE($A225)=1,"",-(Update!$Q223-L$1)/L$2)</f>
        <v>1.235226986</v>
      </c>
      <c r="N225" s="33">
        <v>205.0</v>
      </c>
      <c r="O225" s="130" t="str">
        <f>IF(Update!B203="",ROW(Update!B203),Update!B203)</f>
        <v>Mason Plumlee</v>
      </c>
      <c r="P225" s="131">
        <f>Update!E203</f>
        <v>75</v>
      </c>
      <c r="Q225" s="131" t="str">
        <f>IF(Update!C203="",ROW(Update!N218),Update!C203)</f>
        <v>C</v>
      </c>
      <c r="R225" s="127">
        <f>VLOOKUP($O225,'NO USAR1'!$A$4:$L$403,2,False)+VLOOKUP($O225,'NO USAR1'!$A$4:$L$403,3,False)+VLOOKUP($O225,'NO USAR1'!$A$4:$L$403,4,False)+VLOOKUP($O225,'NO USAR1'!$A$4:$L$403,5,False)+VLOOKUP($O225,'NO USAR1'!$A$4:$L$403,6,False)+VLOOKUP($O225,'NO USAR1'!$A$4:$L$403,7,False)+VLOOKUP($O225,'NO USAR1'!$A$4:$L$403,8,False)+VLOOKUP($O225,'NO USAR1'!$A$4:$L$403,10,False)+VLOOKUP($O225,'NO USAR1'!$A$4:$L$403,12,False)*0</f>
        <v>-5.372522402</v>
      </c>
      <c r="S225" s="127">
        <f>VLOOKUP($O225,'NO USAR1'!$A$4:$L$403,2,False)*$U$19+VLOOKUP($O225,'NO USAR1'!$A$4:$L$403,3,False)*$V$19+VLOOKUP($O225,'NO USAR1'!$A$4:$L$403,4,False)*$W$19+VLOOKUP($O225,'NO USAR1'!$A$4:$L$403,5,False)*$X$19+VLOOKUP($O225,'NO USAR1'!$A$4:$L$403,6,False)*$Y$19+VLOOKUP($O225,'NO USAR1'!$A$4:$L$403,7,False)*$Z$19+VLOOKUP($O225,'NO USAR1'!$A$4:$L$403,8,False)*$AA$19+VLOOKUP($O225,'NO USAR1'!$A$4:$L$403,10,False)*$AB$19+VLOOKUP($O225,'NO USAR1'!$A$4:$L$403,12,False)*$AC$19+IF(Projections!$K$3,-AN225, IF(Projections!$J$3,-AM225,0))</f>
        <v>-2.412305455</v>
      </c>
      <c r="T225" s="127">
        <f t="shared" si="1"/>
        <v>2.960216947</v>
      </c>
      <c r="U225" s="127">
        <f>VLOOKUP($O225,Update!$B$2:$R$401,11,False)</f>
        <v>8.2</v>
      </c>
      <c r="V225" s="122">
        <f>VLOOKUP($O225,Update!$B$2:$R$401,10,False)</f>
        <v>0</v>
      </c>
      <c r="W225" s="127">
        <f>VLOOKUP($O225,Update!$B$2:$R$401,12,False)</f>
        <v>7.8</v>
      </c>
      <c r="X225" s="127">
        <f>VLOOKUP($O225,Update!$B$2:$R$401,13,False)</f>
        <v>2.9</v>
      </c>
      <c r="Y225" s="127">
        <f>VLOOKUP($O225,Update!$B$2:$R$401,14,False)</f>
        <v>0.7</v>
      </c>
      <c r="Z225" s="132">
        <f>VLOOKUP($O225,Update!$B$2:$R$401,15,False)</f>
        <v>0.6</v>
      </c>
      <c r="AA225" s="127">
        <f>100*VLOOKUP($O225,Update!$B$2:$R$401,7,False)</f>
        <v>67.34693878</v>
      </c>
      <c r="AB225" s="127">
        <f>100*VLOOKUP($O225,Update!$B$2:$R$401,9,False)</f>
        <v>53.33333333</v>
      </c>
      <c r="AC225" s="127">
        <f>VLOOKUP($O225,Update!$B$2:$Q$401,16,False)</f>
        <v>1.3</v>
      </c>
      <c r="AD225" s="127">
        <f>VLOOKUP($O225,'NO USAR1'!$A$4:$L$403,2,False)*$U$19</f>
        <v>-1.526287221</v>
      </c>
      <c r="AE225" s="127">
        <f>VLOOKUP($O225,'NO USAR1'!$A$4:$L$403,3,False)*$V$19</f>
        <v>-1.426137812</v>
      </c>
      <c r="AF225" s="127">
        <f>VLOOKUP($O225,'NO USAR1'!$A$4:$L$403,4,False)*$W$19</f>
        <v>0.7128126715</v>
      </c>
      <c r="AG225" s="127">
        <f>VLOOKUP($O225,'NO USAR1'!$A$4:$L$403,5,False)*$X$19</f>
        <v>-0.4814632272</v>
      </c>
      <c r="AH225" s="127">
        <f>VLOOKUP($O225,'NO USAR1'!$A$4:$L$403,6,False)*$Y$19</f>
        <v>-0.6425203744</v>
      </c>
      <c r="AI225" s="127">
        <f>VLOOKUP($O225,'NO USAR1'!$A$4:$L$403,7,False)*$Z$19</f>
        <v>-0.1330667175</v>
      </c>
      <c r="AJ225" s="127">
        <f>VLOOKUP($O225,'NO USAR1'!$A$4:$L$403,8,False)*$AA$19</f>
        <v>0.8686892424</v>
      </c>
      <c r="AK225" s="132">
        <f>VLOOKUP($O225,'NO USAR1'!$A$4:$L$403,10,False)*$AB$19</f>
        <v>-1.915188121</v>
      </c>
      <c r="AL225" s="127">
        <f>VLOOKUP($O225,'NO USAR1'!$A$4:$L$403,12,False)*$AC$19</f>
        <v>0.2156679824</v>
      </c>
      <c r="AM225" s="133">
        <f t="shared" si="2"/>
        <v>-1.915188121</v>
      </c>
      <c r="AN225" s="133">
        <f t="shared" si="3"/>
        <v>-3.441475341</v>
      </c>
    </row>
    <row r="226">
      <c r="A226" s="118" t="str">
        <f>IF(Update!B224="",ROW(Update!B224),Update!B224)</f>
        <v>Jarace Walker</v>
      </c>
      <c r="B226" s="119">
        <f>IF(TYPE($A226)=1,"",(Update!$L224-B$1)/B$2)</f>
        <v>-1.155529191</v>
      </c>
      <c r="C226" s="119">
        <f>IF(TYPE($A226)=1,"",(Update!$K224-C$1)/C$2)</f>
        <v>-0.7174687815</v>
      </c>
      <c r="D226" s="119">
        <f>IF(TYPE($A226)=1,"",(Update!$M224-D$1)/D$2)</f>
        <v>0.2528436031</v>
      </c>
      <c r="E226" s="119">
        <f>IF(TYPE($A226)=1,"",(Update!$N224-E$1)/E$2)</f>
        <v>-1.27227956</v>
      </c>
      <c r="F226" s="119">
        <f>IF(TYPE($A226)=1,"",(Update!$O224-F$1)/F$2)</f>
        <v>-1.852385824</v>
      </c>
      <c r="G226" s="119">
        <f>IF(TYPE($A226)=1,"",(Update!$P224-G$1)/G$2)</f>
        <v>0.1850928026</v>
      </c>
      <c r="H226" s="119">
        <f>IF(TYPE($A226)=1,"",(Update!$H224-H$1)/H$2*I226/$I$1)</f>
        <v>-0.3505657146</v>
      </c>
      <c r="I226" s="119">
        <f>IF(TYPE($A226)=1,"",IF(Update!H224=0,0,Update!G224/Update!H224))</f>
        <v>8.5</v>
      </c>
      <c r="J226" s="120">
        <f>IF(TYPE($A226)=1,"",(Update!$J224-J$1)/J$2*K226/$K$1)</f>
        <v>-0.8540842958</v>
      </c>
      <c r="K226" s="121">
        <f>IF(TYPE($A226)=1,"",IF(Update!J224=0,0,Update!I224/Update!J224))</f>
        <v>2.5</v>
      </c>
      <c r="L226" s="119">
        <f>IF(TYPE($A226)=1,"",-(Update!$Q224-L$1)/L$2)</f>
        <v>0.738486911</v>
      </c>
      <c r="N226" s="124">
        <v>206.0</v>
      </c>
      <c r="O226" s="130" t="str">
        <f>IF(Update!B213="",ROW(Update!B213),Update!B213)</f>
        <v>Christian Braun</v>
      </c>
      <c r="P226" s="131">
        <f>Update!E213</f>
        <v>76</v>
      </c>
      <c r="Q226" s="131" t="str">
        <f>IF(Update!C213="",ROW(Update!N228),Update!C213)</f>
        <v>SG</v>
      </c>
      <c r="R226" s="127">
        <f>VLOOKUP($O226,'NO USAR1'!$A$4:$L$403,2,False)+VLOOKUP($O226,'NO USAR1'!$A$4:$L$403,3,False)+VLOOKUP($O226,'NO USAR1'!$A$4:$L$403,4,False)+VLOOKUP($O226,'NO USAR1'!$A$4:$L$403,5,False)+VLOOKUP($O226,'NO USAR1'!$A$4:$L$403,6,False)+VLOOKUP($O226,'NO USAR1'!$A$4:$L$403,7,False)+VLOOKUP($O226,'NO USAR1'!$A$4:$L$403,8,False)+VLOOKUP($O226,'NO USAR1'!$A$4:$L$403,10,False)+VLOOKUP($O226,'NO USAR1'!$A$4:$L$403,12,False)*0</f>
        <v>-5.460054979</v>
      </c>
      <c r="S226" s="127">
        <f>VLOOKUP($O226,'NO USAR1'!$A$4:$L$403,2,False)*$U$19+VLOOKUP($O226,'NO USAR1'!$A$4:$L$403,3,False)*$V$19+VLOOKUP($O226,'NO USAR1'!$A$4:$L$403,4,False)*$W$19+VLOOKUP($O226,'NO USAR1'!$A$4:$L$403,5,False)*$X$19+VLOOKUP($O226,'NO USAR1'!$A$4:$L$403,6,False)*$Y$19+VLOOKUP($O226,'NO USAR1'!$A$4:$L$403,7,False)*$Z$19+VLOOKUP($O226,'NO USAR1'!$A$4:$L$403,8,False)*$AA$19+VLOOKUP($O226,'NO USAR1'!$A$4:$L$403,10,False)*$AB$19+VLOOKUP($O226,'NO USAR1'!$A$4:$L$403,12,False)*$AC$19+IF(Projections!$K$3,-AN226, IF(Projections!$J$3,-AM226,0))</f>
        <v>-3.288091178</v>
      </c>
      <c r="T226" s="127">
        <f t="shared" si="1"/>
        <v>2.171963801</v>
      </c>
      <c r="U226" s="127">
        <f>VLOOKUP($O226,Update!$B$2:$R$401,11,False)</f>
        <v>8.2</v>
      </c>
      <c r="V226" s="122">
        <f>VLOOKUP($O226,Update!$B$2:$R$401,10,False)</f>
        <v>0.9</v>
      </c>
      <c r="W226" s="127">
        <f>VLOOKUP($O226,Update!$B$2:$R$401,12,False)</f>
        <v>4</v>
      </c>
      <c r="X226" s="127">
        <f>VLOOKUP($O226,Update!$B$2:$R$401,13,False)</f>
        <v>1.3</v>
      </c>
      <c r="Y226" s="127">
        <f>VLOOKUP($O226,Update!$B$2:$R$401,14,False)</f>
        <v>0.9</v>
      </c>
      <c r="Z226" s="132">
        <f>VLOOKUP($O226,Update!$B$2:$R$401,15,False)</f>
        <v>0.4</v>
      </c>
      <c r="AA226" s="127">
        <f>100*VLOOKUP($O226,Update!$B$2:$R$401,7,False)</f>
        <v>50</v>
      </c>
      <c r="AB226" s="127">
        <f>100*VLOOKUP($O226,Update!$B$2:$R$401,9,False)</f>
        <v>71.42857143</v>
      </c>
      <c r="AC226" s="127">
        <f>VLOOKUP($O226,Update!$B$2:$Q$401,16,False)</f>
        <v>0.8</v>
      </c>
      <c r="AD226" s="127">
        <f>VLOOKUP($O226,'NO USAR1'!$A$4:$L$403,2,False)*$U$19</f>
        <v>-1.526287221</v>
      </c>
      <c r="AE226" s="127">
        <f>VLOOKUP($O226,'NO USAR1'!$A$4:$L$403,3,False)*$V$19</f>
        <v>-0.6457219034</v>
      </c>
      <c r="AF226" s="127">
        <f>VLOOKUP($O226,'NO USAR1'!$A$4:$L$403,4,False)*$W$19</f>
        <v>-0.876171383</v>
      </c>
      <c r="AG226" s="127">
        <f>VLOOKUP($O226,'NO USAR1'!$A$4:$L$403,5,False)*$X$19</f>
        <v>-1.297502595</v>
      </c>
      <c r="AH226" s="127">
        <f>VLOOKUP($O226,'NO USAR1'!$A$4:$L$403,6,False)*$Y$19</f>
        <v>-0.2064205728</v>
      </c>
      <c r="AI226" s="127">
        <f>VLOOKUP($O226,'NO USAR1'!$A$4:$L$403,7,False)*$Z$19</f>
        <v>-0.3956983969</v>
      </c>
      <c r="AJ226" s="127">
        <f>VLOOKUP($O226,'NO USAR1'!$A$4:$L$403,8,False)*$AA$19</f>
        <v>0.02567048819</v>
      </c>
      <c r="AK226" s="132">
        <f>VLOOKUP($O226,'NO USAR1'!$A$4:$L$403,10,False)*$AB$19</f>
        <v>-0.2631460703</v>
      </c>
      <c r="AL226" s="127">
        <f>VLOOKUP($O226,'NO USAR1'!$A$4:$L$403,12,False)*$AC$19</f>
        <v>0.3708992557</v>
      </c>
      <c r="AM226" s="133">
        <f t="shared" si="2"/>
        <v>-1.526287221</v>
      </c>
      <c r="AN226" s="133">
        <f t="shared" si="3"/>
        <v>-2.823789816</v>
      </c>
    </row>
    <row r="227">
      <c r="A227" s="118" t="str">
        <f>IF(Update!B225="",ROW(Update!B225),Update!B225)</f>
        <v>Kevin Love</v>
      </c>
      <c r="B227" s="119">
        <f>IF(TYPE($A227)=1,"",(Update!$L225-B$1)/B$2)</f>
        <v>-1.340908206</v>
      </c>
      <c r="C227" s="119">
        <f>IF(TYPE($A227)=1,"",(Update!$K225-C$1)/C$2)</f>
        <v>0.1496600055</v>
      </c>
      <c r="D227" s="119">
        <f>IF(TYPE($A227)=1,"",(Update!$M225-D$1)/D$2)</f>
        <v>-0.1653100955</v>
      </c>
      <c r="E227" s="119">
        <f>IF(TYPE($A227)=1,"",(Update!$N225-E$1)/E$2)</f>
        <v>-0.9940843212</v>
      </c>
      <c r="F227" s="119">
        <f>IF(TYPE($A227)=1,"",(Update!$O225-F$1)/F$2)</f>
        <v>-2.163885682</v>
      </c>
      <c r="G227" s="119">
        <f>IF(TYPE($A227)=1,"",(Update!$P225-G$1)/G$2)</f>
        <v>-0.9404715375</v>
      </c>
      <c r="H227" s="119">
        <f>IF(TYPE($A227)=1,"",(Update!$H225-H$1)/H$2*I227/$I$1)</f>
        <v>-0.6888687427</v>
      </c>
      <c r="I227" s="119">
        <f>IF(TYPE($A227)=1,"",IF(Update!H225=0,0,Update!G225/Update!H225))</f>
        <v>7.3</v>
      </c>
      <c r="J227" s="120">
        <f>IF(TYPE($A227)=1,"",(Update!$J225-J$1)/J$2*K227/$K$1)</f>
        <v>0.2438483589</v>
      </c>
      <c r="K227" s="121">
        <f>IF(TYPE($A227)=1,"",IF(Update!J225=0,0,Update!I225/Update!J225))</f>
        <v>1.8</v>
      </c>
      <c r="L227" s="119">
        <f>IF(TYPE($A227)=1,"",-(Update!$Q225-L$1)/L$2)</f>
        <v>1.235226986</v>
      </c>
      <c r="N227" s="124">
        <v>207.0</v>
      </c>
      <c r="O227" s="130" t="str">
        <f>IF(Update!B217="",ROW(Update!B217),Update!B217)</f>
        <v>Dorian Finney-Smith</v>
      </c>
      <c r="P227" s="131">
        <f>Update!E217</f>
        <v>69</v>
      </c>
      <c r="Q227" s="131" t="str">
        <f>IF(Update!C217="",ROW(Update!N232),Update!C217)</f>
        <v>SF,PF</v>
      </c>
      <c r="R227" s="127">
        <f>VLOOKUP($O227,'NO USAR1'!$A$4:$L$403,2,False)+VLOOKUP($O227,'NO USAR1'!$A$4:$L$403,3,False)+VLOOKUP($O227,'NO USAR1'!$A$4:$L$403,4,False)+VLOOKUP($O227,'NO USAR1'!$A$4:$L$403,5,False)+VLOOKUP($O227,'NO USAR1'!$A$4:$L$403,6,False)+VLOOKUP($O227,'NO USAR1'!$A$4:$L$403,7,False)+VLOOKUP($O227,'NO USAR1'!$A$4:$L$403,8,False)+VLOOKUP($O227,'NO USAR1'!$A$4:$L$403,10,False)+VLOOKUP($O227,'NO USAR1'!$A$4:$L$403,12,False)*0</f>
        <v>-5.470910933</v>
      </c>
      <c r="S227" s="127">
        <f>VLOOKUP($O227,'NO USAR1'!$A$4:$L$403,2,False)*$U$19+VLOOKUP($O227,'NO USAR1'!$A$4:$L$403,3,False)*$V$19+VLOOKUP($O227,'NO USAR1'!$A$4:$L$403,4,False)*$W$19+VLOOKUP($O227,'NO USAR1'!$A$4:$L$403,5,False)*$X$19+VLOOKUP($O227,'NO USAR1'!$A$4:$L$403,6,False)*$Y$19+VLOOKUP($O227,'NO USAR1'!$A$4:$L$403,7,False)*$Z$19+VLOOKUP($O227,'NO USAR1'!$A$4:$L$403,8,False)*$AA$19+VLOOKUP($O227,'NO USAR1'!$A$4:$L$403,10,False)*$AB$19+VLOOKUP($O227,'NO USAR1'!$A$4:$L$403,12,False)*$AC$19+IF(Projections!$K$3,-AN227, IF(Projections!$J$3,-AM227,0))</f>
        <v>-3.196969235</v>
      </c>
      <c r="T227" s="127">
        <f t="shared" si="1"/>
        <v>2.273941698</v>
      </c>
      <c r="U227" s="127">
        <f>VLOOKUP($O227,Update!$B$2:$R$401,11,False)</f>
        <v>7.8</v>
      </c>
      <c r="V227" s="122">
        <f>VLOOKUP($O227,Update!$B$2:$R$401,10,False)</f>
        <v>1.6</v>
      </c>
      <c r="W227" s="127">
        <f>VLOOKUP($O227,Update!$B$2:$R$401,12,False)</f>
        <v>3.8</v>
      </c>
      <c r="X227" s="127">
        <f>VLOOKUP($O227,Update!$B$2:$R$401,13,False)</f>
        <v>1.4</v>
      </c>
      <c r="Y227" s="127">
        <f>VLOOKUP($O227,Update!$B$2:$R$401,14,False)</f>
        <v>0.8</v>
      </c>
      <c r="Z227" s="132">
        <f>VLOOKUP($O227,Update!$B$2:$R$401,15,False)</f>
        <v>0.4</v>
      </c>
      <c r="AA227" s="127">
        <f>100*VLOOKUP($O227,Update!$B$2:$R$401,7,False)</f>
        <v>43.07692308</v>
      </c>
      <c r="AB227" s="127">
        <f>100*VLOOKUP($O227,Update!$B$2:$R$401,9,False)</f>
        <v>75</v>
      </c>
      <c r="AC227" s="127">
        <f>VLOOKUP($O227,Update!$B$2:$Q$401,16,False)</f>
        <v>0.8</v>
      </c>
      <c r="AD227" s="127">
        <f>VLOOKUP($O227,'NO USAR1'!$A$4:$L$403,2,False)*$U$19</f>
        <v>-1.593697771</v>
      </c>
      <c r="AE227" s="127">
        <f>VLOOKUP($O227,'NO USAR1'!$A$4:$L$403,3,False)*$V$19</f>
        <v>-0.03873175248</v>
      </c>
      <c r="AF227" s="127">
        <f>VLOOKUP($O227,'NO USAR1'!$A$4:$L$403,4,False)*$W$19</f>
        <v>-0.9598021228</v>
      </c>
      <c r="AG227" s="127">
        <f>VLOOKUP($O227,'NO USAR1'!$A$4:$L$403,5,False)*$X$19</f>
        <v>-1.246500135</v>
      </c>
      <c r="AH227" s="127">
        <f>VLOOKUP($O227,'NO USAR1'!$A$4:$L$403,6,False)*$Y$19</f>
        <v>-0.4244704736</v>
      </c>
      <c r="AI227" s="127">
        <f>VLOOKUP($O227,'NO USAR1'!$A$4:$L$403,7,False)*$Z$19</f>
        <v>-0.3956983969</v>
      </c>
      <c r="AJ227" s="127">
        <f>VLOOKUP($O227,'NO USAR1'!$A$4:$L$403,8,False)*$AA$19</f>
        <v>-0.4234176736</v>
      </c>
      <c r="AK227" s="132">
        <f>VLOOKUP($O227,'NO USAR1'!$A$4:$L$403,10,False)*$AB$19</f>
        <v>-0.07924793652</v>
      </c>
      <c r="AL227" s="127">
        <f>VLOOKUP($O227,'NO USAR1'!$A$4:$L$403,12,False)*$AC$19</f>
        <v>0.3708992557</v>
      </c>
      <c r="AM227" s="133">
        <f t="shared" si="2"/>
        <v>-1.593697771</v>
      </c>
      <c r="AN227" s="133">
        <f t="shared" si="3"/>
        <v>-2.840197906</v>
      </c>
    </row>
    <row r="228">
      <c r="A228" s="118" t="str">
        <f>IF(Update!B226="",ROW(Update!B226),Update!B226)</f>
        <v>Coby White</v>
      </c>
      <c r="B228" s="119">
        <f>IF(TYPE($A228)=1,"",(Update!$L226-B$1)/B$2)</f>
        <v>-1.256645018</v>
      </c>
      <c r="C228" s="119">
        <f>IF(TYPE($A228)=1,"",(Update!$K226-C$1)/C$2)</f>
        <v>0.05331236246</v>
      </c>
      <c r="D228" s="119">
        <f>IF(TYPE($A228)=1,"",(Update!$M226-D$1)/D$2)</f>
        <v>-1.461586561</v>
      </c>
      <c r="E228" s="119">
        <f>IF(TYPE($A228)=1,"",(Update!$N226-E$1)/E$2)</f>
        <v>-0.6231573357</v>
      </c>
      <c r="F228" s="119">
        <f>IF(TYPE($A228)=1,"",(Update!$O226-F$1)/F$2)</f>
        <v>-1.229386107</v>
      </c>
      <c r="G228" s="119">
        <f>IF(TYPE($A228)=1,"",(Update!$P226-G$1)/G$2)</f>
        <v>-1.128065594</v>
      </c>
      <c r="H228" s="119">
        <f>IF(TYPE($A228)=1,"",(Update!$H226-H$1)/H$2*I228/$I$1)</f>
        <v>-0.518380224</v>
      </c>
      <c r="I228" s="119">
        <f>IF(TYPE($A228)=1,"",IF(Update!H226=0,0,Update!G226/Update!H226))</f>
        <v>8.2</v>
      </c>
      <c r="J228" s="120">
        <f>IF(TYPE($A228)=1,"",(Update!$J226-J$1)/J$2*K228/$K$1)</f>
        <v>0.09715919929</v>
      </c>
      <c r="K228" s="121">
        <f>IF(TYPE($A228)=1,"",IF(Update!J226=0,0,Update!I226/Update!J226))</f>
        <v>1.1</v>
      </c>
      <c r="L228" s="119">
        <f>IF(TYPE($A228)=1,"",-(Update!$Q226-L$1)/L$2)</f>
        <v>1.235226986</v>
      </c>
      <c r="N228" s="33">
        <v>208.0</v>
      </c>
      <c r="O228" s="130" t="str">
        <f>IF(Update!B201="",ROW(Update!B201),Update!B201)</f>
        <v>Grayson Allen</v>
      </c>
      <c r="P228" s="131">
        <f>Update!E201</f>
        <v>70</v>
      </c>
      <c r="Q228" s="131" t="str">
        <f>IF(Update!C201="",ROW(Update!N216),Update!C201)</f>
        <v>SG,SF</v>
      </c>
      <c r="R228" s="127">
        <f>VLOOKUP($O228,'NO USAR1'!$A$4:$L$403,2,False)+VLOOKUP($O228,'NO USAR1'!$A$4:$L$403,3,False)+VLOOKUP($O228,'NO USAR1'!$A$4:$L$403,4,False)+VLOOKUP($O228,'NO USAR1'!$A$4:$L$403,5,False)+VLOOKUP($O228,'NO USAR1'!$A$4:$L$403,6,False)+VLOOKUP($O228,'NO USAR1'!$A$4:$L$403,7,False)+VLOOKUP($O228,'NO USAR1'!$A$4:$L$403,8,False)+VLOOKUP($O228,'NO USAR1'!$A$4:$L$403,10,False)+VLOOKUP($O228,'NO USAR1'!$A$4:$L$403,12,False)*0</f>
        <v>-5.474781676</v>
      </c>
      <c r="S228" s="127">
        <f>VLOOKUP($O228,'NO USAR1'!$A$4:$L$403,2,False)*$U$19+VLOOKUP($O228,'NO USAR1'!$A$4:$L$403,3,False)*$V$19+VLOOKUP($O228,'NO USAR1'!$A$4:$L$403,4,False)*$W$19+VLOOKUP($O228,'NO USAR1'!$A$4:$L$403,5,False)*$X$19+VLOOKUP($O228,'NO USAR1'!$A$4:$L$403,6,False)*$Y$19+VLOOKUP($O228,'NO USAR1'!$A$4:$L$403,7,False)*$Z$19+VLOOKUP($O228,'NO USAR1'!$A$4:$L$403,8,False)*$AA$19+VLOOKUP($O228,'NO USAR1'!$A$4:$L$403,10,False)*$AB$19+VLOOKUP($O228,'NO USAR1'!$A$4:$L$403,12,False)*$AC$19+IF(Projections!$K$3,-AN228, IF(Projections!$J$3,-AM228,0))</f>
        <v>-3.267580874</v>
      </c>
      <c r="T228" s="127">
        <f t="shared" si="1"/>
        <v>2.207200802</v>
      </c>
      <c r="U228" s="127">
        <f>VLOOKUP($O228,Update!$B$2:$R$401,11,False)</f>
        <v>9.1</v>
      </c>
      <c r="V228" s="122">
        <f>VLOOKUP($O228,Update!$B$2:$R$401,10,False)</f>
        <v>2</v>
      </c>
      <c r="W228" s="127">
        <f>VLOOKUP($O228,Update!$B$2:$R$401,12,False)</f>
        <v>3</v>
      </c>
      <c r="X228" s="127">
        <f>VLOOKUP($O228,Update!$B$2:$R$401,13,False)</f>
        <v>1.7</v>
      </c>
      <c r="Y228" s="127">
        <f>VLOOKUP($O228,Update!$B$2:$R$401,14,False)</f>
        <v>0.7</v>
      </c>
      <c r="Z228" s="132">
        <f>VLOOKUP($O228,Update!$B$2:$R$401,15,False)</f>
        <v>0.2</v>
      </c>
      <c r="AA228" s="127">
        <f>100*VLOOKUP($O228,Update!$B$2:$R$401,7,False)</f>
        <v>42.85714286</v>
      </c>
      <c r="AB228" s="127">
        <f>100*VLOOKUP($O228,Update!$B$2:$R$401,9,False)</f>
        <v>84.61538462</v>
      </c>
      <c r="AC228" s="127">
        <f>VLOOKUP($O228,Update!$B$2:$Q$401,16,False)</f>
        <v>0.7</v>
      </c>
      <c r="AD228" s="127">
        <f>VLOOKUP($O228,'NO USAR1'!$A$4:$L$403,2,False)*$U$19</f>
        <v>-1.374613481</v>
      </c>
      <c r="AE228" s="127">
        <f>VLOOKUP($O228,'NO USAR1'!$A$4:$L$403,3,False)*$V$19</f>
        <v>0.3081197623</v>
      </c>
      <c r="AF228" s="127">
        <f>VLOOKUP($O228,'NO USAR1'!$A$4:$L$403,4,False)*$W$19</f>
        <v>-1.294325082</v>
      </c>
      <c r="AG228" s="127">
        <f>VLOOKUP($O228,'NO USAR1'!$A$4:$L$403,5,False)*$X$19</f>
        <v>-1.093492753</v>
      </c>
      <c r="AH228" s="127">
        <f>VLOOKUP($O228,'NO USAR1'!$A$4:$L$403,6,False)*$Y$19</f>
        <v>-0.6425203744</v>
      </c>
      <c r="AI228" s="127">
        <f>VLOOKUP($O228,'NO USAR1'!$A$4:$L$403,7,False)*$Z$19</f>
        <v>-0.6583300762</v>
      </c>
      <c r="AJ228" s="127">
        <f>VLOOKUP($O228,'NO USAR1'!$A$4:$L$403,8,False)*$AA$19</f>
        <v>-0.4713554182</v>
      </c>
      <c r="AK228" s="132">
        <f>VLOOKUP($O228,'NO USAR1'!$A$4:$L$403,10,False)*$AB$19</f>
        <v>0.1823775567</v>
      </c>
      <c r="AL228" s="127">
        <f>VLOOKUP($O228,'NO USAR1'!$A$4:$L$403,12,False)*$AC$19</f>
        <v>0.4019455104</v>
      </c>
      <c r="AM228" s="133">
        <f t="shared" si="2"/>
        <v>-1.374613481</v>
      </c>
      <c r="AN228" s="133">
        <f t="shared" si="3"/>
        <v>-2.668938563</v>
      </c>
    </row>
    <row r="229">
      <c r="A229" s="118" t="str">
        <f>IF(Update!B227="",ROW(Update!B227),Update!B227)</f>
        <v>Rui Hachimura</v>
      </c>
      <c r="B229" s="119">
        <f>IF(TYPE($A229)=1,"",(Update!$L227-B$1)/B$2)</f>
        <v>-0.8521817128</v>
      </c>
      <c r="C229" s="119">
        <f>IF(TYPE($A229)=1,"",(Update!$K227-C$1)/C$2)</f>
        <v>-0.5247734955</v>
      </c>
      <c r="D229" s="119">
        <f>IF(TYPE($A229)=1,"",(Update!$M227-D$1)/D$2)</f>
        <v>-0.6252791639</v>
      </c>
      <c r="E229" s="119">
        <f>IF(TYPE($A229)=1,"",(Update!$N227-E$1)/E$2)</f>
        <v>-1.27227956</v>
      </c>
      <c r="F229" s="119">
        <f>IF(TYPE($A229)=1,"",(Update!$O227-F$1)/F$2)</f>
        <v>-1.852385824</v>
      </c>
      <c r="G229" s="119">
        <f>IF(TYPE($A229)=1,"",(Update!$P227-G$1)/G$2)</f>
        <v>-0.5652834241</v>
      </c>
      <c r="H229" s="119">
        <f>IF(TYPE($A229)=1,"",(Update!$H227-H$1)/H$2*I229/$I$1)</f>
        <v>-0.06641818347</v>
      </c>
      <c r="I229" s="119">
        <f>IF(TYPE($A229)=1,"",IF(Update!H227=0,0,Update!G227/Update!H227))</f>
        <v>10</v>
      </c>
      <c r="J229" s="120">
        <f>IF(TYPE($A229)=1,"",(Update!$J227-J$1)/J$2*K229/$K$1)</f>
        <v>-0.3130561749</v>
      </c>
      <c r="K229" s="121">
        <f>IF(TYPE($A229)=1,"",IF(Update!J227=0,0,Update!I227/Update!J227))</f>
        <v>1.9</v>
      </c>
      <c r="L229" s="119">
        <f>IF(TYPE($A229)=1,"",-(Update!$Q227-L$1)/L$2)</f>
        <v>1.359412004</v>
      </c>
      <c r="N229" s="33">
        <v>209.0</v>
      </c>
      <c r="O229" s="130" t="str">
        <f>IF(Update!B216="",ROW(Update!B216),Update!B216)</f>
        <v>Kelly Oubre Jr.</v>
      </c>
      <c r="P229" s="131">
        <f>Update!E216</f>
        <v>68</v>
      </c>
      <c r="Q229" s="131" t="str">
        <f>IF(Update!C216="",ROW(Update!N231),Update!C216)</f>
        <v>SF</v>
      </c>
      <c r="R229" s="127">
        <f>VLOOKUP($O229,'NO USAR1'!$A$4:$L$403,2,False)+VLOOKUP($O229,'NO USAR1'!$A$4:$L$403,3,False)+VLOOKUP($O229,'NO USAR1'!$A$4:$L$403,4,False)+VLOOKUP($O229,'NO USAR1'!$A$4:$L$403,5,False)+VLOOKUP($O229,'NO USAR1'!$A$4:$L$403,6,False)+VLOOKUP($O229,'NO USAR1'!$A$4:$L$403,7,False)+VLOOKUP($O229,'NO USAR1'!$A$4:$L$403,8,False)+VLOOKUP($O229,'NO USAR1'!$A$4:$L$403,10,False)+VLOOKUP($O229,'NO USAR1'!$A$4:$L$403,12,False)*0</f>
        <v>-5.50465621</v>
      </c>
      <c r="S229" s="127">
        <f>VLOOKUP($O229,'NO USAR1'!$A$4:$L$403,2,False)*$U$19+VLOOKUP($O229,'NO USAR1'!$A$4:$L$403,3,False)*$V$19+VLOOKUP($O229,'NO USAR1'!$A$4:$L$403,4,False)*$W$19+VLOOKUP($O229,'NO USAR1'!$A$4:$L$403,5,False)*$X$19+VLOOKUP($O229,'NO USAR1'!$A$4:$L$403,6,False)*$Y$19+VLOOKUP($O229,'NO USAR1'!$A$4:$L$403,7,False)*$Z$19+VLOOKUP($O229,'NO USAR1'!$A$4:$L$403,8,False)*$AA$19+VLOOKUP($O229,'NO USAR1'!$A$4:$L$403,10,False)*$AB$19+VLOOKUP($O229,'NO USAR1'!$A$4:$L$403,12,False)*$AC$19+IF(Projections!$K$3,-AN229, IF(Projections!$J$3,-AM229,0))</f>
        <v>-3.361677438</v>
      </c>
      <c r="T229" s="127">
        <f t="shared" si="1"/>
        <v>2.142978771</v>
      </c>
      <c r="U229" s="127">
        <f>VLOOKUP($O229,Update!$B$2:$R$401,11,False)</f>
        <v>11.4</v>
      </c>
      <c r="V229" s="122">
        <f>VLOOKUP($O229,Update!$B$2:$R$401,10,False)</f>
        <v>1.4</v>
      </c>
      <c r="W229" s="127">
        <f>VLOOKUP($O229,Update!$B$2:$R$401,12,False)</f>
        <v>3</v>
      </c>
      <c r="X229" s="127">
        <f>VLOOKUP($O229,Update!$B$2:$R$401,13,False)</f>
        <v>0.9</v>
      </c>
      <c r="Y229" s="127">
        <f>VLOOKUP($O229,Update!$B$2:$R$401,14,False)</f>
        <v>0.9</v>
      </c>
      <c r="Z229" s="132">
        <f>VLOOKUP($O229,Update!$B$2:$R$401,15,False)</f>
        <v>0.3</v>
      </c>
      <c r="AA229" s="127">
        <f>100*VLOOKUP($O229,Update!$B$2:$R$401,7,False)</f>
        <v>45.16129032</v>
      </c>
      <c r="AB229" s="127">
        <f>100*VLOOKUP($O229,Update!$B$2:$R$401,9,False)</f>
        <v>77.27272727</v>
      </c>
      <c r="AC229" s="127">
        <f>VLOOKUP($O229,Update!$B$2:$Q$401,16,False)</f>
        <v>0.8</v>
      </c>
      <c r="AD229" s="127">
        <f>VLOOKUP($O229,'NO USAR1'!$A$4:$L$403,2,False)*$U$19</f>
        <v>-0.9870028144</v>
      </c>
      <c r="AE229" s="127">
        <f>VLOOKUP($O229,'NO USAR1'!$A$4:$L$403,3,False)*$V$19</f>
        <v>-0.2121575099</v>
      </c>
      <c r="AF229" s="127">
        <f>VLOOKUP($O229,'NO USAR1'!$A$4:$L$403,4,False)*$W$19</f>
        <v>-1.294325082</v>
      </c>
      <c r="AG229" s="127">
        <f>VLOOKUP($O229,'NO USAR1'!$A$4:$L$403,5,False)*$X$19</f>
        <v>-1.501512437</v>
      </c>
      <c r="AH229" s="127">
        <f>VLOOKUP($O229,'NO USAR1'!$A$4:$L$403,6,False)*$Y$19</f>
        <v>-0.2064205728</v>
      </c>
      <c r="AI229" s="127">
        <f>VLOOKUP($O229,'NO USAR1'!$A$4:$L$403,7,False)*$Z$19</f>
        <v>-0.5270142365</v>
      </c>
      <c r="AJ229" s="127">
        <f>VLOOKUP($O229,'NO USAR1'!$A$4:$L$403,8,False)*$AA$19</f>
        <v>-0.412186835</v>
      </c>
      <c r="AK229" s="132">
        <f>VLOOKUP($O229,'NO USAR1'!$A$4:$L$403,10,False)*$AB$19</f>
        <v>-0.093469644</v>
      </c>
      <c r="AL229" s="127">
        <f>VLOOKUP($O229,'NO USAR1'!$A$4:$L$403,12,False)*$AC$19</f>
        <v>0.3708992557</v>
      </c>
      <c r="AM229" s="133">
        <f t="shared" si="2"/>
        <v>-1.501512437</v>
      </c>
      <c r="AN229" s="133">
        <f t="shared" si="3"/>
        <v>-2.795837519</v>
      </c>
    </row>
    <row r="230">
      <c r="A230" s="118" t="str">
        <f>IF(Update!B228="",ROW(Update!B228),Update!B228)</f>
        <v>Marcus Morris Sr.</v>
      </c>
      <c r="B230" s="119">
        <f>IF(TYPE($A230)=1,"",(Update!$L228-B$1)/B$2)</f>
        <v>-0.9870028144</v>
      </c>
      <c r="C230" s="119">
        <f>IF(TYPE($A230)=1,"",(Update!$K228-C$1)/C$2)</f>
        <v>-0.04303528054</v>
      </c>
      <c r="D230" s="119">
        <f>IF(TYPE($A230)=1,"",(Update!$M228-D$1)/D$2)</f>
        <v>-1.001617493</v>
      </c>
      <c r="E230" s="119">
        <f>IF(TYPE($A230)=1,"",(Update!$N228-E$1)/E$2)</f>
        <v>-0.9940843212</v>
      </c>
      <c r="F230" s="119">
        <f>IF(TYPE($A230)=1,"",(Update!$O228-F$1)/F$2)</f>
        <v>-1.540885966</v>
      </c>
      <c r="G230" s="119">
        <f>IF(TYPE($A230)=1,"",(Update!$P228-G$1)/G$2)</f>
        <v>-0.7528774808</v>
      </c>
      <c r="H230" s="119">
        <f>IF(TYPE($A230)=1,"",(Update!$H228-H$1)/H$2*I230/$I$1)</f>
        <v>-0.7332195394</v>
      </c>
      <c r="I230" s="119">
        <f>IF(TYPE($A230)=1,"",IF(Update!H228=0,0,Update!G228/Update!H228))</f>
        <v>9.8</v>
      </c>
      <c r="J230" s="120">
        <f>IF(TYPE($A230)=1,"",(Update!$J228-J$1)/J$2*K230/$K$1)</f>
        <v>0.1784419856</v>
      </c>
      <c r="K230" s="121">
        <f>IF(TYPE($A230)=1,"",IF(Update!J228=0,0,Update!I228/Update!J228))</f>
        <v>1.7</v>
      </c>
      <c r="L230" s="119">
        <f>IF(TYPE($A230)=1,"",-(Update!$Q228-L$1)/L$2)</f>
        <v>1.359412004</v>
      </c>
      <c r="N230" s="124">
        <v>210.0</v>
      </c>
      <c r="O230" s="130" t="str">
        <f>IF(Update!B193="",ROW(Update!B193),Update!B193)</f>
        <v>Marvin Bagley III</v>
      </c>
      <c r="P230" s="131">
        <f>Update!E193</f>
        <v>46</v>
      </c>
      <c r="Q230" s="131" t="str">
        <f>IF(Update!C193="",ROW(Update!N208),Update!C193)</f>
        <v>PF,C</v>
      </c>
      <c r="R230" s="127">
        <f>VLOOKUP($O230,'NO USAR1'!$A$4:$L$403,2,False)+VLOOKUP($O230,'NO USAR1'!$A$4:$L$403,3,False)+VLOOKUP($O230,'NO USAR1'!$A$4:$L$403,4,False)+VLOOKUP($O230,'NO USAR1'!$A$4:$L$403,5,False)+VLOOKUP($O230,'NO USAR1'!$A$4:$L$403,6,False)+VLOOKUP($O230,'NO USAR1'!$A$4:$L$403,7,False)+VLOOKUP($O230,'NO USAR1'!$A$4:$L$403,8,False)+VLOOKUP($O230,'NO USAR1'!$A$4:$L$403,10,False)+VLOOKUP($O230,'NO USAR1'!$A$4:$L$403,12,False)*0</f>
        <v>-5.513240398</v>
      </c>
      <c r="S230" s="127">
        <f>VLOOKUP($O230,'NO USAR1'!$A$4:$L$403,2,False)*$U$19+VLOOKUP($O230,'NO USAR1'!$A$4:$L$403,3,False)*$V$19+VLOOKUP($O230,'NO USAR1'!$A$4:$L$403,4,False)*$W$19+VLOOKUP($O230,'NO USAR1'!$A$4:$L$403,5,False)*$X$19+VLOOKUP($O230,'NO USAR1'!$A$4:$L$403,6,False)*$Y$19+VLOOKUP($O230,'NO USAR1'!$A$4:$L$403,7,False)*$Z$19+VLOOKUP($O230,'NO USAR1'!$A$4:$L$403,8,False)*$AA$19+VLOOKUP($O230,'NO USAR1'!$A$4:$L$403,10,False)*$AB$19+VLOOKUP($O230,'NO USAR1'!$A$4:$L$403,12,False)*$AC$19+IF(Projections!$K$3,-AN230, IF(Projections!$J$3,-AM230,0))</f>
        <v>-2.966867236</v>
      </c>
      <c r="T230" s="127">
        <f t="shared" si="1"/>
        <v>2.546373162</v>
      </c>
      <c r="U230" s="127">
        <f>VLOOKUP($O230,Update!$B$2:$R$401,11,False)</f>
        <v>11.3</v>
      </c>
      <c r="V230" s="122">
        <f>VLOOKUP($O230,Update!$B$2:$R$401,10,False)</f>
        <v>0.5</v>
      </c>
      <c r="W230" s="127">
        <f>VLOOKUP($O230,Update!$B$2:$R$401,12,False)</f>
        <v>6.6</v>
      </c>
      <c r="X230" s="127">
        <f>VLOOKUP($O230,Update!$B$2:$R$401,13,False)</f>
        <v>0.8</v>
      </c>
      <c r="Y230" s="127">
        <f>VLOOKUP($O230,Update!$B$2:$R$401,14,False)</f>
        <v>0.4</v>
      </c>
      <c r="Z230" s="132">
        <f>VLOOKUP($O230,Update!$B$2:$R$401,15,False)</f>
        <v>0.5</v>
      </c>
      <c r="AA230" s="127">
        <f>100*VLOOKUP($O230,Update!$B$2:$R$401,7,False)</f>
        <v>51.68539326</v>
      </c>
      <c r="AB230" s="127">
        <f>100*VLOOKUP($O230,Update!$B$2:$R$401,9,False)</f>
        <v>76.19047619</v>
      </c>
      <c r="AC230" s="127">
        <f>VLOOKUP($O230,Update!$B$2:$Q$401,16,False)</f>
        <v>0.9</v>
      </c>
      <c r="AD230" s="127">
        <f>VLOOKUP($O230,'NO USAR1'!$A$4:$L$403,2,False)*$U$19</f>
        <v>-1.003855452</v>
      </c>
      <c r="AE230" s="127">
        <f>VLOOKUP($O230,'NO USAR1'!$A$4:$L$403,3,False)*$V$19</f>
        <v>-0.9925734181</v>
      </c>
      <c r="AF230" s="127">
        <f>VLOOKUP($O230,'NO USAR1'!$A$4:$L$403,4,False)*$W$19</f>
        <v>0.2110282332</v>
      </c>
      <c r="AG230" s="127">
        <f>VLOOKUP($O230,'NO USAR1'!$A$4:$L$403,5,False)*$X$19</f>
        <v>-1.552514898</v>
      </c>
      <c r="AH230" s="127">
        <f>VLOOKUP($O230,'NO USAR1'!$A$4:$L$403,6,False)*$Y$19</f>
        <v>-1.296670077</v>
      </c>
      <c r="AI230" s="127">
        <f>VLOOKUP($O230,'NO USAR1'!$A$4:$L$403,7,False)*$Z$19</f>
        <v>-0.2643825572</v>
      </c>
      <c r="AJ230" s="127">
        <f>VLOOKUP($O230,'NO USAR1'!$A$4:$L$403,8,False)*$AA$19</f>
        <v>0.185527777</v>
      </c>
      <c r="AK230" s="132">
        <f>VLOOKUP($O230,'NO USAR1'!$A$4:$L$403,10,False)*$AB$19</f>
        <v>-0.1457947426</v>
      </c>
      <c r="AL230" s="127">
        <f>VLOOKUP($O230,'NO USAR1'!$A$4:$L$403,12,False)*$AC$19</f>
        <v>0.3398530011</v>
      </c>
      <c r="AM230" s="133">
        <f t="shared" si="2"/>
        <v>-1.552514898</v>
      </c>
      <c r="AN230" s="133">
        <f t="shared" si="3"/>
        <v>-2.849184975</v>
      </c>
    </row>
    <row r="231">
      <c r="A231" s="118" t="str">
        <f>IF(Update!B229="",ROW(Update!B229),Update!B229)</f>
        <v>Moritz Wagner</v>
      </c>
      <c r="B231" s="119">
        <f>IF(TYPE($A231)=1,"",(Update!$L229-B$1)/B$2)</f>
        <v>-1.324055568</v>
      </c>
      <c r="C231" s="119">
        <f>IF(TYPE($A231)=1,"",(Update!$K229-C$1)/C$2)</f>
        <v>-0.7174687815</v>
      </c>
      <c r="D231" s="119">
        <f>IF(TYPE($A231)=1,"",(Update!$M229-D$1)/D$2)</f>
        <v>-0.876171383</v>
      </c>
      <c r="E231" s="119">
        <f>IF(TYPE($A231)=1,"",(Update!$N229-E$1)/E$2)</f>
        <v>-1.133181941</v>
      </c>
      <c r="F231" s="119">
        <f>IF(TYPE($A231)=1,"",(Update!$O229-F$1)/F$2)</f>
        <v>-1.540885966</v>
      </c>
      <c r="G231" s="119">
        <f>IF(TYPE($A231)=1,"",(Update!$P229-G$1)/G$2)</f>
        <v>-0.9404715375</v>
      </c>
      <c r="H231" s="119">
        <f>IF(TYPE($A231)=1,"",(Update!$H229-H$1)/H$2*I231/$I$1)</f>
        <v>0.02852276466</v>
      </c>
      <c r="I231" s="119">
        <f>IF(TYPE($A231)=1,"",IF(Update!H229=0,0,Update!G229/Update!H229))</f>
        <v>6.4</v>
      </c>
      <c r="J231" s="120">
        <f>IF(TYPE($A231)=1,"",(Update!$J229-J$1)/J$2*K231/$K$1)</f>
        <v>0.3905375185</v>
      </c>
      <c r="K231" s="121">
        <f>IF(TYPE($A231)=1,"",IF(Update!J229=0,0,Update!I229/Update!J229))</f>
        <v>2.5</v>
      </c>
      <c r="L231" s="119">
        <f>IF(TYPE($A231)=1,"",-(Update!$Q229-L$1)/L$2)</f>
        <v>1.235226986</v>
      </c>
      <c r="N231" s="124">
        <v>211.0</v>
      </c>
      <c r="O231" s="130" t="str">
        <f>IF(Update!B192="",ROW(Update!B192),Update!B192)</f>
        <v>Naz Reid</v>
      </c>
      <c r="P231" s="131">
        <f>Update!E192</f>
        <v>72</v>
      </c>
      <c r="Q231" s="131" t="str">
        <f>IF(Update!C192="",ROW(Update!N207),Update!C192)</f>
        <v>PF,C</v>
      </c>
      <c r="R231" s="127">
        <f>VLOOKUP($O231,'NO USAR1'!$A$4:$L$403,2,False)+VLOOKUP($O231,'NO USAR1'!$A$4:$L$403,3,False)+VLOOKUP($O231,'NO USAR1'!$A$4:$L$403,4,False)+VLOOKUP($O231,'NO USAR1'!$A$4:$L$403,5,False)+VLOOKUP($O231,'NO USAR1'!$A$4:$L$403,6,False)+VLOOKUP($O231,'NO USAR1'!$A$4:$L$403,7,False)+VLOOKUP($O231,'NO USAR1'!$A$4:$L$403,8,False)+VLOOKUP($O231,'NO USAR1'!$A$4:$L$403,10,False)+VLOOKUP($O231,'NO USAR1'!$A$4:$L$403,12,False)*0</f>
        <v>-5.564427406</v>
      </c>
      <c r="S231" s="127">
        <f>VLOOKUP($O231,'NO USAR1'!$A$4:$L$403,2,False)*$U$19+VLOOKUP($O231,'NO USAR1'!$A$4:$L$403,3,False)*$V$19+VLOOKUP($O231,'NO USAR1'!$A$4:$L$403,4,False)*$W$19+VLOOKUP($O231,'NO USAR1'!$A$4:$L$403,5,False)*$X$19+VLOOKUP($O231,'NO USAR1'!$A$4:$L$403,6,False)*$Y$19+VLOOKUP($O231,'NO USAR1'!$A$4:$L$403,7,False)*$Z$19+VLOOKUP($O231,'NO USAR1'!$A$4:$L$403,8,False)*$AA$19+VLOOKUP($O231,'NO USAR1'!$A$4:$L$403,10,False)*$AB$19+VLOOKUP($O231,'NO USAR1'!$A$4:$L$403,12,False)*$AC$19+IF(Projections!$K$3,-AN231, IF(Projections!$J$3,-AM231,0))</f>
        <v>-3.509002534</v>
      </c>
      <c r="T231" s="127">
        <f t="shared" si="1"/>
        <v>2.055424871</v>
      </c>
      <c r="U231" s="127">
        <f>VLOOKUP($O231,Update!$B$2:$R$401,11,False)</f>
        <v>9.5</v>
      </c>
      <c r="V231" s="122">
        <f>VLOOKUP($O231,Update!$B$2:$R$401,10,False)</f>
        <v>0.9</v>
      </c>
      <c r="W231" s="127">
        <f>VLOOKUP($O231,Update!$B$2:$R$401,12,False)</f>
        <v>4.3</v>
      </c>
      <c r="X231" s="127">
        <f>VLOOKUP($O231,Update!$B$2:$R$401,13,False)</f>
        <v>1</v>
      </c>
      <c r="Y231" s="127">
        <f>VLOOKUP($O231,Update!$B$2:$R$401,14,False)</f>
        <v>0.6</v>
      </c>
      <c r="Z231" s="132">
        <f>VLOOKUP($O231,Update!$B$2:$R$401,15,False)</f>
        <v>0.8</v>
      </c>
      <c r="AA231" s="127">
        <f>100*VLOOKUP($O231,Update!$B$2:$R$401,7,False)</f>
        <v>52.11267606</v>
      </c>
      <c r="AB231" s="127">
        <f>100*VLOOKUP($O231,Update!$B$2:$R$401,9,False)</f>
        <v>68.42105263</v>
      </c>
      <c r="AC231" s="127">
        <f>VLOOKUP($O231,Update!$B$2:$Q$401,16,False)</f>
        <v>1.2</v>
      </c>
      <c r="AD231" s="127">
        <f>VLOOKUP($O231,'NO USAR1'!$A$4:$L$403,2,False)*$U$19</f>
        <v>-1.307202931</v>
      </c>
      <c r="AE231" s="127">
        <f>VLOOKUP($O231,'NO USAR1'!$A$4:$L$403,3,False)*$V$19</f>
        <v>-0.6457219034</v>
      </c>
      <c r="AF231" s="127">
        <f>VLOOKUP($O231,'NO USAR1'!$A$4:$L$403,4,False)*$W$19</f>
        <v>-0.7507252735</v>
      </c>
      <c r="AG231" s="127">
        <f>VLOOKUP($O231,'NO USAR1'!$A$4:$L$403,5,False)*$X$19</f>
        <v>-1.450509977</v>
      </c>
      <c r="AH231" s="127">
        <f>VLOOKUP($O231,'NO USAR1'!$A$4:$L$403,6,False)*$Y$19</f>
        <v>-0.8605702752</v>
      </c>
      <c r="AI231" s="127">
        <f>VLOOKUP($O231,'NO USAR1'!$A$4:$L$403,7,False)*$Z$19</f>
        <v>0.1295649618</v>
      </c>
      <c r="AJ231" s="127">
        <f>VLOOKUP($O231,'NO USAR1'!$A$4:$L$403,8,False)*$AA$19</f>
        <v>0.1783079522</v>
      </c>
      <c r="AK231" s="132">
        <f>VLOOKUP($O231,'NO USAR1'!$A$4:$L$403,10,False)*$AB$19</f>
        <v>-0.4993693028</v>
      </c>
      <c r="AL231" s="127">
        <f>VLOOKUP($O231,'NO USAR1'!$A$4:$L$403,12,False)*$AC$19</f>
        <v>0.2467142371</v>
      </c>
      <c r="AM231" s="133">
        <f t="shared" si="2"/>
        <v>-1.450509977</v>
      </c>
      <c r="AN231" s="133">
        <f t="shared" si="3"/>
        <v>-2.757712908</v>
      </c>
    </row>
    <row r="232">
      <c r="A232" s="118" t="str">
        <f>IF(Update!B230="",ROW(Update!B230),Update!B230)</f>
        <v>Kenrich Williams</v>
      </c>
      <c r="B232" s="119">
        <f>IF(TYPE($A232)=1,"",(Update!$L230-B$1)/B$2)</f>
        <v>-1.593697771</v>
      </c>
      <c r="C232" s="119">
        <f>IF(TYPE($A232)=1,"",(Update!$K230-C$1)/C$2)</f>
        <v>-0.7174687815</v>
      </c>
      <c r="D232" s="119">
        <f>IF(TYPE($A232)=1,"",(Update!$M230-D$1)/D$2)</f>
        <v>-0.5834637941</v>
      </c>
      <c r="E232" s="119">
        <f>IF(TYPE($A232)=1,"",(Update!$N230-E$1)/E$2)</f>
        <v>-0.8086208285</v>
      </c>
      <c r="F232" s="119">
        <f>IF(TYPE($A232)=1,"",(Update!$O230-F$1)/F$2)</f>
        <v>-0.2948865325</v>
      </c>
      <c r="G232" s="119">
        <f>IF(TYPE($A232)=1,"",(Update!$P230-G$1)/G$2)</f>
        <v>-0.9404715375</v>
      </c>
      <c r="H232" s="119">
        <f>IF(TYPE($A232)=1,"",(Update!$H230-H$1)/H$2*I232/$I$1)</f>
        <v>-0.02652406877</v>
      </c>
      <c r="I232" s="119">
        <f>IF(TYPE($A232)=1,"",IF(Update!H230=0,0,Update!G230/Update!H230))</f>
        <v>6.5</v>
      </c>
      <c r="J232" s="120">
        <f>IF(TYPE($A232)=1,"",(Update!$J230-J$1)/J$2*K232/$K$1)</f>
        <v>-0.6559644545</v>
      </c>
      <c r="K232" s="121">
        <f>IF(TYPE($A232)=1,"",IF(Update!J230=0,0,Update!I230/Update!J230))</f>
        <v>0.9</v>
      </c>
      <c r="L232" s="119">
        <f>IF(TYPE($A232)=1,"",-(Update!$Q230-L$1)/L$2)</f>
        <v>1.483597023</v>
      </c>
      <c r="N232" s="33">
        <v>212.0</v>
      </c>
      <c r="O232" s="130" t="str">
        <f>IF(Update!B219="",ROW(Update!B219),Update!B219)</f>
        <v>Jonathan Kuminga</v>
      </c>
      <c r="P232" s="131">
        <f>Update!E219</f>
        <v>72</v>
      </c>
      <c r="Q232" s="131" t="str">
        <f>IF(Update!C219="",ROW(Update!N234),Update!C219)</f>
        <v>PF</v>
      </c>
      <c r="R232" s="127">
        <f>VLOOKUP($O232,'NO USAR1'!$A$4:$L$403,2,False)+VLOOKUP($O232,'NO USAR1'!$A$4:$L$403,3,False)+VLOOKUP($O232,'NO USAR1'!$A$4:$L$403,4,False)+VLOOKUP($O232,'NO USAR1'!$A$4:$L$403,5,False)+VLOOKUP($O232,'NO USAR1'!$A$4:$L$403,6,False)+VLOOKUP($O232,'NO USAR1'!$A$4:$L$403,7,False)+VLOOKUP($O232,'NO USAR1'!$A$4:$L$403,8,False)+VLOOKUP($O232,'NO USAR1'!$A$4:$L$403,10,False)+VLOOKUP($O232,'NO USAR1'!$A$4:$L$403,12,False)*0</f>
        <v>-5.591474853</v>
      </c>
      <c r="S232" s="127">
        <f>VLOOKUP($O232,'NO USAR1'!$A$4:$L$403,2,False)*$U$19+VLOOKUP($O232,'NO USAR1'!$A$4:$L$403,3,False)*$V$19+VLOOKUP($O232,'NO USAR1'!$A$4:$L$403,4,False)*$W$19+VLOOKUP($O232,'NO USAR1'!$A$4:$L$403,5,False)*$X$19+VLOOKUP($O232,'NO USAR1'!$A$4:$L$403,6,False)*$Y$19+VLOOKUP($O232,'NO USAR1'!$A$4:$L$403,7,False)*$Z$19+VLOOKUP($O232,'NO USAR1'!$A$4:$L$403,8,False)*$AA$19+VLOOKUP($O232,'NO USAR1'!$A$4:$L$403,10,False)*$AB$19+VLOOKUP($O232,'NO USAR1'!$A$4:$L$403,12,False)*$AC$19+IF(Projections!$K$3,-AN232, IF(Projections!$J$3,-AM232,0))</f>
        <v>-3.779552576</v>
      </c>
      <c r="T232" s="127">
        <f t="shared" si="1"/>
        <v>1.811922278</v>
      </c>
      <c r="U232" s="127">
        <f>VLOOKUP($O232,Update!$B$2:$R$401,11,False)</f>
        <v>11.9</v>
      </c>
      <c r="V232" s="122">
        <f>VLOOKUP($O232,Update!$B$2:$R$401,10,False)</f>
        <v>0.9</v>
      </c>
      <c r="W232" s="127">
        <f>VLOOKUP($O232,Update!$B$2:$R$401,12,False)</f>
        <v>4.2</v>
      </c>
      <c r="X232" s="127">
        <f>VLOOKUP($O232,Update!$B$2:$R$401,13,False)</f>
        <v>1.7</v>
      </c>
      <c r="Y232" s="127">
        <f>VLOOKUP($O232,Update!$B$2:$R$401,14,False)</f>
        <v>0.7</v>
      </c>
      <c r="Z232" s="132">
        <f>VLOOKUP($O232,Update!$B$2:$R$401,15,False)</f>
        <v>0.5</v>
      </c>
      <c r="AA232" s="127">
        <f>100*VLOOKUP($O232,Update!$B$2:$R$401,7,False)</f>
        <v>52.3255814</v>
      </c>
      <c r="AB232" s="127">
        <f>100*VLOOKUP($O232,Update!$B$2:$R$401,9,False)</f>
        <v>66.66666667</v>
      </c>
      <c r="AC232" s="127">
        <f>VLOOKUP($O232,Update!$B$2:$Q$401,16,False)</f>
        <v>1.5</v>
      </c>
      <c r="AD232" s="127">
        <f>VLOOKUP($O232,'NO USAR1'!$A$4:$L$403,2,False)*$U$19</f>
        <v>-0.9027396259</v>
      </c>
      <c r="AE232" s="127">
        <f>VLOOKUP($O232,'NO USAR1'!$A$4:$L$403,3,False)*$V$19</f>
        <v>-0.6457219034</v>
      </c>
      <c r="AF232" s="127">
        <f>VLOOKUP($O232,'NO USAR1'!$A$4:$L$403,4,False)*$W$19</f>
        <v>-0.7925406433</v>
      </c>
      <c r="AG232" s="127">
        <f>VLOOKUP($O232,'NO USAR1'!$A$4:$L$403,5,False)*$X$19</f>
        <v>-1.093492753</v>
      </c>
      <c r="AH232" s="127">
        <f>VLOOKUP($O232,'NO USAR1'!$A$4:$L$403,6,False)*$Y$19</f>
        <v>-0.6425203744</v>
      </c>
      <c r="AI232" s="127">
        <f>VLOOKUP($O232,'NO USAR1'!$A$4:$L$403,7,False)*$Z$19</f>
        <v>-0.2643825572</v>
      </c>
      <c r="AJ232" s="127">
        <f>VLOOKUP($O232,'NO USAR1'!$A$4:$L$403,8,False)*$AA$19</f>
        <v>0.2342677244</v>
      </c>
      <c r="AK232" s="132">
        <f>VLOOKUP($O232,'NO USAR1'!$A$4:$L$403,10,False)*$AB$19</f>
        <v>-0.9194906691</v>
      </c>
      <c r="AL232" s="127">
        <f>VLOOKUP($O232,'NO USAR1'!$A$4:$L$403,12,False)*$AC$19</f>
        <v>0.1535754731</v>
      </c>
      <c r="AM232" s="133">
        <f t="shared" si="2"/>
        <v>-1.093492753</v>
      </c>
      <c r="AN232" s="133">
        <f t="shared" si="3"/>
        <v>-2.012983422</v>
      </c>
    </row>
    <row r="233">
      <c r="A233" s="118" t="str">
        <f>IF(Update!B231="",ROW(Update!B231),Update!B231)</f>
        <v>Cody Martin</v>
      </c>
      <c r="B233" s="119">
        <f>IF(TYPE($A233)=1,"",(Update!$L231-B$1)/B$2)</f>
        <v>-1.863339975</v>
      </c>
      <c r="C233" s="119">
        <f>IF(TYPE($A233)=1,"",(Update!$K231-C$1)/C$2)</f>
        <v>-0.9101640675</v>
      </c>
      <c r="D233" s="119">
        <f>IF(TYPE($A233)=1,"",(Update!$M231-D$1)/D$2)</f>
        <v>-1.168878972</v>
      </c>
      <c r="E233" s="119">
        <f>IF(TYPE($A233)=1,"",(Update!$N231-E$1)/E$2)</f>
        <v>-0.8549867017</v>
      </c>
      <c r="F233" s="119">
        <f>IF(TYPE($A233)=1,"",(Update!$O231-F$1)/F$2)</f>
        <v>0.01661332578</v>
      </c>
      <c r="G233" s="119">
        <f>IF(TYPE($A233)=1,"",(Update!$P231-G$1)/G$2)</f>
        <v>-0.5652834241</v>
      </c>
      <c r="H233" s="119">
        <f>IF(TYPE($A233)=1,"",(Update!$H231-H$1)/H$2*I233/$I$1)</f>
        <v>-0.1996865966</v>
      </c>
      <c r="I233" s="119">
        <f>IF(TYPE($A233)=1,"",IF(Update!H231=0,0,Update!G231/Update!H231))</f>
        <v>5</v>
      </c>
      <c r="J233" s="120">
        <f>IF(TYPE($A233)=1,"",(Update!$J231-J$1)/J$2*K233/$K$1)</f>
        <v>-0.148589881</v>
      </c>
      <c r="K233" s="121">
        <f>IF(TYPE($A233)=1,"",IF(Update!J231=0,0,Update!I231/Update!J231))</f>
        <v>1.2</v>
      </c>
      <c r="L233" s="119">
        <f>IF(TYPE($A233)=1,"",-(Update!$Q231-L$1)/L$2)</f>
        <v>1.607782042</v>
      </c>
      <c r="N233" s="33">
        <v>213.0</v>
      </c>
      <c r="O233" s="130" t="str">
        <f>IF(Update!B214="",ROW(Update!B214),Update!B214)</f>
        <v>Jalen Johnson</v>
      </c>
      <c r="P233" s="131">
        <f>Update!E214</f>
        <v>72</v>
      </c>
      <c r="Q233" s="131" t="str">
        <f>IF(Update!C214="",ROW(Update!N229),Update!C214)</f>
        <v>SF,PF</v>
      </c>
      <c r="R233" s="127">
        <f>VLOOKUP($O233,'NO USAR1'!$A$4:$L$403,2,False)+VLOOKUP($O233,'NO USAR1'!$A$4:$L$403,3,False)+VLOOKUP($O233,'NO USAR1'!$A$4:$L$403,4,False)+VLOOKUP($O233,'NO USAR1'!$A$4:$L$403,5,False)+VLOOKUP($O233,'NO USAR1'!$A$4:$L$403,6,False)+VLOOKUP($O233,'NO USAR1'!$A$4:$L$403,7,False)+VLOOKUP($O233,'NO USAR1'!$A$4:$L$403,8,False)+VLOOKUP($O233,'NO USAR1'!$A$4:$L$403,10,False)+VLOOKUP($O233,'NO USAR1'!$A$4:$L$403,12,False)*0</f>
        <v>-5.61506958</v>
      </c>
      <c r="S233" s="127">
        <f>VLOOKUP($O233,'NO USAR1'!$A$4:$L$403,2,False)*$U$19+VLOOKUP($O233,'NO USAR1'!$A$4:$L$403,3,False)*$V$19+VLOOKUP($O233,'NO USAR1'!$A$4:$L$403,4,False)*$W$19+VLOOKUP($O233,'NO USAR1'!$A$4:$L$403,5,False)*$X$19+VLOOKUP($O233,'NO USAR1'!$A$4:$L$403,6,False)*$Y$19+VLOOKUP($O233,'NO USAR1'!$A$4:$L$403,7,False)*$Z$19+VLOOKUP($O233,'NO USAR1'!$A$4:$L$403,8,False)*$AA$19+VLOOKUP($O233,'NO USAR1'!$A$4:$L$403,10,False)*$AB$19+VLOOKUP($O233,'NO USAR1'!$A$4:$L$403,12,False)*$AC$19+IF(Projections!$K$3,-AN233, IF(Projections!$J$3,-AM233,0))</f>
        <v>-3.261923356</v>
      </c>
      <c r="T233" s="127">
        <f t="shared" si="1"/>
        <v>2.353146224</v>
      </c>
      <c r="U233" s="127">
        <f>VLOOKUP($O233,Update!$B$2:$R$401,11,False)</f>
        <v>7.9</v>
      </c>
      <c r="V233" s="122">
        <f>VLOOKUP($O233,Update!$B$2:$R$401,10,False)</f>
        <v>0.6</v>
      </c>
      <c r="W233" s="127">
        <f>VLOOKUP($O233,Update!$B$2:$R$401,12,False)</f>
        <v>5.4</v>
      </c>
      <c r="X233" s="127">
        <f>VLOOKUP($O233,Update!$B$2:$R$401,13,False)</f>
        <v>1.5</v>
      </c>
      <c r="Y233" s="127">
        <f>VLOOKUP($O233,Update!$B$2:$R$401,14,False)</f>
        <v>0.7</v>
      </c>
      <c r="Z233" s="132">
        <f>VLOOKUP($O233,Update!$B$2:$R$401,15,False)</f>
        <v>0.6</v>
      </c>
      <c r="AA233" s="127">
        <f>100*VLOOKUP($O233,Update!$B$2:$R$401,7,False)</f>
        <v>50</v>
      </c>
      <c r="AB233" s="127">
        <f>100*VLOOKUP($O233,Update!$B$2:$R$401,9,False)</f>
        <v>66.66666667</v>
      </c>
      <c r="AC233" s="127">
        <f>VLOOKUP($O233,Update!$B$2:$Q$401,16,False)</f>
        <v>0.9</v>
      </c>
      <c r="AD233" s="127">
        <f>VLOOKUP($O233,'NO USAR1'!$A$4:$L$403,2,False)*$U$19</f>
        <v>-1.576845134</v>
      </c>
      <c r="AE233" s="127">
        <f>VLOOKUP($O233,'NO USAR1'!$A$4:$L$403,3,False)*$V$19</f>
        <v>-0.9058605394</v>
      </c>
      <c r="AF233" s="127">
        <f>VLOOKUP($O233,'NO USAR1'!$A$4:$L$403,4,False)*$W$19</f>
        <v>-0.2907562051</v>
      </c>
      <c r="AG233" s="127">
        <f>VLOOKUP($O233,'NO USAR1'!$A$4:$L$403,5,False)*$X$19</f>
        <v>-1.195497674</v>
      </c>
      <c r="AH233" s="127">
        <f>VLOOKUP($O233,'NO USAR1'!$A$4:$L$403,6,False)*$Y$19</f>
        <v>-0.6425203744</v>
      </c>
      <c r="AI233" s="127">
        <f>VLOOKUP($O233,'NO USAR1'!$A$4:$L$403,7,False)*$Z$19</f>
        <v>-0.1330667175</v>
      </c>
      <c r="AJ233" s="127">
        <f>VLOOKUP($O233,'NO USAR1'!$A$4:$L$403,8,False)*$AA$19</f>
        <v>0.02567048819</v>
      </c>
      <c r="AK233" s="132">
        <f>VLOOKUP($O233,'NO USAR1'!$A$4:$L$403,10,False)*$AB$19</f>
        <v>-0.4597453346</v>
      </c>
      <c r="AL233" s="127">
        <f>VLOOKUP($O233,'NO USAR1'!$A$4:$L$403,12,False)*$AC$19</f>
        <v>0.3398530011</v>
      </c>
      <c r="AM233" s="133">
        <f t="shared" si="2"/>
        <v>-1.576845134</v>
      </c>
      <c r="AN233" s="133">
        <f t="shared" si="3"/>
        <v>-2.772342808</v>
      </c>
    </row>
    <row r="234">
      <c r="A234" s="118" t="str">
        <f>IF(Update!B232="",ROW(Update!B232),Update!B232)</f>
        <v>Keita Bates-Diop</v>
      </c>
      <c r="B234" s="119">
        <f>IF(TYPE($A234)=1,"",(Update!$L232-B$1)/B$2)</f>
        <v>-1.492581945</v>
      </c>
      <c r="C234" s="119">
        <f>IF(TYPE($A234)=1,"",(Update!$K232-C$1)/C$2)</f>
        <v>-1.00651171</v>
      </c>
      <c r="D234" s="119">
        <f>IF(TYPE($A234)=1,"",(Update!$M232-D$1)/D$2)</f>
        <v>-0.8343560132</v>
      </c>
      <c r="E234" s="119">
        <f>IF(TYPE($A234)=1,"",(Update!$N232-E$1)/E$2)</f>
        <v>-1.225913687</v>
      </c>
      <c r="F234" s="119">
        <f>IF(TYPE($A234)=1,"",(Update!$O232-F$1)/F$2)</f>
        <v>-1.229386107</v>
      </c>
      <c r="G234" s="119">
        <f>IF(TYPE($A234)=1,"",(Update!$P232-G$1)/G$2)</f>
        <v>-0.7528774808</v>
      </c>
      <c r="H234" s="119">
        <f>IF(TYPE($A234)=1,"",(Update!$H232-H$1)/H$2*I234/$I$1)</f>
        <v>0.1386164315</v>
      </c>
      <c r="I234" s="119">
        <f>IF(TYPE($A234)=1,"",IF(Update!H232=0,0,Update!G232/Update!H232))</f>
        <v>6.2</v>
      </c>
      <c r="J234" s="120">
        <f>IF(TYPE($A234)=1,"",(Update!$J232-J$1)/J$2*K234/$K$1)</f>
        <v>-0.06730709467</v>
      </c>
      <c r="K234" s="121">
        <f>IF(TYPE($A234)=1,"",IF(Update!J232=0,0,Update!I232/Update!J232))</f>
        <v>1.8</v>
      </c>
      <c r="L234" s="119">
        <f>IF(TYPE($A234)=1,"",-(Update!$Q232-L$1)/L$2)</f>
        <v>1.359412004</v>
      </c>
      <c r="N234" s="124">
        <v>214.0</v>
      </c>
      <c r="O234" s="130" t="str">
        <f>IF(Update!B230="",ROW(Update!B230),Update!B230)</f>
        <v>Kenrich Williams</v>
      </c>
      <c r="P234" s="131">
        <f>Update!E230</f>
        <v>50</v>
      </c>
      <c r="Q234" s="131" t="str">
        <f>IF(Update!C230="",ROW(Update!N245),Update!C230)</f>
        <v>SF,PF</v>
      </c>
      <c r="R234" s="127">
        <f>VLOOKUP($O234,'NO USAR1'!$A$4:$L$403,2,False)+VLOOKUP($O234,'NO USAR1'!$A$4:$L$403,3,False)+VLOOKUP($O234,'NO USAR1'!$A$4:$L$403,4,False)+VLOOKUP($O234,'NO USAR1'!$A$4:$L$403,5,False)+VLOOKUP($O234,'NO USAR1'!$A$4:$L$403,6,False)+VLOOKUP($O234,'NO USAR1'!$A$4:$L$403,7,False)+VLOOKUP($O234,'NO USAR1'!$A$4:$L$403,8,False)+VLOOKUP($O234,'NO USAR1'!$A$4:$L$403,10,False)+VLOOKUP($O234,'NO USAR1'!$A$4:$L$403,12,False)*0</f>
        <v>-5.621097769</v>
      </c>
      <c r="S234" s="127">
        <f>VLOOKUP($O234,'NO USAR1'!$A$4:$L$403,2,False)*$U$19+VLOOKUP($O234,'NO USAR1'!$A$4:$L$403,3,False)*$V$19+VLOOKUP($O234,'NO USAR1'!$A$4:$L$403,4,False)*$W$19+VLOOKUP($O234,'NO USAR1'!$A$4:$L$403,5,False)*$X$19+VLOOKUP($O234,'NO USAR1'!$A$4:$L$403,6,False)*$Y$19+VLOOKUP($O234,'NO USAR1'!$A$4:$L$403,7,False)*$Z$19+VLOOKUP($O234,'NO USAR1'!$A$4:$L$403,8,False)*$AA$19+VLOOKUP($O234,'NO USAR1'!$A$4:$L$403,10,False)*$AB$19+VLOOKUP($O234,'NO USAR1'!$A$4:$L$403,12,False)*$AC$19+IF(Projections!$K$3,-AN234, IF(Projections!$J$3,-AM234,0))</f>
        <v>-3.161163227</v>
      </c>
      <c r="T234" s="127">
        <f t="shared" si="1"/>
        <v>2.459934541</v>
      </c>
      <c r="U234" s="127">
        <f>VLOOKUP($O234,Update!$B$2:$R$401,11,False)</f>
        <v>7.8</v>
      </c>
      <c r="V234" s="122">
        <f>VLOOKUP($O234,Update!$B$2:$R$401,10,False)</f>
        <v>0.9</v>
      </c>
      <c r="W234" s="127">
        <f>VLOOKUP($O234,Update!$B$2:$R$401,12,False)</f>
        <v>4.7</v>
      </c>
      <c r="X234" s="127">
        <f>VLOOKUP($O234,Update!$B$2:$R$401,13,False)</f>
        <v>2.1</v>
      </c>
      <c r="Y234" s="127">
        <f>VLOOKUP($O234,Update!$B$2:$R$401,14,False)</f>
        <v>0.9</v>
      </c>
      <c r="Z234" s="132">
        <f>VLOOKUP($O234,Update!$B$2:$R$401,15,False)</f>
        <v>0.2</v>
      </c>
      <c r="AA234" s="127">
        <f>100*VLOOKUP($O234,Update!$B$2:$R$401,7,False)</f>
        <v>49.23076923</v>
      </c>
      <c r="AB234" s="127">
        <f>100*VLOOKUP($O234,Update!$B$2:$R$401,9,False)</f>
        <v>55.55555556</v>
      </c>
      <c r="AC234" s="127">
        <f>VLOOKUP($O234,Update!$B$2:$Q$401,16,False)</f>
        <v>0.8</v>
      </c>
      <c r="AD234" s="127">
        <f>VLOOKUP($O234,'NO USAR1'!$A$4:$L$403,2,False)*$U$19</f>
        <v>-1.593697771</v>
      </c>
      <c r="AE234" s="127">
        <f>VLOOKUP($O234,'NO USAR1'!$A$4:$L$403,3,False)*$V$19</f>
        <v>-0.6457219034</v>
      </c>
      <c r="AF234" s="127">
        <f>VLOOKUP($O234,'NO USAR1'!$A$4:$L$403,4,False)*$W$19</f>
        <v>-0.5834637941</v>
      </c>
      <c r="AG234" s="127">
        <f>VLOOKUP($O234,'NO USAR1'!$A$4:$L$403,5,False)*$X$19</f>
        <v>-0.8894829113</v>
      </c>
      <c r="AH234" s="127">
        <f>VLOOKUP($O234,'NO USAR1'!$A$4:$L$403,6,False)*$Y$19</f>
        <v>-0.2064205728</v>
      </c>
      <c r="AI234" s="127">
        <f>VLOOKUP($O234,'NO USAR1'!$A$4:$L$403,7,False)*$Z$19</f>
        <v>-0.6583300762</v>
      </c>
      <c r="AJ234" s="127">
        <f>VLOOKUP($O234,'NO USAR1'!$A$4:$L$403,8,False)*$AA$19</f>
        <v>-0.02387166189</v>
      </c>
      <c r="AK234" s="132">
        <f>VLOOKUP($O234,'NO USAR1'!$A$4:$L$403,10,False)*$AB$19</f>
        <v>-0.5247715636</v>
      </c>
      <c r="AL234" s="127">
        <f>VLOOKUP($O234,'NO USAR1'!$A$4:$L$403,12,False)*$AC$19</f>
        <v>0.3708992557</v>
      </c>
      <c r="AM234" s="133">
        <f t="shared" si="2"/>
        <v>-1.593697771</v>
      </c>
      <c r="AN234" s="133">
        <f t="shared" si="3"/>
        <v>-2.483180683</v>
      </c>
    </row>
    <row r="235">
      <c r="A235" s="118" t="str">
        <f>IF(Update!B233="",ROW(Update!B233),Update!B233)</f>
        <v>Dominick Barlow</v>
      </c>
      <c r="B235" s="119">
        <f>IF(TYPE($A235)=1,"",(Update!$L233-B$1)/B$2)</f>
        <v>-1.964455801</v>
      </c>
      <c r="C235" s="119">
        <f>IF(TYPE($A235)=1,"",(Update!$K233-C$1)/C$2)</f>
        <v>-1.488249925</v>
      </c>
      <c r="D235" s="119">
        <f>IF(TYPE($A235)=1,"",(Update!$M233-D$1)/D$2)</f>
        <v>-0.8343560132</v>
      </c>
      <c r="E235" s="119">
        <f>IF(TYPE($A235)=1,"",(Update!$N233-E$1)/E$2)</f>
        <v>-1.225913687</v>
      </c>
      <c r="F235" s="119">
        <f>IF(TYPE($A235)=1,"",(Update!$O233-F$1)/F$2)</f>
        <v>-1.540885966</v>
      </c>
      <c r="G235" s="119">
        <f>IF(TYPE($A235)=1,"",(Update!$P233-G$1)/G$2)</f>
        <v>0.3726868593</v>
      </c>
      <c r="H235" s="119">
        <f>IF(TYPE($A235)=1,"",(Update!$H233-H$1)/H$2*I235/$I$1)</f>
        <v>0.1856412374</v>
      </c>
      <c r="I235" s="119">
        <f>IF(TYPE($A235)=1,"",IF(Update!H233=0,0,Update!G233/Update!H233))</f>
        <v>4.3</v>
      </c>
      <c r="J235" s="120">
        <f>IF(TYPE($A235)=1,"",(Update!$J233-J$1)/J$2*K235/$K$1)</f>
        <v>-0.148589881</v>
      </c>
      <c r="K235" s="121">
        <f>IF(TYPE($A235)=1,"",IF(Update!J233=0,0,Update!I233/Update!J233))</f>
        <v>1.2</v>
      </c>
      <c r="L235" s="119">
        <f>IF(TYPE($A235)=1,"",-(Update!$Q233-L$1)/L$2)</f>
        <v>1.483597023</v>
      </c>
      <c r="N235" s="124">
        <v>215.0</v>
      </c>
      <c r="O235" s="130" t="str">
        <f>IF(Update!B231="",ROW(Update!B231),Update!B231)</f>
        <v>Cody Martin</v>
      </c>
      <c r="P235" s="131">
        <f>Update!E231</f>
        <v>65</v>
      </c>
      <c r="Q235" s="131" t="str">
        <f>IF(Update!C231="",ROW(Update!N246),Update!C231)</f>
        <v>SG,SF</v>
      </c>
      <c r="R235" s="127">
        <f>VLOOKUP($O235,'NO USAR1'!$A$4:$L$403,2,False)+VLOOKUP($O235,'NO USAR1'!$A$4:$L$403,3,False)+VLOOKUP($O235,'NO USAR1'!$A$4:$L$403,4,False)+VLOOKUP($O235,'NO USAR1'!$A$4:$L$403,5,False)+VLOOKUP($O235,'NO USAR1'!$A$4:$L$403,6,False)+VLOOKUP($O235,'NO USAR1'!$A$4:$L$403,7,False)+VLOOKUP($O235,'NO USAR1'!$A$4:$L$403,8,False)+VLOOKUP($O235,'NO USAR1'!$A$4:$L$403,10,False)+VLOOKUP($O235,'NO USAR1'!$A$4:$L$403,12,False)*0</f>
        <v>-5.694316292</v>
      </c>
      <c r="S235" s="127">
        <f>VLOOKUP($O235,'NO USAR1'!$A$4:$L$403,2,False)*$U$19+VLOOKUP($O235,'NO USAR1'!$A$4:$L$403,3,False)*$V$19+VLOOKUP($O235,'NO USAR1'!$A$4:$L$403,4,False)*$W$19+VLOOKUP($O235,'NO USAR1'!$A$4:$L$403,5,False)*$X$19+VLOOKUP($O235,'NO USAR1'!$A$4:$L$403,6,False)*$Y$19+VLOOKUP($O235,'NO USAR1'!$A$4:$L$403,7,False)*$Z$19+VLOOKUP($O235,'NO USAR1'!$A$4:$L$403,8,False)*$AA$19+VLOOKUP($O235,'NO USAR1'!$A$4:$L$403,10,False)*$AB$19+VLOOKUP($O235,'NO USAR1'!$A$4:$L$403,12,False)*$AC$19+IF(Projections!$K$3,-AN235, IF(Projections!$J$3,-AM235,0))</f>
        <v>-3.209225405</v>
      </c>
      <c r="T235" s="127">
        <f t="shared" si="1"/>
        <v>2.485090887</v>
      </c>
      <c r="U235" s="127">
        <f>VLOOKUP($O235,Update!$B$2:$R$401,11,False)</f>
        <v>6.2</v>
      </c>
      <c r="V235" s="122">
        <f>VLOOKUP($O235,Update!$B$2:$R$401,10,False)</f>
        <v>0.7</v>
      </c>
      <c r="W235" s="127">
        <f>VLOOKUP($O235,Update!$B$2:$R$401,12,False)</f>
        <v>3.3</v>
      </c>
      <c r="X235" s="127">
        <f>VLOOKUP($O235,Update!$B$2:$R$401,13,False)</f>
        <v>2</v>
      </c>
      <c r="Y235" s="127">
        <f>VLOOKUP($O235,Update!$B$2:$R$401,14,False)</f>
        <v>1</v>
      </c>
      <c r="Z235" s="132">
        <f>VLOOKUP($O235,Update!$B$2:$R$401,15,False)</f>
        <v>0.4</v>
      </c>
      <c r="AA235" s="127">
        <f>100*VLOOKUP($O235,Update!$B$2:$R$401,7,False)</f>
        <v>46</v>
      </c>
      <c r="AB235" s="127">
        <f>100*VLOOKUP($O235,Update!$B$2:$R$401,9,False)</f>
        <v>75</v>
      </c>
      <c r="AC235" s="127">
        <f>VLOOKUP($O235,Update!$B$2:$Q$401,16,False)</f>
        <v>0.7</v>
      </c>
      <c r="AD235" s="127">
        <f>VLOOKUP($O235,'NO USAR1'!$A$4:$L$403,2,False)*$U$19</f>
        <v>-1.863339975</v>
      </c>
      <c r="AE235" s="127">
        <f>VLOOKUP($O235,'NO USAR1'!$A$4:$L$403,3,False)*$V$19</f>
        <v>-0.8191476607</v>
      </c>
      <c r="AF235" s="127">
        <f>VLOOKUP($O235,'NO USAR1'!$A$4:$L$403,4,False)*$W$19</f>
        <v>-1.168878972</v>
      </c>
      <c r="AG235" s="127">
        <f>VLOOKUP($O235,'NO USAR1'!$A$4:$L$403,5,False)*$X$19</f>
        <v>-0.9404853718</v>
      </c>
      <c r="AH235" s="127">
        <f>VLOOKUP($O235,'NO USAR1'!$A$4:$L$403,6,False)*$Y$19</f>
        <v>0.01162932804</v>
      </c>
      <c r="AI235" s="127">
        <f>VLOOKUP($O235,'NO USAR1'!$A$4:$L$403,7,False)*$Z$19</f>
        <v>-0.3956983969</v>
      </c>
      <c r="AJ235" s="127">
        <f>VLOOKUP($O235,'NO USAR1'!$A$4:$L$403,8,False)*$AA$19</f>
        <v>-0.1797179369</v>
      </c>
      <c r="AK235" s="132">
        <f>VLOOKUP($O235,'NO USAR1'!$A$4:$L$403,10,False)*$AB$19</f>
        <v>-0.1188719048</v>
      </c>
      <c r="AL235" s="127">
        <f>VLOOKUP($O235,'NO USAR1'!$A$4:$L$403,12,False)*$AC$19</f>
        <v>0.4019455104</v>
      </c>
      <c r="AM235" s="133">
        <f t="shared" si="2"/>
        <v>-1.863339975</v>
      </c>
      <c r="AN235" s="133">
        <f t="shared" si="3"/>
        <v>-3.032218947</v>
      </c>
    </row>
    <row r="236">
      <c r="A236" s="118" t="str">
        <f>IF(Update!B234="",ROW(Update!B234),Update!B234)</f>
        <v>Anthony Black</v>
      </c>
      <c r="B236" s="119">
        <f>IF(TYPE($A236)=1,"",(Update!$L234-B$1)/B$2)</f>
        <v>-1.273497655</v>
      </c>
      <c r="C236" s="119">
        <f>IF(TYPE($A236)=1,"",(Update!$K234-C$1)/C$2)</f>
        <v>-1.295554639</v>
      </c>
      <c r="D236" s="119">
        <f>IF(TYPE($A236)=1,"",(Update!$M234-D$1)/D$2)</f>
        <v>-1.377955821</v>
      </c>
      <c r="E236" s="119">
        <f>IF(TYPE($A236)=1,"",(Update!$N234-E$1)/E$2)</f>
        <v>-0.2522303502</v>
      </c>
      <c r="F236" s="119">
        <f>IF(TYPE($A236)=1,"",(Update!$O234-F$1)/F$2)</f>
        <v>0.3281131841</v>
      </c>
      <c r="G236" s="119">
        <f>IF(TYPE($A236)=1,"",(Update!$P234-G$1)/G$2)</f>
        <v>-0.7528774808</v>
      </c>
      <c r="H236" s="119">
        <f>IF(TYPE($A236)=1,"",(Update!$H234-H$1)/H$2*I236/$I$1)</f>
        <v>-0.459768045</v>
      </c>
      <c r="I236" s="119">
        <f>IF(TYPE($A236)=1,"",IF(Update!H234=0,0,Update!G234/Update!H234))</f>
        <v>8.9</v>
      </c>
      <c r="J236" s="120">
        <f>IF(TYPE($A236)=1,"",(Update!$J234-J$1)/J$2*K236/$K$1)</f>
        <v>-0.6242116285</v>
      </c>
      <c r="K236" s="121">
        <f>IF(TYPE($A236)=1,"",IF(Update!J234=0,0,Update!I234/Update!J234))</f>
        <v>1.9</v>
      </c>
      <c r="L236" s="119">
        <f>IF(TYPE($A236)=1,"",-(Update!$Q234-L$1)/L$2)</f>
        <v>0.2417468363</v>
      </c>
      <c r="N236" s="33">
        <v>216.0</v>
      </c>
      <c r="O236" s="130" t="str">
        <f>IF(Update!B234="",ROW(Update!B234),Update!B234)</f>
        <v>Anthony Black</v>
      </c>
      <c r="P236" s="131">
        <f>Update!E234</f>
        <v>72</v>
      </c>
      <c r="Q236" s="131" t="str">
        <f>IF(Update!C234="",ROW(Update!N249),Update!C234)</f>
        <v>PG,SG</v>
      </c>
      <c r="R236" s="127">
        <f>VLOOKUP($O236,'NO USAR1'!$A$4:$L$403,2,False)+VLOOKUP($O236,'NO USAR1'!$A$4:$L$403,3,False)+VLOOKUP($O236,'NO USAR1'!$A$4:$L$403,4,False)+VLOOKUP($O236,'NO USAR1'!$A$4:$L$403,5,False)+VLOOKUP($O236,'NO USAR1'!$A$4:$L$403,6,False)+VLOOKUP($O236,'NO USAR1'!$A$4:$L$403,7,False)+VLOOKUP($O236,'NO USAR1'!$A$4:$L$403,8,False)+VLOOKUP($O236,'NO USAR1'!$A$4:$L$403,10,False)+VLOOKUP($O236,'NO USAR1'!$A$4:$L$403,12,False)*0</f>
        <v>-5.707982436</v>
      </c>
      <c r="S236" s="127">
        <f>VLOOKUP($O236,'NO USAR1'!$A$4:$L$403,2,False)*$U$19+VLOOKUP($O236,'NO USAR1'!$A$4:$L$403,3,False)*$V$19+VLOOKUP($O236,'NO USAR1'!$A$4:$L$403,4,False)*$W$19+VLOOKUP($O236,'NO USAR1'!$A$4:$L$403,5,False)*$X$19+VLOOKUP($O236,'NO USAR1'!$A$4:$L$403,6,False)*$Y$19+VLOOKUP($O236,'NO USAR1'!$A$4:$L$403,7,False)*$Z$19+VLOOKUP($O236,'NO USAR1'!$A$4:$L$403,8,False)*$AA$19+VLOOKUP($O236,'NO USAR1'!$A$4:$L$403,10,False)*$AB$19+VLOOKUP($O236,'NO USAR1'!$A$4:$L$403,12,False)*$AC$19+IF(Projections!$K$3,-AN236, IF(Projections!$J$3,-AM236,0))</f>
        <v>-3.867009058</v>
      </c>
      <c r="T236" s="127">
        <f t="shared" si="1"/>
        <v>1.840973379</v>
      </c>
      <c r="U236" s="127">
        <f>VLOOKUP($O236,Update!$B$2:$R$401,11,False)</f>
        <v>9.7</v>
      </c>
      <c r="V236" s="122">
        <f>VLOOKUP($O236,Update!$B$2:$R$401,10,False)</f>
        <v>0.3</v>
      </c>
      <c r="W236" s="127">
        <f>VLOOKUP($O236,Update!$B$2:$R$401,12,False)</f>
        <v>2.8</v>
      </c>
      <c r="X236" s="127">
        <f>VLOOKUP($O236,Update!$B$2:$R$401,13,False)</f>
        <v>3.3</v>
      </c>
      <c r="Y236" s="127">
        <f>VLOOKUP($O236,Update!$B$2:$R$401,14,False)</f>
        <v>1.1</v>
      </c>
      <c r="Z236" s="132">
        <f>VLOOKUP($O236,Update!$B$2:$R$401,15,False)</f>
        <v>0.3</v>
      </c>
      <c r="AA236" s="127">
        <f>100*VLOOKUP($O236,Update!$B$2:$R$401,7,False)</f>
        <v>44.94382022</v>
      </c>
      <c r="AB236" s="127">
        <f>100*VLOOKUP($O236,Update!$B$2:$R$401,9,False)</f>
        <v>68.42105263</v>
      </c>
      <c r="AC236" s="127">
        <f>VLOOKUP($O236,Update!$B$2:$Q$401,16,False)</f>
        <v>1.8</v>
      </c>
      <c r="AD236" s="127">
        <f>VLOOKUP($O236,'NO USAR1'!$A$4:$L$403,2,False)*$U$19</f>
        <v>-1.273497655</v>
      </c>
      <c r="AE236" s="127">
        <f>VLOOKUP($O236,'NO USAR1'!$A$4:$L$403,3,False)*$V$19</f>
        <v>-1.165999176</v>
      </c>
      <c r="AF236" s="127">
        <f>VLOOKUP($O236,'NO USAR1'!$A$4:$L$403,4,False)*$W$19</f>
        <v>-1.377955821</v>
      </c>
      <c r="AG236" s="127">
        <f>VLOOKUP($O236,'NO USAR1'!$A$4:$L$403,5,False)*$X$19</f>
        <v>-0.2774533852</v>
      </c>
      <c r="AH236" s="127">
        <f>VLOOKUP($O236,'NO USAR1'!$A$4:$L$403,6,False)*$Y$19</f>
        <v>0.2296792288</v>
      </c>
      <c r="AI236" s="127">
        <f>VLOOKUP($O236,'NO USAR1'!$A$4:$L$403,7,False)*$Z$19</f>
        <v>-0.5270142365</v>
      </c>
      <c r="AJ236" s="127">
        <f>VLOOKUP($O236,'NO USAR1'!$A$4:$L$403,8,False)*$AA$19</f>
        <v>-0.4137912405</v>
      </c>
      <c r="AK236" s="132">
        <f>VLOOKUP($O236,'NO USAR1'!$A$4:$L$403,10,False)*$AB$19</f>
        <v>-0.4993693028</v>
      </c>
      <c r="AL236" s="127">
        <f>VLOOKUP($O236,'NO USAR1'!$A$4:$L$403,12,False)*$AC$19</f>
        <v>0.06043670908</v>
      </c>
      <c r="AM236" s="133">
        <f t="shared" si="2"/>
        <v>-1.377955821</v>
      </c>
      <c r="AN236" s="133">
        <f t="shared" si="3"/>
        <v>-2.651453477</v>
      </c>
    </row>
    <row r="237">
      <c r="A237" s="118" t="str">
        <f>IF(Update!B235="",ROW(Update!B235),Update!B235)</f>
        <v>Dereck Lively II</v>
      </c>
      <c r="B237" s="119">
        <f>IF(TYPE($A237)=1,"",(Update!$L235-B$1)/B$2)</f>
        <v>-2.149834815</v>
      </c>
      <c r="C237" s="119">
        <f>IF(TYPE($A237)=1,"",(Update!$K235-C$1)/C$2)</f>
        <v>-1.584597568</v>
      </c>
      <c r="D237" s="119">
        <f>IF(TYPE($A237)=1,"",(Update!$M235-D$1)/D$2)</f>
        <v>-0.6252791639</v>
      </c>
      <c r="E237" s="119">
        <f>IF(TYPE($A237)=1,"",(Update!$N235-E$1)/E$2)</f>
        <v>-1.365011307</v>
      </c>
      <c r="F237" s="119">
        <f>IF(TYPE($A237)=1,"",(Update!$O235-F$1)/F$2)</f>
        <v>-1.852385824</v>
      </c>
      <c r="G237" s="119">
        <f>IF(TYPE($A237)=1,"",(Update!$P235-G$1)/G$2)</f>
        <v>0.3726868593</v>
      </c>
      <c r="H237" s="119">
        <f>IF(TYPE($A237)=1,"",(Update!$H235-H$1)/H$2*I237/$I$1)</f>
        <v>0.4582013953</v>
      </c>
      <c r="I237" s="119">
        <f>IF(TYPE($A237)=1,"",IF(Update!H235=0,0,Update!G235/Update!H235))</f>
        <v>3.2</v>
      </c>
      <c r="J237" s="120">
        <f>IF(TYPE($A237)=1,"",(Update!$J235-J$1)/J$2*K237/$K$1)</f>
        <v>-0.4102153742</v>
      </c>
      <c r="K237" s="121">
        <f>IF(TYPE($A237)=1,"",IF(Update!J235=0,0,Update!I235/Update!J235))</f>
        <v>0.8</v>
      </c>
      <c r="L237" s="119">
        <f>IF(TYPE($A237)=1,"",-(Update!$Q235-L$1)/L$2)</f>
        <v>1.856152079</v>
      </c>
      <c r="N237" s="33">
        <v>217.0</v>
      </c>
      <c r="O237" s="130" t="str">
        <f>IF(Update!B188="",ROW(Update!B188),Update!B188)</f>
        <v>Isaiah Jackson</v>
      </c>
      <c r="P237" s="131">
        <f>Update!E188</f>
        <v>67</v>
      </c>
      <c r="Q237" s="131" t="str">
        <f>IF(Update!C188="",ROW(Update!N203),Update!C188)</f>
        <v>PF,C</v>
      </c>
      <c r="R237" s="127">
        <f>VLOOKUP($O237,'NO USAR1'!$A$4:$L$403,2,False)+VLOOKUP($O237,'NO USAR1'!$A$4:$L$403,3,False)+VLOOKUP($O237,'NO USAR1'!$A$4:$L$403,4,False)+VLOOKUP($O237,'NO USAR1'!$A$4:$L$403,5,False)+VLOOKUP($O237,'NO USAR1'!$A$4:$L$403,6,False)+VLOOKUP($O237,'NO USAR1'!$A$4:$L$403,7,False)+VLOOKUP($O237,'NO USAR1'!$A$4:$L$403,8,False)+VLOOKUP($O237,'NO USAR1'!$A$4:$L$403,10,False)+VLOOKUP($O237,'NO USAR1'!$A$4:$L$403,12,False)*0</f>
        <v>-5.719713915</v>
      </c>
      <c r="S237" s="127">
        <f>VLOOKUP($O237,'NO USAR1'!$A$4:$L$403,2,False)*$U$19+VLOOKUP($O237,'NO USAR1'!$A$4:$L$403,3,False)*$V$19+VLOOKUP($O237,'NO USAR1'!$A$4:$L$403,4,False)*$W$19+VLOOKUP($O237,'NO USAR1'!$A$4:$L$403,5,False)*$X$19+VLOOKUP($O237,'NO USAR1'!$A$4:$L$403,6,False)*$Y$19+VLOOKUP($O237,'NO USAR1'!$A$4:$L$403,7,False)*$Z$19+VLOOKUP($O237,'NO USAR1'!$A$4:$L$403,8,False)*$AA$19+VLOOKUP($O237,'NO USAR1'!$A$4:$L$403,10,False)*$AB$19+VLOOKUP($O237,'NO USAR1'!$A$4:$L$403,12,False)*$AC$19+IF(Projections!$K$3,-AN237, IF(Projections!$J$3,-AM237,0))</f>
        <v>-3.646880753</v>
      </c>
      <c r="T237" s="127">
        <f t="shared" si="1"/>
        <v>2.072833161</v>
      </c>
      <c r="U237" s="127">
        <f>VLOOKUP($O237,Update!$B$2:$R$401,11,False)</f>
        <v>7.9</v>
      </c>
      <c r="V237" s="122">
        <f>VLOOKUP($O237,Update!$B$2:$R$401,10,False)</f>
        <v>0.1</v>
      </c>
      <c r="W237" s="127">
        <f>VLOOKUP($O237,Update!$B$2:$R$401,12,False)</f>
        <v>4.5</v>
      </c>
      <c r="X237" s="127">
        <f>VLOOKUP($O237,Update!$B$2:$R$401,13,False)</f>
        <v>0.6</v>
      </c>
      <c r="Y237" s="127">
        <f>VLOOKUP($O237,Update!$B$2:$R$401,14,False)</f>
        <v>0.6</v>
      </c>
      <c r="Z237" s="132">
        <f>VLOOKUP($O237,Update!$B$2:$R$401,15,False)</f>
        <v>1.5</v>
      </c>
      <c r="AA237" s="127">
        <f>100*VLOOKUP($O237,Update!$B$2:$R$401,7,False)</f>
        <v>56.36363636</v>
      </c>
      <c r="AB237" s="127">
        <f>100*VLOOKUP($O237,Update!$B$2:$R$401,9,False)</f>
        <v>64</v>
      </c>
      <c r="AC237" s="127">
        <f>VLOOKUP($O237,Update!$B$2:$Q$401,16,False)</f>
        <v>1</v>
      </c>
      <c r="AD237" s="127">
        <f>VLOOKUP($O237,'NO USAR1'!$A$4:$L$403,2,False)*$U$19</f>
        <v>-1.576845134</v>
      </c>
      <c r="AE237" s="127">
        <f>VLOOKUP($O237,'NO USAR1'!$A$4:$L$403,3,False)*$V$19</f>
        <v>-1.339424933</v>
      </c>
      <c r="AF237" s="127">
        <f>VLOOKUP($O237,'NO USAR1'!$A$4:$L$403,4,False)*$W$19</f>
        <v>-0.6670945338</v>
      </c>
      <c r="AG237" s="127">
        <f>VLOOKUP($O237,'NO USAR1'!$A$4:$L$403,5,False)*$X$19</f>
        <v>-1.654519819</v>
      </c>
      <c r="AH237" s="127">
        <f>VLOOKUP($O237,'NO USAR1'!$A$4:$L$403,6,False)*$Y$19</f>
        <v>-0.8605702752</v>
      </c>
      <c r="AI237" s="127">
        <f>VLOOKUP($O237,'NO USAR1'!$A$4:$L$403,7,False)*$Z$19</f>
        <v>1.04877584</v>
      </c>
      <c r="AJ237" s="127">
        <f>VLOOKUP($O237,'NO USAR1'!$A$4:$L$403,8,False)*$AA$19</f>
        <v>0.371663336</v>
      </c>
      <c r="AK237" s="132">
        <f>VLOOKUP($O237,'NO USAR1'!$A$4:$L$403,10,False)*$AB$19</f>
        <v>-0.9321917995</v>
      </c>
      <c r="AL237" s="127">
        <f>VLOOKUP($O237,'NO USAR1'!$A$4:$L$403,12,False)*$AC$19</f>
        <v>0.3088067464</v>
      </c>
      <c r="AM237" s="133">
        <f t="shared" si="2"/>
        <v>-1.654519819</v>
      </c>
      <c r="AN237" s="133">
        <f t="shared" si="3"/>
        <v>-3.231364953</v>
      </c>
    </row>
    <row r="238">
      <c r="A238" s="118" t="str">
        <f>IF(Update!B236="",ROW(Update!B236),Update!B236)</f>
        <v>Jaden Hardy</v>
      </c>
      <c r="B238" s="119">
        <f>IF(TYPE($A238)=1,"",(Update!$L236-B$1)/B$2)</f>
        <v>-0.9701501767</v>
      </c>
      <c r="C238" s="119">
        <f>IF(TYPE($A238)=1,"",(Update!$K236-C$1)/C$2)</f>
        <v>0.05331236246</v>
      </c>
      <c r="D238" s="119">
        <f>IF(TYPE($A238)=1,"",(Update!$M236-D$1)/D$2)</f>
        <v>-1.545217301</v>
      </c>
      <c r="E238" s="119">
        <f>IF(TYPE($A238)=1,"",(Update!$N236-E$1)/E$2)</f>
        <v>-0.9477184481</v>
      </c>
      <c r="F238" s="119">
        <f>IF(TYPE($A238)=1,"",(Update!$O236-F$1)/F$2)</f>
        <v>-1.540885966</v>
      </c>
      <c r="G238" s="119">
        <f>IF(TYPE($A238)=1,"",(Update!$P236-G$1)/G$2)</f>
        <v>-0.9404715375</v>
      </c>
      <c r="H238" s="119">
        <f>IF(TYPE($A238)=1,"",(Update!$H236-H$1)/H$2*I238/$I$1)</f>
        <v>-0.5148148784</v>
      </c>
      <c r="I238" s="119">
        <f>IF(TYPE($A238)=1,"",IF(Update!H236=0,0,Update!G236/Update!H236))</f>
        <v>9</v>
      </c>
      <c r="J238" s="120">
        <f>IF(TYPE($A238)=1,"",(Update!$J236-J$1)/J$2*K238/$K$1)</f>
        <v>0.1943183986</v>
      </c>
      <c r="K238" s="121">
        <f>IF(TYPE($A238)=1,"",IF(Update!J236=0,0,Update!I236/Update!J236))</f>
        <v>2.2</v>
      </c>
      <c r="L238" s="119">
        <f>IF(TYPE($A238)=1,"",-(Update!$Q236-L$1)/L$2)</f>
        <v>0.8626719296</v>
      </c>
      <c r="N238" s="124">
        <v>218.0</v>
      </c>
      <c r="O238" s="130" t="str">
        <f>IF(Update!B224="",ROW(Update!B224),Update!B224)</f>
        <v>Jarace Walker</v>
      </c>
      <c r="P238" s="131">
        <f>Update!E224</f>
        <v>70</v>
      </c>
      <c r="Q238" s="131" t="str">
        <f>IF(Update!C224="",ROW(Update!N239),Update!C224)</f>
        <v>PF</v>
      </c>
      <c r="R238" s="127">
        <f>VLOOKUP($O238,'NO USAR1'!$A$4:$L$403,2,False)+VLOOKUP($O238,'NO USAR1'!$A$4:$L$403,3,False)+VLOOKUP($O238,'NO USAR1'!$A$4:$L$403,4,False)+VLOOKUP($O238,'NO USAR1'!$A$4:$L$403,5,False)+VLOOKUP($O238,'NO USAR1'!$A$4:$L$403,6,False)+VLOOKUP($O238,'NO USAR1'!$A$4:$L$403,7,False)+VLOOKUP($O238,'NO USAR1'!$A$4:$L$403,8,False)+VLOOKUP($O238,'NO USAR1'!$A$4:$L$403,10,False)+VLOOKUP($O238,'NO USAR1'!$A$4:$L$403,12,False)*0</f>
        <v>-5.764376962</v>
      </c>
      <c r="S238" s="127">
        <f>VLOOKUP($O238,'NO USAR1'!$A$4:$L$403,2,False)*$U$19+VLOOKUP($O238,'NO USAR1'!$A$4:$L$403,3,False)*$V$19+VLOOKUP($O238,'NO USAR1'!$A$4:$L$403,4,False)*$W$19+VLOOKUP($O238,'NO USAR1'!$A$4:$L$403,5,False)*$X$19+VLOOKUP($O238,'NO USAR1'!$A$4:$L$403,6,False)*$Y$19+VLOOKUP($O238,'NO USAR1'!$A$4:$L$403,7,False)*$Z$19+VLOOKUP($O238,'NO USAR1'!$A$4:$L$403,8,False)*$AA$19+VLOOKUP($O238,'NO USAR1'!$A$4:$L$403,10,False)*$AB$19+VLOOKUP($O238,'NO USAR1'!$A$4:$L$403,12,False)*$AC$19+IF(Projections!$K$3,-AN238, IF(Projections!$J$3,-AM238,0))</f>
        <v>-3.529667459</v>
      </c>
      <c r="T238" s="127">
        <f t="shared" si="1"/>
        <v>2.234709503</v>
      </c>
      <c r="U238" s="127">
        <f>VLOOKUP($O238,Update!$B$2:$R$401,11,False)</f>
        <v>10.4</v>
      </c>
      <c r="V238" s="122">
        <f>VLOOKUP($O238,Update!$B$2:$R$401,10,False)</f>
        <v>0.9</v>
      </c>
      <c r="W238" s="127">
        <f>VLOOKUP($O238,Update!$B$2:$R$401,12,False)</f>
        <v>6.7</v>
      </c>
      <c r="X238" s="127">
        <f>VLOOKUP($O238,Update!$B$2:$R$401,13,False)</f>
        <v>1.1</v>
      </c>
      <c r="Y238" s="127">
        <f>VLOOKUP($O238,Update!$B$2:$R$401,14,False)</f>
        <v>0.4</v>
      </c>
      <c r="Z238" s="132">
        <f>VLOOKUP($O238,Update!$B$2:$R$401,15,False)</f>
        <v>0.8</v>
      </c>
      <c r="AA238" s="127">
        <f>100*VLOOKUP($O238,Update!$B$2:$R$401,7,False)</f>
        <v>45.88235294</v>
      </c>
      <c r="AB238" s="127">
        <f>100*VLOOKUP($O238,Update!$B$2:$R$401,9,False)</f>
        <v>68</v>
      </c>
      <c r="AC238" s="127">
        <f>VLOOKUP($O238,Update!$B$2:$Q$401,16,False)</f>
        <v>1.4</v>
      </c>
      <c r="AD238" s="127">
        <f>VLOOKUP($O238,'NO USAR1'!$A$4:$L$403,2,False)*$U$19</f>
        <v>-1.155529191</v>
      </c>
      <c r="AE238" s="127">
        <f>VLOOKUP($O238,'NO USAR1'!$A$4:$L$403,3,False)*$V$19</f>
        <v>-0.6457219034</v>
      </c>
      <c r="AF238" s="127">
        <f>VLOOKUP($O238,'NO USAR1'!$A$4:$L$403,4,False)*$W$19</f>
        <v>0.2528436031</v>
      </c>
      <c r="AG238" s="127">
        <f>VLOOKUP($O238,'NO USAR1'!$A$4:$L$403,5,False)*$X$19</f>
        <v>-1.399507516</v>
      </c>
      <c r="AH238" s="127">
        <f>VLOOKUP($O238,'NO USAR1'!$A$4:$L$403,6,False)*$Y$19</f>
        <v>-1.296670077</v>
      </c>
      <c r="AI238" s="127">
        <f>VLOOKUP($O238,'NO USAR1'!$A$4:$L$403,7,False)*$Z$19</f>
        <v>0.1295649618</v>
      </c>
      <c r="AJ238" s="127">
        <f>VLOOKUP($O238,'NO USAR1'!$A$4:$L$403,8,False)*$AA$19</f>
        <v>-0.3155091431</v>
      </c>
      <c r="AK238" s="132">
        <f>VLOOKUP($O238,'NO USAR1'!$A$4:$L$403,10,False)*$AB$19</f>
        <v>-0.6832674366</v>
      </c>
      <c r="AL238" s="127">
        <f>VLOOKUP($O238,'NO USAR1'!$A$4:$L$403,12,False)*$AC$19</f>
        <v>0.1846217277</v>
      </c>
      <c r="AM238" s="133">
        <f t="shared" si="2"/>
        <v>-1.399507516</v>
      </c>
      <c r="AN238" s="133">
        <f t="shared" si="3"/>
        <v>-2.696177593</v>
      </c>
    </row>
    <row r="239">
      <c r="A239" s="118" t="str">
        <f>IF(Update!B237="",ROW(Update!B237),Update!B237)</f>
        <v>Christian Wood</v>
      </c>
      <c r="B239" s="119">
        <f>IF(TYPE($A239)=1,"",(Update!$L237-B$1)/B$2)</f>
        <v>-1.256645018</v>
      </c>
      <c r="C239" s="119">
        <f>IF(TYPE($A239)=1,"",(Update!$K237-C$1)/C$2)</f>
        <v>-0.6211211385</v>
      </c>
      <c r="D239" s="119">
        <f>IF(TYPE($A239)=1,"",(Update!$M237-D$1)/D$2)</f>
        <v>-0.4580176845</v>
      </c>
      <c r="E239" s="119">
        <f>IF(TYPE($A239)=1,"",(Update!$N237-E$1)/E$2)</f>
        <v>-1.225913687</v>
      </c>
      <c r="F239" s="119">
        <f>IF(TYPE($A239)=1,"",(Update!$O237-F$1)/F$2)</f>
        <v>-1.852385824</v>
      </c>
      <c r="G239" s="119">
        <f>IF(TYPE($A239)=1,"",(Update!$P237-G$1)/G$2)</f>
        <v>-0.1900953108</v>
      </c>
      <c r="H239" s="119">
        <f>IF(TYPE($A239)=1,"",(Update!$H237-H$1)/H$2*I239/$I$1)</f>
        <v>0.03119677384</v>
      </c>
      <c r="I239" s="119">
        <f>IF(TYPE($A239)=1,"",IF(Update!H237=0,0,Update!G237/Update!H237))</f>
        <v>7</v>
      </c>
      <c r="J239" s="120">
        <f>IF(TYPE($A239)=1,"",(Update!$J237-J$1)/J$2*K239/$K$1)</f>
        <v>-0.7886779225</v>
      </c>
      <c r="K239" s="121">
        <f>IF(TYPE($A239)=1,"",IF(Update!J237=0,0,Update!I237/Update!J237))</f>
        <v>2.6</v>
      </c>
      <c r="L239" s="119">
        <f>IF(TYPE($A239)=1,"",-(Update!$Q237-L$1)/L$2)</f>
        <v>1.111041967</v>
      </c>
      <c r="N239" s="124">
        <v>219.0</v>
      </c>
      <c r="O239" s="130" t="str">
        <f>IF(Update!B242="",ROW(Update!B242),Update!B242)</f>
        <v>Keyonte George</v>
      </c>
      <c r="P239" s="131">
        <f>Update!E242</f>
        <v>72</v>
      </c>
      <c r="Q239" s="131" t="str">
        <f>IF(Update!C242="",ROW(Update!N257),Update!C242)</f>
        <v>SG</v>
      </c>
      <c r="R239" s="127">
        <f>VLOOKUP($O239,'NO USAR1'!$A$4:$L$403,2,False)+VLOOKUP($O239,'NO USAR1'!$A$4:$L$403,3,False)+VLOOKUP($O239,'NO USAR1'!$A$4:$L$403,4,False)+VLOOKUP($O239,'NO USAR1'!$A$4:$L$403,5,False)+VLOOKUP($O239,'NO USAR1'!$A$4:$L$403,6,False)+VLOOKUP($O239,'NO USAR1'!$A$4:$L$403,7,False)+VLOOKUP($O239,'NO USAR1'!$A$4:$L$403,8,False)+VLOOKUP($O239,'NO USAR1'!$A$4:$L$403,10,False)+VLOOKUP($O239,'NO USAR1'!$A$4:$L$403,12,False)*0</f>
        <v>-5.776012953</v>
      </c>
      <c r="S239" s="127">
        <f>VLOOKUP($O239,'NO USAR1'!$A$4:$L$403,2,False)*$U$19+VLOOKUP($O239,'NO USAR1'!$A$4:$L$403,3,False)*$V$19+VLOOKUP($O239,'NO USAR1'!$A$4:$L$403,4,False)*$W$19+VLOOKUP($O239,'NO USAR1'!$A$4:$L$403,5,False)*$X$19+VLOOKUP($O239,'NO USAR1'!$A$4:$L$403,6,False)*$Y$19+VLOOKUP($O239,'NO USAR1'!$A$4:$L$403,7,False)*$Z$19+VLOOKUP($O239,'NO USAR1'!$A$4:$L$403,8,False)*$AA$19+VLOOKUP($O239,'NO USAR1'!$A$4:$L$403,10,False)*$AB$19+VLOOKUP($O239,'NO USAR1'!$A$4:$L$403,12,False)*$AC$19+IF(Projections!$K$3,-AN239, IF(Projections!$J$3,-AM239,0))</f>
        <v>-3.601689286</v>
      </c>
      <c r="T239" s="127">
        <f t="shared" si="1"/>
        <v>2.174323667</v>
      </c>
      <c r="U239" s="127">
        <f>VLOOKUP($O239,Update!$B$2:$R$401,11,False)</f>
        <v>13</v>
      </c>
      <c r="V239" s="122">
        <f>VLOOKUP($O239,Update!$B$2:$R$401,10,False)</f>
        <v>1.5</v>
      </c>
      <c r="W239" s="127">
        <f>VLOOKUP($O239,Update!$B$2:$R$401,12,False)</f>
        <v>2.7</v>
      </c>
      <c r="X239" s="127">
        <f>VLOOKUP($O239,Update!$B$2:$R$401,13,False)</f>
        <v>2.6</v>
      </c>
      <c r="Y239" s="127">
        <f>VLOOKUP($O239,Update!$B$2:$R$401,14,False)</f>
        <v>0.6</v>
      </c>
      <c r="Z239" s="132">
        <f>VLOOKUP($O239,Update!$B$2:$R$401,15,False)</f>
        <v>0.2</v>
      </c>
      <c r="AA239" s="127">
        <f>100*VLOOKUP($O239,Update!$B$2:$R$401,7,False)</f>
        <v>42.24137931</v>
      </c>
      <c r="AB239" s="127">
        <f>100*VLOOKUP($O239,Update!$B$2:$R$401,9,False)</f>
        <v>81.81818182</v>
      </c>
      <c r="AC239" s="127">
        <f>VLOOKUP($O239,Update!$B$2:$Q$401,16,False)</f>
        <v>1.7</v>
      </c>
      <c r="AD239" s="127">
        <f>VLOOKUP($O239,'NO USAR1'!$A$4:$L$403,2,False)*$U$19</f>
        <v>-0.7173606113</v>
      </c>
      <c r="AE239" s="127">
        <f>VLOOKUP($O239,'NO USAR1'!$A$4:$L$403,3,False)*$V$19</f>
        <v>-0.1254446312</v>
      </c>
      <c r="AF239" s="127">
        <f>VLOOKUP($O239,'NO USAR1'!$A$4:$L$403,4,False)*$W$19</f>
        <v>-1.419771191</v>
      </c>
      <c r="AG239" s="127">
        <f>VLOOKUP($O239,'NO USAR1'!$A$4:$L$403,5,False)*$X$19</f>
        <v>-0.6344706088</v>
      </c>
      <c r="AH239" s="127">
        <f>VLOOKUP($O239,'NO USAR1'!$A$4:$L$403,6,False)*$Y$19</f>
        <v>-0.8605702752</v>
      </c>
      <c r="AI239" s="127">
        <f>VLOOKUP($O239,'NO USAR1'!$A$4:$L$403,7,False)*$Z$19</f>
        <v>-0.6583300762</v>
      </c>
      <c r="AJ239" s="127">
        <f>VLOOKUP($O239,'NO USAR1'!$A$4:$L$403,8,False)*$AA$19</f>
        <v>-0.8524507665</v>
      </c>
      <c r="AK239" s="132">
        <f>VLOOKUP($O239,'NO USAR1'!$A$4:$L$403,10,False)*$AB$19</f>
        <v>0.1554547189</v>
      </c>
      <c r="AL239" s="127">
        <f>VLOOKUP($O239,'NO USAR1'!$A$4:$L$403,12,False)*$AC$19</f>
        <v>0.09148296375</v>
      </c>
      <c r="AM239" s="133">
        <f t="shared" si="2"/>
        <v>-1.419771191</v>
      </c>
      <c r="AN239" s="133">
        <f t="shared" si="3"/>
        <v>-2.280341466</v>
      </c>
    </row>
    <row r="240">
      <c r="A240" s="118" t="str">
        <f>IF(Update!B238="",ROW(Update!B238),Update!B238)</f>
        <v>Taylor Hendricks</v>
      </c>
      <c r="B240" s="119">
        <f>IF(TYPE($A240)=1,"",(Update!$L238-B$1)/B$2)</f>
        <v>-1.425171394</v>
      </c>
      <c r="C240" s="119">
        <f>IF(TYPE($A240)=1,"",(Update!$K238-C$1)/C$2)</f>
        <v>-0.8138164245</v>
      </c>
      <c r="D240" s="119">
        <f>IF(TYPE($A240)=1,"",(Update!$M238-D$1)/D$2)</f>
        <v>-0.2071254654</v>
      </c>
      <c r="E240" s="119">
        <f>IF(TYPE($A240)=1,"",(Update!$N238-E$1)/E$2)</f>
        <v>-0.9940843212</v>
      </c>
      <c r="F240" s="119">
        <f>IF(TYPE($A240)=1,"",(Update!$O238-F$1)/F$2)</f>
        <v>-1.852385824</v>
      </c>
      <c r="G240" s="119">
        <f>IF(TYPE($A240)=1,"",(Update!$P238-G$1)/G$2)</f>
        <v>-0.5652834241</v>
      </c>
      <c r="H240" s="119">
        <f>IF(TYPE($A240)=1,"",(Update!$H238-H$1)/H$2*I240/$I$1)</f>
        <v>-0.3017582359</v>
      </c>
      <c r="I240" s="119">
        <f>IF(TYPE($A240)=1,"",IF(Update!H238=0,0,Update!G238/Update!H238))</f>
        <v>7</v>
      </c>
      <c r="J240" s="120">
        <f>IF(TYPE($A240)=1,"",(Update!$J238-J$1)/J$2*K240/$K$1)</f>
        <v>0.06350565196</v>
      </c>
      <c r="K240" s="121">
        <f>IF(TYPE($A240)=1,"",IF(Update!J238=0,0,Update!I238/Update!J238))</f>
        <v>2</v>
      </c>
      <c r="L240" s="119">
        <f>IF(TYPE($A240)=1,"",-(Update!$Q238-L$1)/L$2)</f>
        <v>0.9868569483</v>
      </c>
      <c r="N240" s="33">
        <v>220.0</v>
      </c>
      <c r="O240" s="130" t="str">
        <f>IF(Update!B246="",ROW(Update!B246),Update!B246)</f>
        <v>Ricky Rubio</v>
      </c>
      <c r="P240" s="131">
        <f>Update!E246</f>
        <v>38</v>
      </c>
      <c r="Q240" s="131" t="str">
        <f>IF(Update!C246="",ROW(Update!N261),Update!C246)</f>
        <v>PG,SG</v>
      </c>
      <c r="R240" s="127">
        <f>VLOOKUP($O240,'NO USAR1'!$A$4:$L$403,2,False)+VLOOKUP($O240,'NO USAR1'!$A$4:$L$403,3,False)+VLOOKUP($O240,'NO USAR1'!$A$4:$L$403,4,False)+VLOOKUP($O240,'NO USAR1'!$A$4:$L$403,5,False)+VLOOKUP($O240,'NO USAR1'!$A$4:$L$403,6,False)+VLOOKUP($O240,'NO USAR1'!$A$4:$L$403,7,False)+VLOOKUP($O240,'NO USAR1'!$A$4:$L$403,8,False)+VLOOKUP($O240,'NO USAR1'!$A$4:$L$403,10,False)+VLOOKUP($O240,'NO USAR1'!$A$4:$L$403,12,False)*0</f>
        <v>-5.798882925</v>
      </c>
      <c r="S240" s="127">
        <f>VLOOKUP($O240,'NO USAR1'!$A$4:$L$403,2,False)*$U$19+VLOOKUP($O240,'NO USAR1'!$A$4:$L$403,3,False)*$V$19+VLOOKUP($O240,'NO USAR1'!$A$4:$L$403,4,False)*$W$19+VLOOKUP($O240,'NO USAR1'!$A$4:$L$403,5,False)*$X$19+VLOOKUP($O240,'NO USAR1'!$A$4:$L$403,6,False)*$Y$19+VLOOKUP($O240,'NO USAR1'!$A$4:$L$403,7,False)*$Z$19+VLOOKUP($O240,'NO USAR1'!$A$4:$L$403,8,False)*$AA$19+VLOOKUP($O240,'NO USAR1'!$A$4:$L$403,10,False)*$AB$19+VLOOKUP($O240,'NO USAR1'!$A$4:$L$403,12,False)*$AC$19+IF(Projections!$K$3,-AN240, IF(Projections!$J$3,-AM240,0))</f>
        <v>-3.478780957</v>
      </c>
      <c r="T240" s="127">
        <f t="shared" si="1"/>
        <v>2.320101968</v>
      </c>
      <c r="U240" s="127">
        <f>VLOOKUP($O240,Update!$B$2:$R$401,11,False)</f>
        <v>7.5</v>
      </c>
      <c r="V240" s="122">
        <f>VLOOKUP($O240,Update!$B$2:$R$401,10,False)</f>
        <v>1</v>
      </c>
      <c r="W240" s="127">
        <f>VLOOKUP($O240,Update!$B$2:$R$401,12,False)</f>
        <v>2.6</v>
      </c>
      <c r="X240" s="127">
        <f>VLOOKUP($O240,Update!$B$2:$R$401,13,False)</f>
        <v>4.1</v>
      </c>
      <c r="Y240" s="127">
        <f>VLOOKUP($O240,Update!$B$2:$R$401,14,False)</f>
        <v>0.9</v>
      </c>
      <c r="Z240" s="132">
        <f>VLOOKUP($O240,Update!$B$2:$R$401,15,False)</f>
        <v>0.2</v>
      </c>
      <c r="AA240" s="127">
        <f>100*VLOOKUP($O240,Update!$B$2:$R$401,7,False)</f>
        <v>35.21126761</v>
      </c>
      <c r="AB240" s="127">
        <f>100*VLOOKUP($O240,Update!$B$2:$R$401,9,False)</f>
        <v>82.35294118</v>
      </c>
      <c r="AC240" s="127">
        <f>VLOOKUP($O240,Update!$B$2:$Q$401,16,False)</f>
        <v>1.5</v>
      </c>
      <c r="AD240" s="127">
        <f>VLOOKUP($O240,'NO USAR1'!$A$4:$L$403,2,False)*$U$19</f>
        <v>-1.644255685</v>
      </c>
      <c r="AE240" s="127">
        <f>VLOOKUP($O240,'NO USAR1'!$A$4:$L$403,3,False)*$V$19</f>
        <v>-0.5590090247</v>
      </c>
      <c r="AF240" s="127">
        <f>VLOOKUP($O240,'NO USAR1'!$A$4:$L$403,4,False)*$W$19</f>
        <v>-1.461586561</v>
      </c>
      <c r="AG240" s="127">
        <f>VLOOKUP($O240,'NO USAR1'!$A$4:$L$403,5,False)*$X$19</f>
        <v>0.1305662989</v>
      </c>
      <c r="AH240" s="127">
        <f>VLOOKUP($O240,'NO USAR1'!$A$4:$L$403,6,False)*$Y$19</f>
        <v>-0.2064205728</v>
      </c>
      <c r="AI240" s="127">
        <f>VLOOKUP($O240,'NO USAR1'!$A$4:$L$403,7,False)*$Z$19</f>
        <v>-0.6583300762</v>
      </c>
      <c r="AJ240" s="127">
        <f>VLOOKUP($O240,'NO USAR1'!$A$4:$L$403,8,False)*$AA$19</f>
        <v>-1.020330083</v>
      </c>
      <c r="AK240" s="132">
        <f>VLOOKUP($O240,'NO USAR1'!$A$4:$L$403,10,False)*$AB$19</f>
        <v>0.1427535885</v>
      </c>
      <c r="AL240" s="127">
        <f>VLOOKUP($O240,'NO USAR1'!$A$4:$L$403,12,False)*$AC$19</f>
        <v>0.1535754731</v>
      </c>
      <c r="AM240" s="133">
        <f t="shared" si="2"/>
        <v>-1.644255685</v>
      </c>
      <c r="AN240" s="133">
        <f t="shared" si="3"/>
        <v>-3.105842246</v>
      </c>
    </row>
    <row r="241">
      <c r="A241" s="118" t="str">
        <f>IF(Update!B239="",ROW(Update!B239),Update!B239)</f>
        <v>Nassir Little</v>
      </c>
      <c r="B241" s="119">
        <f>IF(TYPE($A241)=1,"",(Update!$L239-B$1)/B$2)</f>
        <v>-1.509434583</v>
      </c>
      <c r="C241" s="119">
        <f>IF(TYPE($A241)=1,"",(Update!$K239-C$1)/C$2)</f>
        <v>-0.4284258525</v>
      </c>
      <c r="D241" s="119">
        <f>IF(TYPE($A241)=1,"",(Update!$M239-D$1)/D$2)</f>
        <v>-0.8343560132</v>
      </c>
      <c r="E241" s="119">
        <f>IF(TYPE($A241)=1,"",(Update!$N239-E$1)/E$2)</f>
        <v>-1.27227956</v>
      </c>
      <c r="F241" s="119">
        <f>IF(TYPE($A241)=1,"",(Update!$O239-F$1)/F$2)</f>
        <v>-1.540885966</v>
      </c>
      <c r="G241" s="119">
        <f>IF(TYPE($A241)=1,"",(Update!$P239-G$1)/G$2)</f>
        <v>-0.1900953108</v>
      </c>
      <c r="H241" s="119">
        <f>IF(TYPE($A241)=1,"",(Update!$H239-H$1)/H$2*I241/$I$1)</f>
        <v>-0.3585877421</v>
      </c>
      <c r="I241" s="119">
        <f>IF(TYPE($A241)=1,"",IF(Update!H239=0,0,Update!G239/Update!H239))</f>
        <v>6.7</v>
      </c>
      <c r="J241" s="120">
        <f>IF(TYPE($A241)=1,"",(Update!$J239-J$1)/J$2*K241/$K$1)</f>
        <v>-0.2635262146</v>
      </c>
      <c r="K241" s="121">
        <f>IF(TYPE($A241)=1,"",IF(Update!J239=0,0,Update!I239/Update!J239))</f>
        <v>1.5</v>
      </c>
      <c r="L241" s="119">
        <f>IF(TYPE($A241)=1,"",-(Update!$Q239-L$1)/L$2)</f>
        <v>1.483597023</v>
      </c>
      <c r="N241" s="33">
        <v>221.0</v>
      </c>
      <c r="O241" s="130" t="str">
        <f>IF(Update!B207="",ROW(Update!B207),Update!B207)</f>
        <v>Eric Gordon</v>
      </c>
      <c r="P241" s="131">
        <f>Update!E207</f>
        <v>60</v>
      </c>
      <c r="Q241" s="131" t="str">
        <f>IF(Update!C207="",ROW(Update!N222),Update!C207)</f>
        <v>SG,SF</v>
      </c>
      <c r="R241" s="127">
        <f>VLOOKUP($O241,'NO USAR1'!$A$4:$L$403,2,False)+VLOOKUP($O241,'NO USAR1'!$A$4:$L$403,3,False)+VLOOKUP($O241,'NO USAR1'!$A$4:$L$403,4,False)+VLOOKUP($O241,'NO USAR1'!$A$4:$L$403,5,False)+VLOOKUP($O241,'NO USAR1'!$A$4:$L$403,6,False)+VLOOKUP($O241,'NO USAR1'!$A$4:$L$403,7,False)+VLOOKUP($O241,'NO USAR1'!$A$4:$L$403,8,False)+VLOOKUP($O241,'NO USAR1'!$A$4:$L$403,10,False)+VLOOKUP($O241,'NO USAR1'!$A$4:$L$403,12,False)*0</f>
        <v>-5.825022836</v>
      </c>
      <c r="S241" s="127">
        <f>VLOOKUP($O241,'NO USAR1'!$A$4:$L$403,2,False)*$U$19+VLOOKUP($O241,'NO USAR1'!$A$4:$L$403,3,False)*$V$19+VLOOKUP($O241,'NO USAR1'!$A$4:$L$403,4,False)*$W$19+VLOOKUP($O241,'NO USAR1'!$A$4:$L$403,5,False)*$X$19+VLOOKUP($O241,'NO USAR1'!$A$4:$L$403,6,False)*$Y$19+VLOOKUP($O241,'NO USAR1'!$A$4:$L$403,7,False)*$Z$19+VLOOKUP($O241,'NO USAR1'!$A$4:$L$403,8,False)*$AA$19+VLOOKUP($O241,'NO USAR1'!$A$4:$L$403,10,False)*$AB$19+VLOOKUP($O241,'NO USAR1'!$A$4:$L$403,12,False)*$AC$19+IF(Projections!$K$3,-AN241, IF(Projections!$J$3,-AM241,0))</f>
        <v>-3.254502439</v>
      </c>
      <c r="T241" s="127">
        <f t="shared" si="1"/>
        <v>2.570520398</v>
      </c>
      <c r="U241" s="127">
        <f>VLOOKUP($O241,Update!$B$2:$R$401,11,False)</f>
        <v>11.9</v>
      </c>
      <c r="V241" s="122">
        <f>VLOOKUP($O241,Update!$B$2:$R$401,10,False)</f>
        <v>1.9</v>
      </c>
      <c r="W241" s="127">
        <f>VLOOKUP($O241,Update!$B$2:$R$401,12,False)</f>
        <v>1.8</v>
      </c>
      <c r="X241" s="127">
        <f>VLOOKUP($O241,Update!$B$2:$R$401,13,False)</f>
        <v>2.5</v>
      </c>
      <c r="Y241" s="127">
        <f>VLOOKUP($O241,Update!$B$2:$R$401,14,False)</f>
        <v>0.5</v>
      </c>
      <c r="Z241" s="132">
        <f>VLOOKUP($O241,Update!$B$2:$R$401,15,False)</f>
        <v>0.3</v>
      </c>
      <c r="AA241" s="127">
        <f>100*VLOOKUP($O241,Update!$B$2:$R$401,7,False)</f>
        <v>45.55555556</v>
      </c>
      <c r="AB241" s="127">
        <f>100*VLOOKUP($O241,Update!$B$2:$R$401,9,False)</f>
        <v>78.26086957</v>
      </c>
      <c r="AC241" s="127">
        <f>VLOOKUP($O241,Update!$B$2:$Q$401,16,False)</f>
        <v>1.6</v>
      </c>
      <c r="AD241" s="127">
        <f>VLOOKUP($O241,'NO USAR1'!$A$4:$L$403,2,False)*$U$19</f>
        <v>-0.9027396259</v>
      </c>
      <c r="AE241" s="127">
        <f>VLOOKUP($O241,'NO USAR1'!$A$4:$L$403,3,False)*$V$19</f>
        <v>0.2214068836</v>
      </c>
      <c r="AF241" s="127">
        <f>VLOOKUP($O241,'NO USAR1'!$A$4:$L$403,4,False)*$W$19</f>
        <v>-1.79610952</v>
      </c>
      <c r="AG241" s="127">
        <f>VLOOKUP($O241,'NO USAR1'!$A$4:$L$403,5,False)*$X$19</f>
        <v>-0.6854730693</v>
      </c>
      <c r="AH241" s="127">
        <f>VLOOKUP($O241,'NO USAR1'!$A$4:$L$403,6,False)*$Y$19</f>
        <v>-1.078620176</v>
      </c>
      <c r="AI241" s="127">
        <f>VLOOKUP($O241,'NO USAR1'!$A$4:$L$403,7,False)*$Z$19</f>
        <v>-0.5270142365</v>
      </c>
      <c r="AJ241" s="127">
        <f>VLOOKUP($O241,'NO USAR1'!$A$4:$L$403,8,False)*$AA$19</f>
        <v>-0.3634468877</v>
      </c>
      <c r="AK241" s="132">
        <f>VLOOKUP($O241,'NO USAR1'!$A$4:$L$403,10,False)*$AB$19</f>
        <v>-0.04114454535</v>
      </c>
      <c r="AL241" s="127">
        <f>VLOOKUP($O241,'NO USAR1'!$A$4:$L$403,12,False)*$AC$19</f>
        <v>0.1225292184</v>
      </c>
      <c r="AM241" s="133">
        <f t="shared" si="2"/>
        <v>-1.79610952</v>
      </c>
      <c r="AN241" s="133">
        <f t="shared" si="3"/>
        <v>-2.874729696</v>
      </c>
    </row>
    <row r="242">
      <c r="A242" s="118" t="str">
        <f>IF(Update!B240="",ROW(Update!B240),Update!B240)</f>
        <v>Sam Hauser</v>
      </c>
      <c r="B242" s="119">
        <f>IF(TYPE($A242)=1,"",(Update!$L240-B$1)/B$2)</f>
        <v>-1.644255685</v>
      </c>
      <c r="C242" s="119">
        <f>IF(TYPE($A242)=1,"",(Update!$K240-C$1)/C$2)</f>
        <v>0.4387029344</v>
      </c>
      <c r="D242" s="119">
        <f>IF(TYPE($A242)=1,"",(Update!$M240-D$1)/D$2)</f>
        <v>-1.294325082</v>
      </c>
      <c r="E242" s="119">
        <f>IF(TYPE($A242)=1,"",(Update!$N240-E$1)/E$2)</f>
        <v>-1.27227956</v>
      </c>
      <c r="F242" s="119">
        <f>IF(TYPE($A242)=1,"",(Update!$O240-F$1)/F$2)</f>
        <v>-1.852385824</v>
      </c>
      <c r="G242" s="119">
        <f>IF(TYPE($A242)=1,"",(Update!$P240-G$1)/G$2)</f>
        <v>-0.7528774808</v>
      </c>
      <c r="H242" s="119">
        <f>IF(TYPE($A242)=1,"",(Update!$H240-H$1)/H$2*I242/$I$1)</f>
        <v>-0.196121251</v>
      </c>
      <c r="I242" s="119">
        <f>IF(TYPE($A242)=1,"",IF(Update!H240=0,0,Update!G240/Update!H240))</f>
        <v>5.8</v>
      </c>
      <c r="J242" s="120">
        <f>IF(TYPE($A242)=1,"",(Update!$J240-J$1)/J$2*K242/$K$1)</f>
        <v>0.1308127466</v>
      </c>
      <c r="K242" s="121">
        <f>IF(TYPE($A242)=1,"",IF(Update!J240=0,0,Update!I240/Update!J240))</f>
        <v>0.2</v>
      </c>
      <c r="L242" s="119">
        <f>IF(TYPE($A242)=1,"",-(Update!$Q240-L$1)/L$2)</f>
        <v>1.980337098</v>
      </c>
      <c r="N242" s="124">
        <v>222.0</v>
      </c>
      <c r="O242" s="130" t="str">
        <f>IF(Update!B212="",ROW(Update!B212),Update!B212)</f>
        <v>Chris Boucher</v>
      </c>
      <c r="P242" s="131">
        <f>Update!E212</f>
        <v>72</v>
      </c>
      <c r="Q242" s="131" t="str">
        <f>IF(Update!C212="",ROW(Update!N227),Update!C212)</f>
        <v>PF</v>
      </c>
      <c r="R242" s="127">
        <f>VLOOKUP($O242,'NO USAR1'!$A$4:$L$403,2,False)+VLOOKUP($O242,'NO USAR1'!$A$4:$L$403,3,False)+VLOOKUP($O242,'NO USAR1'!$A$4:$L$403,4,False)+VLOOKUP($O242,'NO USAR1'!$A$4:$L$403,5,False)+VLOOKUP($O242,'NO USAR1'!$A$4:$L$403,6,False)+VLOOKUP($O242,'NO USAR1'!$A$4:$L$403,7,False)+VLOOKUP($O242,'NO USAR1'!$A$4:$L$403,8,False)+VLOOKUP($O242,'NO USAR1'!$A$4:$L$403,10,False)+VLOOKUP($O242,'NO USAR1'!$A$4:$L$403,12,False)*0</f>
        <v>-5.867880061</v>
      </c>
      <c r="S242" s="127">
        <f>VLOOKUP($O242,'NO USAR1'!$A$4:$L$403,2,False)*$U$19+VLOOKUP($O242,'NO USAR1'!$A$4:$L$403,3,False)*$V$19+VLOOKUP($O242,'NO USAR1'!$A$4:$L$403,4,False)*$W$19+VLOOKUP($O242,'NO USAR1'!$A$4:$L$403,5,False)*$X$19+VLOOKUP($O242,'NO USAR1'!$A$4:$L$403,6,False)*$Y$19+VLOOKUP($O242,'NO USAR1'!$A$4:$L$403,7,False)*$Z$19+VLOOKUP($O242,'NO USAR1'!$A$4:$L$403,8,False)*$AA$19+VLOOKUP($O242,'NO USAR1'!$A$4:$L$403,10,False)*$AB$19+VLOOKUP($O242,'NO USAR1'!$A$4:$L$403,12,False)*$AC$19+IF(Projections!$K$3,-AN242, IF(Projections!$J$3,-AM242,0))</f>
        <v>-3.261742229</v>
      </c>
      <c r="T242" s="127">
        <f t="shared" si="1"/>
        <v>2.606137832</v>
      </c>
      <c r="U242" s="127">
        <f>VLOOKUP($O242,Update!$B$2:$R$401,11,False)</f>
        <v>8.3</v>
      </c>
      <c r="V242" s="122">
        <f>VLOOKUP($O242,Update!$B$2:$R$401,10,False)</f>
        <v>0.7</v>
      </c>
      <c r="W242" s="127">
        <f>VLOOKUP($O242,Update!$B$2:$R$401,12,False)</f>
        <v>5.2</v>
      </c>
      <c r="X242" s="127">
        <f>VLOOKUP($O242,Update!$B$2:$R$401,13,False)</f>
        <v>0.3</v>
      </c>
      <c r="Y242" s="127">
        <f>VLOOKUP($O242,Update!$B$2:$R$401,14,False)</f>
        <v>0.5</v>
      </c>
      <c r="Z242" s="132">
        <f>VLOOKUP($O242,Update!$B$2:$R$401,15,False)</f>
        <v>0.8</v>
      </c>
      <c r="AA242" s="127">
        <f>100*VLOOKUP($O242,Update!$B$2:$R$401,7,False)</f>
        <v>47.61904762</v>
      </c>
      <c r="AB242" s="127">
        <f>100*VLOOKUP($O242,Update!$B$2:$R$401,9,False)</f>
        <v>80</v>
      </c>
      <c r="AC242" s="127">
        <f>VLOOKUP($O242,Update!$B$2:$Q$401,16,False)</f>
        <v>0.5</v>
      </c>
      <c r="AD242" s="127">
        <f>VLOOKUP($O242,'NO USAR1'!$A$4:$L$403,2,False)*$U$19</f>
        <v>-1.509434583</v>
      </c>
      <c r="AE242" s="127">
        <f>VLOOKUP($O242,'NO USAR1'!$A$4:$L$403,3,False)*$V$19</f>
        <v>-0.8191476607</v>
      </c>
      <c r="AF242" s="127">
        <f>VLOOKUP($O242,'NO USAR1'!$A$4:$L$403,4,False)*$W$19</f>
        <v>-0.3743869448</v>
      </c>
      <c r="AG242" s="127">
        <f>VLOOKUP($O242,'NO USAR1'!$A$4:$L$403,5,False)*$X$19</f>
        <v>-1.807527201</v>
      </c>
      <c r="AH242" s="127">
        <f>VLOOKUP($O242,'NO USAR1'!$A$4:$L$403,6,False)*$Y$19</f>
        <v>-1.078620176</v>
      </c>
      <c r="AI242" s="127">
        <f>VLOOKUP($O242,'NO USAR1'!$A$4:$L$403,7,False)*$Z$19</f>
        <v>0.1295649618</v>
      </c>
      <c r="AJ242" s="127">
        <f>VLOOKUP($O242,'NO USAR1'!$A$4:$L$403,8,False)*$AA$19</f>
        <v>-0.1245603676</v>
      </c>
      <c r="AK242" s="132">
        <f>VLOOKUP($O242,'NO USAR1'!$A$4:$L$403,10,False)*$AB$19</f>
        <v>0.05080452156</v>
      </c>
      <c r="AL242" s="127">
        <f>VLOOKUP($O242,'NO USAR1'!$A$4:$L$403,12,False)*$AC$19</f>
        <v>0.4640380197</v>
      </c>
      <c r="AM242" s="133">
        <f t="shared" si="2"/>
        <v>-1.807527201</v>
      </c>
      <c r="AN242" s="133">
        <f t="shared" si="3"/>
        <v>-3.316961783</v>
      </c>
    </row>
    <row r="243">
      <c r="A243" s="118" t="str">
        <f>IF(Update!B241="",ROW(Update!B241),Update!B241)</f>
        <v>Aleksej Pokusevski</v>
      </c>
      <c r="B243" s="119">
        <f>IF(TYPE($A243)=1,"",(Update!$L241-B$1)/B$2)</f>
        <v>-1.728518873</v>
      </c>
      <c r="C243" s="119">
        <f>IF(TYPE($A243)=1,"",(Update!$K241-C$1)/C$2)</f>
        <v>-0.7174687815</v>
      </c>
      <c r="D243" s="119">
        <f>IF(TYPE($A243)=1,"",(Update!$M241-D$1)/D$2)</f>
        <v>-0.6670945338</v>
      </c>
      <c r="E243" s="119">
        <f>IF(TYPE($A243)=1,"",(Update!$N241-E$1)/E$2)</f>
        <v>-0.9477184481</v>
      </c>
      <c r="F243" s="119">
        <f>IF(TYPE($A243)=1,"",(Update!$O241-F$1)/F$2)</f>
        <v>-1.229386107</v>
      </c>
      <c r="G243" s="119">
        <f>IF(TYPE($A243)=1,"",(Update!$P241-G$1)/G$2)</f>
        <v>0.1850928026</v>
      </c>
      <c r="H243" s="119">
        <f>IF(TYPE($A243)=1,"",(Update!$H241-H$1)/H$2*I243/$I$1)</f>
        <v>-0.5255109152</v>
      </c>
      <c r="I243" s="119">
        <f>IF(TYPE($A243)=1,"",IF(Update!H241=0,0,Update!G241/Update!H241))</f>
        <v>6.6</v>
      </c>
      <c r="J243" s="120">
        <f>IF(TYPE($A243)=1,"",(Update!$J241-J$1)/J$2*K243/$K$1)</f>
        <v>-0.4102153742</v>
      </c>
      <c r="K243" s="121">
        <f>IF(TYPE($A243)=1,"",IF(Update!J241=0,0,Update!I241/Update!J241))</f>
        <v>0.8</v>
      </c>
      <c r="L243" s="119">
        <f>IF(TYPE($A243)=1,"",-(Update!$Q241-L$1)/L$2)</f>
        <v>0.8626719296</v>
      </c>
      <c r="N243" s="124">
        <v>223.0</v>
      </c>
      <c r="O243" s="130" t="str">
        <f>IF(Update!B228="",ROW(Update!B228),Update!B228)</f>
        <v>Marcus Morris Sr.</v>
      </c>
      <c r="P243" s="131">
        <f>Update!E228</f>
        <v>60</v>
      </c>
      <c r="Q243" s="131" t="str">
        <f>IF(Update!C228="",ROW(Update!N243),Update!C228)</f>
        <v>PF,C</v>
      </c>
      <c r="R243" s="127">
        <f>VLOOKUP($O243,'NO USAR1'!$A$4:$L$403,2,False)+VLOOKUP($O243,'NO USAR1'!$A$4:$L$403,3,False)+VLOOKUP($O243,'NO USAR1'!$A$4:$L$403,4,False)+VLOOKUP($O243,'NO USAR1'!$A$4:$L$403,5,False)+VLOOKUP($O243,'NO USAR1'!$A$4:$L$403,6,False)+VLOOKUP($O243,'NO USAR1'!$A$4:$L$403,7,False)+VLOOKUP($O243,'NO USAR1'!$A$4:$L$403,8,False)+VLOOKUP($O243,'NO USAR1'!$A$4:$L$403,10,False)+VLOOKUP($O243,'NO USAR1'!$A$4:$L$403,12,False)*0</f>
        <v>-5.874280909</v>
      </c>
      <c r="S243" s="127">
        <f>VLOOKUP($O243,'NO USAR1'!$A$4:$L$403,2,False)*$U$19+VLOOKUP($O243,'NO USAR1'!$A$4:$L$403,3,False)*$V$19+VLOOKUP($O243,'NO USAR1'!$A$4:$L$403,4,False)*$W$19+VLOOKUP($O243,'NO USAR1'!$A$4:$L$403,5,False)*$X$19+VLOOKUP($O243,'NO USAR1'!$A$4:$L$403,6,False)*$Y$19+VLOOKUP($O243,'NO USAR1'!$A$4:$L$403,7,False)*$Z$19+VLOOKUP($O243,'NO USAR1'!$A$4:$L$403,8,False)*$AA$19+VLOOKUP($O243,'NO USAR1'!$A$4:$L$403,10,False)*$AB$19+VLOOKUP($O243,'NO USAR1'!$A$4:$L$403,12,False)*$AC$19+IF(Projections!$K$3,-AN243, IF(Projections!$J$3,-AM243,0))</f>
        <v>-3.810277468</v>
      </c>
      <c r="T243" s="127">
        <f t="shared" si="1"/>
        <v>2.064003441</v>
      </c>
      <c r="U243" s="127">
        <f>VLOOKUP($O243,Update!$B$2:$R$401,11,False)</f>
        <v>11.4</v>
      </c>
      <c r="V243" s="122">
        <f>VLOOKUP($O243,Update!$B$2:$R$401,10,False)</f>
        <v>1.6</v>
      </c>
      <c r="W243" s="127">
        <f>VLOOKUP($O243,Update!$B$2:$R$401,12,False)</f>
        <v>3.7</v>
      </c>
      <c r="X243" s="127">
        <f>VLOOKUP($O243,Update!$B$2:$R$401,13,False)</f>
        <v>1.7</v>
      </c>
      <c r="Y243" s="127">
        <f>VLOOKUP($O243,Update!$B$2:$R$401,14,False)</f>
        <v>0.5</v>
      </c>
      <c r="Z243" s="132">
        <f>VLOOKUP($O243,Update!$B$2:$R$401,15,False)</f>
        <v>0.3</v>
      </c>
      <c r="AA243" s="127">
        <f>100*VLOOKUP($O243,Update!$B$2:$R$401,7,False)</f>
        <v>42.85714286</v>
      </c>
      <c r="AB243" s="127">
        <f>100*VLOOKUP($O243,Update!$B$2:$R$401,9,False)</f>
        <v>82.35294118</v>
      </c>
      <c r="AC243" s="127">
        <f>VLOOKUP($O243,Update!$B$2:$Q$401,16,False)</f>
        <v>0.9</v>
      </c>
      <c r="AD243" s="127">
        <f>VLOOKUP($O243,'NO USAR1'!$A$4:$L$403,2,False)*$U$19</f>
        <v>-0.9870028144</v>
      </c>
      <c r="AE243" s="127">
        <f>VLOOKUP($O243,'NO USAR1'!$A$4:$L$403,3,False)*$V$19</f>
        <v>-0.03873175248</v>
      </c>
      <c r="AF243" s="127">
        <f>VLOOKUP($O243,'NO USAR1'!$A$4:$L$403,4,False)*$W$19</f>
        <v>-1.001617493</v>
      </c>
      <c r="AG243" s="127">
        <f>VLOOKUP($O243,'NO USAR1'!$A$4:$L$403,5,False)*$X$19</f>
        <v>-1.093492753</v>
      </c>
      <c r="AH243" s="127">
        <f>VLOOKUP($O243,'NO USAR1'!$A$4:$L$403,6,False)*$Y$19</f>
        <v>-1.078620176</v>
      </c>
      <c r="AI243" s="127">
        <f>VLOOKUP($O243,'NO USAR1'!$A$4:$L$403,7,False)*$Z$19</f>
        <v>-0.5270142365</v>
      </c>
      <c r="AJ243" s="127">
        <f>VLOOKUP($O243,'NO USAR1'!$A$4:$L$403,8,False)*$AA$19</f>
        <v>-0.6598975854</v>
      </c>
      <c r="AK243" s="132">
        <f>VLOOKUP($O243,'NO USAR1'!$A$4:$L$403,10,False)*$AB$19</f>
        <v>0.1427535885</v>
      </c>
      <c r="AL243" s="127">
        <f>VLOOKUP($O243,'NO USAR1'!$A$4:$L$403,12,False)*$AC$19</f>
        <v>0.3398530011</v>
      </c>
      <c r="AM243" s="133">
        <f t="shared" si="2"/>
        <v>-1.093492753</v>
      </c>
      <c r="AN243" s="133">
        <f t="shared" si="3"/>
        <v>-2.172112929</v>
      </c>
    </row>
    <row r="244">
      <c r="A244" s="118" t="str">
        <f>IF(Update!B242="",ROW(Update!B242),Update!B242)</f>
        <v>Keyonte George</v>
      </c>
      <c r="B244" s="119">
        <f>IF(TYPE($A244)=1,"",(Update!$L242-B$1)/B$2)</f>
        <v>-0.7173606113</v>
      </c>
      <c r="C244" s="119">
        <f>IF(TYPE($A244)=1,"",(Update!$K242-C$1)/C$2)</f>
        <v>-0.1393829235</v>
      </c>
      <c r="D244" s="119">
        <f>IF(TYPE($A244)=1,"",(Update!$M242-D$1)/D$2)</f>
        <v>-1.419771191</v>
      </c>
      <c r="E244" s="119">
        <f>IF(TYPE($A244)=1,"",(Update!$N242-E$1)/E$2)</f>
        <v>-0.5767914625</v>
      </c>
      <c r="F244" s="119">
        <f>IF(TYPE($A244)=1,"",(Update!$O242-F$1)/F$2)</f>
        <v>-1.229386107</v>
      </c>
      <c r="G244" s="119">
        <f>IF(TYPE($A244)=1,"",(Update!$P242-G$1)/G$2)</f>
        <v>-0.9404715375</v>
      </c>
      <c r="H244" s="119">
        <f>IF(TYPE($A244)=1,"",(Update!$H242-H$1)/H$2*I244/$I$1)</f>
        <v>-0.9471675183</v>
      </c>
      <c r="I244" s="119">
        <f>IF(TYPE($A244)=1,"",IF(Update!H242=0,0,Update!G242/Update!H242))</f>
        <v>11.6</v>
      </c>
      <c r="J244" s="120">
        <f>IF(TYPE($A244)=1,"",(Update!$J242-J$1)/J$2*K244/$K$1)</f>
        <v>0.1943183986</v>
      </c>
      <c r="K244" s="121">
        <f>IF(TYPE($A244)=1,"",IF(Update!J242=0,0,Update!I242/Update!J242))</f>
        <v>2.2</v>
      </c>
      <c r="L244" s="119">
        <f>IF(TYPE($A244)=1,"",-(Update!$Q242-L$1)/L$2)</f>
        <v>0.365931855</v>
      </c>
      <c r="N244" s="33">
        <v>224.0</v>
      </c>
      <c r="O244" s="130" t="str">
        <f>IF(Update!B225="",ROW(Update!B225),Update!B225)</f>
        <v>Kevin Love</v>
      </c>
      <c r="P244" s="131">
        <f>Update!E225</f>
        <v>62</v>
      </c>
      <c r="Q244" s="131" t="str">
        <f>IF(Update!C225="",ROW(Update!N240),Update!C225)</f>
        <v>PF,C</v>
      </c>
      <c r="R244" s="127">
        <f>VLOOKUP($O244,'NO USAR1'!$A$4:$L$403,2,False)+VLOOKUP($O244,'NO USAR1'!$A$4:$L$403,3,False)+VLOOKUP($O244,'NO USAR1'!$A$4:$L$403,4,False)+VLOOKUP($O244,'NO USAR1'!$A$4:$L$403,5,False)+VLOOKUP($O244,'NO USAR1'!$A$4:$L$403,6,False)+VLOOKUP($O244,'NO USAR1'!$A$4:$L$403,7,False)+VLOOKUP($O244,'NO USAR1'!$A$4:$L$403,8,False)+VLOOKUP($O244,'NO USAR1'!$A$4:$L$403,10,False)+VLOOKUP($O244,'NO USAR1'!$A$4:$L$403,12,False)*0</f>
        <v>-5.900020221</v>
      </c>
      <c r="S244" s="127">
        <f>VLOOKUP($O244,'NO USAR1'!$A$4:$L$403,2,False)*$U$19+VLOOKUP($O244,'NO USAR1'!$A$4:$L$403,3,False)*$V$19+VLOOKUP($O244,'NO USAR1'!$A$4:$L$403,4,False)*$W$19+VLOOKUP($O244,'NO USAR1'!$A$4:$L$403,5,False)*$X$19+VLOOKUP($O244,'NO USAR1'!$A$4:$L$403,6,False)*$Y$19+VLOOKUP($O244,'NO USAR1'!$A$4:$L$403,7,False)*$Z$19+VLOOKUP($O244,'NO USAR1'!$A$4:$L$403,8,False)*$AA$19+VLOOKUP($O244,'NO USAR1'!$A$4:$L$403,10,False)*$AB$19+VLOOKUP($O244,'NO USAR1'!$A$4:$L$403,12,False)*$AC$19+IF(Projections!$K$3,-AN244, IF(Projections!$J$3,-AM244,0))</f>
        <v>-3.239443561</v>
      </c>
      <c r="T244" s="127">
        <f t="shared" si="1"/>
        <v>2.66057666</v>
      </c>
      <c r="U244" s="127">
        <f>VLOOKUP($O244,Update!$B$2:$R$401,11,False)</f>
        <v>9.3</v>
      </c>
      <c r="V244" s="122">
        <f>VLOOKUP($O244,Update!$B$2:$R$401,10,False)</f>
        <v>1.8</v>
      </c>
      <c r="W244" s="127">
        <f>VLOOKUP($O244,Update!$B$2:$R$401,12,False)</f>
        <v>5.7</v>
      </c>
      <c r="X244" s="127">
        <f>VLOOKUP($O244,Update!$B$2:$R$401,13,False)</f>
        <v>1.7</v>
      </c>
      <c r="Y244" s="127">
        <f>VLOOKUP($O244,Update!$B$2:$R$401,14,False)</f>
        <v>0.3</v>
      </c>
      <c r="Z244" s="132">
        <f>VLOOKUP($O244,Update!$B$2:$R$401,15,False)</f>
        <v>0.2</v>
      </c>
      <c r="AA244" s="127">
        <f>100*VLOOKUP($O244,Update!$B$2:$R$401,7,False)</f>
        <v>41.09589041</v>
      </c>
      <c r="AB244" s="127">
        <f>100*VLOOKUP($O244,Update!$B$2:$R$401,9,False)</f>
        <v>83.33333333</v>
      </c>
      <c r="AC244" s="127">
        <f>VLOOKUP($O244,Update!$B$2:$Q$401,16,False)</f>
        <v>1</v>
      </c>
      <c r="AD244" s="127">
        <f>VLOOKUP($O244,'NO USAR1'!$A$4:$L$403,2,False)*$U$19</f>
        <v>-1.340908206</v>
      </c>
      <c r="AE244" s="127">
        <f>VLOOKUP($O244,'NO USAR1'!$A$4:$L$403,3,False)*$V$19</f>
        <v>0.1346940049</v>
      </c>
      <c r="AF244" s="127">
        <f>VLOOKUP($O244,'NO USAR1'!$A$4:$L$403,4,False)*$W$19</f>
        <v>-0.1653100955</v>
      </c>
      <c r="AG244" s="127">
        <f>VLOOKUP($O244,'NO USAR1'!$A$4:$L$403,5,False)*$X$19</f>
        <v>-1.093492753</v>
      </c>
      <c r="AH244" s="127">
        <f>VLOOKUP($O244,'NO USAR1'!$A$4:$L$403,6,False)*$Y$19</f>
        <v>-1.514719978</v>
      </c>
      <c r="AI244" s="127">
        <f>VLOOKUP($O244,'NO USAR1'!$A$4:$L$403,7,False)*$Z$19</f>
        <v>-0.6583300762</v>
      </c>
      <c r="AJ244" s="127">
        <f>VLOOKUP($O244,'NO USAR1'!$A$4:$L$403,8,False)*$AA$19</f>
        <v>-0.6199818684</v>
      </c>
      <c r="AK244" s="132">
        <f>VLOOKUP($O244,'NO USAR1'!$A$4:$L$403,10,False)*$AB$19</f>
        <v>0.1950786871</v>
      </c>
      <c r="AL244" s="127">
        <f>VLOOKUP($O244,'NO USAR1'!$A$4:$L$403,12,False)*$AC$19</f>
        <v>0.3088067464</v>
      </c>
      <c r="AM244" s="133">
        <f t="shared" si="2"/>
        <v>-1.514719978</v>
      </c>
      <c r="AN244" s="133">
        <f t="shared" si="3"/>
        <v>-2.855628184</v>
      </c>
    </row>
    <row r="245">
      <c r="A245" s="118" t="str">
        <f>IF(Update!B243="",ROW(Update!B243),Update!B243)</f>
        <v>AJ Griffin</v>
      </c>
      <c r="B245" s="119">
        <f>IF(TYPE($A245)=1,"",(Update!$L243-B$1)/B$2)</f>
        <v>-1.340908206</v>
      </c>
      <c r="C245" s="119">
        <f>IF(TYPE($A245)=1,"",(Update!$K243-C$1)/C$2)</f>
        <v>-0.1393829235</v>
      </c>
      <c r="D245" s="119">
        <f>IF(TYPE($A245)=1,"",(Update!$M243-D$1)/D$2)</f>
        <v>-1.62884804</v>
      </c>
      <c r="E245" s="119">
        <f>IF(TYPE($A245)=1,"",(Update!$N243-E$1)/E$2)</f>
        <v>-1.27227956</v>
      </c>
      <c r="F245" s="119">
        <f>IF(TYPE($A245)=1,"",(Update!$O243-F$1)/F$2)</f>
        <v>-1.229386107</v>
      </c>
      <c r="G245" s="119">
        <f>IF(TYPE($A245)=1,"",(Update!$P243-G$1)/G$2)</f>
        <v>-0.9404715375</v>
      </c>
      <c r="H245" s="119">
        <f>IF(TYPE($A245)=1,"",(Update!$H243-H$1)/H$2*I245/$I$1)</f>
        <v>-0.2981928903</v>
      </c>
      <c r="I245" s="119">
        <f>IF(TYPE($A245)=1,"",IF(Update!H243=0,0,Update!G243/Update!H243))</f>
        <v>7.8</v>
      </c>
      <c r="J245" s="120">
        <f>IF(TYPE($A245)=1,"",(Update!$J243-J$1)/J$2*K245/$K$1)</f>
        <v>0.1466891596</v>
      </c>
      <c r="K245" s="121">
        <f>IF(TYPE($A245)=1,"",IF(Update!J243=0,0,Update!I243/Update!J243))</f>
        <v>0.7</v>
      </c>
      <c r="L245" s="119">
        <f>IF(TYPE($A245)=1,"",-(Update!$Q243-L$1)/L$2)</f>
        <v>1.73196706</v>
      </c>
      <c r="N245" s="33">
        <v>225.0</v>
      </c>
      <c r="O245" s="130" t="str">
        <f>IF(Update!B204="",ROW(Update!B204),Update!B204)</f>
        <v>James Wiseman</v>
      </c>
      <c r="P245" s="131">
        <f>Update!E204</f>
        <v>56</v>
      </c>
      <c r="Q245" s="131" t="str">
        <f>IF(Update!C204="",ROW(Update!N219),Update!C204)</f>
        <v>C</v>
      </c>
      <c r="R245" s="127">
        <f>VLOOKUP($O245,'NO USAR1'!$A$4:$L$403,2,False)+VLOOKUP($O245,'NO USAR1'!$A$4:$L$403,3,False)+VLOOKUP($O245,'NO USAR1'!$A$4:$L$403,4,False)+VLOOKUP($O245,'NO USAR1'!$A$4:$L$403,5,False)+VLOOKUP($O245,'NO USAR1'!$A$4:$L$403,6,False)+VLOOKUP($O245,'NO USAR1'!$A$4:$L$403,7,False)+VLOOKUP($O245,'NO USAR1'!$A$4:$L$403,8,False)+VLOOKUP($O245,'NO USAR1'!$A$4:$L$403,10,False)+VLOOKUP($O245,'NO USAR1'!$A$4:$L$403,12,False)*0</f>
        <v>-5.967610206</v>
      </c>
      <c r="S245" s="127">
        <f>VLOOKUP($O245,'NO USAR1'!$A$4:$L$403,2,False)*$U$19+VLOOKUP($O245,'NO USAR1'!$A$4:$L$403,3,False)*$V$19+VLOOKUP($O245,'NO USAR1'!$A$4:$L$403,4,False)*$W$19+VLOOKUP($O245,'NO USAR1'!$A$4:$L$403,5,False)*$X$19+VLOOKUP($O245,'NO USAR1'!$A$4:$L$403,6,False)*$Y$19+VLOOKUP($O245,'NO USAR1'!$A$4:$L$403,7,False)*$Z$19+VLOOKUP($O245,'NO USAR1'!$A$4:$L$403,8,False)*$AA$19+VLOOKUP($O245,'NO USAR1'!$A$4:$L$403,10,False)*$AB$19+VLOOKUP($O245,'NO USAR1'!$A$4:$L$403,12,False)*$AC$19+IF(Projections!$K$3,-AN245, IF(Projections!$J$3,-AM245,0))</f>
        <v>-3.291745737</v>
      </c>
      <c r="T245" s="127">
        <f t="shared" si="1"/>
        <v>2.675864469</v>
      </c>
      <c r="U245" s="127">
        <f>VLOOKUP($O245,Update!$B$2:$R$401,11,False)</f>
        <v>10.9</v>
      </c>
      <c r="V245" s="122">
        <f>VLOOKUP($O245,Update!$B$2:$R$401,10,False)</f>
        <v>0.1</v>
      </c>
      <c r="W245" s="127">
        <f>VLOOKUP($O245,Update!$B$2:$R$401,12,False)</f>
        <v>6.5</v>
      </c>
      <c r="X245" s="127">
        <f>VLOOKUP($O245,Update!$B$2:$R$401,13,False)</f>
        <v>0.7</v>
      </c>
      <c r="Y245" s="127">
        <f>VLOOKUP($O245,Update!$B$2:$R$401,14,False)</f>
        <v>0.2</v>
      </c>
      <c r="Z245" s="132">
        <f>VLOOKUP($O245,Update!$B$2:$R$401,15,False)</f>
        <v>0.9</v>
      </c>
      <c r="AA245" s="127">
        <f>100*VLOOKUP($O245,Update!$B$2:$R$401,7,False)</f>
        <v>56.09756098</v>
      </c>
      <c r="AB245" s="127">
        <f>100*VLOOKUP($O245,Update!$B$2:$R$401,9,False)</f>
        <v>70.83333333</v>
      </c>
      <c r="AC245" s="127">
        <f>VLOOKUP($O245,Update!$B$2:$Q$401,16,False)</f>
        <v>1.2</v>
      </c>
      <c r="AD245" s="127">
        <f>VLOOKUP($O245,'NO USAR1'!$A$4:$L$403,2,False)*$U$19</f>
        <v>-1.071266003</v>
      </c>
      <c r="AE245" s="127">
        <f>VLOOKUP($O245,'NO USAR1'!$A$4:$L$403,3,False)*$V$19</f>
        <v>-1.339424933</v>
      </c>
      <c r="AF245" s="127">
        <f>VLOOKUP($O245,'NO USAR1'!$A$4:$L$403,4,False)*$W$19</f>
        <v>0.1692128634</v>
      </c>
      <c r="AG245" s="127">
        <f>VLOOKUP($O245,'NO USAR1'!$A$4:$L$403,5,False)*$X$19</f>
        <v>-1.603517358</v>
      </c>
      <c r="AH245" s="127">
        <f>VLOOKUP($O245,'NO USAR1'!$A$4:$L$403,6,False)*$Y$19</f>
        <v>-1.732769878</v>
      </c>
      <c r="AI245" s="127">
        <f>VLOOKUP($O245,'NO USAR1'!$A$4:$L$403,7,False)*$Z$19</f>
        <v>0.2608808015</v>
      </c>
      <c r="AJ245" s="127">
        <f>VLOOKUP($O245,'NO USAR1'!$A$4:$L$403,8,False)*$AA$19</f>
        <v>0.5323228276</v>
      </c>
      <c r="AK245" s="132">
        <f>VLOOKUP($O245,'NO USAR1'!$A$4:$L$403,10,False)*$AB$19</f>
        <v>-0.4866681724</v>
      </c>
      <c r="AL245" s="127">
        <f>VLOOKUP($O245,'NO USAR1'!$A$4:$L$403,12,False)*$AC$19</f>
        <v>0.2467142371</v>
      </c>
      <c r="AM245" s="133">
        <f t="shared" si="2"/>
        <v>-1.732769878</v>
      </c>
      <c r="AN245" s="133">
        <f t="shared" si="3"/>
        <v>-3.336287237</v>
      </c>
    </row>
    <row r="246">
      <c r="A246" s="118" t="str">
        <f>IF(Update!B244="",ROW(Update!B244),Update!B244)</f>
        <v>Jaden Springer</v>
      </c>
      <c r="B246" s="119">
        <f>IF(TYPE($A246)=1,"",(Update!$L244-B$1)/B$2)</f>
        <v>-1.930750525</v>
      </c>
      <c r="C246" s="119">
        <f>IF(TYPE($A246)=1,"",(Update!$K244-C$1)/C$2)</f>
        <v>-1.295554639</v>
      </c>
      <c r="D246" s="119">
        <f>IF(TYPE($A246)=1,"",(Update!$M244-D$1)/D$2)</f>
        <v>-1.67066341</v>
      </c>
      <c r="E246" s="119">
        <f>IF(TYPE($A246)=1,"",(Update!$N244-E$1)/E$2)</f>
        <v>-1.27227956</v>
      </c>
      <c r="F246" s="119">
        <f>IF(TYPE($A246)=1,"",(Update!$O244-F$1)/F$2)</f>
        <v>-0.2948865325</v>
      </c>
      <c r="G246" s="119">
        <f>IF(TYPE($A246)=1,"",(Update!$P244-G$1)/G$2)</f>
        <v>-0.002501254089</v>
      </c>
      <c r="H246" s="119">
        <f>IF(TYPE($A246)=1,"",(Update!$H244-H$1)/H$2*I246/$I$1)</f>
        <v>0.07643890692</v>
      </c>
      <c r="I246" s="119">
        <f>IF(TYPE($A246)=1,"",IF(Update!H244=0,0,Update!G244/Update!H244))</f>
        <v>4.7</v>
      </c>
      <c r="J246" s="120">
        <f>IF(TYPE($A246)=1,"",(Update!$J244-J$1)/J$2*K246/$K$1)</f>
        <v>-0.2139962543</v>
      </c>
      <c r="K246" s="121">
        <f>IF(TYPE($A246)=1,"",IF(Update!J244=0,0,Update!I244/Update!J244))</f>
        <v>1.1</v>
      </c>
      <c r="L246" s="119">
        <f>IF(TYPE($A246)=1,"",-(Update!$Q244-L$1)/L$2)</f>
        <v>1.856152079</v>
      </c>
      <c r="N246" s="124">
        <v>226.0</v>
      </c>
      <c r="O246" s="130" t="str">
        <f>IF(Update!B223="",ROW(Update!B223),Update!B223)</f>
        <v>Max Christie</v>
      </c>
      <c r="P246" s="131">
        <f>Update!E223</f>
        <v>70</v>
      </c>
      <c r="Q246" s="131" t="str">
        <f>IF(Update!C223="",ROW(Update!N238),Update!C223)</f>
        <v>SG,SF</v>
      </c>
      <c r="R246" s="127">
        <f>VLOOKUP($O246,'NO USAR1'!$A$4:$L$403,2,False)+VLOOKUP($O246,'NO USAR1'!$A$4:$L$403,3,False)+VLOOKUP($O246,'NO USAR1'!$A$4:$L$403,4,False)+VLOOKUP($O246,'NO USAR1'!$A$4:$L$403,5,False)+VLOOKUP($O246,'NO USAR1'!$A$4:$L$403,6,False)+VLOOKUP($O246,'NO USAR1'!$A$4:$L$403,7,False)+VLOOKUP($O246,'NO USAR1'!$A$4:$L$403,8,False)+VLOOKUP($O246,'NO USAR1'!$A$4:$L$403,10,False)+VLOOKUP($O246,'NO USAR1'!$A$4:$L$403,12,False)*0</f>
        <v>-6.021128344</v>
      </c>
      <c r="S246" s="127">
        <f>VLOOKUP($O246,'NO USAR1'!$A$4:$L$403,2,False)*$U$19+VLOOKUP($O246,'NO USAR1'!$A$4:$L$403,3,False)*$V$19+VLOOKUP($O246,'NO USAR1'!$A$4:$L$403,4,False)*$W$19+VLOOKUP($O246,'NO USAR1'!$A$4:$L$403,5,False)*$X$19+VLOOKUP($O246,'NO USAR1'!$A$4:$L$403,6,False)*$Y$19+VLOOKUP($O246,'NO USAR1'!$A$4:$L$403,7,False)*$Z$19+VLOOKUP($O246,'NO USAR1'!$A$4:$L$403,8,False)*$AA$19+VLOOKUP($O246,'NO USAR1'!$A$4:$L$403,10,False)*$AB$19+VLOOKUP($O246,'NO USAR1'!$A$4:$L$403,12,False)*$AC$19+IF(Projections!$K$3,-AN246, IF(Projections!$J$3,-AM246,0))</f>
        <v>-3.661466571</v>
      </c>
      <c r="T246" s="127">
        <f t="shared" si="1"/>
        <v>2.359661773</v>
      </c>
      <c r="U246" s="127">
        <f>VLOOKUP($O246,Update!$B$2:$R$401,11,False)</f>
        <v>7.4</v>
      </c>
      <c r="V246" s="122">
        <f>VLOOKUP($O246,Update!$B$2:$R$401,10,False)</f>
        <v>1.4</v>
      </c>
      <c r="W246" s="127">
        <f>VLOOKUP($O246,Update!$B$2:$R$401,12,False)</f>
        <v>3.9</v>
      </c>
      <c r="X246" s="127">
        <f>VLOOKUP($O246,Update!$B$2:$R$401,13,False)</f>
        <v>1.1</v>
      </c>
      <c r="Y246" s="127">
        <f>VLOOKUP($O246,Update!$B$2:$R$401,14,False)</f>
        <v>0.7</v>
      </c>
      <c r="Z246" s="132">
        <f>VLOOKUP($O246,Update!$B$2:$R$401,15,False)</f>
        <v>0.4</v>
      </c>
      <c r="AA246" s="127">
        <f>100*VLOOKUP($O246,Update!$B$2:$R$401,7,False)</f>
        <v>43.33333333</v>
      </c>
      <c r="AB246" s="127">
        <f>100*VLOOKUP($O246,Update!$B$2:$R$401,9,False)</f>
        <v>77.77777778</v>
      </c>
      <c r="AC246" s="127">
        <f>VLOOKUP($O246,Update!$B$2:$Q$401,16,False)</f>
        <v>1</v>
      </c>
      <c r="AD246" s="127">
        <f>VLOOKUP($O246,'NO USAR1'!$A$4:$L$403,2,False)*$U$19</f>
        <v>-1.661108322</v>
      </c>
      <c r="AE246" s="127">
        <f>VLOOKUP($O246,'NO USAR1'!$A$4:$L$403,3,False)*$V$19</f>
        <v>-0.2121575099</v>
      </c>
      <c r="AF246" s="127">
        <f>VLOOKUP($O246,'NO USAR1'!$A$4:$L$403,4,False)*$W$19</f>
        <v>-0.9179867529</v>
      </c>
      <c r="AG246" s="127">
        <f>VLOOKUP($O246,'NO USAR1'!$A$4:$L$403,5,False)*$X$19</f>
        <v>-1.399507516</v>
      </c>
      <c r="AH246" s="127">
        <f>VLOOKUP($O246,'NO USAR1'!$A$4:$L$403,6,False)*$Y$19</f>
        <v>-0.6425203744</v>
      </c>
      <c r="AI246" s="127">
        <f>VLOOKUP($O246,'NO USAR1'!$A$4:$L$403,7,False)*$Z$19</f>
        <v>-0.3956983969</v>
      </c>
      <c r="AJ246" s="127">
        <f>VLOOKUP($O246,'NO USAR1'!$A$4:$L$403,8,False)*$AA$19</f>
        <v>-0.375479929</v>
      </c>
      <c r="AK246" s="132">
        <f>VLOOKUP($O246,'NO USAR1'!$A$4:$L$403,10,False)*$AB$19</f>
        <v>-0.02692283787</v>
      </c>
      <c r="AL246" s="127">
        <f>VLOOKUP($O246,'NO USAR1'!$A$4:$L$403,12,False)*$AC$19</f>
        <v>0.3088067464</v>
      </c>
      <c r="AM246" s="133">
        <f t="shared" si="2"/>
        <v>-1.661108322</v>
      </c>
      <c r="AN246" s="133">
        <f t="shared" si="3"/>
        <v>-3.060615839</v>
      </c>
    </row>
    <row r="247">
      <c r="A247" s="118" t="str">
        <f>IF(Update!B245="",ROW(Update!B245),Update!B245)</f>
        <v>Thomas Bryant</v>
      </c>
      <c r="B247" s="119">
        <f>IF(TYPE($A247)=1,"",(Update!$L245-B$1)/B$2)</f>
        <v>-1.576845134</v>
      </c>
      <c r="C247" s="119">
        <f>IF(TYPE($A247)=1,"",(Update!$K245-C$1)/C$2)</f>
        <v>-1.199206996</v>
      </c>
      <c r="D247" s="119">
        <f>IF(TYPE($A247)=1,"",(Update!$M245-D$1)/D$2)</f>
        <v>-0.6670945338</v>
      </c>
      <c r="E247" s="119">
        <f>IF(TYPE($A247)=1,"",(Update!$N245-E$1)/E$2)</f>
        <v>-1.504108926</v>
      </c>
      <c r="F247" s="119">
        <f>IF(TYPE($A247)=1,"",(Update!$O245-F$1)/F$2)</f>
        <v>-2.475385541</v>
      </c>
      <c r="G247" s="119">
        <f>IF(TYPE($A247)=1,"",(Update!$P245-G$1)/G$2)</f>
        <v>-0.3776893674</v>
      </c>
      <c r="H247" s="119">
        <f>IF(TYPE($A247)=1,"",(Update!$H245-H$1)/H$2*I247/$I$1)</f>
        <v>0.5780997625</v>
      </c>
      <c r="I247" s="119">
        <f>IF(TYPE($A247)=1,"",IF(Update!H245=0,0,Update!G245/Update!H245))</f>
        <v>5.2</v>
      </c>
      <c r="J247" s="120">
        <f>IF(TYPE($A247)=1,"",(Update!$J245-J$1)/J$2*K247/$K$1)</f>
        <v>-0.132713468</v>
      </c>
      <c r="K247" s="121">
        <f>IF(TYPE($A247)=1,"",IF(Update!J245=0,0,Update!I245/Update!J245))</f>
        <v>1.7</v>
      </c>
      <c r="L247" s="119">
        <f>IF(TYPE($A247)=1,"",-(Update!$Q245-L$1)/L$2)</f>
        <v>1.73196706</v>
      </c>
      <c r="N247" s="124">
        <v>227.0</v>
      </c>
      <c r="O247" s="130" t="str">
        <f>IF(Update!B241="",ROW(Update!B241),Update!B241)</f>
        <v>Aleksej Pokusevski</v>
      </c>
      <c r="P247" s="131">
        <f>Update!E241</f>
        <v>50</v>
      </c>
      <c r="Q247" s="131" t="str">
        <f>IF(Update!C241="",ROW(Update!N256),Update!C241)</f>
        <v>PF,C</v>
      </c>
      <c r="R247" s="127">
        <f>VLOOKUP($O247,'NO USAR1'!$A$4:$L$403,2,False)+VLOOKUP($O247,'NO USAR1'!$A$4:$L$403,3,False)+VLOOKUP($O247,'NO USAR1'!$A$4:$L$403,4,False)+VLOOKUP($O247,'NO USAR1'!$A$4:$L$403,5,False)+VLOOKUP($O247,'NO USAR1'!$A$4:$L$403,6,False)+VLOOKUP($O247,'NO USAR1'!$A$4:$L$403,7,False)+VLOOKUP($O247,'NO USAR1'!$A$4:$L$403,8,False)+VLOOKUP($O247,'NO USAR1'!$A$4:$L$403,10,False)+VLOOKUP($O247,'NO USAR1'!$A$4:$L$403,12,False)*0</f>
        <v>-6.040820231</v>
      </c>
      <c r="S247" s="127">
        <f>VLOOKUP($O247,'NO USAR1'!$A$4:$L$403,2,False)*$U$19+VLOOKUP($O247,'NO USAR1'!$A$4:$L$403,3,False)*$V$19+VLOOKUP($O247,'NO USAR1'!$A$4:$L$403,4,False)*$W$19+VLOOKUP($O247,'NO USAR1'!$A$4:$L$403,5,False)*$X$19+VLOOKUP($O247,'NO USAR1'!$A$4:$L$403,6,False)*$Y$19+VLOOKUP($O247,'NO USAR1'!$A$4:$L$403,7,False)*$Z$19+VLOOKUP($O247,'NO USAR1'!$A$4:$L$403,8,False)*$AA$19+VLOOKUP($O247,'NO USAR1'!$A$4:$L$403,10,False)*$AB$19+VLOOKUP($O247,'NO USAR1'!$A$4:$L$403,12,False)*$AC$19+IF(Projections!$K$3,-AN247, IF(Projections!$J$3,-AM247,0))</f>
        <v>-3.671776184</v>
      </c>
      <c r="T247" s="127">
        <f t="shared" si="1"/>
        <v>2.369044047</v>
      </c>
      <c r="U247" s="127">
        <f>VLOOKUP($O247,Update!$B$2:$R$401,11,False)</f>
        <v>7</v>
      </c>
      <c r="V247" s="122">
        <f>VLOOKUP($O247,Update!$B$2:$R$401,10,False)</f>
        <v>0.9</v>
      </c>
      <c r="W247" s="127">
        <f>VLOOKUP($O247,Update!$B$2:$R$401,12,False)</f>
        <v>4.5</v>
      </c>
      <c r="X247" s="127">
        <f>VLOOKUP($O247,Update!$B$2:$R$401,13,False)</f>
        <v>1.8</v>
      </c>
      <c r="Y247" s="127">
        <f>VLOOKUP($O247,Update!$B$2:$R$401,14,False)</f>
        <v>0.6</v>
      </c>
      <c r="Z247" s="132">
        <f>VLOOKUP($O247,Update!$B$2:$R$401,15,False)</f>
        <v>0.8</v>
      </c>
      <c r="AA247" s="127">
        <f>100*VLOOKUP($O247,Update!$B$2:$R$401,7,False)</f>
        <v>42.42424242</v>
      </c>
      <c r="AB247" s="127">
        <f>100*VLOOKUP($O247,Update!$B$2:$R$401,9,False)</f>
        <v>62.5</v>
      </c>
      <c r="AC247" s="127">
        <f>VLOOKUP($O247,Update!$B$2:$Q$401,16,False)</f>
        <v>1.3</v>
      </c>
      <c r="AD247" s="127">
        <f>VLOOKUP($O247,'NO USAR1'!$A$4:$L$403,2,False)*$U$19</f>
        <v>-1.728518873</v>
      </c>
      <c r="AE247" s="127">
        <f>VLOOKUP($O247,'NO USAR1'!$A$4:$L$403,3,False)*$V$19</f>
        <v>-0.6457219034</v>
      </c>
      <c r="AF247" s="127">
        <f>VLOOKUP($O247,'NO USAR1'!$A$4:$L$403,4,False)*$W$19</f>
        <v>-0.6670945338</v>
      </c>
      <c r="AG247" s="127">
        <f>VLOOKUP($O247,'NO USAR1'!$A$4:$L$403,5,False)*$X$19</f>
        <v>-1.042490293</v>
      </c>
      <c r="AH247" s="127">
        <f>VLOOKUP($O247,'NO USAR1'!$A$4:$L$403,6,False)*$Y$19</f>
        <v>-0.8605702752</v>
      </c>
      <c r="AI247" s="127">
        <f>VLOOKUP($O247,'NO USAR1'!$A$4:$L$403,7,False)*$Z$19</f>
        <v>0.1295649618</v>
      </c>
      <c r="AJ247" s="127">
        <f>VLOOKUP($O247,'NO USAR1'!$A$4:$L$403,8,False)*$AA$19</f>
        <v>-0.4729598237</v>
      </c>
      <c r="AK247" s="132">
        <f>VLOOKUP($O247,'NO USAR1'!$A$4:$L$403,10,False)*$AB$19</f>
        <v>-0.3281722994</v>
      </c>
      <c r="AL247" s="127">
        <f>VLOOKUP($O247,'NO USAR1'!$A$4:$L$403,12,False)*$AC$19</f>
        <v>0.2156679824</v>
      </c>
      <c r="AM247" s="133">
        <f t="shared" si="2"/>
        <v>-1.728518873</v>
      </c>
      <c r="AN247" s="133">
        <f t="shared" si="3"/>
        <v>-2.771009166</v>
      </c>
    </row>
    <row r="248">
      <c r="A248" s="118" t="str">
        <f>IF(Update!B246="",ROW(Update!B246),Update!B246)</f>
        <v>Ricky Rubio</v>
      </c>
      <c r="B248" s="119">
        <f>IF(TYPE($A248)=1,"",(Update!$L246-B$1)/B$2)</f>
        <v>-1.644255685</v>
      </c>
      <c r="C248" s="119">
        <f>IF(TYPE($A248)=1,"",(Update!$K246-C$1)/C$2)</f>
        <v>-0.6211211385</v>
      </c>
      <c r="D248" s="119">
        <f>IF(TYPE($A248)=1,"",(Update!$M246-D$1)/D$2)</f>
        <v>-1.461586561</v>
      </c>
      <c r="E248" s="119">
        <f>IF(TYPE($A248)=1,"",(Update!$N246-E$1)/E$2)</f>
        <v>0.1186966354</v>
      </c>
      <c r="F248" s="119">
        <f>IF(TYPE($A248)=1,"",(Update!$O246-F$1)/F$2)</f>
        <v>-0.2948865325</v>
      </c>
      <c r="G248" s="119">
        <f>IF(TYPE($A248)=1,"",(Update!$P246-G$1)/G$2)</f>
        <v>-0.9404715375</v>
      </c>
      <c r="H248" s="119">
        <f>IF(TYPE($A248)=1,"",(Update!$H246-H$1)/H$2*I248/$I$1)</f>
        <v>-1.133700092</v>
      </c>
      <c r="I248" s="119">
        <f>IF(TYPE($A248)=1,"",IF(Update!H246=0,0,Update!G246/Update!H246))</f>
        <v>7.1</v>
      </c>
      <c r="J248" s="120">
        <f>IF(TYPE($A248)=1,"",(Update!$J246-J$1)/J$2*K248/$K$1)</f>
        <v>0.1784419856</v>
      </c>
      <c r="K248" s="121">
        <f>IF(TYPE($A248)=1,"",IF(Update!J246=0,0,Update!I246/Update!J246))</f>
        <v>1.7</v>
      </c>
      <c r="L248" s="119">
        <f>IF(TYPE($A248)=1,"",-(Update!$Q246-L$1)/L$2)</f>
        <v>0.6143018923</v>
      </c>
      <c r="N248" s="33">
        <v>228.0</v>
      </c>
      <c r="O248" s="130" t="str">
        <f>IF(Update!B250="",ROW(Update!B250),Update!B250)</f>
        <v>Andre Drummond</v>
      </c>
      <c r="P248" s="131">
        <f>Update!E250</f>
        <v>70</v>
      </c>
      <c r="Q248" s="131" t="str">
        <f>IF(Update!C250="",ROW(Update!N265),Update!C250)</f>
        <v>C</v>
      </c>
      <c r="R248" s="127">
        <f>VLOOKUP($O248,'NO USAR1'!$A$4:$L$403,2,False)+VLOOKUP($O248,'NO USAR1'!$A$4:$L$403,3,False)+VLOOKUP($O248,'NO USAR1'!$A$4:$L$403,4,False)+VLOOKUP($O248,'NO USAR1'!$A$4:$L$403,5,False)+VLOOKUP($O248,'NO USAR1'!$A$4:$L$403,6,False)+VLOOKUP($O248,'NO USAR1'!$A$4:$L$403,7,False)+VLOOKUP($O248,'NO USAR1'!$A$4:$L$403,8,False)+VLOOKUP($O248,'NO USAR1'!$A$4:$L$403,10,False)+VLOOKUP($O248,'NO USAR1'!$A$4:$L$403,12,False)*0</f>
        <v>-6.050007099</v>
      </c>
      <c r="S248" s="127">
        <f>VLOOKUP($O248,'NO USAR1'!$A$4:$L$403,2,False)*$U$19+VLOOKUP($O248,'NO USAR1'!$A$4:$L$403,3,False)*$V$19+VLOOKUP($O248,'NO USAR1'!$A$4:$L$403,4,False)*$W$19+VLOOKUP($O248,'NO USAR1'!$A$4:$L$403,5,False)*$X$19+VLOOKUP($O248,'NO USAR1'!$A$4:$L$403,6,False)*$Y$19+VLOOKUP($O248,'NO USAR1'!$A$4:$L$403,7,False)*$Z$19+VLOOKUP($O248,'NO USAR1'!$A$4:$L$403,8,False)*$AA$19+VLOOKUP($O248,'NO USAR1'!$A$4:$L$403,10,False)*$AB$19+VLOOKUP($O248,'NO USAR1'!$A$4:$L$403,12,False)*$AC$19+IF(Projections!$K$3,-AN248, IF(Projections!$J$3,-AM248,0))</f>
        <v>-3.441529685</v>
      </c>
      <c r="T248" s="127">
        <f t="shared" si="1"/>
        <v>2.608477414</v>
      </c>
      <c r="U248" s="127">
        <f>VLOOKUP($O248,Update!$B$2:$R$401,11,False)</f>
        <v>6.1</v>
      </c>
      <c r="V248" s="122">
        <f>VLOOKUP($O248,Update!$B$2:$R$401,10,False)</f>
        <v>0</v>
      </c>
      <c r="W248" s="127">
        <f>VLOOKUP($O248,Update!$B$2:$R$401,12,False)</f>
        <v>7</v>
      </c>
      <c r="X248" s="127">
        <f>VLOOKUP($O248,Update!$B$2:$R$401,13,False)</f>
        <v>1</v>
      </c>
      <c r="Y248" s="127">
        <f>VLOOKUP($O248,Update!$B$2:$R$401,14,False)</f>
        <v>0.8</v>
      </c>
      <c r="Z248" s="132">
        <f>VLOOKUP($O248,Update!$B$2:$R$401,15,False)</f>
        <v>0.6</v>
      </c>
      <c r="AA248" s="127">
        <f>100*VLOOKUP($O248,Update!$B$2:$R$401,7,False)</f>
        <v>59.09090909</v>
      </c>
      <c r="AB248" s="127">
        <f>100*VLOOKUP($O248,Update!$B$2:$R$401,9,False)</f>
        <v>55.55555556</v>
      </c>
      <c r="AC248" s="127">
        <f>VLOOKUP($O248,Update!$B$2:$Q$401,16,False)</f>
        <v>1.2</v>
      </c>
      <c r="AD248" s="127">
        <f>VLOOKUP($O248,'NO USAR1'!$A$4:$L$403,2,False)*$U$19</f>
        <v>-1.880192612</v>
      </c>
      <c r="AE248" s="127">
        <f>VLOOKUP($O248,'NO USAR1'!$A$4:$L$403,3,False)*$V$19</f>
        <v>-1.426137812</v>
      </c>
      <c r="AF248" s="127">
        <f>VLOOKUP($O248,'NO USAR1'!$A$4:$L$403,4,False)*$W$19</f>
        <v>0.3782897126</v>
      </c>
      <c r="AG248" s="127">
        <f>VLOOKUP($O248,'NO USAR1'!$A$4:$L$403,5,False)*$X$19</f>
        <v>-1.450509977</v>
      </c>
      <c r="AH248" s="127">
        <f>VLOOKUP($O248,'NO USAR1'!$A$4:$L$403,6,False)*$Y$19</f>
        <v>-0.4244704736</v>
      </c>
      <c r="AI248" s="127">
        <f>VLOOKUP($O248,'NO USAR1'!$A$4:$L$403,7,False)*$Z$19</f>
        <v>-0.1330667175</v>
      </c>
      <c r="AJ248" s="127">
        <f>VLOOKUP($O248,'NO USAR1'!$A$4:$L$403,8,False)*$AA$19</f>
        <v>0.4171944723</v>
      </c>
      <c r="AK248" s="132">
        <f>VLOOKUP($O248,'NO USAR1'!$A$4:$L$403,10,False)*$AB$19</f>
        <v>-1.049543127</v>
      </c>
      <c r="AL248" s="127">
        <f>VLOOKUP($O248,'NO USAR1'!$A$4:$L$403,12,False)*$AC$19</f>
        <v>0.2467142371</v>
      </c>
      <c r="AM248" s="133">
        <f t="shared" si="2"/>
        <v>-1.880192612</v>
      </c>
      <c r="AN248" s="133">
        <f t="shared" si="3"/>
        <v>-3.330702589</v>
      </c>
    </row>
    <row r="249">
      <c r="A249" s="118" t="str">
        <f>IF(Update!B247="",ROW(Update!B247),Update!B247)</f>
        <v>Jalen McDaniels</v>
      </c>
      <c r="B249" s="119">
        <f>IF(TYPE($A249)=1,"",(Update!$L247-B$1)/B$2)</f>
        <v>-1.711666235</v>
      </c>
      <c r="C249" s="119">
        <f>IF(TYPE($A249)=1,"",(Update!$K247-C$1)/C$2)</f>
        <v>-0.8138164245</v>
      </c>
      <c r="D249" s="119">
        <f>IF(TYPE($A249)=1,"",(Update!$M247-D$1)/D$2)</f>
        <v>-1.168878972</v>
      </c>
      <c r="E249" s="119">
        <f>IF(TYPE($A249)=1,"",(Update!$N247-E$1)/E$2)</f>
        <v>-1.225913687</v>
      </c>
      <c r="F249" s="119">
        <f>IF(TYPE($A249)=1,"",(Update!$O247-F$1)/F$2)</f>
        <v>-0.9178862491</v>
      </c>
      <c r="G249" s="119">
        <f>IF(TYPE($A249)=1,"",(Update!$P247-G$1)/G$2)</f>
        <v>-0.5652834241</v>
      </c>
      <c r="H249" s="119">
        <f>IF(TYPE($A249)=1,"",(Update!$H247-H$1)/H$2*I249/$I$1)</f>
        <v>-0.2520594208</v>
      </c>
      <c r="I249" s="119">
        <f>IF(TYPE($A249)=1,"",IF(Update!H247=0,0,Update!G247/Update!H247))</f>
        <v>5.7</v>
      </c>
      <c r="J249" s="120">
        <f>IF(TYPE($A249)=1,"",(Update!$J247-J$1)/J$2*K249/$K$1)</f>
        <v>-0.01777713435</v>
      </c>
      <c r="K249" s="121">
        <f>IF(TYPE($A249)=1,"",IF(Update!J247=0,0,Update!I247/Update!J247))</f>
        <v>1.4</v>
      </c>
      <c r="L249" s="119">
        <f>IF(TYPE($A249)=1,"",-(Update!$Q247-L$1)/L$2)</f>
        <v>1.483597023</v>
      </c>
      <c r="N249" s="33">
        <v>229.0</v>
      </c>
      <c r="O249" s="130" t="str">
        <f>IF(Update!B221="",ROW(Update!B221),Update!B221)</f>
        <v>Isaiah Joe</v>
      </c>
      <c r="P249" s="131">
        <f>Update!E221</f>
        <v>70</v>
      </c>
      <c r="Q249" s="131" t="str">
        <f>IF(Update!C221="",ROW(Update!N236),Update!C221)</f>
        <v>PG,SG</v>
      </c>
      <c r="R249" s="127">
        <f>VLOOKUP($O249,'NO USAR1'!$A$4:$L$403,2,False)+VLOOKUP($O249,'NO USAR1'!$A$4:$L$403,3,False)+VLOOKUP($O249,'NO USAR1'!$A$4:$L$403,4,False)+VLOOKUP($O249,'NO USAR1'!$A$4:$L$403,5,False)+VLOOKUP($O249,'NO USAR1'!$A$4:$L$403,6,False)+VLOOKUP($O249,'NO USAR1'!$A$4:$L$403,7,False)+VLOOKUP($O249,'NO USAR1'!$A$4:$L$403,8,False)+VLOOKUP($O249,'NO USAR1'!$A$4:$L$403,10,False)+VLOOKUP($O249,'NO USAR1'!$A$4:$L$403,12,False)*0</f>
        <v>-6.055021868</v>
      </c>
      <c r="S249" s="127">
        <f>VLOOKUP($O249,'NO USAR1'!$A$4:$L$403,2,False)*$U$19+VLOOKUP($O249,'NO USAR1'!$A$4:$L$403,3,False)*$V$19+VLOOKUP($O249,'NO USAR1'!$A$4:$L$403,4,False)*$W$19+VLOOKUP($O249,'NO USAR1'!$A$4:$L$403,5,False)*$X$19+VLOOKUP($O249,'NO USAR1'!$A$4:$L$403,6,False)*$Y$19+VLOOKUP($O249,'NO USAR1'!$A$4:$L$403,7,False)*$Z$19+VLOOKUP($O249,'NO USAR1'!$A$4:$L$403,8,False)*$AA$19+VLOOKUP($O249,'NO USAR1'!$A$4:$L$403,10,False)*$AB$19+VLOOKUP($O249,'NO USAR1'!$A$4:$L$403,12,False)*$AC$19+IF(Projections!$K$3,-AN249, IF(Projections!$J$3,-AM249,0))</f>
        <v>-3.506982079</v>
      </c>
      <c r="T249" s="127">
        <f t="shared" si="1"/>
        <v>2.548039789</v>
      </c>
      <c r="U249" s="127">
        <f>VLOOKUP($O249,Update!$B$2:$R$401,11,False)</f>
        <v>10</v>
      </c>
      <c r="V249" s="122">
        <f>VLOOKUP($O249,Update!$B$2:$R$401,10,False)</f>
        <v>2.3</v>
      </c>
      <c r="W249" s="127">
        <f>VLOOKUP($O249,Update!$B$2:$R$401,12,False)</f>
        <v>2.3</v>
      </c>
      <c r="X249" s="127">
        <f>VLOOKUP($O249,Update!$B$2:$R$401,13,False)</f>
        <v>1.2</v>
      </c>
      <c r="Y249" s="127">
        <f>VLOOKUP($O249,Update!$B$2:$R$401,14,False)</f>
        <v>0.6</v>
      </c>
      <c r="Z249" s="132">
        <f>VLOOKUP($O249,Update!$B$2:$R$401,15,False)</f>
        <v>0.1</v>
      </c>
      <c r="AA249" s="127">
        <f>100*VLOOKUP($O249,Update!$B$2:$R$401,7,False)</f>
        <v>43.42105263</v>
      </c>
      <c r="AB249" s="127">
        <f>100*VLOOKUP($O249,Update!$B$2:$R$401,9,False)</f>
        <v>84.61538462</v>
      </c>
      <c r="AC249" s="127">
        <f>VLOOKUP($O249,Update!$B$2:$Q$401,16,False)</f>
        <v>0.6</v>
      </c>
      <c r="AD249" s="127">
        <f>VLOOKUP($O249,'NO USAR1'!$A$4:$L$403,2,False)*$U$19</f>
        <v>-1.222939742</v>
      </c>
      <c r="AE249" s="127">
        <f>VLOOKUP($O249,'NO USAR1'!$A$4:$L$403,3,False)*$V$19</f>
        <v>0.5682583984</v>
      </c>
      <c r="AF249" s="127">
        <f>VLOOKUP($O249,'NO USAR1'!$A$4:$L$403,4,False)*$W$19</f>
        <v>-1.587032671</v>
      </c>
      <c r="AG249" s="127">
        <f>VLOOKUP($O249,'NO USAR1'!$A$4:$L$403,5,False)*$X$19</f>
        <v>-1.348505056</v>
      </c>
      <c r="AH249" s="127">
        <f>VLOOKUP($O249,'NO USAR1'!$A$4:$L$403,6,False)*$Y$19</f>
        <v>-0.8605702752</v>
      </c>
      <c r="AI249" s="127">
        <f>VLOOKUP($O249,'NO USAR1'!$A$4:$L$403,7,False)*$Z$19</f>
        <v>-0.7896459159</v>
      </c>
      <c r="AJ249" s="127">
        <f>VLOOKUP($O249,'NO USAR1'!$A$4:$L$403,8,False)*$AA$19</f>
        <v>-0.4689488099</v>
      </c>
      <c r="AK249" s="132">
        <f>VLOOKUP($O249,'NO USAR1'!$A$4:$L$403,10,False)*$AB$19</f>
        <v>0.1823775567</v>
      </c>
      <c r="AL249" s="127">
        <f>VLOOKUP($O249,'NO USAR1'!$A$4:$L$403,12,False)*$AC$19</f>
        <v>0.4329917651</v>
      </c>
      <c r="AM249" s="133">
        <f t="shared" si="2"/>
        <v>-1.587032671</v>
      </c>
      <c r="AN249" s="133">
        <f t="shared" si="3"/>
        <v>-2.935537727</v>
      </c>
    </row>
    <row r="250">
      <c r="A250" s="118" t="str">
        <f>IF(Update!B248="",ROW(Update!B248),Update!B248)</f>
        <v>Dario Saric</v>
      </c>
      <c r="B250" s="119">
        <f>IF(TYPE($A250)=1,"",(Update!$L248-B$1)/B$2)</f>
        <v>-1.543139858</v>
      </c>
      <c r="C250" s="119">
        <f>IF(TYPE($A250)=1,"",(Update!$K248-C$1)/C$2)</f>
        <v>-0.6211211385</v>
      </c>
      <c r="D250" s="119">
        <f>IF(TYPE($A250)=1,"",(Update!$M248-D$1)/D$2)</f>
        <v>-0.6252791639</v>
      </c>
      <c r="E250" s="119">
        <f>IF(TYPE($A250)=1,"",(Update!$N248-E$1)/E$2)</f>
        <v>-0.9940843212</v>
      </c>
      <c r="F250" s="119">
        <f>IF(TYPE($A250)=1,"",(Update!$O248-F$1)/F$2)</f>
        <v>-1.540885966</v>
      </c>
      <c r="G250" s="119">
        <f>IF(TYPE($A250)=1,"",(Update!$P248-G$1)/G$2)</f>
        <v>-0.9404715375</v>
      </c>
      <c r="H250" s="119">
        <f>IF(TYPE($A250)=1,"",(Update!$H248-H$1)/H$2*I250/$I$1)</f>
        <v>-0.3053235815</v>
      </c>
      <c r="I250" s="119">
        <f>IF(TYPE($A250)=1,"",IF(Update!H248=0,0,Update!G248/Update!H248))</f>
        <v>6.2</v>
      </c>
      <c r="J250" s="120">
        <f>IF(TYPE($A250)=1,"",(Update!$J248-J$1)/J$2*K250/$K$1)</f>
        <v>0.1784419856</v>
      </c>
      <c r="K250" s="121">
        <f>IF(TYPE($A250)=1,"",IF(Update!J248=0,0,Update!I248/Update!J248))</f>
        <v>1.7</v>
      </c>
      <c r="L250" s="119">
        <f>IF(TYPE($A250)=1,"",-(Update!$Q248-L$1)/L$2)</f>
        <v>0.9868569483</v>
      </c>
      <c r="N250" s="124">
        <v>230.0</v>
      </c>
      <c r="O250" s="130" t="str">
        <f>IF(Update!B226="",ROW(Update!B226),Update!B226)</f>
        <v>Coby White</v>
      </c>
      <c r="P250" s="131">
        <f>Update!E226</f>
        <v>72</v>
      </c>
      <c r="Q250" s="131" t="str">
        <f>IF(Update!C226="",ROW(Update!N241),Update!C226)</f>
        <v>PG,SG</v>
      </c>
      <c r="R250" s="127">
        <f>VLOOKUP($O250,'NO USAR1'!$A$4:$L$403,2,False)+VLOOKUP($O250,'NO USAR1'!$A$4:$L$403,3,False)+VLOOKUP($O250,'NO USAR1'!$A$4:$L$403,4,False)+VLOOKUP($O250,'NO USAR1'!$A$4:$L$403,5,False)+VLOOKUP($O250,'NO USAR1'!$A$4:$L$403,6,False)+VLOOKUP($O250,'NO USAR1'!$A$4:$L$403,7,False)+VLOOKUP($O250,'NO USAR1'!$A$4:$L$403,8,False)+VLOOKUP($O250,'NO USAR1'!$A$4:$L$403,10,False)+VLOOKUP($O250,'NO USAR1'!$A$4:$L$403,12,False)*0</f>
        <v>-6.066749278</v>
      </c>
      <c r="S250" s="127">
        <f>VLOOKUP($O250,'NO USAR1'!$A$4:$L$403,2,False)*$U$19+VLOOKUP($O250,'NO USAR1'!$A$4:$L$403,3,False)*$V$19+VLOOKUP($O250,'NO USAR1'!$A$4:$L$403,4,False)*$W$19+VLOOKUP($O250,'NO USAR1'!$A$4:$L$403,5,False)*$X$19+VLOOKUP($O250,'NO USAR1'!$A$4:$L$403,6,False)*$Y$19+VLOOKUP($O250,'NO USAR1'!$A$4:$L$403,7,False)*$Z$19+VLOOKUP($O250,'NO USAR1'!$A$4:$L$403,8,False)*$AA$19+VLOOKUP($O250,'NO USAR1'!$A$4:$L$403,10,False)*$AB$19+VLOOKUP($O250,'NO USAR1'!$A$4:$L$403,12,False)*$AC$19+IF(Projections!$K$3,-AN250, IF(Projections!$J$3,-AM250,0))</f>
        <v>-3.624361247</v>
      </c>
      <c r="T250" s="127">
        <f t="shared" si="1"/>
        <v>2.442388031</v>
      </c>
      <c r="U250" s="127">
        <f>VLOOKUP($O250,Update!$B$2:$R$401,11,False)</f>
        <v>9.8</v>
      </c>
      <c r="V250" s="122">
        <f>VLOOKUP($O250,Update!$B$2:$R$401,10,False)</f>
        <v>1.7</v>
      </c>
      <c r="W250" s="127">
        <f>VLOOKUP($O250,Update!$B$2:$R$401,12,False)</f>
        <v>2.6</v>
      </c>
      <c r="X250" s="127">
        <f>VLOOKUP($O250,Update!$B$2:$R$401,13,False)</f>
        <v>2.5</v>
      </c>
      <c r="Y250" s="127">
        <f>VLOOKUP($O250,Update!$B$2:$R$401,14,False)</f>
        <v>0.6</v>
      </c>
      <c r="Z250" s="132">
        <f>VLOOKUP($O250,Update!$B$2:$R$401,15,False)</f>
        <v>0.1</v>
      </c>
      <c r="AA250" s="127">
        <f>100*VLOOKUP($O250,Update!$B$2:$R$401,7,False)</f>
        <v>43.90243902</v>
      </c>
      <c r="AB250" s="127">
        <f>100*VLOOKUP($O250,Update!$B$2:$R$401,9,False)</f>
        <v>81.81818182</v>
      </c>
      <c r="AC250" s="127">
        <f>VLOOKUP($O250,Update!$B$2:$Q$401,16,False)</f>
        <v>1</v>
      </c>
      <c r="AD250" s="127">
        <f>VLOOKUP($O250,'NO USAR1'!$A$4:$L$403,2,False)*$U$19</f>
        <v>-1.256645018</v>
      </c>
      <c r="AE250" s="127">
        <f>VLOOKUP($O250,'NO USAR1'!$A$4:$L$403,3,False)*$V$19</f>
        <v>0.04798112621</v>
      </c>
      <c r="AF250" s="127">
        <f>VLOOKUP($O250,'NO USAR1'!$A$4:$L$403,4,False)*$W$19</f>
        <v>-1.461586561</v>
      </c>
      <c r="AG250" s="127">
        <f>VLOOKUP($O250,'NO USAR1'!$A$4:$L$403,5,False)*$X$19</f>
        <v>-0.6854730693</v>
      </c>
      <c r="AH250" s="127">
        <f>VLOOKUP($O250,'NO USAR1'!$A$4:$L$403,6,False)*$Y$19</f>
        <v>-0.8605702752</v>
      </c>
      <c r="AI250" s="127">
        <f>VLOOKUP($O250,'NO USAR1'!$A$4:$L$403,7,False)*$Z$19</f>
        <v>-0.7896459159</v>
      </c>
      <c r="AJ250" s="127">
        <f>VLOOKUP($O250,'NO USAR1'!$A$4:$L$403,8,False)*$AA$19</f>
        <v>-0.4665422016</v>
      </c>
      <c r="AK250" s="132">
        <f>VLOOKUP($O250,'NO USAR1'!$A$4:$L$403,10,False)*$AB$19</f>
        <v>0.07772735943</v>
      </c>
      <c r="AL250" s="127">
        <f>VLOOKUP($O250,'NO USAR1'!$A$4:$L$403,12,False)*$AC$19</f>
        <v>0.3088067464</v>
      </c>
      <c r="AM250" s="133">
        <f t="shared" si="2"/>
        <v>-1.461586561</v>
      </c>
      <c r="AN250" s="133">
        <f t="shared" si="3"/>
        <v>-2.718231579</v>
      </c>
    </row>
    <row r="251">
      <c r="A251" s="118" t="str">
        <f>IF(Update!B249="",ROW(Update!B249),Update!B249)</f>
        <v>Jordan Goodwin</v>
      </c>
      <c r="B251" s="119">
        <f>IF(TYPE($A251)=1,"",(Update!$L249-B$1)/B$2)</f>
        <v>-1.930750525</v>
      </c>
      <c r="C251" s="119">
        <f>IF(TYPE($A251)=1,"",(Update!$K249-C$1)/C$2)</f>
        <v>-1.00651171</v>
      </c>
      <c r="D251" s="119">
        <f>IF(TYPE($A251)=1,"",(Update!$M249-D$1)/D$2)</f>
        <v>-1.294325082</v>
      </c>
      <c r="E251" s="119">
        <f>IF(TYPE($A251)=1,"",(Update!$N249-E$1)/E$2)</f>
        <v>-0.6695232089</v>
      </c>
      <c r="F251" s="119">
        <f>IF(TYPE($A251)=1,"",(Update!$O249-F$1)/F$2)</f>
        <v>-0.6063863908</v>
      </c>
      <c r="G251" s="119">
        <f>IF(TYPE($A251)=1,"",(Update!$P249-G$1)/G$2)</f>
        <v>-0.5652834241</v>
      </c>
      <c r="H251" s="119">
        <f>IF(TYPE($A251)=1,"",(Update!$H249-H$1)/H$2*I251/$I$1)</f>
        <v>-0.25473343</v>
      </c>
      <c r="I251" s="119">
        <f>IF(TYPE($A251)=1,"",IF(Update!H249=0,0,Update!G249/Update!H249))</f>
        <v>5.1</v>
      </c>
      <c r="J251" s="120">
        <f>IF(TYPE($A251)=1,"",(Update!$J249-J$1)/J$2*K251/$K$1)</f>
        <v>0.03175282598</v>
      </c>
      <c r="K251" s="121">
        <f>IF(TYPE($A251)=1,"",IF(Update!J249=0,0,Update!I249/Update!J249))</f>
        <v>1</v>
      </c>
      <c r="L251" s="119">
        <f>IF(TYPE($A251)=1,"",-(Update!$Q249-L$1)/L$2)</f>
        <v>1.483597023</v>
      </c>
      <c r="N251" s="124">
        <v>231.0</v>
      </c>
      <c r="O251" s="130" t="str">
        <f>IF(Update!B227="",ROW(Update!B227),Update!B227)</f>
        <v>Rui Hachimura</v>
      </c>
      <c r="P251" s="131">
        <f>Update!E227</f>
        <v>65</v>
      </c>
      <c r="Q251" s="131" t="str">
        <f>IF(Update!C227="",ROW(Update!N242),Update!C227)</f>
        <v>SF,PF</v>
      </c>
      <c r="R251" s="127">
        <f>VLOOKUP($O251,'NO USAR1'!$A$4:$L$403,2,False)+VLOOKUP($O251,'NO USAR1'!$A$4:$L$403,3,False)+VLOOKUP($O251,'NO USAR1'!$A$4:$L$403,4,False)+VLOOKUP($O251,'NO USAR1'!$A$4:$L$403,5,False)+VLOOKUP($O251,'NO USAR1'!$A$4:$L$403,6,False)+VLOOKUP($O251,'NO USAR1'!$A$4:$L$403,7,False)+VLOOKUP($O251,'NO USAR1'!$A$4:$L$403,8,False)+VLOOKUP($O251,'NO USAR1'!$A$4:$L$403,10,False)+VLOOKUP($O251,'NO USAR1'!$A$4:$L$403,12,False)*0</f>
        <v>-6.071657539</v>
      </c>
      <c r="S251" s="127">
        <f>VLOOKUP($O251,'NO USAR1'!$A$4:$L$403,2,False)*$U$19+VLOOKUP($O251,'NO USAR1'!$A$4:$L$403,3,False)*$V$19+VLOOKUP($O251,'NO USAR1'!$A$4:$L$403,4,False)*$W$19+VLOOKUP($O251,'NO USAR1'!$A$4:$L$403,5,False)*$X$19+VLOOKUP($O251,'NO USAR1'!$A$4:$L$403,6,False)*$Y$19+VLOOKUP($O251,'NO USAR1'!$A$4:$L$403,7,False)*$Z$19+VLOOKUP($O251,'NO USAR1'!$A$4:$L$403,8,False)*$AA$19+VLOOKUP($O251,'NO USAR1'!$A$4:$L$403,10,False)*$AB$19+VLOOKUP($O251,'NO USAR1'!$A$4:$L$403,12,False)*$AC$19+IF(Projections!$K$3,-AN251, IF(Projections!$J$3,-AM251,0))</f>
        <v>-3.6124938</v>
      </c>
      <c r="T251" s="127">
        <f t="shared" si="1"/>
        <v>2.459163739</v>
      </c>
      <c r="U251" s="127">
        <f>VLOOKUP($O251,Update!$B$2:$R$401,11,False)</f>
        <v>12.2</v>
      </c>
      <c r="V251" s="122">
        <f>VLOOKUP($O251,Update!$B$2:$R$401,10,False)</f>
        <v>1.1</v>
      </c>
      <c r="W251" s="127">
        <f>VLOOKUP($O251,Update!$B$2:$R$401,12,False)</f>
        <v>4.6</v>
      </c>
      <c r="X251" s="127">
        <f>VLOOKUP($O251,Update!$B$2:$R$401,13,False)</f>
        <v>1.1</v>
      </c>
      <c r="Y251" s="127">
        <f>VLOOKUP($O251,Update!$B$2:$R$401,14,False)</f>
        <v>0.4</v>
      </c>
      <c r="Z251" s="132">
        <f>VLOOKUP($O251,Update!$B$2:$R$401,15,False)</f>
        <v>0.4</v>
      </c>
      <c r="AA251" s="127">
        <f>100*VLOOKUP($O251,Update!$B$2:$R$401,7,False)</f>
        <v>49</v>
      </c>
      <c r="AB251" s="127">
        <f>100*VLOOKUP($O251,Update!$B$2:$R$401,9,False)</f>
        <v>73.68421053</v>
      </c>
      <c r="AC251" s="127">
        <f>VLOOKUP($O251,Update!$B$2:$Q$401,16,False)</f>
        <v>0.9</v>
      </c>
      <c r="AD251" s="127">
        <f>VLOOKUP($O251,'NO USAR1'!$A$4:$L$403,2,False)*$U$19</f>
        <v>-0.8521817128</v>
      </c>
      <c r="AE251" s="127">
        <f>VLOOKUP($O251,'NO USAR1'!$A$4:$L$403,3,False)*$V$19</f>
        <v>-0.472296146</v>
      </c>
      <c r="AF251" s="127">
        <f>VLOOKUP($O251,'NO USAR1'!$A$4:$L$403,4,False)*$W$19</f>
        <v>-0.6252791639</v>
      </c>
      <c r="AG251" s="127">
        <f>VLOOKUP($O251,'NO USAR1'!$A$4:$L$403,5,False)*$X$19</f>
        <v>-1.399507516</v>
      </c>
      <c r="AH251" s="127">
        <f>VLOOKUP($O251,'NO USAR1'!$A$4:$L$403,6,False)*$Y$19</f>
        <v>-1.296670077</v>
      </c>
      <c r="AI251" s="127">
        <f>VLOOKUP($O251,'NO USAR1'!$A$4:$L$403,7,False)*$Z$19</f>
        <v>-0.3956983969</v>
      </c>
      <c r="AJ251" s="127">
        <f>VLOOKUP($O251,'NO USAR1'!$A$4:$L$403,8,False)*$AA$19</f>
        <v>-0.05977636513</v>
      </c>
      <c r="AK251" s="132">
        <f>VLOOKUP($O251,'NO USAR1'!$A$4:$L$403,10,False)*$AB$19</f>
        <v>-0.25044494</v>
      </c>
      <c r="AL251" s="127">
        <f>VLOOKUP($O251,'NO USAR1'!$A$4:$L$403,12,False)*$AC$19</f>
        <v>0.3398530011</v>
      </c>
      <c r="AM251" s="133">
        <f t="shared" si="2"/>
        <v>-1.399507516</v>
      </c>
      <c r="AN251" s="133">
        <f t="shared" si="3"/>
        <v>-2.696177593</v>
      </c>
    </row>
    <row r="252">
      <c r="A252" s="118" t="str">
        <f>IF(Update!B250="",ROW(Update!B250),Update!B250)</f>
        <v>Andre Drummond</v>
      </c>
      <c r="B252" s="119">
        <f>IF(TYPE($A252)=1,"",(Update!$L250-B$1)/B$2)</f>
        <v>-1.880192612</v>
      </c>
      <c r="C252" s="119">
        <f>IF(TYPE($A252)=1,"",(Update!$K250-C$1)/C$2)</f>
        <v>-1.584597568</v>
      </c>
      <c r="D252" s="119">
        <f>IF(TYPE($A252)=1,"",(Update!$M250-D$1)/D$2)</f>
        <v>0.3782897126</v>
      </c>
      <c r="E252" s="119">
        <f>IF(TYPE($A252)=1,"",(Update!$N250-E$1)/E$2)</f>
        <v>-1.318645434</v>
      </c>
      <c r="F252" s="119">
        <f>IF(TYPE($A252)=1,"",(Update!$O250-F$1)/F$2)</f>
        <v>-0.6063863908</v>
      </c>
      <c r="G252" s="119">
        <f>IF(TYPE($A252)=1,"",(Update!$P250-G$1)/G$2)</f>
        <v>-0.1900953108</v>
      </c>
      <c r="H252" s="119">
        <f>IF(TYPE($A252)=1,"",(Update!$H250-H$1)/H$2*I252/$I$1)</f>
        <v>0.4635494137</v>
      </c>
      <c r="I252" s="119">
        <f>IF(TYPE($A252)=1,"",IF(Update!H250=0,0,Update!G250/Update!H250))</f>
        <v>4.4</v>
      </c>
      <c r="J252" s="120">
        <f>IF(TYPE($A252)=1,"",(Update!$J250-J$1)/J$2*K252/$K$1)</f>
        <v>-1.311928909</v>
      </c>
      <c r="K252" s="121">
        <f>IF(TYPE($A252)=1,"",IF(Update!J250=0,0,Update!I250/Update!J250))</f>
        <v>1.8</v>
      </c>
      <c r="L252" s="119">
        <f>IF(TYPE($A252)=1,"",-(Update!$Q250-L$1)/L$2)</f>
        <v>0.9868569483</v>
      </c>
      <c r="N252" s="33">
        <v>232.0</v>
      </c>
      <c r="O252" s="130" t="str">
        <f>IF(Update!B238="",ROW(Update!B238),Update!B238)</f>
        <v>Taylor Hendricks</v>
      </c>
      <c r="P252" s="131">
        <f>Update!E238</f>
        <v>72</v>
      </c>
      <c r="Q252" s="131" t="str">
        <f>IF(Update!C238="",ROW(Update!N253),Update!C238)</f>
        <v>PF</v>
      </c>
      <c r="R252" s="127">
        <f>VLOOKUP($O252,'NO USAR1'!$A$4:$L$403,2,False)+VLOOKUP($O252,'NO USAR1'!$A$4:$L$403,3,False)+VLOOKUP($O252,'NO USAR1'!$A$4:$L$403,4,False)+VLOOKUP($O252,'NO USAR1'!$A$4:$L$403,5,False)+VLOOKUP($O252,'NO USAR1'!$A$4:$L$403,6,False)+VLOOKUP($O252,'NO USAR1'!$A$4:$L$403,7,False)+VLOOKUP($O252,'NO USAR1'!$A$4:$L$403,8,False)+VLOOKUP($O252,'NO USAR1'!$A$4:$L$403,10,False)+VLOOKUP($O252,'NO USAR1'!$A$4:$L$403,12,False)*0</f>
        <v>-6.096119438</v>
      </c>
      <c r="S252" s="127">
        <f>VLOOKUP($O252,'NO USAR1'!$A$4:$L$403,2,False)*$U$19+VLOOKUP($O252,'NO USAR1'!$A$4:$L$403,3,False)*$V$19+VLOOKUP($O252,'NO USAR1'!$A$4:$L$403,4,False)*$W$19+VLOOKUP($O252,'NO USAR1'!$A$4:$L$403,5,False)*$X$19+VLOOKUP($O252,'NO USAR1'!$A$4:$L$403,6,False)*$Y$19+VLOOKUP($O252,'NO USAR1'!$A$4:$L$403,7,False)*$Z$19+VLOOKUP($O252,'NO USAR1'!$A$4:$L$403,8,False)*$AA$19+VLOOKUP($O252,'NO USAR1'!$A$4:$L$403,10,False)*$AB$19+VLOOKUP($O252,'NO USAR1'!$A$4:$L$403,12,False)*$AC$19+IF(Projections!$K$3,-AN252, IF(Projections!$J$3,-AM252,0))</f>
        <v>-3.699485128</v>
      </c>
      <c r="T252" s="127">
        <f t="shared" si="1"/>
        <v>2.396634309</v>
      </c>
      <c r="U252" s="127">
        <f>VLOOKUP($O252,Update!$B$2:$R$401,11,False)</f>
        <v>8.8</v>
      </c>
      <c r="V252" s="122">
        <f>VLOOKUP($O252,Update!$B$2:$R$401,10,False)</f>
        <v>0.8</v>
      </c>
      <c r="W252" s="127">
        <f>VLOOKUP($O252,Update!$B$2:$R$401,12,False)</f>
        <v>5.6</v>
      </c>
      <c r="X252" s="127">
        <f>VLOOKUP($O252,Update!$B$2:$R$401,13,False)</f>
        <v>1.7</v>
      </c>
      <c r="Y252" s="127">
        <f>VLOOKUP($O252,Update!$B$2:$R$401,14,False)</f>
        <v>0.4</v>
      </c>
      <c r="Z252" s="132">
        <f>VLOOKUP($O252,Update!$B$2:$R$401,15,False)</f>
        <v>0.4</v>
      </c>
      <c r="AA252" s="127">
        <f>100*VLOOKUP($O252,Update!$B$2:$R$401,7,False)</f>
        <v>45.71428571</v>
      </c>
      <c r="AB252" s="127">
        <f>100*VLOOKUP($O252,Update!$B$2:$R$401,9,False)</f>
        <v>80</v>
      </c>
      <c r="AC252" s="127">
        <f>VLOOKUP($O252,Update!$B$2:$Q$401,16,False)</f>
        <v>1.2</v>
      </c>
      <c r="AD252" s="127">
        <f>VLOOKUP($O252,'NO USAR1'!$A$4:$L$403,2,False)*$U$19</f>
        <v>-1.425171394</v>
      </c>
      <c r="AE252" s="127">
        <f>VLOOKUP($O252,'NO USAR1'!$A$4:$L$403,3,False)*$V$19</f>
        <v>-0.7324347821</v>
      </c>
      <c r="AF252" s="127">
        <f>VLOOKUP($O252,'NO USAR1'!$A$4:$L$403,4,False)*$W$19</f>
        <v>-0.2071254654</v>
      </c>
      <c r="AG252" s="127">
        <f>VLOOKUP($O252,'NO USAR1'!$A$4:$L$403,5,False)*$X$19</f>
        <v>-1.093492753</v>
      </c>
      <c r="AH252" s="127">
        <f>VLOOKUP($O252,'NO USAR1'!$A$4:$L$403,6,False)*$Y$19</f>
        <v>-1.296670077</v>
      </c>
      <c r="AI252" s="127">
        <f>VLOOKUP($O252,'NO USAR1'!$A$4:$L$403,7,False)*$Z$19</f>
        <v>-0.3956983969</v>
      </c>
      <c r="AJ252" s="127">
        <f>VLOOKUP($O252,'NO USAR1'!$A$4:$L$403,8,False)*$AA$19</f>
        <v>-0.2715824123</v>
      </c>
      <c r="AK252" s="132">
        <f>VLOOKUP($O252,'NO USAR1'!$A$4:$L$403,10,False)*$AB$19</f>
        <v>0.05080452156</v>
      </c>
      <c r="AL252" s="127">
        <f>VLOOKUP($O252,'NO USAR1'!$A$4:$L$403,12,False)*$AC$19</f>
        <v>0.2467142371</v>
      </c>
      <c r="AM252" s="133">
        <f t="shared" si="2"/>
        <v>-1.425171394</v>
      </c>
      <c r="AN252" s="133">
        <f t="shared" si="3"/>
        <v>-2.721841471</v>
      </c>
    </row>
    <row r="253">
      <c r="A253" s="118" t="str">
        <f>IF(Update!B251="",ROW(Update!B251),Update!B251)</f>
        <v>Xavier Tillman Sr.</v>
      </c>
      <c r="B253" s="119">
        <f>IF(TYPE($A253)=1,"",(Update!$L251-B$1)/B$2)</f>
        <v>-1.863339975</v>
      </c>
      <c r="C253" s="119">
        <f>IF(TYPE($A253)=1,"",(Update!$K251-C$1)/C$2)</f>
        <v>-1.488249925</v>
      </c>
      <c r="D253" s="119">
        <f>IF(TYPE($A253)=1,"",(Update!$M251-D$1)/D$2)</f>
        <v>-0.7925406433</v>
      </c>
      <c r="E253" s="119">
        <f>IF(TYPE($A253)=1,"",(Update!$N251-E$1)/E$2)</f>
        <v>-1.133181941</v>
      </c>
      <c r="F253" s="119">
        <f>IF(TYPE($A253)=1,"",(Update!$O251-F$1)/F$2)</f>
        <v>0.01661332578</v>
      </c>
      <c r="G253" s="119">
        <f>IF(TYPE($A253)=1,"",(Update!$P251-G$1)/G$2)</f>
        <v>-0.5652834241</v>
      </c>
      <c r="H253" s="119">
        <f>IF(TYPE($A253)=1,"",(Update!$H251-H$1)/H$2*I253/$I$1)</f>
        <v>0.2984089134</v>
      </c>
      <c r="I253" s="119">
        <f>IF(TYPE($A253)=1,"",IF(Update!H251=0,0,Update!G251/Update!H251))</f>
        <v>4.7</v>
      </c>
      <c r="J253" s="120">
        <f>IF(TYPE($A253)=1,"",(Update!$J251-J$1)/J$2*K253/$K$1)</f>
        <v>-0.8858371218</v>
      </c>
      <c r="K253" s="121">
        <f>IF(TYPE($A253)=1,"",IF(Update!J251=0,0,Update!I251/Update!J251))</f>
        <v>1.5</v>
      </c>
      <c r="L253" s="119">
        <f>IF(TYPE($A253)=1,"",-(Update!$Q251-L$1)/L$2)</f>
        <v>1.607782042</v>
      </c>
      <c r="N253" s="33">
        <v>233.0</v>
      </c>
      <c r="O253" s="130" t="str">
        <f>IF(Update!B220="",ROW(Update!B220),Update!B220)</f>
        <v>Julian Champagnie</v>
      </c>
      <c r="P253" s="131">
        <f>Update!E220</f>
        <v>68</v>
      </c>
      <c r="Q253" s="131" t="str">
        <f>IF(Update!C220="",ROW(Update!N235),Update!C220)</f>
        <v>SF,PF</v>
      </c>
      <c r="R253" s="127">
        <f>VLOOKUP($O253,'NO USAR1'!$A$4:$L$403,2,False)+VLOOKUP($O253,'NO USAR1'!$A$4:$L$403,3,False)+VLOOKUP($O253,'NO USAR1'!$A$4:$L$403,4,False)+VLOOKUP($O253,'NO USAR1'!$A$4:$L$403,5,False)+VLOOKUP($O253,'NO USAR1'!$A$4:$L$403,6,False)+VLOOKUP($O253,'NO USAR1'!$A$4:$L$403,7,False)+VLOOKUP($O253,'NO USAR1'!$A$4:$L$403,8,False)+VLOOKUP($O253,'NO USAR1'!$A$4:$L$403,10,False)+VLOOKUP($O253,'NO USAR1'!$A$4:$L$403,12,False)*0</f>
        <v>-6.096236632</v>
      </c>
      <c r="S253" s="127">
        <f>VLOOKUP($O253,'NO USAR1'!$A$4:$L$403,2,False)*$U$19+VLOOKUP($O253,'NO USAR1'!$A$4:$L$403,3,False)*$V$19+VLOOKUP($O253,'NO USAR1'!$A$4:$L$403,4,False)*$W$19+VLOOKUP($O253,'NO USAR1'!$A$4:$L$403,5,False)*$X$19+VLOOKUP($O253,'NO USAR1'!$A$4:$L$403,6,False)*$Y$19+VLOOKUP($O253,'NO USAR1'!$A$4:$L$403,7,False)*$Z$19+VLOOKUP($O253,'NO USAR1'!$A$4:$L$403,8,False)*$AA$19+VLOOKUP($O253,'NO USAR1'!$A$4:$L$403,10,False)*$AB$19+VLOOKUP($O253,'NO USAR1'!$A$4:$L$403,12,False)*$AC$19+IF(Projections!$K$3,-AN253, IF(Projections!$J$3,-AM253,0))</f>
        <v>-3.431165815</v>
      </c>
      <c r="T253" s="127">
        <f t="shared" si="1"/>
        <v>2.665070817</v>
      </c>
      <c r="U253" s="127">
        <f>VLOOKUP($O253,Update!$B$2:$R$401,11,False)</f>
        <v>10.4</v>
      </c>
      <c r="V253" s="122">
        <f>VLOOKUP($O253,Update!$B$2:$R$401,10,False)</f>
        <v>2.1</v>
      </c>
      <c r="W253" s="127">
        <f>VLOOKUP($O253,Update!$B$2:$R$401,12,False)</f>
        <v>3.8</v>
      </c>
      <c r="X253" s="127">
        <f>VLOOKUP($O253,Update!$B$2:$R$401,13,False)</f>
        <v>0.6</v>
      </c>
      <c r="Y253" s="127">
        <f>VLOOKUP($O253,Update!$B$2:$R$401,14,False)</f>
        <v>0.4</v>
      </c>
      <c r="Z253" s="132">
        <f>VLOOKUP($O253,Update!$B$2:$R$401,15,False)</f>
        <v>0.3</v>
      </c>
      <c r="AA253" s="127">
        <f>100*VLOOKUP($O253,Update!$B$2:$R$401,7,False)</f>
        <v>45.12195122</v>
      </c>
      <c r="AB253" s="127">
        <f>100*VLOOKUP($O253,Update!$B$2:$R$401,9,False)</f>
        <v>81.81818182</v>
      </c>
      <c r="AC253" s="127">
        <f>VLOOKUP($O253,Update!$B$2:$Q$401,16,False)</f>
        <v>0.7</v>
      </c>
      <c r="AD253" s="127">
        <f>VLOOKUP($O253,'NO USAR1'!$A$4:$L$403,2,False)*$U$19</f>
        <v>-1.155529191</v>
      </c>
      <c r="AE253" s="127">
        <f>VLOOKUP($O253,'NO USAR1'!$A$4:$L$403,3,False)*$V$19</f>
        <v>0.394832641</v>
      </c>
      <c r="AF253" s="127">
        <f>VLOOKUP($O253,'NO USAR1'!$A$4:$L$403,4,False)*$W$19</f>
        <v>-0.9598021228</v>
      </c>
      <c r="AG253" s="127">
        <f>VLOOKUP($O253,'NO USAR1'!$A$4:$L$403,5,False)*$X$19</f>
        <v>-1.654519819</v>
      </c>
      <c r="AH253" s="127">
        <f>VLOOKUP($O253,'NO USAR1'!$A$4:$L$403,6,False)*$Y$19</f>
        <v>-1.296670077</v>
      </c>
      <c r="AI253" s="127">
        <f>VLOOKUP($O253,'NO USAR1'!$A$4:$L$403,7,False)*$Z$19</f>
        <v>-0.5270142365</v>
      </c>
      <c r="AJ253" s="127">
        <f>VLOOKUP($O253,'NO USAR1'!$A$4:$L$403,8,False)*$AA$19</f>
        <v>-0.3666556987</v>
      </c>
      <c r="AK253" s="132">
        <f>VLOOKUP($O253,'NO USAR1'!$A$4:$L$403,10,False)*$AB$19</f>
        <v>0.07772735943</v>
      </c>
      <c r="AL253" s="127">
        <f>VLOOKUP($O253,'NO USAR1'!$A$4:$L$403,12,False)*$AC$19</f>
        <v>0.4019455104</v>
      </c>
      <c r="AM253" s="133">
        <f t="shared" si="2"/>
        <v>-1.654519819</v>
      </c>
      <c r="AN253" s="133">
        <f t="shared" si="3"/>
        <v>-2.951189896</v>
      </c>
    </row>
    <row r="254">
      <c r="A254" s="118" t="str">
        <f>IF(Update!B252="",ROW(Update!B252),Update!B252)</f>
        <v>Kenyon Martin Jr.</v>
      </c>
      <c r="B254" s="119">
        <f>IF(TYPE($A254)=1,"",(Update!$L252-B$1)/B$2)</f>
        <v>-1.340908206</v>
      </c>
      <c r="C254" s="119">
        <f>IF(TYPE($A254)=1,"",(Update!$K252-C$1)/C$2)</f>
        <v>-0.9101640675</v>
      </c>
      <c r="D254" s="119">
        <f>IF(TYPE($A254)=1,"",(Update!$M252-D$1)/D$2)</f>
        <v>-0.876171383</v>
      </c>
      <c r="E254" s="119">
        <f>IF(TYPE($A254)=1,"",(Update!$N252-E$1)/E$2)</f>
        <v>-1.225913687</v>
      </c>
      <c r="F254" s="119">
        <f>IF(TYPE($A254)=1,"",(Update!$O252-F$1)/F$2)</f>
        <v>-1.852385824</v>
      </c>
      <c r="G254" s="119">
        <f>IF(TYPE($A254)=1,"",(Update!$P252-G$1)/G$2)</f>
        <v>-0.5652834241</v>
      </c>
      <c r="H254" s="119">
        <f>IF(TYPE($A254)=1,"",(Update!$H252-H$1)/H$2*I254/$I$1)</f>
        <v>0.4183072806</v>
      </c>
      <c r="I254" s="119">
        <f>IF(TYPE($A254)=1,"",IF(Update!H252=0,0,Update!G252/Update!H252))</f>
        <v>6.7</v>
      </c>
      <c r="J254" s="120">
        <f>IF(TYPE($A254)=1,"",(Update!$J252-J$1)/J$2*K254/$K$1)</f>
        <v>-0.9353670821</v>
      </c>
      <c r="K254" s="121">
        <f>IF(TYPE($A254)=1,"",IF(Update!J252=0,0,Update!I252/Update!J252))</f>
        <v>1.9</v>
      </c>
      <c r="L254" s="119">
        <f>IF(TYPE($A254)=1,"",-(Update!$Q252-L$1)/L$2)</f>
        <v>1.483597023</v>
      </c>
      <c r="N254" s="124">
        <v>234.0</v>
      </c>
      <c r="O254" s="130" t="str">
        <f>IF(Update!B229="",ROW(Update!B229),Update!B229)</f>
        <v>Moritz Wagner</v>
      </c>
      <c r="P254" s="131">
        <f>Update!E229</f>
        <v>60</v>
      </c>
      <c r="Q254" s="131" t="str">
        <f>IF(Update!C229="",ROW(Update!N244),Update!C229)</f>
        <v>C</v>
      </c>
      <c r="R254" s="127">
        <f>VLOOKUP($O254,'NO USAR1'!$A$4:$L$403,2,False)+VLOOKUP($O254,'NO USAR1'!$A$4:$L$403,3,False)+VLOOKUP($O254,'NO USAR1'!$A$4:$L$403,4,False)+VLOOKUP($O254,'NO USAR1'!$A$4:$L$403,5,False)+VLOOKUP($O254,'NO USAR1'!$A$4:$L$403,6,False)+VLOOKUP($O254,'NO USAR1'!$A$4:$L$403,7,False)+VLOOKUP($O254,'NO USAR1'!$A$4:$L$403,8,False)+VLOOKUP($O254,'NO USAR1'!$A$4:$L$403,10,False)+VLOOKUP($O254,'NO USAR1'!$A$4:$L$403,12,False)*0</f>
        <v>-6.113174894</v>
      </c>
      <c r="S254" s="127">
        <f>VLOOKUP($O254,'NO USAR1'!$A$4:$L$403,2,False)*$U$19+VLOOKUP($O254,'NO USAR1'!$A$4:$L$403,3,False)*$V$19+VLOOKUP($O254,'NO USAR1'!$A$4:$L$403,4,False)*$W$19+VLOOKUP($O254,'NO USAR1'!$A$4:$L$403,5,False)*$X$19+VLOOKUP($O254,'NO USAR1'!$A$4:$L$403,6,False)*$Y$19+VLOOKUP($O254,'NO USAR1'!$A$4:$L$403,7,False)*$Z$19+VLOOKUP($O254,'NO USAR1'!$A$4:$L$403,8,False)*$AA$19+VLOOKUP($O254,'NO USAR1'!$A$4:$L$403,10,False)*$AB$19+VLOOKUP($O254,'NO USAR1'!$A$4:$L$403,12,False)*$AC$19+IF(Projections!$K$3,-AN254, IF(Projections!$J$3,-AM254,0))</f>
        <v>-3.858436424</v>
      </c>
      <c r="T254" s="127">
        <f t="shared" si="1"/>
        <v>2.25473847</v>
      </c>
      <c r="U254" s="127">
        <f>VLOOKUP($O254,Update!$B$2:$R$401,11,False)</f>
        <v>9.4</v>
      </c>
      <c r="V254" s="122">
        <f>VLOOKUP($O254,Update!$B$2:$R$401,10,False)</f>
        <v>0.9</v>
      </c>
      <c r="W254" s="127">
        <f>VLOOKUP($O254,Update!$B$2:$R$401,12,False)</f>
        <v>4</v>
      </c>
      <c r="X254" s="127">
        <f>VLOOKUP($O254,Update!$B$2:$R$401,13,False)</f>
        <v>1.4</v>
      </c>
      <c r="Y254" s="127">
        <f>VLOOKUP($O254,Update!$B$2:$R$401,14,False)</f>
        <v>0.5</v>
      </c>
      <c r="Z254" s="132">
        <f>VLOOKUP($O254,Update!$B$2:$R$401,15,False)</f>
        <v>0.2</v>
      </c>
      <c r="AA254" s="127">
        <f>100*VLOOKUP($O254,Update!$B$2:$R$401,7,False)</f>
        <v>50</v>
      </c>
      <c r="AB254" s="127">
        <f>100*VLOOKUP($O254,Update!$B$2:$R$401,9,False)</f>
        <v>84</v>
      </c>
      <c r="AC254" s="127">
        <f>VLOOKUP($O254,Update!$B$2:$Q$401,16,False)</f>
        <v>1</v>
      </c>
      <c r="AD254" s="127">
        <f>VLOOKUP($O254,'NO USAR1'!$A$4:$L$403,2,False)*$U$19</f>
        <v>-1.324055568</v>
      </c>
      <c r="AE254" s="127">
        <f>VLOOKUP($O254,'NO USAR1'!$A$4:$L$403,3,False)*$V$19</f>
        <v>-0.6457219034</v>
      </c>
      <c r="AF254" s="127">
        <f>VLOOKUP($O254,'NO USAR1'!$A$4:$L$403,4,False)*$W$19</f>
        <v>-0.876171383</v>
      </c>
      <c r="AG254" s="127">
        <f>VLOOKUP($O254,'NO USAR1'!$A$4:$L$403,5,False)*$X$19</f>
        <v>-1.246500135</v>
      </c>
      <c r="AH254" s="127">
        <f>VLOOKUP($O254,'NO USAR1'!$A$4:$L$403,6,False)*$Y$19</f>
        <v>-1.078620176</v>
      </c>
      <c r="AI254" s="127">
        <f>VLOOKUP($O254,'NO USAR1'!$A$4:$L$403,7,False)*$Z$19</f>
        <v>-0.6583300762</v>
      </c>
      <c r="AJ254" s="127">
        <f>VLOOKUP($O254,'NO USAR1'!$A$4:$L$403,8,False)*$AA$19</f>
        <v>0.02567048819</v>
      </c>
      <c r="AK254" s="132">
        <f>VLOOKUP($O254,'NO USAR1'!$A$4:$L$403,10,False)*$AB$19</f>
        <v>0.3124300148</v>
      </c>
      <c r="AL254" s="127">
        <f>VLOOKUP($O254,'NO USAR1'!$A$4:$L$403,12,False)*$AC$19</f>
        <v>0.3088067464</v>
      </c>
      <c r="AM254" s="133">
        <f t="shared" si="2"/>
        <v>-1.324055568</v>
      </c>
      <c r="AN254" s="133">
        <f t="shared" si="3"/>
        <v>-2.570555703</v>
      </c>
    </row>
    <row r="255">
      <c r="A255" s="118" t="str">
        <f>IF(Update!B253="",ROW(Update!B253),Update!B253)</f>
        <v>John Konchar</v>
      </c>
      <c r="B255" s="119">
        <f>IF(TYPE($A255)=1,"",(Update!$L253-B$1)/B$2)</f>
        <v>-2.11612954</v>
      </c>
      <c r="C255" s="119">
        <f>IF(TYPE($A255)=1,"",(Update!$K253-C$1)/C$2)</f>
        <v>-0.9101640675</v>
      </c>
      <c r="D255" s="119">
        <f>IF(TYPE($A255)=1,"",(Update!$M253-D$1)/D$2)</f>
        <v>-0.7925406433</v>
      </c>
      <c r="E255" s="119">
        <f>IF(TYPE($A255)=1,"",(Update!$N253-E$1)/E$2)</f>
        <v>-1.133181941</v>
      </c>
      <c r="F255" s="119">
        <f>IF(TYPE($A255)=1,"",(Update!$O253-F$1)/F$2)</f>
        <v>-0.6063863908</v>
      </c>
      <c r="G255" s="119">
        <f>IF(TYPE($A255)=1,"",(Update!$P253-G$1)/G$2)</f>
        <v>-0.7528774808</v>
      </c>
      <c r="H255" s="119">
        <f>IF(TYPE($A255)=1,"",(Update!$H253-H$1)/H$2*I255/$I$1)</f>
        <v>-0.09404961173</v>
      </c>
      <c r="I255" s="119">
        <f>IF(TYPE($A255)=1,"",IF(Update!H253=0,0,Update!G253/Update!H253))</f>
        <v>3.8</v>
      </c>
      <c r="J255" s="120">
        <f>IF(TYPE($A255)=1,"",(Update!$J253-J$1)/J$2*K255/$K$1)</f>
        <v>-0.2298726673</v>
      </c>
      <c r="K255" s="121">
        <f>IF(TYPE($A255)=1,"",IF(Update!J253=0,0,Update!I253/Update!J253))</f>
        <v>0.6</v>
      </c>
      <c r="L255" s="119">
        <f>IF(TYPE($A255)=1,"",-(Update!$Q253-L$1)/L$2)</f>
        <v>1.980337098</v>
      </c>
      <c r="N255" s="124">
        <v>235.0</v>
      </c>
      <c r="O255" s="130" t="str">
        <f>IF(Update!B236="",ROW(Update!B236),Update!B236)</f>
        <v>Jaden Hardy</v>
      </c>
      <c r="P255" s="131">
        <f>Update!E236</f>
        <v>69</v>
      </c>
      <c r="Q255" s="131" t="str">
        <f>IF(Update!C236="",ROW(Update!N251),Update!C236)</f>
        <v>PG,SG</v>
      </c>
      <c r="R255" s="127">
        <f>VLOOKUP($O255,'NO USAR1'!$A$4:$L$403,2,False)+VLOOKUP($O255,'NO USAR1'!$A$4:$L$403,3,False)+VLOOKUP($O255,'NO USAR1'!$A$4:$L$403,4,False)+VLOOKUP($O255,'NO USAR1'!$A$4:$L$403,5,False)+VLOOKUP($O255,'NO USAR1'!$A$4:$L$403,6,False)+VLOOKUP($O255,'NO USAR1'!$A$4:$L$403,7,False)+VLOOKUP($O255,'NO USAR1'!$A$4:$L$403,8,False)+VLOOKUP($O255,'NO USAR1'!$A$4:$L$403,10,False)+VLOOKUP($O255,'NO USAR1'!$A$4:$L$403,12,False)*0</f>
        <v>-6.211627546</v>
      </c>
      <c r="S255" s="127">
        <f>VLOOKUP($O255,'NO USAR1'!$A$4:$L$403,2,False)*$U$19+VLOOKUP($O255,'NO USAR1'!$A$4:$L$403,3,False)*$V$19+VLOOKUP($O255,'NO USAR1'!$A$4:$L$403,4,False)*$W$19+VLOOKUP($O255,'NO USAR1'!$A$4:$L$403,5,False)*$X$19+VLOOKUP($O255,'NO USAR1'!$A$4:$L$403,6,False)*$Y$19+VLOOKUP($O255,'NO USAR1'!$A$4:$L$403,7,False)*$Z$19+VLOOKUP($O255,'NO USAR1'!$A$4:$L$403,8,False)*$AA$19+VLOOKUP($O255,'NO USAR1'!$A$4:$L$403,10,False)*$AB$19+VLOOKUP($O255,'NO USAR1'!$A$4:$L$403,12,False)*$AC$19+IF(Projections!$K$3,-AN255, IF(Projections!$J$3,-AM255,0))</f>
        <v>-3.793820285</v>
      </c>
      <c r="T255" s="127">
        <f t="shared" si="1"/>
        <v>2.417807261</v>
      </c>
      <c r="U255" s="127">
        <f>VLOOKUP($O255,Update!$B$2:$R$401,11,False)</f>
        <v>11.5</v>
      </c>
      <c r="V255" s="122">
        <f>VLOOKUP($O255,Update!$B$2:$R$401,10,False)</f>
        <v>1.7</v>
      </c>
      <c r="W255" s="127">
        <f>VLOOKUP($O255,Update!$B$2:$R$401,12,False)</f>
        <v>2.4</v>
      </c>
      <c r="X255" s="127">
        <f>VLOOKUP($O255,Update!$B$2:$R$401,13,False)</f>
        <v>1.8</v>
      </c>
      <c r="Y255" s="127">
        <f>VLOOKUP($O255,Update!$B$2:$R$401,14,False)</f>
        <v>0.5</v>
      </c>
      <c r="Z255" s="132">
        <f>VLOOKUP($O255,Update!$B$2:$R$401,15,False)</f>
        <v>0.2</v>
      </c>
      <c r="AA255" s="127">
        <f>100*VLOOKUP($O255,Update!$B$2:$R$401,7,False)</f>
        <v>44.44444444</v>
      </c>
      <c r="AB255" s="127">
        <f>100*VLOOKUP($O255,Update!$B$2:$R$401,9,False)</f>
        <v>81.81818182</v>
      </c>
      <c r="AC255" s="127">
        <f>VLOOKUP($O255,Update!$B$2:$Q$401,16,False)</f>
        <v>1.3</v>
      </c>
      <c r="AD255" s="127">
        <f>VLOOKUP($O255,'NO USAR1'!$A$4:$L$403,2,False)*$U$19</f>
        <v>-0.9701501767</v>
      </c>
      <c r="AE255" s="127">
        <f>VLOOKUP($O255,'NO USAR1'!$A$4:$L$403,3,False)*$V$19</f>
        <v>0.04798112621</v>
      </c>
      <c r="AF255" s="127">
        <f>VLOOKUP($O255,'NO USAR1'!$A$4:$L$403,4,False)*$W$19</f>
        <v>-1.545217301</v>
      </c>
      <c r="AG255" s="127">
        <f>VLOOKUP($O255,'NO USAR1'!$A$4:$L$403,5,False)*$X$19</f>
        <v>-1.042490293</v>
      </c>
      <c r="AH255" s="127">
        <f>VLOOKUP($O255,'NO USAR1'!$A$4:$L$403,6,False)*$Y$19</f>
        <v>-1.078620176</v>
      </c>
      <c r="AI255" s="127">
        <f>VLOOKUP($O255,'NO USAR1'!$A$4:$L$403,7,False)*$Z$19</f>
        <v>-0.6583300762</v>
      </c>
      <c r="AJ255" s="127">
        <f>VLOOKUP($O255,'NO USAR1'!$A$4:$L$403,8,False)*$AA$19</f>
        <v>-0.4633333906</v>
      </c>
      <c r="AK255" s="132">
        <f>VLOOKUP($O255,'NO USAR1'!$A$4:$L$403,10,False)*$AB$19</f>
        <v>0.1554547189</v>
      </c>
      <c r="AL255" s="127">
        <f>VLOOKUP($O255,'NO USAR1'!$A$4:$L$403,12,False)*$AC$19</f>
        <v>0.2156679824</v>
      </c>
      <c r="AM255" s="133">
        <f t="shared" si="2"/>
        <v>-1.545217301</v>
      </c>
      <c r="AN255" s="133">
        <f t="shared" si="3"/>
        <v>-2.623837477</v>
      </c>
    </row>
    <row r="256">
      <c r="A256" s="118" t="str">
        <f>IF(Update!B254="",ROW(Update!B254),Update!B254)</f>
        <v>Gradey Dick</v>
      </c>
      <c r="B256" s="119">
        <f>IF(TYPE($A256)=1,"",(Update!$L254-B$1)/B$2)</f>
        <v>-1.475729308</v>
      </c>
      <c r="C256" s="119">
        <f>IF(TYPE($A256)=1,"",(Update!$K254-C$1)/C$2)</f>
        <v>0.3423552914</v>
      </c>
      <c r="D256" s="119">
        <f>IF(TYPE($A256)=1,"",(Update!$M254-D$1)/D$2)</f>
        <v>-1.62884804</v>
      </c>
      <c r="E256" s="119">
        <f>IF(TYPE($A256)=1,"",(Update!$N254-E$1)/E$2)</f>
        <v>-1.225913687</v>
      </c>
      <c r="F256" s="119">
        <f>IF(TYPE($A256)=1,"",(Update!$O254-F$1)/F$2)</f>
        <v>-1.229386107</v>
      </c>
      <c r="G256" s="119">
        <f>IF(TYPE($A256)=1,"",(Update!$P254-G$1)/G$2)</f>
        <v>-1.128065594</v>
      </c>
      <c r="H256" s="119">
        <f>IF(TYPE($A256)=1,"",(Update!$H254-H$1)/H$2*I256/$I$1)</f>
        <v>-0.6364959184</v>
      </c>
      <c r="I256" s="119">
        <f>IF(TYPE($A256)=1,"",IF(Update!H254=0,0,Update!G254/Update!H254))</f>
        <v>6.6</v>
      </c>
      <c r="J256" s="120">
        <f>IF(TYPE($A256)=1,"",(Update!$J254-J$1)/J$2*K256/$K$1)</f>
        <v>0.2279719459</v>
      </c>
      <c r="K256" s="121">
        <f>IF(TYPE($A256)=1,"",IF(Update!J254=0,0,Update!I254/Update!J254))</f>
        <v>1.3</v>
      </c>
      <c r="L256" s="119">
        <f>IF(TYPE($A256)=1,"",-(Update!$Q254-L$1)/L$2)</f>
        <v>1.73196706</v>
      </c>
      <c r="N256" s="33">
        <v>236.0</v>
      </c>
      <c r="O256" s="130" t="str">
        <f>IF(Update!B249="",ROW(Update!B249),Update!B249)</f>
        <v>Jordan Goodwin</v>
      </c>
      <c r="P256" s="131">
        <f>Update!E249</f>
        <v>72</v>
      </c>
      <c r="Q256" s="131" t="str">
        <f>IF(Update!C249="",ROW(Update!N264),Update!C249)</f>
        <v>PG</v>
      </c>
      <c r="R256" s="127">
        <f>VLOOKUP($O256,'NO USAR1'!$A$4:$L$403,2,False)+VLOOKUP($O256,'NO USAR1'!$A$4:$L$403,3,False)+VLOOKUP($O256,'NO USAR1'!$A$4:$L$403,4,False)+VLOOKUP($O256,'NO USAR1'!$A$4:$L$403,5,False)+VLOOKUP($O256,'NO USAR1'!$A$4:$L$403,6,False)+VLOOKUP($O256,'NO USAR1'!$A$4:$L$403,7,False)+VLOOKUP($O256,'NO USAR1'!$A$4:$L$403,8,False)+VLOOKUP($O256,'NO USAR1'!$A$4:$L$403,10,False)+VLOOKUP($O256,'NO USAR1'!$A$4:$L$403,12,False)*0</f>
        <v>-6.295760945</v>
      </c>
      <c r="S256" s="127">
        <f>VLOOKUP($O256,'NO USAR1'!$A$4:$L$403,2,False)*$U$19+VLOOKUP($O256,'NO USAR1'!$A$4:$L$403,3,False)*$V$19+VLOOKUP($O256,'NO USAR1'!$A$4:$L$403,4,False)*$W$19+VLOOKUP($O256,'NO USAR1'!$A$4:$L$403,5,False)*$X$19+VLOOKUP($O256,'NO USAR1'!$A$4:$L$403,6,False)*$Y$19+VLOOKUP($O256,'NO USAR1'!$A$4:$L$403,7,False)*$Z$19+VLOOKUP($O256,'NO USAR1'!$A$4:$L$403,8,False)*$AA$19+VLOOKUP($O256,'NO USAR1'!$A$4:$L$403,10,False)*$AB$19+VLOOKUP($O256,'NO USAR1'!$A$4:$L$403,12,False)*$AC$19+IF(Projections!$K$3,-AN256, IF(Projections!$J$3,-AM256,0))</f>
        <v>-3.589788592</v>
      </c>
      <c r="T256" s="127">
        <f t="shared" si="1"/>
        <v>2.705972354</v>
      </c>
      <c r="U256" s="127">
        <f>VLOOKUP($O256,Update!$B$2:$R$401,11,False)</f>
        <v>5.8</v>
      </c>
      <c r="V256" s="122">
        <f>VLOOKUP($O256,Update!$B$2:$R$401,10,False)</f>
        <v>0.6</v>
      </c>
      <c r="W256" s="127">
        <f>VLOOKUP($O256,Update!$B$2:$R$401,12,False)</f>
        <v>3</v>
      </c>
      <c r="X256" s="127">
        <f>VLOOKUP($O256,Update!$B$2:$R$401,13,False)</f>
        <v>2.4</v>
      </c>
      <c r="Y256" s="127">
        <f>VLOOKUP($O256,Update!$B$2:$R$401,14,False)</f>
        <v>0.8</v>
      </c>
      <c r="Z256" s="132">
        <f>VLOOKUP($O256,Update!$B$2:$R$401,15,False)</f>
        <v>0.4</v>
      </c>
      <c r="AA256" s="127">
        <f>100*VLOOKUP($O256,Update!$B$2:$R$401,7,False)</f>
        <v>45.09803922</v>
      </c>
      <c r="AB256" s="127">
        <f>100*VLOOKUP($O256,Update!$B$2:$R$401,9,False)</f>
        <v>80</v>
      </c>
      <c r="AC256" s="127">
        <f>VLOOKUP($O256,Update!$B$2:$Q$401,16,False)</f>
        <v>0.8</v>
      </c>
      <c r="AD256" s="127">
        <f>VLOOKUP($O256,'NO USAR1'!$A$4:$L$403,2,False)*$U$19</f>
        <v>-1.930750525</v>
      </c>
      <c r="AE256" s="127">
        <f>VLOOKUP($O256,'NO USAR1'!$A$4:$L$403,3,False)*$V$19</f>
        <v>-0.9058605394</v>
      </c>
      <c r="AF256" s="127">
        <f>VLOOKUP($O256,'NO USAR1'!$A$4:$L$403,4,False)*$W$19</f>
        <v>-1.294325082</v>
      </c>
      <c r="AG256" s="127">
        <f>VLOOKUP($O256,'NO USAR1'!$A$4:$L$403,5,False)*$X$19</f>
        <v>-0.7364755298</v>
      </c>
      <c r="AH256" s="127">
        <f>VLOOKUP($O256,'NO USAR1'!$A$4:$L$403,6,False)*$Y$19</f>
        <v>-0.4244704736</v>
      </c>
      <c r="AI256" s="127">
        <f>VLOOKUP($O256,'NO USAR1'!$A$4:$L$403,7,False)*$Z$19</f>
        <v>-0.3956983969</v>
      </c>
      <c r="AJ256" s="127">
        <f>VLOOKUP($O256,'NO USAR1'!$A$4:$L$403,8,False)*$AA$19</f>
        <v>-0.229260087</v>
      </c>
      <c r="AK256" s="132">
        <f>VLOOKUP($O256,'NO USAR1'!$A$4:$L$403,10,False)*$AB$19</f>
        <v>0.02540226078</v>
      </c>
      <c r="AL256" s="127">
        <f>VLOOKUP($O256,'NO USAR1'!$A$4:$L$403,12,False)*$AC$19</f>
        <v>0.3708992557</v>
      </c>
      <c r="AM256" s="133">
        <f t="shared" si="2"/>
        <v>-1.930750525</v>
      </c>
      <c r="AN256" s="133">
        <f t="shared" si="3"/>
        <v>-3.225075607</v>
      </c>
    </row>
    <row r="257">
      <c r="A257" s="118" t="str">
        <f>IF(Update!B255="",ROW(Update!B255),Update!B255)</f>
        <v>Cam Reddish</v>
      </c>
      <c r="B257" s="119">
        <f>IF(TYPE($A257)=1,"",(Update!$L255-B$1)/B$2)</f>
        <v>-1.526287221</v>
      </c>
      <c r="C257" s="119">
        <f>IF(TYPE($A257)=1,"",(Update!$K255-C$1)/C$2)</f>
        <v>-0.6211211385</v>
      </c>
      <c r="D257" s="119">
        <f>IF(TYPE($A257)=1,"",(Update!$M255-D$1)/D$2)</f>
        <v>-1.79610952</v>
      </c>
      <c r="E257" s="119">
        <f>IF(TYPE($A257)=1,"",(Update!$N255-E$1)/E$2)</f>
        <v>-1.318645434</v>
      </c>
      <c r="F257" s="119">
        <f>IF(TYPE($A257)=1,"",(Update!$O255-F$1)/F$2)</f>
        <v>-0.6063863908</v>
      </c>
      <c r="G257" s="119">
        <f>IF(TYPE($A257)=1,"",(Update!$P255-G$1)/G$2)</f>
        <v>-0.7528774808</v>
      </c>
      <c r="H257" s="119">
        <f>IF(TYPE($A257)=1,"",(Update!$H255-H$1)/H$2*I257/$I$1)</f>
        <v>-0.5805577486</v>
      </c>
      <c r="I257" s="119">
        <f>IF(TYPE($A257)=1,"",IF(Update!H255=0,0,Update!G255/Update!H255))</f>
        <v>6.7</v>
      </c>
      <c r="J257" s="120">
        <f>IF(TYPE($A257)=1,"",(Update!$J255-J$1)/J$2*K257/$K$1)</f>
        <v>0.4895974392</v>
      </c>
      <c r="K257" s="121">
        <f>IF(TYPE($A257)=1,"",IF(Update!J255=0,0,Update!I255/Update!J255))</f>
        <v>1.7</v>
      </c>
      <c r="L257" s="119">
        <f>IF(TYPE($A257)=1,"",-(Update!$Q255-L$1)/L$2)</f>
        <v>1.235226986</v>
      </c>
      <c r="N257" s="33">
        <v>237.0</v>
      </c>
      <c r="O257" s="130" t="str">
        <f>IF(Update!B258="",ROW(Update!B258),Update!B258)</f>
        <v>Nickeil Alexander-Walker</v>
      </c>
      <c r="P257" s="131">
        <f>Update!E258</f>
        <v>67</v>
      </c>
      <c r="Q257" s="131" t="str">
        <f>IF(Update!C258="",ROW(Update!N273),Update!C258)</f>
        <v>SG,SF</v>
      </c>
      <c r="R257" s="127">
        <f>VLOOKUP($O257,'NO USAR1'!$A$4:$L$403,2,False)+VLOOKUP($O257,'NO USAR1'!$A$4:$L$403,3,False)+VLOOKUP($O257,'NO USAR1'!$A$4:$L$403,4,False)+VLOOKUP($O257,'NO USAR1'!$A$4:$L$403,5,False)+VLOOKUP($O257,'NO USAR1'!$A$4:$L$403,6,False)+VLOOKUP($O257,'NO USAR1'!$A$4:$L$403,7,False)+VLOOKUP($O257,'NO USAR1'!$A$4:$L$403,8,False)+VLOOKUP($O257,'NO USAR1'!$A$4:$L$403,10,False)+VLOOKUP($O257,'NO USAR1'!$A$4:$L$403,12,False)*0</f>
        <v>-6.322231935</v>
      </c>
      <c r="S257" s="127">
        <f>VLOOKUP($O257,'NO USAR1'!$A$4:$L$403,2,False)*$U$19+VLOOKUP($O257,'NO USAR1'!$A$4:$L$403,3,False)*$V$19+VLOOKUP($O257,'NO USAR1'!$A$4:$L$403,4,False)*$W$19+VLOOKUP($O257,'NO USAR1'!$A$4:$L$403,5,False)*$X$19+VLOOKUP($O257,'NO USAR1'!$A$4:$L$403,6,False)*$Y$19+VLOOKUP($O257,'NO USAR1'!$A$4:$L$403,7,False)*$Z$19+VLOOKUP($O257,'NO USAR1'!$A$4:$L$403,8,False)*$AA$19+VLOOKUP($O257,'NO USAR1'!$A$4:$L$403,10,False)*$AB$19+VLOOKUP($O257,'NO USAR1'!$A$4:$L$403,12,False)*$AC$19+IF(Projections!$K$3,-AN257, IF(Projections!$J$3,-AM257,0))</f>
        <v>-4.129912224</v>
      </c>
      <c r="T257" s="127">
        <f t="shared" si="1"/>
        <v>2.192319711</v>
      </c>
      <c r="U257" s="127">
        <f>VLOOKUP($O257,Update!$B$2:$R$401,11,False)</f>
        <v>9.6</v>
      </c>
      <c r="V257" s="122">
        <f>VLOOKUP($O257,Update!$B$2:$R$401,10,False)</f>
        <v>1.5</v>
      </c>
      <c r="W257" s="127">
        <f>VLOOKUP($O257,Update!$B$2:$R$401,12,False)</f>
        <v>2.6</v>
      </c>
      <c r="X257" s="127">
        <f>VLOOKUP($O257,Update!$B$2:$R$401,13,False)</f>
        <v>2.4</v>
      </c>
      <c r="Y257" s="127">
        <f>VLOOKUP($O257,Update!$B$2:$R$401,14,False)</f>
        <v>0.7</v>
      </c>
      <c r="Z257" s="132">
        <f>VLOOKUP($O257,Update!$B$2:$R$401,15,False)</f>
        <v>0.4</v>
      </c>
      <c r="AA257" s="127">
        <f>100*VLOOKUP($O257,Update!$B$2:$R$401,7,False)</f>
        <v>39.3258427</v>
      </c>
      <c r="AB257" s="127">
        <f>100*VLOOKUP($O257,Update!$B$2:$R$401,9,False)</f>
        <v>73.33333333</v>
      </c>
      <c r="AC257" s="127">
        <f>VLOOKUP($O257,Update!$B$2:$Q$401,16,False)</f>
        <v>1.4</v>
      </c>
      <c r="AD257" s="127">
        <f>VLOOKUP($O257,'NO USAR1'!$A$4:$L$403,2,False)*$U$19</f>
        <v>-1.290350293</v>
      </c>
      <c r="AE257" s="127">
        <f>VLOOKUP($O257,'NO USAR1'!$A$4:$L$403,3,False)*$V$19</f>
        <v>-0.1254446312</v>
      </c>
      <c r="AF257" s="127">
        <f>VLOOKUP($O257,'NO USAR1'!$A$4:$L$403,4,False)*$W$19</f>
        <v>-1.461586561</v>
      </c>
      <c r="AG257" s="127">
        <f>VLOOKUP($O257,'NO USAR1'!$A$4:$L$403,5,False)*$X$19</f>
        <v>-0.7364755298</v>
      </c>
      <c r="AH257" s="127">
        <f>VLOOKUP($O257,'NO USAR1'!$A$4:$L$403,6,False)*$Y$19</f>
        <v>-0.6425203744</v>
      </c>
      <c r="AI257" s="127">
        <f>VLOOKUP($O257,'NO USAR1'!$A$4:$L$403,7,False)*$Z$19</f>
        <v>-0.3956983969</v>
      </c>
      <c r="AJ257" s="127">
        <f>VLOOKUP($O257,'NO USAR1'!$A$4:$L$403,8,False)*$AA$19</f>
        <v>-0.9132237551</v>
      </c>
      <c r="AK257" s="132">
        <f>VLOOKUP($O257,'NO USAR1'!$A$4:$L$403,10,False)*$AB$19</f>
        <v>-0.2108209717</v>
      </c>
      <c r="AL257" s="127">
        <f>VLOOKUP($O257,'NO USAR1'!$A$4:$L$403,12,False)*$AC$19</f>
        <v>0.1846217277</v>
      </c>
      <c r="AM257" s="133">
        <f t="shared" si="2"/>
        <v>-1.461586561</v>
      </c>
      <c r="AN257" s="133">
        <f t="shared" si="3"/>
        <v>-2.751936854</v>
      </c>
    </row>
    <row r="258">
      <c r="A258" s="118" t="str">
        <f>IF(Update!B256="",ROW(Update!B256),Update!B256)</f>
        <v>Damion Lee</v>
      </c>
      <c r="B258" s="119">
        <f>IF(TYPE($A258)=1,"",(Update!$L256-B$1)/B$2)</f>
        <v>-1.559992496</v>
      </c>
      <c r="C258" s="119">
        <f>IF(TYPE($A258)=1,"",(Update!$K256-C$1)/C$2)</f>
        <v>-0.3320782095</v>
      </c>
      <c r="D258" s="119">
        <f>IF(TYPE($A258)=1,"",(Update!$M256-D$1)/D$2)</f>
        <v>-1.210694342</v>
      </c>
      <c r="E258" s="119">
        <f>IF(TYPE($A258)=1,"",(Update!$N256-E$1)/E$2)</f>
        <v>-1.225913687</v>
      </c>
      <c r="F258" s="119">
        <f>IF(TYPE($A258)=1,"",(Update!$O256-F$1)/F$2)</f>
        <v>-1.540885966</v>
      </c>
      <c r="G258" s="119">
        <f>IF(TYPE($A258)=1,"",(Update!$P256-G$1)/G$2)</f>
        <v>-1.128065594</v>
      </c>
      <c r="H258" s="119">
        <f>IF(TYPE($A258)=1,"",(Update!$H256-H$1)/H$2*I258/$I$1)</f>
        <v>-0.3053235815</v>
      </c>
      <c r="I258" s="119">
        <f>IF(TYPE($A258)=1,"",IF(Update!H256=0,0,Update!G256/Update!H256))</f>
        <v>6.2</v>
      </c>
      <c r="J258" s="120">
        <f>IF(TYPE($A258)=1,"",(Update!$J256-J$1)/J$2*K258/$K$1)</f>
        <v>0.5391273995</v>
      </c>
      <c r="K258" s="121">
        <f>IF(TYPE($A258)=1,"",IF(Update!J256=0,0,Update!I256/Update!J256))</f>
        <v>1.3</v>
      </c>
      <c r="L258" s="119">
        <f>IF(TYPE($A258)=1,"",-(Update!$Q256-L$1)/L$2)</f>
        <v>1.359412004</v>
      </c>
      <c r="N258" s="124">
        <v>238.0</v>
      </c>
      <c r="O258" s="130" t="str">
        <f>IF(Update!B237="",ROW(Update!B237),Update!B237)</f>
        <v>Christian Wood</v>
      </c>
      <c r="P258" s="131">
        <f>Update!E237</f>
        <v>69</v>
      </c>
      <c r="Q258" s="131" t="str">
        <f>IF(Update!C237="",ROW(Update!N252),Update!C237)</f>
        <v>PF</v>
      </c>
      <c r="R258" s="127">
        <f>VLOOKUP($O258,'NO USAR1'!$A$4:$L$403,2,False)+VLOOKUP($O258,'NO USAR1'!$A$4:$L$403,3,False)+VLOOKUP($O258,'NO USAR1'!$A$4:$L$403,4,False)+VLOOKUP($O258,'NO USAR1'!$A$4:$L$403,5,False)+VLOOKUP($O258,'NO USAR1'!$A$4:$L$403,6,False)+VLOOKUP($O258,'NO USAR1'!$A$4:$L$403,7,False)+VLOOKUP($O258,'NO USAR1'!$A$4:$L$403,8,False)+VLOOKUP($O258,'NO USAR1'!$A$4:$L$403,10,False)+VLOOKUP($O258,'NO USAR1'!$A$4:$L$403,12,False)*0</f>
        <v>-6.361659811</v>
      </c>
      <c r="S258" s="127">
        <f>VLOOKUP($O258,'NO USAR1'!$A$4:$L$403,2,False)*$U$19+VLOOKUP($O258,'NO USAR1'!$A$4:$L$403,3,False)*$V$19+VLOOKUP($O258,'NO USAR1'!$A$4:$L$403,4,False)*$W$19+VLOOKUP($O258,'NO USAR1'!$A$4:$L$403,5,False)*$X$19+VLOOKUP($O258,'NO USAR1'!$A$4:$L$403,6,False)*$Y$19+VLOOKUP($O258,'NO USAR1'!$A$4:$L$403,7,False)*$Z$19+VLOOKUP($O258,'NO USAR1'!$A$4:$L$403,8,False)*$AA$19+VLOOKUP($O258,'NO USAR1'!$A$4:$L$403,10,False)*$AB$19+VLOOKUP($O258,'NO USAR1'!$A$4:$L$403,12,False)*$AC$19+IF(Projections!$K$3,-AN258, IF(Projections!$J$3,-AM258,0))</f>
        <v>-4.028513271</v>
      </c>
      <c r="T258" s="127">
        <f t="shared" si="1"/>
        <v>2.33314654</v>
      </c>
      <c r="U258" s="127">
        <f>VLOOKUP($O258,Update!$B$2:$R$401,11,False)</f>
        <v>9.8</v>
      </c>
      <c r="V258" s="122">
        <f>VLOOKUP($O258,Update!$B$2:$R$401,10,False)</f>
        <v>1</v>
      </c>
      <c r="W258" s="127">
        <f>VLOOKUP($O258,Update!$B$2:$R$401,12,False)</f>
        <v>5</v>
      </c>
      <c r="X258" s="127">
        <f>VLOOKUP($O258,Update!$B$2:$R$401,13,False)</f>
        <v>1.2</v>
      </c>
      <c r="Y258" s="127">
        <f>VLOOKUP($O258,Update!$B$2:$R$401,14,False)</f>
        <v>0.4</v>
      </c>
      <c r="Z258" s="132">
        <f>VLOOKUP($O258,Update!$B$2:$R$401,15,False)</f>
        <v>0.6</v>
      </c>
      <c r="AA258" s="127">
        <f>100*VLOOKUP($O258,Update!$B$2:$R$401,7,False)</f>
        <v>50</v>
      </c>
      <c r="AB258" s="127">
        <f>100*VLOOKUP($O258,Update!$B$2:$R$401,9,False)</f>
        <v>69.23076923</v>
      </c>
      <c r="AC258" s="127">
        <f>VLOOKUP($O258,Update!$B$2:$Q$401,16,False)</f>
        <v>1.1</v>
      </c>
      <c r="AD258" s="127">
        <f>VLOOKUP($O258,'NO USAR1'!$A$4:$L$403,2,False)*$U$19</f>
        <v>-1.256645018</v>
      </c>
      <c r="AE258" s="127">
        <f>VLOOKUP($O258,'NO USAR1'!$A$4:$L$403,3,False)*$V$19</f>
        <v>-0.5590090247</v>
      </c>
      <c r="AF258" s="127">
        <f>VLOOKUP($O258,'NO USAR1'!$A$4:$L$403,4,False)*$W$19</f>
        <v>-0.4580176845</v>
      </c>
      <c r="AG258" s="127">
        <f>VLOOKUP($O258,'NO USAR1'!$A$4:$L$403,5,False)*$X$19</f>
        <v>-1.348505056</v>
      </c>
      <c r="AH258" s="127">
        <f>VLOOKUP($O258,'NO USAR1'!$A$4:$L$403,6,False)*$Y$19</f>
        <v>-1.296670077</v>
      </c>
      <c r="AI258" s="127">
        <f>VLOOKUP($O258,'NO USAR1'!$A$4:$L$403,7,False)*$Z$19</f>
        <v>-0.1330667175</v>
      </c>
      <c r="AJ258" s="127">
        <f>VLOOKUP($O258,'NO USAR1'!$A$4:$L$403,8,False)*$AA$19</f>
        <v>0.02807709646</v>
      </c>
      <c r="AK258" s="132">
        <f>VLOOKUP($O258,'NO USAR1'!$A$4:$L$403,10,False)*$AB$19</f>
        <v>-0.630942338</v>
      </c>
      <c r="AL258" s="127">
        <f>VLOOKUP($O258,'NO USAR1'!$A$4:$L$403,12,False)*$AC$19</f>
        <v>0.2777604917</v>
      </c>
      <c r="AM258" s="133">
        <f t="shared" si="2"/>
        <v>-1.348505056</v>
      </c>
      <c r="AN258" s="133">
        <f t="shared" si="3"/>
        <v>-2.645175133</v>
      </c>
    </row>
    <row r="259">
      <c r="A259" s="118" t="str">
        <f>IF(Update!B257="",ROW(Update!B257),Update!B257)</f>
        <v>P.J. Tucker</v>
      </c>
      <c r="B259" s="119">
        <f>IF(TYPE($A259)=1,"",(Update!$L257-B$1)/B$2)</f>
        <v>-2.031866352</v>
      </c>
      <c r="C259" s="119">
        <f>IF(TYPE($A259)=1,"",(Update!$K257-C$1)/C$2)</f>
        <v>-0.7174687815</v>
      </c>
      <c r="D259" s="119">
        <f>IF(TYPE($A259)=1,"",(Update!$M257-D$1)/D$2)</f>
        <v>-0.7089099036</v>
      </c>
      <c r="E259" s="119">
        <f>IF(TYPE($A259)=1,"",(Update!$N257-E$1)/E$2)</f>
        <v>-1.133181941</v>
      </c>
      <c r="F259" s="119">
        <f>IF(TYPE($A259)=1,"",(Update!$O257-F$1)/F$2)</f>
        <v>-1.229386107</v>
      </c>
      <c r="G259" s="119">
        <f>IF(TYPE($A259)=1,"",(Update!$P257-G$1)/G$2)</f>
        <v>-0.9404715375</v>
      </c>
      <c r="H259" s="119">
        <f>IF(TYPE($A259)=1,"",(Update!$H257-H$1)/H$2*I259/$I$1)</f>
        <v>-0.09226693894</v>
      </c>
      <c r="I259" s="119">
        <f>IF(TYPE($A259)=1,"",IF(Update!H257=0,0,Update!G257/Update!H257))</f>
        <v>4.2</v>
      </c>
      <c r="J259" s="120">
        <f>IF(TYPE($A259)=1,"",(Update!$J257-J$1)/J$2*K259/$K$1)</f>
        <v>0.01587641299</v>
      </c>
      <c r="K259" s="121">
        <f>IF(TYPE($A259)=1,"",IF(Update!J257=0,0,Update!I257/Update!J257))</f>
        <v>0.5</v>
      </c>
      <c r="L259" s="119">
        <f>IF(TYPE($A259)=1,"",-(Update!$Q257-L$1)/L$2)</f>
        <v>1.607782042</v>
      </c>
      <c r="N259" s="124">
        <v>239.0</v>
      </c>
      <c r="O259" s="130" t="str">
        <f>IF(Update!B210="",ROW(Update!B210),Update!B210)</f>
        <v>Drew Eubanks</v>
      </c>
      <c r="P259" s="131">
        <f>Update!E210</f>
        <v>70</v>
      </c>
      <c r="Q259" s="131" t="str">
        <f>IF(Update!C210="",ROW(Update!N225),Update!C210)</f>
        <v>C</v>
      </c>
      <c r="R259" s="127">
        <f>VLOOKUP($O259,'NO USAR1'!$A$4:$L$403,2,False)+VLOOKUP($O259,'NO USAR1'!$A$4:$L$403,3,False)+VLOOKUP($O259,'NO USAR1'!$A$4:$L$403,4,False)+VLOOKUP($O259,'NO USAR1'!$A$4:$L$403,5,False)+VLOOKUP($O259,'NO USAR1'!$A$4:$L$403,6,False)+VLOOKUP($O259,'NO USAR1'!$A$4:$L$403,7,False)+VLOOKUP($O259,'NO USAR1'!$A$4:$L$403,8,False)+VLOOKUP($O259,'NO USAR1'!$A$4:$L$403,10,False)+VLOOKUP($O259,'NO USAR1'!$A$4:$L$403,12,False)*0</f>
        <v>-6.382550564</v>
      </c>
      <c r="S259" s="127">
        <f>VLOOKUP($O259,'NO USAR1'!$A$4:$L$403,2,False)*$U$19+VLOOKUP($O259,'NO USAR1'!$A$4:$L$403,3,False)*$V$19+VLOOKUP($O259,'NO USAR1'!$A$4:$L$403,4,False)*$W$19+VLOOKUP($O259,'NO USAR1'!$A$4:$L$403,5,False)*$X$19+VLOOKUP($O259,'NO USAR1'!$A$4:$L$403,6,False)*$Y$19+VLOOKUP($O259,'NO USAR1'!$A$4:$L$403,7,False)*$Z$19+VLOOKUP($O259,'NO USAR1'!$A$4:$L$403,8,False)*$AA$19+VLOOKUP($O259,'NO USAR1'!$A$4:$L$403,10,False)*$AB$19+VLOOKUP($O259,'NO USAR1'!$A$4:$L$403,12,False)*$AC$19+IF(Projections!$K$3,-AN259, IF(Projections!$J$3,-AM259,0))</f>
        <v>-3.732223208</v>
      </c>
      <c r="T259" s="127">
        <f t="shared" si="1"/>
        <v>2.650327355</v>
      </c>
      <c r="U259" s="127">
        <f>VLOOKUP($O259,Update!$B$2:$R$401,11,False)</f>
        <v>6.6</v>
      </c>
      <c r="V259" s="122">
        <f>VLOOKUP($O259,Update!$B$2:$R$401,10,False)</f>
        <v>0.1</v>
      </c>
      <c r="W259" s="127">
        <f>VLOOKUP($O259,Update!$B$2:$R$401,12,False)</f>
        <v>5</v>
      </c>
      <c r="X259" s="127">
        <f>VLOOKUP($O259,Update!$B$2:$R$401,13,False)</f>
        <v>1.2</v>
      </c>
      <c r="Y259" s="127">
        <f>VLOOKUP($O259,Update!$B$2:$R$401,14,False)</f>
        <v>0.4</v>
      </c>
      <c r="Z259" s="132">
        <f>VLOOKUP($O259,Update!$B$2:$R$401,15,False)</f>
        <v>0.9</v>
      </c>
      <c r="AA259" s="127">
        <f>100*VLOOKUP($O259,Update!$B$2:$R$401,7,False)</f>
        <v>61.36363636</v>
      </c>
      <c r="AB259" s="127">
        <f>100*VLOOKUP($O259,Update!$B$2:$R$401,9,False)</f>
        <v>68.75</v>
      </c>
      <c r="AC259" s="127">
        <f>VLOOKUP($O259,Update!$B$2:$Q$401,16,False)</f>
        <v>0.9</v>
      </c>
      <c r="AD259" s="127">
        <f>VLOOKUP($O259,'NO USAR1'!$A$4:$L$403,2,False)*$U$19</f>
        <v>-1.795929424</v>
      </c>
      <c r="AE259" s="127">
        <f>VLOOKUP($O259,'NO USAR1'!$A$4:$L$403,3,False)*$V$19</f>
        <v>-1.339424933</v>
      </c>
      <c r="AF259" s="127">
        <f>VLOOKUP($O259,'NO USAR1'!$A$4:$L$403,4,False)*$W$19</f>
        <v>-0.4580176845</v>
      </c>
      <c r="AG259" s="127">
        <f>VLOOKUP($O259,'NO USAR1'!$A$4:$L$403,5,False)*$X$19</f>
        <v>-1.348505056</v>
      </c>
      <c r="AH259" s="127">
        <f>VLOOKUP($O259,'NO USAR1'!$A$4:$L$403,6,False)*$Y$19</f>
        <v>-1.296670077</v>
      </c>
      <c r="AI259" s="127">
        <f>VLOOKUP($O259,'NO USAR1'!$A$4:$L$403,7,False)*$Z$19</f>
        <v>0.2608808015</v>
      </c>
      <c r="AJ259" s="127">
        <f>VLOOKUP($O259,'NO USAR1'!$A$4:$L$403,8,False)*$AA$19</f>
        <v>0.5170809752</v>
      </c>
      <c r="AK259" s="132">
        <f>VLOOKUP($O259,'NO USAR1'!$A$4:$L$403,10,False)*$AB$19</f>
        <v>-0.4074202359</v>
      </c>
      <c r="AL259" s="127">
        <f>VLOOKUP($O259,'NO USAR1'!$A$4:$L$403,12,False)*$AC$19</f>
        <v>0.3398530011</v>
      </c>
      <c r="AM259" s="133">
        <f t="shared" si="2"/>
        <v>-1.795929424</v>
      </c>
      <c r="AN259" s="133">
        <f t="shared" si="3"/>
        <v>-3.14443448</v>
      </c>
    </row>
    <row r="260">
      <c r="A260" s="118" t="str">
        <f>IF(Update!B258="",ROW(Update!B258),Update!B258)</f>
        <v>Nickeil Alexander-Walker</v>
      </c>
      <c r="B260" s="119">
        <f>IF(TYPE($A260)=1,"",(Update!$L258-B$1)/B$2)</f>
        <v>-1.290350293</v>
      </c>
      <c r="C260" s="119">
        <f>IF(TYPE($A260)=1,"",(Update!$K258-C$1)/C$2)</f>
        <v>-0.1393829235</v>
      </c>
      <c r="D260" s="119">
        <f>IF(TYPE($A260)=1,"",(Update!$M258-D$1)/D$2)</f>
        <v>-1.461586561</v>
      </c>
      <c r="E260" s="119">
        <f>IF(TYPE($A260)=1,"",(Update!$N258-E$1)/E$2)</f>
        <v>-0.6695232089</v>
      </c>
      <c r="F260" s="119">
        <f>IF(TYPE($A260)=1,"",(Update!$O258-F$1)/F$2)</f>
        <v>-0.9178862491</v>
      </c>
      <c r="G260" s="119">
        <f>IF(TYPE($A260)=1,"",(Update!$P258-G$1)/G$2)</f>
        <v>-0.5652834241</v>
      </c>
      <c r="H260" s="119">
        <f>IF(TYPE($A260)=1,"",(Update!$H258-H$1)/H$2*I260/$I$1)</f>
        <v>-1.014693061</v>
      </c>
      <c r="I260" s="119">
        <f>IF(TYPE($A260)=1,"",IF(Update!H258=0,0,Update!G258/Update!H258))</f>
        <v>8.9</v>
      </c>
      <c r="J260" s="120">
        <f>IF(TYPE($A260)=1,"",(Update!$J258-J$1)/J$2*K260/$K$1)</f>
        <v>-0.2635262146</v>
      </c>
      <c r="K260" s="121">
        <f>IF(TYPE($A260)=1,"",IF(Update!J258=0,0,Update!I258/Update!J258))</f>
        <v>1.5</v>
      </c>
      <c r="L260" s="119">
        <f>IF(TYPE($A260)=1,"",-(Update!$Q258-L$1)/L$2)</f>
        <v>0.738486911</v>
      </c>
      <c r="N260" s="33">
        <v>240.0</v>
      </c>
      <c r="O260" s="130" t="str">
        <f>IF(Update!B208="",ROW(Update!B208),Update!B208)</f>
        <v>Charles Bassey</v>
      </c>
      <c r="P260" s="131">
        <f>Update!E208</f>
        <v>60</v>
      </c>
      <c r="Q260" s="131" t="str">
        <f>IF(Update!C208="",ROW(Update!N223),Update!C208)</f>
        <v>C</v>
      </c>
      <c r="R260" s="127">
        <f>VLOOKUP($O260,'NO USAR1'!$A$4:$L$403,2,False)+VLOOKUP($O260,'NO USAR1'!$A$4:$L$403,3,False)+VLOOKUP($O260,'NO USAR1'!$A$4:$L$403,4,False)+VLOOKUP($O260,'NO USAR1'!$A$4:$L$403,5,False)+VLOOKUP($O260,'NO USAR1'!$A$4:$L$403,6,False)+VLOOKUP($O260,'NO USAR1'!$A$4:$L$403,7,False)+VLOOKUP($O260,'NO USAR1'!$A$4:$L$403,8,False)+VLOOKUP($O260,'NO USAR1'!$A$4:$L$403,10,False)+VLOOKUP($O260,'NO USAR1'!$A$4:$L$403,12,False)*0</f>
        <v>-6.385212081</v>
      </c>
      <c r="S260" s="127">
        <f>VLOOKUP($O260,'NO USAR1'!$A$4:$L$403,2,False)*$U$19+VLOOKUP($O260,'NO USAR1'!$A$4:$L$403,3,False)*$V$19+VLOOKUP($O260,'NO USAR1'!$A$4:$L$403,4,False)*$W$19+VLOOKUP($O260,'NO USAR1'!$A$4:$L$403,5,False)*$X$19+VLOOKUP($O260,'NO USAR1'!$A$4:$L$403,6,False)*$Y$19+VLOOKUP($O260,'NO USAR1'!$A$4:$L$403,7,False)*$Z$19+VLOOKUP($O260,'NO USAR1'!$A$4:$L$403,8,False)*$AA$19+VLOOKUP($O260,'NO USAR1'!$A$4:$L$403,10,False)*$AB$19+VLOOKUP($O260,'NO USAR1'!$A$4:$L$403,12,False)*$AC$19+IF(Projections!$K$3,-AN260, IF(Projections!$J$3,-AM260,0))</f>
        <v>-3.624942811</v>
      </c>
      <c r="T260" s="127">
        <f t="shared" si="1"/>
        <v>2.760269269</v>
      </c>
      <c r="U260" s="127">
        <f>VLOOKUP($O260,Update!$B$2:$R$401,11,False)</f>
        <v>5.5</v>
      </c>
      <c r="V260" s="122">
        <f>VLOOKUP($O260,Update!$B$2:$R$401,10,False)</f>
        <v>0.1</v>
      </c>
      <c r="W260" s="127">
        <f>VLOOKUP($O260,Update!$B$2:$R$401,12,False)</f>
        <v>5.3</v>
      </c>
      <c r="X260" s="127">
        <f>VLOOKUP($O260,Update!$B$2:$R$401,13,False)</f>
        <v>1.1</v>
      </c>
      <c r="Y260" s="127">
        <f>VLOOKUP($O260,Update!$B$2:$R$401,14,False)</f>
        <v>0.4</v>
      </c>
      <c r="Z260" s="132">
        <f>VLOOKUP($O260,Update!$B$2:$R$401,15,False)</f>
        <v>1</v>
      </c>
      <c r="AA260" s="127">
        <f>100*VLOOKUP($O260,Update!$B$2:$R$401,7,False)</f>
        <v>63.15789474</v>
      </c>
      <c r="AB260" s="127">
        <f>100*VLOOKUP($O260,Update!$B$2:$R$401,9,False)</f>
        <v>60</v>
      </c>
      <c r="AC260" s="127">
        <f>VLOOKUP($O260,Update!$B$2:$Q$401,16,False)</f>
        <v>1</v>
      </c>
      <c r="AD260" s="127">
        <f>VLOOKUP($O260,'NO USAR1'!$A$4:$L$403,2,False)*$U$19</f>
        <v>-1.981308438</v>
      </c>
      <c r="AE260" s="127">
        <f>VLOOKUP($O260,'NO USAR1'!$A$4:$L$403,3,False)*$V$19</f>
        <v>-1.339424933</v>
      </c>
      <c r="AF260" s="127">
        <f>VLOOKUP($O260,'NO USAR1'!$A$4:$L$403,4,False)*$W$19</f>
        <v>-0.3325715749</v>
      </c>
      <c r="AG260" s="127">
        <f>VLOOKUP($O260,'NO USAR1'!$A$4:$L$403,5,False)*$X$19</f>
        <v>-1.399507516</v>
      </c>
      <c r="AH260" s="127">
        <f>VLOOKUP($O260,'NO USAR1'!$A$4:$L$403,6,False)*$Y$19</f>
        <v>-1.296670077</v>
      </c>
      <c r="AI260" s="127">
        <f>VLOOKUP($O260,'NO USAR1'!$A$4:$L$403,7,False)*$Z$19</f>
        <v>0.3921966412</v>
      </c>
      <c r="AJ260" s="127">
        <f>VLOOKUP($O260,'NO USAR1'!$A$4:$L$403,8,False)*$AA$19</f>
        <v>0.514674367</v>
      </c>
      <c r="AK260" s="132">
        <f>VLOOKUP($O260,'NO USAR1'!$A$4:$L$403,10,False)*$AB$19</f>
        <v>-0.4724464649</v>
      </c>
      <c r="AL260" s="127">
        <f>VLOOKUP($O260,'NO USAR1'!$A$4:$L$403,12,False)*$AC$19</f>
        <v>0.3088067464</v>
      </c>
      <c r="AM260" s="133">
        <f t="shared" si="2"/>
        <v>-1.981308438</v>
      </c>
      <c r="AN260" s="133">
        <f t="shared" si="3"/>
        <v>-3.380815955</v>
      </c>
    </row>
    <row r="261">
      <c r="A261" s="118" t="str">
        <f>IF(Update!B259="",ROW(Update!B259),Update!B259)</f>
        <v>Malaki Branham</v>
      </c>
      <c r="B261" s="119">
        <f>IF(TYPE($A261)=1,"",(Update!$L259-B$1)/B$2)</f>
        <v>-1.138676554</v>
      </c>
      <c r="C261" s="119">
        <f>IF(TYPE($A261)=1,"",(Update!$K259-C$1)/C$2)</f>
        <v>-0.4284258525</v>
      </c>
      <c r="D261" s="119">
        <f>IF(TYPE($A261)=1,"",(Update!$M259-D$1)/D$2)</f>
        <v>-1.377955821</v>
      </c>
      <c r="E261" s="119">
        <f>IF(TYPE($A261)=1,"",(Update!$N259-E$1)/E$2)</f>
        <v>-0.8549867017</v>
      </c>
      <c r="F261" s="119">
        <f>IF(TYPE($A261)=1,"",(Update!$O259-F$1)/F$2)</f>
        <v>-1.540885966</v>
      </c>
      <c r="G261" s="119">
        <f>IF(TYPE($A261)=1,"",(Update!$P259-G$1)/G$2)</f>
        <v>-1.128065594</v>
      </c>
      <c r="H261" s="119">
        <f>IF(TYPE($A261)=1,"",(Update!$H259-H$1)/H$2*I261/$I$1)</f>
        <v>-0.6231258725</v>
      </c>
      <c r="I261" s="119">
        <f>IF(TYPE($A261)=1,"",IF(Update!H259=0,0,Update!G259/Update!H259))</f>
        <v>9.6</v>
      </c>
      <c r="J261" s="120">
        <f>IF(TYPE($A261)=1,"",(Update!$J259-J$1)/J$2*K261/$K$1)</f>
        <v>0.09715919929</v>
      </c>
      <c r="K261" s="121">
        <f>IF(TYPE($A261)=1,"",IF(Update!J259=0,0,Update!I259/Update!J259))</f>
        <v>1.1</v>
      </c>
      <c r="L261" s="119">
        <f>IF(TYPE($A261)=1,"",-(Update!$Q259-L$1)/L$2)</f>
        <v>0.9868569483</v>
      </c>
      <c r="N261" s="33">
        <v>241.0</v>
      </c>
      <c r="O261" s="130" t="str">
        <f>IF(Update!B248="",ROW(Update!B248),Update!B248)</f>
        <v>Dario Saric</v>
      </c>
      <c r="P261" s="131">
        <f>Update!E248</f>
        <v>67</v>
      </c>
      <c r="Q261" s="131" t="str">
        <f>IF(Update!C248="",ROW(Update!N263),Update!C248)</f>
        <v>PF,C</v>
      </c>
      <c r="R261" s="127">
        <f>VLOOKUP($O261,'NO USAR1'!$A$4:$L$403,2,False)+VLOOKUP($O261,'NO USAR1'!$A$4:$L$403,3,False)+VLOOKUP($O261,'NO USAR1'!$A$4:$L$403,4,False)+VLOOKUP($O261,'NO USAR1'!$A$4:$L$403,5,False)+VLOOKUP($O261,'NO USAR1'!$A$4:$L$403,6,False)+VLOOKUP($O261,'NO USAR1'!$A$4:$L$403,7,False)+VLOOKUP($O261,'NO USAR1'!$A$4:$L$403,8,False)+VLOOKUP($O261,'NO USAR1'!$A$4:$L$403,10,False)+VLOOKUP($O261,'NO USAR1'!$A$4:$L$403,12,False)*0</f>
        <v>-6.391863581</v>
      </c>
      <c r="S261" s="127">
        <f>VLOOKUP($O261,'NO USAR1'!$A$4:$L$403,2,False)*$U$19+VLOOKUP($O261,'NO USAR1'!$A$4:$L$403,3,False)*$V$19+VLOOKUP($O261,'NO USAR1'!$A$4:$L$403,4,False)*$W$19+VLOOKUP($O261,'NO USAR1'!$A$4:$L$403,5,False)*$X$19+VLOOKUP($O261,'NO USAR1'!$A$4:$L$403,6,False)*$Y$19+VLOOKUP($O261,'NO USAR1'!$A$4:$L$403,7,False)*$Z$19+VLOOKUP($O261,'NO USAR1'!$A$4:$L$403,8,False)*$AA$19+VLOOKUP($O261,'NO USAR1'!$A$4:$L$403,10,False)*$AB$19+VLOOKUP($O261,'NO USAR1'!$A$4:$L$403,12,False)*$AC$19+IF(Projections!$K$3,-AN261, IF(Projections!$J$3,-AM261,0))</f>
        <v>-3.900054592</v>
      </c>
      <c r="T261" s="127">
        <f t="shared" si="1"/>
        <v>2.491808989</v>
      </c>
      <c r="U261" s="127">
        <f>VLOOKUP($O261,Update!$B$2:$R$401,11,False)</f>
        <v>8.1</v>
      </c>
      <c r="V261" s="122">
        <f>VLOOKUP($O261,Update!$B$2:$R$401,10,False)</f>
        <v>1</v>
      </c>
      <c r="W261" s="127">
        <f>VLOOKUP($O261,Update!$B$2:$R$401,12,False)</f>
        <v>4.6</v>
      </c>
      <c r="X261" s="127">
        <f>VLOOKUP($O261,Update!$B$2:$R$401,13,False)</f>
        <v>1.7</v>
      </c>
      <c r="Y261" s="127">
        <f>VLOOKUP($O261,Update!$B$2:$R$401,14,False)</f>
        <v>0.5</v>
      </c>
      <c r="Z261" s="132">
        <f>VLOOKUP($O261,Update!$B$2:$R$401,15,False)</f>
        <v>0.2</v>
      </c>
      <c r="AA261" s="127">
        <f>100*VLOOKUP($O261,Update!$B$2:$R$401,7,False)</f>
        <v>45.16129032</v>
      </c>
      <c r="AB261" s="127">
        <f>100*VLOOKUP($O261,Update!$B$2:$R$401,9,False)</f>
        <v>82.35294118</v>
      </c>
      <c r="AC261" s="127">
        <f>VLOOKUP($O261,Update!$B$2:$Q$401,16,False)</f>
        <v>1.2</v>
      </c>
      <c r="AD261" s="127">
        <f>VLOOKUP($O261,'NO USAR1'!$A$4:$L$403,2,False)*$U$19</f>
        <v>-1.543139858</v>
      </c>
      <c r="AE261" s="127">
        <f>VLOOKUP($O261,'NO USAR1'!$A$4:$L$403,3,False)*$V$19</f>
        <v>-0.5590090247</v>
      </c>
      <c r="AF261" s="127">
        <f>VLOOKUP($O261,'NO USAR1'!$A$4:$L$403,4,False)*$W$19</f>
        <v>-0.6252791639</v>
      </c>
      <c r="AG261" s="127">
        <f>VLOOKUP($O261,'NO USAR1'!$A$4:$L$403,5,False)*$X$19</f>
        <v>-1.093492753</v>
      </c>
      <c r="AH261" s="127">
        <f>VLOOKUP($O261,'NO USAR1'!$A$4:$L$403,6,False)*$Y$19</f>
        <v>-1.078620176</v>
      </c>
      <c r="AI261" s="127">
        <f>VLOOKUP($O261,'NO USAR1'!$A$4:$L$403,7,False)*$Z$19</f>
        <v>-0.6583300762</v>
      </c>
      <c r="AJ261" s="127">
        <f>VLOOKUP($O261,'NO USAR1'!$A$4:$L$403,8,False)*$AA$19</f>
        <v>-0.2747912233</v>
      </c>
      <c r="AK261" s="132">
        <f>VLOOKUP($O261,'NO USAR1'!$A$4:$L$403,10,False)*$AB$19</f>
        <v>0.1427535885</v>
      </c>
      <c r="AL261" s="127">
        <f>VLOOKUP($O261,'NO USAR1'!$A$4:$L$403,12,False)*$AC$19</f>
        <v>0.2467142371</v>
      </c>
      <c r="AM261" s="133">
        <f t="shared" si="2"/>
        <v>-1.543139858</v>
      </c>
      <c r="AN261" s="133">
        <f t="shared" si="3"/>
        <v>-2.636632612</v>
      </c>
    </row>
    <row r="262">
      <c r="A262" s="118" t="str">
        <f>IF(Update!B260="",ROW(Update!B260),Update!B260)</f>
        <v>Jaylin Williams</v>
      </c>
      <c r="B262" s="119">
        <f>IF(TYPE($A262)=1,"",(Update!$L260-B$1)/B$2)</f>
        <v>-1.89704525</v>
      </c>
      <c r="C262" s="119">
        <f>IF(TYPE($A262)=1,"",(Update!$K260-C$1)/C$2)</f>
        <v>-0.6211211385</v>
      </c>
      <c r="D262" s="119">
        <f>IF(TYPE($A262)=1,"",(Update!$M260-D$1)/D$2)</f>
        <v>-0.4580176845</v>
      </c>
      <c r="E262" s="119">
        <f>IF(TYPE($A262)=1,"",(Update!$N260-E$1)/E$2)</f>
        <v>-1.040450194</v>
      </c>
      <c r="F262" s="119">
        <f>IF(TYPE($A262)=1,"",(Update!$O260-F$1)/F$2)</f>
        <v>-1.229386107</v>
      </c>
      <c r="G262" s="119">
        <f>IF(TYPE($A262)=1,"",(Update!$P260-G$1)/G$2)</f>
        <v>-0.7528774808</v>
      </c>
      <c r="H262" s="119">
        <f>IF(TYPE($A262)=1,"",(Update!$H260-H$1)/H$2*I262/$I$1)</f>
        <v>-0.3115629363</v>
      </c>
      <c r="I262" s="119">
        <f>IF(TYPE($A262)=1,"",IF(Update!H260=0,0,Update!G260/Update!H260))</f>
        <v>4.8</v>
      </c>
      <c r="J262" s="120">
        <f>IF(TYPE($A262)=1,"",(Update!$J260-J$1)/J$2*K262/$K$1)</f>
        <v>-0.2139962543</v>
      </c>
      <c r="K262" s="121">
        <f>IF(TYPE($A262)=1,"",IF(Update!J260=0,0,Update!I260/Update!J260))</f>
        <v>1.1</v>
      </c>
      <c r="L262" s="119">
        <f>IF(TYPE($A262)=1,"",-(Update!$Q260-L$1)/L$2)</f>
        <v>1.483597023</v>
      </c>
      <c r="N262" s="124">
        <v>242.0</v>
      </c>
      <c r="O262" s="130" t="str">
        <f>IF(Update!B239="",ROW(Update!B239),Update!B239)</f>
        <v>Nassir Little</v>
      </c>
      <c r="P262" s="131">
        <f>Update!E239</f>
        <v>58</v>
      </c>
      <c r="Q262" s="131" t="str">
        <f>IF(Update!C239="",ROW(Update!N254),Update!C239)</f>
        <v>SF,PF</v>
      </c>
      <c r="R262" s="127">
        <f>VLOOKUP($O262,'NO USAR1'!$A$4:$L$403,2,False)+VLOOKUP($O262,'NO USAR1'!$A$4:$L$403,3,False)+VLOOKUP($O262,'NO USAR1'!$A$4:$L$403,4,False)+VLOOKUP($O262,'NO USAR1'!$A$4:$L$403,5,False)+VLOOKUP($O262,'NO USAR1'!$A$4:$L$403,6,False)+VLOOKUP($O262,'NO USAR1'!$A$4:$L$403,7,False)+VLOOKUP($O262,'NO USAR1'!$A$4:$L$403,8,False)+VLOOKUP($O262,'NO USAR1'!$A$4:$L$403,10,False)+VLOOKUP($O262,'NO USAR1'!$A$4:$L$403,12,False)*0</f>
        <v>-6.397591242</v>
      </c>
      <c r="S262" s="127">
        <f>VLOOKUP($O262,'NO USAR1'!$A$4:$L$403,2,False)*$U$19+VLOOKUP($O262,'NO USAR1'!$A$4:$L$403,3,False)*$V$19+VLOOKUP($O262,'NO USAR1'!$A$4:$L$403,4,False)*$W$19+VLOOKUP($O262,'NO USAR1'!$A$4:$L$403,5,False)*$X$19+VLOOKUP($O262,'NO USAR1'!$A$4:$L$403,6,False)*$Y$19+VLOOKUP($O262,'NO USAR1'!$A$4:$L$403,7,False)*$Z$19+VLOOKUP($O262,'NO USAR1'!$A$4:$L$403,8,False)*$AA$19+VLOOKUP($O262,'NO USAR1'!$A$4:$L$403,10,False)*$AB$19+VLOOKUP($O262,'NO USAR1'!$A$4:$L$403,12,False)*$AC$19+IF(Projections!$K$3,-AN262, IF(Projections!$J$3,-AM262,0))</f>
        <v>-3.993784374</v>
      </c>
      <c r="T262" s="127">
        <f t="shared" si="1"/>
        <v>2.403806868</v>
      </c>
      <c r="U262" s="127">
        <f>VLOOKUP($O262,Update!$B$2:$R$401,11,False)</f>
        <v>8.3</v>
      </c>
      <c r="V262" s="122">
        <f>VLOOKUP($O262,Update!$B$2:$R$401,10,False)</f>
        <v>1.2</v>
      </c>
      <c r="W262" s="127">
        <f>VLOOKUP($O262,Update!$B$2:$R$401,12,False)</f>
        <v>4.1</v>
      </c>
      <c r="X262" s="127">
        <f>VLOOKUP($O262,Update!$B$2:$R$401,13,False)</f>
        <v>1.1</v>
      </c>
      <c r="Y262" s="127">
        <f>VLOOKUP($O262,Update!$B$2:$R$401,14,False)</f>
        <v>0.5</v>
      </c>
      <c r="Z262" s="132">
        <f>VLOOKUP($O262,Update!$B$2:$R$401,15,False)</f>
        <v>0.6</v>
      </c>
      <c r="AA262" s="127">
        <f>100*VLOOKUP($O262,Update!$B$2:$R$401,7,False)</f>
        <v>44.7761194</v>
      </c>
      <c r="AB262" s="127">
        <f>100*VLOOKUP($O262,Update!$B$2:$R$401,9,False)</f>
        <v>73.33333333</v>
      </c>
      <c r="AC262" s="127">
        <f>VLOOKUP($O262,Update!$B$2:$Q$401,16,False)</f>
        <v>0.8</v>
      </c>
      <c r="AD262" s="127">
        <f>VLOOKUP($O262,'NO USAR1'!$A$4:$L$403,2,False)*$U$19</f>
        <v>-1.509434583</v>
      </c>
      <c r="AE262" s="127">
        <f>VLOOKUP($O262,'NO USAR1'!$A$4:$L$403,3,False)*$V$19</f>
        <v>-0.3855832673</v>
      </c>
      <c r="AF262" s="127">
        <f>VLOOKUP($O262,'NO USAR1'!$A$4:$L$403,4,False)*$W$19</f>
        <v>-0.8343560132</v>
      </c>
      <c r="AG262" s="127">
        <f>VLOOKUP($O262,'NO USAR1'!$A$4:$L$403,5,False)*$X$19</f>
        <v>-1.399507516</v>
      </c>
      <c r="AH262" s="127">
        <f>VLOOKUP($O262,'NO USAR1'!$A$4:$L$403,6,False)*$Y$19</f>
        <v>-1.078620176</v>
      </c>
      <c r="AI262" s="127">
        <f>VLOOKUP($O262,'NO USAR1'!$A$4:$L$403,7,False)*$Z$19</f>
        <v>-0.1330667175</v>
      </c>
      <c r="AJ262" s="127">
        <f>VLOOKUP($O262,'NO USAR1'!$A$4:$L$403,8,False)*$AA$19</f>
        <v>-0.3227289679</v>
      </c>
      <c r="AK262" s="132">
        <f>VLOOKUP($O262,'NO USAR1'!$A$4:$L$403,10,False)*$AB$19</f>
        <v>-0.2108209717</v>
      </c>
      <c r="AL262" s="127">
        <f>VLOOKUP($O262,'NO USAR1'!$A$4:$L$403,12,False)*$AC$19</f>
        <v>0.3708992557</v>
      </c>
      <c r="AM262" s="133">
        <f t="shared" si="2"/>
        <v>-1.509434583</v>
      </c>
      <c r="AN262" s="133">
        <f t="shared" si="3"/>
        <v>-2.908942099</v>
      </c>
    </row>
    <row r="263">
      <c r="A263" s="118" t="str">
        <f>IF(Update!B261="",ROW(Update!B261),Update!B261)</f>
        <v>Reggie Jackson</v>
      </c>
      <c r="B263" s="119">
        <f>IF(TYPE($A263)=1,"",(Update!$L261-B$1)/B$2)</f>
        <v>-1.138676554</v>
      </c>
      <c r="C263" s="119">
        <f>IF(TYPE($A263)=1,"",(Update!$K261-C$1)/C$2)</f>
        <v>-0.2357305665</v>
      </c>
      <c r="D263" s="119">
        <f>IF(TYPE($A263)=1,"",(Update!$M261-D$1)/D$2)</f>
        <v>-1.62884804</v>
      </c>
      <c r="E263" s="119">
        <f>IF(TYPE($A263)=1,"",(Update!$N261-E$1)/E$2)</f>
        <v>-0.2985962234</v>
      </c>
      <c r="F263" s="119">
        <f>IF(TYPE($A263)=1,"",(Update!$O261-F$1)/F$2)</f>
        <v>-1.229386107</v>
      </c>
      <c r="G263" s="119">
        <f>IF(TYPE($A263)=1,"",(Update!$P261-G$1)/G$2)</f>
        <v>-1.128065594</v>
      </c>
      <c r="H263" s="119">
        <f>IF(TYPE($A263)=1,"",(Update!$H261-H$1)/H$2*I263/$I$1)</f>
        <v>-1.065283213</v>
      </c>
      <c r="I263" s="119">
        <f>IF(TYPE($A263)=1,"",IF(Update!H261=0,0,Update!G261/Update!H261))</f>
        <v>10</v>
      </c>
      <c r="J263" s="120">
        <f>IF(TYPE($A263)=1,"",(Update!$J261-J$1)/J$2*K263/$K$1)</f>
        <v>0.2279719459</v>
      </c>
      <c r="K263" s="121">
        <f>IF(TYPE($A263)=1,"",IF(Update!J261=0,0,Update!I261/Update!J261))</f>
        <v>1.3</v>
      </c>
      <c r="L263" s="119">
        <f>IF(TYPE($A263)=1,"",-(Update!$Q261-L$1)/L$2)</f>
        <v>0.6143018923</v>
      </c>
      <c r="N263" s="124">
        <v>243.0</v>
      </c>
      <c r="O263" s="130" t="str">
        <f>IF(Update!B251="",ROW(Update!B251),Update!B251)</f>
        <v>Xavier Tillman Sr.</v>
      </c>
      <c r="P263" s="131">
        <f>Update!E251</f>
        <v>68</v>
      </c>
      <c r="Q263" s="131" t="str">
        <f>IF(Update!C251="",ROW(Update!N266),Update!C251)</f>
        <v>PF,C</v>
      </c>
      <c r="R263" s="127">
        <f>VLOOKUP($O263,'NO USAR1'!$A$4:$L$403,2,False)+VLOOKUP($O263,'NO USAR1'!$A$4:$L$403,3,False)+VLOOKUP($O263,'NO USAR1'!$A$4:$L$403,4,False)+VLOOKUP($O263,'NO USAR1'!$A$4:$L$403,5,False)+VLOOKUP($O263,'NO USAR1'!$A$4:$L$403,6,False)+VLOOKUP($O263,'NO USAR1'!$A$4:$L$403,7,False)+VLOOKUP($O263,'NO USAR1'!$A$4:$L$403,8,False)+VLOOKUP($O263,'NO USAR1'!$A$4:$L$403,10,False)+VLOOKUP($O263,'NO USAR1'!$A$4:$L$403,12,False)*0</f>
        <v>-6.413410791</v>
      </c>
      <c r="S263" s="127">
        <f>VLOOKUP($O263,'NO USAR1'!$A$4:$L$403,2,False)*$U$19+VLOOKUP($O263,'NO USAR1'!$A$4:$L$403,3,False)*$V$19+VLOOKUP($O263,'NO USAR1'!$A$4:$L$403,4,False)*$W$19+VLOOKUP($O263,'NO USAR1'!$A$4:$L$403,5,False)*$X$19+VLOOKUP($O263,'NO USAR1'!$A$4:$L$403,6,False)*$Y$19+VLOOKUP($O263,'NO USAR1'!$A$4:$L$403,7,False)*$Z$19+VLOOKUP($O263,'NO USAR1'!$A$4:$L$403,8,False)*$AA$19+VLOOKUP($O263,'NO USAR1'!$A$4:$L$403,10,False)*$AB$19+VLOOKUP($O263,'NO USAR1'!$A$4:$L$403,12,False)*$AC$19+IF(Projections!$K$3,-AN263, IF(Projections!$J$3,-AM263,0))</f>
        <v>-3.800690945</v>
      </c>
      <c r="T263" s="127">
        <f t="shared" si="1"/>
        <v>2.612719846</v>
      </c>
      <c r="U263" s="127">
        <f>VLOOKUP($O263,Update!$B$2:$R$401,11,False)</f>
        <v>6.2</v>
      </c>
      <c r="V263" s="122">
        <f>VLOOKUP($O263,Update!$B$2:$R$401,10,False)</f>
        <v>0.1</v>
      </c>
      <c r="W263" s="127">
        <f>VLOOKUP($O263,Update!$B$2:$R$401,12,False)</f>
        <v>4.2</v>
      </c>
      <c r="X263" s="127">
        <f>VLOOKUP($O263,Update!$B$2:$R$401,13,False)</f>
        <v>1.4</v>
      </c>
      <c r="Y263" s="127">
        <f>VLOOKUP($O263,Update!$B$2:$R$401,14,False)</f>
        <v>1</v>
      </c>
      <c r="Z263" s="132">
        <f>VLOOKUP($O263,Update!$B$2:$R$401,15,False)</f>
        <v>0.4</v>
      </c>
      <c r="AA263" s="127">
        <f>100*VLOOKUP($O263,Update!$B$2:$R$401,7,False)</f>
        <v>55.31914894</v>
      </c>
      <c r="AB263" s="127">
        <f>100*VLOOKUP($O263,Update!$B$2:$R$401,9,False)</f>
        <v>60</v>
      </c>
      <c r="AC263" s="127">
        <f>VLOOKUP($O263,Update!$B$2:$Q$401,16,False)</f>
        <v>0.7</v>
      </c>
      <c r="AD263" s="127">
        <f>VLOOKUP($O263,'NO USAR1'!$A$4:$L$403,2,False)*$U$19</f>
        <v>-1.863339975</v>
      </c>
      <c r="AE263" s="127">
        <f>VLOOKUP($O263,'NO USAR1'!$A$4:$L$403,3,False)*$V$19</f>
        <v>-1.339424933</v>
      </c>
      <c r="AF263" s="127">
        <f>VLOOKUP($O263,'NO USAR1'!$A$4:$L$403,4,False)*$W$19</f>
        <v>-0.7925406433</v>
      </c>
      <c r="AG263" s="127">
        <f>VLOOKUP($O263,'NO USAR1'!$A$4:$L$403,5,False)*$X$19</f>
        <v>-1.246500135</v>
      </c>
      <c r="AH263" s="127">
        <f>VLOOKUP($O263,'NO USAR1'!$A$4:$L$403,6,False)*$Y$19</f>
        <v>0.01162932804</v>
      </c>
      <c r="AI263" s="127">
        <f>VLOOKUP($O263,'NO USAR1'!$A$4:$L$403,7,False)*$Z$19</f>
        <v>-0.3956983969</v>
      </c>
      <c r="AJ263" s="127">
        <f>VLOOKUP($O263,'NO USAR1'!$A$4:$L$403,8,False)*$AA$19</f>
        <v>0.2685680221</v>
      </c>
      <c r="AK263" s="132">
        <f>VLOOKUP($O263,'NO USAR1'!$A$4:$L$403,10,False)*$AB$19</f>
        <v>-0.7086696974</v>
      </c>
      <c r="AL263" s="127">
        <f>VLOOKUP($O263,'NO USAR1'!$A$4:$L$403,12,False)*$AC$19</f>
        <v>0.4019455104</v>
      </c>
      <c r="AM263" s="133">
        <f t="shared" si="2"/>
        <v>-1.863339975</v>
      </c>
      <c r="AN263" s="133">
        <f t="shared" si="3"/>
        <v>-3.202764907</v>
      </c>
    </row>
    <row r="264">
      <c r="A264" s="118" t="str">
        <f>IF(Update!B262="",ROW(Update!B262),Update!B262)</f>
        <v>Chuma Okeke</v>
      </c>
      <c r="B264" s="119">
        <f>IF(TYPE($A264)=1,"",(Update!$L262-B$1)/B$2)</f>
        <v>-2.015013714</v>
      </c>
      <c r="C264" s="119">
        <f>IF(TYPE($A264)=1,"",(Update!$K262-C$1)/C$2)</f>
        <v>-0.6211211385</v>
      </c>
      <c r="D264" s="119">
        <f>IF(TYPE($A264)=1,"",(Update!$M262-D$1)/D$2)</f>
        <v>-1.210694342</v>
      </c>
      <c r="E264" s="119">
        <f>IF(TYPE($A264)=1,"",(Update!$N262-E$1)/E$2)</f>
        <v>-1.27227956</v>
      </c>
      <c r="F264" s="119">
        <f>IF(TYPE($A264)=1,"",(Update!$O262-F$1)/F$2)</f>
        <v>-0.6063863908</v>
      </c>
      <c r="G264" s="119">
        <f>IF(TYPE($A264)=1,"",(Update!$P262-G$1)/G$2)</f>
        <v>-0.5652834241</v>
      </c>
      <c r="H264" s="119">
        <f>IF(TYPE($A264)=1,"",(Update!$H262-H$1)/H$2*I264/$I$1)</f>
        <v>-0.6436266096</v>
      </c>
      <c r="I264" s="119">
        <f>IF(TYPE($A264)=1,"",IF(Update!H262=0,0,Update!G262/Update!H262))</f>
        <v>5</v>
      </c>
      <c r="J264" s="120">
        <f>IF(TYPE($A264)=1,"",(Update!$J262-J$1)/J$2*K264/$K$1)</f>
        <v>0.0812827863</v>
      </c>
      <c r="K264" s="121">
        <f>IF(TYPE($A264)=1,"",IF(Update!J262=0,0,Update!I262/Update!J262))</f>
        <v>0.6</v>
      </c>
      <c r="L264" s="119">
        <f>IF(TYPE($A264)=1,"",-(Update!$Q262-L$1)/L$2)</f>
        <v>1.856152079</v>
      </c>
      <c r="N264" s="33">
        <v>244.0</v>
      </c>
      <c r="O264" s="130" t="str">
        <f>IF(Update!B240="",ROW(Update!B240),Update!B240)</f>
        <v>Sam Hauser</v>
      </c>
      <c r="P264" s="131">
        <f>Update!E240</f>
        <v>76</v>
      </c>
      <c r="Q264" s="131" t="str">
        <f>IF(Update!C240="",ROW(Update!N255),Update!C240)</f>
        <v>SF,PF</v>
      </c>
      <c r="R264" s="127">
        <f>VLOOKUP($O264,'NO USAR1'!$A$4:$L$403,2,False)+VLOOKUP($O264,'NO USAR1'!$A$4:$L$403,3,False)+VLOOKUP($O264,'NO USAR1'!$A$4:$L$403,4,False)+VLOOKUP($O264,'NO USAR1'!$A$4:$L$403,5,False)+VLOOKUP($O264,'NO USAR1'!$A$4:$L$403,6,False)+VLOOKUP($O264,'NO USAR1'!$A$4:$L$403,7,False)+VLOOKUP($O264,'NO USAR1'!$A$4:$L$403,8,False)+VLOOKUP($O264,'NO USAR1'!$A$4:$L$403,10,False)+VLOOKUP($O264,'NO USAR1'!$A$4:$L$403,12,False)*0</f>
        <v>-6.442729201</v>
      </c>
      <c r="S264" s="127">
        <f>VLOOKUP($O264,'NO USAR1'!$A$4:$L$403,2,False)*$U$19+VLOOKUP($O264,'NO USAR1'!$A$4:$L$403,3,False)*$V$19+VLOOKUP($O264,'NO USAR1'!$A$4:$L$403,4,False)*$W$19+VLOOKUP($O264,'NO USAR1'!$A$4:$L$403,5,False)*$X$19+VLOOKUP($O264,'NO USAR1'!$A$4:$L$403,6,False)*$Y$19+VLOOKUP($O264,'NO USAR1'!$A$4:$L$403,7,False)*$Z$19+VLOOKUP($O264,'NO USAR1'!$A$4:$L$403,8,False)*$AA$19+VLOOKUP($O264,'NO USAR1'!$A$4:$L$403,10,False)*$AB$19+VLOOKUP($O264,'NO USAR1'!$A$4:$L$403,12,False)*$AC$19+IF(Projections!$K$3,-AN264, IF(Projections!$J$3,-AM264,0))</f>
        <v>-3.699458925</v>
      </c>
      <c r="T264" s="127">
        <f t="shared" si="1"/>
        <v>2.743270277</v>
      </c>
      <c r="U264" s="127">
        <f>VLOOKUP($O264,Update!$B$2:$R$401,11,False)</f>
        <v>7.5</v>
      </c>
      <c r="V264" s="122">
        <f>VLOOKUP($O264,Update!$B$2:$R$401,10,False)</f>
        <v>2.1</v>
      </c>
      <c r="W264" s="127">
        <f>VLOOKUP($O264,Update!$B$2:$R$401,12,False)</f>
        <v>3</v>
      </c>
      <c r="X264" s="127">
        <f>VLOOKUP($O264,Update!$B$2:$R$401,13,False)</f>
        <v>1.1</v>
      </c>
      <c r="Y264" s="127">
        <f>VLOOKUP($O264,Update!$B$2:$R$401,14,False)</f>
        <v>0.4</v>
      </c>
      <c r="Z264" s="132">
        <f>VLOOKUP($O264,Update!$B$2:$R$401,15,False)</f>
        <v>0.3</v>
      </c>
      <c r="AA264" s="127">
        <f>100*VLOOKUP($O264,Update!$B$2:$R$401,7,False)</f>
        <v>46.55172414</v>
      </c>
      <c r="AB264" s="127">
        <f>100*VLOOKUP($O264,Update!$B$2:$R$401,9,False)</f>
        <v>100</v>
      </c>
      <c r="AC264" s="127">
        <f>VLOOKUP($O264,Update!$B$2:$Q$401,16,False)</f>
        <v>0.4</v>
      </c>
      <c r="AD264" s="127">
        <f>VLOOKUP($O264,'NO USAR1'!$A$4:$L$403,2,False)*$U$19</f>
        <v>-1.644255685</v>
      </c>
      <c r="AE264" s="127">
        <f>VLOOKUP($O264,'NO USAR1'!$A$4:$L$403,3,False)*$V$19</f>
        <v>0.394832641</v>
      </c>
      <c r="AF264" s="127">
        <f>VLOOKUP($O264,'NO USAR1'!$A$4:$L$403,4,False)*$W$19</f>
        <v>-1.294325082</v>
      </c>
      <c r="AG264" s="127">
        <f>VLOOKUP($O264,'NO USAR1'!$A$4:$L$403,5,False)*$X$19</f>
        <v>-1.399507516</v>
      </c>
      <c r="AH264" s="127">
        <f>VLOOKUP($O264,'NO USAR1'!$A$4:$L$403,6,False)*$Y$19</f>
        <v>-1.296670077</v>
      </c>
      <c r="AI264" s="127">
        <f>VLOOKUP($O264,'NO USAR1'!$A$4:$L$403,7,False)*$Z$19</f>
        <v>-0.5270142365</v>
      </c>
      <c r="AJ264" s="127">
        <f>VLOOKUP($O264,'NO USAR1'!$A$4:$L$403,8,False)*$AA$19</f>
        <v>-0.1765091259</v>
      </c>
      <c r="AK264" s="132">
        <f>VLOOKUP($O264,'NO USAR1'!$A$4:$L$403,10,False)*$AB$19</f>
        <v>0.1046501973</v>
      </c>
      <c r="AL264" s="127">
        <f>VLOOKUP($O264,'NO USAR1'!$A$4:$L$403,12,False)*$AC$19</f>
        <v>0.4950842744</v>
      </c>
      <c r="AM264" s="133">
        <f t="shared" si="2"/>
        <v>-1.644255685</v>
      </c>
      <c r="AN264" s="133">
        <f t="shared" si="3"/>
        <v>-3.043763201</v>
      </c>
    </row>
    <row r="265">
      <c r="A265" s="118" t="str">
        <f>IF(Update!B263="",ROW(Update!B263),Update!B263)</f>
        <v>MarJon Beauchamp</v>
      </c>
      <c r="B265" s="119">
        <f>IF(TYPE($A265)=1,"",(Update!$L263-B$1)/B$2)</f>
        <v>-1.492581945</v>
      </c>
      <c r="C265" s="119">
        <f>IF(TYPE($A265)=1,"",(Update!$K263-C$1)/C$2)</f>
        <v>-0.1393829235</v>
      </c>
      <c r="D265" s="119">
        <f>IF(TYPE($A265)=1,"",(Update!$M263-D$1)/D$2)</f>
        <v>-1.001617493</v>
      </c>
      <c r="E265" s="119">
        <f>IF(TYPE($A265)=1,"",(Update!$N263-E$1)/E$2)</f>
        <v>-1.27227956</v>
      </c>
      <c r="F265" s="119">
        <f>IF(TYPE($A265)=1,"",(Update!$O263-F$1)/F$2)</f>
        <v>-0.9178862491</v>
      </c>
      <c r="G265" s="119">
        <f>IF(TYPE($A265)=1,"",(Update!$P263-G$1)/G$2)</f>
        <v>-0.9404715375</v>
      </c>
      <c r="H265" s="119">
        <f>IF(TYPE($A265)=1,"",(Update!$H263-H$1)/H$2*I265/$I$1)</f>
        <v>-0.6888687427</v>
      </c>
      <c r="I265" s="119">
        <f>IF(TYPE($A265)=1,"",IF(Update!H263=0,0,Update!G263/Update!H263))</f>
        <v>7.3</v>
      </c>
      <c r="J265" s="120">
        <f>IF(TYPE($A265)=1,"",(Update!$J263-J$1)/J$2*K265/$K$1)</f>
        <v>-0.148589881</v>
      </c>
      <c r="K265" s="121">
        <f>IF(TYPE($A265)=1,"",IF(Update!J263=0,0,Update!I263/Update!J263))</f>
        <v>1.2</v>
      </c>
      <c r="L265" s="119">
        <f>IF(TYPE($A265)=1,"",-(Update!$Q263-L$1)/L$2)</f>
        <v>0.738486911</v>
      </c>
      <c r="N265" s="33">
        <v>245.0</v>
      </c>
      <c r="O265" s="130" t="str">
        <f>IF(Update!B232="",ROW(Update!B232),Update!B232)</f>
        <v>Keita Bates-Diop</v>
      </c>
      <c r="P265" s="131">
        <f>Update!E232</f>
        <v>69</v>
      </c>
      <c r="Q265" s="131" t="str">
        <f>IF(Update!C232="",ROW(Update!N247),Update!C232)</f>
        <v>SF,PF</v>
      </c>
      <c r="R265" s="127">
        <f>VLOOKUP($O265,'NO USAR1'!$A$4:$L$403,2,False)+VLOOKUP($O265,'NO USAR1'!$A$4:$L$403,3,False)+VLOOKUP($O265,'NO USAR1'!$A$4:$L$403,4,False)+VLOOKUP($O265,'NO USAR1'!$A$4:$L$403,5,False)+VLOOKUP($O265,'NO USAR1'!$A$4:$L$403,6,False)+VLOOKUP($O265,'NO USAR1'!$A$4:$L$403,7,False)+VLOOKUP($O265,'NO USAR1'!$A$4:$L$403,8,False)+VLOOKUP($O265,'NO USAR1'!$A$4:$L$403,10,False)+VLOOKUP($O265,'NO USAR1'!$A$4:$L$403,12,False)*0</f>
        <v>-6.470317607</v>
      </c>
      <c r="S265" s="127">
        <f>VLOOKUP($O265,'NO USAR1'!$A$4:$L$403,2,False)*$U$19+VLOOKUP($O265,'NO USAR1'!$A$4:$L$403,3,False)*$V$19+VLOOKUP($O265,'NO USAR1'!$A$4:$L$403,4,False)*$W$19+VLOOKUP($O265,'NO USAR1'!$A$4:$L$403,5,False)*$X$19+VLOOKUP($O265,'NO USAR1'!$A$4:$L$403,6,False)*$Y$19+VLOOKUP($O265,'NO USAR1'!$A$4:$L$403,7,False)*$Z$19+VLOOKUP($O265,'NO USAR1'!$A$4:$L$403,8,False)*$AA$19+VLOOKUP($O265,'NO USAR1'!$A$4:$L$403,10,False)*$AB$19+VLOOKUP($O265,'NO USAR1'!$A$4:$L$403,12,False)*$AC$19+IF(Projections!$K$3,-AN265, IF(Projections!$J$3,-AM265,0))</f>
        <v>-4.065544007</v>
      </c>
      <c r="T265" s="127">
        <f t="shared" si="1"/>
        <v>2.404773601</v>
      </c>
      <c r="U265" s="127">
        <f>VLOOKUP($O265,Update!$B$2:$R$401,11,False)</f>
        <v>8.4</v>
      </c>
      <c r="V265" s="122">
        <f>VLOOKUP($O265,Update!$B$2:$R$401,10,False)</f>
        <v>0.6</v>
      </c>
      <c r="W265" s="127">
        <f>VLOOKUP($O265,Update!$B$2:$R$401,12,False)</f>
        <v>4.1</v>
      </c>
      <c r="X265" s="127">
        <f>VLOOKUP($O265,Update!$B$2:$R$401,13,False)</f>
        <v>1.2</v>
      </c>
      <c r="Y265" s="127">
        <f>VLOOKUP($O265,Update!$B$2:$R$401,14,False)</f>
        <v>0.6</v>
      </c>
      <c r="Z265" s="132">
        <f>VLOOKUP($O265,Update!$B$2:$R$401,15,False)</f>
        <v>0.3</v>
      </c>
      <c r="AA265" s="127">
        <f>100*VLOOKUP($O265,Update!$B$2:$R$401,7,False)</f>
        <v>51.61290323</v>
      </c>
      <c r="AB265" s="127">
        <f>100*VLOOKUP($O265,Update!$B$2:$R$401,9,False)</f>
        <v>77.77777778</v>
      </c>
      <c r="AC265" s="127">
        <f>VLOOKUP($O265,Update!$B$2:$Q$401,16,False)</f>
        <v>0.9</v>
      </c>
      <c r="AD265" s="127">
        <f>VLOOKUP($O265,'NO USAR1'!$A$4:$L$403,2,False)*$U$19</f>
        <v>-1.492581945</v>
      </c>
      <c r="AE265" s="127">
        <f>VLOOKUP($O265,'NO USAR1'!$A$4:$L$403,3,False)*$V$19</f>
        <v>-0.9058605394</v>
      </c>
      <c r="AF265" s="127">
        <f>VLOOKUP($O265,'NO USAR1'!$A$4:$L$403,4,False)*$W$19</f>
        <v>-0.8343560132</v>
      </c>
      <c r="AG265" s="127">
        <f>VLOOKUP($O265,'NO USAR1'!$A$4:$L$403,5,False)*$X$19</f>
        <v>-1.348505056</v>
      </c>
      <c r="AH265" s="127">
        <f>VLOOKUP($O265,'NO USAR1'!$A$4:$L$403,6,False)*$Y$19</f>
        <v>-0.8605702752</v>
      </c>
      <c r="AI265" s="127">
        <f>VLOOKUP($O265,'NO USAR1'!$A$4:$L$403,7,False)*$Z$19</f>
        <v>-0.5270142365</v>
      </c>
      <c r="AJ265" s="127">
        <f>VLOOKUP($O265,'NO USAR1'!$A$4:$L$403,8,False)*$AA$19</f>
        <v>0.1247547884</v>
      </c>
      <c r="AK265" s="132">
        <f>VLOOKUP($O265,'NO USAR1'!$A$4:$L$403,10,False)*$AB$19</f>
        <v>-0.05384567574</v>
      </c>
      <c r="AL265" s="127">
        <f>VLOOKUP($O265,'NO USAR1'!$A$4:$L$403,12,False)*$AC$19</f>
        <v>0.3398530011</v>
      </c>
      <c r="AM265" s="133">
        <f t="shared" si="2"/>
        <v>-1.492581945</v>
      </c>
      <c r="AN265" s="133">
        <f t="shared" si="3"/>
        <v>-2.841087001</v>
      </c>
    </row>
    <row r="266">
      <c r="A266" s="118" t="str">
        <f>IF(Update!B264="",ROW(Update!B264),Update!B264)</f>
        <v>Jett Howard</v>
      </c>
      <c r="B266" s="119">
        <f>IF(TYPE($A266)=1,"",(Update!$L264-B$1)/B$2)</f>
        <v>-1.559992496</v>
      </c>
      <c r="C266" s="119">
        <f>IF(TYPE($A266)=1,"",(Update!$K264-C$1)/C$2)</f>
        <v>0.2460076484</v>
      </c>
      <c r="D266" s="119">
        <f>IF(TYPE($A266)=1,"",(Update!$M264-D$1)/D$2)</f>
        <v>-1.67066341</v>
      </c>
      <c r="E266" s="119">
        <f>IF(TYPE($A266)=1,"",(Update!$N264-E$1)/E$2)</f>
        <v>-1.27227956</v>
      </c>
      <c r="F266" s="119">
        <f>IF(TYPE($A266)=1,"",(Update!$O264-F$1)/F$2)</f>
        <v>-1.229386107</v>
      </c>
      <c r="G266" s="119">
        <f>IF(TYPE($A266)=1,"",(Update!$P264-G$1)/G$2)</f>
        <v>-1.128065594</v>
      </c>
      <c r="H266" s="119">
        <f>IF(TYPE($A266)=1,"",(Update!$H264-H$1)/H$2*I266/$I$1)</f>
        <v>-0.4722467546</v>
      </c>
      <c r="I266" s="119">
        <f>IF(TYPE($A266)=1,"",IF(Update!H264=0,0,Update!G264/Update!H264))</f>
        <v>6.1</v>
      </c>
      <c r="J266" s="120">
        <f>IF(TYPE($A266)=1,"",(Update!$J264-J$1)/J$2*K266/$K$1)</f>
        <v>0.1625655726</v>
      </c>
      <c r="K266" s="121">
        <f>IF(TYPE($A266)=1,"",IF(Update!J264=0,0,Update!I264/Update!J264))</f>
        <v>1.2</v>
      </c>
      <c r="L266" s="119">
        <f>IF(TYPE($A266)=1,"",-(Update!$Q264-L$1)/L$2)</f>
        <v>1.856152079</v>
      </c>
      <c r="N266" s="124">
        <v>246.0</v>
      </c>
      <c r="O266" s="130" t="str">
        <f>IF(Update!B261="",ROW(Update!B261),Update!B261)</f>
        <v>Reggie Jackson</v>
      </c>
      <c r="P266" s="131">
        <f>Update!E261</f>
        <v>69</v>
      </c>
      <c r="Q266" s="131" t="str">
        <f>IF(Update!C261="",ROW(Update!N276),Update!C261)</f>
        <v>PG</v>
      </c>
      <c r="R266" s="127">
        <f>VLOOKUP($O266,'NO USAR1'!$A$4:$L$403,2,False)+VLOOKUP($O266,'NO USAR1'!$A$4:$L$403,3,False)+VLOOKUP($O266,'NO USAR1'!$A$4:$L$403,4,False)+VLOOKUP($O266,'NO USAR1'!$A$4:$L$403,5,False)+VLOOKUP($O266,'NO USAR1'!$A$4:$L$403,6,False)+VLOOKUP($O266,'NO USAR1'!$A$4:$L$403,7,False)+VLOOKUP($O266,'NO USAR1'!$A$4:$L$403,8,False)+VLOOKUP($O266,'NO USAR1'!$A$4:$L$403,10,False)+VLOOKUP($O266,'NO USAR1'!$A$4:$L$403,12,False)*0</f>
        <v>-6.496614352</v>
      </c>
      <c r="S266" s="127">
        <f>VLOOKUP($O266,'NO USAR1'!$A$4:$L$403,2,False)*$U$19+VLOOKUP($O266,'NO USAR1'!$A$4:$L$403,3,False)*$V$19+VLOOKUP($O266,'NO USAR1'!$A$4:$L$403,4,False)*$W$19+VLOOKUP($O266,'NO USAR1'!$A$4:$L$403,5,False)*$X$19+VLOOKUP($O266,'NO USAR1'!$A$4:$L$403,6,False)*$Y$19+VLOOKUP($O266,'NO USAR1'!$A$4:$L$403,7,False)*$Z$19+VLOOKUP($O266,'NO USAR1'!$A$4:$L$403,8,False)*$AA$19+VLOOKUP($O266,'NO USAR1'!$A$4:$L$403,10,False)*$AB$19+VLOOKUP($O266,'NO USAR1'!$A$4:$L$403,12,False)*$AC$19+IF(Projections!$K$3,-AN266, IF(Projections!$J$3,-AM266,0))</f>
        <v>-3.952307962</v>
      </c>
      <c r="T266" s="127">
        <f t="shared" si="1"/>
        <v>2.54430639</v>
      </c>
      <c r="U266" s="127">
        <f>VLOOKUP($O266,Update!$B$2:$R$401,11,False)</f>
        <v>10.5</v>
      </c>
      <c r="V266" s="122">
        <f>VLOOKUP($O266,Update!$B$2:$R$401,10,False)</f>
        <v>1.4</v>
      </c>
      <c r="W266" s="127">
        <f>VLOOKUP($O266,Update!$B$2:$R$401,12,False)</f>
        <v>2.2</v>
      </c>
      <c r="X266" s="127">
        <f>VLOOKUP($O266,Update!$B$2:$R$401,13,False)</f>
        <v>3.2</v>
      </c>
      <c r="Y266" s="127">
        <f>VLOOKUP($O266,Update!$B$2:$R$401,14,False)</f>
        <v>0.6</v>
      </c>
      <c r="Z266" s="132">
        <f>VLOOKUP($O266,Update!$B$2:$R$401,15,False)</f>
        <v>0.1</v>
      </c>
      <c r="AA266" s="127">
        <f>100*VLOOKUP($O266,Update!$B$2:$R$401,7,False)</f>
        <v>40</v>
      </c>
      <c r="AB266" s="127">
        <f>100*VLOOKUP($O266,Update!$B$2:$R$401,9,False)</f>
        <v>84.61538462</v>
      </c>
      <c r="AC266" s="127">
        <f>VLOOKUP($O266,Update!$B$2:$Q$401,16,False)</f>
        <v>1.5</v>
      </c>
      <c r="AD266" s="127">
        <f>VLOOKUP($O266,'NO USAR1'!$A$4:$L$403,2,False)*$U$19</f>
        <v>-1.138676554</v>
      </c>
      <c r="AE266" s="127">
        <f>VLOOKUP($O266,'NO USAR1'!$A$4:$L$403,3,False)*$V$19</f>
        <v>-0.2121575099</v>
      </c>
      <c r="AF266" s="127">
        <f>VLOOKUP($O266,'NO USAR1'!$A$4:$L$403,4,False)*$W$19</f>
        <v>-1.62884804</v>
      </c>
      <c r="AG266" s="127">
        <f>VLOOKUP($O266,'NO USAR1'!$A$4:$L$403,5,False)*$X$19</f>
        <v>-0.3284558457</v>
      </c>
      <c r="AH266" s="127">
        <f>VLOOKUP($O266,'NO USAR1'!$A$4:$L$403,6,False)*$Y$19</f>
        <v>-0.8605702752</v>
      </c>
      <c r="AI266" s="127">
        <f>VLOOKUP($O266,'NO USAR1'!$A$4:$L$403,7,False)*$Z$19</f>
        <v>-0.7896459159</v>
      </c>
      <c r="AJ266" s="127">
        <f>VLOOKUP($O266,'NO USAR1'!$A$4:$L$403,8,False)*$AA$19</f>
        <v>-0.9587548914</v>
      </c>
      <c r="AK266" s="132">
        <f>VLOOKUP($O266,'NO USAR1'!$A$4:$L$403,10,False)*$AB$19</f>
        <v>0.1823775567</v>
      </c>
      <c r="AL266" s="127">
        <f>VLOOKUP($O266,'NO USAR1'!$A$4:$L$403,12,False)*$AC$19</f>
        <v>0.1535754731</v>
      </c>
      <c r="AM266" s="133">
        <f t="shared" si="2"/>
        <v>-1.62884804</v>
      </c>
      <c r="AN266" s="133">
        <f t="shared" si="3"/>
        <v>-2.767524594</v>
      </c>
    </row>
    <row r="267">
      <c r="A267" s="118" t="str">
        <f>IF(Update!B265="",ROW(Update!B265),Update!B265)</f>
        <v>Seth Curry</v>
      </c>
      <c r="B267" s="119">
        <f>IF(TYPE($A267)=1,"",(Update!$L265-B$1)/B$2)</f>
        <v>-1.576845134</v>
      </c>
      <c r="C267" s="119">
        <f>IF(TYPE($A267)=1,"",(Update!$K265-C$1)/C$2)</f>
        <v>-0.3320782095</v>
      </c>
      <c r="D267" s="119">
        <f>IF(TYPE($A267)=1,"",(Update!$M265-D$1)/D$2)</f>
        <v>-1.87974026</v>
      </c>
      <c r="E267" s="119">
        <f>IF(TYPE($A267)=1,"",(Update!$N265-E$1)/E$2)</f>
        <v>-0.9940843212</v>
      </c>
      <c r="F267" s="119">
        <f>IF(TYPE($A267)=1,"",(Update!$O265-F$1)/F$2)</f>
        <v>-1.540885966</v>
      </c>
      <c r="G267" s="119">
        <f>IF(TYPE($A267)=1,"",(Update!$P265-G$1)/G$2)</f>
        <v>-1.128065594</v>
      </c>
      <c r="H267" s="119">
        <f>IF(TYPE($A267)=1,"",(Update!$H265-H$1)/H$2*I267/$I$1)</f>
        <v>-0.08335357499</v>
      </c>
      <c r="I267" s="119">
        <f>IF(TYPE($A267)=1,"",IF(Update!H265=0,0,Update!G265/Update!H265))</f>
        <v>6.2</v>
      </c>
      <c r="J267" s="120">
        <f>IF(TYPE($A267)=1,"",(Update!$J265-J$1)/J$2*K267/$K$1)</f>
        <v>0.2120955329</v>
      </c>
      <c r="K267" s="121">
        <f>IF(TYPE($A267)=1,"",IF(Update!J265=0,0,Update!I265/Update!J265))</f>
        <v>0.8</v>
      </c>
      <c r="L267" s="119">
        <f>IF(TYPE($A267)=1,"",-(Update!$Q265-L$1)/L$2)</f>
        <v>1.483597023</v>
      </c>
      <c r="N267" s="124">
        <v>247.0</v>
      </c>
      <c r="O267" s="130" t="str">
        <f>IF(Update!B260="",ROW(Update!B260),Update!B260)</f>
        <v>Jaylin Williams</v>
      </c>
      <c r="P267" s="131">
        <f>Update!E260</f>
        <v>70</v>
      </c>
      <c r="Q267" s="131" t="str">
        <f>IF(Update!C260="",ROW(Update!N275),Update!C260)</f>
        <v>PF,C</v>
      </c>
      <c r="R267" s="127">
        <f>VLOOKUP($O267,'NO USAR1'!$A$4:$L$403,2,False)+VLOOKUP($O267,'NO USAR1'!$A$4:$L$403,3,False)+VLOOKUP($O267,'NO USAR1'!$A$4:$L$403,4,False)+VLOOKUP($O267,'NO USAR1'!$A$4:$L$403,5,False)+VLOOKUP($O267,'NO USAR1'!$A$4:$L$403,6,False)+VLOOKUP($O267,'NO USAR1'!$A$4:$L$403,7,False)+VLOOKUP($O267,'NO USAR1'!$A$4:$L$403,8,False)+VLOOKUP($O267,'NO USAR1'!$A$4:$L$403,10,False)+VLOOKUP($O267,'NO USAR1'!$A$4:$L$403,12,False)*0</f>
        <v>-6.524457046</v>
      </c>
      <c r="S267" s="127">
        <f>VLOOKUP($O267,'NO USAR1'!$A$4:$L$403,2,False)*$U$19+VLOOKUP($O267,'NO USAR1'!$A$4:$L$403,3,False)*$V$19+VLOOKUP($O267,'NO USAR1'!$A$4:$L$403,4,False)*$W$19+VLOOKUP($O267,'NO USAR1'!$A$4:$L$403,5,False)*$X$19+VLOOKUP($O267,'NO USAR1'!$A$4:$L$403,6,False)*$Y$19+VLOOKUP($O267,'NO USAR1'!$A$4:$L$403,7,False)*$Z$19+VLOOKUP($O267,'NO USAR1'!$A$4:$L$403,8,False)*$AA$19+VLOOKUP($O267,'NO USAR1'!$A$4:$L$403,10,False)*$AB$19+VLOOKUP($O267,'NO USAR1'!$A$4:$L$403,12,False)*$AC$19+IF(Projections!$K$3,-AN267, IF(Projections!$J$3,-AM267,0))</f>
        <v>-3.629810825</v>
      </c>
      <c r="T267" s="127">
        <f t="shared" si="1"/>
        <v>2.894646221</v>
      </c>
      <c r="U267" s="127">
        <f>VLOOKUP($O267,Update!$B$2:$R$401,11,False)</f>
        <v>6</v>
      </c>
      <c r="V267" s="122">
        <f>VLOOKUP($O267,Update!$B$2:$R$401,10,False)</f>
        <v>1</v>
      </c>
      <c r="W267" s="127">
        <f>VLOOKUP($O267,Update!$B$2:$R$401,12,False)</f>
        <v>5</v>
      </c>
      <c r="X267" s="127">
        <f>VLOOKUP($O267,Update!$B$2:$R$401,13,False)</f>
        <v>1.6</v>
      </c>
      <c r="Y267" s="127">
        <f>VLOOKUP($O267,Update!$B$2:$R$401,14,False)</f>
        <v>0.6</v>
      </c>
      <c r="Z267" s="132">
        <f>VLOOKUP($O267,Update!$B$2:$R$401,15,False)</f>
        <v>0.3</v>
      </c>
      <c r="AA267" s="127">
        <f>100*VLOOKUP($O267,Update!$B$2:$R$401,7,False)</f>
        <v>43.75</v>
      </c>
      <c r="AB267" s="127">
        <f>100*VLOOKUP($O267,Update!$B$2:$R$401,9,False)</f>
        <v>72.72727273</v>
      </c>
      <c r="AC267" s="127">
        <f>VLOOKUP($O267,Update!$B$2:$Q$401,16,False)</f>
        <v>0.8</v>
      </c>
      <c r="AD267" s="127">
        <f>VLOOKUP($O267,'NO USAR1'!$A$4:$L$403,2,False)*$U$19</f>
        <v>-1.89704525</v>
      </c>
      <c r="AE267" s="127">
        <f>VLOOKUP($O267,'NO USAR1'!$A$4:$L$403,3,False)*$V$19</f>
        <v>-0.5590090247</v>
      </c>
      <c r="AF267" s="127">
        <f>VLOOKUP($O267,'NO USAR1'!$A$4:$L$403,4,False)*$W$19</f>
        <v>-0.4580176845</v>
      </c>
      <c r="AG267" s="127">
        <f>VLOOKUP($O267,'NO USAR1'!$A$4:$L$403,5,False)*$X$19</f>
        <v>-1.144495214</v>
      </c>
      <c r="AH267" s="127">
        <f>VLOOKUP($O267,'NO USAR1'!$A$4:$L$403,6,False)*$Y$19</f>
        <v>-0.8605702752</v>
      </c>
      <c r="AI267" s="127">
        <f>VLOOKUP($O267,'NO USAR1'!$A$4:$L$403,7,False)*$Z$19</f>
        <v>-0.5270142365</v>
      </c>
      <c r="AJ267" s="127">
        <f>VLOOKUP($O267,'NO USAR1'!$A$4:$L$403,8,False)*$AA$19</f>
        <v>-0.2804066426</v>
      </c>
      <c r="AK267" s="132">
        <f>VLOOKUP($O267,'NO USAR1'!$A$4:$L$403,10,False)*$AB$19</f>
        <v>-0.1711970034</v>
      </c>
      <c r="AL267" s="127">
        <f>VLOOKUP($O267,'NO USAR1'!$A$4:$L$403,12,False)*$AC$19</f>
        <v>0.3708992557</v>
      </c>
      <c r="AM267" s="133">
        <f t="shared" si="2"/>
        <v>-1.89704525</v>
      </c>
      <c r="AN267" s="133">
        <f t="shared" si="3"/>
        <v>-3.041540464</v>
      </c>
    </row>
    <row r="268">
      <c r="A268" s="118" t="str">
        <f>IF(Update!B266="",ROW(Update!B266),Update!B266)</f>
        <v>Naji Marshall</v>
      </c>
      <c r="B268" s="119">
        <f>IF(TYPE($A268)=1,"",(Update!$L266-B$1)/B$2)</f>
        <v>-1.543139858</v>
      </c>
      <c r="C268" s="119">
        <f>IF(TYPE($A268)=1,"",(Update!$K266-C$1)/C$2)</f>
        <v>-0.9101640675</v>
      </c>
      <c r="D268" s="119">
        <f>IF(TYPE($A268)=1,"",(Update!$M266-D$1)/D$2)</f>
        <v>-1.127063602</v>
      </c>
      <c r="E268" s="119">
        <f>IF(TYPE($A268)=1,"",(Update!$N266-E$1)/E$2)</f>
        <v>-0.8549867017</v>
      </c>
      <c r="F268" s="119">
        <f>IF(TYPE($A268)=1,"",(Update!$O266-F$1)/F$2)</f>
        <v>-0.9178862491</v>
      </c>
      <c r="G268" s="119">
        <f>IF(TYPE($A268)=1,"",(Update!$P266-G$1)/G$2)</f>
        <v>-0.9404715375</v>
      </c>
      <c r="H268" s="119">
        <f>IF(TYPE($A268)=1,"",(Update!$H266-H$1)/H$2*I268/$I$1)</f>
        <v>-0.4695727454</v>
      </c>
      <c r="I268" s="119">
        <f>IF(TYPE($A268)=1,"",IF(Update!H266=0,0,Update!G266/Update!H266))</f>
        <v>6.7</v>
      </c>
      <c r="J268" s="120">
        <f>IF(TYPE($A268)=1,"",(Update!$J266-J$1)/J$2*K268/$K$1)</f>
        <v>0.1289120253</v>
      </c>
      <c r="K268" s="121">
        <f>IF(TYPE($A268)=1,"",IF(Update!J266=0,0,Update!I266/Update!J266))</f>
        <v>2.1</v>
      </c>
      <c r="L268" s="119">
        <f>IF(TYPE($A268)=1,"",-(Update!$Q266-L$1)/L$2)</f>
        <v>1.111041967</v>
      </c>
      <c r="N268" s="33">
        <v>248.0</v>
      </c>
      <c r="O268" s="130" t="str">
        <f>IF(Update!B263="",ROW(Update!B263),Update!B263)</f>
        <v>MarJon Beauchamp</v>
      </c>
      <c r="P268" s="131">
        <f>Update!E263</f>
        <v>72</v>
      </c>
      <c r="Q268" s="131" t="str">
        <f>IF(Update!C263="",ROW(Update!N278),Update!C263)</f>
        <v>SG,SF</v>
      </c>
      <c r="R268" s="127">
        <f>VLOOKUP($O268,'NO USAR1'!$A$4:$L$403,2,False)+VLOOKUP($O268,'NO USAR1'!$A$4:$L$403,3,False)+VLOOKUP($O268,'NO USAR1'!$A$4:$L$403,4,False)+VLOOKUP($O268,'NO USAR1'!$A$4:$L$403,5,False)+VLOOKUP($O268,'NO USAR1'!$A$4:$L$403,6,False)+VLOOKUP($O268,'NO USAR1'!$A$4:$L$403,7,False)+VLOOKUP($O268,'NO USAR1'!$A$4:$L$403,8,False)+VLOOKUP($O268,'NO USAR1'!$A$4:$L$403,10,False)+VLOOKUP($O268,'NO USAR1'!$A$4:$L$403,12,False)*0</f>
        <v>-6.601678332</v>
      </c>
      <c r="S268" s="127">
        <f>VLOOKUP($O268,'NO USAR1'!$A$4:$L$403,2,False)*$U$19+VLOOKUP($O268,'NO USAR1'!$A$4:$L$403,3,False)*$V$19+VLOOKUP($O268,'NO USAR1'!$A$4:$L$403,4,False)*$W$19+VLOOKUP($O268,'NO USAR1'!$A$4:$L$403,5,False)*$X$19+VLOOKUP($O268,'NO USAR1'!$A$4:$L$403,6,False)*$Y$19+VLOOKUP($O268,'NO USAR1'!$A$4:$L$403,7,False)*$Z$19+VLOOKUP($O268,'NO USAR1'!$A$4:$L$403,8,False)*$AA$19+VLOOKUP($O268,'NO USAR1'!$A$4:$L$403,10,False)*$AB$19+VLOOKUP($O268,'NO USAR1'!$A$4:$L$403,12,False)*$AC$19+IF(Projections!$K$3,-AN268, IF(Projections!$J$3,-AM268,0))</f>
        <v>-4.381652136</v>
      </c>
      <c r="T268" s="127">
        <f t="shared" si="1"/>
        <v>2.220026196</v>
      </c>
      <c r="U268" s="127">
        <f>VLOOKUP($O268,Update!$B$2:$R$401,11,False)</f>
        <v>8.4</v>
      </c>
      <c r="V268" s="122">
        <f>VLOOKUP($O268,Update!$B$2:$R$401,10,False)</f>
        <v>1.5</v>
      </c>
      <c r="W268" s="127">
        <f>VLOOKUP($O268,Update!$B$2:$R$401,12,False)</f>
        <v>3.7</v>
      </c>
      <c r="X268" s="127">
        <f>VLOOKUP($O268,Update!$B$2:$R$401,13,False)</f>
        <v>1.1</v>
      </c>
      <c r="Y268" s="127">
        <f>VLOOKUP($O268,Update!$B$2:$R$401,14,False)</f>
        <v>0.7</v>
      </c>
      <c r="Z268" s="132">
        <f>VLOOKUP($O268,Update!$B$2:$R$401,15,False)</f>
        <v>0.2</v>
      </c>
      <c r="AA268" s="127">
        <f>100*VLOOKUP($O268,Update!$B$2:$R$401,7,False)</f>
        <v>41.09589041</v>
      </c>
      <c r="AB268" s="127">
        <f>100*VLOOKUP($O268,Update!$B$2:$R$401,9,False)</f>
        <v>75</v>
      </c>
      <c r="AC268" s="127">
        <f>VLOOKUP($O268,Update!$B$2:$Q$401,16,False)</f>
        <v>1.4</v>
      </c>
      <c r="AD268" s="127">
        <f>VLOOKUP($O268,'NO USAR1'!$A$4:$L$403,2,False)*$U$19</f>
        <v>-1.492581945</v>
      </c>
      <c r="AE268" s="127">
        <f>VLOOKUP($O268,'NO USAR1'!$A$4:$L$403,3,False)*$V$19</f>
        <v>-0.1254446312</v>
      </c>
      <c r="AF268" s="127">
        <f>VLOOKUP($O268,'NO USAR1'!$A$4:$L$403,4,False)*$W$19</f>
        <v>-1.001617493</v>
      </c>
      <c r="AG268" s="127">
        <f>VLOOKUP($O268,'NO USAR1'!$A$4:$L$403,5,False)*$X$19</f>
        <v>-1.399507516</v>
      </c>
      <c r="AH268" s="127">
        <f>VLOOKUP($O268,'NO USAR1'!$A$4:$L$403,6,False)*$Y$19</f>
        <v>-0.6425203744</v>
      </c>
      <c r="AI268" s="127">
        <f>VLOOKUP($O268,'NO USAR1'!$A$4:$L$403,7,False)*$Z$19</f>
        <v>-0.6583300762</v>
      </c>
      <c r="AJ268" s="127">
        <f>VLOOKUP($O268,'NO USAR1'!$A$4:$L$403,8,False)*$AA$19</f>
        <v>-0.6199818684</v>
      </c>
      <c r="AK268" s="132">
        <f>VLOOKUP($O268,'NO USAR1'!$A$4:$L$403,10,False)*$AB$19</f>
        <v>-0.1188719048</v>
      </c>
      <c r="AL268" s="127">
        <f>VLOOKUP($O268,'NO USAR1'!$A$4:$L$403,12,False)*$AC$19</f>
        <v>0.1846217277</v>
      </c>
      <c r="AM268" s="133">
        <f t="shared" si="2"/>
        <v>-1.492581945</v>
      </c>
      <c r="AN268" s="133">
        <f t="shared" si="3"/>
        <v>-2.892089462</v>
      </c>
    </row>
    <row r="269">
      <c r="A269" s="118" t="str">
        <f>IF(Update!B267="",ROW(Update!B267),Update!B267)</f>
        <v>Cameron Payne</v>
      </c>
      <c r="B269" s="119">
        <f>IF(TYPE($A269)=1,"",(Update!$L267-B$1)/B$2)</f>
        <v>-1.509434583</v>
      </c>
      <c r="C269" s="119">
        <f>IF(TYPE($A269)=1,"",(Update!$K267-C$1)/C$2)</f>
        <v>-0.6211211385</v>
      </c>
      <c r="D269" s="119">
        <f>IF(TYPE($A269)=1,"",(Update!$M267-D$1)/D$2)</f>
        <v>-1.67066341</v>
      </c>
      <c r="E269" s="119">
        <f>IF(TYPE($A269)=1,"",(Update!$N267-E$1)/E$2)</f>
        <v>-0.0667668574</v>
      </c>
      <c r="F269" s="119">
        <f>IF(TYPE($A269)=1,"",(Update!$O267-F$1)/F$2)</f>
        <v>-1.540885966</v>
      </c>
      <c r="G269" s="119">
        <f>IF(TYPE($A269)=1,"",(Update!$P267-G$1)/G$2)</f>
        <v>-0.9404715375</v>
      </c>
      <c r="H269" s="119">
        <f>IF(TYPE($A269)=1,"",(Update!$H267-H$1)/H$2*I269/$I$1)</f>
        <v>-0.6870860699</v>
      </c>
      <c r="I269" s="119">
        <f>IF(TYPE($A269)=1,"",IF(Update!H267=0,0,Update!G267/Update!H267))</f>
        <v>7.7</v>
      </c>
      <c r="J269" s="120">
        <f>IF(TYPE($A269)=1,"",(Update!$J267-J$1)/J$2*K269/$K$1)</f>
        <v>0.09715919929</v>
      </c>
      <c r="K269" s="121">
        <f>IF(TYPE($A269)=1,"",IF(Update!J267=0,0,Update!I267/Update!J267))</f>
        <v>1.1</v>
      </c>
      <c r="L269" s="119">
        <f>IF(TYPE($A269)=1,"",-(Update!$Q267-L$1)/L$2)</f>
        <v>0.738486911</v>
      </c>
      <c r="N269" s="33">
        <v>249.0</v>
      </c>
      <c r="O269" s="130" t="str">
        <f>IF(Update!B244="",ROW(Update!B244),Update!B244)</f>
        <v>Jaden Springer</v>
      </c>
      <c r="P269" s="131">
        <f>Update!E244</f>
        <v>58</v>
      </c>
      <c r="Q269" s="131" t="str">
        <f>IF(Update!C244="",ROW(Update!N259),Update!C244)</f>
        <v>PG,SG</v>
      </c>
      <c r="R269" s="127">
        <f>VLOOKUP($O269,'NO USAR1'!$A$4:$L$403,2,False)+VLOOKUP($O269,'NO USAR1'!$A$4:$L$403,3,False)+VLOOKUP($O269,'NO USAR1'!$A$4:$L$403,4,False)+VLOOKUP($O269,'NO USAR1'!$A$4:$L$403,5,False)+VLOOKUP($O269,'NO USAR1'!$A$4:$L$403,6,False)+VLOOKUP($O269,'NO USAR1'!$A$4:$L$403,7,False)+VLOOKUP($O269,'NO USAR1'!$A$4:$L$403,8,False)+VLOOKUP($O269,'NO USAR1'!$A$4:$L$403,10,False)+VLOOKUP($O269,'NO USAR1'!$A$4:$L$403,12,False)*0</f>
        <v>-6.60419327</v>
      </c>
      <c r="S269" s="127">
        <f>VLOOKUP($O269,'NO USAR1'!$A$4:$L$403,2,False)*$U$19+VLOOKUP($O269,'NO USAR1'!$A$4:$L$403,3,False)*$V$19+VLOOKUP($O269,'NO USAR1'!$A$4:$L$403,4,False)*$W$19+VLOOKUP($O269,'NO USAR1'!$A$4:$L$403,5,False)*$X$19+VLOOKUP($O269,'NO USAR1'!$A$4:$L$403,6,False)*$Y$19+VLOOKUP($O269,'NO USAR1'!$A$4:$L$403,7,False)*$Z$19+VLOOKUP($O269,'NO USAR1'!$A$4:$L$403,8,False)*$AA$19+VLOOKUP($O269,'NO USAR1'!$A$4:$L$403,10,False)*$AB$19+VLOOKUP($O269,'NO USAR1'!$A$4:$L$403,12,False)*$AC$19+IF(Projections!$K$3,-AN269, IF(Projections!$J$3,-AM269,0))</f>
        <v>-4.08270552</v>
      </c>
      <c r="T269" s="127">
        <f t="shared" si="1"/>
        <v>2.521487749</v>
      </c>
      <c r="U269" s="127">
        <f>VLOOKUP($O269,Update!$B$2:$R$401,11,False)</f>
        <v>5.8</v>
      </c>
      <c r="V269" s="122">
        <f>VLOOKUP($O269,Update!$B$2:$R$401,10,False)</f>
        <v>0.3</v>
      </c>
      <c r="W269" s="127">
        <f>VLOOKUP($O269,Update!$B$2:$R$401,12,False)</f>
        <v>2.1</v>
      </c>
      <c r="X269" s="127">
        <f>VLOOKUP($O269,Update!$B$2:$R$401,13,False)</f>
        <v>1.1</v>
      </c>
      <c r="Y269" s="127">
        <f>VLOOKUP($O269,Update!$B$2:$R$401,14,False)</f>
        <v>0.9</v>
      </c>
      <c r="Z269" s="132">
        <f>VLOOKUP($O269,Update!$B$2:$R$401,15,False)</f>
        <v>0.7</v>
      </c>
      <c r="AA269" s="127">
        <f>100*VLOOKUP($O269,Update!$B$2:$R$401,7,False)</f>
        <v>51.06382979</v>
      </c>
      <c r="AB269" s="127">
        <f>100*VLOOKUP($O269,Update!$B$2:$R$401,9,False)</f>
        <v>72.72727273</v>
      </c>
      <c r="AC269" s="127">
        <f>VLOOKUP($O269,Update!$B$2:$Q$401,16,False)</f>
        <v>0.5</v>
      </c>
      <c r="AD269" s="127">
        <f>VLOOKUP($O269,'NO USAR1'!$A$4:$L$403,2,False)*$U$19</f>
        <v>-1.930750525</v>
      </c>
      <c r="AE269" s="127">
        <f>VLOOKUP($O269,'NO USAR1'!$A$4:$L$403,3,False)*$V$19</f>
        <v>-1.165999176</v>
      </c>
      <c r="AF269" s="127">
        <f>VLOOKUP($O269,'NO USAR1'!$A$4:$L$403,4,False)*$W$19</f>
        <v>-1.67066341</v>
      </c>
      <c r="AG269" s="127">
        <f>VLOOKUP($O269,'NO USAR1'!$A$4:$L$403,5,False)*$X$19</f>
        <v>-1.399507516</v>
      </c>
      <c r="AH269" s="127">
        <f>VLOOKUP($O269,'NO USAR1'!$A$4:$L$403,6,False)*$Y$19</f>
        <v>-0.2064205728</v>
      </c>
      <c r="AI269" s="127">
        <f>VLOOKUP($O269,'NO USAR1'!$A$4:$L$403,7,False)*$Z$19</f>
        <v>-0.001750877862</v>
      </c>
      <c r="AJ269" s="127">
        <f>VLOOKUP($O269,'NO USAR1'!$A$4:$L$403,8,False)*$AA$19</f>
        <v>0.06879501623</v>
      </c>
      <c r="AK269" s="132">
        <f>VLOOKUP($O269,'NO USAR1'!$A$4:$L$403,10,False)*$AB$19</f>
        <v>-0.1711970034</v>
      </c>
      <c r="AL269" s="127">
        <f>VLOOKUP($O269,'NO USAR1'!$A$4:$L$403,12,False)*$AC$19</f>
        <v>0.4640380197</v>
      </c>
      <c r="AM269" s="133">
        <f t="shared" si="2"/>
        <v>-1.930750525</v>
      </c>
      <c r="AN269" s="133">
        <f t="shared" si="3"/>
        <v>-3.601413936</v>
      </c>
    </row>
    <row r="270">
      <c r="A270" s="118" t="str">
        <f>IF(Update!B268="",ROW(Update!B268),Update!B268)</f>
        <v>Taurean Prince</v>
      </c>
      <c r="B270" s="119">
        <f>IF(TYPE($A270)=1,"",(Update!$L268-B$1)/B$2)</f>
        <v>-1.661108322</v>
      </c>
      <c r="C270" s="119">
        <f>IF(TYPE($A270)=1,"",(Update!$K268-C$1)/C$2)</f>
        <v>-0.4284258525</v>
      </c>
      <c r="D270" s="119">
        <f>IF(TYPE($A270)=1,"",(Update!$M268-D$1)/D$2)</f>
        <v>-1.587032671</v>
      </c>
      <c r="E270" s="119">
        <f>IF(TYPE($A270)=1,"",(Update!$N268-E$1)/E$2)</f>
        <v>-1.27227956</v>
      </c>
      <c r="F270" s="119">
        <f>IF(TYPE($A270)=1,"",(Update!$O268-F$1)/F$2)</f>
        <v>-1.229386107</v>
      </c>
      <c r="G270" s="119">
        <f>IF(TYPE($A270)=1,"",(Update!$P268-G$1)/G$2)</f>
        <v>-0.7528774808</v>
      </c>
      <c r="H270" s="119">
        <f>IF(TYPE($A270)=1,"",(Update!$H268-H$1)/H$2*I270/$I$1)</f>
        <v>-0.2520594208</v>
      </c>
      <c r="I270" s="119">
        <f>IF(TYPE($A270)=1,"",IF(Update!H268=0,0,Update!G268/Update!H268))</f>
        <v>5.7</v>
      </c>
      <c r="J270" s="120">
        <f>IF(TYPE($A270)=1,"",(Update!$J268-J$1)/J$2*K270/$K$1)</f>
        <v>-0.148589881</v>
      </c>
      <c r="K270" s="121">
        <f>IF(TYPE($A270)=1,"",IF(Update!J268=0,0,Update!I268/Update!J268))</f>
        <v>1.2</v>
      </c>
      <c r="L270" s="119">
        <f>IF(TYPE($A270)=1,"",-(Update!$Q268-L$1)/L$2)</f>
        <v>1.359412004</v>
      </c>
      <c r="N270" s="124">
        <v>250.0</v>
      </c>
      <c r="O270" s="130" t="str">
        <f>IF(Update!B266="",ROW(Update!B266),Update!B266)</f>
        <v>Naji Marshall</v>
      </c>
      <c r="P270" s="131">
        <f>Update!E266</f>
        <v>72</v>
      </c>
      <c r="Q270" s="131" t="str">
        <f>IF(Update!C266="",ROW(Update!N281),Update!C266)</f>
        <v>SG,SF</v>
      </c>
      <c r="R270" s="127">
        <f>VLOOKUP($O270,'NO USAR1'!$A$4:$L$403,2,False)+VLOOKUP($O270,'NO USAR1'!$A$4:$L$403,3,False)+VLOOKUP($O270,'NO USAR1'!$A$4:$L$403,4,False)+VLOOKUP($O270,'NO USAR1'!$A$4:$L$403,5,False)+VLOOKUP($O270,'NO USAR1'!$A$4:$L$403,6,False)+VLOOKUP($O270,'NO USAR1'!$A$4:$L$403,7,False)+VLOOKUP($O270,'NO USAR1'!$A$4:$L$403,8,False)+VLOOKUP($O270,'NO USAR1'!$A$4:$L$403,10,False)+VLOOKUP($O270,'NO USAR1'!$A$4:$L$403,12,False)*0</f>
        <v>-6.634372736</v>
      </c>
      <c r="S270" s="127">
        <f>VLOOKUP($O270,'NO USAR1'!$A$4:$L$403,2,False)*$U$19+VLOOKUP($O270,'NO USAR1'!$A$4:$L$403,3,False)*$V$19+VLOOKUP($O270,'NO USAR1'!$A$4:$L$403,4,False)*$W$19+VLOOKUP($O270,'NO USAR1'!$A$4:$L$403,5,False)*$X$19+VLOOKUP($O270,'NO USAR1'!$A$4:$L$403,6,False)*$Y$19+VLOOKUP($O270,'NO USAR1'!$A$4:$L$403,7,False)*$Z$19+VLOOKUP($O270,'NO USAR1'!$A$4:$L$403,8,False)*$AA$19+VLOOKUP($O270,'NO USAR1'!$A$4:$L$403,10,False)*$AB$19+VLOOKUP($O270,'NO USAR1'!$A$4:$L$403,12,False)*$AC$19+IF(Projections!$K$3,-AN270, IF(Projections!$J$3,-AM270,0))</f>
        <v>-4.229272444</v>
      </c>
      <c r="T270" s="127">
        <f t="shared" si="1"/>
        <v>2.405100292</v>
      </c>
      <c r="U270" s="127">
        <f>VLOOKUP($O270,Update!$B$2:$R$401,11,False)</f>
        <v>8.1</v>
      </c>
      <c r="V270" s="122">
        <f>VLOOKUP($O270,Update!$B$2:$R$401,10,False)</f>
        <v>0.7</v>
      </c>
      <c r="W270" s="127">
        <f>VLOOKUP($O270,Update!$B$2:$R$401,12,False)</f>
        <v>3.4</v>
      </c>
      <c r="X270" s="127">
        <f>VLOOKUP($O270,Update!$B$2:$R$401,13,False)</f>
        <v>2</v>
      </c>
      <c r="Y270" s="127">
        <f>VLOOKUP($O270,Update!$B$2:$R$401,14,False)</f>
        <v>0.7</v>
      </c>
      <c r="Z270" s="132">
        <f>VLOOKUP($O270,Update!$B$2:$R$401,15,False)</f>
        <v>0.2</v>
      </c>
      <c r="AA270" s="127">
        <f>100*VLOOKUP($O270,Update!$B$2:$R$401,7,False)</f>
        <v>43.28358209</v>
      </c>
      <c r="AB270" s="127">
        <f>100*VLOOKUP($O270,Update!$B$2:$R$401,9,False)</f>
        <v>80.95238095</v>
      </c>
      <c r="AC270" s="127">
        <f>VLOOKUP($O270,Update!$B$2:$Q$401,16,False)</f>
        <v>1.1</v>
      </c>
      <c r="AD270" s="127">
        <f>VLOOKUP($O270,'NO USAR1'!$A$4:$L$403,2,False)*$U$19</f>
        <v>-1.543139858</v>
      </c>
      <c r="AE270" s="127">
        <f>VLOOKUP($O270,'NO USAR1'!$A$4:$L$403,3,False)*$V$19</f>
        <v>-0.8191476607</v>
      </c>
      <c r="AF270" s="127">
        <f>VLOOKUP($O270,'NO USAR1'!$A$4:$L$403,4,False)*$W$19</f>
        <v>-1.127063602</v>
      </c>
      <c r="AG270" s="127">
        <f>VLOOKUP($O270,'NO USAR1'!$A$4:$L$403,5,False)*$X$19</f>
        <v>-0.9404853718</v>
      </c>
      <c r="AH270" s="127">
        <f>VLOOKUP($O270,'NO USAR1'!$A$4:$L$403,6,False)*$Y$19</f>
        <v>-0.6425203744</v>
      </c>
      <c r="AI270" s="127">
        <f>VLOOKUP($O270,'NO USAR1'!$A$4:$L$403,7,False)*$Z$19</f>
        <v>-0.6583300762</v>
      </c>
      <c r="AJ270" s="127">
        <f>VLOOKUP($O270,'NO USAR1'!$A$4:$L$403,8,False)*$AA$19</f>
        <v>-0.4226154708</v>
      </c>
      <c r="AK270" s="132">
        <f>VLOOKUP($O270,'NO USAR1'!$A$4:$L$403,10,False)*$AB$19</f>
        <v>0.1031296202</v>
      </c>
      <c r="AL270" s="127">
        <f>VLOOKUP($O270,'NO USAR1'!$A$4:$L$403,12,False)*$AC$19</f>
        <v>0.2777604917</v>
      </c>
      <c r="AM270" s="133">
        <f t="shared" si="2"/>
        <v>-1.543139858</v>
      </c>
      <c r="AN270" s="133">
        <f t="shared" si="3"/>
        <v>-2.670203461</v>
      </c>
    </row>
    <row r="271">
      <c r="A271" s="118" t="str">
        <f>IF(Update!B269="",ROW(Update!B269),Update!B269)</f>
        <v>Troy Brown Jr.</v>
      </c>
      <c r="B271" s="119">
        <f>IF(TYPE($A271)=1,"",(Update!$L269-B$1)/B$2)</f>
        <v>-1.947603163</v>
      </c>
      <c r="C271" s="119">
        <f>IF(TYPE($A271)=1,"",(Update!$K269-C$1)/C$2)</f>
        <v>-0.5247734955</v>
      </c>
      <c r="D271" s="119">
        <f>IF(TYPE($A271)=1,"",(Update!$M269-D$1)/D$2)</f>
        <v>-1.085248232</v>
      </c>
      <c r="E271" s="119">
        <f>IF(TYPE($A271)=1,"",(Update!$N269-E$1)/E$2)</f>
        <v>-1.27227956</v>
      </c>
      <c r="F271" s="119">
        <f>IF(TYPE($A271)=1,"",(Update!$O269-F$1)/F$2)</f>
        <v>-0.9178862491</v>
      </c>
      <c r="G271" s="119">
        <f>IF(TYPE($A271)=1,"",(Update!$P269-G$1)/G$2)</f>
        <v>-0.9404715375</v>
      </c>
      <c r="H271" s="119">
        <f>IF(TYPE($A271)=1,"",(Update!$H269-H$1)/H$2*I271/$I$1)</f>
        <v>-0.4216566031</v>
      </c>
      <c r="I271" s="119">
        <f>IF(TYPE($A271)=1,"",IF(Update!H269=0,0,Update!G269/Update!H269))</f>
        <v>5</v>
      </c>
      <c r="J271" s="120">
        <f>IF(TYPE($A271)=1,"",(Update!$J269-J$1)/J$2*K271/$K$1)</f>
        <v>0.01587641299</v>
      </c>
      <c r="K271" s="121">
        <f>IF(TYPE($A271)=1,"",IF(Update!J269=0,0,Update!I269/Update!J269))</f>
        <v>0.5</v>
      </c>
      <c r="L271" s="119">
        <f>IF(TYPE($A271)=1,"",-(Update!$Q269-L$1)/L$2)</f>
        <v>1.856152079</v>
      </c>
      <c r="N271" s="124">
        <v>251.0</v>
      </c>
      <c r="O271" s="130" t="str">
        <f>IF(Update!B253="",ROW(Update!B253),Update!B253)</f>
        <v>John Konchar</v>
      </c>
      <c r="P271" s="131">
        <f>Update!E253</f>
        <v>72</v>
      </c>
      <c r="Q271" s="131" t="str">
        <f>IF(Update!C253="",ROW(Update!N268),Update!C253)</f>
        <v>SG,SF</v>
      </c>
      <c r="R271" s="127">
        <f>VLOOKUP($O271,'NO USAR1'!$A$4:$L$403,2,False)+VLOOKUP($O271,'NO USAR1'!$A$4:$L$403,3,False)+VLOOKUP($O271,'NO USAR1'!$A$4:$L$403,4,False)+VLOOKUP($O271,'NO USAR1'!$A$4:$L$403,5,False)+VLOOKUP($O271,'NO USAR1'!$A$4:$L$403,6,False)+VLOOKUP($O271,'NO USAR1'!$A$4:$L$403,7,False)+VLOOKUP($O271,'NO USAR1'!$A$4:$L$403,8,False)+VLOOKUP($O271,'NO USAR1'!$A$4:$L$403,10,False)+VLOOKUP($O271,'NO USAR1'!$A$4:$L$403,12,False)*0</f>
        <v>-6.635202342</v>
      </c>
      <c r="S271" s="127">
        <f>VLOOKUP($O271,'NO USAR1'!$A$4:$L$403,2,False)*$U$19+VLOOKUP($O271,'NO USAR1'!$A$4:$L$403,3,False)*$V$19+VLOOKUP($O271,'NO USAR1'!$A$4:$L$403,4,False)*$W$19+VLOOKUP($O271,'NO USAR1'!$A$4:$L$403,5,False)*$X$19+VLOOKUP($O271,'NO USAR1'!$A$4:$L$403,6,False)*$Y$19+VLOOKUP($O271,'NO USAR1'!$A$4:$L$403,7,False)*$Z$19+VLOOKUP($O271,'NO USAR1'!$A$4:$L$403,8,False)*$AA$19+VLOOKUP($O271,'NO USAR1'!$A$4:$L$403,10,False)*$AB$19+VLOOKUP($O271,'NO USAR1'!$A$4:$L$403,12,False)*$AC$19+IF(Projections!$K$3,-AN271, IF(Projections!$J$3,-AM271,0))</f>
        <v>-3.583131659</v>
      </c>
      <c r="T271" s="127">
        <f t="shared" si="1"/>
        <v>3.052070683</v>
      </c>
      <c r="U271" s="127">
        <f>VLOOKUP($O271,Update!$B$2:$R$401,11,False)</f>
        <v>4.7</v>
      </c>
      <c r="V271" s="122">
        <f>VLOOKUP($O271,Update!$B$2:$R$401,10,False)</f>
        <v>0.7</v>
      </c>
      <c r="W271" s="127">
        <f>VLOOKUP($O271,Update!$B$2:$R$401,12,False)</f>
        <v>4.2</v>
      </c>
      <c r="X271" s="127">
        <f>VLOOKUP($O271,Update!$B$2:$R$401,13,False)</f>
        <v>1.4</v>
      </c>
      <c r="Y271" s="127">
        <f>VLOOKUP($O271,Update!$B$2:$R$401,14,False)</f>
        <v>0.8</v>
      </c>
      <c r="Z271" s="132">
        <f>VLOOKUP($O271,Update!$B$2:$R$401,15,False)</f>
        <v>0.3</v>
      </c>
      <c r="AA271" s="127">
        <f>100*VLOOKUP($O271,Update!$B$2:$R$401,7,False)</f>
        <v>47.36842105</v>
      </c>
      <c r="AB271" s="127">
        <f>100*VLOOKUP($O271,Update!$B$2:$R$401,9,False)</f>
        <v>66.66666667</v>
      </c>
      <c r="AC271" s="127">
        <f>VLOOKUP($O271,Update!$B$2:$Q$401,16,False)</f>
        <v>0.4</v>
      </c>
      <c r="AD271" s="127">
        <f>VLOOKUP($O271,'NO USAR1'!$A$4:$L$403,2,False)*$U$19</f>
        <v>-2.11612954</v>
      </c>
      <c r="AE271" s="127">
        <f>VLOOKUP($O271,'NO USAR1'!$A$4:$L$403,3,False)*$V$19</f>
        <v>-0.8191476607</v>
      </c>
      <c r="AF271" s="127">
        <f>VLOOKUP($O271,'NO USAR1'!$A$4:$L$403,4,False)*$W$19</f>
        <v>-0.7925406433</v>
      </c>
      <c r="AG271" s="127">
        <f>VLOOKUP($O271,'NO USAR1'!$A$4:$L$403,5,False)*$X$19</f>
        <v>-1.246500135</v>
      </c>
      <c r="AH271" s="127">
        <f>VLOOKUP($O271,'NO USAR1'!$A$4:$L$403,6,False)*$Y$19</f>
        <v>-0.4244704736</v>
      </c>
      <c r="AI271" s="127">
        <f>VLOOKUP($O271,'NO USAR1'!$A$4:$L$403,7,False)*$Z$19</f>
        <v>-0.5270142365</v>
      </c>
      <c r="AJ271" s="127">
        <f>VLOOKUP($O271,'NO USAR1'!$A$4:$L$403,8,False)*$AA$19</f>
        <v>-0.08464465056</v>
      </c>
      <c r="AK271" s="132">
        <f>VLOOKUP($O271,'NO USAR1'!$A$4:$L$403,10,False)*$AB$19</f>
        <v>-0.1838981338</v>
      </c>
      <c r="AL271" s="127">
        <f>VLOOKUP($O271,'NO USAR1'!$A$4:$L$403,12,False)*$AC$19</f>
        <v>0.4950842744</v>
      </c>
      <c r="AM271" s="133">
        <f t="shared" si="2"/>
        <v>-2.11612954</v>
      </c>
      <c r="AN271" s="133">
        <f t="shared" si="3"/>
        <v>-3.362629675</v>
      </c>
    </row>
    <row r="272">
      <c r="A272" s="118" t="str">
        <f>IF(Update!B270="",ROW(Update!B270),Update!B270)</f>
        <v>Monte Morris</v>
      </c>
      <c r="B272" s="119">
        <f>IF(TYPE($A272)=1,"",(Update!$L270-B$1)/B$2)</f>
        <v>-1.795929424</v>
      </c>
      <c r="C272" s="119">
        <f>IF(TYPE($A272)=1,"",(Update!$K270-C$1)/C$2)</f>
        <v>-0.7174687815</v>
      </c>
      <c r="D272" s="119">
        <f>IF(TYPE($A272)=1,"",(Update!$M270-D$1)/D$2)</f>
        <v>-1.79610952</v>
      </c>
      <c r="E272" s="119">
        <f>IF(TYPE($A272)=1,"",(Update!$N270-E$1)/E$2)</f>
        <v>-0.4840597161</v>
      </c>
      <c r="F272" s="119">
        <f>IF(TYPE($A272)=1,"",(Update!$O270-F$1)/F$2)</f>
        <v>-1.852385824</v>
      </c>
      <c r="G272" s="119">
        <f>IF(TYPE($A272)=1,"",(Update!$P270-G$1)/G$2)</f>
        <v>-1.128065594</v>
      </c>
      <c r="H272" s="119">
        <f>IF(TYPE($A272)=1,"",(Update!$H270-H$1)/H$2*I272/$I$1)</f>
        <v>-0.08691892057</v>
      </c>
      <c r="I272" s="119">
        <f>IF(TYPE($A272)=1,"",IF(Update!H270=0,0,Update!G270/Update!H270))</f>
        <v>5.4</v>
      </c>
      <c r="J272" s="120">
        <f>IF(TYPE($A272)=1,"",(Update!$J270-J$1)/J$2*K272/$K$1)</f>
        <v>0.1466891596</v>
      </c>
      <c r="K272" s="121">
        <f>IF(TYPE($A272)=1,"",IF(Update!J270=0,0,Update!I270/Update!J270))</f>
        <v>0.7</v>
      </c>
      <c r="L272" s="119">
        <f>IF(TYPE($A272)=1,"",-(Update!$Q270-L$1)/L$2)</f>
        <v>1.73196706</v>
      </c>
      <c r="N272" s="33">
        <v>252.0</v>
      </c>
      <c r="O272" s="130" t="str">
        <f>IF(Update!B233="",ROW(Update!B233),Update!B233)</f>
        <v>Dominick Barlow</v>
      </c>
      <c r="P272" s="131">
        <f>Update!E233</f>
        <v>60</v>
      </c>
      <c r="Q272" s="131" t="str">
        <f>IF(Update!C233="",ROW(Update!N248),Update!C233)</f>
        <v>SF</v>
      </c>
      <c r="R272" s="127">
        <f>VLOOKUP($O272,'NO USAR1'!$A$4:$L$403,2,False)+VLOOKUP($O272,'NO USAR1'!$A$4:$L$403,3,False)+VLOOKUP($O272,'NO USAR1'!$A$4:$L$403,4,False)+VLOOKUP($O272,'NO USAR1'!$A$4:$L$403,5,False)+VLOOKUP($O272,'NO USAR1'!$A$4:$L$403,6,False)+VLOOKUP($O272,'NO USAR1'!$A$4:$L$403,7,False)+VLOOKUP($O272,'NO USAR1'!$A$4:$L$403,8,False)+VLOOKUP($O272,'NO USAR1'!$A$4:$L$403,10,False)+VLOOKUP($O272,'NO USAR1'!$A$4:$L$403,12,False)*0</f>
        <v>-6.644123177</v>
      </c>
      <c r="S272" s="127">
        <f>VLOOKUP($O272,'NO USAR1'!$A$4:$L$403,2,False)*$U$19+VLOOKUP($O272,'NO USAR1'!$A$4:$L$403,3,False)*$V$19+VLOOKUP($O272,'NO USAR1'!$A$4:$L$403,4,False)*$W$19+VLOOKUP($O272,'NO USAR1'!$A$4:$L$403,5,False)*$X$19+VLOOKUP($O272,'NO USAR1'!$A$4:$L$403,6,False)*$Y$19+VLOOKUP($O272,'NO USAR1'!$A$4:$L$403,7,False)*$Z$19+VLOOKUP($O272,'NO USAR1'!$A$4:$L$403,8,False)*$AA$19+VLOOKUP($O272,'NO USAR1'!$A$4:$L$403,10,False)*$AB$19+VLOOKUP($O272,'NO USAR1'!$A$4:$L$403,12,False)*$AC$19+IF(Projections!$K$3,-AN272, IF(Projections!$J$3,-AM272,0))</f>
        <v>-3.920920912</v>
      </c>
      <c r="T272" s="127">
        <f t="shared" si="1"/>
        <v>2.723202265</v>
      </c>
      <c r="U272" s="127">
        <f>VLOOKUP($O272,Update!$B$2:$R$401,11,False)</f>
        <v>5.6</v>
      </c>
      <c r="V272" s="122">
        <f>VLOOKUP($O272,Update!$B$2:$R$401,10,False)</f>
        <v>0.1</v>
      </c>
      <c r="W272" s="127">
        <f>VLOOKUP($O272,Update!$B$2:$R$401,12,False)</f>
        <v>4.1</v>
      </c>
      <c r="X272" s="127">
        <f>VLOOKUP($O272,Update!$B$2:$R$401,13,False)</f>
        <v>1.2</v>
      </c>
      <c r="Y272" s="127">
        <f>VLOOKUP($O272,Update!$B$2:$R$401,14,False)</f>
        <v>0.5</v>
      </c>
      <c r="Z272" s="132">
        <f>VLOOKUP($O272,Update!$B$2:$R$401,15,False)</f>
        <v>0.9</v>
      </c>
      <c r="AA272" s="127">
        <f>100*VLOOKUP($O272,Update!$B$2:$R$401,7,False)</f>
        <v>53.48837209</v>
      </c>
      <c r="AB272" s="127">
        <f>100*VLOOKUP($O272,Update!$B$2:$R$401,9,False)</f>
        <v>75</v>
      </c>
      <c r="AC272" s="127">
        <f>VLOOKUP($O272,Update!$B$2:$Q$401,16,False)</f>
        <v>0.8</v>
      </c>
      <c r="AD272" s="127">
        <f>VLOOKUP($O272,'NO USAR1'!$A$4:$L$403,2,False)*$U$19</f>
        <v>-1.964455801</v>
      </c>
      <c r="AE272" s="127">
        <f>VLOOKUP($O272,'NO USAR1'!$A$4:$L$403,3,False)*$V$19</f>
        <v>-1.339424933</v>
      </c>
      <c r="AF272" s="127">
        <f>VLOOKUP($O272,'NO USAR1'!$A$4:$L$403,4,False)*$W$19</f>
        <v>-0.8343560132</v>
      </c>
      <c r="AG272" s="127">
        <f>VLOOKUP($O272,'NO USAR1'!$A$4:$L$403,5,False)*$X$19</f>
        <v>-1.348505056</v>
      </c>
      <c r="AH272" s="127">
        <f>VLOOKUP($O272,'NO USAR1'!$A$4:$L$403,6,False)*$Y$19</f>
        <v>-1.078620176</v>
      </c>
      <c r="AI272" s="127">
        <f>VLOOKUP($O272,'NO USAR1'!$A$4:$L$403,7,False)*$Z$19</f>
        <v>0.2608808015</v>
      </c>
      <c r="AJ272" s="127">
        <f>VLOOKUP($O272,'NO USAR1'!$A$4:$L$403,8,False)*$AA$19</f>
        <v>0.1670771136</v>
      </c>
      <c r="AK272" s="132">
        <f>VLOOKUP($O272,'NO USAR1'!$A$4:$L$403,10,False)*$AB$19</f>
        <v>-0.1188719048</v>
      </c>
      <c r="AL272" s="127">
        <f>VLOOKUP($O272,'NO USAR1'!$A$4:$L$403,12,False)*$AC$19</f>
        <v>0.3708992557</v>
      </c>
      <c r="AM272" s="133">
        <f t="shared" si="2"/>
        <v>-1.964455801</v>
      </c>
      <c r="AN272" s="133">
        <f t="shared" si="3"/>
        <v>-3.312960857</v>
      </c>
    </row>
    <row r="273">
      <c r="A273" s="118" t="str">
        <f>IF(Update!B271="",ROW(Update!B271),Update!B271)</f>
        <v>Leonard Miller</v>
      </c>
      <c r="B273" s="119">
        <f>IF(TYPE($A273)=1,"",(Update!$L271-B$1)/B$2)</f>
        <v>-1.644255685</v>
      </c>
      <c r="C273" s="119">
        <f>IF(TYPE($A273)=1,"",(Update!$K271-C$1)/C$2)</f>
        <v>-1.00651171</v>
      </c>
      <c r="D273" s="119">
        <f>IF(TYPE($A273)=1,"",(Update!$M271-D$1)/D$2)</f>
        <v>-0.5416484242</v>
      </c>
      <c r="E273" s="119">
        <f>IF(TYPE($A273)=1,"",(Update!$N271-E$1)/E$2)</f>
        <v>-1.179547814</v>
      </c>
      <c r="F273" s="119">
        <f>IF(TYPE($A273)=1,"",(Update!$O271-F$1)/F$2)</f>
        <v>-1.852385824</v>
      </c>
      <c r="G273" s="119">
        <f>IF(TYPE($A273)=1,"",(Update!$P271-G$1)/G$2)</f>
        <v>-0.7528774808</v>
      </c>
      <c r="H273" s="119">
        <f>IF(TYPE($A273)=1,"",(Update!$H271-H$1)/H$2*I273/$I$1)</f>
        <v>-0.1952299146</v>
      </c>
      <c r="I273" s="119">
        <f>IF(TYPE($A273)=1,"",IF(Update!H271=0,0,Update!G271/Update!H271))</f>
        <v>6</v>
      </c>
      <c r="J273" s="120">
        <f>IF(TYPE($A273)=1,"",(Update!$J271-J$1)/J$2*K273/$K$1)</f>
        <v>-0.4438689216</v>
      </c>
      <c r="K273" s="121">
        <f>IF(TYPE($A273)=1,"",IF(Update!J271=0,0,Update!I271/Update!J271))</f>
        <v>1.7</v>
      </c>
      <c r="L273" s="119">
        <f>IF(TYPE($A273)=1,"",-(Update!$Q271-L$1)/L$2)</f>
        <v>1.359412004</v>
      </c>
      <c r="N273" s="33">
        <v>253.0</v>
      </c>
      <c r="O273" s="130" t="str">
        <f>IF(Update!B247="",ROW(Update!B247),Update!B247)</f>
        <v>Jalen McDaniels</v>
      </c>
      <c r="P273" s="131">
        <f>Update!E247</f>
        <v>70</v>
      </c>
      <c r="Q273" s="131" t="str">
        <f>IF(Update!C247="",ROW(Update!N262),Update!C247)</f>
        <v>SF,PF</v>
      </c>
      <c r="R273" s="127">
        <f>VLOOKUP($O273,'NO USAR1'!$A$4:$L$403,2,False)+VLOOKUP($O273,'NO USAR1'!$A$4:$L$403,3,False)+VLOOKUP($O273,'NO USAR1'!$A$4:$L$403,4,False)+VLOOKUP($O273,'NO USAR1'!$A$4:$L$403,5,False)+VLOOKUP($O273,'NO USAR1'!$A$4:$L$403,6,False)+VLOOKUP($O273,'NO USAR1'!$A$4:$L$403,7,False)+VLOOKUP($O273,'NO USAR1'!$A$4:$L$403,8,False)+VLOOKUP($O273,'NO USAR1'!$A$4:$L$403,10,False)+VLOOKUP($O273,'NO USAR1'!$A$4:$L$403,12,False)*0</f>
        <v>-6.673281547</v>
      </c>
      <c r="S273" s="127">
        <f>VLOOKUP($O273,'NO USAR1'!$A$4:$L$403,2,False)*$U$19+VLOOKUP($O273,'NO USAR1'!$A$4:$L$403,3,False)*$V$19+VLOOKUP($O273,'NO USAR1'!$A$4:$L$403,4,False)*$W$19+VLOOKUP($O273,'NO USAR1'!$A$4:$L$403,5,False)*$X$19+VLOOKUP($O273,'NO USAR1'!$A$4:$L$403,6,False)*$Y$19+VLOOKUP($O273,'NO USAR1'!$A$4:$L$403,7,False)*$Z$19+VLOOKUP($O273,'NO USAR1'!$A$4:$L$403,8,False)*$AA$19+VLOOKUP($O273,'NO USAR1'!$A$4:$L$403,10,False)*$AB$19+VLOOKUP($O273,'NO USAR1'!$A$4:$L$403,12,False)*$AC$19+IF(Projections!$K$3,-AN273, IF(Projections!$J$3,-AM273,0))</f>
        <v>-4.158213512</v>
      </c>
      <c r="T273" s="127">
        <f t="shared" si="1"/>
        <v>2.515068036</v>
      </c>
      <c r="U273" s="127">
        <f>VLOOKUP($O273,Update!$B$2:$R$401,11,False)</f>
        <v>7.1</v>
      </c>
      <c r="V273" s="122">
        <f>VLOOKUP($O273,Update!$B$2:$R$401,10,False)</f>
        <v>0.8</v>
      </c>
      <c r="W273" s="127">
        <f>VLOOKUP($O273,Update!$B$2:$R$401,12,False)</f>
        <v>3.3</v>
      </c>
      <c r="X273" s="127">
        <f>VLOOKUP($O273,Update!$B$2:$R$401,13,False)</f>
        <v>1.2</v>
      </c>
      <c r="Y273" s="127">
        <f>VLOOKUP($O273,Update!$B$2:$R$401,14,False)</f>
        <v>0.7</v>
      </c>
      <c r="Z273" s="132">
        <f>VLOOKUP($O273,Update!$B$2:$R$401,15,False)</f>
        <v>0.4</v>
      </c>
      <c r="AA273" s="127">
        <f>100*VLOOKUP($O273,Update!$B$2:$R$401,7,False)</f>
        <v>45.61403509</v>
      </c>
      <c r="AB273" s="127">
        <f>100*VLOOKUP($O273,Update!$B$2:$R$401,9,False)</f>
        <v>78.57142857</v>
      </c>
      <c r="AC273" s="127">
        <f>VLOOKUP($O273,Update!$B$2:$Q$401,16,False)</f>
        <v>0.8</v>
      </c>
      <c r="AD273" s="127">
        <f>VLOOKUP($O273,'NO USAR1'!$A$4:$L$403,2,False)*$U$19</f>
        <v>-1.711666235</v>
      </c>
      <c r="AE273" s="127">
        <f>VLOOKUP($O273,'NO USAR1'!$A$4:$L$403,3,False)*$V$19</f>
        <v>-0.7324347821</v>
      </c>
      <c r="AF273" s="127">
        <f>VLOOKUP($O273,'NO USAR1'!$A$4:$L$403,4,False)*$W$19</f>
        <v>-1.168878972</v>
      </c>
      <c r="AG273" s="127">
        <f>VLOOKUP($O273,'NO USAR1'!$A$4:$L$403,5,False)*$X$19</f>
        <v>-1.348505056</v>
      </c>
      <c r="AH273" s="127">
        <f>VLOOKUP($O273,'NO USAR1'!$A$4:$L$403,6,False)*$Y$19</f>
        <v>-0.6425203744</v>
      </c>
      <c r="AI273" s="127">
        <f>VLOOKUP($O273,'NO USAR1'!$A$4:$L$403,7,False)*$Z$19</f>
        <v>-0.3956983969</v>
      </c>
      <c r="AJ273" s="127">
        <f>VLOOKUP($O273,'NO USAR1'!$A$4:$L$403,8,False)*$AA$19</f>
        <v>-0.2268534788</v>
      </c>
      <c r="AK273" s="132">
        <f>VLOOKUP($O273,'NO USAR1'!$A$4:$L$403,10,False)*$AB$19</f>
        <v>-0.01422170748</v>
      </c>
      <c r="AL273" s="127">
        <f>VLOOKUP($O273,'NO USAR1'!$A$4:$L$403,12,False)*$AC$19</f>
        <v>0.3708992557</v>
      </c>
      <c r="AM273" s="133">
        <f t="shared" si="2"/>
        <v>-1.711666235</v>
      </c>
      <c r="AN273" s="133">
        <f t="shared" si="3"/>
        <v>-3.060171291</v>
      </c>
    </row>
    <row r="274">
      <c r="A274" s="118" t="str">
        <f>IF(Update!B272="",ROW(Update!B272),Update!B272)</f>
        <v>Cam Thomas</v>
      </c>
      <c r="B274" s="119">
        <f>IF(TYPE($A274)=1,"",(Update!$L272-B$1)/B$2)</f>
        <v>-1.138676554</v>
      </c>
      <c r="C274" s="119">
        <f>IF(TYPE($A274)=1,"",(Update!$K272-C$1)/C$2)</f>
        <v>-0.7174687815</v>
      </c>
      <c r="D274" s="119">
        <f>IF(TYPE($A274)=1,"",(Update!$M272-D$1)/D$2)</f>
        <v>-1.587032671</v>
      </c>
      <c r="E274" s="119">
        <f>IF(TYPE($A274)=1,"",(Update!$N272-E$1)/E$2)</f>
        <v>-1.133181941</v>
      </c>
      <c r="F274" s="119">
        <f>IF(TYPE($A274)=1,"",(Update!$O272-F$1)/F$2)</f>
        <v>-1.540885966</v>
      </c>
      <c r="G274" s="119">
        <f>IF(TYPE($A274)=1,"",(Update!$P272-G$1)/G$2)</f>
        <v>-1.128065594</v>
      </c>
      <c r="H274" s="119">
        <f>IF(TYPE($A274)=1,"",(Update!$H272-H$1)/H$2*I274/$I$1)</f>
        <v>-0.5165975512</v>
      </c>
      <c r="I274" s="119">
        <f>IF(TYPE($A274)=1,"",IF(Update!H272=0,0,Update!G272/Update!H272))</f>
        <v>8.6</v>
      </c>
      <c r="J274" s="120">
        <f>IF(TYPE($A274)=1,"",(Update!$J272-J$1)/J$2*K274/$K$1)</f>
        <v>0.3905375185</v>
      </c>
      <c r="K274" s="121">
        <f>IF(TYPE($A274)=1,"",IF(Update!J272=0,0,Update!I272/Update!J272))</f>
        <v>2.5</v>
      </c>
      <c r="L274" s="119">
        <f>IF(TYPE($A274)=1,"",-(Update!$Q272-L$1)/L$2)</f>
        <v>1.111041967</v>
      </c>
      <c r="N274" s="124">
        <v>254.0</v>
      </c>
      <c r="O274" s="130" t="str">
        <f>IF(Update!B243="",ROW(Update!B243),Update!B243)</f>
        <v>AJ Griffin</v>
      </c>
      <c r="P274" s="131">
        <f>Update!E243</f>
        <v>72</v>
      </c>
      <c r="Q274" s="131" t="str">
        <f>IF(Update!C243="",ROW(Update!N258),Update!C243)</f>
        <v>SG,SF</v>
      </c>
      <c r="R274" s="127">
        <f>VLOOKUP($O274,'NO USAR1'!$A$4:$L$403,2,False)+VLOOKUP($O274,'NO USAR1'!$A$4:$L$403,3,False)+VLOOKUP($O274,'NO USAR1'!$A$4:$L$403,4,False)+VLOOKUP($O274,'NO USAR1'!$A$4:$L$403,5,False)+VLOOKUP($O274,'NO USAR1'!$A$4:$L$403,6,False)+VLOOKUP($O274,'NO USAR1'!$A$4:$L$403,7,False)+VLOOKUP($O274,'NO USAR1'!$A$4:$L$403,8,False)+VLOOKUP($O274,'NO USAR1'!$A$4:$L$403,10,False)+VLOOKUP($O274,'NO USAR1'!$A$4:$L$403,12,False)*0</f>
        <v>-6.702780106</v>
      </c>
      <c r="S274" s="127">
        <f>VLOOKUP($O274,'NO USAR1'!$A$4:$L$403,2,False)*$U$19+VLOOKUP($O274,'NO USAR1'!$A$4:$L$403,3,False)*$V$19+VLOOKUP($O274,'NO USAR1'!$A$4:$L$403,4,False)*$W$19+VLOOKUP($O274,'NO USAR1'!$A$4:$L$403,5,False)*$X$19+VLOOKUP($O274,'NO USAR1'!$A$4:$L$403,6,False)*$Y$19+VLOOKUP($O274,'NO USAR1'!$A$4:$L$403,7,False)*$Z$19+VLOOKUP($O274,'NO USAR1'!$A$4:$L$403,8,False)*$AA$19+VLOOKUP($O274,'NO USAR1'!$A$4:$L$403,10,False)*$AB$19+VLOOKUP($O274,'NO USAR1'!$A$4:$L$403,12,False)*$AC$19+IF(Projections!$K$3,-AN274, IF(Projections!$J$3,-AM274,0))</f>
        <v>-4.102791214</v>
      </c>
      <c r="T274" s="127">
        <f t="shared" si="1"/>
        <v>2.599988892</v>
      </c>
      <c r="U274" s="127">
        <f>VLOOKUP($O274,Update!$B$2:$R$401,11,False)</f>
        <v>9.3</v>
      </c>
      <c r="V274" s="122">
        <f>VLOOKUP($O274,Update!$B$2:$R$401,10,False)</f>
        <v>1.5</v>
      </c>
      <c r="W274" s="127">
        <f>VLOOKUP($O274,Update!$B$2:$R$401,12,False)</f>
        <v>2.2</v>
      </c>
      <c r="X274" s="127">
        <f>VLOOKUP($O274,Update!$B$2:$R$401,13,False)</f>
        <v>1.1</v>
      </c>
      <c r="Y274" s="127">
        <f>VLOOKUP($O274,Update!$B$2:$R$401,14,False)</f>
        <v>0.6</v>
      </c>
      <c r="Z274" s="132">
        <f>VLOOKUP($O274,Update!$B$2:$R$401,15,False)</f>
        <v>0.2</v>
      </c>
      <c r="AA274" s="127">
        <f>100*VLOOKUP($O274,Update!$B$2:$R$401,7,False)</f>
        <v>46.15384615</v>
      </c>
      <c r="AB274" s="127">
        <f>100*VLOOKUP($O274,Update!$B$2:$R$401,9,False)</f>
        <v>85.71428571</v>
      </c>
      <c r="AC274" s="127">
        <f>VLOOKUP($O274,Update!$B$2:$Q$401,16,False)</f>
        <v>0.6</v>
      </c>
      <c r="AD274" s="127">
        <f>VLOOKUP($O274,'NO USAR1'!$A$4:$L$403,2,False)*$U$19</f>
        <v>-1.340908206</v>
      </c>
      <c r="AE274" s="127">
        <f>VLOOKUP($O274,'NO USAR1'!$A$4:$L$403,3,False)*$V$19</f>
        <v>-0.1254446312</v>
      </c>
      <c r="AF274" s="127">
        <f>VLOOKUP($O274,'NO USAR1'!$A$4:$L$403,4,False)*$W$19</f>
        <v>-1.62884804</v>
      </c>
      <c r="AG274" s="127">
        <f>VLOOKUP($O274,'NO USAR1'!$A$4:$L$403,5,False)*$X$19</f>
        <v>-1.399507516</v>
      </c>
      <c r="AH274" s="127">
        <f>VLOOKUP($O274,'NO USAR1'!$A$4:$L$403,6,False)*$Y$19</f>
        <v>-0.8605702752</v>
      </c>
      <c r="AI274" s="127">
        <f>VLOOKUP($O274,'NO USAR1'!$A$4:$L$403,7,False)*$Z$19</f>
        <v>-0.6583300762</v>
      </c>
      <c r="AJ274" s="127">
        <f>VLOOKUP($O274,'NO USAR1'!$A$4:$L$403,8,False)*$AA$19</f>
        <v>-0.2683736013</v>
      </c>
      <c r="AK274" s="132">
        <f>VLOOKUP($O274,'NO USAR1'!$A$4:$L$403,10,False)*$AB$19</f>
        <v>0.1173513277</v>
      </c>
      <c r="AL274" s="127">
        <f>VLOOKUP($O274,'NO USAR1'!$A$4:$L$403,12,False)*$AC$19</f>
        <v>0.4329917651</v>
      </c>
      <c r="AM274" s="133">
        <f t="shared" si="2"/>
        <v>-1.62884804</v>
      </c>
      <c r="AN274" s="133">
        <f t="shared" si="3"/>
        <v>-3.028355557</v>
      </c>
    </row>
    <row r="275">
      <c r="A275" s="118" t="str">
        <f>IF(Update!B273="",ROW(Update!B273),Update!B273)</f>
        <v>Robert Covington</v>
      </c>
      <c r="B275" s="119">
        <f>IF(TYPE($A275)=1,"",(Update!$L273-B$1)/B$2)</f>
        <v>-2.217245366</v>
      </c>
      <c r="C275" s="119">
        <f>IF(TYPE($A275)=1,"",(Update!$K273-C$1)/C$2)</f>
        <v>-0.8138164245</v>
      </c>
      <c r="D275" s="119">
        <f>IF(TYPE($A275)=1,"",(Update!$M273-D$1)/D$2)</f>
        <v>-1.503401931</v>
      </c>
      <c r="E275" s="119">
        <f>IF(TYPE($A275)=1,"",(Update!$N273-E$1)/E$2)</f>
        <v>-1.457743053</v>
      </c>
      <c r="F275" s="119">
        <f>IF(TYPE($A275)=1,"",(Update!$O273-F$1)/F$2)</f>
        <v>-1.229386107</v>
      </c>
      <c r="G275" s="119">
        <f>IF(TYPE($A275)=1,"",(Update!$P273-G$1)/G$2)</f>
        <v>-0.1900953108</v>
      </c>
      <c r="H275" s="119">
        <f>IF(TYPE($A275)=1,"",(Update!$H273-H$1)/H$2*I275/$I$1)</f>
        <v>-0.2627554576</v>
      </c>
      <c r="I275" s="119">
        <f>IF(TYPE($A275)=1,"",IF(Update!H273=0,0,Update!G273/Update!H273))</f>
        <v>3.3</v>
      </c>
      <c r="J275" s="120">
        <f>IF(TYPE($A275)=1,"",(Update!$J273-J$1)/J$2*K275/$K$1)</f>
        <v>0.01587641299</v>
      </c>
      <c r="K275" s="121">
        <f>IF(TYPE($A275)=1,"",IF(Update!J273=0,0,Update!I273/Update!J273))</f>
        <v>0.5</v>
      </c>
      <c r="L275" s="119">
        <f>IF(TYPE($A275)=1,"",-(Update!$Q273-L$1)/L$2)</f>
        <v>1.856152079</v>
      </c>
      <c r="N275" s="124">
        <v>255.0</v>
      </c>
      <c r="O275" s="130" t="str">
        <f>IF(Update!B255="",ROW(Update!B255),Update!B255)</f>
        <v>Cam Reddish</v>
      </c>
      <c r="P275" s="131">
        <f>Update!E255</f>
        <v>68</v>
      </c>
      <c r="Q275" s="131" t="str">
        <f>IF(Update!C255="",ROW(Update!N270),Update!C255)</f>
        <v>SF,PF</v>
      </c>
      <c r="R275" s="127">
        <f>VLOOKUP($O275,'NO USAR1'!$A$4:$L$403,2,False)+VLOOKUP($O275,'NO USAR1'!$A$4:$L$403,3,False)+VLOOKUP($O275,'NO USAR1'!$A$4:$L$403,4,False)+VLOOKUP($O275,'NO USAR1'!$A$4:$L$403,5,False)+VLOOKUP($O275,'NO USAR1'!$A$4:$L$403,6,False)+VLOOKUP($O275,'NO USAR1'!$A$4:$L$403,7,False)+VLOOKUP($O275,'NO USAR1'!$A$4:$L$403,8,False)+VLOOKUP($O275,'NO USAR1'!$A$4:$L$403,10,False)+VLOOKUP($O275,'NO USAR1'!$A$4:$L$403,12,False)*0</f>
        <v>-6.712387494</v>
      </c>
      <c r="S275" s="127">
        <f>VLOOKUP($O275,'NO USAR1'!$A$4:$L$403,2,False)*$U$19+VLOOKUP($O275,'NO USAR1'!$A$4:$L$403,3,False)*$V$19+VLOOKUP($O275,'NO USAR1'!$A$4:$L$403,4,False)*$W$19+VLOOKUP($O275,'NO USAR1'!$A$4:$L$403,5,False)*$X$19+VLOOKUP($O275,'NO USAR1'!$A$4:$L$403,6,False)*$Y$19+VLOOKUP($O275,'NO USAR1'!$A$4:$L$403,7,False)*$Z$19+VLOOKUP($O275,'NO USAR1'!$A$4:$L$403,8,False)*$AA$19+VLOOKUP($O275,'NO USAR1'!$A$4:$L$403,10,False)*$AB$19+VLOOKUP($O275,'NO USAR1'!$A$4:$L$403,12,False)*$AC$19+IF(Projections!$K$3,-AN275, IF(Projections!$J$3,-AM275,0))</f>
        <v>-4.309308208</v>
      </c>
      <c r="T275" s="127">
        <f t="shared" si="1"/>
        <v>2.403079285</v>
      </c>
      <c r="U275" s="127">
        <f>VLOOKUP($O275,Update!$B$2:$R$401,11,False)</f>
        <v>8.2</v>
      </c>
      <c r="V275" s="122">
        <f>VLOOKUP($O275,Update!$B$2:$R$401,10,False)</f>
        <v>1</v>
      </c>
      <c r="W275" s="127">
        <f>VLOOKUP($O275,Update!$B$2:$R$401,12,False)</f>
        <v>1.8</v>
      </c>
      <c r="X275" s="127">
        <f>VLOOKUP($O275,Update!$B$2:$R$401,13,False)</f>
        <v>1</v>
      </c>
      <c r="Y275" s="127">
        <f>VLOOKUP($O275,Update!$B$2:$R$401,14,False)</f>
        <v>0.8</v>
      </c>
      <c r="Z275" s="132">
        <f>VLOOKUP($O275,Update!$B$2:$R$401,15,False)</f>
        <v>0.3</v>
      </c>
      <c r="AA275" s="127">
        <f>100*VLOOKUP($O275,Update!$B$2:$R$401,7,False)</f>
        <v>41.79104478</v>
      </c>
      <c r="AB275" s="127">
        <f>100*VLOOKUP($O275,Update!$B$2:$R$401,9,False)</f>
        <v>88.23529412</v>
      </c>
      <c r="AC275" s="127">
        <f>VLOOKUP($O275,Update!$B$2:$Q$401,16,False)</f>
        <v>1</v>
      </c>
      <c r="AD275" s="127">
        <f>VLOOKUP($O275,'NO USAR1'!$A$4:$L$403,2,False)*$U$19</f>
        <v>-1.526287221</v>
      </c>
      <c r="AE275" s="127">
        <f>VLOOKUP($O275,'NO USAR1'!$A$4:$L$403,3,False)*$V$19</f>
        <v>-0.5590090247</v>
      </c>
      <c r="AF275" s="127">
        <f>VLOOKUP($O275,'NO USAR1'!$A$4:$L$403,4,False)*$W$19</f>
        <v>-1.79610952</v>
      </c>
      <c r="AG275" s="127">
        <f>VLOOKUP($O275,'NO USAR1'!$A$4:$L$403,5,False)*$X$19</f>
        <v>-1.450509977</v>
      </c>
      <c r="AH275" s="127">
        <f>VLOOKUP($O275,'NO USAR1'!$A$4:$L$403,6,False)*$Y$19</f>
        <v>-0.4244704736</v>
      </c>
      <c r="AI275" s="127">
        <f>VLOOKUP($O275,'NO USAR1'!$A$4:$L$403,7,False)*$Z$19</f>
        <v>-0.5270142365</v>
      </c>
      <c r="AJ275" s="127">
        <f>VLOOKUP($O275,'NO USAR1'!$A$4:$L$403,8,False)*$AA$19</f>
        <v>-0.5225019738</v>
      </c>
      <c r="AK275" s="132">
        <f>VLOOKUP($O275,'NO USAR1'!$A$4:$L$403,10,False)*$AB$19</f>
        <v>0.3916779513</v>
      </c>
      <c r="AL275" s="127">
        <f>VLOOKUP($O275,'NO USAR1'!$A$4:$L$403,12,False)*$AC$19</f>
        <v>0.3088067464</v>
      </c>
      <c r="AM275" s="133">
        <f t="shared" si="2"/>
        <v>-1.79610952</v>
      </c>
      <c r="AN275" s="133">
        <f t="shared" si="3"/>
        <v>-3.322396741</v>
      </c>
    </row>
    <row r="276">
      <c r="A276" s="118" t="str">
        <f>IF(Update!B274="",ROW(Update!B274),Update!B274)</f>
        <v>Shake Milton</v>
      </c>
      <c r="B276" s="119">
        <f>IF(TYPE($A276)=1,"",(Update!$L274-B$1)/B$2)</f>
        <v>-1.644255685</v>
      </c>
      <c r="C276" s="119">
        <f>IF(TYPE($A276)=1,"",(Update!$K274-C$1)/C$2)</f>
        <v>-0.9101640675</v>
      </c>
      <c r="D276" s="119">
        <f>IF(TYPE($A276)=1,"",(Update!$M274-D$1)/D$2)</f>
        <v>-1.587032671</v>
      </c>
      <c r="E276" s="119">
        <f>IF(TYPE($A276)=1,"",(Update!$N274-E$1)/E$2)</f>
        <v>-0.5767914625</v>
      </c>
      <c r="F276" s="119">
        <f>IF(TYPE($A276)=1,"",(Update!$O274-F$1)/F$2)</f>
        <v>-1.852385824</v>
      </c>
      <c r="G276" s="119">
        <f>IF(TYPE($A276)=1,"",(Update!$P274-G$1)/G$2)</f>
        <v>-0.9404715375</v>
      </c>
      <c r="H276" s="119">
        <f>IF(TYPE($A276)=1,"",(Update!$H274-H$1)/H$2*I276/$I$1)</f>
        <v>-0.2493854117</v>
      </c>
      <c r="I276" s="119">
        <f>IF(TYPE($A276)=1,"",IF(Update!H274=0,0,Update!G274/Update!H274))</f>
        <v>6.3</v>
      </c>
      <c r="J276" s="120">
        <f>IF(TYPE($A276)=1,"",(Update!$J274-J$1)/J$2*K276/$K$1)</f>
        <v>0.2279719459</v>
      </c>
      <c r="K276" s="121">
        <f>IF(TYPE($A276)=1,"",IF(Update!J274=0,0,Update!I274/Update!J274))</f>
        <v>1.3</v>
      </c>
      <c r="L276" s="119">
        <f>IF(TYPE($A276)=1,"",-(Update!$Q274-L$1)/L$2)</f>
        <v>1.235226986</v>
      </c>
      <c r="N276" s="33">
        <v>256.0</v>
      </c>
      <c r="O276" s="130" t="str">
        <f>IF(Update!B254="",ROW(Update!B254),Update!B254)</f>
        <v>Gradey Dick</v>
      </c>
      <c r="P276" s="131">
        <f>Update!E254</f>
        <v>72</v>
      </c>
      <c r="Q276" s="131" t="str">
        <f>IF(Update!C254="",ROW(Update!N269),Update!C254)</f>
        <v>SG</v>
      </c>
      <c r="R276" s="127">
        <f>VLOOKUP($O276,'NO USAR1'!$A$4:$L$403,2,False)+VLOOKUP($O276,'NO USAR1'!$A$4:$L$403,3,False)+VLOOKUP($O276,'NO USAR1'!$A$4:$L$403,4,False)+VLOOKUP($O276,'NO USAR1'!$A$4:$L$403,5,False)+VLOOKUP($O276,'NO USAR1'!$A$4:$L$403,6,False)+VLOOKUP($O276,'NO USAR1'!$A$4:$L$403,7,False)+VLOOKUP($O276,'NO USAR1'!$A$4:$L$403,8,False)+VLOOKUP($O276,'NO USAR1'!$A$4:$L$403,10,False)+VLOOKUP($O276,'NO USAR1'!$A$4:$L$403,12,False)*0</f>
        <v>-6.754111418</v>
      </c>
      <c r="S276" s="127">
        <f>VLOOKUP($O276,'NO USAR1'!$A$4:$L$403,2,False)*$U$19+VLOOKUP($O276,'NO USAR1'!$A$4:$L$403,3,False)*$V$19+VLOOKUP($O276,'NO USAR1'!$A$4:$L$403,4,False)*$W$19+VLOOKUP($O276,'NO USAR1'!$A$4:$L$403,5,False)*$X$19+VLOOKUP($O276,'NO USAR1'!$A$4:$L$403,6,False)*$Y$19+VLOOKUP($O276,'NO USAR1'!$A$4:$L$403,7,False)*$Z$19+VLOOKUP($O276,'NO USAR1'!$A$4:$L$403,8,False)*$AA$19+VLOOKUP($O276,'NO USAR1'!$A$4:$L$403,10,False)*$AB$19+VLOOKUP($O276,'NO USAR1'!$A$4:$L$403,12,False)*$AC$19+IF(Projections!$K$3,-AN276, IF(Projections!$J$3,-AM276,0))</f>
        <v>-4.123807797</v>
      </c>
      <c r="T276" s="127">
        <f t="shared" si="1"/>
        <v>2.630303621</v>
      </c>
      <c r="U276" s="127">
        <f>VLOOKUP($O276,Update!$B$2:$R$401,11,False)</f>
        <v>8.5</v>
      </c>
      <c r="V276" s="122">
        <f>VLOOKUP($O276,Update!$B$2:$R$401,10,False)</f>
        <v>2</v>
      </c>
      <c r="W276" s="127">
        <f>VLOOKUP($O276,Update!$B$2:$R$401,12,False)</f>
        <v>2.2</v>
      </c>
      <c r="X276" s="127">
        <f>VLOOKUP($O276,Update!$B$2:$R$401,13,False)</f>
        <v>1.2</v>
      </c>
      <c r="Y276" s="127">
        <f>VLOOKUP($O276,Update!$B$2:$R$401,14,False)</f>
        <v>0.6</v>
      </c>
      <c r="Z276" s="132">
        <f>VLOOKUP($O276,Update!$B$2:$R$401,15,False)</f>
        <v>0.1</v>
      </c>
      <c r="AA276" s="127">
        <f>100*VLOOKUP($O276,Update!$B$2:$R$401,7,False)</f>
        <v>40.90909091</v>
      </c>
      <c r="AB276" s="127">
        <f>100*VLOOKUP($O276,Update!$B$2:$R$401,9,False)</f>
        <v>84.61538462</v>
      </c>
      <c r="AC276" s="127">
        <f>VLOOKUP($O276,Update!$B$2:$Q$401,16,False)</f>
        <v>0.6</v>
      </c>
      <c r="AD276" s="127">
        <f>VLOOKUP($O276,'NO USAR1'!$A$4:$L$403,2,False)*$U$19</f>
        <v>-1.475729308</v>
      </c>
      <c r="AE276" s="127">
        <f>VLOOKUP($O276,'NO USAR1'!$A$4:$L$403,3,False)*$V$19</f>
        <v>0.3081197623</v>
      </c>
      <c r="AF276" s="127">
        <f>VLOOKUP($O276,'NO USAR1'!$A$4:$L$403,4,False)*$W$19</f>
        <v>-1.62884804</v>
      </c>
      <c r="AG276" s="127">
        <f>VLOOKUP($O276,'NO USAR1'!$A$4:$L$403,5,False)*$X$19</f>
        <v>-1.348505056</v>
      </c>
      <c r="AH276" s="127">
        <f>VLOOKUP($O276,'NO USAR1'!$A$4:$L$403,6,False)*$Y$19</f>
        <v>-0.8605702752</v>
      </c>
      <c r="AI276" s="127">
        <f>VLOOKUP($O276,'NO USAR1'!$A$4:$L$403,7,False)*$Z$19</f>
        <v>-0.7896459159</v>
      </c>
      <c r="AJ276" s="127">
        <f>VLOOKUP($O276,'NO USAR1'!$A$4:$L$403,8,False)*$AA$19</f>
        <v>-0.5728463266</v>
      </c>
      <c r="AK276" s="132">
        <f>VLOOKUP($O276,'NO USAR1'!$A$4:$L$403,10,False)*$AB$19</f>
        <v>0.1823775567</v>
      </c>
      <c r="AL276" s="127">
        <f>VLOOKUP($O276,'NO USAR1'!$A$4:$L$403,12,False)*$AC$19</f>
        <v>0.4329917651</v>
      </c>
      <c r="AM276" s="133">
        <f t="shared" si="2"/>
        <v>-1.62884804</v>
      </c>
      <c r="AN276" s="133">
        <f t="shared" si="3"/>
        <v>-3.104577348</v>
      </c>
    </row>
    <row r="277">
      <c r="A277" s="118" t="str">
        <f>IF(Update!B275="",ROW(Update!B275),Update!B275)</f>
        <v>Isaac Okoro</v>
      </c>
      <c r="B277" s="119">
        <f>IF(TYPE($A277)=1,"",(Update!$L275-B$1)/B$2)</f>
        <v>-1.846487337</v>
      </c>
      <c r="C277" s="119">
        <f>IF(TYPE($A277)=1,"",(Update!$K275-C$1)/C$2)</f>
        <v>-0.9101640675</v>
      </c>
      <c r="D277" s="119">
        <f>IF(TYPE($A277)=1,"",(Update!$M275-D$1)/D$2)</f>
        <v>-1.587032671</v>
      </c>
      <c r="E277" s="119">
        <f>IF(TYPE($A277)=1,"",(Update!$N275-E$1)/E$2)</f>
        <v>-1.225913687</v>
      </c>
      <c r="F277" s="119">
        <f>IF(TYPE($A277)=1,"",(Update!$O275-F$1)/F$2)</f>
        <v>-0.9178862491</v>
      </c>
      <c r="G277" s="119">
        <f>IF(TYPE($A277)=1,"",(Update!$P275-G$1)/G$2)</f>
        <v>-0.7528774808</v>
      </c>
      <c r="H277" s="119">
        <f>IF(TYPE($A277)=1,"",(Update!$H275-H$1)/H$2*I277/$I$1)</f>
        <v>-0.09048426615</v>
      </c>
      <c r="I277" s="119">
        <f>IF(TYPE($A277)=1,"",IF(Update!H275=0,0,Update!G275/Update!H275))</f>
        <v>4.6</v>
      </c>
      <c r="J277" s="120">
        <f>IF(TYPE($A277)=1,"",(Update!$J275-J$1)/J$2*K277/$K$1)</f>
        <v>0.04762923897</v>
      </c>
      <c r="K277" s="121">
        <f>IF(TYPE($A277)=1,"",IF(Update!J275=0,0,Update!I275/Update!J275))</f>
        <v>1.5</v>
      </c>
      <c r="L277" s="119">
        <f>IF(TYPE($A277)=1,"",-(Update!$Q275-L$1)/L$2)</f>
        <v>1.73196706</v>
      </c>
      <c r="N277" s="33">
        <v>257.0</v>
      </c>
      <c r="O277" s="130" t="str">
        <f>IF(Update!B256="",ROW(Update!B256),Update!B256)</f>
        <v>Damion Lee</v>
      </c>
      <c r="P277" s="131">
        <f>Update!E256</f>
        <v>69</v>
      </c>
      <c r="Q277" s="131" t="str">
        <f>IF(Update!C256="",ROW(Update!N271),Update!C256)</f>
        <v>SG,SF</v>
      </c>
      <c r="R277" s="127">
        <f>VLOOKUP($O277,'NO USAR1'!$A$4:$L$403,2,False)+VLOOKUP($O277,'NO USAR1'!$A$4:$L$403,3,False)+VLOOKUP($O277,'NO USAR1'!$A$4:$L$403,4,False)+VLOOKUP($O277,'NO USAR1'!$A$4:$L$403,5,False)+VLOOKUP($O277,'NO USAR1'!$A$4:$L$403,6,False)+VLOOKUP($O277,'NO USAR1'!$A$4:$L$403,7,False)+VLOOKUP($O277,'NO USAR1'!$A$4:$L$403,8,False)+VLOOKUP($O277,'NO USAR1'!$A$4:$L$403,10,False)+VLOOKUP($O277,'NO USAR1'!$A$4:$L$403,12,False)*0</f>
        <v>-6.763826476</v>
      </c>
      <c r="S277" s="127">
        <f>VLOOKUP($O277,'NO USAR1'!$A$4:$L$403,2,False)*$U$19+VLOOKUP($O277,'NO USAR1'!$A$4:$L$403,3,False)*$V$19+VLOOKUP($O277,'NO USAR1'!$A$4:$L$403,4,False)*$W$19+VLOOKUP($O277,'NO USAR1'!$A$4:$L$403,5,False)*$X$19+VLOOKUP($O277,'NO USAR1'!$A$4:$L$403,6,False)*$Y$19+VLOOKUP($O277,'NO USAR1'!$A$4:$L$403,7,False)*$Z$19+VLOOKUP($O277,'NO USAR1'!$A$4:$L$403,8,False)*$AA$19+VLOOKUP($O277,'NO USAR1'!$A$4:$L$403,10,False)*$AB$19+VLOOKUP($O277,'NO USAR1'!$A$4:$L$403,12,False)*$AC$19+IF(Projections!$K$3,-AN277, IF(Projections!$J$3,-AM277,0))</f>
        <v>-4.229972181</v>
      </c>
      <c r="T277" s="127">
        <f t="shared" si="1"/>
        <v>2.533854296</v>
      </c>
      <c r="U277" s="127">
        <f>VLOOKUP($O277,Update!$B$2:$R$401,11,False)</f>
        <v>8</v>
      </c>
      <c r="V277" s="122">
        <f>VLOOKUP($O277,Update!$B$2:$R$401,10,False)</f>
        <v>1.3</v>
      </c>
      <c r="W277" s="127">
        <f>VLOOKUP($O277,Update!$B$2:$R$401,12,False)</f>
        <v>3.2</v>
      </c>
      <c r="X277" s="127">
        <f>VLOOKUP($O277,Update!$B$2:$R$401,13,False)</f>
        <v>1.2</v>
      </c>
      <c r="Y277" s="127">
        <f>VLOOKUP($O277,Update!$B$2:$R$401,14,False)</f>
        <v>0.5</v>
      </c>
      <c r="Z277" s="132">
        <f>VLOOKUP($O277,Update!$B$2:$R$401,15,False)</f>
        <v>0.1</v>
      </c>
      <c r="AA277" s="127">
        <f>100*VLOOKUP($O277,Update!$B$2:$R$401,7,False)</f>
        <v>45.16129032</v>
      </c>
      <c r="AB277" s="127">
        <f>100*VLOOKUP($O277,Update!$B$2:$R$401,9,False)</f>
        <v>92.30769231</v>
      </c>
      <c r="AC277" s="127">
        <f>VLOOKUP($O277,Update!$B$2:$Q$401,16,False)</f>
        <v>0.9</v>
      </c>
      <c r="AD277" s="127">
        <f>VLOOKUP($O277,'NO USAR1'!$A$4:$L$403,2,False)*$U$19</f>
        <v>-1.559992496</v>
      </c>
      <c r="AE277" s="127">
        <f>VLOOKUP($O277,'NO USAR1'!$A$4:$L$403,3,False)*$V$19</f>
        <v>-0.2988703886</v>
      </c>
      <c r="AF277" s="127">
        <f>VLOOKUP($O277,'NO USAR1'!$A$4:$L$403,4,False)*$W$19</f>
        <v>-1.210694342</v>
      </c>
      <c r="AG277" s="127">
        <f>VLOOKUP($O277,'NO USAR1'!$A$4:$L$403,5,False)*$X$19</f>
        <v>-1.348505056</v>
      </c>
      <c r="AH277" s="127">
        <f>VLOOKUP($O277,'NO USAR1'!$A$4:$L$403,6,False)*$Y$19</f>
        <v>-1.078620176</v>
      </c>
      <c r="AI277" s="127">
        <f>VLOOKUP($O277,'NO USAR1'!$A$4:$L$403,7,False)*$Z$19</f>
        <v>-0.7896459159</v>
      </c>
      <c r="AJ277" s="127">
        <f>VLOOKUP($O277,'NO USAR1'!$A$4:$L$403,8,False)*$AA$19</f>
        <v>-0.2747912233</v>
      </c>
      <c r="AK277" s="132">
        <f>VLOOKUP($O277,'NO USAR1'!$A$4:$L$403,10,False)*$AB$19</f>
        <v>0.4313019196</v>
      </c>
      <c r="AL277" s="127">
        <f>VLOOKUP($O277,'NO USAR1'!$A$4:$L$403,12,False)*$AC$19</f>
        <v>0.3398530011</v>
      </c>
      <c r="AM277" s="133">
        <f t="shared" si="2"/>
        <v>-1.559992496</v>
      </c>
      <c r="AN277" s="133">
        <f t="shared" si="3"/>
        <v>-2.908497552</v>
      </c>
    </row>
    <row r="278">
      <c r="A278" s="118" t="str">
        <f>IF(Update!B276="",ROW(Update!B276),Update!B276)</f>
        <v>Isaiah Livers</v>
      </c>
      <c r="B278" s="119">
        <f>IF(TYPE($A278)=1,"",(Update!$L276-B$1)/B$2)</f>
        <v>-1.947603163</v>
      </c>
      <c r="C278" s="119">
        <f>IF(TYPE($A278)=1,"",(Update!$K276-C$1)/C$2)</f>
        <v>-0.4284258525</v>
      </c>
      <c r="D278" s="119">
        <f>IF(TYPE($A278)=1,"",(Update!$M276-D$1)/D$2)</f>
        <v>-1.503401931</v>
      </c>
      <c r="E278" s="119">
        <f>IF(TYPE($A278)=1,"",(Update!$N276-E$1)/E$2)</f>
        <v>-1.41137718</v>
      </c>
      <c r="F278" s="119">
        <f>IF(TYPE($A278)=1,"",(Update!$O276-F$1)/F$2)</f>
        <v>-1.540885966</v>
      </c>
      <c r="G278" s="119">
        <f>IF(TYPE($A278)=1,"",(Update!$P276-G$1)/G$2)</f>
        <v>-0.5652834241</v>
      </c>
      <c r="H278" s="119">
        <f>IF(TYPE($A278)=1,"",(Update!$H276-H$1)/H$2*I278/$I$1)</f>
        <v>-0.3124542726</v>
      </c>
      <c r="I278" s="119">
        <f>IF(TYPE($A278)=1,"",IF(Update!H276=0,0,Update!G276/Update!H276))</f>
        <v>4.6</v>
      </c>
      <c r="J278" s="120">
        <f>IF(TYPE($A278)=1,"",(Update!$J276-J$1)/J$2*K278/$K$1)</f>
        <v>-0.164466294</v>
      </c>
      <c r="K278" s="121">
        <f>IF(TYPE($A278)=1,"",IF(Update!J276=0,0,Update!I276/Update!J276))</f>
        <v>0.7</v>
      </c>
      <c r="L278" s="119">
        <f>IF(TYPE($A278)=1,"",-(Update!$Q276-L$1)/L$2)</f>
        <v>1.73196706</v>
      </c>
      <c r="N278" s="124">
        <v>258.0</v>
      </c>
      <c r="O278" s="130" t="str">
        <f>IF(Update!B257="",ROW(Update!B257),Update!B257)</f>
        <v>P.J. Tucker</v>
      </c>
      <c r="P278" s="131">
        <f>Update!E257</f>
        <v>73</v>
      </c>
      <c r="Q278" s="131" t="str">
        <f>IF(Update!C257="",ROW(Update!N272),Update!C257)</f>
        <v>SF</v>
      </c>
      <c r="R278" s="127">
        <f>VLOOKUP($O278,'NO USAR1'!$A$4:$L$403,2,False)+VLOOKUP($O278,'NO USAR1'!$A$4:$L$403,3,False)+VLOOKUP($O278,'NO USAR1'!$A$4:$L$403,4,False)+VLOOKUP($O278,'NO USAR1'!$A$4:$L$403,5,False)+VLOOKUP($O278,'NO USAR1'!$A$4:$L$403,6,False)+VLOOKUP($O278,'NO USAR1'!$A$4:$L$403,7,False)+VLOOKUP($O278,'NO USAR1'!$A$4:$L$403,8,False)+VLOOKUP($O278,'NO USAR1'!$A$4:$L$403,10,False)+VLOOKUP($O278,'NO USAR1'!$A$4:$L$403,12,False)*0</f>
        <v>-6.837675148</v>
      </c>
      <c r="S278" s="127">
        <f>VLOOKUP($O278,'NO USAR1'!$A$4:$L$403,2,False)*$U$19+VLOOKUP($O278,'NO USAR1'!$A$4:$L$403,3,False)*$V$19+VLOOKUP($O278,'NO USAR1'!$A$4:$L$403,4,False)*$W$19+VLOOKUP($O278,'NO USAR1'!$A$4:$L$403,5,False)*$X$19+VLOOKUP($O278,'NO USAR1'!$A$4:$L$403,6,False)*$Y$19+VLOOKUP($O278,'NO USAR1'!$A$4:$L$403,7,False)*$Z$19+VLOOKUP($O278,'NO USAR1'!$A$4:$L$403,8,False)*$AA$19+VLOOKUP($O278,'NO USAR1'!$A$4:$L$403,10,False)*$AB$19+VLOOKUP($O278,'NO USAR1'!$A$4:$L$403,12,False)*$AC$19+IF(Projections!$K$3,-AN278, IF(Projections!$J$3,-AM278,0))</f>
        <v>-3.788425898</v>
      </c>
      <c r="T278" s="127">
        <f t="shared" si="1"/>
        <v>3.049249251</v>
      </c>
      <c r="U278" s="127">
        <f>VLOOKUP($O278,Update!$B$2:$R$401,11,False)</f>
        <v>5.2</v>
      </c>
      <c r="V278" s="122">
        <f>VLOOKUP($O278,Update!$B$2:$R$401,10,False)</f>
        <v>0.9</v>
      </c>
      <c r="W278" s="127">
        <f>VLOOKUP($O278,Update!$B$2:$R$401,12,False)</f>
        <v>4.4</v>
      </c>
      <c r="X278" s="127">
        <f>VLOOKUP($O278,Update!$B$2:$R$401,13,False)</f>
        <v>1.4</v>
      </c>
      <c r="Y278" s="127">
        <f>VLOOKUP($O278,Update!$B$2:$R$401,14,False)</f>
        <v>0.6</v>
      </c>
      <c r="Z278" s="132">
        <f>VLOOKUP($O278,Update!$B$2:$R$401,15,False)</f>
        <v>0.2</v>
      </c>
      <c r="AA278" s="127">
        <f>100*VLOOKUP($O278,Update!$B$2:$R$401,7,False)</f>
        <v>47.61904762</v>
      </c>
      <c r="AB278" s="127">
        <f>100*VLOOKUP($O278,Update!$B$2:$R$401,9,False)</f>
        <v>80</v>
      </c>
      <c r="AC278" s="127">
        <f>VLOOKUP($O278,Update!$B$2:$Q$401,16,False)</f>
        <v>0.7</v>
      </c>
      <c r="AD278" s="127">
        <f>VLOOKUP($O278,'NO USAR1'!$A$4:$L$403,2,False)*$U$19</f>
        <v>-2.031866352</v>
      </c>
      <c r="AE278" s="127">
        <f>VLOOKUP($O278,'NO USAR1'!$A$4:$L$403,3,False)*$V$19</f>
        <v>-0.6457219034</v>
      </c>
      <c r="AF278" s="127">
        <f>VLOOKUP($O278,'NO USAR1'!$A$4:$L$403,4,False)*$W$19</f>
        <v>-0.7089099036</v>
      </c>
      <c r="AG278" s="127">
        <f>VLOOKUP($O278,'NO USAR1'!$A$4:$L$403,5,False)*$X$19</f>
        <v>-1.246500135</v>
      </c>
      <c r="AH278" s="127">
        <f>VLOOKUP($O278,'NO USAR1'!$A$4:$L$403,6,False)*$Y$19</f>
        <v>-0.8605702752</v>
      </c>
      <c r="AI278" s="127">
        <f>VLOOKUP($O278,'NO USAR1'!$A$4:$L$403,7,False)*$Z$19</f>
        <v>-0.6583300762</v>
      </c>
      <c r="AJ278" s="127">
        <f>VLOOKUP($O278,'NO USAR1'!$A$4:$L$403,8,False)*$AA$19</f>
        <v>-0.08304024505</v>
      </c>
      <c r="AK278" s="132">
        <f>VLOOKUP($O278,'NO USAR1'!$A$4:$L$403,10,False)*$AB$19</f>
        <v>0.01270113039</v>
      </c>
      <c r="AL278" s="127">
        <f>VLOOKUP($O278,'NO USAR1'!$A$4:$L$403,12,False)*$AC$19</f>
        <v>0.4019455104</v>
      </c>
      <c r="AM278" s="133">
        <f t="shared" si="2"/>
        <v>-2.031866352</v>
      </c>
      <c r="AN278" s="133">
        <f t="shared" si="3"/>
        <v>-3.278366486</v>
      </c>
    </row>
    <row r="279">
      <c r="A279" s="118" t="str">
        <f>IF(Update!B277="",ROW(Update!B277),Update!B277)</f>
        <v>Orlando Robinson</v>
      </c>
      <c r="B279" s="119">
        <f>IF(TYPE($A279)=1,"",(Update!$L277-B$1)/B$2)</f>
        <v>-2.132982178</v>
      </c>
      <c r="C279" s="119">
        <f>IF(TYPE($A279)=1,"",(Update!$K277-C$1)/C$2)</f>
        <v>-1.584597568</v>
      </c>
      <c r="D279" s="119">
        <f>IF(TYPE($A279)=1,"",(Update!$M277-D$1)/D$2)</f>
        <v>-0.4580176845</v>
      </c>
      <c r="E279" s="119">
        <f>IF(TYPE($A279)=1,"",(Update!$N277-E$1)/E$2)</f>
        <v>-1.318645434</v>
      </c>
      <c r="F279" s="119">
        <f>IF(TYPE($A279)=1,"",(Update!$O277-F$1)/F$2)</f>
        <v>-1.540885966</v>
      </c>
      <c r="G279" s="119">
        <f>IF(TYPE($A279)=1,"",(Update!$P277-G$1)/G$2)</f>
        <v>-0.3776893674</v>
      </c>
      <c r="H279" s="119">
        <f>IF(TYPE($A279)=1,"",(Update!$H277-H$1)/H$2*I279/$I$1)</f>
        <v>0.1270290584</v>
      </c>
      <c r="I279" s="119">
        <f>IF(TYPE($A279)=1,"",IF(Update!H277=0,0,Update!G277/Update!H277))</f>
        <v>3.6</v>
      </c>
      <c r="J279" s="120">
        <f>IF(TYPE($A279)=1,"",(Update!$J277-J$1)/J$2*K279/$K$1)</f>
        <v>-0.148589881</v>
      </c>
      <c r="K279" s="121">
        <f>IF(TYPE($A279)=1,"",IF(Update!J277=0,0,Update!I277/Update!J277))</f>
        <v>1.2</v>
      </c>
      <c r="L279" s="119">
        <f>IF(TYPE($A279)=1,"",-(Update!$Q277-L$1)/L$2)</f>
        <v>1.73196706</v>
      </c>
      <c r="N279" s="124">
        <v>259.0</v>
      </c>
      <c r="O279" s="130" t="str">
        <f>IF(Update!B262="",ROW(Update!B262),Update!B262)</f>
        <v>Chuma Okeke</v>
      </c>
      <c r="P279" s="131">
        <f>Update!E262</f>
        <v>50</v>
      </c>
      <c r="Q279" s="131" t="str">
        <f>IF(Update!C262="",ROW(Update!N277),Update!C262)</f>
        <v>SF,PF</v>
      </c>
      <c r="R279" s="127">
        <f>VLOOKUP($O279,'NO USAR1'!$A$4:$L$403,2,False)+VLOOKUP($O279,'NO USAR1'!$A$4:$L$403,3,False)+VLOOKUP($O279,'NO USAR1'!$A$4:$L$403,4,False)+VLOOKUP($O279,'NO USAR1'!$A$4:$L$403,5,False)+VLOOKUP($O279,'NO USAR1'!$A$4:$L$403,6,False)+VLOOKUP($O279,'NO USAR1'!$A$4:$L$403,7,False)+VLOOKUP($O279,'NO USAR1'!$A$4:$L$403,8,False)+VLOOKUP($O279,'NO USAR1'!$A$4:$L$403,10,False)+VLOOKUP($O279,'NO USAR1'!$A$4:$L$403,12,False)*0</f>
        <v>-6.853122393</v>
      </c>
      <c r="S279" s="127">
        <f>VLOOKUP($O279,'NO USAR1'!$A$4:$L$403,2,False)*$U$19+VLOOKUP($O279,'NO USAR1'!$A$4:$L$403,3,False)*$V$19+VLOOKUP($O279,'NO USAR1'!$A$4:$L$403,4,False)*$W$19+VLOOKUP($O279,'NO USAR1'!$A$4:$L$403,5,False)*$X$19+VLOOKUP($O279,'NO USAR1'!$A$4:$L$403,6,False)*$Y$19+VLOOKUP($O279,'NO USAR1'!$A$4:$L$403,7,False)*$Z$19+VLOOKUP($O279,'NO USAR1'!$A$4:$L$403,8,False)*$AA$19+VLOOKUP($O279,'NO USAR1'!$A$4:$L$403,10,False)*$AB$19+VLOOKUP($O279,'NO USAR1'!$A$4:$L$403,12,False)*$AC$19+IF(Projections!$K$3,-AN279, IF(Projections!$J$3,-AM279,0))</f>
        <v>-4.039579453</v>
      </c>
      <c r="T279" s="127">
        <f t="shared" si="1"/>
        <v>2.81354294</v>
      </c>
      <c r="U279" s="127">
        <f>VLOOKUP($O279,Update!$B$2:$R$401,11,False)</f>
        <v>5.3</v>
      </c>
      <c r="V279" s="122">
        <f>VLOOKUP($O279,Update!$B$2:$R$401,10,False)</f>
        <v>1</v>
      </c>
      <c r="W279" s="127">
        <f>VLOOKUP($O279,Update!$B$2:$R$401,12,False)</f>
        <v>3.2</v>
      </c>
      <c r="X279" s="127">
        <f>VLOOKUP($O279,Update!$B$2:$R$401,13,False)</f>
        <v>1.1</v>
      </c>
      <c r="Y279" s="127">
        <f>VLOOKUP($O279,Update!$B$2:$R$401,14,False)</f>
        <v>0.8</v>
      </c>
      <c r="Z279" s="132">
        <f>VLOOKUP($O279,Update!$B$2:$R$401,15,False)</f>
        <v>0.4</v>
      </c>
      <c r="AA279" s="127">
        <f>100*VLOOKUP($O279,Update!$B$2:$R$401,7,False)</f>
        <v>38</v>
      </c>
      <c r="AB279" s="127">
        <f>100*VLOOKUP($O279,Update!$B$2:$R$401,9,False)</f>
        <v>83.33333333</v>
      </c>
      <c r="AC279" s="127">
        <f>VLOOKUP($O279,Update!$B$2:$Q$401,16,False)</f>
        <v>0.5</v>
      </c>
      <c r="AD279" s="127">
        <f>VLOOKUP($O279,'NO USAR1'!$A$4:$L$403,2,False)*$U$19</f>
        <v>-2.015013714</v>
      </c>
      <c r="AE279" s="127">
        <f>VLOOKUP($O279,'NO USAR1'!$A$4:$L$403,3,False)*$V$19</f>
        <v>-0.5590090247</v>
      </c>
      <c r="AF279" s="127">
        <f>VLOOKUP($O279,'NO USAR1'!$A$4:$L$403,4,False)*$W$19</f>
        <v>-1.210694342</v>
      </c>
      <c r="AG279" s="127">
        <f>VLOOKUP($O279,'NO USAR1'!$A$4:$L$403,5,False)*$X$19</f>
        <v>-1.399507516</v>
      </c>
      <c r="AH279" s="127">
        <f>VLOOKUP($O279,'NO USAR1'!$A$4:$L$403,6,False)*$Y$19</f>
        <v>-0.4244704736</v>
      </c>
      <c r="AI279" s="127">
        <f>VLOOKUP($O279,'NO USAR1'!$A$4:$L$403,7,False)*$Z$19</f>
        <v>-0.3956983969</v>
      </c>
      <c r="AJ279" s="127">
        <f>VLOOKUP($O279,'NO USAR1'!$A$4:$L$403,8,False)*$AA$19</f>
        <v>-0.5792639486</v>
      </c>
      <c r="AK279" s="132">
        <f>VLOOKUP($O279,'NO USAR1'!$A$4:$L$403,10,False)*$AB$19</f>
        <v>0.06502622904</v>
      </c>
      <c r="AL279" s="127">
        <f>VLOOKUP($O279,'NO USAR1'!$A$4:$L$403,12,False)*$AC$19</f>
        <v>0.4640380197</v>
      </c>
      <c r="AM279" s="133">
        <f t="shared" si="2"/>
        <v>-2.015013714</v>
      </c>
      <c r="AN279" s="133">
        <f t="shared" si="3"/>
        <v>-3.41452123</v>
      </c>
    </row>
    <row r="280">
      <c r="A280" s="118" t="str">
        <f>IF(Update!B278="",ROW(Update!B278),Update!B278)</f>
        <v>Ochai Agbaji</v>
      </c>
      <c r="B280" s="119">
        <f>IF(TYPE($A280)=1,"",(Update!$L278-B$1)/B$2)</f>
        <v>-1.391466119</v>
      </c>
      <c r="C280" s="119">
        <f>IF(TYPE($A280)=1,"",(Update!$K278-C$1)/C$2)</f>
        <v>-0.04303528054</v>
      </c>
      <c r="D280" s="119">
        <f>IF(TYPE($A280)=1,"",(Update!$M278-D$1)/D$2)</f>
        <v>-1.587032671</v>
      </c>
      <c r="E280" s="119">
        <f>IF(TYPE($A280)=1,"",(Update!$N278-E$1)/E$2)</f>
        <v>-1.179547814</v>
      </c>
      <c r="F280" s="119">
        <f>IF(TYPE($A280)=1,"",(Update!$O278-F$1)/F$2)</f>
        <v>-2.163885682</v>
      </c>
      <c r="G280" s="119">
        <f>IF(TYPE($A280)=1,"",(Update!$P278-G$1)/G$2)</f>
        <v>-0.7528774808</v>
      </c>
      <c r="H280" s="119">
        <f>IF(TYPE($A280)=1,"",(Update!$H278-H$1)/H$2*I280/$I$1)</f>
        <v>-0.5219455696</v>
      </c>
      <c r="I280" s="119">
        <f>IF(TYPE($A280)=1,"",IF(Update!H278=0,0,Update!G278/Update!H278))</f>
        <v>7.4</v>
      </c>
      <c r="J280" s="120">
        <f>IF(TYPE($A280)=1,"",(Update!$J278-J$1)/J$2*K280/$K$1)</f>
        <v>0.2279719459</v>
      </c>
      <c r="K280" s="121">
        <f>IF(TYPE($A280)=1,"",IF(Update!J278=0,0,Update!I278/Update!J278))</f>
        <v>1.3</v>
      </c>
      <c r="L280" s="119">
        <f>IF(TYPE($A280)=1,"",-(Update!$Q278-L$1)/L$2)</f>
        <v>1.483597023</v>
      </c>
      <c r="N280" s="33">
        <v>260.0</v>
      </c>
      <c r="O280" s="130" t="str">
        <f>IF(Update!B264="",ROW(Update!B264),Update!B264)</f>
        <v>Jett Howard</v>
      </c>
      <c r="P280" s="131">
        <f>Update!E264</f>
        <v>60</v>
      </c>
      <c r="Q280" s="131" t="str">
        <f>IF(Update!C264="",ROW(Update!N279),Update!C264)</f>
        <v>SG,SF</v>
      </c>
      <c r="R280" s="127">
        <f>VLOOKUP($O280,'NO USAR1'!$A$4:$L$403,2,False)+VLOOKUP($O280,'NO USAR1'!$A$4:$L$403,3,False)+VLOOKUP($O280,'NO USAR1'!$A$4:$L$403,4,False)+VLOOKUP($O280,'NO USAR1'!$A$4:$L$403,5,False)+VLOOKUP($O280,'NO USAR1'!$A$4:$L$403,6,False)+VLOOKUP($O280,'NO USAR1'!$A$4:$L$403,7,False)+VLOOKUP($O280,'NO USAR1'!$A$4:$L$403,8,False)+VLOOKUP($O280,'NO USAR1'!$A$4:$L$403,10,False)+VLOOKUP($O280,'NO USAR1'!$A$4:$L$403,12,False)*0</f>
        <v>-6.924060702</v>
      </c>
      <c r="S280" s="127">
        <f>VLOOKUP($O280,'NO USAR1'!$A$4:$L$403,2,False)*$U$19+VLOOKUP($O280,'NO USAR1'!$A$4:$L$403,3,False)*$V$19+VLOOKUP($O280,'NO USAR1'!$A$4:$L$403,4,False)*$W$19+VLOOKUP($O280,'NO USAR1'!$A$4:$L$403,5,False)*$X$19+VLOOKUP($O280,'NO USAR1'!$A$4:$L$403,6,False)*$Y$19+VLOOKUP($O280,'NO USAR1'!$A$4:$L$403,7,False)*$Z$19+VLOOKUP($O280,'NO USAR1'!$A$4:$L$403,8,False)*$AA$19+VLOOKUP($O280,'NO USAR1'!$A$4:$L$403,10,False)*$AB$19+VLOOKUP($O280,'NO USAR1'!$A$4:$L$403,12,False)*$AC$19+IF(Projections!$K$3,-AN280, IF(Projections!$J$3,-AM280,0))</f>
        <v>-4.219240921</v>
      </c>
      <c r="T280" s="127">
        <f t="shared" si="1"/>
        <v>2.704819781</v>
      </c>
      <c r="U280" s="127">
        <f>VLOOKUP($O280,Update!$B$2:$R$401,11,False)</f>
        <v>8</v>
      </c>
      <c r="V280" s="122">
        <f>VLOOKUP($O280,Update!$B$2:$R$401,10,False)</f>
        <v>1.9</v>
      </c>
      <c r="W280" s="127">
        <f>VLOOKUP($O280,Update!$B$2:$R$401,12,False)</f>
        <v>2.1</v>
      </c>
      <c r="X280" s="127">
        <f>VLOOKUP($O280,Update!$B$2:$R$401,13,False)</f>
        <v>1.1</v>
      </c>
      <c r="Y280" s="127">
        <f>VLOOKUP($O280,Update!$B$2:$R$401,14,False)</f>
        <v>0.6</v>
      </c>
      <c r="Z280" s="132">
        <f>VLOOKUP($O280,Update!$B$2:$R$401,15,False)</f>
        <v>0.1</v>
      </c>
      <c r="AA280" s="127">
        <f>100*VLOOKUP($O280,Update!$B$2:$R$401,7,False)</f>
        <v>42.62295082</v>
      </c>
      <c r="AB280" s="127">
        <f>100*VLOOKUP($O280,Update!$B$2:$R$401,9,False)</f>
        <v>83.33333333</v>
      </c>
      <c r="AC280" s="127">
        <f>VLOOKUP($O280,Update!$B$2:$Q$401,16,False)</f>
        <v>0.5</v>
      </c>
      <c r="AD280" s="127">
        <f>VLOOKUP($O280,'NO USAR1'!$A$4:$L$403,2,False)*$U$19</f>
        <v>-1.559992496</v>
      </c>
      <c r="AE280" s="127">
        <f>VLOOKUP($O280,'NO USAR1'!$A$4:$L$403,3,False)*$V$19</f>
        <v>0.2214068836</v>
      </c>
      <c r="AF280" s="127">
        <f>VLOOKUP($O280,'NO USAR1'!$A$4:$L$403,4,False)*$W$19</f>
        <v>-1.67066341</v>
      </c>
      <c r="AG280" s="127">
        <f>VLOOKUP($O280,'NO USAR1'!$A$4:$L$403,5,False)*$X$19</f>
        <v>-1.399507516</v>
      </c>
      <c r="AH280" s="127">
        <f>VLOOKUP($O280,'NO USAR1'!$A$4:$L$403,6,False)*$Y$19</f>
        <v>-0.8605702752</v>
      </c>
      <c r="AI280" s="127">
        <f>VLOOKUP($O280,'NO USAR1'!$A$4:$L$403,7,False)*$Z$19</f>
        <v>-0.7896459159</v>
      </c>
      <c r="AJ280" s="127">
        <f>VLOOKUP($O280,'NO USAR1'!$A$4:$L$403,8,False)*$AA$19</f>
        <v>-0.4250220791</v>
      </c>
      <c r="AK280" s="132">
        <f>VLOOKUP($O280,'NO USAR1'!$A$4:$L$403,10,False)*$AB$19</f>
        <v>0.1300524581</v>
      </c>
      <c r="AL280" s="127">
        <f>VLOOKUP($O280,'NO USAR1'!$A$4:$L$403,12,False)*$AC$19</f>
        <v>0.4640380197</v>
      </c>
      <c r="AM280" s="133">
        <f t="shared" si="2"/>
        <v>-1.67066341</v>
      </c>
      <c r="AN280" s="133">
        <f t="shared" si="3"/>
        <v>-3.230655906</v>
      </c>
    </row>
    <row r="281">
      <c r="A281" s="118" t="str">
        <f>IF(Update!B279="",ROW(Update!B279),Update!B279)</f>
        <v>Aaron Nesmith</v>
      </c>
      <c r="B281" s="119">
        <f>IF(TYPE($A281)=1,"",(Update!$L279-B$1)/B$2)</f>
        <v>-1.728518873</v>
      </c>
      <c r="C281" s="119">
        <f>IF(TYPE($A281)=1,"",(Update!$K279-C$1)/C$2)</f>
        <v>-0.5247734955</v>
      </c>
      <c r="D281" s="119">
        <f>IF(TYPE($A281)=1,"",(Update!$M279-D$1)/D$2)</f>
        <v>-1.419771191</v>
      </c>
      <c r="E281" s="119">
        <f>IF(TYPE($A281)=1,"",(Update!$N279-E$1)/E$2)</f>
        <v>-1.365011307</v>
      </c>
      <c r="F281" s="119">
        <f>IF(TYPE($A281)=1,"",(Update!$O279-F$1)/F$2)</f>
        <v>-1.229386107</v>
      </c>
      <c r="G281" s="119">
        <f>IF(TYPE($A281)=1,"",(Update!$P279-G$1)/G$2)</f>
        <v>-0.7528774808</v>
      </c>
      <c r="H281" s="119">
        <f>IF(TYPE($A281)=1,"",(Update!$H279-H$1)/H$2*I281/$I$1)</f>
        <v>-0.5290762608</v>
      </c>
      <c r="I281" s="119">
        <f>IF(TYPE($A281)=1,"",IF(Update!H279=0,0,Update!G279/Update!H279))</f>
        <v>5.8</v>
      </c>
      <c r="J281" s="120">
        <f>IF(TYPE($A281)=1,"",(Update!$J279-J$1)/J$2*K281/$K$1)</f>
        <v>0.2279719459</v>
      </c>
      <c r="K281" s="121">
        <f>IF(TYPE($A281)=1,"",IF(Update!J279=0,0,Update!I279/Update!J279))</f>
        <v>1.3</v>
      </c>
      <c r="L281" s="119">
        <f>IF(TYPE($A281)=1,"",-(Update!$Q279-L$1)/L$2)</f>
        <v>1.483597023</v>
      </c>
      <c r="N281" s="33">
        <v>261.0</v>
      </c>
      <c r="O281" s="130" t="str">
        <f>IF(Update!B267="",ROW(Update!B267),Update!B267)</f>
        <v>Cameron Payne</v>
      </c>
      <c r="P281" s="131">
        <f>Update!E267</f>
        <v>68</v>
      </c>
      <c r="Q281" s="131" t="str">
        <f>IF(Update!C267="",ROW(Update!N282),Update!C267)</f>
        <v>PG</v>
      </c>
      <c r="R281" s="127">
        <f>VLOOKUP($O281,'NO USAR1'!$A$4:$L$403,2,False)+VLOOKUP($O281,'NO USAR1'!$A$4:$L$403,3,False)+VLOOKUP($O281,'NO USAR1'!$A$4:$L$403,4,False)+VLOOKUP($O281,'NO USAR1'!$A$4:$L$403,5,False)+VLOOKUP($O281,'NO USAR1'!$A$4:$L$403,6,False)+VLOOKUP($O281,'NO USAR1'!$A$4:$L$403,7,False)+VLOOKUP($O281,'NO USAR1'!$A$4:$L$403,8,False)+VLOOKUP($O281,'NO USAR1'!$A$4:$L$403,10,False)+VLOOKUP($O281,'NO USAR1'!$A$4:$L$403,12,False)*0</f>
        <v>-6.939270363</v>
      </c>
      <c r="S281" s="127">
        <f>VLOOKUP($O281,'NO USAR1'!$A$4:$L$403,2,False)*$U$19+VLOOKUP($O281,'NO USAR1'!$A$4:$L$403,3,False)*$V$19+VLOOKUP($O281,'NO USAR1'!$A$4:$L$403,4,False)*$W$19+VLOOKUP($O281,'NO USAR1'!$A$4:$L$403,5,False)*$X$19+VLOOKUP($O281,'NO USAR1'!$A$4:$L$403,6,False)*$Y$19+VLOOKUP($O281,'NO USAR1'!$A$4:$L$403,7,False)*$Z$19+VLOOKUP($O281,'NO USAR1'!$A$4:$L$403,8,False)*$AA$19+VLOOKUP($O281,'NO USAR1'!$A$4:$L$403,10,False)*$AB$19+VLOOKUP($O281,'NO USAR1'!$A$4:$L$403,12,False)*$AC$19+IF(Projections!$K$3,-AN281, IF(Projections!$J$3,-AM281,0))</f>
        <v>-4.234865779</v>
      </c>
      <c r="T281" s="127">
        <f t="shared" si="1"/>
        <v>2.704404584</v>
      </c>
      <c r="U281" s="127">
        <f>VLOOKUP($O281,Update!$B$2:$R$401,11,False)</f>
        <v>8.3</v>
      </c>
      <c r="V281" s="122">
        <f>VLOOKUP($O281,Update!$B$2:$R$401,10,False)</f>
        <v>1</v>
      </c>
      <c r="W281" s="127">
        <f>VLOOKUP($O281,Update!$B$2:$R$401,12,False)</f>
        <v>2.1</v>
      </c>
      <c r="X281" s="127">
        <f>VLOOKUP($O281,Update!$B$2:$R$401,13,False)</f>
        <v>3.7</v>
      </c>
      <c r="Y281" s="127">
        <f>VLOOKUP($O281,Update!$B$2:$R$401,14,False)</f>
        <v>0.5</v>
      </c>
      <c r="Z281" s="132">
        <f>VLOOKUP($O281,Update!$B$2:$R$401,15,False)</f>
        <v>0.2</v>
      </c>
      <c r="AA281" s="127">
        <f>100*VLOOKUP($O281,Update!$B$2:$R$401,7,False)</f>
        <v>41.55844156</v>
      </c>
      <c r="AB281" s="127">
        <f>100*VLOOKUP($O281,Update!$B$2:$R$401,9,False)</f>
        <v>81.81818182</v>
      </c>
      <c r="AC281" s="127">
        <f>VLOOKUP($O281,Update!$B$2:$Q$401,16,False)</f>
        <v>1.4</v>
      </c>
      <c r="AD281" s="127">
        <f>VLOOKUP($O281,'NO USAR1'!$A$4:$L$403,2,False)*$U$19</f>
        <v>-1.509434583</v>
      </c>
      <c r="AE281" s="127">
        <f>VLOOKUP($O281,'NO USAR1'!$A$4:$L$403,3,False)*$V$19</f>
        <v>-0.5590090247</v>
      </c>
      <c r="AF281" s="127">
        <f>VLOOKUP($O281,'NO USAR1'!$A$4:$L$403,4,False)*$W$19</f>
        <v>-1.67066341</v>
      </c>
      <c r="AG281" s="127">
        <f>VLOOKUP($O281,'NO USAR1'!$A$4:$L$403,5,False)*$X$19</f>
        <v>-0.07344354314</v>
      </c>
      <c r="AH281" s="127">
        <f>VLOOKUP($O281,'NO USAR1'!$A$4:$L$403,6,False)*$Y$19</f>
        <v>-1.078620176</v>
      </c>
      <c r="AI281" s="127">
        <f>VLOOKUP($O281,'NO USAR1'!$A$4:$L$403,7,False)*$Z$19</f>
        <v>-0.6583300762</v>
      </c>
      <c r="AJ281" s="127">
        <f>VLOOKUP($O281,'NO USAR1'!$A$4:$L$403,8,False)*$AA$19</f>
        <v>-0.6183774629</v>
      </c>
      <c r="AK281" s="132">
        <f>VLOOKUP($O281,'NO USAR1'!$A$4:$L$403,10,False)*$AB$19</f>
        <v>0.07772735943</v>
      </c>
      <c r="AL281" s="127">
        <f>VLOOKUP($O281,'NO USAR1'!$A$4:$L$403,12,False)*$AC$19</f>
        <v>0.1846217277</v>
      </c>
      <c r="AM281" s="133">
        <f t="shared" si="2"/>
        <v>-1.67066341</v>
      </c>
      <c r="AN281" s="133">
        <f t="shared" si="3"/>
        <v>-3.180097993</v>
      </c>
    </row>
    <row r="282">
      <c r="A282" s="118" t="str">
        <f>IF(Update!B280="",ROW(Update!B280),Update!B280)</f>
        <v>Cason Wallace</v>
      </c>
      <c r="B282" s="119">
        <f>IF(TYPE($A282)=1,"",(Update!$L280-B$1)/B$2)</f>
        <v>-1.661108322</v>
      </c>
      <c r="C282" s="119">
        <f>IF(TYPE($A282)=1,"",(Update!$K280-C$1)/C$2)</f>
        <v>-0.8138164245</v>
      </c>
      <c r="D282" s="119">
        <f>IF(TYPE($A282)=1,"",(Update!$M280-D$1)/D$2)</f>
        <v>-1.79610952</v>
      </c>
      <c r="E282" s="119">
        <f>IF(TYPE($A282)=1,"",(Update!$N280-E$1)/E$2)</f>
        <v>-0.5304255893</v>
      </c>
      <c r="F282" s="119">
        <f>IF(TYPE($A282)=1,"",(Update!$O280-F$1)/F$2)</f>
        <v>-0.9178862491</v>
      </c>
      <c r="G282" s="119">
        <f>IF(TYPE($A282)=1,"",(Update!$P280-G$1)/G$2)</f>
        <v>-0.9404715375</v>
      </c>
      <c r="H282" s="119">
        <f>IF(TYPE($A282)=1,"",(Update!$H280-H$1)/H$2*I282/$I$1)</f>
        <v>-0.4145259119</v>
      </c>
      <c r="I282" s="119">
        <f>IF(TYPE($A282)=1,"",IF(Update!H280=0,0,Update!G280/Update!H280))</f>
        <v>6.6</v>
      </c>
      <c r="J282" s="120">
        <f>IF(TYPE($A282)=1,"",(Update!$J280-J$1)/J$2*K282/$K$1)</f>
        <v>0.09715919929</v>
      </c>
      <c r="K282" s="121">
        <f>IF(TYPE($A282)=1,"",IF(Update!J280=0,0,Update!I280/Update!J280))</f>
        <v>1.1</v>
      </c>
      <c r="L282" s="119">
        <f>IF(TYPE($A282)=1,"",-(Update!$Q280-L$1)/L$2)</f>
        <v>1.111041967</v>
      </c>
      <c r="N282" s="124">
        <v>262.0</v>
      </c>
      <c r="O282" s="130" t="str">
        <f>IF(Update!B280="",ROW(Update!B280),Update!B280)</f>
        <v>Cason Wallace</v>
      </c>
      <c r="P282" s="131">
        <f>Update!E280</f>
        <v>66</v>
      </c>
      <c r="Q282" s="131" t="str">
        <f>IF(Update!C280="",ROW(Update!N295),Update!C280)</f>
        <v>SG</v>
      </c>
      <c r="R282" s="127">
        <f>VLOOKUP($O282,'NO USAR1'!$A$4:$L$403,2,False)+VLOOKUP($O282,'NO USAR1'!$A$4:$L$403,3,False)+VLOOKUP($O282,'NO USAR1'!$A$4:$L$403,4,False)+VLOOKUP($O282,'NO USAR1'!$A$4:$L$403,5,False)+VLOOKUP($O282,'NO USAR1'!$A$4:$L$403,6,False)+VLOOKUP($O282,'NO USAR1'!$A$4:$L$403,7,False)+VLOOKUP($O282,'NO USAR1'!$A$4:$L$403,8,False)+VLOOKUP($O282,'NO USAR1'!$A$4:$L$403,10,False)+VLOOKUP($O282,'NO USAR1'!$A$4:$L$403,12,False)*0</f>
        <v>-6.977184355</v>
      </c>
      <c r="S282" s="127">
        <f>VLOOKUP($O282,'NO USAR1'!$A$4:$L$403,2,False)*$U$19+VLOOKUP($O282,'NO USAR1'!$A$4:$L$403,3,False)*$V$19+VLOOKUP($O282,'NO USAR1'!$A$4:$L$403,4,False)*$W$19+VLOOKUP($O282,'NO USAR1'!$A$4:$L$403,5,False)*$X$19+VLOOKUP($O282,'NO USAR1'!$A$4:$L$403,6,False)*$Y$19+VLOOKUP($O282,'NO USAR1'!$A$4:$L$403,7,False)*$Z$19+VLOOKUP($O282,'NO USAR1'!$A$4:$L$403,8,False)*$AA$19+VLOOKUP($O282,'NO USAR1'!$A$4:$L$403,10,False)*$AB$19+VLOOKUP($O282,'NO USAR1'!$A$4:$L$403,12,False)*$AC$19+IF(Projections!$K$3,-AN282, IF(Projections!$J$3,-AM282,0))</f>
        <v>-4.295447173</v>
      </c>
      <c r="T282" s="127">
        <f t="shared" si="1"/>
        <v>2.681737182</v>
      </c>
      <c r="U282" s="127">
        <f>VLOOKUP($O282,Update!$B$2:$R$401,11,False)</f>
        <v>7.4</v>
      </c>
      <c r="V282" s="122">
        <f>VLOOKUP($O282,Update!$B$2:$R$401,10,False)</f>
        <v>0.8</v>
      </c>
      <c r="W282" s="127">
        <f>VLOOKUP($O282,Update!$B$2:$R$401,12,False)</f>
        <v>1.8</v>
      </c>
      <c r="X282" s="127">
        <f>VLOOKUP($O282,Update!$B$2:$R$401,13,False)</f>
        <v>2.7</v>
      </c>
      <c r="Y282" s="127">
        <f>VLOOKUP($O282,Update!$B$2:$R$401,14,False)</f>
        <v>0.7</v>
      </c>
      <c r="Z282" s="132">
        <f>VLOOKUP($O282,Update!$B$2:$R$401,15,False)</f>
        <v>0.2</v>
      </c>
      <c r="AA282" s="127">
        <f>100*VLOOKUP($O282,Update!$B$2:$R$401,7,False)</f>
        <v>43.93939394</v>
      </c>
      <c r="AB282" s="127">
        <f>100*VLOOKUP($O282,Update!$B$2:$R$401,9,False)</f>
        <v>81.81818182</v>
      </c>
      <c r="AC282" s="127">
        <f>VLOOKUP($O282,Update!$B$2:$Q$401,16,False)</f>
        <v>1.1</v>
      </c>
      <c r="AD282" s="127">
        <f>VLOOKUP($O282,'NO USAR1'!$A$4:$L$403,2,False)*$U$19</f>
        <v>-1.661108322</v>
      </c>
      <c r="AE282" s="127">
        <f>VLOOKUP($O282,'NO USAR1'!$A$4:$L$403,3,False)*$V$19</f>
        <v>-0.7324347821</v>
      </c>
      <c r="AF282" s="127">
        <f>VLOOKUP($O282,'NO USAR1'!$A$4:$L$403,4,False)*$W$19</f>
        <v>-1.79610952</v>
      </c>
      <c r="AG282" s="127">
        <f>VLOOKUP($O282,'NO USAR1'!$A$4:$L$403,5,False)*$X$19</f>
        <v>-0.5834681483</v>
      </c>
      <c r="AH282" s="127">
        <f>VLOOKUP($O282,'NO USAR1'!$A$4:$L$403,6,False)*$Y$19</f>
        <v>-0.6425203744</v>
      </c>
      <c r="AI282" s="127">
        <f>VLOOKUP($O282,'NO USAR1'!$A$4:$L$403,7,False)*$Z$19</f>
        <v>-0.6583300762</v>
      </c>
      <c r="AJ282" s="127">
        <f>VLOOKUP($O282,'NO USAR1'!$A$4:$L$403,8,False)*$AA$19</f>
        <v>-0.3730733207</v>
      </c>
      <c r="AK282" s="132">
        <f>VLOOKUP($O282,'NO USAR1'!$A$4:$L$403,10,False)*$AB$19</f>
        <v>0.07772735943</v>
      </c>
      <c r="AL282" s="127">
        <f>VLOOKUP($O282,'NO USAR1'!$A$4:$L$403,12,False)*$AC$19</f>
        <v>0.2777604917</v>
      </c>
      <c r="AM282" s="133">
        <f t="shared" si="2"/>
        <v>-1.79610952</v>
      </c>
      <c r="AN282" s="133">
        <f t="shared" si="3"/>
        <v>-3.457217842</v>
      </c>
    </row>
    <row r="283">
      <c r="A283" s="118" t="str">
        <f>IF(Update!B281="",ROW(Update!B281),Update!B281)</f>
        <v>Georges Niang</v>
      </c>
      <c r="B283" s="119">
        <f>IF(TYPE($A283)=1,"",(Update!$L281-B$1)/B$2)</f>
        <v>-1.610550409</v>
      </c>
      <c r="C283" s="119">
        <f>IF(TYPE($A283)=1,"",(Update!$K281-C$1)/C$2)</f>
        <v>0.1496600055</v>
      </c>
      <c r="D283" s="119">
        <f>IF(TYPE($A283)=1,"",(Update!$M281-D$1)/D$2)</f>
        <v>-1.62884804</v>
      </c>
      <c r="E283" s="119">
        <f>IF(TYPE($A283)=1,"",(Update!$N281-E$1)/E$2)</f>
        <v>-1.318645434</v>
      </c>
      <c r="F283" s="119">
        <f>IF(TYPE($A283)=1,"",(Update!$O281-F$1)/F$2)</f>
        <v>-2.163885682</v>
      </c>
      <c r="G283" s="119">
        <f>IF(TYPE($A283)=1,"",(Update!$P281-G$1)/G$2)</f>
        <v>-0.9404715375</v>
      </c>
      <c r="H283" s="119">
        <f>IF(TYPE($A283)=1,"",(Update!$H281-H$1)/H$2*I283/$I$1)</f>
        <v>-0.3612617513</v>
      </c>
      <c r="I283" s="119">
        <f>IF(TYPE($A283)=1,"",IF(Update!H281=0,0,Update!G281/Update!H281))</f>
        <v>6.1</v>
      </c>
      <c r="J283" s="120">
        <f>IF(TYPE($A283)=1,"",(Update!$J281-J$1)/J$2*K283/$K$1)</f>
        <v>0.0812827863</v>
      </c>
      <c r="K283" s="121">
        <f>IF(TYPE($A283)=1,"",IF(Update!J281=0,0,Update!I281/Update!J281))</f>
        <v>0.6</v>
      </c>
      <c r="L283" s="119">
        <f>IF(TYPE($A283)=1,"",-(Update!$Q281-L$1)/L$2)</f>
        <v>1.607782042</v>
      </c>
      <c r="N283" s="124">
        <v>263.0</v>
      </c>
      <c r="O283" s="130" t="str">
        <f>IF(Update!B259="",ROW(Update!B259),Update!B259)</f>
        <v>Malaki Branham</v>
      </c>
      <c r="P283" s="131">
        <f>Update!E259</f>
        <v>70</v>
      </c>
      <c r="Q283" s="131" t="str">
        <f>IF(Update!C259="",ROW(Update!N274),Update!C259)</f>
        <v>PG,SG,SF</v>
      </c>
      <c r="R283" s="127">
        <f>VLOOKUP($O283,'NO USAR1'!$A$4:$L$403,2,False)+VLOOKUP($O283,'NO USAR1'!$A$4:$L$403,3,False)+VLOOKUP($O283,'NO USAR1'!$A$4:$L$403,4,False)+VLOOKUP($O283,'NO USAR1'!$A$4:$L$403,5,False)+VLOOKUP($O283,'NO USAR1'!$A$4:$L$403,6,False)+VLOOKUP($O283,'NO USAR1'!$A$4:$L$403,7,False)+VLOOKUP($O283,'NO USAR1'!$A$4:$L$403,8,False)+VLOOKUP($O283,'NO USAR1'!$A$4:$L$403,10,False)+VLOOKUP($O283,'NO USAR1'!$A$4:$L$403,12,False)*0</f>
        <v>-6.994963162</v>
      </c>
      <c r="S283" s="127">
        <f>VLOOKUP($O283,'NO USAR1'!$A$4:$L$403,2,False)*$U$19+VLOOKUP($O283,'NO USAR1'!$A$4:$L$403,3,False)*$V$19+VLOOKUP($O283,'NO USAR1'!$A$4:$L$403,4,False)*$W$19+VLOOKUP($O283,'NO USAR1'!$A$4:$L$403,5,False)*$X$19+VLOOKUP($O283,'NO USAR1'!$A$4:$L$403,6,False)*$Y$19+VLOOKUP($O283,'NO USAR1'!$A$4:$L$403,7,False)*$Z$19+VLOOKUP($O283,'NO USAR1'!$A$4:$L$403,8,False)*$AA$19+VLOOKUP($O283,'NO USAR1'!$A$4:$L$403,10,False)*$AB$19+VLOOKUP($O283,'NO USAR1'!$A$4:$L$403,12,False)*$AC$19+IF(Projections!$K$3,-AN283, IF(Projections!$J$3,-AM283,0))</f>
        <v>-4.569382973</v>
      </c>
      <c r="T283" s="127">
        <f t="shared" si="1"/>
        <v>2.425580189</v>
      </c>
      <c r="U283" s="127">
        <f>VLOOKUP($O283,Update!$B$2:$R$401,11,False)</f>
        <v>10.5</v>
      </c>
      <c r="V283" s="122">
        <f>VLOOKUP($O283,Update!$B$2:$R$401,10,False)</f>
        <v>1.2</v>
      </c>
      <c r="W283" s="127">
        <f>VLOOKUP($O283,Update!$B$2:$R$401,12,False)</f>
        <v>2.8</v>
      </c>
      <c r="X283" s="127">
        <f>VLOOKUP($O283,Update!$B$2:$R$401,13,False)</f>
        <v>2</v>
      </c>
      <c r="Y283" s="127">
        <f>VLOOKUP($O283,Update!$B$2:$R$401,14,False)</f>
        <v>0.5</v>
      </c>
      <c r="Z283" s="132">
        <f>VLOOKUP($O283,Update!$B$2:$R$401,15,False)</f>
        <v>0.1</v>
      </c>
      <c r="AA283" s="127">
        <f>100*VLOOKUP($O283,Update!$B$2:$R$401,7,False)</f>
        <v>43.75</v>
      </c>
      <c r="AB283" s="127">
        <f>100*VLOOKUP($O283,Update!$B$2:$R$401,9,False)</f>
        <v>81.81818182</v>
      </c>
      <c r="AC283" s="127">
        <f>VLOOKUP($O283,Update!$B$2:$Q$401,16,False)</f>
        <v>1.2</v>
      </c>
      <c r="AD283" s="127">
        <f>VLOOKUP($O283,'NO USAR1'!$A$4:$L$403,2,False)*$U$19</f>
        <v>-1.138676554</v>
      </c>
      <c r="AE283" s="127">
        <f>VLOOKUP($O283,'NO USAR1'!$A$4:$L$403,3,False)*$V$19</f>
        <v>-0.3855832673</v>
      </c>
      <c r="AF283" s="127">
        <f>VLOOKUP($O283,'NO USAR1'!$A$4:$L$403,4,False)*$W$19</f>
        <v>-1.377955821</v>
      </c>
      <c r="AG283" s="127">
        <f>VLOOKUP($O283,'NO USAR1'!$A$4:$L$403,5,False)*$X$19</f>
        <v>-0.9404853718</v>
      </c>
      <c r="AH283" s="127">
        <f>VLOOKUP($O283,'NO USAR1'!$A$4:$L$403,6,False)*$Y$19</f>
        <v>-1.078620176</v>
      </c>
      <c r="AI283" s="127">
        <f>VLOOKUP($O283,'NO USAR1'!$A$4:$L$403,7,False)*$Z$19</f>
        <v>-0.7896459159</v>
      </c>
      <c r="AJ283" s="127">
        <f>VLOOKUP($O283,'NO USAR1'!$A$4:$L$403,8,False)*$AA$19</f>
        <v>-0.5608132853</v>
      </c>
      <c r="AK283" s="132">
        <f>VLOOKUP($O283,'NO USAR1'!$A$4:$L$403,10,False)*$AB$19</f>
        <v>0.07772735943</v>
      </c>
      <c r="AL283" s="127">
        <f>VLOOKUP($O283,'NO USAR1'!$A$4:$L$403,12,False)*$AC$19</f>
        <v>0.2467142371</v>
      </c>
      <c r="AM283" s="133">
        <f t="shared" si="2"/>
        <v>-1.377955821</v>
      </c>
      <c r="AN283" s="133">
        <f t="shared" si="3"/>
        <v>-2.516632375</v>
      </c>
    </row>
    <row r="284">
      <c r="A284" s="118" t="str">
        <f>IF(Update!B282="",ROW(Update!B282),Update!B282)</f>
        <v>T.J. McConnell</v>
      </c>
      <c r="B284" s="119">
        <f>IF(TYPE($A284)=1,"",(Update!$L282-B$1)/B$2)</f>
        <v>-2.082424265</v>
      </c>
      <c r="C284" s="119">
        <f>IF(TYPE($A284)=1,"",(Update!$K282-C$1)/C$2)</f>
        <v>-1.391902282</v>
      </c>
      <c r="D284" s="119">
        <f>IF(TYPE($A284)=1,"",(Update!$M282-D$1)/D$2)</f>
        <v>-1.79610952</v>
      </c>
      <c r="E284" s="119">
        <f>IF(TYPE($A284)=1,"",(Update!$N282-E$1)/E$2)</f>
        <v>-0.3913279697</v>
      </c>
      <c r="F284" s="119">
        <f>IF(TYPE($A284)=1,"",(Update!$O282-F$1)/F$2)</f>
        <v>-1.229386107</v>
      </c>
      <c r="G284" s="119">
        <f>IF(TYPE($A284)=1,"",(Update!$P282-G$1)/G$2)</f>
        <v>-1.128065594</v>
      </c>
      <c r="H284" s="119">
        <f>IF(TYPE($A284)=1,"",(Update!$H282-H$1)/H$2*I284/$I$1)</f>
        <v>0.184749901</v>
      </c>
      <c r="I284" s="119">
        <f>IF(TYPE($A284)=1,"",IF(Update!H282=0,0,Update!G282/Update!H282))</f>
        <v>4.1</v>
      </c>
      <c r="J284" s="120">
        <f>IF(TYPE($A284)=1,"",(Update!$J282-J$1)/J$2*K284/$K$1)</f>
        <v>0.01587641299</v>
      </c>
      <c r="K284" s="121">
        <f>IF(TYPE($A284)=1,"",IF(Update!J282=0,0,Update!I282/Update!J282))</f>
        <v>0.5</v>
      </c>
      <c r="L284" s="119">
        <f>IF(TYPE($A284)=1,"",-(Update!$Q282-L$1)/L$2)</f>
        <v>1.235226986</v>
      </c>
      <c r="N284" s="33">
        <v>264.0</v>
      </c>
      <c r="O284" s="130" t="str">
        <f>IF(Update!B284="",ROW(Update!B284),Update!B284)</f>
        <v>Alec Burks</v>
      </c>
      <c r="P284" s="131">
        <f>Update!E284</f>
        <v>64</v>
      </c>
      <c r="Q284" s="131" t="str">
        <f>IF(Update!C284="",ROW(Update!N299),Update!C284)</f>
        <v>PG,SG,SF</v>
      </c>
      <c r="R284" s="127">
        <f>VLOOKUP($O284,'NO USAR1'!$A$4:$L$403,2,False)+VLOOKUP($O284,'NO USAR1'!$A$4:$L$403,3,False)+VLOOKUP($O284,'NO USAR1'!$A$4:$L$403,4,False)+VLOOKUP($O284,'NO USAR1'!$A$4:$L$403,5,False)+VLOOKUP($O284,'NO USAR1'!$A$4:$L$403,6,False)+VLOOKUP($O284,'NO USAR1'!$A$4:$L$403,7,False)+VLOOKUP($O284,'NO USAR1'!$A$4:$L$403,8,False)+VLOOKUP($O284,'NO USAR1'!$A$4:$L$403,10,False)+VLOOKUP($O284,'NO USAR1'!$A$4:$L$403,12,False)*0</f>
        <v>-7.051300496</v>
      </c>
      <c r="S284" s="127">
        <f>VLOOKUP($O284,'NO USAR1'!$A$4:$L$403,2,False)*$U$19+VLOOKUP($O284,'NO USAR1'!$A$4:$L$403,3,False)*$V$19+VLOOKUP($O284,'NO USAR1'!$A$4:$L$403,4,False)*$W$19+VLOOKUP($O284,'NO USAR1'!$A$4:$L$403,5,False)*$X$19+VLOOKUP($O284,'NO USAR1'!$A$4:$L$403,6,False)*$Y$19+VLOOKUP($O284,'NO USAR1'!$A$4:$L$403,7,False)*$Z$19+VLOOKUP($O284,'NO USAR1'!$A$4:$L$403,8,False)*$AA$19+VLOOKUP($O284,'NO USAR1'!$A$4:$L$403,10,False)*$AB$19+VLOOKUP($O284,'NO USAR1'!$A$4:$L$403,12,False)*$AC$19+IF(Projections!$K$3,-AN284, IF(Projections!$J$3,-AM284,0))</f>
        <v>-4.365650137</v>
      </c>
      <c r="T284" s="127">
        <f t="shared" si="1"/>
        <v>2.685650358</v>
      </c>
      <c r="U284" s="127">
        <f>VLOOKUP($O284,Update!$B$2:$R$401,11,False)</f>
        <v>7.1</v>
      </c>
      <c r="V284" s="122">
        <f>VLOOKUP($O284,Update!$B$2:$R$401,10,False)</f>
        <v>1.1</v>
      </c>
      <c r="W284" s="127">
        <f>VLOOKUP($O284,Update!$B$2:$R$401,12,False)</f>
        <v>2.5</v>
      </c>
      <c r="X284" s="127">
        <f>VLOOKUP($O284,Update!$B$2:$R$401,13,False)</f>
        <v>1.6</v>
      </c>
      <c r="Y284" s="127">
        <f>VLOOKUP($O284,Update!$B$2:$R$401,14,False)</f>
        <v>0.6</v>
      </c>
      <c r="Z284" s="132">
        <f>VLOOKUP($O284,Update!$B$2:$R$401,15,False)</f>
        <v>0.2</v>
      </c>
      <c r="AA284" s="127">
        <f>100*VLOOKUP($O284,Update!$B$2:$R$401,7,False)</f>
        <v>41.50943396</v>
      </c>
      <c r="AB284" s="127">
        <f>100*VLOOKUP($O284,Update!$B$2:$R$401,9,False)</f>
        <v>85</v>
      </c>
      <c r="AC284" s="127">
        <f>VLOOKUP($O284,Update!$B$2:$Q$401,16,False)</f>
        <v>0.7</v>
      </c>
      <c r="AD284" s="127">
        <f>VLOOKUP($O284,'NO USAR1'!$A$4:$L$403,2,False)*$U$19</f>
        <v>-1.711666235</v>
      </c>
      <c r="AE284" s="127">
        <f>VLOOKUP($O284,'NO USAR1'!$A$4:$L$403,3,False)*$V$19</f>
        <v>-0.472296146</v>
      </c>
      <c r="AF284" s="127">
        <f>VLOOKUP($O284,'NO USAR1'!$A$4:$L$403,4,False)*$W$19</f>
        <v>-1.503401931</v>
      </c>
      <c r="AG284" s="127">
        <f>VLOOKUP($O284,'NO USAR1'!$A$4:$L$403,5,False)*$X$19</f>
        <v>-1.144495214</v>
      </c>
      <c r="AH284" s="127">
        <f>VLOOKUP($O284,'NO USAR1'!$A$4:$L$403,6,False)*$Y$19</f>
        <v>-0.8605702752</v>
      </c>
      <c r="AI284" s="127">
        <f>VLOOKUP($O284,'NO USAR1'!$A$4:$L$403,7,False)*$Z$19</f>
        <v>-0.6583300762</v>
      </c>
      <c r="AJ284" s="127">
        <f>VLOOKUP($O284,'NO USAR1'!$A$4:$L$403,8,False)*$AA$19</f>
        <v>-0.4282308901</v>
      </c>
      <c r="AK284" s="132">
        <f>VLOOKUP($O284,'NO USAR1'!$A$4:$L$403,10,False)*$AB$19</f>
        <v>0.2997288844</v>
      </c>
      <c r="AL284" s="127">
        <f>VLOOKUP($O284,'NO USAR1'!$A$4:$L$403,12,False)*$AC$19</f>
        <v>0.4019455104</v>
      </c>
      <c r="AM284" s="133">
        <f t="shared" si="2"/>
        <v>-1.711666235</v>
      </c>
      <c r="AN284" s="133">
        <f t="shared" si="3"/>
        <v>-3.215068166</v>
      </c>
    </row>
    <row r="285">
      <c r="A285" s="118" t="str">
        <f>IF(Update!B283="",ROW(Update!B283),Update!B283)</f>
        <v>Trey Lyles</v>
      </c>
      <c r="B285" s="119">
        <f>IF(TYPE($A285)=1,"",(Update!$L283-B$1)/B$2)</f>
        <v>-1.694813598</v>
      </c>
      <c r="C285" s="119">
        <f>IF(TYPE($A285)=1,"",(Update!$K283-C$1)/C$2)</f>
        <v>-0.8138164245</v>
      </c>
      <c r="D285" s="119">
        <f>IF(TYPE($A285)=1,"",(Update!$M283-D$1)/D$2)</f>
        <v>-1.001617493</v>
      </c>
      <c r="E285" s="119">
        <f>IF(TYPE($A285)=1,"",(Update!$N283-E$1)/E$2)</f>
        <v>-1.41137718</v>
      </c>
      <c r="F285" s="119">
        <f>IF(TYPE($A285)=1,"",(Update!$O283-F$1)/F$2)</f>
        <v>-2.163885682</v>
      </c>
      <c r="G285" s="119">
        <f>IF(TYPE($A285)=1,"",(Update!$P283-G$1)/G$2)</f>
        <v>-0.7528774808</v>
      </c>
      <c r="H285" s="119">
        <f>IF(TYPE($A285)=1,"",(Update!$H283-H$1)/H$2*I285/$I$1)</f>
        <v>-0.1987952602</v>
      </c>
      <c r="I285" s="119">
        <f>IF(TYPE($A285)=1,"",IF(Update!H283=0,0,Update!G283/Update!H283))</f>
        <v>5.2</v>
      </c>
      <c r="J285" s="120">
        <f>IF(TYPE($A285)=1,"",(Update!$J283-J$1)/J$2*K285/$K$1)</f>
        <v>0.06350565196</v>
      </c>
      <c r="K285" s="121">
        <f>IF(TYPE($A285)=1,"",IF(Update!J283=0,0,Update!I283/Update!J283))</f>
        <v>2</v>
      </c>
      <c r="L285" s="119">
        <f>IF(TYPE($A285)=1,"",-(Update!$Q283-L$1)/L$2)</f>
        <v>1.607782042</v>
      </c>
      <c r="N285" s="33">
        <v>265.0</v>
      </c>
      <c r="O285" s="130" t="str">
        <f>IF(Update!B269="",ROW(Update!B269),Update!B269)</f>
        <v>Troy Brown Jr.</v>
      </c>
      <c r="P285" s="131">
        <f>Update!E269</f>
        <v>60</v>
      </c>
      <c r="Q285" s="131" t="str">
        <f>IF(Update!C269="",ROW(Update!N284),Update!C269)</f>
        <v>SF,PF</v>
      </c>
      <c r="R285" s="127">
        <f>VLOOKUP($O285,'NO USAR1'!$A$4:$L$403,2,False)+VLOOKUP($O285,'NO USAR1'!$A$4:$L$403,3,False)+VLOOKUP($O285,'NO USAR1'!$A$4:$L$403,4,False)+VLOOKUP($O285,'NO USAR1'!$A$4:$L$403,5,False)+VLOOKUP($O285,'NO USAR1'!$A$4:$L$403,6,False)+VLOOKUP($O285,'NO USAR1'!$A$4:$L$403,7,False)+VLOOKUP($O285,'NO USAR1'!$A$4:$L$403,8,False)+VLOOKUP($O285,'NO USAR1'!$A$4:$L$403,10,False)+VLOOKUP($O285,'NO USAR1'!$A$4:$L$403,12,False)*0</f>
        <v>-7.094042428</v>
      </c>
      <c r="S285" s="127">
        <f>VLOOKUP($O285,'NO USAR1'!$A$4:$L$403,2,False)*$U$19+VLOOKUP($O285,'NO USAR1'!$A$4:$L$403,3,False)*$V$19+VLOOKUP($O285,'NO USAR1'!$A$4:$L$403,4,False)*$W$19+VLOOKUP($O285,'NO USAR1'!$A$4:$L$403,5,False)*$X$19+VLOOKUP($O285,'NO USAR1'!$A$4:$L$403,6,False)*$Y$19+VLOOKUP($O285,'NO USAR1'!$A$4:$L$403,7,False)*$Z$19+VLOOKUP($O285,'NO USAR1'!$A$4:$L$403,8,False)*$AA$19+VLOOKUP($O285,'NO USAR1'!$A$4:$L$403,10,False)*$AB$19+VLOOKUP($O285,'NO USAR1'!$A$4:$L$403,12,False)*$AC$19+IF(Projections!$K$3,-AN285, IF(Projections!$J$3,-AM285,0))</f>
        <v>-4.160654138</v>
      </c>
      <c r="T285" s="127">
        <f t="shared" si="1"/>
        <v>2.93338829</v>
      </c>
      <c r="U285" s="127">
        <f>VLOOKUP($O285,Update!$B$2:$R$401,11,False)</f>
        <v>5.7</v>
      </c>
      <c r="V285" s="122">
        <f>VLOOKUP($O285,Update!$B$2:$R$401,10,False)</f>
        <v>1.1</v>
      </c>
      <c r="W285" s="127">
        <f>VLOOKUP($O285,Update!$B$2:$R$401,12,False)</f>
        <v>3.5</v>
      </c>
      <c r="X285" s="127">
        <f>VLOOKUP($O285,Update!$B$2:$R$401,13,False)</f>
        <v>1.1</v>
      </c>
      <c r="Y285" s="127">
        <f>VLOOKUP($O285,Update!$B$2:$R$401,14,False)</f>
        <v>0.7</v>
      </c>
      <c r="Z285" s="132">
        <f>VLOOKUP($O285,Update!$B$2:$R$401,15,False)</f>
        <v>0.2</v>
      </c>
      <c r="AA285" s="127">
        <f>100*VLOOKUP($O285,Update!$B$2:$R$401,7,False)</f>
        <v>42</v>
      </c>
      <c r="AB285" s="127">
        <f>100*VLOOKUP($O285,Update!$B$2:$R$401,9,False)</f>
        <v>80</v>
      </c>
      <c r="AC285" s="127">
        <f>VLOOKUP($O285,Update!$B$2:$Q$401,16,False)</f>
        <v>0.5</v>
      </c>
      <c r="AD285" s="127">
        <f>VLOOKUP($O285,'NO USAR1'!$A$4:$L$403,2,False)*$U$19</f>
        <v>-1.947603163</v>
      </c>
      <c r="AE285" s="127">
        <f>VLOOKUP($O285,'NO USAR1'!$A$4:$L$403,3,False)*$V$19</f>
        <v>-0.472296146</v>
      </c>
      <c r="AF285" s="127">
        <f>VLOOKUP($O285,'NO USAR1'!$A$4:$L$403,4,False)*$W$19</f>
        <v>-1.085248232</v>
      </c>
      <c r="AG285" s="127">
        <f>VLOOKUP($O285,'NO USAR1'!$A$4:$L$403,5,False)*$X$19</f>
        <v>-1.399507516</v>
      </c>
      <c r="AH285" s="127">
        <f>VLOOKUP($O285,'NO USAR1'!$A$4:$L$403,6,False)*$Y$19</f>
        <v>-0.6425203744</v>
      </c>
      <c r="AI285" s="127">
        <f>VLOOKUP($O285,'NO USAR1'!$A$4:$L$403,7,False)*$Z$19</f>
        <v>-0.6583300762</v>
      </c>
      <c r="AJ285" s="127">
        <f>VLOOKUP($O285,'NO USAR1'!$A$4:$L$403,8,False)*$AA$19</f>
        <v>-0.3794909428</v>
      </c>
      <c r="AK285" s="132">
        <f>VLOOKUP($O285,'NO USAR1'!$A$4:$L$403,10,False)*$AB$19</f>
        <v>0.01270113039</v>
      </c>
      <c r="AL285" s="127">
        <f>VLOOKUP($O285,'NO USAR1'!$A$4:$L$403,12,False)*$AC$19</f>
        <v>0.4640380197</v>
      </c>
      <c r="AM285" s="133">
        <f t="shared" si="2"/>
        <v>-1.947603163</v>
      </c>
      <c r="AN285" s="133">
        <f t="shared" si="3"/>
        <v>-3.347110679</v>
      </c>
    </row>
    <row r="286">
      <c r="A286" s="118" t="str">
        <f>IF(Update!B284="",ROW(Update!B284),Update!B284)</f>
        <v>Alec Burks</v>
      </c>
      <c r="B286" s="119">
        <f>IF(TYPE($A286)=1,"",(Update!$L284-B$1)/B$2)</f>
        <v>-1.711666235</v>
      </c>
      <c r="C286" s="119">
        <f>IF(TYPE($A286)=1,"",(Update!$K284-C$1)/C$2)</f>
        <v>-0.5247734955</v>
      </c>
      <c r="D286" s="119">
        <f>IF(TYPE($A286)=1,"",(Update!$M284-D$1)/D$2)</f>
        <v>-1.503401931</v>
      </c>
      <c r="E286" s="119">
        <f>IF(TYPE($A286)=1,"",(Update!$N284-E$1)/E$2)</f>
        <v>-1.040450194</v>
      </c>
      <c r="F286" s="119">
        <f>IF(TYPE($A286)=1,"",(Update!$O284-F$1)/F$2)</f>
        <v>-1.229386107</v>
      </c>
      <c r="G286" s="119">
        <f>IF(TYPE($A286)=1,"",(Update!$P284-G$1)/G$2)</f>
        <v>-0.9404715375</v>
      </c>
      <c r="H286" s="119">
        <f>IF(TYPE($A286)=1,"",(Update!$H284-H$1)/H$2*I286/$I$1)</f>
        <v>-0.4758121001</v>
      </c>
      <c r="I286" s="119">
        <f>IF(TYPE($A286)=1,"",IF(Update!H284=0,0,Update!G284/Update!H284))</f>
        <v>5.3</v>
      </c>
      <c r="J286" s="120">
        <f>IF(TYPE($A286)=1,"",(Update!$J284-J$1)/J$2*K286/$K$1)</f>
        <v>0.3746611055</v>
      </c>
      <c r="K286" s="121">
        <f>IF(TYPE($A286)=1,"",IF(Update!J284=0,0,Update!I284/Update!J284))</f>
        <v>2</v>
      </c>
      <c r="L286" s="119">
        <f>IF(TYPE($A286)=1,"",-(Update!$Q284-L$1)/L$2)</f>
        <v>1.607782042</v>
      </c>
      <c r="N286" s="124">
        <v>266.0</v>
      </c>
      <c r="O286" s="130" t="str">
        <f>IF(Update!B289="",ROW(Update!B289),Update!B289)</f>
        <v>Dyson Daniels</v>
      </c>
      <c r="P286" s="131">
        <f>Update!E289</f>
        <v>69</v>
      </c>
      <c r="Q286" s="131" t="str">
        <f>IF(Update!C289="",ROW(Update!N304),Update!C289)</f>
        <v>PG,SG</v>
      </c>
      <c r="R286" s="127">
        <f>VLOOKUP($O286,'NO USAR1'!$A$4:$L$403,2,False)+VLOOKUP($O286,'NO USAR1'!$A$4:$L$403,3,False)+VLOOKUP($O286,'NO USAR1'!$A$4:$L$403,4,False)+VLOOKUP($O286,'NO USAR1'!$A$4:$L$403,5,False)+VLOOKUP($O286,'NO USAR1'!$A$4:$L$403,6,False)+VLOOKUP($O286,'NO USAR1'!$A$4:$L$403,7,False)+VLOOKUP($O286,'NO USAR1'!$A$4:$L$403,8,False)+VLOOKUP($O286,'NO USAR1'!$A$4:$L$403,10,False)+VLOOKUP($O286,'NO USAR1'!$A$4:$L$403,12,False)*0</f>
        <v>-7.144035371</v>
      </c>
      <c r="S286" s="127">
        <f>VLOOKUP($O286,'NO USAR1'!$A$4:$L$403,2,False)*$U$19+VLOOKUP($O286,'NO USAR1'!$A$4:$L$403,3,False)*$V$19+VLOOKUP($O286,'NO USAR1'!$A$4:$L$403,4,False)*$W$19+VLOOKUP($O286,'NO USAR1'!$A$4:$L$403,5,False)*$X$19+VLOOKUP($O286,'NO USAR1'!$A$4:$L$403,6,False)*$Y$19+VLOOKUP($O286,'NO USAR1'!$A$4:$L$403,7,False)*$Z$19+VLOOKUP($O286,'NO USAR1'!$A$4:$L$403,8,False)*$AA$19+VLOOKUP($O286,'NO USAR1'!$A$4:$L$403,10,False)*$AB$19+VLOOKUP($O286,'NO USAR1'!$A$4:$L$403,12,False)*$AC$19+IF(Projections!$K$3,-AN286, IF(Projections!$J$3,-AM286,0))</f>
        <v>-4.046097045</v>
      </c>
      <c r="T286" s="127">
        <f t="shared" si="1"/>
        <v>3.097938326</v>
      </c>
      <c r="U286" s="127">
        <f>VLOOKUP($O286,Update!$B$2:$R$401,11,False)</f>
        <v>4.1</v>
      </c>
      <c r="V286" s="122">
        <f>VLOOKUP($O286,Update!$B$2:$R$401,10,False)</f>
        <v>0.5</v>
      </c>
      <c r="W286" s="127">
        <f>VLOOKUP($O286,Update!$B$2:$R$401,12,False)</f>
        <v>3.4</v>
      </c>
      <c r="X286" s="127">
        <f>VLOOKUP($O286,Update!$B$2:$R$401,13,False)</f>
        <v>2.4</v>
      </c>
      <c r="Y286" s="127">
        <f>VLOOKUP($O286,Update!$B$2:$R$401,14,False)</f>
        <v>0.8</v>
      </c>
      <c r="Z286" s="132">
        <f>VLOOKUP($O286,Update!$B$2:$R$401,15,False)</f>
        <v>0.2</v>
      </c>
      <c r="AA286" s="127">
        <f>100*VLOOKUP($O286,Update!$B$2:$R$401,7,False)</f>
        <v>42.10526316</v>
      </c>
      <c r="AB286" s="127">
        <f>100*VLOOKUP($O286,Update!$B$2:$R$401,9,False)</f>
        <v>71.42857143</v>
      </c>
      <c r="AC286" s="127">
        <f>VLOOKUP($O286,Update!$B$2:$Q$401,16,False)</f>
        <v>1</v>
      </c>
      <c r="AD286" s="127">
        <f>VLOOKUP($O286,'NO USAR1'!$A$4:$L$403,2,False)*$U$19</f>
        <v>-2.217245366</v>
      </c>
      <c r="AE286" s="127">
        <f>VLOOKUP($O286,'NO USAR1'!$A$4:$L$403,3,False)*$V$19</f>
        <v>-0.9925734181</v>
      </c>
      <c r="AF286" s="127">
        <f>VLOOKUP($O286,'NO USAR1'!$A$4:$L$403,4,False)*$W$19</f>
        <v>-1.127063602</v>
      </c>
      <c r="AG286" s="127">
        <f>VLOOKUP($O286,'NO USAR1'!$A$4:$L$403,5,False)*$X$19</f>
        <v>-0.7364755298</v>
      </c>
      <c r="AH286" s="127">
        <f>VLOOKUP($O286,'NO USAR1'!$A$4:$L$403,6,False)*$Y$19</f>
        <v>-0.4244704736</v>
      </c>
      <c r="AI286" s="127">
        <f>VLOOKUP($O286,'NO USAR1'!$A$4:$L$403,7,False)*$Z$19</f>
        <v>-0.6583300762</v>
      </c>
      <c r="AJ286" s="127">
        <f>VLOOKUP($O286,'NO USAR1'!$A$4:$L$403,8,False)*$AA$19</f>
        <v>-0.2844176564</v>
      </c>
      <c r="AK286" s="132">
        <f>VLOOKUP($O286,'NO USAR1'!$A$4:$L$403,10,False)*$AB$19</f>
        <v>-0.1315730352</v>
      </c>
      <c r="AL286" s="127">
        <f>VLOOKUP($O286,'NO USAR1'!$A$4:$L$403,12,False)*$AC$19</f>
        <v>0.3088067464</v>
      </c>
      <c r="AM286" s="133">
        <f t="shared" si="2"/>
        <v>-2.217245366</v>
      </c>
      <c r="AN286" s="133">
        <f t="shared" si="3"/>
        <v>-3.344308968</v>
      </c>
    </row>
    <row r="287">
      <c r="A287" s="118" t="str">
        <f>IF(Update!B285="",ROW(Update!B285),Update!B285)</f>
        <v>Torrey Craig</v>
      </c>
      <c r="B287" s="119">
        <f>IF(TYPE($A287)=1,"",(Update!$L285-B$1)/B$2)</f>
        <v>-2.048718989</v>
      </c>
      <c r="C287" s="119">
        <f>IF(TYPE($A287)=1,"",(Update!$K285-C$1)/C$2)</f>
        <v>-0.8138164245</v>
      </c>
      <c r="D287" s="119">
        <f>IF(TYPE($A287)=1,"",(Update!$M285-D$1)/D$2)</f>
        <v>-1.127063602</v>
      </c>
      <c r="E287" s="119">
        <f>IF(TYPE($A287)=1,"",(Update!$N285-E$1)/E$2)</f>
        <v>-1.318645434</v>
      </c>
      <c r="F287" s="119">
        <f>IF(TYPE($A287)=1,"",(Update!$O285-F$1)/F$2)</f>
        <v>-1.540885966</v>
      </c>
      <c r="G287" s="119">
        <f>IF(TYPE($A287)=1,"",(Update!$P285-G$1)/G$2)</f>
        <v>-0.3776893674</v>
      </c>
      <c r="H287" s="119">
        <f>IF(TYPE($A287)=1,"",(Update!$H285-H$1)/H$2*I287/$I$1)</f>
        <v>-0.2023606058</v>
      </c>
      <c r="I287" s="119">
        <f>IF(TYPE($A287)=1,"",IF(Update!H285=0,0,Update!G285/Update!H285))</f>
        <v>4.4</v>
      </c>
      <c r="J287" s="120">
        <f>IF(TYPE($A287)=1,"",(Update!$J285-J$1)/J$2*K287/$K$1)</f>
        <v>-0.2952790406</v>
      </c>
      <c r="K287" s="121">
        <f>IF(TYPE($A287)=1,"",IF(Update!J285=0,0,Update!I285/Update!J285))</f>
        <v>0.5</v>
      </c>
      <c r="L287" s="119">
        <f>IF(TYPE($A287)=1,"",-(Update!$Q285-L$1)/L$2)</f>
        <v>1.607782042</v>
      </c>
      <c r="N287" s="124">
        <v>267.0</v>
      </c>
      <c r="O287" s="130" t="str">
        <f>IF(Update!B235="",ROW(Update!B235),Update!B235)</f>
        <v>Dereck Lively II</v>
      </c>
      <c r="P287" s="131">
        <f>Update!E235</f>
        <v>50</v>
      </c>
      <c r="Q287" s="131" t="str">
        <f>IF(Update!C235="",ROW(Update!N250),Update!C235)</f>
        <v>C</v>
      </c>
      <c r="R287" s="127">
        <f>VLOOKUP($O287,'NO USAR1'!$A$4:$L$403,2,False)+VLOOKUP($O287,'NO USAR1'!$A$4:$L$403,3,False)+VLOOKUP($O287,'NO USAR1'!$A$4:$L$403,4,False)+VLOOKUP($O287,'NO USAR1'!$A$4:$L$403,5,False)+VLOOKUP($O287,'NO USAR1'!$A$4:$L$403,6,False)+VLOOKUP($O287,'NO USAR1'!$A$4:$L$403,7,False)+VLOOKUP($O287,'NO USAR1'!$A$4:$L$403,8,False)+VLOOKUP($O287,'NO USAR1'!$A$4:$L$403,10,False)+VLOOKUP($O287,'NO USAR1'!$A$4:$L$403,12,False)*0</f>
        <v>-7.156435798</v>
      </c>
      <c r="S287" s="127">
        <f>VLOOKUP($O287,'NO USAR1'!$A$4:$L$403,2,False)*$U$19+VLOOKUP($O287,'NO USAR1'!$A$4:$L$403,3,False)*$V$19+VLOOKUP($O287,'NO USAR1'!$A$4:$L$403,4,False)*$W$19+VLOOKUP($O287,'NO USAR1'!$A$4:$L$403,5,False)*$X$19+VLOOKUP($O287,'NO USAR1'!$A$4:$L$403,6,False)*$Y$19+VLOOKUP($O287,'NO USAR1'!$A$4:$L$403,7,False)*$Z$19+VLOOKUP($O287,'NO USAR1'!$A$4:$L$403,8,False)*$AA$19+VLOOKUP($O287,'NO USAR1'!$A$4:$L$403,10,False)*$AB$19+VLOOKUP($O287,'NO USAR1'!$A$4:$L$403,12,False)*$AC$19+IF(Projections!$K$3,-AN287, IF(Projections!$J$3,-AM287,0))</f>
        <v>-4.040471712</v>
      </c>
      <c r="T287" s="127">
        <f t="shared" si="1"/>
        <v>3.115964086</v>
      </c>
      <c r="U287" s="127">
        <f>VLOOKUP($O287,Update!$B$2:$R$401,11,False)</f>
        <v>4.5</v>
      </c>
      <c r="V287" s="122">
        <f>VLOOKUP($O287,Update!$B$2:$R$401,10,False)</f>
        <v>0</v>
      </c>
      <c r="W287" s="127">
        <f>VLOOKUP($O287,Update!$B$2:$R$401,12,False)</f>
        <v>4.6</v>
      </c>
      <c r="X287" s="127">
        <f>VLOOKUP($O287,Update!$B$2:$R$401,13,False)</f>
        <v>0.9</v>
      </c>
      <c r="Y287" s="127">
        <f>VLOOKUP($O287,Update!$B$2:$R$401,14,False)</f>
        <v>0.4</v>
      </c>
      <c r="Z287" s="132">
        <f>VLOOKUP($O287,Update!$B$2:$R$401,15,False)</f>
        <v>0.9</v>
      </c>
      <c r="AA287" s="127">
        <f>100*VLOOKUP($O287,Update!$B$2:$R$401,7,False)</f>
        <v>62.5</v>
      </c>
      <c r="AB287" s="127">
        <f>100*VLOOKUP($O287,Update!$B$2:$R$401,9,False)</f>
        <v>62.5</v>
      </c>
      <c r="AC287" s="127">
        <f>VLOOKUP($O287,Update!$B$2:$Q$401,16,False)</f>
        <v>0.5</v>
      </c>
      <c r="AD287" s="127">
        <f>VLOOKUP($O287,'NO USAR1'!$A$4:$L$403,2,False)*$U$19</f>
        <v>-2.149834815</v>
      </c>
      <c r="AE287" s="127">
        <f>VLOOKUP($O287,'NO USAR1'!$A$4:$L$403,3,False)*$V$19</f>
        <v>-1.426137812</v>
      </c>
      <c r="AF287" s="127">
        <f>VLOOKUP($O287,'NO USAR1'!$A$4:$L$403,4,False)*$W$19</f>
        <v>-0.6252791639</v>
      </c>
      <c r="AG287" s="127">
        <f>VLOOKUP($O287,'NO USAR1'!$A$4:$L$403,5,False)*$X$19</f>
        <v>-1.501512437</v>
      </c>
      <c r="AH287" s="127">
        <f>VLOOKUP($O287,'NO USAR1'!$A$4:$L$403,6,False)*$Y$19</f>
        <v>-1.296670077</v>
      </c>
      <c r="AI287" s="127">
        <f>VLOOKUP($O287,'NO USAR1'!$A$4:$L$403,7,False)*$Z$19</f>
        <v>0.2608808015</v>
      </c>
      <c r="AJ287" s="127">
        <f>VLOOKUP($O287,'NO USAR1'!$A$4:$L$403,8,False)*$AA$19</f>
        <v>0.4123812558</v>
      </c>
      <c r="AK287" s="132">
        <f>VLOOKUP($O287,'NO USAR1'!$A$4:$L$403,10,False)*$AB$19</f>
        <v>-0.3281722994</v>
      </c>
      <c r="AL287" s="127">
        <f>VLOOKUP($O287,'NO USAR1'!$A$4:$L$403,12,False)*$AC$19</f>
        <v>0.4640380197</v>
      </c>
      <c r="AM287" s="133">
        <f t="shared" si="2"/>
        <v>-2.149834815</v>
      </c>
      <c r="AN287" s="133">
        <f t="shared" si="3"/>
        <v>-3.651347253</v>
      </c>
    </row>
    <row r="288">
      <c r="A288" s="118" t="str">
        <f>IF(Update!B286="",ROW(Update!B286),Update!B286)</f>
        <v>Jordan Hawkins</v>
      </c>
      <c r="B288" s="119">
        <f>IF(TYPE($A288)=1,"",(Update!$L286-B$1)/B$2)</f>
        <v>-1.67796096</v>
      </c>
      <c r="C288" s="119">
        <f>IF(TYPE($A288)=1,"",(Update!$K286-C$1)/C$2)</f>
        <v>0.05331236246</v>
      </c>
      <c r="D288" s="119">
        <f>IF(TYPE($A288)=1,"",(Update!$M286-D$1)/D$2)</f>
        <v>-1.75429415</v>
      </c>
      <c r="E288" s="119">
        <f>IF(TYPE($A288)=1,"",(Update!$N286-E$1)/E$2)</f>
        <v>-1.318645434</v>
      </c>
      <c r="F288" s="119">
        <f>IF(TYPE($A288)=1,"",(Update!$O286-F$1)/F$2)</f>
        <v>-1.540885966</v>
      </c>
      <c r="G288" s="119">
        <f>IF(TYPE($A288)=1,"",(Update!$P286-G$1)/G$2)</f>
        <v>-1.128065594</v>
      </c>
      <c r="H288" s="119">
        <f>IF(TYPE($A288)=1,"",(Update!$H286-H$1)/H$2*I288/$I$1)</f>
        <v>-0.4189825939</v>
      </c>
      <c r="I288" s="119">
        <f>IF(TYPE($A288)=1,"",IF(Update!H286=0,0,Update!G286/Update!H286))</f>
        <v>5.6</v>
      </c>
      <c r="J288" s="120">
        <f>IF(TYPE($A288)=1,"",(Update!$J286-J$1)/J$2*K288/$K$1)</f>
        <v>0.09715919929</v>
      </c>
      <c r="K288" s="121">
        <f>IF(TYPE($A288)=1,"",IF(Update!J286=0,0,Update!I286/Update!J286))</f>
        <v>1.1</v>
      </c>
      <c r="L288" s="119">
        <f>IF(TYPE($A288)=1,"",-(Update!$Q286-L$1)/L$2)</f>
        <v>1.856152079</v>
      </c>
      <c r="N288" s="33">
        <v>268.0</v>
      </c>
      <c r="O288" s="130" t="str">
        <f>IF(Update!B275="",ROW(Update!B275),Update!B275)</f>
        <v>Isaac Okoro</v>
      </c>
      <c r="P288" s="131">
        <f>Update!E275</f>
        <v>70</v>
      </c>
      <c r="Q288" s="131" t="str">
        <f>IF(Update!C275="",ROW(Update!N290),Update!C275)</f>
        <v>SG,SF</v>
      </c>
      <c r="R288" s="127">
        <f>VLOOKUP($O288,'NO USAR1'!$A$4:$L$403,2,False)+VLOOKUP($O288,'NO USAR1'!$A$4:$L$403,3,False)+VLOOKUP($O288,'NO USAR1'!$A$4:$L$403,4,False)+VLOOKUP($O288,'NO USAR1'!$A$4:$L$403,5,False)+VLOOKUP($O288,'NO USAR1'!$A$4:$L$403,6,False)+VLOOKUP($O288,'NO USAR1'!$A$4:$L$403,7,False)+VLOOKUP($O288,'NO USAR1'!$A$4:$L$403,8,False)+VLOOKUP($O288,'NO USAR1'!$A$4:$L$403,10,False)+VLOOKUP($O288,'NO USAR1'!$A$4:$L$403,12,False)*0</f>
        <v>-7.283216519</v>
      </c>
      <c r="S288" s="127">
        <f>VLOOKUP($O288,'NO USAR1'!$A$4:$L$403,2,False)*$U$19+VLOOKUP($O288,'NO USAR1'!$A$4:$L$403,3,False)*$V$19+VLOOKUP($O288,'NO USAR1'!$A$4:$L$403,4,False)*$W$19+VLOOKUP($O288,'NO USAR1'!$A$4:$L$403,5,False)*$X$19+VLOOKUP($O288,'NO USAR1'!$A$4:$L$403,6,False)*$Y$19+VLOOKUP($O288,'NO USAR1'!$A$4:$L$403,7,False)*$Z$19+VLOOKUP($O288,'NO USAR1'!$A$4:$L$403,8,False)*$AA$19+VLOOKUP($O288,'NO USAR1'!$A$4:$L$403,10,False)*$AB$19+VLOOKUP($O288,'NO USAR1'!$A$4:$L$403,12,False)*$AC$19+IF(Projections!$K$3,-AN288, IF(Projections!$J$3,-AM288,0))</f>
        <v>-4.534560681</v>
      </c>
      <c r="T288" s="127">
        <f t="shared" si="1"/>
        <v>2.748655838</v>
      </c>
      <c r="U288" s="127">
        <f>VLOOKUP($O288,Update!$B$2:$R$401,11,False)</f>
        <v>6.3</v>
      </c>
      <c r="V288" s="122">
        <f>VLOOKUP($O288,Update!$B$2:$R$401,10,False)</f>
        <v>0.7</v>
      </c>
      <c r="W288" s="127">
        <f>VLOOKUP($O288,Update!$B$2:$R$401,12,False)</f>
        <v>2.3</v>
      </c>
      <c r="X288" s="127">
        <f>VLOOKUP($O288,Update!$B$2:$R$401,13,False)</f>
        <v>1.2</v>
      </c>
      <c r="Y288" s="127">
        <f>VLOOKUP($O288,Update!$B$2:$R$401,14,False)</f>
        <v>0.7</v>
      </c>
      <c r="Z288" s="132">
        <f>VLOOKUP($O288,Update!$B$2:$R$401,15,False)</f>
        <v>0.3</v>
      </c>
      <c r="AA288" s="127">
        <f>100*VLOOKUP($O288,Update!$B$2:$R$401,7,False)</f>
        <v>47.82608696</v>
      </c>
      <c r="AB288" s="127">
        <f>100*VLOOKUP($O288,Update!$B$2:$R$401,9,False)</f>
        <v>80</v>
      </c>
      <c r="AC288" s="127">
        <f>VLOOKUP($O288,Update!$B$2:$Q$401,16,False)</f>
        <v>0.6</v>
      </c>
      <c r="AD288" s="127">
        <f>VLOOKUP($O288,'NO USAR1'!$A$4:$L$403,2,False)*$U$19</f>
        <v>-1.846487337</v>
      </c>
      <c r="AE288" s="127">
        <f>VLOOKUP($O288,'NO USAR1'!$A$4:$L$403,3,False)*$V$19</f>
        <v>-0.8191476607</v>
      </c>
      <c r="AF288" s="127">
        <f>VLOOKUP($O288,'NO USAR1'!$A$4:$L$403,4,False)*$W$19</f>
        <v>-1.587032671</v>
      </c>
      <c r="AG288" s="127">
        <f>VLOOKUP($O288,'NO USAR1'!$A$4:$L$403,5,False)*$X$19</f>
        <v>-1.348505056</v>
      </c>
      <c r="AH288" s="127">
        <f>VLOOKUP($O288,'NO USAR1'!$A$4:$L$403,6,False)*$Y$19</f>
        <v>-0.6425203744</v>
      </c>
      <c r="AI288" s="127">
        <f>VLOOKUP($O288,'NO USAR1'!$A$4:$L$403,7,False)*$Z$19</f>
        <v>-0.5270142365</v>
      </c>
      <c r="AJ288" s="127">
        <f>VLOOKUP($O288,'NO USAR1'!$A$4:$L$403,8,False)*$AA$19</f>
        <v>-0.08143583954</v>
      </c>
      <c r="AK288" s="132">
        <f>VLOOKUP($O288,'NO USAR1'!$A$4:$L$403,10,False)*$AB$19</f>
        <v>0.03810339117</v>
      </c>
      <c r="AL288" s="127">
        <f>VLOOKUP($O288,'NO USAR1'!$A$4:$L$403,12,False)*$AC$19</f>
        <v>0.4329917651</v>
      </c>
      <c r="AM288" s="133">
        <f t="shared" si="2"/>
        <v>-1.846487337</v>
      </c>
      <c r="AN288" s="133">
        <f t="shared" si="3"/>
        <v>-3.433520007</v>
      </c>
    </row>
    <row r="289">
      <c r="A289" s="118" t="str">
        <f>IF(Update!B287="",ROW(Update!B287),Update!B287)</f>
        <v>Jae'Sean Tate</v>
      </c>
      <c r="B289" s="119">
        <f>IF(TYPE($A289)=1,"",(Update!$L287-B$1)/B$2)</f>
        <v>-1.745371511</v>
      </c>
      <c r="C289" s="119">
        <f>IF(TYPE($A289)=1,"",(Update!$K287-C$1)/C$2)</f>
        <v>-1.199206996</v>
      </c>
      <c r="D289" s="119">
        <f>IF(TYPE($A289)=1,"",(Update!$M287-D$1)/D$2)</f>
        <v>-1.252509712</v>
      </c>
      <c r="E289" s="119">
        <f>IF(TYPE($A289)=1,"",(Update!$N287-E$1)/E$2)</f>
        <v>-0.9477184481</v>
      </c>
      <c r="F289" s="119">
        <f>IF(TYPE($A289)=1,"",(Update!$O287-F$1)/F$2)</f>
        <v>-1.540885966</v>
      </c>
      <c r="G289" s="119">
        <f>IF(TYPE($A289)=1,"",(Update!$P287-G$1)/G$2)</f>
        <v>-0.7528774808</v>
      </c>
      <c r="H289" s="119">
        <f>IF(TYPE($A289)=1,"",(Update!$H287-H$1)/H$2*I289/$I$1)</f>
        <v>-0.03098075075</v>
      </c>
      <c r="I289" s="119">
        <f>IF(TYPE($A289)=1,"",IF(Update!H287=0,0,Update!G287/Update!H287))</f>
        <v>5.5</v>
      </c>
      <c r="J289" s="120">
        <f>IF(TYPE($A289)=1,"",(Update!$J287-J$1)/J$2*K289/$K$1)</f>
        <v>-0.5746816682</v>
      </c>
      <c r="K289" s="121">
        <f>IF(TYPE($A289)=1,"",IF(Update!J287=0,0,Update!I287/Update!J287))</f>
        <v>1.5</v>
      </c>
      <c r="L289" s="119">
        <f>IF(TYPE($A289)=1,"",-(Update!$Q287-L$1)/L$2)</f>
        <v>1.111041967</v>
      </c>
      <c r="N289" s="33">
        <v>269.0</v>
      </c>
      <c r="O289" s="130" t="str">
        <f>IF(Update!B252="",ROW(Update!B252),Update!B252)</f>
        <v>Kenyon Martin Jr.</v>
      </c>
      <c r="P289" s="131">
        <f>Update!E252</f>
        <v>72</v>
      </c>
      <c r="Q289" s="131" t="str">
        <f>IF(Update!C252="",ROW(Update!N267),Update!C252)</f>
        <v>SF</v>
      </c>
      <c r="R289" s="127">
        <f>VLOOKUP($O289,'NO USAR1'!$A$4:$L$403,2,False)+VLOOKUP($O289,'NO USAR1'!$A$4:$L$403,3,False)+VLOOKUP($O289,'NO USAR1'!$A$4:$L$403,4,False)+VLOOKUP($O289,'NO USAR1'!$A$4:$L$403,5,False)+VLOOKUP($O289,'NO USAR1'!$A$4:$L$403,6,False)+VLOOKUP($O289,'NO USAR1'!$A$4:$L$403,7,False)+VLOOKUP($O289,'NO USAR1'!$A$4:$L$403,8,False)+VLOOKUP($O289,'NO USAR1'!$A$4:$L$403,10,False)+VLOOKUP($O289,'NO USAR1'!$A$4:$L$403,12,False)*0</f>
        <v>-7.287886393</v>
      </c>
      <c r="S289" s="127">
        <f>VLOOKUP($O289,'NO USAR1'!$A$4:$L$403,2,False)*$U$19+VLOOKUP($O289,'NO USAR1'!$A$4:$L$403,3,False)*$V$19+VLOOKUP($O289,'NO USAR1'!$A$4:$L$403,4,False)*$W$19+VLOOKUP($O289,'NO USAR1'!$A$4:$L$403,5,False)*$X$19+VLOOKUP($O289,'NO USAR1'!$A$4:$L$403,6,False)*$Y$19+VLOOKUP($O289,'NO USAR1'!$A$4:$L$403,7,False)*$Z$19+VLOOKUP($O289,'NO USAR1'!$A$4:$L$403,8,False)*$AA$19+VLOOKUP($O289,'NO USAR1'!$A$4:$L$403,10,False)*$AB$19+VLOOKUP($O289,'NO USAR1'!$A$4:$L$403,12,False)*$AC$19+IF(Projections!$K$3,-AN289, IF(Projections!$J$3,-AM289,0))</f>
        <v>-4.729513581</v>
      </c>
      <c r="T289" s="127">
        <f t="shared" si="1"/>
        <v>2.558372812</v>
      </c>
      <c r="U289" s="127">
        <f>VLOOKUP($O289,Update!$B$2:$R$401,11,False)</f>
        <v>9.3</v>
      </c>
      <c r="V289" s="122">
        <f>VLOOKUP($O289,Update!$B$2:$R$401,10,False)</f>
        <v>0.7</v>
      </c>
      <c r="W289" s="127">
        <f>VLOOKUP($O289,Update!$B$2:$R$401,12,False)</f>
        <v>4</v>
      </c>
      <c r="X289" s="127">
        <f>VLOOKUP($O289,Update!$B$2:$R$401,13,False)</f>
        <v>1.2</v>
      </c>
      <c r="Y289" s="127">
        <f>VLOOKUP($O289,Update!$B$2:$R$401,14,False)</f>
        <v>0.4</v>
      </c>
      <c r="Z289" s="132">
        <f>VLOOKUP($O289,Update!$B$2:$R$401,15,False)</f>
        <v>0.4</v>
      </c>
      <c r="AA289" s="127">
        <f>100*VLOOKUP($O289,Update!$B$2:$R$401,7,False)</f>
        <v>55.2238806</v>
      </c>
      <c r="AB289" s="127">
        <f>100*VLOOKUP($O289,Update!$B$2:$R$401,9,False)</f>
        <v>63.15789474</v>
      </c>
      <c r="AC289" s="127">
        <f>VLOOKUP($O289,Update!$B$2:$Q$401,16,False)</f>
        <v>0.8</v>
      </c>
      <c r="AD289" s="127">
        <f>VLOOKUP($O289,'NO USAR1'!$A$4:$L$403,2,False)*$U$19</f>
        <v>-1.340908206</v>
      </c>
      <c r="AE289" s="127">
        <f>VLOOKUP($O289,'NO USAR1'!$A$4:$L$403,3,False)*$V$19</f>
        <v>-0.8191476607</v>
      </c>
      <c r="AF289" s="127">
        <f>VLOOKUP($O289,'NO USAR1'!$A$4:$L$403,4,False)*$W$19</f>
        <v>-0.876171383</v>
      </c>
      <c r="AG289" s="127">
        <f>VLOOKUP($O289,'NO USAR1'!$A$4:$L$403,5,False)*$X$19</f>
        <v>-1.348505056</v>
      </c>
      <c r="AH289" s="127">
        <f>VLOOKUP($O289,'NO USAR1'!$A$4:$L$403,6,False)*$Y$19</f>
        <v>-1.296670077</v>
      </c>
      <c r="AI289" s="127">
        <f>VLOOKUP($O289,'NO USAR1'!$A$4:$L$403,7,False)*$Z$19</f>
        <v>-0.3956983969</v>
      </c>
      <c r="AJ289" s="127">
        <f>VLOOKUP($O289,'NO USAR1'!$A$4:$L$403,8,False)*$AA$19</f>
        <v>0.3764765526</v>
      </c>
      <c r="AK289" s="132">
        <f>VLOOKUP($O289,'NO USAR1'!$A$4:$L$403,10,False)*$AB$19</f>
        <v>-0.7482936657</v>
      </c>
      <c r="AL289" s="127">
        <f>VLOOKUP($O289,'NO USAR1'!$A$4:$L$403,12,False)*$AC$19</f>
        <v>0.3708992557</v>
      </c>
      <c r="AM289" s="133">
        <f t="shared" si="2"/>
        <v>-1.348505056</v>
      </c>
      <c r="AN289" s="133">
        <f t="shared" si="3"/>
        <v>-2.689413262</v>
      </c>
    </row>
    <row r="290">
      <c r="A290" s="118" t="str">
        <f>IF(Update!B288="",ROW(Update!B288),Update!B288)</f>
        <v>Chris Duarte</v>
      </c>
      <c r="B290" s="119">
        <f>IF(TYPE($A290)=1,"",(Update!$L288-B$1)/B$2)</f>
        <v>-1.509434583</v>
      </c>
      <c r="C290" s="119">
        <f>IF(TYPE($A290)=1,"",(Update!$K288-C$1)/C$2)</f>
        <v>-0.5247734955</v>
      </c>
      <c r="D290" s="119">
        <f>IF(TYPE($A290)=1,"",(Update!$M288-D$1)/D$2)</f>
        <v>-1.461586561</v>
      </c>
      <c r="E290" s="119">
        <f>IF(TYPE($A290)=1,"",(Update!$N288-E$1)/E$2)</f>
        <v>-1.133181941</v>
      </c>
      <c r="F290" s="119">
        <f>IF(TYPE($A290)=1,"",(Update!$O288-F$1)/F$2)</f>
        <v>-1.229386107</v>
      </c>
      <c r="G290" s="119">
        <f>IF(TYPE($A290)=1,"",(Update!$P288-G$1)/G$2)</f>
        <v>-1.128065594</v>
      </c>
      <c r="H290" s="119">
        <f>IF(TYPE($A290)=1,"",(Update!$H288-H$1)/H$2*I290/$I$1)</f>
        <v>-0.6888687427</v>
      </c>
      <c r="I290" s="119">
        <f>IF(TYPE($A290)=1,"",IF(Update!H288=0,0,Update!G288/Update!H288))</f>
        <v>7.3</v>
      </c>
      <c r="J290" s="120">
        <f>IF(TYPE($A290)=1,"",(Update!$J288-J$1)/J$2*K290/$K$1)</f>
        <v>0.2933783192</v>
      </c>
      <c r="K290" s="121">
        <f>IF(TYPE($A290)=1,"",IF(Update!J288=0,0,Update!I288/Update!J288))</f>
        <v>1.4</v>
      </c>
      <c r="L290" s="119">
        <f>IF(TYPE($A290)=1,"",-(Update!$Q288-L$1)/L$2)</f>
        <v>1.235226986</v>
      </c>
      <c r="N290" s="124">
        <v>270.0</v>
      </c>
      <c r="O290" s="130" t="str">
        <f>IF(Update!B279="",ROW(Update!B279),Update!B279)</f>
        <v>Aaron Nesmith</v>
      </c>
      <c r="P290" s="131">
        <f>Update!E279</f>
        <v>47</v>
      </c>
      <c r="Q290" s="131" t="str">
        <f>IF(Update!C279="",ROW(Update!N294),Update!C279)</f>
        <v>SF,PF</v>
      </c>
      <c r="R290" s="127">
        <f>VLOOKUP($O290,'NO USAR1'!$A$4:$L$403,2,False)+VLOOKUP($O290,'NO USAR1'!$A$4:$L$403,3,False)+VLOOKUP($O290,'NO USAR1'!$A$4:$L$403,4,False)+VLOOKUP($O290,'NO USAR1'!$A$4:$L$403,5,False)+VLOOKUP($O290,'NO USAR1'!$A$4:$L$403,6,False)+VLOOKUP($O290,'NO USAR1'!$A$4:$L$403,7,False)+VLOOKUP($O290,'NO USAR1'!$A$4:$L$403,8,False)+VLOOKUP($O290,'NO USAR1'!$A$4:$L$403,10,False)+VLOOKUP($O290,'NO USAR1'!$A$4:$L$403,12,False)*0</f>
        <v>-7.321442769</v>
      </c>
      <c r="S290" s="127">
        <f>VLOOKUP($O290,'NO USAR1'!$A$4:$L$403,2,False)*$U$19+VLOOKUP($O290,'NO USAR1'!$A$4:$L$403,3,False)*$V$19+VLOOKUP($O290,'NO USAR1'!$A$4:$L$403,4,False)*$W$19+VLOOKUP($O290,'NO USAR1'!$A$4:$L$403,5,False)*$X$19+VLOOKUP($O290,'NO USAR1'!$A$4:$L$403,6,False)*$Y$19+VLOOKUP($O290,'NO USAR1'!$A$4:$L$403,7,False)*$Z$19+VLOOKUP($O290,'NO USAR1'!$A$4:$L$403,8,False)*$AA$19+VLOOKUP($O290,'NO USAR1'!$A$4:$L$403,10,False)*$AB$19+VLOOKUP($O290,'NO USAR1'!$A$4:$L$403,12,False)*$AC$19+IF(Projections!$K$3,-AN290, IF(Projections!$J$3,-AM290,0))</f>
        <v>-4.704056109</v>
      </c>
      <c r="T290" s="127">
        <f t="shared" si="1"/>
        <v>2.617386661</v>
      </c>
      <c r="U290" s="127">
        <f>VLOOKUP($O290,Update!$B$2:$R$401,11,False)</f>
        <v>7</v>
      </c>
      <c r="V290" s="122">
        <f>VLOOKUP($O290,Update!$B$2:$R$401,10,False)</f>
        <v>1.1</v>
      </c>
      <c r="W290" s="127">
        <f>VLOOKUP($O290,Update!$B$2:$R$401,12,False)</f>
        <v>2.7</v>
      </c>
      <c r="X290" s="127">
        <f>VLOOKUP($O290,Update!$B$2:$R$401,13,False)</f>
        <v>0.9</v>
      </c>
      <c r="Y290" s="127">
        <f>VLOOKUP($O290,Update!$B$2:$R$401,14,False)</f>
        <v>0.6</v>
      </c>
      <c r="Z290" s="132">
        <f>VLOOKUP($O290,Update!$B$2:$R$401,15,False)</f>
        <v>0.3</v>
      </c>
      <c r="AA290" s="127">
        <f>100*VLOOKUP($O290,Update!$B$2:$R$401,7,False)</f>
        <v>41.37931034</v>
      </c>
      <c r="AB290" s="127">
        <f>100*VLOOKUP($O290,Update!$B$2:$R$401,9,False)</f>
        <v>84.61538462</v>
      </c>
      <c r="AC290" s="127">
        <f>VLOOKUP($O290,Update!$B$2:$Q$401,16,False)</f>
        <v>0.8</v>
      </c>
      <c r="AD290" s="127">
        <f>VLOOKUP($O290,'NO USAR1'!$A$4:$L$403,2,False)*$U$19</f>
        <v>-1.728518873</v>
      </c>
      <c r="AE290" s="127">
        <f>VLOOKUP($O290,'NO USAR1'!$A$4:$L$403,3,False)*$V$19</f>
        <v>-0.472296146</v>
      </c>
      <c r="AF290" s="127">
        <f>VLOOKUP($O290,'NO USAR1'!$A$4:$L$403,4,False)*$W$19</f>
        <v>-1.419771191</v>
      </c>
      <c r="AG290" s="127">
        <f>VLOOKUP($O290,'NO USAR1'!$A$4:$L$403,5,False)*$X$19</f>
        <v>-1.501512437</v>
      </c>
      <c r="AH290" s="127">
        <f>VLOOKUP($O290,'NO USAR1'!$A$4:$L$403,6,False)*$Y$19</f>
        <v>-0.8605702752</v>
      </c>
      <c r="AI290" s="127">
        <f>VLOOKUP($O290,'NO USAR1'!$A$4:$L$403,7,False)*$Z$19</f>
        <v>-0.5270142365</v>
      </c>
      <c r="AJ290" s="127">
        <f>VLOOKUP($O290,'NO USAR1'!$A$4:$L$403,8,False)*$AA$19</f>
        <v>-0.4761686347</v>
      </c>
      <c r="AK290" s="132">
        <f>VLOOKUP($O290,'NO USAR1'!$A$4:$L$403,10,False)*$AB$19</f>
        <v>0.1823775567</v>
      </c>
      <c r="AL290" s="127">
        <f>VLOOKUP($O290,'NO USAR1'!$A$4:$L$403,12,False)*$AC$19</f>
        <v>0.3708992557</v>
      </c>
      <c r="AM290" s="133">
        <f t="shared" si="2"/>
        <v>-1.728518873</v>
      </c>
      <c r="AN290" s="133">
        <f t="shared" si="3"/>
        <v>-3.23003131</v>
      </c>
    </row>
    <row r="291">
      <c r="A291" s="118" t="str">
        <f>IF(Update!B289="",ROW(Update!B289),Update!B289)</f>
        <v>Dyson Daniels</v>
      </c>
      <c r="B291" s="119">
        <f>IF(TYPE($A291)=1,"",(Update!$L289-B$1)/B$2)</f>
        <v>-2.217245366</v>
      </c>
      <c r="C291" s="119">
        <f>IF(TYPE($A291)=1,"",(Update!$K289-C$1)/C$2)</f>
        <v>-1.102859353</v>
      </c>
      <c r="D291" s="119">
        <f>IF(TYPE($A291)=1,"",(Update!$M289-D$1)/D$2)</f>
        <v>-1.127063602</v>
      </c>
      <c r="E291" s="119">
        <f>IF(TYPE($A291)=1,"",(Update!$N289-E$1)/E$2)</f>
        <v>-0.6695232089</v>
      </c>
      <c r="F291" s="119">
        <f>IF(TYPE($A291)=1,"",(Update!$O289-F$1)/F$2)</f>
        <v>-0.6063863908</v>
      </c>
      <c r="G291" s="119">
        <f>IF(TYPE($A291)=1,"",(Update!$P289-G$1)/G$2)</f>
        <v>-0.9404715375</v>
      </c>
      <c r="H291" s="119">
        <f>IF(TYPE($A291)=1,"",(Update!$H289-H$1)/H$2*I291/$I$1)</f>
        <v>-0.3160196182</v>
      </c>
      <c r="I291" s="119">
        <f>IF(TYPE($A291)=1,"",IF(Update!H289=0,0,Update!G289/Update!H289))</f>
        <v>3.8</v>
      </c>
      <c r="J291" s="120">
        <f>IF(TYPE($A291)=1,"",(Update!$J289-J$1)/J$2*K291/$K$1)</f>
        <v>-0.164466294</v>
      </c>
      <c r="K291" s="121">
        <f>IF(TYPE($A291)=1,"",IF(Update!J289=0,0,Update!I289/Update!J289))</f>
        <v>0.7</v>
      </c>
      <c r="L291" s="119">
        <f>IF(TYPE($A291)=1,"",-(Update!$Q289-L$1)/L$2)</f>
        <v>1.235226986</v>
      </c>
      <c r="N291" s="124">
        <v>271.0</v>
      </c>
      <c r="O291" s="130" t="str">
        <f>IF(Update!B265="",ROW(Update!B265),Update!B265)</f>
        <v>Seth Curry</v>
      </c>
      <c r="P291" s="131">
        <f>Update!E265</f>
        <v>60</v>
      </c>
      <c r="Q291" s="131" t="str">
        <f>IF(Update!C265="",ROW(Update!N280),Update!C265)</f>
        <v>PG,SG</v>
      </c>
      <c r="R291" s="127">
        <f>VLOOKUP($O291,'NO USAR1'!$A$4:$L$403,2,False)+VLOOKUP($O291,'NO USAR1'!$A$4:$L$403,3,False)+VLOOKUP($O291,'NO USAR1'!$A$4:$L$403,4,False)+VLOOKUP($O291,'NO USAR1'!$A$4:$L$403,5,False)+VLOOKUP($O291,'NO USAR1'!$A$4:$L$403,6,False)+VLOOKUP($O291,'NO USAR1'!$A$4:$L$403,7,False)+VLOOKUP($O291,'NO USAR1'!$A$4:$L$403,8,False)+VLOOKUP($O291,'NO USAR1'!$A$4:$L$403,10,False)+VLOOKUP($O291,'NO USAR1'!$A$4:$L$403,12,False)*0</f>
        <v>-7.322957526</v>
      </c>
      <c r="S291" s="127">
        <f>VLOOKUP($O291,'NO USAR1'!$A$4:$L$403,2,False)*$U$19+VLOOKUP($O291,'NO USAR1'!$A$4:$L$403,3,False)*$V$19+VLOOKUP($O291,'NO USAR1'!$A$4:$L$403,4,False)*$W$19+VLOOKUP($O291,'NO USAR1'!$A$4:$L$403,5,False)*$X$19+VLOOKUP($O291,'NO USAR1'!$A$4:$L$403,6,False)*$Y$19+VLOOKUP($O291,'NO USAR1'!$A$4:$L$403,7,False)*$Z$19+VLOOKUP($O291,'NO USAR1'!$A$4:$L$403,8,False)*$AA$19+VLOOKUP($O291,'NO USAR1'!$A$4:$L$403,10,False)*$AB$19+VLOOKUP($O291,'NO USAR1'!$A$4:$L$403,12,False)*$AC$19+IF(Projections!$K$3,-AN291, IF(Projections!$J$3,-AM291,0))</f>
        <v>-4.371916903</v>
      </c>
      <c r="T291" s="127">
        <f t="shared" si="1"/>
        <v>2.951040623</v>
      </c>
      <c r="U291" s="127">
        <f>VLOOKUP($O291,Update!$B$2:$R$401,11,False)</f>
        <v>7.9</v>
      </c>
      <c r="V291" s="122">
        <f>VLOOKUP($O291,Update!$B$2:$R$401,10,False)</f>
        <v>1.3</v>
      </c>
      <c r="W291" s="127">
        <f>VLOOKUP($O291,Update!$B$2:$R$401,12,False)</f>
        <v>1.6</v>
      </c>
      <c r="X291" s="127">
        <f>VLOOKUP($O291,Update!$B$2:$R$401,13,False)</f>
        <v>1.7</v>
      </c>
      <c r="Y291" s="127">
        <f>VLOOKUP($O291,Update!$B$2:$R$401,14,False)</f>
        <v>0.5</v>
      </c>
      <c r="Z291" s="132">
        <f>VLOOKUP($O291,Update!$B$2:$R$401,15,False)</f>
        <v>0.1</v>
      </c>
      <c r="AA291" s="127">
        <f>100*VLOOKUP($O291,Update!$B$2:$R$401,7,False)</f>
        <v>48.38709677</v>
      </c>
      <c r="AB291" s="127">
        <f>100*VLOOKUP($O291,Update!$B$2:$R$401,9,False)</f>
        <v>87.5</v>
      </c>
      <c r="AC291" s="127">
        <f>VLOOKUP($O291,Update!$B$2:$Q$401,16,False)</f>
        <v>0.8</v>
      </c>
      <c r="AD291" s="127">
        <f>VLOOKUP($O291,'NO USAR1'!$A$4:$L$403,2,False)*$U$19</f>
        <v>-1.576845134</v>
      </c>
      <c r="AE291" s="127">
        <f>VLOOKUP($O291,'NO USAR1'!$A$4:$L$403,3,False)*$V$19</f>
        <v>-0.2988703886</v>
      </c>
      <c r="AF291" s="127">
        <f>VLOOKUP($O291,'NO USAR1'!$A$4:$L$403,4,False)*$W$19</f>
        <v>-1.87974026</v>
      </c>
      <c r="AG291" s="127">
        <f>VLOOKUP($O291,'NO USAR1'!$A$4:$L$403,5,False)*$X$19</f>
        <v>-1.093492753</v>
      </c>
      <c r="AH291" s="127">
        <f>VLOOKUP($O291,'NO USAR1'!$A$4:$L$403,6,False)*$Y$19</f>
        <v>-1.078620176</v>
      </c>
      <c r="AI291" s="127">
        <f>VLOOKUP($O291,'NO USAR1'!$A$4:$L$403,7,False)*$Z$19</f>
        <v>-0.7896459159</v>
      </c>
      <c r="AJ291" s="127">
        <f>VLOOKUP($O291,'NO USAR1'!$A$4:$L$403,8,False)*$AA$19</f>
        <v>-0.07501821749</v>
      </c>
      <c r="AK291" s="132">
        <f>VLOOKUP($O291,'NO USAR1'!$A$4:$L$403,10,False)*$AB$19</f>
        <v>0.1696764263</v>
      </c>
      <c r="AL291" s="127">
        <f>VLOOKUP($O291,'NO USAR1'!$A$4:$L$403,12,False)*$AC$19</f>
        <v>0.3708992557</v>
      </c>
      <c r="AM291" s="133">
        <f t="shared" si="2"/>
        <v>-1.87974026</v>
      </c>
      <c r="AN291" s="133">
        <f t="shared" si="3"/>
        <v>-3.456585393</v>
      </c>
    </row>
    <row r="292">
      <c r="A292" s="118" t="str">
        <f>IF(Update!B290="",ROW(Update!B290),Update!B290)</f>
        <v>Danilo Gallinari</v>
      </c>
      <c r="B292" s="119">
        <f>IF(TYPE($A292)=1,"",(Update!$L290-B$1)/B$2)</f>
        <v>-1.661108322</v>
      </c>
      <c r="C292" s="119">
        <f>IF(TYPE($A292)=1,"",(Update!$K290-C$1)/C$2)</f>
        <v>-0.5247734955</v>
      </c>
      <c r="D292" s="119">
        <f>IF(TYPE($A292)=1,"",(Update!$M290-D$1)/D$2)</f>
        <v>-1.336140451</v>
      </c>
      <c r="E292" s="119">
        <f>IF(TYPE($A292)=1,"",(Update!$N290-E$1)/E$2)</f>
        <v>-1.318645434</v>
      </c>
      <c r="F292" s="119">
        <f>IF(TYPE($A292)=1,"",(Update!$O290-F$1)/F$2)</f>
        <v>-2.163885682</v>
      </c>
      <c r="G292" s="119">
        <f>IF(TYPE($A292)=1,"",(Update!$P290-G$1)/G$2)</f>
        <v>-1.128065594</v>
      </c>
      <c r="H292" s="119">
        <f>IF(TYPE($A292)=1,"",(Update!$H290-H$1)/H$2*I292/$I$1)</f>
        <v>-0.3630444241</v>
      </c>
      <c r="I292" s="119">
        <f>IF(TYPE($A292)=1,"",IF(Update!H290=0,0,Update!G290/Update!H290))</f>
        <v>5.7</v>
      </c>
      <c r="J292" s="120">
        <f>IF(TYPE($A292)=1,"",(Update!$J290-J$1)/J$2*K292/$K$1)</f>
        <v>0.6699401461</v>
      </c>
      <c r="K292" s="121">
        <f>IF(TYPE($A292)=1,"",IF(Update!J290=0,0,Update!I290/Update!J290))</f>
        <v>1.5</v>
      </c>
      <c r="L292" s="119">
        <f>IF(TYPE($A292)=1,"",-(Update!$Q290-L$1)/L$2)</f>
        <v>1.980337098</v>
      </c>
      <c r="N292" s="33">
        <v>272.0</v>
      </c>
      <c r="O292" s="130" t="str">
        <f>IF(Update!B268="",ROW(Update!B268),Update!B268)</f>
        <v>Taurean Prince</v>
      </c>
      <c r="P292" s="131">
        <f>Update!E268</f>
        <v>65</v>
      </c>
      <c r="Q292" s="131" t="str">
        <f>IF(Update!C268="",ROW(Update!N283),Update!C268)</f>
        <v>SF,PF</v>
      </c>
      <c r="R292" s="127">
        <f>VLOOKUP($O292,'NO USAR1'!$A$4:$L$403,2,False)+VLOOKUP($O292,'NO USAR1'!$A$4:$L$403,3,False)+VLOOKUP($O292,'NO USAR1'!$A$4:$L$403,4,False)+VLOOKUP($O292,'NO USAR1'!$A$4:$L$403,5,False)+VLOOKUP($O292,'NO USAR1'!$A$4:$L$403,6,False)+VLOOKUP($O292,'NO USAR1'!$A$4:$L$403,7,False)+VLOOKUP($O292,'NO USAR1'!$A$4:$L$403,8,False)+VLOOKUP($O292,'NO USAR1'!$A$4:$L$403,10,False)+VLOOKUP($O292,'NO USAR1'!$A$4:$L$403,12,False)*0</f>
        <v>-7.331759296</v>
      </c>
      <c r="S292" s="127">
        <f>VLOOKUP($O292,'NO USAR1'!$A$4:$L$403,2,False)*$U$19+VLOOKUP($O292,'NO USAR1'!$A$4:$L$403,3,False)*$V$19+VLOOKUP($O292,'NO USAR1'!$A$4:$L$403,4,False)*$W$19+VLOOKUP($O292,'NO USAR1'!$A$4:$L$403,5,False)*$X$19+VLOOKUP($O292,'NO USAR1'!$A$4:$L$403,6,False)*$Y$19+VLOOKUP($O292,'NO USAR1'!$A$4:$L$403,7,False)*$Z$19+VLOOKUP($O292,'NO USAR1'!$A$4:$L$403,8,False)*$AA$19+VLOOKUP($O292,'NO USAR1'!$A$4:$L$403,10,False)*$AB$19+VLOOKUP($O292,'NO USAR1'!$A$4:$L$403,12,False)*$AC$19+IF(Projections!$K$3,-AN292, IF(Projections!$J$3,-AM292,0))</f>
        <v>-4.765580348</v>
      </c>
      <c r="T292" s="127">
        <f t="shared" si="1"/>
        <v>2.566178947</v>
      </c>
      <c r="U292" s="127">
        <f>VLOOKUP($O292,Update!$B$2:$R$401,11,False)</f>
        <v>7.4</v>
      </c>
      <c r="V292" s="122">
        <f>VLOOKUP($O292,Update!$B$2:$R$401,10,False)</f>
        <v>1.2</v>
      </c>
      <c r="W292" s="127">
        <f>VLOOKUP($O292,Update!$B$2:$R$401,12,False)</f>
        <v>2.3</v>
      </c>
      <c r="X292" s="127">
        <f>VLOOKUP($O292,Update!$B$2:$R$401,13,False)</f>
        <v>1.1</v>
      </c>
      <c r="Y292" s="127">
        <f>VLOOKUP($O292,Update!$B$2:$R$401,14,False)</f>
        <v>0.6</v>
      </c>
      <c r="Z292" s="132">
        <f>VLOOKUP($O292,Update!$B$2:$R$401,15,False)</f>
        <v>0.3</v>
      </c>
      <c r="AA292" s="127">
        <f>100*VLOOKUP($O292,Update!$B$2:$R$401,7,False)</f>
        <v>45.61403509</v>
      </c>
      <c r="AB292" s="127">
        <f>100*VLOOKUP($O292,Update!$B$2:$R$401,9,False)</f>
        <v>75</v>
      </c>
      <c r="AC292" s="127">
        <f>VLOOKUP($O292,Update!$B$2:$Q$401,16,False)</f>
        <v>0.9</v>
      </c>
      <c r="AD292" s="127">
        <f>VLOOKUP($O292,'NO USAR1'!$A$4:$L$403,2,False)*$U$19</f>
        <v>-1.661108322</v>
      </c>
      <c r="AE292" s="127">
        <f>VLOOKUP($O292,'NO USAR1'!$A$4:$L$403,3,False)*$V$19</f>
        <v>-0.3855832673</v>
      </c>
      <c r="AF292" s="127">
        <f>VLOOKUP($O292,'NO USAR1'!$A$4:$L$403,4,False)*$W$19</f>
        <v>-1.587032671</v>
      </c>
      <c r="AG292" s="127">
        <f>VLOOKUP($O292,'NO USAR1'!$A$4:$L$403,5,False)*$X$19</f>
        <v>-1.399507516</v>
      </c>
      <c r="AH292" s="127">
        <f>VLOOKUP($O292,'NO USAR1'!$A$4:$L$403,6,False)*$Y$19</f>
        <v>-0.8605702752</v>
      </c>
      <c r="AI292" s="127">
        <f>VLOOKUP($O292,'NO USAR1'!$A$4:$L$403,7,False)*$Z$19</f>
        <v>-0.5270142365</v>
      </c>
      <c r="AJ292" s="127">
        <f>VLOOKUP($O292,'NO USAR1'!$A$4:$L$403,8,False)*$AA$19</f>
        <v>-0.2268534788</v>
      </c>
      <c r="AK292" s="132">
        <f>VLOOKUP($O292,'NO USAR1'!$A$4:$L$403,10,False)*$AB$19</f>
        <v>-0.1188719048</v>
      </c>
      <c r="AL292" s="127">
        <f>VLOOKUP($O292,'NO USAR1'!$A$4:$L$403,12,False)*$AC$19</f>
        <v>0.3398530011</v>
      </c>
      <c r="AM292" s="133">
        <f t="shared" si="2"/>
        <v>-1.661108322</v>
      </c>
      <c r="AN292" s="133">
        <f t="shared" si="3"/>
        <v>-3.248140993</v>
      </c>
    </row>
    <row r="293">
      <c r="A293" s="118" t="str">
        <f>IF(Update!B291="",ROW(Update!B291),Update!B291)</f>
        <v>Nikola Jovic</v>
      </c>
      <c r="B293" s="119">
        <f>IF(TYPE($A293)=1,"",(Update!$L291-B$1)/B$2)</f>
        <v>-1.728518873</v>
      </c>
      <c r="C293" s="119">
        <f>IF(TYPE($A293)=1,"",(Update!$K291-C$1)/C$2)</f>
        <v>-0.9101640675</v>
      </c>
      <c r="D293" s="119">
        <f>IF(TYPE($A293)=1,"",(Update!$M291-D$1)/D$2)</f>
        <v>-1.461586561</v>
      </c>
      <c r="E293" s="119">
        <f>IF(TYPE($A293)=1,"",(Update!$N291-E$1)/E$2)</f>
        <v>-1.41137718</v>
      </c>
      <c r="F293" s="119">
        <f>IF(TYPE($A293)=1,"",(Update!$O291-F$1)/F$2)</f>
        <v>-1.229386107</v>
      </c>
      <c r="G293" s="119">
        <f>IF(TYPE($A293)=1,"",(Update!$P291-G$1)/G$2)</f>
        <v>-0.9404715375</v>
      </c>
      <c r="H293" s="119">
        <f>IF(TYPE($A293)=1,"",(Update!$H291-H$1)/H$2*I293/$I$1)</f>
        <v>-0.4740294273</v>
      </c>
      <c r="I293" s="119">
        <f>IF(TYPE($A293)=1,"",IF(Update!H291=0,0,Update!G291/Update!H291))</f>
        <v>5.7</v>
      </c>
      <c r="J293" s="120">
        <f>IF(TYPE($A293)=1,"",(Update!$J291-J$1)/J$2*K293/$K$1)</f>
        <v>0.4895974392</v>
      </c>
      <c r="K293" s="121">
        <f>IF(TYPE($A293)=1,"",IF(Update!J291=0,0,Update!I291/Update!J291))</f>
        <v>1.7</v>
      </c>
      <c r="L293" s="119">
        <f>IF(TYPE($A293)=1,"",-(Update!$Q291-L$1)/L$2)</f>
        <v>1.483597023</v>
      </c>
      <c r="N293" s="33">
        <v>273.0</v>
      </c>
      <c r="O293" s="130" t="str">
        <f>IF(Update!B245="",ROW(Update!B245),Update!B245)</f>
        <v>Thomas Bryant</v>
      </c>
      <c r="P293" s="131">
        <f>Update!E245</f>
        <v>60</v>
      </c>
      <c r="Q293" s="131" t="str">
        <f>IF(Update!C245="",ROW(Update!N260),Update!C245)</f>
        <v>C</v>
      </c>
      <c r="R293" s="127">
        <f>VLOOKUP($O293,'NO USAR1'!$A$4:$L$403,2,False)+VLOOKUP($O293,'NO USAR1'!$A$4:$L$403,3,False)+VLOOKUP($O293,'NO USAR1'!$A$4:$L$403,4,False)+VLOOKUP($O293,'NO USAR1'!$A$4:$L$403,5,False)+VLOOKUP($O293,'NO USAR1'!$A$4:$L$403,6,False)+VLOOKUP($O293,'NO USAR1'!$A$4:$L$403,7,False)+VLOOKUP($O293,'NO USAR1'!$A$4:$L$403,8,False)+VLOOKUP($O293,'NO USAR1'!$A$4:$L$403,10,False)+VLOOKUP($O293,'NO USAR1'!$A$4:$L$403,12,False)*0</f>
        <v>-7.354944204</v>
      </c>
      <c r="S293" s="127">
        <f>VLOOKUP($O293,'NO USAR1'!$A$4:$L$403,2,False)*$U$19+VLOOKUP($O293,'NO USAR1'!$A$4:$L$403,3,False)*$V$19+VLOOKUP($O293,'NO USAR1'!$A$4:$L$403,4,False)*$W$19+VLOOKUP($O293,'NO USAR1'!$A$4:$L$403,5,False)*$X$19+VLOOKUP($O293,'NO USAR1'!$A$4:$L$403,6,False)*$Y$19+VLOOKUP($O293,'NO USAR1'!$A$4:$L$403,7,False)*$Z$19+VLOOKUP($O293,'NO USAR1'!$A$4:$L$403,8,False)*$AA$19+VLOOKUP($O293,'NO USAR1'!$A$4:$L$403,10,False)*$AB$19+VLOOKUP($O293,'NO USAR1'!$A$4:$L$403,12,False)*$AC$19+IF(Projections!$K$3,-AN293, IF(Projections!$J$3,-AM293,0))</f>
        <v>-4.395017564</v>
      </c>
      <c r="T293" s="127">
        <f t="shared" si="1"/>
        <v>2.95992664</v>
      </c>
      <c r="U293" s="127">
        <f>VLOOKUP($O293,Update!$B$2:$R$401,11,False)</f>
        <v>7.9</v>
      </c>
      <c r="V293" s="122">
        <f>VLOOKUP($O293,Update!$B$2:$R$401,10,False)</f>
        <v>0.4</v>
      </c>
      <c r="W293" s="127">
        <f>VLOOKUP($O293,Update!$B$2:$R$401,12,False)</f>
        <v>4.5</v>
      </c>
      <c r="X293" s="127">
        <f>VLOOKUP($O293,Update!$B$2:$R$401,13,False)</f>
        <v>0.6</v>
      </c>
      <c r="Y293" s="127">
        <f>VLOOKUP($O293,Update!$B$2:$R$401,14,False)</f>
        <v>0.2</v>
      </c>
      <c r="Z293" s="132">
        <f>VLOOKUP($O293,Update!$B$2:$R$401,15,False)</f>
        <v>0.5</v>
      </c>
      <c r="AA293" s="127">
        <f>100*VLOOKUP($O293,Update!$B$2:$R$401,7,False)</f>
        <v>59.61538462</v>
      </c>
      <c r="AB293" s="127">
        <f>100*VLOOKUP($O293,Update!$B$2:$R$401,9,False)</f>
        <v>76.47058824</v>
      </c>
      <c r="AC293" s="127">
        <f>VLOOKUP($O293,Update!$B$2:$Q$401,16,False)</f>
        <v>0.6</v>
      </c>
      <c r="AD293" s="127">
        <f>VLOOKUP($O293,'NO USAR1'!$A$4:$L$403,2,False)*$U$19</f>
        <v>-1.576845134</v>
      </c>
      <c r="AE293" s="127">
        <f>VLOOKUP($O293,'NO USAR1'!$A$4:$L$403,3,False)*$V$19</f>
        <v>-1.079286297</v>
      </c>
      <c r="AF293" s="127">
        <f>VLOOKUP($O293,'NO USAR1'!$A$4:$L$403,4,False)*$W$19</f>
        <v>-0.6670945338</v>
      </c>
      <c r="AG293" s="127">
        <f>VLOOKUP($O293,'NO USAR1'!$A$4:$L$403,5,False)*$X$19</f>
        <v>-1.654519819</v>
      </c>
      <c r="AH293" s="127">
        <f>VLOOKUP($O293,'NO USAR1'!$A$4:$L$403,6,False)*$Y$19</f>
        <v>-1.732769878</v>
      </c>
      <c r="AI293" s="127">
        <f>VLOOKUP($O293,'NO USAR1'!$A$4:$L$403,7,False)*$Z$19</f>
        <v>-0.2643825572</v>
      </c>
      <c r="AJ293" s="127">
        <f>VLOOKUP($O293,'NO USAR1'!$A$4:$L$403,8,False)*$AA$19</f>
        <v>0.5202897863</v>
      </c>
      <c r="AK293" s="132">
        <f>VLOOKUP($O293,'NO USAR1'!$A$4:$L$403,10,False)*$AB$19</f>
        <v>-0.1061707744</v>
      </c>
      <c r="AL293" s="127">
        <f>VLOOKUP($O293,'NO USAR1'!$A$4:$L$403,12,False)*$AC$19</f>
        <v>0.4329917651</v>
      </c>
      <c r="AM293" s="133">
        <f t="shared" si="2"/>
        <v>-1.732769878</v>
      </c>
      <c r="AN293" s="133">
        <f t="shared" si="3"/>
        <v>-3.387289697</v>
      </c>
    </row>
    <row r="294">
      <c r="A294" s="118" t="str">
        <f>IF(Update!B292="",ROW(Update!B292),Update!B292)</f>
        <v>Jalen Smith</v>
      </c>
      <c r="B294" s="119">
        <f>IF(TYPE($A294)=1,"",(Update!$L292-B$1)/B$2)</f>
        <v>-1.846487337</v>
      </c>
      <c r="C294" s="119">
        <f>IF(TYPE($A294)=1,"",(Update!$K292-C$1)/C$2)</f>
        <v>-1.102859353</v>
      </c>
      <c r="D294" s="119">
        <f>IF(TYPE($A294)=1,"",(Update!$M292-D$1)/D$2)</f>
        <v>-0.876171383</v>
      </c>
      <c r="E294" s="119">
        <f>IF(TYPE($A294)=1,"",(Update!$N292-E$1)/E$2)</f>
        <v>-1.5504748</v>
      </c>
      <c r="F294" s="119">
        <f>IF(TYPE($A294)=1,"",(Update!$O292-F$1)/F$2)</f>
        <v>-2.475385541</v>
      </c>
      <c r="G294" s="119">
        <f>IF(TYPE($A294)=1,"",(Update!$P292-G$1)/G$2)</f>
        <v>-0.1900953108</v>
      </c>
      <c r="H294" s="119">
        <f>IF(TYPE($A294)=1,"",(Update!$H292-H$1)/H$2*I294/$I$1)</f>
        <v>-0.03365475993</v>
      </c>
      <c r="I294" s="119">
        <f>IF(TYPE($A294)=1,"",IF(Update!H292=0,0,Update!G292/Update!H292))</f>
        <v>4.9</v>
      </c>
      <c r="J294" s="120">
        <f>IF(TYPE($A294)=1,"",(Update!$J292-J$1)/J$2*K294/$K$1)</f>
        <v>-0.3289325879</v>
      </c>
      <c r="K294" s="121">
        <f>IF(TYPE($A294)=1,"",IF(Update!J292=0,0,Update!I292/Update!J292))</f>
        <v>1.4</v>
      </c>
      <c r="L294" s="119">
        <f>IF(TYPE($A294)=1,"",-(Update!$Q292-L$1)/L$2)</f>
        <v>1.607782042</v>
      </c>
      <c r="N294" s="124">
        <v>274.0</v>
      </c>
      <c r="O294" s="130" t="str">
        <f>IF(Update!B272="",ROW(Update!B272),Update!B272)</f>
        <v>Cam Thomas</v>
      </c>
      <c r="P294" s="131">
        <f>Update!E272</f>
        <v>68</v>
      </c>
      <c r="Q294" s="131" t="str">
        <f>IF(Update!C272="",ROW(Update!N287),Update!C272)</f>
        <v>SG,SF</v>
      </c>
      <c r="R294" s="127">
        <f>VLOOKUP($O294,'NO USAR1'!$A$4:$L$403,2,False)+VLOOKUP($O294,'NO USAR1'!$A$4:$L$403,3,False)+VLOOKUP($O294,'NO USAR1'!$A$4:$L$403,4,False)+VLOOKUP($O294,'NO USAR1'!$A$4:$L$403,5,False)+VLOOKUP($O294,'NO USAR1'!$A$4:$L$403,6,False)+VLOOKUP($O294,'NO USAR1'!$A$4:$L$403,7,False)+VLOOKUP($O294,'NO USAR1'!$A$4:$L$403,8,False)+VLOOKUP($O294,'NO USAR1'!$A$4:$L$403,10,False)+VLOOKUP($O294,'NO USAR1'!$A$4:$L$403,12,False)*0</f>
        <v>-7.371371539</v>
      </c>
      <c r="S294" s="127">
        <f>VLOOKUP($O294,'NO USAR1'!$A$4:$L$403,2,False)*$U$19+VLOOKUP($O294,'NO USAR1'!$A$4:$L$403,3,False)*$V$19+VLOOKUP($O294,'NO USAR1'!$A$4:$L$403,4,False)*$W$19+VLOOKUP($O294,'NO USAR1'!$A$4:$L$403,5,False)*$X$19+VLOOKUP($O294,'NO USAR1'!$A$4:$L$403,6,False)*$Y$19+VLOOKUP($O294,'NO USAR1'!$A$4:$L$403,7,False)*$Z$19+VLOOKUP($O294,'NO USAR1'!$A$4:$L$403,8,False)*$AA$19+VLOOKUP($O294,'NO USAR1'!$A$4:$L$403,10,False)*$AB$19+VLOOKUP($O294,'NO USAR1'!$A$4:$L$403,12,False)*$AC$19+IF(Projections!$K$3,-AN294, IF(Projections!$J$3,-AM294,0))</f>
        <v>-4.773911973</v>
      </c>
      <c r="T294" s="127">
        <f t="shared" si="1"/>
        <v>2.597459566</v>
      </c>
      <c r="U294" s="127">
        <f>VLOOKUP($O294,Update!$B$2:$R$401,11,False)</f>
        <v>10.5</v>
      </c>
      <c r="V294" s="122">
        <f>VLOOKUP($O294,Update!$B$2:$R$401,10,False)</f>
        <v>0.9</v>
      </c>
      <c r="W294" s="127">
        <f>VLOOKUP($O294,Update!$B$2:$R$401,12,False)</f>
        <v>2.3</v>
      </c>
      <c r="X294" s="127">
        <f>VLOOKUP($O294,Update!$B$2:$R$401,13,False)</f>
        <v>1.4</v>
      </c>
      <c r="Y294" s="127">
        <f>VLOOKUP($O294,Update!$B$2:$R$401,14,False)</f>
        <v>0.5</v>
      </c>
      <c r="Z294" s="132">
        <f>VLOOKUP($O294,Update!$B$2:$R$401,15,False)</f>
        <v>0.1</v>
      </c>
      <c r="AA294" s="127">
        <f>100*VLOOKUP($O294,Update!$B$2:$R$401,7,False)</f>
        <v>44.18604651</v>
      </c>
      <c r="AB294" s="127">
        <f>100*VLOOKUP($O294,Update!$B$2:$R$401,9,False)</f>
        <v>84</v>
      </c>
      <c r="AC294" s="127">
        <f>VLOOKUP($O294,Update!$B$2:$Q$401,16,False)</f>
        <v>1.1</v>
      </c>
      <c r="AD294" s="127">
        <f>VLOOKUP($O294,'NO USAR1'!$A$4:$L$403,2,False)*$U$19</f>
        <v>-1.138676554</v>
      </c>
      <c r="AE294" s="127">
        <f>VLOOKUP($O294,'NO USAR1'!$A$4:$L$403,3,False)*$V$19</f>
        <v>-0.6457219034</v>
      </c>
      <c r="AF294" s="127">
        <f>VLOOKUP($O294,'NO USAR1'!$A$4:$L$403,4,False)*$W$19</f>
        <v>-1.587032671</v>
      </c>
      <c r="AG294" s="127">
        <f>VLOOKUP($O294,'NO USAR1'!$A$4:$L$403,5,False)*$X$19</f>
        <v>-1.246500135</v>
      </c>
      <c r="AH294" s="127">
        <f>VLOOKUP($O294,'NO USAR1'!$A$4:$L$403,6,False)*$Y$19</f>
        <v>-1.078620176</v>
      </c>
      <c r="AI294" s="127">
        <f>VLOOKUP($O294,'NO USAR1'!$A$4:$L$403,7,False)*$Z$19</f>
        <v>-0.7896459159</v>
      </c>
      <c r="AJ294" s="127">
        <f>VLOOKUP($O294,'NO USAR1'!$A$4:$L$403,8,False)*$AA$19</f>
        <v>-0.4649377961</v>
      </c>
      <c r="AK294" s="132">
        <f>VLOOKUP($O294,'NO USAR1'!$A$4:$L$403,10,False)*$AB$19</f>
        <v>0.3124300148</v>
      </c>
      <c r="AL294" s="127">
        <f>VLOOKUP($O294,'NO USAR1'!$A$4:$L$403,12,False)*$AC$19</f>
        <v>0.2777604917</v>
      </c>
      <c r="AM294" s="133">
        <f t="shared" si="2"/>
        <v>-1.587032671</v>
      </c>
      <c r="AN294" s="133">
        <f t="shared" si="3"/>
        <v>-2.833532806</v>
      </c>
    </row>
    <row r="295">
      <c r="A295" s="118" t="str">
        <f>IF(Update!B293="",ROW(Update!B293),Update!B293)</f>
        <v>Payton Pritchard</v>
      </c>
      <c r="B295" s="119">
        <f>IF(TYPE($A295)=1,"",(Update!$L293-B$1)/B$2)</f>
        <v>-1.711666235</v>
      </c>
      <c r="C295" s="119">
        <f>IF(TYPE($A295)=1,"",(Update!$K293-C$1)/C$2)</f>
        <v>-0.04303528054</v>
      </c>
      <c r="D295" s="119">
        <f>IF(TYPE($A295)=1,"",(Update!$M293-D$1)/D$2)</f>
        <v>-1.62884804</v>
      </c>
      <c r="E295" s="119">
        <f>IF(TYPE($A295)=1,"",(Update!$N293-E$1)/E$2)</f>
        <v>-0.8086208285</v>
      </c>
      <c r="F295" s="119">
        <f>IF(TYPE($A295)=1,"",(Update!$O293-F$1)/F$2)</f>
        <v>-1.852385824</v>
      </c>
      <c r="G295" s="119">
        <f>IF(TYPE($A295)=1,"",(Update!$P293-G$1)/G$2)</f>
        <v>-1.128065594</v>
      </c>
      <c r="H295" s="119">
        <f>IF(TYPE($A295)=1,"",(Update!$H293-H$1)/H$2*I295/$I$1)</f>
        <v>-0.527293588</v>
      </c>
      <c r="I295" s="119">
        <f>IF(TYPE($A295)=1,"",IF(Update!H293=0,0,Update!G293/Update!H293))</f>
        <v>6.2</v>
      </c>
      <c r="J295" s="120">
        <f>IF(TYPE($A295)=1,"",(Update!$J293-J$1)/J$2*K295/$K$1)</f>
        <v>-0.04952996032</v>
      </c>
      <c r="K295" s="121">
        <f>IF(TYPE($A295)=1,"",IF(Update!J293=0,0,Update!I293/Update!J293))</f>
        <v>0.4</v>
      </c>
      <c r="L295" s="119">
        <f>IF(TYPE($A295)=1,"",-(Update!$Q293-L$1)/L$2)</f>
        <v>1.483597023</v>
      </c>
      <c r="N295" s="124">
        <v>275.0</v>
      </c>
      <c r="O295" s="130" t="str">
        <f>IF(Update!B288="",ROW(Update!B288),Update!B288)</f>
        <v>Chris Duarte</v>
      </c>
      <c r="P295" s="131">
        <f>Update!E288</f>
        <v>68</v>
      </c>
      <c r="Q295" s="131" t="str">
        <f>IF(Update!C288="",ROW(Update!N303),Update!C288)</f>
        <v>SF</v>
      </c>
      <c r="R295" s="127">
        <f>VLOOKUP($O295,'NO USAR1'!$A$4:$L$403,2,False)+VLOOKUP($O295,'NO USAR1'!$A$4:$L$403,3,False)+VLOOKUP($O295,'NO USAR1'!$A$4:$L$403,4,False)+VLOOKUP($O295,'NO USAR1'!$A$4:$L$403,5,False)+VLOOKUP($O295,'NO USAR1'!$A$4:$L$403,6,False)+VLOOKUP($O295,'NO USAR1'!$A$4:$L$403,7,False)+VLOOKUP($O295,'NO USAR1'!$A$4:$L$403,8,False)+VLOOKUP($O295,'NO USAR1'!$A$4:$L$403,10,False)+VLOOKUP($O295,'NO USAR1'!$A$4:$L$403,12,False)*0</f>
        <v>-7.381918705</v>
      </c>
      <c r="S295" s="127">
        <f>VLOOKUP($O295,'NO USAR1'!$A$4:$L$403,2,False)*$U$19+VLOOKUP($O295,'NO USAR1'!$A$4:$L$403,3,False)*$V$19+VLOOKUP($O295,'NO USAR1'!$A$4:$L$403,4,False)*$W$19+VLOOKUP($O295,'NO USAR1'!$A$4:$L$403,5,False)*$X$19+VLOOKUP($O295,'NO USAR1'!$A$4:$L$403,6,False)*$Y$19+VLOOKUP($O295,'NO USAR1'!$A$4:$L$403,7,False)*$Z$19+VLOOKUP($O295,'NO USAR1'!$A$4:$L$403,8,False)*$AA$19+VLOOKUP($O295,'NO USAR1'!$A$4:$L$403,10,False)*$AB$19+VLOOKUP($O295,'NO USAR1'!$A$4:$L$403,12,False)*$AC$19+IF(Projections!$K$3,-AN295, IF(Projections!$J$3,-AM295,0))</f>
        <v>-4.9070715</v>
      </c>
      <c r="T295" s="127">
        <f t="shared" si="1"/>
        <v>2.474847206</v>
      </c>
      <c r="U295" s="127">
        <f>VLOOKUP($O295,Update!$B$2:$R$401,11,False)</f>
        <v>8.3</v>
      </c>
      <c r="V295" s="122">
        <f>VLOOKUP($O295,Update!$B$2:$R$401,10,False)</f>
        <v>1.1</v>
      </c>
      <c r="W295" s="127">
        <f>VLOOKUP($O295,Update!$B$2:$R$401,12,False)</f>
        <v>2.6</v>
      </c>
      <c r="X295" s="127">
        <f>VLOOKUP($O295,Update!$B$2:$R$401,13,False)</f>
        <v>1.4</v>
      </c>
      <c r="Y295" s="127">
        <f>VLOOKUP($O295,Update!$B$2:$R$401,14,False)</f>
        <v>0.6</v>
      </c>
      <c r="Z295" s="132">
        <f>VLOOKUP($O295,Update!$B$2:$R$401,15,False)</f>
        <v>0.1</v>
      </c>
      <c r="AA295" s="127">
        <f>100*VLOOKUP($O295,Update!$B$2:$R$401,7,False)</f>
        <v>41.09589041</v>
      </c>
      <c r="AB295" s="127">
        <f>100*VLOOKUP($O295,Update!$B$2:$R$401,9,False)</f>
        <v>85.71428571</v>
      </c>
      <c r="AC295" s="127">
        <f>VLOOKUP($O295,Update!$B$2:$Q$401,16,False)</f>
        <v>1</v>
      </c>
      <c r="AD295" s="127">
        <f>VLOOKUP($O295,'NO USAR1'!$A$4:$L$403,2,False)*$U$19</f>
        <v>-1.509434583</v>
      </c>
      <c r="AE295" s="127">
        <f>VLOOKUP($O295,'NO USAR1'!$A$4:$L$403,3,False)*$V$19</f>
        <v>-0.472296146</v>
      </c>
      <c r="AF295" s="127">
        <f>VLOOKUP($O295,'NO USAR1'!$A$4:$L$403,4,False)*$W$19</f>
        <v>-1.461586561</v>
      </c>
      <c r="AG295" s="127">
        <f>VLOOKUP($O295,'NO USAR1'!$A$4:$L$403,5,False)*$X$19</f>
        <v>-1.246500135</v>
      </c>
      <c r="AH295" s="127">
        <f>VLOOKUP($O295,'NO USAR1'!$A$4:$L$403,6,False)*$Y$19</f>
        <v>-0.8605702752</v>
      </c>
      <c r="AI295" s="127">
        <f>VLOOKUP($O295,'NO USAR1'!$A$4:$L$403,7,False)*$Z$19</f>
        <v>-0.7896459159</v>
      </c>
      <c r="AJ295" s="127">
        <f>VLOOKUP($O295,'NO USAR1'!$A$4:$L$403,8,False)*$AA$19</f>
        <v>-0.6199818684</v>
      </c>
      <c r="AK295" s="132">
        <f>VLOOKUP($O295,'NO USAR1'!$A$4:$L$403,10,False)*$AB$19</f>
        <v>0.2347026554</v>
      </c>
      <c r="AL295" s="127">
        <f>VLOOKUP($O295,'NO USAR1'!$A$4:$L$403,12,False)*$AC$19</f>
        <v>0.3088067464</v>
      </c>
      <c r="AM295" s="133">
        <f t="shared" si="2"/>
        <v>-1.509434583</v>
      </c>
      <c r="AN295" s="133">
        <f t="shared" si="3"/>
        <v>-2.971021144</v>
      </c>
    </row>
    <row r="296">
      <c r="A296" s="118" t="str">
        <f>IF(Update!B294="",ROW(Update!B294),Update!B294)</f>
        <v>Talen Horton-Tucker</v>
      </c>
      <c r="B296" s="119">
        <f>IF(TYPE($A296)=1,"",(Update!$L294-B$1)/B$2)</f>
        <v>-1.661108322</v>
      </c>
      <c r="C296" s="119">
        <f>IF(TYPE($A296)=1,"",(Update!$K294-C$1)/C$2)</f>
        <v>-1.00651171</v>
      </c>
      <c r="D296" s="119">
        <f>IF(TYPE($A296)=1,"",(Update!$M294-D$1)/D$2)</f>
        <v>-1.587032671</v>
      </c>
      <c r="E296" s="119">
        <f>IF(TYPE($A296)=1,"",(Update!$N294-E$1)/E$2)</f>
        <v>-0.7158890821</v>
      </c>
      <c r="F296" s="119">
        <f>IF(TYPE($A296)=1,"",(Update!$O294-F$1)/F$2)</f>
        <v>-1.229386107</v>
      </c>
      <c r="G296" s="119">
        <f>IF(TYPE($A296)=1,"",(Update!$P294-G$1)/G$2)</f>
        <v>-0.7528774808</v>
      </c>
      <c r="H296" s="119">
        <f>IF(TYPE($A296)=1,"",(Update!$H294-H$1)/H$2*I296/$I$1)</f>
        <v>-0.5255109152</v>
      </c>
      <c r="I296" s="119">
        <f>IF(TYPE($A296)=1,"",IF(Update!H294=0,0,Update!G294/Update!H294))</f>
        <v>6.6</v>
      </c>
      <c r="J296" s="120">
        <f>IF(TYPE($A296)=1,"",(Update!$J294-J$1)/J$2*K296/$K$1)</f>
        <v>-0.132713468</v>
      </c>
      <c r="K296" s="121">
        <f>IF(TYPE($A296)=1,"",IF(Update!J294=0,0,Update!I294/Update!J294))</f>
        <v>1.7</v>
      </c>
      <c r="L296" s="119">
        <f>IF(TYPE($A296)=1,"",-(Update!$Q294-L$1)/L$2)</f>
        <v>0.9868569483</v>
      </c>
      <c r="N296" s="33">
        <v>276.0</v>
      </c>
      <c r="O296" s="130" t="str">
        <f>IF(Update!B278="",ROW(Update!B278),Update!B278)</f>
        <v>Ochai Agbaji</v>
      </c>
      <c r="P296" s="131">
        <f>Update!E278</f>
        <v>68</v>
      </c>
      <c r="Q296" s="131" t="str">
        <f>IF(Update!C278="",ROW(Update!N293),Update!C278)</f>
        <v>PG,SG</v>
      </c>
      <c r="R296" s="127">
        <f>VLOOKUP($O296,'NO USAR1'!$A$4:$L$403,2,False)+VLOOKUP($O296,'NO USAR1'!$A$4:$L$403,3,False)+VLOOKUP($O296,'NO USAR1'!$A$4:$L$403,4,False)+VLOOKUP($O296,'NO USAR1'!$A$4:$L$403,5,False)+VLOOKUP($O296,'NO USAR1'!$A$4:$L$403,6,False)+VLOOKUP($O296,'NO USAR1'!$A$4:$L$403,7,False)+VLOOKUP($O296,'NO USAR1'!$A$4:$L$403,8,False)+VLOOKUP($O296,'NO USAR1'!$A$4:$L$403,10,False)+VLOOKUP($O296,'NO USAR1'!$A$4:$L$403,12,False)*0</f>
        <v>-7.411818671</v>
      </c>
      <c r="S296" s="127">
        <f>VLOOKUP($O296,'NO USAR1'!$A$4:$L$403,2,False)*$U$19+VLOOKUP($O296,'NO USAR1'!$A$4:$L$403,3,False)*$V$19+VLOOKUP($O296,'NO USAR1'!$A$4:$L$403,4,False)*$W$19+VLOOKUP($O296,'NO USAR1'!$A$4:$L$403,5,False)*$X$19+VLOOKUP($O296,'NO USAR1'!$A$4:$L$403,6,False)*$Y$19+VLOOKUP($O296,'NO USAR1'!$A$4:$L$403,7,False)*$Z$19+VLOOKUP($O296,'NO USAR1'!$A$4:$L$403,8,False)*$AA$19+VLOOKUP($O296,'NO USAR1'!$A$4:$L$403,10,False)*$AB$19+VLOOKUP($O296,'NO USAR1'!$A$4:$L$403,12,False)*$AC$19+IF(Projections!$K$3,-AN296, IF(Projections!$J$3,-AM296,0))</f>
        <v>-4.685908881</v>
      </c>
      <c r="T296" s="127">
        <f t="shared" si="1"/>
        <v>2.72590979</v>
      </c>
      <c r="U296" s="127">
        <f>VLOOKUP($O296,Update!$B$2:$R$401,11,False)</f>
        <v>9</v>
      </c>
      <c r="V296" s="122">
        <f>VLOOKUP($O296,Update!$B$2:$R$401,10,False)</f>
        <v>1.6</v>
      </c>
      <c r="W296" s="127">
        <f>VLOOKUP($O296,Update!$B$2:$R$401,12,False)</f>
        <v>2.3</v>
      </c>
      <c r="X296" s="127">
        <f>VLOOKUP($O296,Update!$B$2:$R$401,13,False)</f>
        <v>1.3</v>
      </c>
      <c r="Y296" s="127">
        <f>VLOOKUP($O296,Update!$B$2:$R$401,14,False)</f>
        <v>0.3</v>
      </c>
      <c r="Z296" s="132">
        <f>VLOOKUP($O296,Update!$B$2:$R$401,15,False)</f>
        <v>0.3</v>
      </c>
      <c r="AA296" s="127">
        <f>100*VLOOKUP($O296,Update!$B$2:$R$401,7,False)</f>
        <v>43.24324324</v>
      </c>
      <c r="AB296" s="127">
        <f>100*VLOOKUP($O296,Update!$B$2:$R$401,9,False)</f>
        <v>84.61538462</v>
      </c>
      <c r="AC296" s="127">
        <f>VLOOKUP($O296,Update!$B$2:$Q$401,16,False)</f>
        <v>0.8</v>
      </c>
      <c r="AD296" s="127">
        <f>VLOOKUP($O296,'NO USAR1'!$A$4:$L$403,2,False)*$U$19</f>
        <v>-1.391466119</v>
      </c>
      <c r="AE296" s="127">
        <f>VLOOKUP($O296,'NO USAR1'!$A$4:$L$403,3,False)*$V$19</f>
        <v>-0.03873175248</v>
      </c>
      <c r="AF296" s="127">
        <f>VLOOKUP($O296,'NO USAR1'!$A$4:$L$403,4,False)*$W$19</f>
        <v>-1.587032671</v>
      </c>
      <c r="AG296" s="127">
        <f>VLOOKUP($O296,'NO USAR1'!$A$4:$L$403,5,False)*$X$19</f>
        <v>-1.297502595</v>
      </c>
      <c r="AH296" s="127">
        <f>VLOOKUP($O296,'NO USAR1'!$A$4:$L$403,6,False)*$Y$19</f>
        <v>-1.514719978</v>
      </c>
      <c r="AI296" s="127">
        <f>VLOOKUP($O296,'NO USAR1'!$A$4:$L$403,7,False)*$Z$19</f>
        <v>-0.5270142365</v>
      </c>
      <c r="AJ296" s="127">
        <f>VLOOKUP($O296,'NO USAR1'!$A$4:$L$403,8,False)*$AA$19</f>
        <v>-0.4697510126</v>
      </c>
      <c r="AK296" s="132">
        <f>VLOOKUP($O296,'NO USAR1'!$A$4:$L$403,10,False)*$AB$19</f>
        <v>0.1823775567</v>
      </c>
      <c r="AL296" s="127">
        <f>VLOOKUP($O296,'NO USAR1'!$A$4:$L$403,12,False)*$AC$19</f>
        <v>0.3708992557</v>
      </c>
      <c r="AM296" s="133">
        <f t="shared" si="2"/>
        <v>-1.587032671</v>
      </c>
      <c r="AN296" s="133">
        <f t="shared" si="3"/>
        <v>-3.101752648</v>
      </c>
    </row>
    <row r="297">
      <c r="A297" s="118" t="str">
        <f>IF(Update!B295="",ROW(Update!B295),Update!B295)</f>
        <v>Jock Landale</v>
      </c>
      <c r="B297" s="119">
        <f>IF(TYPE($A297)=1,"",(Update!$L295-B$1)/B$2)</f>
        <v>-1.863339975</v>
      </c>
      <c r="C297" s="119">
        <f>IF(TYPE($A297)=1,"",(Update!$K295-C$1)/C$2)</f>
        <v>-1.199206996</v>
      </c>
      <c r="D297" s="119">
        <f>IF(TYPE($A297)=1,"",(Update!$M295-D$1)/D$2)</f>
        <v>-1.043432862</v>
      </c>
      <c r="E297" s="119">
        <f>IF(TYPE($A297)=1,"",(Update!$N295-E$1)/E$2)</f>
        <v>-1.318645434</v>
      </c>
      <c r="F297" s="119">
        <f>IF(TYPE($A297)=1,"",(Update!$O295-F$1)/F$2)</f>
        <v>-2.475385541</v>
      </c>
      <c r="G297" s="119">
        <f>IF(TYPE($A297)=1,"",(Update!$P295-G$1)/G$2)</f>
        <v>-0.5652834241</v>
      </c>
      <c r="H297" s="119">
        <f>IF(TYPE($A297)=1,"",(Update!$H295-H$1)/H$2*I297/$I$1)</f>
        <v>0.07643890692</v>
      </c>
      <c r="I297" s="119">
        <f>IF(TYPE($A297)=1,"",IF(Update!H295=0,0,Update!G295/Update!H295))</f>
        <v>4.7</v>
      </c>
      <c r="J297" s="120">
        <f>IF(TYPE($A297)=1,"",(Update!$J295-J$1)/J$2*K297/$K$1)</f>
        <v>-0.08318350766</v>
      </c>
      <c r="K297" s="121">
        <f>IF(TYPE($A297)=1,"",IF(Update!J295=0,0,Update!I295/Update!J295))</f>
        <v>1.3</v>
      </c>
      <c r="L297" s="119">
        <f>IF(TYPE($A297)=1,"",-(Update!$Q295-L$1)/L$2)</f>
        <v>1.483597023</v>
      </c>
      <c r="N297" s="33">
        <v>277.0</v>
      </c>
      <c r="O297" s="130" t="str">
        <f>IF(Update!B277="",ROW(Update!B277),Update!B277)</f>
        <v>Orlando Robinson</v>
      </c>
      <c r="P297" s="131">
        <f>Update!E277</f>
        <v>65</v>
      </c>
      <c r="Q297" s="131" t="str">
        <f>IF(Update!C277="",ROW(Update!N292),Update!C277)</f>
        <v>C</v>
      </c>
      <c r="R297" s="127">
        <f>VLOOKUP($O297,'NO USAR1'!$A$4:$L$403,2,False)+VLOOKUP($O297,'NO USAR1'!$A$4:$L$403,3,False)+VLOOKUP($O297,'NO USAR1'!$A$4:$L$403,4,False)+VLOOKUP($O297,'NO USAR1'!$A$4:$L$403,5,False)+VLOOKUP($O297,'NO USAR1'!$A$4:$L$403,6,False)+VLOOKUP($O297,'NO USAR1'!$A$4:$L$403,7,False)+VLOOKUP($O297,'NO USAR1'!$A$4:$L$403,8,False)+VLOOKUP($O297,'NO USAR1'!$A$4:$L$403,10,False)+VLOOKUP($O297,'NO USAR1'!$A$4:$L$403,12,False)*0</f>
        <v>-7.43437902</v>
      </c>
      <c r="S297" s="127">
        <f>VLOOKUP($O297,'NO USAR1'!$A$4:$L$403,2,False)*$U$19+VLOOKUP($O297,'NO USAR1'!$A$4:$L$403,3,False)*$V$19+VLOOKUP($O297,'NO USAR1'!$A$4:$L$403,4,False)*$W$19+VLOOKUP($O297,'NO USAR1'!$A$4:$L$403,5,False)*$X$19+VLOOKUP($O297,'NO USAR1'!$A$4:$L$403,6,False)*$Y$19+VLOOKUP($O297,'NO USAR1'!$A$4:$L$403,7,False)*$Z$19+VLOOKUP($O297,'NO USAR1'!$A$4:$L$403,8,False)*$AA$19+VLOOKUP($O297,'NO USAR1'!$A$4:$L$403,10,False)*$AB$19+VLOOKUP($O297,'NO USAR1'!$A$4:$L$403,12,False)*$AC$19+IF(Projections!$K$3,-AN297, IF(Projections!$J$3,-AM297,0))</f>
        <v>-4.249222193</v>
      </c>
      <c r="T297" s="127">
        <f t="shared" si="1"/>
        <v>3.185156827</v>
      </c>
      <c r="U297" s="127">
        <f>VLOOKUP($O297,Update!$B$2:$R$401,11,False)</f>
        <v>4.6</v>
      </c>
      <c r="V297" s="122">
        <f>VLOOKUP($O297,Update!$B$2:$R$401,10,False)</f>
        <v>0</v>
      </c>
      <c r="W297" s="127">
        <f>VLOOKUP($O297,Update!$B$2:$R$401,12,False)</f>
        <v>5</v>
      </c>
      <c r="X297" s="127">
        <f>VLOOKUP($O297,Update!$B$2:$R$401,13,False)</f>
        <v>1</v>
      </c>
      <c r="Y297" s="127">
        <f>VLOOKUP($O297,Update!$B$2:$R$401,14,False)</f>
        <v>0.5</v>
      </c>
      <c r="Z297" s="132">
        <f>VLOOKUP($O297,Update!$B$2:$R$401,15,False)</f>
        <v>0.5</v>
      </c>
      <c r="AA297" s="127">
        <f>100*VLOOKUP($O297,Update!$B$2:$R$401,7,False)</f>
        <v>52.77777778</v>
      </c>
      <c r="AB297" s="127">
        <f>100*VLOOKUP($O297,Update!$B$2:$R$401,9,False)</f>
        <v>75</v>
      </c>
      <c r="AC297" s="127">
        <f>VLOOKUP($O297,Update!$B$2:$Q$401,16,False)</f>
        <v>0.6</v>
      </c>
      <c r="AD297" s="127">
        <f>VLOOKUP($O297,'NO USAR1'!$A$4:$L$403,2,False)*$U$19</f>
        <v>-2.132982178</v>
      </c>
      <c r="AE297" s="127">
        <f>VLOOKUP($O297,'NO USAR1'!$A$4:$L$403,3,False)*$V$19</f>
        <v>-1.426137812</v>
      </c>
      <c r="AF297" s="127">
        <f>VLOOKUP($O297,'NO USAR1'!$A$4:$L$403,4,False)*$W$19</f>
        <v>-0.4580176845</v>
      </c>
      <c r="AG297" s="127">
        <f>VLOOKUP($O297,'NO USAR1'!$A$4:$L$403,5,False)*$X$19</f>
        <v>-1.450509977</v>
      </c>
      <c r="AH297" s="127">
        <f>VLOOKUP($O297,'NO USAR1'!$A$4:$L$403,6,False)*$Y$19</f>
        <v>-1.078620176</v>
      </c>
      <c r="AI297" s="127">
        <f>VLOOKUP($O297,'NO USAR1'!$A$4:$L$403,7,False)*$Z$19</f>
        <v>-0.2643825572</v>
      </c>
      <c r="AJ297" s="127">
        <f>VLOOKUP($O297,'NO USAR1'!$A$4:$L$403,8,False)*$AA$19</f>
        <v>0.1143261525</v>
      </c>
      <c r="AK297" s="132">
        <f>VLOOKUP($O297,'NO USAR1'!$A$4:$L$403,10,False)*$AB$19</f>
        <v>-0.1188719048</v>
      </c>
      <c r="AL297" s="127">
        <f>VLOOKUP($O297,'NO USAR1'!$A$4:$L$403,12,False)*$AC$19</f>
        <v>0.4329917651</v>
      </c>
      <c r="AM297" s="133">
        <f t="shared" si="2"/>
        <v>-2.132982178</v>
      </c>
      <c r="AN297" s="133">
        <f t="shared" si="3"/>
        <v>-3.583492155</v>
      </c>
    </row>
    <row r="298">
      <c r="A298" s="118" t="str">
        <f>IF(Update!B296="",ROW(Update!B296),Update!B296)</f>
        <v>Dwight Powell</v>
      </c>
      <c r="B298" s="119">
        <f>IF(TYPE($A298)=1,"",(Update!$L296-B$1)/B$2)</f>
        <v>-1.998161076</v>
      </c>
      <c r="C298" s="119">
        <f>IF(TYPE($A298)=1,"",(Update!$K296-C$1)/C$2)</f>
        <v>-1.488249925</v>
      </c>
      <c r="D298" s="119">
        <f>IF(TYPE($A298)=1,"",(Update!$M296-D$1)/D$2)</f>
        <v>-1.252509712</v>
      </c>
      <c r="E298" s="119">
        <f>IF(TYPE($A298)=1,"",(Update!$N296-E$1)/E$2)</f>
        <v>-1.457743053</v>
      </c>
      <c r="F298" s="119">
        <f>IF(TYPE($A298)=1,"",(Update!$O296-F$1)/F$2)</f>
        <v>-1.852385824</v>
      </c>
      <c r="G298" s="119">
        <f>IF(TYPE($A298)=1,"",(Update!$P296-G$1)/G$2)</f>
        <v>-0.7528774808</v>
      </c>
      <c r="H298" s="119">
        <f>IF(TYPE($A298)=1,"",(Update!$H296-H$1)/H$2*I298/$I$1)</f>
        <v>0.6233418956</v>
      </c>
      <c r="I298" s="119">
        <f>IF(TYPE($A298)=1,"",IF(Update!H296=0,0,Update!G296/Update!H296))</f>
        <v>2.9</v>
      </c>
      <c r="J298" s="120">
        <f>IF(TYPE($A298)=1,"",(Update!$J296-J$1)/J$2*K298/$K$1)</f>
        <v>-0.4438689216</v>
      </c>
      <c r="K298" s="121">
        <f>IF(TYPE($A298)=1,"",IF(Update!J296=0,0,Update!I296/Update!J296))</f>
        <v>1.7</v>
      </c>
      <c r="L298" s="119">
        <f>IF(TYPE($A298)=1,"",-(Update!$Q296-L$1)/L$2)</f>
        <v>1.73196706</v>
      </c>
      <c r="N298" s="124">
        <v>278.0</v>
      </c>
      <c r="O298" s="130" t="str">
        <f>IF(Update!B274="",ROW(Update!B274),Update!B274)</f>
        <v>Shake Milton</v>
      </c>
      <c r="P298" s="131">
        <f>Update!E274</f>
        <v>69</v>
      </c>
      <c r="Q298" s="131" t="str">
        <f>IF(Update!C274="",ROW(Update!N289),Update!C274)</f>
        <v>PG,SG</v>
      </c>
      <c r="R298" s="127">
        <f>VLOOKUP($O298,'NO USAR1'!$A$4:$L$403,2,False)+VLOOKUP($O298,'NO USAR1'!$A$4:$L$403,3,False)+VLOOKUP($O298,'NO USAR1'!$A$4:$L$403,4,False)+VLOOKUP($O298,'NO USAR1'!$A$4:$L$403,5,False)+VLOOKUP($O298,'NO USAR1'!$A$4:$L$403,6,False)+VLOOKUP($O298,'NO USAR1'!$A$4:$L$403,7,False)+VLOOKUP($O298,'NO USAR1'!$A$4:$L$403,8,False)+VLOOKUP($O298,'NO USAR1'!$A$4:$L$403,10,False)+VLOOKUP($O298,'NO USAR1'!$A$4:$L$403,12,False)*0</f>
        <v>-7.532514712</v>
      </c>
      <c r="S298" s="127">
        <f>VLOOKUP($O298,'NO USAR1'!$A$4:$L$403,2,False)*$U$19+VLOOKUP($O298,'NO USAR1'!$A$4:$L$403,3,False)*$V$19+VLOOKUP($O298,'NO USAR1'!$A$4:$L$403,4,False)*$W$19+VLOOKUP($O298,'NO USAR1'!$A$4:$L$403,5,False)*$X$19+VLOOKUP($O298,'NO USAR1'!$A$4:$L$403,6,False)*$Y$19+VLOOKUP($O298,'NO USAR1'!$A$4:$L$403,7,False)*$Z$19+VLOOKUP($O298,'NO USAR1'!$A$4:$L$403,8,False)*$AA$19+VLOOKUP($O298,'NO USAR1'!$A$4:$L$403,10,False)*$AB$19+VLOOKUP($O298,'NO USAR1'!$A$4:$L$403,12,False)*$AC$19+IF(Projections!$K$3,-AN298, IF(Projections!$J$3,-AM298,0))</f>
        <v>-4.72891366</v>
      </c>
      <c r="T298" s="127">
        <f t="shared" si="1"/>
        <v>2.803601052</v>
      </c>
      <c r="U298" s="127">
        <f>VLOOKUP($O298,Update!$B$2:$R$401,11,False)</f>
        <v>7.5</v>
      </c>
      <c r="V298" s="122">
        <f>VLOOKUP($O298,Update!$B$2:$R$401,10,False)</f>
        <v>0.7</v>
      </c>
      <c r="W298" s="127">
        <f>VLOOKUP($O298,Update!$B$2:$R$401,12,False)</f>
        <v>2.3</v>
      </c>
      <c r="X298" s="127">
        <f>VLOOKUP($O298,Update!$B$2:$R$401,13,False)</f>
        <v>2.6</v>
      </c>
      <c r="Y298" s="127">
        <f>VLOOKUP($O298,Update!$B$2:$R$401,14,False)</f>
        <v>0.4</v>
      </c>
      <c r="Z298" s="132">
        <f>VLOOKUP($O298,Update!$B$2:$R$401,15,False)</f>
        <v>0.2</v>
      </c>
      <c r="AA298" s="127">
        <f>100*VLOOKUP($O298,Update!$B$2:$R$401,7,False)</f>
        <v>46.03174603</v>
      </c>
      <c r="AB298" s="127">
        <f>100*VLOOKUP($O298,Update!$B$2:$R$401,9,False)</f>
        <v>84.61538462</v>
      </c>
      <c r="AC298" s="127">
        <f>VLOOKUP($O298,Update!$B$2:$Q$401,16,False)</f>
        <v>1</v>
      </c>
      <c r="AD298" s="127">
        <f>VLOOKUP($O298,'NO USAR1'!$A$4:$L$403,2,False)*$U$19</f>
        <v>-1.644255685</v>
      </c>
      <c r="AE298" s="127">
        <f>VLOOKUP($O298,'NO USAR1'!$A$4:$L$403,3,False)*$V$19</f>
        <v>-0.8191476607</v>
      </c>
      <c r="AF298" s="127">
        <f>VLOOKUP($O298,'NO USAR1'!$A$4:$L$403,4,False)*$W$19</f>
        <v>-1.587032671</v>
      </c>
      <c r="AG298" s="127">
        <f>VLOOKUP($O298,'NO USAR1'!$A$4:$L$403,5,False)*$X$19</f>
        <v>-0.6344706088</v>
      </c>
      <c r="AH298" s="127">
        <f>VLOOKUP($O298,'NO USAR1'!$A$4:$L$403,6,False)*$Y$19</f>
        <v>-1.296670077</v>
      </c>
      <c r="AI298" s="127">
        <f>VLOOKUP($O298,'NO USAR1'!$A$4:$L$403,7,False)*$Z$19</f>
        <v>-0.6583300762</v>
      </c>
      <c r="AJ298" s="127">
        <f>VLOOKUP($O298,'NO USAR1'!$A$4:$L$403,8,False)*$AA$19</f>
        <v>-0.2244468705</v>
      </c>
      <c r="AK298" s="132">
        <f>VLOOKUP($O298,'NO USAR1'!$A$4:$L$403,10,False)*$AB$19</f>
        <v>0.1823775567</v>
      </c>
      <c r="AL298" s="127">
        <f>VLOOKUP($O298,'NO USAR1'!$A$4:$L$403,12,False)*$AC$19</f>
        <v>0.3088067464</v>
      </c>
      <c r="AM298" s="133">
        <f t="shared" si="2"/>
        <v>-1.644255685</v>
      </c>
      <c r="AN298" s="133">
        <f t="shared" si="3"/>
        <v>-3.231288355</v>
      </c>
    </row>
    <row r="299">
      <c r="A299" s="118" t="str">
        <f>IF(Update!B297="",ROW(Update!B297),Update!B297)</f>
        <v>Josh Minott</v>
      </c>
      <c r="B299" s="119">
        <f>IF(TYPE($A299)=1,"",(Update!$L297-B$1)/B$2)</f>
        <v>-2.099276902</v>
      </c>
      <c r="C299" s="119">
        <f>IF(TYPE($A299)=1,"",(Update!$K297-C$1)/C$2)</f>
        <v>-1.391902282</v>
      </c>
      <c r="D299" s="119">
        <f>IF(TYPE($A299)=1,"",(Update!$M297-D$1)/D$2)</f>
        <v>-1.419771191</v>
      </c>
      <c r="E299" s="119">
        <f>IF(TYPE($A299)=1,"",(Update!$N297-E$1)/E$2)</f>
        <v>-1.5504748</v>
      </c>
      <c r="F299" s="119">
        <f>IF(TYPE($A299)=1,"",(Update!$O297-F$1)/F$2)</f>
        <v>-1.852385824</v>
      </c>
      <c r="G299" s="119">
        <f>IF(TYPE($A299)=1,"",(Update!$P297-G$1)/G$2)</f>
        <v>-0.1900953108</v>
      </c>
      <c r="H299" s="119">
        <f>IF(TYPE($A299)=1,"",(Update!$H297-H$1)/H$2*I299/$I$1)</f>
        <v>-0.09315827534</v>
      </c>
      <c r="I299" s="119">
        <f>IF(TYPE($A299)=1,"",IF(Update!H297=0,0,Update!G297/Update!H297))</f>
        <v>4</v>
      </c>
      <c r="J299" s="120">
        <f>IF(TYPE($A299)=1,"",(Update!$J297-J$1)/J$2*K299/$K$1)</f>
        <v>0.03175282598</v>
      </c>
      <c r="K299" s="121">
        <f>IF(TYPE($A299)=1,"",IF(Update!J297=0,0,Update!I297/Update!J297))</f>
        <v>1</v>
      </c>
      <c r="L299" s="119">
        <f>IF(TYPE($A299)=1,"",-(Update!$Q297-L$1)/L$2)</f>
        <v>2.104522116</v>
      </c>
      <c r="N299" s="124">
        <v>279.0</v>
      </c>
      <c r="O299" s="130" t="str">
        <f>IF(Update!B294="",ROW(Update!B294),Update!B294)</f>
        <v>Talen Horton-Tucker</v>
      </c>
      <c r="P299" s="131">
        <f>Update!E294</f>
        <v>60</v>
      </c>
      <c r="Q299" s="131" t="str">
        <f>IF(Update!C294="",ROW(Update!N309),Update!C294)</f>
        <v>SG,SF</v>
      </c>
      <c r="R299" s="127">
        <f>VLOOKUP($O299,'NO USAR1'!$A$4:$L$403,2,False)+VLOOKUP($O299,'NO USAR1'!$A$4:$L$403,3,False)+VLOOKUP($O299,'NO USAR1'!$A$4:$L$403,4,False)+VLOOKUP($O299,'NO USAR1'!$A$4:$L$403,5,False)+VLOOKUP($O299,'NO USAR1'!$A$4:$L$403,6,False)+VLOOKUP($O299,'NO USAR1'!$A$4:$L$403,7,False)+VLOOKUP($O299,'NO USAR1'!$A$4:$L$403,8,False)+VLOOKUP($O299,'NO USAR1'!$A$4:$L$403,10,False)+VLOOKUP($O299,'NO USAR1'!$A$4:$L$403,12,False)*0</f>
        <v>-7.611029757</v>
      </c>
      <c r="S299" s="127">
        <f>VLOOKUP($O299,'NO USAR1'!$A$4:$L$403,2,False)*$U$19+VLOOKUP($O299,'NO USAR1'!$A$4:$L$403,3,False)*$V$19+VLOOKUP($O299,'NO USAR1'!$A$4:$L$403,4,False)*$W$19+VLOOKUP($O299,'NO USAR1'!$A$4:$L$403,5,False)*$X$19+VLOOKUP($O299,'NO USAR1'!$A$4:$L$403,6,False)*$Y$19+VLOOKUP($O299,'NO USAR1'!$A$4:$L$403,7,False)*$Z$19+VLOOKUP($O299,'NO USAR1'!$A$4:$L$403,8,False)*$AA$19+VLOOKUP($O299,'NO USAR1'!$A$4:$L$403,10,False)*$AB$19+VLOOKUP($O299,'NO USAR1'!$A$4:$L$403,12,False)*$AC$19+IF(Projections!$K$3,-AN299, IF(Projections!$J$3,-AM299,0))</f>
        <v>-5.000372073</v>
      </c>
      <c r="T299" s="127">
        <f t="shared" si="1"/>
        <v>2.610657684</v>
      </c>
      <c r="U299" s="127">
        <f>VLOOKUP($O299,Update!$B$2:$R$401,11,False)</f>
        <v>7.4</v>
      </c>
      <c r="V299" s="122">
        <f>VLOOKUP($O299,Update!$B$2:$R$401,10,False)</f>
        <v>0.6</v>
      </c>
      <c r="W299" s="127">
        <f>VLOOKUP($O299,Update!$B$2:$R$401,12,False)</f>
        <v>2.3</v>
      </c>
      <c r="X299" s="127">
        <f>VLOOKUP($O299,Update!$B$2:$R$401,13,False)</f>
        <v>2.3</v>
      </c>
      <c r="Y299" s="127">
        <f>VLOOKUP($O299,Update!$B$2:$R$401,14,False)</f>
        <v>0.6</v>
      </c>
      <c r="Z299" s="132">
        <f>VLOOKUP($O299,Update!$B$2:$R$401,15,False)</f>
        <v>0.3</v>
      </c>
      <c r="AA299" s="127">
        <f>100*VLOOKUP($O299,Update!$B$2:$R$401,7,False)</f>
        <v>42.42424242</v>
      </c>
      <c r="AB299" s="127">
        <f>100*VLOOKUP($O299,Update!$B$2:$R$401,9,False)</f>
        <v>76.47058824</v>
      </c>
      <c r="AC299" s="127">
        <f>VLOOKUP($O299,Update!$B$2:$Q$401,16,False)</f>
        <v>1.2</v>
      </c>
      <c r="AD299" s="127">
        <f>VLOOKUP($O299,'NO USAR1'!$A$4:$L$403,2,False)*$U$19</f>
        <v>-1.661108322</v>
      </c>
      <c r="AE299" s="127">
        <f>VLOOKUP($O299,'NO USAR1'!$A$4:$L$403,3,False)*$V$19</f>
        <v>-0.9058605394</v>
      </c>
      <c r="AF299" s="127">
        <f>VLOOKUP($O299,'NO USAR1'!$A$4:$L$403,4,False)*$W$19</f>
        <v>-1.587032671</v>
      </c>
      <c r="AG299" s="127">
        <f>VLOOKUP($O299,'NO USAR1'!$A$4:$L$403,5,False)*$X$19</f>
        <v>-0.7874779903</v>
      </c>
      <c r="AH299" s="127">
        <f>VLOOKUP($O299,'NO USAR1'!$A$4:$L$403,6,False)*$Y$19</f>
        <v>-0.8605702752</v>
      </c>
      <c r="AI299" s="127">
        <f>VLOOKUP($O299,'NO USAR1'!$A$4:$L$403,7,False)*$Z$19</f>
        <v>-0.5270142365</v>
      </c>
      <c r="AJ299" s="127">
        <f>VLOOKUP($O299,'NO USAR1'!$A$4:$L$403,8,False)*$AA$19</f>
        <v>-0.4729598237</v>
      </c>
      <c r="AK299" s="132">
        <f>VLOOKUP($O299,'NO USAR1'!$A$4:$L$403,10,False)*$AB$19</f>
        <v>-0.1061707744</v>
      </c>
      <c r="AL299" s="127">
        <f>VLOOKUP($O299,'NO USAR1'!$A$4:$L$403,12,False)*$AC$19</f>
        <v>0.2467142371</v>
      </c>
      <c r="AM299" s="133">
        <f t="shared" si="2"/>
        <v>-1.661108322</v>
      </c>
      <c r="AN299" s="133">
        <f t="shared" si="3"/>
        <v>-3.248140993</v>
      </c>
    </row>
    <row r="300">
      <c r="A300" s="118" t="str">
        <f>IF(Update!B298="",ROW(Update!B298),Update!B298)</f>
        <v>Ziaire Williams</v>
      </c>
      <c r="B300" s="119">
        <f>IF(TYPE($A300)=1,"",(Update!$L298-B$1)/B$2)</f>
        <v>-1.627403047</v>
      </c>
      <c r="C300" s="119">
        <f>IF(TYPE($A300)=1,"",(Update!$K298-C$1)/C$2)</f>
        <v>-0.5247734955</v>
      </c>
      <c r="D300" s="119">
        <f>IF(TYPE($A300)=1,"",(Update!$M298-D$1)/D$2)</f>
        <v>-1.62884804</v>
      </c>
      <c r="E300" s="119">
        <f>IF(TYPE($A300)=1,"",(Update!$N298-E$1)/E$2)</f>
        <v>-1.27227956</v>
      </c>
      <c r="F300" s="119">
        <f>IF(TYPE($A300)=1,"",(Update!$O298-F$1)/F$2)</f>
        <v>-1.540885966</v>
      </c>
      <c r="G300" s="119">
        <f>IF(TYPE($A300)=1,"",(Update!$P298-G$1)/G$2)</f>
        <v>-0.9404715375</v>
      </c>
      <c r="H300" s="119">
        <f>IF(TYPE($A300)=1,"",(Update!$H298-H$1)/H$2*I300/$I$1)</f>
        <v>-0.4145259119</v>
      </c>
      <c r="I300" s="119">
        <f>IF(TYPE($A300)=1,"",IF(Update!H298=0,0,Update!G298/Update!H298))</f>
        <v>6.6</v>
      </c>
      <c r="J300" s="120">
        <f>IF(TYPE($A300)=1,"",(Update!$J298-J$1)/J$2*K300/$K$1)</f>
        <v>-0.09905992065</v>
      </c>
      <c r="K300" s="121">
        <f>IF(TYPE($A300)=1,"",IF(Update!J298=0,0,Update!I298/Update!J298))</f>
        <v>0.8</v>
      </c>
      <c r="L300" s="119">
        <f>IF(TYPE($A300)=1,"",-(Update!$Q298-L$1)/L$2)</f>
        <v>1.483597023</v>
      </c>
      <c r="N300" s="33">
        <v>280.0</v>
      </c>
      <c r="O300" s="130" t="str">
        <f>IF(Update!B271="",ROW(Update!B271),Update!B271)</f>
        <v>Leonard Miller</v>
      </c>
      <c r="P300" s="131">
        <f>Update!E271</f>
        <v>68</v>
      </c>
      <c r="Q300" s="131" t="str">
        <f>IF(Update!C271="",ROW(Update!N286),Update!C271)</f>
        <v>SF</v>
      </c>
      <c r="R300" s="127">
        <f>VLOOKUP($O300,'NO USAR1'!$A$4:$L$403,2,False)+VLOOKUP($O300,'NO USAR1'!$A$4:$L$403,3,False)+VLOOKUP($O300,'NO USAR1'!$A$4:$L$403,4,False)+VLOOKUP($O300,'NO USAR1'!$A$4:$L$403,5,False)+VLOOKUP($O300,'NO USAR1'!$A$4:$L$403,6,False)+VLOOKUP($O300,'NO USAR1'!$A$4:$L$403,7,False)+VLOOKUP($O300,'NO USAR1'!$A$4:$L$403,8,False)+VLOOKUP($O300,'NO USAR1'!$A$4:$L$403,10,False)+VLOOKUP($O300,'NO USAR1'!$A$4:$L$403,12,False)*0</f>
        <v>-7.616325774</v>
      </c>
      <c r="S300" s="127">
        <f>VLOOKUP($O300,'NO USAR1'!$A$4:$L$403,2,False)*$U$19+VLOOKUP($O300,'NO USAR1'!$A$4:$L$403,3,False)*$V$19+VLOOKUP($O300,'NO USAR1'!$A$4:$L$403,4,False)*$W$19+VLOOKUP($O300,'NO USAR1'!$A$4:$L$403,5,False)*$X$19+VLOOKUP($O300,'NO USAR1'!$A$4:$L$403,6,False)*$Y$19+VLOOKUP($O300,'NO USAR1'!$A$4:$L$403,7,False)*$Z$19+VLOOKUP($O300,'NO USAR1'!$A$4:$L$403,8,False)*$AA$19+VLOOKUP($O300,'NO USAR1'!$A$4:$L$403,10,False)*$AB$19+VLOOKUP($O300,'NO USAR1'!$A$4:$L$403,12,False)*$AC$19+IF(Projections!$K$3,-AN300, IF(Projections!$J$3,-AM300,0))</f>
        <v>-4.759644932</v>
      </c>
      <c r="T300" s="127">
        <f t="shared" si="1"/>
        <v>2.856680842</v>
      </c>
      <c r="U300" s="127">
        <f>VLOOKUP($O300,Update!$B$2:$R$401,11,False)</f>
        <v>7.5</v>
      </c>
      <c r="V300" s="122">
        <f>VLOOKUP($O300,Update!$B$2:$R$401,10,False)</f>
        <v>0.6</v>
      </c>
      <c r="W300" s="127">
        <f>VLOOKUP($O300,Update!$B$2:$R$401,12,False)</f>
        <v>4.8</v>
      </c>
      <c r="X300" s="127">
        <f>VLOOKUP($O300,Update!$B$2:$R$401,13,False)</f>
        <v>1.3</v>
      </c>
      <c r="Y300" s="127">
        <f>VLOOKUP($O300,Update!$B$2:$R$401,14,False)</f>
        <v>0.4</v>
      </c>
      <c r="Z300" s="132">
        <f>VLOOKUP($O300,Update!$B$2:$R$401,15,False)</f>
        <v>0.3</v>
      </c>
      <c r="AA300" s="127">
        <f>100*VLOOKUP($O300,Update!$B$2:$R$401,7,False)</f>
        <v>46.66666667</v>
      </c>
      <c r="AB300" s="127">
        <f>100*VLOOKUP($O300,Update!$B$2:$R$401,9,False)</f>
        <v>70.58823529</v>
      </c>
      <c r="AC300" s="127">
        <f>VLOOKUP($O300,Update!$B$2:$Q$401,16,False)</f>
        <v>0.9</v>
      </c>
      <c r="AD300" s="127">
        <f>VLOOKUP($O300,'NO USAR1'!$A$4:$L$403,2,False)*$U$19</f>
        <v>-1.644255685</v>
      </c>
      <c r="AE300" s="127">
        <f>VLOOKUP($O300,'NO USAR1'!$A$4:$L$403,3,False)*$V$19</f>
        <v>-0.9058605394</v>
      </c>
      <c r="AF300" s="127">
        <f>VLOOKUP($O300,'NO USAR1'!$A$4:$L$403,4,False)*$W$19</f>
        <v>-0.5416484242</v>
      </c>
      <c r="AG300" s="127">
        <f>VLOOKUP($O300,'NO USAR1'!$A$4:$L$403,5,False)*$X$19</f>
        <v>-1.297502595</v>
      </c>
      <c r="AH300" s="127">
        <f>VLOOKUP($O300,'NO USAR1'!$A$4:$L$403,6,False)*$Y$19</f>
        <v>-1.296670077</v>
      </c>
      <c r="AI300" s="127">
        <f>VLOOKUP($O300,'NO USAR1'!$A$4:$L$403,7,False)*$Z$19</f>
        <v>-0.5270142365</v>
      </c>
      <c r="AJ300" s="127">
        <f>VLOOKUP($O300,'NO USAR1'!$A$4:$L$403,8,False)*$AA$19</f>
        <v>-0.1757069232</v>
      </c>
      <c r="AK300" s="132">
        <f>VLOOKUP($O300,'NO USAR1'!$A$4:$L$403,10,False)*$AB$19</f>
        <v>-0.3550951373</v>
      </c>
      <c r="AL300" s="127">
        <f>VLOOKUP($O300,'NO USAR1'!$A$4:$L$403,12,False)*$AC$19</f>
        <v>0.3398530011</v>
      </c>
      <c r="AM300" s="133">
        <f t="shared" si="2"/>
        <v>-1.644255685</v>
      </c>
      <c r="AN300" s="133">
        <f t="shared" si="3"/>
        <v>-2.94175828</v>
      </c>
    </row>
    <row r="301">
      <c r="A301" s="118" t="str">
        <f>IF(Update!B299="",ROW(Update!B299),Update!B299)</f>
        <v>Joe Ingles</v>
      </c>
      <c r="B301" s="119">
        <f>IF(TYPE($A301)=1,"",(Update!$L299-B$1)/B$2)</f>
        <v>-2.065571627</v>
      </c>
      <c r="C301" s="119">
        <f>IF(TYPE($A301)=1,"",(Update!$K299-C$1)/C$2)</f>
        <v>-0.3320782095</v>
      </c>
      <c r="D301" s="119">
        <f>IF(TYPE($A301)=1,"",(Update!$M299-D$1)/D$2)</f>
        <v>-1.71247878</v>
      </c>
      <c r="E301" s="119">
        <f>IF(TYPE($A301)=1,"",(Update!$N299-E$1)/E$2)</f>
        <v>-0.6695232089</v>
      </c>
      <c r="F301" s="119">
        <f>IF(TYPE($A301)=1,"",(Update!$O299-F$1)/F$2)</f>
        <v>-1.852385824</v>
      </c>
      <c r="G301" s="119">
        <f>IF(TYPE($A301)=1,"",(Update!$P299-G$1)/G$2)</f>
        <v>-1.128065594</v>
      </c>
      <c r="H301" s="119">
        <f>IF(TYPE($A301)=1,"",(Update!$H299-H$1)/H$2*I301/$I$1)</f>
        <v>-0.3142369454</v>
      </c>
      <c r="I301" s="119">
        <f>IF(TYPE($A301)=1,"",IF(Update!H299=0,0,Update!G299/Update!H299))</f>
        <v>4.2</v>
      </c>
      <c r="J301" s="120">
        <f>IF(TYPE($A301)=1,"",(Update!$J299-J$1)/J$2*K301/$K$1)</f>
        <v>0.1962191199</v>
      </c>
      <c r="K301" s="121">
        <f>IF(TYPE($A301)=1,"",IF(Update!J299=0,0,Update!I299/Update!J299))</f>
        <v>0.3</v>
      </c>
      <c r="L301" s="119">
        <f>IF(TYPE($A301)=1,"",-(Update!$Q299-L$1)/L$2)</f>
        <v>1.483597023</v>
      </c>
      <c r="N301" s="33">
        <v>281.0</v>
      </c>
      <c r="O301" s="130" t="str">
        <f>IF(Update!B314="",ROW(Update!B314),Update!B314)</f>
        <v>Bilal Coulibaly</v>
      </c>
      <c r="P301" s="131">
        <f>Update!E314</f>
        <v>70</v>
      </c>
      <c r="Q301" s="131" t="str">
        <f>IF(Update!C314="",ROW(Update!N329),Update!C314)</f>
        <v>SF</v>
      </c>
      <c r="R301" s="127">
        <f>VLOOKUP($O301,'NO USAR1'!$A$4:$L$403,2,False)+VLOOKUP($O301,'NO USAR1'!$A$4:$L$403,3,False)+VLOOKUP($O301,'NO USAR1'!$A$4:$L$403,4,False)+VLOOKUP($O301,'NO USAR1'!$A$4:$L$403,5,False)+VLOOKUP($O301,'NO USAR1'!$A$4:$L$403,6,False)+VLOOKUP($O301,'NO USAR1'!$A$4:$L$403,7,False)+VLOOKUP($O301,'NO USAR1'!$A$4:$L$403,8,False)+VLOOKUP($O301,'NO USAR1'!$A$4:$L$403,10,False)+VLOOKUP($O301,'NO USAR1'!$A$4:$L$403,12,False)*0</f>
        <v>-7.643128956</v>
      </c>
      <c r="S301" s="127">
        <f>VLOOKUP($O301,'NO USAR1'!$A$4:$L$403,2,False)*$U$19+VLOOKUP($O301,'NO USAR1'!$A$4:$L$403,3,False)*$V$19+VLOOKUP($O301,'NO USAR1'!$A$4:$L$403,4,False)*$W$19+VLOOKUP($O301,'NO USAR1'!$A$4:$L$403,5,False)*$X$19+VLOOKUP($O301,'NO USAR1'!$A$4:$L$403,6,False)*$Y$19+VLOOKUP($O301,'NO USAR1'!$A$4:$L$403,7,False)*$Z$19+VLOOKUP($O301,'NO USAR1'!$A$4:$L$403,8,False)*$AA$19+VLOOKUP($O301,'NO USAR1'!$A$4:$L$403,10,False)*$AB$19+VLOOKUP($O301,'NO USAR1'!$A$4:$L$403,12,False)*$AC$19+IF(Projections!$K$3,-AN301, IF(Projections!$J$3,-AM301,0))</f>
        <v>-5.086037561</v>
      </c>
      <c r="T301" s="127">
        <f t="shared" si="1"/>
        <v>2.557091395</v>
      </c>
      <c r="U301" s="127">
        <f>VLOOKUP($O301,Update!$B$2:$R$401,11,False)</f>
        <v>8.4</v>
      </c>
      <c r="V301" s="122">
        <f>VLOOKUP($O301,Update!$B$2:$R$401,10,False)</f>
        <v>0.6</v>
      </c>
      <c r="W301" s="127">
        <f>VLOOKUP($O301,Update!$B$2:$R$401,12,False)</f>
        <v>3.8</v>
      </c>
      <c r="X301" s="127">
        <f>VLOOKUP($O301,Update!$B$2:$R$401,13,False)</f>
        <v>1.8</v>
      </c>
      <c r="Y301" s="127">
        <f>VLOOKUP($O301,Update!$B$2:$R$401,14,False)</f>
        <v>0.6</v>
      </c>
      <c r="Z301" s="132">
        <f>VLOOKUP($O301,Update!$B$2:$R$401,15,False)</f>
        <v>0.2</v>
      </c>
      <c r="AA301" s="127">
        <f>100*VLOOKUP($O301,Update!$B$2:$R$401,7,False)</f>
        <v>42.85714286</v>
      </c>
      <c r="AB301" s="127">
        <f>100*VLOOKUP($O301,Update!$B$2:$R$401,9,False)</f>
        <v>72</v>
      </c>
      <c r="AC301" s="127">
        <f>VLOOKUP($O301,Update!$B$2:$Q$401,16,False)</f>
        <v>1.2</v>
      </c>
      <c r="AD301" s="127">
        <f>VLOOKUP($O301,'NO USAR1'!$A$4:$L$403,2,False)*$U$19</f>
        <v>-1.492581945</v>
      </c>
      <c r="AE301" s="127">
        <f>VLOOKUP($O301,'NO USAR1'!$A$4:$L$403,3,False)*$V$19</f>
        <v>-0.9058605394</v>
      </c>
      <c r="AF301" s="127">
        <f>VLOOKUP($O301,'NO USAR1'!$A$4:$L$403,4,False)*$W$19</f>
        <v>-0.9598021228</v>
      </c>
      <c r="AG301" s="127">
        <f>VLOOKUP($O301,'NO USAR1'!$A$4:$L$403,5,False)*$X$19</f>
        <v>-1.042490293</v>
      </c>
      <c r="AH301" s="127">
        <f>VLOOKUP($O301,'NO USAR1'!$A$4:$L$403,6,False)*$Y$19</f>
        <v>-0.8605702752</v>
      </c>
      <c r="AI301" s="127">
        <f>VLOOKUP($O301,'NO USAR1'!$A$4:$L$403,7,False)*$Z$19</f>
        <v>-0.6583300762</v>
      </c>
      <c r="AJ301" s="127">
        <f>VLOOKUP($O301,'NO USAR1'!$A$4:$L$403,8,False)*$AA$19</f>
        <v>-0.4713554182</v>
      </c>
      <c r="AK301" s="132">
        <f>VLOOKUP($O301,'NO USAR1'!$A$4:$L$403,10,False)*$AB$19</f>
        <v>-0.4343430738</v>
      </c>
      <c r="AL301" s="127">
        <f>VLOOKUP($O301,'NO USAR1'!$A$4:$L$403,12,False)*$AC$19</f>
        <v>0.2467142371</v>
      </c>
      <c r="AM301" s="133">
        <f t="shared" si="2"/>
        <v>-1.492581945</v>
      </c>
      <c r="AN301" s="133">
        <f t="shared" si="3"/>
        <v>-2.535072238</v>
      </c>
    </row>
    <row r="302">
      <c r="A302" s="118" t="str">
        <f>IF(Update!B300="",ROW(Update!B300),Update!B300)</f>
        <v>Danny Green</v>
      </c>
      <c r="B302" s="119">
        <f>IF(TYPE($A302)=1,"",(Update!$L300-B$1)/B$2)</f>
        <v>-2.200392728</v>
      </c>
      <c r="C302" s="119">
        <f>IF(TYPE($A302)=1,"",(Update!$K300-C$1)/C$2)</f>
        <v>-0.4284258525</v>
      </c>
      <c r="D302" s="119">
        <f>IF(TYPE($A302)=1,"",(Update!$M300-D$1)/D$2)</f>
        <v>-1.83792489</v>
      </c>
      <c r="E302" s="119">
        <f>IF(TYPE($A302)=1,"",(Update!$N300-E$1)/E$2)</f>
        <v>-1.457743053</v>
      </c>
      <c r="F302" s="119">
        <f>IF(TYPE($A302)=1,"",(Update!$O300-F$1)/F$2)</f>
        <v>-0.9178862491</v>
      </c>
      <c r="G302" s="119">
        <f>IF(TYPE($A302)=1,"",(Update!$P300-G$1)/G$2)</f>
        <v>-0.5652834241</v>
      </c>
      <c r="H302" s="119">
        <f>IF(TYPE($A302)=1,"",(Update!$H300-H$1)/H$2*I302/$I$1)</f>
        <v>-0.4278959579</v>
      </c>
      <c r="I302" s="119">
        <f>IF(TYPE($A302)=1,"",IF(Update!H300=0,0,Update!G300/Update!H300))</f>
        <v>3.6</v>
      </c>
      <c r="J302" s="120">
        <f>IF(TYPE($A302)=1,"",(Update!$J300-J$1)/J$2*K302/$K$1)</f>
        <v>-0.180342707</v>
      </c>
      <c r="K302" s="121">
        <f>IF(TYPE($A302)=1,"",IF(Update!J300=0,0,Update!I300/Update!J300))</f>
        <v>0.2</v>
      </c>
      <c r="L302" s="119">
        <f>IF(TYPE($A302)=1,"",-(Update!$Q300-L$1)/L$2)</f>
        <v>1.856152079</v>
      </c>
      <c r="N302" s="124">
        <v>282.0</v>
      </c>
      <c r="O302" s="130" t="str">
        <f>IF(Update!B273="",ROW(Update!B273),Update!B273)</f>
        <v>Robert Covington</v>
      </c>
      <c r="P302" s="131">
        <f>Update!E273</f>
        <v>33</v>
      </c>
      <c r="Q302" s="131" t="str">
        <f>IF(Update!C273="",ROW(Update!N288),Update!C273)</f>
        <v>SF,PF</v>
      </c>
      <c r="R302" s="127">
        <f>VLOOKUP($O302,'NO USAR1'!$A$4:$L$403,2,False)+VLOOKUP($O302,'NO USAR1'!$A$4:$L$403,3,False)+VLOOKUP($O302,'NO USAR1'!$A$4:$L$403,4,False)+VLOOKUP($O302,'NO USAR1'!$A$4:$L$403,5,False)+VLOOKUP($O302,'NO USAR1'!$A$4:$L$403,6,False)+VLOOKUP($O302,'NO USAR1'!$A$4:$L$403,7,False)+VLOOKUP($O302,'NO USAR1'!$A$4:$L$403,8,False)+VLOOKUP($O302,'NO USAR1'!$A$4:$L$403,10,False)+VLOOKUP($O302,'NO USAR1'!$A$4:$L$403,12,False)*0</f>
        <v>-7.658567237</v>
      </c>
      <c r="S302" s="127">
        <f>VLOOKUP($O302,'NO USAR1'!$A$4:$L$403,2,False)*$U$19+VLOOKUP($O302,'NO USAR1'!$A$4:$L$403,3,False)*$V$19+VLOOKUP($O302,'NO USAR1'!$A$4:$L$403,4,False)*$W$19+VLOOKUP($O302,'NO USAR1'!$A$4:$L$403,5,False)*$X$19+VLOOKUP($O302,'NO USAR1'!$A$4:$L$403,6,False)*$Y$19+VLOOKUP($O302,'NO USAR1'!$A$4:$L$403,7,False)*$Z$19+VLOOKUP($O302,'NO USAR1'!$A$4:$L$403,8,False)*$AA$19+VLOOKUP($O302,'NO USAR1'!$A$4:$L$403,10,False)*$AB$19+VLOOKUP($O302,'NO USAR1'!$A$4:$L$403,12,False)*$AC$19+IF(Projections!$K$3,-AN302, IF(Projections!$J$3,-AM302,0))</f>
        <v>-4.592731826</v>
      </c>
      <c r="T302" s="127">
        <f t="shared" si="1"/>
        <v>3.065835412</v>
      </c>
      <c r="U302" s="127">
        <f>VLOOKUP($O302,Update!$B$2:$R$401,11,False)</f>
        <v>4.1</v>
      </c>
      <c r="V302" s="122">
        <f>VLOOKUP($O302,Update!$B$2:$R$401,10,False)</f>
        <v>0.8</v>
      </c>
      <c r="W302" s="127">
        <f>VLOOKUP($O302,Update!$B$2:$R$401,12,False)</f>
        <v>2.5</v>
      </c>
      <c r="X302" s="127">
        <f>VLOOKUP($O302,Update!$B$2:$R$401,13,False)</f>
        <v>0.7</v>
      </c>
      <c r="Y302" s="127">
        <f>VLOOKUP($O302,Update!$B$2:$R$401,14,False)</f>
        <v>0.6</v>
      </c>
      <c r="Z302" s="132">
        <f>VLOOKUP($O302,Update!$B$2:$R$401,15,False)</f>
        <v>0.6</v>
      </c>
      <c r="AA302" s="127">
        <f>100*VLOOKUP($O302,Update!$B$2:$R$401,7,False)</f>
        <v>42.42424242</v>
      </c>
      <c r="AB302" s="127">
        <f>100*VLOOKUP($O302,Update!$B$2:$R$401,9,False)</f>
        <v>80</v>
      </c>
      <c r="AC302" s="127">
        <f>VLOOKUP($O302,Update!$B$2:$Q$401,16,False)</f>
        <v>0.5</v>
      </c>
      <c r="AD302" s="127">
        <f>VLOOKUP($O302,'NO USAR1'!$A$4:$L$403,2,False)*$U$19</f>
        <v>-2.217245366</v>
      </c>
      <c r="AE302" s="127">
        <f>VLOOKUP($O302,'NO USAR1'!$A$4:$L$403,3,False)*$V$19</f>
        <v>-0.7324347821</v>
      </c>
      <c r="AF302" s="127">
        <f>VLOOKUP($O302,'NO USAR1'!$A$4:$L$403,4,False)*$W$19</f>
        <v>-1.503401931</v>
      </c>
      <c r="AG302" s="127">
        <f>VLOOKUP($O302,'NO USAR1'!$A$4:$L$403,5,False)*$X$19</f>
        <v>-1.603517358</v>
      </c>
      <c r="AH302" s="127">
        <f>VLOOKUP($O302,'NO USAR1'!$A$4:$L$403,6,False)*$Y$19</f>
        <v>-0.8605702752</v>
      </c>
      <c r="AI302" s="127">
        <f>VLOOKUP($O302,'NO USAR1'!$A$4:$L$403,7,False)*$Z$19</f>
        <v>-0.1330667175</v>
      </c>
      <c r="AJ302" s="127">
        <f>VLOOKUP($O302,'NO USAR1'!$A$4:$L$403,8,False)*$AA$19</f>
        <v>-0.2364799118</v>
      </c>
      <c r="AK302" s="132">
        <f>VLOOKUP($O302,'NO USAR1'!$A$4:$L$403,10,False)*$AB$19</f>
        <v>0.01270113039</v>
      </c>
      <c r="AL302" s="127">
        <f>VLOOKUP($O302,'NO USAR1'!$A$4:$L$403,12,False)*$AC$19</f>
        <v>0.4640380197</v>
      </c>
      <c r="AM302" s="133">
        <f t="shared" si="2"/>
        <v>-2.217245366</v>
      </c>
      <c r="AN302" s="133">
        <f t="shared" si="3"/>
        <v>-3.820762725</v>
      </c>
    </row>
    <row r="303">
      <c r="A303" s="118" t="str">
        <f>IF(Update!B301="",ROW(Update!B301),Update!B301)</f>
        <v>Christian Koloko</v>
      </c>
      <c r="B303" s="119">
        <f>IF(TYPE($A303)=1,"",(Update!$L301-B$1)/B$2)</f>
        <v>-2.33521383</v>
      </c>
      <c r="C303" s="119">
        <f>IF(TYPE($A303)=1,"",(Update!$K301-C$1)/C$2)</f>
        <v>-1.584597568</v>
      </c>
      <c r="D303" s="119">
        <f>IF(TYPE($A303)=1,"",(Update!$M301-D$1)/D$2)</f>
        <v>-1.210694342</v>
      </c>
      <c r="E303" s="119">
        <f>IF(TYPE($A303)=1,"",(Update!$N301-E$1)/E$2)</f>
        <v>-1.504108926</v>
      </c>
      <c r="F303" s="119">
        <f>IF(TYPE($A303)=1,"",(Update!$O301-F$1)/F$2)</f>
        <v>-1.852385824</v>
      </c>
      <c r="G303" s="119">
        <f>IF(TYPE($A303)=1,"",(Update!$P301-G$1)/G$2)</f>
        <v>0.7478749726</v>
      </c>
      <c r="H303" s="119">
        <f>IF(TYPE($A303)=1,"",(Update!$H301-H$1)/H$2*I303/$I$1)</f>
        <v>-0.09850629371</v>
      </c>
      <c r="I303" s="119">
        <f>IF(TYPE($A303)=1,"",IF(Update!H301=0,0,Update!G301/Update!H301))</f>
        <v>2.8</v>
      </c>
      <c r="J303" s="120">
        <f>IF(TYPE($A303)=1,"",(Update!$J301-J$1)/J$2*K303/$K$1)</f>
        <v>-0.5251517079</v>
      </c>
      <c r="K303" s="121">
        <f>IF(TYPE($A303)=1,"",IF(Update!J301=0,0,Update!I301/Update!J301))</f>
        <v>1.1</v>
      </c>
      <c r="L303" s="119">
        <f>IF(TYPE($A303)=1,"",-(Update!$Q301-L$1)/L$2)</f>
        <v>1.980337098</v>
      </c>
      <c r="N303" s="124">
        <v>283.0</v>
      </c>
      <c r="O303" s="130" t="str">
        <f>IF(Update!B291="",ROW(Update!B291),Update!B291)</f>
        <v>Nikola Jovic</v>
      </c>
      <c r="P303" s="131">
        <f>Update!E291</f>
        <v>64</v>
      </c>
      <c r="Q303" s="131" t="str">
        <f>IF(Update!C291="",ROW(Update!N306),Update!C291)</f>
        <v>PF,C</v>
      </c>
      <c r="R303" s="127">
        <f>VLOOKUP($O303,'NO USAR1'!$A$4:$L$403,2,False)+VLOOKUP($O303,'NO USAR1'!$A$4:$L$403,3,False)+VLOOKUP($O303,'NO USAR1'!$A$4:$L$403,4,False)+VLOOKUP($O303,'NO USAR1'!$A$4:$L$403,5,False)+VLOOKUP($O303,'NO USAR1'!$A$4:$L$403,6,False)+VLOOKUP($O303,'NO USAR1'!$A$4:$L$403,7,False)+VLOOKUP($O303,'NO USAR1'!$A$4:$L$403,8,False)+VLOOKUP($O303,'NO USAR1'!$A$4:$L$403,10,False)+VLOOKUP($O303,'NO USAR1'!$A$4:$L$403,12,False)*0</f>
        <v>-7.665936314</v>
      </c>
      <c r="S303" s="127">
        <f>VLOOKUP($O303,'NO USAR1'!$A$4:$L$403,2,False)*$U$19+VLOOKUP($O303,'NO USAR1'!$A$4:$L$403,3,False)*$V$19+VLOOKUP($O303,'NO USAR1'!$A$4:$L$403,4,False)*$W$19+VLOOKUP($O303,'NO USAR1'!$A$4:$L$403,5,False)*$X$19+VLOOKUP($O303,'NO USAR1'!$A$4:$L$403,6,False)*$Y$19+VLOOKUP($O303,'NO USAR1'!$A$4:$L$403,7,False)*$Z$19+VLOOKUP($O303,'NO USAR1'!$A$4:$L$403,8,False)*$AA$19+VLOOKUP($O303,'NO USAR1'!$A$4:$L$403,10,False)*$AB$19+VLOOKUP($O303,'NO USAR1'!$A$4:$L$403,12,False)*$AC$19+IF(Projections!$K$3,-AN303, IF(Projections!$J$3,-AM303,0))</f>
        <v>-5.016198749</v>
      </c>
      <c r="T303" s="127">
        <f t="shared" si="1"/>
        <v>2.649737566</v>
      </c>
      <c r="U303" s="127">
        <f>VLOOKUP($O303,Update!$B$2:$R$401,11,False)</f>
        <v>7</v>
      </c>
      <c r="V303" s="122">
        <f>VLOOKUP($O303,Update!$B$2:$R$401,10,False)</f>
        <v>0.7</v>
      </c>
      <c r="W303" s="127">
        <f>VLOOKUP($O303,Update!$B$2:$R$401,12,False)</f>
        <v>2.6</v>
      </c>
      <c r="X303" s="127">
        <f>VLOOKUP($O303,Update!$B$2:$R$401,13,False)</f>
        <v>0.8</v>
      </c>
      <c r="Y303" s="127">
        <f>VLOOKUP($O303,Update!$B$2:$R$401,14,False)</f>
        <v>0.6</v>
      </c>
      <c r="Z303" s="132">
        <f>VLOOKUP($O303,Update!$B$2:$R$401,15,False)</f>
        <v>0.2</v>
      </c>
      <c r="AA303" s="127">
        <f>100*VLOOKUP($O303,Update!$B$2:$R$401,7,False)</f>
        <v>42.10526316</v>
      </c>
      <c r="AB303" s="127">
        <f>100*VLOOKUP($O303,Update!$B$2:$R$401,9,False)</f>
        <v>88.23529412</v>
      </c>
      <c r="AC303" s="127">
        <f>VLOOKUP($O303,Update!$B$2:$Q$401,16,False)</f>
        <v>0.8</v>
      </c>
      <c r="AD303" s="127">
        <f>VLOOKUP($O303,'NO USAR1'!$A$4:$L$403,2,False)*$U$19</f>
        <v>-1.728518873</v>
      </c>
      <c r="AE303" s="127">
        <f>VLOOKUP($O303,'NO USAR1'!$A$4:$L$403,3,False)*$V$19</f>
        <v>-0.8191476607</v>
      </c>
      <c r="AF303" s="127">
        <f>VLOOKUP($O303,'NO USAR1'!$A$4:$L$403,4,False)*$W$19</f>
        <v>-1.461586561</v>
      </c>
      <c r="AG303" s="127">
        <f>VLOOKUP($O303,'NO USAR1'!$A$4:$L$403,5,False)*$X$19</f>
        <v>-1.552514898</v>
      </c>
      <c r="AH303" s="127">
        <f>VLOOKUP($O303,'NO USAR1'!$A$4:$L$403,6,False)*$Y$19</f>
        <v>-0.8605702752</v>
      </c>
      <c r="AI303" s="127">
        <f>VLOOKUP($O303,'NO USAR1'!$A$4:$L$403,7,False)*$Z$19</f>
        <v>-0.6583300762</v>
      </c>
      <c r="AJ303" s="127">
        <f>VLOOKUP($O303,'NO USAR1'!$A$4:$L$403,8,False)*$AA$19</f>
        <v>-0.4266264846</v>
      </c>
      <c r="AK303" s="132">
        <f>VLOOKUP($O303,'NO USAR1'!$A$4:$L$403,10,False)*$AB$19</f>
        <v>0.3916779513</v>
      </c>
      <c r="AL303" s="127">
        <f>VLOOKUP($O303,'NO USAR1'!$A$4:$L$403,12,False)*$AC$19</f>
        <v>0.3708992557</v>
      </c>
      <c r="AM303" s="133">
        <f t="shared" si="2"/>
        <v>-1.728518873</v>
      </c>
      <c r="AN303" s="133">
        <f t="shared" si="3"/>
        <v>-3.281033771</v>
      </c>
    </row>
    <row r="304">
      <c r="A304" s="118" t="str">
        <f>IF(Update!B302="",ROW(Update!B302),Update!B302)</f>
        <v>Jaime Jaquez Jr.</v>
      </c>
      <c r="B304" s="119">
        <f>IF(TYPE($A304)=1,"",(Update!$L302-B$1)/B$2)</f>
        <v>-1.67796096</v>
      </c>
      <c r="C304" s="119">
        <f>IF(TYPE($A304)=1,"",(Update!$K302-C$1)/C$2)</f>
        <v>-1.199206996</v>
      </c>
      <c r="D304" s="119">
        <f>IF(TYPE($A304)=1,"",(Update!$M302-D$1)/D$2)</f>
        <v>-1.503401931</v>
      </c>
      <c r="E304" s="119">
        <f>IF(TYPE($A304)=1,"",(Update!$N302-E$1)/E$2)</f>
        <v>-1.086816068</v>
      </c>
      <c r="F304" s="119">
        <f>IF(TYPE($A304)=1,"",(Update!$O302-F$1)/F$2)</f>
        <v>-1.229386107</v>
      </c>
      <c r="G304" s="119">
        <f>IF(TYPE($A304)=1,"",(Update!$P302-G$1)/G$2)</f>
        <v>-0.9404715375</v>
      </c>
      <c r="H304" s="119">
        <f>IF(TYPE($A304)=1,"",(Update!$H302-H$1)/H$2*I304/$I$1)</f>
        <v>-0.3062149179</v>
      </c>
      <c r="I304" s="119">
        <f>IF(TYPE($A304)=1,"",IF(Update!H302=0,0,Update!G302/Update!H302))</f>
        <v>6</v>
      </c>
      <c r="J304" s="120">
        <f>IF(TYPE($A304)=1,"",(Update!$J302-J$1)/J$2*K304/$K$1)</f>
        <v>-0.001900721358</v>
      </c>
      <c r="K304" s="121">
        <f>IF(TYPE($A304)=1,"",IF(Update!J302=0,0,Update!I302/Update!J302))</f>
        <v>1.9</v>
      </c>
      <c r="L304" s="119">
        <f>IF(TYPE($A304)=1,"",-(Update!$Q302-L$1)/L$2)</f>
        <v>1.483597023</v>
      </c>
      <c r="N304" s="33">
        <v>284.0</v>
      </c>
      <c r="O304" s="130" t="str">
        <f>IF(Update!B286="",ROW(Update!B286),Update!B286)</f>
        <v>Jordan Hawkins</v>
      </c>
      <c r="P304" s="131">
        <f>Update!E286</f>
        <v>72</v>
      </c>
      <c r="Q304" s="131" t="str">
        <f>IF(Update!C286="",ROW(Update!N301),Update!C286)</f>
        <v>SG</v>
      </c>
      <c r="R304" s="127">
        <f>VLOOKUP($O304,'NO USAR1'!$A$4:$L$403,2,False)+VLOOKUP($O304,'NO USAR1'!$A$4:$L$403,3,False)+VLOOKUP($O304,'NO USAR1'!$A$4:$L$403,4,False)+VLOOKUP($O304,'NO USAR1'!$A$4:$L$403,5,False)+VLOOKUP($O304,'NO USAR1'!$A$4:$L$403,6,False)+VLOOKUP($O304,'NO USAR1'!$A$4:$L$403,7,False)+VLOOKUP($O304,'NO USAR1'!$A$4:$L$403,8,False)+VLOOKUP($O304,'NO USAR1'!$A$4:$L$403,10,False)+VLOOKUP($O304,'NO USAR1'!$A$4:$L$403,12,False)*0</f>
        <v>-7.688363135</v>
      </c>
      <c r="S304" s="127">
        <f>VLOOKUP($O304,'NO USAR1'!$A$4:$L$403,2,False)*$U$19+VLOOKUP($O304,'NO USAR1'!$A$4:$L$403,3,False)*$V$19+VLOOKUP($O304,'NO USAR1'!$A$4:$L$403,4,False)*$W$19+VLOOKUP($O304,'NO USAR1'!$A$4:$L$403,5,False)*$X$19+VLOOKUP($O304,'NO USAR1'!$A$4:$L$403,6,False)*$Y$19+VLOOKUP($O304,'NO USAR1'!$A$4:$L$403,7,False)*$Z$19+VLOOKUP($O304,'NO USAR1'!$A$4:$L$403,8,False)*$AA$19+VLOOKUP($O304,'NO USAR1'!$A$4:$L$403,10,False)*$AB$19+VLOOKUP($O304,'NO USAR1'!$A$4:$L$403,12,False)*$AC$19+IF(Projections!$K$3,-AN304, IF(Projections!$J$3,-AM304,0))</f>
        <v>-4.784074858</v>
      </c>
      <c r="T304" s="127">
        <f t="shared" si="1"/>
        <v>2.904288278</v>
      </c>
      <c r="U304" s="127">
        <f>VLOOKUP($O304,Update!$B$2:$R$401,11,False)</f>
        <v>7.3</v>
      </c>
      <c r="V304" s="122">
        <f>VLOOKUP($O304,Update!$B$2:$R$401,10,False)</f>
        <v>1.7</v>
      </c>
      <c r="W304" s="127">
        <f>VLOOKUP($O304,Update!$B$2:$R$401,12,False)</f>
        <v>1.9</v>
      </c>
      <c r="X304" s="127">
        <f>VLOOKUP($O304,Update!$B$2:$R$401,13,False)</f>
        <v>1</v>
      </c>
      <c r="Y304" s="127">
        <f>VLOOKUP($O304,Update!$B$2:$R$401,14,False)</f>
        <v>0.5</v>
      </c>
      <c r="Z304" s="132">
        <f>VLOOKUP($O304,Update!$B$2:$R$401,15,False)</f>
        <v>0.1</v>
      </c>
      <c r="AA304" s="127">
        <f>100*VLOOKUP($O304,Update!$B$2:$R$401,7,False)</f>
        <v>42.85714286</v>
      </c>
      <c r="AB304" s="127">
        <f>100*VLOOKUP($O304,Update!$B$2:$R$401,9,False)</f>
        <v>81.81818182</v>
      </c>
      <c r="AC304" s="127">
        <f>VLOOKUP($O304,Update!$B$2:$Q$401,16,False)</f>
        <v>0.5</v>
      </c>
      <c r="AD304" s="127">
        <f>VLOOKUP($O304,'NO USAR1'!$A$4:$L$403,2,False)*$U$19</f>
        <v>-1.67796096</v>
      </c>
      <c r="AE304" s="127">
        <f>VLOOKUP($O304,'NO USAR1'!$A$4:$L$403,3,False)*$V$19</f>
        <v>0.04798112621</v>
      </c>
      <c r="AF304" s="127">
        <f>VLOOKUP($O304,'NO USAR1'!$A$4:$L$403,4,False)*$W$19</f>
        <v>-1.75429415</v>
      </c>
      <c r="AG304" s="127">
        <f>VLOOKUP($O304,'NO USAR1'!$A$4:$L$403,5,False)*$X$19</f>
        <v>-1.450509977</v>
      </c>
      <c r="AH304" s="127">
        <f>VLOOKUP($O304,'NO USAR1'!$A$4:$L$403,6,False)*$Y$19</f>
        <v>-1.078620176</v>
      </c>
      <c r="AI304" s="127">
        <f>VLOOKUP($O304,'NO USAR1'!$A$4:$L$403,7,False)*$Z$19</f>
        <v>-0.7896459159</v>
      </c>
      <c r="AJ304" s="127">
        <f>VLOOKUP($O304,'NO USAR1'!$A$4:$L$403,8,False)*$AA$19</f>
        <v>-0.3770843345</v>
      </c>
      <c r="AK304" s="132">
        <f>VLOOKUP($O304,'NO USAR1'!$A$4:$L$403,10,False)*$AB$19</f>
        <v>0.07772735943</v>
      </c>
      <c r="AL304" s="127">
        <f>VLOOKUP($O304,'NO USAR1'!$A$4:$L$403,12,False)*$AC$19</f>
        <v>0.4640380197</v>
      </c>
      <c r="AM304" s="133">
        <f t="shared" si="2"/>
        <v>-1.75429415</v>
      </c>
      <c r="AN304" s="133">
        <f t="shared" si="3"/>
        <v>-3.43225511</v>
      </c>
    </row>
    <row r="305">
      <c r="A305" s="118" t="str">
        <f>IF(Update!B303="",ROW(Update!B303),Update!B303)</f>
        <v>Dean Wade</v>
      </c>
      <c r="B305" s="119">
        <f>IF(TYPE($A305)=1,"",(Update!$L303-B$1)/B$2)</f>
        <v>-2.132982178</v>
      </c>
      <c r="C305" s="119">
        <f>IF(TYPE($A305)=1,"",(Update!$K303-C$1)/C$2)</f>
        <v>-0.7174687815</v>
      </c>
      <c r="D305" s="119">
        <f>IF(TYPE($A305)=1,"",(Update!$M303-D$1)/D$2)</f>
        <v>-1.336140451</v>
      </c>
      <c r="E305" s="119">
        <f>IF(TYPE($A305)=1,"",(Update!$N303-E$1)/E$2)</f>
        <v>-1.365011307</v>
      </c>
      <c r="F305" s="119">
        <f>IF(TYPE($A305)=1,"",(Update!$O303-F$1)/F$2)</f>
        <v>-1.229386107</v>
      </c>
      <c r="G305" s="119">
        <f>IF(TYPE($A305)=1,"",(Update!$P303-G$1)/G$2)</f>
        <v>-0.7528774808</v>
      </c>
      <c r="H305" s="119">
        <f>IF(TYPE($A305)=1,"",(Update!$H303-H$1)/H$2*I305/$I$1)</f>
        <v>-0.2600814484</v>
      </c>
      <c r="I305" s="119">
        <f>IF(TYPE($A305)=1,"",IF(Update!H303=0,0,Update!G303/Update!H303))</f>
        <v>3.9</v>
      </c>
      <c r="J305" s="120">
        <f>IF(TYPE($A305)=1,"",(Update!$J303-J$1)/J$2*K305/$K$1)</f>
        <v>-0.2952790406</v>
      </c>
      <c r="K305" s="121">
        <f>IF(TYPE($A305)=1,"",IF(Update!J303=0,0,Update!I303/Update!J303))</f>
        <v>0.5</v>
      </c>
      <c r="L305" s="119">
        <f>IF(TYPE($A305)=1,"",-(Update!$Q303-L$1)/L$2)</f>
        <v>2.104522116</v>
      </c>
      <c r="N305" s="33">
        <v>285.0</v>
      </c>
      <c r="O305" s="130" t="str">
        <f>IF(Update!B270="",ROW(Update!B270),Update!B270)</f>
        <v>Monte Morris</v>
      </c>
      <c r="P305" s="131">
        <f>Update!E270</f>
        <v>68</v>
      </c>
      <c r="Q305" s="131" t="str">
        <f>IF(Update!C270="",ROW(Update!N285),Update!C270)</f>
        <v>PG</v>
      </c>
      <c r="R305" s="127">
        <f>VLOOKUP($O305,'NO USAR1'!$A$4:$L$403,2,False)+VLOOKUP($O305,'NO USAR1'!$A$4:$L$403,3,False)+VLOOKUP($O305,'NO USAR1'!$A$4:$L$403,4,False)+VLOOKUP($O305,'NO USAR1'!$A$4:$L$403,5,False)+VLOOKUP($O305,'NO USAR1'!$A$4:$L$403,6,False)+VLOOKUP($O305,'NO USAR1'!$A$4:$L$403,7,False)+VLOOKUP($O305,'NO USAR1'!$A$4:$L$403,8,False)+VLOOKUP($O305,'NO USAR1'!$A$4:$L$403,10,False)+VLOOKUP($O305,'NO USAR1'!$A$4:$L$403,12,False)*0</f>
        <v>-7.71424862</v>
      </c>
      <c r="S305" s="127">
        <f>VLOOKUP($O305,'NO USAR1'!$A$4:$L$403,2,False)*$U$19+VLOOKUP($O305,'NO USAR1'!$A$4:$L$403,3,False)*$V$19+VLOOKUP($O305,'NO USAR1'!$A$4:$L$403,4,False)*$W$19+VLOOKUP($O305,'NO USAR1'!$A$4:$L$403,5,False)*$X$19+VLOOKUP($O305,'NO USAR1'!$A$4:$L$403,6,False)*$Y$19+VLOOKUP($O305,'NO USAR1'!$A$4:$L$403,7,False)*$Z$19+VLOOKUP($O305,'NO USAR1'!$A$4:$L$403,8,False)*$AA$19+VLOOKUP($O305,'NO USAR1'!$A$4:$L$403,10,False)*$AB$19+VLOOKUP($O305,'NO USAR1'!$A$4:$L$403,12,False)*$AC$19+IF(Projections!$K$3,-AN305, IF(Projections!$J$3,-AM305,0))</f>
        <v>-4.588316943</v>
      </c>
      <c r="T305" s="127">
        <f t="shared" si="1"/>
        <v>3.125931677</v>
      </c>
      <c r="U305" s="127">
        <f>VLOOKUP($O305,Update!$B$2:$R$401,11,False)</f>
        <v>6.6</v>
      </c>
      <c r="V305" s="122">
        <f>VLOOKUP($O305,Update!$B$2:$R$401,10,False)</f>
        <v>0.9</v>
      </c>
      <c r="W305" s="127">
        <f>VLOOKUP($O305,Update!$B$2:$R$401,12,False)</f>
        <v>1.8</v>
      </c>
      <c r="X305" s="127">
        <f>VLOOKUP($O305,Update!$B$2:$R$401,13,False)</f>
        <v>2.8</v>
      </c>
      <c r="Y305" s="127">
        <f>VLOOKUP($O305,Update!$B$2:$R$401,14,False)</f>
        <v>0.4</v>
      </c>
      <c r="Z305" s="132">
        <f>VLOOKUP($O305,Update!$B$2:$R$401,15,False)</f>
        <v>0.1</v>
      </c>
      <c r="AA305" s="127">
        <f>100*VLOOKUP($O305,Update!$B$2:$R$401,7,False)</f>
        <v>48.14814815</v>
      </c>
      <c r="AB305" s="127">
        <f>100*VLOOKUP($O305,Update!$B$2:$R$401,9,False)</f>
        <v>85.71428571</v>
      </c>
      <c r="AC305" s="127">
        <f>VLOOKUP($O305,Update!$B$2:$Q$401,16,False)</f>
        <v>0.6</v>
      </c>
      <c r="AD305" s="127">
        <f>VLOOKUP($O305,'NO USAR1'!$A$4:$L$403,2,False)*$U$19</f>
        <v>-1.795929424</v>
      </c>
      <c r="AE305" s="127">
        <f>VLOOKUP($O305,'NO USAR1'!$A$4:$L$403,3,False)*$V$19</f>
        <v>-0.6457219034</v>
      </c>
      <c r="AF305" s="127">
        <f>VLOOKUP($O305,'NO USAR1'!$A$4:$L$403,4,False)*$W$19</f>
        <v>-1.79610952</v>
      </c>
      <c r="AG305" s="127">
        <f>VLOOKUP($O305,'NO USAR1'!$A$4:$L$403,5,False)*$X$19</f>
        <v>-0.5324656877</v>
      </c>
      <c r="AH305" s="127">
        <f>VLOOKUP($O305,'NO USAR1'!$A$4:$L$403,6,False)*$Y$19</f>
        <v>-1.296670077</v>
      </c>
      <c r="AI305" s="127">
        <f>VLOOKUP($O305,'NO USAR1'!$A$4:$L$403,7,False)*$Z$19</f>
        <v>-0.7896459159</v>
      </c>
      <c r="AJ305" s="127">
        <f>VLOOKUP($O305,'NO USAR1'!$A$4:$L$403,8,False)*$AA$19</f>
        <v>-0.07822702851</v>
      </c>
      <c r="AK305" s="132">
        <f>VLOOKUP($O305,'NO USAR1'!$A$4:$L$403,10,False)*$AB$19</f>
        <v>0.1173513277</v>
      </c>
      <c r="AL305" s="127">
        <f>VLOOKUP($O305,'NO USAR1'!$A$4:$L$403,12,False)*$AC$19</f>
        <v>0.4329917651</v>
      </c>
      <c r="AM305" s="133">
        <f t="shared" si="2"/>
        <v>-1.79610952</v>
      </c>
      <c r="AN305" s="133">
        <f t="shared" si="3"/>
        <v>-3.592038944</v>
      </c>
    </row>
    <row r="306">
      <c r="A306" s="118" t="str">
        <f>IF(Update!B304="",ROW(Update!B304),Update!B304)</f>
        <v>Lonnie Walker IV</v>
      </c>
      <c r="B306" s="119">
        <f>IF(TYPE($A306)=1,"",(Update!$L304-B$1)/B$2)</f>
        <v>-1.442024032</v>
      </c>
      <c r="C306" s="119">
        <f>IF(TYPE($A306)=1,"",(Update!$K304-C$1)/C$2)</f>
        <v>-0.4284258525</v>
      </c>
      <c r="D306" s="119">
        <f>IF(TYPE($A306)=1,"",(Update!$M304-D$1)/D$2)</f>
        <v>-1.83792489</v>
      </c>
      <c r="E306" s="119">
        <f>IF(TYPE($A306)=1,"",(Update!$N304-E$1)/E$2)</f>
        <v>-1.179547814</v>
      </c>
      <c r="F306" s="119">
        <f>IF(TYPE($A306)=1,"",(Update!$O304-F$1)/F$2)</f>
        <v>-1.852385824</v>
      </c>
      <c r="G306" s="119">
        <f>IF(TYPE($A306)=1,"",(Update!$P304-G$1)/G$2)</f>
        <v>-0.9404715375</v>
      </c>
      <c r="H306" s="119">
        <f>IF(TYPE($A306)=1,"",(Update!$H304-H$1)/H$2*I306/$I$1)</f>
        <v>-0.576992403</v>
      </c>
      <c r="I306" s="119">
        <f>IF(TYPE($A306)=1,"",IF(Update!H304=0,0,Update!G304/Update!H304))</f>
        <v>7.5</v>
      </c>
      <c r="J306" s="120">
        <f>IF(TYPE($A306)=1,"",(Update!$J304-J$1)/J$2*K306/$K$1)</f>
        <v>0.04762923897</v>
      </c>
      <c r="K306" s="121">
        <f>IF(TYPE($A306)=1,"",IF(Update!J304=0,0,Update!I304/Update!J304))</f>
        <v>1.5</v>
      </c>
      <c r="L306" s="119">
        <f>IF(TYPE($A306)=1,"",-(Update!$Q304-L$1)/L$2)</f>
        <v>1.607782042</v>
      </c>
      <c r="N306" s="124">
        <v>286.0</v>
      </c>
      <c r="O306" s="130" t="str">
        <f>IF(Update!B285="",ROW(Update!B285),Update!B285)</f>
        <v>Torrey Craig</v>
      </c>
      <c r="P306" s="131">
        <f>Update!E285</f>
        <v>70</v>
      </c>
      <c r="Q306" s="131" t="str">
        <f>IF(Update!C285="",ROW(Update!N300),Update!C285)</f>
        <v>SF,PF</v>
      </c>
      <c r="R306" s="127">
        <f>VLOOKUP($O306,'NO USAR1'!$A$4:$L$403,2,False)+VLOOKUP($O306,'NO USAR1'!$A$4:$L$403,3,False)+VLOOKUP($O306,'NO USAR1'!$A$4:$L$403,4,False)+VLOOKUP($O306,'NO USAR1'!$A$4:$L$403,5,False)+VLOOKUP($O306,'NO USAR1'!$A$4:$L$403,6,False)+VLOOKUP($O306,'NO USAR1'!$A$4:$L$403,7,False)+VLOOKUP($O306,'NO USAR1'!$A$4:$L$403,8,False)+VLOOKUP($O306,'NO USAR1'!$A$4:$L$403,10,False)+VLOOKUP($O306,'NO USAR1'!$A$4:$L$403,12,False)*0</f>
        <v>-7.724459429</v>
      </c>
      <c r="S306" s="127">
        <f>VLOOKUP($O306,'NO USAR1'!$A$4:$L$403,2,False)*$U$19+VLOOKUP($O306,'NO USAR1'!$A$4:$L$403,3,False)*$V$19+VLOOKUP($O306,'NO USAR1'!$A$4:$L$403,4,False)*$W$19+VLOOKUP($O306,'NO USAR1'!$A$4:$L$403,5,False)*$X$19+VLOOKUP($O306,'NO USAR1'!$A$4:$L$403,6,False)*$Y$19+VLOOKUP($O306,'NO USAR1'!$A$4:$L$403,7,False)*$Z$19+VLOOKUP($O306,'NO USAR1'!$A$4:$L$403,8,False)*$AA$19+VLOOKUP($O306,'NO USAR1'!$A$4:$L$403,10,False)*$AB$19+VLOOKUP($O306,'NO USAR1'!$A$4:$L$403,12,False)*$AC$19+IF(Projections!$K$3,-AN306, IF(Projections!$J$3,-AM306,0))</f>
        <v>-4.669413362</v>
      </c>
      <c r="T306" s="127">
        <f t="shared" si="1"/>
        <v>3.055046067</v>
      </c>
      <c r="U306" s="127">
        <f>VLOOKUP($O306,Update!$B$2:$R$401,11,False)</f>
        <v>5.1</v>
      </c>
      <c r="V306" s="122">
        <f>VLOOKUP($O306,Update!$B$2:$R$401,10,False)</f>
        <v>0.8</v>
      </c>
      <c r="W306" s="127">
        <f>VLOOKUP($O306,Update!$B$2:$R$401,12,False)</f>
        <v>3.4</v>
      </c>
      <c r="X306" s="127">
        <f>VLOOKUP($O306,Update!$B$2:$R$401,13,False)</f>
        <v>1</v>
      </c>
      <c r="Y306" s="127">
        <f>VLOOKUP($O306,Update!$B$2:$R$401,14,False)</f>
        <v>0.5</v>
      </c>
      <c r="Z306" s="132">
        <f>VLOOKUP($O306,Update!$B$2:$R$401,15,False)</f>
        <v>0.5</v>
      </c>
      <c r="AA306" s="127">
        <f>100*VLOOKUP($O306,Update!$B$2:$R$401,7,False)</f>
        <v>45.45454545</v>
      </c>
      <c r="AB306" s="127">
        <f>100*VLOOKUP($O306,Update!$B$2:$R$401,9,False)</f>
        <v>60</v>
      </c>
      <c r="AC306" s="127">
        <f>VLOOKUP($O306,Update!$B$2:$Q$401,16,False)</f>
        <v>0.7</v>
      </c>
      <c r="AD306" s="127">
        <f>VLOOKUP($O306,'NO USAR1'!$A$4:$L$403,2,False)*$U$19</f>
        <v>-2.048718989</v>
      </c>
      <c r="AE306" s="127">
        <f>VLOOKUP($O306,'NO USAR1'!$A$4:$L$403,3,False)*$V$19</f>
        <v>-0.7324347821</v>
      </c>
      <c r="AF306" s="127">
        <f>VLOOKUP($O306,'NO USAR1'!$A$4:$L$403,4,False)*$W$19</f>
        <v>-1.127063602</v>
      </c>
      <c r="AG306" s="127">
        <f>VLOOKUP($O306,'NO USAR1'!$A$4:$L$403,5,False)*$X$19</f>
        <v>-1.450509977</v>
      </c>
      <c r="AH306" s="127">
        <f>VLOOKUP($O306,'NO USAR1'!$A$4:$L$403,6,False)*$Y$19</f>
        <v>-1.078620176</v>
      </c>
      <c r="AI306" s="127">
        <f>VLOOKUP($O306,'NO USAR1'!$A$4:$L$403,7,False)*$Z$19</f>
        <v>-0.2643825572</v>
      </c>
      <c r="AJ306" s="127">
        <f>VLOOKUP($O306,'NO USAR1'!$A$4:$L$403,8,False)*$AA$19</f>
        <v>-0.1821245452</v>
      </c>
      <c r="AK306" s="132">
        <f>VLOOKUP($O306,'NO USAR1'!$A$4:$L$403,10,False)*$AB$19</f>
        <v>-0.2362232325</v>
      </c>
      <c r="AL306" s="127">
        <f>VLOOKUP($O306,'NO USAR1'!$A$4:$L$403,12,False)*$AC$19</f>
        <v>0.4019455104</v>
      </c>
      <c r="AM306" s="133">
        <f t="shared" si="2"/>
        <v>-2.048718989</v>
      </c>
      <c r="AN306" s="133">
        <f t="shared" si="3"/>
        <v>-3.499228966</v>
      </c>
    </row>
    <row r="307">
      <c r="A307" s="118" t="str">
        <f>IF(Update!B305="",ROW(Update!B305),Update!B305)</f>
        <v>Kris Murray</v>
      </c>
      <c r="B307" s="119">
        <f>IF(TYPE($A307)=1,"",(Update!$L305-B$1)/B$2)</f>
        <v>-1.762224148</v>
      </c>
      <c r="C307" s="119">
        <f>IF(TYPE($A307)=1,"",(Update!$K305-C$1)/C$2)</f>
        <v>-0.8138164245</v>
      </c>
      <c r="D307" s="119">
        <f>IF(TYPE($A307)=1,"",(Update!$M305-D$1)/D$2)</f>
        <v>-1.587032671</v>
      </c>
      <c r="E307" s="119">
        <f>IF(TYPE($A307)=1,"",(Update!$N305-E$1)/E$2)</f>
        <v>-1.365011307</v>
      </c>
      <c r="F307" s="119">
        <f>IF(TYPE($A307)=1,"",(Update!$O305-F$1)/F$2)</f>
        <v>-1.540885966</v>
      </c>
      <c r="G307" s="119">
        <f>IF(TYPE($A307)=1,"",(Update!$P305-G$1)/G$2)</f>
        <v>-0.7528774808</v>
      </c>
      <c r="H307" s="119">
        <f>IF(TYPE($A307)=1,"",(Update!$H305-H$1)/H$2*I307/$I$1)</f>
        <v>-0.2565161028</v>
      </c>
      <c r="I307" s="119">
        <f>IF(TYPE($A307)=1,"",IF(Update!H305=0,0,Update!G305/Update!H305))</f>
        <v>4.7</v>
      </c>
      <c r="J307" s="120">
        <f>IF(TYPE($A307)=1,"",(Update!$J305-J$1)/J$2*K307/$K$1)</f>
        <v>-0.2971797619</v>
      </c>
      <c r="K307" s="121">
        <f>IF(TYPE($A307)=1,"",IF(Update!J305=0,0,Update!I305/Update!J305))</f>
        <v>2.4</v>
      </c>
      <c r="L307" s="119">
        <f>IF(TYPE($A307)=1,"",-(Update!$Q305-L$1)/L$2)</f>
        <v>1.73196706</v>
      </c>
      <c r="N307" s="124">
        <v>287.0</v>
      </c>
      <c r="O307" s="130" t="str">
        <f>IF(Update!B293="",ROW(Update!B293),Update!B293)</f>
        <v>Payton Pritchard</v>
      </c>
      <c r="P307" s="131">
        <f>Update!E293</f>
        <v>70</v>
      </c>
      <c r="Q307" s="131" t="str">
        <f>IF(Update!C293="",ROW(Update!N308),Update!C293)</f>
        <v>PG,SG</v>
      </c>
      <c r="R307" s="127">
        <f>VLOOKUP($O307,'NO USAR1'!$A$4:$L$403,2,False)+VLOOKUP($O307,'NO USAR1'!$A$4:$L$403,3,False)+VLOOKUP($O307,'NO USAR1'!$A$4:$L$403,4,False)+VLOOKUP($O307,'NO USAR1'!$A$4:$L$403,5,False)+VLOOKUP($O307,'NO USAR1'!$A$4:$L$403,6,False)+VLOOKUP($O307,'NO USAR1'!$A$4:$L$403,7,False)+VLOOKUP($O307,'NO USAR1'!$A$4:$L$403,8,False)+VLOOKUP($O307,'NO USAR1'!$A$4:$L$403,10,False)+VLOOKUP($O307,'NO USAR1'!$A$4:$L$403,12,False)*0</f>
        <v>-7.749445351</v>
      </c>
      <c r="S307" s="127">
        <f>VLOOKUP($O307,'NO USAR1'!$A$4:$L$403,2,False)*$U$19+VLOOKUP($O307,'NO USAR1'!$A$4:$L$403,3,False)*$V$19+VLOOKUP($O307,'NO USAR1'!$A$4:$L$403,4,False)*$W$19+VLOOKUP($O307,'NO USAR1'!$A$4:$L$403,5,False)*$X$19+VLOOKUP($O307,'NO USAR1'!$A$4:$L$403,6,False)*$Y$19+VLOOKUP($O307,'NO USAR1'!$A$4:$L$403,7,False)*$Z$19+VLOOKUP($O307,'NO USAR1'!$A$4:$L$403,8,False)*$AA$19+VLOOKUP($O307,'NO USAR1'!$A$4:$L$403,10,False)*$AB$19+VLOOKUP($O307,'NO USAR1'!$A$4:$L$403,12,False)*$AC$19+IF(Projections!$K$3,-AN307, IF(Projections!$J$3,-AM307,0))</f>
        <v>-4.786667639</v>
      </c>
      <c r="T307" s="127">
        <f t="shared" si="1"/>
        <v>2.962777713</v>
      </c>
      <c r="U307" s="127">
        <f>VLOOKUP($O307,Update!$B$2:$R$401,11,False)</f>
        <v>7.1</v>
      </c>
      <c r="V307" s="122">
        <f>VLOOKUP($O307,Update!$B$2:$R$401,10,False)</f>
        <v>1.6</v>
      </c>
      <c r="W307" s="127">
        <f>VLOOKUP($O307,Update!$B$2:$R$401,12,False)</f>
        <v>2.2</v>
      </c>
      <c r="X307" s="127">
        <f>VLOOKUP($O307,Update!$B$2:$R$401,13,False)</f>
        <v>2.1</v>
      </c>
      <c r="Y307" s="127">
        <f>VLOOKUP($O307,Update!$B$2:$R$401,14,False)</f>
        <v>0.4</v>
      </c>
      <c r="Z307" s="132">
        <f>VLOOKUP($O307,Update!$B$2:$R$401,15,False)</f>
        <v>0.1</v>
      </c>
      <c r="AA307" s="127">
        <f>100*VLOOKUP($O307,Update!$B$2:$R$401,7,False)</f>
        <v>41.93548387</v>
      </c>
      <c r="AB307" s="127">
        <f>100*VLOOKUP($O307,Update!$B$2:$R$401,9,False)</f>
        <v>75</v>
      </c>
      <c r="AC307" s="127">
        <f>VLOOKUP($O307,Update!$B$2:$Q$401,16,False)</f>
        <v>0.8</v>
      </c>
      <c r="AD307" s="127">
        <f>VLOOKUP($O307,'NO USAR1'!$A$4:$L$403,2,False)*$U$19</f>
        <v>-1.711666235</v>
      </c>
      <c r="AE307" s="127">
        <f>VLOOKUP($O307,'NO USAR1'!$A$4:$L$403,3,False)*$V$19</f>
        <v>-0.03873175248</v>
      </c>
      <c r="AF307" s="127">
        <f>VLOOKUP($O307,'NO USAR1'!$A$4:$L$403,4,False)*$W$19</f>
        <v>-1.62884804</v>
      </c>
      <c r="AG307" s="127">
        <f>VLOOKUP($O307,'NO USAR1'!$A$4:$L$403,5,False)*$X$19</f>
        <v>-0.8894829113</v>
      </c>
      <c r="AH307" s="127">
        <f>VLOOKUP($O307,'NO USAR1'!$A$4:$L$403,6,False)*$Y$19</f>
        <v>-1.296670077</v>
      </c>
      <c r="AI307" s="127">
        <f>VLOOKUP($O307,'NO USAR1'!$A$4:$L$403,7,False)*$Z$19</f>
        <v>-0.7896459159</v>
      </c>
      <c r="AJ307" s="127">
        <f>VLOOKUP($O307,'NO USAR1'!$A$4:$L$403,8,False)*$AA$19</f>
        <v>-0.4745642292</v>
      </c>
      <c r="AK307" s="132">
        <f>VLOOKUP($O307,'NO USAR1'!$A$4:$L$403,10,False)*$AB$19</f>
        <v>-0.03962396826</v>
      </c>
      <c r="AL307" s="127">
        <f>VLOOKUP($O307,'NO USAR1'!$A$4:$L$403,12,False)*$AC$19</f>
        <v>0.3708992557</v>
      </c>
      <c r="AM307" s="133">
        <f t="shared" si="2"/>
        <v>-1.711666235</v>
      </c>
      <c r="AN307" s="133">
        <f t="shared" si="3"/>
        <v>-3.340514276</v>
      </c>
    </row>
    <row r="308">
      <c r="A308" s="118" t="str">
        <f>IF(Update!B306="",ROW(Update!B306),Update!B306)</f>
        <v>Mo Bamba</v>
      </c>
      <c r="B308" s="119">
        <f>IF(TYPE($A308)=1,"",(Update!$L306-B$1)/B$2)</f>
        <v>-2.166687453</v>
      </c>
      <c r="C308" s="119">
        <f>IF(TYPE($A308)=1,"",(Update!$K306-C$1)/C$2)</f>
        <v>-1.00651171</v>
      </c>
      <c r="D308" s="119">
        <f>IF(TYPE($A308)=1,"",(Update!$M306-D$1)/D$2)</f>
        <v>-1.210694342</v>
      </c>
      <c r="E308" s="119">
        <f>IF(TYPE($A308)=1,"",(Update!$N306-E$1)/E$2)</f>
        <v>-1.5504748</v>
      </c>
      <c r="F308" s="119">
        <f>IF(TYPE($A308)=1,"",(Update!$O306-F$1)/F$2)</f>
        <v>-2.475385541</v>
      </c>
      <c r="G308" s="119">
        <f>IF(TYPE($A308)=1,"",(Update!$P306-G$1)/G$2)</f>
        <v>-0.002501254089</v>
      </c>
      <c r="H308" s="119">
        <f>IF(TYPE($A308)=1,"",(Update!$H306-H$1)/H$2*I308/$I$1)</f>
        <v>-0.0398941147</v>
      </c>
      <c r="I308" s="119">
        <f>IF(TYPE($A308)=1,"",IF(Update!H306=0,0,Update!G306/Update!H306))</f>
        <v>3.5</v>
      </c>
      <c r="J308" s="120">
        <f>IF(TYPE($A308)=1,"",(Update!$J306-J$1)/J$2*K308/$K$1)</f>
        <v>-0.2298726673</v>
      </c>
      <c r="K308" s="121">
        <f>IF(TYPE($A308)=1,"",IF(Update!J306=0,0,Update!I306/Update!J306))</f>
        <v>0.6</v>
      </c>
      <c r="L308" s="119">
        <f>IF(TYPE($A308)=1,"",-(Update!$Q306-L$1)/L$2)</f>
        <v>1.980337098</v>
      </c>
      <c r="N308" s="33">
        <v>288.0</v>
      </c>
      <c r="O308" s="130" t="str">
        <f>IF(Update!B281="",ROW(Update!B281),Update!B281)</f>
        <v>Georges Niang</v>
      </c>
      <c r="P308" s="131">
        <f>Update!E281</f>
        <v>73</v>
      </c>
      <c r="Q308" s="131" t="str">
        <f>IF(Update!C281="",ROW(Update!N296),Update!C281)</f>
        <v>PF</v>
      </c>
      <c r="R308" s="127">
        <f>VLOOKUP($O308,'NO USAR1'!$A$4:$L$403,2,False)+VLOOKUP($O308,'NO USAR1'!$A$4:$L$403,3,False)+VLOOKUP($O308,'NO USAR1'!$A$4:$L$403,4,False)+VLOOKUP($O308,'NO USAR1'!$A$4:$L$403,5,False)+VLOOKUP($O308,'NO USAR1'!$A$4:$L$403,6,False)+VLOOKUP($O308,'NO USAR1'!$A$4:$L$403,7,False)+VLOOKUP($O308,'NO USAR1'!$A$4:$L$403,8,False)+VLOOKUP($O308,'NO USAR1'!$A$4:$L$403,10,False)+VLOOKUP($O308,'NO USAR1'!$A$4:$L$403,12,False)*0</f>
        <v>-7.792720062</v>
      </c>
      <c r="S308" s="127">
        <f>VLOOKUP($O308,'NO USAR1'!$A$4:$L$403,2,False)*$U$19+VLOOKUP($O308,'NO USAR1'!$A$4:$L$403,3,False)*$V$19+VLOOKUP($O308,'NO USAR1'!$A$4:$L$403,4,False)*$W$19+VLOOKUP($O308,'NO USAR1'!$A$4:$L$403,5,False)*$X$19+VLOOKUP($O308,'NO USAR1'!$A$4:$L$403,6,False)*$Y$19+VLOOKUP($O308,'NO USAR1'!$A$4:$L$403,7,False)*$Z$19+VLOOKUP($O308,'NO USAR1'!$A$4:$L$403,8,False)*$AA$19+VLOOKUP($O308,'NO USAR1'!$A$4:$L$403,10,False)*$AB$19+VLOOKUP($O308,'NO USAR1'!$A$4:$L$403,12,False)*$AC$19+IF(Projections!$K$3,-AN308, IF(Projections!$J$3,-AM308,0))</f>
        <v>-4.957580272</v>
      </c>
      <c r="T308" s="127">
        <f t="shared" si="1"/>
        <v>2.835139791</v>
      </c>
      <c r="U308" s="127">
        <f>VLOOKUP($O308,Update!$B$2:$R$401,11,False)</f>
        <v>7.7</v>
      </c>
      <c r="V308" s="122">
        <f>VLOOKUP($O308,Update!$B$2:$R$401,10,False)</f>
        <v>1.8</v>
      </c>
      <c r="W308" s="127">
        <f>VLOOKUP($O308,Update!$B$2:$R$401,12,False)</f>
        <v>2.2</v>
      </c>
      <c r="X308" s="127">
        <f>VLOOKUP($O308,Update!$B$2:$R$401,13,False)</f>
        <v>1</v>
      </c>
      <c r="Y308" s="127">
        <f>VLOOKUP($O308,Update!$B$2:$R$401,14,False)</f>
        <v>0.3</v>
      </c>
      <c r="Z308" s="132">
        <f>VLOOKUP($O308,Update!$B$2:$R$401,15,False)</f>
        <v>0.2</v>
      </c>
      <c r="AA308" s="127">
        <f>100*VLOOKUP($O308,Update!$B$2:$R$401,7,False)</f>
        <v>44.26229508</v>
      </c>
      <c r="AB308" s="127">
        <f>100*VLOOKUP($O308,Update!$B$2:$R$401,9,False)</f>
        <v>83.33333333</v>
      </c>
      <c r="AC308" s="127">
        <f>VLOOKUP($O308,Update!$B$2:$Q$401,16,False)</f>
        <v>0.7</v>
      </c>
      <c r="AD308" s="127">
        <f>VLOOKUP($O308,'NO USAR1'!$A$4:$L$403,2,False)*$U$19</f>
        <v>-1.610550409</v>
      </c>
      <c r="AE308" s="127">
        <f>VLOOKUP($O308,'NO USAR1'!$A$4:$L$403,3,False)*$V$19</f>
        <v>0.1346940049</v>
      </c>
      <c r="AF308" s="127">
        <f>VLOOKUP($O308,'NO USAR1'!$A$4:$L$403,4,False)*$W$19</f>
        <v>-1.62884804</v>
      </c>
      <c r="AG308" s="127">
        <f>VLOOKUP($O308,'NO USAR1'!$A$4:$L$403,5,False)*$X$19</f>
        <v>-1.450509977</v>
      </c>
      <c r="AH308" s="127">
        <f>VLOOKUP($O308,'NO USAR1'!$A$4:$L$403,6,False)*$Y$19</f>
        <v>-1.514719978</v>
      </c>
      <c r="AI308" s="127">
        <f>VLOOKUP($O308,'NO USAR1'!$A$4:$L$403,7,False)*$Z$19</f>
        <v>-0.6583300762</v>
      </c>
      <c r="AJ308" s="127">
        <f>VLOOKUP($O308,'NO USAR1'!$A$4:$L$403,8,False)*$AA$19</f>
        <v>-0.3251355762</v>
      </c>
      <c r="AK308" s="132">
        <f>VLOOKUP($O308,'NO USAR1'!$A$4:$L$403,10,False)*$AB$19</f>
        <v>0.06502622904</v>
      </c>
      <c r="AL308" s="127">
        <f>VLOOKUP($O308,'NO USAR1'!$A$4:$L$403,12,False)*$AC$19</f>
        <v>0.4019455104</v>
      </c>
      <c r="AM308" s="133">
        <f t="shared" si="2"/>
        <v>-1.62884804</v>
      </c>
      <c r="AN308" s="133">
        <f t="shared" si="3"/>
        <v>-3.23939845</v>
      </c>
    </row>
    <row r="309">
      <c r="A309" s="118" t="str">
        <f>IF(Update!B307="",ROW(Update!B307),Update!B307)</f>
        <v>Duncan Robinson</v>
      </c>
      <c r="B309" s="119">
        <f>IF(TYPE($A309)=1,"",(Update!$L307-B$1)/B$2)</f>
        <v>-1.661108322</v>
      </c>
      <c r="C309" s="119">
        <f>IF(TYPE($A309)=1,"",(Update!$K307-C$1)/C$2)</f>
        <v>0.2460076484</v>
      </c>
      <c r="D309" s="119">
        <f>IF(TYPE($A309)=1,"",(Update!$M307-D$1)/D$2)</f>
        <v>-1.79610952</v>
      </c>
      <c r="E309" s="119">
        <f>IF(TYPE($A309)=1,"",(Update!$N307-E$1)/E$2)</f>
        <v>-1.225913687</v>
      </c>
      <c r="F309" s="119">
        <f>IF(TYPE($A309)=1,"",(Update!$O307-F$1)/F$2)</f>
        <v>-1.852385824</v>
      </c>
      <c r="G309" s="119">
        <f>IF(TYPE($A309)=1,"",(Update!$P307-G$1)/G$2)</f>
        <v>-1.128065594</v>
      </c>
      <c r="H309" s="119">
        <f>IF(TYPE($A309)=1,"",(Update!$H307-H$1)/H$2*I309/$I$1)</f>
        <v>-0.6933254246</v>
      </c>
      <c r="I309" s="119">
        <f>IF(TYPE($A309)=1,"",IF(Update!H307=0,0,Update!G307/Update!H307))</f>
        <v>6.3</v>
      </c>
      <c r="J309" s="120">
        <f>IF(TYPE($A309)=1,"",(Update!$J307-J$1)/J$2*K309/$K$1)</f>
        <v>0.0812827863</v>
      </c>
      <c r="K309" s="121">
        <f>IF(TYPE($A309)=1,"",IF(Update!J307=0,0,Update!I307/Update!J307))</f>
        <v>0.6</v>
      </c>
      <c r="L309" s="119">
        <f>IF(TYPE($A309)=1,"",-(Update!$Q307-L$1)/L$2)</f>
        <v>1.73196706</v>
      </c>
      <c r="N309" s="33">
        <v>289.0</v>
      </c>
      <c r="O309" s="130" t="str">
        <f>IF(Update!B282="",ROW(Update!B282),Update!B282)</f>
        <v>T.J. McConnell</v>
      </c>
      <c r="P309" s="131">
        <f>Update!E282</f>
        <v>58</v>
      </c>
      <c r="Q309" s="131" t="str">
        <f>IF(Update!C282="",ROW(Update!N297),Update!C282)</f>
        <v>PG</v>
      </c>
      <c r="R309" s="127">
        <f>VLOOKUP($O309,'NO USAR1'!$A$4:$L$403,2,False)+VLOOKUP($O309,'NO USAR1'!$A$4:$L$403,3,False)+VLOOKUP($O309,'NO USAR1'!$A$4:$L$403,4,False)+VLOOKUP($O309,'NO USAR1'!$A$4:$L$403,5,False)+VLOOKUP($O309,'NO USAR1'!$A$4:$L$403,6,False)+VLOOKUP($O309,'NO USAR1'!$A$4:$L$403,7,False)+VLOOKUP($O309,'NO USAR1'!$A$4:$L$403,8,False)+VLOOKUP($O309,'NO USAR1'!$A$4:$L$403,10,False)+VLOOKUP($O309,'NO USAR1'!$A$4:$L$403,12,False)*0</f>
        <v>-7.818589424</v>
      </c>
      <c r="S309" s="127">
        <f>VLOOKUP($O309,'NO USAR1'!$A$4:$L$403,2,False)*$U$19+VLOOKUP($O309,'NO USAR1'!$A$4:$L$403,3,False)*$V$19+VLOOKUP($O309,'NO USAR1'!$A$4:$L$403,4,False)*$W$19+VLOOKUP($O309,'NO USAR1'!$A$4:$L$403,5,False)*$X$19+VLOOKUP($O309,'NO USAR1'!$A$4:$L$403,6,False)*$Y$19+VLOOKUP($O309,'NO USAR1'!$A$4:$L$403,7,False)*$Z$19+VLOOKUP($O309,'NO USAR1'!$A$4:$L$403,8,False)*$AA$19+VLOOKUP($O309,'NO USAR1'!$A$4:$L$403,10,False)*$AB$19+VLOOKUP($O309,'NO USAR1'!$A$4:$L$403,12,False)*$AC$19+IF(Projections!$K$3,-AN309, IF(Projections!$J$3,-AM309,0))</f>
        <v>-4.641715744</v>
      </c>
      <c r="T309" s="127">
        <f t="shared" si="1"/>
        <v>3.17687368</v>
      </c>
      <c r="U309" s="127">
        <f>VLOOKUP($O309,Update!$B$2:$R$401,11,False)</f>
        <v>4.9</v>
      </c>
      <c r="V309" s="122">
        <f>VLOOKUP($O309,Update!$B$2:$R$401,10,False)</f>
        <v>0.2</v>
      </c>
      <c r="W309" s="127">
        <f>VLOOKUP($O309,Update!$B$2:$R$401,12,False)</f>
        <v>1.8</v>
      </c>
      <c r="X309" s="127">
        <f>VLOOKUP($O309,Update!$B$2:$R$401,13,False)</f>
        <v>3</v>
      </c>
      <c r="Y309" s="127">
        <f>VLOOKUP($O309,Update!$B$2:$R$401,14,False)</f>
        <v>0.6</v>
      </c>
      <c r="Z309" s="132">
        <f>VLOOKUP($O309,Update!$B$2:$R$401,15,False)</f>
        <v>0.1</v>
      </c>
      <c r="AA309" s="127">
        <f>100*VLOOKUP($O309,Update!$B$2:$R$401,7,False)</f>
        <v>53.65853659</v>
      </c>
      <c r="AB309" s="127">
        <f>100*VLOOKUP($O309,Update!$B$2:$R$401,9,False)</f>
        <v>80</v>
      </c>
      <c r="AC309" s="127">
        <f>VLOOKUP($O309,Update!$B$2:$Q$401,16,False)</f>
        <v>1</v>
      </c>
      <c r="AD309" s="127">
        <f>VLOOKUP($O309,'NO USAR1'!$A$4:$L$403,2,False)*$U$19</f>
        <v>-2.082424265</v>
      </c>
      <c r="AE309" s="127">
        <f>VLOOKUP($O309,'NO USAR1'!$A$4:$L$403,3,False)*$V$19</f>
        <v>-1.252712054</v>
      </c>
      <c r="AF309" s="127">
        <f>VLOOKUP($O309,'NO USAR1'!$A$4:$L$403,4,False)*$W$19</f>
        <v>-1.79610952</v>
      </c>
      <c r="AG309" s="127">
        <f>VLOOKUP($O309,'NO USAR1'!$A$4:$L$403,5,False)*$X$19</f>
        <v>-0.4304607667</v>
      </c>
      <c r="AH309" s="127">
        <f>VLOOKUP($O309,'NO USAR1'!$A$4:$L$403,6,False)*$Y$19</f>
        <v>-0.8605702752</v>
      </c>
      <c r="AI309" s="127">
        <f>VLOOKUP($O309,'NO USAR1'!$A$4:$L$403,7,False)*$Z$19</f>
        <v>-0.7896459159</v>
      </c>
      <c r="AJ309" s="127">
        <f>VLOOKUP($O309,'NO USAR1'!$A$4:$L$403,8,False)*$AA$19</f>
        <v>0.1662749109</v>
      </c>
      <c r="AK309" s="132">
        <f>VLOOKUP($O309,'NO USAR1'!$A$4:$L$403,10,False)*$AB$19</f>
        <v>0.01270113039</v>
      </c>
      <c r="AL309" s="127">
        <f>VLOOKUP($O309,'NO USAR1'!$A$4:$L$403,12,False)*$AC$19</f>
        <v>0.3088067464</v>
      </c>
      <c r="AM309" s="133">
        <f t="shared" si="2"/>
        <v>-2.082424265</v>
      </c>
      <c r="AN309" s="133">
        <f t="shared" si="3"/>
        <v>-3.878533784</v>
      </c>
    </row>
    <row r="310">
      <c r="A310" s="118" t="str">
        <f>IF(Update!B308="",ROW(Update!B308),Update!B308)</f>
        <v>Day'Ron Sharpe</v>
      </c>
      <c r="B310" s="119">
        <f>IF(TYPE($A310)=1,"",(Update!$L308-B$1)/B$2)</f>
        <v>-2.031866352</v>
      </c>
      <c r="C310" s="119">
        <f>IF(TYPE($A310)=1,"",(Update!$K308-C$1)/C$2)</f>
        <v>-1.488249925</v>
      </c>
      <c r="D310" s="119">
        <f>IF(TYPE($A310)=1,"",(Update!$M308-D$1)/D$2)</f>
        <v>-0.7089099036</v>
      </c>
      <c r="E310" s="119">
        <f>IF(TYPE($A310)=1,"",(Update!$N308-E$1)/E$2)</f>
        <v>-1.457743053</v>
      </c>
      <c r="F310" s="119">
        <f>IF(TYPE($A310)=1,"",(Update!$O308-F$1)/F$2)</f>
        <v>-2.163885682</v>
      </c>
      <c r="G310" s="119">
        <f>IF(TYPE($A310)=1,"",(Update!$P308-G$1)/G$2)</f>
        <v>-0.1900953108</v>
      </c>
      <c r="H310" s="119">
        <f>IF(TYPE($A310)=1,"",(Update!$H308-H$1)/H$2*I310/$I$1)</f>
        <v>0.2948435678</v>
      </c>
      <c r="I310" s="119">
        <f>IF(TYPE($A310)=1,"",IF(Update!H308=0,0,Update!G308/Update!H308))</f>
        <v>3.9</v>
      </c>
      <c r="J310" s="120">
        <f>IF(TYPE($A310)=1,"",(Update!$J308-J$1)/J$2*K310/$K$1)</f>
        <v>-0.7709007881</v>
      </c>
      <c r="K310" s="121">
        <f>IF(TYPE($A310)=1,"",IF(Update!J308=0,0,Update!I308/Update!J308))</f>
        <v>1.2</v>
      </c>
      <c r="L310" s="119">
        <f>IF(TYPE($A310)=1,"",-(Update!$Q308-L$1)/L$2)</f>
        <v>1.359412004</v>
      </c>
      <c r="N310" s="124">
        <v>290.0</v>
      </c>
      <c r="O310" s="130" t="str">
        <f>IF(Update!B290="",ROW(Update!B290),Update!B290)</f>
        <v>Danilo Gallinari</v>
      </c>
      <c r="P310" s="131">
        <f>Update!E290</f>
        <v>40</v>
      </c>
      <c r="Q310" s="131" t="str">
        <f>IF(Update!C290="",ROW(Update!N305),Update!C290)</f>
        <v>SF</v>
      </c>
      <c r="R310" s="127">
        <f>VLOOKUP($O310,'NO USAR1'!$A$4:$L$403,2,False)+VLOOKUP($O310,'NO USAR1'!$A$4:$L$403,3,False)+VLOOKUP($O310,'NO USAR1'!$A$4:$L$403,4,False)+VLOOKUP($O310,'NO USAR1'!$A$4:$L$403,5,False)+VLOOKUP($O310,'NO USAR1'!$A$4:$L$403,6,False)+VLOOKUP($O310,'NO USAR1'!$A$4:$L$403,7,False)+VLOOKUP($O310,'NO USAR1'!$A$4:$L$403,8,False)+VLOOKUP($O310,'NO USAR1'!$A$4:$L$403,10,False)+VLOOKUP($O310,'NO USAR1'!$A$4:$L$403,12,False)*0</f>
        <v>-7.825723257</v>
      </c>
      <c r="S310" s="127">
        <f>VLOOKUP($O310,'NO USAR1'!$A$4:$L$403,2,False)*$U$19+VLOOKUP($O310,'NO USAR1'!$A$4:$L$403,3,False)*$V$19+VLOOKUP($O310,'NO USAR1'!$A$4:$L$403,4,False)*$W$19+VLOOKUP($O310,'NO USAR1'!$A$4:$L$403,5,False)*$X$19+VLOOKUP($O310,'NO USAR1'!$A$4:$L$403,6,False)*$Y$19+VLOOKUP($O310,'NO USAR1'!$A$4:$L$403,7,False)*$Z$19+VLOOKUP($O310,'NO USAR1'!$A$4:$L$403,8,False)*$AA$19+VLOOKUP($O310,'NO USAR1'!$A$4:$L$403,10,False)*$AB$19+VLOOKUP($O310,'NO USAR1'!$A$4:$L$403,12,False)*$AC$19+IF(Projections!$K$3,-AN310, IF(Projections!$J$3,-AM310,0))</f>
        <v>-4.859016058</v>
      </c>
      <c r="T310" s="127">
        <f t="shared" si="1"/>
        <v>2.966707199</v>
      </c>
      <c r="U310" s="127">
        <f>VLOOKUP($O310,Update!$B$2:$R$401,11,False)</f>
        <v>7.4</v>
      </c>
      <c r="V310" s="122">
        <f>VLOOKUP($O310,Update!$B$2:$R$401,10,False)</f>
        <v>1.1</v>
      </c>
      <c r="W310" s="127">
        <f>VLOOKUP($O310,Update!$B$2:$R$401,12,False)</f>
        <v>2.9</v>
      </c>
      <c r="X310" s="127">
        <f>VLOOKUP($O310,Update!$B$2:$R$401,13,False)</f>
        <v>1</v>
      </c>
      <c r="Y310" s="127">
        <f>VLOOKUP($O310,Update!$B$2:$R$401,14,False)</f>
        <v>0.3</v>
      </c>
      <c r="Z310" s="132">
        <f>VLOOKUP($O310,Update!$B$2:$R$401,15,False)</f>
        <v>0.1</v>
      </c>
      <c r="AA310" s="127">
        <f>100*VLOOKUP($O310,Update!$B$2:$R$401,7,False)</f>
        <v>43.85964912</v>
      </c>
      <c r="AB310" s="127">
        <f>100*VLOOKUP($O310,Update!$B$2:$R$401,9,False)</f>
        <v>93.33333333</v>
      </c>
      <c r="AC310" s="127">
        <f>VLOOKUP($O310,Update!$B$2:$Q$401,16,False)</f>
        <v>0.4</v>
      </c>
      <c r="AD310" s="127">
        <f>VLOOKUP($O310,'NO USAR1'!$A$4:$L$403,2,False)*$U$19</f>
        <v>-1.661108322</v>
      </c>
      <c r="AE310" s="127">
        <f>VLOOKUP($O310,'NO USAR1'!$A$4:$L$403,3,False)*$V$19</f>
        <v>-0.472296146</v>
      </c>
      <c r="AF310" s="127">
        <f>VLOOKUP($O310,'NO USAR1'!$A$4:$L$403,4,False)*$W$19</f>
        <v>-1.336140451</v>
      </c>
      <c r="AG310" s="127">
        <f>VLOOKUP($O310,'NO USAR1'!$A$4:$L$403,5,False)*$X$19</f>
        <v>-1.450509977</v>
      </c>
      <c r="AH310" s="127">
        <f>VLOOKUP($O310,'NO USAR1'!$A$4:$L$403,6,False)*$Y$19</f>
        <v>-1.514719978</v>
      </c>
      <c r="AI310" s="127">
        <f>VLOOKUP($O310,'NO USAR1'!$A$4:$L$403,7,False)*$Z$19</f>
        <v>-0.7896459159</v>
      </c>
      <c r="AJ310" s="127">
        <f>VLOOKUP($O310,'NO USAR1'!$A$4:$L$403,8,False)*$AA$19</f>
        <v>-0.3267399817</v>
      </c>
      <c r="AK310" s="132">
        <f>VLOOKUP($O310,'NO USAR1'!$A$4:$L$403,10,False)*$AB$19</f>
        <v>0.5359521169</v>
      </c>
      <c r="AL310" s="127">
        <f>VLOOKUP($O310,'NO USAR1'!$A$4:$L$403,12,False)*$AC$19</f>
        <v>0.4950842744</v>
      </c>
      <c r="AM310" s="133">
        <f t="shared" si="2"/>
        <v>-1.661108322</v>
      </c>
      <c r="AN310" s="133">
        <f t="shared" si="3"/>
        <v>-3.1758283</v>
      </c>
    </row>
    <row r="311">
      <c r="A311" s="118" t="str">
        <f>IF(Update!B309="",ROW(Update!B309),Update!B309)</f>
        <v>Davion Mitchell</v>
      </c>
      <c r="B311" s="119">
        <f>IF(TYPE($A311)=1,"",(Update!$L309-B$1)/B$2)</f>
        <v>-1.711666235</v>
      </c>
      <c r="C311" s="119">
        <f>IF(TYPE($A311)=1,"",(Update!$K309-C$1)/C$2)</f>
        <v>-0.7174687815</v>
      </c>
      <c r="D311" s="119">
        <f>IF(TYPE($A311)=1,"",(Update!$M309-D$1)/D$2)</f>
        <v>-1.921555629</v>
      </c>
      <c r="E311" s="119">
        <f>IF(TYPE($A311)=1,"",(Update!$N309-E$1)/E$2)</f>
        <v>-0.5304255893</v>
      </c>
      <c r="F311" s="119">
        <f>IF(TYPE($A311)=1,"",(Update!$O309-F$1)/F$2)</f>
        <v>-1.540885966</v>
      </c>
      <c r="G311" s="119">
        <f>IF(TYPE($A311)=1,"",(Update!$P309-G$1)/G$2)</f>
        <v>-0.9404715375</v>
      </c>
      <c r="H311" s="119">
        <f>IF(TYPE($A311)=1,"",(Update!$H309-H$1)/H$2*I311/$I$1)</f>
        <v>-0.4695727454</v>
      </c>
      <c r="I311" s="119">
        <f>IF(TYPE($A311)=1,"",IF(Update!H309=0,0,Update!G309/Update!H309))</f>
        <v>6.7</v>
      </c>
      <c r="J311" s="120">
        <f>IF(TYPE($A311)=1,"",(Update!$J309-J$1)/J$2*K311/$K$1)</f>
        <v>-0.2298726673</v>
      </c>
      <c r="K311" s="121">
        <f>IF(TYPE($A311)=1,"",IF(Update!J309=0,0,Update!I309/Update!J309))</f>
        <v>0.6</v>
      </c>
      <c r="L311" s="119">
        <f>IF(TYPE($A311)=1,"",-(Update!$Q309-L$1)/L$2)</f>
        <v>1.235226986</v>
      </c>
      <c r="N311" s="124">
        <v>291.0</v>
      </c>
      <c r="O311" s="130" t="str">
        <f>IF(Update!B276="",ROW(Update!B276),Update!B276)</f>
        <v>Isaiah Livers</v>
      </c>
      <c r="P311" s="131">
        <f>Update!E276</f>
        <v>60</v>
      </c>
      <c r="Q311" s="131" t="str">
        <f>IF(Update!C276="",ROW(Update!N291),Update!C276)</f>
        <v>SF,PF</v>
      </c>
      <c r="R311" s="127">
        <f>VLOOKUP($O311,'NO USAR1'!$A$4:$L$403,2,False)+VLOOKUP($O311,'NO USAR1'!$A$4:$L$403,3,False)+VLOOKUP($O311,'NO USAR1'!$A$4:$L$403,4,False)+VLOOKUP($O311,'NO USAR1'!$A$4:$L$403,5,False)+VLOOKUP($O311,'NO USAR1'!$A$4:$L$403,6,False)+VLOOKUP($O311,'NO USAR1'!$A$4:$L$403,7,False)+VLOOKUP($O311,'NO USAR1'!$A$4:$L$403,8,False)+VLOOKUP($O311,'NO USAR1'!$A$4:$L$403,10,False)+VLOOKUP($O311,'NO USAR1'!$A$4:$L$403,12,False)*0</f>
        <v>-7.873898083</v>
      </c>
      <c r="S311" s="127">
        <f>VLOOKUP($O311,'NO USAR1'!$A$4:$L$403,2,False)*$U$19+VLOOKUP($O311,'NO USAR1'!$A$4:$L$403,3,False)*$V$19+VLOOKUP($O311,'NO USAR1'!$A$4:$L$403,4,False)*$W$19+VLOOKUP($O311,'NO USAR1'!$A$4:$L$403,5,False)*$X$19+VLOOKUP($O311,'NO USAR1'!$A$4:$L$403,6,False)*$Y$19+VLOOKUP($O311,'NO USAR1'!$A$4:$L$403,7,False)*$Z$19+VLOOKUP($O311,'NO USAR1'!$A$4:$L$403,8,False)*$AA$19+VLOOKUP($O311,'NO USAR1'!$A$4:$L$403,10,False)*$AB$19+VLOOKUP($O311,'NO USAR1'!$A$4:$L$403,12,False)*$AC$19+IF(Projections!$K$3,-AN311, IF(Projections!$J$3,-AM311,0))</f>
        <v>-4.895608784</v>
      </c>
      <c r="T311" s="127">
        <f t="shared" si="1"/>
        <v>2.978289298</v>
      </c>
      <c r="U311" s="127">
        <f>VLOOKUP($O311,Update!$B$2:$R$401,11,False)</f>
        <v>5.7</v>
      </c>
      <c r="V311" s="122">
        <f>VLOOKUP($O311,Update!$B$2:$R$401,10,False)</f>
        <v>1.2</v>
      </c>
      <c r="W311" s="127">
        <f>VLOOKUP($O311,Update!$B$2:$R$401,12,False)</f>
        <v>2.5</v>
      </c>
      <c r="X311" s="127">
        <f>VLOOKUP($O311,Update!$B$2:$R$401,13,False)</f>
        <v>0.8</v>
      </c>
      <c r="Y311" s="127">
        <f>VLOOKUP($O311,Update!$B$2:$R$401,14,False)</f>
        <v>0.5</v>
      </c>
      <c r="Z311" s="132">
        <f>VLOOKUP($O311,Update!$B$2:$R$401,15,False)</f>
        <v>0.4</v>
      </c>
      <c r="AA311" s="127">
        <f>100*VLOOKUP($O311,Update!$B$2:$R$401,7,False)</f>
        <v>43.47826087</v>
      </c>
      <c r="AB311" s="127">
        <f>100*VLOOKUP($O311,Update!$B$2:$R$401,9,False)</f>
        <v>71.42857143</v>
      </c>
      <c r="AC311" s="127">
        <f>VLOOKUP($O311,Update!$B$2:$Q$401,16,False)</f>
        <v>0.6</v>
      </c>
      <c r="AD311" s="127">
        <f>VLOOKUP($O311,'NO USAR1'!$A$4:$L$403,2,False)*$U$19</f>
        <v>-1.947603163</v>
      </c>
      <c r="AE311" s="127">
        <f>VLOOKUP($O311,'NO USAR1'!$A$4:$L$403,3,False)*$V$19</f>
        <v>-0.3855832673</v>
      </c>
      <c r="AF311" s="127">
        <f>VLOOKUP($O311,'NO USAR1'!$A$4:$L$403,4,False)*$W$19</f>
        <v>-1.503401931</v>
      </c>
      <c r="AG311" s="127">
        <f>VLOOKUP($O311,'NO USAR1'!$A$4:$L$403,5,False)*$X$19</f>
        <v>-1.552514898</v>
      </c>
      <c r="AH311" s="127">
        <f>VLOOKUP($O311,'NO USAR1'!$A$4:$L$403,6,False)*$Y$19</f>
        <v>-1.078620176</v>
      </c>
      <c r="AI311" s="127">
        <f>VLOOKUP($O311,'NO USAR1'!$A$4:$L$403,7,False)*$Z$19</f>
        <v>-0.3956983969</v>
      </c>
      <c r="AJ311" s="127">
        <f>VLOOKUP($O311,'NO USAR1'!$A$4:$L$403,8,False)*$AA$19</f>
        <v>-0.2812088454</v>
      </c>
      <c r="AK311" s="132">
        <f>VLOOKUP($O311,'NO USAR1'!$A$4:$L$403,10,False)*$AB$19</f>
        <v>-0.1315730352</v>
      </c>
      <c r="AL311" s="127">
        <f>VLOOKUP($O311,'NO USAR1'!$A$4:$L$403,12,False)*$AC$19</f>
        <v>0.4329917651</v>
      </c>
      <c r="AM311" s="133">
        <f t="shared" si="2"/>
        <v>-1.947603163</v>
      </c>
      <c r="AN311" s="133">
        <f t="shared" si="3"/>
        <v>-3.500118061</v>
      </c>
    </row>
    <row r="312">
      <c r="A312" s="118" t="str">
        <f>IF(Update!B310="",ROW(Update!B310),Update!B310)</f>
        <v>Olivier-Maxence Prosper</v>
      </c>
      <c r="B312" s="119">
        <f>IF(TYPE($A312)=1,"",(Update!$L310-B$1)/B$2)</f>
        <v>-1.694813598</v>
      </c>
      <c r="C312" s="119">
        <f>IF(TYPE($A312)=1,"",(Update!$K310-C$1)/C$2)</f>
        <v>-1.102859353</v>
      </c>
      <c r="D312" s="119">
        <f>IF(TYPE($A312)=1,"",(Update!$M310-D$1)/D$2)</f>
        <v>-1.336140451</v>
      </c>
      <c r="E312" s="119">
        <f>IF(TYPE($A312)=1,"",(Update!$N310-E$1)/E$2)</f>
        <v>-1.504108926</v>
      </c>
      <c r="F312" s="119">
        <f>IF(TYPE($A312)=1,"",(Update!$O310-F$1)/F$2)</f>
        <v>-1.229386107</v>
      </c>
      <c r="G312" s="119">
        <f>IF(TYPE($A312)=1,"",(Update!$P310-G$1)/G$2)</f>
        <v>-0.9404715375</v>
      </c>
      <c r="H312" s="119">
        <f>IF(TYPE($A312)=1,"",(Update!$H310-H$1)/H$2*I312/$I$1)</f>
        <v>-0.4136345755</v>
      </c>
      <c r="I312" s="119">
        <f>IF(TYPE($A312)=1,"",IF(Update!H310=0,0,Update!G310/Update!H310))</f>
        <v>6.8</v>
      </c>
      <c r="J312" s="120">
        <f>IF(TYPE($A312)=1,"",(Update!$J310-J$1)/J$2*K312/$K$1)</f>
        <v>-0.2794026276</v>
      </c>
      <c r="K312" s="121">
        <f>IF(TYPE($A312)=1,"",IF(Update!J310=0,0,Update!I310/Update!J310))</f>
        <v>1</v>
      </c>
      <c r="L312" s="119">
        <f>IF(TYPE($A312)=1,"",-(Update!$Q310-L$1)/L$2)</f>
        <v>1.73196706</v>
      </c>
      <c r="N312" s="33">
        <v>292.0</v>
      </c>
      <c r="O312" s="130" t="str">
        <f>IF(Update!B299="",ROW(Update!B299),Update!B299)</f>
        <v>Joe Ingles</v>
      </c>
      <c r="P312" s="131">
        <f>Update!E299</f>
        <v>60</v>
      </c>
      <c r="Q312" s="131" t="str">
        <f>IF(Update!C299="",ROW(Update!N314),Update!C299)</f>
        <v>SF,PF</v>
      </c>
      <c r="R312" s="127">
        <f>VLOOKUP($O312,'NO USAR1'!$A$4:$L$403,2,False)+VLOOKUP($O312,'NO USAR1'!$A$4:$L$403,3,False)+VLOOKUP($O312,'NO USAR1'!$A$4:$L$403,4,False)+VLOOKUP($O312,'NO USAR1'!$A$4:$L$403,5,False)+VLOOKUP($O312,'NO USAR1'!$A$4:$L$403,6,False)+VLOOKUP($O312,'NO USAR1'!$A$4:$L$403,7,False)+VLOOKUP($O312,'NO USAR1'!$A$4:$L$403,8,False)+VLOOKUP($O312,'NO USAR1'!$A$4:$L$403,10,False)+VLOOKUP($O312,'NO USAR1'!$A$4:$L$403,12,False)*0</f>
        <v>-7.878121069</v>
      </c>
      <c r="S312" s="127">
        <f>VLOOKUP($O312,'NO USAR1'!$A$4:$L$403,2,False)*$U$19+VLOOKUP($O312,'NO USAR1'!$A$4:$L$403,3,False)*$V$19+VLOOKUP($O312,'NO USAR1'!$A$4:$L$403,4,False)*$W$19+VLOOKUP($O312,'NO USAR1'!$A$4:$L$403,5,False)*$X$19+VLOOKUP($O312,'NO USAR1'!$A$4:$L$403,6,False)*$Y$19+VLOOKUP($O312,'NO USAR1'!$A$4:$L$403,7,False)*$Z$19+VLOOKUP($O312,'NO USAR1'!$A$4:$L$403,8,False)*$AA$19+VLOOKUP($O312,'NO USAR1'!$A$4:$L$403,10,False)*$AB$19+VLOOKUP($O312,'NO USAR1'!$A$4:$L$403,12,False)*$AC$19+IF(Projections!$K$3,-AN312, IF(Projections!$J$3,-AM312,0))</f>
        <v>-4.58907939</v>
      </c>
      <c r="T312" s="127">
        <f t="shared" si="1"/>
        <v>3.289041679</v>
      </c>
      <c r="U312" s="127">
        <f>VLOOKUP($O312,Update!$B$2:$R$401,11,False)</f>
        <v>5</v>
      </c>
      <c r="V312" s="122">
        <f>VLOOKUP($O312,Update!$B$2:$R$401,10,False)</f>
        <v>1.3</v>
      </c>
      <c r="W312" s="127">
        <f>VLOOKUP($O312,Update!$B$2:$R$401,12,False)</f>
        <v>2</v>
      </c>
      <c r="X312" s="127">
        <f>VLOOKUP($O312,Update!$B$2:$R$401,13,False)</f>
        <v>2.4</v>
      </c>
      <c r="Y312" s="127">
        <f>VLOOKUP($O312,Update!$B$2:$R$401,14,False)</f>
        <v>0.4</v>
      </c>
      <c r="Z312" s="132">
        <f>VLOOKUP($O312,Update!$B$2:$R$401,15,False)</f>
        <v>0.1</v>
      </c>
      <c r="AA312" s="127">
        <f>100*VLOOKUP($O312,Update!$B$2:$R$401,7,False)</f>
        <v>42.85714286</v>
      </c>
      <c r="AB312" s="127">
        <f>100*VLOOKUP($O312,Update!$B$2:$R$401,9,False)</f>
        <v>100</v>
      </c>
      <c r="AC312" s="127">
        <f>VLOOKUP($O312,Update!$B$2:$Q$401,16,False)</f>
        <v>0.8</v>
      </c>
      <c r="AD312" s="127">
        <f>VLOOKUP($O312,'NO USAR1'!$A$4:$L$403,2,False)*$U$19</f>
        <v>-2.065571627</v>
      </c>
      <c r="AE312" s="127">
        <f>VLOOKUP($O312,'NO USAR1'!$A$4:$L$403,3,False)*$V$19</f>
        <v>-0.2988703886</v>
      </c>
      <c r="AF312" s="127">
        <f>VLOOKUP($O312,'NO USAR1'!$A$4:$L$403,4,False)*$W$19</f>
        <v>-1.71247878</v>
      </c>
      <c r="AG312" s="127">
        <f>VLOOKUP($O312,'NO USAR1'!$A$4:$L$403,5,False)*$X$19</f>
        <v>-0.7364755298</v>
      </c>
      <c r="AH312" s="127">
        <f>VLOOKUP($O312,'NO USAR1'!$A$4:$L$403,6,False)*$Y$19</f>
        <v>-1.296670077</v>
      </c>
      <c r="AI312" s="127">
        <f>VLOOKUP($O312,'NO USAR1'!$A$4:$L$403,7,False)*$Z$19</f>
        <v>-0.7896459159</v>
      </c>
      <c r="AJ312" s="127">
        <f>VLOOKUP($O312,'NO USAR1'!$A$4:$L$403,8,False)*$AA$19</f>
        <v>-0.2828132509</v>
      </c>
      <c r="AK312" s="132">
        <f>VLOOKUP($O312,'NO USAR1'!$A$4:$L$403,10,False)*$AB$19</f>
        <v>0.156975296</v>
      </c>
      <c r="AL312" s="127">
        <f>VLOOKUP($O312,'NO USAR1'!$A$4:$L$403,12,False)*$AC$19</f>
        <v>0.3708992557</v>
      </c>
      <c r="AM312" s="133">
        <f t="shared" si="2"/>
        <v>-2.065571627</v>
      </c>
      <c r="AN312" s="133">
        <f t="shared" si="3"/>
        <v>-3.778050407</v>
      </c>
    </row>
    <row r="313">
      <c r="A313" s="118" t="str">
        <f>IF(Update!B311="",ROW(Update!B311),Update!B311)</f>
        <v>Yuta Watanabe</v>
      </c>
      <c r="B313" s="119">
        <f>IF(TYPE($A313)=1,"",(Update!$L311-B$1)/B$2)</f>
        <v>-1.981308438</v>
      </c>
      <c r="C313" s="119">
        <f>IF(TYPE($A313)=1,"",(Update!$K311-C$1)/C$2)</f>
        <v>-0.6211211385</v>
      </c>
      <c r="D313" s="119">
        <f>IF(TYPE($A313)=1,"",(Update!$M311-D$1)/D$2)</f>
        <v>-1.419771191</v>
      </c>
      <c r="E313" s="119">
        <f>IF(TYPE($A313)=1,"",(Update!$N311-E$1)/E$2)</f>
        <v>-1.41137718</v>
      </c>
      <c r="F313" s="119">
        <f>IF(TYPE($A313)=1,"",(Update!$O311-F$1)/F$2)</f>
        <v>-1.852385824</v>
      </c>
      <c r="G313" s="119">
        <f>IF(TYPE($A313)=1,"",(Update!$P311-G$1)/G$2)</f>
        <v>-0.5652834241</v>
      </c>
      <c r="H313" s="119">
        <f>IF(TYPE($A313)=1,"",(Update!$H311-H$1)/H$2*I313/$I$1)</f>
        <v>-0.2032519422</v>
      </c>
      <c r="I313" s="119">
        <f>IF(TYPE($A313)=1,"",IF(Update!H311=0,0,Update!G311/Update!H311))</f>
        <v>4.2</v>
      </c>
      <c r="J313" s="120">
        <f>IF(TYPE($A313)=1,"",(Update!$J311-J$1)/J$2*K313/$K$1)</f>
        <v>-0.2794026276</v>
      </c>
      <c r="K313" s="121">
        <f>IF(TYPE($A313)=1,"",IF(Update!J311=0,0,Update!I311/Update!J311))</f>
        <v>1</v>
      </c>
      <c r="L313" s="119">
        <f>IF(TYPE($A313)=1,"",-(Update!$Q311-L$1)/L$2)</f>
        <v>1.856152079</v>
      </c>
      <c r="N313" s="33">
        <v>293.0</v>
      </c>
      <c r="O313" s="130" t="str">
        <f>IF(Update!B335="",ROW(Update!B335),Update!B335)</f>
        <v>Johnny Davis</v>
      </c>
      <c r="P313" s="131">
        <f>Update!E335</f>
        <v>63</v>
      </c>
      <c r="Q313" s="131" t="str">
        <f>IF(Update!C335="",ROW(Update!N350),Update!C335)</f>
        <v>SG,SF</v>
      </c>
      <c r="R313" s="127">
        <f>VLOOKUP($O313,'NO USAR1'!$A$4:$L$403,2,False)+VLOOKUP($O313,'NO USAR1'!$A$4:$L$403,3,False)+VLOOKUP($O313,'NO USAR1'!$A$4:$L$403,4,False)+VLOOKUP($O313,'NO USAR1'!$A$4:$L$403,5,False)+VLOOKUP($O313,'NO USAR1'!$A$4:$L$403,6,False)+VLOOKUP($O313,'NO USAR1'!$A$4:$L$403,7,False)+VLOOKUP($O313,'NO USAR1'!$A$4:$L$403,8,False)+VLOOKUP($O313,'NO USAR1'!$A$4:$L$403,10,False)+VLOOKUP($O313,'NO USAR1'!$A$4:$L$403,12,False)*0</f>
        <v>-7.929328882</v>
      </c>
      <c r="S313" s="127">
        <f>VLOOKUP($O313,'NO USAR1'!$A$4:$L$403,2,False)*$U$19+VLOOKUP($O313,'NO USAR1'!$A$4:$L$403,3,False)*$V$19+VLOOKUP($O313,'NO USAR1'!$A$4:$L$403,4,False)*$W$19+VLOOKUP($O313,'NO USAR1'!$A$4:$L$403,5,False)*$X$19+VLOOKUP($O313,'NO USAR1'!$A$4:$L$403,6,False)*$Y$19+VLOOKUP($O313,'NO USAR1'!$A$4:$L$403,7,False)*$Z$19+VLOOKUP($O313,'NO USAR1'!$A$4:$L$403,8,False)*$AA$19+VLOOKUP($O313,'NO USAR1'!$A$4:$L$403,10,False)*$AB$19+VLOOKUP($O313,'NO USAR1'!$A$4:$L$403,12,False)*$AC$19+IF(Projections!$K$3,-AN313, IF(Projections!$J$3,-AM313,0))</f>
        <v>-5.289971899</v>
      </c>
      <c r="T313" s="127">
        <f t="shared" si="1"/>
        <v>2.639356983</v>
      </c>
      <c r="U313" s="127">
        <f>VLOOKUP($O313,Update!$B$2:$R$401,11,False)</f>
        <v>8.2</v>
      </c>
      <c r="V313" s="122">
        <f>VLOOKUP($O313,Update!$B$2:$R$401,10,False)</f>
        <v>1</v>
      </c>
      <c r="W313" s="127">
        <f>VLOOKUP($O313,Update!$B$2:$R$401,12,False)</f>
        <v>3</v>
      </c>
      <c r="X313" s="127">
        <f>VLOOKUP($O313,Update!$B$2:$R$401,13,False)</f>
        <v>1.3</v>
      </c>
      <c r="Y313" s="127">
        <f>VLOOKUP($O313,Update!$B$2:$R$401,14,False)</f>
        <v>0.5</v>
      </c>
      <c r="Z313" s="132">
        <f>VLOOKUP($O313,Update!$B$2:$R$401,15,False)</f>
        <v>0.4</v>
      </c>
      <c r="AA313" s="127">
        <f>100*VLOOKUP($O313,Update!$B$2:$R$401,7,False)</f>
        <v>41.02564103</v>
      </c>
      <c r="AB313" s="127">
        <f>100*VLOOKUP($O313,Update!$B$2:$R$401,9,False)</f>
        <v>66.66666667</v>
      </c>
      <c r="AC313" s="127">
        <f>VLOOKUP($O313,Update!$B$2:$Q$401,16,False)</f>
        <v>0.8</v>
      </c>
      <c r="AD313" s="127">
        <f>VLOOKUP($O313,'NO USAR1'!$A$4:$L$403,2,False)*$U$19</f>
        <v>-1.526287221</v>
      </c>
      <c r="AE313" s="127">
        <f>VLOOKUP($O313,'NO USAR1'!$A$4:$L$403,3,False)*$V$19</f>
        <v>-0.5590090247</v>
      </c>
      <c r="AF313" s="127">
        <f>VLOOKUP($O313,'NO USAR1'!$A$4:$L$403,4,False)*$W$19</f>
        <v>-1.294325082</v>
      </c>
      <c r="AG313" s="127">
        <f>VLOOKUP($O313,'NO USAR1'!$A$4:$L$403,5,False)*$X$19</f>
        <v>-1.297502595</v>
      </c>
      <c r="AH313" s="127">
        <f>VLOOKUP($O313,'NO USAR1'!$A$4:$L$403,6,False)*$Y$19</f>
        <v>-1.078620176</v>
      </c>
      <c r="AI313" s="127">
        <f>VLOOKUP($O313,'NO USAR1'!$A$4:$L$403,7,False)*$Z$19</f>
        <v>-0.3956983969</v>
      </c>
      <c r="AJ313" s="127">
        <f>VLOOKUP($O313,'NO USAR1'!$A$4:$L$403,8,False)*$AA$19</f>
        <v>-0.667919613</v>
      </c>
      <c r="AK313" s="132">
        <f>VLOOKUP($O313,'NO USAR1'!$A$4:$L$403,10,False)*$AB$19</f>
        <v>-0.3677962676</v>
      </c>
      <c r="AL313" s="127">
        <f>VLOOKUP($O313,'NO USAR1'!$A$4:$L$403,12,False)*$AC$19</f>
        <v>0.3708992557</v>
      </c>
      <c r="AM313" s="133">
        <f t="shared" si="2"/>
        <v>-1.526287221</v>
      </c>
      <c r="AN313" s="133">
        <f t="shared" si="3"/>
        <v>-2.823789816</v>
      </c>
    </row>
    <row r="314">
      <c r="A314" s="118" t="str">
        <f>IF(Update!B312="",ROW(Update!B312),Update!B312)</f>
        <v>Cory Joseph</v>
      </c>
      <c r="B314" s="119">
        <f>IF(TYPE($A314)=1,"",(Update!$L312-B$1)/B$2)</f>
        <v>-2.048718989</v>
      </c>
      <c r="C314" s="119">
        <f>IF(TYPE($A314)=1,"",(Update!$K312-C$1)/C$2)</f>
        <v>-0.9101640675</v>
      </c>
      <c r="D314" s="119">
        <f>IF(TYPE($A314)=1,"",(Update!$M312-D$1)/D$2)</f>
        <v>-1.921555629</v>
      </c>
      <c r="E314" s="119">
        <f>IF(TYPE($A314)=1,"",(Update!$N312-E$1)/E$2)</f>
        <v>-0.6231573357</v>
      </c>
      <c r="F314" s="119">
        <f>IF(TYPE($A314)=1,"",(Update!$O312-F$1)/F$2)</f>
        <v>-1.852385824</v>
      </c>
      <c r="G314" s="119">
        <f>IF(TYPE($A314)=1,"",(Update!$P312-G$1)/G$2)</f>
        <v>-1.128065594</v>
      </c>
      <c r="H314" s="119">
        <f>IF(TYPE($A314)=1,"",(Update!$H312-H$1)/H$2*I314/$I$1)</f>
        <v>-0.259190112</v>
      </c>
      <c r="I314" s="119">
        <f>IF(TYPE($A314)=1,"",IF(Update!H312=0,0,Update!G312/Update!H312))</f>
        <v>4.1</v>
      </c>
      <c r="J314" s="120">
        <f>IF(TYPE($A314)=1,"",(Update!$J312-J$1)/J$2*K314/$K$1)</f>
        <v>0.3429082796</v>
      </c>
      <c r="K314" s="121">
        <f>IF(TYPE($A314)=1,"",IF(Update!J312=0,0,Update!I312/Update!J312))</f>
        <v>1</v>
      </c>
      <c r="L314" s="119">
        <f>IF(TYPE($A314)=1,"",-(Update!$Q312-L$1)/L$2)</f>
        <v>1.483597023</v>
      </c>
      <c r="N314" s="124">
        <v>294.0</v>
      </c>
      <c r="O314" s="130" t="str">
        <f>IF(Update!B316="",ROW(Update!B316),Update!B316)</f>
        <v>Killian Hayes</v>
      </c>
      <c r="P314" s="131">
        <f>Update!E316</f>
        <v>65</v>
      </c>
      <c r="Q314" s="131" t="str">
        <f>IF(Update!C316="",ROW(Update!N331),Update!C316)</f>
        <v>PG,SG</v>
      </c>
      <c r="R314" s="127">
        <f>VLOOKUP($O314,'NO USAR1'!$A$4:$L$403,2,False)+VLOOKUP($O314,'NO USAR1'!$A$4:$L$403,3,False)+VLOOKUP($O314,'NO USAR1'!$A$4:$L$403,4,False)+VLOOKUP($O314,'NO USAR1'!$A$4:$L$403,5,False)+VLOOKUP($O314,'NO USAR1'!$A$4:$L$403,6,False)+VLOOKUP($O314,'NO USAR1'!$A$4:$L$403,7,False)+VLOOKUP($O314,'NO USAR1'!$A$4:$L$403,8,False)+VLOOKUP($O314,'NO USAR1'!$A$4:$L$403,10,False)+VLOOKUP($O314,'NO USAR1'!$A$4:$L$403,12,False)*0</f>
        <v>-7.938975442</v>
      </c>
      <c r="S314" s="127">
        <f>VLOOKUP($O314,'NO USAR1'!$A$4:$L$403,2,False)*$U$19+VLOOKUP($O314,'NO USAR1'!$A$4:$L$403,3,False)*$V$19+VLOOKUP($O314,'NO USAR1'!$A$4:$L$403,4,False)*$W$19+VLOOKUP($O314,'NO USAR1'!$A$4:$L$403,5,False)*$X$19+VLOOKUP($O314,'NO USAR1'!$A$4:$L$403,6,False)*$Y$19+VLOOKUP($O314,'NO USAR1'!$A$4:$L$403,7,False)*$Z$19+VLOOKUP($O314,'NO USAR1'!$A$4:$L$403,8,False)*$AA$19+VLOOKUP($O314,'NO USAR1'!$A$4:$L$403,10,False)*$AB$19+VLOOKUP($O314,'NO USAR1'!$A$4:$L$403,12,False)*$AC$19+IF(Projections!$K$3,-AN314, IF(Projections!$J$3,-AM314,0))</f>
        <v>-4.890584148</v>
      </c>
      <c r="T314" s="127">
        <f t="shared" si="1"/>
        <v>3.048391294</v>
      </c>
      <c r="U314" s="127">
        <f>VLOOKUP($O314,Update!$B$2:$R$401,11,False)</f>
        <v>4.7</v>
      </c>
      <c r="V314" s="122">
        <f>VLOOKUP($O314,Update!$B$2:$R$401,10,False)</f>
        <v>0.5</v>
      </c>
      <c r="W314" s="127">
        <f>VLOOKUP($O314,Update!$B$2:$R$401,12,False)</f>
        <v>1.6</v>
      </c>
      <c r="X314" s="127">
        <f>VLOOKUP($O314,Update!$B$2:$R$401,13,False)</f>
        <v>2.8</v>
      </c>
      <c r="Y314" s="127">
        <f>VLOOKUP($O314,Update!$B$2:$R$401,14,False)</f>
        <v>0.7</v>
      </c>
      <c r="Z314" s="132">
        <f>VLOOKUP($O314,Update!$B$2:$R$401,15,False)</f>
        <v>0.2</v>
      </c>
      <c r="AA314" s="127">
        <f>100*VLOOKUP($O314,Update!$B$2:$R$401,7,False)</f>
        <v>37.5</v>
      </c>
      <c r="AB314" s="127">
        <f>100*VLOOKUP($O314,Update!$B$2:$R$401,9,False)</f>
        <v>85.71428571</v>
      </c>
      <c r="AC314" s="127">
        <f>VLOOKUP($O314,Update!$B$2:$Q$401,16,False)</f>
        <v>1.1</v>
      </c>
      <c r="AD314" s="127">
        <f>VLOOKUP($O314,'NO USAR1'!$A$4:$L$403,2,False)*$U$19</f>
        <v>-2.11612954</v>
      </c>
      <c r="AE314" s="127">
        <f>VLOOKUP($O314,'NO USAR1'!$A$4:$L$403,3,False)*$V$19</f>
        <v>-0.9925734181</v>
      </c>
      <c r="AF314" s="127">
        <f>VLOOKUP($O314,'NO USAR1'!$A$4:$L$403,4,False)*$W$19</f>
        <v>-1.87974026</v>
      </c>
      <c r="AG314" s="127">
        <f>VLOOKUP($O314,'NO USAR1'!$A$4:$L$403,5,False)*$X$19</f>
        <v>-0.5324656877</v>
      </c>
      <c r="AH314" s="127">
        <f>VLOOKUP($O314,'NO USAR1'!$A$4:$L$403,6,False)*$Y$19</f>
        <v>-0.6425203744</v>
      </c>
      <c r="AI314" s="127">
        <f>VLOOKUP($O314,'NO USAR1'!$A$4:$L$403,7,False)*$Z$19</f>
        <v>-0.6583300762</v>
      </c>
      <c r="AJ314" s="127">
        <f>VLOOKUP($O314,'NO USAR1'!$A$4:$L$403,8,False)*$AA$19</f>
        <v>-0.5800661514</v>
      </c>
      <c r="AK314" s="132">
        <f>VLOOKUP($O314,'NO USAR1'!$A$4:$L$403,10,False)*$AB$19</f>
        <v>0.1173513277</v>
      </c>
      <c r="AL314" s="127">
        <f>VLOOKUP($O314,'NO USAR1'!$A$4:$L$403,12,False)*$AC$19</f>
        <v>0.2777604917</v>
      </c>
      <c r="AM314" s="133">
        <f t="shared" si="2"/>
        <v>-2.11612954</v>
      </c>
      <c r="AN314" s="133">
        <f t="shared" si="3"/>
        <v>-3.9958698</v>
      </c>
    </row>
    <row r="315">
      <c r="A315" s="118" t="str">
        <f>IF(Update!B313="",ROW(Update!B313),Update!B313)</f>
        <v>Zeke Nnaji</v>
      </c>
      <c r="B315" s="119">
        <f>IF(TYPE($A315)=1,"",(Update!$L313-B$1)/B$2)</f>
        <v>-1.846487337</v>
      </c>
      <c r="C315" s="119">
        <f>IF(TYPE($A315)=1,"",(Update!$K313-C$1)/C$2)</f>
        <v>-1.00651171</v>
      </c>
      <c r="D315" s="119">
        <f>IF(TYPE($A315)=1,"",(Update!$M313-D$1)/D$2)</f>
        <v>-1.168878972</v>
      </c>
      <c r="E315" s="119">
        <f>IF(TYPE($A315)=1,"",(Update!$N313-E$1)/E$2)</f>
        <v>-1.596840673</v>
      </c>
      <c r="F315" s="119">
        <f>IF(TYPE($A315)=1,"",(Update!$O313-F$1)/F$2)</f>
        <v>-1.852385824</v>
      </c>
      <c r="G315" s="119">
        <f>IF(TYPE($A315)=1,"",(Update!$P313-G$1)/G$2)</f>
        <v>-0.5652834241</v>
      </c>
      <c r="H315" s="119">
        <f>IF(TYPE($A315)=1,"",(Update!$H313-H$1)/H$2*I315/$I$1)</f>
        <v>0.2415794072</v>
      </c>
      <c r="I315" s="119">
        <f>IF(TYPE($A315)=1,"",IF(Update!H313=0,0,Update!G313/Update!H313))</f>
        <v>4.4</v>
      </c>
      <c r="J315" s="120">
        <f>IF(TYPE($A315)=1,"",(Update!$J313-J$1)/J$2*K315/$K$1)</f>
        <v>-0.8858371218</v>
      </c>
      <c r="K315" s="121">
        <f>IF(TYPE($A315)=1,"",IF(Update!J313=0,0,Update!I313/Update!J313))</f>
        <v>1.5</v>
      </c>
      <c r="L315" s="119">
        <f>IF(TYPE($A315)=1,"",-(Update!$Q313-L$1)/L$2)</f>
        <v>1.73196706</v>
      </c>
      <c r="N315" s="124">
        <v>295.0</v>
      </c>
      <c r="O315" s="130" t="str">
        <f>IF(Update!B302="",ROW(Update!B302),Update!B302)</f>
        <v>Jaime Jaquez Jr.</v>
      </c>
      <c r="P315" s="131">
        <f>Update!E302</f>
        <v>70</v>
      </c>
      <c r="Q315" s="131" t="str">
        <f>IF(Update!C302="",ROW(Update!N317),Update!C302)</f>
        <v>SF</v>
      </c>
      <c r="R315" s="127">
        <f>VLOOKUP($O315,'NO USAR1'!$A$4:$L$403,2,False)+VLOOKUP($O315,'NO USAR1'!$A$4:$L$403,3,False)+VLOOKUP($O315,'NO USAR1'!$A$4:$L$403,4,False)+VLOOKUP($O315,'NO USAR1'!$A$4:$L$403,5,False)+VLOOKUP($O315,'NO USAR1'!$A$4:$L$403,6,False)+VLOOKUP($O315,'NO USAR1'!$A$4:$L$403,7,False)+VLOOKUP($O315,'NO USAR1'!$A$4:$L$403,8,False)+VLOOKUP($O315,'NO USAR1'!$A$4:$L$403,10,False)+VLOOKUP($O315,'NO USAR1'!$A$4:$L$403,12,False)*0</f>
        <v>-7.945359239</v>
      </c>
      <c r="S315" s="127">
        <f>VLOOKUP($O315,'NO USAR1'!$A$4:$L$403,2,False)*$U$19+VLOOKUP($O315,'NO USAR1'!$A$4:$L$403,3,False)*$V$19+VLOOKUP($O315,'NO USAR1'!$A$4:$L$403,4,False)*$W$19+VLOOKUP($O315,'NO USAR1'!$A$4:$L$403,5,False)*$X$19+VLOOKUP($O315,'NO USAR1'!$A$4:$L$403,6,False)*$Y$19+VLOOKUP($O315,'NO USAR1'!$A$4:$L$403,7,False)*$Z$19+VLOOKUP($O315,'NO USAR1'!$A$4:$L$403,8,False)*$AA$19+VLOOKUP($O315,'NO USAR1'!$A$4:$L$403,10,False)*$AB$19+VLOOKUP($O315,'NO USAR1'!$A$4:$L$403,12,False)*$AC$19+IF(Projections!$K$3,-AN315, IF(Projections!$J$3,-AM315,0))</f>
        <v>-5.203301001</v>
      </c>
      <c r="T315" s="127">
        <f t="shared" si="1"/>
        <v>2.742058238</v>
      </c>
      <c r="U315" s="127">
        <f>VLOOKUP($O315,Update!$B$2:$R$401,11,False)</f>
        <v>7.3</v>
      </c>
      <c r="V315" s="122">
        <f>VLOOKUP($O315,Update!$B$2:$R$401,10,False)</f>
        <v>0.4</v>
      </c>
      <c r="W315" s="127">
        <f>VLOOKUP($O315,Update!$B$2:$R$401,12,False)</f>
        <v>2.5</v>
      </c>
      <c r="X315" s="127">
        <f>VLOOKUP($O315,Update!$B$2:$R$401,13,False)</f>
        <v>1.5</v>
      </c>
      <c r="Y315" s="127">
        <f>VLOOKUP($O315,Update!$B$2:$R$401,14,False)</f>
        <v>0.6</v>
      </c>
      <c r="Z315" s="132">
        <f>VLOOKUP($O315,Update!$B$2:$R$401,15,False)</f>
        <v>0.2</v>
      </c>
      <c r="AA315" s="127">
        <f>100*VLOOKUP($O315,Update!$B$2:$R$401,7,False)</f>
        <v>45</v>
      </c>
      <c r="AB315" s="127">
        <f>100*VLOOKUP($O315,Update!$B$2:$R$401,9,False)</f>
        <v>78.94736842</v>
      </c>
      <c r="AC315" s="127">
        <f>VLOOKUP($O315,Update!$B$2:$Q$401,16,False)</f>
        <v>0.8</v>
      </c>
      <c r="AD315" s="127">
        <f>VLOOKUP($O315,'NO USAR1'!$A$4:$L$403,2,False)*$U$19</f>
        <v>-1.67796096</v>
      </c>
      <c r="AE315" s="127">
        <f>VLOOKUP($O315,'NO USAR1'!$A$4:$L$403,3,False)*$V$19</f>
        <v>-1.079286297</v>
      </c>
      <c r="AF315" s="127">
        <f>VLOOKUP($O315,'NO USAR1'!$A$4:$L$403,4,False)*$W$19</f>
        <v>-1.503401931</v>
      </c>
      <c r="AG315" s="127">
        <f>VLOOKUP($O315,'NO USAR1'!$A$4:$L$403,5,False)*$X$19</f>
        <v>-1.195497674</v>
      </c>
      <c r="AH315" s="127">
        <f>VLOOKUP($O315,'NO USAR1'!$A$4:$L$403,6,False)*$Y$19</f>
        <v>-0.8605702752</v>
      </c>
      <c r="AI315" s="127">
        <f>VLOOKUP($O315,'NO USAR1'!$A$4:$L$403,7,False)*$Z$19</f>
        <v>-0.6583300762</v>
      </c>
      <c r="AJ315" s="127">
        <f>VLOOKUP($O315,'NO USAR1'!$A$4:$L$403,8,False)*$AA$19</f>
        <v>-0.2755934261</v>
      </c>
      <c r="AK315" s="132">
        <f>VLOOKUP($O315,'NO USAR1'!$A$4:$L$403,10,False)*$AB$19</f>
        <v>-0.001520577086</v>
      </c>
      <c r="AL315" s="127">
        <f>VLOOKUP($O315,'NO USAR1'!$A$4:$L$403,12,False)*$AC$19</f>
        <v>0.3708992557</v>
      </c>
      <c r="AM315" s="133">
        <f t="shared" si="2"/>
        <v>-1.67796096</v>
      </c>
      <c r="AN315" s="133">
        <f t="shared" si="3"/>
        <v>-3.181362891</v>
      </c>
    </row>
    <row r="316">
      <c r="A316" s="118" t="str">
        <f>IF(Update!B314="",ROW(Update!B314),Update!B314)</f>
        <v>Bilal Coulibaly</v>
      </c>
      <c r="B316" s="119">
        <f>IF(TYPE($A316)=1,"",(Update!$L314-B$1)/B$2)</f>
        <v>-1.492581945</v>
      </c>
      <c r="C316" s="119">
        <f>IF(TYPE($A316)=1,"",(Update!$K314-C$1)/C$2)</f>
        <v>-1.00651171</v>
      </c>
      <c r="D316" s="119">
        <f>IF(TYPE($A316)=1,"",(Update!$M314-D$1)/D$2)</f>
        <v>-0.9598021228</v>
      </c>
      <c r="E316" s="119">
        <f>IF(TYPE($A316)=1,"",(Update!$N314-E$1)/E$2)</f>
        <v>-0.9477184481</v>
      </c>
      <c r="F316" s="119">
        <f>IF(TYPE($A316)=1,"",(Update!$O314-F$1)/F$2)</f>
        <v>-1.229386107</v>
      </c>
      <c r="G316" s="119">
        <f>IF(TYPE($A316)=1,"",(Update!$P314-G$1)/G$2)</f>
        <v>-0.9404715375</v>
      </c>
      <c r="H316" s="119">
        <f>IF(TYPE($A316)=1,"",(Update!$H314-H$1)/H$2*I316/$I$1)</f>
        <v>-0.5237282424</v>
      </c>
      <c r="I316" s="119">
        <f>IF(TYPE($A316)=1,"",IF(Update!H314=0,0,Update!G314/Update!H314))</f>
        <v>7</v>
      </c>
      <c r="J316" s="120">
        <f>IF(TYPE($A316)=1,"",(Update!$J314-J$1)/J$2*K316/$K$1)</f>
        <v>-0.5429288422</v>
      </c>
      <c r="K316" s="121">
        <f>IF(TYPE($A316)=1,"",IF(Update!J314=0,0,Update!I314/Update!J314))</f>
        <v>2.5</v>
      </c>
      <c r="L316" s="119">
        <f>IF(TYPE($A316)=1,"",-(Update!$Q314-L$1)/L$2)</f>
        <v>0.9868569483</v>
      </c>
      <c r="N316" s="33">
        <v>296.0</v>
      </c>
      <c r="O316" s="130" t="str">
        <f>IF(Update!B283="",ROW(Update!B283),Update!B283)</f>
        <v>Trey Lyles</v>
      </c>
      <c r="P316" s="131">
        <f>Update!E283</f>
        <v>74</v>
      </c>
      <c r="Q316" s="131" t="str">
        <f>IF(Update!C283="",ROW(Update!N298),Update!C283)</f>
        <v>PF,C</v>
      </c>
      <c r="R316" s="127">
        <f>VLOOKUP($O316,'NO USAR1'!$A$4:$L$403,2,False)+VLOOKUP($O316,'NO USAR1'!$A$4:$L$403,3,False)+VLOOKUP($O316,'NO USAR1'!$A$4:$L$403,4,False)+VLOOKUP($O316,'NO USAR1'!$A$4:$L$403,5,False)+VLOOKUP($O316,'NO USAR1'!$A$4:$L$403,6,False)+VLOOKUP($O316,'NO USAR1'!$A$4:$L$403,7,False)+VLOOKUP($O316,'NO USAR1'!$A$4:$L$403,8,False)+VLOOKUP($O316,'NO USAR1'!$A$4:$L$403,10,False)+VLOOKUP($O316,'NO USAR1'!$A$4:$L$403,12,False)*0</f>
        <v>-7.973677466</v>
      </c>
      <c r="S316" s="127">
        <f>VLOOKUP($O316,'NO USAR1'!$A$4:$L$403,2,False)*$U$19+VLOOKUP($O316,'NO USAR1'!$A$4:$L$403,3,False)*$V$19+VLOOKUP($O316,'NO USAR1'!$A$4:$L$403,4,False)*$W$19+VLOOKUP($O316,'NO USAR1'!$A$4:$L$403,5,False)*$X$19+VLOOKUP($O316,'NO USAR1'!$A$4:$L$403,6,False)*$Y$19+VLOOKUP($O316,'NO USAR1'!$A$4:$L$403,7,False)*$Z$19+VLOOKUP($O316,'NO USAR1'!$A$4:$L$403,8,False)*$AA$19+VLOOKUP($O316,'NO USAR1'!$A$4:$L$403,10,False)*$AB$19+VLOOKUP($O316,'NO USAR1'!$A$4:$L$403,12,False)*$AC$19+IF(Projections!$K$3,-AN316, IF(Projections!$J$3,-AM316,0))</f>
        <v>-5.054467089</v>
      </c>
      <c r="T316" s="127">
        <f t="shared" si="1"/>
        <v>2.919210377</v>
      </c>
      <c r="U316" s="127">
        <f>VLOOKUP($O316,Update!$B$2:$R$401,11,False)</f>
        <v>7.2</v>
      </c>
      <c r="V316" s="122">
        <f>VLOOKUP($O316,Update!$B$2:$R$401,10,False)</f>
        <v>0.8</v>
      </c>
      <c r="W316" s="127">
        <f>VLOOKUP($O316,Update!$B$2:$R$401,12,False)</f>
        <v>3.7</v>
      </c>
      <c r="X316" s="127">
        <f>VLOOKUP($O316,Update!$B$2:$R$401,13,False)</f>
        <v>0.8</v>
      </c>
      <c r="Y316" s="127">
        <f>VLOOKUP($O316,Update!$B$2:$R$401,14,False)</f>
        <v>0.3</v>
      </c>
      <c r="Z316" s="132">
        <f>VLOOKUP($O316,Update!$B$2:$R$401,15,False)</f>
        <v>0.3</v>
      </c>
      <c r="AA316" s="127">
        <f>100*VLOOKUP($O316,Update!$B$2:$R$401,7,False)</f>
        <v>46.15384615</v>
      </c>
      <c r="AB316" s="127">
        <f>100*VLOOKUP($O316,Update!$B$2:$R$401,9,False)</f>
        <v>80</v>
      </c>
      <c r="AC316" s="127">
        <f>VLOOKUP($O316,Update!$B$2:$Q$401,16,False)</f>
        <v>0.7</v>
      </c>
      <c r="AD316" s="127">
        <f>VLOOKUP($O316,'NO USAR1'!$A$4:$L$403,2,False)*$U$19</f>
        <v>-1.694813598</v>
      </c>
      <c r="AE316" s="127">
        <f>VLOOKUP($O316,'NO USAR1'!$A$4:$L$403,3,False)*$V$19</f>
        <v>-0.7324347821</v>
      </c>
      <c r="AF316" s="127">
        <f>VLOOKUP($O316,'NO USAR1'!$A$4:$L$403,4,False)*$W$19</f>
        <v>-1.001617493</v>
      </c>
      <c r="AG316" s="127">
        <f>VLOOKUP($O316,'NO USAR1'!$A$4:$L$403,5,False)*$X$19</f>
        <v>-1.552514898</v>
      </c>
      <c r="AH316" s="127">
        <f>VLOOKUP($O316,'NO USAR1'!$A$4:$L$403,6,False)*$Y$19</f>
        <v>-1.514719978</v>
      </c>
      <c r="AI316" s="127">
        <f>VLOOKUP($O316,'NO USAR1'!$A$4:$L$403,7,False)*$Z$19</f>
        <v>-0.5270142365</v>
      </c>
      <c r="AJ316" s="127">
        <f>VLOOKUP($O316,'NO USAR1'!$A$4:$L$403,8,False)*$AA$19</f>
        <v>-0.1789157342</v>
      </c>
      <c r="AK316" s="132">
        <f>VLOOKUP($O316,'NO USAR1'!$A$4:$L$403,10,False)*$AB$19</f>
        <v>0.05080452156</v>
      </c>
      <c r="AL316" s="127">
        <f>VLOOKUP($O316,'NO USAR1'!$A$4:$L$403,12,False)*$AC$19</f>
        <v>0.4019455104</v>
      </c>
      <c r="AM316" s="133">
        <f t="shared" si="2"/>
        <v>-1.694813598</v>
      </c>
      <c r="AN316" s="133">
        <f t="shared" si="3"/>
        <v>-3.247328496</v>
      </c>
    </row>
    <row r="317">
      <c r="A317" s="118" t="str">
        <f>IF(Update!B315="",ROW(Update!B315),Update!B315)</f>
        <v>Jaxson Hayes</v>
      </c>
      <c r="B317" s="119">
        <f>IF(TYPE($A317)=1,"",(Update!$L315-B$1)/B$2)</f>
        <v>-1.998161076</v>
      </c>
      <c r="C317" s="119">
        <f>IF(TYPE($A317)=1,"",(Update!$K315-C$1)/C$2)</f>
        <v>-1.488249925</v>
      </c>
      <c r="D317" s="119">
        <f>IF(TYPE($A317)=1,"",(Update!$M315-D$1)/D$2)</f>
        <v>-1.419771191</v>
      </c>
      <c r="E317" s="119">
        <f>IF(TYPE($A317)=1,"",(Update!$N315-E$1)/E$2)</f>
        <v>-1.5504748</v>
      </c>
      <c r="F317" s="119">
        <f>IF(TYPE($A317)=1,"",(Update!$O315-F$1)/F$2)</f>
        <v>-2.163885682</v>
      </c>
      <c r="G317" s="119">
        <f>IF(TYPE($A317)=1,"",(Update!$P315-G$1)/G$2)</f>
        <v>-0.3776893674</v>
      </c>
      <c r="H317" s="119">
        <f>IF(TYPE($A317)=1,"",(Update!$H315-H$1)/H$2*I317/$I$1)</f>
        <v>0.3481077285</v>
      </c>
      <c r="I317" s="119">
        <f>IF(TYPE($A317)=1,"",IF(Update!H315=0,0,Update!G315/Update!H315))</f>
        <v>3.4</v>
      </c>
      <c r="J317" s="120">
        <f>IF(TYPE($A317)=1,"",(Update!$J315-J$1)/J$2*K317/$K$1)</f>
        <v>-0.1981198413</v>
      </c>
      <c r="K317" s="121">
        <f>IF(TYPE($A317)=1,"",IF(Update!J315=0,0,Update!I315/Update!J315))</f>
        <v>1.6</v>
      </c>
      <c r="L317" s="119">
        <f>IF(TYPE($A317)=1,"",-(Update!$Q315-L$1)/L$2)</f>
        <v>1.856152079</v>
      </c>
      <c r="N317" s="33">
        <v>297.0</v>
      </c>
      <c r="O317" s="130" t="str">
        <f>IF(Update!B300="",ROW(Update!B300),Update!B300)</f>
        <v>Danny Green</v>
      </c>
      <c r="P317" s="131">
        <f>Update!E300</f>
        <v>30</v>
      </c>
      <c r="Q317" s="131" t="str">
        <f>IF(Update!C300="",ROW(Update!N315),Update!C300)</f>
        <v>SG</v>
      </c>
      <c r="R317" s="127">
        <f>VLOOKUP($O317,'NO USAR1'!$A$4:$L$403,2,False)+VLOOKUP($O317,'NO USAR1'!$A$4:$L$403,3,False)+VLOOKUP($O317,'NO USAR1'!$A$4:$L$403,4,False)+VLOOKUP($O317,'NO USAR1'!$A$4:$L$403,5,False)+VLOOKUP($O317,'NO USAR1'!$A$4:$L$403,6,False)+VLOOKUP($O317,'NO USAR1'!$A$4:$L$403,7,False)+VLOOKUP($O317,'NO USAR1'!$A$4:$L$403,8,False)+VLOOKUP($O317,'NO USAR1'!$A$4:$L$403,10,False)+VLOOKUP($O317,'NO USAR1'!$A$4:$L$403,12,False)*0</f>
        <v>-8.015894862</v>
      </c>
      <c r="S317" s="127">
        <f>VLOOKUP($O317,'NO USAR1'!$A$4:$L$403,2,False)*$U$19+VLOOKUP($O317,'NO USAR1'!$A$4:$L$403,3,False)*$V$19+VLOOKUP($O317,'NO USAR1'!$A$4:$L$403,4,False)*$W$19+VLOOKUP($O317,'NO USAR1'!$A$4:$L$403,5,False)*$X$19+VLOOKUP($O317,'NO USAR1'!$A$4:$L$403,6,False)*$Y$19+VLOOKUP($O317,'NO USAR1'!$A$4:$L$403,7,False)*$Z$19+VLOOKUP($O317,'NO USAR1'!$A$4:$L$403,8,False)*$AA$19+VLOOKUP($O317,'NO USAR1'!$A$4:$L$403,10,False)*$AB$19+VLOOKUP($O317,'NO USAR1'!$A$4:$L$403,12,False)*$AC$19+IF(Projections!$K$3,-AN317, IF(Projections!$J$3,-AM317,0))</f>
        <v>-4.930586795</v>
      </c>
      <c r="T317" s="127">
        <f t="shared" si="1"/>
        <v>3.085308067</v>
      </c>
      <c r="U317" s="127">
        <f>VLOOKUP($O317,Update!$B$2:$R$401,11,False)</f>
        <v>4.2</v>
      </c>
      <c r="V317" s="122">
        <f>VLOOKUP($O317,Update!$B$2:$R$401,10,False)</f>
        <v>1.2</v>
      </c>
      <c r="W317" s="127">
        <f>VLOOKUP($O317,Update!$B$2:$R$401,12,False)</f>
        <v>1.7</v>
      </c>
      <c r="X317" s="127">
        <f>VLOOKUP($O317,Update!$B$2:$R$401,13,False)</f>
        <v>0.7</v>
      </c>
      <c r="Y317" s="127">
        <f>VLOOKUP($O317,Update!$B$2:$R$401,14,False)</f>
        <v>0.7</v>
      </c>
      <c r="Z317" s="132">
        <f>VLOOKUP($O317,Update!$B$2:$R$401,15,False)</f>
        <v>0.4</v>
      </c>
      <c r="AA317" s="127">
        <f>100*VLOOKUP($O317,Update!$B$2:$R$401,7,False)</f>
        <v>38.88888889</v>
      </c>
      <c r="AB317" s="127">
        <f>100*VLOOKUP($O317,Update!$B$2:$R$401,9,False)</f>
        <v>50</v>
      </c>
      <c r="AC317" s="127">
        <f>VLOOKUP($O317,Update!$B$2:$Q$401,16,False)</f>
        <v>0.5</v>
      </c>
      <c r="AD317" s="127">
        <f>VLOOKUP($O317,'NO USAR1'!$A$4:$L$403,2,False)*$U$19</f>
        <v>-2.200392728</v>
      </c>
      <c r="AE317" s="127">
        <f>VLOOKUP($O317,'NO USAR1'!$A$4:$L$403,3,False)*$V$19</f>
        <v>-0.3855832673</v>
      </c>
      <c r="AF317" s="127">
        <f>VLOOKUP($O317,'NO USAR1'!$A$4:$L$403,4,False)*$W$19</f>
        <v>-1.83792489</v>
      </c>
      <c r="AG317" s="127">
        <f>VLOOKUP($O317,'NO USAR1'!$A$4:$L$403,5,False)*$X$19</f>
        <v>-1.603517358</v>
      </c>
      <c r="AH317" s="127">
        <f>VLOOKUP($O317,'NO USAR1'!$A$4:$L$403,6,False)*$Y$19</f>
        <v>-0.6425203744</v>
      </c>
      <c r="AI317" s="127">
        <f>VLOOKUP($O317,'NO USAR1'!$A$4:$L$403,7,False)*$Z$19</f>
        <v>-0.3956983969</v>
      </c>
      <c r="AJ317" s="127">
        <f>VLOOKUP($O317,'NO USAR1'!$A$4:$L$403,8,False)*$AA$19</f>
        <v>-0.3851063621</v>
      </c>
      <c r="AK317" s="132">
        <f>VLOOKUP($O317,'NO USAR1'!$A$4:$L$403,10,False)*$AB$19</f>
        <v>-0.1442741656</v>
      </c>
      <c r="AL317" s="127">
        <f>VLOOKUP($O317,'NO USAR1'!$A$4:$L$403,12,False)*$AC$19</f>
        <v>0.4640380197</v>
      </c>
      <c r="AM317" s="133">
        <f t="shared" si="2"/>
        <v>-2.200392728</v>
      </c>
      <c r="AN317" s="133">
        <f t="shared" si="3"/>
        <v>-4.038317618</v>
      </c>
    </row>
    <row r="318">
      <c r="A318" s="118" t="str">
        <f>IF(Update!B316="",ROW(Update!B316),Update!B316)</f>
        <v>Killian Hayes</v>
      </c>
      <c r="B318" s="119">
        <f>IF(TYPE($A318)=1,"",(Update!$L316-B$1)/B$2)</f>
        <v>-2.11612954</v>
      </c>
      <c r="C318" s="119">
        <f>IF(TYPE($A318)=1,"",(Update!$K316-C$1)/C$2)</f>
        <v>-1.102859353</v>
      </c>
      <c r="D318" s="119">
        <f>IF(TYPE($A318)=1,"",(Update!$M316-D$1)/D$2)</f>
        <v>-1.87974026</v>
      </c>
      <c r="E318" s="119">
        <f>IF(TYPE($A318)=1,"",(Update!$N316-E$1)/E$2)</f>
        <v>-0.4840597161</v>
      </c>
      <c r="F318" s="119">
        <f>IF(TYPE($A318)=1,"",(Update!$O316-F$1)/F$2)</f>
        <v>-0.9178862491</v>
      </c>
      <c r="G318" s="119">
        <f>IF(TYPE($A318)=1,"",(Update!$P316-G$1)/G$2)</f>
        <v>-0.9404715375</v>
      </c>
      <c r="H318" s="119">
        <f>IF(TYPE($A318)=1,"",(Update!$H316-H$1)/H$2*I318/$I$1)</f>
        <v>-0.644517946</v>
      </c>
      <c r="I318" s="119">
        <f>IF(TYPE($A318)=1,"",IF(Update!H316=0,0,Update!G316/Update!H316))</f>
        <v>4.8</v>
      </c>
      <c r="J318" s="120">
        <f>IF(TYPE($A318)=1,"",(Update!$J316-J$1)/J$2*K318/$K$1)</f>
        <v>0.1466891596</v>
      </c>
      <c r="K318" s="121">
        <f>IF(TYPE($A318)=1,"",IF(Update!J316=0,0,Update!I316/Update!J316))</f>
        <v>0.7</v>
      </c>
      <c r="L318" s="119">
        <f>IF(TYPE($A318)=1,"",-(Update!$Q316-L$1)/L$2)</f>
        <v>1.111041967</v>
      </c>
      <c r="N318" s="124">
        <v>298.0</v>
      </c>
      <c r="O318" s="130" t="str">
        <f>IF(Update!B318="",ROW(Update!B318),Update!B318)</f>
        <v>Ousmane Dieng</v>
      </c>
      <c r="P318" s="131">
        <f>Update!E318</f>
        <v>64</v>
      </c>
      <c r="Q318" s="131" t="str">
        <f>IF(Update!C318="",ROW(Update!N333),Update!C318)</f>
        <v>SF,PF</v>
      </c>
      <c r="R318" s="127">
        <f>VLOOKUP($O318,'NO USAR1'!$A$4:$L$403,2,False)+VLOOKUP($O318,'NO USAR1'!$A$4:$L$403,3,False)+VLOOKUP($O318,'NO USAR1'!$A$4:$L$403,4,False)+VLOOKUP($O318,'NO USAR1'!$A$4:$L$403,5,False)+VLOOKUP($O318,'NO USAR1'!$A$4:$L$403,6,False)+VLOOKUP($O318,'NO USAR1'!$A$4:$L$403,7,False)+VLOOKUP($O318,'NO USAR1'!$A$4:$L$403,8,False)+VLOOKUP($O318,'NO USAR1'!$A$4:$L$403,10,False)+VLOOKUP($O318,'NO USAR1'!$A$4:$L$403,12,False)*0</f>
        <v>-8.018108051</v>
      </c>
      <c r="S318" s="127">
        <f>VLOOKUP($O318,'NO USAR1'!$A$4:$L$403,2,False)*$U$19+VLOOKUP($O318,'NO USAR1'!$A$4:$L$403,3,False)*$V$19+VLOOKUP($O318,'NO USAR1'!$A$4:$L$403,4,False)*$W$19+VLOOKUP($O318,'NO USAR1'!$A$4:$L$403,5,False)*$X$19+VLOOKUP($O318,'NO USAR1'!$A$4:$L$403,6,False)*$Y$19+VLOOKUP($O318,'NO USAR1'!$A$4:$L$403,7,False)*$Z$19+VLOOKUP($O318,'NO USAR1'!$A$4:$L$403,8,False)*$AA$19+VLOOKUP($O318,'NO USAR1'!$A$4:$L$403,10,False)*$AB$19+VLOOKUP($O318,'NO USAR1'!$A$4:$L$403,12,False)*$AC$19+IF(Projections!$K$3,-AN318, IF(Projections!$J$3,-AM318,0))</f>
        <v>-5.020259742</v>
      </c>
      <c r="T318" s="127">
        <f t="shared" si="1"/>
        <v>2.997848309</v>
      </c>
      <c r="U318" s="127">
        <f>VLOOKUP($O318,Update!$B$2:$R$401,11,False)</f>
        <v>6.4</v>
      </c>
      <c r="V318" s="122">
        <f>VLOOKUP($O318,Update!$B$2:$R$401,10,False)</f>
        <v>0.8</v>
      </c>
      <c r="W318" s="127">
        <f>VLOOKUP($O318,Update!$B$2:$R$401,12,False)</f>
        <v>3.3</v>
      </c>
      <c r="X318" s="127">
        <f>VLOOKUP($O318,Update!$B$2:$R$401,13,False)</f>
        <v>1.5</v>
      </c>
      <c r="Y318" s="127">
        <f>VLOOKUP($O318,Update!$B$2:$R$401,14,False)</f>
        <v>0.5</v>
      </c>
      <c r="Z318" s="132">
        <f>VLOOKUP($O318,Update!$B$2:$R$401,15,False)</f>
        <v>0.2</v>
      </c>
      <c r="AA318" s="127">
        <f>100*VLOOKUP($O318,Update!$B$2:$R$401,7,False)</f>
        <v>42.37288136</v>
      </c>
      <c r="AB318" s="127">
        <f>100*VLOOKUP($O318,Update!$B$2:$R$401,9,False)</f>
        <v>71.42857143</v>
      </c>
      <c r="AC318" s="127">
        <f>VLOOKUP($O318,Update!$B$2:$Q$401,16,False)</f>
        <v>0.8</v>
      </c>
      <c r="AD318" s="127">
        <f>VLOOKUP($O318,'NO USAR1'!$A$4:$L$403,2,False)*$U$19</f>
        <v>-1.829634699</v>
      </c>
      <c r="AE318" s="127">
        <f>VLOOKUP($O318,'NO USAR1'!$A$4:$L$403,3,False)*$V$19</f>
        <v>-0.7324347821</v>
      </c>
      <c r="AF318" s="127">
        <f>VLOOKUP($O318,'NO USAR1'!$A$4:$L$403,4,False)*$W$19</f>
        <v>-1.168878972</v>
      </c>
      <c r="AG318" s="127">
        <f>VLOOKUP($O318,'NO USAR1'!$A$4:$L$403,5,False)*$X$19</f>
        <v>-1.195497674</v>
      </c>
      <c r="AH318" s="127">
        <f>VLOOKUP($O318,'NO USAR1'!$A$4:$L$403,6,False)*$Y$19</f>
        <v>-1.078620176</v>
      </c>
      <c r="AI318" s="127">
        <f>VLOOKUP($O318,'NO USAR1'!$A$4:$L$403,7,False)*$Z$19</f>
        <v>-0.6583300762</v>
      </c>
      <c r="AJ318" s="127">
        <f>VLOOKUP($O318,'NO USAR1'!$A$4:$L$403,8,False)*$AA$19</f>
        <v>-0.4258242819</v>
      </c>
      <c r="AK318" s="132">
        <f>VLOOKUP($O318,'NO USAR1'!$A$4:$L$403,10,False)*$AB$19</f>
        <v>-0.1315730352</v>
      </c>
      <c r="AL318" s="127">
        <f>VLOOKUP($O318,'NO USAR1'!$A$4:$L$403,12,False)*$AC$19</f>
        <v>0.3708992557</v>
      </c>
      <c r="AM318" s="133">
        <f t="shared" si="2"/>
        <v>-1.829634699</v>
      </c>
      <c r="AN318" s="133">
        <f t="shared" si="3"/>
        <v>-3.025132374</v>
      </c>
    </row>
    <row r="319">
      <c r="A319" s="118" t="str">
        <f>IF(Update!B317="",ROW(Update!B317),Update!B317)</f>
        <v>Danuel House Jr.</v>
      </c>
      <c r="B319" s="119">
        <f>IF(TYPE($A319)=1,"",(Update!$L317-B$1)/B$2)</f>
        <v>-1.930750525</v>
      </c>
      <c r="C319" s="119">
        <f>IF(TYPE($A319)=1,"",(Update!$K317-C$1)/C$2)</f>
        <v>-0.7174687815</v>
      </c>
      <c r="D319" s="119">
        <f>IF(TYPE($A319)=1,"",(Update!$M317-D$1)/D$2)</f>
        <v>-1.587032671</v>
      </c>
      <c r="E319" s="119">
        <f>IF(TYPE($A319)=1,"",(Update!$N317-E$1)/E$2)</f>
        <v>-1.318645434</v>
      </c>
      <c r="F319" s="119">
        <f>IF(TYPE($A319)=1,"",(Update!$O317-F$1)/F$2)</f>
        <v>-1.852385824</v>
      </c>
      <c r="G319" s="119">
        <f>IF(TYPE($A319)=1,"",(Update!$P317-G$1)/G$2)</f>
        <v>-0.7528774808</v>
      </c>
      <c r="H319" s="119">
        <f>IF(TYPE($A319)=1,"",(Update!$H317-H$1)/H$2*I319/$I$1)</f>
        <v>-0.2032519422</v>
      </c>
      <c r="I319" s="119">
        <f>IF(TYPE($A319)=1,"",IF(Update!H317=0,0,Update!G317/Update!H317))</f>
        <v>4.2</v>
      </c>
      <c r="J319" s="120">
        <f>IF(TYPE($A319)=1,"",(Update!$J317-J$1)/J$2*K319/$K$1)</f>
        <v>-0.08318350766</v>
      </c>
      <c r="K319" s="121">
        <f>IF(TYPE($A319)=1,"",IF(Update!J317=0,0,Update!I317/Update!J317))</f>
        <v>1.3</v>
      </c>
      <c r="L319" s="119">
        <f>IF(TYPE($A319)=1,"",-(Update!$Q317-L$1)/L$2)</f>
        <v>1.607782042</v>
      </c>
      <c r="N319" s="124">
        <v>299.0</v>
      </c>
      <c r="O319" s="130" t="str">
        <f>IF(Update!B307="",ROW(Update!B307),Update!B307)</f>
        <v>Duncan Robinson</v>
      </c>
      <c r="P319" s="131">
        <f>Update!E307</f>
        <v>59</v>
      </c>
      <c r="Q319" s="131" t="str">
        <f>IF(Update!C307="",ROW(Update!N322),Update!C307)</f>
        <v>SG,SF</v>
      </c>
      <c r="R319" s="127">
        <f>VLOOKUP($O319,'NO USAR1'!$A$4:$L$403,2,False)+VLOOKUP($O319,'NO USAR1'!$A$4:$L$403,3,False)+VLOOKUP($O319,'NO USAR1'!$A$4:$L$403,4,False)+VLOOKUP($O319,'NO USAR1'!$A$4:$L$403,5,False)+VLOOKUP($O319,'NO USAR1'!$A$4:$L$403,6,False)+VLOOKUP($O319,'NO USAR1'!$A$4:$L$403,7,False)+VLOOKUP($O319,'NO USAR1'!$A$4:$L$403,8,False)+VLOOKUP($O319,'NO USAR1'!$A$4:$L$403,10,False)+VLOOKUP($O319,'NO USAR1'!$A$4:$L$403,12,False)*0</f>
        <v>-8.029617937</v>
      </c>
      <c r="S319" s="127">
        <f>VLOOKUP($O319,'NO USAR1'!$A$4:$L$403,2,False)*$U$19+VLOOKUP($O319,'NO USAR1'!$A$4:$L$403,3,False)*$V$19+VLOOKUP($O319,'NO USAR1'!$A$4:$L$403,4,False)*$W$19+VLOOKUP($O319,'NO USAR1'!$A$4:$L$403,5,False)*$X$19+VLOOKUP($O319,'NO USAR1'!$A$4:$L$403,6,False)*$Y$19+VLOOKUP($O319,'NO USAR1'!$A$4:$L$403,7,False)*$Z$19+VLOOKUP($O319,'NO USAR1'!$A$4:$L$403,8,False)*$AA$19+VLOOKUP($O319,'NO USAR1'!$A$4:$L$403,10,False)*$AB$19+VLOOKUP($O319,'NO USAR1'!$A$4:$L$403,12,False)*$AC$19+IF(Projections!$K$3,-AN319, IF(Projections!$J$3,-AM319,0))</f>
        <v>-5.000497375</v>
      </c>
      <c r="T319" s="127">
        <f t="shared" si="1"/>
        <v>3.029120562</v>
      </c>
      <c r="U319" s="127">
        <f>VLOOKUP($O319,Update!$B$2:$R$401,11,False)</f>
        <v>7.4</v>
      </c>
      <c r="V319" s="122">
        <f>VLOOKUP($O319,Update!$B$2:$R$401,10,False)</f>
        <v>1.9</v>
      </c>
      <c r="W319" s="127">
        <f>VLOOKUP($O319,Update!$B$2:$R$401,12,False)</f>
        <v>1.8</v>
      </c>
      <c r="X319" s="127">
        <f>VLOOKUP($O319,Update!$B$2:$R$401,13,False)</f>
        <v>1.2</v>
      </c>
      <c r="Y319" s="127">
        <f>VLOOKUP($O319,Update!$B$2:$R$401,14,False)</f>
        <v>0.4</v>
      </c>
      <c r="Z319" s="132">
        <f>VLOOKUP($O319,Update!$B$2:$R$401,15,False)</f>
        <v>0.1</v>
      </c>
      <c r="AA319" s="127">
        <f>100*VLOOKUP($O319,Update!$B$2:$R$401,7,False)</f>
        <v>39.68253968</v>
      </c>
      <c r="AB319" s="127">
        <f>100*VLOOKUP($O319,Update!$B$2:$R$401,9,False)</f>
        <v>83.33333333</v>
      </c>
      <c r="AC319" s="127">
        <f>VLOOKUP($O319,Update!$B$2:$Q$401,16,False)</f>
        <v>0.6</v>
      </c>
      <c r="AD319" s="127">
        <f>VLOOKUP($O319,'NO USAR1'!$A$4:$L$403,2,False)*$U$19</f>
        <v>-1.661108322</v>
      </c>
      <c r="AE319" s="127">
        <f>VLOOKUP($O319,'NO USAR1'!$A$4:$L$403,3,False)*$V$19</f>
        <v>0.2214068836</v>
      </c>
      <c r="AF319" s="127">
        <f>VLOOKUP($O319,'NO USAR1'!$A$4:$L$403,4,False)*$W$19</f>
        <v>-1.79610952</v>
      </c>
      <c r="AG319" s="127">
        <f>VLOOKUP($O319,'NO USAR1'!$A$4:$L$403,5,False)*$X$19</f>
        <v>-1.348505056</v>
      </c>
      <c r="AH319" s="127">
        <f>VLOOKUP($O319,'NO USAR1'!$A$4:$L$403,6,False)*$Y$19</f>
        <v>-1.296670077</v>
      </c>
      <c r="AI319" s="127">
        <f>VLOOKUP($O319,'NO USAR1'!$A$4:$L$403,7,False)*$Z$19</f>
        <v>-0.7896459159</v>
      </c>
      <c r="AJ319" s="127">
        <f>VLOOKUP($O319,'NO USAR1'!$A$4:$L$403,8,False)*$AA$19</f>
        <v>-0.6239928822</v>
      </c>
      <c r="AK319" s="132">
        <f>VLOOKUP($O319,'NO USAR1'!$A$4:$L$403,10,False)*$AB$19</f>
        <v>0.06502622904</v>
      </c>
      <c r="AL319" s="127">
        <f>VLOOKUP($O319,'NO USAR1'!$A$4:$L$403,12,False)*$AC$19</f>
        <v>0.4329917651</v>
      </c>
      <c r="AM319" s="133">
        <f t="shared" si="2"/>
        <v>-1.79610952</v>
      </c>
      <c r="AN319" s="133">
        <f t="shared" si="3"/>
        <v>-3.457217842</v>
      </c>
    </row>
    <row r="320">
      <c r="A320" s="118" t="str">
        <f>IF(Update!B318="",ROW(Update!B318),Update!B318)</f>
        <v>Ousmane Dieng</v>
      </c>
      <c r="B320" s="119">
        <f>IF(TYPE($A320)=1,"",(Update!$L318-B$1)/B$2)</f>
        <v>-1.829634699</v>
      </c>
      <c r="C320" s="119">
        <f>IF(TYPE($A320)=1,"",(Update!$K318-C$1)/C$2)</f>
        <v>-0.8138164245</v>
      </c>
      <c r="D320" s="119">
        <f>IF(TYPE($A320)=1,"",(Update!$M318-D$1)/D$2)</f>
        <v>-1.168878972</v>
      </c>
      <c r="E320" s="119">
        <f>IF(TYPE($A320)=1,"",(Update!$N318-E$1)/E$2)</f>
        <v>-1.086816068</v>
      </c>
      <c r="F320" s="119">
        <f>IF(TYPE($A320)=1,"",(Update!$O318-F$1)/F$2)</f>
        <v>-1.540885966</v>
      </c>
      <c r="G320" s="119">
        <f>IF(TYPE($A320)=1,"",(Update!$P318-G$1)/G$2)</f>
        <v>-0.9404715375</v>
      </c>
      <c r="H320" s="119">
        <f>IF(TYPE($A320)=1,"",(Update!$H318-H$1)/H$2*I320/$I$1)</f>
        <v>-0.4731380909</v>
      </c>
      <c r="I320" s="119">
        <f>IF(TYPE($A320)=1,"",IF(Update!H318=0,0,Update!G318/Update!H318))</f>
        <v>5.9</v>
      </c>
      <c r="J320" s="120">
        <f>IF(TYPE($A320)=1,"",(Update!$J318-J$1)/J$2*K320/$K$1)</f>
        <v>-0.164466294</v>
      </c>
      <c r="K320" s="121">
        <f>IF(TYPE($A320)=1,"",IF(Update!J318=0,0,Update!I318/Update!J318))</f>
        <v>0.7</v>
      </c>
      <c r="L320" s="119">
        <f>IF(TYPE($A320)=1,"",-(Update!$Q318-L$1)/L$2)</f>
        <v>1.483597023</v>
      </c>
      <c r="N320" s="33">
        <v>300.0</v>
      </c>
      <c r="O320" s="130" t="str">
        <f>IF(Update!B287="",ROW(Update!B287),Update!B287)</f>
        <v>Jae'Sean Tate</v>
      </c>
      <c r="P320" s="131">
        <f>Update!E287</f>
        <v>64</v>
      </c>
      <c r="Q320" s="131" t="str">
        <f>IF(Update!C287="",ROW(Update!N302),Update!C287)</f>
        <v>SF,PF</v>
      </c>
      <c r="R320" s="127">
        <f>VLOOKUP($O320,'NO USAR1'!$A$4:$L$403,2,False)+VLOOKUP($O320,'NO USAR1'!$A$4:$L$403,3,False)+VLOOKUP($O320,'NO USAR1'!$A$4:$L$403,4,False)+VLOOKUP($O320,'NO USAR1'!$A$4:$L$403,5,False)+VLOOKUP($O320,'NO USAR1'!$A$4:$L$403,6,False)+VLOOKUP($O320,'NO USAR1'!$A$4:$L$403,7,False)+VLOOKUP($O320,'NO USAR1'!$A$4:$L$403,8,False)+VLOOKUP($O320,'NO USAR1'!$A$4:$L$403,10,False)+VLOOKUP($O320,'NO USAR1'!$A$4:$L$403,12,False)*0</f>
        <v>-8.044232532</v>
      </c>
      <c r="S320" s="127">
        <f>VLOOKUP($O320,'NO USAR1'!$A$4:$L$403,2,False)*$U$19+VLOOKUP($O320,'NO USAR1'!$A$4:$L$403,3,False)*$V$19+VLOOKUP($O320,'NO USAR1'!$A$4:$L$403,4,False)*$W$19+VLOOKUP($O320,'NO USAR1'!$A$4:$L$403,5,False)*$X$19+VLOOKUP($O320,'NO USAR1'!$A$4:$L$403,6,False)*$Y$19+VLOOKUP($O320,'NO USAR1'!$A$4:$L$403,7,False)*$Z$19+VLOOKUP($O320,'NO USAR1'!$A$4:$L$403,8,False)*$AA$19+VLOOKUP($O320,'NO USAR1'!$A$4:$L$403,10,False)*$AB$19+VLOOKUP($O320,'NO USAR1'!$A$4:$L$403,12,False)*$AC$19+IF(Projections!$K$3,-AN320, IF(Projections!$J$3,-AM320,0))</f>
        <v>-5.189788232</v>
      </c>
      <c r="T320" s="127">
        <f t="shared" si="1"/>
        <v>2.8544443</v>
      </c>
      <c r="U320" s="127">
        <f>VLOOKUP($O320,Update!$B$2:$R$401,11,False)</f>
        <v>6.9</v>
      </c>
      <c r="V320" s="122">
        <f>VLOOKUP($O320,Update!$B$2:$R$401,10,False)</f>
        <v>0.4</v>
      </c>
      <c r="W320" s="127">
        <f>VLOOKUP($O320,Update!$B$2:$R$401,12,False)</f>
        <v>3.1</v>
      </c>
      <c r="X320" s="127">
        <f>VLOOKUP($O320,Update!$B$2:$R$401,13,False)</f>
        <v>1.8</v>
      </c>
      <c r="Y320" s="127">
        <f>VLOOKUP($O320,Update!$B$2:$R$401,14,False)</f>
        <v>0.5</v>
      </c>
      <c r="Z320" s="132">
        <f>VLOOKUP($O320,Update!$B$2:$R$401,15,False)</f>
        <v>0.3</v>
      </c>
      <c r="AA320" s="127">
        <f>100*VLOOKUP($O320,Update!$B$2:$R$401,7,False)</f>
        <v>49.09090909</v>
      </c>
      <c r="AB320" s="127">
        <f>100*VLOOKUP($O320,Update!$B$2:$R$401,9,False)</f>
        <v>66.66666667</v>
      </c>
      <c r="AC320" s="127">
        <f>VLOOKUP($O320,Update!$B$2:$Q$401,16,False)</f>
        <v>1.1</v>
      </c>
      <c r="AD320" s="127">
        <f>VLOOKUP($O320,'NO USAR1'!$A$4:$L$403,2,False)*$U$19</f>
        <v>-1.745371511</v>
      </c>
      <c r="AE320" s="127">
        <f>VLOOKUP($O320,'NO USAR1'!$A$4:$L$403,3,False)*$V$19</f>
        <v>-1.079286297</v>
      </c>
      <c r="AF320" s="127">
        <f>VLOOKUP($O320,'NO USAR1'!$A$4:$L$403,4,False)*$W$19</f>
        <v>-1.252509712</v>
      </c>
      <c r="AG320" s="127">
        <f>VLOOKUP($O320,'NO USAR1'!$A$4:$L$403,5,False)*$X$19</f>
        <v>-1.042490293</v>
      </c>
      <c r="AH320" s="127">
        <f>VLOOKUP($O320,'NO USAR1'!$A$4:$L$403,6,False)*$Y$19</f>
        <v>-1.078620176</v>
      </c>
      <c r="AI320" s="127">
        <f>VLOOKUP($O320,'NO USAR1'!$A$4:$L$403,7,False)*$Z$19</f>
        <v>-0.5270142365</v>
      </c>
      <c r="AJ320" s="127">
        <f>VLOOKUP($O320,'NO USAR1'!$A$4:$L$403,8,False)*$AA$19</f>
        <v>-0.02788267567</v>
      </c>
      <c r="AK320" s="132">
        <f>VLOOKUP($O320,'NO USAR1'!$A$4:$L$403,10,False)*$AB$19</f>
        <v>-0.4597453346</v>
      </c>
      <c r="AL320" s="127">
        <f>VLOOKUP($O320,'NO USAR1'!$A$4:$L$403,12,False)*$AC$19</f>
        <v>0.2777604917</v>
      </c>
      <c r="AM320" s="133">
        <f t="shared" si="2"/>
        <v>-1.745371511</v>
      </c>
      <c r="AN320" s="133">
        <f t="shared" si="3"/>
        <v>-2.997881222</v>
      </c>
    </row>
    <row r="321">
      <c r="A321" s="118" t="str">
        <f>IF(Update!B319="",ROW(Update!B319),Update!B319)</f>
        <v>Jordan McLaughlin</v>
      </c>
      <c r="B321" s="119">
        <f>IF(TYPE($A321)=1,"",(Update!$L319-B$1)/B$2)</f>
        <v>-2.368919105</v>
      </c>
      <c r="C321" s="119">
        <f>IF(TYPE($A321)=1,"",(Update!$K319-C$1)/C$2)</f>
        <v>-1.199206996</v>
      </c>
      <c r="D321" s="119">
        <f>IF(TYPE($A321)=1,"",(Update!$M319-D$1)/D$2)</f>
        <v>-2.005186369</v>
      </c>
      <c r="E321" s="119">
        <f>IF(TYPE($A321)=1,"",(Update!$N319-E$1)/E$2)</f>
        <v>-0.5304255893</v>
      </c>
      <c r="F321" s="119">
        <f>IF(TYPE($A321)=1,"",(Update!$O319-F$1)/F$2)</f>
        <v>-0.9178862491</v>
      </c>
      <c r="G321" s="119">
        <f>IF(TYPE($A321)=1,"",(Update!$P319-G$1)/G$2)</f>
        <v>-1.128065594</v>
      </c>
      <c r="H321" s="119">
        <f>IF(TYPE($A321)=1,"",(Update!$H319-H$1)/H$2*I321/$I$1)</f>
        <v>-0.209491297</v>
      </c>
      <c r="I321" s="119">
        <f>IF(TYPE($A321)=1,"",IF(Update!H319=0,0,Update!G319/Update!H319))</f>
        <v>2.8</v>
      </c>
      <c r="J321" s="120">
        <f>IF(TYPE($A321)=1,"",(Update!$J319-J$1)/J$2*K321/$K$1)</f>
        <v>0.01587641299</v>
      </c>
      <c r="K321" s="121">
        <f>IF(TYPE($A321)=1,"",IF(Update!J319=0,0,Update!I319/Update!J319))</f>
        <v>0.5</v>
      </c>
      <c r="L321" s="119">
        <f>IF(TYPE($A321)=1,"",-(Update!$Q319-L$1)/L$2)</f>
        <v>1.73196706</v>
      </c>
      <c r="N321" s="33">
        <v>301.0</v>
      </c>
      <c r="O321" s="130" t="str">
        <f>IF(Update!B298="",ROW(Update!B298),Update!B298)</f>
        <v>Ziaire Williams</v>
      </c>
      <c r="P321" s="131">
        <f>Update!E298</f>
        <v>60</v>
      </c>
      <c r="Q321" s="131" t="str">
        <f>IF(Update!C298="",ROW(Update!N313),Update!C298)</f>
        <v>SF</v>
      </c>
      <c r="R321" s="127">
        <f>VLOOKUP($O321,'NO USAR1'!$A$4:$L$403,2,False)+VLOOKUP($O321,'NO USAR1'!$A$4:$L$403,3,False)+VLOOKUP($O321,'NO USAR1'!$A$4:$L$403,4,False)+VLOOKUP($O321,'NO USAR1'!$A$4:$L$403,5,False)+VLOOKUP($O321,'NO USAR1'!$A$4:$L$403,6,False)+VLOOKUP($O321,'NO USAR1'!$A$4:$L$403,7,False)+VLOOKUP($O321,'NO USAR1'!$A$4:$L$403,8,False)+VLOOKUP($O321,'NO USAR1'!$A$4:$L$403,10,False)+VLOOKUP($O321,'NO USAR1'!$A$4:$L$403,12,False)*0</f>
        <v>-8.048247479</v>
      </c>
      <c r="S321" s="127">
        <f>VLOOKUP($O321,'NO USAR1'!$A$4:$L$403,2,False)*$U$19+VLOOKUP($O321,'NO USAR1'!$A$4:$L$403,3,False)*$V$19+VLOOKUP($O321,'NO USAR1'!$A$4:$L$403,4,False)*$W$19+VLOOKUP($O321,'NO USAR1'!$A$4:$L$403,5,False)*$X$19+VLOOKUP($O321,'NO USAR1'!$A$4:$L$403,6,False)*$Y$19+VLOOKUP($O321,'NO USAR1'!$A$4:$L$403,7,False)*$Z$19+VLOOKUP($O321,'NO USAR1'!$A$4:$L$403,8,False)*$AA$19+VLOOKUP($O321,'NO USAR1'!$A$4:$L$403,10,False)*$AB$19+VLOOKUP($O321,'NO USAR1'!$A$4:$L$403,12,False)*$AC$19+IF(Projections!$K$3,-AN321, IF(Projections!$J$3,-AM321,0))</f>
        <v>-5.317578963</v>
      </c>
      <c r="T321" s="127">
        <f t="shared" si="1"/>
        <v>2.730668516</v>
      </c>
      <c r="U321" s="127">
        <f>VLOOKUP($O321,Update!$B$2:$R$401,11,False)</f>
        <v>7.6</v>
      </c>
      <c r="V321" s="122">
        <f>VLOOKUP($O321,Update!$B$2:$R$401,10,False)</f>
        <v>1.1</v>
      </c>
      <c r="W321" s="127">
        <f>VLOOKUP($O321,Update!$B$2:$R$401,12,False)</f>
        <v>2.2</v>
      </c>
      <c r="X321" s="127">
        <f>VLOOKUP($O321,Update!$B$2:$R$401,13,False)</f>
        <v>1.1</v>
      </c>
      <c r="Y321" s="127">
        <f>VLOOKUP($O321,Update!$B$2:$R$401,14,False)</f>
        <v>0.5</v>
      </c>
      <c r="Z321" s="132">
        <f>VLOOKUP($O321,Update!$B$2:$R$401,15,False)</f>
        <v>0.2</v>
      </c>
      <c r="AA321" s="127">
        <f>100*VLOOKUP($O321,Update!$B$2:$R$401,7,False)</f>
        <v>43.93939394</v>
      </c>
      <c r="AB321" s="127">
        <f>100*VLOOKUP($O321,Update!$B$2:$R$401,9,False)</f>
        <v>75</v>
      </c>
      <c r="AC321" s="127">
        <f>VLOOKUP($O321,Update!$B$2:$Q$401,16,False)</f>
        <v>0.8</v>
      </c>
      <c r="AD321" s="127">
        <f>VLOOKUP($O321,'NO USAR1'!$A$4:$L$403,2,False)*$U$19</f>
        <v>-1.627403047</v>
      </c>
      <c r="AE321" s="127">
        <f>VLOOKUP($O321,'NO USAR1'!$A$4:$L$403,3,False)*$V$19</f>
        <v>-0.472296146</v>
      </c>
      <c r="AF321" s="127">
        <f>VLOOKUP($O321,'NO USAR1'!$A$4:$L$403,4,False)*$W$19</f>
        <v>-1.62884804</v>
      </c>
      <c r="AG321" s="127">
        <f>VLOOKUP($O321,'NO USAR1'!$A$4:$L$403,5,False)*$X$19</f>
        <v>-1.399507516</v>
      </c>
      <c r="AH321" s="127">
        <f>VLOOKUP($O321,'NO USAR1'!$A$4:$L$403,6,False)*$Y$19</f>
        <v>-1.078620176</v>
      </c>
      <c r="AI321" s="127">
        <f>VLOOKUP($O321,'NO USAR1'!$A$4:$L$403,7,False)*$Z$19</f>
        <v>-0.6583300762</v>
      </c>
      <c r="AJ321" s="127">
        <f>VLOOKUP($O321,'NO USAR1'!$A$4:$L$403,8,False)*$AA$19</f>
        <v>-0.3730733207</v>
      </c>
      <c r="AK321" s="132">
        <f>VLOOKUP($O321,'NO USAR1'!$A$4:$L$403,10,False)*$AB$19</f>
        <v>-0.07924793652</v>
      </c>
      <c r="AL321" s="127">
        <f>VLOOKUP($O321,'NO USAR1'!$A$4:$L$403,12,False)*$AC$19</f>
        <v>0.3708992557</v>
      </c>
      <c r="AM321" s="133">
        <f t="shared" si="2"/>
        <v>-1.62884804</v>
      </c>
      <c r="AN321" s="133">
        <f t="shared" si="3"/>
        <v>-3.256251087</v>
      </c>
    </row>
    <row r="322">
      <c r="A322" s="118" t="str">
        <f>IF(Update!B320="",ROW(Update!B320),Update!B320)</f>
        <v>Otto Porter Jr.</v>
      </c>
      <c r="B322" s="119">
        <f>IF(TYPE($A322)=1,"",(Update!$L320-B$1)/B$2)</f>
        <v>-2.267803279</v>
      </c>
      <c r="C322" s="119">
        <f>IF(TYPE($A322)=1,"",(Update!$K320-C$1)/C$2)</f>
        <v>-1.00651171</v>
      </c>
      <c r="D322" s="119">
        <f>IF(TYPE($A322)=1,"",(Update!$M320-D$1)/D$2)</f>
        <v>-1.461586561</v>
      </c>
      <c r="E322" s="119">
        <f>IF(TYPE($A322)=1,"",(Update!$N320-E$1)/E$2)</f>
        <v>-1.457743053</v>
      </c>
      <c r="F322" s="119">
        <f>IF(TYPE($A322)=1,"",(Update!$O320-F$1)/F$2)</f>
        <v>-1.540885966</v>
      </c>
      <c r="G322" s="119">
        <f>IF(TYPE($A322)=1,"",(Update!$P320-G$1)/G$2)</f>
        <v>-0.9404715375</v>
      </c>
      <c r="H322" s="119">
        <f>IF(TYPE($A322)=1,"",(Update!$H320-H$1)/H$2*I322/$I$1)</f>
        <v>-0.09761495732</v>
      </c>
      <c r="I322" s="119">
        <f>IF(TYPE($A322)=1,"",IF(Update!H320=0,0,Update!G320/Update!H320))</f>
        <v>3</v>
      </c>
      <c r="J322" s="120">
        <f>IF(TYPE($A322)=1,"",(Update!$J320-J$1)/J$2*K322/$K$1)</f>
        <v>0.01587641299</v>
      </c>
      <c r="K322" s="121">
        <f>IF(TYPE($A322)=1,"",IF(Update!J320=0,0,Update!I320/Update!J320))</f>
        <v>0.5</v>
      </c>
      <c r="L322" s="119">
        <f>IF(TYPE($A322)=1,"",-(Update!$Q320-L$1)/L$2)</f>
        <v>2.104522116</v>
      </c>
      <c r="N322" s="124">
        <v>302.0</v>
      </c>
      <c r="O322" s="130" t="str">
        <f>IF(Update!B309="",ROW(Update!B309),Update!B309)</f>
        <v>Davion Mitchell</v>
      </c>
      <c r="P322" s="131">
        <f>Update!E309</f>
        <v>78</v>
      </c>
      <c r="Q322" s="131" t="str">
        <f>IF(Update!C309="",ROW(Update!N324),Update!C309)</f>
        <v>PG,SG</v>
      </c>
      <c r="R322" s="127">
        <f>VLOOKUP($O322,'NO USAR1'!$A$4:$L$403,2,False)+VLOOKUP($O322,'NO USAR1'!$A$4:$L$403,3,False)+VLOOKUP($O322,'NO USAR1'!$A$4:$L$403,4,False)+VLOOKUP($O322,'NO USAR1'!$A$4:$L$403,5,False)+VLOOKUP($O322,'NO USAR1'!$A$4:$L$403,6,False)+VLOOKUP($O322,'NO USAR1'!$A$4:$L$403,7,False)+VLOOKUP($O322,'NO USAR1'!$A$4:$L$403,8,False)+VLOOKUP($O322,'NO USAR1'!$A$4:$L$403,10,False)+VLOOKUP($O322,'NO USAR1'!$A$4:$L$403,12,False)*0</f>
        <v>-8.061919151</v>
      </c>
      <c r="S322" s="127">
        <f>VLOOKUP($O322,'NO USAR1'!$A$4:$L$403,2,False)*$U$19+VLOOKUP($O322,'NO USAR1'!$A$4:$L$403,3,False)*$V$19+VLOOKUP($O322,'NO USAR1'!$A$4:$L$403,4,False)*$W$19+VLOOKUP($O322,'NO USAR1'!$A$4:$L$403,5,False)*$X$19+VLOOKUP($O322,'NO USAR1'!$A$4:$L$403,6,False)*$Y$19+VLOOKUP($O322,'NO USAR1'!$A$4:$L$403,7,False)*$Z$19+VLOOKUP($O322,'NO USAR1'!$A$4:$L$403,8,False)*$AA$19+VLOOKUP($O322,'NO USAR1'!$A$4:$L$403,10,False)*$AB$19+VLOOKUP($O322,'NO USAR1'!$A$4:$L$403,12,False)*$AC$19+IF(Projections!$K$3,-AN322, IF(Projections!$J$3,-AM322,0))</f>
        <v>-4.975513397</v>
      </c>
      <c r="T322" s="127">
        <f t="shared" si="1"/>
        <v>3.086405754</v>
      </c>
      <c r="U322" s="127">
        <f>VLOOKUP($O322,Update!$B$2:$R$401,11,False)</f>
        <v>7.1</v>
      </c>
      <c r="V322" s="122">
        <f>VLOOKUP($O322,Update!$B$2:$R$401,10,False)</f>
        <v>0.9</v>
      </c>
      <c r="W322" s="127">
        <f>VLOOKUP($O322,Update!$B$2:$R$401,12,False)</f>
        <v>1.5</v>
      </c>
      <c r="X322" s="127">
        <f>VLOOKUP($O322,Update!$B$2:$R$401,13,False)</f>
        <v>2.7</v>
      </c>
      <c r="Y322" s="127">
        <f>VLOOKUP($O322,Update!$B$2:$R$401,14,False)</f>
        <v>0.5</v>
      </c>
      <c r="Z322" s="132">
        <f>VLOOKUP($O322,Update!$B$2:$R$401,15,False)</f>
        <v>0.2</v>
      </c>
      <c r="AA322" s="127">
        <f>100*VLOOKUP($O322,Update!$B$2:$R$401,7,False)</f>
        <v>43.28358209</v>
      </c>
      <c r="AB322" s="127">
        <f>100*VLOOKUP($O322,Update!$B$2:$R$401,9,False)</f>
        <v>66.66666667</v>
      </c>
      <c r="AC322" s="127">
        <f>VLOOKUP($O322,Update!$B$2:$Q$401,16,False)</f>
        <v>1</v>
      </c>
      <c r="AD322" s="127">
        <f>VLOOKUP($O322,'NO USAR1'!$A$4:$L$403,2,False)*$U$19</f>
        <v>-1.711666235</v>
      </c>
      <c r="AE322" s="127">
        <f>VLOOKUP($O322,'NO USAR1'!$A$4:$L$403,3,False)*$V$19</f>
        <v>-0.6457219034</v>
      </c>
      <c r="AF322" s="127">
        <f>VLOOKUP($O322,'NO USAR1'!$A$4:$L$403,4,False)*$W$19</f>
        <v>-1.921555629</v>
      </c>
      <c r="AG322" s="127">
        <f>VLOOKUP($O322,'NO USAR1'!$A$4:$L$403,5,False)*$X$19</f>
        <v>-0.5834681483</v>
      </c>
      <c r="AH322" s="127">
        <f>VLOOKUP($O322,'NO USAR1'!$A$4:$L$403,6,False)*$Y$19</f>
        <v>-1.078620176</v>
      </c>
      <c r="AI322" s="127">
        <f>VLOOKUP($O322,'NO USAR1'!$A$4:$L$403,7,False)*$Z$19</f>
        <v>-0.6583300762</v>
      </c>
      <c r="AJ322" s="127">
        <f>VLOOKUP($O322,'NO USAR1'!$A$4:$L$403,8,False)*$AA$19</f>
        <v>-0.4226154708</v>
      </c>
      <c r="AK322" s="132">
        <f>VLOOKUP($O322,'NO USAR1'!$A$4:$L$403,10,False)*$AB$19</f>
        <v>-0.1838981338</v>
      </c>
      <c r="AL322" s="127">
        <f>VLOOKUP($O322,'NO USAR1'!$A$4:$L$403,12,False)*$AC$19</f>
        <v>0.3088067464</v>
      </c>
      <c r="AM322" s="133">
        <f t="shared" si="2"/>
        <v>-1.921555629</v>
      </c>
      <c r="AN322" s="133">
        <f t="shared" si="3"/>
        <v>-3.633221865</v>
      </c>
    </row>
    <row r="323">
      <c r="A323" s="118" t="str">
        <f>IF(Update!B321="",ROW(Update!B321),Update!B321)</f>
        <v>Damian Jones</v>
      </c>
      <c r="B323" s="119">
        <f>IF(TYPE($A323)=1,"",(Update!$L321-B$1)/B$2)</f>
        <v>-2.200392728</v>
      </c>
      <c r="C323" s="119">
        <f>IF(TYPE($A323)=1,"",(Update!$K321-C$1)/C$2)</f>
        <v>-1.488249925</v>
      </c>
      <c r="D323" s="119">
        <f>IF(TYPE($A323)=1,"",(Update!$M321-D$1)/D$2)</f>
        <v>-1.461586561</v>
      </c>
      <c r="E323" s="119">
        <f>IF(TYPE($A323)=1,"",(Update!$N321-E$1)/E$2)</f>
        <v>-1.504108926</v>
      </c>
      <c r="F323" s="119">
        <f>IF(TYPE($A323)=1,"",(Update!$O321-F$1)/F$2)</f>
        <v>-2.475385541</v>
      </c>
      <c r="G323" s="119">
        <f>IF(TYPE($A323)=1,"",(Update!$P321-G$1)/G$2)</f>
        <v>-0.3776893674</v>
      </c>
      <c r="H323" s="119">
        <f>IF(TYPE($A323)=1,"",(Update!$H321-H$1)/H$2*I323/$I$1)</f>
        <v>0.3995892163</v>
      </c>
      <c r="I323" s="119">
        <f>IF(TYPE($A323)=1,"",IF(Update!H321=0,0,Update!G321/Update!H321))</f>
        <v>2.5</v>
      </c>
      <c r="J323" s="120">
        <f>IF(TYPE($A323)=1,"",(Update!$J321-J$1)/J$2*K323/$K$1)</f>
        <v>-0.2139962543</v>
      </c>
      <c r="K323" s="121">
        <f>IF(TYPE($A323)=1,"",IF(Update!J321=0,0,Update!I321/Update!J321))</f>
        <v>1.1</v>
      </c>
      <c r="L323" s="119">
        <f>IF(TYPE($A323)=1,"",-(Update!$Q321-L$1)/L$2)</f>
        <v>1.73196706</v>
      </c>
      <c r="N323" s="124">
        <v>303.0</v>
      </c>
      <c r="O323" s="130" t="str">
        <f>IF(Update!B303="",ROW(Update!B303),Update!B303)</f>
        <v>Dean Wade</v>
      </c>
      <c r="P323" s="131">
        <f>Update!E303</f>
        <v>58</v>
      </c>
      <c r="Q323" s="131" t="str">
        <f>IF(Update!C303="",ROW(Update!N318),Update!C303)</f>
        <v>SF,PF</v>
      </c>
      <c r="R323" s="127">
        <f>VLOOKUP($O323,'NO USAR1'!$A$4:$L$403,2,False)+VLOOKUP($O323,'NO USAR1'!$A$4:$L$403,3,False)+VLOOKUP($O323,'NO USAR1'!$A$4:$L$403,4,False)+VLOOKUP($O323,'NO USAR1'!$A$4:$L$403,5,False)+VLOOKUP($O323,'NO USAR1'!$A$4:$L$403,6,False)+VLOOKUP($O323,'NO USAR1'!$A$4:$L$403,7,False)+VLOOKUP($O323,'NO USAR1'!$A$4:$L$403,8,False)+VLOOKUP($O323,'NO USAR1'!$A$4:$L$403,10,False)+VLOOKUP($O323,'NO USAR1'!$A$4:$L$403,12,False)*0</f>
        <v>-8.089226795</v>
      </c>
      <c r="S323" s="127">
        <f>VLOOKUP($O323,'NO USAR1'!$A$4:$L$403,2,False)*$U$19+VLOOKUP($O323,'NO USAR1'!$A$4:$L$403,3,False)*$V$19+VLOOKUP($O323,'NO USAR1'!$A$4:$L$403,4,False)*$W$19+VLOOKUP($O323,'NO USAR1'!$A$4:$L$403,5,False)*$X$19+VLOOKUP($O323,'NO USAR1'!$A$4:$L$403,6,False)*$Y$19+VLOOKUP($O323,'NO USAR1'!$A$4:$L$403,7,False)*$Z$19+VLOOKUP($O323,'NO USAR1'!$A$4:$L$403,8,False)*$AA$19+VLOOKUP($O323,'NO USAR1'!$A$4:$L$403,10,False)*$AB$19+VLOOKUP($O323,'NO USAR1'!$A$4:$L$403,12,False)*$AC$19+IF(Projections!$K$3,-AN323, IF(Projections!$J$3,-AM323,0))</f>
        <v>-4.815125311</v>
      </c>
      <c r="T323" s="127">
        <f t="shared" si="1"/>
        <v>3.274101484</v>
      </c>
      <c r="U323" s="127">
        <f>VLOOKUP($O323,Update!$B$2:$R$401,11,False)</f>
        <v>4.6</v>
      </c>
      <c r="V323" s="122">
        <f>VLOOKUP($O323,Update!$B$2:$R$401,10,False)</f>
        <v>0.9</v>
      </c>
      <c r="W323" s="127">
        <f>VLOOKUP($O323,Update!$B$2:$R$401,12,False)</f>
        <v>2.9</v>
      </c>
      <c r="X323" s="127">
        <f>VLOOKUP($O323,Update!$B$2:$R$401,13,False)</f>
        <v>0.9</v>
      </c>
      <c r="Y323" s="127">
        <f>VLOOKUP($O323,Update!$B$2:$R$401,14,False)</f>
        <v>0.6</v>
      </c>
      <c r="Z323" s="132">
        <f>VLOOKUP($O323,Update!$B$2:$R$401,15,False)</f>
        <v>0.3</v>
      </c>
      <c r="AA323" s="127">
        <f>100*VLOOKUP($O323,Update!$B$2:$R$401,7,False)</f>
        <v>43.58974359</v>
      </c>
      <c r="AB323" s="127">
        <f>100*VLOOKUP($O323,Update!$B$2:$R$401,9,False)</f>
        <v>60</v>
      </c>
      <c r="AC323" s="127">
        <f>VLOOKUP($O323,Update!$B$2:$Q$401,16,False)</f>
        <v>0.3</v>
      </c>
      <c r="AD323" s="127">
        <f>VLOOKUP($O323,'NO USAR1'!$A$4:$L$403,2,False)*$U$19</f>
        <v>-2.132982178</v>
      </c>
      <c r="AE323" s="127">
        <f>VLOOKUP($O323,'NO USAR1'!$A$4:$L$403,3,False)*$V$19</f>
        <v>-0.6457219034</v>
      </c>
      <c r="AF323" s="127">
        <f>VLOOKUP($O323,'NO USAR1'!$A$4:$L$403,4,False)*$W$19</f>
        <v>-1.336140451</v>
      </c>
      <c r="AG323" s="127">
        <f>VLOOKUP($O323,'NO USAR1'!$A$4:$L$403,5,False)*$X$19</f>
        <v>-1.501512437</v>
      </c>
      <c r="AH323" s="127">
        <f>VLOOKUP($O323,'NO USAR1'!$A$4:$L$403,6,False)*$Y$19</f>
        <v>-0.8605702752</v>
      </c>
      <c r="AI323" s="127">
        <f>VLOOKUP($O323,'NO USAR1'!$A$4:$L$403,7,False)*$Z$19</f>
        <v>-0.5270142365</v>
      </c>
      <c r="AJ323" s="127">
        <f>VLOOKUP($O323,'NO USAR1'!$A$4:$L$403,8,False)*$AA$19</f>
        <v>-0.2340733036</v>
      </c>
      <c r="AK323" s="132">
        <f>VLOOKUP($O323,'NO USAR1'!$A$4:$L$403,10,False)*$AB$19</f>
        <v>-0.2362232325</v>
      </c>
      <c r="AL323" s="127">
        <f>VLOOKUP($O323,'NO USAR1'!$A$4:$L$403,12,False)*$AC$19</f>
        <v>0.5261305291</v>
      </c>
      <c r="AM323" s="133">
        <f t="shared" si="2"/>
        <v>-2.132982178</v>
      </c>
      <c r="AN323" s="133">
        <f t="shared" si="3"/>
        <v>-3.634494615</v>
      </c>
    </row>
    <row r="324">
      <c r="A324" s="118" t="str">
        <f>IF(Update!B322="",ROW(Update!B322),Update!B322)</f>
        <v>Ish Wainright</v>
      </c>
      <c r="B324" s="119">
        <f>IF(TYPE($A324)=1,"",(Update!$L322-B$1)/B$2)</f>
        <v>-2.217245366</v>
      </c>
      <c r="C324" s="119">
        <f>IF(TYPE($A324)=1,"",(Update!$K322-C$1)/C$2)</f>
        <v>-0.7174687815</v>
      </c>
      <c r="D324" s="119">
        <f>IF(TYPE($A324)=1,"",(Update!$M322-D$1)/D$2)</f>
        <v>-1.62884804</v>
      </c>
      <c r="E324" s="119">
        <f>IF(TYPE($A324)=1,"",(Update!$N322-E$1)/E$2)</f>
        <v>-1.41137718</v>
      </c>
      <c r="F324" s="119">
        <f>IF(TYPE($A324)=1,"",(Update!$O322-F$1)/F$2)</f>
        <v>-0.9178862491</v>
      </c>
      <c r="G324" s="119">
        <f>IF(TYPE($A324)=1,"",(Update!$P322-G$1)/G$2)</f>
        <v>-0.7528774808</v>
      </c>
      <c r="H324" s="119">
        <f>IF(TYPE($A324)=1,"",(Update!$H322-H$1)/H$2*I324/$I$1)</f>
        <v>-0.5379896247</v>
      </c>
      <c r="I324" s="119">
        <f>IF(TYPE($A324)=1,"",IF(Update!H322=0,0,Update!G322/Update!H322))</f>
        <v>3.8</v>
      </c>
      <c r="J324" s="120">
        <f>IF(TYPE($A324)=1,"",(Update!$J322-J$1)/J$2*K324/$K$1)</f>
        <v>0.01587641299</v>
      </c>
      <c r="K324" s="121">
        <f>IF(TYPE($A324)=1,"",IF(Update!J322=0,0,Update!I322/Update!J322))</f>
        <v>0.5</v>
      </c>
      <c r="L324" s="119">
        <f>IF(TYPE($A324)=1,"",-(Update!$Q322-L$1)/L$2)</f>
        <v>1.980337098</v>
      </c>
      <c r="N324" s="33">
        <v>304.0</v>
      </c>
      <c r="O324" s="130" t="str">
        <f>IF(Update!B330="",ROW(Update!B330),Update!B330)</f>
        <v>Haywood Highsmith</v>
      </c>
      <c r="P324" s="131">
        <f>Update!E330</f>
        <v>69</v>
      </c>
      <c r="Q324" s="131" t="str">
        <f>IF(Update!C330="",ROW(Update!N345),Update!C330)</f>
        <v>SF,PF</v>
      </c>
      <c r="R324" s="127">
        <f>VLOOKUP($O324,'NO USAR1'!$A$4:$L$403,2,False)+VLOOKUP($O324,'NO USAR1'!$A$4:$L$403,3,False)+VLOOKUP($O324,'NO USAR1'!$A$4:$L$403,4,False)+VLOOKUP($O324,'NO USAR1'!$A$4:$L$403,5,False)+VLOOKUP($O324,'NO USAR1'!$A$4:$L$403,6,False)+VLOOKUP($O324,'NO USAR1'!$A$4:$L$403,7,False)+VLOOKUP($O324,'NO USAR1'!$A$4:$L$403,8,False)+VLOOKUP($O324,'NO USAR1'!$A$4:$L$403,10,False)+VLOOKUP($O324,'NO USAR1'!$A$4:$L$403,12,False)*0</f>
        <v>-8.090250422</v>
      </c>
      <c r="S324" s="127">
        <f>VLOOKUP($O324,'NO USAR1'!$A$4:$L$403,2,False)*$U$19+VLOOKUP($O324,'NO USAR1'!$A$4:$L$403,3,False)*$V$19+VLOOKUP($O324,'NO USAR1'!$A$4:$L$403,4,False)*$W$19+VLOOKUP($O324,'NO USAR1'!$A$4:$L$403,5,False)*$X$19+VLOOKUP($O324,'NO USAR1'!$A$4:$L$403,6,False)*$Y$19+VLOOKUP($O324,'NO USAR1'!$A$4:$L$403,7,False)*$Z$19+VLOOKUP($O324,'NO USAR1'!$A$4:$L$403,8,False)*$AA$19+VLOOKUP($O324,'NO USAR1'!$A$4:$L$403,10,False)*$AB$19+VLOOKUP($O324,'NO USAR1'!$A$4:$L$403,12,False)*$AC$19+IF(Projections!$K$3,-AN324, IF(Projections!$J$3,-AM324,0))</f>
        <v>-4.955461802</v>
      </c>
      <c r="T324" s="127">
        <f t="shared" si="1"/>
        <v>3.13478862</v>
      </c>
      <c r="U324" s="127">
        <f>VLOOKUP($O324,Update!$B$2:$R$401,11,False)</f>
        <v>4.6</v>
      </c>
      <c r="V324" s="122">
        <f>VLOOKUP($O324,Update!$B$2:$R$401,10,False)</f>
        <v>0.8</v>
      </c>
      <c r="W324" s="127">
        <f>VLOOKUP($O324,Update!$B$2:$R$401,12,False)</f>
        <v>3.5</v>
      </c>
      <c r="X324" s="127">
        <f>VLOOKUP($O324,Update!$B$2:$R$401,13,False)</f>
        <v>0.8</v>
      </c>
      <c r="Y324" s="127">
        <f>VLOOKUP($O324,Update!$B$2:$R$401,14,False)</f>
        <v>0.6</v>
      </c>
      <c r="Z324" s="132">
        <f>VLOOKUP($O324,Update!$B$2:$R$401,15,False)</f>
        <v>0.3</v>
      </c>
      <c r="AA324" s="127">
        <f>100*VLOOKUP($O324,Update!$B$2:$R$401,7,False)</f>
        <v>41.86046512</v>
      </c>
      <c r="AB324" s="127">
        <f>100*VLOOKUP($O324,Update!$B$2:$R$401,9,False)</f>
        <v>60</v>
      </c>
      <c r="AC324" s="127">
        <f>VLOOKUP($O324,Update!$B$2:$Q$401,16,False)</f>
        <v>0.8</v>
      </c>
      <c r="AD324" s="127">
        <f>VLOOKUP($O324,'NO USAR1'!$A$4:$L$403,2,False)*$U$19</f>
        <v>-2.132982178</v>
      </c>
      <c r="AE324" s="127">
        <f>VLOOKUP($O324,'NO USAR1'!$A$4:$L$403,3,False)*$V$19</f>
        <v>-0.7324347821</v>
      </c>
      <c r="AF324" s="127">
        <f>VLOOKUP($O324,'NO USAR1'!$A$4:$L$403,4,False)*$W$19</f>
        <v>-1.085248232</v>
      </c>
      <c r="AG324" s="127">
        <f>VLOOKUP($O324,'NO USAR1'!$A$4:$L$403,5,False)*$X$19</f>
        <v>-1.552514898</v>
      </c>
      <c r="AH324" s="127">
        <f>VLOOKUP($O324,'NO USAR1'!$A$4:$L$403,6,False)*$Y$19</f>
        <v>-0.8605702752</v>
      </c>
      <c r="AI324" s="127">
        <f>VLOOKUP($O324,'NO USAR1'!$A$4:$L$403,7,False)*$Z$19</f>
        <v>-0.5270142365</v>
      </c>
      <c r="AJ324" s="127">
        <f>VLOOKUP($O324,'NO USAR1'!$A$4:$L$403,8,False)*$AA$19</f>
        <v>-0.332355401</v>
      </c>
      <c r="AK324" s="132">
        <f>VLOOKUP($O324,'NO USAR1'!$A$4:$L$403,10,False)*$AB$19</f>
        <v>-0.2362232325</v>
      </c>
      <c r="AL324" s="127">
        <f>VLOOKUP($O324,'NO USAR1'!$A$4:$L$403,12,False)*$AC$19</f>
        <v>0.3708992557</v>
      </c>
      <c r="AM324" s="133">
        <f t="shared" si="2"/>
        <v>-2.132982178</v>
      </c>
      <c r="AN324" s="133">
        <f t="shared" si="3"/>
        <v>-3.685497076</v>
      </c>
    </row>
    <row r="325">
      <c r="A325" s="118" t="str">
        <f>IF(Update!B323="",ROW(Update!B323),Update!B323)</f>
        <v>Jalen Hood-Schifino</v>
      </c>
      <c r="B325" s="119">
        <f>IF(TYPE($A325)=1,"",(Update!$L323-B$1)/B$2)</f>
        <v>-1.795929424</v>
      </c>
      <c r="C325" s="119">
        <f>IF(TYPE($A325)=1,"",(Update!$K323-C$1)/C$2)</f>
        <v>-0.6211211385</v>
      </c>
      <c r="D325" s="119">
        <f>IF(TYPE($A325)=1,"",(Update!$M323-D$1)/D$2)</f>
        <v>-2.005186369</v>
      </c>
      <c r="E325" s="119">
        <f>IF(TYPE($A325)=1,"",(Update!$N323-E$1)/E$2)</f>
        <v>-0.5304255893</v>
      </c>
      <c r="F325" s="119">
        <f>IF(TYPE($A325)=1,"",(Update!$O323-F$1)/F$2)</f>
        <v>-1.852385824</v>
      </c>
      <c r="G325" s="119">
        <f>IF(TYPE($A325)=1,"",(Update!$P323-G$1)/G$2)</f>
        <v>-0.9404715375</v>
      </c>
      <c r="H325" s="119">
        <f>IF(TYPE($A325)=1,"",(Update!$H323-H$1)/H$2*I325/$I$1)</f>
        <v>-0.5850144306</v>
      </c>
      <c r="I325" s="119">
        <f>IF(TYPE($A325)=1,"",IF(Update!H323=0,0,Update!G323/Update!H323))</f>
        <v>5.7</v>
      </c>
      <c r="J325" s="120">
        <f>IF(TYPE($A325)=1,"",(Update!$J323-J$1)/J$2*K325/$K$1)</f>
        <v>-0.01777713435</v>
      </c>
      <c r="K325" s="121">
        <f>IF(TYPE($A325)=1,"",IF(Update!J323=0,0,Update!I323/Update!J323))</f>
        <v>1.4</v>
      </c>
      <c r="L325" s="119">
        <f>IF(TYPE($A325)=1,"",-(Update!$Q323-L$1)/L$2)</f>
        <v>1.235226986</v>
      </c>
      <c r="N325" s="33">
        <v>305.0</v>
      </c>
      <c r="O325" s="130" t="str">
        <f>IF(Update!B322="",ROW(Update!B322),Update!B322)</f>
        <v>Ish Wainright</v>
      </c>
      <c r="P325" s="131">
        <f>Update!E322</f>
        <v>45</v>
      </c>
      <c r="Q325" s="131" t="str">
        <f>IF(Update!C322="",ROW(Update!N337),Update!C322)</f>
        <v>SF,PF</v>
      </c>
      <c r="R325" s="127">
        <f>VLOOKUP($O325,'NO USAR1'!$A$4:$L$403,2,False)+VLOOKUP($O325,'NO USAR1'!$A$4:$L$403,3,False)+VLOOKUP($O325,'NO USAR1'!$A$4:$L$403,4,False)+VLOOKUP($O325,'NO USAR1'!$A$4:$L$403,5,False)+VLOOKUP($O325,'NO USAR1'!$A$4:$L$403,6,False)+VLOOKUP($O325,'NO USAR1'!$A$4:$L$403,7,False)+VLOOKUP($O325,'NO USAR1'!$A$4:$L$403,8,False)+VLOOKUP($O325,'NO USAR1'!$A$4:$L$403,10,False)+VLOOKUP($O325,'NO USAR1'!$A$4:$L$403,12,False)*0</f>
        <v>-8.16781631</v>
      </c>
      <c r="S325" s="127">
        <f>VLOOKUP($O325,'NO USAR1'!$A$4:$L$403,2,False)*$U$19+VLOOKUP($O325,'NO USAR1'!$A$4:$L$403,3,False)*$V$19+VLOOKUP($O325,'NO USAR1'!$A$4:$L$403,4,False)*$W$19+VLOOKUP($O325,'NO USAR1'!$A$4:$L$403,5,False)*$X$19+VLOOKUP($O325,'NO USAR1'!$A$4:$L$403,6,False)*$Y$19+VLOOKUP($O325,'NO USAR1'!$A$4:$L$403,7,False)*$Z$19+VLOOKUP($O325,'NO USAR1'!$A$4:$L$403,8,False)*$AA$19+VLOOKUP($O325,'NO USAR1'!$A$4:$L$403,10,False)*$AB$19+VLOOKUP($O325,'NO USAR1'!$A$4:$L$403,12,False)*$AC$19+IF(Projections!$K$3,-AN325, IF(Projections!$J$3,-AM325,0))</f>
        <v>-4.97302471</v>
      </c>
      <c r="T325" s="127">
        <f t="shared" si="1"/>
        <v>3.1947916</v>
      </c>
      <c r="U325" s="127">
        <f>VLOOKUP($O325,Update!$B$2:$R$401,11,False)</f>
        <v>4.1</v>
      </c>
      <c r="V325" s="122">
        <f>VLOOKUP($O325,Update!$B$2:$R$401,10,False)</f>
        <v>0.9</v>
      </c>
      <c r="W325" s="127">
        <f>VLOOKUP($O325,Update!$B$2:$R$401,12,False)</f>
        <v>2.2</v>
      </c>
      <c r="X325" s="127">
        <f>VLOOKUP($O325,Update!$B$2:$R$401,13,False)</f>
        <v>0.8</v>
      </c>
      <c r="Y325" s="127">
        <f>VLOOKUP($O325,Update!$B$2:$R$401,14,False)</f>
        <v>0.7</v>
      </c>
      <c r="Z325" s="132">
        <f>VLOOKUP($O325,Update!$B$2:$R$401,15,False)</f>
        <v>0.3</v>
      </c>
      <c r="AA325" s="127">
        <f>100*VLOOKUP($O325,Update!$B$2:$R$401,7,False)</f>
        <v>36.84210526</v>
      </c>
      <c r="AB325" s="127">
        <f>100*VLOOKUP($O325,Update!$B$2:$R$401,9,False)</f>
        <v>80</v>
      </c>
      <c r="AC325" s="127">
        <f>VLOOKUP($O325,Update!$B$2:$Q$401,16,False)</f>
        <v>0.4</v>
      </c>
      <c r="AD325" s="127">
        <f>VLOOKUP($O325,'NO USAR1'!$A$4:$L$403,2,False)*$U$19</f>
        <v>-2.217245366</v>
      </c>
      <c r="AE325" s="127">
        <f>VLOOKUP($O325,'NO USAR1'!$A$4:$L$403,3,False)*$V$19</f>
        <v>-0.6457219034</v>
      </c>
      <c r="AF325" s="127">
        <f>VLOOKUP($O325,'NO USAR1'!$A$4:$L$403,4,False)*$W$19</f>
        <v>-1.62884804</v>
      </c>
      <c r="AG325" s="127">
        <f>VLOOKUP($O325,'NO USAR1'!$A$4:$L$403,5,False)*$X$19</f>
        <v>-1.552514898</v>
      </c>
      <c r="AH325" s="127">
        <f>VLOOKUP($O325,'NO USAR1'!$A$4:$L$403,6,False)*$Y$19</f>
        <v>-0.6425203744</v>
      </c>
      <c r="AI325" s="127">
        <f>VLOOKUP($O325,'NO USAR1'!$A$4:$L$403,7,False)*$Z$19</f>
        <v>-0.5270142365</v>
      </c>
      <c r="AJ325" s="127">
        <f>VLOOKUP($O325,'NO USAR1'!$A$4:$L$403,8,False)*$AA$19</f>
        <v>-0.4841906623</v>
      </c>
      <c r="AK325" s="132">
        <f>VLOOKUP($O325,'NO USAR1'!$A$4:$L$403,10,False)*$AB$19</f>
        <v>0.01270113039</v>
      </c>
      <c r="AL325" s="127">
        <f>VLOOKUP($O325,'NO USAR1'!$A$4:$L$403,12,False)*$AC$19</f>
        <v>0.4950842744</v>
      </c>
      <c r="AM325" s="133">
        <f t="shared" si="2"/>
        <v>-2.217245366</v>
      </c>
      <c r="AN325" s="133">
        <f t="shared" si="3"/>
        <v>-3.846093407</v>
      </c>
    </row>
    <row r="326">
      <c r="A326" s="118" t="str">
        <f>IF(Update!B324="",ROW(Update!B324),Update!B324)</f>
        <v>Bol Bol</v>
      </c>
      <c r="B326" s="119">
        <f>IF(TYPE($A326)=1,"",(Update!$L324-B$1)/B$2)</f>
        <v>-2.166687453</v>
      </c>
      <c r="C326" s="119">
        <f>IF(TYPE($A326)=1,"",(Update!$K324-C$1)/C$2)</f>
        <v>-1.391902282</v>
      </c>
      <c r="D326" s="119">
        <f>IF(TYPE($A326)=1,"",(Update!$M324-D$1)/D$2)</f>
        <v>-1.377955821</v>
      </c>
      <c r="E326" s="119">
        <f>IF(TYPE($A326)=1,"",(Update!$N324-E$1)/E$2)</f>
        <v>-1.5504748</v>
      </c>
      <c r="F326" s="119">
        <f>IF(TYPE($A326)=1,"",(Update!$O324-F$1)/F$2)</f>
        <v>-2.475385541</v>
      </c>
      <c r="G326" s="119">
        <f>IF(TYPE($A326)=1,"",(Update!$P324-G$1)/G$2)</f>
        <v>-0.1900953108</v>
      </c>
      <c r="H326" s="119">
        <f>IF(TYPE($A326)=1,"",(Update!$H324-H$1)/H$2*I326/$I$1)</f>
        <v>0.1811845554</v>
      </c>
      <c r="I326" s="119">
        <f>IF(TYPE($A326)=1,"",IF(Update!H324=0,0,Update!G324/Update!H324))</f>
        <v>3.3</v>
      </c>
      <c r="J326" s="120">
        <f>IF(TYPE($A326)=1,"",(Update!$J324-J$1)/J$2*K326/$K$1)</f>
        <v>0.1466891596</v>
      </c>
      <c r="K326" s="121">
        <f>IF(TYPE($A326)=1,"",IF(Update!J324=0,0,Update!I324/Update!J324))</f>
        <v>0.7</v>
      </c>
      <c r="L326" s="119">
        <f>IF(TYPE($A326)=1,"",-(Update!$Q324-L$1)/L$2)</f>
        <v>1.483597023</v>
      </c>
      <c r="N326" s="124">
        <v>306.0</v>
      </c>
      <c r="O326" s="130" t="str">
        <f>IF(Update!B304="",ROW(Update!B304),Update!B304)</f>
        <v>Lonnie Walker IV</v>
      </c>
      <c r="P326" s="131">
        <f>Update!E304</f>
        <v>67</v>
      </c>
      <c r="Q326" s="131" t="str">
        <f>IF(Update!C304="",ROW(Update!N319),Update!C304)</f>
        <v>SG,SF</v>
      </c>
      <c r="R326" s="127">
        <f>VLOOKUP($O326,'NO USAR1'!$A$4:$L$403,2,False)+VLOOKUP($O326,'NO USAR1'!$A$4:$L$403,3,False)+VLOOKUP($O326,'NO USAR1'!$A$4:$L$403,4,False)+VLOOKUP($O326,'NO USAR1'!$A$4:$L$403,5,False)+VLOOKUP($O326,'NO USAR1'!$A$4:$L$403,6,False)+VLOOKUP($O326,'NO USAR1'!$A$4:$L$403,7,False)+VLOOKUP($O326,'NO USAR1'!$A$4:$L$403,8,False)+VLOOKUP($O326,'NO USAR1'!$A$4:$L$403,10,False)+VLOOKUP($O326,'NO USAR1'!$A$4:$L$403,12,False)*0</f>
        <v>-8.210143114</v>
      </c>
      <c r="S326" s="127">
        <f>VLOOKUP($O326,'NO USAR1'!$A$4:$L$403,2,False)*$U$19+VLOOKUP($O326,'NO USAR1'!$A$4:$L$403,3,False)*$V$19+VLOOKUP($O326,'NO USAR1'!$A$4:$L$403,4,False)*$W$19+VLOOKUP($O326,'NO USAR1'!$A$4:$L$403,5,False)*$X$19+VLOOKUP($O326,'NO USAR1'!$A$4:$L$403,6,False)*$Y$19+VLOOKUP($O326,'NO USAR1'!$A$4:$L$403,7,False)*$Z$19+VLOOKUP($O326,'NO USAR1'!$A$4:$L$403,8,False)*$AA$19+VLOOKUP($O326,'NO USAR1'!$A$4:$L$403,10,False)*$AB$19+VLOOKUP($O326,'NO USAR1'!$A$4:$L$403,12,False)*$AC$19+IF(Projections!$K$3,-AN326, IF(Projections!$J$3,-AM326,0))</f>
        <v>-5.159354309</v>
      </c>
      <c r="T326" s="127">
        <f t="shared" si="1"/>
        <v>3.050788805</v>
      </c>
      <c r="U326" s="127">
        <f>VLOOKUP($O326,Update!$B$2:$R$401,11,False)</f>
        <v>8.7</v>
      </c>
      <c r="V326" s="122">
        <f>VLOOKUP($O326,Update!$B$2:$R$401,10,False)</f>
        <v>1.2</v>
      </c>
      <c r="W326" s="127">
        <f>VLOOKUP($O326,Update!$B$2:$R$401,12,False)</f>
        <v>1.7</v>
      </c>
      <c r="X326" s="127">
        <f>VLOOKUP($O326,Update!$B$2:$R$401,13,False)</f>
        <v>1.3</v>
      </c>
      <c r="Y326" s="127">
        <f>VLOOKUP($O326,Update!$B$2:$R$401,14,False)</f>
        <v>0.4</v>
      </c>
      <c r="Z326" s="132">
        <f>VLOOKUP($O326,Update!$B$2:$R$401,15,False)</f>
        <v>0.2</v>
      </c>
      <c r="AA326" s="127">
        <f>100*VLOOKUP($O326,Update!$B$2:$R$401,7,False)</f>
        <v>42.66666667</v>
      </c>
      <c r="AB326" s="127">
        <f>100*VLOOKUP($O326,Update!$B$2:$R$401,9,False)</f>
        <v>80</v>
      </c>
      <c r="AC326" s="127">
        <f>VLOOKUP($O326,Update!$B$2:$Q$401,16,False)</f>
        <v>0.7</v>
      </c>
      <c r="AD326" s="127">
        <f>VLOOKUP($O326,'NO USAR1'!$A$4:$L$403,2,False)*$U$19</f>
        <v>-1.442024032</v>
      </c>
      <c r="AE326" s="127">
        <f>VLOOKUP($O326,'NO USAR1'!$A$4:$L$403,3,False)*$V$19</f>
        <v>-0.3855832673</v>
      </c>
      <c r="AF326" s="127">
        <f>VLOOKUP($O326,'NO USAR1'!$A$4:$L$403,4,False)*$W$19</f>
        <v>-1.83792489</v>
      </c>
      <c r="AG326" s="127">
        <f>VLOOKUP($O326,'NO USAR1'!$A$4:$L$403,5,False)*$X$19</f>
        <v>-1.297502595</v>
      </c>
      <c r="AH326" s="127">
        <f>VLOOKUP($O326,'NO USAR1'!$A$4:$L$403,6,False)*$Y$19</f>
        <v>-1.296670077</v>
      </c>
      <c r="AI326" s="127">
        <f>VLOOKUP($O326,'NO USAR1'!$A$4:$L$403,7,False)*$Z$19</f>
        <v>-0.6583300762</v>
      </c>
      <c r="AJ326" s="127">
        <f>VLOOKUP($O326,'NO USAR1'!$A$4:$L$403,8,False)*$AA$19</f>
        <v>-0.5192931627</v>
      </c>
      <c r="AK326" s="132">
        <f>VLOOKUP($O326,'NO USAR1'!$A$4:$L$403,10,False)*$AB$19</f>
        <v>0.03810339117</v>
      </c>
      <c r="AL326" s="127">
        <f>VLOOKUP($O326,'NO USAR1'!$A$4:$L$403,12,False)*$AC$19</f>
        <v>0.4019455104</v>
      </c>
      <c r="AM326" s="133">
        <f t="shared" si="2"/>
        <v>-1.83792489</v>
      </c>
      <c r="AN326" s="133">
        <f t="shared" si="3"/>
        <v>-3.279948922</v>
      </c>
    </row>
    <row r="327">
      <c r="A327" s="118" t="str">
        <f>IF(Update!B325="",ROW(Update!B325),Update!B325)</f>
        <v>Peyton Watson</v>
      </c>
      <c r="B327" s="119">
        <f>IF(TYPE($A327)=1,"",(Update!$L325-B$1)/B$2)</f>
        <v>-1.812782061</v>
      </c>
      <c r="C327" s="119">
        <f>IF(TYPE($A327)=1,"",(Update!$K325-C$1)/C$2)</f>
        <v>-1.102859353</v>
      </c>
      <c r="D327" s="119">
        <f>IF(TYPE($A327)=1,"",(Update!$M325-D$1)/D$2)</f>
        <v>-1.210694342</v>
      </c>
      <c r="E327" s="119">
        <f>IF(TYPE($A327)=1,"",(Update!$N325-E$1)/E$2)</f>
        <v>-1.365011307</v>
      </c>
      <c r="F327" s="119">
        <f>IF(TYPE($A327)=1,"",(Update!$O325-F$1)/F$2)</f>
        <v>-2.475385541</v>
      </c>
      <c r="G327" s="119">
        <f>IF(TYPE($A327)=1,"",(Update!$P325-G$1)/G$2)</f>
        <v>0.3726868593</v>
      </c>
      <c r="H327" s="119">
        <f>IF(TYPE($A327)=1,"",(Update!$H325-H$1)/H$2*I327/$I$1)</f>
        <v>-0.03276342354</v>
      </c>
      <c r="I327" s="119">
        <f>IF(TYPE($A327)=1,"",IF(Update!H325=0,0,Update!G325/Update!H325))</f>
        <v>5.1</v>
      </c>
      <c r="J327" s="120">
        <f>IF(TYPE($A327)=1,"",(Update!$J325-J$1)/J$2*K327/$K$1)</f>
        <v>-1.066179829</v>
      </c>
      <c r="K327" s="121">
        <f>IF(TYPE($A327)=1,"",IF(Update!J325=0,0,Update!I325/Update!J325))</f>
        <v>1.7</v>
      </c>
      <c r="L327" s="119">
        <f>IF(TYPE($A327)=1,"",-(Update!$Q325-L$1)/L$2)</f>
        <v>1.607782042</v>
      </c>
      <c r="N327" s="124">
        <v>307.0</v>
      </c>
      <c r="O327" s="130" t="str">
        <f>IF(Update!B326="",ROW(Update!B326),Update!B326)</f>
        <v>Precious Achiuwa</v>
      </c>
      <c r="P327" s="131">
        <f>Update!E326</f>
        <v>64</v>
      </c>
      <c r="Q327" s="131" t="str">
        <f>IF(Update!C326="",ROW(Update!N341),Update!C326)</f>
        <v>PF,C</v>
      </c>
      <c r="R327" s="127">
        <f>VLOOKUP($O327,'NO USAR1'!$A$4:$L$403,2,False)+VLOOKUP($O327,'NO USAR1'!$A$4:$L$403,3,False)+VLOOKUP($O327,'NO USAR1'!$A$4:$L$403,4,False)+VLOOKUP($O327,'NO USAR1'!$A$4:$L$403,5,False)+VLOOKUP($O327,'NO USAR1'!$A$4:$L$403,6,False)+VLOOKUP($O327,'NO USAR1'!$A$4:$L$403,7,False)+VLOOKUP($O327,'NO USAR1'!$A$4:$L$403,8,False)+VLOOKUP($O327,'NO USAR1'!$A$4:$L$403,10,False)+VLOOKUP($O327,'NO USAR1'!$A$4:$L$403,12,False)*0</f>
        <v>-8.333443075</v>
      </c>
      <c r="S327" s="127">
        <f>VLOOKUP($O327,'NO USAR1'!$A$4:$L$403,2,False)*$U$19+VLOOKUP($O327,'NO USAR1'!$A$4:$L$403,3,False)*$V$19+VLOOKUP($O327,'NO USAR1'!$A$4:$L$403,4,False)*$W$19+VLOOKUP($O327,'NO USAR1'!$A$4:$L$403,5,False)*$X$19+VLOOKUP($O327,'NO USAR1'!$A$4:$L$403,6,False)*$Y$19+VLOOKUP($O327,'NO USAR1'!$A$4:$L$403,7,False)*$Z$19+VLOOKUP($O327,'NO USAR1'!$A$4:$L$403,8,False)*$AA$19+VLOOKUP($O327,'NO USAR1'!$A$4:$L$403,10,False)*$AB$19+VLOOKUP($O327,'NO USAR1'!$A$4:$L$403,12,False)*$AC$19+IF(Projections!$K$3,-AN327, IF(Projections!$J$3,-AM327,0))</f>
        <v>-5.32357844</v>
      </c>
      <c r="T327" s="127">
        <f t="shared" si="1"/>
        <v>3.009864634</v>
      </c>
      <c r="U327" s="127">
        <f>VLOOKUP($O327,Update!$B$2:$R$401,11,False)</f>
        <v>6.6</v>
      </c>
      <c r="V327" s="122">
        <f>VLOOKUP($O327,Update!$B$2:$R$401,10,False)</f>
        <v>0.5</v>
      </c>
      <c r="W327" s="127">
        <f>VLOOKUP($O327,Update!$B$2:$R$401,12,False)</f>
        <v>4.5</v>
      </c>
      <c r="X327" s="127">
        <f>VLOOKUP($O327,Update!$B$2:$R$401,13,False)</f>
        <v>0.7</v>
      </c>
      <c r="Y327" s="127">
        <f>VLOOKUP($O327,Update!$B$2:$R$401,14,False)</f>
        <v>0.4</v>
      </c>
      <c r="Z327" s="132">
        <f>VLOOKUP($O327,Update!$B$2:$R$401,15,False)</f>
        <v>0.4</v>
      </c>
      <c r="AA327" s="127">
        <f>100*VLOOKUP($O327,Update!$B$2:$R$401,7,False)</f>
        <v>45.61403509</v>
      </c>
      <c r="AB327" s="127">
        <f>100*VLOOKUP($O327,Update!$B$2:$R$401,9,False)</f>
        <v>64.28571429</v>
      </c>
      <c r="AC327" s="127">
        <f>VLOOKUP($O327,Update!$B$2:$Q$401,16,False)</f>
        <v>0.8</v>
      </c>
      <c r="AD327" s="127">
        <f>VLOOKUP($O327,'NO USAR1'!$A$4:$L$403,2,False)*$U$19</f>
        <v>-1.795929424</v>
      </c>
      <c r="AE327" s="127">
        <f>VLOOKUP($O327,'NO USAR1'!$A$4:$L$403,3,False)*$V$19</f>
        <v>-0.9925734181</v>
      </c>
      <c r="AF327" s="127">
        <f>VLOOKUP($O327,'NO USAR1'!$A$4:$L$403,4,False)*$W$19</f>
        <v>-0.6670945338</v>
      </c>
      <c r="AG327" s="127">
        <f>VLOOKUP($O327,'NO USAR1'!$A$4:$L$403,5,False)*$X$19</f>
        <v>-1.603517358</v>
      </c>
      <c r="AH327" s="127">
        <f>VLOOKUP($O327,'NO USAR1'!$A$4:$L$403,6,False)*$Y$19</f>
        <v>-1.296670077</v>
      </c>
      <c r="AI327" s="127">
        <f>VLOOKUP($O327,'NO USAR1'!$A$4:$L$403,7,False)*$Z$19</f>
        <v>-0.3956983969</v>
      </c>
      <c r="AJ327" s="127">
        <f>VLOOKUP($O327,'NO USAR1'!$A$4:$L$403,8,False)*$AA$19</f>
        <v>-0.2268534788</v>
      </c>
      <c r="AK327" s="132">
        <f>VLOOKUP($O327,'NO USAR1'!$A$4:$L$403,10,False)*$AB$19</f>
        <v>-0.5120704332</v>
      </c>
      <c r="AL327" s="127">
        <f>VLOOKUP($O327,'NO USAR1'!$A$4:$L$403,12,False)*$AC$19</f>
        <v>0.3708992557</v>
      </c>
      <c r="AM327" s="133">
        <f t="shared" si="2"/>
        <v>-1.795929424</v>
      </c>
      <c r="AN327" s="133">
        <f t="shared" si="3"/>
        <v>-3.399446782</v>
      </c>
    </row>
    <row r="328">
      <c r="A328" s="118" t="str">
        <f>IF(Update!B326="",ROW(Update!B326),Update!B326)</f>
        <v>Precious Achiuwa</v>
      </c>
      <c r="B328" s="119">
        <f>IF(TYPE($A328)=1,"",(Update!$L326-B$1)/B$2)</f>
        <v>-1.795929424</v>
      </c>
      <c r="C328" s="119">
        <f>IF(TYPE($A328)=1,"",(Update!$K326-C$1)/C$2)</f>
        <v>-1.102859353</v>
      </c>
      <c r="D328" s="119">
        <f>IF(TYPE($A328)=1,"",(Update!$M326-D$1)/D$2)</f>
        <v>-0.6670945338</v>
      </c>
      <c r="E328" s="119">
        <f>IF(TYPE($A328)=1,"",(Update!$N326-E$1)/E$2)</f>
        <v>-1.457743053</v>
      </c>
      <c r="F328" s="119">
        <f>IF(TYPE($A328)=1,"",(Update!$O326-F$1)/F$2)</f>
        <v>-1.852385824</v>
      </c>
      <c r="G328" s="119">
        <f>IF(TYPE($A328)=1,"",(Update!$P326-G$1)/G$2)</f>
        <v>-0.5652834241</v>
      </c>
      <c r="H328" s="119">
        <f>IF(TYPE($A328)=1,"",(Update!$H326-H$1)/H$2*I328/$I$1)</f>
        <v>-0.2520594208</v>
      </c>
      <c r="I328" s="119">
        <f>IF(TYPE($A328)=1,"",IF(Update!H326=0,0,Update!G326/Update!H326))</f>
        <v>5.7</v>
      </c>
      <c r="J328" s="120">
        <f>IF(TYPE($A328)=1,"",(Update!$J326-J$1)/J$2*K328/$K$1)</f>
        <v>-0.6400880415</v>
      </c>
      <c r="K328" s="121">
        <f>IF(TYPE($A328)=1,"",IF(Update!J326=0,0,Update!I326/Update!J326))</f>
        <v>1.4</v>
      </c>
      <c r="L328" s="119">
        <f>IF(TYPE($A328)=1,"",-(Update!$Q326-L$1)/L$2)</f>
        <v>1.483597023</v>
      </c>
      <c r="N328" s="33">
        <v>308.0</v>
      </c>
      <c r="O328" s="130" t="str">
        <f>IF(Update!B311="",ROW(Update!B311),Update!B311)</f>
        <v>Yuta Watanabe</v>
      </c>
      <c r="P328" s="131">
        <f>Update!E311</f>
        <v>58</v>
      </c>
      <c r="Q328" s="131" t="str">
        <f>IF(Update!C311="",ROW(Update!N326),Update!C311)</f>
        <v>SF,PF</v>
      </c>
      <c r="R328" s="127">
        <f>VLOOKUP($O328,'NO USAR1'!$A$4:$L$403,2,False)+VLOOKUP($O328,'NO USAR1'!$A$4:$L$403,3,False)+VLOOKUP($O328,'NO USAR1'!$A$4:$L$403,4,False)+VLOOKUP($O328,'NO USAR1'!$A$4:$L$403,5,False)+VLOOKUP($O328,'NO USAR1'!$A$4:$L$403,6,False)+VLOOKUP($O328,'NO USAR1'!$A$4:$L$403,7,False)+VLOOKUP($O328,'NO USAR1'!$A$4:$L$403,8,False)+VLOOKUP($O328,'NO USAR1'!$A$4:$L$403,10,False)+VLOOKUP($O328,'NO USAR1'!$A$4:$L$403,12,False)*0</f>
        <v>-8.333901766</v>
      </c>
      <c r="S328" s="127">
        <f>VLOOKUP($O328,'NO USAR1'!$A$4:$L$403,2,False)*$U$19+VLOOKUP($O328,'NO USAR1'!$A$4:$L$403,3,False)*$V$19+VLOOKUP($O328,'NO USAR1'!$A$4:$L$403,4,False)*$W$19+VLOOKUP($O328,'NO USAR1'!$A$4:$L$403,5,False)*$X$19+VLOOKUP($O328,'NO USAR1'!$A$4:$L$403,6,False)*$Y$19+VLOOKUP($O328,'NO USAR1'!$A$4:$L$403,7,False)*$Z$19+VLOOKUP($O328,'NO USAR1'!$A$4:$L$403,8,False)*$AA$19+VLOOKUP($O328,'NO USAR1'!$A$4:$L$403,10,False)*$AB$19+VLOOKUP($O328,'NO USAR1'!$A$4:$L$403,12,False)*$AC$19+IF(Projections!$K$3,-AN328, IF(Projections!$J$3,-AM328,0))</f>
        <v>-5.166074418</v>
      </c>
      <c r="T328" s="127">
        <f t="shared" si="1"/>
        <v>3.167827348</v>
      </c>
      <c r="U328" s="127">
        <f>VLOOKUP($O328,Update!$B$2:$R$401,11,False)</f>
        <v>5.5</v>
      </c>
      <c r="V328" s="122">
        <f>VLOOKUP($O328,Update!$B$2:$R$401,10,False)</f>
        <v>1</v>
      </c>
      <c r="W328" s="127">
        <f>VLOOKUP($O328,Update!$B$2:$R$401,12,False)</f>
        <v>2.7</v>
      </c>
      <c r="X328" s="127">
        <f>VLOOKUP($O328,Update!$B$2:$R$401,13,False)</f>
        <v>0.8</v>
      </c>
      <c r="Y328" s="127">
        <f>VLOOKUP($O328,Update!$B$2:$R$401,14,False)</f>
        <v>0.4</v>
      </c>
      <c r="Z328" s="132">
        <f>VLOOKUP($O328,Update!$B$2:$R$401,15,False)</f>
        <v>0.4</v>
      </c>
      <c r="AA328" s="127">
        <f>100*VLOOKUP($O328,Update!$B$2:$R$401,7,False)</f>
        <v>45.23809524</v>
      </c>
      <c r="AB328" s="127">
        <f>100*VLOOKUP($O328,Update!$B$2:$R$401,9,False)</f>
        <v>70</v>
      </c>
      <c r="AC328" s="127">
        <f>VLOOKUP($O328,Update!$B$2:$Q$401,16,False)</f>
        <v>0.5</v>
      </c>
      <c r="AD328" s="127">
        <f>VLOOKUP($O328,'NO USAR1'!$A$4:$L$403,2,False)*$U$19</f>
        <v>-1.981308438</v>
      </c>
      <c r="AE328" s="127">
        <f>VLOOKUP($O328,'NO USAR1'!$A$4:$L$403,3,False)*$V$19</f>
        <v>-0.5590090247</v>
      </c>
      <c r="AF328" s="127">
        <f>VLOOKUP($O328,'NO USAR1'!$A$4:$L$403,4,False)*$W$19</f>
        <v>-1.419771191</v>
      </c>
      <c r="AG328" s="127">
        <f>VLOOKUP($O328,'NO USAR1'!$A$4:$L$403,5,False)*$X$19</f>
        <v>-1.552514898</v>
      </c>
      <c r="AH328" s="127">
        <f>VLOOKUP($O328,'NO USAR1'!$A$4:$L$403,6,False)*$Y$19</f>
        <v>-1.296670077</v>
      </c>
      <c r="AI328" s="127">
        <f>VLOOKUP($O328,'NO USAR1'!$A$4:$L$403,7,False)*$Z$19</f>
        <v>-0.3956983969</v>
      </c>
      <c r="AJ328" s="127">
        <f>VLOOKUP($O328,'NO USAR1'!$A$4:$L$403,8,False)*$AA$19</f>
        <v>-0.182926748</v>
      </c>
      <c r="AK328" s="132">
        <f>VLOOKUP($O328,'NO USAR1'!$A$4:$L$403,10,False)*$AB$19</f>
        <v>-0.2235221021</v>
      </c>
      <c r="AL328" s="127">
        <f>VLOOKUP($O328,'NO USAR1'!$A$4:$L$403,12,False)*$AC$19</f>
        <v>0.4640380197</v>
      </c>
      <c r="AM328" s="133">
        <f t="shared" si="2"/>
        <v>-1.981308438</v>
      </c>
      <c r="AN328" s="133">
        <f t="shared" si="3"/>
        <v>-3.533823336</v>
      </c>
    </row>
    <row r="329">
      <c r="A329" s="118" t="str">
        <f>IF(Update!B327="",ROW(Update!B327),Update!B327)</f>
        <v>Jake LaRavia</v>
      </c>
      <c r="B329" s="119">
        <f>IF(TYPE($A329)=1,"",(Update!$L327-B$1)/B$2)</f>
        <v>-2.132982178</v>
      </c>
      <c r="C329" s="119">
        <f>IF(TYPE($A329)=1,"",(Update!$K327-C$1)/C$2)</f>
        <v>-0.6211211385</v>
      </c>
      <c r="D329" s="119">
        <f>IF(TYPE($A329)=1,"",(Update!$M327-D$1)/D$2)</f>
        <v>-1.461586561</v>
      </c>
      <c r="E329" s="119">
        <f>IF(TYPE($A329)=1,"",(Update!$N327-E$1)/E$2)</f>
        <v>-1.365011307</v>
      </c>
      <c r="F329" s="119">
        <f>IF(TYPE($A329)=1,"",(Update!$O327-F$1)/F$2)</f>
        <v>-1.540885966</v>
      </c>
      <c r="G329" s="119">
        <f>IF(TYPE($A329)=1,"",(Update!$P327-G$1)/G$2)</f>
        <v>-0.9404715375</v>
      </c>
      <c r="H329" s="119">
        <f>IF(TYPE($A329)=1,"",(Update!$H327-H$1)/H$2*I329/$I$1)</f>
        <v>-0.2600814484</v>
      </c>
      <c r="I329" s="119">
        <f>IF(TYPE($A329)=1,"",IF(Update!H327=0,0,Update!G327/Update!H327))</f>
        <v>3.9</v>
      </c>
      <c r="J329" s="120">
        <f>IF(TYPE($A329)=1,"",(Update!$J327-J$1)/J$2*K329/$K$1)</f>
        <v>-0.04952996032</v>
      </c>
      <c r="K329" s="121">
        <f>IF(TYPE($A329)=1,"",IF(Update!J327=0,0,Update!I327/Update!J327))</f>
        <v>0.4</v>
      </c>
      <c r="L329" s="119">
        <f>IF(TYPE($A329)=1,"",-(Update!$Q327-L$1)/L$2)</f>
        <v>1.607782042</v>
      </c>
      <c r="N329" s="33">
        <v>309.0</v>
      </c>
      <c r="O329" s="130" t="str">
        <f>IF(Update!B319="",ROW(Update!B319),Update!B319)</f>
        <v>Jordan McLaughlin</v>
      </c>
      <c r="P329" s="131">
        <f>Update!E319</f>
        <v>38</v>
      </c>
      <c r="Q329" s="131" t="str">
        <f>IF(Update!C319="",ROW(Update!N334),Update!C319)</f>
        <v>PG</v>
      </c>
      <c r="R329" s="127">
        <f>VLOOKUP($O329,'NO USAR1'!$A$4:$L$403,2,False)+VLOOKUP($O329,'NO USAR1'!$A$4:$L$403,3,False)+VLOOKUP($O329,'NO USAR1'!$A$4:$L$403,4,False)+VLOOKUP($O329,'NO USAR1'!$A$4:$L$403,5,False)+VLOOKUP($O329,'NO USAR1'!$A$4:$L$403,6,False)+VLOOKUP($O329,'NO USAR1'!$A$4:$L$403,7,False)+VLOOKUP($O329,'NO USAR1'!$A$4:$L$403,8,False)+VLOOKUP($O329,'NO USAR1'!$A$4:$L$403,10,False)+VLOOKUP($O329,'NO USAR1'!$A$4:$L$403,12,False)*0</f>
        <v>-8.343304788</v>
      </c>
      <c r="S329" s="127">
        <f>VLOOKUP($O329,'NO USAR1'!$A$4:$L$403,2,False)*$U$19+VLOOKUP($O329,'NO USAR1'!$A$4:$L$403,3,False)*$V$19+VLOOKUP($O329,'NO USAR1'!$A$4:$L$403,4,False)*$W$19+VLOOKUP($O329,'NO USAR1'!$A$4:$L$403,5,False)*$X$19+VLOOKUP($O329,'NO USAR1'!$A$4:$L$403,6,False)*$Y$19+VLOOKUP($O329,'NO USAR1'!$A$4:$L$403,7,False)*$Z$19+VLOOKUP($O329,'NO USAR1'!$A$4:$L$403,8,False)*$AA$19+VLOOKUP($O329,'NO USAR1'!$A$4:$L$403,10,False)*$AB$19+VLOOKUP($O329,'NO USAR1'!$A$4:$L$403,12,False)*$AC$19+IF(Projections!$K$3,-AN329, IF(Projections!$J$3,-AM329,0))</f>
        <v>-4.842956376</v>
      </c>
      <c r="T329" s="127">
        <f t="shared" si="1"/>
        <v>3.500348411</v>
      </c>
      <c r="U329" s="127">
        <f>VLOOKUP($O329,Update!$B$2:$R$401,11,False)</f>
        <v>3.2</v>
      </c>
      <c r="V329" s="122">
        <f>VLOOKUP($O329,Update!$B$2:$R$401,10,False)</f>
        <v>0.4</v>
      </c>
      <c r="W329" s="127">
        <f>VLOOKUP($O329,Update!$B$2:$R$401,12,False)</f>
        <v>1.3</v>
      </c>
      <c r="X329" s="127">
        <f>VLOOKUP($O329,Update!$B$2:$R$401,13,False)</f>
        <v>2.7</v>
      </c>
      <c r="Y329" s="127">
        <f>VLOOKUP($O329,Update!$B$2:$R$401,14,False)</f>
        <v>0.7</v>
      </c>
      <c r="Z329" s="132">
        <f>VLOOKUP($O329,Update!$B$2:$R$401,15,False)</f>
        <v>0.1</v>
      </c>
      <c r="AA329" s="127">
        <f>100*VLOOKUP($O329,Update!$B$2:$R$401,7,False)</f>
        <v>42.85714286</v>
      </c>
      <c r="AB329" s="127">
        <f>100*VLOOKUP($O329,Update!$B$2:$R$401,9,False)</f>
        <v>80</v>
      </c>
      <c r="AC329" s="127">
        <f>VLOOKUP($O329,Update!$B$2:$Q$401,16,False)</f>
        <v>0.6</v>
      </c>
      <c r="AD329" s="127">
        <f>VLOOKUP($O329,'NO USAR1'!$A$4:$L$403,2,False)*$U$19</f>
        <v>-2.368919105</v>
      </c>
      <c r="AE329" s="127">
        <f>VLOOKUP($O329,'NO USAR1'!$A$4:$L$403,3,False)*$V$19</f>
        <v>-1.079286297</v>
      </c>
      <c r="AF329" s="127">
        <f>VLOOKUP($O329,'NO USAR1'!$A$4:$L$403,4,False)*$W$19</f>
        <v>-2.005186369</v>
      </c>
      <c r="AG329" s="127">
        <f>VLOOKUP($O329,'NO USAR1'!$A$4:$L$403,5,False)*$X$19</f>
        <v>-0.5834681483</v>
      </c>
      <c r="AH329" s="127">
        <f>VLOOKUP($O329,'NO USAR1'!$A$4:$L$403,6,False)*$Y$19</f>
        <v>-0.6425203744</v>
      </c>
      <c r="AI329" s="127">
        <f>VLOOKUP($O329,'NO USAR1'!$A$4:$L$403,7,False)*$Z$19</f>
        <v>-0.7896459159</v>
      </c>
      <c r="AJ329" s="127">
        <f>VLOOKUP($O329,'NO USAR1'!$A$4:$L$403,8,False)*$AA$19</f>
        <v>-0.1885421673</v>
      </c>
      <c r="AK329" s="132">
        <f>VLOOKUP($O329,'NO USAR1'!$A$4:$L$403,10,False)*$AB$19</f>
        <v>0.01270113039</v>
      </c>
      <c r="AL329" s="127">
        <f>VLOOKUP($O329,'NO USAR1'!$A$4:$L$403,12,False)*$AC$19</f>
        <v>0.4329917651</v>
      </c>
      <c r="AM329" s="133">
        <f t="shared" si="2"/>
        <v>-2.368919105</v>
      </c>
      <c r="AN329" s="133">
        <f t="shared" si="3"/>
        <v>-4.374105475</v>
      </c>
    </row>
    <row r="330">
      <c r="A330" s="118" t="str">
        <f>IF(Update!B328="",ROW(Update!B328),Update!B328)</f>
        <v>Mike Muscala</v>
      </c>
      <c r="B330" s="119">
        <f>IF(TYPE($A330)=1,"",(Update!$L328-B$1)/B$2)</f>
        <v>-2.065571627</v>
      </c>
      <c r="C330" s="119">
        <f>IF(TYPE($A330)=1,"",(Update!$K328-C$1)/C$2)</f>
        <v>-0.6211211385</v>
      </c>
      <c r="D330" s="119">
        <f>IF(TYPE($A330)=1,"",(Update!$M328-D$1)/D$2)</f>
        <v>-1.587032671</v>
      </c>
      <c r="E330" s="119">
        <f>IF(TYPE($A330)=1,"",(Update!$N328-E$1)/E$2)</f>
        <v>-1.5504748</v>
      </c>
      <c r="F330" s="119">
        <f>IF(TYPE($A330)=1,"",(Update!$O328-F$1)/F$2)</f>
        <v>-2.475385541</v>
      </c>
      <c r="G330" s="119">
        <f>IF(TYPE($A330)=1,"",(Update!$P328-G$1)/G$2)</f>
        <v>-0.7528774808</v>
      </c>
      <c r="H330" s="119">
        <f>IF(TYPE($A330)=1,"",(Update!$H328-H$1)/H$2*I330/$I$1)</f>
        <v>-0.1499877816</v>
      </c>
      <c r="I330" s="119">
        <f>IF(TYPE($A330)=1,"",IF(Update!H328=0,0,Update!G328/Update!H328))</f>
        <v>3.7</v>
      </c>
      <c r="J330" s="120">
        <f>IF(TYPE($A330)=1,"",(Update!$J328-J$1)/J$2*K330/$K$1)</f>
        <v>0.1466891596</v>
      </c>
      <c r="K330" s="121">
        <f>IF(TYPE($A330)=1,"",IF(Update!J328=0,0,Update!I328/Update!J328))</f>
        <v>0.7</v>
      </c>
      <c r="L330" s="119">
        <f>IF(TYPE($A330)=1,"",-(Update!$Q328-L$1)/L$2)</f>
        <v>2.104522116</v>
      </c>
      <c r="N330" s="124">
        <v>310.0</v>
      </c>
      <c r="O330" s="130" t="str">
        <f>IF(Update!B323="",ROW(Update!B323),Update!B323)</f>
        <v>Jalen Hood-Schifino</v>
      </c>
      <c r="P330" s="131">
        <f>Update!E323</f>
        <v>50</v>
      </c>
      <c r="Q330" s="131" t="str">
        <f>IF(Update!C323="",ROW(Update!N338),Update!C323)</f>
        <v>PG,SG</v>
      </c>
      <c r="R330" s="127">
        <f>VLOOKUP($O330,'NO USAR1'!$A$4:$L$403,2,False)+VLOOKUP($O330,'NO USAR1'!$A$4:$L$403,3,False)+VLOOKUP($O330,'NO USAR1'!$A$4:$L$403,4,False)+VLOOKUP($O330,'NO USAR1'!$A$4:$L$403,5,False)+VLOOKUP($O330,'NO USAR1'!$A$4:$L$403,6,False)+VLOOKUP($O330,'NO USAR1'!$A$4:$L$403,7,False)+VLOOKUP($O330,'NO USAR1'!$A$4:$L$403,8,False)+VLOOKUP($O330,'NO USAR1'!$A$4:$L$403,10,False)+VLOOKUP($O330,'NO USAR1'!$A$4:$L$403,12,False)*0</f>
        <v>-8.348311447</v>
      </c>
      <c r="S330" s="127">
        <f>VLOOKUP($O330,'NO USAR1'!$A$4:$L$403,2,False)*$U$19+VLOOKUP($O330,'NO USAR1'!$A$4:$L$403,3,False)*$V$19+VLOOKUP($O330,'NO USAR1'!$A$4:$L$403,4,False)*$W$19+VLOOKUP($O330,'NO USAR1'!$A$4:$L$403,5,False)*$X$19+VLOOKUP($O330,'NO USAR1'!$A$4:$L$403,6,False)*$Y$19+VLOOKUP($O330,'NO USAR1'!$A$4:$L$403,7,False)*$Z$19+VLOOKUP($O330,'NO USAR1'!$A$4:$L$403,8,False)*$AA$19+VLOOKUP($O330,'NO USAR1'!$A$4:$L$403,10,False)*$AB$19+VLOOKUP($O330,'NO USAR1'!$A$4:$L$403,12,False)*$AC$19+IF(Projections!$K$3,-AN330, IF(Projections!$J$3,-AM330,0))</f>
        <v>-5.125334698</v>
      </c>
      <c r="T330" s="127">
        <f t="shared" si="1"/>
        <v>3.222976749</v>
      </c>
      <c r="U330" s="127">
        <f>VLOOKUP($O330,Update!$B$2:$R$401,11,False)</f>
        <v>6.6</v>
      </c>
      <c r="V330" s="122">
        <f>VLOOKUP($O330,Update!$B$2:$R$401,10,False)</f>
        <v>1</v>
      </c>
      <c r="W330" s="127">
        <f>VLOOKUP($O330,Update!$B$2:$R$401,12,False)</f>
        <v>1.3</v>
      </c>
      <c r="X330" s="127">
        <f>VLOOKUP($O330,Update!$B$2:$R$401,13,False)</f>
        <v>2.7</v>
      </c>
      <c r="Y330" s="127">
        <f>VLOOKUP($O330,Update!$B$2:$R$401,14,False)</f>
        <v>0.4</v>
      </c>
      <c r="Z330" s="132">
        <f>VLOOKUP($O330,Update!$B$2:$R$401,15,False)</f>
        <v>0.2</v>
      </c>
      <c r="AA330" s="127">
        <f>100*VLOOKUP($O330,Update!$B$2:$R$401,7,False)</f>
        <v>40.35087719</v>
      </c>
      <c r="AB330" s="127">
        <f>100*VLOOKUP($O330,Update!$B$2:$R$401,9,False)</f>
        <v>78.57142857</v>
      </c>
      <c r="AC330" s="127">
        <f>VLOOKUP($O330,Update!$B$2:$Q$401,16,False)</f>
        <v>1</v>
      </c>
      <c r="AD330" s="127">
        <f>VLOOKUP($O330,'NO USAR1'!$A$4:$L$403,2,False)*$U$19</f>
        <v>-1.795929424</v>
      </c>
      <c r="AE330" s="127">
        <f>VLOOKUP($O330,'NO USAR1'!$A$4:$L$403,3,False)*$V$19</f>
        <v>-0.5590090247</v>
      </c>
      <c r="AF330" s="127">
        <f>VLOOKUP($O330,'NO USAR1'!$A$4:$L$403,4,False)*$W$19</f>
        <v>-2.005186369</v>
      </c>
      <c r="AG330" s="127">
        <f>VLOOKUP($O330,'NO USAR1'!$A$4:$L$403,5,False)*$X$19</f>
        <v>-0.5834681483</v>
      </c>
      <c r="AH330" s="127">
        <f>VLOOKUP($O330,'NO USAR1'!$A$4:$L$403,6,False)*$Y$19</f>
        <v>-1.296670077</v>
      </c>
      <c r="AI330" s="127">
        <f>VLOOKUP($O330,'NO USAR1'!$A$4:$L$403,7,False)*$Z$19</f>
        <v>-0.6583300762</v>
      </c>
      <c r="AJ330" s="127">
        <f>VLOOKUP($O330,'NO USAR1'!$A$4:$L$403,8,False)*$AA$19</f>
        <v>-0.5265129875</v>
      </c>
      <c r="AK330" s="132">
        <f>VLOOKUP($O330,'NO USAR1'!$A$4:$L$403,10,False)*$AB$19</f>
        <v>-0.01422170748</v>
      </c>
      <c r="AL330" s="127">
        <f>VLOOKUP($O330,'NO USAR1'!$A$4:$L$403,12,False)*$AC$19</f>
        <v>0.3088067464</v>
      </c>
      <c r="AM330" s="133">
        <f t="shared" si="2"/>
        <v>-2.005186369</v>
      </c>
      <c r="AN330" s="133">
        <f t="shared" si="3"/>
        <v>-3.801115793</v>
      </c>
    </row>
    <row r="331">
      <c r="A331" s="118" t="str">
        <f>IF(Update!B329="",ROW(Update!B329),Update!B329)</f>
        <v>Joe Harris</v>
      </c>
      <c r="B331" s="119">
        <f>IF(TYPE($A331)=1,"",(Update!$L329-B$1)/B$2)</f>
        <v>-1.947603163</v>
      </c>
      <c r="C331" s="119">
        <f>IF(TYPE($A331)=1,"",(Update!$K329-C$1)/C$2)</f>
        <v>-0.2357305665</v>
      </c>
      <c r="D331" s="119">
        <f>IF(TYPE($A331)=1,"",(Update!$M329-D$1)/D$2)</f>
        <v>-1.83792489</v>
      </c>
      <c r="E331" s="119">
        <f>IF(TYPE($A331)=1,"",(Update!$N329-E$1)/E$2)</f>
        <v>-1.365011307</v>
      </c>
      <c r="F331" s="119">
        <f>IF(TYPE($A331)=1,"",(Update!$O329-F$1)/F$2)</f>
        <v>-2.163885682</v>
      </c>
      <c r="G331" s="119">
        <f>IF(TYPE($A331)=1,"",(Update!$P329-G$1)/G$2)</f>
        <v>-1.128065594</v>
      </c>
      <c r="H331" s="119">
        <f>IF(TYPE($A331)=1,"",(Update!$H329-H$1)/H$2*I331/$I$1)</f>
        <v>-0.2574074392</v>
      </c>
      <c r="I331" s="119">
        <f>IF(TYPE($A331)=1,"",IF(Update!H329=0,0,Update!G329/Update!H329))</f>
        <v>4.5</v>
      </c>
      <c r="J331" s="120">
        <f>IF(TYPE($A331)=1,"",(Update!$J329-J$1)/J$2*K331/$K$1)</f>
        <v>-0.1149363336</v>
      </c>
      <c r="K331" s="121">
        <f>IF(TYPE($A331)=1,"",IF(Update!J329=0,0,Update!I329/Update!J329))</f>
        <v>0.3</v>
      </c>
      <c r="L331" s="119">
        <f>IF(TYPE($A331)=1,"",-(Update!$Q329-L$1)/L$2)</f>
        <v>1.856152079</v>
      </c>
      <c r="N331" s="124">
        <v>311.0</v>
      </c>
      <c r="O331" s="130" t="str">
        <f>IF(Update!B301="",ROW(Update!B301),Update!B301)</f>
        <v>Christian Koloko</v>
      </c>
      <c r="P331" s="131">
        <f>Update!E301</f>
        <v>60</v>
      </c>
      <c r="Q331" s="131" t="str">
        <f>IF(Update!C301="",ROW(Update!N316),Update!C301)</f>
        <v>C</v>
      </c>
      <c r="R331" s="127">
        <f>VLOOKUP($O331,'NO USAR1'!$A$4:$L$403,2,False)+VLOOKUP($O331,'NO USAR1'!$A$4:$L$403,3,False)+VLOOKUP($O331,'NO USAR1'!$A$4:$L$403,4,False)+VLOOKUP($O331,'NO USAR1'!$A$4:$L$403,5,False)+VLOOKUP($O331,'NO USAR1'!$A$4:$L$403,6,False)+VLOOKUP($O331,'NO USAR1'!$A$4:$L$403,7,False)+VLOOKUP($O331,'NO USAR1'!$A$4:$L$403,8,False)+VLOOKUP($O331,'NO USAR1'!$A$4:$L$403,10,False)+VLOOKUP($O331,'NO USAR1'!$A$4:$L$403,12,False)*0</f>
        <v>-8.36278352</v>
      </c>
      <c r="S331" s="127">
        <f>VLOOKUP($O331,'NO USAR1'!$A$4:$L$403,2,False)*$U$19+VLOOKUP($O331,'NO USAR1'!$A$4:$L$403,3,False)*$V$19+VLOOKUP($O331,'NO USAR1'!$A$4:$L$403,4,False)*$W$19+VLOOKUP($O331,'NO USAR1'!$A$4:$L$403,5,False)*$X$19+VLOOKUP($O331,'NO USAR1'!$A$4:$L$403,6,False)*$Y$19+VLOOKUP($O331,'NO USAR1'!$A$4:$L$403,7,False)*$Z$19+VLOOKUP($O331,'NO USAR1'!$A$4:$L$403,8,False)*$AA$19+VLOOKUP($O331,'NO USAR1'!$A$4:$L$403,10,False)*$AB$19+VLOOKUP($O331,'NO USAR1'!$A$4:$L$403,12,False)*$AC$19+IF(Projections!$K$3,-AN331, IF(Projections!$J$3,-AM331,0))</f>
        <v>-5.078202325</v>
      </c>
      <c r="T331" s="127">
        <f t="shared" si="1"/>
        <v>3.284581195</v>
      </c>
      <c r="U331" s="127">
        <f>VLOOKUP($O331,Update!$B$2:$R$401,11,False)</f>
        <v>3.4</v>
      </c>
      <c r="V331" s="122">
        <f>VLOOKUP($O331,Update!$B$2:$R$401,10,False)</f>
        <v>0</v>
      </c>
      <c r="W331" s="127">
        <f>VLOOKUP($O331,Update!$B$2:$R$401,12,False)</f>
        <v>3.2</v>
      </c>
      <c r="X331" s="127">
        <f>VLOOKUP($O331,Update!$B$2:$R$401,13,False)</f>
        <v>0.6</v>
      </c>
      <c r="Y331" s="127">
        <f>VLOOKUP($O331,Update!$B$2:$R$401,14,False)</f>
        <v>0.4</v>
      </c>
      <c r="Z331" s="132">
        <f>VLOOKUP($O331,Update!$B$2:$R$401,15,False)</f>
        <v>1.1</v>
      </c>
      <c r="AA331" s="127">
        <f>100*VLOOKUP($O331,Update!$B$2:$R$401,7,False)</f>
        <v>46.42857143</v>
      </c>
      <c r="AB331" s="127">
        <f>100*VLOOKUP($O331,Update!$B$2:$R$401,9,False)</f>
        <v>63.63636364</v>
      </c>
      <c r="AC331" s="127">
        <f>VLOOKUP($O331,Update!$B$2:$Q$401,16,False)</f>
        <v>0.4</v>
      </c>
      <c r="AD331" s="127">
        <f>VLOOKUP($O331,'NO USAR1'!$A$4:$L$403,2,False)*$U$19</f>
        <v>-2.33521383</v>
      </c>
      <c r="AE331" s="127">
        <f>VLOOKUP($O331,'NO USAR1'!$A$4:$L$403,3,False)*$V$19</f>
        <v>-1.426137812</v>
      </c>
      <c r="AF331" s="127">
        <f>VLOOKUP($O331,'NO USAR1'!$A$4:$L$403,4,False)*$W$19</f>
        <v>-1.210694342</v>
      </c>
      <c r="AG331" s="127">
        <f>VLOOKUP($O331,'NO USAR1'!$A$4:$L$403,5,False)*$X$19</f>
        <v>-1.654519819</v>
      </c>
      <c r="AH331" s="127">
        <f>VLOOKUP($O331,'NO USAR1'!$A$4:$L$403,6,False)*$Y$19</f>
        <v>-1.296670077</v>
      </c>
      <c r="AI331" s="127">
        <f>VLOOKUP($O331,'NO USAR1'!$A$4:$L$403,7,False)*$Z$19</f>
        <v>0.5235124808</v>
      </c>
      <c r="AJ331" s="127">
        <f>VLOOKUP($O331,'NO USAR1'!$A$4:$L$403,8,False)*$AA$19</f>
        <v>-0.08865566434</v>
      </c>
      <c r="AK331" s="132">
        <f>VLOOKUP($O331,'NO USAR1'!$A$4:$L$403,10,False)*$AB$19</f>
        <v>-0.4201213663</v>
      </c>
      <c r="AL331" s="127">
        <f>VLOOKUP($O331,'NO USAR1'!$A$4:$L$403,12,False)*$AC$19</f>
        <v>0.4950842744</v>
      </c>
      <c r="AM331" s="133">
        <f t="shared" si="2"/>
        <v>-2.33521383</v>
      </c>
      <c r="AN331" s="133">
        <f t="shared" si="3"/>
        <v>-3.989733649</v>
      </c>
    </row>
    <row r="332">
      <c r="A332" s="118" t="str">
        <f>IF(Update!B330="",ROW(Update!B330),Update!B330)</f>
        <v>Haywood Highsmith</v>
      </c>
      <c r="B332" s="119">
        <f>IF(TYPE($A332)=1,"",(Update!$L330-B$1)/B$2)</f>
        <v>-2.132982178</v>
      </c>
      <c r="C332" s="119">
        <f>IF(TYPE($A332)=1,"",(Update!$K330-C$1)/C$2)</f>
        <v>-0.8138164245</v>
      </c>
      <c r="D332" s="119">
        <f>IF(TYPE($A332)=1,"",(Update!$M330-D$1)/D$2)</f>
        <v>-1.085248232</v>
      </c>
      <c r="E332" s="119">
        <f>IF(TYPE($A332)=1,"",(Update!$N330-E$1)/E$2)</f>
        <v>-1.41137718</v>
      </c>
      <c r="F332" s="119">
        <f>IF(TYPE($A332)=1,"",(Update!$O330-F$1)/F$2)</f>
        <v>-1.229386107</v>
      </c>
      <c r="G332" s="119">
        <f>IF(TYPE($A332)=1,"",(Update!$P330-G$1)/G$2)</f>
        <v>-0.7528774808</v>
      </c>
      <c r="H332" s="119">
        <f>IF(TYPE($A332)=1,"",(Update!$H330-H$1)/H$2*I332/$I$1)</f>
        <v>-0.3692837789</v>
      </c>
      <c r="I332" s="119">
        <f>IF(TYPE($A332)=1,"",IF(Update!H330=0,0,Update!G330/Update!H330))</f>
        <v>4.3</v>
      </c>
      <c r="J332" s="120">
        <f>IF(TYPE($A332)=1,"",(Update!$J330-J$1)/J$2*K332/$K$1)</f>
        <v>-0.2952790406</v>
      </c>
      <c r="K332" s="121">
        <f>IF(TYPE($A332)=1,"",IF(Update!J330=0,0,Update!I330/Update!J330))</f>
        <v>0.5</v>
      </c>
      <c r="L332" s="119">
        <f>IF(TYPE($A332)=1,"",-(Update!$Q330-L$1)/L$2)</f>
        <v>1.483597023</v>
      </c>
      <c r="N332" s="33">
        <v>312.0</v>
      </c>
      <c r="O332" s="130" t="str">
        <f>IF(Update!B327="",ROW(Update!B327),Update!B327)</f>
        <v>Jake LaRavia</v>
      </c>
      <c r="P332" s="131">
        <f>Update!E327</f>
        <v>68</v>
      </c>
      <c r="Q332" s="131" t="str">
        <f>IF(Update!C327="",ROW(Update!N342),Update!C327)</f>
        <v>SF,PF</v>
      </c>
      <c r="R332" s="127">
        <f>VLOOKUP($O332,'NO USAR1'!$A$4:$L$403,2,False)+VLOOKUP($O332,'NO USAR1'!$A$4:$L$403,3,False)+VLOOKUP($O332,'NO USAR1'!$A$4:$L$403,4,False)+VLOOKUP($O332,'NO USAR1'!$A$4:$L$403,5,False)+VLOOKUP($O332,'NO USAR1'!$A$4:$L$403,6,False)+VLOOKUP($O332,'NO USAR1'!$A$4:$L$403,7,False)+VLOOKUP($O332,'NO USAR1'!$A$4:$L$403,8,False)+VLOOKUP($O332,'NO USAR1'!$A$4:$L$403,10,False)+VLOOKUP($O332,'NO USAR1'!$A$4:$L$403,12,False)*0</f>
        <v>-8.371670096</v>
      </c>
      <c r="S332" s="127">
        <f>VLOOKUP($O332,'NO USAR1'!$A$4:$L$403,2,False)*$U$19+VLOOKUP($O332,'NO USAR1'!$A$4:$L$403,3,False)*$V$19+VLOOKUP($O332,'NO USAR1'!$A$4:$L$403,4,False)*$W$19+VLOOKUP($O332,'NO USAR1'!$A$4:$L$403,5,False)*$X$19+VLOOKUP($O332,'NO USAR1'!$A$4:$L$403,6,False)*$Y$19+VLOOKUP($O332,'NO USAR1'!$A$4:$L$403,7,False)*$Z$19+VLOOKUP($O332,'NO USAR1'!$A$4:$L$403,8,False)*$AA$19+VLOOKUP($O332,'NO USAR1'!$A$4:$L$403,10,False)*$AB$19+VLOOKUP($O332,'NO USAR1'!$A$4:$L$403,12,False)*$AC$19+IF(Projections!$K$3,-AN332, IF(Projections!$J$3,-AM332,0))</f>
        <v>-5.130810037</v>
      </c>
      <c r="T332" s="127">
        <f t="shared" si="1"/>
        <v>3.240860059</v>
      </c>
      <c r="U332" s="127">
        <f>VLOOKUP($O332,Update!$B$2:$R$401,11,False)</f>
        <v>4.6</v>
      </c>
      <c r="V332" s="122">
        <f>VLOOKUP($O332,Update!$B$2:$R$401,10,False)</f>
        <v>1</v>
      </c>
      <c r="W332" s="127">
        <f>VLOOKUP($O332,Update!$B$2:$R$401,12,False)</f>
        <v>2.6</v>
      </c>
      <c r="X332" s="127">
        <f>VLOOKUP($O332,Update!$B$2:$R$401,13,False)</f>
        <v>0.9</v>
      </c>
      <c r="Y332" s="127">
        <f>VLOOKUP($O332,Update!$B$2:$R$401,14,False)</f>
        <v>0.5</v>
      </c>
      <c r="Z332" s="132">
        <f>VLOOKUP($O332,Update!$B$2:$R$401,15,False)</f>
        <v>0.2</v>
      </c>
      <c r="AA332" s="127">
        <f>100*VLOOKUP($O332,Update!$B$2:$R$401,7,False)</f>
        <v>43.58974359</v>
      </c>
      <c r="AB332" s="127">
        <f>100*VLOOKUP($O332,Update!$B$2:$R$401,9,False)</f>
        <v>75</v>
      </c>
      <c r="AC332" s="127">
        <f>VLOOKUP($O332,Update!$B$2:$Q$401,16,False)</f>
        <v>0.7</v>
      </c>
      <c r="AD332" s="127">
        <f>VLOOKUP($O332,'NO USAR1'!$A$4:$L$403,2,False)*$U$19</f>
        <v>-2.132982178</v>
      </c>
      <c r="AE332" s="127">
        <f>VLOOKUP($O332,'NO USAR1'!$A$4:$L$403,3,False)*$V$19</f>
        <v>-0.5590090247</v>
      </c>
      <c r="AF332" s="127">
        <f>VLOOKUP($O332,'NO USAR1'!$A$4:$L$403,4,False)*$W$19</f>
        <v>-1.461586561</v>
      </c>
      <c r="AG332" s="127">
        <f>VLOOKUP($O332,'NO USAR1'!$A$4:$L$403,5,False)*$X$19</f>
        <v>-1.501512437</v>
      </c>
      <c r="AH332" s="127">
        <f>VLOOKUP($O332,'NO USAR1'!$A$4:$L$403,6,False)*$Y$19</f>
        <v>-1.078620176</v>
      </c>
      <c r="AI332" s="127">
        <f>VLOOKUP($O332,'NO USAR1'!$A$4:$L$403,7,False)*$Z$19</f>
        <v>-0.6583300762</v>
      </c>
      <c r="AJ332" s="127">
        <f>VLOOKUP($O332,'NO USAR1'!$A$4:$L$403,8,False)*$AA$19</f>
        <v>-0.2340733036</v>
      </c>
      <c r="AK332" s="132">
        <f>VLOOKUP($O332,'NO USAR1'!$A$4:$L$403,10,False)*$AB$19</f>
        <v>-0.03962396826</v>
      </c>
      <c r="AL332" s="127">
        <f>VLOOKUP($O332,'NO USAR1'!$A$4:$L$403,12,False)*$AC$19</f>
        <v>0.4019455104</v>
      </c>
      <c r="AM332" s="133">
        <f t="shared" si="2"/>
        <v>-2.132982178</v>
      </c>
      <c r="AN332" s="133">
        <f t="shared" si="3"/>
        <v>-3.634494615</v>
      </c>
    </row>
    <row r="333">
      <c r="A333" s="118" t="str">
        <f>IF(Update!B331="",ROW(Update!B331),Update!B331)</f>
        <v>Derrick Jones Jr.</v>
      </c>
      <c r="B333" s="119">
        <f>IF(TYPE($A333)=1,"",(Update!$L331-B$1)/B$2)</f>
        <v>-2.217245366</v>
      </c>
      <c r="C333" s="119">
        <f>IF(TYPE($A333)=1,"",(Update!$K331-C$1)/C$2)</f>
        <v>-1.295554639</v>
      </c>
      <c r="D333" s="119">
        <f>IF(TYPE($A333)=1,"",(Update!$M331-D$1)/D$2)</f>
        <v>-1.62884804</v>
      </c>
      <c r="E333" s="119">
        <f>IF(TYPE($A333)=1,"",(Update!$N331-E$1)/E$2)</f>
        <v>-1.596840673</v>
      </c>
      <c r="F333" s="119">
        <f>IF(TYPE($A333)=1,"",(Update!$O331-F$1)/F$2)</f>
        <v>-1.852385824</v>
      </c>
      <c r="G333" s="119">
        <f>IF(TYPE($A333)=1,"",(Update!$P331-G$1)/G$2)</f>
        <v>-0.3776893674</v>
      </c>
      <c r="H333" s="119">
        <f>IF(TYPE($A333)=1,"",(Update!$H331-H$1)/H$2*I333/$I$1)</f>
        <v>0.06841687936</v>
      </c>
      <c r="I333" s="119">
        <f>IF(TYPE($A333)=1,"",IF(Update!H331=0,0,Update!G331/Update!H331))</f>
        <v>2.9</v>
      </c>
      <c r="J333" s="120">
        <f>IF(TYPE($A333)=1,"",(Update!$J331-J$1)/J$2*K333/$K$1)</f>
        <v>-0.2139962543</v>
      </c>
      <c r="K333" s="121">
        <f>IF(TYPE($A333)=1,"",IF(Update!J331=0,0,Update!I331/Update!J331))</f>
        <v>1.1</v>
      </c>
      <c r="L333" s="119">
        <f>IF(TYPE($A333)=1,"",-(Update!$Q331-L$1)/L$2)</f>
        <v>1.980337098</v>
      </c>
      <c r="N333" s="33">
        <v>313.0</v>
      </c>
      <c r="O333" s="130" t="str">
        <f>IF(Update!B305="",ROW(Update!B305),Update!B305)</f>
        <v>Kris Murray</v>
      </c>
      <c r="P333" s="131">
        <f>Update!E305</f>
        <v>70</v>
      </c>
      <c r="Q333" s="131" t="str">
        <f>IF(Update!C305="",ROW(Update!N320),Update!C305)</f>
        <v>SF,PF</v>
      </c>
      <c r="R333" s="127">
        <f>VLOOKUP($O333,'NO USAR1'!$A$4:$L$403,2,False)+VLOOKUP($O333,'NO USAR1'!$A$4:$L$403,3,False)+VLOOKUP($O333,'NO USAR1'!$A$4:$L$403,4,False)+VLOOKUP($O333,'NO USAR1'!$A$4:$L$403,5,False)+VLOOKUP($O333,'NO USAR1'!$A$4:$L$403,6,False)+VLOOKUP($O333,'NO USAR1'!$A$4:$L$403,7,False)+VLOOKUP($O333,'NO USAR1'!$A$4:$L$403,8,False)+VLOOKUP($O333,'NO USAR1'!$A$4:$L$403,10,False)+VLOOKUP($O333,'NO USAR1'!$A$4:$L$403,12,False)*0</f>
        <v>-8.375543861</v>
      </c>
      <c r="S333" s="127">
        <f>VLOOKUP($O333,'NO USAR1'!$A$4:$L$403,2,False)*$U$19+VLOOKUP($O333,'NO USAR1'!$A$4:$L$403,3,False)*$V$19+VLOOKUP($O333,'NO USAR1'!$A$4:$L$403,4,False)*$W$19+VLOOKUP($O333,'NO USAR1'!$A$4:$L$403,5,False)*$X$19+VLOOKUP($O333,'NO USAR1'!$A$4:$L$403,6,False)*$Y$19+VLOOKUP($O333,'NO USAR1'!$A$4:$L$403,7,False)*$Z$19+VLOOKUP($O333,'NO USAR1'!$A$4:$L$403,8,False)*$AA$19+VLOOKUP($O333,'NO USAR1'!$A$4:$L$403,10,False)*$AB$19+VLOOKUP($O333,'NO USAR1'!$A$4:$L$403,12,False)*$AC$19+IF(Projections!$K$3,-AN333, IF(Projections!$J$3,-AM333,0))</f>
        <v>-5.46223084</v>
      </c>
      <c r="T333" s="127">
        <f t="shared" si="1"/>
        <v>2.913313022</v>
      </c>
      <c r="U333" s="127">
        <f>VLOOKUP($O333,Update!$B$2:$R$401,11,False)</f>
        <v>6.8</v>
      </c>
      <c r="V333" s="122">
        <f>VLOOKUP($O333,Update!$B$2:$R$401,10,False)</f>
        <v>0.8</v>
      </c>
      <c r="W333" s="127">
        <f>VLOOKUP($O333,Update!$B$2:$R$401,12,False)</f>
        <v>2.3</v>
      </c>
      <c r="X333" s="127">
        <f>VLOOKUP($O333,Update!$B$2:$R$401,13,False)</f>
        <v>0.9</v>
      </c>
      <c r="Y333" s="127">
        <f>VLOOKUP($O333,Update!$B$2:$R$401,14,False)</f>
        <v>0.5</v>
      </c>
      <c r="Z333" s="132">
        <f>VLOOKUP($O333,Update!$B$2:$R$401,15,False)</f>
        <v>0.3</v>
      </c>
      <c r="AA333" s="127">
        <f>100*VLOOKUP($O333,Update!$B$2:$R$401,7,False)</f>
        <v>44.68085106</v>
      </c>
      <c r="AB333" s="127">
        <f>100*VLOOKUP($O333,Update!$B$2:$R$401,9,False)</f>
        <v>75</v>
      </c>
      <c r="AC333" s="127">
        <f>VLOOKUP($O333,Update!$B$2:$Q$401,16,False)</f>
        <v>0.6</v>
      </c>
      <c r="AD333" s="127">
        <f>VLOOKUP($O333,'NO USAR1'!$A$4:$L$403,2,False)*$U$19</f>
        <v>-1.762224148</v>
      </c>
      <c r="AE333" s="127">
        <f>VLOOKUP($O333,'NO USAR1'!$A$4:$L$403,3,False)*$V$19</f>
        <v>-0.7324347821</v>
      </c>
      <c r="AF333" s="127">
        <f>VLOOKUP($O333,'NO USAR1'!$A$4:$L$403,4,False)*$W$19</f>
        <v>-1.587032671</v>
      </c>
      <c r="AG333" s="127">
        <f>VLOOKUP($O333,'NO USAR1'!$A$4:$L$403,5,False)*$X$19</f>
        <v>-1.501512437</v>
      </c>
      <c r="AH333" s="127">
        <f>VLOOKUP($O333,'NO USAR1'!$A$4:$L$403,6,False)*$Y$19</f>
        <v>-1.078620176</v>
      </c>
      <c r="AI333" s="127">
        <f>VLOOKUP($O333,'NO USAR1'!$A$4:$L$403,7,False)*$Z$19</f>
        <v>-0.5270142365</v>
      </c>
      <c r="AJ333" s="127">
        <f>VLOOKUP($O333,'NO USAR1'!$A$4:$L$403,8,False)*$AA$19</f>
        <v>-0.2308644925</v>
      </c>
      <c r="AK333" s="132">
        <f>VLOOKUP($O333,'NO USAR1'!$A$4:$L$403,10,False)*$AB$19</f>
        <v>-0.2377438096</v>
      </c>
      <c r="AL333" s="127">
        <f>VLOOKUP($O333,'NO USAR1'!$A$4:$L$403,12,False)*$AC$19</f>
        <v>0.4329917651</v>
      </c>
      <c r="AM333" s="133">
        <f t="shared" si="2"/>
        <v>-1.762224148</v>
      </c>
      <c r="AN333" s="133">
        <f t="shared" si="3"/>
        <v>-3.349256819</v>
      </c>
    </row>
    <row r="334">
      <c r="A334" s="118" t="str">
        <f>IF(Update!B332="",ROW(Update!B332),Update!B332)</f>
        <v>Reggie Bullock</v>
      </c>
      <c r="B334" s="119">
        <f>IF(TYPE($A334)=1,"",(Update!$L332-B$1)/B$2)</f>
        <v>-2.065571627</v>
      </c>
      <c r="C334" s="119">
        <f>IF(TYPE($A334)=1,"",(Update!$K332-C$1)/C$2)</f>
        <v>-0.3320782095</v>
      </c>
      <c r="D334" s="119">
        <f>IF(TYPE($A334)=1,"",(Update!$M332-D$1)/D$2)</f>
        <v>-1.587032671</v>
      </c>
      <c r="E334" s="119">
        <f>IF(TYPE($A334)=1,"",(Update!$N332-E$1)/E$2)</f>
        <v>-1.41137718</v>
      </c>
      <c r="F334" s="119">
        <f>IF(TYPE($A334)=1,"",(Update!$O332-F$1)/F$2)</f>
        <v>-1.852385824</v>
      </c>
      <c r="G334" s="119">
        <f>IF(TYPE($A334)=1,"",(Update!$P332-G$1)/G$2)</f>
        <v>-1.128065594</v>
      </c>
      <c r="H334" s="119">
        <f>IF(TYPE($A334)=1,"",(Update!$H332-H$1)/H$2*I334/$I$1)</f>
        <v>-0.4802687821</v>
      </c>
      <c r="I334" s="119">
        <f>IF(TYPE($A334)=1,"",IF(Update!H332=0,0,Update!G332/Update!H332))</f>
        <v>4.3</v>
      </c>
      <c r="J334" s="120">
        <f>IF(TYPE($A334)=1,"",(Update!$J332-J$1)/J$2*K334/$K$1)</f>
        <v>-0.04952996032</v>
      </c>
      <c r="K334" s="121">
        <f>IF(TYPE($A334)=1,"",IF(Update!J332=0,0,Update!I332/Update!J332))</f>
        <v>0.4</v>
      </c>
      <c r="L334" s="119">
        <f>IF(TYPE($A334)=1,"",-(Update!$Q332-L$1)/L$2)</f>
        <v>2.104522116</v>
      </c>
      <c r="N334" s="124">
        <v>314.0</v>
      </c>
      <c r="O334" s="130" t="str">
        <f>IF(Update!B312="",ROW(Update!B312),Update!B312)</f>
        <v>Cory Joseph</v>
      </c>
      <c r="P334" s="131">
        <f>Update!E312</f>
        <v>68</v>
      </c>
      <c r="Q334" s="131" t="str">
        <f>IF(Update!C312="",ROW(Update!N327),Update!C312)</f>
        <v>PG,SG</v>
      </c>
      <c r="R334" s="127">
        <f>VLOOKUP($O334,'NO USAR1'!$A$4:$L$403,2,False)+VLOOKUP($O334,'NO USAR1'!$A$4:$L$403,3,False)+VLOOKUP($O334,'NO USAR1'!$A$4:$L$403,4,False)+VLOOKUP($O334,'NO USAR1'!$A$4:$L$403,5,False)+VLOOKUP($O334,'NO USAR1'!$A$4:$L$403,6,False)+VLOOKUP($O334,'NO USAR1'!$A$4:$L$403,7,False)+VLOOKUP($O334,'NO USAR1'!$A$4:$L$403,8,False)+VLOOKUP($O334,'NO USAR1'!$A$4:$L$403,10,False)+VLOOKUP($O334,'NO USAR1'!$A$4:$L$403,12,False)*0</f>
        <v>-8.400329272</v>
      </c>
      <c r="S334" s="127">
        <f>VLOOKUP($O334,'NO USAR1'!$A$4:$L$403,2,False)*$U$19+VLOOKUP($O334,'NO USAR1'!$A$4:$L$403,3,False)*$V$19+VLOOKUP($O334,'NO USAR1'!$A$4:$L$403,4,False)*$W$19+VLOOKUP($O334,'NO USAR1'!$A$4:$L$403,5,False)*$X$19+VLOOKUP($O334,'NO USAR1'!$A$4:$L$403,6,False)*$Y$19+VLOOKUP($O334,'NO USAR1'!$A$4:$L$403,7,False)*$Z$19+VLOOKUP($O334,'NO USAR1'!$A$4:$L$403,8,False)*$AA$19+VLOOKUP($O334,'NO USAR1'!$A$4:$L$403,10,False)*$AB$19+VLOOKUP($O334,'NO USAR1'!$A$4:$L$403,12,False)*$AC$19+IF(Projections!$K$3,-AN334, IF(Projections!$J$3,-AM334,0))</f>
        <v>-5.100537574</v>
      </c>
      <c r="T334" s="127">
        <f t="shared" si="1"/>
        <v>3.299791699</v>
      </c>
      <c r="U334" s="127">
        <f>VLOOKUP($O334,Update!$B$2:$R$401,11,False)</f>
        <v>5.1</v>
      </c>
      <c r="V334" s="122">
        <f>VLOOKUP($O334,Update!$B$2:$R$401,10,False)</f>
        <v>0.7</v>
      </c>
      <c r="W334" s="127">
        <f>VLOOKUP($O334,Update!$B$2:$R$401,12,False)</f>
        <v>1.5</v>
      </c>
      <c r="X334" s="127">
        <f>VLOOKUP($O334,Update!$B$2:$R$401,13,False)</f>
        <v>2.5</v>
      </c>
      <c r="Y334" s="127">
        <f>VLOOKUP($O334,Update!$B$2:$R$401,14,False)</f>
        <v>0.4</v>
      </c>
      <c r="Z334" s="132">
        <f>VLOOKUP($O334,Update!$B$2:$R$401,15,False)</f>
        <v>0.1</v>
      </c>
      <c r="AA334" s="127">
        <f>100*VLOOKUP($O334,Update!$B$2:$R$401,7,False)</f>
        <v>43.90243902</v>
      </c>
      <c r="AB334" s="127">
        <f>100*VLOOKUP($O334,Update!$B$2:$R$401,9,False)</f>
        <v>90</v>
      </c>
      <c r="AC334" s="127">
        <f>VLOOKUP($O334,Update!$B$2:$Q$401,16,False)</f>
        <v>0.8</v>
      </c>
      <c r="AD334" s="127">
        <f>VLOOKUP($O334,'NO USAR1'!$A$4:$L$403,2,False)*$U$19</f>
        <v>-2.048718989</v>
      </c>
      <c r="AE334" s="127">
        <f>VLOOKUP($O334,'NO USAR1'!$A$4:$L$403,3,False)*$V$19</f>
        <v>-0.8191476607</v>
      </c>
      <c r="AF334" s="127">
        <f>VLOOKUP($O334,'NO USAR1'!$A$4:$L$403,4,False)*$W$19</f>
        <v>-1.921555629</v>
      </c>
      <c r="AG334" s="127">
        <f>VLOOKUP($O334,'NO USAR1'!$A$4:$L$403,5,False)*$X$19</f>
        <v>-0.6854730693</v>
      </c>
      <c r="AH334" s="127">
        <f>VLOOKUP($O334,'NO USAR1'!$A$4:$L$403,6,False)*$Y$19</f>
        <v>-1.296670077</v>
      </c>
      <c r="AI334" s="127">
        <f>VLOOKUP($O334,'NO USAR1'!$A$4:$L$403,7,False)*$Z$19</f>
        <v>-0.7896459159</v>
      </c>
      <c r="AJ334" s="127">
        <f>VLOOKUP($O334,'NO USAR1'!$A$4:$L$403,8,False)*$AA$19</f>
        <v>-0.2332711008</v>
      </c>
      <c r="AK334" s="132">
        <f>VLOOKUP($O334,'NO USAR1'!$A$4:$L$403,10,False)*$AB$19</f>
        <v>0.2743266236</v>
      </c>
      <c r="AL334" s="127">
        <f>VLOOKUP($O334,'NO USAR1'!$A$4:$L$403,12,False)*$AC$19</f>
        <v>0.3708992557</v>
      </c>
      <c r="AM334" s="133">
        <f t="shared" si="2"/>
        <v>-2.048718989</v>
      </c>
      <c r="AN334" s="133">
        <f t="shared" si="3"/>
        <v>-3.970274619</v>
      </c>
    </row>
    <row r="335">
      <c r="A335" s="118" t="str">
        <f>IF(Update!B333="",ROW(Update!B333),Update!B333)</f>
        <v>Nerlens Noel</v>
      </c>
      <c r="B335" s="119">
        <f>IF(TYPE($A335)=1,"",(Update!$L333-B$1)/B$2)</f>
        <v>-2.621708671</v>
      </c>
      <c r="C335" s="119">
        <f>IF(TYPE($A335)=1,"",(Update!$K333-C$1)/C$2)</f>
        <v>-1.584597568</v>
      </c>
      <c r="D335" s="119">
        <f>IF(TYPE($A335)=1,"",(Update!$M333-D$1)/D$2)</f>
        <v>-1.461586561</v>
      </c>
      <c r="E335" s="119">
        <f>IF(TYPE($A335)=1,"",(Update!$N333-E$1)/E$2)</f>
        <v>-1.5504748</v>
      </c>
      <c r="F335" s="119">
        <f>IF(TYPE($A335)=1,"",(Update!$O333-F$1)/F$2)</f>
        <v>-1.229386107</v>
      </c>
      <c r="G335" s="119">
        <f>IF(TYPE($A335)=1,"",(Update!$P333-G$1)/G$2)</f>
        <v>-0.1900953108</v>
      </c>
      <c r="H335" s="119">
        <f>IF(TYPE($A335)=1,"",(Update!$H333-H$1)/H$2*I335/$I$1)</f>
        <v>-0.04969881505</v>
      </c>
      <c r="I335" s="119">
        <f>IF(TYPE($A335)=1,"",IF(Update!H333=0,0,Update!G333/Update!H333))</f>
        <v>1.3</v>
      </c>
      <c r="J335" s="120">
        <f>IF(TYPE($A335)=1,"",(Update!$J333-J$1)/J$2*K335/$K$1)</f>
        <v>-0.2298726673</v>
      </c>
      <c r="K335" s="121">
        <f>IF(TYPE($A335)=1,"",IF(Update!J333=0,0,Update!I333/Update!J333))</f>
        <v>0.6</v>
      </c>
      <c r="L335" s="119">
        <f>IF(TYPE($A335)=1,"",-(Update!$Q333-L$1)/L$2)</f>
        <v>1.856152079</v>
      </c>
      <c r="N335" s="124">
        <v>315.0</v>
      </c>
      <c r="O335" s="130" t="str">
        <f>IF(Update!B292="",ROW(Update!B292),Update!B292)</f>
        <v>Jalen Smith</v>
      </c>
      <c r="P335" s="131">
        <f>Update!E292</f>
        <v>44</v>
      </c>
      <c r="Q335" s="131" t="str">
        <f>IF(Update!C292="",ROW(Update!N307),Update!C292)</f>
        <v>PF,C</v>
      </c>
      <c r="R335" s="127">
        <f>VLOOKUP($O335,'NO USAR1'!$A$4:$L$403,2,False)+VLOOKUP($O335,'NO USAR1'!$A$4:$L$403,3,False)+VLOOKUP($O335,'NO USAR1'!$A$4:$L$403,4,False)+VLOOKUP($O335,'NO USAR1'!$A$4:$L$403,5,False)+VLOOKUP($O335,'NO USAR1'!$A$4:$L$403,6,False)+VLOOKUP($O335,'NO USAR1'!$A$4:$L$403,7,False)+VLOOKUP($O335,'NO USAR1'!$A$4:$L$403,8,False)+VLOOKUP($O335,'NO USAR1'!$A$4:$L$403,10,False)+VLOOKUP($O335,'NO USAR1'!$A$4:$L$403,12,False)*0</f>
        <v>-8.404061072</v>
      </c>
      <c r="S335" s="127">
        <f>VLOOKUP($O335,'NO USAR1'!$A$4:$L$403,2,False)*$U$19+VLOOKUP($O335,'NO USAR1'!$A$4:$L$403,3,False)*$V$19+VLOOKUP($O335,'NO USAR1'!$A$4:$L$403,4,False)*$W$19+VLOOKUP($O335,'NO USAR1'!$A$4:$L$403,5,False)*$X$19+VLOOKUP($O335,'NO USAR1'!$A$4:$L$403,6,False)*$Y$19+VLOOKUP($O335,'NO USAR1'!$A$4:$L$403,7,False)*$Z$19+VLOOKUP($O335,'NO USAR1'!$A$4:$L$403,8,False)*$AA$19+VLOOKUP($O335,'NO USAR1'!$A$4:$L$403,10,False)*$AB$19+VLOOKUP($O335,'NO USAR1'!$A$4:$L$403,12,False)*$AC$19+IF(Projections!$K$3,-AN335, IF(Projections!$J$3,-AM335,0))</f>
        <v>-5.33159352</v>
      </c>
      <c r="T335" s="127">
        <f t="shared" si="1"/>
        <v>3.072467552</v>
      </c>
      <c r="U335" s="127">
        <f>VLOOKUP($O335,Update!$B$2:$R$401,11,False)</f>
        <v>6.3</v>
      </c>
      <c r="V335" s="122">
        <f>VLOOKUP($O335,Update!$B$2:$R$401,10,False)</f>
        <v>0.5</v>
      </c>
      <c r="W335" s="127">
        <f>VLOOKUP($O335,Update!$B$2:$R$401,12,False)</f>
        <v>4</v>
      </c>
      <c r="X335" s="127">
        <f>VLOOKUP($O335,Update!$B$2:$R$401,13,False)</f>
        <v>0.5</v>
      </c>
      <c r="Y335" s="127">
        <f>VLOOKUP($O335,Update!$B$2:$R$401,14,False)</f>
        <v>0.2</v>
      </c>
      <c r="Z335" s="132">
        <f>VLOOKUP($O335,Update!$B$2:$R$401,15,False)</f>
        <v>0.6</v>
      </c>
      <c r="AA335" s="127">
        <f>100*VLOOKUP($O335,Update!$B$2:$R$401,7,False)</f>
        <v>48.97959184</v>
      </c>
      <c r="AB335" s="127">
        <f>100*VLOOKUP($O335,Update!$B$2:$R$401,9,False)</f>
        <v>71.42857143</v>
      </c>
      <c r="AC335" s="127">
        <f>VLOOKUP($O335,Update!$B$2:$Q$401,16,False)</f>
        <v>0.7</v>
      </c>
      <c r="AD335" s="127">
        <f>VLOOKUP($O335,'NO USAR1'!$A$4:$L$403,2,False)*$U$19</f>
        <v>-1.846487337</v>
      </c>
      <c r="AE335" s="127">
        <f>VLOOKUP($O335,'NO USAR1'!$A$4:$L$403,3,False)*$V$19</f>
        <v>-0.9925734181</v>
      </c>
      <c r="AF335" s="127">
        <f>VLOOKUP($O335,'NO USAR1'!$A$4:$L$403,4,False)*$W$19</f>
        <v>-0.876171383</v>
      </c>
      <c r="AG335" s="127">
        <f>VLOOKUP($O335,'NO USAR1'!$A$4:$L$403,5,False)*$X$19</f>
        <v>-1.70552228</v>
      </c>
      <c r="AH335" s="127">
        <f>VLOOKUP($O335,'NO USAR1'!$A$4:$L$403,6,False)*$Y$19</f>
        <v>-1.732769878</v>
      </c>
      <c r="AI335" s="127">
        <f>VLOOKUP($O335,'NO USAR1'!$A$4:$L$403,7,False)*$Z$19</f>
        <v>-0.1330667175</v>
      </c>
      <c r="AJ335" s="127">
        <f>VLOOKUP($O335,'NO USAR1'!$A$4:$L$403,8,False)*$AA$19</f>
        <v>-0.03028928394</v>
      </c>
      <c r="AK335" s="132">
        <f>VLOOKUP($O335,'NO USAR1'!$A$4:$L$403,10,False)*$AB$19</f>
        <v>-0.2631460703</v>
      </c>
      <c r="AL335" s="127">
        <f>VLOOKUP($O335,'NO USAR1'!$A$4:$L$403,12,False)*$AC$19</f>
        <v>0.4019455104</v>
      </c>
      <c r="AM335" s="133">
        <f t="shared" si="2"/>
        <v>-1.846487337</v>
      </c>
      <c r="AN335" s="133">
        <f t="shared" si="3"/>
        <v>-3.579257215</v>
      </c>
    </row>
    <row r="336">
      <c r="A336" s="118" t="str">
        <f>IF(Update!B334="",ROW(Update!B334),Update!B334)</f>
        <v>David Roddy</v>
      </c>
      <c r="B336" s="119">
        <f>IF(TYPE($A336)=1,"",(Update!$L334-B$1)/B$2)</f>
        <v>-1.711666235</v>
      </c>
      <c r="C336" s="119">
        <f>IF(TYPE($A336)=1,"",(Update!$K334-C$1)/C$2)</f>
        <v>-0.6211211385</v>
      </c>
      <c r="D336" s="119">
        <f>IF(TYPE($A336)=1,"",(Update!$M334-D$1)/D$2)</f>
        <v>-1.294325082</v>
      </c>
      <c r="E336" s="119">
        <f>IF(TYPE($A336)=1,"",(Update!$N334-E$1)/E$2)</f>
        <v>-1.365011307</v>
      </c>
      <c r="F336" s="119">
        <f>IF(TYPE($A336)=1,"",(Update!$O334-F$1)/F$2)</f>
        <v>-1.852385824</v>
      </c>
      <c r="G336" s="119">
        <f>IF(TYPE($A336)=1,"",(Update!$P334-G$1)/G$2)</f>
        <v>-0.7528774808</v>
      </c>
      <c r="H336" s="119">
        <f>IF(TYPE($A336)=1,"",(Update!$H334-H$1)/H$2*I336/$I$1)</f>
        <v>-0.4154172483</v>
      </c>
      <c r="I336" s="119">
        <f>IF(TYPE($A336)=1,"",IF(Update!H334=0,0,Update!G334/Update!H334))</f>
        <v>6.4</v>
      </c>
      <c r="J336" s="120">
        <f>IF(TYPE($A336)=1,"",(Update!$J334-J$1)/J$2*K336/$K$1)</f>
        <v>-0.5905580812</v>
      </c>
      <c r="K336" s="121">
        <f>IF(TYPE($A336)=1,"",IF(Update!J334=0,0,Update!I334/Update!J334))</f>
        <v>1</v>
      </c>
      <c r="L336" s="119">
        <f>IF(TYPE($A336)=1,"",-(Update!$Q334-L$1)/L$2)</f>
        <v>1.359412004</v>
      </c>
      <c r="N336" s="33">
        <v>316.0</v>
      </c>
      <c r="O336" s="130" t="str">
        <f>IF(Update!B317="",ROW(Update!B317),Update!B317)</f>
        <v>Danuel House Jr.</v>
      </c>
      <c r="P336" s="131">
        <f>Update!E317</f>
        <v>68</v>
      </c>
      <c r="Q336" s="131" t="str">
        <f>IF(Update!C317="",ROW(Update!N332),Update!C317)</f>
        <v>SF</v>
      </c>
      <c r="R336" s="127">
        <f>VLOOKUP($O336,'NO USAR1'!$A$4:$L$403,2,False)+VLOOKUP($O336,'NO USAR1'!$A$4:$L$403,3,False)+VLOOKUP($O336,'NO USAR1'!$A$4:$L$403,4,False)+VLOOKUP($O336,'NO USAR1'!$A$4:$L$403,5,False)+VLOOKUP($O336,'NO USAR1'!$A$4:$L$403,6,False)+VLOOKUP($O336,'NO USAR1'!$A$4:$L$403,7,False)+VLOOKUP($O336,'NO USAR1'!$A$4:$L$403,8,False)+VLOOKUP($O336,'NO USAR1'!$A$4:$L$403,10,False)+VLOOKUP($O336,'NO USAR1'!$A$4:$L$403,12,False)*0</f>
        <v>-8.445596166</v>
      </c>
      <c r="S336" s="127">
        <f>VLOOKUP($O336,'NO USAR1'!$A$4:$L$403,2,False)*$U$19+VLOOKUP($O336,'NO USAR1'!$A$4:$L$403,3,False)*$V$19+VLOOKUP($O336,'NO USAR1'!$A$4:$L$403,4,False)*$W$19+VLOOKUP($O336,'NO USAR1'!$A$4:$L$403,5,False)*$X$19+VLOOKUP($O336,'NO USAR1'!$A$4:$L$403,6,False)*$Y$19+VLOOKUP($O336,'NO USAR1'!$A$4:$L$403,7,False)*$Z$19+VLOOKUP($O336,'NO USAR1'!$A$4:$L$403,8,False)*$AA$19+VLOOKUP($O336,'NO USAR1'!$A$4:$L$403,10,False)*$AB$19+VLOOKUP($O336,'NO USAR1'!$A$4:$L$403,12,False)*$AC$19+IF(Projections!$K$3,-AN336, IF(Projections!$J$3,-AM336,0))</f>
        <v>-5.354476908</v>
      </c>
      <c r="T336" s="127">
        <f t="shared" si="1"/>
        <v>3.091119258</v>
      </c>
      <c r="U336" s="127">
        <f>VLOOKUP($O336,Update!$B$2:$R$401,11,False)</f>
        <v>5.8</v>
      </c>
      <c r="V336" s="122">
        <f>VLOOKUP($O336,Update!$B$2:$R$401,10,False)</f>
        <v>0.9</v>
      </c>
      <c r="W336" s="127">
        <f>VLOOKUP($O336,Update!$B$2:$R$401,12,False)</f>
        <v>2.3</v>
      </c>
      <c r="X336" s="127">
        <f>VLOOKUP($O336,Update!$B$2:$R$401,13,False)</f>
        <v>1</v>
      </c>
      <c r="Y336" s="127">
        <f>VLOOKUP($O336,Update!$B$2:$R$401,14,False)</f>
        <v>0.4</v>
      </c>
      <c r="Z336" s="132">
        <f>VLOOKUP($O336,Update!$B$2:$R$401,15,False)</f>
        <v>0.3</v>
      </c>
      <c r="AA336" s="127">
        <f>100*VLOOKUP($O336,Update!$B$2:$R$401,7,False)</f>
        <v>45.23809524</v>
      </c>
      <c r="AB336" s="127">
        <f>100*VLOOKUP($O336,Update!$B$2:$R$401,9,False)</f>
        <v>76.92307692</v>
      </c>
      <c r="AC336" s="127">
        <f>VLOOKUP($O336,Update!$B$2:$Q$401,16,False)</f>
        <v>0.7</v>
      </c>
      <c r="AD336" s="127">
        <f>VLOOKUP($O336,'NO USAR1'!$A$4:$L$403,2,False)*$U$19</f>
        <v>-1.930750525</v>
      </c>
      <c r="AE336" s="127">
        <f>VLOOKUP($O336,'NO USAR1'!$A$4:$L$403,3,False)*$V$19</f>
        <v>-0.6457219034</v>
      </c>
      <c r="AF336" s="127">
        <f>VLOOKUP($O336,'NO USAR1'!$A$4:$L$403,4,False)*$W$19</f>
        <v>-1.587032671</v>
      </c>
      <c r="AG336" s="127">
        <f>VLOOKUP($O336,'NO USAR1'!$A$4:$L$403,5,False)*$X$19</f>
        <v>-1.450509977</v>
      </c>
      <c r="AH336" s="127">
        <f>VLOOKUP($O336,'NO USAR1'!$A$4:$L$403,6,False)*$Y$19</f>
        <v>-1.296670077</v>
      </c>
      <c r="AI336" s="127">
        <f>VLOOKUP($O336,'NO USAR1'!$A$4:$L$403,7,False)*$Z$19</f>
        <v>-0.5270142365</v>
      </c>
      <c r="AJ336" s="127">
        <f>VLOOKUP($O336,'NO USAR1'!$A$4:$L$403,8,False)*$AA$19</f>
        <v>-0.182926748</v>
      </c>
      <c r="AK336" s="132">
        <f>VLOOKUP($O336,'NO USAR1'!$A$4:$L$403,10,False)*$AB$19</f>
        <v>-0.06654680613</v>
      </c>
      <c r="AL336" s="127">
        <f>VLOOKUP($O336,'NO USAR1'!$A$4:$L$403,12,False)*$AC$19</f>
        <v>0.4019455104</v>
      </c>
      <c r="AM336" s="133">
        <f t="shared" si="2"/>
        <v>-1.930750525</v>
      </c>
      <c r="AN336" s="133">
        <f t="shared" si="3"/>
        <v>-3.517783196</v>
      </c>
    </row>
    <row r="337">
      <c r="A337" s="118" t="str">
        <f>IF(Update!B335="",ROW(Update!B335),Update!B335)</f>
        <v>Johnny Davis</v>
      </c>
      <c r="B337" s="119">
        <f>IF(TYPE($A337)=1,"",(Update!$L335-B$1)/B$2)</f>
        <v>-1.526287221</v>
      </c>
      <c r="C337" s="119">
        <f>IF(TYPE($A337)=1,"",(Update!$K335-C$1)/C$2)</f>
        <v>-0.6211211385</v>
      </c>
      <c r="D337" s="119">
        <f>IF(TYPE($A337)=1,"",(Update!$M335-D$1)/D$2)</f>
        <v>-1.294325082</v>
      </c>
      <c r="E337" s="119">
        <f>IF(TYPE($A337)=1,"",(Update!$N335-E$1)/E$2)</f>
        <v>-1.179547814</v>
      </c>
      <c r="F337" s="119">
        <f>IF(TYPE($A337)=1,"",(Update!$O335-F$1)/F$2)</f>
        <v>-1.540885966</v>
      </c>
      <c r="G337" s="119">
        <f>IF(TYPE($A337)=1,"",(Update!$P335-G$1)/G$2)</f>
        <v>-0.5652834241</v>
      </c>
      <c r="H337" s="119">
        <f>IF(TYPE($A337)=1,"",(Update!$H335-H$1)/H$2*I337/$I$1)</f>
        <v>-0.7421329033</v>
      </c>
      <c r="I337" s="119">
        <f>IF(TYPE($A337)=1,"",IF(Update!H335=0,0,Update!G335/Update!H335))</f>
        <v>7.8</v>
      </c>
      <c r="J337" s="120">
        <f>IF(TYPE($A337)=1,"",(Update!$J335-J$1)/J$2*K337/$K$1)</f>
        <v>-0.4597453346</v>
      </c>
      <c r="K337" s="121">
        <f>IF(TYPE($A337)=1,"",IF(Update!J335=0,0,Update!I335/Update!J335))</f>
        <v>1.2</v>
      </c>
      <c r="L337" s="119">
        <f>IF(TYPE($A337)=1,"",-(Update!$Q335-L$1)/L$2)</f>
        <v>1.483597023</v>
      </c>
      <c r="N337" s="33">
        <v>317.0</v>
      </c>
      <c r="O337" s="130" t="str">
        <f>IF(Update!B295="",ROW(Update!B295),Update!B295)</f>
        <v>Jock Landale</v>
      </c>
      <c r="P337" s="131">
        <f>Update!E295</f>
        <v>68</v>
      </c>
      <c r="Q337" s="131" t="str">
        <f>IF(Update!C295="",ROW(Update!N310),Update!C295)</f>
        <v>C</v>
      </c>
      <c r="R337" s="127">
        <f>VLOOKUP($O337,'NO USAR1'!$A$4:$L$403,2,False)+VLOOKUP($O337,'NO USAR1'!$A$4:$L$403,3,False)+VLOOKUP($O337,'NO USAR1'!$A$4:$L$403,4,False)+VLOOKUP($O337,'NO USAR1'!$A$4:$L$403,5,False)+VLOOKUP($O337,'NO USAR1'!$A$4:$L$403,6,False)+VLOOKUP($O337,'NO USAR1'!$A$4:$L$403,7,False)+VLOOKUP($O337,'NO USAR1'!$A$4:$L$403,8,False)+VLOOKUP($O337,'NO USAR1'!$A$4:$L$403,10,False)+VLOOKUP($O337,'NO USAR1'!$A$4:$L$403,12,False)*0</f>
        <v>-8.472038832</v>
      </c>
      <c r="S337" s="127">
        <f>VLOOKUP($O337,'NO USAR1'!$A$4:$L$403,2,False)*$U$19+VLOOKUP($O337,'NO USAR1'!$A$4:$L$403,3,False)*$V$19+VLOOKUP($O337,'NO USAR1'!$A$4:$L$403,4,False)*$W$19+VLOOKUP($O337,'NO USAR1'!$A$4:$L$403,5,False)*$X$19+VLOOKUP($O337,'NO USAR1'!$A$4:$L$403,6,False)*$Y$19+VLOOKUP($O337,'NO USAR1'!$A$4:$L$403,7,False)*$Z$19+VLOOKUP($O337,'NO USAR1'!$A$4:$L$403,8,False)*$AA$19+VLOOKUP($O337,'NO USAR1'!$A$4:$L$403,10,False)*$AB$19+VLOOKUP($O337,'NO USAR1'!$A$4:$L$403,12,False)*$AC$19+IF(Projections!$K$3,-AN337, IF(Projections!$J$3,-AM337,0))</f>
        <v>-5.328549946</v>
      </c>
      <c r="T337" s="127">
        <f t="shared" si="1"/>
        <v>3.143488887</v>
      </c>
      <c r="U337" s="127">
        <f>VLOOKUP($O337,Update!$B$2:$R$401,11,False)</f>
        <v>6.2</v>
      </c>
      <c r="V337" s="122">
        <f>VLOOKUP($O337,Update!$B$2:$R$401,10,False)</f>
        <v>0.4</v>
      </c>
      <c r="W337" s="127">
        <f>VLOOKUP($O337,Update!$B$2:$R$401,12,False)</f>
        <v>3.6</v>
      </c>
      <c r="X337" s="127">
        <f>VLOOKUP($O337,Update!$B$2:$R$401,13,False)</f>
        <v>1</v>
      </c>
      <c r="Y337" s="127">
        <f>VLOOKUP($O337,Update!$B$2:$R$401,14,False)</f>
        <v>0.2</v>
      </c>
      <c r="Z337" s="132">
        <f>VLOOKUP($O337,Update!$B$2:$R$401,15,False)</f>
        <v>0.4</v>
      </c>
      <c r="AA337" s="127">
        <f>100*VLOOKUP($O337,Update!$B$2:$R$401,7,False)</f>
        <v>51.06382979</v>
      </c>
      <c r="AB337" s="127">
        <f>100*VLOOKUP($O337,Update!$B$2:$R$401,9,False)</f>
        <v>76.92307692</v>
      </c>
      <c r="AC337" s="127">
        <f>VLOOKUP($O337,Update!$B$2:$Q$401,16,False)</f>
        <v>0.8</v>
      </c>
      <c r="AD337" s="127">
        <f>VLOOKUP($O337,'NO USAR1'!$A$4:$L$403,2,False)*$U$19</f>
        <v>-1.863339975</v>
      </c>
      <c r="AE337" s="127">
        <f>VLOOKUP($O337,'NO USAR1'!$A$4:$L$403,3,False)*$V$19</f>
        <v>-1.079286297</v>
      </c>
      <c r="AF337" s="127">
        <f>VLOOKUP($O337,'NO USAR1'!$A$4:$L$403,4,False)*$W$19</f>
        <v>-1.043432862</v>
      </c>
      <c r="AG337" s="127">
        <f>VLOOKUP($O337,'NO USAR1'!$A$4:$L$403,5,False)*$X$19</f>
        <v>-1.450509977</v>
      </c>
      <c r="AH337" s="127">
        <f>VLOOKUP($O337,'NO USAR1'!$A$4:$L$403,6,False)*$Y$19</f>
        <v>-1.732769878</v>
      </c>
      <c r="AI337" s="127">
        <f>VLOOKUP($O337,'NO USAR1'!$A$4:$L$403,7,False)*$Z$19</f>
        <v>-0.3956983969</v>
      </c>
      <c r="AJ337" s="127">
        <f>VLOOKUP($O337,'NO USAR1'!$A$4:$L$403,8,False)*$AA$19</f>
        <v>0.06879501623</v>
      </c>
      <c r="AK337" s="132">
        <f>VLOOKUP($O337,'NO USAR1'!$A$4:$L$403,10,False)*$AB$19</f>
        <v>-0.06654680613</v>
      </c>
      <c r="AL337" s="127">
        <f>VLOOKUP($O337,'NO USAR1'!$A$4:$L$403,12,False)*$AC$19</f>
        <v>0.3708992557</v>
      </c>
      <c r="AM337" s="133">
        <f t="shared" si="2"/>
        <v>-1.863339975</v>
      </c>
      <c r="AN337" s="133">
        <f t="shared" si="3"/>
        <v>-3.596109853</v>
      </c>
    </row>
    <row r="338">
      <c r="A338" s="118" t="str">
        <f>IF(Update!B336="",ROW(Update!B336),Update!B336)</f>
        <v>Chimezie Metu</v>
      </c>
      <c r="B338" s="119">
        <f>IF(TYPE($A338)=1,"",(Update!$L336-B$1)/B$2)</f>
        <v>-2.132982178</v>
      </c>
      <c r="C338" s="119">
        <f>IF(TYPE($A338)=1,"",(Update!$K336-C$1)/C$2)</f>
        <v>-1.199206996</v>
      </c>
      <c r="D338" s="119">
        <f>IF(TYPE($A338)=1,"",(Update!$M336-D$1)/D$2)</f>
        <v>-1.336140451</v>
      </c>
      <c r="E338" s="119">
        <f>IF(TYPE($A338)=1,"",(Update!$N336-E$1)/E$2)</f>
        <v>-1.5504748</v>
      </c>
      <c r="F338" s="119">
        <f>IF(TYPE($A338)=1,"",(Update!$O336-F$1)/F$2)</f>
        <v>-1.852385824</v>
      </c>
      <c r="G338" s="119">
        <f>IF(TYPE($A338)=1,"",(Update!$P336-G$1)/G$2)</f>
        <v>-0.7528774808</v>
      </c>
      <c r="H338" s="119">
        <f>IF(TYPE($A338)=1,"",(Update!$H336-H$1)/H$2*I338/$I$1)</f>
        <v>0.01604405512</v>
      </c>
      <c r="I338" s="119">
        <f>IF(TYPE($A338)=1,"",IF(Update!H336=0,0,Update!G336/Update!H336))</f>
        <v>3.6</v>
      </c>
      <c r="J338" s="120">
        <f>IF(TYPE($A338)=1,"",(Update!$J336-J$1)/J$2*K338/$K$1)</f>
        <v>-0.03365354734</v>
      </c>
      <c r="K338" s="121">
        <f>IF(TYPE($A338)=1,"",IF(Update!J336=0,0,Update!I336/Update!J336))</f>
        <v>0.9</v>
      </c>
      <c r="L338" s="119">
        <f>IF(TYPE($A338)=1,"",-(Update!$Q336-L$1)/L$2)</f>
        <v>1.856152079</v>
      </c>
      <c r="N338" s="124">
        <v>318.0</v>
      </c>
      <c r="O338" s="130" t="str">
        <f>IF(Update!B310="",ROW(Update!B310),Update!B310)</f>
        <v>Olivier-Maxence Prosper</v>
      </c>
      <c r="P338" s="131">
        <f>Update!E310</f>
        <v>61</v>
      </c>
      <c r="Q338" s="131" t="str">
        <f>IF(Update!C310="",ROW(Update!N325),Update!C310)</f>
        <v>PF</v>
      </c>
      <c r="R338" s="127">
        <f>VLOOKUP($O338,'NO USAR1'!$A$4:$L$403,2,False)+VLOOKUP($O338,'NO USAR1'!$A$4:$L$403,3,False)+VLOOKUP($O338,'NO USAR1'!$A$4:$L$403,4,False)+VLOOKUP($O338,'NO USAR1'!$A$4:$L$403,5,False)+VLOOKUP($O338,'NO USAR1'!$A$4:$L$403,6,False)+VLOOKUP($O338,'NO USAR1'!$A$4:$L$403,7,False)+VLOOKUP($O338,'NO USAR1'!$A$4:$L$403,8,False)+VLOOKUP($O338,'NO USAR1'!$A$4:$L$403,10,False)+VLOOKUP($O338,'NO USAR1'!$A$4:$L$403,12,False)*0</f>
        <v>-8.500817177</v>
      </c>
      <c r="S338" s="127">
        <f>VLOOKUP($O338,'NO USAR1'!$A$4:$L$403,2,False)*$U$19+VLOOKUP($O338,'NO USAR1'!$A$4:$L$403,3,False)*$V$19+VLOOKUP($O338,'NO USAR1'!$A$4:$L$403,4,False)*$W$19+VLOOKUP($O338,'NO USAR1'!$A$4:$L$403,5,False)*$X$19+VLOOKUP($O338,'NO USAR1'!$A$4:$L$403,6,False)*$Y$19+VLOOKUP($O338,'NO USAR1'!$A$4:$L$403,7,False)*$Z$19+VLOOKUP($O338,'NO USAR1'!$A$4:$L$403,8,False)*$AA$19+VLOOKUP($O338,'NO USAR1'!$A$4:$L$403,10,False)*$AB$19+VLOOKUP($O338,'NO USAR1'!$A$4:$L$403,12,False)*$AC$19+IF(Projections!$K$3,-AN338, IF(Projections!$J$3,-AM338,0))</f>
        <v>-5.664935495</v>
      </c>
      <c r="T338" s="127">
        <f t="shared" si="1"/>
        <v>2.835881682</v>
      </c>
      <c r="U338" s="127">
        <f>VLOOKUP($O338,Update!$B$2:$R$401,11,False)</f>
        <v>7.2</v>
      </c>
      <c r="V338" s="122">
        <f>VLOOKUP($O338,Update!$B$2:$R$401,10,False)</f>
        <v>0.5</v>
      </c>
      <c r="W338" s="127">
        <f>VLOOKUP($O338,Update!$B$2:$R$401,12,False)</f>
        <v>2.9</v>
      </c>
      <c r="X338" s="127">
        <f>VLOOKUP($O338,Update!$B$2:$R$401,13,False)</f>
        <v>0.6</v>
      </c>
      <c r="Y338" s="127">
        <f>VLOOKUP($O338,Update!$B$2:$R$401,14,False)</f>
        <v>0.6</v>
      </c>
      <c r="Z338" s="132">
        <f>VLOOKUP($O338,Update!$B$2:$R$401,15,False)</f>
        <v>0.2</v>
      </c>
      <c r="AA338" s="127">
        <f>100*VLOOKUP($O338,Update!$B$2:$R$401,7,False)</f>
        <v>44.11764706</v>
      </c>
      <c r="AB338" s="127">
        <f>100*VLOOKUP($O338,Update!$B$2:$R$401,9,False)</f>
        <v>70</v>
      </c>
      <c r="AC338" s="127">
        <f>VLOOKUP($O338,Update!$B$2:$Q$401,16,False)</f>
        <v>0.6</v>
      </c>
      <c r="AD338" s="127">
        <f>VLOOKUP($O338,'NO USAR1'!$A$4:$L$403,2,False)*$U$19</f>
        <v>-1.694813598</v>
      </c>
      <c r="AE338" s="127">
        <f>VLOOKUP($O338,'NO USAR1'!$A$4:$L$403,3,False)*$V$19</f>
        <v>-0.9925734181</v>
      </c>
      <c r="AF338" s="127">
        <f>VLOOKUP($O338,'NO USAR1'!$A$4:$L$403,4,False)*$W$19</f>
        <v>-1.336140451</v>
      </c>
      <c r="AG338" s="127">
        <f>VLOOKUP($O338,'NO USAR1'!$A$4:$L$403,5,False)*$X$19</f>
        <v>-1.654519819</v>
      </c>
      <c r="AH338" s="127">
        <f>VLOOKUP($O338,'NO USAR1'!$A$4:$L$403,6,False)*$Y$19</f>
        <v>-0.8605702752</v>
      </c>
      <c r="AI338" s="127">
        <f>VLOOKUP($O338,'NO USAR1'!$A$4:$L$403,7,False)*$Z$19</f>
        <v>-0.6583300762</v>
      </c>
      <c r="AJ338" s="127">
        <f>VLOOKUP($O338,'NO USAR1'!$A$4:$L$403,8,False)*$AA$19</f>
        <v>-0.372271118</v>
      </c>
      <c r="AK338" s="132">
        <f>VLOOKUP($O338,'NO USAR1'!$A$4:$L$403,10,False)*$AB$19</f>
        <v>-0.2235221021</v>
      </c>
      <c r="AL338" s="127">
        <f>VLOOKUP($O338,'NO USAR1'!$A$4:$L$403,12,False)*$AC$19</f>
        <v>0.4329917651</v>
      </c>
      <c r="AM338" s="133">
        <f t="shared" si="2"/>
        <v>-1.694813598</v>
      </c>
      <c r="AN338" s="133">
        <f t="shared" si="3"/>
        <v>-3.349333417</v>
      </c>
    </row>
    <row r="339">
      <c r="A339" s="118" t="str">
        <f>IF(Update!B337="",ROW(Update!B337),Update!B337)</f>
        <v>Montrezl Harrell</v>
      </c>
      <c r="B339" s="119">
        <f>IF(TYPE($A339)=1,"",(Update!$L337-B$1)/B$2)</f>
        <v>-1.947603163</v>
      </c>
      <c r="C339" s="119">
        <f>IF(TYPE($A339)=1,"",(Update!$K337-C$1)/C$2)</f>
        <v>-1.584597568</v>
      </c>
      <c r="D339" s="119">
        <f>IF(TYPE($A339)=1,"",(Update!$M337-D$1)/D$2)</f>
        <v>-1.419771191</v>
      </c>
      <c r="E339" s="119">
        <f>IF(TYPE($A339)=1,"",(Update!$N337-E$1)/E$2)</f>
        <v>-1.41137718</v>
      </c>
      <c r="F339" s="119">
        <f>IF(TYPE($A339)=1,"",(Update!$O337-F$1)/F$2)</f>
        <v>-2.475385541</v>
      </c>
      <c r="G339" s="119">
        <f>IF(TYPE($A339)=1,"",(Update!$P337-G$1)/G$2)</f>
        <v>-0.7528774808</v>
      </c>
      <c r="H339" s="119">
        <f>IF(TYPE($A339)=1,"",(Update!$H337-H$1)/H$2*I339/$I$1)</f>
        <v>0.5150309015</v>
      </c>
      <c r="I339" s="119">
        <f>IF(TYPE($A339)=1,"",IF(Update!H337=0,0,Update!G337/Update!H337))</f>
        <v>3.5</v>
      </c>
      <c r="J339" s="120">
        <f>IF(TYPE($A339)=1,"",(Update!$J337-J$1)/J$2*K339/$K$1)</f>
        <v>-0.3784625483</v>
      </c>
      <c r="K339" s="121">
        <f>IF(TYPE($A339)=1,"",IF(Update!J337=0,0,Update!I337/Update!J337))</f>
        <v>1.8</v>
      </c>
      <c r="L339" s="119">
        <f>IF(TYPE($A339)=1,"",-(Update!$Q337-L$1)/L$2)</f>
        <v>1.856152079</v>
      </c>
      <c r="N339" s="124">
        <v>319.0</v>
      </c>
      <c r="O339" s="130" t="str">
        <f>IF(Update!B308="",ROW(Update!B308),Update!B308)</f>
        <v>Day'Ron Sharpe</v>
      </c>
      <c r="P339" s="131">
        <f>Update!E308</f>
        <v>50</v>
      </c>
      <c r="Q339" s="131" t="str">
        <f>IF(Update!C308="",ROW(Update!N323),Update!C308)</f>
        <v>C</v>
      </c>
      <c r="R339" s="127">
        <f>VLOOKUP($O339,'NO USAR1'!$A$4:$L$403,2,False)+VLOOKUP($O339,'NO USAR1'!$A$4:$L$403,3,False)+VLOOKUP($O339,'NO USAR1'!$A$4:$L$403,4,False)+VLOOKUP($O339,'NO USAR1'!$A$4:$L$403,5,False)+VLOOKUP($O339,'NO USAR1'!$A$4:$L$403,6,False)+VLOOKUP($O339,'NO USAR1'!$A$4:$L$403,7,False)+VLOOKUP($O339,'NO USAR1'!$A$4:$L$403,8,False)+VLOOKUP($O339,'NO USAR1'!$A$4:$L$403,10,False)+VLOOKUP($O339,'NO USAR1'!$A$4:$L$403,12,False)*0</f>
        <v>-8.516807447</v>
      </c>
      <c r="S339" s="127">
        <f>VLOOKUP($O339,'NO USAR1'!$A$4:$L$403,2,False)*$U$19+VLOOKUP($O339,'NO USAR1'!$A$4:$L$403,3,False)*$V$19+VLOOKUP($O339,'NO USAR1'!$A$4:$L$403,4,False)*$W$19+VLOOKUP($O339,'NO USAR1'!$A$4:$L$403,5,False)*$X$19+VLOOKUP($O339,'NO USAR1'!$A$4:$L$403,6,False)*$Y$19+VLOOKUP($O339,'NO USAR1'!$A$4:$L$403,7,False)*$Z$19+VLOOKUP($O339,'NO USAR1'!$A$4:$L$403,8,False)*$AA$19+VLOOKUP($O339,'NO USAR1'!$A$4:$L$403,10,False)*$AB$19+VLOOKUP($O339,'NO USAR1'!$A$4:$L$403,12,False)*$AC$19+IF(Projections!$K$3,-AN339, IF(Projections!$J$3,-AM339,0))</f>
        <v>-5.311147309</v>
      </c>
      <c r="T339" s="127">
        <f t="shared" si="1"/>
        <v>3.205660139</v>
      </c>
      <c r="U339" s="127">
        <f>VLOOKUP($O339,Update!$B$2:$R$401,11,False)</f>
        <v>5.2</v>
      </c>
      <c r="V339" s="122">
        <f>VLOOKUP($O339,Update!$B$2:$R$401,10,False)</f>
        <v>0.1</v>
      </c>
      <c r="W339" s="127">
        <f>VLOOKUP($O339,Update!$B$2:$R$401,12,False)</f>
        <v>4.4</v>
      </c>
      <c r="X339" s="127">
        <f>VLOOKUP($O339,Update!$B$2:$R$401,13,False)</f>
        <v>0.7</v>
      </c>
      <c r="Y339" s="127">
        <f>VLOOKUP($O339,Update!$B$2:$R$401,14,False)</f>
        <v>0.3</v>
      </c>
      <c r="Z339" s="132">
        <f>VLOOKUP($O339,Update!$B$2:$R$401,15,False)</f>
        <v>0.6</v>
      </c>
      <c r="AA339" s="127">
        <f>100*VLOOKUP($O339,Update!$B$2:$R$401,7,False)</f>
        <v>56.41025641</v>
      </c>
      <c r="AB339" s="127">
        <f>100*VLOOKUP($O339,Update!$B$2:$R$401,9,False)</f>
        <v>58.33333333</v>
      </c>
      <c r="AC339" s="127">
        <f>VLOOKUP($O339,Update!$B$2:$Q$401,16,False)</f>
        <v>0.9</v>
      </c>
      <c r="AD339" s="127">
        <f>VLOOKUP($O339,'NO USAR1'!$A$4:$L$403,2,False)*$U$19</f>
        <v>-2.031866352</v>
      </c>
      <c r="AE339" s="127">
        <f>VLOOKUP($O339,'NO USAR1'!$A$4:$L$403,3,False)*$V$19</f>
        <v>-1.339424933</v>
      </c>
      <c r="AF339" s="127">
        <f>VLOOKUP($O339,'NO USAR1'!$A$4:$L$403,4,False)*$W$19</f>
        <v>-0.7089099036</v>
      </c>
      <c r="AG339" s="127">
        <f>VLOOKUP($O339,'NO USAR1'!$A$4:$L$403,5,False)*$X$19</f>
        <v>-1.603517358</v>
      </c>
      <c r="AH339" s="127">
        <f>VLOOKUP($O339,'NO USAR1'!$A$4:$L$403,6,False)*$Y$19</f>
        <v>-1.514719978</v>
      </c>
      <c r="AI339" s="127">
        <f>VLOOKUP($O339,'NO USAR1'!$A$4:$L$403,7,False)*$Z$19</f>
        <v>-0.1330667175</v>
      </c>
      <c r="AJ339" s="127">
        <f>VLOOKUP($O339,'NO USAR1'!$A$4:$L$403,8,False)*$AA$19</f>
        <v>0.265359211</v>
      </c>
      <c r="AK339" s="132">
        <f>VLOOKUP($O339,'NO USAR1'!$A$4:$L$403,10,False)*$AB$19</f>
        <v>-0.6167206305</v>
      </c>
      <c r="AL339" s="127">
        <f>VLOOKUP($O339,'NO USAR1'!$A$4:$L$403,12,False)*$AC$19</f>
        <v>0.3398530011</v>
      </c>
      <c r="AM339" s="133">
        <f t="shared" si="2"/>
        <v>-2.031866352</v>
      </c>
      <c r="AN339" s="133">
        <f t="shared" si="3"/>
        <v>-3.63538371</v>
      </c>
    </row>
    <row r="340">
      <c r="A340" s="118" t="str">
        <f>IF(Update!B338="",ROW(Update!B338),Update!B338)</f>
        <v>Luke Kornet</v>
      </c>
      <c r="B340" s="119">
        <f>IF(TYPE($A340)=1,"",(Update!$L338-B$1)/B$2)</f>
        <v>-2.385771743</v>
      </c>
      <c r="C340" s="119">
        <f>IF(TYPE($A340)=1,"",(Update!$K338-C$1)/C$2)</f>
        <v>-1.584597568</v>
      </c>
      <c r="D340" s="119">
        <f>IF(TYPE($A340)=1,"",(Update!$M338-D$1)/D$2)</f>
        <v>-1.545217301</v>
      </c>
      <c r="E340" s="119">
        <f>IF(TYPE($A340)=1,"",(Update!$N338-E$1)/E$2)</f>
        <v>-1.457743053</v>
      </c>
      <c r="F340" s="119">
        <f>IF(TYPE($A340)=1,"",(Update!$O338-F$1)/F$2)</f>
        <v>-2.475385541</v>
      </c>
      <c r="G340" s="119">
        <f>IF(TYPE($A340)=1,"",(Update!$P338-G$1)/G$2)</f>
        <v>-0.3776893674</v>
      </c>
      <c r="H340" s="119">
        <f>IF(TYPE($A340)=1,"",(Update!$H338-H$1)/H$2*I340/$I$1)</f>
        <v>0.2868215403</v>
      </c>
      <c r="I340" s="119">
        <f>IF(TYPE($A340)=1,"",IF(Update!H338=0,0,Update!G338/Update!H338))</f>
        <v>2.1</v>
      </c>
      <c r="J340" s="120">
        <f>IF(TYPE($A340)=1,"",(Update!$J338-J$1)/J$2*K340/$K$1)</f>
        <v>0.01587641299</v>
      </c>
      <c r="K340" s="121">
        <f>IF(TYPE($A340)=1,"",IF(Update!J338=0,0,Update!I338/Update!J338))</f>
        <v>0.5</v>
      </c>
      <c r="L340" s="119">
        <f>IF(TYPE($A340)=1,"",-(Update!$Q338-L$1)/L$2)</f>
        <v>2.104522116</v>
      </c>
      <c r="N340" s="33">
        <v>320.0</v>
      </c>
      <c r="O340" s="130" t="str">
        <f>IF(Update!B297="",ROW(Update!B297),Update!B297)</f>
        <v>Josh Minott</v>
      </c>
      <c r="P340" s="131">
        <f>Update!E297</f>
        <v>22</v>
      </c>
      <c r="Q340" s="131" t="str">
        <f>IF(Update!C297="",ROW(Update!N312),Update!C297)</f>
        <v>SF,PF</v>
      </c>
      <c r="R340" s="127">
        <f>VLOOKUP($O340,'NO USAR1'!$A$4:$L$403,2,False)+VLOOKUP($O340,'NO USAR1'!$A$4:$L$403,3,False)+VLOOKUP($O340,'NO USAR1'!$A$4:$L$403,4,False)+VLOOKUP($O340,'NO USAR1'!$A$4:$L$403,5,False)+VLOOKUP($O340,'NO USAR1'!$A$4:$L$403,6,False)+VLOOKUP($O340,'NO USAR1'!$A$4:$L$403,7,False)+VLOOKUP($O340,'NO USAR1'!$A$4:$L$403,8,False)+VLOOKUP($O340,'NO USAR1'!$A$4:$L$403,10,False)+VLOOKUP($O340,'NO USAR1'!$A$4:$L$403,12,False)*0</f>
        <v>-8.56531176</v>
      </c>
      <c r="S340" s="127">
        <f>VLOOKUP($O340,'NO USAR1'!$A$4:$L$403,2,False)*$U$19+VLOOKUP($O340,'NO USAR1'!$A$4:$L$403,3,False)*$V$19+VLOOKUP($O340,'NO USAR1'!$A$4:$L$403,4,False)*$W$19+VLOOKUP($O340,'NO USAR1'!$A$4:$L$403,5,False)*$X$19+VLOOKUP($O340,'NO USAR1'!$A$4:$L$403,6,False)*$Y$19+VLOOKUP($O340,'NO USAR1'!$A$4:$L$403,7,False)*$Z$19+VLOOKUP($O340,'NO USAR1'!$A$4:$L$403,8,False)*$AA$19+VLOOKUP($O340,'NO USAR1'!$A$4:$L$403,10,False)*$AB$19+VLOOKUP($O340,'NO USAR1'!$A$4:$L$403,12,False)*$AC$19+IF(Projections!$K$3,-AN340, IF(Projections!$J$3,-AM340,0))</f>
        <v>-5.340051977</v>
      </c>
      <c r="T340" s="127">
        <f t="shared" si="1"/>
        <v>3.225259782</v>
      </c>
      <c r="U340" s="127">
        <f>VLOOKUP($O340,Update!$B$2:$R$401,11,False)</f>
        <v>4.8</v>
      </c>
      <c r="V340" s="122">
        <f>VLOOKUP($O340,Update!$B$2:$R$401,10,False)</f>
        <v>0.2</v>
      </c>
      <c r="W340" s="127">
        <f>VLOOKUP($O340,Update!$B$2:$R$401,12,False)</f>
        <v>2.7</v>
      </c>
      <c r="X340" s="127">
        <f>VLOOKUP($O340,Update!$B$2:$R$401,13,False)</f>
        <v>0.5</v>
      </c>
      <c r="Y340" s="127">
        <f>VLOOKUP($O340,Update!$B$2:$R$401,14,False)</f>
        <v>0.4</v>
      </c>
      <c r="Z340" s="132">
        <f>VLOOKUP($O340,Update!$B$2:$R$401,15,False)</f>
        <v>0.6</v>
      </c>
      <c r="AA340" s="127">
        <f>100*VLOOKUP($O340,Update!$B$2:$R$401,7,False)</f>
        <v>47.5</v>
      </c>
      <c r="AB340" s="127">
        <f>100*VLOOKUP($O340,Update!$B$2:$R$401,9,False)</f>
        <v>80</v>
      </c>
      <c r="AC340" s="127">
        <f>VLOOKUP($O340,Update!$B$2:$Q$401,16,False)</f>
        <v>0.3</v>
      </c>
      <c r="AD340" s="127">
        <f>VLOOKUP($O340,'NO USAR1'!$A$4:$L$403,2,False)*$U$19</f>
        <v>-2.099276902</v>
      </c>
      <c r="AE340" s="127">
        <f>VLOOKUP($O340,'NO USAR1'!$A$4:$L$403,3,False)*$V$19</f>
        <v>-1.252712054</v>
      </c>
      <c r="AF340" s="127">
        <f>VLOOKUP($O340,'NO USAR1'!$A$4:$L$403,4,False)*$W$19</f>
        <v>-1.419771191</v>
      </c>
      <c r="AG340" s="127">
        <f>VLOOKUP($O340,'NO USAR1'!$A$4:$L$403,5,False)*$X$19</f>
        <v>-1.70552228</v>
      </c>
      <c r="AH340" s="127">
        <f>VLOOKUP($O340,'NO USAR1'!$A$4:$L$403,6,False)*$Y$19</f>
        <v>-1.296670077</v>
      </c>
      <c r="AI340" s="127">
        <f>VLOOKUP($O340,'NO USAR1'!$A$4:$L$403,7,False)*$Z$19</f>
        <v>-0.1330667175</v>
      </c>
      <c r="AJ340" s="127">
        <f>VLOOKUP($O340,'NO USAR1'!$A$4:$L$403,8,False)*$AA$19</f>
        <v>-0.0838424478</v>
      </c>
      <c r="AK340" s="132">
        <f>VLOOKUP($O340,'NO USAR1'!$A$4:$L$403,10,False)*$AB$19</f>
        <v>0.02540226078</v>
      </c>
      <c r="AL340" s="127">
        <f>VLOOKUP($O340,'NO USAR1'!$A$4:$L$403,12,False)*$AC$19</f>
        <v>0.5261305291</v>
      </c>
      <c r="AM340" s="133">
        <f t="shared" si="2"/>
        <v>-2.099276902</v>
      </c>
      <c r="AN340" s="133">
        <f t="shared" si="3"/>
        <v>-3.804799182</v>
      </c>
    </row>
    <row r="341">
      <c r="A341" s="118" t="str">
        <f>IF(Update!B339="",ROW(Update!B339),Update!B339)</f>
        <v>Bruno Fernando</v>
      </c>
      <c r="B341" s="119">
        <f>IF(TYPE($A341)=1,"",(Update!$L339-B$1)/B$2)</f>
        <v>-2.234098004</v>
      </c>
      <c r="C341" s="119">
        <f>IF(TYPE($A341)=1,"",(Update!$K339-C$1)/C$2)</f>
        <v>-1.584597568</v>
      </c>
      <c r="D341" s="119">
        <f>IF(TYPE($A341)=1,"",(Update!$M339-D$1)/D$2)</f>
        <v>-1.210694342</v>
      </c>
      <c r="E341" s="119">
        <f>IF(TYPE($A341)=1,"",(Update!$N339-E$1)/E$2)</f>
        <v>-1.504108926</v>
      </c>
      <c r="F341" s="119">
        <f>IF(TYPE($A341)=1,"",(Update!$O339-F$1)/F$2)</f>
        <v>-2.786885399</v>
      </c>
      <c r="G341" s="119">
        <f>IF(TYPE($A341)=1,"",(Update!$P339-G$1)/G$2)</f>
        <v>-0.002501254089</v>
      </c>
      <c r="H341" s="119">
        <f>IF(TYPE($A341)=1,"",(Update!$H339-H$1)/H$2*I341/$I$1)</f>
        <v>0.234448716</v>
      </c>
      <c r="I341" s="119">
        <f>IF(TYPE($A341)=1,"",IF(Update!H339=0,0,Update!G339/Update!H339))</f>
        <v>2.8</v>
      </c>
      <c r="J341" s="120">
        <f>IF(TYPE($A341)=1,"",(Update!$J339-J$1)/J$2*K341/$K$1)</f>
        <v>-0.4597453346</v>
      </c>
      <c r="K341" s="121">
        <f>IF(TYPE($A341)=1,"",IF(Update!J339=0,0,Update!I339/Update!J339))</f>
        <v>1.2</v>
      </c>
      <c r="L341" s="119">
        <f>IF(TYPE($A341)=1,"",-(Update!$Q339-L$1)/L$2)</f>
        <v>1.73196706</v>
      </c>
      <c r="N341" s="33">
        <v>321.0</v>
      </c>
      <c r="O341" s="130" t="str">
        <f>IF(Update!B334="",ROW(Update!B334),Update!B334)</f>
        <v>David Roddy</v>
      </c>
      <c r="P341" s="131">
        <f>Update!E334</f>
        <v>70</v>
      </c>
      <c r="Q341" s="131" t="str">
        <f>IF(Update!C334="",ROW(Update!N349),Update!C334)</f>
        <v>SF,PF</v>
      </c>
      <c r="R341" s="127">
        <f>VLOOKUP($O341,'NO USAR1'!$A$4:$L$403,2,False)+VLOOKUP($O341,'NO USAR1'!$A$4:$L$403,3,False)+VLOOKUP($O341,'NO USAR1'!$A$4:$L$403,4,False)+VLOOKUP($O341,'NO USAR1'!$A$4:$L$403,5,False)+VLOOKUP($O341,'NO USAR1'!$A$4:$L$403,6,False)+VLOOKUP($O341,'NO USAR1'!$A$4:$L$403,7,False)+VLOOKUP($O341,'NO USAR1'!$A$4:$L$403,8,False)+VLOOKUP($O341,'NO USAR1'!$A$4:$L$403,10,False)+VLOOKUP($O341,'NO USAR1'!$A$4:$L$403,12,False)*0</f>
        <v>-8.603362396</v>
      </c>
      <c r="S341" s="127">
        <f>VLOOKUP($O341,'NO USAR1'!$A$4:$L$403,2,False)*$U$19+VLOOKUP($O341,'NO USAR1'!$A$4:$L$403,3,False)*$V$19+VLOOKUP($O341,'NO USAR1'!$A$4:$L$403,4,False)*$W$19+VLOOKUP($O341,'NO USAR1'!$A$4:$L$403,5,False)*$X$19+VLOOKUP($O341,'NO USAR1'!$A$4:$L$403,6,False)*$Y$19+VLOOKUP($O341,'NO USAR1'!$A$4:$L$403,7,False)*$Z$19+VLOOKUP($O341,'NO USAR1'!$A$4:$L$403,8,False)*$AA$19+VLOOKUP($O341,'NO USAR1'!$A$4:$L$403,10,False)*$AB$19+VLOOKUP($O341,'NO USAR1'!$A$4:$L$403,12,False)*$AC$19+IF(Projections!$K$3,-AN341, IF(Projections!$J$3,-AM341,0))</f>
        <v>-5.684999844</v>
      </c>
      <c r="T341" s="127">
        <f t="shared" si="1"/>
        <v>2.918362552</v>
      </c>
      <c r="U341" s="127">
        <f>VLOOKUP($O341,Update!$B$2:$R$401,11,False)</f>
        <v>7.1</v>
      </c>
      <c r="V341" s="122">
        <f>VLOOKUP($O341,Update!$B$2:$R$401,10,False)</f>
        <v>1</v>
      </c>
      <c r="W341" s="127">
        <f>VLOOKUP($O341,Update!$B$2:$R$401,12,False)</f>
        <v>3</v>
      </c>
      <c r="X341" s="127">
        <f>VLOOKUP($O341,Update!$B$2:$R$401,13,False)</f>
        <v>0.9</v>
      </c>
      <c r="Y341" s="127">
        <f>VLOOKUP($O341,Update!$B$2:$R$401,14,False)</f>
        <v>0.4</v>
      </c>
      <c r="Z341" s="132">
        <f>VLOOKUP($O341,Update!$B$2:$R$401,15,False)</f>
        <v>0.3</v>
      </c>
      <c r="AA341" s="127">
        <f>100*VLOOKUP($O341,Update!$B$2:$R$401,7,False)</f>
        <v>43.75</v>
      </c>
      <c r="AB341" s="127">
        <f>100*VLOOKUP($O341,Update!$B$2:$R$401,9,False)</f>
        <v>60</v>
      </c>
      <c r="AC341" s="127">
        <f>VLOOKUP($O341,Update!$B$2:$Q$401,16,False)</f>
        <v>0.9</v>
      </c>
      <c r="AD341" s="127">
        <f>VLOOKUP($O341,'NO USAR1'!$A$4:$L$403,2,False)*$U$19</f>
        <v>-1.711666235</v>
      </c>
      <c r="AE341" s="127">
        <f>VLOOKUP($O341,'NO USAR1'!$A$4:$L$403,3,False)*$V$19</f>
        <v>-0.5590090247</v>
      </c>
      <c r="AF341" s="127">
        <f>VLOOKUP($O341,'NO USAR1'!$A$4:$L$403,4,False)*$W$19</f>
        <v>-1.294325082</v>
      </c>
      <c r="AG341" s="127">
        <f>VLOOKUP($O341,'NO USAR1'!$A$4:$L$403,5,False)*$X$19</f>
        <v>-1.501512437</v>
      </c>
      <c r="AH341" s="127">
        <f>VLOOKUP($O341,'NO USAR1'!$A$4:$L$403,6,False)*$Y$19</f>
        <v>-1.296670077</v>
      </c>
      <c r="AI341" s="127">
        <f>VLOOKUP($O341,'NO USAR1'!$A$4:$L$403,7,False)*$Z$19</f>
        <v>-0.5270142365</v>
      </c>
      <c r="AJ341" s="127">
        <f>VLOOKUP($O341,'NO USAR1'!$A$4:$L$403,8,False)*$AA$19</f>
        <v>-0.3738755235</v>
      </c>
      <c r="AK341" s="132">
        <f>VLOOKUP($O341,'NO USAR1'!$A$4:$L$403,10,False)*$AB$19</f>
        <v>-0.4724464649</v>
      </c>
      <c r="AL341" s="127">
        <f>VLOOKUP($O341,'NO USAR1'!$A$4:$L$403,12,False)*$AC$19</f>
        <v>0.3398530011</v>
      </c>
      <c r="AM341" s="133">
        <f t="shared" si="2"/>
        <v>-1.711666235</v>
      </c>
      <c r="AN341" s="133">
        <f t="shared" si="3"/>
        <v>-3.213178673</v>
      </c>
    </row>
    <row r="342">
      <c r="A342" s="118" t="str">
        <f>IF(Update!B340="",ROW(Update!B340),Update!B340)</f>
        <v>Cam Whitmore</v>
      </c>
      <c r="B342" s="119">
        <f>IF(TYPE($A342)=1,"",(Update!$L340-B$1)/B$2)</f>
        <v>-1.846487337</v>
      </c>
      <c r="C342" s="119">
        <f>IF(TYPE($A342)=1,"",(Update!$K340-C$1)/C$2)</f>
        <v>-0.5247734955</v>
      </c>
      <c r="D342" s="119">
        <f>IF(TYPE($A342)=1,"",(Update!$M340-D$1)/D$2)</f>
        <v>-1.545217301</v>
      </c>
      <c r="E342" s="119">
        <f>IF(TYPE($A342)=1,"",(Update!$N340-E$1)/E$2)</f>
        <v>-1.5504748</v>
      </c>
      <c r="F342" s="119">
        <f>IF(TYPE($A342)=1,"",(Update!$O340-F$1)/F$2)</f>
        <v>-2.163885682</v>
      </c>
      <c r="G342" s="119">
        <f>IF(TYPE($A342)=1,"",(Update!$P340-G$1)/G$2)</f>
        <v>-0.9404715375</v>
      </c>
      <c r="H342" s="119">
        <f>IF(TYPE($A342)=1,"",(Update!$H340-H$1)/H$2*I342/$I$1)</f>
        <v>-0.08870159336</v>
      </c>
      <c r="I342" s="119">
        <f>IF(TYPE($A342)=1,"",IF(Update!H340=0,0,Update!G340/Update!H340))</f>
        <v>5</v>
      </c>
      <c r="J342" s="120">
        <f>IF(TYPE($A342)=1,"",(Update!$J340-J$1)/J$2*K342/$K$1)</f>
        <v>-0.4102153742</v>
      </c>
      <c r="K342" s="121">
        <f>IF(TYPE($A342)=1,"",IF(Update!J340=0,0,Update!I340/Update!J340))</f>
        <v>0.8</v>
      </c>
      <c r="L342" s="119">
        <f>IF(TYPE($A342)=1,"",-(Update!$Q340-L$1)/L$2)</f>
        <v>1.856152079</v>
      </c>
      <c r="N342" s="124">
        <v>322.0</v>
      </c>
      <c r="O342" s="130" t="str">
        <f>IF(Update!B296="",ROW(Update!B296),Update!B296)</f>
        <v>Dwight Powell</v>
      </c>
      <c r="P342" s="131">
        <f>Update!E296</f>
        <v>74</v>
      </c>
      <c r="Q342" s="131" t="str">
        <f>IF(Update!C296="",ROW(Update!N311),Update!C296)</f>
        <v>C</v>
      </c>
      <c r="R342" s="127">
        <f>VLOOKUP($O342,'NO USAR1'!$A$4:$L$403,2,False)+VLOOKUP($O342,'NO USAR1'!$A$4:$L$403,3,False)+VLOOKUP($O342,'NO USAR1'!$A$4:$L$403,4,False)+VLOOKUP($O342,'NO USAR1'!$A$4:$L$403,5,False)+VLOOKUP($O342,'NO USAR1'!$A$4:$L$403,6,False)+VLOOKUP($O342,'NO USAR1'!$A$4:$L$403,7,False)+VLOOKUP($O342,'NO USAR1'!$A$4:$L$403,8,False)+VLOOKUP($O342,'NO USAR1'!$A$4:$L$403,10,False)+VLOOKUP($O342,'NO USAR1'!$A$4:$L$403,12,False)*0</f>
        <v>-8.622454097</v>
      </c>
      <c r="S342" s="127">
        <f>VLOOKUP($O342,'NO USAR1'!$A$4:$L$403,2,False)*$U$19+VLOOKUP($O342,'NO USAR1'!$A$4:$L$403,3,False)*$V$19+VLOOKUP($O342,'NO USAR1'!$A$4:$L$403,4,False)*$W$19+VLOOKUP($O342,'NO USAR1'!$A$4:$L$403,5,False)*$X$19+VLOOKUP($O342,'NO USAR1'!$A$4:$L$403,6,False)*$Y$19+VLOOKUP($O342,'NO USAR1'!$A$4:$L$403,7,False)*$Z$19+VLOOKUP($O342,'NO USAR1'!$A$4:$L$403,8,False)*$AA$19+VLOOKUP($O342,'NO USAR1'!$A$4:$L$403,10,False)*$AB$19+VLOOKUP($O342,'NO USAR1'!$A$4:$L$403,12,False)*$AC$19+IF(Projections!$K$3,-AN342, IF(Projections!$J$3,-AM342,0))</f>
        <v>-5.380231983</v>
      </c>
      <c r="T342" s="127">
        <f t="shared" si="1"/>
        <v>3.242222115</v>
      </c>
      <c r="U342" s="127">
        <f>VLOOKUP($O342,Update!$B$2:$R$401,11,False)</f>
        <v>5.4</v>
      </c>
      <c r="V342" s="122">
        <f>VLOOKUP($O342,Update!$B$2:$R$401,10,False)</f>
        <v>0.1</v>
      </c>
      <c r="W342" s="127">
        <f>VLOOKUP($O342,Update!$B$2:$R$401,12,False)</f>
        <v>3.1</v>
      </c>
      <c r="X342" s="127">
        <f>VLOOKUP($O342,Update!$B$2:$R$401,13,False)</f>
        <v>0.7</v>
      </c>
      <c r="Y342" s="127">
        <f>VLOOKUP($O342,Update!$B$2:$R$401,14,False)</f>
        <v>0.4</v>
      </c>
      <c r="Z342" s="132">
        <f>VLOOKUP($O342,Update!$B$2:$R$401,15,False)</f>
        <v>0.3</v>
      </c>
      <c r="AA342" s="127">
        <f>100*VLOOKUP($O342,Update!$B$2:$R$401,7,False)</f>
        <v>68.96551724</v>
      </c>
      <c r="AB342" s="127">
        <f>100*VLOOKUP($O342,Update!$B$2:$R$401,9,False)</f>
        <v>70.58823529</v>
      </c>
      <c r="AC342" s="127">
        <f>VLOOKUP($O342,Update!$B$2:$Q$401,16,False)</f>
        <v>0.6</v>
      </c>
      <c r="AD342" s="127">
        <f>VLOOKUP($O342,'NO USAR1'!$A$4:$L$403,2,False)*$U$19</f>
        <v>-1.998161076</v>
      </c>
      <c r="AE342" s="127">
        <f>VLOOKUP($O342,'NO USAR1'!$A$4:$L$403,3,False)*$V$19</f>
        <v>-1.339424933</v>
      </c>
      <c r="AF342" s="127">
        <f>VLOOKUP($O342,'NO USAR1'!$A$4:$L$403,4,False)*$W$19</f>
        <v>-1.252509712</v>
      </c>
      <c r="AG342" s="127">
        <f>VLOOKUP($O342,'NO USAR1'!$A$4:$L$403,5,False)*$X$19</f>
        <v>-1.603517358</v>
      </c>
      <c r="AH342" s="127">
        <f>VLOOKUP($O342,'NO USAR1'!$A$4:$L$403,6,False)*$Y$19</f>
        <v>-1.296670077</v>
      </c>
      <c r="AI342" s="127">
        <f>VLOOKUP($O342,'NO USAR1'!$A$4:$L$403,7,False)*$Z$19</f>
        <v>-0.5270142365</v>
      </c>
      <c r="AJ342" s="127">
        <f>VLOOKUP($O342,'NO USAR1'!$A$4:$L$403,8,False)*$AA$19</f>
        <v>0.561007706</v>
      </c>
      <c r="AK342" s="132">
        <f>VLOOKUP($O342,'NO USAR1'!$A$4:$L$403,10,False)*$AB$19</f>
        <v>-0.3550951373</v>
      </c>
      <c r="AL342" s="127">
        <f>VLOOKUP($O342,'NO USAR1'!$A$4:$L$403,12,False)*$AC$19</f>
        <v>0.4329917651</v>
      </c>
      <c r="AM342" s="133">
        <f t="shared" si="2"/>
        <v>-1.998161076</v>
      </c>
      <c r="AN342" s="133">
        <f t="shared" si="3"/>
        <v>-3.601678435</v>
      </c>
    </row>
    <row r="343">
      <c r="A343" s="118" t="str">
        <f>IF(Update!B341="",ROW(Update!B341),Update!B341)</f>
        <v>DeAndre Jordan</v>
      </c>
      <c r="B343" s="119">
        <f>IF(TYPE($A343)=1,"",(Update!$L341-B$1)/B$2)</f>
        <v>-2.318361192</v>
      </c>
      <c r="C343" s="119">
        <f>IF(TYPE($A343)=1,"",(Update!$K341-C$1)/C$2)</f>
        <v>-1.584597568</v>
      </c>
      <c r="D343" s="119">
        <f>IF(TYPE($A343)=1,"",(Update!$M341-D$1)/D$2)</f>
        <v>-0.8343560132</v>
      </c>
      <c r="E343" s="119">
        <f>IF(TYPE($A343)=1,"",(Update!$N341-E$1)/E$2)</f>
        <v>-1.5504748</v>
      </c>
      <c r="F343" s="119">
        <f>IF(TYPE($A343)=1,"",(Update!$O341-F$1)/F$2)</f>
        <v>-2.475385541</v>
      </c>
      <c r="G343" s="119">
        <f>IF(TYPE($A343)=1,"",(Update!$P341-G$1)/G$2)</f>
        <v>-0.3776893674</v>
      </c>
      <c r="H343" s="119">
        <f>IF(TYPE($A343)=1,"",(Update!$H341-H$1)/H$2*I343/$I$1)</f>
        <v>0.5647297166</v>
      </c>
      <c r="I343" s="119">
        <f>IF(TYPE($A343)=1,"",IF(Update!H341=0,0,Update!G341/Update!H341))</f>
        <v>2.2</v>
      </c>
      <c r="J343" s="120">
        <f>IF(TYPE($A343)=1,"",(Update!$J341-J$1)/J$2*K343/$K$1)</f>
        <v>-0.7213708278</v>
      </c>
      <c r="K343" s="121">
        <f>IF(TYPE($A343)=1,"",IF(Update!J341=0,0,Update!I341/Update!J341))</f>
        <v>0.8</v>
      </c>
      <c r="L343" s="119">
        <f>IF(TYPE($A343)=1,"",-(Update!$Q341-L$1)/L$2)</f>
        <v>1.607782042</v>
      </c>
      <c r="N343" s="124">
        <v>323.0</v>
      </c>
      <c r="O343" s="130" t="str">
        <f>IF(Update!B313="",ROW(Update!B313),Update!B313)</f>
        <v>Zeke Nnaji</v>
      </c>
      <c r="P343" s="131">
        <f>Update!E313</f>
        <v>63</v>
      </c>
      <c r="Q343" s="131" t="str">
        <f>IF(Update!C313="",ROW(Update!N328),Update!C313)</f>
        <v>PF,C</v>
      </c>
      <c r="R343" s="127">
        <f>VLOOKUP($O343,'NO USAR1'!$A$4:$L$403,2,False)+VLOOKUP($O343,'NO USAR1'!$A$4:$L$403,3,False)+VLOOKUP($O343,'NO USAR1'!$A$4:$L$403,4,False)+VLOOKUP($O343,'NO USAR1'!$A$4:$L$403,5,False)+VLOOKUP($O343,'NO USAR1'!$A$4:$L$403,6,False)+VLOOKUP($O343,'NO USAR1'!$A$4:$L$403,7,False)+VLOOKUP($O343,'NO USAR1'!$A$4:$L$403,8,False)+VLOOKUP($O343,'NO USAR1'!$A$4:$L$403,10,False)+VLOOKUP($O343,'NO USAR1'!$A$4:$L$403,12,False)*0</f>
        <v>-8.680645655</v>
      </c>
      <c r="S343" s="127">
        <f>VLOOKUP($O343,'NO USAR1'!$A$4:$L$403,2,False)*$U$19+VLOOKUP($O343,'NO USAR1'!$A$4:$L$403,3,False)*$V$19+VLOOKUP($O343,'NO USAR1'!$A$4:$L$403,4,False)*$W$19+VLOOKUP($O343,'NO USAR1'!$A$4:$L$403,5,False)*$X$19+VLOOKUP($O343,'NO USAR1'!$A$4:$L$403,6,False)*$Y$19+VLOOKUP($O343,'NO USAR1'!$A$4:$L$403,7,False)*$Z$19+VLOOKUP($O343,'NO USAR1'!$A$4:$L$403,8,False)*$AA$19+VLOOKUP($O343,'NO USAR1'!$A$4:$L$403,10,False)*$AB$19+VLOOKUP($O343,'NO USAR1'!$A$4:$L$403,12,False)*$AC$19+IF(Projections!$K$3,-AN343, IF(Projections!$J$3,-AM343,0))</f>
        <v>-5.581889191</v>
      </c>
      <c r="T343" s="127">
        <f t="shared" si="1"/>
        <v>3.098756464</v>
      </c>
      <c r="U343" s="127">
        <f>VLOOKUP($O343,Update!$B$2:$R$401,11,False)</f>
        <v>6.3</v>
      </c>
      <c r="V343" s="122">
        <f>VLOOKUP($O343,Update!$B$2:$R$401,10,False)</f>
        <v>0.6</v>
      </c>
      <c r="W343" s="127">
        <f>VLOOKUP($O343,Update!$B$2:$R$401,12,False)</f>
        <v>3.3</v>
      </c>
      <c r="X343" s="127">
        <f>VLOOKUP($O343,Update!$B$2:$R$401,13,False)</f>
        <v>0.4</v>
      </c>
      <c r="Y343" s="127">
        <f>VLOOKUP($O343,Update!$B$2:$R$401,14,False)</f>
        <v>0.4</v>
      </c>
      <c r="Z343" s="132">
        <f>VLOOKUP($O343,Update!$B$2:$R$401,15,False)</f>
        <v>0.4</v>
      </c>
      <c r="AA343" s="127">
        <f>100*VLOOKUP($O343,Update!$B$2:$R$401,7,False)</f>
        <v>54.54545455</v>
      </c>
      <c r="AB343" s="127">
        <f>100*VLOOKUP($O343,Update!$B$2:$R$401,9,False)</f>
        <v>60</v>
      </c>
      <c r="AC343" s="127">
        <f>VLOOKUP($O343,Update!$B$2:$Q$401,16,False)</f>
        <v>0.6</v>
      </c>
      <c r="AD343" s="127">
        <f>VLOOKUP($O343,'NO USAR1'!$A$4:$L$403,2,False)*$U$19</f>
        <v>-1.846487337</v>
      </c>
      <c r="AE343" s="127">
        <f>VLOOKUP($O343,'NO USAR1'!$A$4:$L$403,3,False)*$V$19</f>
        <v>-0.9058605394</v>
      </c>
      <c r="AF343" s="127">
        <f>VLOOKUP($O343,'NO USAR1'!$A$4:$L$403,4,False)*$W$19</f>
        <v>-1.168878972</v>
      </c>
      <c r="AG343" s="127">
        <f>VLOOKUP($O343,'NO USAR1'!$A$4:$L$403,5,False)*$X$19</f>
        <v>-1.75652474</v>
      </c>
      <c r="AH343" s="127">
        <f>VLOOKUP($O343,'NO USAR1'!$A$4:$L$403,6,False)*$Y$19</f>
        <v>-1.296670077</v>
      </c>
      <c r="AI343" s="127">
        <f>VLOOKUP($O343,'NO USAR1'!$A$4:$L$403,7,False)*$Z$19</f>
        <v>-0.3956983969</v>
      </c>
      <c r="AJ343" s="127">
        <f>VLOOKUP($O343,'NO USAR1'!$A$4:$L$403,8,False)*$AA$19</f>
        <v>0.2174214665</v>
      </c>
      <c r="AK343" s="132">
        <f>VLOOKUP($O343,'NO USAR1'!$A$4:$L$403,10,False)*$AB$19</f>
        <v>-0.7086696974</v>
      </c>
      <c r="AL343" s="127">
        <f>VLOOKUP($O343,'NO USAR1'!$A$4:$L$403,12,False)*$AC$19</f>
        <v>0.4329917651</v>
      </c>
      <c r="AM343" s="133">
        <f t="shared" si="2"/>
        <v>-1.846487337</v>
      </c>
      <c r="AN343" s="133">
        <f t="shared" si="3"/>
        <v>-3.603012077</v>
      </c>
    </row>
    <row r="344">
      <c r="A344" s="118" t="str">
        <f>IF(Update!B342="",ROW(Update!B342),Update!B342)</f>
        <v>Usman Garuba</v>
      </c>
      <c r="B344" s="119">
        <f>IF(TYPE($A344)=1,"",(Update!$L342-B$1)/B$2)</f>
        <v>-2.503740207</v>
      </c>
      <c r="C344" s="119">
        <f>IF(TYPE($A344)=1,"",(Update!$K342-C$1)/C$2)</f>
        <v>-1.295554639</v>
      </c>
      <c r="D344" s="119">
        <f>IF(TYPE($A344)=1,"",(Update!$M342-D$1)/D$2)</f>
        <v>-1.127063602</v>
      </c>
      <c r="E344" s="119">
        <f>IF(TYPE($A344)=1,"",(Update!$N342-E$1)/E$2)</f>
        <v>-1.457743053</v>
      </c>
      <c r="F344" s="119">
        <f>IF(TYPE($A344)=1,"",(Update!$O342-F$1)/F$2)</f>
        <v>-1.540885966</v>
      </c>
      <c r="G344" s="119">
        <f>IF(TYPE($A344)=1,"",(Update!$P342-G$1)/G$2)</f>
        <v>-0.5652834241</v>
      </c>
      <c r="H344" s="119">
        <f>IF(TYPE($A344)=1,"",(Update!$H342-H$1)/H$2*I344/$I$1)</f>
        <v>-0.04702480587</v>
      </c>
      <c r="I344" s="119">
        <f>IF(TYPE($A344)=1,"",IF(Update!H342=0,0,Update!G342/Update!H342))</f>
        <v>1.9</v>
      </c>
      <c r="J344" s="120">
        <f>IF(TYPE($A344)=1,"",(Update!$J342-J$1)/J$2*K344/$K$1)</f>
        <v>-0.2952790406</v>
      </c>
      <c r="K344" s="121">
        <f>IF(TYPE($A344)=1,"",IF(Update!J342=0,0,Update!I342/Update!J342))</f>
        <v>0.5</v>
      </c>
      <c r="L344" s="119">
        <f>IF(TYPE($A344)=1,"",-(Update!$Q342-L$1)/L$2)</f>
        <v>1.856152079</v>
      </c>
      <c r="N344" s="33">
        <v>324.0</v>
      </c>
      <c r="O344" s="130" t="str">
        <f>IF(Update!B306="",ROW(Update!B306),Update!B306)</f>
        <v>Mo Bamba</v>
      </c>
      <c r="P344" s="131">
        <f>Update!E306</f>
        <v>50</v>
      </c>
      <c r="Q344" s="131" t="str">
        <f>IF(Update!C306="",ROW(Update!N321),Update!C306)</f>
        <v>C</v>
      </c>
      <c r="R344" s="127">
        <f>VLOOKUP($O344,'NO USAR1'!$A$4:$L$403,2,False)+VLOOKUP($O344,'NO USAR1'!$A$4:$L$403,3,False)+VLOOKUP($O344,'NO USAR1'!$A$4:$L$403,4,False)+VLOOKUP($O344,'NO USAR1'!$A$4:$L$403,5,False)+VLOOKUP($O344,'NO USAR1'!$A$4:$L$403,6,False)+VLOOKUP($O344,'NO USAR1'!$A$4:$L$403,7,False)+VLOOKUP($O344,'NO USAR1'!$A$4:$L$403,8,False)+VLOOKUP($O344,'NO USAR1'!$A$4:$L$403,10,False)+VLOOKUP($O344,'NO USAR1'!$A$4:$L$403,12,False)*0</f>
        <v>-8.682021882</v>
      </c>
      <c r="S344" s="127">
        <f>VLOOKUP($O344,'NO USAR1'!$A$4:$L$403,2,False)*$U$19+VLOOKUP($O344,'NO USAR1'!$A$4:$L$403,3,False)*$V$19+VLOOKUP($O344,'NO USAR1'!$A$4:$L$403,4,False)*$W$19+VLOOKUP($O344,'NO USAR1'!$A$4:$L$403,5,False)*$X$19+VLOOKUP($O344,'NO USAR1'!$A$4:$L$403,6,False)*$Y$19+VLOOKUP($O344,'NO USAR1'!$A$4:$L$403,7,False)*$Z$19+VLOOKUP($O344,'NO USAR1'!$A$4:$L$403,8,False)*$AA$19+VLOOKUP($O344,'NO USAR1'!$A$4:$L$403,10,False)*$AB$19+VLOOKUP($O344,'NO USAR1'!$A$4:$L$403,12,False)*$AC$19+IF(Projections!$K$3,-AN344, IF(Projections!$J$3,-AM344,0))</f>
        <v>-5.28131648</v>
      </c>
      <c r="T344" s="127">
        <f t="shared" si="1"/>
        <v>3.400705402</v>
      </c>
      <c r="U344" s="127">
        <f>VLOOKUP($O344,Update!$B$2:$R$401,11,False)</f>
        <v>4.4</v>
      </c>
      <c r="V344" s="122">
        <f>VLOOKUP($O344,Update!$B$2:$R$401,10,False)</f>
        <v>0.6</v>
      </c>
      <c r="W344" s="127">
        <f>VLOOKUP($O344,Update!$B$2:$R$401,12,False)</f>
        <v>3.2</v>
      </c>
      <c r="X344" s="127">
        <f>VLOOKUP($O344,Update!$B$2:$R$401,13,False)</f>
        <v>0.5</v>
      </c>
      <c r="Y344" s="127">
        <f>VLOOKUP($O344,Update!$B$2:$R$401,14,False)</f>
        <v>0.2</v>
      </c>
      <c r="Z344" s="132">
        <f>VLOOKUP($O344,Update!$B$2:$R$401,15,False)</f>
        <v>0.7</v>
      </c>
      <c r="AA344" s="127">
        <f>100*VLOOKUP($O344,Update!$B$2:$R$401,7,False)</f>
        <v>48.57142857</v>
      </c>
      <c r="AB344" s="127">
        <f>100*VLOOKUP($O344,Update!$B$2:$R$401,9,False)</f>
        <v>66.66666667</v>
      </c>
      <c r="AC344" s="127">
        <f>VLOOKUP($O344,Update!$B$2:$Q$401,16,False)</f>
        <v>0.4</v>
      </c>
      <c r="AD344" s="127">
        <f>VLOOKUP($O344,'NO USAR1'!$A$4:$L$403,2,False)*$U$19</f>
        <v>-2.166687453</v>
      </c>
      <c r="AE344" s="127">
        <f>VLOOKUP($O344,'NO USAR1'!$A$4:$L$403,3,False)*$V$19</f>
        <v>-0.9058605394</v>
      </c>
      <c r="AF344" s="127">
        <f>VLOOKUP($O344,'NO USAR1'!$A$4:$L$403,4,False)*$W$19</f>
        <v>-1.210694342</v>
      </c>
      <c r="AG344" s="127">
        <f>VLOOKUP($O344,'NO USAR1'!$A$4:$L$403,5,False)*$X$19</f>
        <v>-1.70552228</v>
      </c>
      <c r="AH344" s="127">
        <f>VLOOKUP($O344,'NO USAR1'!$A$4:$L$403,6,False)*$Y$19</f>
        <v>-1.732769878</v>
      </c>
      <c r="AI344" s="127">
        <f>VLOOKUP($O344,'NO USAR1'!$A$4:$L$403,7,False)*$Z$19</f>
        <v>-0.001750877862</v>
      </c>
      <c r="AJ344" s="127">
        <f>VLOOKUP($O344,'NO USAR1'!$A$4:$L$403,8,False)*$AA$19</f>
        <v>-0.03590470323</v>
      </c>
      <c r="AK344" s="132">
        <f>VLOOKUP($O344,'NO USAR1'!$A$4:$L$403,10,False)*$AB$19</f>
        <v>-0.1838981338</v>
      </c>
      <c r="AL344" s="127">
        <f>VLOOKUP($O344,'NO USAR1'!$A$4:$L$403,12,False)*$AC$19</f>
        <v>0.4950842744</v>
      </c>
      <c r="AM344" s="133">
        <f t="shared" si="2"/>
        <v>-2.166687453</v>
      </c>
      <c r="AN344" s="133">
        <f t="shared" si="3"/>
        <v>-3.899457331</v>
      </c>
    </row>
    <row r="345">
      <c r="A345" s="118" t="str">
        <f>IF(Update!B343="",ROW(Update!B343),Update!B343)</f>
        <v>Trendon Watford</v>
      </c>
      <c r="B345" s="119">
        <f>IF(TYPE($A345)=1,"",(Update!$L343-B$1)/B$2)</f>
        <v>-2.11612954</v>
      </c>
      <c r="C345" s="119">
        <f>IF(TYPE($A345)=1,"",(Update!$K343-C$1)/C$2)</f>
        <v>-1.391902282</v>
      </c>
      <c r="D345" s="119">
        <f>IF(TYPE($A345)=1,"",(Update!$M343-D$1)/D$2)</f>
        <v>-1.503401931</v>
      </c>
      <c r="E345" s="119">
        <f>IF(TYPE($A345)=1,"",(Update!$N343-E$1)/E$2)</f>
        <v>-1.225913687</v>
      </c>
      <c r="F345" s="119">
        <f>IF(TYPE($A345)=1,"",(Update!$O343-F$1)/F$2)</f>
        <v>-2.163885682</v>
      </c>
      <c r="G345" s="119">
        <f>IF(TYPE($A345)=1,"",(Update!$P343-G$1)/G$2)</f>
        <v>-0.9404715375</v>
      </c>
      <c r="H345" s="119">
        <f>IF(TYPE($A345)=1,"",(Update!$H343-H$1)/H$2*I345/$I$1)</f>
        <v>0.1811845554</v>
      </c>
      <c r="I345" s="119">
        <f>IF(TYPE($A345)=1,"",IF(Update!H343=0,0,Update!G343/Update!H343))</f>
        <v>3.3</v>
      </c>
      <c r="J345" s="120">
        <f>IF(TYPE($A345)=1,"",(Update!$J343-J$1)/J$2*K345/$K$1)</f>
        <v>-0.2139962543</v>
      </c>
      <c r="K345" s="121">
        <f>IF(TYPE($A345)=1,"",IF(Update!J343=0,0,Update!I343/Update!J343))</f>
        <v>1.1</v>
      </c>
      <c r="L345" s="119">
        <f>IF(TYPE($A345)=1,"",-(Update!$Q343-L$1)/L$2)</f>
        <v>1.607782042</v>
      </c>
      <c r="N345" s="33">
        <v>325.0</v>
      </c>
      <c r="O345" s="130" t="str">
        <f>IF(Update!B325="",ROW(Update!B325),Update!B325)</f>
        <v>Peyton Watson</v>
      </c>
      <c r="P345" s="131">
        <f>Update!E325</f>
        <v>69</v>
      </c>
      <c r="Q345" s="131" t="str">
        <f>IF(Update!C325="",ROW(Update!N340),Update!C325)</f>
        <v>SG,SF</v>
      </c>
      <c r="R345" s="127">
        <f>VLOOKUP($O345,'NO USAR1'!$A$4:$L$403,2,False)+VLOOKUP($O345,'NO USAR1'!$A$4:$L$403,3,False)+VLOOKUP($O345,'NO USAR1'!$A$4:$L$403,4,False)+VLOOKUP($O345,'NO USAR1'!$A$4:$L$403,5,False)+VLOOKUP($O345,'NO USAR1'!$A$4:$L$403,6,False)+VLOOKUP($O345,'NO USAR1'!$A$4:$L$403,7,False)+VLOOKUP($O345,'NO USAR1'!$A$4:$L$403,8,False)+VLOOKUP($O345,'NO USAR1'!$A$4:$L$403,10,False)+VLOOKUP($O345,'NO USAR1'!$A$4:$L$403,12,False)*0</f>
        <v>-8.692988997</v>
      </c>
      <c r="S345" s="127">
        <f>VLOOKUP($O345,'NO USAR1'!$A$4:$L$403,2,False)*$U$19+VLOOKUP($O345,'NO USAR1'!$A$4:$L$403,3,False)*$V$19+VLOOKUP($O345,'NO USAR1'!$A$4:$L$403,4,False)*$W$19+VLOOKUP($O345,'NO USAR1'!$A$4:$L$403,5,False)*$X$19+VLOOKUP($O345,'NO USAR1'!$A$4:$L$403,6,False)*$Y$19+VLOOKUP($O345,'NO USAR1'!$A$4:$L$403,7,False)*$Z$19+VLOOKUP($O345,'NO USAR1'!$A$4:$L$403,8,False)*$AA$19+VLOOKUP($O345,'NO USAR1'!$A$4:$L$403,10,False)*$AB$19+VLOOKUP($O345,'NO USAR1'!$A$4:$L$403,12,False)*$AC$19+IF(Projections!$K$3,-AN345, IF(Projections!$J$3,-AM345,0))</f>
        <v>-5.657154708</v>
      </c>
      <c r="T345" s="127">
        <f t="shared" si="1"/>
        <v>3.035834289</v>
      </c>
      <c r="U345" s="127">
        <f>VLOOKUP($O345,Update!$B$2:$R$401,11,False)</f>
        <v>6.5</v>
      </c>
      <c r="V345" s="122">
        <f>VLOOKUP($O345,Update!$B$2:$R$401,10,False)</f>
        <v>0.5</v>
      </c>
      <c r="W345" s="127">
        <f>VLOOKUP($O345,Update!$B$2:$R$401,12,False)</f>
        <v>3.2</v>
      </c>
      <c r="X345" s="127">
        <f>VLOOKUP($O345,Update!$B$2:$R$401,13,False)</f>
        <v>0.9</v>
      </c>
      <c r="Y345" s="127">
        <f>VLOOKUP($O345,Update!$B$2:$R$401,14,False)</f>
        <v>0.2</v>
      </c>
      <c r="Z345" s="132">
        <f>VLOOKUP($O345,Update!$B$2:$R$401,15,False)</f>
        <v>0.9</v>
      </c>
      <c r="AA345" s="127">
        <f>100*VLOOKUP($O345,Update!$B$2:$R$401,7,False)</f>
        <v>49.01960784</v>
      </c>
      <c r="AB345" s="127">
        <f>100*VLOOKUP($O345,Update!$B$2:$R$401,9,False)</f>
        <v>58.82352941</v>
      </c>
      <c r="AC345" s="127">
        <f>VLOOKUP($O345,Update!$B$2:$Q$401,16,False)</f>
        <v>0.7</v>
      </c>
      <c r="AD345" s="127">
        <f>VLOOKUP($O345,'NO USAR1'!$A$4:$L$403,2,False)*$U$19</f>
        <v>-1.812782061</v>
      </c>
      <c r="AE345" s="127">
        <f>VLOOKUP($O345,'NO USAR1'!$A$4:$L$403,3,False)*$V$19</f>
        <v>-0.9925734181</v>
      </c>
      <c r="AF345" s="127">
        <f>VLOOKUP($O345,'NO USAR1'!$A$4:$L$403,4,False)*$W$19</f>
        <v>-1.210694342</v>
      </c>
      <c r="AG345" s="127">
        <f>VLOOKUP($O345,'NO USAR1'!$A$4:$L$403,5,False)*$X$19</f>
        <v>-1.501512437</v>
      </c>
      <c r="AH345" s="127">
        <f>VLOOKUP($O345,'NO USAR1'!$A$4:$L$403,6,False)*$Y$19</f>
        <v>-1.732769878</v>
      </c>
      <c r="AI345" s="127">
        <f>VLOOKUP($O345,'NO USAR1'!$A$4:$L$403,7,False)*$Z$19</f>
        <v>0.2608808015</v>
      </c>
      <c r="AJ345" s="127">
        <f>VLOOKUP($O345,'NO USAR1'!$A$4:$L$403,8,False)*$AA$19</f>
        <v>-0.02948708119</v>
      </c>
      <c r="AK345" s="132">
        <f>VLOOKUP($O345,'NO USAR1'!$A$4:$L$403,10,False)*$AB$19</f>
        <v>-0.852943863</v>
      </c>
      <c r="AL345" s="127">
        <f>VLOOKUP($O345,'NO USAR1'!$A$4:$L$403,12,False)*$AC$19</f>
        <v>0.4019455104</v>
      </c>
      <c r="AM345" s="133">
        <f t="shared" si="2"/>
        <v>-1.812782061</v>
      </c>
      <c r="AN345" s="133">
        <f t="shared" si="3"/>
        <v>-3.54555194</v>
      </c>
    </row>
    <row r="346">
      <c r="A346" s="118" t="str">
        <f>IF(Update!B344="",ROW(Update!B344),Update!B344)</f>
        <v>Justin Holiday</v>
      </c>
      <c r="B346" s="119">
        <f>IF(TYPE($A346)=1,"",(Update!$L344-B$1)/B$2)</f>
        <v>-1.998161076</v>
      </c>
      <c r="C346" s="119">
        <f>IF(TYPE($A346)=1,"",(Update!$K344-C$1)/C$2)</f>
        <v>-0.3320782095</v>
      </c>
      <c r="D346" s="119">
        <f>IF(TYPE($A346)=1,"",(Update!$M344-D$1)/D$2)</f>
        <v>-1.963370999</v>
      </c>
      <c r="E346" s="119">
        <f>IF(TYPE($A346)=1,"",(Update!$N344-E$1)/E$2)</f>
        <v>-1.318645434</v>
      </c>
      <c r="F346" s="119">
        <f>IF(TYPE($A346)=1,"",(Update!$O344-F$1)/F$2)</f>
        <v>-1.852385824</v>
      </c>
      <c r="G346" s="119">
        <f>IF(TYPE($A346)=1,"",(Update!$P344-G$1)/G$2)</f>
        <v>-0.7528774808</v>
      </c>
      <c r="H346" s="119">
        <f>IF(TYPE($A346)=1,"",(Update!$H344-H$1)/H$2*I346/$I$1)</f>
        <v>-0.5885797762</v>
      </c>
      <c r="I346" s="119">
        <f>IF(TYPE($A346)=1,"",IF(Update!H344=0,0,Update!G344/Update!H344))</f>
        <v>4.9</v>
      </c>
      <c r="J346" s="120">
        <f>IF(TYPE($A346)=1,"",(Update!$J344-J$1)/J$2*K346/$K$1)</f>
        <v>-0.04952996032</v>
      </c>
      <c r="K346" s="121">
        <f>IF(TYPE($A346)=1,"",IF(Update!J344=0,0,Update!I344/Update!J344))</f>
        <v>0.4</v>
      </c>
      <c r="L346" s="119">
        <f>IF(TYPE($A346)=1,"",-(Update!$Q344-L$1)/L$2)</f>
        <v>1.856152079</v>
      </c>
      <c r="N346" s="124">
        <v>326.0</v>
      </c>
      <c r="O346" s="130" t="str">
        <f>IF(Update!B320="",ROW(Update!B320),Update!B320)</f>
        <v>Otto Porter Jr.</v>
      </c>
      <c r="P346" s="131">
        <f>Update!E320</f>
        <v>30</v>
      </c>
      <c r="Q346" s="131" t="str">
        <f>IF(Update!C320="",ROW(Update!N335),Update!C320)</f>
        <v>SG,SF</v>
      </c>
      <c r="R346" s="127">
        <f>VLOOKUP($O346,'NO USAR1'!$A$4:$L$403,2,False)+VLOOKUP($O346,'NO USAR1'!$A$4:$L$403,3,False)+VLOOKUP($O346,'NO USAR1'!$A$4:$L$403,4,False)+VLOOKUP($O346,'NO USAR1'!$A$4:$L$403,5,False)+VLOOKUP($O346,'NO USAR1'!$A$4:$L$403,6,False)+VLOOKUP($O346,'NO USAR1'!$A$4:$L$403,7,False)+VLOOKUP($O346,'NO USAR1'!$A$4:$L$403,8,False)+VLOOKUP($O346,'NO USAR1'!$A$4:$L$403,10,False)+VLOOKUP($O346,'NO USAR1'!$A$4:$L$403,12,False)*0</f>
        <v>-8.756740651</v>
      </c>
      <c r="S346" s="127">
        <f>VLOOKUP($O346,'NO USAR1'!$A$4:$L$403,2,False)*$U$19+VLOOKUP($O346,'NO USAR1'!$A$4:$L$403,3,False)*$V$19+VLOOKUP($O346,'NO USAR1'!$A$4:$L$403,4,False)*$W$19+VLOOKUP($O346,'NO USAR1'!$A$4:$L$403,5,False)*$X$19+VLOOKUP($O346,'NO USAR1'!$A$4:$L$403,6,False)*$Y$19+VLOOKUP($O346,'NO USAR1'!$A$4:$L$403,7,False)*$Z$19+VLOOKUP($O346,'NO USAR1'!$A$4:$L$403,8,False)*$AA$19+VLOOKUP($O346,'NO USAR1'!$A$4:$L$403,10,False)*$AB$19+VLOOKUP($O346,'NO USAR1'!$A$4:$L$403,12,False)*$AC$19+IF(Projections!$K$3,-AN346, IF(Projections!$J$3,-AM346,0))</f>
        <v>-5.256936513</v>
      </c>
      <c r="T346" s="127">
        <f t="shared" si="1"/>
        <v>3.499804138</v>
      </c>
      <c r="U346" s="127">
        <f>VLOOKUP($O346,Update!$B$2:$R$401,11,False)</f>
        <v>3.8</v>
      </c>
      <c r="V346" s="122">
        <f>VLOOKUP($O346,Update!$B$2:$R$401,10,False)</f>
        <v>0.6</v>
      </c>
      <c r="W346" s="127">
        <f>VLOOKUP($O346,Update!$B$2:$R$401,12,False)</f>
        <v>2.6</v>
      </c>
      <c r="X346" s="127">
        <f>VLOOKUP($O346,Update!$B$2:$R$401,13,False)</f>
        <v>0.7</v>
      </c>
      <c r="Y346" s="127">
        <f>VLOOKUP($O346,Update!$B$2:$R$401,14,False)</f>
        <v>0.5</v>
      </c>
      <c r="Z346" s="132">
        <f>VLOOKUP($O346,Update!$B$2:$R$401,15,False)</f>
        <v>0.2</v>
      </c>
      <c r="AA346" s="127">
        <f>100*VLOOKUP($O346,Update!$B$2:$R$401,7,False)</f>
        <v>46.66666667</v>
      </c>
      <c r="AB346" s="127">
        <f>100*VLOOKUP($O346,Update!$B$2:$R$401,9,False)</f>
        <v>80</v>
      </c>
      <c r="AC346" s="127">
        <f>VLOOKUP($O346,Update!$B$2:$Q$401,16,False)</f>
        <v>0.3</v>
      </c>
      <c r="AD346" s="127">
        <f>VLOOKUP($O346,'NO USAR1'!$A$4:$L$403,2,False)*$U$19</f>
        <v>-2.267803279</v>
      </c>
      <c r="AE346" s="127">
        <f>VLOOKUP($O346,'NO USAR1'!$A$4:$L$403,3,False)*$V$19</f>
        <v>-0.9058605394</v>
      </c>
      <c r="AF346" s="127">
        <f>VLOOKUP($O346,'NO USAR1'!$A$4:$L$403,4,False)*$W$19</f>
        <v>-1.461586561</v>
      </c>
      <c r="AG346" s="127">
        <f>VLOOKUP($O346,'NO USAR1'!$A$4:$L$403,5,False)*$X$19</f>
        <v>-1.603517358</v>
      </c>
      <c r="AH346" s="127">
        <f>VLOOKUP($O346,'NO USAR1'!$A$4:$L$403,6,False)*$Y$19</f>
        <v>-1.078620176</v>
      </c>
      <c r="AI346" s="127">
        <f>VLOOKUP($O346,'NO USAR1'!$A$4:$L$403,7,False)*$Z$19</f>
        <v>-0.6583300762</v>
      </c>
      <c r="AJ346" s="127">
        <f>VLOOKUP($O346,'NO USAR1'!$A$4:$L$403,8,False)*$AA$19</f>
        <v>-0.08785346158</v>
      </c>
      <c r="AK346" s="132">
        <f>VLOOKUP($O346,'NO USAR1'!$A$4:$L$403,10,False)*$AB$19</f>
        <v>0.01270113039</v>
      </c>
      <c r="AL346" s="127">
        <f>VLOOKUP($O346,'NO USAR1'!$A$4:$L$403,12,False)*$AC$19</f>
        <v>0.5261305291</v>
      </c>
      <c r="AM346" s="133">
        <f t="shared" si="2"/>
        <v>-2.267803279</v>
      </c>
      <c r="AN346" s="133">
        <f t="shared" si="3"/>
        <v>-3.871320638</v>
      </c>
    </row>
    <row r="347">
      <c r="A347" s="118" t="str">
        <f>IF(Update!B345="",ROW(Update!B345),Update!B345)</f>
        <v>Moses Moody</v>
      </c>
      <c r="B347" s="119">
        <f>IF(TYPE($A347)=1,"",(Update!$L345-B$1)/B$2)</f>
        <v>-1.89704525</v>
      </c>
      <c r="C347" s="119">
        <f>IF(TYPE($A347)=1,"",(Update!$K345-C$1)/C$2)</f>
        <v>-0.6211211385</v>
      </c>
      <c r="D347" s="119">
        <f>IF(TYPE($A347)=1,"",(Update!$M345-D$1)/D$2)</f>
        <v>-1.67066341</v>
      </c>
      <c r="E347" s="119">
        <f>IF(TYPE($A347)=1,"",(Update!$N345-E$1)/E$2)</f>
        <v>-1.41137718</v>
      </c>
      <c r="F347" s="119">
        <f>IF(TYPE($A347)=1,"",(Update!$O345-F$1)/F$2)</f>
        <v>-2.163885682</v>
      </c>
      <c r="G347" s="119">
        <f>IF(TYPE($A347)=1,"",(Update!$P345-G$1)/G$2)</f>
        <v>-0.9404715375</v>
      </c>
      <c r="H347" s="119">
        <f>IF(TYPE($A347)=1,"",(Update!$H345-H$1)/H$2*I347/$I$1)</f>
        <v>-0.2565161028</v>
      </c>
      <c r="I347" s="119">
        <f>IF(TYPE($A347)=1,"",IF(Update!H345=0,0,Update!G345/Update!H345))</f>
        <v>4.7</v>
      </c>
      <c r="J347" s="120">
        <f>IF(TYPE($A347)=1,"",(Update!$J345-J$1)/J$2*K347/$K$1)</f>
        <v>-0.2794026276</v>
      </c>
      <c r="K347" s="121">
        <f>IF(TYPE($A347)=1,"",IF(Update!J345=0,0,Update!I345/Update!J345))</f>
        <v>1</v>
      </c>
      <c r="L347" s="119">
        <f>IF(TYPE($A347)=1,"",-(Update!$Q345-L$1)/L$2)</f>
        <v>1.856152079</v>
      </c>
      <c r="N347" s="124">
        <v>327.0</v>
      </c>
      <c r="O347" s="130" t="str">
        <f>IF(Update!B348="",ROW(Update!B348),Update!B348)</f>
        <v>Dennis Smith Jr.</v>
      </c>
      <c r="P347" s="131">
        <f>Update!E348</f>
        <v>43</v>
      </c>
      <c r="Q347" s="131" t="str">
        <f>IF(Update!C348="",ROW(Update!N363),Update!C348)</f>
        <v>PG,SG</v>
      </c>
      <c r="R347" s="127">
        <f>VLOOKUP($O347,'NO USAR1'!$A$4:$L$403,2,False)+VLOOKUP($O347,'NO USAR1'!$A$4:$L$403,3,False)+VLOOKUP($O347,'NO USAR1'!$A$4:$L$403,4,False)+VLOOKUP($O347,'NO USAR1'!$A$4:$L$403,5,False)+VLOOKUP($O347,'NO USAR1'!$A$4:$L$403,6,False)+VLOOKUP($O347,'NO USAR1'!$A$4:$L$403,7,False)+VLOOKUP($O347,'NO USAR1'!$A$4:$L$403,8,False)+VLOOKUP($O347,'NO USAR1'!$A$4:$L$403,10,False)+VLOOKUP($O347,'NO USAR1'!$A$4:$L$403,12,False)*0</f>
        <v>-8.790015838</v>
      </c>
      <c r="S347" s="127">
        <f>VLOOKUP($O347,'NO USAR1'!$A$4:$L$403,2,False)*$U$19+VLOOKUP($O347,'NO USAR1'!$A$4:$L$403,3,False)*$V$19+VLOOKUP($O347,'NO USAR1'!$A$4:$L$403,4,False)*$W$19+VLOOKUP($O347,'NO USAR1'!$A$4:$L$403,5,False)*$X$19+VLOOKUP($O347,'NO USAR1'!$A$4:$L$403,6,False)*$Y$19+VLOOKUP($O347,'NO USAR1'!$A$4:$L$403,7,False)*$Z$19+VLOOKUP($O347,'NO USAR1'!$A$4:$L$403,8,False)*$AA$19+VLOOKUP($O347,'NO USAR1'!$A$4:$L$403,10,False)*$AB$19+VLOOKUP($O347,'NO USAR1'!$A$4:$L$403,12,False)*$AC$19+IF(Projections!$K$3,-AN347, IF(Projections!$J$3,-AM347,0))</f>
        <v>-5.44998098</v>
      </c>
      <c r="T347" s="127">
        <f t="shared" si="1"/>
        <v>3.340034858</v>
      </c>
      <c r="U347" s="127">
        <f>VLOOKUP($O347,Update!$B$2:$R$401,11,False)</f>
        <v>3.9</v>
      </c>
      <c r="V347" s="122">
        <f>VLOOKUP($O347,Update!$B$2:$R$401,10,False)</f>
        <v>0.2</v>
      </c>
      <c r="W347" s="127">
        <f>VLOOKUP($O347,Update!$B$2:$R$401,12,False)</f>
        <v>1.5</v>
      </c>
      <c r="X347" s="127">
        <f>VLOOKUP($O347,Update!$B$2:$R$401,13,False)</f>
        <v>2.3</v>
      </c>
      <c r="Y347" s="127">
        <f>VLOOKUP($O347,Update!$B$2:$R$401,14,False)</f>
        <v>0.7</v>
      </c>
      <c r="Z347" s="132">
        <f>VLOOKUP($O347,Update!$B$2:$R$401,15,False)</f>
        <v>0.2</v>
      </c>
      <c r="AA347" s="127">
        <f>100*VLOOKUP($O347,Update!$B$2:$R$401,7,False)</f>
        <v>40.54054054</v>
      </c>
      <c r="AB347" s="127">
        <f>100*VLOOKUP($O347,Update!$B$2:$R$401,9,False)</f>
        <v>70</v>
      </c>
      <c r="AC347" s="127">
        <f>VLOOKUP($O347,Update!$B$2:$Q$401,16,False)</f>
        <v>0.8</v>
      </c>
      <c r="AD347" s="127">
        <f>VLOOKUP($O347,'NO USAR1'!$A$4:$L$403,2,False)*$U$19</f>
        <v>-2.250950642</v>
      </c>
      <c r="AE347" s="127">
        <f>VLOOKUP($O347,'NO USAR1'!$A$4:$L$403,3,False)*$V$19</f>
        <v>-1.252712054</v>
      </c>
      <c r="AF347" s="127">
        <f>VLOOKUP($O347,'NO USAR1'!$A$4:$L$403,4,False)*$W$19</f>
        <v>-1.921555629</v>
      </c>
      <c r="AG347" s="127">
        <f>VLOOKUP($O347,'NO USAR1'!$A$4:$L$403,5,False)*$X$19</f>
        <v>-0.7874779903</v>
      </c>
      <c r="AH347" s="127">
        <f>VLOOKUP($O347,'NO USAR1'!$A$4:$L$403,6,False)*$Y$19</f>
        <v>-0.6425203744</v>
      </c>
      <c r="AI347" s="127">
        <f>VLOOKUP($O347,'NO USAR1'!$A$4:$L$403,7,False)*$Z$19</f>
        <v>-0.6583300762</v>
      </c>
      <c r="AJ347" s="127">
        <f>VLOOKUP($O347,'NO USAR1'!$A$4:$L$403,8,False)*$AA$19</f>
        <v>-0.3347620092</v>
      </c>
      <c r="AK347" s="132">
        <f>VLOOKUP($O347,'NO USAR1'!$A$4:$L$403,10,False)*$AB$19</f>
        <v>-0.2235221021</v>
      </c>
      <c r="AL347" s="127">
        <f>VLOOKUP($O347,'NO USAR1'!$A$4:$L$403,12,False)*$AC$19</f>
        <v>0.3708992557</v>
      </c>
      <c r="AM347" s="133">
        <f t="shared" si="2"/>
        <v>-2.250950642</v>
      </c>
      <c r="AN347" s="133">
        <f t="shared" si="3"/>
        <v>-4.172506271</v>
      </c>
    </row>
    <row r="348">
      <c r="A348" s="118" t="str">
        <f>IF(Update!B346="",ROW(Update!B346),Update!B346)</f>
        <v>Aaron Wiggins</v>
      </c>
      <c r="B348" s="119">
        <f>IF(TYPE($A348)=1,"",(Update!$L346-B$1)/B$2)</f>
        <v>-2.048718989</v>
      </c>
      <c r="C348" s="119">
        <f>IF(TYPE($A348)=1,"",(Update!$K346-C$1)/C$2)</f>
        <v>-1.102859353</v>
      </c>
      <c r="D348" s="119">
        <f>IF(TYPE($A348)=1,"",(Update!$M346-D$1)/D$2)</f>
        <v>-1.62884804</v>
      </c>
      <c r="E348" s="119">
        <f>IF(TYPE($A348)=1,"",(Update!$N346-E$1)/E$2)</f>
        <v>-1.41137718</v>
      </c>
      <c r="F348" s="119">
        <f>IF(TYPE($A348)=1,"",(Update!$O346-F$1)/F$2)</f>
        <v>-1.852385824</v>
      </c>
      <c r="G348" s="119">
        <f>IF(TYPE($A348)=1,"",(Update!$P346-G$1)/G$2)</f>
        <v>-1.128065594</v>
      </c>
      <c r="H348" s="119">
        <f>IF(TYPE($A348)=1,"",(Update!$H346-H$1)/H$2*I348/$I$1)</f>
        <v>-0.09315827534</v>
      </c>
      <c r="I348" s="119">
        <f>IF(TYPE($A348)=1,"",IF(Update!H346=0,0,Update!G346/Update!H346))</f>
        <v>4</v>
      </c>
      <c r="J348" s="120">
        <f>IF(TYPE($A348)=1,"",(Update!$J346-J$1)/J$2*K348/$K$1)</f>
        <v>-0.03365354734</v>
      </c>
      <c r="K348" s="121">
        <f>IF(TYPE($A348)=1,"",IF(Update!J346=0,0,Update!I346/Update!J346))</f>
        <v>0.9</v>
      </c>
      <c r="L348" s="119">
        <f>IF(TYPE($A348)=1,"",-(Update!$Q346-L$1)/L$2)</f>
        <v>1.73196706</v>
      </c>
      <c r="N348" s="33">
        <v>328.0</v>
      </c>
      <c r="O348" s="130" t="str">
        <f>IF(Update!B324="",ROW(Update!B324),Update!B324)</f>
        <v>Bol Bol</v>
      </c>
      <c r="P348" s="131">
        <f>Update!E324</f>
        <v>40</v>
      </c>
      <c r="Q348" s="131" t="str">
        <f>IF(Update!C324="",ROW(Update!N339),Update!C324)</f>
        <v>PF,C</v>
      </c>
      <c r="R348" s="127">
        <f>VLOOKUP($O348,'NO USAR1'!$A$4:$L$403,2,False)+VLOOKUP($O348,'NO USAR1'!$A$4:$L$403,3,False)+VLOOKUP($O348,'NO USAR1'!$A$4:$L$403,4,False)+VLOOKUP($O348,'NO USAR1'!$A$4:$L$403,5,False)+VLOOKUP($O348,'NO USAR1'!$A$4:$L$403,6,False)+VLOOKUP($O348,'NO USAR1'!$A$4:$L$403,7,False)+VLOOKUP($O348,'NO USAR1'!$A$4:$L$403,8,False)+VLOOKUP($O348,'NO USAR1'!$A$4:$L$403,10,False)+VLOOKUP($O348,'NO USAR1'!$A$4:$L$403,12,False)*0</f>
        <v>-8.824627493</v>
      </c>
      <c r="S348" s="127">
        <f>VLOOKUP($O348,'NO USAR1'!$A$4:$L$403,2,False)*$U$19+VLOOKUP($O348,'NO USAR1'!$A$4:$L$403,3,False)*$V$19+VLOOKUP($O348,'NO USAR1'!$A$4:$L$403,4,False)*$W$19+VLOOKUP($O348,'NO USAR1'!$A$4:$L$403,5,False)*$X$19+VLOOKUP($O348,'NO USAR1'!$A$4:$L$403,6,False)*$Y$19+VLOOKUP($O348,'NO USAR1'!$A$4:$L$403,7,False)*$Z$19+VLOOKUP($O348,'NO USAR1'!$A$4:$L$403,8,False)*$AA$19+VLOOKUP($O348,'NO USAR1'!$A$4:$L$403,10,False)*$AB$19+VLOOKUP($O348,'NO USAR1'!$A$4:$L$403,12,False)*$AC$19+IF(Projections!$K$3,-AN348, IF(Projections!$J$3,-AM348,0))</f>
        <v>-5.550710068</v>
      </c>
      <c r="T348" s="127">
        <f t="shared" si="1"/>
        <v>3.273917425</v>
      </c>
      <c r="U348" s="127">
        <f>VLOOKUP($O348,Update!$B$2:$R$401,11,False)</f>
        <v>4.4</v>
      </c>
      <c r="V348" s="122">
        <f>VLOOKUP($O348,Update!$B$2:$R$401,10,False)</f>
        <v>0.2</v>
      </c>
      <c r="W348" s="127">
        <f>VLOOKUP($O348,Update!$B$2:$R$401,12,False)</f>
        <v>2.8</v>
      </c>
      <c r="X348" s="127">
        <f>VLOOKUP($O348,Update!$B$2:$R$401,13,False)</f>
        <v>0.5</v>
      </c>
      <c r="Y348" s="127">
        <f>VLOOKUP($O348,Update!$B$2:$R$401,14,False)</f>
        <v>0.2</v>
      </c>
      <c r="Z348" s="132">
        <f>VLOOKUP($O348,Update!$B$2:$R$401,15,False)</f>
        <v>0.6</v>
      </c>
      <c r="AA348" s="127">
        <f>100*VLOOKUP($O348,Update!$B$2:$R$401,7,False)</f>
        <v>54.54545455</v>
      </c>
      <c r="AB348" s="127">
        <f>100*VLOOKUP($O348,Update!$B$2:$R$401,9,False)</f>
        <v>85.71428571</v>
      </c>
      <c r="AC348" s="127">
        <f>VLOOKUP($O348,Update!$B$2:$Q$401,16,False)</f>
        <v>0.8</v>
      </c>
      <c r="AD348" s="127">
        <f>VLOOKUP($O348,'NO USAR1'!$A$4:$L$403,2,False)*$U$19</f>
        <v>-2.166687453</v>
      </c>
      <c r="AE348" s="127">
        <f>VLOOKUP($O348,'NO USAR1'!$A$4:$L$403,3,False)*$V$19</f>
        <v>-1.252712054</v>
      </c>
      <c r="AF348" s="127">
        <f>VLOOKUP($O348,'NO USAR1'!$A$4:$L$403,4,False)*$W$19</f>
        <v>-1.377955821</v>
      </c>
      <c r="AG348" s="127">
        <f>VLOOKUP($O348,'NO USAR1'!$A$4:$L$403,5,False)*$X$19</f>
        <v>-1.70552228</v>
      </c>
      <c r="AH348" s="127">
        <f>VLOOKUP($O348,'NO USAR1'!$A$4:$L$403,6,False)*$Y$19</f>
        <v>-1.732769878</v>
      </c>
      <c r="AI348" s="127">
        <f>VLOOKUP($O348,'NO USAR1'!$A$4:$L$403,7,False)*$Z$19</f>
        <v>-0.1330667175</v>
      </c>
      <c r="AJ348" s="127">
        <f>VLOOKUP($O348,'NO USAR1'!$A$4:$L$403,8,False)*$AA$19</f>
        <v>0.1630660999</v>
      </c>
      <c r="AK348" s="132">
        <f>VLOOKUP($O348,'NO USAR1'!$A$4:$L$403,10,False)*$AB$19</f>
        <v>0.1173513277</v>
      </c>
      <c r="AL348" s="127">
        <f>VLOOKUP($O348,'NO USAR1'!$A$4:$L$403,12,False)*$AC$19</f>
        <v>0.3708992557</v>
      </c>
      <c r="AM348" s="133">
        <f t="shared" si="2"/>
        <v>-2.166687453</v>
      </c>
      <c r="AN348" s="133">
        <f t="shared" si="3"/>
        <v>-3.899457331</v>
      </c>
    </row>
    <row r="349">
      <c r="A349" s="118" t="str">
        <f>IF(Update!B347="",ROW(Update!B347),Update!B347)</f>
        <v>Aleksandar Vezenkov</v>
      </c>
      <c r="B349" s="119">
        <f>IF(TYPE($A349)=1,"",(Update!$L347-B$1)/B$2)</f>
        <v>-1.964455801</v>
      </c>
      <c r="C349" s="119">
        <f>IF(TYPE($A349)=1,"",(Update!$K347-C$1)/C$2)</f>
        <v>-0.4284258525</v>
      </c>
      <c r="D349" s="119">
        <f>IF(TYPE($A349)=1,"",(Update!$M347-D$1)/D$2)</f>
        <v>-1.87974026</v>
      </c>
      <c r="E349" s="119">
        <f>IF(TYPE($A349)=1,"",(Update!$N347-E$1)/E$2)</f>
        <v>-1.318645434</v>
      </c>
      <c r="F349" s="119">
        <f>IF(TYPE($A349)=1,"",(Update!$O347-F$1)/F$2)</f>
        <v>-1.852385824</v>
      </c>
      <c r="G349" s="119">
        <f>IF(TYPE($A349)=1,"",(Update!$P347-G$1)/G$2)</f>
        <v>-1.128065594</v>
      </c>
      <c r="H349" s="119">
        <f>IF(TYPE($A349)=1,"",(Update!$H347-H$1)/H$2*I349/$I$1)</f>
        <v>-0.3124542726</v>
      </c>
      <c r="I349" s="119">
        <f>IF(TYPE($A349)=1,"",IF(Update!H347=0,0,Update!G347/Update!H347))</f>
        <v>4.6</v>
      </c>
      <c r="J349" s="120">
        <f>IF(TYPE($A349)=1,"",(Update!$J347-J$1)/J$2*K349/$K$1)</f>
        <v>-0.2298726673</v>
      </c>
      <c r="K349" s="121">
        <f>IF(TYPE($A349)=1,"",IF(Update!J347=0,0,Update!I347/Update!J347))</f>
        <v>0.6</v>
      </c>
      <c r="L349" s="119">
        <f>IF(TYPE($A349)=1,"",-(Update!$Q347-L$1)/L$2)</f>
        <v>1.73196706</v>
      </c>
      <c r="N349" s="33">
        <v>329.0</v>
      </c>
      <c r="O349" s="130" t="str">
        <f>IF(Update!B342="",ROW(Update!B342),Update!B342)</f>
        <v>Usman Garuba</v>
      </c>
      <c r="P349" s="131">
        <f>Update!E342</f>
        <v>26</v>
      </c>
      <c r="Q349" s="131" t="str">
        <f>IF(Update!C342="",ROW(Update!N357),Update!C342)</f>
        <v>PF,C</v>
      </c>
      <c r="R349" s="127">
        <f>VLOOKUP($O349,'NO USAR1'!$A$4:$L$403,2,False)+VLOOKUP($O349,'NO USAR1'!$A$4:$L$403,3,False)+VLOOKUP($O349,'NO USAR1'!$A$4:$L$403,4,False)+VLOOKUP($O349,'NO USAR1'!$A$4:$L$403,5,False)+VLOOKUP($O349,'NO USAR1'!$A$4:$L$403,6,False)+VLOOKUP($O349,'NO USAR1'!$A$4:$L$403,7,False)+VLOOKUP($O349,'NO USAR1'!$A$4:$L$403,8,False)+VLOOKUP($O349,'NO USAR1'!$A$4:$L$403,10,False)+VLOOKUP($O349,'NO USAR1'!$A$4:$L$403,12,False)*0</f>
        <v>-8.832574738</v>
      </c>
      <c r="S349" s="127">
        <f>VLOOKUP($O349,'NO USAR1'!$A$4:$L$403,2,False)*$U$19+VLOOKUP($O349,'NO USAR1'!$A$4:$L$403,3,False)*$V$19+VLOOKUP($O349,'NO USAR1'!$A$4:$L$403,4,False)*$W$19+VLOOKUP($O349,'NO USAR1'!$A$4:$L$403,5,False)*$X$19+VLOOKUP($O349,'NO USAR1'!$A$4:$L$403,6,False)*$Y$19+VLOOKUP($O349,'NO USAR1'!$A$4:$L$403,7,False)*$Z$19+VLOOKUP($O349,'NO USAR1'!$A$4:$L$403,8,False)*$AA$19+VLOOKUP($O349,'NO USAR1'!$A$4:$L$403,10,False)*$AB$19+VLOOKUP($O349,'NO USAR1'!$A$4:$L$403,12,False)*$AC$19+IF(Projections!$K$3,-AN349, IF(Projections!$J$3,-AM349,0))</f>
        <v>-5.185406247</v>
      </c>
      <c r="T349" s="127">
        <f t="shared" si="1"/>
        <v>3.647168491</v>
      </c>
      <c r="U349" s="127">
        <f>VLOOKUP($O349,Update!$B$2:$R$401,11,False)</f>
        <v>2.4</v>
      </c>
      <c r="V349" s="122">
        <f>VLOOKUP($O349,Update!$B$2:$R$401,10,False)</f>
        <v>0.3</v>
      </c>
      <c r="W349" s="127">
        <f>VLOOKUP($O349,Update!$B$2:$R$401,12,False)</f>
        <v>3.4</v>
      </c>
      <c r="X349" s="127">
        <f>VLOOKUP($O349,Update!$B$2:$R$401,13,False)</f>
        <v>0.7</v>
      </c>
      <c r="Y349" s="127">
        <f>VLOOKUP($O349,Update!$B$2:$R$401,14,False)</f>
        <v>0.5</v>
      </c>
      <c r="Z349" s="132">
        <f>VLOOKUP($O349,Update!$B$2:$R$401,15,False)</f>
        <v>0.4</v>
      </c>
      <c r="AA349" s="127">
        <f>100*VLOOKUP($O349,Update!$B$2:$R$401,7,False)</f>
        <v>47.36842105</v>
      </c>
      <c r="AB349" s="127">
        <f>100*VLOOKUP($O349,Update!$B$2:$R$401,9,False)</f>
        <v>60</v>
      </c>
      <c r="AC349" s="127">
        <f>VLOOKUP($O349,Update!$B$2:$Q$401,16,False)</f>
        <v>0.5</v>
      </c>
      <c r="AD349" s="127">
        <f>VLOOKUP($O349,'NO USAR1'!$A$4:$L$403,2,False)*$U$19</f>
        <v>-2.503740207</v>
      </c>
      <c r="AE349" s="127">
        <f>VLOOKUP($O349,'NO USAR1'!$A$4:$L$403,3,False)*$V$19</f>
        <v>-1.165999176</v>
      </c>
      <c r="AF349" s="127">
        <f>VLOOKUP($O349,'NO USAR1'!$A$4:$L$403,4,False)*$W$19</f>
        <v>-1.127063602</v>
      </c>
      <c r="AG349" s="127">
        <f>VLOOKUP($O349,'NO USAR1'!$A$4:$L$403,5,False)*$X$19</f>
        <v>-1.603517358</v>
      </c>
      <c r="AH349" s="127">
        <f>VLOOKUP($O349,'NO USAR1'!$A$4:$L$403,6,False)*$Y$19</f>
        <v>-1.078620176</v>
      </c>
      <c r="AI349" s="127">
        <f>VLOOKUP($O349,'NO USAR1'!$A$4:$L$403,7,False)*$Z$19</f>
        <v>-0.3956983969</v>
      </c>
      <c r="AJ349" s="127">
        <f>VLOOKUP($O349,'NO USAR1'!$A$4:$L$403,8,False)*$AA$19</f>
        <v>-0.04232232528</v>
      </c>
      <c r="AK349" s="132">
        <f>VLOOKUP($O349,'NO USAR1'!$A$4:$L$403,10,False)*$AB$19</f>
        <v>-0.2362232325</v>
      </c>
      <c r="AL349" s="127">
        <f>VLOOKUP($O349,'NO USAR1'!$A$4:$L$403,12,False)*$AC$19</f>
        <v>0.4640380197</v>
      </c>
      <c r="AM349" s="133">
        <f t="shared" si="2"/>
        <v>-2.503740207</v>
      </c>
      <c r="AN349" s="133">
        <f t="shared" si="3"/>
        <v>-4.107257565</v>
      </c>
    </row>
    <row r="350">
      <c r="A350" s="118" t="str">
        <f>IF(Update!B348="",ROW(Update!B348),Update!B348)</f>
        <v>Dennis Smith Jr.</v>
      </c>
      <c r="B350" s="119">
        <f>IF(TYPE($A350)=1,"",(Update!$L348-B$1)/B$2)</f>
        <v>-2.250950642</v>
      </c>
      <c r="C350" s="119">
        <f>IF(TYPE($A350)=1,"",(Update!$K348-C$1)/C$2)</f>
        <v>-1.391902282</v>
      </c>
      <c r="D350" s="119">
        <f>IF(TYPE($A350)=1,"",(Update!$M348-D$1)/D$2)</f>
        <v>-1.921555629</v>
      </c>
      <c r="E350" s="119">
        <f>IF(TYPE($A350)=1,"",(Update!$N348-E$1)/E$2)</f>
        <v>-0.7158890821</v>
      </c>
      <c r="F350" s="119">
        <f>IF(TYPE($A350)=1,"",(Update!$O348-F$1)/F$2)</f>
        <v>-0.9178862491</v>
      </c>
      <c r="G350" s="119">
        <f>IF(TYPE($A350)=1,"",(Update!$P348-G$1)/G$2)</f>
        <v>-0.9404715375</v>
      </c>
      <c r="H350" s="119">
        <f>IF(TYPE($A350)=1,"",(Update!$H348-H$1)/H$2*I350/$I$1)</f>
        <v>-0.371957788</v>
      </c>
      <c r="I350" s="119">
        <f>IF(TYPE($A350)=1,"",IF(Update!H348=0,0,Update!G348/Update!H348))</f>
        <v>3.7</v>
      </c>
      <c r="J350" s="120">
        <f>IF(TYPE($A350)=1,"",(Update!$J348-J$1)/J$2*K350/$K$1)</f>
        <v>-0.2794026276</v>
      </c>
      <c r="K350" s="121">
        <f>IF(TYPE($A350)=1,"",IF(Update!J348=0,0,Update!I348/Update!J348))</f>
        <v>1</v>
      </c>
      <c r="L350" s="119">
        <f>IF(TYPE($A350)=1,"",-(Update!$Q348-L$1)/L$2)</f>
        <v>1.483597023</v>
      </c>
      <c r="N350" s="124">
        <v>330.0</v>
      </c>
      <c r="O350" s="130" t="str">
        <f>IF(Update!B336="",ROW(Update!B336),Update!B336)</f>
        <v>Chimezie Metu</v>
      </c>
      <c r="P350" s="131">
        <f>Update!E336</f>
        <v>40</v>
      </c>
      <c r="Q350" s="131" t="str">
        <f>IF(Update!C336="",ROW(Update!N351),Update!C336)</f>
        <v>PF,C</v>
      </c>
      <c r="R350" s="127">
        <f>VLOOKUP($O350,'NO USAR1'!$A$4:$L$403,2,False)+VLOOKUP($O350,'NO USAR1'!$A$4:$L$403,3,False)+VLOOKUP($O350,'NO USAR1'!$A$4:$L$403,4,False)+VLOOKUP($O350,'NO USAR1'!$A$4:$L$403,5,False)+VLOOKUP($O350,'NO USAR1'!$A$4:$L$403,6,False)+VLOOKUP($O350,'NO USAR1'!$A$4:$L$403,7,False)+VLOOKUP($O350,'NO USAR1'!$A$4:$L$403,8,False)+VLOOKUP($O350,'NO USAR1'!$A$4:$L$403,10,False)+VLOOKUP($O350,'NO USAR1'!$A$4:$L$403,12,False)*0</f>
        <v>-8.841677222</v>
      </c>
      <c r="S350" s="127">
        <f>VLOOKUP($O350,'NO USAR1'!$A$4:$L$403,2,False)*$U$19+VLOOKUP($O350,'NO USAR1'!$A$4:$L$403,3,False)*$V$19+VLOOKUP($O350,'NO USAR1'!$A$4:$L$403,4,False)*$W$19+VLOOKUP($O350,'NO USAR1'!$A$4:$L$403,5,False)*$X$19+VLOOKUP($O350,'NO USAR1'!$A$4:$L$403,6,False)*$Y$19+VLOOKUP($O350,'NO USAR1'!$A$4:$L$403,7,False)*$Z$19+VLOOKUP($O350,'NO USAR1'!$A$4:$L$403,8,False)*$AA$19+VLOOKUP($O350,'NO USAR1'!$A$4:$L$403,10,False)*$AB$19+VLOOKUP($O350,'NO USAR1'!$A$4:$L$403,12,False)*$AC$19+IF(Projections!$K$3,-AN350, IF(Projections!$J$3,-AM350,0))</f>
        <v>-5.49307851</v>
      </c>
      <c r="T350" s="127">
        <f t="shared" si="1"/>
        <v>3.348598712</v>
      </c>
      <c r="U350" s="127">
        <f>VLOOKUP($O350,Update!$B$2:$R$401,11,False)</f>
        <v>4.6</v>
      </c>
      <c r="V350" s="122">
        <f>VLOOKUP($O350,Update!$B$2:$R$401,10,False)</f>
        <v>0.4</v>
      </c>
      <c r="W350" s="127">
        <f>VLOOKUP($O350,Update!$B$2:$R$401,12,False)</f>
        <v>2.9</v>
      </c>
      <c r="X350" s="127">
        <f>VLOOKUP($O350,Update!$B$2:$R$401,13,False)</f>
        <v>0.5</v>
      </c>
      <c r="Y350" s="127">
        <f>VLOOKUP($O350,Update!$B$2:$R$401,14,False)</f>
        <v>0.4</v>
      </c>
      <c r="Z350" s="132">
        <f>VLOOKUP($O350,Update!$B$2:$R$401,15,False)</f>
        <v>0.3</v>
      </c>
      <c r="AA350" s="127">
        <f>100*VLOOKUP($O350,Update!$B$2:$R$401,7,False)</f>
        <v>50</v>
      </c>
      <c r="AB350" s="127">
        <f>100*VLOOKUP($O350,Update!$B$2:$R$401,9,False)</f>
        <v>77.77777778</v>
      </c>
      <c r="AC350" s="127">
        <f>VLOOKUP($O350,Update!$B$2:$Q$401,16,False)</f>
        <v>0.5</v>
      </c>
      <c r="AD350" s="127">
        <f>VLOOKUP($O350,'NO USAR1'!$A$4:$L$403,2,False)*$U$19</f>
        <v>-2.132982178</v>
      </c>
      <c r="AE350" s="127">
        <f>VLOOKUP($O350,'NO USAR1'!$A$4:$L$403,3,False)*$V$19</f>
        <v>-1.079286297</v>
      </c>
      <c r="AF350" s="127">
        <f>VLOOKUP($O350,'NO USAR1'!$A$4:$L$403,4,False)*$W$19</f>
        <v>-1.336140451</v>
      </c>
      <c r="AG350" s="127">
        <f>VLOOKUP($O350,'NO USAR1'!$A$4:$L$403,5,False)*$X$19</f>
        <v>-1.70552228</v>
      </c>
      <c r="AH350" s="127">
        <f>VLOOKUP($O350,'NO USAR1'!$A$4:$L$403,6,False)*$Y$19</f>
        <v>-1.296670077</v>
      </c>
      <c r="AI350" s="127">
        <f>VLOOKUP($O350,'NO USAR1'!$A$4:$L$403,7,False)*$Z$19</f>
        <v>-0.5270142365</v>
      </c>
      <c r="AJ350" s="127">
        <f>VLOOKUP($O350,'NO USAR1'!$A$4:$L$403,8,False)*$AA$19</f>
        <v>0.01443964961</v>
      </c>
      <c r="AK350" s="132">
        <f>VLOOKUP($O350,'NO USAR1'!$A$4:$L$403,10,False)*$AB$19</f>
        <v>-0.02692283787</v>
      </c>
      <c r="AL350" s="127">
        <f>VLOOKUP($O350,'NO USAR1'!$A$4:$L$403,12,False)*$AC$19</f>
        <v>0.4640380197</v>
      </c>
      <c r="AM350" s="133">
        <f t="shared" si="2"/>
        <v>-2.132982178</v>
      </c>
      <c r="AN350" s="133">
        <f t="shared" si="3"/>
        <v>-3.838504457</v>
      </c>
    </row>
    <row r="351">
      <c r="A351" s="118" t="str">
        <f>IF(Update!B349="",ROW(Update!B349),Update!B349)</f>
        <v>JaVale McGee</v>
      </c>
      <c r="B351" s="119">
        <f>IF(TYPE($A351)=1,"",(Update!$L349-B$1)/B$2)</f>
        <v>-2.200392728</v>
      </c>
      <c r="C351" s="119">
        <f>IF(TYPE($A351)=1,"",(Update!$K349-C$1)/C$2)</f>
        <v>-1.584597568</v>
      </c>
      <c r="D351" s="119">
        <f>IF(TYPE($A351)=1,"",(Update!$M349-D$1)/D$2)</f>
        <v>-1.294325082</v>
      </c>
      <c r="E351" s="119">
        <f>IF(TYPE($A351)=1,"",(Update!$N349-E$1)/E$2)</f>
        <v>-1.643206546</v>
      </c>
      <c r="F351" s="119">
        <f>IF(TYPE($A351)=1,"",(Update!$O349-F$1)/F$2)</f>
        <v>-2.786885399</v>
      </c>
      <c r="G351" s="119">
        <f>IF(TYPE($A351)=1,"",(Update!$P349-G$1)/G$2)</f>
        <v>-0.3776893674</v>
      </c>
      <c r="H351" s="119">
        <f>IF(TYPE($A351)=1,"",(Update!$H349-H$1)/H$2*I351/$I$1)</f>
        <v>0.4013718891</v>
      </c>
      <c r="I351" s="119">
        <f>IF(TYPE($A351)=1,"",IF(Update!H349=0,0,Update!G349/Update!H349))</f>
        <v>2.9</v>
      </c>
      <c r="J351" s="120">
        <f>IF(TYPE($A351)=1,"",(Update!$J349-J$1)/J$2*K351/$K$1)</f>
        <v>-0.3448090009</v>
      </c>
      <c r="K351" s="121">
        <f>IF(TYPE($A351)=1,"",IF(Update!J349=0,0,Update!I349/Update!J349))</f>
        <v>0.9</v>
      </c>
      <c r="L351" s="119">
        <f>IF(TYPE($A351)=1,"",-(Update!$Q349-L$1)/L$2)</f>
        <v>1.607782042</v>
      </c>
      <c r="N351" s="124">
        <v>331.0</v>
      </c>
      <c r="O351" s="130" t="str">
        <f>IF(Update!B315="",ROW(Update!B315),Update!B315)</f>
        <v>Jaxson Hayes</v>
      </c>
      <c r="P351" s="131">
        <f>Update!E315</f>
        <v>67</v>
      </c>
      <c r="Q351" s="131" t="str">
        <f>IF(Update!C315="",ROW(Update!N330),Update!C315)</f>
        <v>PF,C</v>
      </c>
      <c r="R351" s="127">
        <f>VLOOKUP($O351,'NO USAR1'!$A$4:$L$403,2,False)+VLOOKUP($O351,'NO USAR1'!$A$4:$L$403,3,False)+VLOOKUP($O351,'NO USAR1'!$A$4:$L$403,4,False)+VLOOKUP($O351,'NO USAR1'!$A$4:$L$403,5,False)+VLOOKUP($O351,'NO USAR1'!$A$4:$L$403,6,False)+VLOOKUP($O351,'NO USAR1'!$A$4:$L$403,7,False)+VLOOKUP($O351,'NO USAR1'!$A$4:$L$403,8,False)+VLOOKUP($O351,'NO USAR1'!$A$4:$L$403,10,False)+VLOOKUP($O351,'NO USAR1'!$A$4:$L$403,12,False)*0</f>
        <v>-8.848244155</v>
      </c>
      <c r="S351" s="127">
        <f>VLOOKUP($O351,'NO USAR1'!$A$4:$L$403,2,False)*$U$19+VLOOKUP($O351,'NO USAR1'!$A$4:$L$403,3,False)*$V$19+VLOOKUP($O351,'NO USAR1'!$A$4:$L$403,4,False)*$W$19+VLOOKUP($O351,'NO USAR1'!$A$4:$L$403,5,False)*$X$19+VLOOKUP($O351,'NO USAR1'!$A$4:$L$403,6,False)*$Y$19+VLOOKUP($O351,'NO USAR1'!$A$4:$L$403,7,False)*$Z$19+VLOOKUP($O351,'NO USAR1'!$A$4:$L$403,8,False)*$AA$19+VLOOKUP($O351,'NO USAR1'!$A$4:$L$403,10,False)*$AB$19+VLOOKUP($O351,'NO USAR1'!$A$4:$L$403,12,False)*$AC$19+IF(Projections!$K$3,-AN351, IF(Projections!$J$3,-AM351,0))</f>
        <v>-5.624981836</v>
      </c>
      <c r="T351" s="127">
        <f t="shared" si="1"/>
        <v>3.223262319</v>
      </c>
      <c r="U351" s="127">
        <f>VLOOKUP($O351,Update!$B$2:$R$401,11,False)</f>
        <v>5.4</v>
      </c>
      <c r="V351" s="122">
        <f>VLOOKUP($O351,Update!$B$2:$R$401,10,False)</f>
        <v>0.1</v>
      </c>
      <c r="W351" s="127">
        <f>VLOOKUP($O351,Update!$B$2:$R$401,12,False)</f>
        <v>2.7</v>
      </c>
      <c r="X351" s="127">
        <f>VLOOKUP($O351,Update!$B$2:$R$401,13,False)</f>
        <v>0.5</v>
      </c>
      <c r="Y351" s="127">
        <f>VLOOKUP($O351,Update!$B$2:$R$401,14,False)</f>
        <v>0.3</v>
      </c>
      <c r="Z351" s="132">
        <f>VLOOKUP($O351,Update!$B$2:$R$401,15,False)</f>
        <v>0.5</v>
      </c>
      <c r="AA351" s="127">
        <f>100*VLOOKUP($O351,Update!$B$2:$R$401,7,False)</f>
        <v>58.82352941</v>
      </c>
      <c r="AB351" s="127">
        <f>100*VLOOKUP($O351,Update!$B$2:$R$401,9,False)</f>
        <v>75</v>
      </c>
      <c r="AC351" s="127">
        <f>VLOOKUP($O351,Update!$B$2:$Q$401,16,False)</f>
        <v>0.5</v>
      </c>
      <c r="AD351" s="127">
        <f>VLOOKUP($O351,'NO USAR1'!$A$4:$L$403,2,False)*$U$19</f>
        <v>-1.998161076</v>
      </c>
      <c r="AE351" s="127">
        <f>VLOOKUP($O351,'NO USAR1'!$A$4:$L$403,3,False)*$V$19</f>
        <v>-1.339424933</v>
      </c>
      <c r="AF351" s="127">
        <f>VLOOKUP($O351,'NO USAR1'!$A$4:$L$403,4,False)*$W$19</f>
        <v>-1.419771191</v>
      </c>
      <c r="AG351" s="127">
        <f>VLOOKUP($O351,'NO USAR1'!$A$4:$L$403,5,False)*$X$19</f>
        <v>-1.70552228</v>
      </c>
      <c r="AH351" s="127">
        <f>VLOOKUP($O351,'NO USAR1'!$A$4:$L$403,6,False)*$Y$19</f>
        <v>-1.514719978</v>
      </c>
      <c r="AI351" s="127">
        <f>VLOOKUP($O351,'NO USAR1'!$A$4:$L$403,7,False)*$Z$19</f>
        <v>-0.2643825572</v>
      </c>
      <c r="AJ351" s="127">
        <f>VLOOKUP($O351,'NO USAR1'!$A$4:$L$403,8,False)*$AA$19</f>
        <v>0.3132969556</v>
      </c>
      <c r="AK351" s="132">
        <f>VLOOKUP($O351,'NO USAR1'!$A$4:$L$403,10,False)*$AB$19</f>
        <v>-0.158495873</v>
      </c>
      <c r="AL351" s="127">
        <f>VLOOKUP($O351,'NO USAR1'!$A$4:$L$403,12,False)*$AC$19</f>
        <v>0.4640380197</v>
      </c>
      <c r="AM351" s="133">
        <f t="shared" si="2"/>
        <v>-1.998161076</v>
      </c>
      <c r="AN351" s="133">
        <f t="shared" si="3"/>
        <v>-3.703683356</v>
      </c>
    </row>
    <row r="352">
      <c r="A352" s="118" t="str">
        <f>IF(Update!B350="",ROW(Update!B350),Update!B350)</f>
        <v>Kobe Brown</v>
      </c>
      <c r="B352" s="119">
        <f>IF(TYPE($A352)=1,"",(Update!$L350-B$1)/B$2)</f>
        <v>-1.89704525</v>
      </c>
      <c r="C352" s="119">
        <f>IF(TYPE($A352)=1,"",(Update!$K350-C$1)/C$2)</f>
        <v>-0.6211211385</v>
      </c>
      <c r="D352" s="119">
        <f>IF(TYPE($A352)=1,"",(Update!$M350-D$1)/D$2)</f>
        <v>-1.67066341</v>
      </c>
      <c r="E352" s="119">
        <f>IF(TYPE($A352)=1,"",(Update!$N350-E$1)/E$2)</f>
        <v>-1.596840673</v>
      </c>
      <c r="F352" s="119">
        <f>IF(TYPE($A352)=1,"",(Update!$O350-F$1)/F$2)</f>
        <v>-2.163885682</v>
      </c>
      <c r="G352" s="119">
        <f>IF(TYPE($A352)=1,"",(Update!$P350-G$1)/G$2)</f>
        <v>-0.9404715375</v>
      </c>
      <c r="H352" s="119">
        <f>IF(TYPE($A352)=1,"",(Update!$H350-H$1)/H$2*I352/$I$1)</f>
        <v>-0.2556247664</v>
      </c>
      <c r="I352" s="119">
        <f>IF(TYPE($A352)=1,"",IF(Update!H350=0,0,Update!G350/Update!H350))</f>
        <v>4.9</v>
      </c>
      <c r="J352" s="120">
        <f>IF(TYPE($A352)=1,"",(Update!$J350-J$1)/J$2*K352/$K$1)</f>
        <v>-0.164466294</v>
      </c>
      <c r="K352" s="121">
        <f>IF(TYPE($A352)=1,"",IF(Update!J350=0,0,Update!I350/Update!J350))</f>
        <v>0.7</v>
      </c>
      <c r="L352" s="119">
        <f>IF(TYPE($A352)=1,"",-(Update!$Q350-L$1)/L$2)</f>
        <v>1.980337098</v>
      </c>
      <c r="N352" s="33">
        <v>332.0</v>
      </c>
      <c r="O352" s="130" t="str">
        <f>IF(Update!B344="",ROW(Update!B344),Update!B344)</f>
        <v>Justin Holiday</v>
      </c>
      <c r="P352" s="131">
        <f>Update!E344</f>
        <v>68</v>
      </c>
      <c r="Q352" s="131" t="str">
        <f>IF(Update!C344="",ROW(Update!N359),Update!C344)</f>
        <v>SG,SF</v>
      </c>
      <c r="R352" s="127">
        <f>VLOOKUP($O352,'NO USAR1'!$A$4:$L$403,2,False)+VLOOKUP($O352,'NO USAR1'!$A$4:$L$403,3,False)+VLOOKUP($O352,'NO USAR1'!$A$4:$L$403,4,False)+VLOOKUP($O352,'NO USAR1'!$A$4:$L$403,5,False)+VLOOKUP($O352,'NO USAR1'!$A$4:$L$403,6,False)+VLOOKUP($O352,'NO USAR1'!$A$4:$L$403,7,False)+VLOOKUP($O352,'NO USAR1'!$A$4:$L$403,8,False)+VLOOKUP($O352,'NO USAR1'!$A$4:$L$403,10,False)+VLOOKUP($O352,'NO USAR1'!$A$4:$L$403,12,False)*0</f>
        <v>-8.85562876</v>
      </c>
      <c r="S352" s="127">
        <f>VLOOKUP($O352,'NO USAR1'!$A$4:$L$403,2,False)*$U$19+VLOOKUP($O352,'NO USAR1'!$A$4:$L$403,3,False)*$V$19+VLOOKUP($O352,'NO USAR1'!$A$4:$L$403,4,False)*$W$19+VLOOKUP($O352,'NO USAR1'!$A$4:$L$403,5,False)*$X$19+VLOOKUP($O352,'NO USAR1'!$A$4:$L$403,6,False)*$Y$19+VLOOKUP($O352,'NO USAR1'!$A$4:$L$403,7,False)*$Z$19+VLOOKUP($O352,'NO USAR1'!$A$4:$L$403,8,False)*$AA$19+VLOOKUP($O352,'NO USAR1'!$A$4:$L$403,10,False)*$AB$19+VLOOKUP($O352,'NO USAR1'!$A$4:$L$403,12,False)*$AC$19+IF(Projections!$K$3,-AN352, IF(Projections!$J$3,-AM352,0))</f>
        <v>-5.641743425</v>
      </c>
      <c r="T352" s="127">
        <f t="shared" si="1"/>
        <v>3.213885335</v>
      </c>
      <c r="U352" s="127">
        <f>VLOOKUP($O352,Update!$B$2:$R$401,11,False)</f>
        <v>5.4</v>
      </c>
      <c r="V352" s="122">
        <f>VLOOKUP($O352,Update!$B$2:$R$401,10,False)</f>
        <v>1.3</v>
      </c>
      <c r="W352" s="127">
        <f>VLOOKUP($O352,Update!$B$2:$R$401,12,False)</f>
        <v>1.4</v>
      </c>
      <c r="X352" s="127">
        <f>VLOOKUP($O352,Update!$B$2:$R$401,13,False)</f>
        <v>1</v>
      </c>
      <c r="Y352" s="127">
        <f>VLOOKUP($O352,Update!$B$2:$R$401,14,False)</f>
        <v>0.4</v>
      </c>
      <c r="Z352" s="132">
        <f>VLOOKUP($O352,Update!$B$2:$R$401,15,False)</f>
        <v>0.3</v>
      </c>
      <c r="AA352" s="127">
        <f>100*VLOOKUP($O352,Update!$B$2:$R$401,7,False)</f>
        <v>38.7755102</v>
      </c>
      <c r="AB352" s="127">
        <f>100*VLOOKUP($O352,Update!$B$2:$R$401,9,False)</f>
        <v>75</v>
      </c>
      <c r="AC352" s="127">
        <f>VLOOKUP($O352,Update!$B$2:$Q$401,16,False)</f>
        <v>0.5</v>
      </c>
      <c r="AD352" s="127">
        <f>VLOOKUP($O352,'NO USAR1'!$A$4:$L$403,2,False)*$U$19</f>
        <v>-1.998161076</v>
      </c>
      <c r="AE352" s="127">
        <f>VLOOKUP($O352,'NO USAR1'!$A$4:$L$403,3,False)*$V$19</f>
        <v>-0.2988703886</v>
      </c>
      <c r="AF352" s="127">
        <f>VLOOKUP($O352,'NO USAR1'!$A$4:$L$403,4,False)*$W$19</f>
        <v>-1.963370999</v>
      </c>
      <c r="AG352" s="127">
        <f>VLOOKUP($O352,'NO USAR1'!$A$4:$L$403,5,False)*$X$19</f>
        <v>-1.450509977</v>
      </c>
      <c r="AH352" s="127">
        <f>VLOOKUP($O352,'NO USAR1'!$A$4:$L$403,6,False)*$Y$19</f>
        <v>-1.296670077</v>
      </c>
      <c r="AI352" s="127">
        <f>VLOOKUP($O352,'NO USAR1'!$A$4:$L$403,7,False)*$Z$19</f>
        <v>-0.5270142365</v>
      </c>
      <c r="AJ352" s="127">
        <f>VLOOKUP($O352,'NO USAR1'!$A$4:$L$403,8,False)*$AA$19</f>
        <v>-0.5297217986</v>
      </c>
      <c r="AK352" s="132">
        <f>VLOOKUP($O352,'NO USAR1'!$A$4:$L$403,10,False)*$AB$19</f>
        <v>-0.03962396826</v>
      </c>
      <c r="AL352" s="127">
        <f>VLOOKUP($O352,'NO USAR1'!$A$4:$L$403,12,False)*$AC$19</f>
        <v>0.4640380197</v>
      </c>
      <c r="AM352" s="133">
        <f t="shared" si="2"/>
        <v>-1.998161076</v>
      </c>
      <c r="AN352" s="133">
        <f t="shared" si="3"/>
        <v>-3.961532075</v>
      </c>
    </row>
    <row r="353">
      <c r="A353" s="118" t="str">
        <f>IF(Update!B351="",ROW(Update!B351),Update!B351)</f>
        <v>Doug McDermott</v>
      </c>
      <c r="B353" s="119">
        <f>IF(TYPE($A353)=1,"",(Update!$L351-B$1)/B$2)</f>
        <v>-1.711666235</v>
      </c>
      <c r="C353" s="119">
        <f>IF(TYPE($A353)=1,"",(Update!$K351-C$1)/C$2)</f>
        <v>-0.3320782095</v>
      </c>
      <c r="D353" s="119">
        <f>IF(TYPE($A353)=1,"",(Update!$M351-D$1)/D$2)</f>
        <v>-1.921555629</v>
      </c>
      <c r="E353" s="119">
        <f>IF(TYPE($A353)=1,"",(Update!$N351-E$1)/E$2)</f>
        <v>-1.365011307</v>
      </c>
      <c r="F353" s="119">
        <f>IF(TYPE($A353)=1,"",(Update!$O351-F$1)/F$2)</f>
        <v>-2.475385541</v>
      </c>
      <c r="G353" s="119">
        <f>IF(TYPE($A353)=1,"",(Update!$P351-G$1)/G$2)</f>
        <v>-1.128065594</v>
      </c>
      <c r="H353" s="119">
        <f>IF(TYPE($A353)=1,"",(Update!$H351-H$1)/H$2*I353/$I$1)</f>
        <v>-0.2520594208</v>
      </c>
      <c r="I353" s="119">
        <f>IF(TYPE($A353)=1,"",IF(Update!H351=0,0,Update!G351/Update!H351))</f>
        <v>5.7</v>
      </c>
      <c r="J353" s="120">
        <f>IF(TYPE($A353)=1,"",(Update!$J351-J$1)/J$2*K353/$K$1)</f>
        <v>-0.164466294</v>
      </c>
      <c r="K353" s="121">
        <f>IF(TYPE($A353)=1,"",IF(Update!J351=0,0,Update!I351/Update!J351))</f>
        <v>0.7</v>
      </c>
      <c r="L353" s="119">
        <f>IF(TYPE($A353)=1,"",-(Update!$Q351-L$1)/L$2)</f>
        <v>1.73196706</v>
      </c>
      <c r="N353" s="33">
        <v>333.0</v>
      </c>
      <c r="O353" s="130" t="str">
        <f>IF(Update!B332="",ROW(Update!B332),Update!B332)</f>
        <v>Reggie Bullock</v>
      </c>
      <c r="P353" s="131">
        <f>Update!E332</f>
        <v>62</v>
      </c>
      <c r="Q353" s="131" t="str">
        <f>IF(Update!C332="",ROW(Update!N347),Update!C332)</f>
        <v>SF,PF</v>
      </c>
      <c r="R353" s="127">
        <f>VLOOKUP($O353,'NO USAR1'!$A$4:$L$403,2,False)+VLOOKUP($O353,'NO USAR1'!$A$4:$L$403,3,False)+VLOOKUP($O353,'NO USAR1'!$A$4:$L$403,4,False)+VLOOKUP($O353,'NO USAR1'!$A$4:$L$403,5,False)+VLOOKUP($O353,'NO USAR1'!$A$4:$L$403,6,False)+VLOOKUP($O353,'NO USAR1'!$A$4:$L$403,7,False)+VLOOKUP($O353,'NO USAR1'!$A$4:$L$403,8,False)+VLOOKUP($O353,'NO USAR1'!$A$4:$L$403,10,False)+VLOOKUP($O353,'NO USAR1'!$A$4:$L$403,12,False)*0</f>
        <v>-8.906309848</v>
      </c>
      <c r="S353" s="127">
        <f>VLOOKUP($O353,'NO USAR1'!$A$4:$L$403,2,False)*$U$19+VLOOKUP($O353,'NO USAR1'!$A$4:$L$403,3,False)*$V$19+VLOOKUP($O353,'NO USAR1'!$A$4:$L$403,4,False)*$W$19+VLOOKUP($O353,'NO USAR1'!$A$4:$L$403,5,False)*$X$19+VLOOKUP($O353,'NO USAR1'!$A$4:$L$403,6,False)*$Y$19+VLOOKUP($O353,'NO USAR1'!$A$4:$L$403,7,False)*$Z$19+VLOOKUP($O353,'NO USAR1'!$A$4:$L$403,8,False)*$AA$19+VLOOKUP($O353,'NO USAR1'!$A$4:$L$403,10,False)*$AB$19+VLOOKUP($O353,'NO USAR1'!$A$4:$L$403,12,False)*$AC$19+IF(Projections!$K$3,-AN353, IF(Projections!$J$3,-AM353,0))</f>
        <v>-5.470469293</v>
      </c>
      <c r="T353" s="127">
        <f t="shared" si="1"/>
        <v>3.435840555</v>
      </c>
      <c r="U353" s="127">
        <f>VLOOKUP($O353,Update!$B$2:$R$401,11,False)</f>
        <v>5</v>
      </c>
      <c r="V353" s="122">
        <f>VLOOKUP($O353,Update!$B$2:$R$401,10,False)</f>
        <v>1.3</v>
      </c>
      <c r="W353" s="127">
        <f>VLOOKUP($O353,Update!$B$2:$R$401,12,False)</f>
        <v>2.3</v>
      </c>
      <c r="X353" s="127">
        <f>VLOOKUP($O353,Update!$B$2:$R$401,13,False)</f>
        <v>0.8</v>
      </c>
      <c r="Y353" s="127">
        <f>VLOOKUP($O353,Update!$B$2:$R$401,14,False)</f>
        <v>0.4</v>
      </c>
      <c r="Z353" s="132">
        <f>VLOOKUP($O353,Update!$B$2:$R$401,15,False)</f>
        <v>0.1</v>
      </c>
      <c r="AA353" s="127">
        <f>100*VLOOKUP($O353,Update!$B$2:$R$401,7,False)</f>
        <v>39.53488372</v>
      </c>
      <c r="AB353" s="127">
        <f>100*VLOOKUP($O353,Update!$B$2:$R$401,9,False)</f>
        <v>75</v>
      </c>
      <c r="AC353" s="127">
        <f>VLOOKUP($O353,Update!$B$2:$Q$401,16,False)</f>
        <v>0.3</v>
      </c>
      <c r="AD353" s="127">
        <f>VLOOKUP($O353,'NO USAR1'!$A$4:$L$403,2,False)*$U$19</f>
        <v>-2.065571627</v>
      </c>
      <c r="AE353" s="127">
        <f>VLOOKUP($O353,'NO USAR1'!$A$4:$L$403,3,False)*$V$19</f>
        <v>-0.2988703886</v>
      </c>
      <c r="AF353" s="127">
        <f>VLOOKUP($O353,'NO USAR1'!$A$4:$L$403,4,False)*$W$19</f>
        <v>-1.587032671</v>
      </c>
      <c r="AG353" s="127">
        <f>VLOOKUP($O353,'NO USAR1'!$A$4:$L$403,5,False)*$X$19</f>
        <v>-1.552514898</v>
      </c>
      <c r="AH353" s="127">
        <f>VLOOKUP($O353,'NO USAR1'!$A$4:$L$403,6,False)*$Y$19</f>
        <v>-1.296670077</v>
      </c>
      <c r="AI353" s="127">
        <f>VLOOKUP($O353,'NO USAR1'!$A$4:$L$403,7,False)*$Z$19</f>
        <v>-0.7896459159</v>
      </c>
      <c r="AJ353" s="127">
        <f>VLOOKUP($O353,'NO USAR1'!$A$4:$L$403,8,False)*$AA$19</f>
        <v>-0.4322419039</v>
      </c>
      <c r="AK353" s="132">
        <f>VLOOKUP($O353,'NO USAR1'!$A$4:$L$403,10,False)*$AB$19</f>
        <v>-0.03962396826</v>
      </c>
      <c r="AL353" s="127">
        <f>VLOOKUP($O353,'NO USAR1'!$A$4:$L$403,12,False)*$AC$19</f>
        <v>0.5261305291</v>
      </c>
      <c r="AM353" s="133">
        <f t="shared" si="2"/>
        <v>-2.065571627</v>
      </c>
      <c r="AN353" s="133">
        <f t="shared" si="3"/>
        <v>-3.652604298</v>
      </c>
    </row>
    <row r="354">
      <c r="A354" s="118" t="str">
        <f>IF(Update!B352="",ROW(Update!B352),Update!B352)</f>
        <v>Isaiah Mobley</v>
      </c>
      <c r="B354" s="119">
        <f>IF(TYPE($A354)=1,"",(Update!$L352-B$1)/B$2)</f>
        <v>-2.284655917</v>
      </c>
      <c r="C354" s="119">
        <f>IF(TYPE($A354)=1,"",(Update!$K352-C$1)/C$2)</f>
        <v>-1.199206996</v>
      </c>
      <c r="D354" s="119">
        <f>IF(TYPE($A354)=1,"",(Update!$M352-D$1)/D$2)</f>
        <v>-1.545217301</v>
      </c>
      <c r="E354" s="119">
        <f>IF(TYPE($A354)=1,"",(Update!$N352-E$1)/E$2)</f>
        <v>-1.596840673</v>
      </c>
      <c r="F354" s="119">
        <f>IF(TYPE($A354)=1,"",(Update!$O352-F$1)/F$2)</f>
        <v>-1.540885966</v>
      </c>
      <c r="G354" s="119">
        <f>IF(TYPE($A354)=1,"",(Update!$P352-G$1)/G$2)</f>
        <v>-0.5652834241</v>
      </c>
      <c r="H354" s="119">
        <f>IF(TYPE($A354)=1,"",(Update!$H352-H$1)/H$2*I354/$I$1)</f>
        <v>-0.2068172878</v>
      </c>
      <c r="I354" s="119">
        <f>IF(TYPE($A354)=1,"",IF(Update!H352=0,0,Update!G352/Update!H352))</f>
        <v>3.4</v>
      </c>
      <c r="J354" s="120">
        <f>IF(TYPE($A354)=1,"",(Update!$J352-J$1)/J$2*K354/$K$1)</f>
        <v>-0.164466294</v>
      </c>
      <c r="K354" s="121">
        <f>IF(TYPE($A354)=1,"",IF(Update!J352=0,0,Update!I352/Update!J352))</f>
        <v>0.7</v>
      </c>
      <c r="L354" s="119">
        <f>IF(TYPE($A354)=1,"",-(Update!$Q352-L$1)/L$2)</f>
        <v>2.352892154</v>
      </c>
      <c r="N354" s="124">
        <v>334.0</v>
      </c>
      <c r="O354" s="130" t="str">
        <f>IF(Update!B333="",ROW(Update!B333),Update!B333)</f>
        <v>Nerlens Noel</v>
      </c>
      <c r="P354" s="131">
        <f>Update!E333</f>
        <v>38</v>
      </c>
      <c r="Q354" s="131" t="str">
        <f>IF(Update!C333="",ROW(Update!N348),Update!C333)</f>
        <v>C</v>
      </c>
      <c r="R354" s="127">
        <f>VLOOKUP($O354,'NO USAR1'!$A$4:$L$403,2,False)+VLOOKUP($O354,'NO USAR1'!$A$4:$L$403,3,False)+VLOOKUP($O354,'NO USAR1'!$A$4:$L$403,4,False)+VLOOKUP($O354,'NO USAR1'!$A$4:$L$403,5,False)+VLOOKUP($O354,'NO USAR1'!$A$4:$L$403,6,False)+VLOOKUP($O354,'NO USAR1'!$A$4:$L$403,7,False)+VLOOKUP($O354,'NO USAR1'!$A$4:$L$403,8,False)+VLOOKUP($O354,'NO USAR1'!$A$4:$L$403,10,False)+VLOOKUP($O354,'NO USAR1'!$A$4:$L$403,12,False)*0</f>
        <v>-8.9174205</v>
      </c>
      <c r="S354" s="127">
        <f>VLOOKUP($O354,'NO USAR1'!$A$4:$L$403,2,False)*$U$19+VLOOKUP($O354,'NO USAR1'!$A$4:$L$403,3,False)*$V$19+VLOOKUP($O354,'NO USAR1'!$A$4:$L$403,4,False)*$W$19+VLOOKUP($O354,'NO USAR1'!$A$4:$L$403,5,False)*$X$19+VLOOKUP($O354,'NO USAR1'!$A$4:$L$403,6,False)*$Y$19+VLOOKUP($O354,'NO USAR1'!$A$4:$L$403,7,False)*$Z$19+VLOOKUP($O354,'NO USAR1'!$A$4:$L$403,8,False)*$AA$19+VLOOKUP($O354,'NO USAR1'!$A$4:$L$403,10,False)*$AB$19+VLOOKUP($O354,'NO USAR1'!$A$4:$L$403,12,False)*$AC$19+IF(Projections!$K$3,-AN354, IF(Projections!$J$3,-AM354,0))</f>
        <v>-5.351472692</v>
      </c>
      <c r="T354" s="127">
        <f t="shared" si="1"/>
        <v>3.565947808</v>
      </c>
      <c r="U354" s="127">
        <f>VLOOKUP($O354,Update!$B$2:$R$401,11,False)</f>
        <v>1.7</v>
      </c>
      <c r="V354" s="122">
        <f>VLOOKUP($O354,Update!$B$2:$R$401,10,False)</f>
        <v>0</v>
      </c>
      <c r="W354" s="127">
        <f>VLOOKUP($O354,Update!$B$2:$R$401,12,False)</f>
        <v>2.6</v>
      </c>
      <c r="X354" s="127">
        <f>VLOOKUP($O354,Update!$B$2:$R$401,13,False)</f>
        <v>0.5</v>
      </c>
      <c r="Y354" s="127">
        <f>VLOOKUP($O354,Update!$B$2:$R$401,14,False)</f>
        <v>0.6</v>
      </c>
      <c r="Z354" s="132">
        <f>VLOOKUP($O354,Update!$B$2:$R$401,15,False)</f>
        <v>0.6</v>
      </c>
      <c r="AA354" s="127">
        <f>100*VLOOKUP($O354,Update!$B$2:$R$401,7,False)</f>
        <v>46.15384615</v>
      </c>
      <c r="AB354" s="127">
        <f>100*VLOOKUP($O354,Update!$B$2:$R$401,9,False)</f>
        <v>66.66666667</v>
      </c>
      <c r="AC354" s="127">
        <f>VLOOKUP($O354,Update!$B$2:$Q$401,16,False)</f>
        <v>0.5</v>
      </c>
      <c r="AD354" s="127">
        <f>VLOOKUP($O354,'NO USAR1'!$A$4:$L$403,2,False)*$U$19</f>
        <v>-2.621708671</v>
      </c>
      <c r="AE354" s="127">
        <f>VLOOKUP($O354,'NO USAR1'!$A$4:$L$403,3,False)*$V$19</f>
        <v>-1.426137812</v>
      </c>
      <c r="AF354" s="127">
        <f>VLOOKUP($O354,'NO USAR1'!$A$4:$L$403,4,False)*$W$19</f>
        <v>-1.461586561</v>
      </c>
      <c r="AG354" s="127">
        <f>VLOOKUP($O354,'NO USAR1'!$A$4:$L$403,5,False)*$X$19</f>
        <v>-1.70552228</v>
      </c>
      <c r="AH354" s="127">
        <f>VLOOKUP($O354,'NO USAR1'!$A$4:$L$403,6,False)*$Y$19</f>
        <v>-0.8605702752</v>
      </c>
      <c r="AI354" s="127">
        <f>VLOOKUP($O354,'NO USAR1'!$A$4:$L$403,7,False)*$Z$19</f>
        <v>-0.1330667175</v>
      </c>
      <c r="AJ354" s="127">
        <f>VLOOKUP($O354,'NO USAR1'!$A$4:$L$403,8,False)*$AA$19</f>
        <v>-0.04472893355</v>
      </c>
      <c r="AK354" s="132">
        <f>VLOOKUP($O354,'NO USAR1'!$A$4:$L$403,10,False)*$AB$19</f>
        <v>-0.1838981338</v>
      </c>
      <c r="AL354" s="127">
        <f>VLOOKUP($O354,'NO USAR1'!$A$4:$L$403,12,False)*$AC$19</f>
        <v>0.4640380197</v>
      </c>
      <c r="AM354" s="133">
        <f t="shared" si="2"/>
        <v>-2.621708671</v>
      </c>
      <c r="AN354" s="133">
        <f t="shared" si="3"/>
        <v>-4.32723095</v>
      </c>
    </row>
    <row r="355">
      <c r="A355" s="118" t="str">
        <f>IF(Update!B353="",ROW(Update!B353),Update!B353)</f>
        <v>Kai Jones</v>
      </c>
      <c r="B355" s="119">
        <f>IF(TYPE($A355)=1,"",(Update!$L353-B$1)/B$2)</f>
        <v>-2.385771743</v>
      </c>
      <c r="C355" s="119">
        <f>IF(TYPE($A355)=1,"",(Update!$K353-C$1)/C$2)</f>
        <v>-1.488249925</v>
      </c>
      <c r="D355" s="119">
        <f>IF(TYPE($A355)=1,"",(Update!$M353-D$1)/D$2)</f>
        <v>-1.587032671</v>
      </c>
      <c r="E355" s="119">
        <f>IF(TYPE($A355)=1,"",(Update!$N353-E$1)/E$2)</f>
        <v>-1.643206546</v>
      </c>
      <c r="F355" s="119">
        <f>IF(TYPE($A355)=1,"",(Update!$O353-F$1)/F$2)</f>
        <v>-2.163885682</v>
      </c>
      <c r="G355" s="119">
        <f>IF(TYPE($A355)=1,"",(Update!$P353-G$1)/G$2)</f>
        <v>-0.1900953108</v>
      </c>
      <c r="H355" s="119">
        <f>IF(TYPE($A355)=1,"",(Update!$H353-H$1)/H$2*I355/$I$1)</f>
        <v>0.1767278734</v>
      </c>
      <c r="I355" s="119">
        <f>IF(TYPE($A355)=1,"",IF(Update!H353=0,0,Update!G353/Update!H353))</f>
        <v>2.3</v>
      </c>
      <c r="J355" s="120">
        <f>IF(TYPE($A355)=1,"",(Update!$J353-J$1)/J$2*K355/$K$1)</f>
        <v>-0.2298726673</v>
      </c>
      <c r="K355" s="121">
        <f>IF(TYPE($A355)=1,"",IF(Update!J353=0,0,Update!I353/Update!J353))</f>
        <v>0.6</v>
      </c>
      <c r="L355" s="119">
        <f>IF(TYPE($A355)=1,"",-(Update!$Q353-L$1)/L$2)</f>
        <v>1.73196706</v>
      </c>
      <c r="N355" s="124">
        <v>335.0</v>
      </c>
      <c r="O355" s="130" t="str">
        <f>IF(Update!B355="",ROW(Update!B355),Update!B355)</f>
        <v>Dalen Terry</v>
      </c>
      <c r="P355" s="131">
        <f>Update!E355</f>
        <v>48</v>
      </c>
      <c r="Q355" s="131" t="str">
        <f>IF(Update!C355="",ROW(Update!N370),Update!C355)</f>
        <v>SG,SF</v>
      </c>
      <c r="R355" s="127">
        <f>VLOOKUP($O355,'NO USAR1'!$A$4:$L$403,2,False)+VLOOKUP($O355,'NO USAR1'!$A$4:$L$403,3,False)+VLOOKUP($O355,'NO USAR1'!$A$4:$L$403,4,False)+VLOOKUP($O355,'NO USAR1'!$A$4:$L$403,5,False)+VLOOKUP($O355,'NO USAR1'!$A$4:$L$403,6,False)+VLOOKUP($O355,'NO USAR1'!$A$4:$L$403,7,False)+VLOOKUP($O355,'NO USAR1'!$A$4:$L$403,8,False)+VLOOKUP($O355,'NO USAR1'!$A$4:$L$403,10,False)+VLOOKUP($O355,'NO USAR1'!$A$4:$L$403,12,False)*0</f>
        <v>-8.935580972</v>
      </c>
      <c r="S355" s="127">
        <f>VLOOKUP($O355,'NO USAR1'!$A$4:$L$403,2,False)*$U$19+VLOOKUP($O355,'NO USAR1'!$A$4:$L$403,3,False)*$V$19+VLOOKUP($O355,'NO USAR1'!$A$4:$L$403,4,False)*$W$19+VLOOKUP($O355,'NO USAR1'!$A$4:$L$403,5,False)*$X$19+VLOOKUP($O355,'NO USAR1'!$A$4:$L$403,6,False)*$Y$19+VLOOKUP($O355,'NO USAR1'!$A$4:$L$403,7,False)*$Z$19+VLOOKUP($O355,'NO USAR1'!$A$4:$L$403,8,False)*$AA$19+VLOOKUP($O355,'NO USAR1'!$A$4:$L$403,10,False)*$AB$19+VLOOKUP($O355,'NO USAR1'!$A$4:$L$403,12,False)*$AC$19+IF(Projections!$K$3,-AN355, IF(Projections!$J$3,-AM355,0))</f>
        <v>-5.576259029</v>
      </c>
      <c r="T355" s="127">
        <f t="shared" si="1"/>
        <v>3.359321944</v>
      </c>
      <c r="U355" s="127">
        <f>VLOOKUP($O355,Update!$B$2:$R$401,11,False)</f>
        <v>4.2</v>
      </c>
      <c r="V355" s="122">
        <f>VLOOKUP($O355,Update!$B$2:$R$401,10,False)</f>
        <v>0.4</v>
      </c>
      <c r="W355" s="127">
        <f>VLOOKUP($O355,Update!$B$2:$R$401,12,False)</f>
        <v>1.8</v>
      </c>
      <c r="X355" s="127">
        <f>VLOOKUP($O355,Update!$B$2:$R$401,13,False)</f>
        <v>1.1</v>
      </c>
      <c r="Y355" s="127">
        <f>VLOOKUP($O355,Update!$B$2:$R$401,14,False)</f>
        <v>0.6</v>
      </c>
      <c r="Z355" s="132">
        <f>VLOOKUP($O355,Update!$B$2:$R$401,15,False)</f>
        <v>0.3</v>
      </c>
      <c r="AA355" s="127">
        <f>100*VLOOKUP($O355,Update!$B$2:$R$401,7,False)</f>
        <v>44.44444444</v>
      </c>
      <c r="AB355" s="127">
        <f>100*VLOOKUP($O355,Update!$B$2:$R$401,9,False)</f>
        <v>70</v>
      </c>
      <c r="AC355" s="127">
        <f>VLOOKUP($O355,Update!$B$2:$Q$401,16,False)</f>
        <v>0.4</v>
      </c>
      <c r="AD355" s="127">
        <f>VLOOKUP($O355,'NO USAR1'!$A$4:$L$403,2,False)*$U$19</f>
        <v>-2.200392728</v>
      </c>
      <c r="AE355" s="127">
        <f>VLOOKUP($O355,'NO USAR1'!$A$4:$L$403,3,False)*$V$19</f>
        <v>-1.079286297</v>
      </c>
      <c r="AF355" s="127">
        <f>VLOOKUP($O355,'NO USAR1'!$A$4:$L$403,4,False)*$W$19</f>
        <v>-1.79610952</v>
      </c>
      <c r="AG355" s="127">
        <f>VLOOKUP($O355,'NO USAR1'!$A$4:$L$403,5,False)*$X$19</f>
        <v>-1.399507516</v>
      </c>
      <c r="AH355" s="127">
        <f>VLOOKUP($O355,'NO USAR1'!$A$4:$L$403,6,False)*$Y$19</f>
        <v>-0.8605702752</v>
      </c>
      <c r="AI355" s="127">
        <f>VLOOKUP($O355,'NO USAR1'!$A$4:$L$403,7,False)*$Z$19</f>
        <v>-0.5270142365</v>
      </c>
      <c r="AJ355" s="127">
        <f>VLOOKUP($O355,'NO USAR1'!$A$4:$L$403,8,False)*$AA$19</f>
        <v>-0.1853333562</v>
      </c>
      <c r="AK355" s="132">
        <f>VLOOKUP($O355,'NO USAR1'!$A$4:$L$403,10,False)*$AB$19</f>
        <v>-0.2235221021</v>
      </c>
      <c r="AL355" s="127">
        <f>VLOOKUP($O355,'NO USAR1'!$A$4:$L$403,12,False)*$AC$19</f>
        <v>0.4950842744</v>
      </c>
      <c r="AM355" s="133">
        <f t="shared" si="2"/>
        <v>-2.200392728</v>
      </c>
      <c r="AN355" s="133">
        <f t="shared" si="3"/>
        <v>-3.996502248</v>
      </c>
    </row>
    <row r="356">
      <c r="A356" s="118" t="str">
        <f>IF(Update!B354="",ROW(Update!B354),Update!B354)</f>
        <v>Derrick Rose</v>
      </c>
      <c r="B356" s="119">
        <f>IF(TYPE($A356)=1,"",(Update!$L354-B$1)/B$2)</f>
        <v>-2.065571627</v>
      </c>
      <c r="C356" s="119">
        <f>IF(TYPE($A356)=1,"",(Update!$K354-C$1)/C$2)</f>
        <v>-1.00651171</v>
      </c>
      <c r="D356" s="119">
        <f>IF(TYPE($A356)=1,"",(Update!$M354-D$1)/D$2)</f>
        <v>-2.005186369</v>
      </c>
      <c r="E356" s="119">
        <f>IF(TYPE($A356)=1,"",(Update!$N354-E$1)/E$2)</f>
        <v>-1.040450194</v>
      </c>
      <c r="F356" s="119">
        <f>IF(TYPE($A356)=1,"",(Update!$O354-F$1)/F$2)</f>
        <v>-2.163885682</v>
      </c>
      <c r="G356" s="119">
        <f>IF(TYPE($A356)=1,"",(Update!$P354-G$1)/G$2)</f>
        <v>-0.9404715375</v>
      </c>
      <c r="H356" s="119">
        <f>IF(TYPE($A356)=1,"",(Update!$H354-H$1)/H$2*I356/$I$1)</f>
        <v>-0.3124542726</v>
      </c>
      <c r="I356" s="119">
        <f>IF(TYPE($A356)=1,"",IF(Update!H354=0,0,Update!G354/Update!H354))</f>
        <v>4.6</v>
      </c>
      <c r="J356" s="120">
        <f>IF(TYPE($A356)=1,"",(Update!$J354-J$1)/J$2*K356/$K$1)</f>
        <v>0.01587641299</v>
      </c>
      <c r="K356" s="121">
        <f>IF(TYPE($A356)=1,"",IF(Update!J354=0,0,Update!I354/Update!J354))</f>
        <v>0.5</v>
      </c>
      <c r="L356" s="119">
        <f>IF(TYPE($A356)=1,"",-(Update!$Q354-L$1)/L$2)</f>
        <v>1.607782042</v>
      </c>
      <c r="N356" s="33">
        <v>336.0</v>
      </c>
      <c r="O356" s="130" t="str">
        <f>IF(Update!B329="",ROW(Update!B329),Update!B329)</f>
        <v>Joe Harris</v>
      </c>
      <c r="P356" s="131">
        <f>Update!E329</f>
        <v>58</v>
      </c>
      <c r="Q356" s="131" t="str">
        <f>IF(Update!C329="",ROW(Update!N344),Update!C329)</f>
        <v>SG,SF</v>
      </c>
      <c r="R356" s="127">
        <f>VLOOKUP($O356,'NO USAR1'!$A$4:$L$403,2,False)+VLOOKUP($O356,'NO USAR1'!$A$4:$L$403,3,False)+VLOOKUP($O356,'NO USAR1'!$A$4:$L$403,4,False)+VLOOKUP($O356,'NO USAR1'!$A$4:$L$403,5,False)+VLOOKUP($O356,'NO USAR1'!$A$4:$L$403,6,False)+VLOOKUP($O356,'NO USAR1'!$A$4:$L$403,7,False)+VLOOKUP($O356,'NO USAR1'!$A$4:$L$403,8,False)+VLOOKUP($O356,'NO USAR1'!$A$4:$L$403,10,False)+VLOOKUP($O356,'NO USAR1'!$A$4:$L$403,12,False)*0</f>
        <v>-9.050564975</v>
      </c>
      <c r="S356" s="127">
        <f>VLOOKUP($O356,'NO USAR1'!$A$4:$L$403,2,False)*$U$19+VLOOKUP($O356,'NO USAR1'!$A$4:$L$403,3,False)*$V$19+VLOOKUP($O356,'NO USAR1'!$A$4:$L$403,4,False)*$W$19+VLOOKUP($O356,'NO USAR1'!$A$4:$L$403,5,False)*$X$19+VLOOKUP($O356,'NO USAR1'!$A$4:$L$403,6,False)*$Y$19+VLOOKUP($O356,'NO USAR1'!$A$4:$L$403,7,False)*$Z$19+VLOOKUP($O356,'NO USAR1'!$A$4:$L$403,8,False)*$AA$19+VLOOKUP($O356,'NO USAR1'!$A$4:$L$403,10,False)*$AB$19+VLOOKUP($O356,'NO USAR1'!$A$4:$L$403,12,False)*$AC$19+IF(Projections!$K$3,-AN356, IF(Projections!$J$3,-AM356,0))</f>
        <v>-5.715538473</v>
      </c>
      <c r="T356" s="127">
        <f t="shared" si="1"/>
        <v>3.335026502</v>
      </c>
      <c r="U356" s="127">
        <f>VLOOKUP($O356,Update!$B$2:$R$401,11,False)</f>
        <v>5.7</v>
      </c>
      <c r="V356" s="122">
        <f>VLOOKUP($O356,Update!$B$2:$R$401,10,False)</f>
        <v>1.4</v>
      </c>
      <c r="W356" s="127">
        <f>VLOOKUP($O356,Update!$B$2:$R$401,12,False)</f>
        <v>1.7</v>
      </c>
      <c r="X356" s="127">
        <f>VLOOKUP($O356,Update!$B$2:$R$401,13,False)</f>
        <v>0.9</v>
      </c>
      <c r="Y356" s="127">
        <f>VLOOKUP($O356,Update!$B$2:$R$401,14,False)</f>
        <v>0.3</v>
      </c>
      <c r="Z356" s="132">
        <f>VLOOKUP($O356,Update!$B$2:$R$401,15,False)</f>
        <v>0.1</v>
      </c>
      <c r="AA356" s="127">
        <f>100*VLOOKUP($O356,Update!$B$2:$R$401,7,False)</f>
        <v>44.44444444</v>
      </c>
      <c r="AB356" s="127">
        <f>100*VLOOKUP($O356,Update!$B$2:$R$401,9,False)</f>
        <v>66.66666667</v>
      </c>
      <c r="AC356" s="127">
        <f>VLOOKUP($O356,Update!$B$2:$Q$401,16,False)</f>
        <v>0.5</v>
      </c>
      <c r="AD356" s="127">
        <f>VLOOKUP($O356,'NO USAR1'!$A$4:$L$403,2,False)*$U$19</f>
        <v>-1.947603163</v>
      </c>
      <c r="AE356" s="127">
        <f>VLOOKUP($O356,'NO USAR1'!$A$4:$L$403,3,False)*$V$19</f>
        <v>-0.2121575099</v>
      </c>
      <c r="AF356" s="127">
        <f>VLOOKUP($O356,'NO USAR1'!$A$4:$L$403,4,False)*$W$19</f>
        <v>-1.83792489</v>
      </c>
      <c r="AG356" s="127">
        <f>VLOOKUP($O356,'NO USAR1'!$A$4:$L$403,5,False)*$X$19</f>
        <v>-1.501512437</v>
      </c>
      <c r="AH356" s="127">
        <f>VLOOKUP($O356,'NO USAR1'!$A$4:$L$403,6,False)*$Y$19</f>
        <v>-1.514719978</v>
      </c>
      <c r="AI356" s="127">
        <f>VLOOKUP($O356,'NO USAR1'!$A$4:$L$403,7,False)*$Z$19</f>
        <v>-0.7896459159</v>
      </c>
      <c r="AJ356" s="127">
        <f>VLOOKUP($O356,'NO USAR1'!$A$4:$L$403,8,False)*$AA$19</f>
        <v>-0.2316666953</v>
      </c>
      <c r="AK356" s="132">
        <f>VLOOKUP($O356,'NO USAR1'!$A$4:$L$403,10,False)*$AB$19</f>
        <v>-0.09194906691</v>
      </c>
      <c r="AL356" s="127">
        <f>VLOOKUP($O356,'NO USAR1'!$A$4:$L$403,12,False)*$AC$19</f>
        <v>0.4640380197</v>
      </c>
      <c r="AM356" s="133">
        <f t="shared" si="2"/>
        <v>-1.947603163</v>
      </c>
      <c r="AN356" s="133">
        <f t="shared" si="3"/>
        <v>-3.785528053</v>
      </c>
    </row>
    <row r="357">
      <c r="A357" s="118" t="str">
        <f>IF(Update!B355="",ROW(Update!B355),Update!B355)</f>
        <v>Dalen Terry</v>
      </c>
      <c r="B357" s="119">
        <f>IF(TYPE($A357)=1,"",(Update!$L355-B$1)/B$2)</f>
        <v>-2.200392728</v>
      </c>
      <c r="C357" s="119">
        <f>IF(TYPE($A357)=1,"",(Update!$K355-C$1)/C$2)</f>
        <v>-1.199206996</v>
      </c>
      <c r="D357" s="119">
        <f>IF(TYPE($A357)=1,"",(Update!$M355-D$1)/D$2)</f>
        <v>-1.79610952</v>
      </c>
      <c r="E357" s="119">
        <f>IF(TYPE($A357)=1,"",(Update!$N355-E$1)/E$2)</f>
        <v>-1.27227956</v>
      </c>
      <c r="F357" s="119">
        <f>IF(TYPE($A357)=1,"",(Update!$O355-F$1)/F$2)</f>
        <v>-1.229386107</v>
      </c>
      <c r="G357" s="119">
        <f>IF(TYPE($A357)=1,"",(Update!$P355-G$1)/G$2)</f>
        <v>-0.7528774808</v>
      </c>
      <c r="H357" s="119">
        <f>IF(TYPE($A357)=1,"",(Update!$H355-H$1)/H$2*I357/$I$1)</f>
        <v>-0.2059259514</v>
      </c>
      <c r="I357" s="119">
        <f>IF(TYPE($A357)=1,"",IF(Update!H355=0,0,Update!G355/Update!H355))</f>
        <v>3.6</v>
      </c>
      <c r="J357" s="120">
        <f>IF(TYPE($A357)=1,"",(Update!$J355-J$1)/J$2*K357/$K$1)</f>
        <v>-0.2794026276</v>
      </c>
      <c r="K357" s="121">
        <f>IF(TYPE($A357)=1,"",IF(Update!J355=0,0,Update!I355/Update!J355))</f>
        <v>1</v>
      </c>
      <c r="L357" s="119">
        <f>IF(TYPE($A357)=1,"",-(Update!$Q355-L$1)/L$2)</f>
        <v>1.980337098</v>
      </c>
      <c r="N357" s="33">
        <v>337.0</v>
      </c>
      <c r="O357" s="130" t="str">
        <f>IF(Update!B328="",ROW(Update!B328),Update!B328)</f>
        <v>Mike Muscala</v>
      </c>
      <c r="P357" s="131">
        <f>Update!E328</f>
        <v>30</v>
      </c>
      <c r="Q357" s="131" t="str">
        <f>IF(Update!C328="",ROW(Update!N343),Update!C328)</f>
        <v>PF,C</v>
      </c>
      <c r="R357" s="127">
        <f>VLOOKUP($O357,'NO USAR1'!$A$4:$L$403,2,False)+VLOOKUP($O357,'NO USAR1'!$A$4:$L$403,3,False)+VLOOKUP($O357,'NO USAR1'!$A$4:$L$403,4,False)+VLOOKUP($O357,'NO USAR1'!$A$4:$L$403,5,False)+VLOOKUP($O357,'NO USAR1'!$A$4:$L$403,6,False)+VLOOKUP($O357,'NO USAR1'!$A$4:$L$403,7,False)+VLOOKUP($O357,'NO USAR1'!$A$4:$L$403,8,False)+VLOOKUP($O357,'NO USAR1'!$A$4:$L$403,10,False)+VLOOKUP($O357,'NO USAR1'!$A$4:$L$403,12,False)*0</f>
        <v>-9.055761879</v>
      </c>
      <c r="S357" s="127">
        <f>VLOOKUP($O357,'NO USAR1'!$A$4:$L$403,2,False)*$U$19+VLOOKUP($O357,'NO USAR1'!$A$4:$L$403,3,False)*$V$19+VLOOKUP($O357,'NO USAR1'!$A$4:$L$403,4,False)*$W$19+VLOOKUP($O357,'NO USAR1'!$A$4:$L$403,5,False)*$X$19+VLOOKUP($O357,'NO USAR1'!$A$4:$L$403,6,False)*$Y$19+VLOOKUP($O357,'NO USAR1'!$A$4:$L$403,7,False)*$Z$19+VLOOKUP($O357,'NO USAR1'!$A$4:$L$403,8,False)*$AA$19+VLOOKUP($O357,'NO USAR1'!$A$4:$L$403,10,False)*$AB$19+VLOOKUP($O357,'NO USAR1'!$A$4:$L$403,12,False)*$AC$19+IF(Projections!$K$3,-AN357, IF(Projections!$J$3,-AM357,0))</f>
        <v>-5.602855236</v>
      </c>
      <c r="T357" s="127">
        <f t="shared" si="1"/>
        <v>3.452906642</v>
      </c>
      <c r="U357" s="127">
        <f>VLOOKUP($O357,Update!$B$2:$R$401,11,False)</f>
        <v>5</v>
      </c>
      <c r="V357" s="122">
        <f>VLOOKUP($O357,Update!$B$2:$R$401,10,False)</f>
        <v>1</v>
      </c>
      <c r="W357" s="127">
        <f>VLOOKUP($O357,Update!$B$2:$R$401,12,False)</f>
        <v>2.3</v>
      </c>
      <c r="X357" s="127">
        <f>VLOOKUP($O357,Update!$B$2:$R$401,13,False)</f>
        <v>0.5</v>
      </c>
      <c r="Y357" s="127">
        <f>VLOOKUP($O357,Update!$B$2:$R$401,14,False)</f>
        <v>0.2</v>
      </c>
      <c r="Z357" s="132">
        <f>VLOOKUP($O357,Update!$B$2:$R$401,15,False)</f>
        <v>0.3</v>
      </c>
      <c r="AA357" s="127">
        <f>100*VLOOKUP($O357,Update!$B$2:$R$401,7,False)</f>
        <v>45.94594595</v>
      </c>
      <c r="AB357" s="127">
        <f>100*VLOOKUP($O357,Update!$B$2:$R$401,9,False)</f>
        <v>85.71428571</v>
      </c>
      <c r="AC357" s="127">
        <f>VLOOKUP($O357,Update!$B$2:$Q$401,16,False)</f>
        <v>0.3</v>
      </c>
      <c r="AD357" s="127">
        <f>VLOOKUP($O357,'NO USAR1'!$A$4:$L$403,2,False)*$U$19</f>
        <v>-2.065571627</v>
      </c>
      <c r="AE357" s="127">
        <f>VLOOKUP($O357,'NO USAR1'!$A$4:$L$403,3,False)*$V$19</f>
        <v>-0.5590090247</v>
      </c>
      <c r="AF357" s="127">
        <f>VLOOKUP($O357,'NO USAR1'!$A$4:$L$403,4,False)*$W$19</f>
        <v>-1.587032671</v>
      </c>
      <c r="AG357" s="127">
        <f>VLOOKUP($O357,'NO USAR1'!$A$4:$L$403,5,False)*$X$19</f>
        <v>-1.70552228</v>
      </c>
      <c r="AH357" s="127">
        <f>VLOOKUP($O357,'NO USAR1'!$A$4:$L$403,6,False)*$Y$19</f>
        <v>-1.732769878</v>
      </c>
      <c r="AI357" s="127">
        <f>VLOOKUP($O357,'NO USAR1'!$A$4:$L$403,7,False)*$Z$19</f>
        <v>-0.5270142365</v>
      </c>
      <c r="AJ357" s="127">
        <f>VLOOKUP($O357,'NO USAR1'!$A$4:$L$403,8,False)*$AA$19</f>
        <v>-0.1349890034</v>
      </c>
      <c r="AK357" s="132">
        <f>VLOOKUP($O357,'NO USAR1'!$A$4:$L$403,10,False)*$AB$19</f>
        <v>0.1173513277</v>
      </c>
      <c r="AL357" s="127">
        <f>VLOOKUP($O357,'NO USAR1'!$A$4:$L$403,12,False)*$AC$19</f>
        <v>0.5261305291</v>
      </c>
      <c r="AM357" s="133">
        <f t="shared" si="2"/>
        <v>-2.065571627</v>
      </c>
      <c r="AN357" s="133">
        <f t="shared" si="3"/>
        <v>-3.798341505</v>
      </c>
    </row>
    <row r="358">
      <c r="A358" s="118" t="str">
        <f>IF(Update!B356="",ROW(Update!B356),Update!B356)</f>
        <v>Jericho Sims</v>
      </c>
      <c r="B358" s="119">
        <f>IF(TYPE($A358)=1,"",(Update!$L356-B$1)/B$2)</f>
        <v>-2.55429812</v>
      </c>
      <c r="C358" s="119">
        <f>IF(TYPE($A358)=1,"",(Update!$K356-C$1)/C$2)</f>
        <v>-1.584597568</v>
      </c>
      <c r="D358" s="119">
        <f>IF(TYPE($A358)=1,"",(Update!$M356-D$1)/D$2)</f>
        <v>-1.210694342</v>
      </c>
      <c r="E358" s="119">
        <f>IF(TYPE($A358)=1,"",(Update!$N356-E$1)/E$2)</f>
        <v>-1.596840673</v>
      </c>
      <c r="F358" s="119">
        <f>IF(TYPE($A358)=1,"",(Update!$O356-F$1)/F$2)</f>
        <v>-2.475385541</v>
      </c>
      <c r="G358" s="119">
        <f>IF(TYPE($A358)=1,"",(Update!$P356-G$1)/G$2)</f>
        <v>-0.5652834241</v>
      </c>
      <c r="H358" s="119">
        <f>IF(TYPE($A358)=1,"",(Update!$H356-H$1)/H$2*I358/$I$1)</f>
        <v>0.3942411979</v>
      </c>
      <c r="I358" s="119">
        <f>IF(TYPE($A358)=1,"",IF(Update!H356=0,0,Update!G356/Update!H356))</f>
        <v>1.3</v>
      </c>
      <c r="J358" s="120">
        <f>IF(TYPE($A358)=1,"",(Update!$J356-J$1)/J$2*K358/$K$1)</f>
        <v>-0.3606854139</v>
      </c>
      <c r="K358" s="121">
        <f>IF(TYPE($A358)=1,"",IF(Update!J356=0,0,Update!I356/Update!J356))</f>
        <v>0.4</v>
      </c>
      <c r="L358" s="119">
        <f>IF(TYPE($A358)=1,"",-(Update!$Q356-L$1)/L$2)</f>
        <v>1.980337098</v>
      </c>
      <c r="N358" s="124">
        <v>338.0</v>
      </c>
      <c r="O358" s="130" t="str">
        <f>IF(Update!B340="",ROW(Update!B340),Update!B340)</f>
        <v>Cam Whitmore</v>
      </c>
      <c r="P358" s="131">
        <f>Update!E340</f>
        <v>52</v>
      </c>
      <c r="Q358" s="131" t="str">
        <f>IF(Update!C340="",ROW(Update!N355),Update!C340)</f>
        <v>SF</v>
      </c>
      <c r="R358" s="127">
        <f>VLOOKUP($O358,'NO USAR1'!$A$4:$L$403,2,False)+VLOOKUP($O358,'NO USAR1'!$A$4:$L$403,3,False)+VLOOKUP($O358,'NO USAR1'!$A$4:$L$403,4,False)+VLOOKUP($O358,'NO USAR1'!$A$4:$L$403,5,False)+VLOOKUP($O358,'NO USAR1'!$A$4:$L$403,6,False)+VLOOKUP($O358,'NO USAR1'!$A$4:$L$403,7,False)+VLOOKUP($O358,'NO USAR1'!$A$4:$L$403,8,False)+VLOOKUP($O358,'NO USAR1'!$A$4:$L$403,10,False)+VLOOKUP($O358,'NO USAR1'!$A$4:$L$403,12,False)*0</f>
        <v>-9.07022712</v>
      </c>
      <c r="S358" s="127">
        <f>VLOOKUP($O358,'NO USAR1'!$A$4:$L$403,2,False)*$U$19+VLOOKUP($O358,'NO USAR1'!$A$4:$L$403,3,False)*$V$19+VLOOKUP($O358,'NO USAR1'!$A$4:$L$403,4,False)*$W$19+VLOOKUP($O358,'NO USAR1'!$A$4:$L$403,5,False)*$X$19+VLOOKUP($O358,'NO USAR1'!$A$4:$L$403,6,False)*$Y$19+VLOOKUP($O358,'NO USAR1'!$A$4:$L$403,7,False)*$Z$19+VLOOKUP($O358,'NO USAR1'!$A$4:$L$403,8,False)*$AA$19+VLOOKUP($O358,'NO USAR1'!$A$4:$L$403,10,False)*$AB$19+VLOOKUP($O358,'NO USAR1'!$A$4:$L$403,12,False)*$AC$19+IF(Projections!$K$3,-AN358, IF(Projections!$J$3,-AM358,0))</f>
        <v>-5.840051494</v>
      </c>
      <c r="T358" s="127">
        <f t="shared" si="1"/>
        <v>3.230175626</v>
      </c>
      <c r="U358" s="127">
        <f>VLOOKUP($O358,Update!$B$2:$R$401,11,False)</f>
        <v>6.3</v>
      </c>
      <c r="V358" s="122">
        <f>VLOOKUP($O358,Update!$B$2:$R$401,10,False)</f>
        <v>1.1</v>
      </c>
      <c r="W358" s="127">
        <f>VLOOKUP($O358,Update!$B$2:$R$401,12,False)</f>
        <v>2.4</v>
      </c>
      <c r="X358" s="127">
        <f>VLOOKUP($O358,Update!$B$2:$R$401,13,False)</f>
        <v>0.5</v>
      </c>
      <c r="Y358" s="127">
        <f>VLOOKUP($O358,Update!$B$2:$R$401,14,False)</f>
        <v>0.3</v>
      </c>
      <c r="Z358" s="132">
        <f>VLOOKUP($O358,Update!$B$2:$R$401,15,False)</f>
        <v>0.2</v>
      </c>
      <c r="AA358" s="127">
        <f>100*VLOOKUP($O358,Update!$B$2:$R$401,7,False)</f>
        <v>48</v>
      </c>
      <c r="AB358" s="127">
        <f>100*VLOOKUP($O358,Update!$B$2:$R$401,9,False)</f>
        <v>62.5</v>
      </c>
      <c r="AC358" s="127">
        <f>VLOOKUP($O358,Update!$B$2:$Q$401,16,False)</f>
        <v>0.5</v>
      </c>
      <c r="AD358" s="127">
        <f>VLOOKUP($O358,'NO USAR1'!$A$4:$L$403,2,False)*$U$19</f>
        <v>-1.846487337</v>
      </c>
      <c r="AE358" s="127">
        <f>VLOOKUP($O358,'NO USAR1'!$A$4:$L$403,3,False)*$V$19</f>
        <v>-0.472296146</v>
      </c>
      <c r="AF358" s="127">
        <f>VLOOKUP($O358,'NO USAR1'!$A$4:$L$403,4,False)*$W$19</f>
        <v>-1.545217301</v>
      </c>
      <c r="AG358" s="127">
        <f>VLOOKUP($O358,'NO USAR1'!$A$4:$L$403,5,False)*$X$19</f>
        <v>-1.70552228</v>
      </c>
      <c r="AH358" s="127">
        <f>VLOOKUP($O358,'NO USAR1'!$A$4:$L$403,6,False)*$Y$19</f>
        <v>-1.514719978</v>
      </c>
      <c r="AI358" s="127">
        <f>VLOOKUP($O358,'NO USAR1'!$A$4:$L$403,7,False)*$Z$19</f>
        <v>-0.6583300762</v>
      </c>
      <c r="AJ358" s="127">
        <f>VLOOKUP($O358,'NO USAR1'!$A$4:$L$403,8,False)*$AA$19</f>
        <v>-0.07983143402</v>
      </c>
      <c r="AK358" s="132">
        <f>VLOOKUP($O358,'NO USAR1'!$A$4:$L$403,10,False)*$AB$19</f>
        <v>-0.3281722994</v>
      </c>
      <c r="AL358" s="127">
        <f>VLOOKUP($O358,'NO USAR1'!$A$4:$L$403,12,False)*$AC$19</f>
        <v>0.4640380197</v>
      </c>
      <c r="AM358" s="133">
        <f t="shared" si="2"/>
        <v>-1.846487337</v>
      </c>
      <c r="AN358" s="133">
        <f t="shared" si="3"/>
        <v>-3.552009616</v>
      </c>
    </row>
    <row r="359">
      <c r="A359" s="118" t="str">
        <f>IF(Update!B357="",ROW(Update!B357),Update!B357)</f>
        <v>Saben Lee</v>
      </c>
      <c r="B359" s="119">
        <f>IF(TYPE($A359)=1,"",(Update!$L357-B$1)/B$2)</f>
        <v>-2.250950642</v>
      </c>
      <c r="C359" s="119">
        <f>IF(TYPE($A359)=1,"",(Update!$K357-C$1)/C$2)</f>
        <v>-1.295554639</v>
      </c>
      <c r="D359" s="119">
        <f>IF(TYPE($A359)=1,"",(Update!$M357-D$1)/D$2)</f>
        <v>-1.963370999</v>
      </c>
      <c r="E359" s="119">
        <f>IF(TYPE($A359)=1,"",(Update!$N357-E$1)/E$2)</f>
        <v>-0.9013525749</v>
      </c>
      <c r="F359" s="119">
        <f>IF(TYPE($A359)=1,"",(Update!$O357-F$1)/F$2)</f>
        <v>-1.229386107</v>
      </c>
      <c r="G359" s="119">
        <f>IF(TYPE($A359)=1,"",(Update!$P357-G$1)/G$2)</f>
        <v>-1.128065594</v>
      </c>
      <c r="H359" s="119">
        <f>IF(TYPE($A359)=1,"",(Update!$H357-H$1)/H$2*I359/$I$1)</f>
        <v>-0.3186936274</v>
      </c>
      <c r="I359" s="119">
        <f>IF(TYPE($A359)=1,"",IF(Update!H357=0,0,Update!G357/Update!H357))</f>
        <v>3.2</v>
      </c>
      <c r="J359" s="120">
        <f>IF(TYPE($A359)=1,"",(Update!$J357-J$1)/J$2*K359/$K$1)</f>
        <v>-0.01777713435</v>
      </c>
      <c r="K359" s="121">
        <f>IF(TYPE($A359)=1,"",IF(Update!J357=0,0,Update!I357/Update!J357))</f>
        <v>1.4</v>
      </c>
      <c r="L359" s="119">
        <f>IF(TYPE($A359)=1,"",-(Update!$Q357-L$1)/L$2)</f>
        <v>1.73196706</v>
      </c>
      <c r="N359" s="124">
        <v>339.0</v>
      </c>
      <c r="O359" s="130" t="str">
        <f>IF(Update!B352="",ROW(Update!B352),Update!B352)</f>
        <v>Isaiah Mobley</v>
      </c>
      <c r="P359" s="131">
        <f>Update!E352</f>
        <v>11</v>
      </c>
      <c r="Q359" s="131" t="str">
        <f>IF(Update!C352="",ROW(Update!N367),Update!C352)</f>
        <v>PF,C</v>
      </c>
      <c r="R359" s="127">
        <f>VLOOKUP($O359,'NO USAR1'!$A$4:$L$403,2,False)+VLOOKUP($O359,'NO USAR1'!$A$4:$L$403,3,False)+VLOOKUP($O359,'NO USAR1'!$A$4:$L$403,4,False)+VLOOKUP($O359,'NO USAR1'!$A$4:$L$403,5,False)+VLOOKUP($O359,'NO USAR1'!$A$4:$L$403,6,False)+VLOOKUP($O359,'NO USAR1'!$A$4:$L$403,7,False)+VLOOKUP($O359,'NO USAR1'!$A$4:$L$403,8,False)+VLOOKUP($O359,'NO USAR1'!$A$4:$L$403,10,False)+VLOOKUP($O359,'NO USAR1'!$A$4:$L$403,12,False)*0</f>
        <v>-9.103373858</v>
      </c>
      <c r="S359" s="127">
        <f>VLOOKUP($O359,'NO USAR1'!$A$4:$L$403,2,False)*$U$19+VLOOKUP($O359,'NO USAR1'!$A$4:$L$403,3,False)*$V$19+VLOOKUP($O359,'NO USAR1'!$A$4:$L$403,4,False)*$W$19+VLOOKUP($O359,'NO USAR1'!$A$4:$L$403,5,False)*$X$19+VLOOKUP($O359,'NO USAR1'!$A$4:$L$403,6,False)*$Y$19+VLOOKUP($O359,'NO USAR1'!$A$4:$L$403,7,False)*$Z$19+VLOOKUP($O359,'NO USAR1'!$A$4:$L$403,8,False)*$AA$19+VLOOKUP($O359,'NO USAR1'!$A$4:$L$403,10,False)*$AB$19+VLOOKUP($O359,'NO USAR1'!$A$4:$L$403,12,False)*$AC$19+IF(Projections!$K$3,-AN359, IF(Projections!$J$3,-AM359,0))</f>
        <v>-5.584832466</v>
      </c>
      <c r="T359" s="127">
        <f t="shared" si="1"/>
        <v>3.518541392</v>
      </c>
      <c r="U359" s="127">
        <f>VLOOKUP($O359,Update!$B$2:$R$401,11,False)</f>
        <v>3.7</v>
      </c>
      <c r="V359" s="122">
        <f>VLOOKUP($O359,Update!$B$2:$R$401,10,False)</f>
        <v>0.4</v>
      </c>
      <c r="W359" s="127">
        <f>VLOOKUP($O359,Update!$B$2:$R$401,12,False)</f>
        <v>2.4</v>
      </c>
      <c r="X359" s="127">
        <f>VLOOKUP($O359,Update!$B$2:$R$401,13,False)</f>
        <v>0.4</v>
      </c>
      <c r="Y359" s="127">
        <f>VLOOKUP($O359,Update!$B$2:$R$401,14,False)</f>
        <v>0.5</v>
      </c>
      <c r="Z359" s="132">
        <f>VLOOKUP($O359,Update!$B$2:$R$401,15,False)</f>
        <v>0.4</v>
      </c>
      <c r="AA359" s="127">
        <f>100*VLOOKUP($O359,Update!$B$2:$R$401,7,False)</f>
        <v>44.11764706</v>
      </c>
      <c r="AB359" s="127">
        <f>100*VLOOKUP($O359,Update!$B$2:$R$401,9,False)</f>
        <v>71.42857143</v>
      </c>
      <c r="AC359" s="127">
        <f>VLOOKUP($O359,Update!$B$2:$Q$401,16,False)</f>
        <v>0.1</v>
      </c>
      <c r="AD359" s="127">
        <f>VLOOKUP($O359,'NO USAR1'!$A$4:$L$403,2,False)*$U$19</f>
        <v>-2.284655917</v>
      </c>
      <c r="AE359" s="127">
        <f>VLOOKUP($O359,'NO USAR1'!$A$4:$L$403,3,False)*$V$19</f>
        <v>-1.079286297</v>
      </c>
      <c r="AF359" s="127">
        <f>VLOOKUP($O359,'NO USAR1'!$A$4:$L$403,4,False)*$W$19</f>
        <v>-1.545217301</v>
      </c>
      <c r="AG359" s="127">
        <f>VLOOKUP($O359,'NO USAR1'!$A$4:$L$403,5,False)*$X$19</f>
        <v>-1.75652474</v>
      </c>
      <c r="AH359" s="127">
        <f>VLOOKUP($O359,'NO USAR1'!$A$4:$L$403,6,False)*$Y$19</f>
        <v>-1.078620176</v>
      </c>
      <c r="AI359" s="127">
        <f>VLOOKUP($O359,'NO USAR1'!$A$4:$L$403,7,False)*$Z$19</f>
        <v>-0.3956983969</v>
      </c>
      <c r="AJ359" s="127">
        <f>VLOOKUP($O359,'NO USAR1'!$A$4:$L$403,8,False)*$AA$19</f>
        <v>-0.186135559</v>
      </c>
      <c r="AK359" s="132">
        <f>VLOOKUP($O359,'NO USAR1'!$A$4:$L$403,10,False)*$AB$19</f>
        <v>-0.1315730352</v>
      </c>
      <c r="AL359" s="127">
        <f>VLOOKUP($O359,'NO USAR1'!$A$4:$L$403,12,False)*$AC$19</f>
        <v>0.5882230384</v>
      </c>
      <c r="AM359" s="133">
        <f t="shared" si="2"/>
        <v>-2.284655917</v>
      </c>
      <c r="AN359" s="133">
        <f t="shared" si="3"/>
        <v>-4.041180657</v>
      </c>
    </row>
    <row r="360">
      <c r="A360" s="118" t="str">
        <f>IF(Update!B358="",ROW(Update!B358),Update!B358)</f>
        <v>Hunter Tyson</v>
      </c>
      <c r="B360" s="119">
        <f>IF(TYPE($A360)=1,"",(Update!$L358-B$1)/B$2)</f>
        <v>-1.964455801</v>
      </c>
      <c r="C360" s="119">
        <f>IF(TYPE($A360)=1,"",(Update!$K358-C$1)/C$2)</f>
        <v>-0.7174687815</v>
      </c>
      <c r="D360" s="119">
        <f>IF(TYPE($A360)=1,"",(Update!$M358-D$1)/D$2)</f>
        <v>-1.75429415</v>
      </c>
      <c r="E360" s="119">
        <f>IF(TYPE($A360)=1,"",(Update!$N358-E$1)/E$2)</f>
        <v>-1.596840673</v>
      </c>
      <c r="F360" s="119">
        <f>IF(TYPE($A360)=1,"",(Update!$O358-F$1)/F$2)</f>
        <v>-2.475385541</v>
      </c>
      <c r="G360" s="119">
        <f>IF(TYPE($A360)=1,"",(Update!$P358-G$1)/G$2)</f>
        <v>-0.9404715375</v>
      </c>
      <c r="H360" s="119">
        <f>IF(TYPE($A360)=1,"",(Update!$H358-H$1)/H$2*I360/$I$1)</f>
        <v>-0.2565161028</v>
      </c>
      <c r="I360" s="119">
        <f>IF(TYPE($A360)=1,"",IF(Update!H358=0,0,Update!G358/Update!H358))</f>
        <v>4.7</v>
      </c>
      <c r="J360" s="120">
        <f>IF(TYPE($A360)=1,"",(Update!$J358-J$1)/J$2*K360/$K$1)</f>
        <v>0.0812827863</v>
      </c>
      <c r="K360" s="121">
        <f>IF(TYPE($A360)=1,"",IF(Update!J358=0,0,Update!I358/Update!J358))</f>
        <v>0.6</v>
      </c>
      <c r="L360" s="119">
        <f>IF(TYPE($A360)=1,"",-(Update!$Q358-L$1)/L$2)</f>
        <v>1.980337098</v>
      </c>
      <c r="N360" s="33">
        <v>340.0</v>
      </c>
      <c r="O360" s="130" t="str">
        <f>IF(Update!B357="",ROW(Update!B357),Update!B357)</f>
        <v>Saben Lee</v>
      </c>
      <c r="P360" s="131">
        <f>Update!E357</f>
        <v>10</v>
      </c>
      <c r="Q360" s="131" t="str">
        <f>IF(Update!C357="",ROW(Update!N372),Update!C357)</f>
        <v>PG</v>
      </c>
      <c r="R360" s="127">
        <f>VLOOKUP($O360,'NO USAR1'!$A$4:$L$403,2,False)+VLOOKUP($O360,'NO USAR1'!$A$4:$L$403,3,False)+VLOOKUP($O360,'NO USAR1'!$A$4:$L$403,4,False)+VLOOKUP($O360,'NO USAR1'!$A$4:$L$403,5,False)+VLOOKUP($O360,'NO USAR1'!$A$4:$L$403,6,False)+VLOOKUP($O360,'NO USAR1'!$A$4:$L$403,7,False)+VLOOKUP($O360,'NO USAR1'!$A$4:$L$403,8,False)+VLOOKUP($O360,'NO USAR1'!$A$4:$L$403,10,False)+VLOOKUP($O360,'NO USAR1'!$A$4:$L$403,12,False)*0</f>
        <v>-9.105151318</v>
      </c>
      <c r="S360" s="127">
        <f>VLOOKUP($O360,'NO USAR1'!$A$4:$L$403,2,False)*$U$19+VLOOKUP($O360,'NO USAR1'!$A$4:$L$403,3,False)*$V$19+VLOOKUP($O360,'NO USAR1'!$A$4:$L$403,4,False)*$W$19+VLOOKUP($O360,'NO USAR1'!$A$4:$L$403,5,False)*$X$19+VLOOKUP($O360,'NO USAR1'!$A$4:$L$403,6,False)*$Y$19+VLOOKUP($O360,'NO USAR1'!$A$4:$L$403,7,False)*$Z$19+VLOOKUP($O360,'NO USAR1'!$A$4:$L$403,8,False)*$AA$19+VLOOKUP($O360,'NO USAR1'!$A$4:$L$403,10,False)*$AB$19+VLOOKUP($O360,'NO USAR1'!$A$4:$L$403,12,False)*$AC$19+IF(Projections!$K$3,-AN360, IF(Projections!$J$3,-AM360,0))</f>
        <v>-5.639128405</v>
      </c>
      <c r="T360" s="127">
        <f t="shared" si="1"/>
        <v>3.466022913</v>
      </c>
      <c r="U360" s="127">
        <f>VLOOKUP($O360,Update!$B$2:$R$401,11,False)</f>
        <v>3.9</v>
      </c>
      <c r="V360" s="122">
        <f>VLOOKUP($O360,Update!$B$2:$R$401,10,False)</f>
        <v>0.3</v>
      </c>
      <c r="W360" s="127">
        <f>VLOOKUP($O360,Update!$B$2:$R$401,12,False)</f>
        <v>1.4</v>
      </c>
      <c r="X360" s="127">
        <f>VLOOKUP($O360,Update!$B$2:$R$401,13,False)</f>
        <v>1.9</v>
      </c>
      <c r="Y360" s="127">
        <f>VLOOKUP($O360,Update!$B$2:$R$401,14,False)</f>
        <v>0.6</v>
      </c>
      <c r="Z360" s="132">
        <f>VLOOKUP($O360,Update!$B$2:$R$401,15,False)</f>
        <v>0.1</v>
      </c>
      <c r="AA360" s="127">
        <f>100*VLOOKUP($O360,Update!$B$2:$R$401,7,False)</f>
        <v>40.625</v>
      </c>
      <c r="AB360" s="127">
        <f>100*VLOOKUP($O360,Update!$B$2:$R$401,9,False)</f>
        <v>78.57142857</v>
      </c>
      <c r="AC360" s="127">
        <f>VLOOKUP($O360,Update!$B$2:$Q$401,16,False)</f>
        <v>0.6</v>
      </c>
      <c r="AD360" s="127">
        <f>VLOOKUP($O360,'NO USAR1'!$A$4:$L$403,2,False)*$U$19</f>
        <v>-2.250950642</v>
      </c>
      <c r="AE360" s="127">
        <f>VLOOKUP($O360,'NO USAR1'!$A$4:$L$403,3,False)*$V$19</f>
        <v>-1.165999176</v>
      </c>
      <c r="AF360" s="127">
        <f>VLOOKUP($O360,'NO USAR1'!$A$4:$L$403,4,False)*$W$19</f>
        <v>-1.963370999</v>
      </c>
      <c r="AG360" s="127">
        <f>VLOOKUP($O360,'NO USAR1'!$A$4:$L$403,5,False)*$X$19</f>
        <v>-0.9914878323</v>
      </c>
      <c r="AH360" s="127">
        <f>VLOOKUP($O360,'NO USAR1'!$A$4:$L$403,6,False)*$Y$19</f>
        <v>-0.8605702752</v>
      </c>
      <c r="AI360" s="127">
        <f>VLOOKUP($O360,'NO USAR1'!$A$4:$L$403,7,False)*$Z$19</f>
        <v>-0.7896459159</v>
      </c>
      <c r="AJ360" s="127">
        <f>VLOOKUP($O360,'NO USAR1'!$A$4:$L$403,8,False)*$AA$19</f>
        <v>-0.2868242647</v>
      </c>
      <c r="AK360" s="132">
        <f>VLOOKUP($O360,'NO USAR1'!$A$4:$L$403,10,False)*$AB$19</f>
        <v>-0.01422170748</v>
      </c>
      <c r="AL360" s="127">
        <f>VLOOKUP($O360,'NO USAR1'!$A$4:$L$403,12,False)*$AC$19</f>
        <v>0.4329917651</v>
      </c>
      <c r="AM360" s="133">
        <f t="shared" si="2"/>
        <v>-2.250950642</v>
      </c>
      <c r="AN360" s="133">
        <f t="shared" si="3"/>
        <v>-4.214321641</v>
      </c>
    </row>
    <row r="361">
      <c r="A361" s="118" t="str">
        <f>IF(Update!B359="",ROW(Update!B359),Update!B359)</f>
        <v>Goga Bitadze</v>
      </c>
      <c r="B361" s="119">
        <f>IF(TYPE($A361)=1,"",(Update!$L359-B$1)/B$2)</f>
        <v>-2.284655917</v>
      </c>
      <c r="C361" s="119">
        <f>IF(TYPE($A361)=1,"",(Update!$K359-C$1)/C$2)</f>
        <v>-1.391902282</v>
      </c>
      <c r="D361" s="119">
        <f>IF(TYPE($A361)=1,"",(Update!$M359-D$1)/D$2)</f>
        <v>-1.587032671</v>
      </c>
      <c r="E361" s="119">
        <f>IF(TYPE($A361)=1,"",(Update!$N359-E$1)/E$2)</f>
        <v>-1.457743053</v>
      </c>
      <c r="F361" s="119">
        <f>IF(TYPE($A361)=1,"",(Update!$O359-F$1)/F$2)</f>
        <v>-2.163885682</v>
      </c>
      <c r="G361" s="119">
        <f>IF(TYPE($A361)=1,"",(Update!$P359-G$1)/G$2)</f>
        <v>-0.3776893674</v>
      </c>
      <c r="H361" s="119">
        <f>IF(TYPE($A361)=1,"",(Update!$H359-H$1)/H$2*I361/$I$1)</f>
        <v>0.06752554296</v>
      </c>
      <c r="I361" s="119">
        <f>IF(TYPE($A361)=1,"",IF(Update!H359=0,0,Update!G359/Update!H359))</f>
        <v>2.7</v>
      </c>
      <c r="J361" s="120">
        <f>IF(TYPE($A361)=1,"",(Update!$J359-J$1)/J$2*K361/$K$1)</f>
        <v>-0.5905580812</v>
      </c>
      <c r="K361" s="121">
        <f>IF(TYPE($A361)=1,"",IF(Update!J359=0,0,Update!I359/Update!J359))</f>
        <v>1</v>
      </c>
      <c r="L361" s="119">
        <f>IF(TYPE($A361)=1,"",-(Update!$Q359-L$1)/L$2)</f>
        <v>1.856152079</v>
      </c>
      <c r="N361" s="33">
        <v>341.0</v>
      </c>
      <c r="O361" s="130" t="str">
        <f>IF(Update!B347="",ROW(Update!B347),Update!B347)</f>
        <v>Aleksandar Vezenkov</v>
      </c>
      <c r="P361" s="131">
        <f>Update!E347</f>
        <v>68</v>
      </c>
      <c r="Q361" s="131" t="str">
        <f>IF(Update!C347="",ROW(Update!N362),Update!C347)</f>
        <v>PF</v>
      </c>
      <c r="R361" s="127">
        <f>VLOOKUP($O361,'NO USAR1'!$A$4:$L$403,2,False)+VLOOKUP($O361,'NO USAR1'!$A$4:$L$403,3,False)+VLOOKUP($O361,'NO USAR1'!$A$4:$L$403,4,False)+VLOOKUP($O361,'NO USAR1'!$A$4:$L$403,5,False)+VLOOKUP($O361,'NO USAR1'!$A$4:$L$403,6,False)+VLOOKUP($O361,'NO USAR1'!$A$4:$L$403,7,False)+VLOOKUP($O361,'NO USAR1'!$A$4:$L$403,8,False)+VLOOKUP($O361,'NO USAR1'!$A$4:$L$403,10,False)+VLOOKUP($O361,'NO USAR1'!$A$4:$L$403,12,False)*0</f>
        <v>-9.114045704</v>
      </c>
      <c r="S361" s="127">
        <f>VLOOKUP($O361,'NO USAR1'!$A$4:$L$403,2,False)*$U$19+VLOOKUP($O361,'NO USAR1'!$A$4:$L$403,3,False)*$V$19+VLOOKUP($O361,'NO USAR1'!$A$4:$L$403,4,False)*$W$19+VLOOKUP($O361,'NO USAR1'!$A$4:$L$403,5,False)*$X$19+VLOOKUP($O361,'NO USAR1'!$A$4:$L$403,6,False)*$Y$19+VLOOKUP($O361,'NO USAR1'!$A$4:$L$403,7,False)*$Z$19+VLOOKUP($O361,'NO USAR1'!$A$4:$L$403,8,False)*$AA$19+VLOOKUP($O361,'NO USAR1'!$A$4:$L$403,10,False)*$AB$19+VLOOKUP($O361,'NO USAR1'!$A$4:$L$403,12,False)*$AC$19+IF(Projections!$K$3,-AN361, IF(Projections!$J$3,-AM361,0))</f>
        <v>-5.834264711</v>
      </c>
      <c r="T361" s="127">
        <f t="shared" si="1"/>
        <v>3.279780994</v>
      </c>
      <c r="U361" s="127">
        <f>VLOOKUP($O361,Update!$B$2:$R$401,11,False)</f>
        <v>5.6</v>
      </c>
      <c r="V361" s="122">
        <f>VLOOKUP($O361,Update!$B$2:$R$401,10,False)</f>
        <v>1.2</v>
      </c>
      <c r="W361" s="127">
        <f>VLOOKUP($O361,Update!$B$2:$R$401,12,False)</f>
        <v>1.6</v>
      </c>
      <c r="X361" s="127">
        <f>VLOOKUP($O361,Update!$B$2:$R$401,13,False)</f>
        <v>1</v>
      </c>
      <c r="Y361" s="127">
        <f>VLOOKUP($O361,Update!$B$2:$R$401,14,False)</f>
        <v>0.4</v>
      </c>
      <c r="Z361" s="132">
        <f>VLOOKUP($O361,Update!$B$2:$R$401,15,False)</f>
        <v>0.1</v>
      </c>
      <c r="AA361" s="127">
        <f>100*VLOOKUP($O361,Update!$B$2:$R$401,7,False)</f>
        <v>43.47826087</v>
      </c>
      <c r="AB361" s="127">
        <f>100*VLOOKUP($O361,Update!$B$2:$R$401,9,False)</f>
        <v>66.66666667</v>
      </c>
      <c r="AC361" s="127">
        <f>VLOOKUP($O361,Update!$B$2:$Q$401,16,False)</f>
        <v>0.6</v>
      </c>
      <c r="AD361" s="127">
        <f>VLOOKUP($O361,'NO USAR1'!$A$4:$L$403,2,False)*$U$19</f>
        <v>-1.964455801</v>
      </c>
      <c r="AE361" s="127">
        <f>VLOOKUP($O361,'NO USAR1'!$A$4:$L$403,3,False)*$V$19</f>
        <v>-0.3855832673</v>
      </c>
      <c r="AF361" s="127">
        <f>VLOOKUP($O361,'NO USAR1'!$A$4:$L$403,4,False)*$W$19</f>
        <v>-1.87974026</v>
      </c>
      <c r="AG361" s="127">
        <f>VLOOKUP($O361,'NO USAR1'!$A$4:$L$403,5,False)*$X$19</f>
        <v>-1.450509977</v>
      </c>
      <c r="AH361" s="127">
        <f>VLOOKUP($O361,'NO USAR1'!$A$4:$L$403,6,False)*$Y$19</f>
        <v>-1.296670077</v>
      </c>
      <c r="AI361" s="127">
        <f>VLOOKUP($O361,'NO USAR1'!$A$4:$L$403,7,False)*$Z$19</f>
        <v>-0.7896459159</v>
      </c>
      <c r="AJ361" s="127">
        <f>VLOOKUP($O361,'NO USAR1'!$A$4:$L$403,8,False)*$AA$19</f>
        <v>-0.2812088454</v>
      </c>
      <c r="AK361" s="132">
        <f>VLOOKUP($O361,'NO USAR1'!$A$4:$L$403,10,False)*$AB$19</f>
        <v>-0.1838981338</v>
      </c>
      <c r="AL361" s="127">
        <f>VLOOKUP($O361,'NO USAR1'!$A$4:$L$403,12,False)*$AC$19</f>
        <v>0.4329917651</v>
      </c>
      <c r="AM361" s="133">
        <f t="shared" si="2"/>
        <v>-1.964455801</v>
      </c>
      <c r="AN361" s="133">
        <f t="shared" si="3"/>
        <v>-3.84419606</v>
      </c>
    </row>
    <row r="362">
      <c r="A362" s="118" t="str">
        <f>IF(Update!B360="",ROW(Update!B360),Update!B360)</f>
        <v>Micah Potter</v>
      </c>
      <c r="B362" s="119">
        <f>IF(TYPE($A362)=1,"",(Update!$L360-B$1)/B$2)</f>
        <v>-2.284655917</v>
      </c>
      <c r="C362" s="119">
        <f>IF(TYPE($A362)=1,"",(Update!$K360-C$1)/C$2)</f>
        <v>-1.199206996</v>
      </c>
      <c r="D362" s="119">
        <f>IF(TYPE($A362)=1,"",(Update!$M360-D$1)/D$2)</f>
        <v>-1.503401931</v>
      </c>
      <c r="E362" s="119">
        <f>IF(TYPE($A362)=1,"",(Update!$N360-E$1)/E$2)</f>
        <v>-1.596840673</v>
      </c>
      <c r="F362" s="119">
        <f>IF(TYPE($A362)=1,"",(Update!$O360-F$1)/F$2)</f>
        <v>-2.475385541</v>
      </c>
      <c r="G362" s="119">
        <f>IF(TYPE($A362)=1,"",(Update!$P360-G$1)/G$2)</f>
        <v>-1.128065594</v>
      </c>
      <c r="H362" s="119">
        <f>IF(TYPE($A362)=1,"",(Update!$H360-H$1)/H$2*I362/$I$1)</f>
        <v>0.1785105462</v>
      </c>
      <c r="I362" s="119">
        <f>IF(TYPE($A362)=1,"",IF(Update!H360=0,0,Update!G360/Update!H360))</f>
        <v>2.7</v>
      </c>
      <c r="J362" s="120">
        <f>IF(TYPE($A362)=1,"",(Update!$J360-J$1)/J$2*K362/$K$1)</f>
        <v>-0.1149363336</v>
      </c>
      <c r="K362" s="121">
        <f>IF(TYPE($A362)=1,"",IF(Update!J360=0,0,Update!I360/Update!J360))</f>
        <v>0.3</v>
      </c>
      <c r="L362" s="119">
        <f>IF(TYPE($A362)=1,"",-(Update!$Q360-L$1)/L$2)</f>
        <v>2.104522116</v>
      </c>
      <c r="N362" s="124">
        <v>342.0</v>
      </c>
      <c r="O362" s="130" t="str">
        <f>IF(Update!B331="",ROW(Update!B331),Update!B331)</f>
        <v>Derrick Jones Jr.</v>
      </c>
      <c r="P362" s="131">
        <f>Update!E331</f>
        <v>54</v>
      </c>
      <c r="Q362" s="131" t="str">
        <f>IF(Update!C331="",ROW(Update!N346),Update!C331)</f>
        <v>SF</v>
      </c>
      <c r="R362" s="127">
        <f>VLOOKUP($O362,'NO USAR1'!$A$4:$L$403,2,False)+VLOOKUP($O362,'NO USAR1'!$A$4:$L$403,3,False)+VLOOKUP($O362,'NO USAR1'!$A$4:$L$403,4,False)+VLOOKUP($O362,'NO USAR1'!$A$4:$L$403,5,False)+VLOOKUP($O362,'NO USAR1'!$A$4:$L$403,6,False)+VLOOKUP($O362,'NO USAR1'!$A$4:$L$403,7,False)+VLOOKUP($O362,'NO USAR1'!$A$4:$L$403,8,False)+VLOOKUP($O362,'NO USAR1'!$A$4:$L$403,10,False)+VLOOKUP($O362,'NO USAR1'!$A$4:$L$403,12,False)*0</f>
        <v>-9.114143285</v>
      </c>
      <c r="S362" s="127">
        <f>VLOOKUP($O362,'NO USAR1'!$A$4:$L$403,2,False)*$U$19+VLOOKUP($O362,'NO USAR1'!$A$4:$L$403,3,False)*$V$19+VLOOKUP($O362,'NO USAR1'!$A$4:$L$403,4,False)*$W$19+VLOOKUP($O362,'NO USAR1'!$A$4:$L$403,5,False)*$X$19+VLOOKUP($O362,'NO USAR1'!$A$4:$L$403,6,False)*$Y$19+VLOOKUP($O362,'NO USAR1'!$A$4:$L$403,7,False)*$Z$19+VLOOKUP($O362,'NO USAR1'!$A$4:$L$403,8,False)*$AA$19+VLOOKUP($O362,'NO USAR1'!$A$4:$L$403,10,False)*$AB$19+VLOOKUP($O362,'NO USAR1'!$A$4:$L$403,12,False)*$AC$19+IF(Projections!$K$3,-AN362, IF(Projections!$J$3,-AM362,0))</f>
        <v>-5.726962128</v>
      </c>
      <c r="T362" s="127">
        <f t="shared" si="1"/>
        <v>3.387181158</v>
      </c>
      <c r="U362" s="127">
        <f>VLOOKUP($O362,Update!$B$2:$R$401,11,False)</f>
        <v>4.1</v>
      </c>
      <c r="V362" s="122">
        <f>VLOOKUP($O362,Update!$B$2:$R$401,10,False)</f>
        <v>0.3</v>
      </c>
      <c r="W362" s="127">
        <f>VLOOKUP($O362,Update!$B$2:$R$401,12,False)</f>
        <v>2.2</v>
      </c>
      <c r="X362" s="127">
        <f>VLOOKUP($O362,Update!$B$2:$R$401,13,False)</f>
        <v>0.4</v>
      </c>
      <c r="Y362" s="127">
        <f>VLOOKUP($O362,Update!$B$2:$R$401,14,False)</f>
        <v>0.4</v>
      </c>
      <c r="Z362" s="132">
        <f>VLOOKUP($O362,Update!$B$2:$R$401,15,False)</f>
        <v>0.5</v>
      </c>
      <c r="AA362" s="127">
        <f>100*VLOOKUP($O362,Update!$B$2:$R$401,7,False)</f>
        <v>51.72413793</v>
      </c>
      <c r="AB362" s="127">
        <f>100*VLOOKUP($O362,Update!$B$2:$R$401,9,False)</f>
        <v>72.72727273</v>
      </c>
      <c r="AC362" s="127">
        <f>VLOOKUP($O362,Update!$B$2:$Q$401,16,False)</f>
        <v>0.4</v>
      </c>
      <c r="AD362" s="127">
        <f>VLOOKUP($O362,'NO USAR1'!$A$4:$L$403,2,False)*$U$19</f>
        <v>-2.217245366</v>
      </c>
      <c r="AE362" s="127">
        <f>VLOOKUP($O362,'NO USAR1'!$A$4:$L$403,3,False)*$V$19</f>
        <v>-1.165999176</v>
      </c>
      <c r="AF362" s="127">
        <f>VLOOKUP($O362,'NO USAR1'!$A$4:$L$403,4,False)*$W$19</f>
        <v>-1.62884804</v>
      </c>
      <c r="AG362" s="127">
        <f>VLOOKUP($O362,'NO USAR1'!$A$4:$L$403,5,False)*$X$19</f>
        <v>-1.75652474</v>
      </c>
      <c r="AH362" s="127">
        <f>VLOOKUP($O362,'NO USAR1'!$A$4:$L$403,6,False)*$Y$19</f>
        <v>-1.296670077</v>
      </c>
      <c r="AI362" s="127">
        <f>VLOOKUP($O362,'NO USAR1'!$A$4:$L$403,7,False)*$Z$19</f>
        <v>-0.2643825572</v>
      </c>
      <c r="AJ362" s="127">
        <f>VLOOKUP($O362,'NO USAR1'!$A$4:$L$403,8,False)*$AA$19</f>
        <v>0.06157519142</v>
      </c>
      <c r="AK362" s="132">
        <f>VLOOKUP($O362,'NO USAR1'!$A$4:$L$403,10,False)*$AB$19</f>
        <v>-0.1711970034</v>
      </c>
      <c r="AL362" s="127">
        <f>VLOOKUP($O362,'NO USAR1'!$A$4:$L$403,12,False)*$AC$19</f>
        <v>0.4950842744</v>
      </c>
      <c r="AM362" s="133">
        <f t="shared" si="2"/>
        <v>-2.217245366</v>
      </c>
      <c r="AN362" s="133">
        <f t="shared" si="3"/>
        <v>-3.973770106</v>
      </c>
    </row>
    <row r="363">
      <c r="A363" s="118" t="str">
        <f>IF(Update!B361="",ROW(Update!B361),Update!B361)</f>
        <v>Jordan Walsh</v>
      </c>
      <c r="B363" s="119">
        <f>IF(TYPE($A363)=1,"",(Update!$L361-B$1)/B$2)</f>
        <v>-1.846487337</v>
      </c>
      <c r="C363" s="119">
        <f>IF(TYPE($A363)=1,"",(Update!$K361-C$1)/C$2)</f>
        <v>-1.00651171</v>
      </c>
      <c r="D363" s="119">
        <f>IF(TYPE($A363)=1,"",(Update!$M361-D$1)/D$2)</f>
        <v>-1.75429415</v>
      </c>
      <c r="E363" s="119">
        <f>IF(TYPE($A363)=1,"",(Update!$N361-E$1)/E$2)</f>
        <v>-1.179547814</v>
      </c>
      <c r="F363" s="119">
        <f>IF(TYPE($A363)=1,"",(Update!$O361-F$1)/F$2)</f>
        <v>-1.540885966</v>
      </c>
      <c r="G363" s="119">
        <f>IF(TYPE($A363)=1,"",(Update!$P361-G$1)/G$2)</f>
        <v>-1.128065594</v>
      </c>
      <c r="H363" s="119">
        <f>IF(TYPE($A363)=1,"",(Update!$H361-H$1)/H$2*I363/$I$1)</f>
        <v>-0.4198739303</v>
      </c>
      <c r="I363" s="119">
        <f>IF(TYPE($A363)=1,"",IF(Update!H361=0,0,Update!G361/Update!H361))</f>
        <v>5.4</v>
      </c>
      <c r="J363" s="120">
        <f>IF(TYPE($A363)=1,"",(Update!$J361-J$1)/J$2*K363/$K$1)</f>
        <v>-0.2635262146</v>
      </c>
      <c r="K363" s="121">
        <f>IF(TYPE($A363)=1,"",IF(Update!J361=0,0,Update!I361/Update!J361))</f>
        <v>1.5</v>
      </c>
      <c r="L363" s="119">
        <f>IF(TYPE($A363)=1,"",-(Update!$Q361-L$1)/L$2)</f>
        <v>0.9868569483</v>
      </c>
      <c r="N363" s="124">
        <v>343.0</v>
      </c>
      <c r="O363" s="130" t="str">
        <f>IF(Update!B361="",ROW(Update!B361),Update!B361)</f>
        <v>Jordan Walsh</v>
      </c>
      <c r="P363" s="131">
        <f>Update!E361</f>
        <v>60</v>
      </c>
      <c r="Q363" s="131" t="str">
        <f>IF(Update!C361="",ROW(Update!N376),Update!C361)</f>
        <v>SF</v>
      </c>
      <c r="R363" s="127">
        <f>VLOOKUP($O363,'NO USAR1'!$A$4:$L$403,2,False)+VLOOKUP($O363,'NO USAR1'!$A$4:$L$403,3,False)+VLOOKUP($O363,'NO USAR1'!$A$4:$L$403,4,False)+VLOOKUP($O363,'NO USAR1'!$A$4:$L$403,5,False)+VLOOKUP($O363,'NO USAR1'!$A$4:$L$403,6,False)+VLOOKUP($O363,'NO USAR1'!$A$4:$L$403,7,False)+VLOOKUP($O363,'NO USAR1'!$A$4:$L$403,8,False)+VLOOKUP($O363,'NO USAR1'!$A$4:$L$403,10,False)+VLOOKUP($O363,'NO USAR1'!$A$4:$L$403,12,False)*0</f>
        <v>-9.139192716</v>
      </c>
      <c r="S363" s="127">
        <f>VLOOKUP($O363,'NO USAR1'!$A$4:$L$403,2,False)*$U$19+VLOOKUP($O363,'NO USAR1'!$A$4:$L$403,3,False)*$V$19+VLOOKUP($O363,'NO USAR1'!$A$4:$L$403,4,False)*$W$19+VLOOKUP($O363,'NO USAR1'!$A$4:$L$403,5,False)*$X$19+VLOOKUP($O363,'NO USAR1'!$A$4:$L$403,6,False)*$Y$19+VLOOKUP($O363,'NO USAR1'!$A$4:$L$403,7,False)*$Z$19+VLOOKUP($O363,'NO USAR1'!$A$4:$L$403,8,False)*$AA$19+VLOOKUP($O363,'NO USAR1'!$A$4:$L$403,10,False)*$AB$19+VLOOKUP($O363,'NO USAR1'!$A$4:$L$403,12,False)*$AC$19+IF(Projections!$K$3,-AN363, IF(Projections!$J$3,-AM363,0))</f>
        <v>-6.167916649</v>
      </c>
      <c r="T363" s="127">
        <f t="shared" si="1"/>
        <v>2.971276067</v>
      </c>
      <c r="U363" s="127">
        <f>VLOOKUP($O363,Update!$B$2:$R$401,11,False)</f>
        <v>6.3</v>
      </c>
      <c r="V363" s="122">
        <f>VLOOKUP($O363,Update!$B$2:$R$401,10,False)</f>
        <v>0.6</v>
      </c>
      <c r="W363" s="127">
        <f>VLOOKUP($O363,Update!$B$2:$R$401,12,False)</f>
        <v>1.9</v>
      </c>
      <c r="X363" s="127">
        <f>VLOOKUP($O363,Update!$B$2:$R$401,13,False)</f>
        <v>1.3</v>
      </c>
      <c r="Y363" s="127">
        <f>VLOOKUP($O363,Update!$B$2:$R$401,14,False)</f>
        <v>0.5</v>
      </c>
      <c r="Z363" s="132">
        <f>VLOOKUP($O363,Update!$B$2:$R$401,15,False)</f>
        <v>0.1</v>
      </c>
      <c r="AA363" s="127">
        <f>100*VLOOKUP($O363,Update!$B$2:$R$401,7,False)</f>
        <v>42.59259259</v>
      </c>
      <c r="AB363" s="127">
        <f>100*VLOOKUP($O363,Update!$B$2:$R$401,9,False)</f>
        <v>73.33333333</v>
      </c>
      <c r="AC363" s="127">
        <f>VLOOKUP($O363,Update!$B$2:$Q$401,16,False)</f>
        <v>1.2</v>
      </c>
      <c r="AD363" s="127">
        <f>VLOOKUP($O363,'NO USAR1'!$A$4:$L$403,2,False)*$U$19</f>
        <v>-1.846487337</v>
      </c>
      <c r="AE363" s="127">
        <f>VLOOKUP($O363,'NO USAR1'!$A$4:$L$403,3,False)*$V$19</f>
        <v>-0.9058605394</v>
      </c>
      <c r="AF363" s="127">
        <f>VLOOKUP($O363,'NO USAR1'!$A$4:$L$403,4,False)*$W$19</f>
        <v>-1.75429415</v>
      </c>
      <c r="AG363" s="127">
        <f>VLOOKUP($O363,'NO USAR1'!$A$4:$L$403,5,False)*$X$19</f>
        <v>-1.297502595</v>
      </c>
      <c r="AH363" s="127">
        <f>VLOOKUP($O363,'NO USAR1'!$A$4:$L$403,6,False)*$Y$19</f>
        <v>-1.078620176</v>
      </c>
      <c r="AI363" s="127">
        <f>VLOOKUP($O363,'NO USAR1'!$A$4:$L$403,7,False)*$Z$19</f>
        <v>-0.7896459159</v>
      </c>
      <c r="AJ363" s="127">
        <f>VLOOKUP($O363,'NO USAR1'!$A$4:$L$403,8,False)*$AA$19</f>
        <v>-0.3778865373</v>
      </c>
      <c r="AK363" s="132">
        <f>VLOOKUP($O363,'NO USAR1'!$A$4:$L$403,10,False)*$AB$19</f>
        <v>-0.2108209717</v>
      </c>
      <c r="AL363" s="127">
        <f>VLOOKUP($O363,'NO USAR1'!$A$4:$L$403,12,False)*$AC$19</f>
        <v>0.2467142371</v>
      </c>
      <c r="AM363" s="133">
        <f t="shared" si="2"/>
        <v>-1.846487337</v>
      </c>
      <c r="AN363" s="133">
        <f t="shared" si="3"/>
        <v>-3.600781487</v>
      </c>
    </row>
    <row r="364">
      <c r="A364" s="118" t="str">
        <f>IF(Update!B362="",ROW(Update!B362),Update!B362)</f>
        <v>Garrison Mathews</v>
      </c>
      <c r="B364" s="119">
        <f>IF(TYPE($A364)=1,"",(Update!$L362-B$1)/B$2)</f>
        <v>-2.166687453</v>
      </c>
      <c r="C364" s="119">
        <f>IF(TYPE($A364)=1,"",(Update!$K362-C$1)/C$2)</f>
        <v>-0.6211211385</v>
      </c>
      <c r="D364" s="119">
        <f>IF(TYPE($A364)=1,"",(Update!$M362-D$1)/D$2)</f>
        <v>-2.005186369</v>
      </c>
      <c r="E364" s="119">
        <f>IF(TYPE($A364)=1,"",(Update!$N362-E$1)/E$2)</f>
        <v>-1.596840673</v>
      </c>
      <c r="F364" s="119">
        <f>IF(TYPE($A364)=1,"",(Update!$O362-F$1)/F$2)</f>
        <v>-1.852385824</v>
      </c>
      <c r="G364" s="119">
        <f>IF(TYPE($A364)=1,"",(Update!$P362-G$1)/G$2)</f>
        <v>-1.128065594</v>
      </c>
      <c r="H364" s="119">
        <f>IF(TYPE($A364)=1,"",(Update!$H362-H$1)/H$2*I364/$I$1)</f>
        <v>-0.4296786307</v>
      </c>
      <c r="I364" s="119">
        <f>IF(TYPE($A364)=1,"",IF(Update!H362=0,0,Update!G362/Update!H362))</f>
        <v>3.2</v>
      </c>
      <c r="J364" s="120">
        <f>IF(TYPE($A364)=1,"",(Update!$J362-J$1)/J$2*K364/$K$1)</f>
        <v>0.09715919929</v>
      </c>
      <c r="K364" s="121">
        <f>IF(TYPE($A364)=1,"",IF(Update!J362=0,0,Update!I362/Update!J362))</f>
        <v>1.1</v>
      </c>
      <c r="L364" s="119">
        <f>IF(TYPE($A364)=1,"",-(Update!$Q362-L$1)/L$2)</f>
        <v>2.104522116</v>
      </c>
      <c r="N364" s="33">
        <v>344.0</v>
      </c>
      <c r="O364" s="130" t="str">
        <f>IF(Update!B345="",ROW(Update!B345),Update!B345)</f>
        <v>Moses Moody</v>
      </c>
      <c r="P364" s="131">
        <f>Update!E345</f>
        <v>68</v>
      </c>
      <c r="Q364" s="131" t="str">
        <f>IF(Update!C345="",ROW(Update!N360),Update!C345)</f>
        <v>SG,SF</v>
      </c>
      <c r="R364" s="127">
        <f>VLOOKUP($O364,'NO USAR1'!$A$4:$L$403,2,False)+VLOOKUP($O364,'NO USAR1'!$A$4:$L$403,3,False)+VLOOKUP($O364,'NO USAR1'!$A$4:$L$403,4,False)+VLOOKUP($O364,'NO USAR1'!$A$4:$L$403,5,False)+VLOOKUP($O364,'NO USAR1'!$A$4:$L$403,6,False)+VLOOKUP($O364,'NO USAR1'!$A$4:$L$403,7,False)+VLOOKUP($O364,'NO USAR1'!$A$4:$L$403,8,False)+VLOOKUP($O364,'NO USAR1'!$A$4:$L$403,10,False)+VLOOKUP($O364,'NO USAR1'!$A$4:$L$403,12,False)*0</f>
        <v>-9.240482929</v>
      </c>
      <c r="S364" s="127">
        <f>VLOOKUP($O364,'NO USAR1'!$A$4:$L$403,2,False)*$U$19+VLOOKUP($O364,'NO USAR1'!$A$4:$L$403,3,False)*$V$19+VLOOKUP($O364,'NO USAR1'!$A$4:$L$403,4,False)*$W$19+VLOOKUP($O364,'NO USAR1'!$A$4:$L$403,5,False)*$X$19+VLOOKUP($O364,'NO USAR1'!$A$4:$L$403,6,False)*$Y$19+VLOOKUP($O364,'NO USAR1'!$A$4:$L$403,7,False)*$Z$19+VLOOKUP($O364,'NO USAR1'!$A$4:$L$403,8,False)*$AA$19+VLOOKUP($O364,'NO USAR1'!$A$4:$L$403,10,False)*$AB$19+VLOOKUP($O364,'NO USAR1'!$A$4:$L$403,12,False)*$AC$19+IF(Projections!$K$3,-AN364, IF(Projections!$J$3,-AM364,0))</f>
        <v>-5.945585962</v>
      </c>
      <c r="T364" s="127">
        <f t="shared" si="1"/>
        <v>3.294896967</v>
      </c>
      <c r="U364" s="127">
        <f>VLOOKUP($O364,Update!$B$2:$R$401,11,False)</f>
        <v>6</v>
      </c>
      <c r="V364" s="122">
        <f>VLOOKUP($O364,Update!$B$2:$R$401,10,False)</f>
        <v>1</v>
      </c>
      <c r="W364" s="127">
        <f>VLOOKUP($O364,Update!$B$2:$R$401,12,False)</f>
        <v>2.1</v>
      </c>
      <c r="X364" s="127">
        <f>VLOOKUP($O364,Update!$B$2:$R$401,13,False)</f>
        <v>0.8</v>
      </c>
      <c r="Y364" s="127">
        <f>VLOOKUP($O364,Update!$B$2:$R$401,14,False)</f>
        <v>0.3</v>
      </c>
      <c r="Z364" s="132">
        <f>VLOOKUP($O364,Update!$B$2:$R$401,15,False)</f>
        <v>0.2</v>
      </c>
      <c r="AA364" s="127">
        <f>100*VLOOKUP($O364,Update!$B$2:$R$401,7,False)</f>
        <v>44.68085106</v>
      </c>
      <c r="AB364" s="127">
        <f>100*VLOOKUP($O364,Update!$B$2:$R$401,9,False)</f>
        <v>70</v>
      </c>
      <c r="AC364" s="127">
        <f>VLOOKUP($O364,Update!$B$2:$Q$401,16,False)</f>
        <v>0.5</v>
      </c>
      <c r="AD364" s="127">
        <f>VLOOKUP($O364,'NO USAR1'!$A$4:$L$403,2,False)*$U$19</f>
        <v>-1.89704525</v>
      </c>
      <c r="AE364" s="127">
        <f>VLOOKUP($O364,'NO USAR1'!$A$4:$L$403,3,False)*$V$19</f>
        <v>-0.5590090247</v>
      </c>
      <c r="AF364" s="127">
        <f>VLOOKUP($O364,'NO USAR1'!$A$4:$L$403,4,False)*$W$19</f>
        <v>-1.67066341</v>
      </c>
      <c r="AG364" s="127">
        <f>VLOOKUP($O364,'NO USAR1'!$A$4:$L$403,5,False)*$X$19</f>
        <v>-1.552514898</v>
      </c>
      <c r="AH364" s="127">
        <f>VLOOKUP($O364,'NO USAR1'!$A$4:$L$403,6,False)*$Y$19</f>
        <v>-1.514719978</v>
      </c>
      <c r="AI364" s="127">
        <f>VLOOKUP($O364,'NO USAR1'!$A$4:$L$403,7,False)*$Z$19</f>
        <v>-0.6583300762</v>
      </c>
      <c r="AJ364" s="127">
        <f>VLOOKUP($O364,'NO USAR1'!$A$4:$L$403,8,False)*$AA$19</f>
        <v>-0.2308644925</v>
      </c>
      <c r="AK364" s="132">
        <f>VLOOKUP($O364,'NO USAR1'!$A$4:$L$403,10,False)*$AB$19</f>
        <v>-0.2235221021</v>
      </c>
      <c r="AL364" s="127">
        <f>VLOOKUP($O364,'NO USAR1'!$A$4:$L$403,12,False)*$AC$19</f>
        <v>0.4640380197</v>
      </c>
      <c r="AM364" s="133">
        <f t="shared" si="2"/>
        <v>-1.89704525</v>
      </c>
      <c r="AN364" s="133">
        <f t="shared" si="3"/>
        <v>-3.56770866</v>
      </c>
    </row>
    <row r="365">
      <c r="A365" s="118" t="str">
        <f>IF(Update!B363="",ROW(Update!B363),Update!B363)</f>
        <v>Kenneth Lofton Jr.</v>
      </c>
      <c r="B365" s="119">
        <f>IF(TYPE($A365)=1,"",(Update!$L363-B$1)/B$2)</f>
        <v>-1.728518873</v>
      </c>
      <c r="C365" s="119">
        <f>IF(TYPE($A365)=1,"",(Update!$K363-C$1)/C$2)</f>
        <v>-1.199206996</v>
      </c>
      <c r="D365" s="119">
        <f>IF(TYPE($A365)=1,"",(Update!$M363-D$1)/D$2)</f>
        <v>-1.294325082</v>
      </c>
      <c r="E365" s="119">
        <f>IF(TYPE($A365)=1,"",(Update!$N363-E$1)/E$2)</f>
        <v>-1.225913687</v>
      </c>
      <c r="F365" s="119">
        <f>IF(TYPE($A365)=1,"",(Update!$O363-F$1)/F$2)</f>
        <v>-2.163885682</v>
      </c>
      <c r="G365" s="119">
        <f>IF(TYPE($A365)=1,"",(Update!$P363-G$1)/G$2)</f>
        <v>-1.128065594</v>
      </c>
      <c r="H365" s="119">
        <f>IF(TYPE($A365)=1,"",(Update!$H363-H$1)/H$2*I365/$I$1)</f>
        <v>0.1350510859</v>
      </c>
      <c r="I365" s="119">
        <f>IF(TYPE($A365)=1,"",IF(Update!H363=0,0,Update!G363/Update!H363))</f>
        <v>5.4</v>
      </c>
      <c r="J365" s="120">
        <f>IF(TYPE($A365)=1,"",(Update!$J363-J$1)/J$2*K365/$K$1)</f>
        <v>-1.131586202</v>
      </c>
      <c r="K365" s="121">
        <f>IF(TYPE($A365)=1,"",IF(Update!J363=0,0,Update!I363/Update!J363))</f>
        <v>1.6</v>
      </c>
      <c r="L365" s="119">
        <f>IF(TYPE($A365)=1,"",-(Update!$Q363-L$1)/L$2)</f>
        <v>1.607782042</v>
      </c>
      <c r="N365" s="33">
        <v>345.0</v>
      </c>
      <c r="O365" s="130" t="str">
        <f>IF(Update!B341="",ROW(Update!B341),Update!B341)</f>
        <v>DeAndre Jordan</v>
      </c>
      <c r="P365" s="131">
        <f>Update!E341</f>
        <v>33</v>
      </c>
      <c r="Q365" s="131" t="str">
        <f>IF(Update!C341="",ROW(Update!N356),Update!C341)</f>
        <v>C</v>
      </c>
      <c r="R365" s="127">
        <f>VLOOKUP($O365,'NO USAR1'!$A$4:$L$403,2,False)+VLOOKUP($O365,'NO USAR1'!$A$4:$L$403,3,False)+VLOOKUP($O365,'NO USAR1'!$A$4:$L$403,4,False)+VLOOKUP($O365,'NO USAR1'!$A$4:$L$403,5,False)+VLOOKUP($O365,'NO USAR1'!$A$4:$L$403,6,False)+VLOOKUP($O365,'NO USAR1'!$A$4:$L$403,7,False)+VLOOKUP($O365,'NO USAR1'!$A$4:$L$403,8,False)+VLOOKUP($O365,'NO USAR1'!$A$4:$L$403,10,False)+VLOOKUP($O365,'NO USAR1'!$A$4:$L$403,12,False)*0</f>
        <v>-9.297505593</v>
      </c>
      <c r="S365" s="127">
        <f>VLOOKUP($O365,'NO USAR1'!$A$4:$L$403,2,False)*$U$19+VLOOKUP($O365,'NO USAR1'!$A$4:$L$403,3,False)*$V$19+VLOOKUP($O365,'NO USAR1'!$A$4:$L$403,4,False)*$W$19+VLOOKUP($O365,'NO USAR1'!$A$4:$L$403,5,False)*$X$19+VLOOKUP($O365,'NO USAR1'!$A$4:$L$403,6,False)*$Y$19+VLOOKUP($O365,'NO USAR1'!$A$4:$L$403,7,False)*$Z$19+VLOOKUP($O365,'NO USAR1'!$A$4:$L$403,8,False)*$AA$19+VLOOKUP($O365,'NO USAR1'!$A$4:$L$403,10,False)*$AB$19+VLOOKUP($O365,'NO USAR1'!$A$4:$L$403,12,False)*$AC$19+IF(Projections!$K$3,-AN365, IF(Projections!$J$3,-AM365,0))</f>
        <v>-5.630062947</v>
      </c>
      <c r="T365" s="127">
        <f t="shared" si="1"/>
        <v>3.667442646</v>
      </c>
      <c r="U365" s="127">
        <f>VLOOKUP($O365,Update!$B$2:$R$401,11,False)</f>
        <v>3.5</v>
      </c>
      <c r="V365" s="122">
        <f>VLOOKUP($O365,Update!$B$2:$R$401,10,False)</f>
        <v>0</v>
      </c>
      <c r="W365" s="127">
        <f>VLOOKUP($O365,Update!$B$2:$R$401,12,False)</f>
        <v>4.1</v>
      </c>
      <c r="X365" s="127">
        <f>VLOOKUP($O365,Update!$B$2:$R$401,13,False)</f>
        <v>0.5</v>
      </c>
      <c r="Y365" s="127">
        <f>VLOOKUP($O365,Update!$B$2:$R$401,14,False)</f>
        <v>0.2</v>
      </c>
      <c r="Z365" s="132">
        <f>VLOOKUP($O365,Update!$B$2:$R$401,15,False)</f>
        <v>0.5</v>
      </c>
      <c r="AA365" s="127">
        <f>100*VLOOKUP($O365,Update!$B$2:$R$401,7,False)</f>
        <v>72.72727273</v>
      </c>
      <c r="AB365" s="127">
        <f>100*VLOOKUP($O365,Update!$B$2:$R$401,9,False)</f>
        <v>50</v>
      </c>
      <c r="AC365" s="127">
        <f>VLOOKUP($O365,Update!$B$2:$Q$401,16,False)</f>
        <v>0.7</v>
      </c>
      <c r="AD365" s="127">
        <f>VLOOKUP($O365,'NO USAR1'!$A$4:$L$403,2,False)*$U$19</f>
        <v>-2.318361192</v>
      </c>
      <c r="AE365" s="127">
        <f>VLOOKUP($O365,'NO USAR1'!$A$4:$L$403,3,False)*$V$19</f>
        <v>-1.426137812</v>
      </c>
      <c r="AF365" s="127">
        <f>VLOOKUP($O365,'NO USAR1'!$A$4:$L$403,4,False)*$W$19</f>
        <v>-0.8343560132</v>
      </c>
      <c r="AG365" s="127">
        <f>VLOOKUP($O365,'NO USAR1'!$A$4:$L$403,5,False)*$X$19</f>
        <v>-1.70552228</v>
      </c>
      <c r="AH365" s="127">
        <f>VLOOKUP($O365,'NO USAR1'!$A$4:$L$403,6,False)*$Y$19</f>
        <v>-1.732769878</v>
      </c>
      <c r="AI365" s="127">
        <f>VLOOKUP($O365,'NO USAR1'!$A$4:$L$403,7,False)*$Z$19</f>
        <v>-0.2643825572</v>
      </c>
      <c r="AJ365" s="127">
        <f>VLOOKUP($O365,'NO USAR1'!$A$4:$L$403,8,False)*$AA$19</f>
        <v>0.5082567449</v>
      </c>
      <c r="AK365" s="132">
        <f>VLOOKUP($O365,'NO USAR1'!$A$4:$L$403,10,False)*$AB$19</f>
        <v>-0.5770966622</v>
      </c>
      <c r="AL365" s="127">
        <f>VLOOKUP($O365,'NO USAR1'!$A$4:$L$403,12,False)*$AC$19</f>
        <v>0.4019455104</v>
      </c>
      <c r="AM365" s="133">
        <f t="shared" si="2"/>
        <v>-2.318361192</v>
      </c>
      <c r="AN365" s="133">
        <f t="shared" si="3"/>
        <v>-4.051131071</v>
      </c>
    </row>
    <row r="366">
      <c r="A366" s="118" t="str">
        <f>IF(Update!B364="",ROW(Update!B364),Update!B364)</f>
        <v>Devonte' Graham</v>
      </c>
      <c r="B366" s="119">
        <f>IF(TYPE($A366)=1,"",(Update!$L364-B$1)/B$2)</f>
        <v>-2.11612954</v>
      </c>
      <c r="C366" s="119">
        <f>IF(TYPE($A366)=1,"",(Update!$K364-C$1)/C$2)</f>
        <v>-0.6211211385</v>
      </c>
      <c r="D366" s="119">
        <f>IF(TYPE($A366)=1,"",(Update!$M364-D$1)/D$2)</f>
        <v>-2.130632479</v>
      </c>
      <c r="E366" s="119">
        <f>IF(TYPE($A366)=1,"",(Update!$N364-E$1)/E$2)</f>
        <v>-0.9940843212</v>
      </c>
      <c r="F366" s="119">
        <f>IF(TYPE($A366)=1,"",(Update!$O364-F$1)/F$2)</f>
        <v>-1.852385824</v>
      </c>
      <c r="G366" s="119">
        <f>IF(TYPE($A366)=1,"",(Update!$P364-G$1)/G$2)</f>
        <v>-1.128065594</v>
      </c>
      <c r="H366" s="119">
        <f>IF(TYPE($A366)=1,"",(Update!$H364-H$1)/H$2*I366/$I$1)</f>
        <v>-0.5921451218</v>
      </c>
      <c r="I366" s="119">
        <f>IF(TYPE($A366)=1,"",IF(Update!H364=0,0,Update!G364/Update!H364))</f>
        <v>4.1</v>
      </c>
      <c r="J366" s="120">
        <f>IF(TYPE($A366)=1,"",(Update!$J364-J$1)/J$2*K366/$K$1)</f>
        <v>-0.03365354734</v>
      </c>
      <c r="K366" s="121">
        <f>IF(TYPE($A366)=1,"",IF(Update!J364=0,0,Update!I364/Update!J364))</f>
        <v>0.9</v>
      </c>
      <c r="L366" s="119">
        <f>IF(TYPE($A366)=1,"",-(Update!$Q364-L$1)/L$2)</f>
        <v>1.856152079</v>
      </c>
      <c r="N366" s="124">
        <v>346.0</v>
      </c>
      <c r="O366" s="130" t="str">
        <f>IF(Update!B346="",ROW(Update!B346),Update!B346)</f>
        <v>Aaron Wiggins</v>
      </c>
      <c r="P366" s="131">
        <f>Update!E346</f>
        <v>60</v>
      </c>
      <c r="Q366" s="131" t="str">
        <f>IF(Update!C346="",ROW(Update!N361),Update!C346)</f>
        <v>SG,SF</v>
      </c>
      <c r="R366" s="127">
        <f>VLOOKUP($O366,'NO USAR1'!$A$4:$L$403,2,False)+VLOOKUP($O366,'NO USAR1'!$A$4:$L$403,3,False)+VLOOKUP($O366,'NO USAR1'!$A$4:$L$403,4,False)+VLOOKUP($O366,'NO USAR1'!$A$4:$L$403,5,False)+VLOOKUP($O366,'NO USAR1'!$A$4:$L$403,6,False)+VLOOKUP($O366,'NO USAR1'!$A$4:$L$403,7,False)+VLOOKUP($O366,'NO USAR1'!$A$4:$L$403,8,False)+VLOOKUP($O366,'NO USAR1'!$A$4:$L$403,10,False)+VLOOKUP($O366,'NO USAR1'!$A$4:$L$403,12,False)*0</f>
        <v>-9.299066804</v>
      </c>
      <c r="S366" s="127">
        <f>VLOOKUP($O366,'NO USAR1'!$A$4:$L$403,2,False)*$U$19+VLOOKUP($O366,'NO USAR1'!$A$4:$L$403,3,False)*$V$19+VLOOKUP($O366,'NO USAR1'!$A$4:$L$403,4,False)*$W$19+VLOOKUP($O366,'NO USAR1'!$A$4:$L$403,5,False)*$X$19+VLOOKUP($O366,'NO USAR1'!$A$4:$L$403,6,False)*$Y$19+VLOOKUP($O366,'NO USAR1'!$A$4:$L$403,7,False)*$Z$19+VLOOKUP($O366,'NO USAR1'!$A$4:$L$403,8,False)*$AA$19+VLOOKUP($O366,'NO USAR1'!$A$4:$L$403,10,False)*$AB$19+VLOOKUP($O366,'NO USAR1'!$A$4:$L$403,12,False)*$AC$19+IF(Projections!$K$3,-AN366, IF(Projections!$J$3,-AM366,0))</f>
        <v>-5.93802587</v>
      </c>
      <c r="T366" s="127">
        <f t="shared" si="1"/>
        <v>3.361040934</v>
      </c>
      <c r="U366" s="127">
        <f>VLOOKUP($O366,Update!$B$2:$R$401,11,False)</f>
        <v>5.1</v>
      </c>
      <c r="V366" s="122">
        <f>VLOOKUP($O366,Update!$B$2:$R$401,10,False)</f>
        <v>0.5</v>
      </c>
      <c r="W366" s="127">
        <f>VLOOKUP($O366,Update!$B$2:$R$401,12,False)</f>
        <v>2.2</v>
      </c>
      <c r="X366" s="127">
        <f>VLOOKUP($O366,Update!$B$2:$R$401,13,False)</f>
        <v>0.8</v>
      </c>
      <c r="Y366" s="127">
        <f>VLOOKUP($O366,Update!$B$2:$R$401,14,False)</f>
        <v>0.4</v>
      </c>
      <c r="Z366" s="132">
        <f>VLOOKUP($O366,Update!$B$2:$R$401,15,False)</f>
        <v>0.1</v>
      </c>
      <c r="AA366" s="127">
        <f>100*VLOOKUP($O366,Update!$B$2:$R$401,7,False)</f>
        <v>47.5</v>
      </c>
      <c r="AB366" s="127">
        <f>100*VLOOKUP($O366,Update!$B$2:$R$401,9,False)</f>
        <v>77.77777778</v>
      </c>
      <c r="AC366" s="127">
        <f>VLOOKUP($O366,Update!$B$2:$Q$401,16,False)</f>
        <v>0.6</v>
      </c>
      <c r="AD366" s="127">
        <f>VLOOKUP($O366,'NO USAR1'!$A$4:$L$403,2,False)*$U$19</f>
        <v>-2.048718989</v>
      </c>
      <c r="AE366" s="127">
        <f>VLOOKUP($O366,'NO USAR1'!$A$4:$L$403,3,False)*$V$19</f>
        <v>-0.9925734181</v>
      </c>
      <c r="AF366" s="127">
        <f>VLOOKUP($O366,'NO USAR1'!$A$4:$L$403,4,False)*$W$19</f>
        <v>-1.62884804</v>
      </c>
      <c r="AG366" s="127">
        <f>VLOOKUP($O366,'NO USAR1'!$A$4:$L$403,5,False)*$X$19</f>
        <v>-1.552514898</v>
      </c>
      <c r="AH366" s="127">
        <f>VLOOKUP($O366,'NO USAR1'!$A$4:$L$403,6,False)*$Y$19</f>
        <v>-1.296670077</v>
      </c>
      <c r="AI366" s="127">
        <f>VLOOKUP($O366,'NO USAR1'!$A$4:$L$403,7,False)*$Z$19</f>
        <v>-0.7896459159</v>
      </c>
      <c r="AJ366" s="127">
        <f>VLOOKUP($O366,'NO USAR1'!$A$4:$L$403,8,False)*$AA$19</f>
        <v>-0.0838424478</v>
      </c>
      <c r="AK366" s="132">
        <f>VLOOKUP($O366,'NO USAR1'!$A$4:$L$403,10,False)*$AB$19</f>
        <v>-0.02692283787</v>
      </c>
      <c r="AL366" s="127">
        <f>VLOOKUP($O366,'NO USAR1'!$A$4:$L$403,12,False)*$AC$19</f>
        <v>0.4329917651</v>
      </c>
      <c r="AM366" s="133">
        <f t="shared" si="2"/>
        <v>-2.048718989</v>
      </c>
      <c r="AN366" s="133">
        <f t="shared" si="3"/>
        <v>-3.67756703</v>
      </c>
    </row>
    <row r="367">
      <c r="A367" s="118" t="str">
        <f>IF(Update!B365="",ROW(Update!B365),Update!B365)</f>
        <v>Darius Bazley</v>
      </c>
      <c r="B367" s="119">
        <f>IF(TYPE($A367)=1,"",(Update!$L365-B$1)/B$2)</f>
        <v>-2.200392728</v>
      </c>
      <c r="C367" s="119">
        <f>IF(TYPE($A367)=1,"",(Update!$K365-C$1)/C$2)</f>
        <v>-1.199206996</v>
      </c>
      <c r="D367" s="119">
        <f>IF(TYPE($A367)=1,"",(Update!$M365-D$1)/D$2)</f>
        <v>-1.545217301</v>
      </c>
      <c r="E367" s="119">
        <f>IF(TYPE($A367)=1,"",(Update!$N365-E$1)/E$2)</f>
        <v>-1.504108926</v>
      </c>
      <c r="F367" s="119">
        <f>IF(TYPE($A367)=1,"",(Update!$O365-F$1)/F$2)</f>
        <v>-2.163885682</v>
      </c>
      <c r="G367" s="119">
        <f>IF(TYPE($A367)=1,"",(Update!$P365-G$1)/G$2)</f>
        <v>-0.5652834241</v>
      </c>
      <c r="H367" s="119">
        <f>IF(TYPE($A367)=1,"",(Update!$H365-H$1)/H$2*I367/$I$1)</f>
        <v>-0.150879118</v>
      </c>
      <c r="I367" s="119">
        <f>IF(TYPE($A367)=1,"",IF(Update!H365=0,0,Update!G365/Update!H365))</f>
        <v>3.5</v>
      </c>
      <c r="J367" s="120">
        <f>IF(TYPE($A367)=1,"",(Update!$J365-J$1)/J$2*K367/$K$1)</f>
        <v>-0.2794026276</v>
      </c>
      <c r="K367" s="121">
        <f>IF(TYPE($A367)=1,"",IF(Update!J365=0,0,Update!I365/Update!J365))</f>
        <v>1</v>
      </c>
      <c r="L367" s="119">
        <f>IF(TYPE($A367)=1,"",-(Update!$Q365-L$1)/L$2)</f>
        <v>1.856152079</v>
      </c>
      <c r="N367" s="124">
        <v>347.0</v>
      </c>
      <c r="O367" s="130" t="str">
        <f>IF(Update!B350="",ROW(Update!B350),Update!B350)</f>
        <v>Kobe Brown</v>
      </c>
      <c r="P367" s="131">
        <f>Update!E350</f>
        <v>30</v>
      </c>
      <c r="Q367" s="131" t="str">
        <f>IF(Update!C350="",ROW(Update!N365),Update!C350)</f>
        <v>PF</v>
      </c>
      <c r="R367" s="127">
        <f>VLOOKUP($O367,'NO USAR1'!$A$4:$L$403,2,False)+VLOOKUP($O367,'NO USAR1'!$A$4:$L$403,3,False)+VLOOKUP($O367,'NO USAR1'!$A$4:$L$403,4,False)+VLOOKUP($O367,'NO USAR1'!$A$4:$L$403,5,False)+VLOOKUP($O367,'NO USAR1'!$A$4:$L$403,6,False)+VLOOKUP($O367,'NO USAR1'!$A$4:$L$403,7,False)+VLOOKUP($O367,'NO USAR1'!$A$4:$L$403,8,False)+VLOOKUP($O367,'NO USAR1'!$A$4:$L$403,10,False)+VLOOKUP($O367,'NO USAR1'!$A$4:$L$403,12,False)*0</f>
        <v>-9.310118752</v>
      </c>
      <c r="S367" s="127">
        <f>VLOOKUP($O367,'NO USAR1'!$A$4:$L$403,2,False)*$U$19+VLOOKUP($O367,'NO USAR1'!$A$4:$L$403,3,False)*$V$19+VLOOKUP($O367,'NO USAR1'!$A$4:$L$403,4,False)*$W$19+VLOOKUP($O367,'NO USAR1'!$A$4:$L$403,5,False)*$X$19+VLOOKUP($O367,'NO USAR1'!$A$4:$L$403,6,False)*$Y$19+VLOOKUP($O367,'NO USAR1'!$A$4:$L$403,7,False)*$Z$19+VLOOKUP($O367,'NO USAR1'!$A$4:$L$403,8,False)*$AA$19+VLOOKUP($O367,'NO USAR1'!$A$4:$L$403,10,False)*$AB$19+VLOOKUP($O367,'NO USAR1'!$A$4:$L$403,12,False)*$AC$19+IF(Projections!$K$3,-AN367, IF(Projections!$J$3,-AM367,0))</f>
        <v>-6.025798279</v>
      </c>
      <c r="T367" s="127">
        <f t="shared" si="1"/>
        <v>3.284320472</v>
      </c>
      <c r="U367" s="127">
        <f>VLOOKUP($O367,Update!$B$2:$R$401,11,False)</f>
        <v>6</v>
      </c>
      <c r="V367" s="122">
        <f>VLOOKUP($O367,Update!$B$2:$R$401,10,False)</f>
        <v>1</v>
      </c>
      <c r="W367" s="127">
        <f>VLOOKUP($O367,Update!$B$2:$R$401,12,False)</f>
        <v>2.1</v>
      </c>
      <c r="X367" s="127">
        <f>VLOOKUP($O367,Update!$B$2:$R$401,13,False)</f>
        <v>0.4</v>
      </c>
      <c r="Y367" s="127">
        <f>VLOOKUP($O367,Update!$B$2:$R$401,14,False)</f>
        <v>0.3</v>
      </c>
      <c r="Z367" s="132">
        <f>VLOOKUP($O367,Update!$B$2:$R$401,15,False)</f>
        <v>0.2</v>
      </c>
      <c r="AA367" s="127">
        <f>100*VLOOKUP($O367,Update!$B$2:$R$401,7,False)</f>
        <v>44.89795918</v>
      </c>
      <c r="AB367" s="127">
        <f>100*VLOOKUP($O367,Update!$B$2:$R$401,9,False)</f>
        <v>71.42857143</v>
      </c>
      <c r="AC367" s="127">
        <f>VLOOKUP($O367,Update!$B$2:$Q$401,16,False)</f>
        <v>0.4</v>
      </c>
      <c r="AD367" s="127">
        <f>VLOOKUP($O367,'NO USAR1'!$A$4:$L$403,2,False)*$U$19</f>
        <v>-1.89704525</v>
      </c>
      <c r="AE367" s="127">
        <f>VLOOKUP($O367,'NO USAR1'!$A$4:$L$403,3,False)*$V$19</f>
        <v>-0.5590090247</v>
      </c>
      <c r="AF367" s="127">
        <f>VLOOKUP($O367,'NO USAR1'!$A$4:$L$403,4,False)*$W$19</f>
        <v>-1.67066341</v>
      </c>
      <c r="AG367" s="127">
        <f>VLOOKUP($O367,'NO USAR1'!$A$4:$L$403,5,False)*$X$19</f>
        <v>-1.75652474</v>
      </c>
      <c r="AH367" s="127">
        <f>VLOOKUP($O367,'NO USAR1'!$A$4:$L$403,6,False)*$Y$19</f>
        <v>-1.514719978</v>
      </c>
      <c r="AI367" s="127">
        <f>VLOOKUP($O367,'NO USAR1'!$A$4:$L$403,7,False)*$Z$19</f>
        <v>-0.6583300762</v>
      </c>
      <c r="AJ367" s="127">
        <f>VLOOKUP($O367,'NO USAR1'!$A$4:$L$403,8,False)*$AA$19</f>
        <v>-0.2300622898</v>
      </c>
      <c r="AK367" s="132">
        <f>VLOOKUP($O367,'NO USAR1'!$A$4:$L$403,10,False)*$AB$19</f>
        <v>-0.1315730352</v>
      </c>
      <c r="AL367" s="127">
        <f>VLOOKUP($O367,'NO USAR1'!$A$4:$L$403,12,False)*$AC$19</f>
        <v>0.4950842744</v>
      </c>
      <c r="AM367" s="133">
        <f t="shared" si="2"/>
        <v>-1.89704525</v>
      </c>
      <c r="AN367" s="133">
        <f t="shared" si="3"/>
        <v>-3.65356999</v>
      </c>
    </row>
    <row r="368">
      <c r="A368" s="118" t="str">
        <f>IF(Update!B366="",ROW(Update!B366),Update!B366)</f>
        <v>Thaddeus Young</v>
      </c>
      <c r="B368" s="119">
        <f>IF(TYPE($A368)=1,"",(Update!$L366-B$1)/B$2)</f>
        <v>-2.419477019</v>
      </c>
      <c r="C368" s="119">
        <f>IF(TYPE($A368)=1,"",(Update!$K366-C$1)/C$2)</f>
        <v>-1.488249925</v>
      </c>
      <c r="D368" s="119">
        <f>IF(TYPE($A368)=1,"",(Update!$M366-D$1)/D$2)</f>
        <v>-1.75429415</v>
      </c>
      <c r="E368" s="119">
        <f>IF(TYPE($A368)=1,"",(Update!$N366-E$1)/E$2)</f>
        <v>-1.365011307</v>
      </c>
      <c r="F368" s="119">
        <f>IF(TYPE($A368)=1,"",(Update!$O366-F$1)/F$2)</f>
        <v>-1.229386107</v>
      </c>
      <c r="G368" s="119">
        <f>IF(TYPE($A368)=1,"",(Update!$P366-G$1)/G$2)</f>
        <v>-1.128065594</v>
      </c>
      <c r="H368" s="119">
        <f>IF(TYPE($A368)=1,"",(Update!$H366-H$1)/H$2*I368/$I$1)</f>
        <v>0.12168104</v>
      </c>
      <c r="I368" s="119">
        <f>IF(TYPE($A368)=1,"",IF(Update!H366=0,0,Update!G366/Update!H366))</f>
        <v>2.4</v>
      </c>
      <c r="J368" s="120">
        <f>IF(TYPE($A368)=1,"",(Update!$J366-J$1)/J$2*K368/$K$1)</f>
        <v>-0.3606854139</v>
      </c>
      <c r="K368" s="121">
        <f>IF(TYPE($A368)=1,"",IF(Update!J366=0,0,Update!I366/Update!J366))</f>
        <v>0.4</v>
      </c>
      <c r="L368" s="119">
        <f>IF(TYPE($A368)=1,"",-(Update!$Q366-L$1)/L$2)</f>
        <v>1.856152079</v>
      </c>
      <c r="N368" s="33">
        <v>348.0</v>
      </c>
      <c r="O368" s="130" t="str">
        <f>IF(Update!B321="",ROW(Update!B321),Update!B321)</f>
        <v>Damian Jones</v>
      </c>
      <c r="P368" s="131">
        <f>Update!E321</f>
        <v>62</v>
      </c>
      <c r="Q368" s="131" t="str">
        <f>IF(Update!C321="",ROW(Update!N336),Update!C321)</f>
        <v>C</v>
      </c>
      <c r="R368" s="127">
        <f>VLOOKUP($O368,'NO USAR1'!$A$4:$L$403,2,False)+VLOOKUP($O368,'NO USAR1'!$A$4:$L$403,3,False)+VLOOKUP($O368,'NO USAR1'!$A$4:$L$403,4,False)+VLOOKUP($O368,'NO USAR1'!$A$4:$L$403,5,False)+VLOOKUP($O368,'NO USAR1'!$A$4:$L$403,6,False)+VLOOKUP($O368,'NO USAR1'!$A$4:$L$403,7,False)+VLOOKUP($O368,'NO USAR1'!$A$4:$L$403,8,False)+VLOOKUP($O368,'NO USAR1'!$A$4:$L$403,10,False)+VLOOKUP($O368,'NO USAR1'!$A$4:$L$403,12,False)*0</f>
        <v>-9.321820087</v>
      </c>
      <c r="S368" s="127">
        <f>VLOOKUP($O368,'NO USAR1'!$A$4:$L$403,2,False)*$U$19+VLOOKUP($O368,'NO USAR1'!$A$4:$L$403,3,False)*$V$19+VLOOKUP($O368,'NO USAR1'!$A$4:$L$403,4,False)*$W$19+VLOOKUP($O368,'NO USAR1'!$A$4:$L$403,5,False)*$X$19+VLOOKUP($O368,'NO USAR1'!$A$4:$L$403,6,False)*$Y$19+VLOOKUP($O368,'NO USAR1'!$A$4:$L$403,7,False)*$Z$19+VLOOKUP($O368,'NO USAR1'!$A$4:$L$403,8,False)*$AA$19+VLOOKUP($O368,'NO USAR1'!$A$4:$L$403,10,False)*$AB$19+VLOOKUP($O368,'NO USAR1'!$A$4:$L$403,12,False)*$AC$19+IF(Projections!$K$3,-AN368, IF(Projections!$J$3,-AM368,0))</f>
        <v>-5.831258692</v>
      </c>
      <c r="T368" s="127">
        <f t="shared" si="1"/>
        <v>3.490561395</v>
      </c>
      <c r="U368" s="127">
        <f>VLOOKUP($O368,Update!$B$2:$R$401,11,False)</f>
        <v>4.2</v>
      </c>
      <c r="V368" s="122">
        <f>VLOOKUP($O368,Update!$B$2:$R$401,10,False)</f>
        <v>0.1</v>
      </c>
      <c r="W368" s="127">
        <f>VLOOKUP($O368,Update!$B$2:$R$401,12,False)</f>
        <v>2.6</v>
      </c>
      <c r="X368" s="127">
        <f>VLOOKUP($O368,Update!$B$2:$R$401,13,False)</f>
        <v>0.6</v>
      </c>
      <c r="Y368" s="127">
        <f>VLOOKUP($O368,Update!$B$2:$R$401,14,False)</f>
        <v>0.2</v>
      </c>
      <c r="Z368" s="132">
        <f>VLOOKUP($O368,Update!$B$2:$R$401,15,False)</f>
        <v>0.5</v>
      </c>
      <c r="AA368" s="127">
        <f>100*VLOOKUP($O368,Update!$B$2:$R$401,7,False)</f>
        <v>64</v>
      </c>
      <c r="AB368" s="127">
        <f>100*VLOOKUP($O368,Update!$B$2:$R$401,9,False)</f>
        <v>72.72727273</v>
      </c>
      <c r="AC368" s="127">
        <f>VLOOKUP($O368,Update!$B$2:$Q$401,16,False)</f>
        <v>0.6</v>
      </c>
      <c r="AD368" s="127">
        <f>VLOOKUP($O368,'NO USAR1'!$A$4:$L$403,2,False)*$U$19</f>
        <v>-2.200392728</v>
      </c>
      <c r="AE368" s="127">
        <f>VLOOKUP($O368,'NO USAR1'!$A$4:$L$403,3,False)*$V$19</f>
        <v>-1.339424933</v>
      </c>
      <c r="AF368" s="127">
        <f>VLOOKUP($O368,'NO USAR1'!$A$4:$L$403,4,False)*$W$19</f>
        <v>-1.461586561</v>
      </c>
      <c r="AG368" s="127">
        <f>VLOOKUP($O368,'NO USAR1'!$A$4:$L$403,5,False)*$X$19</f>
        <v>-1.654519819</v>
      </c>
      <c r="AH368" s="127">
        <f>VLOOKUP($O368,'NO USAR1'!$A$4:$L$403,6,False)*$Y$19</f>
        <v>-1.732769878</v>
      </c>
      <c r="AI368" s="127">
        <f>VLOOKUP($O368,'NO USAR1'!$A$4:$L$403,7,False)*$Z$19</f>
        <v>-0.2643825572</v>
      </c>
      <c r="AJ368" s="127">
        <f>VLOOKUP($O368,'NO USAR1'!$A$4:$L$403,8,False)*$AA$19</f>
        <v>0.3596302947</v>
      </c>
      <c r="AK368" s="132">
        <f>VLOOKUP($O368,'NO USAR1'!$A$4:$L$403,10,False)*$AB$19</f>
        <v>-0.1711970034</v>
      </c>
      <c r="AL368" s="127">
        <f>VLOOKUP($O368,'NO USAR1'!$A$4:$L$403,12,False)*$AC$19</f>
        <v>0.4329917651</v>
      </c>
      <c r="AM368" s="133">
        <f t="shared" si="2"/>
        <v>-2.200392728</v>
      </c>
      <c r="AN368" s="133">
        <f t="shared" si="3"/>
        <v>-3.933162607</v>
      </c>
    </row>
    <row r="369">
      <c r="A369" s="118" t="str">
        <f>IF(Update!B367="",ROW(Update!B367),Update!B367)</f>
        <v>Ty Jerome</v>
      </c>
      <c r="B369" s="119">
        <f>IF(TYPE($A369)=1,"",(Update!$L367-B$1)/B$2)</f>
        <v>-2.183540091</v>
      </c>
      <c r="C369" s="119">
        <f>IF(TYPE($A369)=1,"",(Update!$K367-C$1)/C$2)</f>
        <v>-1.00651171</v>
      </c>
      <c r="D369" s="119">
        <f>IF(TYPE($A369)=1,"",(Update!$M367-D$1)/D$2)</f>
        <v>-2.130632479</v>
      </c>
      <c r="E369" s="119">
        <f>IF(TYPE($A369)=1,"",(Update!$N367-E$1)/E$2)</f>
        <v>-1.040450194</v>
      </c>
      <c r="F369" s="119">
        <f>IF(TYPE($A369)=1,"",(Update!$O367-F$1)/F$2)</f>
        <v>-1.852385824</v>
      </c>
      <c r="G369" s="119">
        <f>IF(TYPE($A369)=1,"",(Update!$P367-G$1)/G$2)</f>
        <v>-1.128065594</v>
      </c>
      <c r="H369" s="119">
        <f>IF(TYPE($A369)=1,"",(Update!$H367-H$1)/H$2*I369/$I$1)</f>
        <v>-0.2609727848</v>
      </c>
      <c r="I369" s="119">
        <f>IF(TYPE($A369)=1,"",IF(Update!H367=0,0,Update!G367/Update!H367))</f>
        <v>3.7</v>
      </c>
      <c r="J369" s="120">
        <f>IF(TYPE($A369)=1,"",(Update!$J367-J$1)/J$2*K369/$K$1)</f>
        <v>0.0812827863</v>
      </c>
      <c r="K369" s="121">
        <f>IF(TYPE($A369)=1,"",IF(Update!J367=0,0,Update!I367/Update!J367))</f>
        <v>0.6</v>
      </c>
      <c r="L369" s="119">
        <f>IF(TYPE($A369)=1,"",-(Update!$Q367-L$1)/L$2)</f>
        <v>1.980337098</v>
      </c>
      <c r="N369" s="33">
        <v>349.0</v>
      </c>
      <c r="O369" s="130" t="str">
        <f>IF(Update!B351="",ROW(Update!B351),Update!B351)</f>
        <v>Doug McDermott</v>
      </c>
      <c r="P369" s="131">
        <f>Update!E351</f>
        <v>40</v>
      </c>
      <c r="Q369" s="131" t="str">
        <f>IF(Update!C351="",ROW(Update!N366),Update!C351)</f>
        <v>SF,PF</v>
      </c>
      <c r="R369" s="127">
        <f>VLOOKUP($O369,'NO USAR1'!$A$4:$L$403,2,False)+VLOOKUP($O369,'NO USAR1'!$A$4:$L$403,3,False)+VLOOKUP($O369,'NO USAR1'!$A$4:$L$403,4,False)+VLOOKUP($O369,'NO USAR1'!$A$4:$L$403,5,False)+VLOOKUP($O369,'NO USAR1'!$A$4:$L$403,6,False)+VLOOKUP($O369,'NO USAR1'!$A$4:$L$403,7,False)+VLOOKUP($O369,'NO USAR1'!$A$4:$L$403,8,False)+VLOOKUP($O369,'NO USAR1'!$A$4:$L$403,10,False)+VLOOKUP($O369,'NO USAR1'!$A$4:$L$403,12,False)*0</f>
        <v>-9.350288231</v>
      </c>
      <c r="S369" s="127">
        <f>VLOOKUP($O369,'NO USAR1'!$A$4:$L$403,2,False)*$U$19+VLOOKUP($O369,'NO USAR1'!$A$4:$L$403,3,False)*$V$19+VLOOKUP($O369,'NO USAR1'!$A$4:$L$403,4,False)*$W$19+VLOOKUP($O369,'NO USAR1'!$A$4:$L$403,5,False)*$X$19+VLOOKUP($O369,'NO USAR1'!$A$4:$L$403,6,False)*$Y$19+VLOOKUP($O369,'NO USAR1'!$A$4:$L$403,7,False)*$Z$19+VLOOKUP($O369,'NO USAR1'!$A$4:$L$403,8,False)*$AA$19+VLOOKUP($O369,'NO USAR1'!$A$4:$L$403,10,False)*$AB$19+VLOOKUP($O369,'NO USAR1'!$A$4:$L$403,12,False)*$AC$19+IF(Projections!$K$3,-AN369, IF(Projections!$J$3,-AM369,0))</f>
        <v>-5.959899604</v>
      </c>
      <c r="T369" s="127">
        <f t="shared" si="1"/>
        <v>3.390388626</v>
      </c>
      <c r="U369" s="127">
        <f>VLOOKUP($O369,Update!$B$2:$R$401,11,False)</f>
        <v>7.1</v>
      </c>
      <c r="V369" s="122">
        <f>VLOOKUP($O369,Update!$B$2:$R$401,10,False)</f>
        <v>1.3</v>
      </c>
      <c r="W369" s="127">
        <f>VLOOKUP($O369,Update!$B$2:$R$401,12,False)</f>
        <v>1.5</v>
      </c>
      <c r="X369" s="127">
        <f>VLOOKUP($O369,Update!$B$2:$R$401,13,False)</f>
        <v>0.9</v>
      </c>
      <c r="Y369" s="127">
        <f>VLOOKUP($O369,Update!$B$2:$R$401,14,False)</f>
        <v>0.2</v>
      </c>
      <c r="Z369" s="132">
        <f>VLOOKUP($O369,Update!$B$2:$R$401,15,False)</f>
        <v>0.1</v>
      </c>
      <c r="AA369" s="127">
        <f>100*VLOOKUP($O369,Update!$B$2:$R$401,7,False)</f>
        <v>45.61403509</v>
      </c>
      <c r="AB369" s="127">
        <f>100*VLOOKUP($O369,Update!$B$2:$R$401,9,False)</f>
        <v>71.42857143</v>
      </c>
      <c r="AC369" s="127">
        <f>VLOOKUP($O369,Update!$B$2:$Q$401,16,False)</f>
        <v>0.6</v>
      </c>
      <c r="AD369" s="127">
        <f>VLOOKUP($O369,'NO USAR1'!$A$4:$L$403,2,False)*$U$19</f>
        <v>-1.711666235</v>
      </c>
      <c r="AE369" s="127">
        <f>VLOOKUP($O369,'NO USAR1'!$A$4:$L$403,3,False)*$V$19</f>
        <v>-0.2988703886</v>
      </c>
      <c r="AF369" s="127">
        <f>VLOOKUP($O369,'NO USAR1'!$A$4:$L$403,4,False)*$W$19</f>
        <v>-1.921555629</v>
      </c>
      <c r="AG369" s="127">
        <f>VLOOKUP($O369,'NO USAR1'!$A$4:$L$403,5,False)*$X$19</f>
        <v>-1.501512437</v>
      </c>
      <c r="AH369" s="127">
        <f>VLOOKUP($O369,'NO USAR1'!$A$4:$L$403,6,False)*$Y$19</f>
        <v>-1.732769878</v>
      </c>
      <c r="AI369" s="127">
        <f>VLOOKUP($O369,'NO USAR1'!$A$4:$L$403,7,False)*$Z$19</f>
        <v>-0.7896459159</v>
      </c>
      <c r="AJ369" s="127">
        <f>VLOOKUP($O369,'NO USAR1'!$A$4:$L$403,8,False)*$AA$19</f>
        <v>-0.2268534788</v>
      </c>
      <c r="AK369" s="132">
        <f>VLOOKUP($O369,'NO USAR1'!$A$4:$L$403,10,False)*$AB$19</f>
        <v>-0.1315730352</v>
      </c>
      <c r="AL369" s="127">
        <f>VLOOKUP($O369,'NO USAR1'!$A$4:$L$403,12,False)*$AC$19</f>
        <v>0.4329917651</v>
      </c>
      <c r="AM369" s="133">
        <f t="shared" si="2"/>
        <v>-1.921555629</v>
      </c>
      <c r="AN369" s="133">
        <f t="shared" si="3"/>
        <v>-3.654325508</v>
      </c>
    </row>
    <row r="370">
      <c r="A370" s="118" t="str">
        <f>IF(Update!B368="",ROW(Update!B368),Update!B368)</f>
        <v>Udoka Azubuike</v>
      </c>
      <c r="B370" s="119">
        <f>IF(TYPE($A370)=1,"",(Update!$L368-B$1)/B$2)</f>
        <v>-2.385771743</v>
      </c>
      <c r="C370" s="119">
        <f>IF(TYPE($A370)=1,"",(Update!$K368-C$1)/C$2)</f>
        <v>-1.584597568</v>
      </c>
      <c r="D370" s="119">
        <f>IF(TYPE($A370)=1,"",(Update!$M368-D$1)/D$2)</f>
        <v>-1.336140451</v>
      </c>
      <c r="E370" s="119">
        <f>IF(TYPE($A370)=1,"",(Update!$N368-E$1)/E$2)</f>
        <v>-1.689572419</v>
      </c>
      <c r="F370" s="119">
        <f>IF(TYPE($A370)=1,"",(Update!$O368-F$1)/F$2)</f>
        <v>-2.786885399</v>
      </c>
      <c r="G370" s="119">
        <f>IF(TYPE($A370)=1,"",(Update!$P368-G$1)/G$2)</f>
        <v>-0.5652834241</v>
      </c>
      <c r="H370" s="119">
        <f>IF(TYPE($A370)=1,"",(Update!$H368-H$1)/H$2*I370/$I$1)</f>
        <v>0.6188852136</v>
      </c>
      <c r="I370" s="119">
        <f>IF(TYPE($A370)=1,"",IF(Update!H368=0,0,Update!G368/Update!H368))</f>
        <v>1.9</v>
      </c>
      <c r="J370" s="120">
        <f>IF(TYPE($A370)=1,"",(Update!$J368-J$1)/J$2*K370/$K$1)</f>
        <v>-0.6064344942</v>
      </c>
      <c r="K370" s="121">
        <f>IF(TYPE($A370)=1,"",IF(Update!J368=0,0,Update!I368/Update!J368))</f>
        <v>0.5</v>
      </c>
      <c r="L370" s="119">
        <f>IF(TYPE($A370)=1,"",-(Update!$Q368-L$1)/L$2)</f>
        <v>1.856152079</v>
      </c>
      <c r="N370" s="124">
        <v>350.0</v>
      </c>
      <c r="O370" s="130" t="str">
        <f>IF(Update!B343="",ROW(Update!B343),Update!B343)</f>
        <v>Trendon Watford</v>
      </c>
      <c r="P370" s="131">
        <f>Update!E343</f>
        <v>48</v>
      </c>
      <c r="Q370" s="131" t="str">
        <f>IF(Update!C343="",ROW(Update!N358),Update!C343)</f>
        <v>PF</v>
      </c>
      <c r="R370" s="127">
        <f>VLOOKUP($O370,'NO USAR1'!$A$4:$L$403,2,False)+VLOOKUP($O370,'NO USAR1'!$A$4:$L$403,3,False)+VLOOKUP($O370,'NO USAR1'!$A$4:$L$403,4,False)+VLOOKUP($O370,'NO USAR1'!$A$4:$L$403,5,False)+VLOOKUP($O370,'NO USAR1'!$A$4:$L$403,6,False)+VLOOKUP($O370,'NO USAR1'!$A$4:$L$403,7,False)+VLOOKUP($O370,'NO USAR1'!$A$4:$L$403,8,False)+VLOOKUP($O370,'NO USAR1'!$A$4:$L$403,10,False)+VLOOKUP($O370,'NO USAR1'!$A$4:$L$403,12,False)*0</f>
        <v>-9.374516359</v>
      </c>
      <c r="S370" s="127">
        <f>VLOOKUP($O370,'NO USAR1'!$A$4:$L$403,2,False)*$U$19+VLOOKUP($O370,'NO USAR1'!$A$4:$L$403,3,False)*$V$19+VLOOKUP($O370,'NO USAR1'!$A$4:$L$403,4,False)*$W$19+VLOOKUP($O370,'NO USAR1'!$A$4:$L$403,5,False)*$X$19+VLOOKUP($O370,'NO USAR1'!$A$4:$L$403,6,False)*$Y$19+VLOOKUP($O370,'NO USAR1'!$A$4:$L$403,7,False)*$Z$19+VLOOKUP($O370,'NO USAR1'!$A$4:$L$403,8,False)*$AA$19+VLOOKUP($O370,'NO USAR1'!$A$4:$L$403,10,False)*$AB$19+VLOOKUP($O370,'NO USAR1'!$A$4:$L$403,12,False)*$AC$19+IF(Projections!$K$3,-AN370, IF(Projections!$J$3,-AM370,0))</f>
        <v>-5.883854488</v>
      </c>
      <c r="T370" s="127">
        <f t="shared" si="1"/>
        <v>3.490661871</v>
      </c>
      <c r="U370" s="127">
        <f>VLOOKUP($O370,Update!$B$2:$R$401,11,False)</f>
        <v>4.7</v>
      </c>
      <c r="V370" s="122">
        <f>VLOOKUP($O370,Update!$B$2:$R$401,10,False)</f>
        <v>0.2</v>
      </c>
      <c r="W370" s="127">
        <f>VLOOKUP($O370,Update!$B$2:$R$401,12,False)</f>
        <v>2.5</v>
      </c>
      <c r="X370" s="127">
        <f>VLOOKUP($O370,Update!$B$2:$R$401,13,False)</f>
        <v>1.2</v>
      </c>
      <c r="Y370" s="127">
        <f>VLOOKUP($O370,Update!$B$2:$R$401,14,False)</f>
        <v>0.3</v>
      </c>
      <c r="Z370" s="132">
        <f>VLOOKUP($O370,Update!$B$2:$R$401,15,False)</f>
        <v>0.2</v>
      </c>
      <c r="AA370" s="127">
        <f>100*VLOOKUP($O370,Update!$B$2:$R$401,7,False)</f>
        <v>54.54545455</v>
      </c>
      <c r="AB370" s="127">
        <f>100*VLOOKUP($O370,Update!$B$2:$R$401,9,False)</f>
        <v>72.72727273</v>
      </c>
      <c r="AC370" s="127">
        <f>VLOOKUP($O370,Update!$B$2:$Q$401,16,False)</f>
        <v>0.7</v>
      </c>
      <c r="AD370" s="127">
        <f>VLOOKUP($O370,'NO USAR1'!$A$4:$L$403,2,False)*$U$19</f>
        <v>-2.11612954</v>
      </c>
      <c r="AE370" s="127">
        <f>VLOOKUP($O370,'NO USAR1'!$A$4:$L$403,3,False)*$V$19</f>
        <v>-1.252712054</v>
      </c>
      <c r="AF370" s="127">
        <f>VLOOKUP($O370,'NO USAR1'!$A$4:$L$403,4,False)*$W$19</f>
        <v>-1.503401931</v>
      </c>
      <c r="AG370" s="127">
        <f>VLOOKUP($O370,'NO USAR1'!$A$4:$L$403,5,False)*$X$19</f>
        <v>-1.348505056</v>
      </c>
      <c r="AH370" s="127">
        <f>VLOOKUP($O370,'NO USAR1'!$A$4:$L$403,6,False)*$Y$19</f>
        <v>-1.514719978</v>
      </c>
      <c r="AI370" s="127">
        <f>VLOOKUP($O370,'NO USAR1'!$A$4:$L$403,7,False)*$Z$19</f>
        <v>-0.6583300762</v>
      </c>
      <c r="AJ370" s="127">
        <f>VLOOKUP($O370,'NO USAR1'!$A$4:$L$403,8,False)*$AA$19</f>
        <v>0.1630660999</v>
      </c>
      <c r="AK370" s="132">
        <f>VLOOKUP($O370,'NO USAR1'!$A$4:$L$403,10,False)*$AB$19</f>
        <v>-0.1711970034</v>
      </c>
      <c r="AL370" s="127">
        <f>VLOOKUP($O370,'NO USAR1'!$A$4:$L$403,12,False)*$AC$19</f>
        <v>0.4019455104</v>
      </c>
      <c r="AM370" s="133">
        <f t="shared" si="2"/>
        <v>-2.11612954</v>
      </c>
      <c r="AN370" s="133">
        <f t="shared" si="3"/>
        <v>-3.630849518</v>
      </c>
    </row>
    <row r="371">
      <c r="A371" s="118" t="str">
        <f>IF(Update!B369="",ROW(Update!B369),Update!B369)</f>
        <v>Kira Lewis Jr.</v>
      </c>
      <c r="B371" s="119">
        <f>IF(TYPE($A371)=1,"",(Update!$L369-B$1)/B$2)</f>
        <v>-2.11612954</v>
      </c>
      <c r="C371" s="119">
        <f>IF(TYPE($A371)=1,"",(Update!$K369-C$1)/C$2)</f>
        <v>-1.102859353</v>
      </c>
      <c r="D371" s="119">
        <f>IF(TYPE($A371)=1,"",(Update!$M369-D$1)/D$2)</f>
        <v>-2.005186369</v>
      </c>
      <c r="E371" s="119">
        <f>IF(TYPE($A371)=1,"",(Update!$N369-E$1)/E$2)</f>
        <v>-1.179547814</v>
      </c>
      <c r="F371" s="119">
        <f>IF(TYPE($A371)=1,"",(Update!$O369-F$1)/F$2)</f>
        <v>-1.852385824</v>
      </c>
      <c r="G371" s="119">
        <f>IF(TYPE($A371)=1,"",(Update!$P369-G$1)/G$2)</f>
        <v>-1.128065594</v>
      </c>
      <c r="H371" s="119">
        <f>IF(TYPE($A371)=1,"",(Update!$H369-H$1)/H$2*I371/$I$1)</f>
        <v>-0.3692837789</v>
      </c>
      <c r="I371" s="119">
        <f>IF(TYPE($A371)=1,"",IF(Update!H369=0,0,Update!G369/Update!H369))</f>
        <v>4.3</v>
      </c>
      <c r="J371" s="120">
        <f>IF(TYPE($A371)=1,"",(Update!$J369-J$1)/J$2*K371/$K$1)</f>
        <v>0.0812827863</v>
      </c>
      <c r="K371" s="121">
        <f>IF(TYPE($A371)=1,"",IF(Update!J369=0,0,Update!I369/Update!J369))</f>
        <v>0.6</v>
      </c>
      <c r="L371" s="119">
        <f>IF(TYPE($A371)=1,"",-(Update!$Q369-L$1)/L$2)</f>
        <v>1.607782042</v>
      </c>
      <c r="N371" s="124">
        <v>351.0</v>
      </c>
      <c r="O371" s="130" t="str">
        <f>IF(Update!B337="",ROW(Update!B337),Update!B337)</f>
        <v>Montrezl Harrell</v>
      </c>
      <c r="P371" s="131">
        <f>Update!E337</f>
        <v>40</v>
      </c>
      <c r="Q371" s="131" t="str">
        <f>IF(Update!C337="",ROW(Update!N352),Update!C337)</f>
        <v>C</v>
      </c>
      <c r="R371" s="127">
        <f>VLOOKUP($O371,'NO USAR1'!$A$4:$L$403,2,False)+VLOOKUP($O371,'NO USAR1'!$A$4:$L$403,3,False)+VLOOKUP($O371,'NO USAR1'!$A$4:$L$403,4,False)+VLOOKUP($O371,'NO USAR1'!$A$4:$L$403,5,False)+VLOOKUP($O371,'NO USAR1'!$A$4:$L$403,6,False)+VLOOKUP($O371,'NO USAR1'!$A$4:$L$403,7,False)+VLOOKUP($O371,'NO USAR1'!$A$4:$L$403,8,False)+VLOOKUP($O371,'NO USAR1'!$A$4:$L$403,10,False)+VLOOKUP($O371,'NO USAR1'!$A$4:$L$403,12,False)*0</f>
        <v>-9.455043771</v>
      </c>
      <c r="S371" s="127">
        <f>VLOOKUP($O371,'NO USAR1'!$A$4:$L$403,2,False)*$U$19+VLOOKUP($O371,'NO USAR1'!$A$4:$L$403,3,False)*$V$19+VLOOKUP($O371,'NO USAR1'!$A$4:$L$403,4,False)*$W$19+VLOOKUP($O371,'NO USAR1'!$A$4:$L$403,5,False)*$X$19+VLOOKUP($O371,'NO USAR1'!$A$4:$L$403,6,False)*$Y$19+VLOOKUP($O371,'NO USAR1'!$A$4:$L$403,7,False)*$Z$19+VLOOKUP($O371,'NO USAR1'!$A$4:$L$403,8,False)*$AA$19+VLOOKUP($O371,'NO USAR1'!$A$4:$L$403,10,False)*$AB$19+VLOOKUP($O371,'NO USAR1'!$A$4:$L$403,12,False)*$AC$19+IF(Projections!$K$3,-AN371, IF(Projections!$J$3,-AM371,0))</f>
        <v>-6.033412223</v>
      </c>
      <c r="T371" s="127">
        <f t="shared" si="1"/>
        <v>3.421631548</v>
      </c>
      <c r="U371" s="127">
        <f>VLOOKUP($O371,Update!$B$2:$R$401,11,False)</f>
        <v>5.7</v>
      </c>
      <c r="V371" s="122">
        <f>VLOOKUP($O371,Update!$B$2:$R$401,10,False)</f>
        <v>0</v>
      </c>
      <c r="W371" s="127">
        <f>VLOOKUP($O371,Update!$B$2:$R$401,12,False)</f>
        <v>2.7</v>
      </c>
      <c r="X371" s="127">
        <f>VLOOKUP($O371,Update!$B$2:$R$401,13,False)</f>
        <v>0.8</v>
      </c>
      <c r="Y371" s="127">
        <f>VLOOKUP($O371,Update!$B$2:$R$401,14,False)</f>
        <v>0.2</v>
      </c>
      <c r="Z371" s="132">
        <f>VLOOKUP($O371,Update!$B$2:$R$401,15,False)</f>
        <v>0.3</v>
      </c>
      <c r="AA371" s="127">
        <f>100*VLOOKUP($O371,Update!$B$2:$R$401,7,False)</f>
        <v>62.85714286</v>
      </c>
      <c r="AB371" s="127">
        <f>100*VLOOKUP($O371,Update!$B$2:$R$401,9,False)</f>
        <v>72.22222222</v>
      </c>
      <c r="AC371" s="127">
        <f>VLOOKUP($O371,Update!$B$2:$Q$401,16,False)</f>
        <v>0.5</v>
      </c>
      <c r="AD371" s="127">
        <f>VLOOKUP($O371,'NO USAR1'!$A$4:$L$403,2,False)*$U$19</f>
        <v>-1.947603163</v>
      </c>
      <c r="AE371" s="127">
        <f>VLOOKUP($O371,'NO USAR1'!$A$4:$L$403,3,False)*$V$19</f>
        <v>-1.426137812</v>
      </c>
      <c r="AF371" s="127">
        <f>VLOOKUP($O371,'NO USAR1'!$A$4:$L$403,4,False)*$W$19</f>
        <v>-1.419771191</v>
      </c>
      <c r="AG371" s="127">
        <f>VLOOKUP($O371,'NO USAR1'!$A$4:$L$403,5,False)*$X$19</f>
        <v>-1.552514898</v>
      </c>
      <c r="AH371" s="127">
        <f>VLOOKUP($O371,'NO USAR1'!$A$4:$L$403,6,False)*$Y$19</f>
        <v>-1.732769878</v>
      </c>
      <c r="AI371" s="127">
        <f>VLOOKUP($O371,'NO USAR1'!$A$4:$L$403,7,False)*$Z$19</f>
        <v>-0.5270142365</v>
      </c>
      <c r="AJ371" s="127">
        <f>VLOOKUP($O371,'NO USAR1'!$A$4:$L$403,8,False)*$AA$19</f>
        <v>0.4635278114</v>
      </c>
      <c r="AK371" s="132">
        <f>VLOOKUP($O371,'NO USAR1'!$A$4:$L$403,10,False)*$AB$19</f>
        <v>-0.3027700386</v>
      </c>
      <c r="AL371" s="127">
        <f>VLOOKUP($O371,'NO USAR1'!$A$4:$L$403,12,False)*$AC$19</f>
        <v>0.4640380197</v>
      </c>
      <c r="AM371" s="133">
        <f t="shared" si="2"/>
        <v>-1.947603163</v>
      </c>
      <c r="AN371" s="133">
        <f t="shared" si="3"/>
        <v>-3.680373041</v>
      </c>
    </row>
    <row r="372">
      <c r="A372" s="118" t="str">
        <f>IF(Update!B370="",ROW(Update!B370),Update!B370)</f>
        <v>Ömer Yurtseven</v>
      </c>
      <c r="B372" s="119">
        <f>IF(TYPE($A372)=1,"",(Update!$L370-B$1)/B$2)</f>
        <v>-2.301508555</v>
      </c>
      <c r="C372" s="119">
        <f>IF(TYPE($A372)=1,"",(Update!$K370-C$1)/C$2)</f>
        <v>-1.584597568</v>
      </c>
      <c r="D372" s="119">
        <f>IF(TYPE($A372)=1,"",(Update!$M370-D$1)/D$2)</f>
        <v>-1.127063602</v>
      </c>
      <c r="E372" s="119">
        <f>IF(TYPE($A372)=1,"",(Update!$N370-E$1)/E$2)</f>
        <v>-1.504108926</v>
      </c>
      <c r="F372" s="119">
        <f>IF(TYPE($A372)=1,"",(Update!$O370-F$1)/F$2)</f>
        <v>-2.475385541</v>
      </c>
      <c r="G372" s="119">
        <f>IF(TYPE($A372)=1,"",(Update!$P370-G$1)/G$2)</f>
        <v>-0.9404715375</v>
      </c>
      <c r="H372" s="119">
        <f>IF(TYPE($A372)=1,"",(Update!$H370-H$1)/H$2*I372/$I$1)</f>
        <v>0.1794018826</v>
      </c>
      <c r="I372" s="119">
        <f>IF(TYPE($A372)=1,"",IF(Update!H370=0,0,Update!G370/Update!H370))</f>
        <v>2.9</v>
      </c>
      <c r="J372" s="120">
        <f>IF(TYPE($A372)=1,"",(Update!$J370-J$1)/J$2*K372/$K$1)</f>
        <v>-0.164466294</v>
      </c>
      <c r="K372" s="121">
        <f>IF(TYPE($A372)=1,"",IF(Update!J370=0,0,Update!I370/Update!J370))</f>
        <v>0.7</v>
      </c>
      <c r="L372" s="119">
        <f>IF(TYPE($A372)=1,"",-(Update!$Q370-L$1)/L$2)</f>
        <v>1.856152079</v>
      </c>
      <c r="N372" s="33">
        <v>352.0</v>
      </c>
      <c r="O372" s="130" t="str">
        <f>IF(Update!B364="",ROW(Update!B364),Update!B364)</f>
        <v>Devonte' Graham</v>
      </c>
      <c r="P372" s="131">
        <f>Update!E364</f>
        <v>20</v>
      </c>
      <c r="Q372" s="131" t="str">
        <f>IF(Update!C364="",ROW(Update!N379),Update!C364)</f>
        <v>PG,SG</v>
      </c>
      <c r="R372" s="127">
        <f>VLOOKUP($O372,'NO USAR1'!$A$4:$L$403,2,False)+VLOOKUP($O372,'NO USAR1'!$A$4:$L$403,3,False)+VLOOKUP($O372,'NO USAR1'!$A$4:$L$403,4,False)+VLOOKUP($O372,'NO USAR1'!$A$4:$L$403,5,False)+VLOOKUP($O372,'NO USAR1'!$A$4:$L$403,6,False)+VLOOKUP($O372,'NO USAR1'!$A$4:$L$403,7,False)+VLOOKUP($O372,'NO USAR1'!$A$4:$L$403,8,False)+VLOOKUP($O372,'NO USAR1'!$A$4:$L$403,10,False)+VLOOKUP($O372,'NO USAR1'!$A$4:$L$403,12,False)*0</f>
        <v>-9.468217566</v>
      </c>
      <c r="S372" s="127">
        <f>VLOOKUP($O372,'NO USAR1'!$A$4:$L$403,2,False)*$U$19+VLOOKUP($O372,'NO USAR1'!$A$4:$L$403,3,False)*$V$19+VLOOKUP($O372,'NO USAR1'!$A$4:$L$403,4,False)*$W$19+VLOOKUP($O372,'NO USAR1'!$A$4:$L$403,5,False)*$X$19+VLOOKUP($O372,'NO USAR1'!$A$4:$L$403,6,False)*$Y$19+VLOOKUP($O372,'NO USAR1'!$A$4:$L$403,7,False)*$Z$19+VLOOKUP($O372,'NO USAR1'!$A$4:$L$403,8,False)*$AA$19+VLOOKUP($O372,'NO USAR1'!$A$4:$L$403,10,False)*$AB$19+VLOOKUP($O372,'NO USAR1'!$A$4:$L$403,12,False)*$AC$19+IF(Projections!$K$3,-AN372, IF(Projections!$J$3,-AM372,0))</f>
        <v>-5.950762738</v>
      </c>
      <c r="T372" s="127">
        <f t="shared" si="1"/>
        <v>3.517454827</v>
      </c>
      <c r="U372" s="127">
        <f>VLOOKUP($O372,Update!$B$2:$R$401,11,False)</f>
        <v>4.7</v>
      </c>
      <c r="V372" s="122">
        <f>VLOOKUP($O372,Update!$B$2:$R$401,10,False)</f>
        <v>1</v>
      </c>
      <c r="W372" s="127">
        <f>VLOOKUP($O372,Update!$B$2:$R$401,12,False)</f>
        <v>1</v>
      </c>
      <c r="X372" s="127">
        <f>VLOOKUP($O372,Update!$B$2:$R$401,13,False)</f>
        <v>1.7</v>
      </c>
      <c r="Y372" s="127">
        <f>VLOOKUP($O372,Update!$B$2:$R$401,14,False)</f>
        <v>0.4</v>
      </c>
      <c r="Z372" s="132">
        <f>VLOOKUP($O372,Update!$B$2:$R$401,15,False)</f>
        <v>0.1</v>
      </c>
      <c r="AA372" s="127">
        <f>100*VLOOKUP($O372,Update!$B$2:$R$401,7,False)</f>
        <v>36.58536585</v>
      </c>
      <c r="AB372" s="127">
        <f>100*VLOOKUP($O372,Update!$B$2:$R$401,9,False)</f>
        <v>77.77777778</v>
      </c>
      <c r="AC372" s="127">
        <f>VLOOKUP($O372,Update!$B$2:$Q$401,16,False)</f>
        <v>0.5</v>
      </c>
      <c r="AD372" s="127">
        <f>VLOOKUP($O372,'NO USAR1'!$A$4:$L$403,2,False)*$U$19</f>
        <v>-2.11612954</v>
      </c>
      <c r="AE372" s="127">
        <f>VLOOKUP($O372,'NO USAR1'!$A$4:$L$403,3,False)*$V$19</f>
        <v>-0.5590090247</v>
      </c>
      <c r="AF372" s="127">
        <f>VLOOKUP($O372,'NO USAR1'!$A$4:$L$403,4,False)*$W$19</f>
        <v>-2.130632479</v>
      </c>
      <c r="AG372" s="127">
        <f>VLOOKUP($O372,'NO USAR1'!$A$4:$L$403,5,False)*$X$19</f>
        <v>-1.093492753</v>
      </c>
      <c r="AH372" s="127">
        <f>VLOOKUP($O372,'NO USAR1'!$A$4:$L$403,6,False)*$Y$19</f>
        <v>-1.296670077</v>
      </c>
      <c r="AI372" s="127">
        <f>VLOOKUP($O372,'NO USAR1'!$A$4:$L$403,7,False)*$Z$19</f>
        <v>-0.7896459159</v>
      </c>
      <c r="AJ372" s="127">
        <f>VLOOKUP($O372,'NO USAR1'!$A$4:$L$403,8,False)*$AA$19</f>
        <v>-0.5329306096</v>
      </c>
      <c r="AK372" s="132">
        <f>VLOOKUP($O372,'NO USAR1'!$A$4:$L$403,10,False)*$AB$19</f>
        <v>-0.02692283787</v>
      </c>
      <c r="AL372" s="127">
        <f>VLOOKUP($O372,'NO USAR1'!$A$4:$L$403,12,False)*$AC$19</f>
        <v>0.4640380197</v>
      </c>
      <c r="AM372" s="133">
        <f t="shared" si="2"/>
        <v>-2.130632479</v>
      </c>
      <c r="AN372" s="133">
        <f t="shared" si="3"/>
        <v>-4.246762019</v>
      </c>
    </row>
    <row r="373">
      <c r="A373" s="118" t="str">
        <f>IF(Update!B371="",ROW(Update!B371),Update!B371)</f>
        <v>Landry Shamet</v>
      </c>
      <c r="B373" s="119">
        <f>IF(TYPE($A373)=1,"",(Update!$L371-B$1)/B$2)</f>
        <v>-2.11612954</v>
      </c>
      <c r="C373" s="119">
        <f>IF(TYPE($A373)=1,"",(Update!$K371-C$1)/C$2)</f>
        <v>-0.6211211385</v>
      </c>
      <c r="D373" s="119">
        <f>IF(TYPE($A373)=1,"",(Update!$M371-D$1)/D$2)</f>
        <v>-2.130632479</v>
      </c>
      <c r="E373" s="119">
        <f>IF(TYPE($A373)=1,"",(Update!$N371-E$1)/E$2)</f>
        <v>-1.318645434</v>
      </c>
      <c r="F373" s="119">
        <f>IF(TYPE($A373)=1,"",(Update!$O371-F$1)/F$2)</f>
        <v>-2.163885682</v>
      </c>
      <c r="G373" s="119">
        <f>IF(TYPE($A373)=1,"",(Update!$P371-G$1)/G$2)</f>
        <v>-1.128065594</v>
      </c>
      <c r="H373" s="119">
        <f>IF(TYPE($A373)=1,"",(Update!$H371-H$1)/H$2*I373/$I$1)</f>
        <v>-0.4261132851</v>
      </c>
      <c r="I373" s="119">
        <f>IF(TYPE($A373)=1,"",IF(Update!H371=0,0,Update!G371/Update!H371))</f>
        <v>4</v>
      </c>
      <c r="J373" s="120">
        <f>IF(TYPE($A373)=1,"",(Update!$J371-J$1)/J$2*K373/$K$1)</f>
        <v>0.1466891596</v>
      </c>
      <c r="K373" s="121">
        <f>IF(TYPE($A373)=1,"",IF(Update!J371=0,0,Update!I371/Update!J371))</f>
        <v>0.7</v>
      </c>
      <c r="L373" s="119">
        <f>IF(TYPE($A373)=1,"",-(Update!$Q371-L$1)/L$2)</f>
        <v>1.980337098</v>
      </c>
      <c r="N373" s="33">
        <v>353.0</v>
      </c>
      <c r="O373" s="130" t="str">
        <f>IF(Update!B353="",ROW(Update!B353),Update!B353)</f>
        <v>Kai Jones</v>
      </c>
      <c r="P373" s="131">
        <f>Update!E353</f>
        <v>40</v>
      </c>
      <c r="Q373" s="131" t="str">
        <f>IF(Update!C353="",ROW(Update!N368),Update!C353)</f>
        <v>PF,C</v>
      </c>
      <c r="R373" s="127">
        <f>VLOOKUP($O373,'NO USAR1'!$A$4:$L$403,2,False)+VLOOKUP($O373,'NO USAR1'!$A$4:$L$403,3,False)+VLOOKUP($O373,'NO USAR1'!$A$4:$L$403,4,False)+VLOOKUP($O373,'NO USAR1'!$A$4:$L$403,5,False)+VLOOKUP($O373,'NO USAR1'!$A$4:$L$403,6,False)+VLOOKUP($O373,'NO USAR1'!$A$4:$L$403,7,False)+VLOOKUP($O373,'NO USAR1'!$A$4:$L$403,8,False)+VLOOKUP($O373,'NO USAR1'!$A$4:$L$403,10,False)+VLOOKUP($O373,'NO USAR1'!$A$4:$L$403,12,False)*0</f>
        <v>-9.511386672</v>
      </c>
      <c r="S373" s="127">
        <f>VLOOKUP($O373,'NO USAR1'!$A$4:$L$403,2,False)*$U$19+VLOOKUP($O373,'NO USAR1'!$A$4:$L$403,3,False)*$V$19+VLOOKUP($O373,'NO USAR1'!$A$4:$L$403,4,False)*$W$19+VLOOKUP($O373,'NO USAR1'!$A$4:$L$403,5,False)*$X$19+VLOOKUP($O373,'NO USAR1'!$A$4:$L$403,6,False)*$Y$19+VLOOKUP($O373,'NO USAR1'!$A$4:$L$403,7,False)*$Z$19+VLOOKUP($O373,'NO USAR1'!$A$4:$L$403,8,False)*$AA$19+VLOOKUP($O373,'NO USAR1'!$A$4:$L$403,10,False)*$AB$19+VLOOKUP($O373,'NO USAR1'!$A$4:$L$403,12,False)*$AC$19+IF(Projections!$K$3,-AN373, IF(Projections!$J$3,-AM373,0))</f>
        <v>-5.973622782</v>
      </c>
      <c r="T373" s="127">
        <f t="shared" si="1"/>
        <v>3.53776389</v>
      </c>
      <c r="U373" s="127">
        <f>VLOOKUP($O373,Update!$B$2:$R$401,11,False)</f>
        <v>3.1</v>
      </c>
      <c r="V373" s="122">
        <f>VLOOKUP($O373,Update!$B$2:$R$401,10,False)</f>
        <v>0.1</v>
      </c>
      <c r="W373" s="127">
        <f>VLOOKUP($O373,Update!$B$2:$R$401,12,False)</f>
        <v>2.3</v>
      </c>
      <c r="X373" s="127">
        <f>VLOOKUP($O373,Update!$B$2:$R$401,13,False)</f>
        <v>0.3</v>
      </c>
      <c r="Y373" s="127">
        <f>VLOOKUP($O373,Update!$B$2:$R$401,14,False)</f>
        <v>0.3</v>
      </c>
      <c r="Z373" s="132">
        <f>VLOOKUP($O373,Update!$B$2:$R$401,15,False)</f>
        <v>0.6</v>
      </c>
      <c r="AA373" s="127">
        <f>100*VLOOKUP($O373,Update!$B$2:$R$401,7,False)</f>
        <v>56.52173913</v>
      </c>
      <c r="AB373" s="127">
        <f>100*VLOOKUP($O373,Update!$B$2:$R$401,9,False)</f>
        <v>66.66666667</v>
      </c>
      <c r="AC373" s="127">
        <f>VLOOKUP($O373,Update!$B$2:$Q$401,16,False)</f>
        <v>0.6</v>
      </c>
      <c r="AD373" s="127">
        <f>VLOOKUP($O373,'NO USAR1'!$A$4:$L$403,2,False)*$U$19</f>
        <v>-2.385771743</v>
      </c>
      <c r="AE373" s="127">
        <f>VLOOKUP($O373,'NO USAR1'!$A$4:$L$403,3,False)*$V$19</f>
        <v>-1.339424933</v>
      </c>
      <c r="AF373" s="127">
        <f>VLOOKUP($O373,'NO USAR1'!$A$4:$L$403,4,False)*$W$19</f>
        <v>-1.587032671</v>
      </c>
      <c r="AG373" s="127">
        <f>VLOOKUP($O373,'NO USAR1'!$A$4:$L$403,5,False)*$X$19</f>
        <v>-1.807527201</v>
      </c>
      <c r="AH373" s="127">
        <f>VLOOKUP($O373,'NO USAR1'!$A$4:$L$403,6,False)*$Y$19</f>
        <v>-1.514719978</v>
      </c>
      <c r="AI373" s="127">
        <f>VLOOKUP($O373,'NO USAR1'!$A$4:$L$403,7,False)*$Z$19</f>
        <v>-0.1330667175</v>
      </c>
      <c r="AJ373" s="127">
        <f>VLOOKUP($O373,'NO USAR1'!$A$4:$L$403,8,False)*$AA$19</f>
        <v>0.1590550861</v>
      </c>
      <c r="AK373" s="132">
        <f>VLOOKUP($O373,'NO USAR1'!$A$4:$L$403,10,False)*$AB$19</f>
        <v>-0.1838981338</v>
      </c>
      <c r="AL373" s="127">
        <f>VLOOKUP($O373,'NO USAR1'!$A$4:$L$403,12,False)*$AC$19</f>
        <v>0.4329917651</v>
      </c>
      <c r="AM373" s="133">
        <f t="shared" si="2"/>
        <v>-2.385771743</v>
      </c>
      <c r="AN373" s="133">
        <f t="shared" si="3"/>
        <v>-4.193298944</v>
      </c>
    </row>
    <row r="374">
      <c r="A374" s="118" t="str">
        <f>IF(Update!B372="",ROW(Update!B372),Update!B372)</f>
        <v>Trayce Jackson-Davis</v>
      </c>
      <c r="B374" s="119">
        <f>IF(TYPE($A374)=1,"",(Update!$L372-B$1)/B$2)</f>
        <v>-2.267803279</v>
      </c>
      <c r="C374" s="119">
        <f>IF(TYPE($A374)=1,"",(Update!$K372-C$1)/C$2)</f>
        <v>-1.584597568</v>
      </c>
      <c r="D374" s="119">
        <f>IF(TYPE($A374)=1,"",(Update!$M372-D$1)/D$2)</f>
        <v>-1.62884804</v>
      </c>
      <c r="E374" s="119">
        <f>IF(TYPE($A374)=1,"",(Update!$N372-E$1)/E$2)</f>
        <v>-1.133181941</v>
      </c>
      <c r="F374" s="119">
        <f>IF(TYPE($A374)=1,"",(Update!$O372-F$1)/F$2)</f>
        <v>-2.475385541</v>
      </c>
      <c r="G374" s="119">
        <f>IF(TYPE($A374)=1,"",(Update!$P372-G$1)/G$2)</f>
        <v>-0.9404715375</v>
      </c>
      <c r="H374" s="119">
        <f>IF(TYPE($A374)=1,"",(Update!$H372-H$1)/H$2*I374/$I$1)</f>
        <v>0.1785105462</v>
      </c>
      <c r="I374" s="119">
        <f>IF(TYPE($A374)=1,"",IF(Update!H372=0,0,Update!G372/Update!H372))</f>
        <v>2.7</v>
      </c>
      <c r="J374" s="120">
        <f>IF(TYPE($A374)=1,"",(Update!$J372-J$1)/J$2*K374/$K$1)</f>
        <v>-0.4597453346</v>
      </c>
      <c r="K374" s="121">
        <f>IF(TYPE($A374)=1,"",IF(Update!J372=0,0,Update!I372/Update!J372))</f>
        <v>1.2</v>
      </c>
      <c r="L374" s="119">
        <f>IF(TYPE($A374)=1,"",-(Update!$Q372-L$1)/L$2)</f>
        <v>1.73196706</v>
      </c>
      <c r="N374" s="124">
        <v>354.0</v>
      </c>
      <c r="O374" s="130" t="str">
        <f>IF(Update!B354="",ROW(Update!B354),Update!B354)</f>
        <v>Derrick Rose</v>
      </c>
      <c r="P374" s="131">
        <f>Update!E354</f>
        <v>20</v>
      </c>
      <c r="Q374" s="131" t="str">
        <f>IF(Update!C354="",ROW(Update!N369),Update!C354)</f>
        <v>PG</v>
      </c>
      <c r="R374" s="127">
        <f>VLOOKUP($O374,'NO USAR1'!$A$4:$L$403,2,False)+VLOOKUP($O374,'NO USAR1'!$A$4:$L$403,3,False)+VLOOKUP($O374,'NO USAR1'!$A$4:$L$403,4,False)+VLOOKUP($O374,'NO USAR1'!$A$4:$L$403,5,False)+VLOOKUP($O374,'NO USAR1'!$A$4:$L$403,6,False)+VLOOKUP($O374,'NO USAR1'!$A$4:$L$403,7,False)+VLOOKUP($O374,'NO USAR1'!$A$4:$L$403,8,False)+VLOOKUP($O374,'NO USAR1'!$A$4:$L$403,10,False)+VLOOKUP($O374,'NO USAR1'!$A$4:$L$403,12,False)*0</f>
        <v>-9.51865498</v>
      </c>
      <c r="S374" s="127">
        <f>VLOOKUP($O374,'NO USAR1'!$A$4:$L$403,2,False)*$U$19+VLOOKUP($O374,'NO USAR1'!$A$4:$L$403,3,False)*$V$19+VLOOKUP($O374,'NO USAR1'!$A$4:$L$403,4,False)*$W$19+VLOOKUP($O374,'NO USAR1'!$A$4:$L$403,5,False)*$X$19+VLOOKUP($O374,'NO USAR1'!$A$4:$L$403,6,False)*$Y$19+VLOOKUP($O374,'NO USAR1'!$A$4:$L$403,7,False)*$Z$19+VLOOKUP($O374,'NO USAR1'!$A$4:$L$403,8,False)*$AA$19+VLOOKUP($O374,'NO USAR1'!$A$4:$L$403,10,False)*$AB$19+VLOOKUP($O374,'NO USAR1'!$A$4:$L$403,12,False)*$AC$19+IF(Projections!$K$3,-AN374, IF(Projections!$J$3,-AM374,0))</f>
        <v>-6.095154381</v>
      </c>
      <c r="T374" s="127">
        <f t="shared" si="1"/>
        <v>3.423500599</v>
      </c>
      <c r="U374" s="127">
        <f>VLOOKUP($O374,Update!$B$2:$R$401,11,False)</f>
        <v>5</v>
      </c>
      <c r="V374" s="122">
        <f>VLOOKUP($O374,Update!$B$2:$R$401,10,False)</f>
        <v>0.6</v>
      </c>
      <c r="W374" s="127">
        <f>VLOOKUP($O374,Update!$B$2:$R$401,12,False)</f>
        <v>1.3</v>
      </c>
      <c r="X374" s="127">
        <f>VLOOKUP($O374,Update!$B$2:$R$401,13,False)</f>
        <v>1.6</v>
      </c>
      <c r="Y374" s="127">
        <f>VLOOKUP($O374,Update!$B$2:$R$401,14,False)</f>
        <v>0.3</v>
      </c>
      <c r="Z374" s="132">
        <f>VLOOKUP($O374,Update!$B$2:$R$401,15,False)</f>
        <v>0.2</v>
      </c>
      <c r="AA374" s="127">
        <f>100*VLOOKUP($O374,Update!$B$2:$R$401,7,False)</f>
        <v>43.47826087</v>
      </c>
      <c r="AB374" s="127">
        <f>100*VLOOKUP($O374,Update!$B$2:$R$401,9,False)</f>
        <v>80</v>
      </c>
      <c r="AC374" s="127">
        <f>VLOOKUP($O374,Update!$B$2:$Q$401,16,False)</f>
        <v>0.7</v>
      </c>
      <c r="AD374" s="127">
        <f>VLOOKUP($O374,'NO USAR1'!$A$4:$L$403,2,False)*$U$19</f>
        <v>-2.065571627</v>
      </c>
      <c r="AE374" s="127">
        <f>VLOOKUP($O374,'NO USAR1'!$A$4:$L$403,3,False)*$V$19</f>
        <v>-0.9058605394</v>
      </c>
      <c r="AF374" s="127">
        <f>VLOOKUP($O374,'NO USAR1'!$A$4:$L$403,4,False)*$W$19</f>
        <v>-2.005186369</v>
      </c>
      <c r="AG374" s="127">
        <f>VLOOKUP($O374,'NO USAR1'!$A$4:$L$403,5,False)*$X$19</f>
        <v>-1.144495214</v>
      </c>
      <c r="AH374" s="127">
        <f>VLOOKUP($O374,'NO USAR1'!$A$4:$L$403,6,False)*$Y$19</f>
        <v>-1.514719978</v>
      </c>
      <c r="AI374" s="127">
        <f>VLOOKUP($O374,'NO USAR1'!$A$4:$L$403,7,False)*$Z$19</f>
        <v>-0.6583300762</v>
      </c>
      <c r="AJ374" s="127">
        <f>VLOOKUP($O374,'NO USAR1'!$A$4:$L$403,8,False)*$AA$19</f>
        <v>-0.2812088454</v>
      </c>
      <c r="AK374" s="132">
        <f>VLOOKUP($O374,'NO USAR1'!$A$4:$L$403,10,False)*$AB$19</f>
        <v>0.01270113039</v>
      </c>
      <c r="AL374" s="127">
        <f>VLOOKUP($O374,'NO USAR1'!$A$4:$L$403,12,False)*$AC$19</f>
        <v>0.4019455104</v>
      </c>
      <c r="AM374" s="133">
        <f t="shared" si="2"/>
        <v>-2.065571627</v>
      </c>
      <c r="AN374" s="133">
        <f t="shared" si="3"/>
        <v>-4.070757996</v>
      </c>
    </row>
    <row r="375">
      <c r="A375" s="118" t="str">
        <f>IF(Update!B373="",ROW(Update!B373),Update!B373)</f>
        <v>Frank Ntilikina</v>
      </c>
      <c r="B375" s="119">
        <f>IF(TYPE($A375)=1,"",(Update!$L373-B$1)/B$2)</f>
        <v>-2.284655917</v>
      </c>
      <c r="C375" s="119">
        <f>IF(TYPE($A375)=1,"",(Update!$K373-C$1)/C$2)</f>
        <v>-1.102859353</v>
      </c>
      <c r="D375" s="119">
        <f>IF(TYPE($A375)=1,"",(Update!$M373-D$1)/D$2)</f>
        <v>-1.963370999</v>
      </c>
      <c r="E375" s="119">
        <f>IF(TYPE($A375)=1,"",(Update!$N373-E$1)/E$2)</f>
        <v>-1.225913687</v>
      </c>
      <c r="F375" s="119">
        <f>IF(TYPE($A375)=1,"",(Update!$O373-F$1)/F$2)</f>
        <v>-1.852385824</v>
      </c>
      <c r="G375" s="119">
        <f>IF(TYPE($A375)=1,"",(Update!$P373-G$1)/G$2)</f>
        <v>-1.128065594</v>
      </c>
      <c r="H375" s="119">
        <f>IF(TYPE($A375)=1,"",(Update!$H373-H$1)/H$2*I375/$I$1)</f>
        <v>-0.4838341277</v>
      </c>
      <c r="I375" s="119">
        <f>IF(TYPE($A375)=1,"",IF(Update!H373=0,0,Update!G373/Update!H373))</f>
        <v>3.5</v>
      </c>
      <c r="J375" s="120">
        <f>IF(TYPE($A375)=1,"",(Update!$J373-J$1)/J$2*K375/$K$1)</f>
        <v>0.0812827863</v>
      </c>
      <c r="K375" s="121">
        <f>IF(TYPE($A375)=1,"",IF(Update!J373=0,0,Update!I373/Update!J373))</f>
        <v>0.6</v>
      </c>
      <c r="L375" s="119">
        <f>IF(TYPE($A375)=1,"",-(Update!$Q373-L$1)/L$2)</f>
        <v>1.73196706</v>
      </c>
      <c r="N375" s="124">
        <v>355.0</v>
      </c>
      <c r="O375" s="130" t="str">
        <f>IF(Update!B367="",ROW(Update!B367),Update!B367)</f>
        <v>Ty Jerome</v>
      </c>
      <c r="P375" s="131">
        <f>Update!E367</f>
        <v>40</v>
      </c>
      <c r="Q375" s="131" t="str">
        <f>IF(Update!C367="",ROW(Update!N382),Update!C367)</f>
        <v>PG,SG</v>
      </c>
      <c r="R375" s="127">
        <f>VLOOKUP($O375,'NO USAR1'!$A$4:$L$403,2,False)+VLOOKUP($O375,'NO USAR1'!$A$4:$L$403,3,False)+VLOOKUP($O375,'NO USAR1'!$A$4:$L$403,4,False)+VLOOKUP($O375,'NO USAR1'!$A$4:$L$403,5,False)+VLOOKUP($O375,'NO USAR1'!$A$4:$L$403,6,False)+VLOOKUP($O375,'NO USAR1'!$A$4:$L$403,7,False)+VLOOKUP($O375,'NO USAR1'!$A$4:$L$403,8,False)+VLOOKUP($O375,'NO USAR1'!$A$4:$L$403,10,False)+VLOOKUP($O375,'NO USAR1'!$A$4:$L$403,12,False)*0</f>
        <v>-9.521275891</v>
      </c>
      <c r="S375" s="127">
        <f>VLOOKUP($O375,'NO USAR1'!$A$4:$L$403,2,False)*$U$19+VLOOKUP($O375,'NO USAR1'!$A$4:$L$403,3,False)*$V$19+VLOOKUP($O375,'NO USAR1'!$A$4:$L$403,4,False)*$W$19+VLOOKUP($O375,'NO USAR1'!$A$4:$L$403,5,False)*$X$19+VLOOKUP($O375,'NO USAR1'!$A$4:$L$403,6,False)*$Y$19+VLOOKUP($O375,'NO USAR1'!$A$4:$L$403,7,False)*$Z$19+VLOOKUP($O375,'NO USAR1'!$A$4:$L$403,8,False)*$AA$19+VLOOKUP($O375,'NO USAR1'!$A$4:$L$403,10,False)*$AB$19+VLOOKUP($O375,'NO USAR1'!$A$4:$L$403,12,False)*$AC$19+IF(Projections!$K$3,-AN375, IF(Projections!$J$3,-AM375,0))</f>
        <v>-5.942069228</v>
      </c>
      <c r="T375" s="127">
        <f t="shared" si="1"/>
        <v>3.579206663</v>
      </c>
      <c r="U375" s="127">
        <f>VLOOKUP($O375,Update!$B$2:$R$401,11,False)</f>
        <v>4.3</v>
      </c>
      <c r="V375" s="122">
        <f>VLOOKUP($O375,Update!$B$2:$R$401,10,False)</f>
        <v>0.6</v>
      </c>
      <c r="W375" s="127">
        <f>VLOOKUP($O375,Update!$B$2:$R$401,12,False)</f>
        <v>1</v>
      </c>
      <c r="X375" s="127">
        <f>VLOOKUP($O375,Update!$B$2:$R$401,13,False)</f>
        <v>1.6</v>
      </c>
      <c r="Y375" s="127">
        <f>VLOOKUP($O375,Update!$B$2:$R$401,14,False)</f>
        <v>0.4</v>
      </c>
      <c r="Z375" s="132">
        <f>VLOOKUP($O375,Update!$B$2:$R$401,15,False)</f>
        <v>0.1</v>
      </c>
      <c r="AA375" s="127">
        <f>100*VLOOKUP($O375,Update!$B$2:$R$401,7,False)</f>
        <v>43.24324324</v>
      </c>
      <c r="AB375" s="127">
        <f>100*VLOOKUP($O375,Update!$B$2:$R$401,9,False)</f>
        <v>83.33333333</v>
      </c>
      <c r="AC375" s="127">
        <f>VLOOKUP($O375,Update!$B$2:$Q$401,16,False)</f>
        <v>0.4</v>
      </c>
      <c r="AD375" s="127">
        <f>VLOOKUP($O375,'NO USAR1'!$A$4:$L$403,2,False)*$U$19</f>
        <v>-2.183540091</v>
      </c>
      <c r="AE375" s="127">
        <f>VLOOKUP($O375,'NO USAR1'!$A$4:$L$403,3,False)*$V$19</f>
        <v>-0.9058605394</v>
      </c>
      <c r="AF375" s="127">
        <f>VLOOKUP($O375,'NO USAR1'!$A$4:$L$403,4,False)*$W$19</f>
        <v>-2.130632479</v>
      </c>
      <c r="AG375" s="127">
        <f>VLOOKUP($O375,'NO USAR1'!$A$4:$L$403,5,False)*$X$19</f>
        <v>-1.144495214</v>
      </c>
      <c r="AH375" s="127">
        <f>VLOOKUP($O375,'NO USAR1'!$A$4:$L$403,6,False)*$Y$19</f>
        <v>-1.296670077</v>
      </c>
      <c r="AI375" s="127">
        <f>VLOOKUP($O375,'NO USAR1'!$A$4:$L$403,7,False)*$Z$19</f>
        <v>-0.7896459159</v>
      </c>
      <c r="AJ375" s="127">
        <f>VLOOKUP($O375,'NO USAR1'!$A$4:$L$403,8,False)*$AA$19</f>
        <v>-0.2348755063</v>
      </c>
      <c r="AK375" s="132">
        <f>VLOOKUP($O375,'NO USAR1'!$A$4:$L$403,10,False)*$AB$19</f>
        <v>0.06502622904</v>
      </c>
      <c r="AL375" s="127">
        <f>VLOOKUP($O375,'NO USAR1'!$A$4:$L$403,12,False)*$AC$19</f>
        <v>0.4950842744</v>
      </c>
      <c r="AM375" s="133">
        <f t="shared" si="2"/>
        <v>-2.183540091</v>
      </c>
      <c r="AN375" s="133">
        <f t="shared" si="3"/>
        <v>-4.31417257</v>
      </c>
    </row>
    <row r="376">
      <c r="A376" s="118" t="str">
        <f>IF(Update!B374="",ROW(Update!B374),Update!B374)</f>
        <v>Kessler Edwards</v>
      </c>
      <c r="B376" s="119">
        <f>IF(TYPE($A376)=1,"",(Update!$L374-B$1)/B$2)</f>
        <v>-2.385771743</v>
      </c>
      <c r="C376" s="119">
        <f>IF(TYPE($A376)=1,"",(Update!$K374-C$1)/C$2)</f>
        <v>-1.102859353</v>
      </c>
      <c r="D376" s="119">
        <f>IF(TYPE($A376)=1,"",(Update!$M374-D$1)/D$2)</f>
        <v>-1.75429415</v>
      </c>
      <c r="E376" s="119">
        <f>IF(TYPE($A376)=1,"",(Update!$N374-E$1)/E$2)</f>
        <v>-1.596840673</v>
      </c>
      <c r="F376" s="119">
        <f>IF(TYPE($A376)=1,"",(Update!$O374-F$1)/F$2)</f>
        <v>-1.852385824</v>
      </c>
      <c r="G376" s="119">
        <f>IF(TYPE($A376)=1,"",(Update!$P374-G$1)/G$2)</f>
        <v>-0.9404715375</v>
      </c>
      <c r="H376" s="119">
        <f>IF(TYPE($A376)=1,"",(Update!$H374-H$1)/H$2*I376/$I$1)</f>
        <v>-0.2645381304</v>
      </c>
      <c r="I376" s="119">
        <f>IF(TYPE($A376)=1,"",IF(Update!H374=0,0,Update!G374/Update!H374))</f>
        <v>2.9</v>
      </c>
      <c r="J376" s="120">
        <f>IF(TYPE($A376)=1,"",(Update!$J374-J$1)/J$2*K376/$K$1)</f>
        <v>-0.1149363336</v>
      </c>
      <c r="K376" s="121">
        <f>IF(TYPE($A376)=1,"",IF(Update!J374=0,0,Update!I374/Update!J374))</f>
        <v>0.3</v>
      </c>
      <c r="L376" s="119">
        <f>IF(TYPE($A376)=1,"",-(Update!$Q374-L$1)/L$2)</f>
        <v>1.856152079</v>
      </c>
      <c r="N376" s="33">
        <v>356.0</v>
      </c>
      <c r="O376" s="130" t="str">
        <f>IF(Update!B338="",ROW(Update!B338),Update!B338)</f>
        <v>Luke Kornet</v>
      </c>
      <c r="P376" s="131">
        <f>Update!E338</f>
        <v>54</v>
      </c>
      <c r="Q376" s="131" t="str">
        <f>IF(Update!C338="",ROW(Update!N353),Update!C338)</f>
        <v>C</v>
      </c>
      <c r="R376" s="127">
        <f>VLOOKUP($O376,'NO USAR1'!$A$4:$L$403,2,False)+VLOOKUP($O376,'NO USAR1'!$A$4:$L$403,3,False)+VLOOKUP($O376,'NO USAR1'!$A$4:$L$403,4,False)+VLOOKUP($O376,'NO USAR1'!$A$4:$L$403,5,False)+VLOOKUP($O376,'NO USAR1'!$A$4:$L$403,6,False)+VLOOKUP($O376,'NO USAR1'!$A$4:$L$403,7,False)+VLOOKUP($O376,'NO USAR1'!$A$4:$L$403,8,False)+VLOOKUP($O376,'NO USAR1'!$A$4:$L$403,10,False)+VLOOKUP($O376,'NO USAR1'!$A$4:$L$403,12,False)*0</f>
        <v>-9.52370662</v>
      </c>
      <c r="S376" s="127">
        <f>VLOOKUP($O376,'NO USAR1'!$A$4:$L$403,2,False)*$U$19+VLOOKUP($O376,'NO USAR1'!$A$4:$L$403,3,False)*$V$19+VLOOKUP($O376,'NO USAR1'!$A$4:$L$403,4,False)*$W$19+VLOOKUP($O376,'NO USAR1'!$A$4:$L$403,5,False)*$X$19+VLOOKUP($O376,'NO USAR1'!$A$4:$L$403,6,False)*$Y$19+VLOOKUP($O376,'NO USAR1'!$A$4:$L$403,7,False)*$Z$19+VLOOKUP($O376,'NO USAR1'!$A$4:$L$403,8,False)*$AA$19+VLOOKUP($O376,'NO USAR1'!$A$4:$L$403,10,False)*$AB$19+VLOOKUP($O376,'NO USAR1'!$A$4:$L$403,12,False)*$AC$19+IF(Projections!$K$3,-AN376, IF(Projections!$J$3,-AM376,0))</f>
        <v>-5.775053861</v>
      </c>
      <c r="T376" s="127">
        <f t="shared" si="1"/>
        <v>3.748652759</v>
      </c>
      <c r="U376" s="127">
        <f>VLOOKUP($O376,Update!$B$2:$R$401,11,False)</f>
        <v>3.1</v>
      </c>
      <c r="V376" s="122">
        <f>VLOOKUP($O376,Update!$B$2:$R$401,10,False)</f>
        <v>0</v>
      </c>
      <c r="W376" s="127">
        <f>VLOOKUP($O376,Update!$B$2:$R$401,12,False)</f>
        <v>2.4</v>
      </c>
      <c r="X376" s="127">
        <f>VLOOKUP($O376,Update!$B$2:$R$401,13,False)</f>
        <v>0.7</v>
      </c>
      <c r="Y376" s="127">
        <f>VLOOKUP($O376,Update!$B$2:$R$401,14,False)</f>
        <v>0.2</v>
      </c>
      <c r="Z376" s="132">
        <f>VLOOKUP($O376,Update!$B$2:$R$401,15,False)</f>
        <v>0.5</v>
      </c>
      <c r="AA376" s="127">
        <f>100*VLOOKUP($O376,Update!$B$2:$R$401,7,False)</f>
        <v>61.9047619</v>
      </c>
      <c r="AB376" s="127">
        <f>100*VLOOKUP($O376,Update!$B$2:$R$401,9,False)</f>
        <v>80</v>
      </c>
      <c r="AC376" s="127">
        <f>VLOOKUP($O376,Update!$B$2:$Q$401,16,False)</f>
        <v>0.3</v>
      </c>
      <c r="AD376" s="127">
        <f>VLOOKUP($O376,'NO USAR1'!$A$4:$L$403,2,False)*$U$19</f>
        <v>-2.385771743</v>
      </c>
      <c r="AE376" s="127">
        <f>VLOOKUP($O376,'NO USAR1'!$A$4:$L$403,3,False)*$V$19</f>
        <v>-1.426137812</v>
      </c>
      <c r="AF376" s="127">
        <f>VLOOKUP($O376,'NO USAR1'!$A$4:$L$403,4,False)*$W$19</f>
        <v>-1.545217301</v>
      </c>
      <c r="AG376" s="127">
        <f>VLOOKUP($O376,'NO USAR1'!$A$4:$L$403,5,False)*$X$19</f>
        <v>-1.603517358</v>
      </c>
      <c r="AH376" s="127">
        <f>VLOOKUP($O376,'NO USAR1'!$A$4:$L$403,6,False)*$Y$19</f>
        <v>-1.732769878</v>
      </c>
      <c r="AI376" s="127">
        <f>VLOOKUP($O376,'NO USAR1'!$A$4:$L$403,7,False)*$Z$19</f>
        <v>-0.2643825572</v>
      </c>
      <c r="AJ376" s="127">
        <f>VLOOKUP($O376,'NO USAR1'!$A$4:$L$403,8,False)*$AA$19</f>
        <v>0.2581393862</v>
      </c>
      <c r="AK376" s="132">
        <f>VLOOKUP($O376,'NO USAR1'!$A$4:$L$403,10,False)*$AB$19</f>
        <v>0.01270113039</v>
      </c>
      <c r="AL376" s="127">
        <f>VLOOKUP($O376,'NO USAR1'!$A$4:$L$403,12,False)*$AC$19</f>
        <v>0.5261305291</v>
      </c>
      <c r="AM376" s="133">
        <f t="shared" si="2"/>
        <v>-2.385771743</v>
      </c>
      <c r="AN376" s="133">
        <f t="shared" si="3"/>
        <v>-4.118541621</v>
      </c>
    </row>
    <row r="377">
      <c r="A377" s="118" t="str">
        <f>IF(Update!B375="",ROW(Update!B375),Update!B375)</f>
        <v>Noah Clowney</v>
      </c>
      <c r="B377" s="119">
        <f>IF(TYPE($A377)=1,"",(Update!$L375-B$1)/B$2)</f>
        <v>-2.200392728</v>
      </c>
      <c r="C377" s="119">
        <f>IF(TYPE($A377)=1,"",(Update!$K375-C$1)/C$2)</f>
        <v>-1.199206996</v>
      </c>
      <c r="D377" s="119">
        <f>IF(TYPE($A377)=1,"",(Update!$M375-D$1)/D$2)</f>
        <v>-1.503401931</v>
      </c>
      <c r="E377" s="119">
        <f>IF(TYPE($A377)=1,"",(Update!$N375-E$1)/E$2)</f>
        <v>-1.457743053</v>
      </c>
      <c r="F377" s="119">
        <f>IF(TYPE($A377)=1,"",(Update!$O375-F$1)/F$2)</f>
        <v>-2.475385541</v>
      </c>
      <c r="G377" s="119">
        <f>IF(TYPE($A377)=1,"",(Update!$P375-G$1)/G$2)</f>
        <v>-0.9404715375</v>
      </c>
      <c r="H377" s="119">
        <f>IF(TYPE($A377)=1,"",(Update!$H375-H$1)/H$2*I377/$I$1)</f>
        <v>0.01426138233</v>
      </c>
      <c r="I377" s="119">
        <f>IF(TYPE($A377)=1,"",IF(Update!H375=0,0,Update!G375/Update!H375))</f>
        <v>3.2</v>
      </c>
      <c r="J377" s="120">
        <f>IF(TYPE($A377)=1,"",(Update!$J375-J$1)/J$2*K377/$K$1)</f>
        <v>-0.2794026276</v>
      </c>
      <c r="K377" s="121">
        <f>IF(TYPE($A377)=1,"",IF(Update!J375=0,0,Update!I375/Update!J375))</f>
        <v>1</v>
      </c>
      <c r="L377" s="119">
        <f>IF(TYPE($A377)=1,"",-(Update!$Q375-L$1)/L$2)</f>
        <v>1.856152079</v>
      </c>
      <c r="N377" s="33">
        <v>357.0</v>
      </c>
      <c r="O377" s="130" t="str">
        <f>IF(Update!B339="",ROW(Update!B339),Update!B339)</f>
        <v>Bruno Fernando</v>
      </c>
      <c r="P377" s="131">
        <f>Update!E339</f>
        <v>30</v>
      </c>
      <c r="Q377" s="131" t="str">
        <f>IF(Update!C339="",ROW(Update!N354),Update!C339)</f>
        <v>C</v>
      </c>
      <c r="R377" s="127">
        <f>VLOOKUP($O377,'NO USAR1'!$A$4:$L$403,2,False)+VLOOKUP($O377,'NO USAR1'!$A$4:$L$403,3,False)+VLOOKUP($O377,'NO USAR1'!$A$4:$L$403,4,False)+VLOOKUP($O377,'NO USAR1'!$A$4:$L$403,5,False)+VLOOKUP($O377,'NO USAR1'!$A$4:$L$403,6,False)+VLOOKUP($O377,'NO USAR1'!$A$4:$L$403,7,False)+VLOOKUP($O377,'NO USAR1'!$A$4:$L$403,8,False)+VLOOKUP($O377,'NO USAR1'!$A$4:$L$403,10,False)+VLOOKUP($O377,'NO USAR1'!$A$4:$L$403,12,False)*0</f>
        <v>-9.548182112</v>
      </c>
      <c r="S377" s="127">
        <f>VLOOKUP($O377,'NO USAR1'!$A$4:$L$403,2,False)*$U$19+VLOOKUP($O377,'NO USAR1'!$A$4:$L$403,3,False)*$V$19+VLOOKUP($O377,'NO USAR1'!$A$4:$L$403,4,False)*$W$19+VLOOKUP($O377,'NO USAR1'!$A$4:$L$403,5,False)*$X$19+VLOOKUP($O377,'NO USAR1'!$A$4:$L$403,6,False)*$Y$19+VLOOKUP($O377,'NO USAR1'!$A$4:$L$403,7,False)*$Z$19+VLOOKUP($O377,'NO USAR1'!$A$4:$L$403,8,False)*$AA$19+VLOOKUP($O377,'NO USAR1'!$A$4:$L$403,10,False)*$AB$19+VLOOKUP($O377,'NO USAR1'!$A$4:$L$403,12,False)*$AC$19+IF(Projections!$K$3,-AN377, IF(Projections!$J$3,-AM377,0))</f>
        <v>-5.967723288</v>
      </c>
      <c r="T377" s="127">
        <f t="shared" si="1"/>
        <v>3.580458824</v>
      </c>
      <c r="U377" s="127">
        <f>VLOOKUP($O377,Update!$B$2:$R$401,11,False)</f>
        <v>4</v>
      </c>
      <c r="V377" s="122">
        <f>VLOOKUP($O377,Update!$B$2:$R$401,10,False)</f>
        <v>0</v>
      </c>
      <c r="W377" s="127">
        <f>VLOOKUP($O377,Update!$B$2:$R$401,12,False)</f>
        <v>3.2</v>
      </c>
      <c r="X377" s="127">
        <f>VLOOKUP($O377,Update!$B$2:$R$401,13,False)</f>
        <v>0.6</v>
      </c>
      <c r="Y377" s="127">
        <f>VLOOKUP($O377,Update!$B$2:$R$401,14,False)</f>
        <v>0.1</v>
      </c>
      <c r="Z377" s="132">
        <f>VLOOKUP($O377,Update!$B$2:$R$401,15,False)</f>
        <v>0.7</v>
      </c>
      <c r="AA377" s="127">
        <f>100*VLOOKUP($O377,Update!$B$2:$R$401,7,False)</f>
        <v>57.14285714</v>
      </c>
      <c r="AB377" s="127">
        <f>100*VLOOKUP($O377,Update!$B$2:$R$401,9,False)</f>
        <v>66.66666667</v>
      </c>
      <c r="AC377" s="127">
        <f>VLOOKUP($O377,Update!$B$2:$Q$401,16,False)</f>
        <v>0.6</v>
      </c>
      <c r="AD377" s="127">
        <f>VLOOKUP($O377,'NO USAR1'!$A$4:$L$403,2,False)*$U$19</f>
        <v>-2.234098004</v>
      </c>
      <c r="AE377" s="127">
        <f>VLOOKUP($O377,'NO USAR1'!$A$4:$L$403,3,False)*$V$19</f>
        <v>-1.426137812</v>
      </c>
      <c r="AF377" s="127">
        <f>VLOOKUP($O377,'NO USAR1'!$A$4:$L$403,4,False)*$W$19</f>
        <v>-1.210694342</v>
      </c>
      <c r="AG377" s="127">
        <f>VLOOKUP($O377,'NO USAR1'!$A$4:$L$403,5,False)*$X$19</f>
        <v>-1.654519819</v>
      </c>
      <c r="AH377" s="127">
        <f>VLOOKUP($O377,'NO USAR1'!$A$4:$L$403,6,False)*$Y$19</f>
        <v>-1.950819779</v>
      </c>
      <c r="AI377" s="127">
        <f>VLOOKUP($O377,'NO USAR1'!$A$4:$L$403,7,False)*$Z$19</f>
        <v>-0.001750877862</v>
      </c>
      <c r="AJ377" s="127">
        <f>VLOOKUP($O377,'NO USAR1'!$A$4:$L$403,8,False)*$AA$19</f>
        <v>0.2110038444</v>
      </c>
      <c r="AK377" s="132">
        <f>VLOOKUP($O377,'NO USAR1'!$A$4:$L$403,10,False)*$AB$19</f>
        <v>-0.3677962676</v>
      </c>
      <c r="AL377" s="127">
        <f>VLOOKUP($O377,'NO USAR1'!$A$4:$L$403,12,False)*$AC$19</f>
        <v>0.4329917651</v>
      </c>
      <c r="AM377" s="133">
        <f t="shared" si="2"/>
        <v>-2.234098004</v>
      </c>
      <c r="AN377" s="133">
        <f t="shared" si="3"/>
        <v>-4.184917783</v>
      </c>
    </row>
    <row r="378">
      <c r="A378" s="118" t="str">
        <f>IF(Update!B376="",ROW(Update!B376),Update!B376)</f>
        <v>Brice Sensabaugh</v>
      </c>
      <c r="B378" s="119">
        <f>IF(TYPE($A378)=1,"",(Update!$L376-B$1)/B$2)</f>
        <v>-2.132982178</v>
      </c>
      <c r="C378" s="119">
        <f>IF(TYPE($A378)=1,"",(Update!$K376-C$1)/C$2)</f>
        <v>-0.8138164245</v>
      </c>
      <c r="D378" s="119">
        <f>IF(TYPE($A378)=1,"",(Update!$M376-D$1)/D$2)</f>
        <v>-1.83792489</v>
      </c>
      <c r="E378" s="119">
        <f>IF(TYPE($A378)=1,"",(Update!$N376-E$1)/E$2)</f>
        <v>-1.596840673</v>
      </c>
      <c r="F378" s="119">
        <f>IF(TYPE($A378)=1,"",(Update!$O376-F$1)/F$2)</f>
        <v>-2.475385541</v>
      </c>
      <c r="G378" s="119">
        <f>IF(TYPE($A378)=1,"",(Update!$P376-G$1)/G$2)</f>
        <v>-1.128065594</v>
      </c>
      <c r="H378" s="119">
        <f>IF(TYPE($A378)=1,"",(Update!$H376-H$1)/H$2*I378/$I$1)</f>
        <v>-0.205034615</v>
      </c>
      <c r="I378" s="119">
        <f>IF(TYPE($A378)=1,"",IF(Update!H376=0,0,Update!G376/Update!H376))</f>
        <v>3.8</v>
      </c>
      <c r="J378" s="120">
        <f>IF(TYPE($A378)=1,"",(Update!$J376-J$1)/J$2*K378/$K$1)</f>
        <v>-0.2298726673</v>
      </c>
      <c r="K378" s="121">
        <f>IF(TYPE($A378)=1,"",IF(Update!J376=0,0,Update!I376/Update!J376))</f>
        <v>0.6</v>
      </c>
      <c r="L378" s="119">
        <f>IF(TYPE($A378)=1,"",-(Update!$Q376-L$1)/L$2)</f>
        <v>2.104522116</v>
      </c>
      <c r="N378" s="124">
        <v>358.0</v>
      </c>
      <c r="O378" s="130" t="str">
        <f>IF(Update!B365="",ROW(Update!B365),Update!B365)</f>
        <v>Darius Bazley</v>
      </c>
      <c r="P378" s="131">
        <f>Update!E365</f>
        <v>33</v>
      </c>
      <c r="Q378" s="131" t="str">
        <f>IF(Update!C365="",ROW(Update!N380),Update!C365)</f>
        <v>PF,C</v>
      </c>
      <c r="R378" s="127">
        <f>VLOOKUP($O378,'NO USAR1'!$A$4:$L$403,2,False)+VLOOKUP($O378,'NO USAR1'!$A$4:$L$403,3,False)+VLOOKUP($O378,'NO USAR1'!$A$4:$L$403,4,False)+VLOOKUP($O378,'NO USAR1'!$A$4:$L$403,5,False)+VLOOKUP($O378,'NO USAR1'!$A$4:$L$403,6,False)+VLOOKUP($O378,'NO USAR1'!$A$4:$L$403,7,False)+VLOOKUP($O378,'NO USAR1'!$A$4:$L$403,8,False)+VLOOKUP($O378,'NO USAR1'!$A$4:$L$403,10,False)+VLOOKUP($O378,'NO USAR1'!$A$4:$L$403,12,False)*0</f>
        <v>-9.608376804</v>
      </c>
      <c r="S378" s="127">
        <f>VLOOKUP($O378,'NO USAR1'!$A$4:$L$403,2,False)*$U$19+VLOOKUP($O378,'NO USAR1'!$A$4:$L$403,3,False)*$V$19+VLOOKUP($O378,'NO USAR1'!$A$4:$L$403,4,False)*$W$19+VLOOKUP($O378,'NO USAR1'!$A$4:$L$403,5,False)*$X$19+VLOOKUP($O378,'NO USAR1'!$A$4:$L$403,6,False)*$Y$19+VLOOKUP($O378,'NO USAR1'!$A$4:$L$403,7,False)*$Z$19+VLOOKUP($O378,'NO USAR1'!$A$4:$L$403,8,False)*$AA$19+VLOOKUP($O378,'NO USAR1'!$A$4:$L$403,10,False)*$AB$19+VLOOKUP($O378,'NO USAR1'!$A$4:$L$403,12,False)*$AC$19+IF(Projections!$K$3,-AN378, IF(Projections!$J$3,-AM378,0))</f>
        <v>-6.08471708</v>
      </c>
      <c r="T378" s="127">
        <f t="shared" si="1"/>
        <v>3.523659724</v>
      </c>
      <c r="U378" s="127">
        <f>VLOOKUP($O378,Update!$B$2:$R$401,11,False)</f>
        <v>4.2</v>
      </c>
      <c r="V378" s="122">
        <f>VLOOKUP($O378,Update!$B$2:$R$401,10,False)</f>
        <v>0.4</v>
      </c>
      <c r="W378" s="127">
        <f>VLOOKUP($O378,Update!$B$2:$R$401,12,False)</f>
        <v>2.4</v>
      </c>
      <c r="X378" s="127">
        <f>VLOOKUP($O378,Update!$B$2:$R$401,13,False)</f>
        <v>0.6</v>
      </c>
      <c r="Y378" s="127">
        <f>VLOOKUP($O378,Update!$B$2:$R$401,14,False)</f>
        <v>0.3</v>
      </c>
      <c r="Z378" s="132">
        <f>VLOOKUP($O378,Update!$B$2:$R$401,15,False)</f>
        <v>0.4</v>
      </c>
      <c r="AA378" s="127">
        <f>100*VLOOKUP($O378,Update!$B$2:$R$401,7,False)</f>
        <v>45.71428571</v>
      </c>
      <c r="AB378" s="127">
        <f>100*VLOOKUP($O378,Update!$B$2:$R$401,9,False)</f>
        <v>70</v>
      </c>
      <c r="AC378" s="127">
        <f>VLOOKUP($O378,Update!$B$2:$Q$401,16,False)</f>
        <v>0.5</v>
      </c>
      <c r="AD378" s="127">
        <f>VLOOKUP($O378,'NO USAR1'!$A$4:$L$403,2,False)*$U$19</f>
        <v>-2.200392728</v>
      </c>
      <c r="AE378" s="127">
        <f>VLOOKUP($O378,'NO USAR1'!$A$4:$L$403,3,False)*$V$19</f>
        <v>-1.079286297</v>
      </c>
      <c r="AF378" s="127">
        <f>VLOOKUP($O378,'NO USAR1'!$A$4:$L$403,4,False)*$W$19</f>
        <v>-1.545217301</v>
      </c>
      <c r="AG378" s="127">
        <f>VLOOKUP($O378,'NO USAR1'!$A$4:$L$403,5,False)*$X$19</f>
        <v>-1.654519819</v>
      </c>
      <c r="AH378" s="127">
        <f>VLOOKUP($O378,'NO USAR1'!$A$4:$L$403,6,False)*$Y$19</f>
        <v>-1.514719978</v>
      </c>
      <c r="AI378" s="127">
        <f>VLOOKUP($O378,'NO USAR1'!$A$4:$L$403,7,False)*$Z$19</f>
        <v>-0.3956983969</v>
      </c>
      <c r="AJ378" s="127">
        <f>VLOOKUP($O378,'NO USAR1'!$A$4:$L$403,8,False)*$AA$19</f>
        <v>-0.1357912062</v>
      </c>
      <c r="AK378" s="132">
        <f>VLOOKUP($O378,'NO USAR1'!$A$4:$L$403,10,False)*$AB$19</f>
        <v>-0.2235221021</v>
      </c>
      <c r="AL378" s="127">
        <f>VLOOKUP($O378,'NO USAR1'!$A$4:$L$403,12,False)*$AC$19</f>
        <v>0.4640380197</v>
      </c>
      <c r="AM378" s="133">
        <f t="shared" si="2"/>
        <v>-2.200392728</v>
      </c>
      <c r="AN378" s="133">
        <f t="shared" si="3"/>
        <v>-3.854912547</v>
      </c>
    </row>
    <row r="379">
      <c r="A379" s="118" t="str">
        <f>IF(Update!B377="",ROW(Update!B377),Update!B377)</f>
        <v>Neemias Queta</v>
      </c>
      <c r="B379" s="119">
        <f>IF(TYPE($A379)=1,"",(Update!$L377-B$1)/B$2)</f>
        <v>-2.234098004</v>
      </c>
      <c r="C379" s="119">
        <f>IF(TYPE($A379)=1,"",(Update!$K377-C$1)/C$2)</f>
        <v>-1.584597568</v>
      </c>
      <c r="D379" s="119">
        <f>IF(TYPE($A379)=1,"",(Update!$M377-D$1)/D$2)</f>
        <v>-1.336140451</v>
      </c>
      <c r="E379" s="119">
        <f>IF(TYPE($A379)=1,"",(Update!$N377-E$1)/E$2)</f>
        <v>-1.5504748</v>
      </c>
      <c r="F379" s="119">
        <f>IF(TYPE($A379)=1,"",(Update!$O377-F$1)/F$2)</f>
        <v>-2.786885399</v>
      </c>
      <c r="G379" s="119">
        <f>IF(TYPE($A379)=1,"",(Update!$P377-G$1)/G$2)</f>
        <v>-0.002501254089</v>
      </c>
      <c r="H379" s="119">
        <f>IF(TYPE($A379)=1,"",(Update!$H377-H$1)/H$2*I379/$I$1)</f>
        <v>-0.0407854511</v>
      </c>
      <c r="I379" s="119">
        <f>IF(TYPE($A379)=1,"",IF(Update!H377=0,0,Update!G377/Update!H377))</f>
        <v>3.3</v>
      </c>
      <c r="J379" s="120">
        <f>IF(TYPE($A379)=1,"",(Update!$J377-J$1)/J$2*K379/$K$1)</f>
        <v>-0.7054944148</v>
      </c>
      <c r="K379" s="121">
        <f>IF(TYPE($A379)=1,"",IF(Update!J377=0,0,Update!I377/Update!J377))</f>
        <v>1.3</v>
      </c>
      <c r="L379" s="119">
        <f>IF(TYPE($A379)=1,"",-(Update!$Q377-L$1)/L$2)</f>
        <v>1.856152079</v>
      </c>
      <c r="N379" s="124">
        <v>359.0</v>
      </c>
      <c r="O379" s="130" t="str">
        <f>IF(Update!B366="",ROW(Update!B366),Update!B366)</f>
        <v>Thaddeus Young</v>
      </c>
      <c r="P379" s="131">
        <f>Update!E366</f>
        <v>20</v>
      </c>
      <c r="Q379" s="131" t="str">
        <f>IF(Update!C366="",ROW(Update!N381),Update!C366)</f>
        <v>PF,C</v>
      </c>
      <c r="R379" s="127">
        <f>VLOOKUP($O379,'NO USAR1'!$A$4:$L$403,2,False)+VLOOKUP($O379,'NO USAR1'!$A$4:$L$403,3,False)+VLOOKUP($O379,'NO USAR1'!$A$4:$L$403,4,False)+VLOOKUP($O379,'NO USAR1'!$A$4:$L$403,5,False)+VLOOKUP($O379,'NO USAR1'!$A$4:$L$403,6,False)+VLOOKUP($O379,'NO USAR1'!$A$4:$L$403,7,False)+VLOOKUP($O379,'NO USAR1'!$A$4:$L$403,8,False)+VLOOKUP($O379,'NO USAR1'!$A$4:$L$403,10,False)+VLOOKUP($O379,'NO USAR1'!$A$4:$L$403,12,False)*0</f>
        <v>-9.623488476</v>
      </c>
      <c r="S379" s="127">
        <f>VLOOKUP($O379,'NO USAR1'!$A$4:$L$403,2,False)*$U$19+VLOOKUP($O379,'NO USAR1'!$A$4:$L$403,3,False)*$V$19+VLOOKUP($O379,'NO USAR1'!$A$4:$L$403,4,False)*$W$19+VLOOKUP($O379,'NO USAR1'!$A$4:$L$403,5,False)*$X$19+VLOOKUP($O379,'NO USAR1'!$A$4:$L$403,6,False)*$Y$19+VLOOKUP($O379,'NO USAR1'!$A$4:$L$403,7,False)*$Z$19+VLOOKUP($O379,'NO USAR1'!$A$4:$L$403,8,False)*$AA$19+VLOOKUP($O379,'NO USAR1'!$A$4:$L$403,10,False)*$AB$19+VLOOKUP($O379,'NO USAR1'!$A$4:$L$403,12,False)*$AC$19+IF(Projections!$K$3,-AN379, IF(Projections!$J$3,-AM379,0))</f>
        <v>-5.960445087</v>
      </c>
      <c r="T379" s="127">
        <f t="shared" si="1"/>
        <v>3.663043389</v>
      </c>
      <c r="U379" s="127">
        <f>VLOOKUP($O379,Update!$B$2:$R$401,11,False)</f>
        <v>2.9</v>
      </c>
      <c r="V379" s="122">
        <f>VLOOKUP($O379,Update!$B$2:$R$401,10,False)</f>
        <v>0.1</v>
      </c>
      <c r="W379" s="127">
        <f>VLOOKUP($O379,Update!$B$2:$R$401,12,False)</f>
        <v>1.9</v>
      </c>
      <c r="X379" s="127">
        <f>VLOOKUP($O379,Update!$B$2:$R$401,13,False)</f>
        <v>0.9</v>
      </c>
      <c r="Y379" s="127">
        <f>VLOOKUP($O379,Update!$B$2:$R$401,14,False)</f>
        <v>0.6</v>
      </c>
      <c r="Z379" s="132">
        <f>VLOOKUP($O379,Update!$B$2:$R$401,15,False)</f>
        <v>0.1</v>
      </c>
      <c r="AA379" s="127">
        <f>100*VLOOKUP($O379,Update!$B$2:$R$401,7,False)</f>
        <v>54.16666667</v>
      </c>
      <c r="AB379" s="127">
        <f>100*VLOOKUP($O379,Update!$B$2:$R$401,9,False)</f>
        <v>50</v>
      </c>
      <c r="AC379" s="127">
        <f>VLOOKUP($O379,Update!$B$2:$Q$401,16,False)</f>
        <v>0.5</v>
      </c>
      <c r="AD379" s="127">
        <f>VLOOKUP($O379,'NO USAR1'!$A$4:$L$403,2,False)*$U$19</f>
        <v>-2.419477019</v>
      </c>
      <c r="AE379" s="127">
        <f>VLOOKUP($O379,'NO USAR1'!$A$4:$L$403,3,False)*$V$19</f>
        <v>-1.339424933</v>
      </c>
      <c r="AF379" s="127">
        <f>VLOOKUP($O379,'NO USAR1'!$A$4:$L$403,4,False)*$W$19</f>
        <v>-1.75429415</v>
      </c>
      <c r="AG379" s="127">
        <f>VLOOKUP($O379,'NO USAR1'!$A$4:$L$403,5,False)*$X$19</f>
        <v>-1.501512437</v>
      </c>
      <c r="AH379" s="127">
        <f>VLOOKUP($O379,'NO USAR1'!$A$4:$L$403,6,False)*$Y$19</f>
        <v>-0.8605702752</v>
      </c>
      <c r="AI379" s="127">
        <f>VLOOKUP($O379,'NO USAR1'!$A$4:$L$403,7,False)*$Z$19</f>
        <v>-0.7896459159</v>
      </c>
      <c r="AJ379" s="127">
        <f>VLOOKUP($O379,'NO USAR1'!$A$4:$L$403,8,False)*$AA$19</f>
        <v>0.109512936</v>
      </c>
      <c r="AK379" s="132">
        <f>VLOOKUP($O379,'NO USAR1'!$A$4:$L$403,10,False)*$AB$19</f>
        <v>-0.2885483311</v>
      </c>
      <c r="AL379" s="127">
        <f>VLOOKUP($O379,'NO USAR1'!$A$4:$L$403,12,False)*$AC$19</f>
        <v>0.4640380197</v>
      </c>
      <c r="AM379" s="133">
        <f t="shared" si="2"/>
        <v>-2.419477019</v>
      </c>
      <c r="AN379" s="133">
        <f t="shared" si="3"/>
        <v>-4.173771169</v>
      </c>
    </row>
    <row r="380">
      <c r="A380" s="118" t="str">
        <f>IF(Update!B378="",ROW(Update!B378),Update!B378)</f>
        <v>Patrick Baldwin Jr.</v>
      </c>
      <c r="B380" s="119">
        <f>IF(TYPE($A380)=1,"",(Update!$L378-B$1)/B$2)</f>
        <v>-2.132982178</v>
      </c>
      <c r="C380" s="119">
        <f>IF(TYPE($A380)=1,"",(Update!$K378-C$1)/C$2)</f>
        <v>-0.4284258525</v>
      </c>
      <c r="D380" s="119">
        <f>IF(TYPE($A380)=1,"",(Update!$M378-D$1)/D$2)</f>
        <v>-1.921555629</v>
      </c>
      <c r="E380" s="119">
        <f>IF(TYPE($A380)=1,"",(Update!$N378-E$1)/E$2)</f>
        <v>-1.596840673</v>
      </c>
      <c r="F380" s="119">
        <f>IF(TYPE($A380)=1,"",(Update!$O378-F$1)/F$2)</f>
        <v>-2.475385541</v>
      </c>
      <c r="G380" s="119">
        <f>IF(TYPE($A380)=1,"",(Update!$P378-G$1)/G$2)</f>
        <v>-0.9404715375</v>
      </c>
      <c r="H380" s="119">
        <f>IF(TYPE($A380)=1,"",(Update!$H378-H$1)/H$2*I380/$I$1)</f>
        <v>-0.4811601185</v>
      </c>
      <c r="I380" s="119">
        <f>IF(TYPE($A380)=1,"",IF(Update!H378=0,0,Update!G378/Update!H378))</f>
        <v>4.1</v>
      </c>
      <c r="J380" s="120">
        <f>IF(TYPE($A380)=1,"",(Update!$J378-J$1)/J$2*K380/$K$1)</f>
        <v>0.1308127466</v>
      </c>
      <c r="K380" s="121">
        <f>IF(TYPE($A380)=1,"",IF(Update!J378=0,0,Update!I378/Update!J378))</f>
        <v>0.2</v>
      </c>
      <c r="L380" s="119">
        <f>IF(TYPE($A380)=1,"",-(Update!$Q378-L$1)/L$2)</f>
        <v>1.980337098</v>
      </c>
      <c r="N380" s="33">
        <v>360.0</v>
      </c>
      <c r="O380" s="130" t="str">
        <f>IF(Update!B358="",ROW(Update!B358),Update!B358)</f>
        <v>Hunter Tyson</v>
      </c>
      <c r="P380" s="131">
        <f>Update!E358</f>
        <v>67</v>
      </c>
      <c r="Q380" s="131" t="str">
        <f>IF(Update!C358="",ROW(Update!N373),Update!C358)</f>
        <v>PF</v>
      </c>
      <c r="R380" s="127">
        <f>VLOOKUP($O380,'NO USAR1'!$A$4:$L$403,2,False)+VLOOKUP($O380,'NO USAR1'!$A$4:$L$403,3,False)+VLOOKUP($O380,'NO USAR1'!$A$4:$L$403,4,False)+VLOOKUP($O380,'NO USAR1'!$A$4:$L$403,5,False)+VLOOKUP($O380,'NO USAR1'!$A$4:$L$403,6,False)+VLOOKUP($O380,'NO USAR1'!$A$4:$L$403,7,False)+VLOOKUP($O380,'NO USAR1'!$A$4:$L$403,8,False)+VLOOKUP($O380,'NO USAR1'!$A$4:$L$403,10,False)+VLOOKUP($O380,'NO USAR1'!$A$4:$L$403,12,False)*0</f>
        <v>-9.6241498</v>
      </c>
      <c r="S380" s="127">
        <f>VLOOKUP($O380,'NO USAR1'!$A$4:$L$403,2,False)*$U$19+VLOOKUP($O380,'NO USAR1'!$A$4:$L$403,3,False)*$V$19+VLOOKUP($O380,'NO USAR1'!$A$4:$L$403,4,False)*$W$19+VLOOKUP($O380,'NO USAR1'!$A$4:$L$403,5,False)*$X$19+VLOOKUP($O380,'NO USAR1'!$A$4:$L$403,6,False)*$Y$19+VLOOKUP($O380,'NO USAR1'!$A$4:$L$403,7,False)*$Z$19+VLOOKUP($O380,'NO USAR1'!$A$4:$L$403,8,False)*$AA$19+VLOOKUP($O380,'NO USAR1'!$A$4:$L$403,10,False)*$AB$19+VLOOKUP($O380,'NO USAR1'!$A$4:$L$403,12,False)*$AC$19+IF(Projections!$K$3,-AN380, IF(Projections!$J$3,-AM380,0))</f>
        <v>-6.218394737</v>
      </c>
      <c r="T380" s="127">
        <f t="shared" si="1"/>
        <v>3.405755062</v>
      </c>
      <c r="U380" s="127">
        <f>VLOOKUP($O380,Update!$B$2:$R$401,11,False)</f>
        <v>5.6</v>
      </c>
      <c r="V380" s="122">
        <f>VLOOKUP($O380,Update!$B$2:$R$401,10,False)</f>
        <v>0.9</v>
      </c>
      <c r="W380" s="127">
        <f>VLOOKUP($O380,Update!$B$2:$R$401,12,False)</f>
        <v>1.9</v>
      </c>
      <c r="X380" s="127">
        <f>VLOOKUP($O380,Update!$B$2:$R$401,13,False)</f>
        <v>0.4</v>
      </c>
      <c r="Y380" s="127">
        <f>VLOOKUP($O380,Update!$B$2:$R$401,14,False)</f>
        <v>0.2</v>
      </c>
      <c r="Z380" s="132">
        <f>VLOOKUP($O380,Update!$B$2:$R$401,15,False)</f>
        <v>0.2</v>
      </c>
      <c r="AA380" s="127">
        <f>100*VLOOKUP($O380,Update!$B$2:$R$401,7,False)</f>
        <v>44.68085106</v>
      </c>
      <c r="AB380" s="127">
        <f>100*VLOOKUP($O380,Update!$B$2:$R$401,9,False)</f>
        <v>83.33333333</v>
      </c>
      <c r="AC380" s="127">
        <f>VLOOKUP($O380,Update!$B$2:$Q$401,16,False)</f>
        <v>0.4</v>
      </c>
      <c r="AD380" s="127">
        <f>VLOOKUP($O380,'NO USAR1'!$A$4:$L$403,2,False)*$U$19</f>
        <v>-1.964455801</v>
      </c>
      <c r="AE380" s="127">
        <f>VLOOKUP($O380,'NO USAR1'!$A$4:$L$403,3,False)*$V$19</f>
        <v>-0.6457219034</v>
      </c>
      <c r="AF380" s="127">
        <f>VLOOKUP($O380,'NO USAR1'!$A$4:$L$403,4,False)*$W$19</f>
        <v>-1.75429415</v>
      </c>
      <c r="AG380" s="127">
        <f>VLOOKUP($O380,'NO USAR1'!$A$4:$L$403,5,False)*$X$19</f>
        <v>-1.75652474</v>
      </c>
      <c r="AH380" s="127">
        <f>VLOOKUP($O380,'NO USAR1'!$A$4:$L$403,6,False)*$Y$19</f>
        <v>-1.732769878</v>
      </c>
      <c r="AI380" s="127">
        <f>VLOOKUP($O380,'NO USAR1'!$A$4:$L$403,7,False)*$Z$19</f>
        <v>-0.6583300762</v>
      </c>
      <c r="AJ380" s="127">
        <f>VLOOKUP($O380,'NO USAR1'!$A$4:$L$403,8,False)*$AA$19</f>
        <v>-0.2308644925</v>
      </c>
      <c r="AK380" s="132">
        <f>VLOOKUP($O380,'NO USAR1'!$A$4:$L$403,10,False)*$AB$19</f>
        <v>0.06502622904</v>
      </c>
      <c r="AL380" s="127">
        <f>VLOOKUP($O380,'NO USAR1'!$A$4:$L$403,12,False)*$AC$19</f>
        <v>0.4950842744</v>
      </c>
      <c r="AM380" s="133">
        <f t="shared" si="2"/>
        <v>-1.964455801</v>
      </c>
      <c r="AN380" s="133">
        <f t="shared" si="3"/>
        <v>-3.720980541</v>
      </c>
    </row>
    <row r="381">
      <c r="A381" s="118" t="str">
        <f>IF(Update!B379="",ROW(Update!B379),Update!B379)</f>
        <v>Malachi Flynn</v>
      </c>
      <c r="B381" s="119">
        <f>IF(TYPE($A381)=1,"",(Update!$L379-B$1)/B$2)</f>
        <v>-2.183540091</v>
      </c>
      <c r="C381" s="119">
        <f>IF(TYPE($A381)=1,"",(Update!$K379-C$1)/C$2)</f>
        <v>-0.8138164245</v>
      </c>
      <c r="D381" s="119">
        <f>IF(TYPE($A381)=1,"",(Update!$M379-D$1)/D$2)</f>
        <v>-1.963370999</v>
      </c>
      <c r="E381" s="119">
        <f>IF(TYPE($A381)=1,"",(Update!$N379-E$1)/E$2)</f>
        <v>-1.133181941</v>
      </c>
      <c r="F381" s="119">
        <f>IF(TYPE($A381)=1,"",(Update!$O379-F$1)/F$2)</f>
        <v>-1.852385824</v>
      </c>
      <c r="G381" s="119">
        <f>IF(TYPE($A381)=1,"",(Update!$P379-G$1)/G$2)</f>
        <v>-1.128065594</v>
      </c>
      <c r="H381" s="119">
        <f>IF(TYPE($A381)=1,"",(Update!$H379-H$1)/H$2*I381/$I$1)</f>
        <v>-0.5362069519</v>
      </c>
      <c r="I381" s="119">
        <f>IF(TYPE($A381)=1,"",IF(Update!H379=0,0,Update!G379/Update!H379))</f>
        <v>4.2</v>
      </c>
      <c r="J381" s="120">
        <f>IF(TYPE($A381)=1,"",(Update!$J379-J$1)/J$2*K381/$K$1)</f>
        <v>-0.2298726673</v>
      </c>
      <c r="K381" s="121">
        <f>IF(TYPE($A381)=1,"",IF(Update!J379=0,0,Update!I379/Update!J379))</f>
        <v>0.6</v>
      </c>
      <c r="L381" s="119">
        <f>IF(TYPE($A381)=1,"",-(Update!$Q379-L$1)/L$2)</f>
        <v>1.980337098</v>
      </c>
      <c r="N381" s="33">
        <v>361.0</v>
      </c>
      <c r="O381" s="130" t="str">
        <f>IF(Update!B369="",ROW(Update!B369),Update!B369)</f>
        <v>Kira Lewis Jr.</v>
      </c>
      <c r="P381" s="131">
        <f>Update!E369</f>
        <v>33</v>
      </c>
      <c r="Q381" s="131" t="str">
        <f>IF(Update!C369="",ROW(Update!N384),Update!C369)</f>
        <v>PG</v>
      </c>
      <c r="R381" s="127">
        <f>VLOOKUP($O381,'NO USAR1'!$A$4:$L$403,2,False)+VLOOKUP($O381,'NO USAR1'!$A$4:$L$403,3,False)+VLOOKUP($O381,'NO USAR1'!$A$4:$L$403,4,False)+VLOOKUP($O381,'NO USAR1'!$A$4:$L$403,5,False)+VLOOKUP($O381,'NO USAR1'!$A$4:$L$403,6,False)+VLOOKUP($O381,'NO USAR1'!$A$4:$L$403,7,False)+VLOOKUP($O381,'NO USAR1'!$A$4:$L$403,8,False)+VLOOKUP($O381,'NO USAR1'!$A$4:$L$403,10,False)+VLOOKUP($O381,'NO USAR1'!$A$4:$L$403,12,False)*0</f>
        <v>-9.672175487</v>
      </c>
      <c r="S381" s="127">
        <f>VLOOKUP($O381,'NO USAR1'!$A$4:$L$403,2,False)*$U$19+VLOOKUP($O381,'NO USAR1'!$A$4:$L$403,3,False)*$V$19+VLOOKUP($O381,'NO USAR1'!$A$4:$L$403,4,False)*$W$19+VLOOKUP($O381,'NO USAR1'!$A$4:$L$403,5,False)*$X$19+VLOOKUP($O381,'NO USAR1'!$A$4:$L$403,6,False)*$Y$19+VLOOKUP($O381,'NO USAR1'!$A$4:$L$403,7,False)*$Z$19+VLOOKUP($O381,'NO USAR1'!$A$4:$L$403,8,False)*$AA$19+VLOOKUP($O381,'NO USAR1'!$A$4:$L$403,10,False)*$AB$19+VLOOKUP($O381,'NO USAR1'!$A$4:$L$403,12,False)*$AC$19+IF(Projections!$K$3,-AN381, IF(Projections!$J$3,-AM381,0))</f>
        <v>-6.246962037</v>
      </c>
      <c r="T381" s="127">
        <f t="shared" si="1"/>
        <v>3.42521345</v>
      </c>
      <c r="U381" s="127">
        <f>VLOOKUP($O381,Update!$B$2:$R$401,11,False)</f>
        <v>4.7</v>
      </c>
      <c r="V381" s="122">
        <f>VLOOKUP($O381,Update!$B$2:$R$401,10,False)</f>
        <v>0.5</v>
      </c>
      <c r="W381" s="127">
        <f>VLOOKUP($O381,Update!$B$2:$R$401,12,False)</f>
        <v>1.3</v>
      </c>
      <c r="X381" s="127">
        <f>VLOOKUP($O381,Update!$B$2:$R$401,13,False)</f>
        <v>1.3</v>
      </c>
      <c r="Y381" s="127">
        <f>VLOOKUP($O381,Update!$B$2:$R$401,14,False)</f>
        <v>0.4</v>
      </c>
      <c r="Z381" s="132">
        <f>VLOOKUP($O381,Update!$B$2:$R$401,15,False)</f>
        <v>0.1</v>
      </c>
      <c r="AA381" s="127">
        <f>100*VLOOKUP($O381,Update!$B$2:$R$401,7,False)</f>
        <v>41.86046512</v>
      </c>
      <c r="AB381" s="127">
        <f>100*VLOOKUP($O381,Update!$B$2:$R$401,9,False)</f>
        <v>83.33333333</v>
      </c>
      <c r="AC381" s="127">
        <f>VLOOKUP($O381,Update!$B$2:$Q$401,16,False)</f>
        <v>0.7</v>
      </c>
      <c r="AD381" s="127">
        <f>VLOOKUP($O381,'NO USAR1'!$A$4:$L$403,2,False)*$U$19</f>
        <v>-2.11612954</v>
      </c>
      <c r="AE381" s="127">
        <f>VLOOKUP($O381,'NO USAR1'!$A$4:$L$403,3,False)*$V$19</f>
        <v>-0.9925734181</v>
      </c>
      <c r="AF381" s="127">
        <f>VLOOKUP($O381,'NO USAR1'!$A$4:$L$403,4,False)*$W$19</f>
        <v>-2.005186369</v>
      </c>
      <c r="AG381" s="127">
        <f>VLOOKUP($O381,'NO USAR1'!$A$4:$L$403,5,False)*$X$19</f>
        <v>-1.297502595</v>
      </c>
      <c r="AH381" s="127">
        <f>VLOOKUP($O381,'NO USAR1'!$A$4:$L$403,6,False)*$Y$19</f>
        <v>-1.296670077</v>
      </c>
      <c r="AI381" s="127">
        <f>VLOOKUP($O381,'NO USAR1'!$A$4:$L$403,7,False)*$Z$19</f>
        <v>-0.7896459159</v>
      </c>
      <c r="AJ381" s="127">
        <f>VLOOKUP($O381,'NO USAR1'!$A$4:$L$403,8,False)*$AA$19</f>
        <v>-0.332355401</v>
      </c>
      <c r="AK381" s="132">
        <f>VLOOKUP($O381,'NO USAR1'!$A$4:$L$403,10,False)*$AB$19</f>
        <v>0.06502622904</v>
      </c>
      <c r="AL381" s="127">
        <f>VLOOKUP($O381,'NO USAR1'!$A$4:$L$403,12,False)*$AC$19</f>
        <v>0.4019455104</v>
      </c>
      <c r="AM381" s="133">
        <f t="shared" si="2"/>
        <v>-2.11612954</v>
      </c>
      <c r="AN381" s="133">
        <f t="shared" si="3"/>
        <v>-4.121315909</v>
      </c>
    </row>
    <row r="382">
      <c r="A382" s="118" t="str">
        <f>IF(Update!B380="",ROW(Update!B380),Update!B380)</f>
        <v>Emoni Bates</v>
      </c>
      <c r="B382" s="119">
        <f>IF(TYPE($A382)=1,"",(Update!$L380-B$1)/B$2)</f>
        <v>-2.065571627</v>
      </c>
      <c r="C382" s="119">
        <f>IF(TYPE($A382)=1,"",(Update!$K380-C$1)/C$2)</f>
        <v>-0.7174687815</v>
      </c>
      <c r="D382" s="119">
        <f>IF(TYPE($A382)=1,"",(Update!$M380-D$1)/D$2)</f>
        <v>-1.71247878</v>
      </c>
      <c r="E382" s="119">
        <f>IF(TYPE($A382)=1,"",(Update!$N380-E$1)/E$2)</f>
        <v>-1.596840673</v>
      </c>
      <c r="F382" s="119">
        <f>IF(TYPE($A382)=1,"",(Update!$O380-F$1)/F$2)</f>
        <v>-2.475385541</v>
      </c>
      <c r="G382" s="119">
        <f>IF(TYPE($A382)=1,"",(Update!$P380-G$1)/G$2)</f>
        <v>-0.9404715375</v>
      </c>
      <c r="H382" s="119">
        <f>IF(TYPE($A382)=1,"",(Update!$H380-H$1)/H$2*I382/$I$1)</f>
        <v>-0.4793774457</v>
      </c>
      <c r="I382" s="119">
        <f>IF(TYPE($A382)=1,"",IF(Update!H380=0,0,Update!G380/Update!H380))</f>
        <v>4.5</v>
      </c>
      <c r="J382" s="120">
        <f>IF(TYPE($A382)=1,"",(Update!$J380-J$1)/J$2*K382/$K$1)</f>
        <v>0.0812827863</v>
      </c>
      <c r="K382" s="121">
        <f>IF(TYPE($A382)=1,"",IF(Update!J380=0,0,Update!I380/Update!J380))</f>
        <v>0.6</v>
      </c>
      <c r="L382" s="119">
        <f>IF(TYPE($A382)=1,"",-(Update!$Q380-L$1)/L$2)</f>
        <v>1.980337098</v>
      </c>
      <c r="N382" s="124">
        <v>362.0</v>
      </c>
      <c r="O382" s="130" t="str">
        <f>IF(Update!B362="",ROW(Update!B362),Update!B362)</f>
        <v>Garrison Mathews</v>
      </c>
      <c r="P382" s="131">
        <f>Update!E362</f>
        <v>30</v>
      </c>
      <c r="Q382" s="131" t="str">
        <f>IF(Update!C362="",ROW(Update!N377),Update!C362)</f>
        <v>SG,SF</v>
      </c>
      <c r="R382" s="127">
        <f>VLOOKUP($O382,'NO USAR1'!$A$4:$L$403,2,False)+VLOOKUP($O382,'NO USAR1'!$A$4:$L$403,3,False)+VLOOKUP($O382,'NO USAR1'!$A$4:$L$403,4,False)+VLOOKUP($O382,'NO USAR1'!$A$4:$L$403,5,False)+VLOOKUP($O382,'NO USAR1'!$A$4:$L$403,6,False)+VLOOKUP($O382,'NO USAR1'!$A$4:$L$403,7,False)+VLOOKUP($O382,'NO USAR1'!$A$4:$L$403,8,False)+VLOOKUP($O382,'NO USAR1'!$A$4:$L$403,10,False)+VLOOKUP($O382,'NO USAR1'!$A$4:$L$403,12,False)*0</f>
        <v>-9.702806483</v>
      </c>
      <c r="S382" s="127">
        <f>VLOOKUP($O382,'NO USAR1'!$A$4:$L$403,2,False)*$U$19+VLOOKUP($O382,'NO USAR1'!$A$4:$L$403,3,False)*$V$19+VLOOKUP($O382,'NO USAR1'!$A$4:$L$403,4,False)*$W$19+VLOOKUP($O382,'NO USAR1'!$A$4:$L$403,5,False)*$X$19+VLOOKUP($O382,'NO USAR1'!$A$4:$L$403,6,False)*$Y$19+VLOOKUP($O382,'NO USAR1'!$A$4:$L$403,7,False)*$Z$19+VLOOKUP($O382,'NO USAR1'!$A$4:$L$403,8,False)*$AA$19+VLOOKUP($O382,'NO USAR1'!$A$4:$L$403,10,False)*$AB$19+VLOOKUP($O382,'NO USAR1'!$A$4:$L$403,12,False)*$AC$19+IF(Projections!$K$3,-AN382, IF(Projections!$J$3,-AM382,0))</f>
        <v>-6.189889006</v>
      </c>
      <c r="T382" s="127">
        <f t="shared" si="1"/>
        <v>3.512917477</v>
      </c>
      <c r="U382" s="127">
        <f>VLOOKUP($O382,Update!$B$2:$R$401,11,False)</f>
        <v>4.4</v>
      </c>
      <c r="V382" s="122">
        <f>VLOOKUP($O382,Update!$B$2:$R$401,10,False)</f>
        <v>1</v>
      </c>
      <c r="W382" s="127">
        <f>VLOOKUP($O382,Update!$B$2:$R$401,12,False)</f>
        <v>1.3</v>
      </c>
      <c r="X382" s="127">
        <f>VLOOKUP($O382,Update!$B$2:$R$401,13,False)</f>
        <v>0.4</v>
      </c>
      <c r="Y382" s="127">
        <f>VLOOKUP($O382,Update!$B$2:$R$401,14,False)</f>
        <v>0.4</v>
      </c>
      <c r="Z382" s="132">
        <f>VLOOKUP($O382,Update!$B$2:$R$401,15,False)</f>
        <v>0.1</v>
      </c>
      <c r="AA382" s="127">
        <f>100*VLOOKUP($O382,Update!$B$2:$R$401,7,False)</f>
        <v>37.5</v>
      </c>
      <c r="AB382" s="127">
        <f>100*VLOOKUP($O382,Update!$B$2:$R$401,9,False)</f>
        <v>81.81818182</v>
      </c>
      <c r="AC382" s="127">
        <f>VLOOKUP($O382,Update!$B$2:$Q$401,16,False)</f>
        <v>0.3</v>
      </c>
      <c r="AD382" s="127">
        <f>VLOOKUP($O382,'NO USAR1'!$A$4:$L$403,2,False)*$U$19</f>
        <v>-2.166687453</v>
      </c>
      <c r="AE382" s="127">
        <f>VLOOKUP($O382,'NO USAR1'!$A$4:$L$403,3,False)*$V$19</f>
        <v>-0.5590090247</v>
      </c>
      <c r="AF382" s="127">
        <f>VLOOKUP($O382,'NO USAR1'!$A$4:$L$403,4,False)*$W$19</f>
        <v>-2.005186369</v>
      </c>
      <c r="AG382" s="127">
        <f>VLOOKUP($O382,'NO USAR1'!$A$4:$L$403,5,False)*$X$19</f>
        <v>-1.75652474</v>
      </c>
      <c r="AH382" s="127">
        <f>VLOOKUP($O382,'NO USAR1'!$A$4:$L$403,6,False)*$Y$19</f>
        <v>-1.296670077</v>
      </c>
      <c r="AI382" s="127">
        <f>VLOOKUP($O382,'NO USAR1'!$A$4:$L$403,7,False)*$Z$19</f>
        <v>-0.7896459159</v>
      </c>
      <c r="AJ382" s="127">
        <f>VLOOKUP($O382,'NO USAR1'!$A$4:$L$403,8,False)*$AA$19</f>
        <v>-0.3867107676</v>
      </c>
      <c r="AK382" s="132">
        <f>VLOOKUP($O382,'NO USAR1'!$A$4:$L$403,10,False)*$AB$19</f>
        <v>0.07772735943</v>
      </c>
      <c r="AL382" s="127">
        <f>VLOOKUP($O382,'NO USAR1'!$A$4:$L$403,12,False)*$AC$19</f>
        <v>0.5261305291</v>
      </c>
      <c r="AM382" s="133">
        <f t="shared" si="2"/>
        <v>-2.166687453</v>
      </c>
      <c r="AN382" s="133">
        <f t="shared" si="3"/>
        <v>-4.171873822</v>
      </c>
    </row>
    <row r="383">
      <c r="A383" s="118" t="str">
        <f>IF(Update!B381="",ROW(Update!B381),Update!B381)</f>
        <v>Jabari Walker</v>
      </c>
      <c r="B383" s="119">
        <f>IF(TYPE($A383)=1,"",(Update!$L381-B$1)/B$2)</f>
        <v>-2.200392728</v>
      </c>
      <c r="C383" s="119">
        <f>IF(TYPE($A383)=1,"",(Update!$K381-C$1)/C$2)</f>
        <v>-1.295554639</v>
      </c>
      <c r="D383" s="119">
        <f>IF(TYPE($A383)=1,"",(Update!$M381-D$1)/D$2)</f>
        <v>-1.545217301</v>
      </c>
      <c r="E383" s="119">
        <f>IF(TYPE($A383)=1,"",(Update!$N381-E$1)/E$2)</f>
        <v>-1.504108926</v>
      </c>
      <c r="F383" s="119">
        <f>IF(TYPE($A383)=1,"",(Update!$O381-F$1)/F$2)</f>
        <v>-2.475385541</v>
      </c>
      <c r="G383" s="119">
        <f>IF(TYPE($A383)=1,"",(Update!$P381-G$1)/G$2)</f>
        <v>-0.9404715375</v>
      </c>
      <c r="H383" s="119">
        <f>IF(TYPE($A383)=1,"",(Update!$H381-H$1)/H$2*I383/$I$1)</f>
        <v>-0.1499877816</v>
      </c>
      <c r="I383" s="119">
        <f>IF(TYPE($A383)=1,"",IF(Update!H381=0,0,Update!G381/Update!H381))</f>
        <v>3.7</v>
      </c>
      <c r="J383" s="120">
        <f>IF(TYPE($A383)=1,"",(Update!$J381-J$1)/J$2*K383/$K$1)</f>
        <v>-0.09905992065</v>
      </c>
      <c r="K383" s="121">
        <f>IF(TYPE($A383)=1,"",IF(Update!J381=0,0,Update!I381/Update!J381))</f>
        <v>0.8</v>
      </c>
      <c r="L383" s="119">
        <f>IF(TYPE($A383)=1,"",-(Update!$Q381-L$1)/L$2)</f>
        <v>1.856152079</v>
      </c>
      <c r="N383" s="124">
        <v>363.0</v>
      </c>
      <c r="O383" s="130" t="str">
        <f>IF(Update!B363="",ROW(Update!B363),Update!B363)</f>
        <v>Kenneth Lofton Jr.</v>
      </c>
      <c r="P383" s="131">
        <f>Update!E363</f>
        <v>34</v>
      </c>
      <c r="Q383" s="131" t="str">
        <f>IF(Update!C363="",ROW(Update!N378),Update!C363)</f>
        <v>PF,C</v>
      </c>
      <c r="R383" s="127">
        <f>VLOOKUP($O383,'NO USAR1'!$A$4:$L$403,2,False)+VLOOKUP($O383,'NO USAR1'!$A$4:$L$403,3,False)+VLOOKUP($O383,'NO USAR1'!$A$4:$L$403,4,False)+VLOOKUP($O383,'NO USAR1'!$A$4:$L$403,5,False)+VLOOKUP($O383,'NO USAR1'!$A$4:$L$403,6,False)+VLOOKUP($O383,'NO USAR1'!$A$4:$L$403,7,False)+VLOOKUP($O383,'NO USAR1'!$A$4:$L$403,8,False)+VLOOKUP($O383,'NO USAR1'!$A$4:$L$403,10,False)+VLOOKUP($O383,'NO USAR1'!$A$4:$L$403,12,False)*0</f>
        <v>-9.736451031</v>
      </c>
      <c r="S383" s="127">
        <f>VLOOKUP($O383,'NO USAR1'!$A$4:$L$403,2,False)*$U$19+VLOOKUP($O383,'NO USAR1'!$A$4:$L$403,3,False)*$V$19+VLOOKUP($O383,'NO USAR1'!$A$4:$L$403,4,False)*$W$19+VLOOKUP($O383,'NO USAR1'!$A$4:$L$403,5,False)*$X$19+VLOOKUP($O383,'NO USAR1'!$A$4:$L$403,6,False)*$Y$19+VLOOKUP($O383,'NO USAR1'!$A$4:$L$403,7,False)*$Z$19+VLOOKUP($O383,'NO USAR1'!$A$4:$L$403,8,False)*$AA$19+VLOOKUP($O383,'NO USAR1'!$A$4:$L$403,10,False)*$AB$19+VLOOKUP($O383,'NO USAR1'!$A$4:$L$403,12,False)*$AC$19+IF(Projections!$K$3,-AN383, IF(Projections!$J$3,-AM383,0))</f>
        <v>-6.408259802</v>
      </c>
      <c r="T383" s="127">
        <f t="shared" si="1"/>
        <v>3.328191229</v>
      </c>
      <c r="U383" s="127">
        <f>VLOOKUP($O383,Update!$B$2:$R$401,11,False)</f>
        <v>7</v>
      </c>
      <c r="V383" s="122">
        <f>VLOOKUP($O383,Update!$B$2:$R$401,10,False)</f>
        <v>0.4</v>
      </c>
      <c r="W383" s="127">
        <f>VLOOKUP($O383,Update!$B$2:$R$401,12,False)</f>
        <v>3</v>
      </c>
      <c r="X383" s="127">
        <f>VLOOKUP($O383,Update!$B$2:$R$401,13,False)</f>
        <v>1.2</v>
      </c>
      <c r="Y383" s="127">
        <f>VLOOKUP($O383,Update!$B$2:$R$401,14,False)</f>
        <v>0.3</v>
      </c>
      <c r="Z383" s="132">
        <f>VLOOKUP($O383,Update!$B$2:$R$401,15,False)</f>
        <v>0.1</v>
      </c>
      <c r="AA383" s="127">
        <f>100*VLOOKUP($O383,Update!$B$2:$R$401,7,False)</f>
        <v>51.85185185</v>
      </c>
      <c r="AB383" s="127">
        <f>100*VLOOKUP($O383,Update!$B$2:$R$401,9,False)</f>
        <v>56.25</v>
      </c>
      <c r="AC383" s="127">
        <f>VLOOKUP($O383,Update!$B$2:$Q$401,16,False)</f>
        <v>0.7</v>
      </c>
      <c r="AD383" s="127">
        <f>VLOOKUP($O383,'NO USAR1'!$A$4:$L$403,2,False)*$U$19</f>
        <v>-1.728518873</v>
      </c>
      <c r="AE383" s="127">
        <f>VLOOKUP($O383,'NO USAR1'!$A$4:$L$403,3,False)*$V$19</f>
        <v>-1.079286297</v>
      </c>
      <c r="AF383" s="127">
        <f>VLOOKUP($O383,'NO USAR1'!$A$4:$L$403,4,False)*$W$19</f>
        <v>-1.294325082</v>
      </c>
      <c r="AG383" s="127">
        <f>VLOOKUP($O383,'NO USAR1'!$A$4:$L$403,5,False)*$X$19</f>
        <v>-1.348505056</v>
      </c>
      <c r="AH383" s="127">
        <f>VLOOKUP($O383,'NO USAR1'!$A$4:$L$403,6,False)*$Y$19</f>
        <v>-1.514719978</v>
      </c>
      <c r="AI383" s="127">
        <f>VLOOKUP($O383,'NO USAR1'!$A$4:$L$403,7,False)*$Z$19</f>
        <v>-0.7896459159</v>
      </c>
      <c r="AJ383" s="127">
        <f>VLOOKUP($O383,'NO USAR1'!$A$4:$L$403,8,False)*$AA$19</f>
        <v>0.1215459773</v>
      </c>
      <c r="AK383" s="132">
        <f>VLOOKUP($O383,'NO USAR1'!$A$4:$L$403,10,False)*$AB$19</f>
        <v>-0.9052689616</v>
      </c>
      <c r="AL383" s="127">
        <f>VLOOKUP($O383,'NO USAR1'!$A$4:$L$403,12,False)*$AC$19</f>
        <v>0.4019455104</v>
      </c>
      <c r="AM383" s="133">
        <f t="shared" si="2"/>
        <v>-1.728518873</v>
      </c>
      <c r="AN383" s="133">
        <f t="shared" si="3"/>
        <v>-3.243238851</v>
      </c>
    </row>
    <row r="384">
      <c r="A384" s="118" t="str">
        <f>IF(Update!B382="",ROW(Update!B382),Update!B382)</f>
        <v>Bryce McGowens</v>
      </c>
      <c r="B384" s="119">
        <f>IF(TYPE($A384)=1,"",(Update!$L382-B$1)/B$2)</f>
        <v>-1.998161076</v>
      </c>
      <c r="C384" s="119">
        <f>IF(TYPE($A384)=1,"",(Update!$K382-C$1)/C$2)</f>
        <v>-1.00651171</v>
      </c>
      <c r="D384" s="119">
        <f>IF(TYPE($A384)=1,"",(Update!$M382-D$1)/D$2)</f>
        <v>-1.71247878</v>
      </c>
      <c r="E384" s="119">
        <f>IF(TYPE($A384)=1,"",(Update!$N382-E$1)/E$2)</f>
        <v>-1.225913687</v>
      </c>
      <c r="F384" s="119">
        <f>IF(TYPE($A384)=1,"",(Update!$O382-F$1)/F$2)</f>
        <v>-2.163885682</v>
      </c>
      <c r="G384" s="119">
        <f>IF(TYPE($A384)=1,"",(Update!$P382-G$1)/G$2)</f>
        <v>-1.128065594</v>
      </c>
      <c r="H384" s="119">
        <f>IF(TYPE($A384)=1,"",(Update!$H382-H$1)/H$2*I384/$I$1)</f>
        <v>-0.4243306123</v>
      </c>
      <c r="I384" s="119">
        <f>IF(TYPE($A384)=1,"",IF(Update!H382=0,0,Update!G382/Update!H382))</f>
        <v>4.4</v>
      </c>
      <c r="J384" s="120">
        <f>IF(TYPE($A384)=1,"",(Update!$J382-J$1)/J$2*K384/$K$1)</f>
        <v>-0.3784625483</v>
      </c>
      <c r="K384" s="121">
        <f>IF(TYPE($A384)=1,"",IF(Update!J382=0,0,Update!I382/Update!J382))</f>
        <v>1.8</v>
      </c>
      <c r="L384" s="119">
        <f>IF(TYPE($A384)=1,"",-(Update!$Q382-L$1)/L$2)</f>
        <v>1.359412004</v>
      </c>
      <c r="N384" s="33">
        <v>364.0</v>
      </c>
      <c r="O384" s="130" t="str">
        <f>IF(Update!B371="",ROW(Update!B371),Update!B371)</f>
        <v>Landry Shamet</v>
      </c>
      <c r="P384" s="131">
        <f>Update!E371</f>
        <v>50</v>
      </c>
      <c r="Q384" s="131" t="str">
        <f>IF(Update!C371="",ROW(Update!N386),Update!C371)</f>
        <v>PG,SG</v>
      </c>
      <c r="R384" s="127">
        <f>VLOOKUP($O384,'NO USAR1'!$A$4:$L$403,2,False)+VLOOKUP($O384,'NO USAR1'!$A$4:$L$403,3,False)+VLOOKUP($O384,'NO USAR1'!$A$4:$L$403,4,False)+VLOOKUP($O384,'NO USAR1'!$A$4:$L$403,5,False)+VLOOKUP($O384,'NO USAR1'!$A$4:$L$403,6,False)+VLOOKUP($O384,'NO USAR1'!$A$4:$L$403,7,False)+VLOOKUP($O384,'NO USAR1'!$A$4:$L$403,8,False)+VLOOKUP($O384,'NO USAR1'!$A$4:$L$403,10,False)+VLOOKUP($O384,'NO USAR1'!$A$4:$L$403,12,False)*0</f>
        <v>-9.757903993</v>
      </c>
      <c r="S384" s="127">
        <f>VLOOKUP($O384,'NO USAR1'!$A$4:$L$403,2,False)*$U$19+VLOOKUP($O384,'NO USAR1'!$A$4:$L$403,3,False)*$V$19+VLOOKUP($O384,'NO USAR1'!$A$4:$L$403,4,False)*$W$19+VLOOKUP($O384,'NO USAR1'!$A$4:$L$403,5,False)*$X$19+VLOOKUP($O384,'NO USAR1'!$A$4:$L$403,6,False)*$Y$19+VLOOKUP($O384,'NO USAR1'!$A$4:$L$403,7,False)*$Z$19+VLOOKUP($O384,'NO USAR1'!$A$4:$L$403,8,False)*$AA$19+VLOOKUP($O384,'NO USAR1'!$A$4:$L$403,10,False)*$AB$19+VLOOKUP($O384,'NO USAR1'!$A$4:$L$403,12,False)*$AC$19+IF(Projections!$K$3,-AN384, IF(Projections!$J$3,-AM384,0))</f>
        <v>-6.20108079</v>
      </c>
      <c r="T384" s="127">
        <f t="shared" si="1"/>
        <v>3.556823203</v>
      </c>
      <c r="U384" s="127">
        <f>VLOOKUP($O384,Update!$B$2:$R$401,11,False)</f>
        <v>4.7</v>
      </c>
      <c r="V384" s="122">
        <f>VLOOKUP($O384,Update!$B$2:$R$401,10,False)</f>
        <v>1</v>
      </c>
      <c r="W384" s="127">
        <f>VLOOKUP($O384,Update!$B$2:$R$401,12,False)</f>
        <v>1</v>
      </c>
      <c r="X384" s="127">
        <f>VLOOKUP($O384,Update!$B$2:$R$401,13,False)</f>
        <v>1</v>
      </c>
      <c r="Y384" s="127">
        <f>VLOOKUP($O384,Update!$B$2:$R$401,14,False)</f>
        <v>0.3</v>
      </c>
      <c r="Z384" s="132">
        <f>VLOOKUP($O384,Update!$B$2:$R$401,15,False)</f>
        <v>0.1</v>
      </c>
      <c r="AA384" s="127">
        <f>100*VLOOKUP($O384,Update!$B$2:$R$401,7,False)</f>
        <v>40</v>
      </c>
      <c r="AB384" s="127">
        <f>100*VLOOKUP($O384,Update!$B$2:$R$401,9,False)</f>
        <v>85.71428571</v>
      </c>
      <c r="AC384" s="127">
        <f>VLOOKUP($O384,Update!$B$2:$Q$401,16,False)</f>
        <v>0.4</v>
      </c>
      <c r="AD384" s="127">
        <f>VLOOKUP($O384,'NO USAR1'!$A$4:$L$403,2,False)*$U$19</f>
        <v>-2.11612954</v>
      </c>
      <c r="AE384" s="127">
        <f>VLOOKUP($O384,'NO USAR1'!$A$4:$L$403,3,False)*$V$19</f>
        <v>-0.5590090247</v>
      </c>
      <c r="AF384" s="127">
        <f>VLOOKUP($O384,'NO USAR1'!$A$4:$L$403,4,False)*$W$19</f>
        <v>-2.130632479</v>
      </c>
      <c r="AG384" s="127">
        <f>VLOOKUP($O384,'NO USAR1'!$A$4:$L$403,5,False)*$X$19</f>
        <v>-1.450509977</v>
      </c>
      <c r="AH384" s="127">
        <f>VLOOKUP($O384,'NO USAR1'!$A$4:$L$403,6,False)*$Y$19</f>
        <v>-1.514719978</v>
      </c>
      <c r="AI384" s="127">
        <f>VLOOKUP($O384,'NO USAR1'!$A$4:$L$403,7,False)*$Z$19</f>
        <v>-0.7896459159</v>
      </c>
      <c r="AJ384" s="127">
        <f>VLOOKUP($O384,'NO USAR1'!$A$4:$L$403,8,False)*$AA$19</f>
        <v>-0.3835019566</v>
      </c>
      <c r="AK384" s="132">
        <f>VLOOKUP($O384,'NO USAR1'!$A$4:$L$403,10,False)*$AB$19</f>
        <v>0.1173513277</v>
      </c>
      <c r="AL384" s="127">
        <f>VLOOKUP($O384,'NO USAR1'!$A$4:$L$403,12,False)*$AC$19</f>
        <v>0.4950842744</v>
      </c>
      <c r="AM384" s="133">
        <f t="shared" si="2"/>
        <v>-2.130632479</v>
      </c>
      <c r="AN384" s="133">
        <f t="shared" si="3"/>
        <v>-4.246762019</v>
      </c>
    </row>
    <row r="385">
      <c r="A385" s="118" t="str">
        <f>IF(Update!B383="",ROW(Update!B383),Update!B383)</f>
        <v>Robin Lopez</v>
      </c>
      <c r="B385" s="119">
        <f>IF(TYPE($A385)=1,"",(Update!$L383-B$1)/B$2)</f>
        <v>-2.149834815</v>
      </c>
      <c r="C385" s="119">
        <f>IF(TYPE($A385)=1,"",(Update!$K383-C$1)/C$2)</f>
        <v>-1.488249925</v>
      </c>
      <c r="D385" s="119">
        <f>IF(TYPE($A385)=1,"",(Update!$M383-D$1)/D$2)</f>
        <v>-1.62884804</v>
      </c>
      <c r="E385" s="119">
        <f>IF(TYPE($A385)=1,"",(Update!$N383-E$1)/E$2)</f>
        <v>-1.365011307</v>
      </c>
      <c r="F385" s="119">
        <f>IF(TYPE($A385)=1,"",(Update!$O383-F$1)/F$2)</f>
        <v>-2.786885399</v>
      </c>
      <c r="G385" s="119">
        <f>IF(TYPE($A385)=1,"",(Update!$P383-G$1)/G$2)</f>
        <v>-0.7528774808</v>
      </c>
      <c r="H385" s="119">
        <f>IF(TYPE($A385)=1,"",(Update!$H383-H$1)/H$2*I385/$I$1)</f>
        <v>0.3481077285</v>
      </c>
      <c r="I385" s="119">
        <f>IF(TYPE($A385)=1,"",IF(Update!H383=0,0,Update!G383/Update!H383))</f>
        <v>3.4</v>
      </c>
      <c r="J385" s="120">
        <f>IF(TYPE($A385)=1,"",(Update!$J383-J$1)/J$2*K385/$K$1)</f>
        <v>-0.3448090009</v>
      </c>
      <c r="K385" s="121">
        <f>IF(TYPE($A385)=1,"",IF(Update!J383=0,0,Update!I383/Update!J383))</f>
        <v>0.9</v>
      </c>
      <c r="L385" s="119">
        <f>IF(TYPE($A385)=1,"",-(Update!$Q383-L$1)/L$2)</f>
        <v>1.359412004</v>
      </c>
      <c r="N385" s="33">
        <v>365.0</v>
      </c>
      <c r="O385" s="130" t="str">
        <f>IF(Update!B359="",ROW(Update!B359),Update!B359)</f>
        <v>Goga Bitadze</v>
      </c>
      <c r="P385" s="131">
        <f>Update!E359</f>
        <v>30</v>
      </c>
      <c r="Q385" s="131" t="str">
        <f>IF(Update!C359="",ROW(Update!N374),Update!C359)</f>
        <v>C</v>
      </c>
      <c r="R385" s="127">
        <f>VLOOKUP($O385,'NO USAR1'!$A$4:$L$403,2,False)+VLOOKUP($O385,'NO USAR1'!$A$4:$L$403,3,False)+VLOOKUP($O385,'NO USAR1'!$A$4:$L$403,4,False)+VLOOKUP($O385,'NO USAR1'!$A$4:$L$403,5,False)+VLOOKUP($O385,'NO USAR1'!$A$4:$L$403,6,False)+VLOOKUP($O385,'NO USAR1'!$A$4:$L$403,7,False)+VLOOKUP($O385,'NO USAR1'!$A$4:$L$403,8,False)+VLOOKUP($O385,'NO USAR1'!$A$4:$L$403,10,False)+VLOOKUP($O385,'NO USAR1'!$A$4:$L$403,12,False)*0</f>
        <v>-9.785941511</v>
      </c>
      <c r="S385" s="127">
        <f>VLOOKUP($O385,'NO USAR1'!$A$4:$L$403,2,False)*$U$19+VLOOKUP($O385,'NO USAR1'!$A$4:$L$403,3,False)*$V$19+VLOOKUP($O385,'NO USAR1'!$A$4:$L$403,4,False)*$W$19+VLOOKUP($O385,'NO USAR1'!$A$4:$L$403,5,False)*$X$19+VLOOKUP($O385,'NO USAR1'!$A$4:$L$403,6,False)*$Y$19+VLOOKUP($O385,'NO USAR1'!$A$4:$L$403,7,False)*$Z$19+VLOOKUP($O385,'NO USAR1'!$A$4:$L$403,8,False)*$AA$19+VLOOKUP($O385,'NO USAR1'!$A$4:$L$403,10,False)*$AB$19+VLOOKUP($O385,'NO USAR1'!$A$4:$L$403,12,False)*$AC$19+IF(Projections!$K$3,-AN385, IF(Projections!$J$3,-AM385,0))</f>
        <v>-6.170000075</v>
      </c>
      <c r="T385" s="127">
        <f t="shared" si="1"/>
        <v>3.615941436</v>
      </c>
      <c r="U385" s="127">
        <f>VLOOKUP($O385,Update!$B$2:$R$401,11,False)</f>
        <v>3.7</v>
      </c>
      <c r="V385" s="122">
        <f>VLOOKUP($O385,Update!$B$2:$R$401,10,False)</f>
        <v>0.2</v>
      </c>
      <c r="W385" s="127">
        <f>VLOOKUP($O385,Update!$B$2:$R$401,12,False)</f>
        <v>2.3</v>
      </c>
      <c r="X385" s="127">
        <f>VLOOKUP($O385,Update!$B$2:$R$401,13,False)</f>
        <v>0.7</v>
      </c>
      <c r="Y385" s="127">
        <f>VLOOKUP($O385,Update!$B$2:$R$401,14,False)</f>
        <v>0.3</v>
      </c>
      <c r="Z385" s="132">
        <f>VLOOKUP($O385,Update!$B$2:$R$401,15,False)</f>
        <v>0.5</v>
      </c>
      <c r="AA385" s="127">
        <f>100*VLOOKUP($O385,Update!$B$2:$R$401,7,False)</f>
        <v>51.85185185</v>
      </c>
      <c r="AB385" s="127">
        <f>100*VLOOKUP($O385,Update!$B$2:$R$401,9,False)</f>
        <v>60</v>
      </c>
      <c r="AC385" s="127">
        <f>VLOOKUP($O385,Update!$B$2:$Q$401,16,False)</f>
        <v>0.5</v>
      </c>
      <c r="AD385" s="127">
        <f>VLOOKUP($O385,'NO USAR1'!$A$4:$L$403,2,False)*$U$19</f>
        <v>-2.284655917</v>
      </c>
      <c r="AE385" s="127">
        <f>VLOOKUP($O385,'NO USAR1'!$A$4:$L$403,3,False)*$V$19</f>
        <v>-1.252712054</v>
      </c>
      <c r="AF385" s="127">
        <f>VLOOKUP($O385,'NO USAR1'!$A$4:$L$403,4,False)*$W$19</f>
        <v>-1.587032671</v>
      </c>
      <c r="AG385" s="127">
        <f>VLOOKUP($O385,'NO USAR1'!$A$4:$L$403,5,False)*$X$19</f>
        <v>-1.603517358</v>
      </c>
      <c r="AH385" s="127">
        <f>VLOOKUP($O385,'NO USAR1'!$A$4:$L$403,6,False)*$Y$19</f>
        <v>-1.514719978</v>
      </c>
      <c r="AI385" s="127">
        <f>VLOOKUP($O385,'NO USAR1'!$A$4:$L$403,7,False)*$Z$19</f>
        <v>-0.2643825572</v>
      </c>
      <c r="AJ385" s="127">
        <f>VLOOKUP($O385,'NO USAR1'!$A$4:$L$403,8,False)*$AA$19</f>
        <v>0.06077298867</v>
      </c>
      <c r="AK385" s="132">
        <f>VLOOKUP($O385,'NO USAR1'!$A$4:$L$403,10,False)*$AB$19</f>
        <v>-0.4724464649</v>
      </c>
      <c r="AL385" s="127">
        <f>VLOOKUP($O385,'NO USAR1'!$A$4:$L$403,12,False)*$AC$19</f>
        <v>0.4640380197</v>
      </c>
      <c r="AM385" s="133">
        <f t="shared" si="2"/>
        <v>-2.284655917</v>
      </c>
      <c r="AN385" s="133">
        <f t="shared" si="3"/>
        <v>-3.888173275</v>
      </c>
    </row>
    <row r="386">
      <c r="A386" s="118" t="str">
        <f>IF(Update!B384="",ROW(Update!B384),Update!B384)</f>
        <v>Jeff Green</v>
      </c>
      <c r="B386" s="119">
        <f>IF(TYPE($A386)=1,"",(Update!$L384-B$1)/B$2)</f>
        <v>-2.166687453</v>
      </c>
      <c r="C386" s="119">
        <f>IF(TYPE($A386)=1,"",(Update!$K384-C$1)/C$2)</f>
        <v>-1.295554639</v>
      </c>
      <c r="D386" s="119">
        <f>IF(TYPE($A386)=1,"",(Update!$M384-D$1)/D$2)</f>
        <v>-1.963370999</v>
      </c>
      <c r="E386" s="119">
        <f>IF(TYPE($A386)=1,"",(Update!$N384-E$1)/E$2)</f>
        <v>-1.504108926</v>
      </c>
      <c r="F386" s="119">
        <f>IF(TYPE($A386)=1,"",(Update!$O384-F$1)/F$2)</f>
        <v>-2.475385541</v>
      </c>
      <c r="G386" s="119">
        <f>IF(TYPE($A386)=1,"",(Update!$P384-G$1)/G$2)</f>
        <v>-0.9404715375</v>
      </c>
      <c r="H386" s="119">
        <f>IF(TYPE($A386)=1,"",(Update!$H384-H$1)/H$2*I386/$I$1)</f>
        <v>0.06930821575</v>
      </c>
      <c r="I386" s="119">
        <f>IF(TYPE($A386)=1,"",IF(Update!H384=0,0,Update!G384/Update!H384))</f>
        <v>3.1</v>
      </c>
      <c r="J386" s="120">
        <f>IF(TYPE($A386)=1,"",(Update!$J384-J$1)/J$2*K386/$K$1)</f>
        <v>0.09715919929</v>
      </c>
      <c r="K386" s="121">
        <f>IF(TYPE($A386)=1,"",IF(Update!J384=0,0,Update!I384/Update!J384))</f>
        <v>1.1</v>
      </c>
      <c r="L386" s="119">
        <f>IF(TYPE($A386)=1,"",-(Update!$Q384-L$1)/L$2)</f>
        <v>1.980337098</v>
      </c>
      <c r="N386" s="124">
        <v>366.0</v>
      </c>
      <c r="O386" s="130" t="str">
        <f>IF(Update!B349="",ROW(Update!B349),Update!B349)</f>
        <v>JaVale McGee</v>
      </c>
      <c r="P386" s="131">
        <f>Update!E349</f>
        <v>10</v>
      </c>
      <c r="Q386" s="131" t="str">
        <f>IF(Update!C349="",ROW(Update!N364),Update!C349)</f>
        <v>C</v>
      </c>
      <c r="R386" s="127">
        <f>VLOOKUP($O386,'NO USAR1'!$A$4:$L$403,2,False)+VLOOKUP($O386,'NO USAR1'!$A$4:$L$403,3,False)+VLOOKUP($O386,'NO USAR1'!$A$4:$L$403,4,False)+VLOOKUP($O386,'NO USAR1'!$A$4:$L$403,5,False)+VLOOKUP($O386,'NO USAR1'!$A$4:$L$403,6,False)+VLOOKUP($O386,'NO USAR1'!$A$4:$L$403,7,False)+VLOOKUP($O386,'NO USAR1'!$A$4:$L$403,8,False)+VLOOKUP($O386,'NO USAR1'!$A$4:$L$403,10,False)+VLOOKUP($O386,'NO USAR1'!$A$4:$L$403,12,False)*0</f>
        <v>-9.830533803</v>
      </c>
      <c r="S386" s="127">
        <f>VLOOKUP($O386,'NO USAR1'!$A$4:$L$403,2,False)*$U$19+VLOOKUP($O386,'NO USAR1'!$A$4:$L$403,3,False)*$V$19+VLOOKUP($O386,'NO USAR1'!$A$4:$L$403,4,False)*$W$19+VLOOKUP($O386,'NO USAR1'!$A$4:$L$403,5,False)*$X$19+VLOOKUP($O386,'NO USAR1'!$A$4:$L$403,6,False)*$Y$19+VLOOKUP($O386,'NO USAR1'!$A$4:$L$403,7,False)*$Z$19+VLOOKUP($O386,'NO USAR1'!$A$4:$L$403,8,False)*$AA$19+VLOOKUP($O386,'NO USAR1'!$A$4:$L$403,10,False)*$AB$19+VLOOKUP($O386,'NO USAR1'!$A$4:$L$403,12,False)*$AC$19+IF(Projections!$K$3,-AN386, IF(Projections!$J$3,-AM386,0))</f>
        <v>-6.25585942</v>
      </c>
      <c r="T386" s="127">
        <f t="shared" si="1"/>
        <v>3.574674382</v>
      </c>
      <c r="U386" s="127">
        <f>VLOOKUP($O386,Update!$B$2:$R$401,11,False)</f>
        <v>4.2</v>
      </c>
      <c r="V386" s="122">
        <f>VLOOKUP($O386,Update!$B$2:$R$401,10,False)</f>
        <v>0</v>
      </c>
      <c r="W386" s="127">
        <f>VLOOKUP($O386,Update!$B$2:$R$401,12,False)</f>
        <v>3</v>
      </c>
      <c r="X386" s="127">
        <f>VLOOKUP($O386,Update!$B$2:$R$401,13,False)</f>
        <v>0.3</v>
      </c>
      <c r="Y386" s="127">
        <f>VLOOKUP($O386,Update!$B$2:$R$401,14,False)</f>
        <v>0.1</v>
      </c>
      <c r="Z386" s="132">
        <f>VLOOKUP($O386,Update!$B$2:$R$401,15,False)</f>
        <v>0.5</v>
      </c>
      <c r="AA386" s="127">
        <f>100*VLOOKUP($O386,Update!$B$2:$R$401,7,False)</f>
        <v>62.06896552</v>
      </c>
      <c r="AB386" s="127">
        <f>100*VLOOKUP($O386,Update!$B$2:$R$401,9,False)</f>
        <v>66.66666667</v>
      </c>
      <c r="AC386" s="127">
        <f>VLOOKUP($O386,Update!$B$2:$Q$401,16,False)</f>
        <v>0.7</v>
      </c>
      <c r="AD386" s="127">
        <f>VLOOKUP($O386,'NO USAR1'!$A$4:$L$403,2,False)*$U$19</f>
        <v>-2.200392728</v>
      </c>
      <c r="AE386" s="127">
        <f>VLOOKUP($O386,'NO USAR1'!$A$4:$L$403,3,False)*$V$19</f>
        <v>-1.426137812</v>
      </c>
      <c r="AF386" s="127">
        <f>VLOOKUP($O386,'NO USAR1'!$A$4:$L$403,4,False)*$W$19</f>
        <v>-1.294325082</v>
      </c>
      <c r="AG386" s="127">
        <f>VLOOKUP($O386,'NO USAR1'!$A$4:$L$403,5,False)*$X$19</f>
        <v>-1.807527201</v>
      </c>
      <c r="AH386" s="127">
        <f>VLOOKUP($O386,'NO USAR1'!$A$4:$L$403,6,False)*$Y$19</f>
        <v>-1.950819779</v>
      </c>
      <c r="AI386" s="127">
        <f>VLOOKUP($O386,'NO USAR1'!$A$4:$L$403,7,False)*$Z$19</f>
        <v>-0.2643825572</v>
      </c>
      <c r="AJ386" s="127">
        <f>VLOOKUP($O386,'NO USAR1'!$A$4:$L$403,8,False)*$AA$19</f>
        <v>0.3612347002</v>
      </c>
      <c r="AK386" s="132">
        <f>VLOOKUP($O386,'NO USAR1'!$A$4:$L$403,10,False)*$AB$19</f>
        <v>-0.2758472007</v>
      </c>
      <c r="AL386" s="127">
        <f>VLOOKUP($O386,'NO USAR1'!$A$4:$L$403,12,False)*$AC$19</f>
        <v>0.4019455104</v>
      </c>
      <c r="AM386" s="133">
        <f t="shared" si="2"/>
        <v>-2.200392728</v>
      </c>
      <c r="AN386" s="133">
        <f t="shared" si="3"/>
        <v>-4.151212508</v>
      </c>
    </row>
    <row r="387">
      <c r="A387" s="118" t="str">
        <f>IF(Update!B385="",ROW(Update!B385),Update!B385)</f>
        <v>Julian Strawther</v>
      </c>
      <c r="B387" s="119">
        <f>IF(TYPE($A387)=1,"",(Update!$L385-B$1)/B$2)</f>
        <v>-2.132982178</v>
      </c>
      <c r="C387" s="119">
        <f>IF(TYPE($A387)=1,"",(Update!$K385-C$1)/C$2)</f>
        <v>-0.8138164245</v>
      </c>
      <c r="D387" s="119">
        <f>IF(TYPE($A387)=1,"",(Update!$M385-D$1)/D$2)</f>
        <v>-1.83792489</v>
      </c>
      <c r="E387" s="119">
        <f>IF(TYPE($A387)=1,"",(Update!$N385-E$1)/E$2)</f>
        <v>-1.596840673</v>
      </c>
      <c r="F387" s="119">
        <f>IF(TYPE($A387)=1,"",(Update!$O385-F$1)/F$2)</f>
        <v>-2.475385541</v>
      </c>
      <c r="G387" s="119">
        <f>IF(TYPE($A387)=1,"",(Update!$P385-G$1)/G$2)</f>
        <v>-1.128065594</v>
      </c>
      <c r="H387" s="119">
        <f>IF(TYPE($A387)=1,"",(Update!$H385-H$1)/H$2*I387/$I$1)</f>
        <v>-0.2600814484</v>
      </c>
      <c r="I387" s="119">
        <f>IF(TYPE($A387)=1,"",IF(Update!H385=0,0,Update!G385/Update!H385))</f>
        <v>3.9</v>
      </c>
      <c r="J387" s="120">
        <f>IF(TYPE($A387)=1,"",(Update!$J385-J$1)/J$2*K387/$K$1)</f>
        <v>-0.2298726673</v>
      </c>
      <c r="K387" s="121">
        <f>IF(TYPE($A387)=1,"",IF(Update!J385=0,0,Update!I385/Update!J385))</f>
        <v>0.6</v>
      </c>
      <c r="L387" s="119">
        <f>IF(TYPE($A387)=1,"",-(Update!$Q385-L$1)/L$2)</f>
        <v>2.104522116</v>
      </c>
      <c r="N387" s="124">
        <v>367.0</v>
      </c>
      <c r="O387" s="130" t="str">
        <f>IF(Update!B379="",ROW(Update!B379),Update!B379)</f>
        <v>Malachi Flynn</v>
      </c>
      <c r="P387" s="131">
        <f>Update!E379</f>
        <v>60</v>
      </c>
      <c r="Q387" s="131" t="str">
        <f>IF(Update!C379="",ROW(Update!N394),Update!C379)</f>
        <v>PG</v>
      </c>
      <c r="R387" s="127">
        <f>VLOOKUP($O387,'NO USAR1'!$A$4:$L$403,2,False)+VLOOKUP($O387,'NO USAR1'!$A$4:$L$403,3,False)+VLOOKUP($O387,'NO USAR1'!$A$4:$L$403,4,False)+VLOOKUP($O387,'NO USAR1'!$A$4:$L$403,5,False)+VLOOKUP($O387,'NO USAR1'!$A$4:$L$403,6,False)+VLOOKUP($O387,'NO USAR1'!$A$4:$L$403,7,False)+VLOOKUP($O387,'NO USAR1'!$A$4:$L$403,8,False)+VLOOKUP($O387,'NO USAR1'!$A$4:$L$403,10,False)+VLOOKUP($O387,'NO USAR1'!$A$4:$L$403,12,False)*0</f>
        <v>-9.840440493</v>
      </c>
      <c r="S387" s="127">
        <f>VLOOKUP($O387,'NO USAR1'!$A$4:$L$403,2,False)*$U$19+VLOOKUP($O387,'NO USAR1'!$A$4:$L$403,3,False)*$V$19+VLOOKUP($O387,'NO USAR1'!$A$4:$L$403,4,False)*$W$19+VLOOKUP($O387,'NO USAR1'!$A$4:$L$403,5,False)*$X$19+VLOOKUP($O387,'NO USAR1'!$A$4:$L$403,6,False)*$Y$19+VLOOKUP($O387,'NO USAR1'!$A$4:$L$403,7,False)*$Z$19+VLOOKUP($O387,'NO USAR1'!$A$4:$L$403,8,False)*$AA$19+VLOOKUP($O387,'NO USAR1'!$A$4:$L$403,10,False)*$AB$19+VLOOKUP($O387,'NO USAR1'!$A$4:$L$403,12,False)*$AC$19+IF(Projections!$K$3,-AN387, IF(Projections!$J$3,-AM387,0))</f>
        <v>-6.200022025</v>
      </c>
      <c r="T387" s="127">
        <f t="shared" si="1"/>
        <v>3.640418468</v>
      </c>
      <c r="U387" s="127">
        <f>VLOOKUP($O387,Update!$B$2:$R$401,11,False)</f>
        <v>4.3</v>
      </c>
      <c r="V387" s="122">
        <f>VLOOKUP($O387,Update!$B$2:$R$401,10,False)</f>
        <v>0.8</v>
      </c>
      <c r="W387" s="127">
        <f>VLOOKUP($O387,Update!$B$2:$R$401,12,False)</f>
        <v>1.4</v>
      </c>
      <c r="X387" s="127">
        <f>VLOOKUP($O387,Update!$B$2:$R$401,13,False)</f>
        <v>1.4</v>
      </c>
      <c r="Y387" s="127">
        <f>VLOOKUP($O387,Update!$B$2:$R$401,14,False)</f>
        <v>0.4</v>
      </c>
      <c r="Z387" s="132">
        <f>VLOOKUP($O387,Update!$B$2:$R$401,15,False)</f>
        <v>0.1</v>
      </c>
      <c r="AA387" s="127">
        <f>100*VLOOKUP($O387,Update!$B$2:$R$401,7,False)</f>
        <v>38.0952381</v>
      </c>
      <c r="AB387" s="127">
        <f>100*VLOOKUP($O387,Update!$B$2:$R$401,9,False)</f>
        <v>66.66666667</v>
      </c>
      <c r="AC387" s="127">
        <f>VLOOKUP($O387,Update!$B$2:$Q$401,16,False)</f>
        <v>0.4</v>
      </c>
      <c r="AD387" s="127">
        <f>VLOOKUP($O387,'NO USAR1'!$A$4:$L$403,2,False)*$U$19</f>
        <v>-2.183540091</v>
      </c>
      <c r="AE387" s="127">
        <f>VLOOKUP($O387,'NO USAR1'!$A$4:$L$403,3,False)*$V$19</f>
        <v>-0.7324347821</v>
      </c>
      <c r="AF387" s="127">
        <f>VLOOKUP($O387,'NO USAR1'!$A$4:$L$403,4,False)*$W$19</f>
        <v>-1.963370999</v>
      </c>
      <c r="AG387" s="127">
        <f>VLOOKUP($O387,'NO USAR1'!$A$4:$L$403,5,False)*$X$19</f>
        <v>-1.246500135</v>
      </c>
      <c r="AH387" s="127">
        <f>VLOOKUP($O387,'NO USAR1'!$A$4:$L$403,6,False)*$Y$19</f>
        <v>-1.296670077</v>
      </c>
      <c r="AI387" s="127">
        <f>VLOOKUP($O387,'NO USAR1'!$A$4:$L$403,7,False)*$Z$19</f>
        <v>-0.7896459159</v>
      </c>
      <c r="AJ387" s="127">
        <f>VLOOKUP($O387,'NO USAR1'!$A$4:$L$403,8,False)*$AA$19</f>
        <v>-0.4825862567</v>
      </c>
      <c r="AK387" s="132">
        <f>VLOOKUP($O387,'NO USAR1'!$A$4:$L$403,10,False)*$AB$19</f>
        <v>-0.1838981338</v>
      </c>
      <c r="AL387" s="127">
        <f>VLOOKUP($O387,'NO USAR1'!$A$4:$L$403,12,False)*$AC$19</f>
        <v>0.4950842744</v>
      </c>
      <c r="AM387" s="133">
        <f t="shared" si="2"/>
        <v>-2.183540091</v>
      </c>
      <c r="AN387" s="133">
        <f t="shared" si="3"/>
        <v>-4.14691109</v>
      </c>
    </row>
    <row r="388">
      <c r="A388" s="118" t="str">
        <f>IF(Update!B386="",ROW(Update!B386),Update!B386)</f>
        <v>Cody Zeller</v>
      </c>
      <c r="B388" s="119">
        <f>IF(TYPE($A388)=1,"",(Update!$L386-B$1)/B$2)</f>
        <v>-2.318361192</v>
      </c>
      <c r="C388" s="119">
        <f>IF(TYPE($A388)=1,"",(Update!$K386-C$1)/C$2)</f>
        <v>-1.584597568</v>
      </c>
      <c r="D388" s="119">
        <f>IF(TYPE($A388)=1,"",(Update!$M386-D$1)/D$2)</f>
        <v>-1.377955821</v>
      </c>
      <c r="E388" s="119">
        <f>IF(TYPE($A388)=1,"",(Update!$N386-E$1)/E$2)</f>
        <v>-1.5504748</v>
      </c>
      <c r="F388" s="119">
        <f>IF(TYPE($A388)=1,"",(Update!$O386-F$1)/F$2)</f>
        <v>-2.475385541</v>
      </c>
      <c r="G388" s="119">
        <f>IF(TYPE($A388)=1,"",(Update!$P386-G$1)/G$2)</f>
        <v>-0.9404715375</v>
      </c>
      <c r="H388" s="119">
        <f>IF(TYPE($A388)=1,"",(Update!$H386-H$1)/H$2*I388/$I$1)</f>
        <v>0.2317747068</v>
      </c>
      <c r="I388" s="119">
        <f>IF(TYPE($A388)=1,"",IF(Update!H386=0,0,Update!G386/Update!H386))</f>
        <v>2.2</v>
      </c>
      <c r="J388" s="120">
        <f>IF(TYPE($A388)=1,"",(Update!$J386-J$1)/J$2*K388/$K$1)</f>
        <v>-0.3943389612</v>
      </c>
      <c r="K388" s="121">
        <f>IF(TYPE($A388)=1,"",IF(Update!J386=0,0,Update!I386/Update!J386))</f>
        <v>1.3</v>
      </c>
      <c r="L388" s="119">
        <f>IF(TYPE($A388)=1,"",-(Update!$Q386-L$1)/L$2)</f>
        <v>1.856152079</v>
      </c>
      <c r="N388" s="33">
        <v>368.0</v>
      </c>
      <c r="O388" s="130" t="str">
        <f>IF(Update!B378="",ROW(Update!B378),Update!B378)</f>
        <v>Patrick Baldwin Jr.</v>
      </c>
      <c r="P388" s="131">
        <f>Update!E378</f>
        <v>40</v>
      </c>
      <c r="Q388" s="131" t="str">
        <f>IF(Update!C378="",ROW(Update!N393),Update!C378)</f>
        <v>SF,PF</v>
      </c>
      <c r="R388" s="127">
        <f>VLOOKUP($O388,'NO USAR1'!$A$4:$L$403,2,False)+VLOOKUP($O388,'NO USAR1'!$A$4:$L$403,3,False)+VLOOKUP($O388,'NO USAR1'!$A$4:$L$403,4,False)+VLOOKUP($O388,'NO USAR1'!$A$4:$L$403,5,False)+VLOOKUP($O388,'NO USAR1'!$A$4:$L$403,6,False)+VLOOKUP($O388,'NO USAR1'!$A$4:$L$403,7,False)+VLOOKUP($O388,'NO USAR1'!$A$4:$L$403,8,False)+VLOOKUP($O388,'NO USAR1'!$A$4:$L$403,10,False)+VLOOKUP($O388,'NO USAR1'!$A$4:$L$403,12,False)*0</f>
        <v>-9.846008782</v>
      </c>
      <c r="S388" s="127">
        <f>VLOOKUP($O388,'NO USAR1'!$A$4:$L$403,2,False)*$U$19+VLOOKUP($O388,'NO USAR1'!$A$4:$L$403,3,False)*$V$19+VLOOKUP($O388,'NO USAR1'!$A$4:$L$403,4,False)*$W$19+VLOOKUP($O388,'NO USAR1'!$A$4:$L$403,5,False)*$X$19+VLOOKUP($O388,'NO USAR1'!$A$4:$L$403,6,False)*$Y$19+VLOOKUP($O388,'NO USAR1'!$A$4:$L$403,7,False)*$Z$19+VLOOKUP($O388,'NO USAR1'!$A$4:$L$403,8,False)*$AA$19+VLOOKUP($O388,'NO USAR1'!$A$4:$L$403,10,False)*$AB$19+VLOOKUP($O388,'NO USAR1'!$A$4:$L$403,12,False)*$AC$19+IF(Projections!$K$3,-AN388, IF(Projections!$J$3,-AM388,0))</f>
        <v>-6.288073226</v>
      </c>
      <c r="T388" s="127">
        <f t="shared" si="1"/>
        <v>3.557935556</v>
      </c>
      <c r="U388" s="127">
        <f>VLOOKUP($O388,Update!$B$2:$R$401,11,False)</f>
        <v>4.6</v>
      </c>
      <c r="V388" s="122">
        <f>VLOOKUP($O388,Update!$B$2:$R$401,10,False)</f>
        <v>1.2</v>
      </c>
      <c r="W388" s="127">
        <f>VLOOKUP($O388,Update!$B$2:$R$401,12,False)</f>
        <v>1.5</v>
      </c>
      <c r="X388" s="127">
        <f>VLOOKUP($O388,Update!$B$2:$R$401,13,False)</f>
        <v>0.4</v>
      </c>
      <c r="Y388" s="127">
        <f>VLOOKUP($O388,Update!$B$2:$R$401,14,False)</f>
        <v>0.2</v>
      </c>
      <c r="Z388" s="132">
        <f>VLOOKUP($O388,Update!$B$2:$R$401,15,False)</f>
        <v>0.2</v>
      </c>
      <c r="AA388" s="127">
        <f>100*VLOOKUP($O388,Update!$B$2:$R$401,7,False)</f>
        <v>39.02439024</v>
      </c>
      <c r="AB388" s="127">
        <f>100*VLOOKUP($O388,Update!$B$2:$R$401,9,False)</f>
        <v>100</v>
      </c>
      <c r="AC388" s="127">
        <f>VLOOKUP($O388,Update!$B$2:$Q$401,16,False)</f>
        <v>0.4</v>
      </c>
      <c r="AD388" s="127">
        <f>VLOOKUP($O388,'NO USAR1'!$A$4:$L$403,2,False)*$U$19</f>
        <v>-2.132982178</v>
      </c>
      <c r="AE388" s="127">
        <f>VLOOKUP($O388,'NO USAR1'!$A$4:$L$403,3,False)*$V$19</f>
        <v>-0.3855832673</v>
      </c>
      <c r="AF388" s="127">
        <f>VLOOKUP($O388,'NO USAR1'!$A$4:$L$403,4,False)*$W$19</f>
        <v>-1.921555629</v>
      </c>
      <c r="AG388" s="127">
        <f>VLOOKUP($O388,'NO USAR1'!$A$4:$L$403,5,False)*$X$19</f>
        <v>-1.75652474</v>
      </c>
      <c r="AH388" s="127">
        <f>VLOOKUP($O388,'NO USAR1'!$A$4:$L$403,6,False)*$Y$19</f>
        <v>-1.732769878</v>
      </c>
      <c r="AI388" s="127">
        <f>VLOOKUP($O388,'NO USAR1'!$A$4:$L$403,7,False)*$Z$19</f>
        <v>-0.6583300762</v>
      </c>
      <c r="AJ388" s="127">
        <f>VLOOKUP($O388,'NO USAR1'!$A$4:$L$403,8,False)*$AA$19</f>
        <v>-0.4330441067</v>
      </c>
      <c r="AK388" s="132">
        <f>VLOOKUP($O388,'NO USAR1'!$A$4:$L$403,10,False)*$AB$19</f>
        <v>0.1046501973</v>
      </c>
      <c r="AL388" s="127">
        <f>VLOOKUP($O388,'NO USAR1'!$A$4:$L$403,12,False)*$AC$19</f>
        <v>0.4950842744</v>
      </c>
      <c r="AM388" s="133">
        <f t="shared" si="2"/>
        <v>-2.132982178</v>
      </c>
      <c r="AN388" s="133">
        <f t="shared" si="3"/>
        <v>-4.054537807</v>
      </c>
    </row>
    <row r="389">
      <c r="A389" s="118" t="str">
        <f>IF(Update!B387="",ROW(Update!B387),Update!B387)</f>
        <v>Alex Len</v>
      </c>
      <c r="B389" s="119">
        <f>IF(TYPE($A389)=1,"",(Update!$L387-B$1)/B$2)</f>
        <v>-2.402624381</v>
      </c>
      <c r="C389" s="119">
        <f>IF(TYPE($A389)=1,"",(Update!$K387-C$1)/C$2)</f>
        <v>-1.488249925</v>
      </c>
      <c r="D389" s="119">
        <f>IF(TYPE($A389)=1,"",(Update!$M387-D$1)/D$2)</f>
        <v>-1.545217301</v>
      </c>
      <c r="E389" s="119">
        <f>IF(TYPE($A389)=1,"",(Update!$N387-E$1)/E$2)</f>
        <v>-1.504108926</v>
      </c>
      <c r="F389" s="119">
        <f>IF(TYPE($A389)=1,"",(Update!$O387-F$1)/F$2)</f>
        <v>-2.475385541</v>
      </c>
      <c r="G389" s="119">
        <f>IF(TYPE($A389)=1,"",(Update!$P387-G$1)/G$2)</f>
        <v>-0.5652834241</v>
      </c>
      <c r="H389" s="119">
        <f>IF(TYPE($A389)=1,"",(Update!$H387-H$1)/H$2*I389/$I$1)</f>
        <v>0.1207897036</v>
      </c>
      <c r="I389" s="119">
        <f>IF(TYPE($A389)=1,"",IF(Update!H387=0,0,Update!G387/Update!H387))</f>
        <v>2.2</v>
      </c>
      <c r="J389" s="120">
        <f>IF(TYPE($A389)=1,"",(Update!$J387-J$1)/J$2*K389/$K$1)</f>
        <v>-0.3448090009</v>
      </c>
      <c r="K389" s="121">
        <f>IF(TYPE($A389)=1,"",IF(Update!J387=0,0,Update!I387/Update!J387))</f>
        <v>0.9</v>
      </c>
      <c r="L389" s="119">
        <f>IF(TYPE($A389)=1,"",-(Update!$Q387-L$1)/L$2)</f>
        <v>1.73196706</v>
      </c>
      <c r="N389" s="33">
        <v>369.0</v>
      </c>
      <c r="O389" s="130" t="str">
        <f>IF(Update!B394="",ROW(Update!B394),Update!B394)</f>
        <v>Simone Fontecchio</v>
      </c>
      <c r="P389" s="131">
        <f>Update!E394</f>
        <v>40</v>
      </c>
      <c r="Q389" s="131" t="str">
        <f>IF(Update!C394="",ROW(Update!N409),Update!C394)</f>
        <v>SF</v>
      </c>
      <c r="R389" s="127">
        <f>VLOOKUP($O389,'NO USAR1'!$A$4:$L$403,2,False)+VLOOKUP($O389,'NO USAR1'!$A$4:$L$403,3,False)+VLOOKUP($O389,'NO USAR1'!$A$4:$L$403,4,False)+VLOOKUP($O389,'NO USAR1'!$A$4:$L$403,5,False)+VLOOKUP($O389,'NO USAR1'!$A$4:$L$403,6,False)+VLOOKUP($O389,'NO USAR1'!$A$4:$L$403,7,False)+VLOOKUP($O389,'NO USAR1'!$A$4:$L$403,8,False)+VLOOKUP($O389,'NO USAR1'!$A$4:$L$403,10,False)+VLOOKUP($O389,'NO USAR1'!$A$4:$L$403,12,False)*0</f>
        <v>-9.884331827</v>
      </c>
      <c r="S389" s="127">
        <f>VLOOKUP($O389,'NO USAR1'!$A$4:$L$403,2,False)*$U$19+VLOOKUP($O389,'NO USAR1'!$A$4:$L$403,3,False)*$V$19+VLOOKUP($O389,'NO USAR1'!$A$4:$L$403,4,False)*$W$19+VLOOKUP($O389,'NO USAR1'!$A$4:$L$403,5,False)*$X$19+VLOOKUP($O389,'NO USAR1'!$A$4:$L$403,6,False)*$Y$19+VLOOKUP($O389,'NO USAR1'!$A$4:$L$403,7,False)*$Z$19+VLOOKUP($O389,'NO USAR1'!$A$4:$L$403,8,False)*$AA$19+VLOOKUP($O389,'NO USAR1'!$A$4:$L$403,10,False)*$AB$19+VLOOKUP($O389,'NO USAR1'!$A$4:$L$403,12,False)*$AC$19+IF(Projections!$K$3,-AN389, IF(Projections!$J$3,-AM389,0))</f>
        <v>-6.508726282</v>
      </c>
      <c r="T389" s="127">
        <f t="shared" si="1"/>
        <v>3.375605545</v>
      </c>
      <c r="U389" s="127">
        <f>VLOOKUP($O389,Update!$B$2:$R$401,11,False)</f>
        <v>5.4</v>
      </c>
      <c r="V389" s="122">
        <f>VLOOKUP($O389,Update!$B$2:$R$401,10,False)</f>
        <v>1</v>
      </c>
      <c r="W389" s="127">
        <f>VLOOKUP($O389,Update!$B$2:$R$401,12,False)</f>
        <v>1.4</v>
      </c>
      <c r="X389" s="127">
        <f>VLOOKUP($O389,Update!$B$2:$R$401,13,False)</f>
        <v>0.7</v>
      </c>
      <c r="Y389" s="127">
        <f>VLOOKUP($O389,Update!$B$2:$R$401,14,False)</f>
        <v>0.3</v>
      </c>
      <c r="Z389" s="132">
        <f>VLOOKUP($O389,Update!$B$2:$R$401,15,False)</f>
        <v>0.1</v>
      </c>
      <c r="AA389" s="127">
        <f>100*VLOOKUP($O389,Update!$B$2:$R$401,7,False)</f>
        <v>37.25490196</v>
      </c>
      <c r="AB389" s="127">
        <f>100*VLOOKUP($O389,Update!$B$2:$R$401,9,False)</f>
        <v>85.71428571</v>
      </c>
      <c r="AC389" s="127">
        <f>VLOOKUP($O389,Update!$B$2:$Q$401,16,False)</f>
        <v>0.6</v>
      </c>
      <c r="AD389" s="127">
        <f>VLOOKUP($O389,'NO USAR1'!$A$4:$L$403,2,False)*$U$19</f>
        <v>-1.998161076</v>
      </c>
      <c r="AE389" s="127">
        <f>VLOOKUP($O389,'NO USAR1'!$A$4:$L$403,3,False)*$V$19</f>
        <v>-0.5590090247</v>
      </c>
      <c r="AF389" s="127">
        <f>VLOOKUP($O389,'NO USAR1'!$A$4:$L$403,4,False)*$W$19</f>
        <v>-1.963370999</v>
      </c>
      <c r="AG389" s="127">
        <f>VLOOKUP($O389,'NO USAR1'!$A$4:$L$403,5,False)*$X$19</f>
        <v>-1.603517358</v>
      </c>
      <c r="AH389" s="127">
        <f>VLOOKUP($O389,'NO USAR1'!$A$4:$L$403,6,False)*$Y$19</f>
        <v>-1.514719978</v>
      </c>
      <c r="AI389" s="127">
        <f>VLOOKUP($O389,'NO USAR1'!$A$4:$L$403,7,False)*$Z$19</f>
        <v>-0.7896459159</v>
      </c>
      <c r="AJ389" s="127">
        <f>VLOOKUP($O389,'NO USAR1'!$A$4:$L$403,8,False)*$AA$19</f>
        <v>-0.6288060987</v>
      </c>
      <c r="AK389" s="132">
        <f>VLOOKUP($O389,'NO USAR1'!$A$4:$L$403,10,False)*$AB$19</f>
        <v>0.1173513277</v>
      </c>
      <c r="AL389" s="127">
        <f>VLOOKUP($O389,'NO USAR1'!$A$4:$L$403,12,False)*$AC$19</f>
        <v>0.4329917651</v>
      </c>
      <c r="AM389" s="133">
        <f t="shared" si="2"/>
        <v>-1.998161076</v>
      </c>
      <c r="AN389" s="133">
        <f t="shared" si="3"/>
        <v>-3.961532075</v>
      </c>
    </row>
    <row r="390">
      <c r="A390" s="118" t="str">
        <f>IF(Update!B388="",ROW(Update!B388),Update!B388)</f>
        <v>Tre Mann</v>
      </c>
      <c r="B390" s="119">
        <f>IF(TYPE($A390)=1,"",(Update!$L388-B$1)/B$2)</f>
        <v>-2.11612954</v>
      </c>
      <c r="C390" s="119">
        <f>IF(TYPE($A390)=1,"",(Update!$K388-C$1)/C$2)</f>
        <v>-0.9101640675</v>
      </c>
      <c r="D390" s="119">
        <f>IF(TYPE($A390)=1,"",(Update!$M388-D$1)/D$2)</f>
        <v>-2.005186369</v>
      </c>
      <c r="E390" s="119">
        <f>IF(TYPE($A390)=1,"",(Update!$N388-E$1)/E$2)</f>
        <v>-1.365011307</v>
      </c>
      <c r="F390" s="119">
        <f>IF(TYPE($A390)=1,"",(Update!$O388-F$1)/F$2)</f>
        <v>-1.852385824</v>
      </c>
      <c r="G390" s="119">
        <f>IF(TYPE($A390)=1,"",(Update!$P388-G$1)/G$2)</f>
        <v>-1.128065594</v>
      </c>
      <c r="H390" s="119">
        <f>IF(TYPE($A390)=1,"",(Update!$H388-H$1)/H$2*I390/$I$1)</f>
        <v>-0.4793774457</v>
      </c>
      <c r="I390" s="119">
        <f>IF(TYPE($A390)=1,"",IF(Update!H388=0,0,Update!G388/Update!H388))</f>
        <v>4.5</v>
      </c>
      <c r="J390" s="120">
        <f>IF(TYPE($A390)=1,"",(Update!$J388-J$1)/J$2*K390/$K$1)</f>
        <v>-0.2298726673</v>
      </c>
      <c r="K390" s="121">
        <f>IF(TYPE($A390)=1,"",IF(Update!J388=0,0,Update!I388/Update!J388))</f>
        <v>0.6</v>
      </c>
      <c r="L390" s="119">
        <f>IF(TYPE($A390)=1,"",-(Update!$Q388-L$1)/L$2)</f>
        <v>1.73196706</v>
      </c>
      <c r="N390" s="124">
        <v>370.0</v>
      </c>
      <c r="O390" s="130" t="str">
        <f>IF(Update!B380="",ROW(Update!B380),Update!B380)</f>
        <v>Emoni Bates</v>
      </c>
      <c r="P390" s="131">
        <f>Update!E380</f>
        <v>22</v>
      </c>
      <c r="Q390" s="131" t="str">
        <f>IF(Update!C380="",ROW(Update!N395),Update!C380)</f>
        <v>SF</v>
      </c>
      <c r="R390" s="127">
        <f>VLOOKUP($O390,'NO USAR1'!$A$4:$L$403,2,False)+VLOOKUP($O390,'NO USAR1'!$A$4:$L$403,3,False)+VLOOKUP($O390,'NO USAR1'!$A$4:$L$403,4,False)+VLOOKUP($O390,'NO USAR1'!$A$4:$L$403,5,False)+VLOOKUP($O390,'NO USAR1'!$A$4:$L$403,6,False)+VLOOKUP($O390,'NO USAR1'!$A$4:$L$403,7,False)+VLOOKUP($O390,'NO USAR1'!$A$4:$L$403,8,False)+VLOOKUP($O390,'NO USAR1'!$A$4:$L$403,10,False)+VLOOKUP($O390,'NO USAR1'!$A$4:$L$403,12,False)*0</f>
        <v>-9.906311599</v>
      </c>
      <c r="S390" s="127">
        <f>VLOOKUP($O390,'NO USAR1'!$A$4:$L$403,2,False)*$U$19+VLOOKUP($O390,'NO USAR1'!$A$4:$L$403,3,False)*$V$19+VLOOKUP($O390,'NO USAR1'!$A$4:$L$403,4,False)*$W$19+VLOOKUP($O390,'NO USAR1'!$A$4:$L$403,5,False)*$X$19+VLOOKUP($O390,'NO USAR1'!$A$4:$L$403,6,False)*$Y$19+VLOOKUP($O390,'NO USAR1'!$A$4:$L$403,7,False)*$Z$19+VLOOKUP($O390,'NO USAR1'!$A$4:$L$403,8,False)*$AA$19+VLOOKUP($O390,'NO USAR1'!$A$4:$L$403,10,False)*$AB$19+VLOOKUP($O390,'NO USAR1'!$A$4:$L$403,12,False)*$AC$19+IF(Projections!$K$3,-AN390, IF(Projections!$J$3,-AM390,0))</f>
        <v>-6.377154576</v>
      </c>
      <c r="T390" s="127">
        <f t="shared" si="1"/>
        <v>3.529157023</v>
      </c>
      <c r="U390" s="127">
        <f>VLOOKUP($O390,Update!$B$2:$R$401,11,False)</f>
        <v>5</v>
      </c>
      <c r="V390" s="122">
        <f>VLOOKUP($O390,Update!$B$2:$R$401,10,False)</f>
        <v>0.9</v>
      </c>
      <c r="W390" s="127">
        <f>VLOOKUP($O390,Update!$B$2:$R$401,12,False)</f>
        <v>2</v>
      </c>
      <c r="X390" s="127">
        <f>VLOOKUP($O390,Update!$B$2:$R$401,13,False)</f>
        <v>0.4</v>
      </c>
      <c r="Y390" s="127">
        <f>VLOOKUP($O390,Update!$B$2:$R$401,14,False)</f>
        <v>0.2</v>
      </c>
      <c r="Z390" s="132">
        <f>VLOOKUP($O390,Update!$B$2:$R$401,15,False)</f>
        <v>0.2</v>
      </c>
      <c r="AA390" s="127">
        <f>100*VLOOKUP($O390,Update!$B$2:$R$401,7,False)</f>
        <v>40</v>
      </c>
      <c r="AB390" s="127">
        <f>100*VLOOKUP($O390,Update!$B$2:$R$401,9,False)</f>
        <v>83.33333333</v>
      </c>
      <c r="AC390" s="127">
        <f>VLOOKUP($O390,Update!$B$2:$Q$401,16,False)</f>
        <v>0.4</v>
      </c>
      <c r="AD390" s="127">
        <f>VLOOKUP($O390,'NO USAR1'!$A$4:$L$403,2,False)*$U$19</f>
        <v>-2.065571627</v>
      </c>
      <c r="AE390" s="127">
        <f>VLOOKUP($O390,'NO USAR1'!$A$4:$L$403,3,False)*$V$19</f>
        <v>-0.6457219034</v>
      </c>
      <c r="AF390" s="127">
        <f>VLOOKUP($O390,'NO USAR1'!$A$4:$L$403,4,False)*$W$19</f>
        <v>-1.71247878</v>
      </c>
      <c r="AG390" s="127">
        <f>VLOOKUP($O390,'NO USAR1'!$A$4:$L$403,5,False)*$X$19</f>
        <v>-1.75652474</v>
      </c>
      <c r="AH390" s="127">
        <f>VLOOKUP($O390,'NO USAR1'!$A$4:$L$403,6,False)*$Y$19</f>
        <v>-1.732769878</v>
      </c>
      <c r="AI390" s="127">
        <f>VLOOKUP($O390,'NO USAR1'!$A$4:$L$403,7,False)*$Z$19</f>
        <v>-0.6583300762</v>
      </c>
      <c r="AJ390" s="127">
        <f>VLOOKUP($O390,'NO USAR1'!$A$4:$L$403,8,False)*$AA$19</f>
        <v>-0.4314397011</v>
      </c>
      <c r="AK390" s="132">
        <f>VLOOKUP($O390,'NO USAR1'!$A$4:$L$403,10,False)*$AB$19</f>
        <v>0.06502622904</v>
      </c>
      <c r="AL390" s="127">
        <f>VLOOKUP($O390,'NO USAR1'!$A$4:$L$403,12,False)*$AC$19</f>
        <v>0.4950842744</v>
      </c>
      <c r="AM390" s="133">
        <f t="shared" si="2"/>
        <v>-2.065571627</v>
      </c>
      <c r="AN390" s="133">
        <f t="shared" si="3"/>
        <v>-3.822096367</v>
      </c>
    </row>
    <row r="391">
      <c r="A391" s="118" t="str">
        <f>IF(Update!B389="",ROW(Update!B389),Update!B389)</f>
        <v>Oshae Brissett</v>
      </c>
      <c r="B391" s="119">
        <f>IF(TYPE($A391)=1,"",(Update!$L389-B$1)/B$2)</f>
        <v>-2.183540091</v>
      </c>
      <c r="C391" s="119">
        <f>IF(TYPE($A391)=1,"",(Update!$K389-C$1)/C$2)</f>
        <v>-1.00651171</v>
      </c>
      <c r="D391" s="119">
        <f>IF(TYPE($A391)=1,"",(Update!$M389-D$1)/D$2)</f>
        <v>-1.503401931</v>
      </c>
      <c r="E391" s="119">
        <f>IF(TYPE($A391)=1,"",(Update!$N389-E$1)/E$2)</f>
        <v>-1.5504748</v>
      </c>
      <c r="F391" s="119">
        <f>IF(TYPE($A391)=1,"",(Update!$O389-F$1)/F$2)</f>
        <v>-2.163885682</v>
      </c>
      <c r="G391" s="119">
        <f>IF(TYPE($A391)=1,"",(Update!$P389-G$1)/G$2)</f>
        <v>-0.9404715375</v>
      </c>
      <c r="H391" s="119">
        <f>IF(TYPE($A391)=1,"",(Update!$H389-H$1)/H$2*I391/$I$1)</f>
        <v>-0.3728491244</v>
      </c>
      <c r="I391" s="119">
        <f>IF(TYPE($A391)=1,"",IF(Update!H389=0,0,Update!G389/Update!H389))</f>
        <v>3.5</v>
      </c>
      <c r="J391" s="120">
        <f>IF(TYPE($A391)=1,"",(Update!$J389-J$1)/J$2*K391/$K$1)</f>
        <v>-0.3943389612</v>
      </c>
      <c r="K391" s="121">
        <f>IF(TYPE($A391)=1,"",IF(Update!J389=0,0,Update!I389/Update!J389))</f>
        <v>1.3</v>
      </c>
      <c r="L391" s="119">
        <f>IF(TYPE($A391)=1,"",-(Update!$Q389-L$1)/L$2)</f>
        <v>1.980337098</v>
      </c>
      <c r="N391" s="124">
        <v>371.0</v>
      </c>
      <c r="O391" s="130" t="str">
        <f>IF(Update!B370="",ROW(Update!B370),Update!B370)</f>
        <v>Ömer Yurtseven</v>
      </c>
      <c r="P391" s="131">
        <f>Update!E370</f>
        <v>30</v>
      </c>
      <c r="Q391" s="131" t="str">
        <f>IF(Update!C370="",ROW(Update!N385),Update!C370)</f>
        <v>C</v>
      </c>
      <c r="R391" s="127">
        <f>VLOOKUP($O391,'NO USAR1'!$A$4:$L$403,2,False)+VLOOKUP($O391,'NO USAR1'!$A$4:$L$403,3,False)+VLOOKUP($O391,'NO USAR1'!$A$4:$L$403,4,False)+VLOOKUP($O391,'NO USAR1'!$A$4:$L$403,5,False)+VLOOKUP($O391,'NO USAR1'!$A$4:$L$403,6,False)+VLOOKUP($O391,'NO USAR1'!$A$4:$L$403,7,False)+VLOOKUP($O391,'NO USAR1'!$A$4:$L$403,8,False)+VLOOKUP($O391,'NO USAR1'!$A$4:$L$403,10,False)+VLOOKUP($O391,'NO USAR1'!$A$4:$L$403,12,False)*0</f>
        <v>-9.918200141</v>
      </c>
      <c r="S391" s="127">
        <f>VLOOKUP($O391,'NO USAR1'!$A$4:$L$403,2,False)*$U$19+VLOOKUP($O391,'NO USAR1'!$A$4:$L$403,3,False)*$V$19+VLOOKUP($O391,'NO USAR1'!$A$4:$L$403,4,False)*$W$19+VLOOKUP($O391,'NO USAR1'!$A$4:$L$403,5,False)*$X$19+VLOOKUP($O391,'NO USAR1'!$A$4:$L$403,6,False)*$Y$19+VLOOKUP($O391,'NO USAR1'!$A$4:$L$403,7,False)*$Z$19+VLOOKUP($O391,'NO USAR1'!$A$4:$L$403,8,False)*$AA$19+VLOOKUP($O391,'NO USAR1'!$A$4:$L$403,10,False)*$AB$19+VLOOKUP($O391,'NO USAR1'!$A$4:$L$403,12,False)*$AC$19+IF(Projections!$K$3,-AN391, IF(Projections!$J$3,-AM391,0))</f>
        <v>-6.104894508</v>
      </c>
      <c r="T391" s="127">
        <f t="shared" si="1"/>
        <v>3.813305633</v>
      </c>
      <c r="U391" s="127">
        <f>VLOOKUP($O391,Update!$B$2:$R$401,11,False)</f>
        <v>3.6</v>
      </c>
      <c r="V391" s="122">
        <f>VLOOKUP($O391,Update!$B$2:$R$401,10,False)</f>
        <v>0</v>
      </c>
      <c r="W391" s="127">
        <f>VLOOKUP($O391,Update!$B$2:$R$401,12,False)</f>
        <v>3.4</v>
      </c>
      <c r="X391" s="127">
        <f>VLOOKUP($O391,Update!$B$2:$R$401,13,False)</f>
        <v>0.6</v>
      </c>
      <c r="Y391" s="127">
        <f>VLOOKUP($O391,Update!$B$2:$R$401,14,False)</f>
        <v>0.2</v>
      </c>
      <c r="Z391" s="132">
        <f>VLOOKUP($O391,Update!$B$2:$R$401,15,False)</f>
        <v>0.2</v>
      </c>
      <c r="AA391" s="127">
        <f>100*VLOOKUP($O391,Update!$B$2:$R$401,7,False)</f>
        <v>55.17241379</v>
      </c>
      <c r="AB391" s="127">
        <f>100*VLOOKUP($O391,Update!$B$2:$R$401,9,False)</f>
        <v>71.42857143</v>
      </c>
      <c r="AC391" s="127">
        <f>VLOOKUP($O391,Update!$B$2:$Q$401,16,False)</f>
        <v>0.5</v>
      </c>
      <c r="AD391" s="127">
        <f>VLOOKUP($O391,'NO USAR1'!$A$4:$L$403,2,False)*$U$19</f>
        <v>-2.301508555</v>
      </c>
      <c r="AE391" s="127">
        <f>VLOOKUP($O391,'NO USAR1'!$A$4:$L$403,3,False)*$V$19</f>
        <v>-1.426137812</v>
      </c>
      <c r="AF391" s="127">
        <f>VLOOKUP($O391,'NO USAR1'!$A$4:$L$403,4,False)*$W$19</f>
        <v>-1.127063602</v>
      </c>
      <c r="AG391" s="127">
        <f>VLOOKUP($O391,'NO USAR1'!$A$4:$L$403,5,False)*$X$19</f>
        <v>-1.654519819</v>
      </c>
      <c r="AH391" s="127">
        <f>VLOOKUP($O391,'NO USAR1'!$A$4:$L$403,6,False)*$Y$19</f>
        <v>-1.732769878</v>
      </c>
      <c r="AI391" s="127">
        <f>VLOOKUP($O391,'NO USAR1'!$A$4:$L$403,7,False)*$Z$19</f>
        <v>-0.6583300762</v>
      </c>
      <c r="AJ391" s="127">
        <f>VLOOKUP($O391,'NO USAR1'!$A$4:$L$403,8,False)*$AA$19</f>
        <v>0.1614616943</v>
      </c>
      <c r="AK391" s="132">
        <f>VLOOKUP($O391,'NO USAR1'!$A$4:$L$403,10,False)*$AB$19</f>
        <v>-0.1315730352</v>
      </c>
      <c r="AL391" s="127">
        <f>VLOOKUP($O391,'NO USAR1'!$A$4:$L$403,12,False)*$AC$19</f>
        <v>0.4640380197</v>
      </c>
      <c r="AM391" s="133">
        <f t="shared" si="2"/>
        <v>-2.301508555</v>
      </c>
      <c r="AN391" s="133">
        <f t="shared" si="3"/>
        <v>-4.034278433</v>
      </c>
    </row>
    <row r="392">
      <c r="A392" s="118" t="str">
        <f>IF(Update!B390="",ROW(Update!B390),Update!B390)</f>
        <v>Aaron Holiday</v>
      </c>
      <c r="B392" s="119">
        <f>IF(TYPE($A392)=1,"",(Update!$L390-B$1)/B$2)</f>
        <v>-2.402624381</v>
      </c>
      <c r="C392" s="119">
        <f>IF(TYPE($A392)=1,"",(Update!$K390-C$1)/C$2)</f>
        <v>-1.295554639</v>
      </c>
      <c r="D392" s="119">
        <f>IF(TYPE($A392)=1,"",(Update!$M390-D$1)/D$2)</f>
        <v>-2.172447849</v>
      </c>
      <c r="E392" s="119">
        <f>IF(TYPE($A392)=1,"",(Update!$N390-E$1)/E$2)</f>
        <v>-1.27227956</v>
      </c>
      <c r="F392" s="119">
        <f>IF(TYPE($A392)=1,"",(Update!$O390-F$1)/F$2)</f>
        <v>-1.852385824</v>
      </c>
      <c r="G392" s="119">
        <f>IF(TYPE($A392)=1,"",(Update!$P390-G$1)/G$2)</f>
        <v>-1.128065594</v>
      </c>
      <c r="H392" s="119">
        <f>IF(TYPE($A392)=1,"",(Update!$H390-H$1)/H$2*I392/$I$1)</f>
        <v>-0.1553357999</v>
      </c>
      <c r="I392" s="119">
        <f>IF(TYPE($A392)=1,"",IF(Update!H390=0,0,Update!G390/Update!H390))</f>
        <v>2.5</v>
      </c>
      <c r="J392" s="120">
        <f>IF(TYPE($A392)=1,"",(Update!$J390-J$1)/J$2*K392/$K$1)</f>
        <v>0.01587641299</v>
      </c>
      <c r="K392" s="121">
        <f>IF(TYPE($A392)=1,"",IF(Update!J390=0,0,Update!I390/Update!J390))</f>
        <v>0.5</v>
      </c>
      <c r="L392" s="119">
        <f>IF(TYPE($A392)=1,"",-(Update!$Q390-L$1)/L$2)</f>
        <v>1.856152079</v>
      </c>
      <c r="N392" s="33">
        <v>372.0</v>
      </c>
      <c r="O392" s="130" t="str">
        <f>IF(Update!B392="",ROW(Update!B392),Update!B392)</f>
        <v>Keon Johnson</v>
      </c>
      <c r="P392" s="131">
        <f>Update!E392</f>
        <v>44</v>
      </c>
      <c r="Q392" s="131" t="str">
        <f>IF(Update!C392="",ROW(Update!N407),Update!C392)</f>
        <v>PG,SG</v>
      </c>
      <c r="R392" s="127">
        <f>VLOOKUP($O392,'NO USAR1'!$A$4:$L$403,2,False)+VLOOKUP($O392,'NO USAR1'!$A$4:$L$403,3,False)+VLOOKUP($O392,'NO USAR1'!$A$4:$L$403,4,False)+VLOOKUP($O392,'NO USAR1'!$A$4:$L$403,5,False)+VLOOKUP($O392,'NO USAR1'!$A$4:$L$403,6,False)+VLOOKUP($O392,'NO USAR1'!$A$4:$L$403,7,False)+VLOOKUP($O392,'NO USAR1'!$A$4:$L$403,8,False)+VLOOKUP($O392,'NO USAR1'!$A$4:$L$403,10,False)+VLOOKUP($O392,'NO USAR1'!$A$4:$L$403,12,False)*0</f>
        <v>-9.945351052</v>
      </c>
      <c r="S392" s="127">
        <f>VLOOKUP($O392,'NO USAR1'!$A$4:$L$403,2,False)*$U$19+VLOOKUP($O392,'NO USAR1'!$A$4:$L$403,3,False)*$V$19+VLOOKUP($O392,'NO USAR1'!$A$4:$L$403,4,False)*$W$19+VLOOKUP($O392,'NO USAR1'!$A$4:$L$403,5,False)*$X$19+VLOOKUP($O392,'NO USAR1'!$A$4:$L$403,6,False)*$Y$19+VLOOKUP($O392,'NO USAR1'!$A$4:$L$403,7,False)*$Z$19+VLOOKUP($O392,'NO USAR1'!$A$4:$L$403,8,False)*$AA$19+VLOOKUP($O392,'NO USAR1'!$A$4:$L$403,10,False)*$AB$19+VLOOKUP($O392,'NO USAR1'!$A$4:$L$403,12,False)*$AC$19+IF(Projections!$K$3,-AN392, IF(Projections!$J$3,-AM392,0))</f>
        <v>-6.493403519</v>
      </c>
      <c r="T392" s="127">
        <f t="shared" si="1"/>
        <v>3.451947533</v>
      </c>
      <c r="U392" s="127">
        <f>VLOOKUP($O392,Update!$B$2:$R$401,11,False)</f>
        <v>4.3</v>
      </c>
      <c r="V392" s="122">
        <f>VLOOKUP($O392,Update!$B$2:$R$401,10,False)</f>
        <v>0.6</v>
      </c>
      <c r="W392" s="127">
        <f>VLOOKUP($O392,Update!$B$2:$R$401,12,False)</f>
        <v>1.2</v>
      </c>
      <c r="X392" s="127">
        <f>VLOOKUP($O392,Update!$B$2:$R$401,13,False)</f>
        <v>1.3</v>
      </c>
      <c r="Y392" s="127">
        <f>VLOOKUP($O392,Update!$B$2:$R$401,14,False)</f>
        <v>0.4</v>
      </c>
      <c r="Z392" s="132">
        <f>VLOOKUP($O392,Update!$B$2:$R$401,15,False)</f>
        <v>0.2</v>
      </c>
      <c r="AA392" s="127">
        <f>100*VLOOKUP($O392,Update!$B$2:$R$401,7,False)</f>
        <v>34.88372093</v>
      </c>
      <c r="AB392" s="127">
        <f>100*VLOOKUP($O392,Update!$B$2:$R$401,9,False)</f>
        <v>77.77777778</v>
      </c>
      <c r="AC392" s="127">
        <f>VLOOKUP($O392,Update!$B$2:$Q$401,16,False)</f>
        <v>0.8</v>
      </c>
      <c r="AD392" s="127">
        <f>VLOOKUP($O392,'NO USAR1'!$A$4:$L$403,2,False)*$U$19</f>
        <v>-2.183540091</v>
      </c>
      <c r="AE392" s="127">
        <f>VLOOKUP($O392,'NO USAR1'!$A$4:$L$403,3,False)*$V$19</f>
        <v>-0.9058605394</v>
      </c>
      <c r="AF392" s="127">
        <f>VLOOKUP($O392,'NO USAR1'!$A$4:$L$403,4,False)*$W$19</f>
        <v>-2.047001739</v>
      </c>
      <c r="AG392" s="127">
        <f>VLOOKUP($O392,'NO USAR1'!$A$4:$L$403,5,False)*$X$19</f>
        <v>-1.297502595</v>
      </c>
      <c r="AH392" s="127">
        <f>VLOOKUP($O392,'NO USAR1'!$A$4:$L$403,6,False)*$Y$19</f>
        <v>-1.296670077</v>
      </c>
      <c r="AI392" s="127">
        <f>VLOOKUP($O392,'NO USAR1'!$A$4:$L$403,7,False)*$Z$19</f>
        <v>-0.6583300762</v>
      </c>
      <c r="AJ392" s="127">
        <f>VLOOKUP($O392,'NO USAR1'!$A$4:$L$403,8,False)*$AA$19</f>
        <v>-0.6320149097</v>
      </c>
      <c r="AK392" s="132">
        <f>VLOOKUP($O392,'NO USAR1'!$A$4:$L$403,10,False)*$AB$19</f>
        <v>-0.02692283787</v>
      </c>
      <c r="AL392" s="127">
        <f>VLOOKUP($O392,'NO USAR1'!$A$4:$L$403,12,False)*$AC$19</f>
        <v>0.3708992557</v>
      </c>
      <c r="AM392" s="133">
        <f t="shared" si="2"/>
        <v>-2.183540091</v>
      </c>
      <c r="AN392" s="133">
        <f t="shared" si="3"/>
        <v>-4.23054183</v>
      </c>
    </row>
    <row r="393">
      <c r="A393" s="118" t="str">
        <f>IF(Update!B391="",ROW(Update!B391),Update!B391)</f>
        <v>Patty Mills</v>
      </c>
      <c r="B393" s="119">
        <f>IF(TYPE($A393)=1,"",(Update!$L391-B$1)/B$2)</f>
        <v>-2.200392728</v>
      </c>
      <c r="C393" s="119">
        <f>IF(TYPE($A393)=1,"",(Update!$K391-C$1)/C$2)</f>
        <v>-0.6211211385</v>
      </c>
      <c r="D393" s="119">
        <f>IF(TYPE($A393)=1,"",(Update!$M391-D$1)/D$2)</f>
        <v>-2.256078588</v>
      </c>
      <c r="E393" s="119">
        <f>IF(TYPE($A393)=1,"",(Update!$N391-E$1)/E$2)</f>
        <v>-1.365011307</v>
      </c>
      <c r="F393" s="119">
        <f>IF(TYPE($A393)=1,"",(Update!$O391-F$1)/F$2)</f>
        <v>-2.475385541</v>
      </c>
      <c r="G393" s="119">
        <f>IF(TYPE($A393)=1,"",(Update!$P391-G$1)/G$2)</f>
        <v>-1.128065594</v>
      </c>
      <c r="H393" s="119">
        <f>IF(TYPE($A393)=1,"",(Update!$H391-H$1)/H$2*I393/$I$1)</f>
        <v>-0.3169109546</v>
      </c>
      <c r="I393" s="119">
        <f>IF(TYPE($A393)=1,"",IF(Update!H391=0,0,Update!G391/Update!H391))</f>
        <v>3.6</v>
      </c>
      <c r="J393" s="120">
        <f>IF(TYPE($A393)=1,"",(Update!$J391-J$1)/J$2*K393/$K$1)</f>
        <v>0.1962191199</v>
      </c>
      <c r="K393" s="121">
        <f>IF(TYPE($A393)=1,"",IF(Update!J391=0,0,Update!I391/Update!J391))</f>
        <v>0.3</v>
      </c>
      <c r="L393" s="119">
        <f>IF(TYPE($A393)=1,"",-(Update!$Q391-L$1)/L$2)</f>
        <v>1.980337098</v>
      </c>
      <c r="N393" s="33">
        <v>373.0</v>
      </c>
      <c r="O393" s="130" t="str">
        <f>IF(Update!B356="",ROW(Update!B356),Update!B356)</f>
        <v>Jericho Sims</v>
      </c>
      <c r="P393" s="131">
        <f>Update!E356</f>
        <v>31</v>
      </c>
      <c r="Q393" s="131" t="str">
        <f>IF(Update!C356="",ROW(Update!N371),Update!C356)</f>
        <v>PF,C</v>
      </c>
      <c r="R393" s="127">
        <f>VLOOKUP($O393,'NO USAR1'!$A$4:$L$403,2,False)+VLOOKUP($O393,'NO USAR1'!$A$4:$L$403,3,False)+VLOOKUP($O393,'NO USAR1'!$A$4:$L$403,4,False)+VLOOKUP($O393,'NO USAR1'!$A$4:$L$403,5,False)+VLOOKUP($O393,'NO USAR1'!$A$4:$L$403,6,False)+VLOOKUP($O393,'NO USAR1'!$A$4:$L$403,7,False)+VLOOKUP($O393,'NO USAR1'!$A$4:$L$403,8,False)+VLOOKUP($O393,'NO USAR1'!$A$4:$L$403,10,False)+VLOOKUP($O393,'NO USAR1'!$A$4:$L$403,12,False)*0</f>
        <v>-9.953543884</v>
      </c>
      <c r="S393" s="127">
        <f>VLOOKUP($O393,'NO USAR1'!$A$4:$L$403,2,False)*$U$19+VLOOKUP($O393,'NO USAR1'!$A$4:$L$403,3,False)*$V$19+VLOOKUP($O393,'NO USAR1'!$A$4:$L$403,4,False)*$W$19+VLOOKUP($O393,'NO USAR1'!$A$4:$L$403,5,False)*$X$19+VLOOKUP($O393,'NO USAR1'!$A$4:$L$403,6,False)*$Y$19+VLOOKUP($O393,'NO USAR1'!$A$4:$L$403,7,False)*$Z$19+VLOOKUP($O393,'NO USAR1'!$A$4:$L$403,8,False)*$AA$19+VLOOKUP($O393,'NO USAR1'!$A$4:$L$403,10,False)*$AB$19+VLOOKUP($O393,'NO USAR1'!$A$4:$L$403,12,False)*$AC$19+IF(Projections!$K$3,-AN393, IF(Projections!$J$3,-AM393,0))</f>
        <v>-5.960472147</v>
      </c>
      <c r="T393" s="127">
        <f t="shared" si="1"/>
        <v>3.993071736</v>
      </c>
      <c r="U393" s="127">
        <f>VLOOKUP($O393,Update!$B$2:$R$401,11,False)</f>
        <v>2.1</v>
      </c>
      <c r="V393" s="122">
        <f>VLOOKUP($O393,Update!$B$2:$R$401,10,False)</f>
        <v>0</v>
      </c>
      <c r="W393" s="127">
        <f>VLOOKUP($O393,Update!$B$2:$R$401,12,False)</f>
        <v>3.2</v>
      </c>
      <c r="X393" s="127">
        <f>VLOOKUP($O393,Update!$B$2:$R$401,13,False)</f>
        <v>0.4</v>
      </c>
      <c r="Y393" s="127">
        <f>VLOOKUP($O393,Update!$B$2:$R$401,14,False)</f>
        <v>0.2</v>
      </c>
      <c r="Z393" s="132">
        <f>VLOOKUP($O393,Update!$B$2:$R$401,15,False)</f>
        <v>0.4</v>
      </c>
      <c r="AA393" s="127">
        <f>100*VLOOKUP($O393,Update!$B$2:$R$401,7,False)</f>
        <v>76.92307692</v>
      </c>
      <c r="AB393" s="127">
        <f>100*VLOOKUP($O393,Update!$B$2:$R$401,9,False)</f>
        <v>50</v>
      </c>
      <c r="AC393" s="127">
        <f>VLOOKUP($O393,Update!$B$2:$Q$401,16,False)</f>
        <v>0.4</v>
      </c>
      <c r="AD393" s="127">
        <f>VLOOKUP($O393,'NO USAR1'!$A$4:$L$403,2,False)*$U$19</f>
        <v>-2.55429812</v>
      </c>
      <c r="AE393" s="127">
        <f>VLOOKUP($O393,'NO USAR1'!$A$4:$L$403,3,False)*$V$19</f>
        <v>-1.426137812</v>
      </c>
      <c r="AF393" s="127">
        <f>VLOOKUP($O393,'NO USAR1'!$A$4:$L$403,4,False)*$W$19</f>
        <v>-1.210694342</v>
      </c>
      <c r="AG393" s="127">
        <f>VLOOKUP($O393,'NO USAR1'!$A$4:$L$403,5,False)*$X$19</f>
        <v>-1.75652474</v>
      </c>
      <c r="AH393" s="127">
        <f>VLOOKUP($O393,'NO USAR1'!$A$4:$L$403,6,False)*$Y$19</f>
        <v>-1.732769878</v>
      </c>
      <c r="AI393" s="127">
        <f>VLOOKUP($O393,'NO USAR1'!$A$4:$L$403,7,False)*$Z$19</f>
        <v>-0.3956983969</v>
      </c>
      <c r="AJ393" s="127">
        <f>VLOOKUP($O393,'NO USAR1'!$A$4:$L$403,8,False)*$AA$19</f>
        <v>0.3548170781</v>
      </c>
      <c r="AK393" s="132">
        <f>VLOOKUP($O393,'NO USAR1'!$A$4:$L$403,10,False)*$AB$19</f>
        <v>-0.2885483311</v>
      </c>
      <c r="AL393" s="127">
        <f>VLOOKUP($O393,'NO USAR1'!$A$4:$L$403,12,False)*$AC$19</f>
        <v>0.4950842744</v>
      </c>
      <c r="AM393" s="133">
        <f t="shared" si="2"/>
        <v>-2.55429812</v>
      </c>
      <c r="AN393" s="133">
        <f t="shared" si="3"/>
        <v>-4.31082286</v>
      </c>
    </row>
    <row r="394">
      <c r="A394" s="118" t="str">
        <f>IF(Update!B392="",ROW(Update!B392),Update!B392)</f>
        <v>Keon Johnson</v>
      </c>
      <c r="B394" s="119">
        <f>IF(TYPE($A394)=1,"",(Update!$L392-B$1)/B$2)</f>
        <v>-2.183540091</v>
      </c>
      <c r="C394" s="119">
        <f>IF(TYPE($A394)=1,"",(Update!$K392-C$1)/C$2)</f>
        <v>-1.00651171</v>
      </c>
      <c r="D394" s="119">
        <f>IF(TYPE($A394)=1,"",(Update!$M392-D$1)/D$2)</f>
        <v>-2.047001739</v>
      </c>
      <c r="E394" s="119">
        <f>IF(TYPE($A394)=1,"",(Update!$N392-E$1)/E$2)</f>
        <v>-1.179547814</v>
      </c>
      <c r="F394" s="119">
        <f>IF(TYPE($A394)=1,"",(Update!$O392-F$1)/F$2)</f>
        <v>-1.852385824</v>
      </c>
      <c r="G394" s="119">
        <f>IF(TYPE($A394)=1,"",(Update!$P392-G$1)/G$2)</f>
        <v>-0.9404715375</v>
      </c>
      <c r="H394" s="119">
        <f>IF(TYPE($A394)=1,"",(Update!$H392-H$1)/H$2*I394/$I$1)</f>
        <v>-0.7022387886</v>
      </c>
      <c r="I394" s="119">
        <f>IF(TYPE($A394)=1,"",IF(Update!H392=0,0,Update!G392/Update!H392))</f>
        <v>4.3</v>
      </c>
      <c r="J394" s="120">
        <f>IF(TYPE($A394)=1,"",(Update!$J392-J$1)/J$2*K394/$K$1)</f>
        <v>-0.03365354734</v>
      </c>
      <c r="K394" s="121">
        <f>IF(TYPE($A394)=1,"",IF(Update!J392=0,0,Update!I392/Update!J392))</f>
        <v>0.9</v>
      </c>
      <c r="L394" s="119">
        <f>IF(TYPE($A394)=1,"",-(Update!$Q392-L$1)/L$2)</f>
        <v>1.483597023</v>
      </c>
      <c r="N394" s="124">
        <v>374.0</v>
      </c>
      <c r="O394" s="130" t="str">
        <f>IF(Update!B373="",ROW(Update!B373),Update!B373)</f>
        <v>Frank Ntilikina</v>
      </c>
      <c r="P394" s="131">
        <f>Update!E373</f>
        <v>32</v>
      </c>
      <c r="Q394" s="131" t="str">
        <f>IF(Update!C373="",ROW(Update!N388),Update!C373)</f>
        <v>PG</v>
      </c>
      <c r="R394" s="127">
        <f>VLOOKUP($O394,'NO USAR1'!$A$4:$L$403,2,False)+VLOOKUP($O394,'NO USAR1'!$A$4:$L$403,3,False)+VLOOKUP($O394,'NO USAR1'!$A$4:$L$403,4,False)+VLOOKUP($O394,'NO USAR1'!$A$4:$L$403,5,False)+VLOOKUP($O394,'NO USAR1'!$A$4:$L$403,6,False)+VLOOKUP($O394,'NO USAR1'!$A$4:$L$403,7,False)+VLOOKUP($O394,'NO USAR1'!$A$4:$L$403,8,False)+VLOOKUP($O394,'NO USAR1'!$A$4:$L$403,10,False)+VLOOKUP($O394,'NO USAR1'!$A$4:$L$403,12,False)*0</f>
        <v>-9.959802716</v>
      </c>
      <c r="S394" s="127">
        <f>VLOOKUP($O394,'NO USAR1'!$A$4:$L$403,2,False)*$U$19+VLOOKUP($O394,'NO USAR1'!$A$4:$L$403,3,False)*$V$19+VLOOKUP($O394,'NO USAR1'!$A$4:$L$403,4,False)*$W$19+VLOOKUP($O394,'NO USAR1'!$A$4:$L$403,5,False)*$X$19+VLOOKUP($O394,'NO USAR1'!$A$4:$L$403,6,False)*$Y$19+VLOOKUP($O394,'NO USAR1'!$A$4:$L$403,7,False)*$Z$19+VLOOKUP($O394,'NO USAR1'!$A$4:$L$403,8,False)*$AA$19+VLOOKUP($O394,'NO USAR1'!$A$4:$L$403,10,False)*$AB$19+VLOOKUP($O394,'NO USAR1'!$A$4:$L$403,12,False)*$AC$19+IF(Projections!$K$3,-AN394, IF(Projections!$J$3,-AM394,0))</f>
        <v>-6.328198187</v>
      </c>
      <c r="T394" s="127">
        <f t="shared" si="1"/>
        <v>3.63160453</v>
      </c>
      <c r="U394" s="127">
        <f>VLOOKUP($O394,Update!$B$2:$R$401,11,False)</f>
        <v>3.7</v>
      </c>
      <c r="V394" s="122">
        <f>VLOOKUP($O394,Update!$B$2:$R$401,10,False)</f>
        <v>0.5</v>
      </c>
      <c r="W394" s="127">
        <f>VLOOKUP($O394,Update!$B$2:$R$401,12,False)</f>
        <v>1.4</v>
      </c>
      <c r="X394" s="127">
        <f>VLOOKUP($O394,Update!$B$2:$R$401,13,False)</f>
        <v>1.2</v>
      </c>
      <c r="Y394" s="127">
        <f>VLOOKUP($O394,Update!$B$2:$R$401,14,False)</f>
        <v>0.4</v>
      </c>
      <c r="Z394" s="132">
        <f>VLOOKUP($O394,Update!$B$2:$R$401,15,False)</f>
        <v>0.1</v>
      </c>
      <c r="AA394" s="127">
        <f>100*VLOOKUP($O394,Update!$B$2:$R$401,7,False)</f>
        <v>37.14285714</v>
      </c>
      <c r="AB394" s="127">
        <f>100*VLOOKUP($O394,Update!$B$2:$R$401,9,False)</f>
        <v>83.33333333</v>
      </c>
      <c r="AC394" s="127">
        <f>VLOOKUP($O394,Update!$B$2:$Q$401,16,False)</f>
        <v>0.6</v>
      </c>
      <c r="AD394" s="127">
        <f>VLOOKUP($O394,'NO USAR1'!$A$4:$L$403,2,False)*$U$19</f>
        <v>-2.284655917</v>
      </c>
      <c r="AE394" s="127">
        <f>VLOOKUP($O394,'NO USAR1'!$A$4:$L$403,3,False)*$V$19</f>
        <v>-0.9925734181</v>
      </c>
      <c r="AF394" s="127">
        <f>VLOOKUP($O394,'NO USAR1'!$A$4:$L$403,4,False)*$W$19</f>
        <v>-1.963370999</v>
      </c>
      <c r="AG394" s="127">
        <f>VLOOKUP($O394,'NO USAR1'!$A$4:$L$403,5,False)*$X$19</f>
        <v>-1.348505056</v>
      </c>
      <c r="AH394" s="127">
        <f>VLOOKUP($O394,'NO USAR1'!$A$4:$L$403,6,False)*$Y$19</f>
        <v>-1.296670077</v>
      </c>
      <c r="AI394" s="127">
        <f>VLOOKUP($O394,'NO USAR1'!$A$4:$L$403,7,False)*$Z$19</f>
        <v>-0.7896459159</v>
      </c>
      <c r="AJ394" s="127">
        <f>VLOOKUP($O394,'NO USAR1'!$A$4:$L$403,8,False)*$AA$19</f>
        <v>-0.4354507149</v>
      </c>
      <c r="AK394" s="132">
        <f>VLOOKUP($O394,'NO USAR1'!$A$4:$L$403,10,False)*$AB$19</f>
        <v>0.06502622904</v>
      </c>
      <c r="AL394" s="127">
        <f>VLOOKUP($O394,'NO USAR1'!$A$4:$L$403,12,False)*$AC$19</f>
        <v>0.4329917651</v>
      </c>
      <c r="AM394" s="133">
        <f t="shared" si="2"/>
        <v>-2.284655917</v>
      </c>
      <c r="AN394" s="133">
        <f t="shared" si="3"/>
        <v>-4.248026916</v>
      </c>
    </row>
    <row r="395">
      <c r="A395" s="118" t="str">
        <f>IF(Update!B393="",ROW(Update!B393),Update!B393)</f>
        <v>Wesley Matthews</v>
      </c>
      <c r="B395" s="119">
        <f>IF(TYPE($A395)=1,"",(Update!$L393-B$1)/B$2)</f>
        <v>-2.419477019</v>
      </c>
      <c r="C395" s="119">
        <f>IF(TYPE($A395)=1,"",(Update!$K393-C$1)/C$2)</f>
        <v>-1.00651171</v>
      </c>
      <c r="D395" s="119">
        <f>IF(TYPE($A395)=1,"",(Update!$M393-D$1)/D$2)</f>
        <v>-1.963370999</v>
      </c>
      <c r="E395" s="119">
        <f>IF(TYPE($A395)=1,"",(Update!$N393-E$1)/E$2)</f>
        <v>-1.5504748</v>
      </c>
      <c r="F395" s="119">
        <f>IF(TYPE($A395)=1,"",(Update!$O393-F$1)/F$2)</f>
        <v>-2.163885682</v>
      </c>
      <c r="G395" s="119">
        <f>IF(TYPE($A395)=1,"",(Update!$P393-G$1)/G$2)</f>
        <v>-1.128065594</v>
      </c>
      <c r="H395" s="119">
        <f>IF(TYPE($A395)=1,"",(Update!$H393-H$1)/H$2*I395/$I$1)</f>
        <v>-0.3213676366</v>
      </c>
      <c r="I395" s="119">
        <f>IF(TYPE($A395)=1,"",IF(Update!H393=0,0,Update!G393/Update!H393))</f>
        <v>2.6</v>
      </c>
      <c r="J395" s="120">
        <f>IF(TYPE($A395)=1,"",(Update!$J393-J$1)/J$2*K395/$K$1)</f>
        <v>-0.04952996032</v>
      </c>
      <c r="K395" s="121">
        <f>IF(TYPE($A395)=1,"",IF(Update!J393=0,0,Update!I393/Update!J393))</f>
        <v>0.4</v>
      </c>
      <c r="L395" s="119">
        <f>IF(TYPE($A395)=1,"",-(Update!$Q393-L$1)/L$2)</f>
        <v>2.104522116</v>
      </c>
      <c r="N395" s="124">
        <v>375.0</v>
      </c>
      <c r="O395" s="130" t="str">
        <f>IF(Update!B374="",ROW(Update!B374),Update!B374)</f>
        <v>Kessler Edwards</v>
      </c>
      <c r="P395" s="131">
        <f>Update!E374</f>
        <v>40</v>
      </c>
      <c r="Q395" s="131" t="str">
        <f>IF(Update!C374="",ROW(Update!N389),Update!C374)</f>
        <v>SG,SF</v>
      </c>
      <c r="R395" s="127">
        <f>VLOOKUP($O395,'NO USAR1'!$A$4:$L$403,2,False)+VLOOKUP($O395,'NO USAR1'!$A$4:$L$403,3,False)+VLOOKUP($O395,'NO USAR1'!$A$4:$L$403,4,False)+VLOOKUP($O395,'NO USAR1'!$A$4:$L$403,5,False)+VLOOKUP($O395,'NO USAR1'!$A$4:$L$403,6,False)+VLOOKUP($O395,'NO USAR1'!$A$4:$L$403,7,False)+VLOOKUP($O395,'NO USAR1'!$A$4:$L$403,8,False)+VLOOKUP($O395,'NO USAR1'!$A$4:$L$403,10,False)+VLOOKUP($O395,'NO USAR1'!$A$4:$L$403,12,False)*0</f>
        <v>-10.01209774</v>
      </c>
      <c r="S395" s="127">
        <f>VLOOKUP($O395,'NO USAR1'!$A$4:$L$403,2,False)*$U$19+VLOOKUP($O395,'NO USAR1'!$A$4:$L$403,3,False)*$V$19+VLOOKUP($O395,'NO USAR1'!$A$4:$L$403,4,False)*$W$19+VLOOKUP($O395,'NO USAR1'!$A$4:$L$403,5,False)*$X$19+VLOOKUP($O395,'NO USAR1'!$A$4:$L$403,6,False)*$Y$19+VLOOKUP($O395,'NO USAR1'!$A$4:$L$403,7,False)*$Z$19+VLOOKUP($O395,'NO USAR1'!$A$4:$L$403,8,False)*$AA$19+VLOOKUP($O395,'NO USAR1'!$A$4:$L$403,10,False)*$AB$19+VLOOKUP($O395,'NO USAR1'!$A$4:$L$403,12,False)*$AC$19+IF(Projections!$K$3,-AN395, IF(Projections!$J$3,-AM395,0))</f>
        <v>-6.324387826</v>
      </c>
      <c r="T395" s="127">
        <f t="shared" si="1"/>
        <v>3.687709919</v>
      </c>
      <c r="U395" s="127">
        <f>VLOOKUP($O395,Update!$B$2:$R$401,11,False)</f>
        <v>3.1</v>
      </c>
      <c r="V395" s="122">
        <f>VLOOKUP($O395,Update!$B$2:$R$401,10,False)</f>
        <v>0.5</v>
      </c>
      <c r="W395" s="127">
        <f>VLOOKUP($O395,Update!$B$2:$R$401,12,False)</f>
        <v>1.9</v>
      </c>
      <c r="X395" s="127">
        <f>VLOOKUP($O395,Update!$B$2:$R$401,13,False)</f>
        <v>0.4</v>
      </c>
      <c r="Y395" s="127">
        <f>VLOOKUP($O395,Update!$B$2:$R$401,14,False)</f>
        <v>0.4</v>
      </c>
      <c r="Z395" s="132">
        <f>VLOOKUP($O395,Update!$B$2:$R$401,15,False)</f>
        <v>0.2</v>
      </c>
      <c r="AA395" s="127">
        <f>100*VLOOKUP($O395,Update!$B$2:$R$401,7,False)</f>
        <v>41.37931034</v>
      </c>
      <c r="AB395" s="127">
        <f>100*VLOOKUP($O395,Update!$B$2:$R$401,9,False)</f>
        <v>66.66666667</v>
      </c>
      <c r="AC395" s="127">
        <f>VLOOKUP($O395,Update!$B$2:$Q$401,16,False)</f>
        <v>0.5</v>
      </c>
      <c r="AD395" s="127">
        <f>VLOOKUP($O395,'NO USAR1'!$A$4:$L$403,2,False)*$U$19</f>
        <v>-2.385771743</v>
      </c>
      <c r="AE395" s="127">
        <f>VLOOKUP($O395,'NO USAR1'!$A$4:$L$403,3,False)*$V$19</f>
        <v>-0.9925734181</v>
      </c>
      <c r="AF395" s="127">
        <f>VLOOKUP($O395,'NO USAR1'!$A$4:$L$403,4,False)*$W$19</f>
        <v>-1.75429415</v>
      </c>
      <c r="AG395" s="127">
        <f>VLOOKUP($O395,'NO USAR1'!$A$4:$L$403,5,False)*$X$19</f>
        <v>-1.75652474</v>
      </c>
      <c r="AH395" s="127">
        <f>VLOOKUP($O395,'NO USAR1'!$A$4:$L$403,6,False)*$Y$19</f>
        <v>-1.296670077</v>
      </c>
      <c r="AI395" s="127">
        <f>VLOOKUP($O395,'NO USAR1'!$A$4:$L$403,7,False)*$Z$19</f>
        <v>-0.6583300762</v>
      </c>
      <c r="AJ395" s="127">
        <f>VLOOKUP($O395,'NO USAR1'!$A$4:$L$403,8,False)*$AA$19</f>
        <v>-0.2380843173</v>
      </c>
      <c r="AK395" s="132">
        <f>VLOOKUP($O395,'NO USAR1'!$A$4:$L$403,10,False)*$AB$19</f>
        <v>-0.09194906691</v>
      </c>
      <c r="AL395" s="127">
        <f>VLOOKUP($O395,'NO USAR1'!$A$4:$L$403,12,False)*$AC$19</f>
        <v>0.4640380197</v>
      </c>
      <c r="AM395" s="133">
        <f t="shared" si="2"/>
        <v>-2.385771743</v>
      </c>
      <c r="AN395" s="133">
        <f t="shared" si="3"/>
        <v>-4.142296483</v>
      </c>
    </row>
    <row r="396">
      <c r="A396" s="118" t="str">
        <f>IF(Update!B394="",ROW(Update!B394),Update!B394)</f>
        <v>Simone Fontecchio</v>
      </c>
      <c r="B396" s="119">
        <f>IF(TYPE($A396)=1,"",(Update!$L394-B$1)/B$2)</f>
        <v>-1.998161076</v>
      </c>
      <c r="C396" s="119">
        <f>IF(TYPE($A396)=1,"",(Update!$K394-C$1)/C$2)</f>
        <v>-0.6211211385</v>
      </c>
      <c r="D396" s="119">
        <f>IF(TYPE($A396)=1,"",(Update!$M394-D$1)/D$2)</f>
        <v>-1.963370999</v>
      </c>
      <c r="E396" s="119">
        <f>IF(TYPE($A396)=1,"",(Update!$N394-E$1)/E$2)</f>
        <v>-1.457743053</v>
      </c>
      <c r="F396" s="119">
        <f>IF(TYPE($A396)=1,"",(Update!$O394-F$1)/F$2)</f>
        <v>-2.163885682</v>
      </c>
      <c r="G396" s="119">
        <f>IF(TYPE($A396)=1,"",(Update!$P394-G$1)/G$2)</f>
        <v>-1.128065594</v>
      </c>
      <c r="H396" s="119">
        <f>IF(TYPE($A396)=1,"",(Update!$H394-H$1)/H$2*I396/$I$1)</f>
        <v>-0.698673443</v>
      </c>
      <c r="I396" s="119">
        <f>IF(TYPE($A396)=1,"",IF(Update!H394=0,0,Update!G394/Update!H394))</f>
        <v>5.1</v>
      </c>
      <c r="J396" s="120">
        <f>IF(TYPE($A396)=1,"",(Update!$J394-J$1)/J$2*K396/$K$1)</f>
        <v>0.1466891596</v>
      </c>
      <c r="K396" s="121">
        <f>IF(TYPE($A396)=1,"",IF(Update!J394=0,0,Update!I394/Update!J394))</f>
        <v>0.7</v>
      </c>
      <c r="L396" s="119">
        <f>IF(TYPE($A396)=1,"",-(Update!$Q394-L$1)/L$2)</f>
        <v>1.73196706</v>
      </c>
      <c r="N396" s="33">
        <v>376.0</v>
      </c>
      <c r="O396" s="130" t="str">
        <f>IF(Update!B382="",ROW(Update!B382),Update!B382)</f>
        <v>Bryce McGowens</v>
      </c>
      <c r="P396" s="131">
        <f>Update!E382</f>
        <v>64</v>
      </c>
      <c r="Q396" s="131" t="str">
        <f>IF(Update!C382="",ROW(Update!N397),Update!C382)</f>
        <v>SG,SF</v>
      </c>
      <c r="R396" s="127">
        <f>VLOOKUP($O396,'NO USAR1'!$A$4:$L$403,2,False)+VLOOKUP($O396,'NO USAR1'!$A$4:$L$403,3,False)+VLOOKUP($O396,'NO USAR1'!$A$4:$L$403,4,False)+VLOOKUP($O396,'NO USAR1'!$A$4:$L$403,5,False)+VLOOKUP($O396,'NO USAR1'!$A$4:$L$403,6,False)+VLOOKUP($O396,'NO USAR1'!$A$4:$L$403,7,False)+VLOOKUP($O396,'NO USAR1'!$A$4:$L$403,8,False)+VLOOKUP($O396,'NO USAR1'!$A$4:$L$403,10,False)+VLOOKUP($O396,'NO USAR1'!$A$4:$L$403,12,False)*0</f>
        <v>-10.03780969</v>
      </c>
      <c r="S396" s="127">
        <f>VLOOKUP($O396,'NO USAR1'!$A$4:$L$403,2,False)*$U$19+VLOOKUP($O396,'NO USAR1'!$A$4:$L$403,3,False)*$V$19+VLOOKUP($O396,'NO USAR1'!$A$4:$L$403,4,False)*$W$19+VLOOKUP($O396,'NO USAR1'!$A$4:$L$403,5,False)*$X$19+VLOOKUP($O396,'NO USAR1'!$A$4:$L$403,6,False)*$Y$19+VLOOKUP($O396,'NO USAR1'!$A$4:$L$403,7,False)*$Z$19+VLOOKUP($O396,'NO USAR1'!$A$4:$L$403,8,False)*$AA$19+VLOOKUP($O396,'NO USAR1'!$A$4:$L$403,10,False)*$AB$19+VLOOKUP($O396,'NO USAR1'!$A$4:$L$403,12,False)*$AC$19+IF(Projections!$K$3,-AN396, IF(Projections!$J$3,-AM396,0))</f>
        <v>-6.616024858</v>
      </c>
      <c r="T396" s="127">
        <f t="shared" si="1"/>
        <v>3.421784833</v>
      </c>
      <c r="U396" s="127">
        <f>VLOOKUP($O396,Update!$B$2:$R$401,11,False)</f>
        <v>5.4</v>
      </c>
      <c r="V396" s="122">
        <f>VLOOKUP($O396,Update!$B$2:$R$401,10,False)</f>
        <v>0.6</v>
      </c>
      <c r="W396" s="127">
        <f>VLOOKUP($O396,Update!$B$2:$R$401,12,False)</f>
        <v>2</v>
      </c>
      <c r="X396" s="127">
        <f>VLOOKUP($O396,Update!$B$2:$R$401,13,False)</f>
        <v>1.2</v>
      </c>
      <c r="Y396" s="127">
        <f>VLOOKUP($O396,Update!$B$2:$R$401,14,False)</f>
        <v>0.3</v>
      </c>
      <c r="Z396" s="132">
        <f>VLOOKUP($O396,Update!$B$2:$R$401,15,False)</f>
        <v>0.1</v>
      </c>
      <c r="AA396" s="127">
        <f>100*VLOOKUP($O396,Update!$B$2:$R$401,7,False)</f>
        <v>40.90909091</v>
      </c>
      <c r="AB396" s="127">
        <f>100*VLOOKUP($O396,Update!$B$2:$R$401,9,False)</f>
        <v>72.22222222</v>
      </c>
      <c r="AC396" s="127">
        <f>VLOOKUP($O396,Update!$B$2:$Q$401,16,False)</f>
        <v>0.9</v>
      </c>
      <c r="AD396" s="127">
        <f>VLOOKUP($O396,'NO USAR1'!$A$4:$L$403,2,False)*$U$19</f>
        <v>-1.998161076</v>
      </c>
      <c r="AE396" s="127">
        <f>VLOOKUP($O396,'NO USAR1'!$A$4:$L$403,3,False)*$V$19</f>
        <v>-0.9058605394</v>
      </c>
      <c r="AF396" s="127">
        <f>VLOOKUP($O396,'NO USAR1'!$A$4:$L$403,4,False)*$W$19</f>
        <v>-1.71247878</v>
      </c>
      <c r="AG396" s="127">
        <f>VLOOKUP($O396,'NO USAR1'!$A$4:$L$403,5,False)*$X$19</f>
        <v>-1.348505056</v>
      </c>
      <c r="AH396" s="127">
        <f>VLOOKUP($O396,'NO USAR1'!$A$4:$L$403,6,False)*$Y$19</f>
        <v>-1.514719978</v>
      </c>
      <c r="AI396" s="127">
        <f>VLOOKUP($O396,'NO USAR1'!$A$4:$L$403,7,False)*$Z$19</f>
        <v>-0.7896459159</v>
      </c>
      <c r="AJ396" s="127">
        <f>VLOOKUP($O396,'NO USAR1'!$A$4:$L$403,8,False)*$AA$19</f>
        <v>-0.3818975511</v>
      </c>
      <c r="AK396" s="132">
        <f>VLOOKUP($O396,'NO USAR1'!$A$4:$L$403,10,False)*$AB$19</f>
        <v>-0.3027700386</v>
      </c>
      <c r="AL396" s="127">
        <f>VLOOKUP($O396,'NO USAR1'!$A$4:$L$403,12,False)*$AC$19</f>
        <v>0.3398530011</v>
      </c>
      <c r="AM396" s="133">
        <f t="shared" si="2"/>
        <v>-1.998161076</v>
      </c>
      <c r="AN396" s="133">
        <f t="shared" si="3"/>
        <v>-3.710639856</v>
      </c>
    </row>
    <row r="397">
      <c r="A397" s="118" t="str">
        <f>IF(Update!B395="",ROW(Update!B395),Update!B395)</f>
        <v>AJ Green</v>
      </c>
      <c r="B397" s="119">
        <f>IF(TYPE($A397)=1,"",(Update!$L395-B$1)/B$2)</f>
        <v>-2.267803279</v>
      </c>
      <c r="C397" s="119">
        <f>IF(TYPE($A397)=1,"",(Update!$K395-C$1)/C$2)</f>
        <v>-0.5247734955</v>
      </c>
      <c r="D397" s="119">
        <f>IF(TYPE($A397)=1,"",(Update!$M395-D$1)/D$2)</f>
        <v>-2.088817109</v>
      </c>
      <c r="E397" s="119">
        <f>IF(TYPE($A397)=1,"",(Update!$N395-E$1)/E$2)</f>
        <v>-1.5504748</v>
      </c>
      <c r="F397" s="119">
        <f>IF(TYPE($A397)=1,"",(Update!$O395-F$1)/F$2)</f>
        <v>-2.475385541</v>
      </c>
      <c r="G397" s="119">
        <f>IF(TYPE($A397)=1,"",(Update!$P395-G$1)/G$2)</f>
        <v>-1.315659651</v>
      </c>
      <c r="H397" s="119">
        <f>IF(TYPE($A397)=1,"",(Update!$H395-H$1)/H$2*I397/$I$1)</f>
        <v>-0.263646794</v>
      </c>
      <c r="I397" s="119">
        <f>IF(TYPE($A397)=1,"",IF(Update!H395=0,0,Update!G395/Update!H395))</f>
        <v>3.1</v>
      </c>
      <c r="J397" s="120">
        <f>IF(TYPE($A397)=1,"",(Update!$J395-J$1)/J$2*K397/$K$1)</f>
        <v>0.06540637331</v>
      </c>
      <c r="K397" s="121">
        <f>IF(TYPE($A397)=1,"",IF(Update!J395=0,0,Update!I395/Update!J395))</f>
        <v>0.1</v>
      </c>
      <c r="L397" s="119">
        <f>IF(TYPE($A397)=1,"",-(Update!$Q395-L$1)/L$2)</f>
        <v>2.228707135</v>
      </c>
      <c r="N397" s="33">
        <v>377.0</v>
      </c>
      <c r="O397" s="130" t="str">
        <f>IF(Update!B375="",ROW(Update!B375),Update!B375)</f>
        <v>Noah Clowney</v>
      </c>
      <c r="P397" s="131">
        <f>Update!E375</f>
        <v>33</v>
      </c>
      <c r="Q397" s="131" t="str">
        <f>IF(Update!C375="",ROW(Update!N390),Update!C375)</f>
        <v>PF</v>
      </c>
      <c r="R397" s="127">
        <f>VLOOKUP($O397,'NO USAR1'!$A$4:$L$403,2,False)+VLOOKUP($O397,'NO USAR1'!$A$4:$L$403,3,False)+VLOOKUP($O397,'NO USAR1'!$A$4:$L$403,4,False)+VLOOKUP($O397,'NO USAR1'!$A$4:$L$403,5,False)+VLOOKUP($O397,'NO USAR1'!$A$4:$L$403,6,False)+VLOOKUP($O397,'NO USAR1'!$A$4:$L$403,7,False)+VLOOKUP($O397,'NO USAR1'!$A$4:$L$403,8,False)+VLOOKUP($O397,'NO USAR1'!$A$4:$L$403,10,False)+VLOOKUP($O397,'NO USAR1'!$A$4:$L$403,12,False)*0</f>
        <v>-10.04174303</v>
      </c>
      <c r="S397" s="127">
        <f>VLOOKUP($O397,'NO USAR1'!$A$4:$L$403,2,False)*$U$19+VLOOKUP($O397,'NO USAR1'!$A$4:$L$403,3,False)*$V$19+VLOOKUP($O397,'NO USAR1'!$A$4:$L$403,4,False)*$W$19+VLOOKUP($O397,'NO USAR1'!$A$4:$L$403,5,False)*$X$19+VLOOKUP($O397,'NO USAR1'!$A$4:$L$403,6,False)*$Y$19+VLOOKUP($O397,'NO USAR1'!$A$4:$L$403,7,False)*$Z$19+VLOOKUP($O397,'NO USAR1'!$A$4:$L$403,8,False)*$AA$19+VLOOKUP($O397,'NO USAR1'!$A$4:$L$403,10,False)*$AB$19+VLOOKUP($O397,'NO USAR1'!$A$4:$L$403,12,False)*$AC$19+IF(Projections!$K$3,-AN397, IF(Projections!$J$3,-AM397,0))</f>
        <v>-6.323954379</v>
      </c>
      <c r="T397" s="127">
        <f t="shared" si="1"/>
        <v>3.717788653</v>
      </c>
      <c r="U397" s="127">
        <f>VLOOKUP($O397,Update!$B$2:$R$401,11,False)</f>
        <v>4.2</v>
      </c>
      <c r="V397" s="122">
        <f>VLOOKUP($O397,Update!$B$2:$R$401,10,False)</f>
        <v>0.4</v>
      </c>
      <c r="W397" s="127">
        <f>VLOOKUP($O397,Update!$B$2:$R$401,12,False)</f>
        <v>2.5</v>
      </c>
      <c r="X397" s="127">
        <f>VLOOKUP($O397,Update!$B$2:$R$401,13,False)</f>
        <v>0.7</v>
      </c>
      <c r="Y397" s="127">
        <f>VLOOKUP($O397,Update!$B$2:$R$401,14,False)</f>
        <v>0.2</v>
      </c>
      <c r="Z397" s="132">
        <f>VLOOKUP($O397,Update!$B$2:$R$401,15,False)</f>
        <v>0.2</v>
      </c>
      <c r="AA397" s="127">
        <f>100*VLOOKUP($O397,Update!$B$2:$R$401,7,False)</f>
        <v>50</v>
      </c>
      <c r="AB397" s="127">
        <f>100*VLOOKUP($O397,Update!$B$2:$R$401,9,False)</f>
        <v>70</v>
      </c>
      <c r="AC397" s="127">
        <f>VLOOKUP($O397,Update!$B$2:$Q$401,16,False)</f>
        <v>0.5</v>
      </c>
      <c r="AD397" s="127">
        <f>VLOOKUP($O397,'NO USAR1'!$A$4:$L$403,2,False)*$U$19</f>
        <v>-2.200392728</v>
      </c>
      <c r="AE397" s="127">
        <f>VLOOKUP($O397,'NO USAR1'!$A$4:$L$403,3,False)*$V$19</f>
        <v>-1.079286297</v>
      </c>
      <c r="AF397" s="127">
        <f>VLOOKUP($O397,'NO USAR1'!$A$4:$L$403,4,False)*$W$19</f>
        <v>-1.503401931</v>
      </c>
      <c r="AG397" s="127">
        <f>VLOOKUP($O397,'NO USAR1'!$A$4:$L$403,5,False)*$X$19</f>
        <v>-1.603517358</v>
      </c>
      <c r="AH397" s="127">
        <f>VLOOKUP($O397,'NO USAR1'!$A$4:$L$403,6,False)*$Y$19</f>
        <v>-1.732769878</v>
      </c>
      <c r="AI397" s="127">
        <f>VLOOKUP($O397,'NO USAR1'!$A$4:$L$403,7,False)*$Z$19</f>
        <v>-0.6583300762</v>
      </c>
      <c r="AJ397" s="127">
        <f>VLOOKUP($O397,'NO USAR1'!$A$4:$L$403,8,False)*$AA$19</f>
        <v>0.01283524409</v>
      </c>
      <c r="AK397" s="132">
        <f>VLOOKUP($O397,'NO USAR1'!$A$4:$L$403,10,False)*$AB$19</f>
        <v>-0.2235221021</v>
      </c>
      <c r="AL397" s="127">
        <f>VLOOKUP($O397,'NO USAR1'!$A$4:$L$403,12,False)*$AC$19</f>
        <v>0.4640380197</v>
      </c>
      <c r="AM397" s="133">
        <f t="shared" si="2"/>
        <v>-2.200392728</v>
      </c>
      <c r="AN397" s="133">
        <f t="shared" si="3"/>
        <v>-3.933162607</v>
      </c>
    </row>
    <row r="398">
      <c r="A398" s="118" t="str">
        <f>IF(Update!B396="",ROW(Update!B396),Update!B396)</f>
        <v>Kobe Bufkin</v>
      </c>
      <c r="B398" s="119">
        <f>IF(TYPE($A398)=1,"",(Update!$L396-B$1)/B$2)</f>
        <v>-2.166687453</v>
      </c>
      <c r="C398" s="119">
        <f>IF(TYPE($A398)=1,"",(Update!$K396-C$1)/C$2)</f>
        <v>-1.391902282</v>
      </c>
      <c r="D398" s="119">
        <f>IF(TYPE($A398)=1,"",(Update!$M396-D$1)/D$2)</f>
        <v>-2.214263218</v>
      </c>
      <c r="E398" s="119">
        <f>IF(TYPE($A398)=1,"",(Update!$N396-E$1)/E$2)</f>
        <v>-1.365011307</v>
      </c>
      <c r="F398" s="119">
        <f>IF(TYPE($A398)=1,"",(Update!$O396-F$1)/F$2)</f>
        <v>-2.475385541</v>
      </c>
      <c r="G398" s="119">
        <f>IF(TYPE($A398)=1,"",(Update!$P396-G$1)/G$2)</f>
        <v>-0.9404715375</v>
      </c>
      <c r="H398" s="119">
        <f>IF(TYPE($A398)=1,"",(Update!$H396-H$1)/H$2*I398/$I$1)</f>
        <v>-0.09672362092</v>
      </c>
      <c r="I398" s="119">
        <f>IF(TYPE($A398)=1,"",IF(Update!H396=0,0,Update!G396/Update!H396))</f>
        <v>3.2</v>
      </c>
      <c r="J398" s="120">
        <f>IF(TYPE($A398)=1,"",(Update!$J396-J$1)/J$2*K398/$K$1)</f>
        <v>0.04762923897</v>
      </c>
      <c r="K398" s="121">
        <f>IF(TYPE($A398)=1,"",IF(Update!J396=0,0,Update!I396/Update!J396))</f>
        <v>1.5</v>
      </c>
      <c r="L398" s="119">
        <f>IF(TYPE($A398)=1,"",-(Update!$Q396-L$1)/L$2)</f>
        <v>1.856152079</v>
      </c>
      <c r="N398" s="124">
        <v>378.0</v>
      </c>
      <c r="O398" s="130" t="str">
        <f>IF(Update!B388="",ROW(Update!B388),Update!B388)</f>
        <v>Tre Mann</v>
      </c>
      <c r="P398" s="131">
        <f>Update!E388</f>
        <v>26</v>
      </c>
      <c r="Q398" s="131" t="str">
        <f>IF(Update!C388="",ROW(Update!N403),Update!C388)</f>
        <v>PG,SG</v>
      </c>
      <c r="R398" s="127">
        <f>VLOOKUP($O398,'NO USAR1'!$A$4:$L$403,2,False)+VLOOKUP($O398,'NO USAR1'!$A$4:$L$403,3,False)+VLOOKUP($O398,'NO USAR1'!$A$4:$L$403,4,False)+VLOOKUP($O398,'NO USAR1'!$A$4:$L$403,5,False)+VLOOKUP($O398,'NO USAR1'!$A$4:$L$403,6,False)+VLOOKUP($O398,'NO USAR1'!$A$4:$L$403,7,False)+VLOOKUP($O398,'NO USAR1'!$A$4:$L$403,8,False)+VLOOKUP($O398,'NO USAR1'!$A$4:$L$403,10,False)+VLOOKUP($O398,'NO USAR1'!$A$4:$L$403,12,False)*0</f>
        <v>-10.08619281</v>
      </c>
      <c r="S398" s="127">
        <f>VLOOKUP($O398,'NO USAR1'!$A$4:$L$403,2,False)*$U$19+VLOOKUP($O398,'NO USAR1'!$A$4:$L$403,3,False)*$V$19+VLOOKUP($O398,'NO USAR1'!$A$4:$L$403,4,False)*$W$19+VLOOKUP($O398,'NO USAR1'!$A$4:$L$403,5,False)*$X$19+VLOOKUP($O398,'NO USAR1'!$A$4:$L$403,6,False)*$Y$19+VLOOKUP($O398,'NO USAR1'!$A$4:$L$403,7,False)*$Z$19+VLOOKUP($O398,'NO USAR1'!$A$4:$L$403,8,False)*$AA$19+VLOOKUP($O398,'NO USAR1'!$A$4:$L$403,10,False)*$AB$19+VLOOKUP($O398,'NO USAR1'!$A$4:$L$403,12,False)*$AC$19+IF(Projections!$K$3,-AN398, IF(Projections!$J$3,-AM398,0))</f>
        <v>-6.59450853</v>
      </c>
      <c r="T398" s="127">
        <f t="shared" si="1"/>
        <v>3.491684285</v>
      </c>
      <c r="U398" s="127">
        <f>VLOOKUP($O398,Update!$B$2:$R$401,11,False)</f>
        <v>4.7</v>
      </c>
      <c r="V398" s="122">
        <f>VLOOKUP($O398,Update!$B$2:$R$401,10,False)</f>
        <v>0.7</v>
      </c>
      <c r="W398" s="127">
        <f>VLOOKUP($O398,Update!$B$2:$R$401,12,False)</f>
        <v>1.3</v>
      </c>
      <c r="X398" s="127">
        <f>VLOOKUP($O398,Update!$B$2:$R$401,13,False)</f>
        <v>0.9</v>
      </c>
      <c r="Y398" s="127">
        <f>VLOOKUP($O398,Update!$B$2:$R$401,14,False)</f>
        <v>0.4</v>
      </c>
      <c r="Z398" s="132">
        <f>VLOOKUP($O398,Update!$B$2:$R$401,15,False)</f>
        <v>0.1</v>
      </c>
      <c r="AA398" s="127">
        <f>100*VLOOKUP($O398,Update!$B$2:$R$401,7,False)</f>
        <v>40</v>
      </c>
      <c r="AB398" s="127">
        <f>100*VLOOKUP($O398,Update!$B$2:$R$401,9,False)</f>
        <v>66.66666667</v>
      </c>
      <c r="AC398" s="127">
        <f>VLOOKUP($O398,Update!$B$2:$Q$401,16,False)</f>
        <v>0.6</v>
      </c>
      <c r="AD398" s="127">
        <f>VLOOKUP($O398,'NO USAR1'!$A$4:$L$403,2,False)*$U$19</f>
        <v>-2.11612954</v>
      </c>
      <c r="AE398" s="127">
        <f>VLOOKUP($O398,'NO USAR1'!$A$4:$L$403,3,False)*$V$19</f>
        <v>-0.8191476607</v>
      </c>
      <c r="AF398" s="127">
        <f>VLOOKUP($O398,'NO USAR1'!$A$4:$L$403,4,False)*$W$19</f>
        <v>-2.005186369</v>
      </c>
      <c r="AG398" s="127">
        <f>VLOOKUP($O398,'NO USAR1'!$A$4:$L$403,5,False)*$X$19</f>
        <v>-1.501512437</v>
      </c>
      <c r="AH398" s="127">
        <f>VLOOKUP($O398,'NO USAR1'!$A$4:$L$403,6,False)*$Y$19</f>
        <v>-1.296670077</v>
      </c>
      <c r="AI398" s="127">
        <f>VLOOKUP($O398,'NO USAR1'!$A$4:$L$403,7,False)*$Z$19</f>
        <v>-0.7896459159</v>
      </c>
      <c r="AJ398" s="127">
        <f>VLOOKUP($O398,'NO USAR1'!$A$4:$L$403,8,False)*$AA$19</f>
        <v>-0.4314397011</v>
      </c>
      <c r="AK398" s="132">
        <f>VLOOKUP($O398,'NO USAR1'!$A$4:$L$403,10,False)*$AB$19</f>
        <v>-0.1838981338</v>
      </c>
      <c r="AL398" s="127">
        <f>VLOOKUP($O398,'NO USAR1'!$A$4:$L$403,12,False)*$AC$19</f>
        <v>0.4329917651</v>
      </c>
      <c r="AM398" s="133">
        <f t="shared" si="2"/>
        <v>-2.11612954</v>
      </c>
      <c r="AN398" s="133">
        <f t="shared" si="3"/>
        <v>-4.121315909</v>
      </c>
    </row>
    <row r="399">
      <c r="A399" s="118" t="str">
        <f>IF(Update!B397="",ROW(Update!B397),Update!B397)</f>
        <v>Daniel Theis</v>
      </c>
      <c r="B399" s="119">
        <f>IF(TYPE($A399)=1,"",(Update!$L397-B$1)/B$2)</f>
        <v>-2.352066468</v>
      </c>
      <c r="C399" s="119">
        <f>IF(TYPE($A399)=1,"",(Update!$K397-C$1)/C$2)</f>
        <v>-1.295554639</v>
      </c>
      <c r="D399" s="119">
        <f>IF(TYPE($A399)=1,"",(Update!$M397-D$1)/D$2)</f>
        <v>-1.75429415</v>
      </c>
      <c r="E399" s="119">
        <f>IF(TYPE($A399)=1,"",(Update!$N397-E$1)/E$2)</f>
        <v>-1.596840673</v>
      </c>
      <c r="F399" s="119">
        <f>IF(TYPE($A399)=1,"",(Update!$O397-F$1)/F$2)</f>
        <v>-2.475385541</v>
      </c>
      <c r="G399" s="119">
        <f>IF(TYPE($A399)=1,"",(Update!$P397-G$1)/G$2)</f>
        <v>-0.7528774808</v>
      </c>
      <c r="H399" s="119">
        <f>IF(TYPE($A399)=1,"",(Update!$H397-H$1)/H$2*I399/$I$1)</f>
        <v>0.06663420657</v>
      </c>
      <c r="I399" s="119">
        <f>IF(TYPE($A399)=1,"",IF(Update!H397=0,0,Update!G397/Update!H397))</f>
        <v>2.5</v>
      </c>
      <c r="J399" s="120">
        <f>IF(TYPE($A399)=1,"",(Update!$J397-J$1)/J$2*K399/$K$1)</f>
        <v>-0.2298726673</v>
      </c>
      <c r="K399" s="121">
        <f>IF(TYPE($A399)=1,"",IF(Update!J397=0,0,Update!I397/Update!J397))</f>
        <v>0.6</v>
      </c>
      <c r="L399" s="119">
        <f>IF(TYPE($A399)=1,"",-(Update!$Q397-L$1)/L$2)</f>
        <v>1.980337098</v>
      </c>
      <c r="N399" s="124">
        <v>379.0</v>
      </c>
      <c r="O399" s="130" t="str">
        <f>IF(Update!B389="",ROW(Update!B389),Update!B389)</f>
        <v>Oshae Brissett</v>
      </c>
      <c r="P399" s="131">
        <f>Update!E389</f>
        <v>58</v>
      </c>
      <c r="Q399" s="131" t="str">
        <f>IF(Update!C389="",ROW(Update!N404),Update!C389)</f>
        <v>SF,PF</v>
      </c>
      <c r="R399" s="127">
        <f>VLOOKUP($O399,'NO USAR1'!$A$4:$L$403,2,False)+VLOOKUP($O399,'NO USAR1'!$A$4:$L$403,3,False)+VLOOKUP($O399,'NO USAR1'!$A$4:$L$403,4,False)+VLOOKUP($O399,'NO USAR1'!$A$4:$L$403,5,False)+VLOOKUP($O399,'NO USAR1'!$A$4:$L$403,6,False)+VLOOKUP($O399,'NO USAR1'!$A$4:$L$403,7,False)+VLOOKUP($O399,'NO USAR1'!$A$4:$L$403,8,False)+VLOOKUP($O399,'NO USAR1'!$A$4:$L$403,10,False)+VLOOKUP($O399,'NO USAR1'!$A$4:$L$403,12,False)*0</f>
        <v>-10.11547384</v>
      </c>
      <c r="S399" s="127">
        <f>VLOOKUP($O399,'NO USAR1'!$A$4:$L$403,2,False)*$U$19+VLOOKUP($O399,'NO USAR1'!$A$4:$L$403,3,False)*$V$19+VLOOKUP($O399,'NO USAR1'!$A$4:$L$403,4,False)*$W$19+VLOOKUP($O399,'NO USAR1'!$A$4:$L$403,5,False)*$X$19+VLOOKUP($O399,'NO USAR1'!$A$4:$L$403,6,False)*$Y$19+VLOOKUP($O399,'NO USAR1'!$A$4:$L$403,7,False)*$Z$19+VLOOKUP($O399,'NO USAR1'!$A$4:$L$403,8,False)*$AA$19+VLOOKUP($O399,'NO USAR1'!$A$4:$L$403,10,False)*$AB$19+VLOOKUP($O399,'NO USAR1'!$A$4:$L$403,12,False)*$AC$19+IF(Projections!$K$3,-AN399, IF(Projections!$J$3,-AM399,0))</f>
        <v>-6.44378591</v>
      </c>
      <c r="T399" s="127">
        <f t="shared" si="1"/>
        <v>3.671687927</v>
      </c>
      <c r="U399" s="127">
        <f>VLOOKUP($O399,Update!$B$2:$R$401,11,False)</f>
        <v>4.3</v>
      </c>
      <c r="V399" s="122">
        <f>VLOOKUP($O399,Update!$B$2:$R$401,10,False)</f>
        <v>0.6</v>
      </c>
      <c r="W399" s="127">
        <f>VLOOKUP($O399,Update!$B$2:$R$401,12,False)</f>
        <v>2.5</v>
      </c>
      <c r="X399" s="127">
        <f>VLOOKUP($O399,Update!$B$2:$R$401,13,False)</f>
        <v>0.5</v>
      </c>
      <c r="Y399" s="127">
        <f>VLOOKUP($O399,Update!$B$2:$R$401,14,False)</f>
        <v>0.3</v>
      </c>
      <c r="Z399" s="132">
        <f>VLOOKUP($O399,Update!$B$2:$R$401,15,False)</f>
        <v>0.2</v>
      </c>
      <c r="AA399" s="127">
        <f>100*VLOOKUP($O399,Update!$B$2:$R$401,7,False)</f>
        <v>40</v>
      </c>
      <c r="AB399" s="127">
        <f>100*VLOOKUP($O399,Update!$B$2:$R$401,9,False)</f>
        <v>69.23076923</v>
      </c>
      <c r="AC399" s="127">
        <f>VLOOKUP($O399,Update!$B$2:$Q$401,16,False)</f>
        <v>0.4</v>
      </c>
      <c r="AD399" s="127">
        <f>VLOOKUP($O399,'NO USAR1'!$A$4:$L$403,2,False)*$U$19</f>
        <v>-2.183540091</v>
      </c>
      <c r="AE399" s="127">
        <f>VLOOKUP($O399,'NO USAR1'!$A$4:$L$403,3,False)*$V$19</f>
        <v>-0.9058605394</v>
      </c>
      <c r="AF399" s="127">
        <f>VLOOKUP($O399,'NO USAR1'!$A$4:$L$403,4,False)*$W$19</f>
        <v>-1.503401931</v>
      </c>
      <c r="AG399" s="127">
        <f>VLOOKUP($O399,'NO USAR1'!$A$4:$L$403,5,False)*$X$19</f>
        <v>-1.70552228</v>
      </c>
      <c r="AH399" s="127">
        <f>VLOOKUP($O399,'NO USAR1'!$A$4:$L$403,6,False)*$Y$19</f>
        <v>-1.514719978</v>
      </c>
      <c r="AI399" s="127">
        <f>VLOOKUP($O399,'NO USAR1'!$A$4:$L$403,7,False)*$Z$19</f>
        <v>-0.6583300762</v>
      </c>
      <c r="AJ399" s="127">
        <f>VLOOKUP($O399,'NO USAR1'!$A$4:$L$403,8,False)*$AA$19</f>
        <v>-0.335564212</v>
      </c>
      <c r="AK399" s="132">
        <f>VLOOKUP($O399,'NO USAR1'!$A$4:$L$403,10,False)*$AB$19</f>
        <v>-0.315471169</v>
      </c>
      <c r="AL399" s="127">
        <f>VLOOKUP($O399,'NO USAR1'!$A$4:$L$403,12,False)*$AC$19</f>
        <v>0.4950842744</v>
      </c>
      <c r="AM399" s="133">
        <f t="shared" si="2"/>
        <v>-2.183540091</v>
      </c>
      <c r="AN399" s="133">
        <f t="shared" si="3"/>
        <v>-3.88906237</v>
      </c>
    </row>
    <row r="400">
      <c r="A400" s="118" t="str">
        <f>IF(Update!B398="",ROW(Update!B398),Update!B398)</f>
        <v>Jeremiah Robinson-Earl</v>
      </c>
      <c r="B400" s="119">
        <f>IF(TYPE($A400)=1,"",(Update!$L398-B$1)/B$2)</f>
        <v>-2.419477019</v>
      </c>
      <c r="C400" s="119">
        <f>IF(TYPE($A400)=1,"",(Update!$K398-C$1)/C$2)</f>
        <v>-1.199206996</v>
      </c>
      <c r="D400" s="119">
        <f>IF(TYPE($A400)=1,"",(Update!$M398-D$1)/D$2)</f>
        <v>-1.71247878</v>
      </c>
      <c r="E400" s="119">
        <f>IF(TYPE($A400)=1,"",(Update!$N398-E$1)/E$2)</f>
        <v>-1.596840673</v>
      </c>
      <c r="F400" s="119">
        <f>IF(TYPE($A400)=1,"",(Update!$O398-F$1)/F$2)</f>
        <v>-2.475385541</v>
      </c>
      <c r="G400" s="119">
        <f>IF(TYPE($A400)=1,"",(Update!$P398-G$1)/G$2)</f>
        <v>-1.128065594</v>
      </c>
      <c r="H400" s="119">
        <f>IF(TYPE($A400)=1,"",(Update!$H398-H$1)/H$2*I400/$I$1)</f>
        <v>-0.2103826334</v>
      </c>
      <c r="I400" s="119">
        <f>IF(TYPE($A400)=1,"",IF(Update!H398=0,0,Update!G398/Update!H398))</f>
        <v>2.6</v>
      </c>
      <c r="J400" s="120">
        <f>IF(TYPE($A400)=1,"",(Update!$J398-J$1)/J$2*K400/$K$1)</f>
        <v>-0.04952996032</v>
      </c>
      <c r="K400" s="121">
        <f>IF(TYPE($A400)=1,"",IF(Update!J398=0,0,Update!I398/Update!J398))</f>
        <v>0.4</v>
      </c>
      <c r="L400" s="119">
        <f>IF(TYPE($A400)=1,"",-(Update!$Q398-L$1)/L$2)</f>
        <v>2.104522116</v>
      </c>
      <c r="N400" s="33">
        <v>380.0</v>
      </c>
      <c r="O400" s="130" t="str">
        <f>IF(Update!B360="",ROW(Update!B360),Update!B360)</f>
        <v>Micah Potter</v>
      </c>
      <c r="P400" s="131">
        <f>Update!E360</f>
        <v>10</v>
      </c>
      <c r="Q400" s="131" t="str">
        <f>IF(Update!C360="",ROW(Update!N375),Update!C360)</f>
        <v>PF,C</v>
      </c>
      <c r="R400" s="127">
        <f>VLOOKUP($O400,'NO USAR1'!$A$4:$L$403,2,False)+VLOOKUP($O400,'NO USAR1'!$A$4:$L$403,3,False)+VLOOKUP($O400,'NO USAR1'!$A$4:$L$403,4,False)+VLOOKUP($O400,'NO USAR1'!$A$4:$L$403,5,False)+VLOOKUP($O400,'NO USAR1'!$A$4:$L$403,6,False)+VLOOKUP($O400,'NO USAR1'!$A$4:$L$403,7,False)+VLOOKUP($O400,'NO USAR1'!$A$4:$L$403,8,False)+VLOOKUP($O400,'NO USAR1'!$A$4:$L$403,10,False)+VLOOKUP($O400,'NO USAR1'!$A$4:$L$403,12,False)*0</f>
        <v>-10.12398244</v>
      </c>
      <c r="S400" s="127">
        <f>VLOOKUP($O400,'NO USAR1'!$A$4:$L$403,2,False)*$U$19+VLOOKUP($O400,'NO USAR1'!$A$4:$L$403,3,False)*$V$19+VLOOKUP($O400,'NO USAR1'!$A$4:$L$403,4,False)*$W$19+VLOOKUP($O400,'NO USAR1'!$A$4:$L$403,5,False)*$X$19+VLOOKUP($O400,'NO USAR1'!$A$4:$L$403,6,False)*$Y$19+VLOOKUP($O400,'NO USAR1'!$A$4:$L$403,7,False)*$Z$19+VLOOKUP($O400,'NO USAR1'!$A$4:$L$403,8,False)*$AA$19+VLOOKUP($O400,'NO USAR1'!$A$4:$L$403,10,False)*$AB$19+VLOOKUP($O400,'NO USAR1'!$A$4:$L$403,12,False)*$AC$19+IF(Projections!$K$3,-AN400, IF(Projections!$J$3,-AM400,0))</f>
        <v>-6.266787808</v>
      </c>
      <c r="T400" s="127">
        <f t="shared" si="1"/>
        <v>3.857194631</v>
      </c>
      <c r="U400" s="127">
        <f>VLOOKUP($O400,Update!$B$2:$R$401,11,False)</f>
        <v>3.7</v>
      </c>
      <c r="V400" s="122">
        <f>VLOOKUP($O400,Update!$B$2:$R$401,10,False)</f>
        <v>0.4</v>
      </c>
      <c r="W400" s="127">
        <f>VLOOKUP($O400,Update!$B$2:$R$401,12,False)</f>
        <v>2.5</v>
      </c>
      <c r="X400" s="127">
        <f>VLOOKUP($O400,Update!$B$2:$R$401,13,False)</f>
        <v>0.4</v>
      </c>
      <c r="Y400" s="127">
        <f>VLOOKUP($O400,Update!$B$2:$R$401,14,False)</f>
        <v>0.2</v>
      </c>
      <c r="Z400" s="132">
        <f>VLOOKUP($O400,Update!$B$2:$R$401,15,False)</f>
        <v>0.1</v>
      </c>
      <c r="AA400" s="127">
        <f>100*VLOOKUP($O400,Update!$B$2:$R$401,7,False)</f>
        <v>55.55555556</v>
      </c>
      <c r="AB400" s="127">
        <f>100*VLOOKUP($O400,Update!$B$2:$R$401,9,False)</f>
        <v>66.66666667</v>
      </c>
      <c r="AC400" s="127">
        <f>VLOOKUP($O400,Update!$B$2:$Q$401,16,False)</f>
        <v>0.3</v>
      </c>
      <c r="AD400" s="127">
        <f>VLOOKUP($O400,'NO USAR1'!$A$4:$L$403,2,False)*$U$19</f>
        <v>-2.284655917</v>
      </c>
      <c r="AE400" s="127">
        <f>VLOOKUP($O400,'NO USAR1'!$A$4:$L$403,3,False)*$V$19</f>
        <v>-1.079286297</v>
      </c>
      <c r="AF400" s="127">
        <f>VLOOKUP($O400,'NO USAR1'!$A$4:$L$403,4,False)*$W$19</f>
        <v>-1.503401931</v>
      </c>
      <c r="AG400" s="127">
        <f>VLOOKUP($O400,'NO USAR1'!$A$4:$L$403,5,False)*$X$19</f>
        <v>-1.75652474</v>
      </c>
      <c r="AH400" s="127">
        <f>VLOOKUP($O400,'NO USAR1'!$A$4:$L$403,6,False)*$Y$19</f>
        <v>-1.732769878</v>
      </c>
      <c r="AI400" s="127">
        <f>VLOOKUP($O400,'NO USAR1'!$A$4:$L$403,7,False)*$Z$19</f>
        <v>-0.7896459159</v>
      </c>
      <c r="AJ400" s="127">
        <f>VLOOKUP($O400,'NO USAR1'!$A$4:$L$403,8,False)*$AA$19</f>
        <v>0.1606594916</v>
      </c>
      <c r="AK400" s="132">
        <f>VLOOKUP($O400,'NO USAR1'!$A$4:$L$403,10,False)*$AB$19</f>
        <v>-0.09194906691</v>
      </c>
      <c r="AL400" s="127">
        <f>VLOOKUP($O400,'NO USAR1'!$A$4:$L$403,12,False)*$AC$19</f>
        <v>0.5261305291</v>
      </c>
      <c r="AM400" s="133">
        <f t="shared" si="2"/>
        <v>-2.284655917</v>
      </c>
      <c r="AN400" s="133">
        <f t="shared" si="3"/>
        <v>-4.041180657</v>
      </c>
    </row>
    <row r="401">
      <c r="A401" s="118" t="str">
        <f>IF(Update!B399="",ROW(Update!B399),Update!B399)</f>
        <v>Admiral Schofield</v>
      </c>
      <c r="B401" s="119">
        <f>IF(TYPE($A401)=1,"",(Update!$L399-B$1)/B$2)</f>
        <v>-2.352066468</v>
      </c>
      <c r="C401" s="119">
        <f>IF(TYPE($A401)=1,"",(Update!$K399-C$1)/C$2)</f>
        <v>-1.00651171</v>
      </c>
      <c r="D401" s="119">
        <f>IF(TYPE($A401)=1,"",(Update!$M399-D$1)/D$2)</f>
        <v>-1.83792489</v>
      </c>
      <c r="E401" s="119">
        <f>IF(TYPE($A401)=1,"",(Update!$N399-E$1)/E$2)</f>
        <v>-1.504108926</v>
      </c>
      <c r="F401" s="119">
        <f>IF(TYPE($A401)=1,"",(Update!$O399-F$1)/F$2)</f>
        <v>-2.786885399</v>
      </c>
      <c r="G401" s="119">
        <f>IF(TYPE($A401)=1,"",(Update!$P399-G$1)/G$2)</f>
        <v>-1.128065594</v>
      </c>
      <c r="H401" s="119">
        <f>IF(TYPE($A401)=1,"",(Update!$H399-H$1)/H$2*I401/$I$1)</f>
        <v>-0.209491297</v>
      </c>
      <c r="I401" s="119">
        <f>IF(TYPE($A401)=1,"",IF(Update!H399=0,0,Update!G399/Update!H399))</f>
        <v>2.8</v>
      </c>
      <c r="J401" s="120">
        <f>IF(TYPE($A401)=1,"",(Update!$J399-J$1)/J$2*K401/$K$1)</f>
        <v>0.2616254933</v>
      </c>
      <c r="K401" s="121">
        <f>IF(TYPE($A401)=1,"",IF(Update!J399=0,0,Update!I399/Update!J399))</f>
        <v>0.4</v>
      </c>
      <c r="L401" s="119">
        <f>IF(TYPE($A401)=1,"",-(Update!$Q399-L$1)/L$2)</f>
        <v>1.980337098</v>
      </c>
      <c r="N401" s="33">
        <v>381.0</v>
      </c>
      <c r="O401" s="130" t="str">
        <f>IF(Update!B391="",ROW(Update!B391),Update!B391)</f>
        <v>Patty Mills</v>
      </c>
      <c r="P401" s="131">
        <f>Update!E391</f>
        <v>20</v>
      </c>
      <c r="Q401" s="131" t="str">
        <f>IF(Update!C391="",ROW(Update!N406),Update!C391)</f>
        <v>PG</v>
      </c>
      <c r="R401" s="127">
        <f>VLOOKUP($O401,'NO USAR1'!$A$4:$L$403,2,False)+VLOOKUP($O401,'NO USAR1'!$A$4:$L$403,3,False)+VLOOKUP($O401,'NO USAR1'!$A$4:$L$403,4,False)+VLOOKUP($O401,'NO USAR1'!$A$4:$L$403,5,False)+VLOOKUP($O401,'NO USAR1'!$A$4:$L$403,6,False)+VLOOKUP($O401,'NO USAR1'!$A$4:$L$403,7,False)+VLOOKUP($O401,'NO USAR1'!$A$4:$L$403,8,False)+VLOOKUP($O401,'NO USAR1'!$A$4:$L$403,10,False)+VLOOKUP($O401,'NO USAR1'!$A$4:$L$403,12,False)*0</f>
        <v>-10.16674673</v>
      </c>
      <c r="S401" s="127">
        <f>VLOOKUP($O401,'NO USAR1'!$A$4:$L$403,2,False)*$U$19+VLOOKUP($O401,'NO USAR1'!$A$4:$L$403,3,False)*$V$19+VLOOKUP($O401,'NO USAR1'!$A$4:$L$403,4,False)*$W$19+VLOOKUP($O401,'NO USAR1'!$A$4:$L$403,5,False)*$X$19+VLOOKUP($O401,'NO USAR1'!$A$4:$L$403,6,False)*$Y$19+VLOOKUP($O401,'NO USAR1'!$A$4:$L$403,7,False)*$Z$19+VLOOKUP($O401,'NO USAR1'!$A$4:$L$403,8,False)*$AA$19+VLOOKUP($O401,'NO USAR1'!$A$4:$L$403,10,False)*$AB$19+VLOOKUP($O401,'NO USAR1'!$A$4:$L$403,12,False)*$AC$19+IF(Projections!$K$3,-AN401, IF(Projections!$J$3,-AM401,0))</f>
        <v>-6.416490274</v>
      </c>
      <c r="T401" s="127">
        <f t="shared" si="1"/>
        <v>3.750256458</v>
      </c>
      <c r="U401" s="127">
        <f>VLOOKUP($O401,Update!$B$2:$R$401,11,False)</f>
        <v>4.2</v>
      </c>
      <c r="V401" s="122">
        <f>VLOOKUP($O401,Update!$B$2:$R$401,10,False)</f>
        <v>1</v>
      </c>
      <c r="W401" s="127">
        <f>VLOOKUP($O401,Update!$B$2:$R$401,12,False)</f>
        <v>0.7</v>
      </c>
      <c r="X401" s="127">
        <f>VLOOKUP($O401,Update!$B$2:$R$401,13,False)</f>
        <v>0.9</v>
      </c>
      <c r="Y401" s="127">
        <f>VLOOKUP($O401,Update!$B$2:$R$401,14,False)</f>
        <v>0.2</v>
      </c>
      <c r="Z401" s="132">
        <f>VLOOKUP($O401,Update!$B$2:$R$401,15,False)</f>
        <v>0.1</v>
      </c>
      <c r="AA401" s="127">
        <f>100*VLOOKUP($O401,Update!$B$2:$R$401,7,False)</f>
        <v>41.66666667</v>
      </c>
      <c r="AB401" s="127">
        <f>100*VLOOKUP($O401,Update!$B$2:$R$401,9,False)</f>
        <v>100</v>
      </c>
      <c r="AC401" s="127">
        <f>VLOOKUP($O401,Update!$B$2:$Q$401,16,False)</f>
        <v>0.4</v>
      </c>
      <c r="AD401" s="127">
        <f>VLOOKUP($O401,'NO USAR1'!$A$4:$L$403,2,False)*$U$19</f>
        <v>-2.200392728</v>
      </c>
      <c r="AE401" s="127">
        <f>VLOOKUP($O401,'NO USAR1'!$A$4:$L$403,3,False)*$V$19</f>
        <v>-0.5590090247</v>
      </c>
      <c r="AF401" s="127">
        <f>VLOOKUP($O401,'NO USAR1'!$A$4:$L$403,4,False)*$W$19</f>
        <v>-2.256078588</v>
      </c>
      <c r="AG401" s="127">
        <f>VLOOKUP($O401,'NO USAR1'!$A$4:$L$403,5,False)*$X$19</f>
        <v>-1.501512437</v>
      </c>
      <c r="AH401" s="127">
        <f>VLOOKUP($O401,'NO USAR1'!$A$4:$L$403,6,False)*$Y$19</f>
        <v>-1.732769878</v>
      </c>
      <c r="AI401" s="127">
        <f>VLOOKUP($O401,'NO USAR1'!$A$4:$L$403,7,False)*$Z$19</f>
        <v>-0.7896459159</v>
      </c>
      <c r="AJ401" s="127">
        <f>VLOOKUP($O401,'NO USAR1'!$A$4:$L$403,8,False)*$AA$19</f>
        <v>-0.2852198592</v>
      </c>
      <c r="AK401" s="132">
        <f>VLOOKUP($O401,'NO USAR1'!$A$4:$L$403,10,False)*$AB$19</f>
        <v>0.156975296</v>
      </c>
      <c r="AL401" s="127">
        <f>VLOOKUP($O401,'NO USAR1'!$A$4:$L$403,12,False)*$AC$19</f>
        <v>0.4950842744</v>
      </c>
      <c r="AM401" s="133">
        <f t="shared" si="2"/>
        <v>-2.256078588</v>
      </c>
      <c r="AN401" s="133">
        <f t="shared" si="3"/>
        <v>-4.456471317</v>
      </c>
    </row>
    <row r="402">
      <c r="A402" s="118" t="str">
        <f>IF(Update!B400="",ROW(Update!B400),Update!B400)</f>
        <v>Dalano Banton</v>
      </c>
      <c r="B402" s="119">
        <f>IF(TYPE($A402)=1,"",(Update!$L400-B$1)/B$2)</f>
        <v>-2.402624381</v>
      </c>
      <c r="C402" s="119">
        <f>IF(TYPE($A402)=1,"",(Update!$K400-C$1)/C$2)</f>
        <v>-1.391902282</v>
      </c>
      <c r="D402" s="119">
        <f>IF(TYPE($A402)=1,"",(Update!$M400-D$1)/D$2)</f>
        <v>-1.921555629</v>
      </c>
      <c r="E402" s="119">
        <f>IF(TYPE($A402)=1,"",(Update!$N400-E$1)/E$2)</f>
        <v>-1.225913687</v>
      </c>
      <c r="F402" s="119">
        <f>IF(TYPE($A402)=1,"",(Update!$O400-F$1)/F$2)</f>
        <v>-1.852385824</v>
      </c>
      <c r="G402" s="119">
        <f>IF(TYPE($A402)=1,"",(Update!$P400-G$1)/G$2)</f>
        <v>-0.9404715375</v>
      </c>
      <c r="H402" s="119">
        <f>IF(TYPE($A402)=1,"",(Update!$H400-H$1)/H$2*I402/$I$1)</f>
        <v>-0.2645381304</v>
      </c>
      <c r="I402" s="119">
        <f>IF(TYPE($A402)=1,"",IF(Update!H400=0,0,Update!G400/Update!H400))</f>
        <v>2.9</v>
      </c>
      <c r="J402" s="120">
        <f>IF(TYPE($A402)=1,"",(Update!$J400-J$1)/J$2*K402/$K$1)</f>
        <v>-0.2298726673</v>
      </c>
      <c r="K402" s="121">
        <f>IF(TYPE($A402)=1,"",IF(Update!J400=0,0,Update!I400/Update!J400))</f>
        <v>0.6</v>
      </c>
      <c r="L402" s="119">
        <f>IF(TYPE($A402)=1,"",-(Update!$Q400-L$1)/L$2)</f>
        <v>1.73196706</v>
      </c>
      <c r="N402" s="124">
        <v>382.0</v>
      </c>
      <c r="O402" s="130" t="str">
        <f>IF(Update!B383="",ROW(Update!B383),Update!B383)</f>
        <v>Robin Lopez</v>
      </c>
      <c r="P402" s="131">
        <f>Update!E383</f>
        <v>68</v>
      </c>
      <c r="Q402" s="131" t="str">
        <f>IF(Update!C383="",ROW(Update!N398),Update!C383)</f>
        <v>C</v>
      </c>
      <c r="R402" s="127">
        <f>VLOOKUP($O402,'NO USAR1'!$A$4:$L$403,2,False)+VLOOKUP($O402,'NO USAR1'!$A$4:$L$403,3,False)+VLOOKUP($O402,'NO USAR1'!$A$4:$L$403,4,False)+VLOOKUP($O402,'NO USAR1'!$A$4:$L$403,5,False)+VLOOKUP($O402,'NO USAR1'!$A$4:$L$403,6,False)+VLOOKUP($O402,'NO USAR1'!$A$4:$L$403,7,False)+VLOOKUP($O402,'NO USAR1'!$A$4:$L$403,8,False)+VLOOKUP($O402,'NO USAR1'!$A$4:$L$403,10,False)+VLOOKUP($O402,'NO USAR1'!$A$4:$L$403,12,False)*0</f>
        <v>-10.16840824</v>
      </c>
      <c r="S402" s="127">
        <f>VLOOKUP($O402,'NO USAR1'!$A$4:$L$403,2,False)*$U$19+VLOOKUP($O402,'NO USAR1'!$A$4:$L$403,3,False)*$V$19+VLOOKUP($O402,'NO USAR1'!$A$4:$L$403,4,False)*$W$19+VLOOKUP($O402,'NO USAR1'!$A$4:$L$403,5,False)*$X$19+VLOOKUP($O402,'NO USAR1'!$A$4:$L$403,6,False)*$Y$19+VLOOKUP($O402,'NO USAR1'!$A$4:$L$403,7,False)*$Z$19+VLOOKUP($O402,'NO USAR1'!$A$4:$L$403,8,False)*$AA$19+VLOOKUP($O402,'NO USAR1'!$A$4:$L$403,10,False)*$AB$19+VLOOKUP($O402,'NO USAR1'!$A$4:$L$403,12,False)*$AC$19+IF(Projections!$K$3,-AN402, IF(Projections!$J$3,-AM402,0))</f>
        <v>-6.570316671</v>
      </c>
      <c r="T402" s="127">
        <f t="shared" si="1"/>
        <v>3.59809157</v>
      </c>
      <c r="U402" s="127">
        <f>VLOOKUP($O402,Update!$B$2:$R$401,11,False)</f>
        <v>4.5</v>
      </c>
      <c r="V402" s="122">
        <f>VLOOKUP($O402,Update!$B$2:$R$401,10,False)</f>
        <v>0.1</v>
      </c>
      <c r="W402" s="127">
        <f>VLOOKUP($O402,Update!$B$2:$R$401,12,False)</f>
        <v>2.2</v>
      </c>
      <c r="X402" s="127">
        <f>VLOOKUP($O402,Update!$B$2:$R$401,13,False)</f>
        <v>0.9</v>
      </c>
      <c r="Y402" s="127">
        <f>VLOOKUP($O402,Update!$B$2:$R$401,14,False)</f>
        <v>0.1</v>
      </c>
      <c r="Z402" s="132">
        <f>VLOOKUP($O402,Update!$B$2:$R$401,15,False)</f>
        <v>0.3</v>
      </c>
      <c r="AA402" s="127">
        <f>100*VLOOKUP($O402,Update!$B$2:$R$401,7,False)</f>
        <v>58.82352941</v>
      </c>
      <c r="AB402" s="127">
        <f>100*VLOOKUP($O402,Update!$B$2:$R$401,9,False)</f>
        <v>66.66666667</v>
      </c>
      <c r="AC402" s="127">
        <f>VLOOKUP($O402,Update!$B$2:$Q$401,16,False)</f>
        <v>0.9</v>
      </c>
      <c r="AD402" s="127">
        <f>VLOOKUP($O402,'NO USAR1'!$A$4:$L$403,2,False)*$U$19</f>
        <v>-2.149834815</v>
      </c>
      <c r="AE402" s="127">
        <f>VLOOKUP($O402,'NO USAR1'!$A$4:$L$403,3,False)*$V$19</f>
        <v>-1.339424933</v>
      </c>
      <c r="AF402" s="127">
        <f>VLOOKUP($O402,'NO USAR1'!$A$4:$L$403,4,False)*$W$19</f>
        <v>-1.62884804</v>
      </c>
      <c r="AG402" s="127">
        <f>VLOOKUP($O402,'NO USAR1'!$A$4:$L$403,5,False)*$X$19</f>
        <v>-1.501512437</v>
      </c>
      <c r="AH402" s="127">
        <f>VLOOKUP($O402,'NO USAR1'!$A$4:$L$403,6,False)*$Y$19</f>
        <v>-1.950819779</v>
      </c>
      <c r="AI402" s="127">
        <f>VLOOKUP($O402,'NO USAR1'!$A$4:$L$403,7,False)*$Z$19</f>
        <v>-0.5270142365</v>
      </c>
      <c r="AJ402" s="127">
        <f>VLOOKUP($O402,'NO USAR1'!$A$4:$L$403,8,False)*$AA$19</f>
        <v>0.3132969556</v>
      </c>
      <c r="AK402" s="132">
        <f>VLOOKUP($O402,'NO USAR1'!$A$4:$L$403,10,False)*$AB$19</f>
        <v>-0.2758472007</v>
      </c>
      <c r="AL402" s="127">
        <f>VLOOKUP($O402,'NO USAR1'!$A$4:$L$403,12,False)*$AC$19</f>
        <v>0.3398530011</v>
      </c>
      <c r="AM402" s="133">
        <f t="shared" si="2"/>
        <v>-2.149834815</v>
      </c>
      <c r="AN402" s="133">
        <f t="shared" si="3"/>
        <v>-4.100654595</v>
      </c>
    </row>
    <row r="403">
      <c r="A403" s="118" t="str">
        <f>IF(Update!B401="",ROW(Update!B401),Update!B401)</f>
        <v>Jay Huff</v>
      </c>
      <c r="B403" s="119">
        <f>IF(TYPE($A403)=1,"",(Update!$L401-B$1)/B$2)</f>
        <v>-2.571150758</v>
      </c>
      <c r="C403" s="119">
        <f>IF(TYPE($A403)=1,"",(Update!$K401-C$1)/C$2)</f>
        <v>-1.391902282</v>
      </c>
      <c r="D403" s="119">
        <f>IF(TYPE($A403)=1,"",(Update!$M401-D$1)/D$2)</f>
        <v>-2.130632479</v>
      </c>
      <c r="E403" s="119">
        <f>IF(TYPE($A403)=1,"",(Update!$N401-E$1)/E$2)</f>
        <v>-1.596840673</v>
      </c>
      <c r="F403" s="119">
        <f>IF(TYPE($A403)=1,"",(Update!$O401-F$1)/F$2)</f>
        <v>-2.475385541</v>
      </c>
      <c r="G403" s="119">
        <f>IF(TYPE($A403)=1,"",(Update!$P401-G$1)/G$2)</f>
        <v>-0.9404715375</v>
      </c>
      <c r="H403" s="119">
        <f>IF(TYPE($A403)=1,"",(Update!$H401-H$1)/H$2*I403/$I$1)</f>
        <v>0.0603948518</v>
      </c>
      <c r="I403" s="119">
        <f>IF(TYPE($A403)=1,"",IF(Update!H401=0,0,Update!G401/Update!H401))</f>
        <v>1.1</v>
      </c>
      <c r="J403" s="120">
        <f>IF(TYPE($A403)=1,"",(Update!$J401-J$1)/J$2*K403/$K$1)</f>
        <v>0.3924382399</v>
      </c>
      <c r="K403" s="121">
        <f>IF(TYPE($A403)=1,"",IF(Update!J401=0,0,Update!I401/Update!J401))</f>
        <v>0.6</v>
      </c>
      <c r="L403" s="119">
        <f>IF(TYPE($A403)=1,"",-(Update!$Q401-L$1)/L$2)</f>
        <v>2.228707135</v>
      </c>
      <c r="N403" s="124">
        <v>383.0</v>
      </c>
      <c r="O403" s="130" t="str">
        <f>IF(Update!B384="",ROW(Update!B384),Update!B384)</f>
        <v>Jeff Green</v>
      </c>
      <c r="P403" s="131">
        <f>Update!E384</f>
        <v>40</v>
      </c>
      <c r="Q403" s="131" t="str">
        <f>IF(Update!C384="",ROW(Update!N399),Update!C384)</f>
        <v>PF,C</v>
      </c>
      <c r="R403" s="127">
        <f>VLOOKUP($O403,'NO USAR1'!$A$4:$L$403,2,False)+VLOOKUP($O403,'NO USAR1'!$A$4:$L$403,3,False)+VLOOKUP($O403,'NO USAR1'!$A$4:$L$403,4,False)+VLOOKUP($O403,'NO USAR1'!$A$4:$L$403,5,False)+VLOOKUP($O403,'NO USAR1'!$A$4:$L$403,6,False)+VLOOKUP($O403,'NO USAR1'!$A$4:$L$403,7,False)+VLOOKUP($O403,'NO USAR1'!$A$4:$L$403,8,False)+VLOOKUP($O403,'NO USAR1'!$A$4:$L$403,10,False)+VLOOKUP($O403,'NO USAR1'!$A$4:$L$403,12,False)*0</f>
        <v>-10.17911168</v>
      </c>
      <c r="S403" s="127">
        <f>VLOOKUP($O403,'NO USAR1'!$A$4:$L$403,2,False)*$U$19+VLOOKUP($O403,'NO USAR1'!$A$4:$L$403,3,False)*$V$19+VLOOKUP($O403,'NO USAR1'!$A$4:$L$403,4,False)*$W$19+VLOOKUP($O403,'NO USAR1'!$A$4:$L$403,5,False)*$X$19+VLOOKUP($O403,'NO USAR1'!$A$4:$L$403,6,False)*$Y$19+VLOOKUP($O403,'NO USAR1'!$A$4:$L$403,7,False)*$Z$19+VLOOKUP($O403,'NO USAR1'!$A$4:$L$403,8,False)*$AA$19+VLOOKUP($O403,'NO USAR1'!$A$4:$L$403,10,False)*$AB$19+VLOOKUP($O403,'NO USAR1'!$A$4:$L$403,12,False)*$AC$19+IF(Projections!$K$3,-AN403, IF(Projections!$J$3,-AM403,0))</f>
        <v>-6.53980092</v>
      </c>
      <c r="T403" s="127">
        <f t="shared" si="1"/>
        <v>3.639310761</v>
      </c>
      <c r="U403" s="127">
        <f>VLOOKUP($O403,Update!$B$2:$R$401,11,False)</f>
        <v>4.4</v>
      </c>
      <c r="V403" s="122">
        <f>VLOOKUP($O403,Update!$B$2:$R$401,10,False)</f>
        <v>0.3</v>
      </c>
      <c r="W403" s="127">
        <f>VLOOKUP($O403,Update!$B$2:$R$401,12,False)</f>
        <v>1.4</v>
      </c>
      <c r="X403" s="127">
        <f>VLOOKUP($O403,Update!$B$2:$R$401,13,False)</f>
        <v>0.6</v>
      </c>
      <c r="Y403" s="127">
        <f>VLOOKUP($O403,Update!$B$2:$R$401,14,False)</f>
        <v>0.2</v>
      </c>
      <c r="Z403" s="132">
        <f>VLOOKUP($O403,Update!$B$2:$R$401,15,False)</f>
        <v>0.2</v>
      </c>
      <c r="AA403" s="127">
        <f>100*VLOOKUP($O403,Update!$B$2:$R$401,7,False)</f>
        <v>51.61290323</v>
      </c>
      <c r="AB403" s="127">
        <f>100*VLOOKUP($O403,Update!$B$2:$R$401,9,False)</f>
        <v>81.81818182</v>
      </c>
      <c r="AC403" s="127">
        <f>VLOOKUP($O403,Update!$B$2:$Q$401,16,False)</f>
        <v>0.4</v>
      </c>
      <c r="AD403" s="127">
        <f>VLOOKUP($O403,'NO USAR1'!$A$4:$L$403,2,False)*$U$19</f>
        <v>-2.166687453</v>
      </c>
      <c r="AE403" s="127">
        <f>VLOOKUP($O403,'NO USAR1'!$A$4:$L$403,3,False)*$V$19</f>
        <v>-1.165999176</v>
      </c>
      <c r="AF403" s="127">
        <f>VLOOKUP($O403,'NO USAR1'!$A$4:$L$403,4,False)*$W$19</f>
        <v>-1.963370999</v>
      </c>
      <c r="AG403" s="127">
        <f>VLOOKUP($O403,'NO USAR1'!$A$4:$L$403,5,False)*$X$19</f>
        <v>-1.654519819</v>
      </c>
      <c r="AH403" s="127">
        <f>VLOOKUP($O403,'NO USAR1'!$A$4:$L$403,6,False)*$Y$19</f>
        <v>-1.732769878</v>
      </c>
      <c r="AI403" s="127">
        <f>VLOOKUP($O403,'NO USAR1'!$A$4:$L$403,7,False)*$Z$19</f>
        <v>-0.6583300762</v>
      </c>
      <c r="AJ403" s="127">
        <f>VLOOKUP($O403,'NO USAR1'!$A$4:$L$403,8,False)*$AA$19</f>
        <v>0.06237739418</v>
      </c>
      <c r="AK403" s="132">
        <f>VLOOKUP($O403,'NO USAR1'!$A$4:$L$403,10,False)*$AB$19</f>
        <v>0.07772735943</v>
      </c>
      <c r="AL403" s="127">
        <f>VLOOKUP($O403,'NO USAR1'!$A$4:$L$403,12,False)*$AC$19</f>
        <v>0.4950842744</v>
      </c>
      <c r="AM403" s="133">
        <f t="shared" si="2"/>
        <v>-2.166687453</v>
      </c>
      <c r="AN403" s="133">
        <f t="shared" si="3"/>
        <v>-4.130058452</v>
      </c>
    </row>
    <row r="404">
      <c r="A404">
        <f>IF(Update!B402="",ROW(Update!B402),Update!B402)</f>
        <v>402</v>
      </c>
      <c r="B404" s="119" t="str">
        <f>IF(TYPE($A404)=1,"",(Update!$L402-B$1)/B$2)</f>
        <v/>
      </c>
      <c r="C404" s="119" t="str">
        <f>IF(TYPE($A404)=1,"",(Update!$K402-C$1)/C$2)</f>
        <v/>
      </c>
      <c r="D404" s="119" t="str">
        <f>IF(TYPE($A404)=1,"",(Update!$M402-D$1)/D$2)</f>
        <v/>
      </c>
      <c r="E404" s="119" t="str">
        <f>IF(TYPE($A404)=1,"",(Update!$N402-E$1)/E$2)</f>
        <v/>
      </c>
      <c r="F404" s="119" t="str">
        <f>IF(TYPE($A404)=1,"",(Update!$O402-F$1)/F$2)</f>
        <v/>
      </c>
      <c r="G404" s="119" t="str">
        <f>IF(TYPE($A404)=1,"",(Update!$P402-G$1)/G$2)</f>
        <v/>
      </c>
      <c r="H404" s="119" t="str">
        <f>IF(TYPE($A404)=1,"",(Update!$H402-H$1)/H$2*I404/$I$1)</f>
        <v/>
      </c>
      <c r="I404" s="119" t="str">
        <f>IF(TYPE($A404)=1,"",IF(Update!H402=0,0,Update!G402/Update!H402))</f>
        <v/>
      </c>
      <c r="J404" s="120" t="str">
        <f>IF(TYPE($A404)=1,"",(Update!$J402-J$1)/J$2*K404/$K$1)</f>
        <v/>
      </c>
      <c r="K404" s="121" t="str">
        <f>IF(TYPE($A404)=1,"",IF(Update!J402=0,0,Update!I402/Update!J402))</f>
        <v/>
      </c>
      <c r="L404" s="119" t="str">
        <f>IF(TYPE($A404)=1,"",-(Update!$Q402-L$1)/L$2)</f>
        <v/>
      </c>
      <c r="N404" s="33">
        <v>384.0</v>
      </c>
      <c r="O404" s="130" t="str">
        <f>IF(Update!B387="",ROW(Update!B387),Update!B387)</f>
        <v>Alex Len</v>
      </c>
      <c r="P404" s="131">
        <f>Update!E387</f>
        <v>30</v>
      </c>
      <c r="Q404" s="131" t="str">
        <f>IF(Update!C387="",ROW(Update!N402),Update!C387)</f>
        <v>C</v>
      </c>
      <c r="R404" s="127">
        <f>VLOOKUP($O404,'NO USAR1'!$A$4:$L$403,2,False)+VLOOKUP($O404,'NO USAR1'!$A$4:$L$403,3,False)+VLOOKUP($O404,'NO USAR1'!$A$4:$L$403,4,False)+VLOOKUP($O404,'NO USAR1'!$A$4:$L$403,5,False)+VLOOKUP($O404,'NO USAR1'!$A$4:$L$403,6,False)+VLOOKUP($O404,'NO USAR1'!$A$4:$L$403,7,False)+VLOOKUP($O404,'NO USAR1'!$A$4:$L$403,8,False)+VLOOKUP($O404,'NO USAR1'!$A$4:$L$403,10,False)+VLOOKUP($O404,'NO USAR1'!$A$4:$L$403,12,False)*0</f>
        <v>-10.2048888</v>
      </c>
      <c r="S404" s="127">
        <f>VLOOKUP($O404,'NO USAR1'!$A$4:$L$403,2,False)*$U$19+VLOOKUP($O404,'NO USAR1'!$A$4:$L$403,3,False)*$V$19+VLOOKUP($O404,'NO USAR1'!$A$4:$L$403,4,False)*$W$19+VLOOKUP($O404,'NO USAR1'!$A$4:$L$403,5,False)*$X$19+VLOOKUP($O404,'NO USAR1'!$A$4:$L$403,6,False)*$Y$19+VLOOKUP($O404,'NO USAR1'!$A$4:$L$403,7,False)*$Z$19+VLOOKUP($O404,'NO USAR1'!$A$4:$L$403,8,False)*$AA$19+VLOOKUP($O404,'NO USAR1'!$A$4:$L$403,10,False)*$AB$19+VLOOKUP($O404,'NO USAR1'!$A$4:$L$403,12,False)*$AC$19+IF(Projections!$K$3,-AN404, IF(Projections!$J$3,-AM404,0))</f>
        <v>-6.40177503</v>
      </c>
      <c r="T404" s="127">
        <f t="shared" si="1"/>
        <v>3.803113765</v>
      </c>
      <c r="U404" s="127">
        <f>VLOOKUP($O404,Update!$B$2:$R$401,11,False)</f>
        <v>3</v>
      </c>
      <c r="V404" s="122">
        <f>VLOOKUP($O404,Update!$B$2:$R$401,10,False)</f>
        <v>0.1</v>
      </c>
      <c r="W404" s="127">
        <f>VLOOKUP($O404,Update!$B$2:$R$401,12,False)</f>
        <v>2.4</v>
      </c>
      <c r="X404" s="127">
        <f>VLOOKUP($O404,Update!$B$2:$R$401,13,False)</f>
        <v>0.6</v>
      </c>
      <c r="Y404" s="127">
        <f>VLOOKUP($O404,Update!$B$2:$R$401,14,False)</f>
        <v>0.2</v>
      </c>
      <c r="Z404" s="132">
        <f>VLOOKUP($O404,Update!$B$2:$R$401,15,False)</f>
        <v>0.4</v>
      </c>
      <c r="AA404" s="127">
        <f>100*VLOOKUP($O404,Update!$B$2:$R$401,7,False)</f>
        <v>54.54545455</v>
      </c>
      <c r="AB404" s="127">
        <f>100*VLOOKUP($O404,Update!$B$2:$R$401,9,False)</f>
        <v>66.66666667</v>
      </c>
      <c r="AC404" s="127">
        <f>VLOOKUP($O404,Update!$B$2:$Q$401,16,False)</f>
        <v>0.6</v>
      </c>
      <c r="AD404" s="127">
        <f>VLOOKUP($O404,'NO USAR1'!$A$4:$L$403,2,False)*$U$19</f>
        <v>-2.402624381</v>
      </c>
      <c r="AE404" s="127">
        <f>VLOOKUP($O404,'NO USAR1'!$A$4:$L$403,3,False)*$V$19</f>
        <v>-1.339424933</v>
      </c>
      <c r="AF404" s="127">
        <f>VLOOKUP($O404,'NO USAR1'!$A$4:$L$403,4,False)*$W$19</f>
        <v>-1.545217301</v>
      </c>
      <c r="AG404" s="127">
        <f>VLOOKUP($O404,'NO USAR1'!$A$4:$L$403,5,False)*$X$19</f>
        <v>-1.654519819</v>
      </c>
      <c r="AH404" s="127">
        <f>VLOOKUP($O404,'NO USAR1'!$A$4:$L$403,6,False)*$Y$19</f>
        <v>-1.732769878</v>
      </c>
      <c r="AI404" s="127">
        <f>VLOOKUP($O404,'NO USAR1'!$A$4:$L$403,7,False)*$Z$19</f>
        <v>-0.3956983969</v>
      </c>
      <c r="AJ404" s="127">
        <f>VLOOKUP($O404,'NO USAR1'!$A$4:$L$403,8,False)*$AA$19</f>
        <v>0.1087107332</v>
      </c>
      <c r="AK404" s="132">
        <f>VLOOKUP($O404,'NO USAR1'!$A$4:$L$403,10,False)*$AB$19</f>
        <v>-0.2758472007</v>
      </c>
      <c r="AL404" s="127">
        <f>VLOOKUP($O404,'NO USAR1'!$A$4:$L$403,12,False)*$AC$19</f>
        <v>0.4329917651</v>
      </c>
      <c r="AM404" s="133">
        <f t="shared" si="2"/>
        <v>-2.402624381</v>
      </c>
      <c r="AN404" s="133">
        <f t="shared" si="3"/>
        <v>-4.135394259</v>
      </c>
    </row>
    <row r="405">
      <c r="A405">
        <f>IF(Update!B403="",ROW(Update!B403),Update!B403)</f>
        <v>403</v>
      </c>
      <c r="B405" s="119" t="str">
        <f>IF(TYPE($A405)=1,"",(Update!$L403-B$1)/B$2)</f>
        <v/>
      </c>
      <c r="C405" s="119" t="str">
        <f>IF(TYPE($A405)=1,"",(Update!$K403-C$1)/C$2)</f>
        <v/>
      </c>
      <c r="D405" s="119" t="str">
        <f>IF(TYPE($A405)=1,"",(Update!$M403-D$1)/D$2)</f>
        <v/>
      </c>
      <c r="E405" s="119" t="str">
        <f>IF(TYPE($A405)=1,"",(Update!$N403-E$1)/E$2)</f>
        <v/>
      </c>
      <c r="F405" s="119" t="str">
        <f>IF(TYPE($A405)=1,"",(Update!$O403-F$1)/F$2)</f>
        <v/>
      </c>
      <c r="G405" s="119" t="str">
        <f>IF(TYPE($A405)=1,"",(Update!$P403-G$1)/G$2)</f>
        <v/>
      </c>
      <c r="H405" s="119" t="str">
        <f>IF(TYPE($A405)=1,"",(Update!$H403-H$1)/H$2*I405/$I$1)</f>
        <v/>
      </c>
      <c r="I405" s="119" t="str">
        <f>IF(TYPE($A405)=1,"",IF(Update!H403=0,0,Update!G403/Update!H403))</f>
        <v/>
      </c>
      <c r="J405" s="120" t="str">
        <f>IF(TYPE($A405)=1,"",(Update!$J403-J$1)/J$2*K405/$K$1)</f>
        <v/>
      </c>
      <c r="K405" s="121" t="str">
        <f>IF(TYPE($A405)=1,"",IF(Update!J403=0,0,Update!I403/Update!J403))</f>
        <v/>
      </c>
      <c r="L405" s="119" t="str">
        <f>IF(TYPE($A405)=1,"",-(Update!$Q403-L$1)/L$2)</f>
        <v/>
      </c>
      <c r="N405" s="33">
        <v>385.0</v>
      </c>
      <c r="O405" s="130" t="str">
        <f>IF(Update!B381="",ROW(Update!B381),Update!B381)</f>
        <v>Jabari Walker</v>
      </c>
      <c r="P405" s="131">
        <f>Update!E381</f>
        <v>68</v>
      </c>
      <c r="Q405" s="131" t="str">
        <f>IF(Update!C381="",ROW(Update!N396),Update!C381)</f>
        <v>SF,PF</v>
      </c>
      <c r="R405" s="127">
        <f>VLOOKUP($O405,'NO USAR1'!$A$4:$L$403,2,False)+VLOOKUP($O405,'NO USAR1'!$A$4:$L$403,3,False)+VLOOKUP($O405,'NO USAR1'!$A$4:$L$403,4,False)+VLOOKUP($O405,'NO USAR1'!$A$4:$L$403,5,False)+VLOOKUP($O405,'NO USAR1'!$A$4:$L$403,6,False)+VLOOKUP($O405,'NO USAR1'!$A$4:$L$403,7,False)+VLOOKUP($O405,'NO USAR1'!$A$4:$L$403,8,False)+VLOOKUP($O405,'NO USAR1'!$A$4:$L$403,10,False)+VLOOKUP($O405,'NO USAR1'!$A$4:$L$403,12,False)*0</f>
        <v>-10.21017838</v>
      </c>
      <c r="S405" s="127">
        <f>VLOOKUP($O405,'NO USAR1'!$A$4:$L$403,2,False)*$U$19+VLOOKUP($O405,'NO USAR1'!$A$4:$L$403,3,False)*$V$19+VLOOKUP($O405,'NO USAR1'!$A$4:$L$403,4,False)*$W$19+VLOOKUP($O405,'NO USAR1'!$A$4:$L$403,5,False)*$X$19+VLOOKUP($O405,'NO USAR1'!$A$4:$L$403,6,False)*$Y$19+VLOOKUP($O405,'NO USAR1'!$A$4:$L$403,7,False)*$Z$19+VLOOKUP($O405,'NO USAR1'!$A$4:$L$403,8,False)*$AA$19+VLOOKUP($O405,'NO USAR1'!$A$4:$L$403,10,False)*$AB$19+VLOOKUP($O405,'NO USAR1'!$A$4:$L$403,12,False)*$AC$19+IF(Projections!$K$3,-AN405, IF(Projections!$J$3,-AM405,0))</f>
        <v>-6.50703517</v>
      </c>
      <c r="T405" s="127">
        <f t="shared" si="1"/>
        <v>3.703143205</v>
      </c>
      <c r="U405" s="127">
        <f>VLOOKUP($O405,Update!$B$2:$R$401,11,False)</f>
        <v>4.2</v>
      </c>
      <c r="V405" s="122">
        <f>VLOOKUP($O405,Update!$B$2:$R$401,10,False)</f>
        <v>0.3</v>
      </c>
      <c r="W405" s="127">
        <f>VLOOKUP($O405,Update!$B$2:$R$401,12,False)</f>
        <v>2.4</v>
      </c>
      <c r="X405" s="127">
        <f>VLOOKUP($O405,Update!$B$2:$R$401,13,False)</f>
        <v>0.6</v>
      </c>
      <c r="Y405" s="127">
        <f>VLOOKUP($O405,Update!$B$2:$R$401,14,False)</f>
        <v>0.2</v>
      </c>
      <c r="Z405" s="132">
        <f>VLOOKUP($O405,Update!$B$2:$R$401,15,False)</f>
        <v>0.2</v>
      </c>
      <c r="AA405" s="127">
        <f>100*VLOOKUP($O405,Update!$B$2:$R$401,7,False)</f>
        <v>45.94594595</v>
      </c>
      <c r="AB405" s="127">
        <f>100*VLOOKUP($O405,Update!$B$2:$R$401,9,False)</f>
        <v>75</v>
      </c>
      <c r="AC405" s="127">
        <f>VLOOKUP($O405,Update!$B$2:$Q$401,16,False)</f>
        <v>0.5</v>
      </c>
      <c r="AD405" s="127">
        <f>VLOOKUP($O405,'NO USAR1'!$A$4:$L$403,2,False)*$U$19</f>
        <v>-2.200392728</v>
      </c>
      <c r="AE405" s="127">
        <f>VLOOKUP($O405,'NO USAR1'!$A$4:$L$403,3,False)*$V$19</f>
        <v>-1.165999176</v>
      </c>
      <c r="AF405" s="127">
        <f>VLOOKUP($O405,'NO USAR1'!$A$4:$L$403,4,False)*$W$19</f>
        <v>-1.545217301</v>
      </c>
      <c r="AG405" s="127">
        <f>VLOOKUP($O405,'NO USAR1'!$A$4:$L$403,5,False)*$X$19</f>
        <v>-1.654519819</v>
      </c>
      <c r="AH405" s="127">
        <f>VLOOKUP($O405,'NO USAR1'!$A$4:$L$403,6,False)*$Y$19</f>
        <v>-1.732769878</v>
      </c>
      <c r="AI405" s="127">
        <f>VLOOKUP($O405,'NO USAR1'!$A$4:$L$403,7,False)*$Z$19</f>
        <v>-0.6583300762</v>
      </c>
      <c r="AJ405" s="127">
        <f>VLOOKUP($O405,'NO USAR1'!$A$4:$L$403,8,False)*$AA$19</f>
        <v>-0.1349890034</v>
      </c>
      <c r="AK405" s="132">
        <f>VLOOKUP($O405,'NO USAR1'!$A$4:$L$403,10,False)*$AB$19</f>
        <v>-0.07924793652</v>
      </c>
      <c r="AL405" s="127">
        <f>VLOOKUP($O405,'NO USAR1'!$A$4:$L$403,12,False)*$AC$19</f>
        <v>0.4640380197</v>
      </c>
      <c r="AM405" s="133">
        <f t="shared" si="2"/>
        <v>-2.200392728</v>
      </c>
      <c r="AN405" s="133">
        <f t="shared" si="3"/>
        <v>-3.933162607</v>
      </c>
    </row>
    <row r="406">
      <c r="A406">
        <f>IF(Update!B404="",ROW(Update!B404),Update!B404)</f>
        <v>404</v>
      </c>
      <c r="B406" s="119" t="str">
        <f>IF(TYPE($A406)=1,"",(Update!$L404-B$1)/B$2)</f>
        <v/>
      </c>
      <c r="C406" s="119" t="str">
        <f>IF(TYPE($A406)=1,"",(Update!$K404-C$1)/C$2)</f>
        <v/>
      </c>
      <c r="D406" s="119" t="str">
        <f>IF(TYPE($A406)=1,"",(Update!$M404-D$1)/D$2)</f>
        <v/>
      </c>
      <c r="E406" s="119" t="str">
        <f>IF(TYPE($A406)=1,"",(Update!$N404-E$1)/E$2)</f>
        <v/>
      </c>
      <c r="F406" s="119" t="str">
        <f>IF(TYPE($A406)=1,"",(Update!$O404-F$1)/F$2)</f>
        <v/>
      </c>
      <c r="G406" s="119" t="str">
        <f>IF(TYPE($A406)=1,"",(Update!$P404-G$1)/G$2)</f>
        <v/>
      </c>
      <c r="H406" s="119" t="str">
        <f>IF(TYPE($A406)=1,"",(Update!$H404-H$1)/H$2*I406/$I$1)</f>
        <v/>
      </c>
      <c r="I406" s="119" t="str">
        <f>IF(TYPE($A406)=1,"",IF(Update!H404=0,0,Update!G404/Update!H404))</f>
        <v/>
      </c>
      <c r="J406" s="120" t="str">
        <f>IF(TYPE($A406)=1,"",(Update!$J404-J$1)/J$2*K406/$K$1)</f>
        <v/>
      </c>
      <c r="K406" s="121" t="str">
        <f>IF(TYPE($A406)=1,"",IF(Update!J404=0,0,Update!I404/Update!J404))</f>
        <v/>
      </c>
      <c r="L406" s="119" t="str">
        <f>IF(TYPE($A406)=1,"",-(Update!$Q404-L$1)/L$2)</f>
        <v/>
      </c>
      <c r="N406" s="124">
        <v>386.0</v>
      </c>
      <c r="O406" s="130" t="str">
        <f>IF(Update!B400="",ROW(Update!B400),Update!B400)</f>
        <v>Dalano Banton</v>
      </c>
      <c r="P406" s="131">
        <f>Update!E400</f>
        <v>44</v>
      </c>
      <c r="Q406" s="131" t="str">
        <f>IF(Update!C400="",ROW(Update!N415),Update!C400)</f>
        <v>PG,SG</v>
      </c>
      <c r="R406" s="127">
        <f>VLOOKUP($O406,'NO USAR1'!$A$4:$L$403,2,False)+VLOOKUP($O406,'NO USAR1'!$A$4:$L$403,3,False)+VLOOKUP($O406,'NO USAR1'!$A$4:$L$403,4,False)+VLOOKUP($O406,'NO USAR1'!$A$4:$L$403,5,False)+VLOOKUP($O406,'NO USAR1'!$A$4:$L$403,6,False)+VLOOKUP($O406,'NO USAR1'!$A$4:$L$403,7,False)+VLOOKUP($O406,'NO USAR1'!$A$4:$L$403,8,False)+VLOOKUP($O406,'NO USAR1'!$A$4:$L$403,10,False)+VLOOKUP($O406,'NO USAR1'!$A$4:$L$403,12,False)*0</f>
        <v>-10.22926414</v>
      </c>
      <c r="S406" s="127">
        <f>VLOOKUP($O406,'NO USAR1'!$A$4:$L$403,2,False)*$U$19+VLOOKUP($O406,'NO USAR1'!$A$4:$L$403,3,False)*$V$19+VLOOKUP($O406,'NO USAR1'!$A$4:$L$403,4,False)*$W$19+VLOOKUP($O406,'NO USAR1'!$A$4:$L$403,5,False)*$X$19+VLOOKUP($O406,'NO USAR1'!$A$4:$L$403,6,False)*$Y$19+VLOOKUP($O406,'NO USAR1'!$A$4:$L$403,7,False)*$Z$19+VLOOKUP($O406,'NO USAR1'!$A$4:$L$403,8,False)*$AA$19+VLOOKUP($O406,'NO USAR1'!$A$4:$L$403,10,False)*$AB$19+VLOOKUP($O406,'NO USAR1'!$A$4:$L$403,12,False)*$AC$19+IF(Projections!$K$3,-AN406, IF(Projections!$J$3,-AM406,0))</f>
        <v>-6.466763579</v>
      </c>
      <c r="T406" s="127">
        <f t="shared" si="1"/>
        <v>3.76250056</v>
      </c>
      <c r="U406" s="127">
        <f>VLOOKUP($O406,Update!$B$2:$R$401,11,False)</f>
        <v>3</v>
      </c>
      <c r="V406" s="122">
        <f>VLOOKUP($O406,Update!$B$2:$R$401,10,False)</f>
        <v>0.2</v>
      </c>
      <c r="W406" s="127">
        <f>VLOOKUP($O406,Update!$B$2:$R$401,12,False)</f>
        <v>1.5</v>
      </c>
      <c r="X406" s="127">
        <f>VLOOKUP($O406,Update!$B$2:$R$401,13,False)</f>
        <v>1.2</v>
      </c>
      <c r="Y406" s="127">
        <f>VLOOKUP($O406,Update!$B$2:$R$401,14,False)</f>
        <v>0.4</v>
      </c>
      <c r="Z406" s="132">
        <f>VLOOKUP($O406,Update!$B$2:$R$401,15,False)</f>
        <v>0.2</v>
      </c>
      <c r="AA406" s="127">
        <f>100*VLOOKUP($O406,Update!$B$2:$R$401,7,False)</f>
        <v>41.37931034</v>
      </c>
      <c r="AB406" s="127">
        <f>100*VLOOKUP($O406,Update!$B$2:$R$401,9,False)</f>
        <v>66.66666667</v>
      </c>
      <c r="AC406" s="127">
        <f>VLOOKUP($O406,Update!$B$2:$Q$401,16,False)</f>
        <v>0.6</v>
      </c>
      <c r="AD406" s="127">
        <f>VLOOKUP($O406,'NO USAR1'!$A$4:$L$403,2,False)*$U$19</f>
        <v>-2.402624381</v>
      </c>
      <c r="AE406" s="127">
        <f>VLOOKUP($O406,'NO USAR1'!$A$4:$L$403,3,False)*$V$19</f>
        <v>-1.252712054</v>
      </c>
      <c r="AF406" s="127">
        <f>VLOOKUP($O406,'NO USAR1'!$A$4:$L$403,4,False)*$W$19</f>
        <v>-1.921555629</v>
      </c>
      <c r="AG406" s="127">
        <f>VLOOKUP($O406,'NO USAR1'!$A$4:$L$403,5,False)*$X$19</f>
        <v>-1.348505056</v>
      </c>
      <c r="AH406" s="127">
        <f>VLOOKUP($O406,'NO USAR1'!$A$4:$L$403,6,False)*$Y$19</f>
        <v>-1.296670077</v>
      </c>
      <c r="AI406" s="127">
        <f>VLOOKUP($O406,'NO USAR1'!$A$4:$L$403,7,False)*$Z$19</f>
        <v>-0.6583300762</v>
      </c>
      <c r="AJ406" s="127">
        <f>VLOOKUP($O406,'NO USAR1'!$A$4:$L$403,8,False)*$AA$19</f>
        <v>-0.2380843173</v>
      </c>
      <c r="AK406" s="132">
        <f>VLOOKUP($O406,'NO USAR1'!$A$4:$L$403,10,False)*$AB$19</f>
        <v>-0.1838981338</v>
      </c>
      <c r="AL406" s="127">
        <f>VLOOKUP($O406,'NO USAR1'!$A$4:$L$403,12,False)*$AC$19</f>
        <v>0.4329917651</v>
      </c>
      <c r="AM406" s="133">
        <f t="shared" si="2"/>
        <v>-2.402624381</v>
      </c>
      <c r="AN406" s="133">
        <f t="shared" si="3"/>
        <v>-4.32418001</v>
      </c>
    </row>
    <row r="407">
      <c r="A407">
        <f>IF(Update!B405="",ROW(Update!B405),Update!B405)</f>
        <v>405</v>
      </c>
      <c r="B407" s="119" t="str">
        <f>IF(TYPE($A407)=1,"",(Update!$L405-B$1)/B$2)</f>
        <v/>
      </c>
      <c r="C407" s="119" t="str">
        <f>IF(TYPE($A407)=1,"",(Update!$K405-C$1)/C$2)</f>
        <v/>
      </c>
      <c r="D407" s="119" t="str">
        <f>IF(TYPE($A407)=1,"",(Update!$M405-D$1)/D$2)</f>
        <v/>
      </c>
      <c r="E407" s="119" t="str">
        <f>IF(TYPE($A407)=1,"",(Update!$N405-E$1)/E$2)</f>
        <v/>
      </c>
      <c r="F407" s="119" t="str">
        <f>IF(TYPE($A407)=1,"",(Update!$O405-F$1)/F$2)</f>
        <v/>
      </c>
      <c r="G407" s="119" t="str">
        <f>IF(TYPE($A407)=1,"",(Update!$P405-G$1)/G$2)</f>
        <v/>
      </c>
      <c r="H407" s="119" t="str">
        <f>IF(TYPE($A407)=1,"",(Update!$H405-H$1)/H$2*I407/$I$1)</f>
        <v/>
      </c>
      <c r="I407" s="119" t="str">
        <f>IF(TYPE($A407)=1,"",IF(Update!H405=0,0,Update!G405/Update!H405))</f>
        <v/>
      </c>
      <c r="J407" s="120" t="str">
        <f>IF(TYPE($A407)=1,"",(Update!$J405-J$1)/J$2*K407/$K$1)</f>
        <v/>
      </c>
      <c r="K407" s="121" t="str">
        <f>IF(TYPE($A407)=1,"",IF(Update!J405=0,0,Update!I405/Update!J405))</f>
        <v/>
      </c>
      <c r="L407" s="119" t="str">
        <f>IF(TYPE($A407)=1,"",-(Update!$Q405-L$1)/L$2)</f>
        <v/>
      </c>
      <c r="N407" s="124">
        <v>387.0</v>
      </c>
      <c r="O407" s="130" t="str">
        <f>IF(Update!B377="",ROW(Update!B377),Update!B377)</f>
        <v>Neemias Queta</v>
      </c>
      <c r="P407" s="131">
        <f>Update!E377</f>
        <v>40</v>
      </c>
      <c r="Q407" s="131" t="str">
        <f>IF(Update!C377="",ROW(Update!N392),Update!C377)</f>
        <v>C</v>
      </c>
      <c r="R407" s="127">
        <f>VLOOKUP($O407,'NO USAR1'!$A$4:$L$403,2,False)+VLOOKUP($O407,'NO USAR1'!$A$4:$L$403,3,False)+VLOOKUP($O407,'NO USAR1'!$A$4:$L$403,4,False)+VLOOKUP($O407,'NO USAR1'!$A$4:$L$403,5,False)+VLOOKUP($O407,'NO USAR1'!$A$4:$L$403,6,False)+VLOOKUP($O407,'NO USAR1'!$A$4:$L$403,7,False)+VLOOKUP($O407,'NO USAR1'!$A$4:$L$403,8,False)+VLOOKUP($O407,'NO USAR1'!$A$4:$L$403,10,False)+VLOOKUP($O407,'NO USAR1'!$A$4:$L$403,12,False)*0</f>
        <v>-10.24097734</v>
      </c>
      <c r="S407" s="127">
        <f>VLOOKUP($O407,'NO USAR1'!$A$4:$L$403,2,False)*$U$19+VLOOKUP($O407,'NO USAR1'!$A$4:$L$403,3,False)*$V$19+VLOOKUP($O407,'NO USAR1'!$A$4:$L$403,4,False)*$W$19+VLOOKUP($O407,'NO USAR1'!$A$4:$L$403,5,False)*$X$19+VLOOKUP($O407,'NO USAR1'!$A$4:$L$403,6,False)*$Y$19+VLOOKUP($O407,'NO USAR1'!$A$4:$L$403,7,False)*$Z$19+VLOOKUP($O407,'NO USAR1'!$A$4:$L$403,8,False)*$AA$19+VLOOKUP($O407,'NO USAR1'!$A$4:$L$403,10,False)*$AB$19+VLOOKUP($O407,'NO USAR1'!$A$4:$L$403,12,False)*$AC$19+IF(Projections!$K$3,-AN407, IF(Projections!$J$3,-AM407,0))</f>
        <v>-6.557435618</v>
      </c>
      <c r="T407" s="127">
        <f t="shared" si="1"/>
        <v>3.683541724</v>
      </c>
      <c r="U407" s="127">
        <f>VLOOKUP($O407,Update!$B$2:$R$401,11,False)</f>
        <v>4</v>
      </c>
      <c r="V407" s="122">
        <f>VLOOKUP($O407,Update!$B$2:$R$401,10,False)</f>
        <v>0</v>
      </c>
      <c r="W407" s="127">
        <f>VLOOKUP($O407,Update!$B$2:$R$401,12,False)</f>
        <v>2.9</v>
      </c>
      <c r="X407" s="127">
        <f>VLOOKUP($O407,Update!$B$2:$R$401,13,False)</f>
        <v>0.5</v>
      </c>
      <c r="Y407" s="127">
        <f>VLOOKUP($O407,Update!$B$2:$R$401,14,False)</f>
        <v>0.1</v>
      </c>
      <c r="Z407" s="132">
        <f>VLOOKUP($O407,Update!$B$2:$R$401,15,False)</f>
        <v>0.7</v>
      </c>
      <c r="AA407" s="127">
        <f>100*VLOOKUP($O407,Update!$B$2:$R$401,7,False)</f>
        <v>48.48484848</v>
      </c>
      <c r="AB407" s="127">
        <f>100*VLOOKUP($O407,Update!$B$2:$R$401,9,False)</f>
        <v>61.53846154</v>
      </c>
      <c r="AC407" s="127">
        <f>VLOOKUP($O407,Update!$B$2:$Q$401,16,False)</f>
        <v>0.5</v>
      </c>
      <c r="AD407" s="127">
        <f>VLOOKUP($O407,'NO USAR1'!$A$4:$L$403,2,False)*$U$19</f>
        <v>-2.234098004</v>
      </c>
      <c r="AE407" s="127">
        <f>VLOOKUP($O407,'NO USAR1'!$A$4:$L$403,3,False)*$V$19</f>
        <v>-1.426137812</v>
      </c>
      <c r="AF407" s="127">
        <f>VLOOKUP($O407,'NO USAR1'!$A$4:$L$403,4,False)*$W$19</f>
        <v>-1.336140451</v>
      </c>
      <c r="AG407" s="127">
        <f>VLOOKUP($O407,'NO USAR1'!$A$4:$L$403,5,False)*$X$19</f>
        <v>-1.70552228</v>
      </c>
      <c r="AH407" s="127">
        <f>VLOOKUP($O407,'NO USAR1'!$A$4:$L$403,6,False)*$Y$19</f>
        <v>-1.950819779</v>
      </c>
      <c r="AI407" s="127">
        <f>VLOOKUP($O407,'NO USAR1'!$A$4:$L$403,7,False)*$Z$19</f>
        <v>-0.001750877862</v>
      </c>
      <c r="AJ407" s="127">
        <f>VLOOKUP($O407,'NO USAR1'!$A$4:$L$403,8,False)*$AA$19</f>
        <v>-0.03670690599</v>
      </c>
      <c r="AK407" s="132">
        <f>VLOOKUP($O407,'NO USAR1'!$A$4:$L$403,10,False)*$AB$19</f>
        <v>-0.5643955319</v>
      </c>
      <c r="AL407" s="127">
        <f>VLOOKUP($O407,'NO USAR1'!$A$4:$L$403,12,False)*$AC$19</f>
        <v>0.4640380197</v>
      </c>
      <c r="AM407" s="133">
        <f t="shared" si="2"/>
        <v>-2.234098004</v>
      </c>
      <c r="AN407" s="133">
        <f t="shared" si="3"/>
        <v>-4.184917783</v>
      </c>
    </row>
    <row r="408">
      <c r="A408">
        <f>IF(Update!B406="",ROW(Update!B406),Update!B406)</f>
        <v>406</v>
      </c>
      <c r="B408" s="119" t="str">
        <f>IF(TYPE($A408)=1,"",(Update!$L406-B$1)/B$2)</f>
        <v/>
      </c>
      <c r="C408" s="119" t="str">
        <f>IF(TYPE($A408)=1,"",(Update!$K406-C$1)/C$2)</f>
        <v/>
      </c>
      <c r="D408" s="119" t="str">
        <f>IF(TYPE($A408)=1,"",(Update!$M406-D$1)/D$2)</f>
        <v/>
      </c>
      <c r="E408" s="119" t="str">
        <f>IF(TYPE($A408)=1,"",(Update!$N406-E$1)/E$2)</f>
        <v/>
      </c>
      <c r="F408" s="119" t="str">
        <f>IF(TYPE($A408)=1,"",(Update!$O406-F$1)/F$2)</f>
        <v/>
      </c>
      <c r="G408" s="119" t="str">
        <f>IF(TYPE($A408)=1,"",(Update!$P406-G$1)/G$2)</f>
        <v/>
      </c>
      <c r="H408" s="119" t="str">
        <f>IF(TYPE($A408)=1,"",(Update!$H406-H$1)/H$2*I408/$I$1)</f>
        <v/>
      </c>
      <c r="I408" s="119" t="str">
        <f>IF(TYPE($A408)=1,"",IF(Update!H406=0,0,Update!G406/Update!H406))</f>
        <v/>
      </c>
      <c r="J408" s="120" t="str">
        <f>IF(TYPE($A408)=1,"",(Update!$J406-J$1)/J$2*K408/$K$1)</f>
        <v/>
      </c>
      <c r="K408" s="121" t="str">
        <f>IF(TYPE($A408)=1,"",IF(Update!J406=0,0,Update!I406/Update!J406))</f>
        <v/>
      </c>
      <c r="L408" s="119" t="str">
        <f>IF(TYPE($A408)=1,"",-(Update!$Q406-L$1)/L$2)</f>
        <v/>
      </c>
      <c r="N408" s="33">
        <v>388.0</v>
      </c>
      <c r="O408" s="130" t="str">
        <f>IF(Update!B390="",ROW(Update!B390),Update!B390)</f>
        <v>Aaron Holiday</v>
      </c>
      <c r="P408" s="131">
        <f>Update!E390</f>
        <v>30</v>
      </c>
      <c r="Q408" s="131" t="str">
        <f>IF(Update!C390="",ROW(Update!N405),Update!C390)</f>
        <v>PG,SG</v>
      </c>
      <c r="R408" s="127">
        <f>VLOOKUP($O408,'NO USAR1'!$A$4:$L$403,2,False)+VLOOKUP($O408,'NO USAR1'!$A$4:$L$403,3,False)+VLOOKUP($O408,'NO USAR1'!$A$4:$L$403,4,False)+VLOOKUP($O408,'NO USAR1'!$A$4:$L$403,5,False)+VLOOKUP($O408,'NO USAR1'!$A$4:$L$403,6,False)+VLOOKUP($O408,'NO USAR1'!$A$4:$L$403,7,False)+VLOOKUP($O408,'NO USAR1'!$A$4:$L$403,8,False)+VLOOKUP($O408,'NO USAR1'!$A$4:$L$403,10,False)+VLOOKUP($O408,'NO USAR1'!$A$4:$L$403,12,False)*0</f>
        <v>-10.26281723</v>
      </c>
      <c r="S408" s="127">
        <f>VLOOKUP($O408,'NO USAR1'!$A$4:$L$403,2,False)*$U$19+VLOOKUP($O408,'NO USAR1'!$A$4:$L$403,3,False)*$V$19+VLOOKUP($O408,'NO USAR1'!$A$4:$L$403,4,False)*$W$19+VLOOKUP($O408,'NO USAR1'!$A$4:$L$403,5,False)*$X$19+VLOOKUP($O408,'NO USAR1'!$A$4:$L$403,6,False)*$Y$19+VLOOKUP($O408,'NO USAR1'!$A$4:$L$403,7,False)*$Z$19+VLOOKUP($O408,'NO USAR1'!$A$4:$L$403,8,False)*$AA$19+VLOOKUP($O408,'NO USAR1'!$A$4:$L$403,10,False)*$AB$19+VLOOKUP($O408,'NO USAR1'!$A$4:$L$403,12,False)*$AC$19+IF(Projections!$K$3,-AN408, IF(Projections!$J$3,-AM408,0))</f>
        <v>-6.487333603</v>
      </c>
      <c r="T408" s="127">
        <f t="shared" si="1"/>
        <v>3.775483631</v>
      </c>
      <c r="U408" s="127">
        <f>VLOOKUP($O408,Update!$B$2:$R$401,11,False)</f>
        <v>3</v>
      </c>
      <c r="V408" s="122">
        <f>VLOOKUP($O408,Update!$B$2:$R$401,10,False)</f>
        <v>0.3</v>
      </c>
      <c r="W408" s="127">
        <f>VLOOKUP($O408,Update!$B$2:$R$401,12,False)</f>
        <v>0.9</v>
      </c>
      <c r="X408" s="127">
        <f>VLOOKUP($O408,Update!$B$2:$R$401,13,False)</f>
        <v>1.1</v>
      </c>
      <c r="Y408" s="127">
        <f>VLOOKUP($O408,Update!$B$2:$R$401,14,False)</f>
        <v>0.4</v>
      </c>
      <c r="Z408" s="132">
        <f>VLOOKUP($O408,Update!$B$2:$R$401,15,False)</f>
        <v>0.1</v>
      </c>
      <c r="AA408" s="127">
        <f>100*VLOOKUP($O408,Update!$B$2:$R$401,7,False)</f>
        <v>44</v>
      </c>
      <c r="AB408" s="127">
        <f>100*VLOOKUP($O408,Update!$B$2:$R$401,9,False)</f>
        <v>80</v>
      </c>
      <c r="AC408" s="127">
        <f>VLOOKUP($O408,Update!$B$2:$Q$401,16,False)</f>
        <v>0.5</v>
      </c>
      <c r="AD408" s="127">
        <f>VLOOKUP($O408,'NO USAR1'!$A$4:$L$403,2,False)*$U$19</f>
        <v>-2.402624381</v>
      </c>
      <c r="AE408" s="127">
        <f>VLOOKUP($O408,'NO USAR1'!$A$4:$L$403,3,False)*$V$19</f>
        <v>-1.165999176</v>
      </c>
      <c r="AF408" s="127">
        <f>VLOOKUP($O408,'NO USAR1'!$A$4:$L$403,4,False)*$W$19</f>
        <v>-2.172447849</v>
      </c>
      <c r="AG408" s="127">
        <f>VLOOKUP($O408,'NO USAR1'!$A$4:$L$403,5,False)*$X$19</f>
        <v>-1.399507516</v>
      </c>
      <c r="AH408" s="127">
        <f>VLOOKUP($O408,'NO USAR1'!$A$4:$L$403,6,False)*$Y$19</f>
        <v>-1.296670077</v>
      </c>
      <c r="AI408" s="127">
        <f>VLOOKUP($O408,'NO USAR1'!$A$4:$L$403,7,False)*$Z$19</f>
        <v>-0.7896459159</v>
      </c>
      <c r="AJ408" s="127">
        <f>VLOOKUP($O408,'NO USAR1'!$A$4:$L$403,8,False)*$AA$19</f>
        <v>-0.1398022199</v>
      </c>
      <c r="AK408" s="132">
        <f>VLOOKUP($O408,'NO USAR1'!$A$4:$L$403,10,False)*$AB$19</f>
        <v>0.01270113039</v>
      </c>
      <c r="AL408" s="127">
        <f>VLOOKUP($O408,'NO USAR1'!$A$4:$L$403,12,False)*$AC$19</f>
        <v>0.4640380197</v>
      </c>
      <c r="AM408" s="133">
        <f t="shared" si="2"/>
        <v>-2.402624381</v>
      </c>
      <c r="AN408" s="133">
        <f t="shared" si="3"/>
        <v>-4.575072229</v>
      </c>
    </row>
    <row r="409">
      <c r="A409">
        <f>IF(Update!B407="",ROW(Update!B407),Update!B407)</f>
        <v>407</v>
      </c>
      <c r="B409" s="119" t="str">
        <f>IF(TYPE($A409)=1,"",(Update!$L407-B$1)/B$2)</f>
        <v/>
      </c>
      <c r="C409" s="119" t="str">
        <f>IF(TYPE($A409)=1,"",(Update!$K407-C$1)/C$2)</f>
        <v/>
      </c>
      <c r="D409" s="119" t="str">
        <f>IF(TYPE($A409)=1,"",(Update!$M407-D$1)/D$2)</f>
        <v/>
      </c>
      <c r="E409" s="119" t="str">
        <f>IF(TYPE($A409)=1,"",(Update!$N407-E$1)/E$2)</f>
        <v/>
      </c>
      <c r="F409" s="119" t="str">
        <f>IF(TYPE($A409)=1,"",(Update!$O407-F$1)/F$2)</f>
        <v/>
      </c>
      <c r="G409" s="119" t="str">
        <f>IF(TYPE($A409)=1,"",(Update!$P407-G$1)/G$2)</f>
        <v/>
      </c>
      <c r="H409" s="119" t="str">
        <f>IF(TYPE($A409)=1,"",(Update!$H407-H$1)/H$2*I409/$I$1)</f>
        <v/>
      </c>
      <c r="I409" s="119" t="str">
        <f>IF(TYPE($A409)=1,"",IF(Update!H407=0,0,Update!G407/Update!H407))</f>
        <v/>
      </c>
      <c r="J409" s="120" t="str">
        <f>IF(TYPE($A409)=1,"",(Update!$J407-J$1)/J$2*K409/$K$1)</f>
        <v/>
      </c>
      <c r="K409" s="121" t="str">
        <f>IF(TYPE($A409)=1,"",IF(Update!J407=0,0,Update!I407/Update!J407))</f>
        <v/>
      </c>
      <c r="L409" s="119" t="str">
        <f>IF(TYPE($A409)=1,"",-(Update!$Q407-L$1)/L$2)</f>
        <v/>
      </c>
      <c r="N409" s="33">
        <v>389.0</v>
      </c>
      <c r="O409" s="130" t="str">
        <f>IF(Update!B372="",ROW(Update!B372),Update!B372)</f>
        <v>Trayce Jackson-Davis</v>
      </c>
      <c r="P409" s="131">
        <f>Update!E372</f>
        <v>58</v>
      </c>
      <c r="Q409" s="131" t="str">
        <f>IF(Update!C372="",ROW(Update!N387),Update!C372)</f>
        <v>PF</v>
      </c>
      <c r="R409" s="127">
        <f>VLOOKUP($O409,'NO USAR1'!$A$4:$L$403,2,False)+VLOOKUP($O409,'NO USAR1'!$A$4:$L$403,3,False)+VLOOKUP($O409,'NO USAR1'!$A$4:$L$403,4,False)+VLOOKUP($O409,'NO USAR1'!$A$4:$L$403,5,False)+VLOOKUP($O409,'NO USAR1'!$A$4:$L$403,6,False)+VLOOKUP($O409,'NO USAR1'!$A$4:$L$403,7,False)+VLOOKUP($O409,'NO USAR1'!$A$4:$L$403,8,False)+VLOOKUP($O409,'NO USAR1'!$A$4:$L$403,10,False)+VLOOKUP($O409,'NO USAR1'!$A$4:$L$403,12,False)*0</f>
        <v>-10.3115227</v>
      </c>
      <c r="S409" s="127">
        <f>VLOOKUP($O409,'NO USAR1'!$A$4:$L$403,2,False)*$U$19+VLOOKUP($O409,'NO USAR1'!$A$4:$L$403,3,False)*$V$19+VLOOKUP($O409,'NO USAR1'!$A$4:$L$403,4,False)*$W$19+VLOOKUP($O409,'NO USAR1'!$A$4:$L$403,5,False)*$X$19+VLOOKUP($O409,'NO USAR1'!$A$4:$L$403,6,False)*$Y$19+VLOOKUP($O409,'NO USAR1'!$A$4:$L$403,7,False)*$Z$19+VLOOKUP($O409,'NO USAR1'!$A$4:$L$403,8,False)*$AA$19+VLOOKUP($O409,'NO USAR1'!$A$4:$L$403,10,False)*$AB$19+VLOOKUP($O409,'NO USAR1'!$A$4:$L$403,12,False)*$AC$19+IF(Projections!$K$3,-AN409, IF(Projections!$J$3,-AM409,0))</f>
        <v>-6.466730953</v>
      </c>
      <c r="T409" s="127">
        <f t="shared" si="1"/>
        <v>3.844791743</v>
      </c>
      <c r="U409" s="127">
        <f>VLOOKUP($O409,Update!$B$2:$R$401,11,False)</f>
        <v>3.8</v>
      </c>
      <c r="V409" s="122">
        <f>VLOOKUP($O409,Update!$B$2:$R$401,10,False)</f>
        <v>0</v>
      </c>
      <c r="W409" s="127">
        <f>VLOOKUP($O409,Update!$B$2:$R$401,12,False)</f>
        <v>2.2</v>
      </c>
      <c r="X409" s="127">
        <f>VLOOKUP($O409,Update!$B$2:$R$401,13,False)</f>
        <v>1.4</v>
      </c>
      <c r="Y409" s="127">
        <f>VLOOKUP($O409,Update!$B$2:$R$401,14,False)</f>
        <v>0.2</v>
      </c>
      <c r="Z409" s="132">
        <f>VLOOKUP($O409,Update!$B$2:$R$401,15,False)</f>
        <v>0.2</v>
      </c>
      <c r="AA409" s="127">
        <f>100*VLOOKUP($O409,Update!$B$2:$R$401,7,False)</f>
        <v>55.55555556</v>
      </c>
      <c r="AB409" s="127">
        <f>100*VLOOKUP($O409,Update!$B$2:$R$401,9,False)</f>
        <v>66.66666667</v>
      </c>
      <c r="AC409" s="127">
        <f>VLOOKUP($O409,Update!$B$2:$Q$401,16,False)</f>
        <v>0.6</v>
      </c>
      <c r="AD409" s="127">
        <f>VLOOKUP($O409,'NO USAR1'!$A$4:$L$403,2,False)*$U$19</f>
        <v>-2.267803279</v>
      </c>
      <c r="AE409" s="127">
        <f>VLOOKUP($O409,'NO USAR1'!$A$4:$L$403,3,False)*$V$19</f>
        <v>-1.426137812</v>
      </c>
      <c r="AF409" s="127">
        <f>VLOOKUP($O409,'NO USAR1'!$A$4:$L$403,4,False)*$W$19</f>
        <v>-1.62884804</v>
      </c>
      <c r="AG409" s="127">
        <f>VLOOKUP($O409,'NO USAR1'!$A$4:$L$403,5,False)*$X$19</f>
        <v>-1.246500135</v>
      </c>
      <c r="AH409" s="127">
        <f>VLOOKUP($O409,'NO USAR1'!$A$4:$L$403,6,False)*$Y$19</f>
        <v>-1.732769878</v>
      </c>
      <c r="AI409" s="127">
        <f>VLOOKUP($O409,'NO USAR1'!$A$4:$L$403,7,False)*$Z$19</f>
        <v>-0.6583300762</v>
      </c>
      <c r="AJ409" s="127">
        <f>VLOOKUP($O409,'NO USAR1'!$A$4:$L$403,8,False)*$AA$19</f>
        <v>0.1606594916</v>
      </c>
      <c r="AK409" s="132">
        <f>VLOOKUP($O409,'NO USAR1'!$A$4:$L$403,10,False)*$AB$19</f>
        <v>-0.3677962676</v>
      </c>
      <c r="AL409" s="127">
        <f>VLOOKUP($O409,'NO USAR1'!$A$4:$L$403,12,False)*$AC$19</f>
        <v>0.4329917651</v>
      </c>
      <c r="AM409" s="133">
        <f t="shared" si="2"/>
        <v>-2.267803279</v>
      </c>
      <c r="AN409" s="133">
        <f t="shared" si="3"/>
        <v>-4.000573158</v>
      </c>
    </row>
    <row r="410">
      <c r="A410">
        <f>IF(Update!B408="",ROW(Update!B408),Update!B408)</f>
        <v>408</v>
      </c>
      <c r="B410" s="119" t="str">
        <f>IF(TYPE($A410)=1,"",(Update!$L408-B$1)/B$2)</f>
        <v/>
      </c>
      <c r="C410" s="119" t="str">
        <f>IF(TYPE($A410)=1,"",(Update!$K408-C$1)/C$2)</f>
        <v/>
      </c>
      <c r="D410" s="119" t="str">
        <f>IF(TYPE($A410)=1,"",(Update!$M408-D$1)/D$2)</f>
        <v/>
      </c>
      <c r="E410" s="119" t="str">
        <f>IF(TYPE($A410)=1,"",(Update!$N408-E$1)/E$2)</f>
        <v/>
      </c>
      <c r="F410" s="119" t="str">
        <f>IF(TYPE($A410)=1,"",(Update!$O408-F$1)/F$2)</f>
        <v/>
      </c>
      <c r="G410" s="119" t="str">
        <f>IF(TYPE($A410)=1,"",(Update!$P408-G$1)/G$2)</f>
        <v/>
      </c>
      <c r="H410" s="119" t="str">
        <f>IF(TYPE($A410)=1,"",(Update!$H408-H$1)/H$2*I410/$I$1)</f>
        <v/>
      </c>
      <c r="I410" s="119" t="str">
        <f>IF(TYPE($A410)=1,"",IF(Update!H408=0,0,Update!G408/Update!H408))</f>
        <v/>
      </c>
      <c r="J410" s="120" t="str">
        <f>IF(TYPE($A410)=1,"",(Update!$J408-J$1)/J$2*K410/$K$1)</f>
        <v/>
      </c>
      <c r="K410" s="121" t="str">
        <f>IF(TYPE($A410)=1,"",IF(Update!J408=0,0,Update!I408/Update!J408))</f>
        <v/>
      </c>
      <c r="L410" s="119" t="str">
        <f>IF(TYPE($A410)=1,"",-(Update!$Q408-L$1)/L$2)</f>
        <v/>
      </c>
      <c r="N410" s="124">
        <v>390.0</v>
      </c>
      <c r="O410" s="130" t="str">
        <f>IF(Update!B368="",ROW(Update!B368),Update!B368)</f>
        <v>Udoka Azubuike</v>
      </c>
      <c r="P410" s="131">
        <f>Update!E368</f>
        <v>10</v>
      </c>
      <c r="Q410" s="131" t="str">
        <f>IF(Update!C368="",ROW(Update!N383),Update!C368)</f>
        <v>C</v>
      </c>
      <c r="R410" s="127">
        <f>VLOOKUP($O410,'NO USAR1'!$A$4:$L$403,2,False)+VLOOKUP($O410,'NO USAR1'!$A$4:$L$403,3,False)+VLOOKUP($O410,'NO USAR1'!$A$4:$L$403,4,False)+VLOOKUP($O410,'NO USAR1'!$A$4:$L$403,5,False)+VLOOKUP($O410,'NO USAR1'!$A$4:$L$403,6,False)+VLOOKUP($O410,'NO USAR1'!$A$4:$L$403,7,False)+VLOOKUP($O410,'NO USAR1'!$A$4:$L$403,8,False)+VLOOKUP($O410,'NO USAR1'!$A$4:$L$403,10,False)+VLOOKUP($O410,'NO USAR1'!$A$4:$L$403,12,False)*0</f>
        <v>-10.33580029</v>
      </c>
      <c r="S410" s="127">
        <f>VLOOKUP($O410,'NO USAR1'!$A$4:$L$403,2,False)*$U$19+VLOOKUP($O410,'NO USAR1'!$A$4:$L$403,3,False)*$V$19+VLOOKUP($O410,'NO USAR1'!$A$4:$L$403,4,False)*$W$19+VLOOKUP($O410,'NO USAR1'!$A$4:$L$403,5,False)*$X$19+VLOOKUP($O410,'NO USAR1'!$A$4:$L$403,6,False)*$Y$19+VLOOKUP($O410,'NO USAR1'!$A$4:$L$403,7,False)*$Z$19+VLOOKUP($O410,'NO USAR1'!$A$4:$L$403,8,False)*$AA$19+VLOOKUP($O410,'NO USAR1'!$A$4:$L$403,10,False)*$AB$19+VLOOKUP($O410,'NO USAR1'!$A$4:$L$403,12,False)*$AC$19+IF(Projections!$K$3,-AN410, IF(Projections!$J$3,-AM410,0))</f>
        <v>-6.431438984</v>
      </c>
      <c r="T410" s="127">
        <f t="shared" si="1"/>
        <v>3.904361302</v>
      </c>
      <c r="U410" s="127">
        <f>VLOOKUP($O410,Update!$B$2:$R$401,11,False)</f>
        <v>3.1</v>
      </c>
      <c r="V410" s="122">
        <f>VLOOKUP($O410,Update!$B$2:$R$401,10,False)</f>
        <v>0</v>
      </c>
      <c r="W410" s="127">
        <f>VLOOKUP($O410,Update!$B$2:$R$401,12,False)</f>
        <v>2.9</v>
      </c>
      <c r="X410" s="127">
        <f>VLOOKUP($O410,Update!$B$2:$R$401,13,False)</f>
        <v>0.2</v>
      </c>
      <c r="Y410" s="127">
        <f>VLOOKUP($O410,Update!$B$2:$R$401,14,False)</f>
        <v>0.1</v>
      </c>
      <c r="Z410" s="132">
        <f>VLOOKUP($O410,Update!$B$2:$R$401,15,False)</f>
        <v>0.4</v>
      </c>
      <c r="AA410" s="127">
        <f>100*VLOOKUP($O410,Update!$B$2:$R$401,7,False)</f>
        <v>78.94736842</v>
      </c>
      <c r="AB410" s="127">
        <f>100*VLOOKUP($O410,Update!$B$2:$R$401,9,False)</f>
        <v>40</v>
      </c>
      <c r="AC410" s="127">
        <f>VLOOKUP($O410,Update!$B$2:$Q$401,16,False)</f>
        <v>0.5</v>
      </c>
      <c r="AD410" s="127">
        <f>VLOOKUP($O410,'NO USAR1'!$A$4:$L$403,2,False)*$U$19</f>
        <v>-2.385771743</v>
      </c>
      <c r="AE410" s="127">
        <f>VLOOKUP($O410,'NO USAR1'!$A$4:$L$403,3,False)*$V$19</f>
        <v>-1.426137812</v>
      </c>
      <c r="AF410" s="127">
        <f>VLOOKUP($O410,'NO USAR1'!$A$4:$L$403,4,False)*$W$19</f>
        <v>-1.336140451</v>
      </c>
      <c r="AG410" s="127">
        <f>VLOOKUP($O410,'NO USAR1'!$A$4:$L$403,5,False)*$X$19</f>
        <v>-1.858529661</v>
      </c>
      <c r="AH410" s="127">
        <f>VLOOKUP($O410,'NO USAR1'!$A$4:$L$403,6,False)*$Y$19</f>
        <v>-1.950819779</v>
      </c>
      <c r="AI410" s="127">
        <f>VLOOKUP($O410,'NO USAR1'!$A$4:$L$403,7,False)*$Z$19</f>
        <v>-0.3956983969</v>
      </c>
      <c r="AJ410" s="127">
        <f>VLOOKUP($O410,'NO USAR1'!$A$4:$L$403,8,False)*$AA$19</f>
        <v>0.5569966923</v>
      </c>
      <c r="AK410" s="132">
        <f>VLOOKUP($O410,'NO USAR1'!$A$4:$L$403,10,False)*$AB$19</f>
        <v>-0.4851475953</v>
      </c>
      <c r="AL410" s="127">
        <f>VLOOKUP($O410,'NO USAR1'!$A$4:$L$403,12,False)*$AC$19</f>
        <v>0.4640380197</v>
      </c>
      <c r="AM410" s="133">
        <f t="shared" si="2"/>
        <v>-2.385771743</v>
      </c>
      <c r="AN410" s="133">
        <f t="shared" si="3"/>
        <v>-4.336591522</v>
      </c>
    </row>
    <row r="411">
      <c r="A411">
        <f>IF(Update!B409="",ROW(Update!B409),Update!B409)</f>
        <v>409</v>
      </c>
      <c r="B411" s="119" t="str">
        <f>IF(TYPE($A411)=1,"",(Update!$L409-B$1)/B$2)</f>
        <v/>
      </c>
      <c r="C411" s="119" t="str">
        <f>IF(TYPE($A411)=1,"",(Update!$K409-C$1)/C$2)</f>
        <v/>
      </c>
      <c r="D411" s="119" t="str">
        <f>IF(TYPE($A411)=1,"",(Update!$M409-D$1)/D$2)</f>
        <v/>
      </c>
      <c r="E411" s="119" t="str">
        <f>IF(TYPE($A411)=1,"",(Update!$N409-E$1)/E$2)</f>
        <v/>
      </c>
      <c r="F411" s="119" t="str">
        <f>IF(TYPE($A411)=1,"",(Update!$O409-F$1)/F$2)</f>
        <v/>
      </c>
      <c r="G411" s="119" t="str">
        <f>IF(TYPE($A411)=1,"",(Update!$P409-G$1)/G$2)</f>
        <v/>
      </c>
      <c r="H411" s="119" t="str">
        <f>IF(TYPE($A411)=1,"",(Update!$H409-H$1)/H$2*I411/$I$1)</f>
        <v/>
      </c>
      <c r="I411" s="119" t="str">
        <f>IF(TYPE($A411)=1,"",IF(Update!H409=0,0,Update!G409/Update!H409))</f>
        <v/>
      </c>
      <c r="J411" s="120" t="str">
        <f>IF(TYPE($A411)=1,"",(Update!$J409-J$1)/J$2*K411/$K$1)</f>
        <v/>
      </c>
      <c r="K411" s="121" t="str">
        <f>IF(TYPE($A411)=1,"",IF(Update!J409=0,0,Update!I409/Update!J409))</f>
        <v/>
      </c>
      <c r="L411" s="119" t="str">
        <f>IF(TYPE($A411)=1,"",-(Update!$Q409-L$1)/L$2)</f>
        <v/>
      </c>
      <c r="N411" s="124">
        <v>391.0</v>
      </c>
      <c r="O411" s="130" t="str">
        <f>IF(Update!B397="",ROW(Update!B397),Update!B397)</f>
        <v>Daniel Theis</v>
      </c>
      <c r="P411" s="131">
        <f>Update!E397</f>
        <v>20</v>
      </c>
      <c r="Q411" s="131" t="str">
        <f>IF(Update!C397="",ROW(Update!N412),Update!C397)</f>
        <v>C</v>
      </c>
      <c r="R411" s="127">
        <f>VLOOKUP($O411,'NO USAR1'!$A$4:$L$403,2,False)+VLOOKUP($O411,'NO USAR1'!$A$4:$L$403,3,False)+VLOOKUP($O411,'NO USAR1'!$A$4:$L$403,4,False)+VLOOKUP($O411,'NO USAR1'!$A$4:$L$403,5,False)+VLOOKUP($O411,'NO USAR1'!$A$4:$L$403,6,False)+VLOOKUP($O411,'NO USAR1'!$A$4:$L$403,7,False)+VLOOKUP($O411,'NO USAR1'!$A$4:$L$403,8,False)+VLOOKUP($O411,'NO USAR1'!$A$4:$L$403,10,False)+VLOOKUP($O411,'NO USAR1'!$A$4:$L$403,12,False)*0</f>
        <v>-10.39025741</v>
      </c>
      <c r="S411" s="127">
        <f>VLOOKUP($O411,'NO USAR1'!$A$4:$L$403,2,False)*$U$19+VLOOKUP($O411,'NO USAR1'!$A$4:$L$403,3,False)*$V$19+VLOOKUP($O411,'NO USAR1'!$A$4:$L$403,4,False)*$W$19+VLOOKUP($O411,'NO USAR1'!$A$4:$L$403,5,False)*$X$19+VLOOKUP($O411,'NO USAR1'!$A$4:$L$403,6,False)*$Y$19+VLOOKUP($O411,'NO USAR1'!$A$4:$L$403,7,False)*$Z$19+VLOOKUP($O411,'NO USAR1'!$A$4:$L$403,8,False)*$AA$19+VLOOKUP($O411,'NO USAR1'!$A$4:$L$403,10,False)*$AB$19+VLOOKUP($O411,'NO USAR1'!$A$4:$L$403,12,False)*$AC$19+IF(Projections!$K$3,-AN411, IF(Projections!$J$3,-AM411,0))</f>
        <v>-6.565445254</v>
      </c>
      <c r="T411" s="127">
        <f t="shared" si="1"/>
        <v>3.824812158</v>
      </c>
      <c r="U411" s="127">
        <f>VLOOKUP($O411,Update!$B$2:$R$401,11,False)</f>
        <v>3.3</v>
      </c>
      <c r="V411" s="122">
        <f>VLOOKUP($O411,Update!$B$2:$R$401,10,False)</f>
        <v>0.3</v>
      </c>
      <c r="W411" s="127">
        <f>VLOOKUP($O411,Update!$B$2:$R$401,12,False)</f>
        <v>1.9</v>
      </c>
      <c r="X411" s="127">
        <f>VLOOKUP($O411,Update!$B$2:$R$401,13,False)</f>
        <v>0.4</v>
      </c>
      <c r="Y411" s="127">
        <f>VLOOKUP($O411,Update!$B$2:$R$401,14,False)</f>
        <v>0.2</v>
      </c>
      <c r="Z411" s="132">
        <f>VLOOKUP($O411,Update!$B$2:$R$401,15,False)</f>
        <v>0.3</v>
      </c>
      <c r="AA411" s="127">
        <f>100*VLOOKUP($O411,Update!$B$2:$R$401,7,False)</f>
        <v>52</v>
      </c>
      <c r="AB411" s="127">
        <f>100*VLOOKUP($O411,Update!$B$2:$R$401,9,False)</f>
        <v>66.66666667</v>
      </c>
      <c r="AC411" s="127">
        <f>VLOOKUP($O411,Update!$B$2:$Q$401,16,False)</f>
        <v>0.4</v>
      </c>
      <c r="AD411" s="127">
        <f>VLOOKUP($O411,'NO USAR1'!$A$4:$L$403,2,False)*$U$19</f>
        <v>-2.352066468</v>
      </c>
      <c r="AE411" s="127">
        <f>VLOOKUP($O411,'NO USAR1'!$A$4:$L$403,3,False)*$V$19</f>
        <v>-1.165999176</v>
      </c>
      <c r="AF411" s="127">
        <f>VLOOKUP($O411,'NO USAR1'!$A$4:$L$403,4,False)*$W$19</f>
        <v>-1.75429415</v>
      </c>
      <c r="AG411" s="127">
        <f>VLOOKUP($O411,'NO USAR1'!$A$4:$L$403,5,False)*$X$19</f>
        <v>-1.75652474</v>
      </c>
      <c r="AH411" s="127">
        <f>VLOOKUP($O411,'NO USAR1'!$A$4:$L$403,6,False)*$Y$19</f>
        <v>-1.732769878</v>
      </c>
      <c r="AI411" s="127">
        <f>VLOOKUP($O411,'NO USAR1'!$A$4:$L$403,7,False)*$Z$19</f>
        <v>-0.5270142365</v>
      </c>
      <c r="AJ411" s="127">
        <f>VLOOKUP($O411,'NO USAR1'!$A$4:$L$403,8,False)*$AA$19</f>
        <v>0.05997078591</v>
      </c>
      <c r="AK411" s="132">
        <f>VLOOKUP($O411,'NO USAR1'!$A$4:$L$403,10,False)*$AB$19</f>
        <v>-0.1838981338</v>
      </c>
      <c r="AL411" s="127">
        <f>VLOOKUP($O411,'NO USAR1'!$A$4:$L$403,12,False)*$AC$19</f>
        <v>0.4950842744</v>
      </c>
      <c r="AM411" s="133">
        <f t="shared" si="2"/>
        <v>-2.352066468</v>
      </c>
      <c r="AN411" s="133">
        <f t="shared" si="3"/>
        <v>-4.108591208</v>
      </c>
    </row>
    <row r="412">
      <c r="A412">
        <f>IF(Update!B410="",ROW(Update!B410),Update!B410)</f>
        <v>410</v>
      </c>
      <c r="B412" s="119" t="str">
        <f>IF(TYPE($A412)=1,"",(Update!$L410-B$1)/B$2)</f>
        <v/>
      </c>
      <c r="C412" s="119" t="str">
        <f>IF(TYPE($A412)=1,"",(Update!$K410-C$1)/C$2)</f>
        <v/>
      </c>
      <c r="D412" s="119" t="str">
        <f>IF(TYPE($A412)=1,"",(Update!$M410-D$1)/D$2)</f>
        <v/>
      </c>
      <c r="E412" s="119" t="str">
        <f>IF(TYPE($A412)=1,"",(Update!$N410-E$1)/E$2)</f>
        <v/>
      </c>
      <c r="F412" s="119" t="str">
        <f>IF(TYPE($A412)=1,"",(Update!$O410-F$1)/F$2)</f>
        <v/>
      </c>
      <c r="G412" s="119" t="str">
        <f>IF(TYPE($A412)=1,"",(Update!$P410-G$1)/G$2)</f>
        <v/>
      </c>
      <c r="H412" s="119" t="str">
        <f>IF(TYPE($A412)=1,"",(Update!$H410-H$1)/H$2*I412/$I$1)</f>
        <v/>
      </c>
      <c r="I412" s="119" t="str">
        <f>IF(TYPE($A412)=1,"",IF(Update!H410=0,0,Update!G410/Update!H410))</f>
        <v/>
      </c>
      <c r="J412" s="120" t="str">
        <f>IF(TYPE($A412)=1,"",(Update!$J410-J$1)/J$2*K412/$K$1)</f>
        <v/>
      </c>
      <c r="K412" s="121" t="str">
        <f>IF(TYPE($A412)=1,"",IF(Update!J410=0,0,Update!I410/Update!J410))</f>
        <v/>
      </c>
      <c r="L412" s="119" t="str">
        <f>IF(TYPE($A412)=1,"",-(Update!$Q410-L$1)/L$2)</f>
        <v/>
      </c>
      <c r="N412" s="33">
        <v>392.0</v>
      </c>
      <c r="O412" s="130" t="str">
        <f>IF(Update!B386="",ROW(Update!B386),Update!B386)</f>
        <v>Cody Zeller</v>
      </c>
      <c r="P412" s="131">
        <f>Update!E386</f>
        <v>33</v>
      </c>
      <c r="Q412" s="131" t="str">
        <f>IF(Update!C386="",ROW(Update!N401),Update!C386)</f>
        <v>C</v>
      </c>
      <c r="R412" s="127">
        <f>VLOOKUP($O412,'NO USAR1'!$A$4:$L$403,2,False)+VLOOKUP($O412,'NO USAR1'!$A$4:$L$403,3,False)+VLOOKUP($O412,'NO USAR1'!$A$4:$L$403,4,False)+VLOOKUP($O412,'NO USAR1'!$A$4:$L$403,5,False)+VLOOKUP($O412,'NO USAR1'!$A$4:$L$403,6,False)+VLOOKUP($O412,'NO USAR1'!$A$4:$L$403,7,False)+VLOOKUP($O412,'NO USAR1'!$A$4:$L$403,8,False)+VLOOKUP($O412,'NO USAR1'!$A$4:$L$403,10,False)+VLOOKUP($O412,'NO USAR1'!$A$4:$L$403,12,False)*0</f>
        <v>-10.40981071</v>
      </c>
      <c r="S412" s="127">
        <f>VLOOKUP($O412,'NO USAR1'!$A$4:$L$403,2,False)*$U$19+VLOOKUP($O412,'NO USAR1'!$A$4:$L$403,3,False)*$V$19+VLOOKUP($O412,'NO USAR1'!$A$4:$L$403,4,False)*$W$19+VLOOKUP($O412,'NO USAR1'!$A$4:$L$403,5,False)*$X$19+VLOOKUP($O412,'NO USAR1'!$A$4:$L$403,6,False)*$Y$19+VLOOKUP($O412,'NO USAR1'!$A$4:$L$403,7,False)*$Z$19+VLOOKUP($O412,'NO USAR1'!$A$4:$L$403,8,False)*$AA$19+VLOOKUP($O412,'NO USAR1'!$A$4:$L$403,10,False)*$AB$19+VLOOKUP($O412,'NO USAR1'!$A$4:$L$403,12,False)*$AC$19+IF(Projections!$K$3,-AN412, IF(Projections!$J$3,-AM412,0))</f>
        <v>-6.54355178</v>
      </c>
      <c r="T412" s="127">
        <f t="shared" si="1"/>
        <v>3.866258934</v>
      </c>
      <c r="U412" s="127">
        <f>VLOOKUP($O412,Update!$B$2:$R$401,11,False)</f>
        <v>3.5</v>
      </c>
      <c r="V412" s="122">
        <f>VLOOKUP($O412,Update!$B$2:$R$401,10,False)</f>
        <v>0</v>
      </c>
      <c r="W412" s="127">
        <f>VLOOKUP($O412,Update!$B$2:$R$401,12,False)</f>
        <v>2.8</v>
      </c>
      <c r="X412" s="127">
        <f>VLOOKUP($O412,Update!$B$2:$R$401,13,False)</f>
        <v>0.5</v>
      </c>
      <c r="Y412" s="127">
        <f>VLOOKUP($O412,Update!$B$2:$R$401,14,False)</f>
        <v>0.2</v>
      </c>
      <c r="Z412" s="132">
        <f>VLOOKUP($O412,Update!$B$2:$R$401,15,False)</f>
        <v>0.2</v>
      </c>
      <c r="AA412" s="127">
        <f>100*VLOOKUP($O412,Update!$B$2:$R$401,7,False)</f>
        <v>59.09090909</v>
      </c>
      <c r="AB412" s="127">
        <f>100*VLOOKUP($O412,Update!$B$2:$R$401,9,False)</f>
        <v>69.23076923</v>
      </c>
      <c r="AC412" s="127">
        <f>VLOOKUP($O412,Update!$B$2:$Q$401,16,False)</f>
        <v>0.5</v>
      </c>
      <c r="AD412" s="127">
        <f>VLOOKUP($O412,'NO USAR1'!$A$4:$L$403,2,False)*$U$19</f>
        <v>-2.318361192</v>
      </c>
      <c r="AE412" s="127">
        <f>VLOOKUP($O412,'NO USAR1'!$A$4:$L$403,3,False)*$V$19</f>
        <v>-1.426137812</v>
      </c>
      <c r="AF412" s="127">
        <f>VLOOKUP($O412,'NO USAR1'!$A$4:$L$403,4,False)*$W$19</f>
        <v>-1.377955821</v>
      </c>
      <c r="AG412" s="127">
        <f>VLOOKUP($O412,'NO USAR1'!$A$4:$L$403,5,False)*$X$19</f>
        <v>-1.70552228</v>
      </c>
      <c r="AH412" s="127">
        <f>VLOOKUP($O412,'NO USAR1'!$A$4:$L$403,6,False)*$Y$19</f>
        <v>-1.732769878</v>
      </c>
      <c r="AI412" s="127">
        <f>VLOOKUP($O412,'NO USAR1'!$A$4:$L$403,7,False)*$Z$19</f>
        <v>-0.6583300762</v>
      </c>
      <c r="AJ412" s="127">
        <f>VLOOKUP($O412,'NO USAR1'!$A$4:$L$403,8,False)*$AA$19</f>
        <v>0.2085972362</v>
      </c>
      <c r="AK412" s="132">
        <f>VLOOKUP($O412,'NO USAR1'!$A$4:$L$403,10,False)*$AB$19</f>
        <v>-0.315471169</v>
      </c>
      <c r="AL412" s="127">
        <f>VLOOKUP($O412,'NO USAR1'!$A$4:$L$403,12,False)*$AC$19</f>
        <v>0.4640380197</v>
      </c>
      <c r="AM412" s="133">
        <f t="shared" si="2"/>
        <v>-2.318361192</v>
      </c>
      <c r="AN412" s="133">
        <f t="shared" si="3"/>
        <v>-4.051131071</v>
      </c>
    </row>
    <row r="413">
      <c r="A413">
        <f>IF(Update!B411="",ROW(Update!B411),Update!B411)</f>
        <v>411</v>
      </c>
      <c r="B413" s="119" t="str">
        <f>IF(TYPE($A413)=1,"",(Update!$L411-B$1)/B$2)</f>
        <v/>
      </c>
      <c r="C413" s="119" t="str">
        <f>IF(TYPE($A413)=1,"",(Update!$K411-C$1)/C$2)</f>
        <v/>
      </c>
      <c r="D413" s="119" t="str">
        <f>IF(TYPE($A413)=1,"",(Update!$M411-D$1)/D$2)</f>
        <v/>
      </c>
      <c r="E413" s="119" t="str">
        <f>IF(TYPE($A413)=1,"",(Update!$N411-E$1)/E$2)</f>
        <v/>
      </c>
      <c r="F413" s="119" t="str">
        <f>IF(TYPE($A413)=1,"",(Update!$O411-F$1)/F$2)</f>
        <v/>
      </c>
      <c r="G413" s="119" t="str">
        <f>IF(TYPE($A413)=1,"",(Update!$P411-G$1)/G$2)</f>
        <v/>
      </c>
      <c r="H413" s="119" t="str">
        <f>IF(TYPE($A413)=1,"",(Update!$H411-H$1)/H$2*I413/$I$1)</f>
        <v/>
      </c>
      <c r="I413" s="119" t="str">
        <f>IF(TYPE($A413)=1,"",IF(Update!H411=0,0,Update!G411/Update!H411))</f>
        <v/>
      </c>
      <c r="J413" s="120" t="str">
        <f>IF(TYPE($A413)=1,"",(Update!$J411-J$1)/J$2*K413/$K$1)</f>
        <v/>
      </c>
      <c r="K413" s="121" t="str">
        <f>IF(TYPE($A413)=1,"",IF(Update!J411=0,0,Update!I411/Update!J411))</f>
        <v/>
      </c>
      <c r="L413" s="119" t="str">
        <f>IF(TYPE($A413)=1,"",-(Update!$Q411-L$1)/L$2)</f>
        <v/>
      </c>
      <c r="N413" s="33">
        <v>393.0</v>
      </c>
      <c r="O413" s="130" t="str">
        <f>IF(Update!B376="",ROW(Update!B376),Update!B376)</f>
        <v>Brice Sensabaugh</v>
      </c>
      <c r="P413" s="131">
        <f>Update!E376</f>
        <v>40</v>
      </c>
      <c r="Q413" s="131" t="str">
        <f>IF(Update!C376="",ROW(Update!N391),Update!C376)</f>
        <v>SF</v>
      </c>
      <c r="R413" s="127">
        <f>VLOOKUP($O413,'NO USAR1'!$A$4:$L$403,2,False)+VLOOKUP($O413,'NO USAR1'!$A$4:$L$403,3,False)+VLOOKUP($O413,'NO USAR1'!$A$4:$L$403,4,False)+VLOOKUP($O413,'NO USAR1'!$A$4:$L$403,5,False)+VLOOKUP($O413,'NO USAR1'!$A$4:$L$403,6,False)+VLOOKUP($O413,'NO USAR1'!$A$4:$L$403,7,False)+VLOOKUP($O413,'NO USAR1'!$A$4:$L$403,8,False)+VLOOKUP($O413,'NO USAR1'!$A$4:$L$403,10,False)+VLOOKUP($O413,'NO USAR1'!$A$4:$L$403,12,False)*0</f>
        <v>-10.41992258</v>
      </c>
      <c r="S413" s="127">
        <f>VLOOKUP($O413,'NO USAR1'!$A$4:$L$403,2,False)*$U$19+VLOOKUP($O413,'NO USAR1'!$A$4:$L$403,3,False)*$V$19+VLOOKUP($O413,'NO USAR1'!$A$4:$L$403,4,False)*$W$19+VLOOKUP($O413,'NO USAR1'!$A$4:$L$403,5,False)*$X$19+VLOOKUP($O413,'NO USAR1'!$A$4:$L$403,6,False)*$Y$19+VLOOKUP($O413,'NO USAR1'!$A$4:$L$403,7,False)*$Z$19+VLOOKUP($O413,'NO USAR1'!$A$4:$L$403,8,False)*$AA$19+VLOOKUP($O413,'NO USAR1'!$A$4:$L$403,10,False)*$AB$19+VLOOKUP($O413,'NO USAR1'!$A$4:$L$403,12,False)*$AC$19+IF(Projections!$K$3,-AN413, IF(Projections!$J$3,-AM413,0))</f>
        <v>-6.691598964</v>
      </c>
      <c r="T413" s="127">
        <f t="shared" si="1"/>
        <v>3.728323617</v>
      </c>
      <c r="U413" s="127">
        <f>VLOOKUP($O413,Update!$B$2:$R$401,11,False)</f>
        <v>4.6</v>
      </c>
      <c r="V413" s="122">
        <f>VLOOKUP($O413,Update!$B$2:$R$401,10,False)</f>
        <v>0.8</v>
      </c>
      <c r="W413" s="127">
        <f>VLOOKUP($O413,Update!$B$2:$R$401,12,False)</f>
        <v>1.7</v>
      </c>
      <c r="X413" s="127">
        <f>VLOOKUP($O413,Update!$B$2:$R$401,13,False)</f>
        <v>0.4</v>
      </c>
      <c r="Y413" s="127">
        <f>VLOOKUP($O413,Update!$B$2:$R$401,14,False)</f>
        <v>0.2</v>
      </c>
      <c r="Z413" s="132">
        <f>VLOOKUP($O413,Update!$B$2:$R$401,15,False)</f>
        <v>0.1</v>
      </c>
      <c r="AA413" s="127">
        <f>100*VLOOKUP($O413,Update!$B$2:$R$401,7,False)</f>
        <v>44.73684211</v>
      </c>
      <c r="AB413" s="127">
        <f>100*VLOOKUP($O413,Update!$B$2:$R$401,9,False)</f>
        <v>66.66666667</v>
      </c>
      <c r="AC413" s="127">
        <f>VLOOKUP($O413,Update!$B$2:$Q$401,16,False)</f>
        <v>0.3</v>
      </c>
      <c r="AD413" s="127">
        <f>VLOOKUP($O413,'NO USAR1'!$A$4:$L$403,2,False)*$U$19</f>
        <v>-2.132982178</v>
      </c>
      <c r="AE413" s="127">
        <f>VLOOKUP($O413,'NO USAR1'!$A$4:$L$403,3,False)*$V$19</f>
        <v>-0.7324347821</v>
      </c>
      <c r="AF413" s="127">
        <f>VLOOKUP($O413,'NO USAR1'!$A$4:$L$403,4,False)*$W$19</f>
        <v>-1.83792489</v>
      </c>
      <c r="AG413" s="127">
        <f>VLOOKUP($O413,'NO USAR1'!$A$4:$L$403,5,False)*$X$19</f>
        <v>-1.75652474</v>
      </c>
      <c r="AH413" s="127">
        <f>VLOOKUP($O413,'NO USAR1'!$A$4:$L$403,6,False)*$Y$19</f>
        <v>-1.732769878</v>
      </c>
      <c r="AI413" s="127">
        <f>VLOOKUP($O413,'NO USAR1'!$A$4:$L$403,7,False)*$Z$19</f>
        <v>-0.7896459159</v>
      </c>
      <c r="AJ413" s="127">
        <f>VLOOKUP($O413,'NO USAR1'!$A$4:$L$403,8,False)*$AA$19</f>
        <v>-0.1845311535</v>
      </c>
      <c r="AK413" s="132">
        <f>VLOOKUP($O413,'NO USAR1'!$A$4:$L$403,10,False)*$AB$19</f>
        <v>-0.1838981338</v>
      </c>
      <c r="AL413" s="127">
        <f>VLOOKUP($O413,'NO USAR1'!$A$4:$L$403,12,False)*$AC$19</f>
        <v>0.5261305291</v>
      </c>
      <c r="AM413" s="133">
        <f t="shared" si="2"/>
        <v>-2.132982178</v>
      </c>
      <c r="AN413" s="133">
        <f t="shared" si="3"/>
        <v>-3.970907067</v>
      </c>
    </row>
    <row r="414">
      <c r="A414">
        <f>IF(Update!B412="",ROW(Update!B412),Update!B412)</f>
        <v>412</v>
      </c>
      <c r="B414" s="119" t="str">
        <f>IF(TYPE($A414)=1,"",(Update!$L412-B$1)/B$2)</f>
        <v/>
      </c>
      <c r="C414" s="119" t="str">
        <f>IF(TYPE($A414)=1,"",(Update!$K412-C$1)/C$2)</f>
        <v/>
      </c>
      <c r="D414" s="119" t="str">
        <f>IF(TYPE($A414)=1,"",(Update!$M412-D$1)/D$2)</f>
        <v/>
      </c>
      <c r="E414" s="119" t="str">
        <f>IF(TYPE($A414)=1,"",(Update!$N412-E$1)/E$2)</f>
        <v/>
      </c>
      <c r="F414" s="119" t="str">
        <f>IF(TYPE($A414)=1,"",(Update!$O412-F$1)/F$2)</f>
        <v/>
      </c>
      <c r="G414" s="119" t="str">
        <f>IF(TYPE($A414)=1,"",(Update!$P412-G$1)/G$2)</f>
        <v/>
      </c>
      <c r="H414" s="119" t="str">
        <f>IF(TYPE($A414)=1,"",(Update!$H412-H$1)/H$2*I414/$I$1)</f>
        <v/>
      </c>
      <c r="I414" s="119" t="str">
        <f>IF(TYPE($A414)=1,"",IF(Update!H412=0,0,Update!G412/Update!H412))</f>
        <v/>
      </c>
      <c r="J414" s="120" t="str">
        <f>IF(TYPE($A414)=1,"",(Update!$J412-J$1)/J$2*K414/$K$1)</f>
        <v/>
      </c>
      <c r="K414" s="121" t="str">
        <f>IF(TYPE($A414)=1,"",IF(Update!J412=0,0,Update!I412/Update!J412))</f>
        <v/>
      </c>
      <c r="L414" s="119" t="str">
        <f>IF(TYPE($A414)=1,"",-(Update!$Q412-L$1)/L$2)</f>
        <v/>
      </c>
      <c r="N414" s="124">
        <v>394.0</v>
      </c>
      <c r="O414" s="130" t="str">
        <f>IF(Update!B395="",ROW(Update!B395),Update!B395)</f>
        <v>AJ Green</v>
      </c>
      <c r="P414" s="131">
        <f>Update!E395</f>
        <v>30</v>
      </c>
      <c r="Q414" s="131" t="str">
        <f>IF(Update!C395="",ROW(Update!N410),Update!C395)</f>
        <v>PG,SG</v>
      </c>
      <c r="R414" s="127">
        <f>VLOOKUP($O414,'NO USAR1'!$A$4:$L$403,2,False)+VLOOKUP($O414,'NO USAR1'!$A$4:$L$403,3,False)+VLOOKUP($O414,'NO USAR1'!$A$4:$L$403,4,False)+VLOOKUP($O414,'NO USAR1'!$A$4:$L$403,5,False)+VLOOKUP($O414,'NO USAR1'!$A$4:$L$403,6,False)+VLOOKUP($O414,'NO USAR1'!$A$4:$L$403,7,False)+VLOOKUP($O414,'NO USAR1'!$A$4:$L$403,8,False)+VLOOKUP($O414,'NO USAR1'!$A$4:$L$403,10,False)+VLOOKUP($O414,'NO USAR1'!$A$4:$L$403,12,False)*0</f>
        <v>-10.4211543</v>
      </c>
      <c r="S414" s="127">
        <f>VLOOKUP($O414,'NO USAR1'!$A$4:$L$403,2,False)*$U$19+VLOOKUP($O414,'NO USAR1'!$A$4:$L$403,3,False)*$V$19+VLOOKUP($O414,'NO USAR1'!$A$4:$L$403,4,False)*$W$19+VLOOKUP($O414,'NO USAR1'!$A$4:$L$403,5,False)*$X$19+VLOOKUP($O414,'NO USAR1'!$A$4:$L$403,6,False)*$Y$19+VLOOKUP($O414,'NO USAR1'!$A$4:$L$403,7,False)*$Z$19+VLOOKUP($O414,'NO USAR1'!$A$4:$L$403,8,False)*$AA$19+VLOOKUP($O414,'NO USAR1'!$A$4:$L$403,10,False)*$AB$19+VLOOKUP($O414,'NO USAR1'!$A$4:$L$403,12,False)*$AC$19+IF(Projections!$K$3,-AN414, IF(Projections!$J$3,-AM414,0))</f>
        <v>-6.5481474</v>
      </c>
      <c r="T414" s="127">
        <f t="shared" si="1"/>
        <v>3.873006895</v>
      </c>
      <c r="U414" s="127">
        <f>VLOOKUP($O414,Update!$B$2:$R$401,11,False)</f>
        <v>3.8</v>
      </c>
      <c r="V414" s="122">
        <f>VLOOKUP($O414,Update!$B$2:$R$401,10,False)</f>
        <v>1.1</v>
      </c>
      <c r="W414" s="127">
        <f>VLOOKUP($O414,Update!$B$2:$R$401,12,False)</f>
        <v>1.1</v>
      </c>
      <c r="X414" s="127">
        <f>VLOOKUP($O414,Update!$B$2:$R$401,13,False)</f>
        <v>0.5</v>
      </c>
      <c r="Y414" s="127">
        <f>VLOOKUP($O414,Update!$B$2:$R$401,14,False)</f>
        <v>0.2</v>
      </c>
      <c r="Z414" s="132">
        <f>VLOOKUP($O414,Update!$B$2:$R$401,15,False)</f>
        <v>0</v>
      </c>
      <c r="AA414" s="127">
        <f>100*VLOOKUP($O414,Update!$B$2:$R$401,7,False)</f>
        <v>41.93548387</v>
      </c>
      <c r="AB414" s="127">
        <f>100*VLOOKUP($O414,Update!$B$2:$R$401,9,False)</f>
        <v>100</v>
      </c>
      <c r="AC414" s="127">
        <f>VLOOKUP($O414,Update!$B$2:$Q$401,16,False)</f>
        <v>0.2</v>
      </c>
      <c r="AD414" s="127">
        <f>VLOOKUP($O414,'NO USAR1'!$A$4:$L$403,2,False)*$U$19</f>
        <v>-2.267803279</v>
      </c>
      <c r="AE414" s="127">
        <f>VLOOKUP($O414,'NO USAR1'!$A$4:$L$403,3,False)*$V$19</f>
        <v>-0.472296146</v>
      </c>
      <c r="AF414" s="127">
        <f>VLOOKUP($O414,'NO USAR1'!$A$4:$L$403,4,False)*$W$19</f>
        <v>-2.088817109</v>
      </c>
      <c r="AG414" s="127">
        <f>VLOOKUP($O414,'NO USAR1'!$A$4:$L$403,5,False)*$X$19</f>
        <v>-1.70552228</v>
      </c>
      <c r="AH414" s="127">
        <f>VLOOKUP($O414,'NO USAR1'!$A$4:$L$403,6,False)*$Y$19</f>
        <v>-1.732769878</v>
      </c>
      <c r="AI414" s="127">
        <f>VLOOKUP($O414,'NO USAR1'!$A$4:$L$403,7,False)*$Z$19</f>
        <v>-0.9209617556</v>
      </c>
      <c r="AJ414" s="127">
        <f>VLOOKUP($O414,'NO USAR1'!$A$4:$L$403,8,False)*$AA$19</f>
        <v>-0.2372821146</v>
      </c>
      <c r="AK414" s="132">
        <f>VLOOKUP($O414,'NO USAR1'!$A$4:$L$403,10,False)*$AB$19</f>
        <v>0.05232509865</v>
      </c>
      <c r="AL414" s="127">
        <f>VLOOKUP($O414,'NO USAR1'!$A$4:$L$403,12,False)*$AC$19</f>
        <v>0.5571767837</v>
      </c>
      <c r="AM414" s="133">
        <f t="shared" si="2"/>
        <v>-2.267803279</v>
      </c>
      <c r="AN414" s="133">
        <f t="shared" si="3"/>
        <v>-4.356620388</v>
      </c>
    </row>
    <row r="415">
      <c r="A415">
        <f>IF(Update!B413="",ROW(Update!B413),Update!B413)</f>
        <v>413</v>
      </c>
      <c r="B415" s="119" t="str">
        <f>IF(TYPE($A415)=1,"",(Update!$L413-B$1)/B$2)</f>
        <v/>
      </c>
      <c r="C415" s="119" t="str">
        <f>IF(TYPE($A415)=1,"",(Update!$K413-C$1)/C$2)</f>
        <v/>
      </c>
      <c r="D415" s="119" t="str">
        <f>IF(TYPE($A415)=1,"",(Update!$M413-D$1)/D$2)</f>
        <v/>
      </c>
      <c r="E415" s="119" t="str">
        <f>IF(TYPE($A415)=1,"",(Update!$N413-E$1)/E$2)</f>
        <v/>
      </c>
      <c r="F415" s="119" t="str">
        <f>IF(TYPE($A415)=1,"",(Update!$O413-F$1)/F$2)</f>
        <v/>
      </c>
      <c r="G415" s="119" t="str">
        <f>IF(TYPE($A415)=1,"",(Update!$P413-G$1)/G$2)</f>
        <v/>
      </c>
      <c r="H415" s="119" t="str">
        <f>IF(TYPE($A415)=1,"",(Update!$H413-H$1)/H$2*I415/$I$1)</f>
        <v/>
      </c>
      <c r="I415" s="119" t="str">
        <f>IF(TYPE($A415)=1,"",IF(Update!H413=0,0,Update!G413/Update!H413))</f>
        <v/>
      </c>
      <c r="J415" s="120" t="str">
        <f>IF(TYPE($A415)=1,"",(Update!$J413-J$1)/J$2*K415/$K$1)</f>
        <v/>
      </c>
      <c r="K415" s="121" t="str">
        <f>IF(TYPE($A415)=1,"",IF(Update!J413=0,0,Update!I413/Update!J413))</f>
        <v/>
      </c>
      <c r="L415" s="119" t="str">
        <f>IF(TYPE($A415)=1,"",-(Update!$Q413-L$1)/L$2)</f>
        <v/>
      </c>
      <c r="N415" s="124">
        <v>395.0</v>
      </c>
      <c r="O415" s="130" t="str">
        <f>IF(Update!B385="",ROW(Update!B385),Update!B385)</f>
        <v>Julian Strawther</v>
      </c>
      <c r="P415" s="131">
        <f>Update!E385</f>
        <v>38</v>
      </c>
      <c r="Q415" s="131" t="str">
        <f>IF(Update!C385="",ROW(Update!N400),Update!C385)</f>
        <v>SF</v>
      </c>
      <c r="R415" s="127">
        <f>VLOOKUP($O415,'NO USAR1'!$A$4:$L$403,2,False)+VLOOKUP($O415,'NO USAR1'!$A$4:$L$403,3,False)+VLOOKUP($O415,'NO USAR1'!$A$4:$L$403,4,False)+VLOOKUP($O415,'NO USAR1'!$A$4:$L$403,5,False)+VLOOKUP($O415,'NO USAR1'!$A$4:$L$403,6,False)+VLOOKUP($O415,'NO USAR1'!$A$4:$L$403,7,False)+VLOOKUP($O415,'NO USAR1'!$A$4:$L$403,8,False)+VLOOKUP($O415,'NO USAR1'!$A$4:$L$403,10,False)+VLOOKUP($O415,'NO USAR1'!$A$4:$L$403,12,False)*0</f>
        <v>-10.47496942</v>
      </c>
      <c r="S415" s="127">
        <f>VLOOKUP($O415,'NO USAR1'!$A$4:$L$403,2,False)*$U$19+VLOOKUP($O415,'NO USAR1'!$A$4:$L$403,3,False)*$V$19+VLOOKUP($O415,'NO USAR1'!$A$4:$L$403,4,False)*$W$19+VLOOKUP($O415,'NO USAR1'!$A$4:$L$403,5,False)*$X$19+VLOOKUP($O415,'NO USAR1'!$A$4:$L$403,6,False)*$Y$19+VLOOKUP($O415,'NO USAR1'!$A$4:$L$403,7,False)*$Z$19+VLOOKUP($O415,'NO USAR1'!$A$4:$L$403,8,False)*$AA$19+VLOOKUP($O415,'NO USAR1'!$A$4:$L$403,10,False)*$AB$19+VLOOKUP($O415,'NO USAR1'!$A$4:$L$403,12,False)*$AC$19+IF(Projections!$K$3,-AN415, IF(Projections!$J$3,-AM415,0))</f>
        <v>-6.741141114</v>
      </c>
      <c r="T415" s="127">
        <f t="shared" si="1"/>
        <v>3.733828301</v>
      </c>
      <c r="U415" s="127">
        <f>VLOOKUP($O415,Update!$B$2:$R$401,11,False)</f>
        <v>4.6</v>
      </c>
      <c r="V415" s="122">
        <f>VLOOKUP($O415,Update!$B$2:$R$401,10,False)</f>
        <v>0.8</v>
      </c>
      <c r="W415" s="127">
        <f>VLOOKUP($O415,Update!$B$2:$R$401,12,False)</f>
        <v>1.7</v>
      </c>
      <c r="X415" s="127">
        <f>VLOOKUP($O415,Update!$B$2:$R$401,13,False)</f>
        <v>0.4</v>
      </c>
      <c r="Y415" s="127">
        <f>VLOOKUP($O415,Update!$B$2:$R$401,14,False)</f>
        <v>0.2</v>
      </c>
      <c r="Z415" s="132">
        <f>VLOOKUP($O415,Update!$B$2:$R$401,15,False)</f>
        <v>0.1</v>
      </c>
      <c r="AA415" s="127">
        <f>100*VLOOKUP($O415,Update!$B$2:$R$401,7,False)</f>
        <v>43.58974359</v>
      </c>
      <c r="AB415" s="127">
        <f>100*VLOOKUP($O415,Update!$B$2:$R$401,9,False)</f>
        <v>66.66666667</v>
      </c>
      <c r="AC415" s="127">
        <f>VLOOKUP($O415,Update!$B$2:$Q$401,16,False)</f>
        <v>0.3</v>
      </c>
      <c r="AD415" s="127">
        <f>VLOOKUP($O415,'NO USAR1'!$A$4:$L$403,2,False)*$U$19</f>
        <v>-2.132982178</v>
      </c>
      <c r="AE415" s="127">
        <f>VLOOKUP($O415,'NO USAR1'!$A$4:$L$403,3,False)*$V$19</f>
        <v>-0.7324347821</v>
      </c>
      <c r="AF415" s="127">
        <f>VLOOKUP($O415,'NO USAR1'!$A$4:$L$403,4,False)*$W$19</f>
        <v>-1.83792489</v>
      </c>
      <c r="AG415" s="127">
        <f>VLOOKUP($O415,'NO USAR1'!$A$4:$L$403,5,False)*$X$19</f>
        <v>-1.75652474</v>
      </c>
      <c r="AH415" s="127">
        <f>VLOOKUP($O415,'NO USAR1'!$A$4:$L$403,6,False)*$Y$19</f>
        <v>-1.732769878</v>
      </c>
      <c r="AI415" s="127">
        <f>VLOOKUP($O415,'NO USAR1'!$A$4:$L$403,7,False)*$Z$19</f>
        <v>-0.7896459159</v>
      </c>
      <c r="AJ415" s="127">
        <f>VLOOKUP($O415,'NO USAR1'!$A$4:$L$403,8,False)*$AA$19</f>
        <v>-0.2340733036</v>
      </c>
      <c r="AK415" s="132">
        <f>VLOOKUP($O415,'NO USAR1'!$A$4:$L$403,10,False)*$AB$19</f>
        <v>-0.1838981338</v>
      </c>
      <c r="AL415" s="127">
        <f>VLOOKUP($O415,'NO USAR1'!$A$4:$L$403,12,False)*$AC$19</f>
        <v>0.5261305291</v>
      </c>
      <c r="AM415" s="133">
        <f t="shared" si="2"/>
        <v>-2.132982178</v>
      </c>
      <c r="AN415" s="133">
        <f t="shared" si="3"/>
        <v>-3.970907067</v>
      </c>
    </row>
    <row r="416">
      <c r="A416">
        <f>IF(Update!B414="",ROW(Update!B414),Update!B414)</f>
        <v>414</v>
      </c>
      <c r="B416" s="119" t="str">
        <f>IF(TYPE($A416)=1,"",(Update!$L414-B$1)/B$2)</f>
        <v/>
      </c>
      <c r="C416" s="119" t="str">
        <f>IF(TYPE($A416)=1,"",(Update!$K414-C$1)/C$2)</f>
        <v/>
      </c>
      <c r="D416" s="119" t="str">
        <f>IF(TYPE($A416)=1,"",(Update!$M414-D$1)/D$2)</f>
        <v/>
      </c>
      <c r="E416" s="119" t="str">
        <f>IF(TYPE($A416)=1,"",(Update!$N414-E$1)/E$2)</f>
        <v/>
      </c>
      <c r="F416" s="119" t="str">
        <f>IF(TYPE($A416)=1,"",(Update!$O414-F$1)/F$2)</f>
        <v/>
      </c>
      <c r="G416" s="119" t="str">
        <f>IF(TYPE($A416)=1,"",(Update!$P414-G$1)/G$2)</f>
        <v/>
      </c>
      <c r="H416" s="119" t="str">
        <f>IF(TYPE($A416)=1,"",(Update!$H414-H$1)/H$2*I416/$I$1)</f>
        <v/>
      </c>
      <c r="I416" s="119" t="str">
        <f>IF(TYPE($A416)=1,"",IF(Update!H414=0,0,Update!G414/Update!H414))</f>
        <v/>
      </c>
      <c r="J416" s="120" t="str">
        <f>IF(TYPE($A416)=1,"",(Update!$J414-J$1)/J$2*K416/$K$1)</f>
        <v/>
      </c>
      <c r="K416" s="121" t="str">
        <f>IF(TYPE($A416)=1,"",IF(Update!J414=0,0,Update!I414/Update!J414))</f>
        <v/>
      </c>
      <c r="L416" s="119" t="str">
        <f>IF(TYPE($A416)=1,"",-(Update!$Q414-L$1)/L$2)</f>
        <v/>
      </c>
      <c r="N416" s="33">
        <v>396.0</v>
      </c>
      <c r="O416" s="130" t="str">
        <f>IF(Update!B399="",ROW(Update!B399),Update!B399)</f>
        <v>Admiral Schofield</v>
      </c>
      <c r="P416" s="131">
        <f>Update!E399</f>
        <v>30</v>
      </c>
      <c r="Q416" s="131" t="str">
        <f>IF(Update!C399="",ROW(Update!N414),Update!C399)</f>
        <v>SF,PF</v>
      </c>
      <c r="R416" s="127">
        <f>VLOOKUP($O416,'NO USAR1'!$A$4:$L$403,2,False)+VLOOKUP($O416,'NO USAR1'!$A$4:$L$403,3,False)+VLOOKUP($O416,'NO USAR1'!$A$4:$L$403,4,False)+VLOOKUP($O416,'NO USAR1'!$A$4:$L$403,5,False)+VLOOKUP($O416,'NO USAR1'!$A$4:$L$403,6,False)+VLOOKUP($O416,'NO USAR1'!$A$4:$L$403,7,False)+VLOOKUP($O416,'NO USAR1'!$A$4:$L$403,8,False)+VLOOKUP($O416,'NO USAR1'!$A$4:$L$403,10,False)+VLOOKUP($O416,'NO USAR1'!$A$4:$L$403,12,False)*0</f>
        <v>-10.56342879</v>
      </c>
      <c r="S416" s="127">
        <f>VLOOKUP($O416,'NO USAR1'!$A$4:$L$403,2,False)*$U$19+VLOOKUP($O416,'NO USAR1'!$A$4:$L$403,3,False)*$V$19+VLOOKUP($O416,'NO USAR1'!$A$4:$L$403,4,False)*$W$19+VLOOKUP($O416,'NO USAR1'!$A$4:$L$403,5,False)*$X$19+VLOOKUP($O416,'NO USAR1'!$A$4:$L$403,6,False)*$Y$19+VLOOKUP($O416,'NO USAR1'!$A$4:$L$403,7,False)*$Z$19+VLOOKUP($O416,'NO USAR1'!$A$4:$L$403,8,False)*$AA$19+VLOOKUP($O416,'NO USAR1'!$A$4:$L$403,10,False)*$AB$19+VLOOKUP($O416,'NO USAR1'!$A$4:$L$403,12,False)*$AC$19+IF(Projections!$K$3,-AN416, IF(Projections!$J$3,-AM416,0))</f>
        <v>-6.622928441</v>
      </c>
      <c r="T416" s="127">
        <f t="shared" si="1"/>
        <v>3.940500349</v>
      </c>
      <c r="U416" s="127">
        <f>VLOOKUP($O416,Update!$B$2:$R$401,11,False)</f>
        <v>3.3</v>
      </c>
      <c r="V416" s="122">
        <f>VLOOKUP($O416,Update!$B$2:$R$401,10,False)</f>
        <v>0.6</v>
      </c>
      <c r="W416" s="127">
        <f>VLOOKUP($O416,Update!$B$2:$R$401,12,False)</f>
        <v>1.7</v>
      </c>
      <c r="X416" s="127">
        <f>VLOOKUP($O416,Update!$B$2:$R$401,13,False)</f>
        <v>0.6</v>
      </c>
      <c r="Y416" s="127">
        <f>VLOOKUP($O416,Update!$B$2:$R$401,14,False)</f>
        <v>0.1</v>
      </c>
      <c r="Z416" s="132">
        <f>VLOOKUP($O416,Update!$B$2:$R$401,15,False)</f>
        <v>0.1</v>
      </c>
      <c r="AA416" s="127">
        <f>100*VLOOKUP($O416,Update!$B$2:$R$401,7,False)</f>
        <v>42.85714286</v>
      </c>
      <c r="AB416" s="127">
        <f>100*VLOOKUP($O416,Update!$B$2:$R$401,9,False)</f>
        <v>100</v>
      </c>
      <c r="AC416" s="127">
        <f>VLOOKUP($O416,Update!$B$2:$Q$401,16,False)</f>
        <v>0.4</v>
      </c>
      <c r="AD416" s="127">
        <f>VLOOKUP($O416,'NO USAR1'!$A$4:$L$403,2,False)*$U$19</f>
        <v>-2.352066468</v>
      </c>
      <c r="AE416" s="127">
        <f>VLOOKUP($O416,'NO USAR1'!$A$4:$L$403,3,False)*$V$19</f>
        <v>-0.9058605394</v>
      </c>
      <c r="AF416" s="127">
        <f>VLOOKUP($O416,'NO USAR1'!$A$4:$L$403,4,False)*$W$19</f>
        <v>-1.83792489</v>
      </c>
      <c r="AG416" s="127">
        <f>VLOOKUP($O416,'NO USAR1'!$A$4:$L$403,5,False)*$X$19</f>
        <v>-1.654519819</v>
      </c>
      <c r="AH416" s="127">
        <f>VLOOKUP($O416,'NO USAR1'!$A$4:$L$403,6,False)*$Y$19</f>
        <v>-1.950819779</v>
      </c>
      <c r="AI416" s="127">
        <f>VLOOKUP($O416,'NO USAR1'!$A$4:$L$403,7,False)*$Z$19</f>
        <v>-0.7896459159</v>
      </c>
      <c r="AJ416" s="127">
        <f>VLOOKUP($O416,'NO USAR1'!$A$4:$L$403,8,False)*$AA$19</f>
        <v>-0.1885421673</v>
      </c>
      <c r="AK416" s="132">
        <f>VLOOKUP($O416,'NO USAR1'!$A$4:$L$403,10,False)*$AB$19</f>
        <v>0.2093003946</v>
      </c>
      <c r="AL416" s="127">
        <f>VLOOKUP($O416,'NO USAR1'!$A$4:$L$403,12,False)*$AC$19</f>
        <v>0.4950842744</v>
      </c>
      <c r="AM416" s="133">
        <f t="shared" si="2"/>
        <v>-2.352066468</v>
      </c>
      <c r="AN416" s="133">
        <f t="shared" si="3"/>
        <v>-4.302886247</v>
      </c>
    </row>
    <row r="417">
      <c r="A417">
        <f>IF(Update!B415="",ROW(Update!B415),Update!B415)</f>
        <v>415</v>
      </c>
      <c r="B417" s="119" t="str">
        <f>IF(TYPE($A417)=1,"",(Update!$L415-B$1)/B$2)</f>
        <v/>
      </c>
      <c r="C417" s="119" t="str">
        <f>IF(TYPE($A417)=1,"",(Update!$K415-C$1)/C$2)</f>
        <v/>
      </c>
      <c r="D417" s="119" t="str">
        <f>IF(TYPE($A417)=1,"",(Update!$M415-D$1)/D$2)</f>
        <v/>
      </c>
      <c r="E417" s="119" t="str">
        <f>IF(TYPE($A417)=1,"",(Update!$N415-E$1)/E$2)</f>
        <v/>
      </c>
      <c r="F417" s="119" t="str">
        <f>IF(TYPE($A417)=1,"",(Update!$O415-F$1)/F$2)</f>
        <v/>
      </c>
      <c r="G417" s="119" t="str">
        <f>IF(TYPE($A417)=1,"",(Update!$P415-G$1)/G$2)</f>
        <v/>
      </c>
      <c r="H417" s="119" t="str">
        <f>IF(TYPE($A417)=1,"",(Update!$H415-H$1)/H$2*I417/$I$1)</f>
        <v/>
      </c>
      <c r="I417" s="119" t="str">
        <f>IF(TYPE($A417)=1,"",IF(Update!H415=0,0,Update!G415/Update!H415))</f>
        <v/>
      </c>
      <c r="J417" s="120" t="str">
        <f>IF(TYPE($A417)=1,"",(Update!$J415-J$1)/J$2*K417/$K$1)</f>
        <v/>
      </c>
      <c r="K417" s="121" t="str">
        <f>IF(TYPE($A417)=1,"",IF(Update!J415=0,0,Update!I415/Update!J415))</f>
        <v/>
      </c>
      <c r="L417" s="119" t="str">
        <f>IF(TYPE($A417)=1,"",-(Update!$Q415-L$1)/L$2)</f>
        <v/>
      </c>
      <c r="N417" s="33">
        <v>397.0</v>
      </c>
      <c r="O417" s="130" t="str">
        <f>IF(Update!B393="",ROW(Update!B393),Update!B393)</f>
        <v>Wesley Matthews</v>
      </c>
      <c r="P417" s="131">
        <f>Update!E393</f>
        <v>34</v>
      </c>
      <c r="Q417" s="131" t="str">
        <f>IF(Update!C393="",ROW(Update!N408),Update!C393)</f>
        <v>SG</v>
      </c>
      <c r="R417" s="127">
        <f>VLOOKUP($O417,'NO USAR1'!$A$4:$L$403,2,False)+VLOOKUP($O417,'NO USAR1'!$A$4:$L$403,3,False)+VLOOKUP($O417,'NO USAR1'!$A$4:$L$403,4,False)+VLOOKUP($O417,'NO USAR1'!$A$4:$L$403,5,False)+VLOOKUP($O417,'NO USAR1'!$A$4:$L$403,6,False)+VLOOKUP($O417,'NO USAR1'!$A$4:$L$403,7,False)+VLOOKUP($O417,'NO USAR1'!$A$4:$L$403,8,False)+VLOOKUP($O417,'NO USAR1'!$A$4:$L$403,10,False)+VLOOKUP($O417,'NO USAR1'!$A$4:$L$403,12,False)*0</f>
        <v>-10.6026834</v>
      </c>
      <c r="S417" s="127">
        <f>VLOOKUP($O417,'NO USAR1'!$A$4:$L$403,2,False)*$U$19+VLOOKUP($O417,'NO USAR1'!$A$4:$L$403,3,False)*$V$19+VLOOKUP($O417,'NO USAR1'!$A$4:$L$403,4,False)*$W$19+VLOOKUP($O417,'NO USAR1'!$A$4:$L$403,5,False)*$X$19+VLOOKUP($O417,'NO USAR1'!$A$4:$L$403,6,False)*$Y$19+VLOOKUP($O417,'NO USAR1'!$A$4:$L$403,7,False)*$Z$19+VLOOKUP($O417,'NO USAR1'!$A$4:$L$403,8,False)*$AA$19+VLOOKUP($O417,'NO USAR1'!$A$4:$L$403,10,False)*$AB$19+VLOOKUP($O417,'NO USAR1'!$A$4:$L$403,12,False)*$AC$19+IF(Projections!$K$3,-AN417, IF(Projections!$J$3,-AM417,0))</f>
        <v>-6.681844024</v>
      </c>
      <c r="T417" s="127">
        <f t="shared" si="1"/>
        <v>3.920839377</v>
      </c>
      <c r="U417" s="127">
        <f>VLOOKUP($O417,Update!$B$2:$R$401,11,False)</f>
        <v>2.9</v>
      </c>
      <c r="V417" s="122">
        <f>VLOOKUP($O417,Update!$B$2:$R$401,10,False)</f>
        <v>0.6</v>
      </c>
      <c r="W417" s="127">
        <f>VLOOKUP($O417,Update!$B$2:$R$401,12,False)</f>
        <v>1.4</v>
      </c>
      <c r="X417" s="127">
        <f>VLOOKUP($O417,Update!$B$2:$R$401,13,False)</f>
        <v>0.5</v>
      </c>
      <c r="Y417" s="127">
        <f>VLOOKUP($O417,Update!$B$2:$R$401,14,False)</f>
        <v>0.3</v>
      </c>
      <c r="Z417" s="132">
        <f>VLOOKUP($O417,Update!$B$2:$R$401,15,False)</f>
        <v>0.1</v>
      </c>
      <c r="AA417" s="127">
        <f>100*VLOOKUP($O417,Update!$B$2:$R$401,7,False)</f>
        <v>38.46153846</v>
      </c>
      <c r="AB417" s="127">
        <f>100*VLOOKUP($O417,Update!$B$2:$R$401,9,False)</f>
        <v>75</v>
      </c>
      <c r="AC417" s="127">
        <f>VLOOKUP($O417,Update!$B$2:$Q$401,16,False)</f>
        <v>0.3</v>
      </c>
      <c r="AD417" s="127">
        <f>VLOOKUP($O417,'NO USAR1'!$A$4:$L$403,2,False)*$U$19</f>
        <v>-2.419477019</v>
      </c>
      <c r="AE417" s="127">
        <f>VLOOKUP($O417,'NO USAR1'!$A$4:$L$403,3,False)*$V$19</f>
        <v>-0.9058605394</v>
      </c>
      <c r="AF417" s="127">
        <f>VLOOKUP($O417,'NO USAR1'!$A$4:$L$403,4,False)*$W$19</f>
        <v>-1.963370999</v>
      </c>
      <c r="AG417" s="127">
        <f>VLOOKUP($O417,'NO USAR1'!$A$4:$L$403,5,False)*$X$19</f>
        <v>-1.70552228</v>
      </c>
      <c r="AH417" s="127">
        <f>VLOOKUP($O417,'NO USAR1'!$A$4:$L$403,6,False)*$Y$19</f>
        <v>-1.514719978</v>
      </c>
      <c r="AI417" s="127">
        <f>VLOOKUP($O417,'NO USAR1'!$A$4:$L$403,7,False)*$Z$19</f>
        <v>-0.7896459159</v>
      </c>
      <c r="AJ417" s="127">
        <f>VLOOKUP($O417,'NO USAR1'!$A$4:$L$403,8,False)*$AA$19</f>
        <v>-0.2892308729</v>
      </c>
      <c r="AK417" s="132">
        <f>VLOOKUP($O417,'NO USAR1'!$A$4:$L$403,10,False)*$AB$19</f>
        <v>-0.03962396826</v>
      </c>
      <c r="AL417" s="127">
        <f>VLOOKUP($O417,'NO USAR1'!$A$4:$L$403,12,False)*$AC$19</f>
        <v>0.5261305291</v>
      </c>
      <c r="AM417" s="133">
        <f t="shared" si="2"/>
        <v>-2.419477019</v>
      </c>
      <c r="AN417" s="133">
        <f t="shared" si="3"/>
        <v>-4.382848018</v>
      </c>
    </row>
    <row r="418">
      <c r="A418">
        <f>IF(Update!B416="",ROW(Update!B416),Update!B416)</f>
        <v>416</v>
      </c>
      <c r="B418" s="119" t="str">
        <f>IF(TYPE($A418)=1,"",(Update!$L416-B$1)/B$2)</f>
        <v/>
      </c>
      <c r="C418" s="119" t="str">
        <f>IF(TYPE($A418)=1,"",(Update!$K416-C$1)/C$2)</f>
        <v/>
      </c>
      <c r="D418" s="119" t="str">
        <f>IF(TYPE($A418)=1,"",(Update!$M416-D$1)/D$2)</f>
        <v/>
      </c>
      <c r="E418" s="119" t="str">
        <f>IF(TYPE($A418)=1,"",(Update!$N416-E$1)/E$2)</f>
        <v/>
      </c>
      <c r="F418" s="119" t="str">
        <f>IF(TYPE($A418)=1,"",(Update!$O416-F$1)/F$2)</f>
        <v/>
      </c>
      <c r="G418" s="119" t="str">
        <f>IF(TYPE($A418)=1,"",(Update!$P416-G$1)/G$2)</f>
        <v/>
      </c>
      <c r="H418" s="119" t="str">
        <f>IF(TYPE($A418)=1,"",(Update!$H416-H$1)/H$2*I418/$I$1)</f>
        <v/>
      </c>
      <c r="I418" s="119" t="str">
        <f>IF(TYPE($A418)=1,"",IF(Update!H416=0,0,Update!G416/Update!H416))</f>
        <v/>
      </c>
      <c r="J418" s="120" t="str">
        <f>IF(TYPE($A418)=1,"",(Update!$J416-J$1)/J$2*K418/$K$1)</f>
        <v/>
      </c>
      <c r="K418" s="121" t="str">
        <f>IF(TYPE($A418)=1,"",IF(Update!J416=0,0,Update!I416/Update!J416))</f>
        <v/>
      </c>
      <c r="L418" s="119" t="str">
        <f>IF(TYPE($A418)=1,"",-(Update!$Q416-L$1)/L$2)</f>
        <v/>
      </c>
      <c r="N418" s="124">
        <v>398.0</v>
      </c>
      <c r="O418" s="130" t="str">
        <f>IF(Update!B396="",ROW(Update!B396),Update!B396)</f>
        <v>Kobe Bufkin</v>
      </c>
      <c r="P418" s="131">
        <f>Update!E396</f>
        <v>67</v>
      </c>
      <c r="Q418" s="131" t="str">
        <f>IF(Update!C396="",ROW(Update!N411),Update!C396)</f>
        <v>SG</v>
      </c>
      <c r="R418" s="127">
        <f>VLOOKUP($O418,'NO USAR1'!$A$4:$L$403,2,False)+VLOOKUP($O418,'NO USAR1'!$A$4:$L$403,3,False)+VLOOKUP($O418,'NO USAR1'!$A$4:$L$403,4,False)+VLOOKUP($O418,'NO USAR1'!$A$4:$L$403,5,False)+VLOOKUP($O418,'NO USAR1'!$A$4:$L$403,6,False)+VLOOKUP($O418,'NO USAR1'!$A$4:$L$403,7,False)+VLOOKUP($O418,'NO USAR1'!$A$4:$L$403,8,False)+VLOOKUP($O418,'NO USAR1'!$A$4:$L$403,10,False)+VLOOKUP($O418,'NO USAR1'!$A$4:$L$403,12,False)*0</f>
        <v>-10.60281572</v>
      </c>
      <c r="S418" s="127">
        <f>VLOOKUP($O418,'NO USAR1'!$A$4:$L$403,2,False)*$U$19+VLOOKUP($O418,'NO USAR1'!$A$4:$L$403,3,False)*$V$19+VLOOKUP($O418,'NO USAR1'!$A$4:$L$403,4,False)*$W$19+VLOOKUP($O418,'NO USAR1'!$A$4:$L$403,5,False)*$X$19+VLOOKUP($O418,'NO USAR1'!$A$4:$L$403,6,False)*$Y$19+VLOOKUP($O418,'NO USAR1'!$A$4:$L$403,7,False)*$Z$19+VLOOKUP($O418,'NO USAR1'!$A$4:$L$403,8,False)*$AA$19+VLOOKUP($O418,'NO USAR1'!$A$4:$L$403,10,False)*$AB$19+VLOOKUP($O418,'NO USAR1'!$A$4:$L$403,12,False)*$AC$19+IF(Projections!$K$3,-AN418, IF(Projections!$J$3,-AM418,0))</f>
        <v>-6.896921747</v>
      </c>
      <c r="T418" s="127">
        <f t="shared" si="1"/>
        <v>3.705893973</v>
      </c>
      <c r="U418" s="127">
        <f>VLOOKUP($O418,Update!$B$2:$R$401,11,False)</f>
        <v>4.4</v>
      </c>
      <c r="V418" s="122">
        <f>VLOOKUP($O418,Update!$B$2:$R$401,10,False)</f>
        <v>0.2</v>
      </c>
      <c r="W418" s="127">
        <f>VLOOKUP($O418,Update!$B$2:$R$401,12,False)</f>
        <v>0.8</v>
      </c>
      <c r="X418" s="127">
        <f>VLOOKUP($O418,Update!$B$2:$R$401,13,False)</f>
        <v>0.9</v>
      </c>
      <c r="Y418" s="127">
        <f>VLOOKUP($O418,Update!$B$2:$R$401,14,False)</f>
        <v>0.2</v>
      </c>
      <c r="Z418" s="132">
        <f>VLOOKUP($O418,Update!$B$2:$R$401,15,False)</f>
        <v>0.2</v>
      </c>
      <c r="AA418" s="127">
        <f>100*VLOOKUP($O418,Update!$B$2:$R$401,7,False)</f>
        <v>46.875</v>
      </c>
      <c r="AB418" s="127">
        <f>100*VLOOKUP($O418,Update!$B$2:$R$401,9,False)</f>
        <v>80</v>
      </c>
      <c r="AC418" s="127">
        <f>VLOOKUP($O418,Update!$B$2:$Q$401,16,False)</f>
        <v>0.5</v>
      </c>
      <c r="AD418" s="127">
        <f>VLOOKUP($O418,'NO USAR1'!$A$4:$L$403,2,False)*$U$19</f>
        <v>-2.166687453</v>
      </c>
      <c r="AE418" s="127">
        <f>VLOOKUP($O418,'NO USAR1'!$A$4:$L$403,3,False)*$V$19</f>
        <v>-1.252712054</v>
      </c>
      <c r="AF418" s="127">
        <f>VLOOKUP($O418,'NO USAR1'!$A$4:$L$403,4,False)*$W$19</f>
        <v>-2.214263218</v>
      </c>
      <c r="AG418" s="127">
        <f>VLOOKUP($O418,'NO USAR1'!$A$4:$L$403,5,False)*$X$19</f>
        <v>-1.501512437</v>
      </c>
      <c r="AH418" s="127">
        <f>VLOOKUP($O418,'NO USAR1'!$A$4:$L$403,6,False)*$Y$19</f>
        <v>-1.732769878</v>
      </c>
      <c r="AI418" s="127">
        <f>VLOOKUP($O418,'NO USAR1'!$A$4:$L$403,7,False)*$Z$19</f>
        <v>-0.6583300762</v>
      </c>
      <c r="AJ418" s="127">
        <f>VLOOKUP($O418,'NO USAR1'!$A$4:$L$403,8,False)*$AA$19</f>
        <v>-0.08705125883</v>
      </c>
      <c r="AK418" s="132">
        <f>VLOOKUP($O418,'NO USAR1'!$A$4:$L$403,10,False)*$AB$19</f>
        <v>0.03810339117</v>
      </c>
      <c r="AL418" s="127">
        <f>VLOOKUP($O418,'NO USAR1'!$A$4:$L$403,12,False)*$AC$19</f>
        <v>0.4640380197</v>
      </c>
      <c r="AM418" s="133">
        <f t="shared" si="2"/>
        <v>-2.214263218</v>
      </c>
      <c r="AN418" s="133">
        <f t="shared" si="3"/>
        <v>-4.380950672</v>
      </c>
    </row>
    <row r="419">
      <c r="A419">
        <f>IF(Update!B417="",ROW(Update!B417),Update!B417)</f>
        <v>417</v>
      </c>
      <c r="B419" s="119" t="str">
        <f>IF(TYPE($A419)=1,"",(Update!$L417-B$1)/B$2)</f>
        <v/>
      </c>
      <c r="C419" s="119" t="str">
        <f>IF(TYPE($A419)=1,"",(Update!$K417-C$1)/C$2)</f>
        <v/>
      </c>
      <c r="D419" s="119" t="str">
        <f>IF(TYPE($A419)=1,"",(Update!$M417-D$1)/D$2)</f>
        <v/>
      </c>
      <c r="E419" s="119" t="str">
        <f>IF(TYPE($A419)=1,"",(Update!$N417-E$1)/E$2)</f>
        <v/>
      </c>
      <c r="F419" s="119" t="str">
        <f>IF(TYPE($A419)=1,"",(Update!$O417-F$1)/F$2)</f>
        <v/>
      </c>
      <c r="G419" s="119" t="str">
        <f>IF(TYPE($A419)=1,"",(Update!$P417-G$1)/G$2)</f>
        <v/>
      </c>
      <c r="H419" s="119" t="str">
        <f>IF(TYPE($A419)=1,"",(Update!$H417-H$1)/H$2*I419/$I$1)</f>
        <v/>
      </c>
      <c r="I419" s="119" t="str">
        <f>IF(TYPE($A419)=1,"",IF(Update!H417=0,0,Update!G417/Update!H417))</f>
        <v/>
      </c>
      <c r="J419" s="120" t="str">
        <f>IF(TYPE($A419)=1,"",(Update!$J417-J$1)/J$2*K419/$K$1)</f>
        <v/>
      </c>
      <c r="K419" s="121" t="str">
        <f>IF(TYPE($A419)=1,"",IF(Update!J417=0,0,Update!I417/Update!J417))</f>
        <v/>
      </c>
      <c r="L419" s="119" t="str">
        <f>IF(TYPE($A419)=1,"",-(Update!$Q417-L$1)/L$2)</f>
        <v/>
      </c>
      <c r="N419" s="124">
        <v>399.0</v>
      </c>
      <c r="O419" s="130" t="str">
        <f>IF(Update!B401="",ROW(Update!B401),Update!B401)</f>
        <v>Jay Huff</v>
      </c>
      <c r="P419" s="131">
        <f>Update!E401</f>
        <v>10</v>
      </c>
      <c r="Q419" s="131" t="str">
        <f>IF(Update!C401="",ROW(Update!N416),Update!C401)</f>
        <v>C</v>
      </c>
      <c r="R419" s="127">
        <f>VLOOKUP($O419,'NO USAR1'!$A$4:$L$403,2,False)+VLOOKUP($O419,'NO USAR1'!$A$4:$L$403,3,False)+VLOOKUP($O419,'NO USAR1'!$A$4:$L$403,4,False)+VLOOKUP($O419,'NO USAR1'!$A$4:$L$403,5,False)+VLOOKUP($O419,'NO USAR1'!$A$4:$L$403,6,False)+VLOOKUP($O419,'NO USAR1'!$A$4:$L$403,7,False)+VLOOKUP($O419,'NO USAR1'!$A$4:$L$403,8,False)+VLOOKUP($O419,'NO USAR1'!$A$4:$L$403,10,False)+VLOOKUP($O419,'NO USAR1'!$A$4:$L$403,12,False)*0</f>
        <v>-10.65355018</v>
      </c>
      <c r="S419" s="127">
        <f>VLOOKUP($O419,'NO USAR1'!$A$4:$L$403,2,False)*$U$19+VLOOKUP($O419,'NO USAR1'!$A$4:$L$403,3,False)*$V$19+VLOOKUP($O419,'NO USAR1'!$A$4:$L$403,4,False)*$W$19+VLOOKUP($O419,'NO USAR1'!$A$4:$L$403,5,False)*$X$19+VLOOKUP($O419,'NO USAR1'!$A$4:$L$403,6,False)*$Y$19+VLOOKUP($O419,'NO USAR1'!$A$4:$L$403,7,False)*$Z$19+VLOOKUP($O419,'NO USAR1'!$A$4:$L$403,8,False)*$AA$19+VLOOKUP($O419,'NO USAR1'!$A$4:$L$403,10,False)*$AB$19+VLOOKUP($O419,'NO USAR1'!$A$4:$L$403,12,False)*$AC$19+IF(Projections!$K$3,-AN419, IF(Projections!$J$3,-AM419,0))</f>
        <v>-6.605486485</v>
      </c>
      <c r="T419" s="127">
        <f t="shared" si="1"/>
        <v>4.048063693</v>
      </c>
      <c r="U419" s="127">
        <f>VLOOKUP($O419,Update!$B$2:$R$401,11,False)</f>
        <v>2</v>
      </c>
      <c r="V419" s="122">
        <f>VLOOKUP($O419,Update!$B$2:$R$401,10,False)</f>
        <v>0.2</v>
      </c>
      <c r="W419" s="127">
        <f>VLOOKUP($O419,Update!$B$2:$R$401,12,False)</f>
        <v>1</v>
      </c>
      <c r="X419" s="127">
        <f>VLOOKUP($O419,Update!$B$2:$R$401,13,False)</f>
        <v>0.4</v>
      </c>
      <c r="Y419" s="127">
        <f>VLOOKUP($O419,Update!$B$2:$R$401,14,False)</f>
        <v>0.2</v>
      </c>
      <c r="Z419" s="132">
        <f>VLOOKUP($O419,Update!$B$2:$R$401,15,False)</f>
        <v>0.2</v>
      </c>
      <c r="AA419" s="127">
        <f>100*VLOOKUP($O419,Update!$B$2:$R$401,7,False)</f>
        <v>54.54545455</v>
      </c>
      <c r="AB419" s="127">
        <f>100*VLOOKUP($O419,Update!$B$2:$R$401,9,False)</f>
        <v>100</v>
      </c>
      <c r="AC419" s="127">
        <f>VLOOKUP($O419,Update!$B$2:$Q$401,16,False)</f>
        <v>0.2</v>
      </c>
      <c r="AD419" s="127">
        <f>VLOOKUP($O419,'NO USAR1'!$A$4:$L$403,2,False)*$U$19</f>
        <v>-2.571150758</v>
      </c>
      <c r="AE419" s="127">
        <f>VLOOKUP($O419,'NO USAR1'!$A$4:$L$403,3,False)*$V$19</f>
        <v>-1.252712054</v>
      </c>
      <c r="AF419" s="127">
        <f>VLOOKUP($O419,'NO USAR1'!$A$4:$L$403,4,False)*$W$19</f>
        <v>-2.130632479</v>
      </c>
      <c r="AG419" s="127">
        <f>VLOOKUP($O419,'NO USAR1'!$A$4:$L$403,5,False)*$X$19</f>
        <v>-1.75652474</v>
      </c>
      <c r="AH419" s="127">
        <f>VLOOKUP($O419,'NO USAR1'!$A$4:$L$403,6,False)*$Y$19</f>
        <v>-1.732769878</v>
      </c>
      <c r="AI419" s="127">
        <f>VLOOKUP($O419,'NO USAR1'!$A$4:$L$403,7,False)*$Z$19</f>
        <v>-0.6583300762</v>
      </c>
      <c r="AJ419" s="127">
        <f>VLOOKUP($O419,'NO USAR1'!$A$4:$L$403,8,False)*$AA$19</f>
        <v>0.05435536662</v>
      </c>
      <c r="AK419" s="132">
        <f>VLOOKUP($O419,'NO USAR1'!$A$4:$L$403,10,False)*$AB$19</f>
        <v>0.3139505919</v>
      </c>
      <c r="AL419" s="127">
        <f>VLOOKUP($O419,'NO USAR1'!$A$4:$L$403,12,False)*$AC$19</f>
        <v>0.5571767837</v>
      </c>
      <c r="AM419" s="133">
        <f t="shared" si="2"/>
        <v>-2.571150758</v>
      </c>
      <c r="AN419" s="133">
        <f t="shared" si="3"/>
        <v>-4.701783237</v>
      </c>
    </row>
    <row r="420">
      <c r="A420">
        <f>IF(Update!B418="",ROW(Update!B418),Update!B418)</f>
        <v>418</v>
      </c>
      <c r="B420" s="119" t="str">
        <f>IF(TYPE($A420)=1,"",(Update!$L418-B$1)/B$2)</f>
        <v/>
      </c>
      <c r="C420" s="119" t="str">
        <f>IF(TYPE($A420)=1,"",(Update!$K418-C$1)/C$2)</f>
        <v/>
      </c>
      <c r="D420" s="119" t="str">
        <f>IF(TYPE($A420)=1,"",(Update!$M418-D$1)/D$2)</f>
        <v/>
      </c>
      <c r="E420" s="119" t="str">
        <f>IF(TYPE($A420)=1,"",(Update!$N418-E$1)/E$2)</f>
        <v/>
      </c>
      <c r="F420" s="119" t="str">
        <f>IF(TYPE($A420)=1,"",(Update!$O418-F$1)/F$2)</f>
        <v/>
      </c>
      <c r="G420" s="119" t="str">
        <f>IF(TYPE($A420)=1,"",(Update!$P418-G$1)/G$2)</f>
        <v/>
      </c>
      <c r="H420" s="119" t="str">
        <f>IF(TYPE($A420)=1,"",(Update!$H418-H$1)/H$2*I420/$I$1)</f>
        <v/>
      </c>
      <c r="I420" s="119" t="str">
        <f>IF(TYPE($A420)=1,"",IF(Update!H418=0,0,Update!G418/Update!H418))</f>
        <v/>
      </c>
      <c r="J420" s="120" t="str">
        <f>IF(TYPE($A420)=1,"",(Update!$J418-J$1)/J$2*K420/$K$1)</f>
        <v/>
      </c>
      <c r="K420" s="121" t="str">
        <f>IF(TYPE($A420)=1,"",IF(Update!J418=0,0,Update!I418/Update!J418))</f>
        <v/>
      </c>
      <c r="L420" s="119" t="str">
        <f>IF(TYPE($A420)=1,"",-(Update!$Q418-L$1)/L$2)</f>
        <v/>
      </c>
      <c r="N420" s="33">
        <v>400.0</v>
      </c>
      <c r="O420" s="130" t="str">
        <f>IF(Update!B398="",ROW(Update!B398),Update!B398)</f>
        <v>Jeremiah Robinson-Earl</v>
      </c>
      <c r="P420" s="131">
        <f>Update!E398</f>
        <v>30</v>
      </c>
      <c r="Q420" s="131" t="str">
        <f>IF(Update!C398="",ROW(Update!N413),Update!C398)</f>
        <v>PF,C</v>
      </c>
      <c r="R420" s="127">
        <f>VLOOKUP($O420,'NO USAR1'!$A$4:$L$403,2,False)+VLOOKUP($O420,'NO USAR1'!$A$4:$L$403,3,False)+VLOOKUP($O420,'NO USAR1'!$A$4:$L$403,4,False)+VLOOKUP($O420,'NO USAR1'!$A$4:$L$403,5,False)+VLOOKUP($O420,'NO USAR1'!$A$4:$L$403,6,False)+VLOOKUP($O420,'NO USAR1'!$A$4:$L$403,7,False)+VLOOKUP($O420,'NO USAR1'!$A$4:$L$403,8,False)+VLOOKUP($O420,'NO USAR1'!$A$4:$L$403,10,False)+VLOOKUP($O420,'NO USAR1'!$A$4:$L$403,12,False)*0</f>
        <v>-10.7913672</v>
      </c>
      <c r="S420" s="127">
        <f>VLOOKUP($O420,'NO USAR1'!$A$4:$L$403,2,False)*$U$19+VLOOKUP($O420,'NO USAR1'!$A$4:$L$403,3,False)*$V$19+VLOOKUP($O420,'NO USAR1'!$A$4:$L$403,4,False)*$W$19+VLOOKUP($O420,'NO USAR1'!$A$4:$L$403,5,False)*$X$19+VLOOKUP($O420,'NO USAR1'!$A$4:$L$403,6,False)*$Y$19+VLOOKUP($O420,'NO USAR1'!$A$4:$L$403,7,False)*$Z$19+VLOOKUP($O420,'NO USAR1'!$A$4:$L$403,8,False)*$AA$19+VLOOKUP($O420,'NO USAR1'!$A$4:$L$403,10,False)*$AB$19+VLOOKUP($O420,'NO USAR1'!$A$4:$L$403,12,False)*$AC$19+IF(Projections!$K$3,-AN420, IF(Projections!$J$3,-AM420,0))</f>
        <v>-6.77354342</v>
      </c>
      <c r="T420" s="127">
        <f t="shared" si="1"/>
        <v>4.017823776</v>
      </c>
      <c r="U420" s="127">
        <f>VLOOKUP($O420,Update!$B$2:$R$401,11,False)</f>
        <v>2.9</v>
      </c>
      <c r="V420" s="122">
        <f>VLOOKUP($O420,Update!$B$2:$R$401,10,False)</f>
        <v>0.4</v>
      </c>
      <c r="W420" s="127">
        <f>VLOOKUP($O420,Update!$B$2:$R$401,12,False)</f>
        <v>2</v>
      </c>
      <c r="X420" s="127">
        <f>VLOOKUP($O420,Update!$B$2:$R$401,13,False)</f>
        <v>0.4</v>
      </c>
      <c r="Y420" s="127">
        <f>VLOOKUP($O420,Update!$B$2:$R$401,14,False)</f>
        <v>0.2</v>
      </c>
      <c r="Z420" s="132">
        <f>VLOOKUP($O420,Update!$B$2:$R$401,15,False)</f>
        <v>0.1</v>
      </c>
      <c r="AA420" s="127">
        <f>100*VLOOKUP($O420,Update!$B$2:$R$401,7,False)</f>
        <v>42.30769231</v>
      </c>
      <c r="AB420" s="127">
        <f>100*VLOOKUP($O420,Update!$B$2:$R$401,9,False)</f>
        <v>75</v>
      </c>
      <c r="AC420" s="127">
        <f>VLOOKUP($O420,Update!$B$2:$Q$401,16,False)</f>
        <v>0.3</v>
      </c>
      <c r="AD420" s="127">
        <f>VLOOKUP($O420,'NO USAR1'!$A$4:$L$403,2,False)*$U$19</f>
        <v>-2.419477019</v>
      </c>
      <c r="AE420" s="127">
        <f>VLOOKUP($O420,'NO USAR1'!$A$4:$L$403,3,False)*$V$19</f>
        <v>-1.079286297</v>
      </c>
      <c r="AF420" s="127">
        <f>VLOOKUP($O420,'NO USAR1'!$A$4:$L$403,4,False)*$W$19</f>
        <v>-1.71247878</v>
      </c>
      <c r="AG420" s="127">
        <f>VLOOKUP($O420,'NO USAR1'!$A$4:$L$403,5,False)*$X$19</f>
        <v>-1.75652474</v>
      </c>
      <c r="AH420" s="127">
        <f>VLOOKUP($O420,'NO USAR1'!$A$4:$L$403,6,False)*$Y$19</f>
        <v>-1.732769878</v>
      </c>
      <c r="AI420" s="127">
        <f>VLOOKUP($O420,'NO USAR1'!$A$4:$L$403,7,False)*$Z$19</f>
        <v>-0.7896459159</v>
      </c>
      <c r="AJ420" s="127">
        <f>VLOOKUP($O420,'NO USAR1'!$A$4:$L$403,8,False)*$AA$19</f>
        <v>-0.18934437</v>
      </c>
      <c r="AK420" s="132">
        <f>VLOOKUP($O420,'NO USAR1'!$A$4:$L$403,10,False)*$AB$19</f>
        <v>-0.03962396826</v>
      </c>
      <c r="AL420" s="127">
        <f>VLOOKUP($O420,'NO USAR1'!$A$4:$L$403,12,False)*$AC$19</f>
        <v>0.5261305291</v>
      </c>
      <c r="AM420" s="133">
        <f t="shared" si="2"/>
        <v>-2.419477019</v>
      </c>
      <c r="AN420" s="133">
        <f t="shared" si="3"/>
        <v>-4.176001759</v>
      </c>
    </row>
    <row r="421">
      <c r="A421">
        <f>IF(Update!B419="",ROW(Update!B419),Update!B419)</f>
        <v>419</v>
      </c>
      <c r="B421" s="119" t="str">
        <f>IF(TYPE($A421)=1,"",(Update!$L419-B$1)/B$2)</f>
        <v/>
      </c>
      <c r="C421" s="119" t="str">
        <f>IF(TYPE($A421)=1,"",(Update!$K419-C$1)/C$2)</f>
        <v/>
      </c>
      <c r="D421" s="119" t="str">
        <f>IF(TYPE($A421)=1,"",(Update!$M419-D$1)/D$2)</f>
        <v/>
      </c>
      <c r="E421" s="119" t="str">
        <f>IF(TYPE($A421)=1,"",(Update!$N419-E$1)/E$2)</f>
        <v/>
      </c>
      <c r="F421" s="119" t="str">
        <f>IF(TYPE($A421)=1,"",(Update!$O419-F$1)/F$2)</f>
        <v/>
      </c>
      <c r="G421" s="119" t="str">
        <f>IF(TYPE($A421)=1,"",(Update!$P419-G$1)/G$2)</f>
        <v/>
      </c>
      <c r="H421" s="119" t="str">
        <f>IF(TYPE($A421)=1,"",(Update!$H419-H$1)/H$2*I421/$I$1)</f>
        <v/>
      </c>
      <c r="I421" s="119" t="str">
        <f>IF(TYPE($A421)=1,"",IF(Update!H419=0,0,Update!G419/Update!H419))</f>
        <v/>
      </c>
      <c r="J421" s="120" t="str">
        <f>IF(TYPE($A421)=1,"",(Update!$J419-J$1)/J$2*K421/$K$1)</f>
        <v/>
      </c>
      <c r="K421" s="121" t="str">
        <f>IF(TYPE($A421)=1,"",IF(Update!J419=0,0,Update!I419/Update!J419))</f>
        <v/>
      </c>
      <c r="L421" s="119" t="str">
        <f>IF(TYPE($A421)=1,"",-(Update!$Q419-L$1)/L$2)</f>
        <v/>
      </c>
      <c r="N421" s="124"/>
      <c r="O421" s="131"/>
      <c r="P421" s="131"/>
      <c r="Q421" s="131"/>
      <c r="R421" s="127"/>
      <c r="S421" s="127"/>
      <c r="T421" s="127"/>
      <c r="U421" s="127"/>
      <c r="V421" s="122"/>
      <c r="W421" s="127"/>
      <c r="X421" s="127"/>
      <c r="Y421" s="127"/>
      <c r="Z421" s="132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32"/>
      <c r="AL421" s="127"/>
      <c r="AM421" s="133"/>
      <c r="AN421" s="133"/>
    </row>
    <row r="422">
      <c r="A422">
        <f>IF(Update!B420="",ROW(Update!B420),Update!B420)</f>
        <v>420</v>
      </c>
      <c r="B422" s="119" t="str">
        <f>IF(TYPE($A422)=1,"",(Update!$L420-B$1)/B$2)</f>
        <v/>
      </c>
      <c r="C422" s="119" t="str">
        <f>IF(TYPE($A422)=1,"",(Update!$K420-C$1)/C$2)</f>
        <v/>
      </c>
      <c r="D422" s="119" t="str">
        <f>IF(TYPE($A422)=1,"",(Update!$M420-D$1)/D$2)</f>
        <v/>
      </c>
      <c r="E422" s="119" t="str">
        <f>IF(TYPE($A422)=1,"",(Update!$N420-E$1)/E$2)</f>
        <v/>
      </c>
      <c r="F422" s="119" t="str">
        <f>IF(TYPE($A422)=1,"",(Update!$O420-F$1)/F$2)</f>
        <v/>
      </c>
      <c r="G422" s="119" t="str">
        <f>IF(TYPE($A422)=1,"",(Update!$P420-G$1)/G$2)</f>
        <v/>
      </c>
      <c r="H422" s="119" t="str">
        <f>IF(TYPE($A422)=1,"",(Update!$H420-H$1)/H$2*I422/$I$1)</f>
        <v/>
      </c>
      <c r="I422" s="119" t="str">
        <f>IF(TYPE($A422)=1,"",IF(Update!H420=0,0,Update!G420/Update!H420))</f>
        <v/>
      </c>
      <c r="J422" s="120" t="str">
        <f>IF(TYPE($A422)=1,"",(Update!$J420-J$1)/J$2*K422/$K$1)</f>
        <v/>
      </c>
      <c r="K422" s="121" t="str">
        <f>IF(TYPE($A422)=1,"",IF(Update!J420=0,0,Update!I420/Update!J420))</f>
        <v/>
      </c>
      <c r="L422" s="119" t="str">
        <f>IF(TYPE($A422)=1,"",-(Update!$Q420-L$1)/L$2)</f>
        <v/>
      </c>
      <c r="N422" s="124"/>
      <c r="O422" s="131"/>
      <c r="P422" s="131"/>
      <c r="Q422" s="131"/>
      <c r="R422" s="127"/>
      <c r="S422" s="127"/>
      <c r="T422" s="127"/>
      <c r="U422" s="127"/>
      <c r="V422" s="122"/>
      <c r="W422" s="127"/>
      <c r="X422" s="127"/>
      <c r="Y422" s="127"/>
      <c r="Z422" s="132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32"/>
      <c r="AL422" s="127"/>
      <c r="AM422" s="133"/>
      <c r="AN422" s="133"/>
    </row>
    <row r="423">
      <c r="A423">
        <f>IF(Update!B421="",ROW(Update!B421),Update!B421)</f>
        <v>421</v>
      </c>
      <c r="B423" s="119" t="str">
        <f>IF(TYPE($A423)=1,"",(Update!$L421-B$1)/B$2)</f>
        <v/>
      </c>
      <c r="C423" s="119" t="str">
        <f>IF(TYPE($A423)=1,"",(Update!$K421-C$1)/C$2)</f>
        <v/>
      </c>
      <c r="D423" s="119" t="str">
        <f>IF(TYPE($A423)=1,"",(Update!$M421-D$1)/D$2)</f>
        <v/>
      </c>
      <c r="E423" s="119" t="str">
        <f>IF(TYPE($A423)=1,"",(Update!$N421-E$1)/E$2)</f>
        <v/>
      </c>
      <c r="F423" s="119" t="str">
        <f>IF(TYPE($A423)=1,"",(Update!$O421-F$1)/F$2)</f>
        <v/>
      </c>
      <c r="G423" s="119" t="str">
        <f>IF(TYPE($A423)=1,"",(Update!$P421-G$1)/G$2)</f>
        <v/>
      </c>
      <c r="H423" s="119" t="str">
        <f>IF(TYPE($A423)=1,"",(Update!$H421-H$1)/H$2*I423/$I$1)</f>
        <v/>
      </c>
      <c r="I423" s="119" t="str">
        <f>IF(TYPE($A423)=1,"",IF(Update!H421=0,0,Update!G421/Update!H421))</f>
        <v/>
      </c>
      <c r="J423" s="120" t="str">
        <f>IF(TYPE($A423)=1,"",(Update!$J421-J$1)/J$2*K423/$K$1)</f>
        <v/>
      </c>
      <c r="K423" s="121" t="str">
        <f>IF(TYPE($A423)=1,"",IF(Update!J421=0,0,Update!I421/Update!J421))</f>
        <v/>
      </c>
      <c r="L423" s="119" t="str">
        <f>IF(TYPE($A423)=1,"",-(Update!$Q421-L$1)/L$2)</f>
        <v/>
      </c>
      <c r="N423" s="124"/>
      <c r="O423" s="131"/>
      <c r="P423" s="131"/>
      <c r="Q423" s="131"/>
      <c r="R423" s="127"/>
      <c r="S423" s="127"/>
      <c r="T423" s="127"/>
      <c r="U423" s="127"/>
      <c r="V423" s="122"/>
      <c r="W423" s="127"/>
      <c r="X423" s="127"/>
      <c r="Y423" s="127"/>
      <c r="Z423" s="132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32"/>
      <c r="AL423" s="127"/>
      <c r="AM423" s="133"/>
      <c r="AN423" s="133"/>
    </row>
    <row r="424">
      <c r="A424">
        <f>IF(Update!B422="",ROW(Update!B422),Update!B422)</f>
        <v>422</v>
      </c>
      <c r="B424" s="119" t="str">
        <f>IF(TYPE($A424)=1,"",(Update!$L422-B$1)/B$2)</f>
        <v/>
      </c>
      <c r="C424" s="119" t="str">
        <f>IF(TYPE($A424)=1,"",(Update!$K422-C$1)/C$2)</f>
        <v/>
      </c>
      <c r="D424" s="119" t="str">
        <f>IF(TYPE($A424)=1,"",(Update!$M422-D$1)/D$2)</f>
        <v/>
      </c>
      <c r="E424" s="119" t="str">
        <f>IF(TYPE($A424)=1,"",(Update!$N422-E$1)/E$2)</f>
        <v/>
      </c>
      <c r="F424" s="119" t="str">
        <f>IF(TYPE($A424)=1,"",(Update!$O422-F$1)/F$2)</f>
        <v/>
      </c>
      <c r="G424" s="119" t="str">
        <f>IF(TYPE($A424)=1,"",(Update!$P422-G$1)/G$2)</f>
        <v/>
      </c>
      <c r="H424" s="119" t="str">
        <f>IF(TYPE($A424)=1,"",(Update!$H422-H$1)/H$2*I424/$I$1)</f>
        <v/>
      </c>
      <c r="I424" s="119" t="str">
        <f>IF(TYPE($A424)=1,"",IF(Update!H422=0,0,Update!G422/Update!H422))</f>
        <v/>
      </c>
      <c r="J424" s="120" t="str">
        <f>IF(TYPE($A424)=1,"",(Update!$J422-J$1)/J$2*K424/$K$1)</f>
        <v/>
      </c>
      <c r="K424" s="121" t="str">
        <f>IF(TYPE($A424)=1,"",IF(Update!J422=0,0,Update!I422/Update!J422))</f>
        <v/>
      </c>
      <c r="L424" s="119" t="str">
        <f>IF(TYPE($A424)=1,"",-(Update!$Q422-L$1)/L$2)</f>
        <v/>
      </c>
      <c r="N424" s="124"/>
      <c r="O424" s="131"/>
      <c r="P424" s="131"/>
      <c r="Q424" s="131"/>
      <c r="R424" s="127"/>
      <c r="S424" s="127"/>
      <c r="T424" s="127"/>
      <c r="U424" s="127"/>
      <c r="V424" s="122"/>
      <c r="W424" s="127"/>
      <c r="X424" s="127"/>
      <c r="Y424" s="127"/>
      <c r="Z424" s="132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32"/>
      <c r="AL424" s="127"/>
      <c r="AM424" s="133"/>
      <c r="AN424" s="133"/>
    </row>
    <row r="425">
      <c r="A425">
        <f>IF(Update!B423="",ROW(Update!B423),Update!B423)</f>
        <v>423</v>
      </c>
      <c r="B425" s="119" t="str">
        <f>IF(TYPE($A425)=1,"",(Update!$L423-B$1)/B$2)</f>
        <v/>
      </c>
      <c r="C425" s="119" t="str">
        <f>IF(TYPE($A425)=1,"",(Update!$K423-C$1)/C$2)</f>
        <v/>
      </c>
      <c r="D425" s="119" t="str">
        <f>IF(TYPE($A425)=1,"",(Update!$M423-D$1)/D$2)</f>
        <v/>
      </c>
      <c r="E425" s="119" t="str">
        <f>IF(TYPE($A425)=1,"",(Update!$N423-E$1)/E$2)</f>
        <v/>
      </c>
      <c r="F425" s="119" t="str">
        <f>IF(TYPE($A425)=1,"",(Update!$O423-F$1)/F$2)</f>
        <v/>
      </c>
      <c r="G425" s="119" t="str">
        <f>IF(TYPE($A425)=1,"",(Update!$P423-G$1)/G$2)</f>
        <v/>
      </c>
      <c r="H425" s="119" t="str">
        <f>IF(TYPE($A425)=1,"",(Update!$H423-H$1)/H$2*I425/$I$1)</f>
        <v/>
      </c>
      <c r="I425" s="119" t="str">
        <f>IF(TYPE($A425)=1,"",IF(Update!H423=0,0,Update!G423/Update!H423))</f>
        <v/>
      </c>
      <c r="J425" s="120" t="str">
        <f>IF(TYPE($A425)=1,"",(Update!$J423-J$1)/J$2*K425/$K$1)</f>
        <v/>
      </c>
      <c r="K425" s="121" t="str">
        <f>IF(TYPE($A425)=1,"",IF(Update!J423=0,0,Update!I423/Update!J423))</f>
        <v/>
      </c>
      <c r="L425" s="119" t="str">
        <f>IF(TYPE($A425)=1,"",-(Update!$Q423-L$1)/L$2)</f>
        <v/>
      </c>
      <c r="N425" s="124"/>
      <c r="O425" s="131"/>
      <c r="P425" s="131"/>
      <c r="Q425" s="131"/>
      <c r="R425" s="127"/>
      <c r="S425" s="127"/>
      <c r="T425" s="127"/>
      <c r="U425" s="127"/>
      <c r="V425" s="122"/>
      <c r="W425" s="127"/>
      <c r="X425" s="127"/>
      <c r="Y425" s="127"/>
      <c r="Z425" s="132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32"/>
      <c r="AL425" s="127"/>
      <c r="AM425" s="133"/>
      <c r="AN425" s="133"/>
    </row>
    <row r="426">
      <c r="A426">
        <f>IF(Update!B424="",ROW(Update!B424),Update!B424)</f>
        <v>424</v>
      </c>
      <c r="B426" s="119" t="str">
        <f>IF(TYPE($A426)=1,"",(Update!$L424-B$1)/B$2)</f>
        <v/>
      </c>
      <c r="C426" s="119" t="str">
        <f>IF(TYPE($A426)=1,"",(Update!$K424-C$1)/C$2)</f>
        <v/>
      </c>
      <c r="D426" s="119" t="str">
        <f>IF(TYPE($A426)=1,"",(Update!$M424-D$1)/D$2)</f>
        <v/>
      </c>
      <c r="E426" s="119" t="str">
        <f>IF(TYPE($A426)=1,"",(Update!$N424-E$1)/E$2)</f>
        <v/>
      </c>
      <c r="F426" s="119" t="str">
        <f>IF(TYPE($A426)=1,"",(Update!$O424-F$1)/F$2)</f>
        <v/>
      </c>
      <c r="G426" s="119" t="str">
        <f>IF(TYPE($A426)=1,"",(Update!$P424-G$1)/G$2)</f>
        <v/>
      </c>
      <c r="H426" s="119" t="str">
        <f>IF(TYPE($A426)=1,"",(Update!$H424-H$1)/H$2*I426/$I$1)</f>
        <v/>
      </c>
      <c r="I426" s="119" t="str">
        <f>IF(TYPE($A426)=1,"",IF(Update!H424=0,0,Update!G424/Update!H424))</f>
        <v/>
      </c>
      <c r="J426" s="120" t="str">
        <f>IF(TYPE($A426)=1,"",(Update!$J424-J$1)/J$2*K426/$K$1)</f>
        <v/>
      </c>
      <c r="K426" s="121" t="str">
        <f>IF(TYPE($A426)=1,"",IF(Update!J424=0,0,Update!I424/Update!J424))</f>
        <v/>
      </c>
      <c r="L426" s="119" t="str">
        <f>IF(TYPE($A426)=1,"",-(Update!$Q424-L$1)/L$2)</f>
        <v/>
      </c>
      <c r="N426" s="124"/>
      <c r="O426" s="131"/>
      <c r="P426" s="131"/>
      <c r="Q426" s="131"/>
      <c r="R426" s="127"/>
      <c r="S426" s="127"/>
      <c r="T426" s="127"/>
      <c r="U426" s="127"/>
      <c r="V426" s="122"/>
      <c r="W426" s="127"/>
      <c r="X426" s="127"/>
      <c r="Y426" s="127"/>
      <c r="Z426" s="132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32"/>
      <c r="AL426" s="127"/>
      <c r="AM426" s="133"/>
      <c r="AN426" s="133"/>
    </row>
    <row r="427">
      <c r="A427">
        <f>IF(Update!B425="",ROW(Update!B425),Update!B425)</f>
        <v>425</v>
      </c>
      <c r="B427" s="119" t="str">
        <f>IF(TYPE($A427)=1,"",(Update!$L425-B$1)/B$2)</f>
        <v/>
      </c>
      <c r="C427" s="119" t="str">
        <f>IF(TYPE($A427)=1,"",(Update!$K425-C$1)/C$2)</f>
        <v/>
      </c>
      <c r="D427" s="119" t="str">
        <f>IF(TYPE($A427)=1,"",(Update!$M425-D$1)/D$2)</f>
        <v/>
      </c>
      <c r="E427" s="119" t="str">
        <f>IF(TYPE($A427)=1,"",(Update!$N425-E$1)/E$2)</f>
        <v/>
      </c>
      <c r="F427" s="119" t="str">
        <f>IF(TYPE($A427)=1,"",(Update!$O425-F$1)/F$2)</f>
        <v/>
      </c>
      <c r="G427" s="119" t="str">
        <f>IF(TYPE($A427)=1,"",(Update!$P425-G$1)/G$2)</f>
        <v/>
      </c>
      <c r="H427" s="119" t="str">
        <f>IF(TYPE($A427)=1,"",(Update!$H425-H$1)/H$2*I427/$I$1)</f>
        <v/>
      </c>
      <c r="I427" s="119" t="str">
        <f>IF(TYPE($A427)=1,"",IF(Update!H425=0,0,Update!G425/Update!H425))</f>
        <v/>
      </c>
      <c r="J427" s="120" t="str">
        <f>IF(TYPE($A427)=1,"",(Update!$J425-J$1)/J$2*K427/$K$1)</f>
        <v/>
      </c>
      <c r="K427" s="121" t="str">
        <f>IF(TYPE($A427)=1,"",IF(Update!J425=0,0,Update!I425/Update!J425))</f>
        <v/>
      </c>
      <c r="L427" s="119" t="str">
        <f>IF(TYPE($A427)=1,"",-(Update!$Q425-L$1)/L$2)</f>
        <v/>
      </c>
      <c r="N427" s="124"/>
      <c r="O427" s="131"/>
      <c r="P427" s="131"/>
      <c r="Q427" s="131"/>
      <c r="R427" s="127"/>
      <c r="S427" s="127"/>
      <c r="T427" s="127"/>
      <c r="U427" s="127"/>
      <c r="V427" s="122"/>
      <c r="W427" s="127"/>
      <c r="X427" s="127"/>
      <c r="Y427" s="127"/>
      <c r="Z427" s="132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32"/>
      <c r="AL427" s="127"/>
      <c r="AM427" s="133"/>
      <c r="AN427" s="133"/>
    </row>
    <row r="428">
      <c r="A428">
        <f>IF(Update!B426="",ROW(Update!B426),Update!B426)</f>
        <v>426</v>
      </c>
      <c r="B428" s="119" t="str">
        <f>IF(TYPE($A428)=1,"",(Update!$L426-B$1)/B$2)</f>
        <v/>
      </c>
      <c r="C428" s="119" t="str">
        <f>IF(TYPE($A428)=1,"",(Update!$K426-C$1)/C$2)</f>
        <v/>
      </c>
      <c r="D428" s="119" t="str">
        <f>IF(TYPE($A428)=1,"",(Update!$M426-D$1)/D$2)</f>
        <v/>
      </c>
      <c r="E428" s="119" t="str">
        <f>IF(TYPE($A428)=1,"",(Update!$N426-E$1)/E$2)</f>
        <v/>
      </c>
      <c r="F428" s="119" t="str">
        <f>IF(TYPE($A428)=1,"",(Update!$O426-F$1)/F$2)</f>
        <v/>
      </c>
      <c r="G428" s="119" t="str">
        <f>IF(TYPE($A428)=1,"",(Update!$P426-G$1)/G$2)</f>
        <v/>
      </c>
      <c r="H428" s="119" t="str">
        <f>IF(TYPE($A428)=1,"",(Update!$H426-H$1)/H$2*I428/$I$1)</f>
        <v/>
      </c>
      <c r="I428" s="119" t="str">
        <f>IF(TYPE($A428)=1,"",IF(Update!H426=0,0,Update!G426/Update!H426))</f>
        <v/>
      </c>
      <c r="J428" s="120" t="str">
        <f>IF(TYPE($A428)=1,"",(Update!$J426-J$1)/J$2*K428/$K$1)</f>
        <v/>
      </c>
      <c r="K428" s="121" t="str">
        <f>IF(TYPE($A428)=1,"",IF(Update!J426=0,0,Update!I426/Update!J426))</f>
        <v/>
      </c>
      <c r="L428" s="119" t="str">
        <f>IF(TYPE($A428)=1,"",-(Update!$Q426-L$1)/L$2)</f>
        <v/>
      </c>
      <c r="N428" s="124"/>
      <c r="O428" s="131"/>
      <c r="P428" s="131"/>
      <c r="Q428" s="131"/>
      <c r="R428" s="127"/>
      <c r="S428" s="127"/>
      <c r="T428" s="127"/>
      <c r="U428" s="127"/>
      <c r="V428" s="122"/>
      <c r="W428" s="127"/>
      <c r="X428" s="127"/>
      <c r="Y428" s="127"/>
      <c r="Z428" s="132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32"/>
      <c r="AL428" s="127"/>
      <c r="AM428" s="133"/>
      <c r="AN428" s="133"/>
    </row>
    <row r="429">
      <c r="A429">
        <f>IF(Update!B427="",ROW(Update!B427),Update!B427)</f>
        <v>427</v>
      </c>
      <c r="B429" s="119" t="str">
        <f>IF(TYPE($A429)=1,"",(Update!$L427-B$1)/B$2)</f>
        <v/>
      </c>
      <c r="C429" s="119" t="str">
        <f>IF(TYPE($A429)=1,"",(Update!$K427-C$1)/C$2)</f>
        <v/>
      </c>
      <c r="D429" s="119" t="str">
        <f>IF(TYPE($A429)=1,"",(Update!$M427-D$1)/D$2)</f>
        <v/>
      </c>
      <c r="E429" s="119" t="str">
        <f>IF(TYPE($A429)=1,"",(Update!$N427-E$1)/E$2)</f>
        <v/>
      </c>
      <c r="F429" s="119" t="str">
        <f>IF(TYPE($A429)=1,"",(Update!$O427-F$1)/F$2)</f>
        <v/>
      </c>
      <c r="G429" s="119" t="str">
        <f>IF(TYPE($A429)=1,"",(Update!$P427-G$1)/G$2)</f>
        <v/>
      </c>
      <c r="H429" s="119" t="str">
        <f>IF(TYPE($A429)=1,"",(Update!$H427-H$1)/H$2*I429/$I$1)</f>
        <v/>
      </c>
      <c r="I429" s="119" t="str">
        <f>IF(TYPE($A429)=1,"",IF(Update!H427=0,0,Update!G427/Update!H427))</f>
        <v/>
      </c>
      <c r="J429" s="120" t="str">
        <f>IF(TYPE($A429)=1,"",(Update!$J427-J$1)/J$2*K429/$K$1)</f>
        <v/>
      </c>
      <c r="K429" s="121" t="str">
        <f>IF(TYPE($A429)=1,"",IF(Update!J427=0,0,Update!I427/Update!J427))</f>
        <v/>
      </c>
      <c r="L429" s="119" t="str">
        <f>IF(TYPE($A429)=1,"",-(Update!$Q427-L$1)/L$2)</f>
        <v/>
      </c>
      <c r="N429" s="124"/>
      <c r="O429" s="131"/>
      <c r="P429" s="131"/>
      <c r="Q429" s="131"/>
      <c r="R429" s="127"/>
      <c r="S429" s="127"/>
      <c r="T429" s="127"/>
      <c r="U429" s="127"/>
      <c r="V429" s="122"/>
      <c r="W429" s="127"/>
      <c r="X429" s="127"/>
      <c r="Y429" s="127"/>
      <c r="Z429" s="132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32"/>
      <c r="AL429" s="127"/>
      <c r="AM429" s="133"/>
      <c r="AN429" s="133"/>
    </row>
    <row r="430">
      <c r="A430">
        <f>IF(Update!B428="",ROW(Update!B428),Update!B428)</f>
        <v>428</v>
      </c>
      <c r="B430" s="119" t="str">
        <f>IF(TYPE($A430)=1,"",(Update!$L428-B$1)/B$2)</f>
        <v/>
      </c>
      <c r="C430" s="119" t="str">
        <f>IF(TYPE($A430)=1,"",(Update!$K428-C$1)/C$2)</f>
        <v/>
      </c>
      <c r="D430" s="119" t="str">
        <f>IF(TYPE($A430)=1,"",(Update!$M428-D$1)/D$2)</f>
        <v/>
      </c>
      <c r="E430" s="119" t="str">
        <f>IF(TYPE($A430)=1,"",(Update!$N428-E$1)/E$2)</f>
        <v/>
      </c>
      <c r="F430" s="119" t="str">
        <f>IF(TYPE($A430)=1,"",(Update!$O428-F$1)/F$2)</f>
        <v/>
      </c>
      <c r="G430" s="119" t="str">
        <f>IF(TYPE($A430)=1,"",(Update!$P428-G$1)/G$2)</f>
        <v/>
      </c>
      <c r="H430" s="119" t="str">
        <f>IF(TYPE($A430)=1,"",(Update!$H428-H$1)/H$2*I430/$I$1)</f>
        <v/>
      </c>
      <c r="I430" s="119" t="str">
        <f>IF(TYPE($A430)=1,"",IF(Update!H428=0,0,Update!G428/Update!H428))</f>
        <v/>
      </c>
      <c r="J430" s="120" t="str">
        <f>IF(TYPE($A430)=1,"",(Update!$J428-J$1)/J$2*K430/$K$1)</f>
        <v/>
      </c>
      <c r="K430" s="121" t="str">
        <f>IF(TYPE($A430)=1,"",IF(Update!J428=0,0,Update!I428/Update!J428))</f>
        <v/>
      </c>
      <c r="L430" s="119" t="str">
        <f>IF(TYPE($A430)=1,"",-(Update!$Q428-L$1)/L$2)</f>
        <v/>
      </c>
      <c r="O430" s="131"/>
      <c r="P430" s="131"/>
      <c r="Q430" s="131"/>
      <c r="R430" s="127"/>
      <c r="S430" s="127"/>
      <c r="T430" s="127"/>
      <c r="U430" s="127"/>
      <c r="V430" s="122"/>
      <c r="W430" s="127"/>
      <c r="X430" s="127"/>
      <c r="Y430" s="127"/>
      <c r="Z430" s="132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32"/>
      <c r="AL430" s="127"/>
      <c r="AM430" s="133"/>
      <c r="AN430" s="133"/>
    </row>
    <row r="431">
      <c r="A431">
        <f>IF(Update!B429="",ROW(Update!B429),Update!B429)</f>
        <v>429</v>
      </c>
      <c r="B431" s="119" t="str">
        <f>IF(TYPE($A431)=1,"",(Update!$L429-B$1)/B$2)</f>
        <v/>
      </c>
      <c r="C431" s="119" t="str">
        <f>IF(TYPE($A431)=1,"",(Update!$K429-C$1)/C$2)</f>
        <v/>
      </c>
      <c r="D431" s="119" t="str">
        <f>IF(TYPE($A431)=1,"",(Update!$M429-D$1)/D$2)</f>
        <v/>
      </c>
      <c r="E431" s="119" t="str">
        <f>IF(TYPE($A431)=1,"",(Update!$N429-E$1)/E$2)</f>
        <v/>
      </c>
      <c r="F431" s="119" t="str">
        <f>IF(TYPE($A431)=1,"",(Update!$O429-F$1)/F$2)</f>
        <v/>
      </c>
      <c r="G431" s="119" t="str">
        <f>IF(TYPE($A431)=1,"",(Update!$P429-G$1)/G$2)</f>
        <v/>
      </c>
      <c r="H431" s="119" t="str">
        <f>IF(TYPE($A431)=1,"",(Update!$H429-H$1)/H$2*I431/$I$1)</f>
        <v/>
      </c>
      <c r="I431" s="119" t="str">
        <f>IF(TYPE($A431)=1,"",IF(Update!H429=0,0,Update!G429/Update!H429))</f>
        <v/>
      </c>
      <c r="J431" s="120" t="str">
        <f>IF(TYPE($A431)=1,"",(Update!$J429-J$1)/J$2*K431/$K$1)</f>
        <v/>
      </c>
      <c r="K431" s="121" t="str">
        <f>IF(TYPE($A431)=1,"",IF(Update!J429=0,0,Update!I429/Update!J429))</f>
        <v/>
      </c>
      <c r="L431" s="119" t="str">
        <f>IF(TYPE($A431)=1,"",-(Update!$Q429-L$1)/L$2)</f>
        <v/>
      </c>
      <c r="O431" s="131"/>
      <c r="P431" s="131"/>
      <c r="Q431" s="131"/>
      <c r="R431" s="127"/>
      <c r="S431" s="127"/>
      <c r="T431" s="127"/>
      <c r="U431" s="127"/>
      <c r="V431" s="122"/>
      <c r="W431" s="127"/>
      <c r="X431" s="127"/>
      <c r="Y431" s="127"/>
      <c r="Z431" s="132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32"/>
      <c r="AL431" s="127"/>
      <c r="AM431" s="133"/>
      <c r="AN431" s="133"/>
    </row>
    <row r="432">
      <c r="A432">
        <f>IF(Update!B430="",ROW(Update!B430),Update!B430)</f>
        <v>430</v>
      </c>
      <c r="B432" s="119" t="str">
        <f>IF(TYPE($A432)=1,"",(Update!$L430-B$1)/B$2)</f>
        <v/>
      </c>
      <c r="C432" s="119" t="str">
        <f>IF(TYPE($A432)=1,"",(Update!$K430-C$1)/C$2)</f>
        <v/>
      </c>
      <c r="D432" s="119" t="str">
        <f>IF(TYPE($A432)=1,"",(Update!$M430-D$1)/D$2)</f>
        <v/>
      </c>
      <c r="E432" s="119" t="str">
        <f>IF(TYPE($A432)=1,"",(Update!$N430-E$1)/E$2)</f>
        <v/>
      </c>
      <c r="F432" s="119" t="str">
        <f>IF(TYPE($A432)=1,"",(Update!$O430-F$1)/F$2)</f>
        <v/>
      </c>
      <c r="G432" s="119" t="str">
        <f>IF(TYPE($A432)=1,"",(Update!$P430-G$1)/G$2)</f>
        <v/>
      </c>
      <c r="H432" s="119" t="str">
        <f>IF(TYPE($A432)=1,"",(Update!$H430-H$1)/H$2*I432/$I$1)</f>
        <v/>
      </c>
      <c r="I432" s="119" t="str">
        <f>IF(TYPE($A432)=1,"",IF(Update!H430=0,0,Update!G430/Update!H430))</f>
        <v/>
      </c>
      <c r="J432" s="120" t="str">
        <f>IF(TYPE($A432)=1,"",(Update!$J430-J$1)/J$2*K432/$K$1)</f>
        <v/>
      </c>
      <c r="K432" s="121" t="str">
        <f>IF(TYPE($A432)=1,"",IF(Update!J430=0,0,Update!I430/Update!J430))</f>
        <v/>
      </c>
      <c r="L432" s="119" t="str">
        <f>IF(TYPE($A432)=1,"",-(Update!$Q430-L$1)/L$2)</f>
        <v/>
      </c>
      <c r="O432" s="131"/>
      <c r="P432" s="131"/>
      <c r="Q432" s="131"/>
      <c r="R432" s="127"/>
      <c r="S432" s="127"/>
      <c r="T432" s="127"/>
      <c r="U432" s="127"/>
      <c r="V432" s="122"/>
      <c r="W432" s="127"/>
      <c r="X432" s="127"/>
      <c r="Y432" s="127"/>
      <c r="Z432" s="132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32"/>
      <c r="AL432" s="127"/>
      <c r="AM432" s="133"/>
      <c r="AN432" s="133"/>
    </row>
    <row r="433">
      <c r="A433">
        <f>IF(Update!B431="",ROW(Update!B431),Update!B431)</f>
        <v>431</v>
      </c>
      <c r="B433" s="119" t="str">
        <f>IF(TYPE($A433)=1,"",(Update!$L431-B$1)/B$2)</f>
        <v/>
      </c>
      <c r="C433" s="119" t="str">
        <f>IF(TYPE($A433)=1,"",(Update!$K431-C$1)/C$2)</f>
        <v/>
      </c>
      <c r="D433" s="119" t="str">
        <f>IF(TYPE($A433)=1,"",(Update!$M431-D$1)/D$2)</f>
        <v/>
      </c>
      <c r="E433" s="119" t="str">
        <f>IF(TYPE($A433)=1,"",(Update!$N431-E$1)/E$2)</f>
        <v/>
      </c>
      <c r="F433" s="119" t="str">
        <f>IF(TYPE($A433)=1,"",(Update!$O431-F$1)/F$2)</f>
        <v/>
      </c>
      <c r="G433" s="119" t="str">
        <f>IF(TYPE($A433)=1,"",(Update!$P431-G$1)/G$2)</f>
        <v/>
      </c>
      <c r="H433" s="119" t="str">
        <f>IF(TYPE($A433)=1,"",(Update!$H431-H$1)/H$2*I433/$I$1)</f>
        <v/>
      </c>
      <c r="I433" s="119" t="str">
        <f>IF(TYPE($A433)=1,"",IF(Update!H431=0,0,Update!G431/Update!H431))</f>
        <v/>
      </c>
      <c r="J433" s="120" t="str">
        <f>IF(TYPE($A433)=1,"",(Update!$J431-J$1)/J$2*K433/$K$1)</f>
        <v/>
      </c>
      <c r="K433" s="121" t="str">
        <f>IF(TYPE($A433)=1,"",IF(Update!J431=0,0,Update!I431/Update!J431))</f>
        <v/>
      </c>
      <c r="L433" s="119" t="str">
        <f>IF(TYPE($A433)=1,"",-(Update!$Q431-L$1)/L$2)</f>
        <v/>
      </c>
      <c r="O433" s="131"/>
      <c r="P433" s="131"/>
      <c r="Q433" s="131"/>
      <c r="R433" s="127"/>
      <c r="S433" s="127"/>
      <c r="T433" s="127"/>
      <c r="U433" s="127"/>
      <c r="V433" s="122"/>
      <c r="W433" s="127"/>
      <c r="X433" s="127"/>
      <c r="Y433" s="127"/>
      <c r="Z433" s="132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32"/>
      <c r="AL433" s="127"/>
      <c r="AM433" s="133"/>
      <c r="AN433" s="133"/>
    </row>
    <row r="434">
      <c r="B434" s="119"/>
      <c r="C434" s="119"/>
      <c r="D434" s="119"/>
      <c r="E434" s="119"/>
      <c r="F434" s="119"/>
      <c r="G434" s="119"/>
      <c r="H434" s="119"/>
      <c r="I434" s="119"/>
      <c r="J434" s="120"/>
      <c r="K434" s="121"/>
      <c r="L434" s="119"/>
      <c r="O434" s="131"/>
      <c r="P434" s="131"/>
      <c r="Q434" s="131"/>
      <c r="R434" s="127"/>
      <c r="S434" s="127"/>
      <c r="T434" s="127"/>
      <c r="U434" s="127"/>
      <c r="V434" s="122"/>
      <c r="W434" s="127"/>
      <c r="X434" s="127"/>
      <c r="Y434" s="127"/>
      <c r="Z434" s="132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32"/>
      <c r="AL434" s="127"/>
      <c r="AM434" s="133"/>
      <c r="AN434" s="133"/>
    </row>
    <row r="435">
      <c r="B435" s="119"/>
      <c r="C435" s="119"/>
      <c r="D435" s="119"/>
      <c r="E435" s="119"/>
      <c r="F435" s="119"/>
      <c r="G435" s="119"/>
      <c r="H435" s="119"/>
      <c r="I435" s="119"/>
      <c r="J435" s="120"/>
      <c r="K435" s="121"/>
      <c r="L435" s="119"/>
      <c r="O435" s="131"/>
      <c r="P435" s="131"/>
      <c r="Q435" s="131"/>
      <c r="R435" s="127"/>
      <c r="S435" s="127"/>
      <c r="T435" s="127"/>
      <c r="U435" s="127"/>
      <c r="V435" s="122"/>
      <c r="W435" s="127"/>
      <c r="X435" s="127"/>
      <c r="Y435" s="127"/>
      <c r="Z435" s="132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32"/>
      <c r="AL435" s="127"/>
      <c r="AM435" s="133"/>
      <c r="AN435" s="133"/>
    </row>
    <row r="436">
      <c r="B436" s="119"/>
      <c r="C436" s="119"/>
      <c r="D436" s="119"/>
      <c r="E436" s="119"/>
      <c r="F436" s="119"/>
      <c r="G436" s="119"/>
      <c r="H436" s="119"/>
      <c r="I436" s="119"/>
      <c r="J436" s="120"/>
      <c r="K436" s="121"/>
      <c r="L436" s="119"/>
      <c r="O436" s="131"/>
      <c r="P436" s="131"/>
      <c r="Q436" s="131"/>
      <c r="R436" s="127"/>
      <c r="S436" s="127"/>
      <c r="T436" s="127"/>
      <c r="U436" s="127"/>
      <c r="V436" s="122"/>
      <c r="W436" s="127"/>
      <c r="X436" s="127"/>
      <c r="Y436" s="127"/>
      <c r="Z436" s="132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32"/>
      <c r="AL436" s="127"/>
      <c r="AM436" s="133"/>
      <c r="AN436" s="133"/>
    </row>
    <row r="437">
      <c r="B437" s="119"/>
      <c r="C437" s="119"/>
      <c r="D437" s="119"/>
      <c r="E437" s="119"/>
      <c r="F437" s="119"/>
      <c r="G437" s="119"/>
      <c r="H437" s="119"/>
      <c r="I437" s="119"/>
      <c r="J437" s="120"/>
      <c r="K437" s="121"/>
      <c r="L437" s="119"/>
      <c r="O437" s="131"/>
      <c r="P437" s="131"/>
      <c r="Q437" s="131"/>
      <c r="R437" s="127"/>
      <c r="S437" s="127"/>
      <c r="T437" s="127"/>
      <c r="U437" s="127"/>
      <c r="V437" s="122"/>
      <c r="W437" s="127"/>
      <c r="X437" s="127"/>
      <c r="Y437" s="127"/>
      <c r="Z437" s="132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32"/>
      <c r="AL437" s="127"/>
      <c r="AM437" s="133"/>
      <c r="AN437" s="133"/>
    </row>
    <row r="438">
      <c r="B438" s="119"/>
      <c r="C438" s="119"/>
      <c r="D438" s="119"/>
      <c r="E438" s="119"/>
      <c r="F438" s="119"/>
      <c r="G438" s="119"/>
      <c r="H438" s="119"/>
      <c r="I438" s="119"/>
      <c r="J438" s="120"/>
      <c r="K438" s="121"/>
      <c r="L438" s="119"/>
      <c r="O438" s="131"/>
      <c r="P438" s="131"/>
      <c r="Q438" s="131"/>
      <c r="R438" s="127"/>
      <c r="S438" s="127"/>
      <c r="T438" s="127"/>
      <c r="U438" s="127"/>
      <c r="V438" s="122"/>
      <c r="W438" s="127"/>
      <c r="X438" s="127"/>
      <c r="Y438" s="127"/>
      <c r="Z438" s="132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32"/>
      <c r="AL438" s="127"/>
      <c r="AM438" s="133"/>
      <c r="AN438" s="133"/>
    </row>
    <row r="439">
      <c r="B439" s="119"/>
      <c r="C439" s="119"/>
      <c r="D439" s="119"/>
      <c r="E439" s="119"/>
      <c r="F439" s="119"/>
      <c r="G439" s="119"/>
      <c r="H439" s="119"/>
      <c r="I439" s="119"/>
      <c r="J439" s="120"/>
      <c r="K439" s="121"/>
      <c r="L439" s="119"/>
      <c r="O439" s="131"/>
      <c r="P439" s="131"/>
      <c r="Q439" s="131"/>
      <c r="R439" s="127"/>
      <c r="S439" s="127"/>
      <c r="T439" s="127"/>
      <c r="U439" s="127"/>
      <c r="V439" s="122"/>
      <c r="W439" s="127"/>
      <c r="X439" s="127"/>
      <c r="Y439" s="127"/>
      <c r="Z439" s="132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32"/>
      <c r="AL439" s="127"/>
      <c r="AM439" s="133"/>
      <c r="AN439" s="133"/>
    </row>
    <row r="440">
      <c r="B440" s="119"/>
      <c r="C440" s="119"/>
      <c r="D440" s="119"/>
      <c r="E440" s="119"/>
      <c r="F440" s="119"/>
      <c r="G440" s="119"/>
      <c r="H440" s="119"/>
      <c r="I440" s="119"/>
      <c r="J440" s="120"/>
      <c r="K440" s="121"/>
      <c r="L440" s="119"/>
      <c r="O440" s="131"/>
      <c r="P440" s="131"/>
      <c r="Q440" s="131"/>
      <c r="R440" s="127"/>
      <c r="S440" s="127"/>
      <c r="T440" s="127"/>
      <c r="U440" s="127"/>
      <c r="V440" s="122"/>
      <c r="W440" s="127"/>
      <c r="X440" s="127"/>
      <c r="Y440" s="127"/>
      <c r="Z440" s="132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32"/>
      <c r="AL440" s="127"/>
      <c r="AM440" s="133"/>
      <c r="AN440" s="133"/>
    </row>
    <row r="441">
      <c r="B441" s="119"/>
      <c r="C441" s="119"/>
      <c r="D441" s="119"/>
      <c r="E441" s="119"/>
      <c r="F441" s="119"/>
      <c r="G441" s="119"/>
      <c r="H441" s="119"/>
      <c r="I441" s="119"/>
      <c r="J441" s="120"/>
      <c r="K441" s="121"/>
      <c r="L441" s="119"/>
      <c r="O441" s="131"/>
      <c r="P441" s="131"/>
      <c r="Q441" s="131"/>
      <c r="R441" s="127"/>
      <c r="S441" s="127"/>
      <c r="T441" s="127"/>
      <c r="U441" s="127"/>
      <c r="V441" s="122"/>
      <c r="W441" s="127"/>
      <c r="X441" s="127"/>
      <c r="Y441" s="127"/>
      <c r="Z441" s="132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32"/>
      <c r="AL441" s="127"/>
      <c r="AM441" s="133"/>
      <c r="AN441" s="133"/>
    </row>
    <row r="442">
      <c r="B442" s="119"/>
      <c r="C442" s="119"/>
      <c r="D442" s="119"/>
      <c r="E442" s="119"/>
      <c r="F442" s="119"/>
      <c r="G442" s="119"/>
      <c r="H442" s="119"/>
      <c r="I442" s="119"/>
      <c r="J442" s="120"/>
      <c r="K442" s="121"/>
      <c r="L442" s="119"/>
      <c r="O442" s="131"/>
      <c r="P442" s="131"/>
      <c r="Q442" s="131"/>
      <c r="R442" s="127"/>
      <c r="S442" s="127"/>
      <c r="T442" s="127"/>
      <c r="U442" s="127"/>
      <c r="V442" s="122"/>
      <c r="W442" s="127"/>
      <c r="X442" s="127"/>
      <c r="Y442" s="127"/>
      <c r="Z442" s="132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32"/>
      <c r="AL442" s="127"/>
      <c r="AM442" s="133"/>
      <c r="AN442" s="133"/>
    </row>
    <row r="443">
      <c r="B443" s="119"/>
      <c r="C443" s="119"/>
      <c r="D443" s="119"/>
      <c r="E443" s="119"/>
      <c r="F443" s="119"/>
      <c r="G443" s="119"/>
      <c r="H443" s="119"/>
      <c r="I443" s="119"/>
      <c r="J443" s="120"/>
      <c r="K443" s="121"/>
      <c r="L443" s="119"/>
      <c r="O443" s="131"/>
      <c r="P443" s="131"/>
      <c r="Q443" s="131"/>
      <c r="R443" s="127"/>
      <c r="S443" s="127"/>
      <c r="T443" s="127"/>
      <c r="U443" s="127"/>
      <c r="V443" s="122"/>
      <c r="W443" s="127"/>
      <c r="X443" s="127"/>
      <c r="Y443" s="127"/>
      <c r="Z443" s="132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32"/>
      <c r="AL443" s="127"/>
      <c r="AM443" s="133"/>
      <c r="AN443" s="133"/>
    </row>
    <row r="444">
      <c r="B444" s="119"/>
      <c r="C444" s="119"/>
      <c r="D444" s="119"/>
      <c r="E444" s="119"/>
      <c r="F444" s="119"/>
      <c r="G444" s="119"/>
      <c r="H444" s="119"/>
      <c r="I444" s="119"/>
      <c r="J444" s="120"/>
      <c r="K444" s="121"/>
      <c r="L444" s="119"/>
      <c r="O444" s="131"/>
      <c r="P444" s="131"/>
      <c r="Q444" s="131"/>
      <c r="R444" s="127"/>
      <c r="S444" s="127"/>
      <c r="T444" s="127"/>
      <c r="U444" s="127"/>
      <c r="V444" s="122"/>
      <c r="W444" s="127"/>
      <c r="X444" s="127"/>
      <c r="Y444" s="127"/>
      <c r="Z444" s="132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32"/>
      <c r="AL444" s="127"/>
      <c r="AM444" s="133"/>
      <c r="AN444" s="133"/>
    </row>
    <row r="445">
      <c r="B445" s="119"/>
      <c r="C445" s="119"/>
      <c r="D445" s="119"/>
      <c r="E445" s="119"/>
      <c r="F445" s="119"/>
      <c r="G445" s="119"/>
      <c r="H445" s="119"/>
      <c r="I445" s="119"/>
      <c r="J445" s="120"/>
      <c r="K445" s="121"/>
      <c r="L445" s="119"/>
      <c r="O445" s="131"/>
      <c r="P445" s="131"/>
      <c r="Q445" s="131"/>
      <c r="R445" s="127"/>
      <c r="S445" s="127"/>
      <c r="T445" s="127"/>
      <c r="U445" s="127"/>
      <c r="V445" s="122"/>
      <c r="W445" s="127"/>
      <c r="X445" s="127"/>
      <c r="Y445" s="127"/>
      <c r="Z445" s="132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32"/>
      <c r="AL445" s="127"/>
      <c r="AM445" s="133"/>
      <c r="AN445" s="133"/>
    </row>
    <row r="446">
      <c r="B446" s="119"/>
      <c r="C446" s="119"/>
      <c r="D446" s="119"/>
      <c r="E446" s="119"/>
      <c r="F446" s="119"/>
      <c r="G446" s="119"/>
      <c r="H446" s="119"/>
      <c r="I446" s="119"/>
      <c r="J446" s="120"/>
      <c r="K446" s="121"/>
      <c r="L446" s="119"/>
      <c r="O446" s="131"/>
      <c r="P446" s="131"/>
      <c r="Q446" s="131"/>
      <c r="R446" s="127"/>
      <c r="S446" s="127"/>
      <c r="T446" s="127"/>
      <c r="U446" s="127"/>
      <c r="V446" s="122"/>
      <c r="W446" s="127"/>
      <c r="X446" s="127"/>
      <c r="Y446" s="127"/>
      <c r="Z446" s="132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32"/>
      <c r="AL446" s="127"/>
      <c r="AM446" s="133"/>
      <c r="AN446" s="133"/>
    </row>
    <row r="447">
      <c r="B447" s="119"/>
      <c r="C447" s="119"/>
      <c r="D447" s="119"/>
      <c r="E447" s="119"/>
      <c r="F447" s="119"/>
      <c r="G447" s="119"/>
      <c r="H447" s="119"/>
      <c r="I447" s="119"/>
      <c r="J447" s="120"/>
      <c r="K447" s="121"/>
      <c r="L447" s="119"/>
      <c r="O447" s="131"/>
      <c r="P447" s="131"/>
      <c r="Q447" s="131"/>
      <c r="R447" s="127"/>
      <c r="S447" s="127"/>
      <c r="T447" s="127"/>
      <c r="U447" s="127"/>
      <c r="V447" s="122"/>
      <c r="W447" s="127"/>
      <c r="X447" s="127"/>
      <c r="Y447" s="127"/>
      <c r="Z447" s="132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32"/>
      <c r="AL447" s="127"/>
      <c r="AM447" s="133"/>
      <c r="AN447" s="133"/>
    </row>
    <row r="448">
      <c r="B448" s="119"/>
      <c r="C448" s="119"/>
      <c r="D448" s="119"/>
      <c r="E448" s="119"/>
      <c r="F448" s="119"/>
      <c r="G448" s="119"/>
      <c r="H448" s="119"/>
      <c r="I448" s="119"/>
      <c r="J448" s="120"/>
      <c r="K448" s="121"/>
      <c r="L448" s="119"/>
      <c r="O448" s="131"/>
      <c r="P448" s="131"/>
      <c r="Q448" s="131"/>
      <c r="R448" s="127"/>
      <c r="S448" s="127"/>
      <c r="T448" s="127"/>
      <c r="U448" s="127"/>
      <c r="V448" s="122"/>
      <c r="W448" s="127"/>
      <c r="X448" s="127"/>
      <c r="Y448" s="127"/>
      <c r="Z448" s="132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32"/>
      <c r="AL448" s="127"/>
      <c r="AM448" s="133"/>
      <c r="AN448" s="133"/>
    </row>
    <row r="449">
      <c r="B449" s="119"/>
      <c r="C449" s="119"/>
      <c r="D449" s="119"/>
      <c r="E449" s="119"/>
      <c r="F449" s="119"/>
      <c r="G449" s="119"/>
      <c r="H449" s="119"/>
      <c r="I449" s="119"/>
      <c r="J449" s="120"/>
      <c r="K449" s="121"/>
      <c r="L449" s="119"/>
      <c r="O449" s="131"/>
      <c r="P449" s="131"/>
      <c r="Q449" s="131"/>
      <c r="R449" s="127"/>
      <c r="S449" s="127"/>
      <c r="T449" s="127"/>
      <c r="U449" s="127"/>
      <c r="V449" s="122"/>
      <c r="W449" s="127"/>
      <c r="X449" s="127"/>
      <c r="Y449" s="127"/>
      <c r="Z449" s="132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32"/>
      <c r="AL449" s="127"/>
      <c r="AM449" s="133"/>
      <c r="AN449" s="133"/>
    </row>
    <row r="450">
      <c r="B450" s="119"/>
      <c r="C450" s="119"/>
      <c r="D450" s="119"/>
      <c r="E450" s="119"/>
      <c r="F450" s="119"/>
      <c r="G450" s="119"/>
      <c r="H450" s="119"/>
      <c r="I450" s="119"/>
      <c r="J450" s="120"/>
      <c r="K450" s="121"/>
      <c r="L450" s="119"/>
      <c r="O450" s="131"/>
      <c r="P450" s="131"/>
      <c r="Q450" s="131"/>
      <c r="R450" s="127"/>
      <c r="S450" s="127"/>
      <c r="T450" s="127"/>
      <c r="U450" s="127"/>
      <c r="V450" s="122"/>
      <c r="W450" s="127"/>
      <c r="X450" s="127"/>
      <c r="Y450" s="127"/>
      <c r="Z450" s="132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32"/>
      <c r="AL450" s="127"/>
      <c r="AM450" s="133"/>
      <c r="AN450" s="133"/>
    </row>
    <row r="451">
      <c r="B451" s="119"/>
      <c r="C451" s="119"/>
      <c r="D451" s="119"/>
      <c r="E451" s="119"/>
      <c r="F451" s="119"/>
      <c r="G451" s="119"/>
      <c r="H451" s="119"/>
      <c r="I451" s="119"/>
      <c r="J451" s="120"/>
      <c r="K451" s="121"/>
      <c r="L451" s="119"/>
    </row>
    <row r="452">
      <c r="B452" s="119"/>
      <c r="C452" s="119"/>
      <c r="D452" s="119"/>
      <c r="E452" s="119"/>
      <c r="F452" s="119"/>
      <c r="G452" s="119"/>
      <c r="H452" s="119"/>
      <c r="I452" s="119"/>
      <c r="J452" s="120"/>
      <c r="K452" s="121"/>
      <c r="L452" s="119"/>
    </row>
    <row r="453">
      <c r="B453" s="119"/>
      <c r="C453" s="119"/>
      <c r="D453" s="119"/>
      <c r="E453" s="119"/>
      <c r="F453" s="119"/>
      <c r="G453" s="119"/>
      <c r="H453" s="119"/>
      <c r="I453" s="119"/>
      <c r="J453" s="120"/>
      <c r="K453" s="121"/>
      <c r="L453" s="119"/>
    </row>
    <row r="454">
      <c r="B454" s="119"/>
      <c r="C454" s="119"/>
      <c r="D454" s="119"/>
      <c r="E454" s="119"/>
      <c r="F454" s="119"/>
      <c r="G454" s="119"/>
      <c r="H454" s="119"/>
      <c r="I454" s="119"/>
      <c r="J454" s="120"/>
      <c r="K454" s="121"/>
      <c r="L454" s="119"/>
    </row>
    <row r="455">
      <c r="B455" s="119"/>
      <c r="C455" s="119"/>
      <c r="D455" s="119"/>
      <c r="E455" s="119"/>
      <c r="F455" s="119"/>
      <c r="G455" s="119"/>
      <c r="H455" s="119"/>
      <c r="I455" s="119"/>
      <c r="J455" s="120"/>
      <c r="K455" s="121"/>
      <c r="L455" s="119"/>
    </row>
    <row r="456">
      <c r="B456" s="119"/>
      <c r="C456" s="119"/>
      <c r="D456" s="119"/>
      <c r="E456" s="119"/>
      <c r="F456" s="119"/>
      <c r="G456" s="119"/>
      <c r="H456" s="119"/>
      <c r="I456" s="119"/>
      <c r="J456" s="120"/>
      <c r="K456" s="121"/>
      <c r="L456" s="119"/>
    </row>
    <row r="457">
      <c r="B457" s="119"/>
      <c r="C457" s="119"/>
      <c r="D457" s="119"/>
      <c r="E457" s="119"/>
      <c r="F457" s="119"/>
      <c r="G457" s="119"/>
      <c r="H457" s="119"/>
      <c r="I457" s="119"/>
      <c r="J457" s="120"/>
      <c r="K457" s="121"/>
      <c r="L457" s="119"/>
    </row>
    <row r="458">
      <c r="B458" s="119"/>
      <c r="C458" s="119"/>
      <c r="D458" s="119"/>
      <c r="E458" s="119"/>
      <c r="F458" s="119"/>
      <c r="G458" s="119"/>
      <c r="H458" s="119"/>
      <c r="I458" s="119"/>
      <c r="J458" s="120"/>
      <c r="K458" s="121"/>
      <c r="L458" s="119"/>
    </row>
    <row r="459">
      <c r="B459" s="119"/>
      <c r="C459" s="119"/>
      <c r="D459" s="119"/>
      <c r="E459" s="119"/>
      <c r="F459" s="119"/>
      <c r="G459" s="119"/>
      <c r="H459" s="119"/>
      <c r="I459" s="119"/>
      <c r="J459" s="120"/>
      <c r="K459" s="121"/>
      <c r="L459" s="119"/>
    </row>
    <row r="460">
      <c r="B460" s="119"/>
      <c r="C460" s="119"/>
      <c r="D460" s="119"/>
      <c r="E460" s="119"/>
      <c r="F460" s="119"/>
      <c r="G460" s="119"/>
      <c r="H460" s="119"/>
      <c r="I460" s="119"/>
      <c r="J460" s="120"/>
      <c r="K460" s="121"/>
      <c r="L460" s="119"/>
    </row>
    <row r="461">
      <c r="B461" s="119"/>
      <c r="C461" s="119"/>
      <c r="D461" s="119"/>
      <c r="E461" s="119"/>
      <c r="F461" s="119"/>
      <c r="G461" s="119"/>
      <c r="H461" s="119"/>
      <c r="I461" s="119"/>
      <c r="J461" s="120"/>
      <c r="K461" s="121"/>
      <c r="L461" s="119"/>
    </row>
    <row r="462">
      <c r="B462" s="119"/>
      <c r="C462" s="119"/>
      <c r="D462" s="119"/>
      <c r="E462" s="119"/>
      <c r="F462" s="119"/>
      <c r="G462" s="119"/>
      <c r="H462" s="119"/>
      <c r="I462" s="119"/>
      <c r="J462" s="120"/>
      <c r="K462" s="121"/>
      <c r="L462" s="119"/>
    </row>
    <row r="463">
      <c r="B463" s="119"/>
      <c r="C463" s="119"/>
      <c r="D463" s="119"/>
      <c r="E463" s="119"/>
      <c r="F463" s="119"/>
      <c r="G463" s="119"/>
      <c r="H463" s="119"/>
      <c r="I463" s="119"/>
      <c r="J463" s="120"/>
      <c r="K463" s="121"/>
      <c r="L463" s="119"/>
    </row>
    <row r="464">
      <c r="B464" s="119"/>
      <c r="C464" s="119"/>
      <c r="D464" s="119"/>
      <c r="E464" s="119"/>
      <c r="F464" s="119"/>
      <c r="G464" s="119"/>
      <c r="H464" s="119"/>
      <c r="I464" s="119"/>
      <c r="J464" s="120"/>
      <c r="K464" s="121"/>
      <c r="L464" s="119"/>
    </row>
    <row r="465">
      <c r="B465" s="119"/>
      <c r="C465" s="119"/>
      <c r="D465" s="119"/>
      <c r="E465" s="119"/>
      <c r="F465" s="119"/>
      <c r="G465" s="119"/>
      <c r="H465" s="119"/>
      <c r="I465" s="119"/>
      <c r="J465" s="120"/>
      <c r="K465" s="121"/>
      <c r="L465" s="119"/>
    </row>
    <row r="466">
      <c r="B466" s="119"/>
      <c r="C466" s="119"/>
      <c r="D466" s="119"/>
      <c r="E466" s="119"/>
      <c r="F466" s="119"/>
      <c r="G466" s="119"/>
      <c r="H466" s="119"/>
      <c r="I466" s="119"/>
      <c r="J466" s="120"/>
      <c r="K466" s="121"/>
      <c r="L466" s="119"/>
    </row>
    <row r="467">
      <c r="B467" s="119"/>
      <c r="C467" s="119"/>
      <c r="D467" s="119"/>
      <c r="E467" s="119"/>
      <c r="F467" s="119"/>
      <c r="G467" s="119"/>
      <c r="H467" s="119"/>
      <c r="I467" s="119"/>
      <c r="J467" s="120"/>
      <c r="K467" s="121"/>
      <c r="L467" s="119"/>
    </row>
    <row r="468">
      <c r="B468" s="119"/>
      <c r="C468" s="119"/>
      <c r="D468" s="119"/>
      <c r="E468" s="119"/>
      <c r="F468" s="119"/>
      <c r="G468" s="119"/>
      <c r="H468" s="119"/>
      <c r="I468" s="119"/>
      <c r="J468" s="120"/>
      <c r="K468" s="121"/>
      <c r="L468" s="119"/>
    </row>
    <row r="469">
      <c r="B469" s="119"/>
      <c r="C469" s="119"/>
      <c r="D469" s="119"/>
      <c r="E469" s="119"/>
      <c r="F469" s="119"/>
      <c r="G469" s="119"/>
      <c r="H469" s="119"/>
      <c r="I469" s="119"/>
      <c r="J469" s="120"/>
      <c r="K469" s="121"/>
      <c r="L469" s="119"/>
    </row>
    <row r="470">
      <c r="B470" s="119"/>
      <c r="C470" s="119"/>
      <c r="D470" s="119"/>
      <c r="E470" s="119"/>
      <c r="F470" s="119"/>
      <c r="G470" s="119"/>
      <c r="H470" s="119"/>
      <c r="I470" s="119"/>
      <c r="J470" s="120"/>
      <c r="K470" s="121"/>
      <c r="L470" s="119"/>
    </row>
    <row r="471">
      <c r="B471" s="119"/>
      <c r="C471" s="119"/>
      <c r="D471" s="119"/>
      <c r="E471" s="119"/>
      <c r="F471" s="119"/>
      <c r="G471" s="119"/>
      <c r="H471" s="119"/>
      <c r="I471" s="119"/>
      <c r="J471" s="120"/>
      <c r="K471" s="121"/>
      <c r="L471" s="119"/>
    </row>
    <row r="472">
      <c r="B472" s="119"/>
      <c r="C472" s="119"/>
      <c r="D472" s="119"/>
      <c r="E472" s="119"/>
      <c r="F472" s="119"/>
      <c r="G472" s="119"/>
      <c r="H472" s="119"/>
      <c r="I472" s="119"/>
      <c r="J472" s="120"/>
      <c r="K472" s="121"/>
      <c r="L472" s="119"/>
    </row>
    <row r="473">
      <c r="B473" s="119"/>
      <c r="C473" s="119"/>
      <c r="D473" s="119"/>
      <c r="E473" s="119"/>
      <c r="F473" s="119"/>
      <c r="G473" s="119"/>
      <c r="H473" s="119"/>
      <c r="I473" s="119"/>
      <c r="J473" s="120"/>
      <c r="K473" s="121"/>
      <c r="L473" s="119"/>
    </row>
    <row r="474">
      <c r="B474" s="119"/>
      <c r="C474" s="119"/>
      <c r="D474" s="119"/>
      <c r="E474" s="119"/>
      <c r="F474" s="119"/>
      <c r="G474" s="119"/>
      <c r="H474" s="119"/>
      <c r="I474" s="119"/>
      <c r="J474" s="120"/>
      <c r="K474" s="121"/>
      <c r="L474" s="119"/>
    </row>
    <row r="475">
      <c r="B475" s="119"/>
      <c r="C475" s="119"/>
      <c r="D475" s="119"/>
      <c r="E475" s="119"/>
      <c r="F475" s="119"/>
      <c r="G475" s="119"/>
      <c r="H475" s="119"/>
      <c r="I475" s="119"/>
      <c r="J475" s="120"/>
      <c r="K475" s="121"/>
      <c r="L475" s="119"/>
    </row>
    <row r="476">
      <c r="B476" s="119"/>
      <c r="C476" s="119"/>
      <c r="D476" s="119"/>
      <c r="E476" s="119"/>
      <c r="F476" s="119"/>
      <c r="G476" s="119"/>
      <c r="H476" s="119"/>
      <c r="I476" s="119"/>
      <c r="J476" s="120"/>
      <c r="K476" s="121"/>
      <c r="L476" s="119"/>
    </row>
    <row r="477">
      <c r="B477" s="119"/>
      <c r="C477" s="119"/>
      <c r="D477" s="119"/>
      <c r="E477" s="119"/>
      <c r="F477" s="119"/>
      <c r="G477" s="119"/>
      <c r="H477" s="119"/>
      <c r="I477" s="119"/>
      <c r="J477" s="120"/>
      <c r="K477" s="121"/>
      <c r="L477" s="119"/>
    </row>
    <row r="478">
      <c r="B478" s="119"/>
      <c r="C478" s="119"/>
      <c r="D478" s="119"/>
      <c r="E478" s="119"/>
      <c r="F478" s="119"/>
      <c r="G478" s="119"/>
      <c r="H478" s="119"/>
      <c r="I478" s="119"/>
      <c r="J478" s="120"/>
      <c r="K478" s="121"/>
      <c r="L478" s="119"/>
    </row>
    <row r="479">
      <c r="B479" s="119"/>
      <c r="C479" s="119"/>
      <c r="D479" s="119"/>
      <c r="E479" s="119"/>
      <c r="F479" s="119"/>
      <c r="G479" s="119"/>
      <c r="H479" s="119"/>
      <c r="I479" s="119"/>
      <c r="J479" s="120"/>
      <c r="K479" s="121"/>
      <c r="L479" s="119"/>
    </row>
    <row r="480">
      <c r="B480" s="119"/>
      <c r="C480" s="119"/>
      <c r="D480" s="119"/>
      <c r="E480" s="119"/>
      <c r="F480" s="119"/>
      <c r="G480" s="119"/>
      <c r="H480" s="119"/>
      <c r="I480" s="119"/>
      <c r="J480" s="120"/>
      <c r="K480" s="121"/>
      <c r="L480" s="119"/>
    </row>
    <row r="481">
      <c r="B481" s="119"/>
      <c r="C481" s="119"/>
      <c r="D481" s="119"/>
      <c r="E481" s="119"/>
      <c r="F481" s="119"/>
      <c r="G481" s="119"/>
      <c r="H481" s="119"/>
      <c r="I481" s="119"/>
      <c r="J481" s="120"/>
      <c r="K481" s="121"/>
      <c r="L481" s="119"/>
    </row>
    <row r="482">
      <c r="B482" s="119"/>
      <c r="C482" s="119"/>
      <c r="D482" s="119"/>
      <c r="E482" s="119"/>
      <c r="F482" s="119"/>
      <c r="G482" s="119"/>
      <c r="H482" s="119"/>
      <c r="I482" s="119"/>
      <c r="J482" s="120"/>
      <c r="K482" s="121"/>
      <c r="L482" s="119"/>
    </row>
    <row r="483">
      <c r="B483" s="119"/>
      <c r="C483" s="119"/>
      <c r="D483" s="119"/>
      <c r="E483" s="119"/>
      <c r="F483" s="119"/>
      <c r="G483" s="119"/>
      <c r="H483" s="119"/>
      <c r="I483" s="119"/>
      <c r="J483" s="120"/>
      <c r="K483" s="121"/>
      <c r="L483" s="119"/>
    </row>
    <row r="484">
      <c r="B484" s="119"/>
      <c r="C484" s="119"/>
      <c r="D484" s="119"/>
      <c r="E484" s="119"/>
      <c r="F484" s="119"/>
      <c r="G484" s="119"/>
      <c r="H484" s="119"/>
      <c r="I484" s="119"/>
      <c r="J484" s="120"/>
      <c r="K484" s="121"/>
      <c r="L484" s="119"/>
    </row>
    <row r="485">
      <c r="B485" s="119"/>
      <c r="C485" s="119"/>
      <c r="D485" s="119"/>
      <c r="E485" s="119"/>
      <c r="F485" s="119"/>
      <c r="G485" s="119"/>
      <c r="H485" s="119"/>
      <c r="I485" s="119"/>
      <c r="J485" s="120"/>
      <c r="K485" s="121"/>
      <c r="L485" s="119"/>
    </row>
    <row r="486">
      <c r="B486" s="119"/>
      <c r="C486" s="119"/>
      <c r="D486" s="119"/>
      <c r="E486" s="119"/>
      <c r="F486" s="119"/>
      <c r="G486" s="119"/>
      <c r="H486" s="119"/>
      <c r="I486" s="119"/>
      <c r="J486" s="120"/>
      <c r="K486" s="121"/>
      <c r="L486" s="119"/>
    </row>
    <row r="487">
      <c r="B487" s="119"/>
      <c r="C487" s="119"/>
      <c r="D487" s="119"/>
      <c r="E487" s="119"/>
      <c r="F487" s="119"/>
      <c r="G487" s="119"/>
      <c r="H487" s="119"/>
      <c r="I487" s="119"/>
      <c r="J487" s="120"/>
      <c r="K487" s="121"/>
      <c r="L487" s="119"/>
    </row>
    <row r="488">
      <c r="B488" s="119"/>
      <c r="C488" s="119"/>
      <c r="D488" s="119"/>
      <c r="E488" s="119"/>
      <c r="F488" s="119"/>
      <c r="G488" s="119"/>
      <c r="H488" s="119"/>
      <c r="I488" s="119"/>
      <c r="J488" s="120"/>
      <c r="K488" s="121"/>
      <c r="L488" s="119"/>
    </row>
    <row r="489">
      <c r="B489" s="119"/>
      <c r="C489" s="119"/>
      <c r="D489" s="119"/>
      <c r="E489" s="119"/>
      <c r="F489" s="119"/>
      <c r="G489" s="119"/>
      <c r="H489" s="119"/>
      <c r="I489" s="119"/>
      <c r="J489" s="120"/>
      <c r="K489" s="121"/>
      <c r="L489" s="119"/>
    </row>
    <row r="490">
      <c r="B490" s="119"/>
      <c r="C490" s="119"/>
      <c r="D490" s="119"/>
      <c r="E490" s="119"/>
      <c r="F490" s="119"/>
      <c r="G490" s="119"/>
      <c r="H490" s="119"/>
      <c r="I490" s="119"/>
      <c r="J490" s="120"/>
      <c r="K490" s="121"/>
      <c r="L490" s="119"/>
    </row>
    <row r="491">
      <c r="B491" s="119"/>
      <c r="C491" s="119"/>
      <c r="D491" s="119"/>
      <c r="E491" s="119"/>
      <c r="F491" s="119"/>
      <c r="G491" s="119"/>
      <c r="H491" s="119"/>
      <c r="I491" s="119"/>
      <c r="J491" s="120"/>
      <c r="K491" s="121"/>
      <c r="L491" s="119"/>
    </row>
    <row r="492">
      <c r="B492" s="119"/>
      <c r="C492" s="119"/>
      <c r="D492" s="119"/>
      <c r="E492" s="119"/>
      <c r="F492" s="119"/>
      <c r="G492" s="119"/>
      <c r="H492" s="119"/>
      <c r="I492" s="119"/>
      <c r="J492" s="120"/>
      <c r="K492" s="121"/>
      <c r="L492" s="119"/>
    </row>
    <row r="493">
      <c r="B493" s="119"/>
      <c r="C493" s="119"/>
      <c r="D493" s="119"/>
      <c r="E493" s="119"/>
      <c r="F493" s="119"/>
      <c r="G493" s="119"/>
      <c r="H493" s="119"/>
      <c r="I493" s="119"/>
      <c r="J493" s="120"/>
      <c r="K493" s="121"/>
      <c r="L493" s="119"/>
    </row>
    <row r="494">
      <c r="B494" s="119"/>
      <c r="C494" s="119"/>
      <c r="D494" s="119"/>
      <c r="E494" s="119"/>
      <c r="F494" s="119"/>
      <c r="G494" s="119"/>
      <c r="H494" s="119"/>
      <c r="I494" s="119"/>
      <c r="J494" s="120"/>
      <c r="K494" s="121"/>
      <c r="L494" s="119"/>
    </row>
    <row r="495">
      <c r="B495" s="119"/>
      <c r="C495" s="119"/>
      <c r="D495" s="119"/>
      <c r="E495" s="119"/>
      <c r="F495" s="119"/>
      <c r="G495" s="119"/>
      <c r="H495" s="119"/>
      <c r="I495" s="119"/>
      <c r="J495" s="120"/>
      <c r="K495" s="121"/>
      <c r="L495" s="119"/>
    </row>
    <row r="496">
      <c r="B496" s="119"/>
      <c r="C496" s="119"/>
      <c r="D496" s="119"/>
      <c r="E496" s="119"/>
      <c r="F496" s="119"/>
      <c r="G496" s="119"/>
      <c r="H496" s="119"/>
      <c r="I496" s="119"/>
      <c r="J496" s="120"/>
      <c r="K496" s="121"/>
      <c r="L496" s="119"/>
    </row>
    <row r="497">
      <c r="B497" s="119"/>
      <c r="C497" s="119"/>
      <c r="D497" s="119"/>
      <c r="E497" s="119"/>
      <c r="F497" s="119"/>
      <c r="G497" s="119"/>
      <c r="H497" s="119"/>
      <c r="I497" s="119"/>
      <c r="J497" s="120"/>
      <c r="K497" s="121"/>
      <c r="L497" s="119"/>
    </row>
    <row r="498">
      <c r="B498" s="119"/>
      <c r="C498" s="119"/>
      <c r="D498" s="119"/>
      <c r="E498" s="119"/>
      <c r="F498" s="119"/>
      <c r="G498" s="119"/>
      <c r="H498" s="119"/>
      <c r="I498" s="119"/>
      <c r="J498" s="120"/>
      <c r="K498" s="121"/>
      <c r="L498" s="119"/>
    </row>
    <row r="499">
      <c r="B499" s="119"/>
      <c r="C499" s="119"/>
      <c r="D499" s="119"/>
      <c r="E499" s="119"/>
      <c r="F499" s="119"/>
      <c r="G499" s="119"/>
      <c r="H499" s="119"/>
      <c r="I499" s="119"/>
      <c r="J499" s="120"/>
      <c r="K499" s="121"/>
      <c r="L499" s="119"/>
    </row>
    <row r="500">
      <c r="B500" s="119"/>
      <c r="C500" s="119"/>
      <c r="D500" s="119"/>
      <c r="E500" s="119"/>
      <c r="F500" s="119"/>
      <c r="G500" s="119"/>
      <c r="H500" s="119"/>
      <c r="I500" s="119"/>
      <c r="J500" s="120"/>
      <c r="K500" s="121"/>
      <c r="L500" s="119"/>
    </row>
    <row r="501">
      <c r="B501" s="119"/>
      <c r="C501" s="119"/>
      <c r="D501" s="119"/>
      <c r="E501" s="119"/>
      <c r="F501" s="119"/>
      <c r="G501" s="119"/>
      <c r="H501" s="119"/>
      <c r="I501" s="119"/>
      <c r="J501" s="120"/>
      <c r="K501" s="121"/>
      <c r="L501" s="119"/>
    </row>
    <row r="502">
      <c r="B502" s="119"/>
      <c r="C502" s="119"/>
      <c r="D502" s="119"/>
      <c r="E502" s="119"/>
      <c r="F502" s="119"/>
      <c r="G502" s="119"/>
      <c r="H502" s="119"/>
      <c r="I502" s="119"/>
      <c r="J502" s="120"/>
      <c r="K502" s="121"/>
      <c r="L502" s="119"/>
    </row>
    <row r="503">
      <c r="B503" s="119"/>
      <c r="C503" s="119"/>
      <c r="D503" s="119"/>
      <c r="E503" s="119"/>
      <c r="F503" s="119"/>
      <c r="G503" s="119"/>
      <c r="H503" s="119"/>
      <c r="I503" s="119"/>
      <c r="J503" s="120"/>
      <c r="K503" s="121"/>
      <c r="L503" s="119"/>
    </row>
    <row r="504">
      <c r="B504" s="119"/>
      <c r="C504" s="119"/>
      <c r="D504" s="119"/>
      <c r="E504" s="119"/>
      <c r="F504" s="119"/>
      <c r="G504" s="119"/>
      <c r="H504" s="119"/>
      <c r="I504" s="119"/>
      <c r="J504" s="120"/>
      <c r="K504" s="121"/>
      <c r="L504" s="119"/>
    </row>
    <row r="505">
      <c r="B505" s="119"/>
      <c r="C505" s="119"/>
      <c r="D505" s="119"/>
      <c r="E505" s="119"/>
      <c r="F505" s="119"/>
      <c r="G505" s="119"/>
      <c r="H505" s="119"/>
      <c r="I505" s="119"/>
      <c r="J505" s="120"/>
      <c r="K505" s="121"/>
      <c r="L505" s="119"/>
    </row>
    <row r="506">
      <c r="B506" s="119"/>
      <c r="C506" s="119"/>
      <c r="D506" s="119"/>
      <c r="E506" s="119"/>
      <c r="F506" s="119"/>
      <c r="G506" s="119"/>
      <c r="H506" s="119"/>
      <c r="I506" s="119"/>
      <c r="J506" s="120"/>
      <c r="K506" s="121"/>
      <c r="L506" s="119"/>
    </row>
    <row r="507">
      <c r="B507" s="119"/>
      <c r="C507" s="119"/>
      <c r="D507" s="119"/>
      <c r="E507" s="119"/>
      <c r="F507" s="119"/>
      <c r="G507" s="119"/>
      <c r="H507" s="119"/>
      <c r="I507" s="119"/>
      <c r="J507" s="120"/>
      <c r="K507" s="121"/>
      <c r="L507" s="119"/>
    </row>
    <row r="508">
      <c r="B508" s="119"/>
      <c r="C508" s="119"/>
      <c r="D508" s="119"/>
      <c r="E508" s="119"/>
      <c r="F508" s="119"/>
      <c r="G508" s="119"/>
      <c r="H508" s="119"/>
      <c r="I508" s="119"/>
      <c r="J508" s="120"/>
      <c r="K508" s="121"/>
      <c r="L508" s="119"/>
    </row>
    <row r="509">
      <c r="B509" s="119"/>
      <c r="C509" s="119"/>
      <c r="D509" s="119"/>
      <c r="E509" s="119"/>
      <c r="F509" s="119"/>
      <c r="G509" s="119"/>
      <c r="H509" s="119"/>
      <c r="I509" s="119"/>
      <c r="J509" s="120"/>
      <c r="K509" s="121"/>
      <c r="L509" s="119"/>
    </row>
    <row r="510">
      <c r="B510" s="119"/>
      <c r="C510" s="119"/>
      <c r="D510" s="119"/>
      <c r="E510" s="119"/>
      <c r="F510" s="119"/>
      <c r="G510" s="119"/>
      <c r="H510" s="119"/>
      <c r="I510" s="119"/>
      <c r="J510" s="120"/>
      <c r="K510" s="121"/>
      <c r="L510" s="119"/>
    </row>
    <row r="511">
      <c r="B511" s="119"/>
      <c r="C511" s="119"/>
      <c r="D511" s="119"/>
      <c r="E511" s="119"/>
      <c r="F511" s="119"/>
      <c r="G511" s="119"/>
      <c r="H511" s="119"/>
      <c r="I511" s="119"/>
      <c r="J511" s="120"/>
      <c r="K511" s="121"/>
      <c r="L511" s="119"/>
    </row>
    <row r="512">
      <c r="B512" s="119"/>
      <c r="C512" s="119"/>
      <c r="D512" s="119"/>
      <c r="E512" s="119"/>
      <c r="F512" s="119"/>
      <c r="G512" s="119"/>
      <c r="H512" s="119"/>
      <c r="I512" s="119"/>
      <c r="J512" s="120"/>
      <c r="K512" s="121"/>
      <c r="L512" s="119"/>
    </row>
    <row r="513">
      <c r="B513" s="119"/>
      <c r="C513" s="119"/>
      <c r="D513" s="119"/>
      <c r="E513" s="119"/>
      <c r="F513" s="119"/>
      <c r="G513" s="119"/>
      <c r="H513" s="119"/>
      <c r="I513" s="119"/>
      <c r="J513" s="120"/>
      <c r="K513" s="121"/>
      <c r="L513" s="119"/>
    </row>
    <row r="514">
      <c r="B514" s="119"/>
      <c r="C514" s="119"/>
      <c r="D514" s="119"/>
      <c r="E514" s="119"/>
      <c r="F514" s="119"/>
      <c r="G514" s="119"/>
      <c r="H514" s="119"/>
      <c r="I514" s="119"/>
      <c r="J514" s="120"/>
      <c r="K514" s="121"/>
      <c r="L514" s="119"/>
    </row>
    <row r="515">
      <c r="B515" s="119"/>
      <c r="C515" s="119"/>
      <c r="D515" s="119"/>
      <c r="E515" s="119"/>
      <c r="F515" s="119"/>
      <c r="G515" s="119"/>
      <c r="H515" s="119"/>
      <c r="I515" s="119"/>
      <c r="J515" s="120"/>
      <c r="K515" s="121"/>
      <c r="L515" s="119"/>
    </row>
    <row r="516">
      <c r="B516" s="119"/>
      <c r="C516" s="119"/>
      <c r="D516" s="119"/>
      <c r="E516" s="119"/>
      <c r="F516" s="119"/>
      <c r="G516" s="119"/>
      <c r="H516" s="119"/>
      <c r="I516" s="119"/>
      <c r="J516" s="120"/>
      <c r="K516" s="121"/>
      <c r="L516" s="119"/>
    </row>
    <row r="517">
      <c r="B517" s="119"/>
      <c r="C517" s="119"/>
      <c r="D517" s="119"/>
      <c r="E517" s="119"/>
      <c r="F517" s="119"/>
      <c r="G517" s="119"/>
      <c r="H517" s="119"/>
      <c r="I517" s="119"/>
      <c r="J517" s="120"/>
      <c r="K517" s="121"/>
      <c r="L517" s="119"/>
    </row>
    <row r="518">
      <c r="B518" s="119"/>
      <c r="C518" s="119"/>
      <c r="D518" s="119"/>
      <c r="E518" s="119"/>
      <c r="F518" s="119"/>
      <c r="G518" s="119"/>
      <c r="H518" s="119"/>
      <c r="I518" s="119"/>
      <c r="J518" s="120"/>
      <c r="K518" s="121"/>
      <c r="L518" s="119"/>
    </row>
    <row r="519">
      <c r="B519" s="119"/>
      <c r="C519" s="119"/>
      <c r="D519" s="119"/>
      <c r="E519" s="119"/>
      <c r="F519" s="119"/>
      <c r="G519" s="119"/>
      <c r="H519" s="119"/>
      <c r="I519" s="119"/>
      <c r="J519" s="120"/>
      <c r="K519" s="121"/>
      <c r="L519" s="119"/>
    </row>
    <row r="520">
      <c r="B520" s="119"/>
      <c r="C520" s="119"/>
      <c r="D520" s="119"/>
      <c r="E520" s="119"/>
      <c r="F520" s="119"/>
      <c r="G520" s="119"/>
      <c r="H520" s="119"/>
      <c r="I520" s="119"/>
      <c r="J520" s="120"/>
      <c r="K520" s="121"/>
      <c r="L520" s="119"/>
    </row>
    <row r="521">
      <c r="B521" s="119"/>
      <c r="C521" s="119"/>
      <c r="D521" s="119"/>
      <c r="E521" s="119"/>
      <c r="F521" s="119"/>
      <c r="G521" s="119"/>
      <c r="H521" s="119"/>
      <c r="I521" s="119"/>
      <c r="J521" s="120"/>
      <c r="K521" s="121"/>
      <c r="L521" s="119"/>
    </row>
    <row r="522">
      <c r="B522" s="119"/>
      <c r="C522" s="119"/>
      <c r="D522" s="119"/>
      <c r="E522" s="119"/>
      <c r="F522" s="119"/>
      <c r="G522" s="119"/>
      <c r="H522" s="119"/>
      <c r="I522" s="119"/>
      <c r="J522" s="120"/>
      <c r="K522" s="121"/>
      <c r="L522" s="119"/>
    </row>
    <row r="523">
      <c r="B523" s="119"/>
      <c r="C523" s="119"/>
      <c r="D523" s="119"/>
      <c r="E523" s="119"/>
      <c r="F523" s="119"/>
      <c r="G523" s="119"/>
      <c r="H523" s="119"/>
      <c r="I523" s="119"/>
      <c r="J523" s="120"/>
      <c r="K523" s="121"/>
      <c r="L523" s="119"/>
    </row>
    <row r="524">
      <c r="B524" s="119"/>
      <c r="C524" s="119"/>
      <c r="D524" s="119"/>
      <c r="E524" s="119"/>
      <c r="F524" s="119"/>
      <c r="G524" s="119"/>
      <c r="H524" s="119"/>
      <c r="I524" s="119"/>
      <c r="J524" s="120"/>
      <c r="K524" s="121"/>
      <c r="L524" s="119"/>
    </row>
    <row r="525">
      <c r="B525" s="119"/>
      <c r="C525" s="119"/>
      <c r="D525" s="119"/>
      <c r="E525" s="119"/>
      <c r="F525" s="119"/>
      <c r="G525" s="119"/>
      <c r="H525" s="119"/>
      <c r="I525" s="119"/>
      <c r="J525" s="120"/>
      <c r="K525" s="121"/>
      <c r="L525" s="119"/>
    </row>
    <row r="526">
      <c r="B526" s="119"/>
      <c r="C526" s="119"/>
      <c r="D526" s="119"/>
      <c r="E526" s="119"/>
      <c r="F526" s="119"/>
      <c r="G526" s="119"/>
      <c r="H526" s="119"/>
      <c r="I526" s="119"/>
      <c r="J526" s="120"/>
      <c r="K526" s="121"/>
      <c r="L526" s="119"/>
    </row>
    <row r="527">
      <c r="B527" s="119"/>
      <c r="C527" s="119"/>
      <c r="D527" s="119"/>
      <c r="E527" s="119"/>
      <c r="F527" s="119"/>
      <c r="G527" s="119"/>
      <c r="H527" s="119"/>
      <c r="I527" s="119"/>
      <c r="J527" s="120"/>
      <c r="K527" s="121"/>
      <c r="L527" s="119"/>
    </row>
    <row r="528">
      <c r="B528" s="119"/>
      <c r="C528" s="119"/>
      <c r="D528" s="119"/>
      <c r="E528" s="119"/>
      <c r="F528" s="119"/>
      <c r="G528" s="119"/>
      <c r="H528" s="119"/>
      <c r="I528" s="119"/>
      <c r="J528" s="120"/>
      <c r="K528" s="121"/>
      <c r="L528" s="119"/>
    </row>
    <row r="529">
      <c r="B529" s="119"/>
      <c r="C529" s="119"/>
      <c r="D529" s="119"/>
      <c r="E529" s="119"/>
      <c r="F529" s="119"/>
      <c r="G529" s="119"/>
      <c r="H529" s="119"/>
      <c r="I529" s="119"/>
      <c r="J529" s="120"/>
      <c r="K529" s="121"/>
      <c r="L529" s="119"/>
    </row>
    <row r="530">
      <c r="B530" s="119"/>
      <c r="C530" s="119"/>
      <c r="D530" s="119"/>
      <c r="E530" s="119"/>
      <c r="F530" s="119"/>
      <c r="G530" s="119"/>
      <c r="H530" s="119"/>
      <c r="I530" s="119"/>
      <c r="J530" s="120"/>
      <c r="K530" s="121"/>
      <c r="L530" s="119"/>
    </row>
    <row r="531">
      <c r="B531" s="119"/>
      <c r="C531" s="119"/>
      <c r="D531" s="119"/>
      <c r="E531" s="119"/>
      <c r="F531" s="119"/>
      <c r="G531" s="119"/>
      <c r="H531" s="119"/>
      <c r="I531" s="119"/>
      <c r="J531" s="120"/>
      <c r="K531" s="121"/>
      <c r="L531" s="119"/>
    </row>
    <row r="532">
      <c r="B532" s="119"/>
      <c r="C532" s="119"/>
      <c r="D532" s="119"/>
      <c r="E532" s="119"/>
      <c r="F532" s="119"/>
      <c r="G532" s="119"/>
      <c r="H532" s="119"/>
      <c r="I532" s="119"/>
      <c r="J532" s="120"/>
      <c r="K532" s="121"/>
      <c r="L532" s="119"/>
    </row>
    <row r="533">
      <c r="B533" s="119"/>
      <c r="C533" s="119"/>
      <c r="D533" s="119"/>
      <c r="E533" s="119"/>
      <c r="F533" s="119"/>
      <c r="G533" s="119"/>
      <c r="H533" s="119"/>
      <c r="I533" s="119"/>
      <c r="J533" s="120"/>
      <c r="K533" s="121"/>
      <c r="L533" s="119"/>
    </row>
    <row r="534">
      <c r="B534" s="119"/>
      <c r="C534" s="119"/>
      <c r="D534" s="119"/>
      <c r="E534" s="119"/>
      <c r="F534" s="119"/>
      <c r="G534" s="119"/>
      <c r="H534" s="119"/>
      <c r="I534" s="119"/>
      <c r="J534" s="120"/>
      <c r="K534" s="121"/>
      <c r="L534" s="119"/>
    </row>
    <row r="535">
      <c r="B535" s="119"/>
      <c r="C535" s="119"/>
      <c r="D535" s="119"/>
      <c r="E535" s="119"/>
      <c r="F535" s="119"/>
      <c r="G535" s="119"/>
      <c r="H535" s="119"/>
      <c r="I535" s="119"/>
      <c r="J535" s="120"/>
      <c r="K535" s="121"/>
      <c r="L535" s="119"/>
    </row>
    <row r="536">
      <c r="B536" s="119"/>
      <c r="C536" s="119"/>
      <c r="D536" s="119"/>
      <c r="E536" s="119"/>
      <c r="F536" s="119"/>
      <c r="G536" s="119"/>
      <c r="H536" s="119"/>
      <c r="I536" s="119"/>
      <c r="J536" s="120"/>
      <c r="K536" s="121"/>
      <c r="L536" s="119"/>
    </row>
    <row r="537">
      <c r="B537" s="119"/>
      <c r="C537" s="119"/>
      <c r="D537" s="119"/>
      <c r="E537" s="119"/>
      <c r="F537" s="119"/>
      <c r="G537" s="119"/>
      <c r="H537" s="119"/>
      <c r="I537" s="119"/>
      <c r="J537" s="120"/>
      <c r="K537" s="121"/>
      <c r="L537" s="119"/>
    </row>
    <row r="538">
      <c r="B538" s="119"/>
      <c r="C538" s="119"/>
      <c r="D538" s="119"/>
      <c r="E538" s="119"/>
      <c r="F538" s="119"/>
      <c r="G538" s="119"/>
      <c r="H538" s="119"/>
      <c r="I538" s="119"/>
      <c r="J538" s="120"/>
      <c r="K538" s="121"/>
      <c r="L538" s="119"/>
    </row>
    <row r="539">
      <c r="B539" s="119"/>
      <c r="C539" s="119"/>
      <c r="D539" s="119"/>
      <c r="E539" s="119"/>
      <c r="F539" s="119"/>
      <c r="G539" s="119"/>
      <c r="H539" s="119"/>
      <c r="I539" s="119"/>
      <c r="J539" s="120"/>
      <c r="K539" s="121"/>
      <c r="L539" s="119"/>
    </row>
    <row r="540">
      <c r="B540" s="119"/>
      <c r="C540" s="119"/>
      <c r="D540" s="119"/>
      <c r="E540" s="119"/>
      <c r="F540" s="119"/>
      <c r="G540" s="119"/>
      <c r="H540" s="119"/>
      <c r="I540" s="119"/>
      <c r="J540" s="120"/>
      <c r="K540" s="121"/>
      <c r="L540" s="119"/>
    </row>
    <row r="541">
      <c r="B541" s="119"/>
      <c r="C541" s="119"/>
      <c r="D541" s="119"/>
      <c r="E541" s="119"/>
      <c r="F541" s="119"/>
      <c r="G541" s="119"/>
      <c r="H541" s="119"/>
      <c r="I541" s="119"/>
      <c r="J541" s="120"/>
      <c r="K541" s="121"/>
      <c r="L541" s="119"/>
    </row>
    <row r="542">
      <c r="B542" s="119"/>
      <c r="C542" s="119"/>
      <c r="D542" s="119"/>
      <c r="E542" s="119"/>
      <c r="F542" s="119"/>
      <c r="G542" s="119"/>
      <c r="H542" s="119"/>
      <c r="I542" s="119"/>
      <c r="J542" s="120"/>
      <c r="K542" s="121"/>
      <c r="L542" s="119"/>
    </row>
    <row r="543">
      <c r="B543" s="119"/>
      <c r="C543" s="119"/>
      <c r="D543" s="119"/>
      <c r="E543" s="119"/>
      <c r="F543" s="119"/>
      <c r="G543" s="119"/>
      <c r="H543" s="119"/>
      <c r="I543" s="119"/>
      <c r="J543" s="120"/>
      <c r="K543" s="121"/>
      <c r="L543" s="119"/>
    </row>
    <row r="544">
      <c r="B544" s="119"/>
      <c r="C544" s="119"/>
      <c r="D544" s="119"/>
      <c r="E544" s="119"/>
      <c r="F544" s="119"/>
      <c r="G544" s="119"/>
      <c r="H544" s="119"/>
      <c r="I544" s="119"/>
      <c r="J544" s="120"/>
      <c r="K544" s="121"/>
      <c r="L544" s="119"/>
    </row>
    <row r="545">
      <c r="B545" s="119"/>
      <c r="C545" s="119"/>
      <c r="D545" s="119"/>
      <c r="E545" s="119"/>
      <c r="F545" s="119"/>
      <c r="G545" s="119"/>
      <c r="H545" s="119"/>
      <c r="I545" s="119"/>
      <c r="J545" s="120"/>
      <c r="K545" s="121"/>
      <c r="L545" s="119"/>
    </row>
    <row r="546">
      <c r="B546" s="119"/>
      <c r="C546" s="119"/>
      <c r="D546" s="119"/>
      <c r="E546" s="119"/>
      <c r="F546" s="119"/>
      <c r="G546" s="119"/>
      <c r="H546" s="119"/>
      <c r="I546" s="119"/>
      <c r="J546" s="120"/>
      <c r="K546" s="121"/>
      <c r="L546" s="119"/>
    </row>
    <row r="547">
      <c r="B547" s="119"/>
      <c r="C547" s="119"/>
      <c r="D547" s="119"/>
      <c r="E547" s="119"/>
      <c r="F547" s="119"/>
      <c r="G547" s="119"/>
      <c r="H547" s="119"/>
      <c r="I547" s="119"/>
      <c r="J547" s="120"/>
      <c r="K547" s="121"/>
      <c r="L547" s="119"/>
    </row>
    <row r="548">
      <c r="B548" s="119"/>
      <c r="C548" s="119"/>
      <c r="D548" s="119"/>
      <c r="E548" s="119"/>
      <c r="F548" s="119"/>
      <c r="G548" s="119"/>
      <c r="H548" s="119"/>
      <c r="I548" s="119"/>
      <c r="J548" s="120"/>
      <c r="K548" s="121"/>
      <c r="L548" s="119"/>
    </row>
    <row r="549">
      <c r="B549" s="119"/>
      <c r="C549" s="119"/>
      <c r="D549" s="119"/>
      <c r="E549" s="119"/>
      <c r="F549" s="119"/>
      <c r="G549" s="119"/>
      <c r="H549" s="119"/>
      <c r="I549" s="119"/>
      <c r="J549" s="120"/>
      <c r="K549" s="121"/>
      <c r="L549" s="119"/>
    </row>
    <row r="550">
      <c r="B550" s="119"/>
      <c r="C550" s="119"/>
      <c r="D550" s="119"/>
      <c r="E550" s="119"/>
      <c r="F550" s="119"/>
      <c r="G550" s="119"/>
      <c r="H550" s="119"/>
      <c r="I550" s="119"/>
      <c r="J550" s="120"/>
      <c r="K550" s="121"/>
      <c r="L550" s="119"/>
    </row>
    <row r="551">
      <c r="B551" s="119"/>
      <c r="C551" s="119"/>
      <c r="D551" s="119"/>
      <c r="E551" s="119"/>
      <c r="F551" s="119"/>
      <c r="G551" s="119"/>
      <c r="H551" s="119"/>
      <c r="I551" s="119"/>
      <c r="J551" s="120"/>
      <c r="K551" s="121"/>
      <c r="L551" s="119"/>
    </row>
    <row r="552">
      <c r="B552" s="119"/>
      <c r="C552" s="119"/>
      <c r="D552" s="119"/>
      <c r="E552" s="119"/>
      <c r="F552" s="119"/>
      <c r="G552" s="119"/>
      <c r="H552" s="119"/>
      <c r="I552" s="119"/>
      <c r="J552" s="120"/>
      <c r="K552" s="121"/>
      <c r="L552" s="119"/>
    </row>
    <row r="553">
      <c r="B553" s="119"/>
      <c r="C553" s="119"/>
      <c r="D553" s="119"/>
      <c r="E553" s="119"/>
      <c r="F553" s="119"/>
      <c r="G553" s="119"/>
      <c r="H553" s="119"/>
      <c r="I553" s="119"/>
      <c r="J553" s="120"/>
      <c r="K553" s="121"/>
      <c r="L553" s="119"/>
    </row>
    <row r="554">
      <c r="B554" s="119"/>
      <c r="C554" s="119"/>
      <c r="D554" s="119"/>
      <c r="E554" s="119"/>
      <c r="F554" s="119"/>
      <c r="G554" s="119"/>
      <c r="H554" s="119"/>
      <c r="I554" s="119"/>
      <c r="J554" s="120"/>
      <c r="K554" s="121"/>
      <c r="L554" s="119"/>
    </row>
    <row r="555">
      <c r="B555" s="119"/>
      <c r="C555" s="119"/>
      <c r="D555" s="119"/>
      <c r="E555" s="119"/>
      <c r="F555" s="119"/>
      <c r="G555" s="119"/>
      <c r="H555" s="119"/>
      <c r="I555" s="119"/>
      <c r="J555" s="120"/>
      <c r="K555" s="121"/>
      <c r="L555" s="119"/>
    </row>
    <row r="556">
      <c r="B556" s="119"/>
      <c r="C556" s="119"/>
      <c r="D556" s="119"/>
      <c r="E556" s="119"/>
      <c r="F556" s="119"/>
      <c r="G556" s="119"/>
      <c r="H556" s="119"/>
      <c r="I556" s="119"/>
      <c r="J556" s="120"/>
      <c r="K556" s="121"/>
      <c r="L556" s="119"/>
    </row>
    <row r="557">
      <c r="B557" s="119"/>
      <c r="C557" s="119"/>
      <c r="D557" s="119"/>
      <c r="E557" s="119"/>
      <c r="F557" s="119"/>
      <c r="G557" s="119"/>
      <c r="H557" s="119"/>
      <c r="I557" s="119"/>
      <c r="J557" s="120"/>
      <c r="K557" s="121"/>
      <c r="L557" s="119"/>
    </row>
    <row r="558">
      <c r="B558" s="119"/>
      <c r="C558" s="119"/>
      <c r="D558" s="119"/>
      <c r="E558" s="119"/>
      <c r="F558" s="119"/>
      <c r="G558" s="119"/>
      <c r="H558" s="119"/>
      <c r="I558" s="119"/>
      <c r="J558" s="120"/>
      <c r="K558" s="121"/>
      <c r="L558" s="119"/>
    </row>
    <row r="559">
      <c r="B559" s="119"/>
      <c r="C559" s="119"/>
      <c r="D559" s="119"/>
      <c r="E559" s="119"/>
      <c r="F559" s="119"/>
      <c r="G559" s="119"/>
      <c r="H559" s="119"/>
      <c r="I559" s="119"/>
      <c r="J559" s="120"/>
      <c r="K559" s="121"/>
      <c r="L559" s="119"/>
    </row>
    <row r="560">
      <c r="B560" s="119"/>
      <c r="C560" s="119"/>
      <c r="D560" s="119"/>
      <c r="E560" s="119"/>
      <c r="F560" s="119"/>
      <c r="G560" s="119"/>
      <c r="H560" s="119"/>
      <c r="I560" s="119"/>
      <c r="J560" s="120"/>
      <c r="K560" s="121"/>
      <c r="L560" s="119"/>
    </row>
    <row r="561">
      <c r="B561" s="119"/>
      <c r="C561" s="119"/>
      <c r="D561" s="119"/>
      <c r="E561" s="119"/>
      <c r="F561" s="119"/>
      <c r="G561" s="119"/>
      <c r="H561" s="119"/>
      <c r="I561" s="119"/>
      <c r="J561" s="120"/>
      <c r="K561" s="121"/>
      <c r="L561" s="119"/>
    </row>
    <row r="562">
      <c r="B562" s="119"/>
      <c r="C562" s="119"/>
      <c r="D562" s="119"/>
      <c r="E562" s="119"/>
      <c r="F562" s="119"/>
      <c r="G562" s="119"/>
      <c r="H562" s="119"/>
      <c r="I562" s="119"/>
      <c r="J562" s="120"/>
      <c r="K562" s="121"/>
      <c r="L562" s="119"/>
    </row>
    <row r="563">
      <c r="B563" s="119"/>
      <c r="C563" s="119"/>
      <c r="D563" s="119"/>
      <c r="E563" s="119"/>
      <c r="F563" s="119"/>
      <c r="G563" s="119"/>
      <c r="H563" s="119"/>
      <c r="I563" s="119"/>
      <c r="J563" s="120"/>
      <c r="K563" s="121"/>
      <c r="L563" s="119"/>
    </row>
    <row r="564">
      <c r="B564" s="119"/>
      <c r="C564" s="119"/>
      <c r="D564" s="119"/>
      <c r="E564" s="119"/>
      <c r="F564" s="119"/>
      <c r="G564" s="119"/>
      <c r="H564" s="119"/>
      <c r="I564" s="119"/>
      <c r="J564" s="120"/>
      <c r="K564" s="121"/>
      <c r="L564" s="119"/>
    </row>
    <row r="565">
      <c r="B565" s="119"/>
      <c r="C565" s="119"/>
      <c r="D565" s="119"/>
      <c r="E565" s="119"/>
      <c r="F565" s="119"/>
      <c r="G565" s="119"/>
      <c r="H565" s="119"/>
      <c r="I565" s="119"/>
      <c r="J565" s="120"/>
      <c r="K565" s="121"/>
      <c r="L565" s="119"/>
    </row>
    <row r="566">
      <c r="B566" s="119"/>
      <c r="C566" s="119"/>
      <c r="D566" s="119"/>
      <c r="E566" s="119"/>
      <c r="F566" s="119"/>
      <c r="G566" s="119"/>
      <c r="H566" s="119"/>
      <c r="I566" s="119"/>
      <c r="J566" s="120"/>
      <c r="K566" s="121"/>
      <c r="L566" s="119"/>
    </row>
  </sheetData>
  <autoFilter ref="$O$20:$AN$420">
    <sortState ref="O20:AN420">
      <sortCondition descending="1" ref="R20:R420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4" t="s">
        <v>411</v>
      </c>
      <c r="B1" s="135" t="s">
        <v>90</v>
      </c>
      <c r="C1" s="135" t="s">
        <v>78</v>
      </c>
      <c r="D1" s="135" t="s">
        <v>81</v>
      </c>
      <c r="E1" s="135" t="s">
        <v>57</v>
      </c>
      <c r="F1" s="135" t="s">
        <v>412</v>
      </c>
      <c r="G1" s="135" t="s">
        <v>40</v>
      </c>
      <c r="H1" s="135" t="s">
        <v>41</v>
      </c>
      <c r="I1" s="136">
        <v>0.625</v>
      </c>
      <c r="J1" s="135" t="s">
        <v>34</v>
      </c>
      <c r="K1" s="135" t="s">
        <v>413</v>
      </c>
      <c r="L1" s="135" t="s">
        <v>37</v>
      </c>
      <c r="M1" s="135" t="s">
        <v>38</v>
      </c>
      <c r="N1" s="135" t="s">
        <v>61</v>
      </c>
      <c r="O1" s="135" t="s">
        <v>42</v>
      </c>
      <c r="P1" s="135" t="s">
        <v>414</v>
      </c>
    </row>
    <row r="2">
      <c r="A2" s="137">
        <v>1.0</v>
      </c>
      <c r="B2" s="138" t="s">
        <v>415</v>
      </c>
      <c r="C2" s="137" t="s">
        <v>47</v>
      </c>
      <c r="D2" s="137" t="s">
        <v>416</v>
      </c>
      <c r="E2" s="137">
        <v>72.0</v>
      </c>
      <c r="F2" s="137">
        <v>33.6</v>
      </c>
      <c r="G2" s="137" t="s">
        <v>417</v>
      </c>
      <c r="H2" s="137" t="s">
        <v>418</v>
      </c>
      <c r="I2" s="137">
        <v>1.0</v>
      </c>
      <c r="J2" s="137">
        <v>24.5</v>
      </c>
      <c r="K2" s="137">
        <v>11.7</v>
      </c>
      <c r="L2" s="137">
        <v>9.7</v>
      </c>
      <c r="M2" s="137">
        <v>1.4</v>
      </c>
      <c r="N2" s="137">
        <v>0.7</v>
      </c>
      <c r="O2" s="137">
        <v>3.7</v>
      </c>
      <c r="P2" s="137">
        <v>14.76</v>
      </c>
    </row>
    <row r="3">
      <c r="A3" s="137">
        <v>2.0</v>
      </c>
      <c r="B3" s="138" t="s">
        <v>419</v>
      </c>
      <c r="C3" s="137" t="s">
        <v>47</v>
      </c>
      <c r="D3" s="137" t="s">
        <v>420</v>
      </c>
      <c r="E3" s="137">
        <v>67.0</v>
      </c>
      <c r="F3" s="137">
        <v>34.2</v>
      </c>
      <c r="G3" s="137" t="s">
        <v>421</v>
      </c>
      <c r="H3" s="137" t="s">
        <v>422</v>
      </c>
      <c r="I3" s="137">
        <v>1.2</v>
      </c>
      <c r="J3" s="137">
        <v>32.6</v>
      </c>
      <c r="K3" s="137">
        <v>10.2</v>
      </c>
      <c r="L3" s="137">
        <v>4.2</v>
      </c>
      <c r="M3" s="137">
        <v>1.1</v>
      </c>
      <c r="N3" s="137">
        <v>1.6</v>
      </c>
      <c r="O3" s="137">
        <v>3.3</v>
      </c>
      <c r="P3" s="137">
        <v>13.85</v>
      </c>
    </row>
    <row r="4">
      <c r="A4" s="137">
        <v>3.0</v>
      </c>
      <c r="B4" s="138" t="s">
        <v>423</v>
      </c>
      <c r="C4" s="137" t="s">
        <v>424</v>
      </c>
      <c r="D4" s="137" t="s">
        <v>425</v>
      </c>
      <c r="E4" s="137">
        <v>67.0</v>
      </c>
      <c r="F4" s="137">
        <v>35.5</v>
      </c>
      <c r="G4" s="137" t="s">
        <v>426</v>
      </c>
      <c r="H4" s="137" t="s">
        <v>427</v>
      </c>
      <c r="I4" s="137">
        <v>1.0</v>
      </c>
      <c r="J4" s="137">
        <v>29.6</v>
      </c>
      <c r="K4" s="137">
        <v>5.0</v>
      </c>
      <c r="L4" s="137">
        <v>5.6</v>
      </c>
      <c r="M4" s="137">
        <v>1.5</v>
      </c>
      <c r="N4" s="137">
        <v>0.9</v>
      </c>
      <c r="O4" s="137">
        <v>2.9</v>
      </c>
      <c r="P4" s="137">
        <v>11.18</v>
      </c>
    </row>
    <row r="5">
      <c r="A5" s="137">
        <v>4.0</v>
      </c>
      <c r="B5" s="138" t="s">
        <v>428</v>
      </c>
      <c r="C5" s="137" t="s">
        <v>424</v>
      </c>
      <c r="D5" s="137" t="s">
        <v>429</v>
      </c>
      <c r="E5" s="137">
        <v>73.0</v>
      </c>
      <c r="F5" s="137">
        <v>34.7</v>
      </c>
      <c r="G5" s="137" t="s">
        <v>430</v>
      </c>
      <c r="H5" s="137" t="s">
        <v>431</v>
      </c>
      <c r="I5" s="137">
        <v>2.8</v>
      </c>
      <c r="J5" s="137">
        <v>23.3</v>
      </c>
      <c r="K5" s="137">
        <v>4.0</v>
      </c>
      <c r="L5" s="137">
        <v>10.5</v>
      </c>
      <c r="M5" s="137">
        <v>1.7</v>
      </c>
      <c r="N5" s="137">
        <v>0.4</v>
      </c>
      <c r="O5" s="137">
        <v>2.6</v>
      </c>
      <c r="P5" s="137">
        <v>10.02</v>
      </c>
    </row>
    <row r="6">
      <c r="A6" s="137">
        <v>5.0</v>
      </c>
      <c r="B6" s="138" t="s">
        <v>20</v>
      </c>
      <c r="C6" s="137" t="s">
        <v>432</v>
      </c>
      <c r="D6" s="137" t="s">
        <v>433</v>
      </c>
      <c r="E6" s="137">
        <v>75.0</v>
      </c>
      <c r="F6" s="137">
        <v>36.5</v>
      </c>
      <c r="G6" s="137" t="s">
        <v>434</v>
      </c>
      <c r="H6" s="137" t="s">
        <v>435</v>
      </c>
      <c r="I6" s="137">
        <v>3.3</v>
      </c>
      <c r="J6" s="137">
        <v>29.5</v>
      </c>
      <c r="K6" s="137">
        <v>8.2</v>
      </c>
      <c r="L6" s="137">
        <v>4.8</v>
      </c>
      <c r="M6" s="137">
        <v>1.1</v>
      </c>
      <c r="N6" s="137">
        <v>0.7</v>
      </c>
      <c r="O6" s="137">
        <v>3.0</v>
      </c>
      <c r="P6" s="137">
        <v>9.93</v>
      </c>
    </row>
    <row r="7">
      <c r="A7" s="137">
        <v>6.0</v>
      </c>
      <c r="B7" s="138" t="s">
        <v>436</v>
      </c>
      <c r="C7" s="137" t="s">
        <v>43</v>
      </c>
      <c r="D7" s="137" t="s">
        <v>437</v>
      </c>
      <c r="E7" s="137">
        <v>66.0</v>
      </c>
      <c r="F7" s="137">
        <v>35.8</v>
      </c>
      <c r="G7" s="137" t="s">
        <v>438</v>
      </c>
      <c r="H7" s="137" t="s">
        <v>439</v>
      </c>
      <c r="I7" s="137">
        <v>3.0</v>
      </c>
      <c r="J7" s="137">
        <v>32.7</v>
      </c>
      <c r="K7" s="137">
        <v>8.8</v>
      </c>
      <c r="L7" s="137">
        <v>8.1</v>
      </c>
      <c r="M7" s="137">
        <v>1.3</v>
      </c>
      <c r="N7" s="137">
        <v>0.5</v>
      </c>
      <c r="O7" s="137">
        <v>3.6</v>
      </c>
      <c r="P7" s="137">
        <v>9.88</v>
      </c>
    </row>
    <row r="8">
      <c r="A8" s="137">
        <v>7.0</v>
      </c>
      <c r="B8" s="138" t="s">
        <v>440</v>
      </c>
      <c r="C8" s="137" t="s">
        <v>43</v>
      </c>
      <c r="D8" s="137" t="s">
        <v>441</v>
      </c>
      <c r="E8" s="137">
        <v>65.0</v>
      </c>
      <c r="F8" s="137">
        <v>34.6</v>
      </c>
      <c r="G8" s="137" t="s">
        <v>442</v>
      </c>
      <c r="H8" s="137" t="s">
        <v>443</v>
      </c>
      <c r="I8" s="137">
        <v>4.7</v>
      </c>
      <c r="J8" s="137">
        <v>28.0</v>
      </c>
      <c r="K8" s="137">
        <v>5.6</v>
      </c>
      <c r="L8" s="137">
        <v>5.6</v>
      </c>
      <c r="M8" s="137">
        <v>0.9</v>
      </c>
      <c r="N8" s="137">
        <v>0.3</v>
      </c>
      <c r="O8" s="137">
        <v>3.3</v>
      </c>
      <c r="P8" s="137">
        <v>9.79</v>
      </c>
    </row>
    <row r="9">
      <c r="A9" s="137">
        <v>8.0</v>
      </c>
      <c r="B9" s="138" t="s">
        <v>444</v>
      </c>
      <c r="C9" s="137" t="s">
        <v>432</v>
      </c>
      <c r="D9" s="137" t="s">
        <v>445</v>
      </c>
      <c r="E9" s="137">
        <v>60.0</v>
      </c>
      <c r="F9" s="137">
        <v>34.2</v>
      </c>
      <c r="G9" s="137" t="s">
        <v>446</v>
      </c>
      <c r="H9" s="137" t="s">
        <v>447</v>
      </c>
      <c r="I9" s="137">
        <v>1.9</v>
      </c>
      <c r="J9" s="137">
        <v>25.3</v>
      </c>
      <c r="K9" s="137">
        <v>6.5</v>
      </c>
      <c r="L9" s="137">
        <v>5.0</v>
      </c>
      <c r="M9" s="137">
        <v>0.7</v>
      </c>
      <c r="N9" s="137">
        <v>1.0</v>
      </c>
      <c r="O9" s="137">
        <v>3.1</v>
      </c>
      <c r="P9" s="137">
        <v>9.63</v>
      </c>
    </row>
    <row r="10">
      <c r="A10" s="137">
        <v>9.0</v>
      </c>
      <c r="B10" s="138" t="s">
        <v>448</v>
      </c>
      <c r="C10" s="137" t="s">
        <v>43</v>
      </c>
      <c r="D10" s="137" t="s">
        <v>449</v>
      </c>
      <c r="E10" s="137">
        <v>67.0</v>
      </c>
      <c r="F10" s="137">
        <v>35.6</v>
      </c>
      <c r="G10" s="137" t="s">
        <v>450</v>
      </c>
      <c r="H10" s="137" t="s">
        <v>451</v>
      </c>
      <c r="I10" s="137">
        <v>3.8</v>
      </c>
      <c r="J10" s="137">
        <v>27.2</v>
      </c>
      <c r="K10" s="137">
        <v>4.0</v>
      </c>
      <c r="L10" s="137">
        <v>6.9</v>
      </c>
      <c r="M10" s="137">
        <v>0.9</v>
      </c>
      <c r="N10" s="137">
        <v>0.3</v>
      </c>
      <c r="O10" s="137">
        <v>3.1</v>
      </c>
      <c r="P10" s="137">
        <v>9.62</v>
      </c>
    </row>
    <row r="11">
      <c r="A11" s="137">
        <v>10.0</v>
      </c>
      <c r="B11" s="138" t="s">
        <v>452</v>
      </c>
      <c r="C11" s="137" t="s">
        <v>424</v>
      </c>
      <c r="D11" s="137" t="s">
        <v>437</v>
      </c>
      <c r="E11" s="137">
        <v>62.0</v>
      </c>
      <c r="F11" s="137">
        <v>36.4</v>
      </c>
      <c r="G11" s="137" t="s">
        <v>453</v>
      </c>
      <c r="H11" s="137" t="s">
        <v>454</v>
      </c>
      <c r="I11" s="137">
        <v>3.2</v>
      </c>
      <c r="J11" s="137">
        <v>26.7</v>
      </c>
      <c r="K11" s="137">
        <v>4.8</v>
      </c>
      <c r="L11" s="137">
        <v>5.5</v>
      </c>
      <c r="M11" s="137">
        <v>1.2</v>
      </c>
      <c r="N11" s="137">
        <v>0.7</v>
      </c>
      <c r="O11" s="137">
        <v>2.2</v>
      </c>
      <c r="P11" s="137">
        <v>9.53</v>
      </c>
    </row>
    <row r="12">
      <c r="A12" s="137">
        <v>11.0</v>
      </c>
      <c r="B12" s="138" t="s">
        <v>455</v>
      </c>
      <c r="C12" s="137" t="s">
        <v>456</v>
      </c>
      <c r="D12" s="137" t="s">
        <v>457</v>
      </c>
      <c r="E12" s="137">
        <v>60.0</v>
      </c>
      <c r="F12" s="137">
        <v>33.5</v>
      </c>
      <c r="G12" s="137" t="s">
        <v>458</v>
      </c>
      <c r="H12" s="137" t="s">
        <v>459</v>
      </c>
      <c r="I12" s="137">
        <v>0.3</v>
      </c>
      <c r="J12" s="137">
        <v>24.3</v>
      </c>
      <c r="K12" s="137">
        <v>11.2</v>
      </c>
      <c r="L12" s="137">
        <v>2.8</v>
      </c>
      <c r="M12" s="137">
        <v>1.1</v>
      </c>
      <c r="N12" s="137">
        <v>2.1</v>
      </c>
      <c r="O12" s="137">
        <v>2.1</v>
      </c>
      <c r="P12" s="137">
        <v>9.36</v>
      </c>
    </row>
    <row r="13">
      <c r="A13" s="137">
        <v>12.0</v>
      </c>
      <c r="B13" s="138" t="s">
        <v>460</v>
      </c>
      <c r="C13" s="137" t="s">
        <v>424</v>
      </c>
      <c r="D13" s="137" t="s">
        <v>461</v>
      </c>
      <c r="E13" s="137">
        <v>69.0</v>
      </c>
      <c r="F13" s="137">
        <v>34.9</v>
      </c>
      <c r="G13" s="137" t="s">
        <v>462</v>
      </c>
      <c r="H13" s="137" t="s">
        <v>463</v>
      </c>
      <c r="I13" s="137">
        <v>3.7</v>
      </c>
      <c r="J13" s="137">
        <v>23.4</v>
      </c>
      <c r="K13" s="137">
        <v>7.0</v>
      </c>
      <c r="L13" s="137">
        <v>8.6</v>
      </c>
      <c r="M13" s="137">
        <v>1.6</v>
      </c>
      <c r="N13" s="137">
        <v>0.4</v>
      </c>
      <c r="O13" s="137">
        <v>3.6</v>
      </c>
      <c r="P13" s="137">
        <v>8.73</v>
      </c>
    </row>
    <row r="14">
      <c r="A14" s="137">
        <v>13.0</v>
      </c>
      <c r="B14" s="138" t="s">
        <v>464</v>
      </c>
      <c r="C14" s="137" t="s">
        <v>424</v>
      </c>
      <c r="D14" s="137" t="s">
        <v>465</v>
      </c>
      <c r="E14" s="137">
        <v>69.0</v>
      </c>
      <c r="F14" s="137">
        <v>35.6</v>
      </c>
      <c r="G14" s="137" t="s">
        <v>466</v>
      </c>
      <c r="H14" s="137" t="s">
        <v>467</v>
      </c>
      <c r="I14" s="137">
        <v>3.6</v>
      </c>
      <c r="J14" s="137">
        <v>27.7</v>
      </c>
      <c r="K14" s="137">
        <v>4.4</v>
      </c>
      <c r="L14" s="137">
        <v>4.4</v>
      </c>
      <c r="M14" s="137">
        <v>1.5</v>
      </c>
      <c r="N14" s="137">
        <v>0.3</v>
      </c>
      <c r="O14" s="137">
        <v>2.7</v>
      </c>
      <c r="P14" s="137">
        <v>8.25</v>
      </c>
    </row>
    <row r="15">
      <c r="A15" s="137">
        <v>14.0</v>
      </c>
      <c r="B15" s="138" t="s">
        <v>468</v>
      </c>
      <c r="C15" s="137" t="s">
        <v>469</v>
      </c>
      <c r="D15" s="137" t="s">
        <v>445</v>
      </c>
      <c r="E15" s="137">
        <v>68.0</v>
      </c>
      <c r="F15" s="137">
        <v>35.1</v>
      </c>
      <c r="G15" s="137" t="s">
        <v>470</v>
      </c>
      <c r="H15" s="137" t="s">
        <v>471</v>
      </c>
      <c r="I15" s="137">
        <v>2.3</v>
      </c>
      <c r="J15" s="137">
        <v>27.2</v>
      </c>
      <c r="K15" s="137">
        <v>4.9</v>
      </c>
      <c r="L15" s="137">
        <v>6.3</v>
      </c>
      <c r="M15" s="137">
        <v>1.1</v>
      </c>
      <c r="N15" s="137">
        <v>0.4</v>
      </c>
      <c r="O15" s="137">
        <v>2.6</v>
      </c>
      <c r="P15" s="137">
        <v>7.72</v>
      </c>
    </row>
    <row r="16">
      <c r="A16" s="137">
        <v>15.0</v>
      </c>
      <c r="B16" s="138" t="s">
        <v>472</v>
      </c>
      <c r="C16" s="137" t="s">
        <v>43</v>
      </c>
      <c r="D16" s="137" t="s">
        <v>473</v>
      </c>
      <c r="E16" s="137">
        <v>75.0</v>
      </c>
      <c r="F16" s="137">
        <v>34.8</v>
      </c>
      <c r="G16" s="137" t="s">
        <v>474</v>
      </c>
      <c r="H16" s="137" t="s">
        <v>475</v>
      </c>
      <c r="I16" s="137">
        <v>2.2</v>
      </c>
      <c r="J16" s="137">
        <v>27.1</v>
      </c>
      <c r="K16" s="137">
        <v>3.4</v>
      </c>
      <c r="L16" s="137">
        <v>10.0</v>
      </c>
      <c r="M16" s="137">
        <v>1.1</v>
      </c>
      <c r="N16" s="137">
        <v>0.1</v>
      </c>
      <c r="O16" s="137">
        <v>4.1</v>
      </c>
      <c r="P16" s="137">
        <v>7.56</v>
      </c>
    </row>
    <row r="17">
      <c r="A17" s="137">
        <v>16.0</v>
      </c>
      <c r="B17" s="138" t="s">
        <v>16</v>
      </c>
      <c r="C17" s="137" t="s">
        <v>456</v>
      </c>
      <c r="D17" s="137" t="s">
        <v>476</v>
      </c>
      <c r="E17" s="137">
        <v>72.0</v>
      </c>
      <c r="F17" s="137">
        <v>34.6</v>
      </c>
      <c r="G17" s="137" t="s">
        <v>477</v>
      </c>
      <c r="H17" s="137" t="s">
        <v>478</v>
      </c>
      <c r="I17" s="137">
        <v>0.5</v>
      </c>
      <c r="J17" s="137">
        <v>19.5</v>
      </c>
      <c r="K17" s="137">
        <v>12.4</v>
      </c>
      <c r="L17" s="137">
        <v>7.3</v>
      </c>
      <c r="M17" s="137">
        <v>0.9</v>
      </c>
      <c r="N17" s="137">
        <v>0.5</v>
      </c>
      <c r="O17" s="137">
        <v>3.0</v>
      </c>
      <c r="P17" s="137">
        <v>7.44</v>
      </c>
    </row>
    <row r="18">
      <c r="A18" s="137">
        <v>17.0</v>
      </c>
      <c r="B18" s="138" t="s">
        <v>479</v>
      </c>
      <c r="C18" s="137" t="s">
        <v>456</v>
      </c>
      <c r="D18" s="137" t="s">
        <v>480</v>
      </c>
      <c r="E18" s="137">
        <v>69.0</v>
      </c>
      <c r="F18" s="137">
        <v>29.2</v>
      </c>
      <c r="G18" s="137" t="s">
        <v>481</v>
      </c>
      <c r="H18" s="137" t="s">
        <v>482</v>
      </c>
      <c r="I18" s="137">
        <v>1.7</v>
      </c>
      <c r="J18" s="137">
        <v>19.6</v>
      </c>
      <c r="K18" s="137">
        <v>7.1</v>
      </c>
      <c r="L18" s="137">
        <v>1.2</v>
      </c>
      <c r="M18" s="137">
        <v>1.0</v>
      </c>
      <c r="N18" s="137">
        <v>2.6</v>
      </c>
      <c r="O18" s="137">
        <v>2.0</v>
      </c>
      <c r="P18" s="137">
        <v>7.42</v>
      </c>
    </row>
    <row r="19">
      <c r="A19" s="137">
        <v>18.0</v>
      </c>
      <c r="B19" s="138" t="s">
        <v>483</v>
      </c>
      <c r="C19" s="137" t="s">
        <v>424</v>
      </c>
      <c r="D19" s="137" t="s">
        <v>420</v>
      </c>
      <c r="E19" s="137">
        <v>60.0</v>
      </c>
      <c r="F19" s="137">
        <v>35.5</v>
      </c>
      <c r="G19" s="137" t="s">
        <v>484</v>
      </c>
      <c r="H19" s="137" t="s">
        <v>485</v>
      </c>
      <c r="I19" s="137">
        <v>2.4</v>
      </c>
      <c r="J19" s="137">
        <v>20.0</v>
      </c>
      <c r="K19" s="137">
        <v>5.6</v>
      </c>
      <c r="L19" s="137">
        <v>10.1</v>
      </c>
      <c r="M19" s="137">
        <v>1.1</v>
      </c>
      <c r="N19" s="137">
        <v>0.5</v>
      </c>
      <c r="O19" s="137">
        <v>3.8</v>
      </c>
      <c r="P19" s="137">
        <v>7.4</v>
      </c>
    </row>
    <row r="20">
      <c r="A20" s="137">
        <v>19.0</v>
      </c>
      <c r="B20" s="138" t="s">
        <v>486</v>
      </c>
      <c r="C20" s="137" t="s">
        <v>432</v>
      </c>
      <c r="D20" s="137" t="s">
        <v>487</v>
      </c>
      <c r="E20" s="137">
        <v>65.0</v>
      </c>
      <c r="F20" s="137">
        <v>33.3</v>
      </c>
      <c r="G20" s="137" t="s">
        <v>488</v>
      </c>
      <c r="H20" s="137" t="s">
        <v>489</v>
      </c>
      <c r="I20" s="137">
        <v>0.5</v>
      </c>
      <c r="J20" s="137">
        <v>21.3</v>
      </c>
      <c r="K20" s="137">
        <v>5.7</v>
      </c>
      <c r="L20" s="137">
        <v>5.0</v>
      </c>
      <c r="M20" s="137">
        <v>1.6</v>
      </c>
      <c r="N20" s="137">
        <v>0.4</v>
      </c>
      <c r="O20" s="137">
        <v>1.8</v>
      </c>
      <c r="P20" s="137">
        <v>7.23</v>
      </c>
    </row>
    <row r="21">
      <c r="A21" s="137">
        <v>20.0</v>
      </c>
      <c r="B21" s="138" t="s">
        <v>490</v>
      </c>
      <c r="C21" s="137" t="s">
        <v>469</v>
      </c>
      <c r="D21" s="137" t="s">
        <v>491</v>
      </c>
      <c r="E21" s="137">
        <v>56.0</v>
      </c>
      <c r="F21" s="137">
        <v>33.4</v>
      </c>
      <c r="G21" s="137" t="s">
        <v>492</v>
      </c>
      <c r="H21" s="137" t="s">
        <v>493</v>
      </c>
      <c r="I21" s="137">
        <v>1.9</v>
      </c>
      <c r="J21" s="137">
        <v>23.2</v>
      </c>
      <c r="K21" s="137">
        <v>6.2</v>
      </c>
      <c r="L21" s="137">
        <v>3.7</v>
      </c>
      <c r="M21" s="137">
        <v>1.3</v>
      </c>
      <c r="N21" s="137">
        <v>0.5</v>
      </c>
      <c r="O21" s="137">
        <v>1.7</v>
      </c>
      <c r="P21" s="137">
        <v>7.21</v>
      </c>
    </row>
    <row r="22">
      <c r="A22" s="137">
        <v>21.0</v>
      </c>
      <c r="B22" s="138" t="s">
        <v>494</v>
      </c>
      <c r="C22" s="137" t="s">
        <v>456</v>
      </c>
      <c r="D22" s="137" t="s">
        <v>449</v>
      </c>
      <c r="E22" s="137">
        <v>65.0</v>
      </c>
      <c r="F22" s="137">
        <v>32.0</v>
      </c>
      <c r="G22" s="137" t="s">
        <v>495</v>
      </c>
      <c r="H22" s="137" t="s">
        <v>496</v>
      </c>
      <c r="I22" s="137">
        <v>0.9</v>
      </c>
      <c r="J22" s="137">
        <v>28.3</v>
      </c>
      <c r="K22" s="137">
        <v>11.6</v>
      </c>
      <c r="L22" s="137">
        <v>5.7</v>
      </c>
      <c r="M22" s="137">
        <v>1.1</v>
      </c>
      <c r="N22" s="137">
        <v>1.0</v>
      </c>
      <c r="O22" s="137">
        <v>3.6</v>
      </c>
      <c r="P22" s="137">
        <v>6.99</v>
      </c>
    </row>
    <row r="23">
      <c r="A23" s="137">
        <v>22.0</v>
      </c>
      <c r="B23" s="138" t="s">
        <v>21</v>
      </c>
      <c r="C23" s="137" t="s">
        <v>456</v>
      </c>
      <c r="D23" s="137" t="s">
        <v>398</v>
      </c>
      <c r="E23" s="137">
        <v>70.0</v>
      </c>
      <c r="F23" s="137">
        <v>32.9</v>
      </c>
      <c r="G23" s="137" t="s">
        <v>497</v>
      </c>
      <c r="H23" s="137" t="s">
        <v>498</v>
      </c>
      <c r="I23" s="137">
        <v>2.1</v>
      </c>
      <c r="J23" s="137">
        <v>21.4</v>
      </c>
      <c r="K23" s="137">
        <v>8.5</v>
      </c>
      <c r="L23" s="137">
        <v>4.6</v>
      </c>
      <c r="M23" s="137">
        <v>0.7</v>
      </c>
      <c r="N23" s="137">
        <v>0.7</v>
      </c>
      <c r="O23" s="137">
        <v>2.8</v>
      </c>
      <c r="P23" s="137">
        <v>6.66</v>
      </c>
    </row>
    <row r="24">
      <c r="A24" s="137">
        <v>23.0</v>
      </c>
      <c r="B24" s="138" t="s">
        <v>499</v>
      </c>
      <c r="C24" s="137" t="s">
        <v>469</v>
      </c>
      <c r="D24" s="137" t="s">
        <v>398</v>
      </c>
      <c r="E24" s="137">
        <v>76.0</v>
      </c>
      <c r="F24" s="137">
        <v>35.8</v>
      </c>
      <c r="G24" s="137" t="s">
        <v>500</v>
      </c>
      <c r="H24" s="137" t="s">
        <v>501</v>
      </c>
      <c r="I24" s="137">
        <v>3.0</v>
      </c>
      <c r="J24" s="137">
        <v>25.8</v>
      </c>
      <c r="K24" s="137">
        <v>5.7</v>
      </c>
      <c r="L24" s="137">
        <v>4.8</v>
      </c>
      <c r="M24" s="137">
        <v>1.6</v>
      </c>
      <c r="N24" s="137">
        <v>0.7</v>
      </c>
      <c r="O24" s="137">
        <v>3.2</v>
      </c>
      <c r="P24" s="137">
        <v>6.64</v>
      </c>
    </row>
    <row r="25">
      <c r="A25" s="137">
        <v>24.0</v>
      </c>
      <c r="B25" s="138" t="s">
        <v>502</v>
      </c>
      <c r="C25" s="137" t="s">
        <v>469</v>
      </c>
      <c r="D25" s="137" t="s">
        <v>503</v>
      </c>
      <c r="E25" s="137">
        <v>80.0</v>
      </c>
      <c r="F25" s="137">
        <v>35.6</v>
      </c>
      <c r="G25" s="137" t="s">
        <v>504</v>
      </c>
      <c r="H25" s="137" t="s">
        <v>505</v>
      </c>
      <c r="I25" s="137">
        <v>2.4</v>
      </c>
      <c r="J25" s="137">
        <v>25.4</v>
      </c>
      <c r="K25" s="137">
        <v>4.6</v>
      </c>
      <c r="L25" s="137">
        <v>3.4</v>
      </c>
      <c r="M25" s="137">
        <v>1.1</v>
      </c>
      <c r="N25" s="137">
        <v>0.6</v>
      </c>
      <c r="O25" s="137">
        <v>1.8</v>
      </c>
      <c r="P25" s="137">
        <v>6.59</v>
      </c>
    </row>
    <row r="26">
      <c r="A26" s="137">
        <v>25.0</v>
      </c>
      <c r="B26" s="138" t="s">
        <v>506</v>
      </c>
      <c r="C26" s="137" t="s">
        <v>432</v>
      </c>
      <c r="D26" s="137" t="s">
        <v>507</v>
      </c>
      <c r="E26" s="137">
        <v>66.0</v>
      </c>
      <c r="F26" s="137">
        <v>33.4</v>
      </c>
      <c r="G26" s="137" t="s">
        <v>508</v>
      </c>
      <c r="H26" s="137" t="s">
        <v>509</v>
      </c>
      <c r="I26" s="137">
        <v>2.9</v>
      </c>
      <c r="J26" s="137">
        <v>23.9</v>
      </c>
      <c r="K26" s="137">
        <v>8.0</v>
      </c>
      <c r="L26" s="137">
        <v>1.9</v>
      </c>
      <c r="M26" s="137">
        <v>0.7</v>
      </c>
      <c r="N26" s="137">
        <v>0.6</v>
      </c>
      <c r="O26" s="137">
        <v>1.9</v>
      </c>
      <c r="P26" s="137">
        <v>6.52</v>
      </c>
    </row>
    <row r="27">
      <c r="A27" s="137">
        <v>26.0</v>
      </c>
      <c r="B27" s="138" t="s">
        <v>510</v>
      </c>
      <c r="C27" s="137" t="s">
        <v>469</v>
      </c>
      <c r="D27" s="137" t="s">
        <v>480</v>
      </c>
      <c r="E27" s="137">
        <v>70.0</v>
      </c>
      <c r="F27" s="137">
        <v>32.1</v>
      </c>
      <c r="G27" s="137" t="s">
        <v>511</v>
      </c>
      <c r="H27" s="137" t="s">
        <v>512</v>
      </c>
      <c r="I27" s="137">
        <v>3.4</v>
      </c>
      <c r="J27" s="137">
        <v>22.6</v>
      </c>
      <c r="K27" s="137">
        <v>5.4</v>
      </c>
      <c r="L27" s="137">
        <v>4.0</v>
      </c>
      <c r="M27" s="137">
        <v>1.2</v>
      </c>
      <c r="N27" s="137">
        <v>0.4</v>
      </c>
      <c r="O27" s="137">
        <v>2.2</v>
      </c>
      <c r="P27" s="137">
        <v>6.5</v>
      </c>
    </row>
    <row r="28">
      <c r="A28" s="137">
        <v>27.0</v>
      </c>
      <c r="B28" s="138" t="s">
        <v>513</v>
      </c>
      <c r="C28" s="137" t="s">
        <v>514</v>
      </c>
      <c r="D28" s="137" t="s">
        <v>491</v>
      </c>
      <c r="E28" s="137">
        <v>60.0</v>
      </c>
      <c r="F28" s="137">
        <v>34.6</v>
      </c>
      <c r="G28" s="137" t="s">
        <v>515</v>
      </c>
      <c r="H28" s="137" t="s">
        <v>516</v>
      </c>
      <c r="I28" s="137">
        <v>2.8</v>
      </c>
      <c r="J28" s="137">
        <v>23.0</v>
      </c>
      <c r="K28" s="137">
        <v>6.1</v>
      </c>
      <c r="L28" s="137">
        <v>5.0</v>
      </c>
      <c r="M28" s="137">
        <v>1.5</v>
      </c>
      <c r="N28" s="137">
        <v>0.4</v>
      </c>
      <c r="O28" s="137">
        <v>3.3</v>
      </c>
      <c r="P28" s="137">
        <v>6.35</v>
      </c>
    </row>
    <row r="29">
      <c r="A29" s="137">
        <v>28.0</v>
      </c>
      <c r="B29" s="138" t="s">
        <v>517</v>
      </c>
      <c r="C29" s="137" t="s">
        <v>47</v>
      </c>
      <c r="D29" s="137" t="s">
        <v>487</v>
      </c>
      <c r="E29" s="137">
        <v>72.0</v>
      </c>
      <c r="F29" s="137">
        <v>34.1</v>
      </c>
      <c r="G29" s="137" t="s">
        <v>518</v>
      </c>
      <c r="H29" s="137" t="s">
        <v>519</v>
      </c>
      <c r="I29" s="137">
        <v>0.0</v>
      </c>
      <c r="J29" s="137">
        <v>20.2</v>
      </c>
      <c r="K29" s="137">
        <v>9.8</v>
      </c>
      <c r="L29" s="137">
        <v>3.5</v>
      </c>
      <c r="M29" s="137">
        <v>1.3</v>
      </c>
      <c r="N29" s="137">
        <v>0.8</v>
      </c>
      <c r="O29" s="137">
        <v>2.6</v>
      </c>
      <c r="P29" s="137">
        <v>6.02</v>
      </c>
    </row>
    <row r="30">
      <c r="A30" s="137">
        <v>29.0</v>
      </c>
      <c r="B30" s="138" t="s">
        <v>520</v>
      </c>
      <c r="C30" s="137" t="s">
        <v>432</v>
      </c>
      <c r="D30" s="137" t="s">
        <v>457</v>
      </c>
      <c r="E30" s="137">
        <v>56.0</v>
      </c>
      <c r="F30" s="137">
        <v>34.0</v>
      </c>
      <c r="G30" s="137" t="s">
        <v>521</v>
      </c>
      <c r="H30" s="137" t="s">
        <v>522</v>
      </c>
      <c r="I30" s="137">
        <v>2.3</v>
      </c>
      <c r="J30" s="137">
        <v>26.7</v>
      </c>
      <c r="K30" s="137">
        <v>7.6</v>
      </c>
      <c r="L30" s="137">
        <v>6.0</v>
      </c>
      <c r="M30" s="137">
        <v>0.8</v>
      </c>
      <c r="N30" s="137">
        <v>0.5</v>
      </c>
      <c r="O30" s="137">
        <v>3.1</v>
      </c>
      <c r="P30" s="137">
        <v>5.99</v>
      </c>
    </row>
    <row r="31">
      <c r="A31" s="137">
        <v>30.0</v>
      </c>
      <c r="B31" s="138" t="s">
        <v>523</v>
      </c>
      <c r="C31" s="137" t="s">
        <v>456</v>
      </c>
      <c r="D31" s="137" t="s">
        <v>433</v>
      </c>
      <c r="E31" s="137">
        <v>60.0</v>
      </c>
      <c r="F31" s="137">
        <v>31.1</v>
      </c>
      <c r="G31" s="137" t="s">
        <v>524</v>
      </c>
      <c r="H31" s="137" t="s">
        <v>525</v>
      </c>
      <c r="I31" s="137">
        <v>1.8</v>
      </c>
      <c r="J31" s="137">
        <v>18.7</v>
      </c>
      <c r="K31" s="137">
        <v>7.9</v>
      </c>
      <c r="L31" s="137">
        <v>2.1</v>
      </c>
      <c r="M31" s="137">
        <v>0.8</v>
      </c>
      <c r="N31" s="137">
        <v>1.5</v>
      </c>
      <c r="O31" s="137">
        <v>1.8</v>
      </c>
      <c r="P31" s="137">
        <v>5.85</v>
      </c>
    </row>
    <row r="32">
      <c r="A32" s="137">
        <v>31.0</v>
      </c>
      <c r="B32" s="138" t="s">
        <v>526</v>
      </c>
      <c r="C32" s="137" t="s">
        <v>47</v>
      </c>
      <c r="D32" s="137" t="s">
        <v>429</v>
      </c>
      <c r="E32" s="137">
        <v>64.0</v>
      </c>
      <c r="F32" s="137">
        <v>29.5</v>
      </c>
      <c r="G32" s="137" t="s">
        <v>527</v>
      </c>
      <c r="H32" s="137" t="s">
        <v>528</v>
      </c>
      <c r="I32" s="137">
        <v>1.5</v>
      </c>
      <c r="J32" s="137">
        <v>16.1</v>
      </c>
      <c r="K32" s="137">
        <v>7.4</v>
      </c>
      <c r="L32" s="137">
        <v>1.3</v>
      </c>
      <c r="M32" s="137">
        <v>0.6</v>
      </c>
      <c r="N32" s="137">
        <v>2.3</v>
      </c>
      <c r="O32" s="137">
        <v>1.5</v>
      </c>
      <c r="P32" s="137">
        <v>5.84</v>
      </c>
    </row>
    <row r="33">
      <c r="A33" s="137">
        <v>32.0</v>
      </c>
      <c r="B33" s="138" t="s">
        <v>529</v>
      </c>
      <c r="C33" s="137" t="s">
        <v>43</v>
      </c>
      <c r="D33" s="137" t="s">
        <v>465</v>
      </c>
      <c r="E33" s="137">
        <v>69.0</v>
      </c>
      <c r="F33" s="137">
        <v>35.6</v>
      </c>
      <c r="G33" s="137" t="s">
        <v>530</v>
      </c>
      <c r="H33" s="137" t="s">
        <v>531</v>
      </c>
      <c r="I33" s="137">
        <v>2.5</v>
      </c>
      <c r="J33" s="137">
        <v>21.8</v>
      </c>
      <c r="K33" s="137">
        <v>3.0</v>
      </c>
      <c r="L33" s="137">
        <v>7.8</v>
      </c>
      <c r="M33" s="137">
        <v>1.2</v>
      </c>
      <c r="N33" s="137">
        <v>0.1</v>
      </c>
      <c r="O33" s="137">
        <v>3.0</v>
      </c>
      <c r="P33" s="137">
        <v>5.52</v>
      </c>
    </row>
    <row r="34">
      <c r="A34" s="137">
        <v>33.0</v>
      </c>
      <c r="B34" s="138" t="s">
        <v>532</v>
      </c>
      <c r="C34" s="137" t="s">
        <v>44</v>
      </c>
      <c r="D34" s="137" t="s">
        <v>533</v>
      </c>
      <c r="E34" s="137">
        <v>74.0</v>
      </c>
      <c r="F34" s="137">
        <v>35.8</v>
      </c>
      <c r="G34" s="137" t="s">
        <v>534</v>
      </c>
      <c r="H34" s="137" t="s">
        <v>535</v>
      </c>
      <c r="I34" s="137">
        <v>0.6</v>
      </c>
      <c r="J34" s="137">
        <v>24.7</v>
      </c>
      <c r="K34" s="137">
        <v>4.6</v>
      </c>
      <c r="L34" s="137">
        <v>4.9</v>
      </c>
      <c r="M34" s="137">
        <v>1.0</v>
      </c>
      <c r="N34" s="137">
        <v>0.4</v>
      </c>
      <c r="O34" s="137">
        <v>2.1</v>
      </c>
      <c r="P34" s="137">
        <v>5.51</v>
      </c>
    </row>
    <row r="35">
      <c r="A35" s="137">
        <v>34.0</v>
      </c>
      <c r="B35" s="138" t="s">
        <v>536</v>
      </c>
      <c r="C35" s="137" t="s">
        <v>43</v>
      </c>
      <c r="D35" s="137" t="s">
        <v>537</v>
      </c>
      <c r="E35" s="137">
        <v>67.0</v>
      </c>
      <c r="F35" s="137">
        <v>34.2</v>
      </c>
      <c r="G35" s="137" t="s">
        <v>538</v>
      </c>
      <c r="H35" s="137" t="s">
        <v>539</v>
      </c>
      <c r="I35" s="137">
        <v>3.1</v>
      </c>
      <c r="J35" s="137">
        <v>18.4</v>
      </c>
      <c r="K35" s="137">
        <v>3.9</v>
      </c>
      <c r="L35" s="137">
        <v>6.4</v>
      </c>
      <c r="M35" s="137">
        <v>1.6</v>
      </c>
      <c r="N35" s="137">
        <v>0.5</v>
      </c>
      <c r="O35" s="137">
        <v>2.1</v>
      </c>
      <c r="P35" s="137">
        <v>5.46</v>
      </c>
    </row>
    <row r="36">
      <c r="A36" s="137">
        <v>35.0</v>
      </c>
      <c r="B36" s="138" t="s">
        <v>540</v>
      </c>
      <c r="C36" s="137" t="s">
        <v>424</v>
      </c>
      <c r="D36" s="137" t="s">
        <v>473</v>
      </c>
      <c r="E36" s="137">
        <v>74.0</v>
      </c>
      <c r="F36" s="137">
        <v>35.8</v>
      </c>
      <c r="G36" s="137" t="s">
        <v>541</v>
      </c>
      <c r="H36" s="137" t="s">
        <v>542</v>
      </c>
      <c r="I36" s="137">
        <v>1.6</v>
      </c>
      <c r="J36" s="137">
        <v>20.7</v>
      </c>
      <c r="K36" s="137">
        <v>6.5</v>
      </c>
      <c r="L36" s="137">
        <v>6.4</v>
      </c>
      <c r="M36" s="137">
        <v>1.6</v>
      </c>
      <c r="N36" s="137">
        <v>0.3</v>
      </c>
      <c r="O36" s="137">
        <v>2.2</v>
      </c>
      <c r="P36" s="137">
        <v>5.41</v>
      </c>
    </row>
    <row r="37">
      <c r="A37" s="137">
        <v>36.0</v>
      </c>
      <c r="B37" s="138" t="s">
        <v>543</v>
      </c>
      <c r="C37" s="137" t="s">
        <v>469</v>
      </c>
      <c r="D37" s="137" t="s">
        <v>433</v>
      </c>
      <c r="E37" s="137">
        <v>69.0</v>
      </c>
      <c r="F37" s="137">
        <v>35.6</v>
      </c>
      <c r="G37" s="137" t="s">
        <v>544</v>
      </c>
      <c r="H37" s="137" t="s">
        <v>545</v>
      </c>
      <c r="I37" s="137">
        <v>2.6</v>
      </c>
      <c r="J37" s="137">
        <v>26.4</v>
      </c>
      <c r="K37" s="137">
        <v>6.7</v>
      </c>
      <c r="L37" s="137">
        <v>3.6</v>
      </c>
      <c r="M37" s="137">
        <v>1.1</v>
      </c>
      <c r="N37" s="137">
        <v>0.3</v>
      </c>
      <c r="O37" s="137">
        <v>2.9</v>
      </c>
      <c r="P37" s="137">
        <v>5.02</v>
      </c>
    </row>
    <row r="38">
      <c r="A38" s="137">
        <v>37.0</v>
      </c>
      <c r="B38" s="138" t="s">
        <v>546</v>
      </c>
      <c r="C38" s="137" t="s">
        <v>43</v>
      </c>
      <c r="D38" s="137" t="s">
        <v>547</v>
      </c>
      <c r="E38" s="137">
        <v>72.0</v>
      </c>
      <c r="F38" s="137">
        <v>34.9</v>
      </c>
      <c r="G38" s="137" t="s">
        <v>548</v>
      </c>
      <c r="H38" s="137" t="s">
        <v>549</v>
      </c>
      <c r="I38" s="137">
        <v>2.0</v>
      </c>
      <c r="J38" s="137">
        <v>24.2</v>
      </c>
      <c r="K38" s="137">
        <v>3.7</v>
      </c>
      <c r="L38" s="137">
        <v>6.5</v>
      </c>
      <c r="M38" s="137">
        <v>1.0</v>
      </c>
      <c r="N38" s="137">
        <v>0.2</v>
      </c>
      <c r="O38" s="137">
        <v>2.2</v>
      </c>
      <c r="P38" s="137">
        <v>4.81</v>
      </c>
    </row>
    <row r="39">
      <c r="A39" s="137">
        <v>38.0</v>
      </c>
      <c r="B39" s="138" t="s">
        <v>550</v>
      </c>
      <c r="C39" s="137" t="s">
        <v>469</v>
      </c>
      <c r="D39" s="137" t="s">
        <v>533</v>
      </c>
      <c r="E39" s="137">
        <v>74.0</v>
      </c>
      <c r="F39" s="137">
        <v>35.6</v>
      </c>
      <c r="G39" s="137" t="s">
        <v>551</v>
      </c>
      <c r="H39" s="137" t="s">
        <v>552</v>
      </c>
      <c r="I39" s="137">
        <v>2.6</v>
      </c>
      <c r="J39" s="137">
        <v>24.9</v>
      </c>
      <c r="K39" s="137">
        <v>4.4</v>
      </c>
      <c r="L39" s="137">
        <v>4.3</v>
      </c>
      <c r="M39" s="137">
        <v>0.8</v>
      </c>
      <c r="N39" s="137">
        <v>0.3</v>
      </c>
      <c r="O39" s="137">
        <v>2.6</v>
      </c>
      <c r="P39" s="137">
        <v>4.71</v>
      </c>
    </row>
    <row r="40">
      <c r="A40" s="137">
        <v>39.0</v>
      </c>
      <c r="B40" s="138" t="s">
        <v>553</v>
      </c>
      <c r="C40" s="137" t="s">
        <v>424</v>
      </c>
      <c r="D40" s="137" t="s">
        <v>554</v>
      </c>
      <c r="E40" s="137">
        <v>65.0</v>
      </c>
      <c r="F40" s="137">
        <v>33.8</v>
      </c>
      <c r="G40" s="137" t="s">
        <v>555</v>
      </c>
      <c r="H40" s="137" t="s">
        <v>556</v>
      </c>
      <c r="I40" s="137">
        <v>1.8</v>
      </c>
      <c r="J40" s="137">
        <v>20.9</v>
      </c>
      <c r="K40" s="137">
        <v>6.4</v>
      </c>
      <c r="L40" s="137">
        <v>6.6</v>
      </c>
      <c r="M40" s="137">
        <v>1.3</v>
      </c>
      <c r="N40" s="137">
        <v>0.7</v>
      </c>
      <c r="O40" s="137">
        <v>3.3</v>
      </c>
      <c r="P40" s="137">
        <v>4.44</v>
      </c>
    </row>
    <row r="41">
      <c r="A41" s="137">
        <v>40.0</v>
      </c>
      <c r="B41" s="138" t="s">
        <v>557</v>
      </c>
      <c r="C41" s="137" t="s">
        <v>43</v>
      </c>
      <c r="D41" s="137" t="s">
        <v>476</v>
      </c>
      <c r="E41" s="137">
        <v>70.0</v>
      </c>
      <c r="F41" s="137">
        <v>33.5</v>
      </c>
      <c r="G41" s="137" t="s">
        <v>558</v>
      </c>
      <c r="H41" s="137" t="s">
        <v>559</v>
      </c>
      <c r="I41" s="137">
        <v>1.6</v>
      </c>
      <c r="J41" s="137">
        <v>25.1</v>
      </c>
      <c r="K41" s="137">
        <v>4.2</v>
      </c>
      <c r="L41" s="137">
        <v>6.1</v>
      </c>
      <c r="M41" s="137">
        <v>1.2</v>
      </c>
      <c r="N41" s="137">
        <v>0.4</v>
      </c>
      <c r="O41" s="137">
        <v>2.7</v>
      </c>
      <c r="P41" s="137">
        <v>4.42</v>
      </c>
    </row>
    <row r="42">
      <c r="A42" s="137">
        <v>41.0</v>
      </c>
      <c r="B42" s="138" t="s">
        <v>560</v>
      </c>
      <c r="C42" s="137" t="s">
        <v>424</v>
      </c>
      <c r="D42" s="137" t="s">
        <v>416</v>
      </c>
      <c r="E42" s="137">
        <v>70.0</v>
      </c>
      <c r="F42" s="137">
        <v>33.3</v>
      </c>
      <c r="G42" s="137" t="s">
        <v>561</v>
      </c>
      <c r="H42" s="137" t="s">
        <v>562</v>
      </c>
      <c r="I42" s="137">
        <v>2.7</v>
      </c>
      <c r="J42" s="137">
        <v>21.0</v>
      </c>
      <c r="K42" s="137">
        <v>4.1</v>
      </c>
      <c r="L42" s="137">
        <v>6.3</v>
      </c>
      <c r="M42" s="137">
        <v>1.0</v>
      </c>
      <c r="N42" s="137">
        <v>0.3</v>
      </c>
      <c r="O42" s="137">
        <v>2.3</v>
      </c>
      <c r="P42" s="137">
        <v>4.39</v>
      </c>
    </row>
    <row r="43">
      <c r="A43" s="137">
        <v>42.0</v>
      </c>
      <c r="B43" s="138" t="s">
        <v>563</v>
      </c>
      <c r="C43" s="137" t="s">
        <v>456</v>
      </c>
      <c r="D43" s="137" t="s">
        <v>465</v>
      </c>
      <c r="E43" s="137">
        <v>76.0</v>
      </c>
      <c r="F43" s="137">
        <v>34.6</v>
      </c>
      <c r="G43" s="137" t="s">
        <v>564</v>
      </c>
      <c r="H43" s="137" t="s">
        <v>565</v>
      </c>
      <c r="I43" s="137">
        <v>0.3</v>
      </c>
      <c r="J43" s="137">
        <v>17.2</v>
      </c>
      <c r="K43" s="137">
        <v>9.3</v>
      </c>
      <c r="L43" s="137">
        <v>2.9</v>
      </c>
      <c r="M43" s="137">
        <v>0.9</v>
      </c>
      <c r="N43" s="137">
        <v>1.7</v>
      </c>
      <c r="O43" s="137">
        <v>1.9</v>
      </c>
      <c r="P43" s="137">
        <v>4.38</v>
      </c>
    </row>
    <row r="44">
      <c r="A44" s="137">
        <v>43.0</v>
      </c>
      <c r="B44" s="138" t="s">
        <v>566</v>
      </c>
      <c r="C44" s="137" t="s">
        <v>456</v>
      </c>
      <c r="D44" s="137" t="s">
        <v>567</v>
      </c>
      <c r="E44" s="137">
        <v>65.0</v>
      </c>
      <c r="F44" s="137">
        <v>30.0</v>
      </c>
      <c r="G44" s="137" t="s">
        <v>568</v>
      </c>
      <c r="H44" s="137" t="s">
        <v>569</v>
      </c>
      <c r="I44" s="137">
        <v>1.0</v>
      </c>
      <c r="J44" s="137">
        <v>17.3</v>
      </c>
      <c r="K44" s="137">
        <v>8.2</v>
      </c>
      <c r="L44" s="137">
        <v>1.8</v>
      </c>
      <c r="M44" s="137">
        <v>0.7</v>
      </c>
      <c r="N44" s="137">
        <v>2.3</v>
      </c>
      <c r="O44" s="137">
        <v>1.8</v>
      </c>
      <c r="P44" s="137">
        <v>4.37</v>
      </c>
    </row>
    <row r="45">
      <c r="A45" s="137">
        <v>44.0</v>
      </c>
      <c r="B45" s="138" t="s">
        <v>570</v>
      </c>
      <c r="C45" s="137" t="s">
        <v>47</v>
      </c>
      <c r="D45" s="137" t="s">
        <v>507</v>
      </c>
      <c r="E45" s="137">
        <v>74.0</v>
      </c>
      <c r="F45" s="137">
        <v>28.8</v>
      </c>
      <c r="G45" s="137" t="s">
        <v>571</v>
      </c>
      <c r="H45" s="137" t="s">
        <v>572</v>
      </c>
      <c r="I45" s="137">
        <v>0.0</v>
      </c>
      <c r="J45" s="137">
        <v>11.2</v>
      </c>
      <c r="K45" s="137">
        <v>10.3</v>
      </c>
      <c r="L45" s="137">
        <v>1.1</v>
      </c>
      <c r="M45" s="137">
        <v>0.4</v>
      </c>
      <c r="N45" s="137">
        <v>2.7</v>
      </c>
      <c r="O45" s="137">
        <v>1.0</v>
      </c>
      <c r="P45" s="137">
        <v>4.31</v>
      </c>
    </row>
    <row r="46">
      <c r="A46" s="137">
        <v>45.0</v>
      </c>
      <c r="B46" s="138" t="s">
        <v>573</v>
      </c>
      <c r="C46" s="137" t="s">
        <v>424</v>
      </c>
      <c r="D46" s="137" t="s">
        <v>420</v>
      </c>
      <c r="E46" s="137">
        <v>70.0</v>
      </c>
      <c r="F46" s="137">
        <v>34.2</v>
      </c>
      <c r="G46" s="137" t="s">
        <v>574</v>
      </c>
      <c r="H46" s="137" t="s">
        <v>575</v>
      </c>
      <c r="I46" s="137">
        <v>2.9</v>
      </c>
      <c r="J46" s="137">
        <v>21.5</v>
      </c>
      <c r="K46" s="137">
        <v>3.3</v>
      </c>
      <c r="L46" s="137">
        <v>4.4</v>
      </c>
      <c r="M46" s="137">
        <v>0.8</v>
      </c>
      <c r="N46" s="137">
        <v>0.3</v>
      </c>
      <c r="O46" s="137">
        <v>1.3</v>
      </c>
      <c r="P46" s="137">
        <v>4.31</v>
      </c>
    </row>
    <row r="47">
      <c r="A47" s="137">
        <v>46.0</v>
      </c>
      <c r="B47" s="138" t="s">
        <v>576</v>
      </c>
      <c r="C47" s="137" t="s">
        <v>47</v>
      </c>
      <c r="D47" s="137" t="s">
        <v>533</v>
      </c>
      <c r="E47" s="137">
        <v>74.0</v>
      </c>
      <c r="F47" s="137">
        <v>33.0</v>
      </c>
      <c r="G47" s="137" t="s">
        <v>577</v>
      </c>
      <c r="H47" s="137" t="s">
        <v>578</v>
      </c>
      <c r="I47" s="137">
        <v>1.5</v>
      </c>
      <c r="J47" s="137">
        <v>17.4</v>
      </c>
      <c r="K47" s="137">
        <v>11.0</v>
      </c>
      <c r="L47" s="137">
        <v>3.2</v>
      </c>
      <c r="M47" s="137">
        <v>0.7</v>
      </c>
      <c r="N47" s="137">
        <v>0.7</v>
      </c>
      <c r="O47" s="137">
        <v>1.8</v>
      </c>
      <c r="P47" s="137">
        <v>4.21</v>
      </c>
    </row>
    <row r="48">
      <c r="A48" s="137">
        <v>47.0</v>
      </c>
      <c r="B48" s="138" t="s">
        <v>579</v>
      </c>
      <c r="C48" s="137" t="s">
        <v>47</v>
      </c>
      <c r="D48" s="137" t="s">
        <v>503</v>
      </c>
      <c r="E48" s="137">
        <v>75.0</v>
      </c>
      <c r="F48" s="137">
        <v>31.0</v>
      </c>
      <c r="G48" s="137" t="s">
        <v>580</v>
      </c>
      <c r="H48" s="137" t="s">
        <v>581</v>
      </c>
      <c r="I48" s="137">
        <v>0.0</v>
      </c>
      <c r="J48" s="137">
        <v>12.0</v>
      </c>
      <c r="K48" s="137">
        <v>9.1</v>
      </c>
      <c r="L48" s="137">
        <v>1.8</v>
      </c>
      <c r="M48" s="137">
        <v>0.8</v>
      </c>
      <c r="N48" s="137">
        <v>2.4</v>
      </c>
      <c r="O48" s="137">
        <v>1.3</v>
      </c>
      <c r="P48" s="137">
        <v>4.17</v>
      </c>
    </row>
    <row r="49">
      <c r="A49" s="137">
        <v>48.0</v>
      </c>
      <c r="B49" s="138" t="s">
        <v>582</v>
      </c>
      <c r="C49" s="137" t="s">
        <v>47</v>
      </c>
      <c r="D49" s="137" t="s">
        <v>583</v>
      </c>
      <c r="E49" s="137">
        <v>69.0</v>
      </c>
      <c r="F49" s="137">
        <v>31.6</v>
      </c>
      <c r="G49" s="137" t="s">
        <v>584</v>
      </c>
      <c r="H49" s="137" t="s">
        <v>585</v>
      </c>
      <c r="I49" s="137">
        <v>0.1</v>
      </c>
      <c r="J49" s="137">
        <v>18.9</v>
      </c>
      <c r="K49" s="137">
        <v>10.1</v>
      </c>
      <c r="L49" s="137">
        <v>1.7</v>
      </c>
      <c r="M49" s="137">
        <v>0.7</v>
      </c>
      <c r="N49" s="137">
        <v>0.8</v>
      </c>
      <c r="O49" s="137">
        <v>1.8</v>
      </c>
      <c r="P49" s="137">
        <v>4.04</v>
      </c>
    </row>
    <row r="50">
      <c r="A50" s="137">
        <v>49.0</v>
      </c>
      <c r="B50" s="138" t="s">
        <v>586</v>
      </c>
      <c r="C50" s="137" t="s">
        <v>456</v>
      </c>
      <c r="D50" s="137" t="s">
        <v>587</v>
      </c>
      <c r="E50" s="137">
        <v>70.0</v>
      </c>
      <c r="F50" s="137">
        <v>35.4</v>
      </c>
      <c r="G50" s="137" t="s">
        <v>588</v>
      </c>
      <c r="H50" s="137" t="s">
        <v>589</v>
      </c>
      <c r="I50" s="137">
        <v>1.2</v>
      </c>
      <c r="J50" s="137">
        <v>22.1</v>
      </c>
      <c r="K50" s="137">
        <v>7.8</v>
      </c>
      <c r="L50" s="137">
        <v>5.7</v>
      </c>
      <c r="M50" s="137">
        <v>1.0</v>
      </c>
      <c r="N50" s="137">
        <v>0.5</v>
      </c>
      <c r="O50" s="137">
        <v>2.4</v>
      </c>
      <c r="P50" s="137">
        <v>3.99</v>
      </c>
    </row>
    <row r="51">
      <c r="A51" s="137">
        <v>50.0</v>
      </c>
      <c r="B51" s="138" t="s">
        <v>17</v>
      </c>
      <c r="C51" s="137" t="s">
        <v>424</v>
      </c>
      <c r="D51" s="137" t="s">
        <v>590</v>
      </c>
      <c r="E51" s="137">
        <v>78.0</v>
      </c>
      <c r="F51" s="137">
        <v>33.5</v>
      </c>
      <c r="G51" s="137" t="s">
        <v>591</v>
      </c>
      <c r="H51" s="137" t="s">
        <v>592</v>
      </c>
      <c r="I51" s="137">
        <v>3.0</v>
      </c>
      <c r="J51" s="137">
        <v>22.0</v>
      </c>
      <c r="K51" s="137">
        <v>3.5</v>
      </c>
      <c r="L51" s="137">
        <v>4.8</v>
      </c>
      <c r="M51" s="137">
        <v>0.9</v>
      </c>
      <c r="N51" s="137">
        <v>0.3</v>
      </c>
      <c r="O51" s="137">
        <v>3.1</v>
      </c>
      <c r="P51" s="137">
        <v>3.97</v>
      </c>
    </row>
    <row r="52">
      <c r="A52" s="137">
        <v>51.0</v>
      </c>
      <c r="B52" s="138" t="s">
        <v>593</v>
      </c>
      <c r="C52" s="137" t="s">
        <v>424</v>
      </c>
      <c r="D52" s="137" t="s">
        <v>433</v>
      </c>
      <c r="E52" s="137">
        <v>67.0</v>
      </c>
      <c r="F52" s="137">
        <v>32.4</v>
      </c>
      <c r="G52" s="137" t="s">
        <v>594</v>
      </c>
      <c r="H52" s="137" t="s">
        <v>595</v>
      </c>
      <c r="I52" s="137">
        <v>2.2</v>
      </c>
      <c r="J52" s="137">
        <v>16.3</v>
      </c>
      <c r="K52" s="137">
        <v>4.8</v>
      </c>
      <c r="L52" s="137">
        <v>5.1</v>
      </c>
      <c r="M52" s="137">
        <v>1.4</v>
      </c>
      <c r="N52" s="137">
        <v>0.4</v>
      </c>
      <c r="O52" s="137">
        <v>2.8</v>
      </c>
      <c r="P52" s="137">
        <v>3.81</v>
      </c>
    </row>
    <row r="53">
      <c r="A53" s="137">
        <v>52.0</v>
      </c>
      <c r="B53" s="138" t="s">
        <v>596</v>
      </c>
      <c r="C53" s="137" t="s">
        <v>47</v>
      </c>
      <c r="D53" s="137" t="s">
        <v>465</v>
      </c>
      <c r="E53" s="137">
        <v>68.0</v>
      </c>
      <c r="F53" s="137">
        <v>32.5</v>
      </c>
      <c r="G53" s="137" t="s">
        <v>597</v>
      </c>
      <c r="H53" s="137" t="s">
        <v>598</v>
      </c>
      <c r="I53" s="137">
        <v>0.0</v>
      </c>
      <c r="J53" s="137">
        <v>14.1</v>
      </c>
      <c r="K53" s="137">
        <v>9.7</v>
      </c>
      <c r="L53" s="137">
        <v>1.5</v>
      </c>
      <c r="M53" s="137">
        <v>0.7</v>
      </c>
      <c r="N53" s="137">
        <v>1.2</v>
      </c>
      <c r="O53" s="137">
        <v>1.4</v>
      </c>
      <c r="P53" s="137">
        <v>3.79</v>
      </c>
    </row>
    <row r="54">
      <c r="A54" s="137">
        <v>53.0</v>
      </c>
      <c r="B54" s="138" t="s">
        <v>599</v>
      </c>
      <c r="C54" s="137" t="s">
        <v>456</v>
      </c>
      <c r="D54" s="137" t="s">
        <v>425</v>
      </c>
      <c r="E54" s="137">
        <v>64.0</v>
      </c>
      <c r="F54" s="137">
        <v>29.7</v>
      </c>
      <c r="G54" s="137" t="s">
        <v>600</v>
      </c>
      <c r="H54" s="137" t="s">
        <v>601</v>
      </c>
      <c r="I54" s="137">
        <v>1.3</v>
      </c>
      <c r="J54" s="137">
        <v>14.3</v>
      </c>
      <c r="K54" s="137">
        <v>9.2</v>
      </c>
      <c r="L54" s="137">
        <v>1.6</v>
      </c>
      <c r="M54" s="137">
        <v>0.5</v>
      </c>
      <c r="N54" s="137">
        <v>2.0</v>
      </c>
      <c r="O54" s="137">
        <v>1.2</v>
      </c>
      <c r="P54" s="137">
        <v>3.76</v>
      </c>
    </row>
    <row r="55">
      <c r="A55" s="137">
        <v>54.0</v>
      </c>
      <c r="B55" s="138" t="s">
        <v>602</v>
      </c>
      <c r="C55" s="137" t="s">
        <v>514</v>
      </c>
      <c r="D55" s="137" t="s">
        <v>603</v>
      </c>
      <c r="E55" s="137">
        <v>60.0</v>
      </c>
      <c r="F55" s="137">
        <v>34.2</v>
      </c>
      <c r="G55" s="137" t="s">
        <v>604</v>
      </c>
      <c r="H55" s="137" t="s">
        <v>605</v>
      </c>
      <c r="I55" s="137">
        <v>1.3</v>
      </c>
      <c r="J55" s="137">
        <v>23.0</v>
      </c>
      <c r="K55" s="137">
        <v>5.5</v>
      </c>
      <c r="L55" s="137">
        <v>5.5</v>
      </c>
      <c r="M55" s="137">
        <v>0.7</v>
      </c>
      <c r="N55" s="137">
        <v>0.4</v>
      </c>
      <c r="O55" s="137">
        <v>2.9</v>
      </c>
      <c r="P55" s="137">
        <v>3.76</v>
      </c>
    </row>
    <row r="56">
      <c r="A56" s="137">
        <v>55.0</v>
      </c>
      <c r="B56" s="138" t="s">
        <v>606</v>
      </c>
      <c r="C56" s="137" t="s">
        <v>456</v>
      </c>
      <c r="D56" s="137" t="s">
        <v>603</v>
      </c>
      <c r="E56" s="137">
        <v>52.0</v>
      </c>
      <c r="F56" s="137">
        <v>33.1</v>
      </c>
      <c r="G56" s="137" t="s">
        <v>607</v>
      </c>
      <c r="H56" s="137" t="s">
        <v>608</v>
      </c>
      <c r="I56" s="137">
        <v>0.2</v>
      </c>
      <c r="J56" s="137">
        <v>25.3</v>
      </c>
      <c r="K56" s="137">
        <v>6.8</v>
      </c>
      <c r="L56" s="137">
        <v>4.5</v>
      </c>
      <c r="M56" s="137">
        <v>1.0</v>
      </c>
      <c r="N56" s="137">
        <v>0.5</v>
      </c>
      <c r="O56" s="137">
        <v>3.4</v>
      </c>
      <c r="P56" s="137">
        <v>3.68</v>
      </c>
    </row>
    <row r="57">
      <c r="A57" s="137">
        <v>56.0</v>
      </c>
      <c r="B57" s="138" t="s">
        <v>609</v>
      </c>
      <c r="C57" s="137" t="s">
        <v>43</v>
      </c>
      <c r="D57" s="137" t="s">
        <v>480</v>
      </c>
      <c r="E57" s="137">
        <v>48.0</v>
      </c>
      <c r="F57" s="137">
        <v>32.1</v>
      </c>
      <c r="G57" s="137" t="s">
        <v>610</v>
      </c>
      <c r="H57" s="137" t="s">
        <v>611</v>
      </c>
      <c r="I57" s="137">
        <v>1.5</v>
      </c>
      <c r="J57" s="137">
        <v>26.5</v>
      </c>
      <c r="K57" s="137">
        <v>5.8</v>
      </c>
      <c r="L57" s="137">
        <v>7.1</v>
      </c>
      <c r="M57" s="137">
        <v>1.1</v>
      </c>
      <c r="N57" s="137">
        <v>0.3</v>
      </c>
      <c r="O57" s="137">
        <v>3.4</v>
      </c>
      <c r="P57" s="137">
        <v>3.63</v>
      </c>
    </row>
    <row r="58">
      <c r="A58" s="137">
        <v>57.0</v>
      </c>
      <c r="B58" s="138" t="s">
        <v>612</v>
      </c>
      <c r="C58" s="137" t="s">
        <v>424</v>
      </c>
      <c r="D58" s="137" t="s">
        <v>445</v>
      </c>
      <c r="E58" s="137">
        <v>62.0</v>
      </c>
      <c r="F58" s="137">
        <v>33.6</v>
      </c>
      <c r="G58" s="137" t="s">
        <v>613</v>
      </c>
      <c r="H58" s="137" t="s">
        <v>614</v>
      </c>
      <c r="I58" s="137">
        <v>1.6</v>
      </c>
      <c r="J58" s="137">
        <v>20.8</v>
      </c>
      <c r="K58" s="137">
        <v>4.2</v>
      </c>
      <c r="L58" s="137">
        <v>5.7</v>
      </c>
      <c r="M58" s="137">
        <v>0.9</v>
      </c>
      <c r="N58" s="137">
        <v>0.5</v>
      </c>
      <c r="O58" s="137">
        <v>3.1</v>
      </c>
      <c r="P58" s="137">
        <v>3.59</v>
      </c>
    </row>
    <row r="59">
      <c r="A59" s="137">
        <v>58.0</v>
      </c>
      <c r="B59" s="138" t="s">
        <v>615</v>
      </c>
      <c r="C59" s="137" t="s">
        <v>47</v>
      </c>
      <c r="D59" s="137" t="s">
        <v>537</v>
      </c>
      <c r="E59" s="137">
        <v>74.0</v>
      </c>
      <c r="F59" s="137">
        <v>30.1</v>
      </c>
      <c r="G59" s="137" t="s">
        <v>616</v>
      </c>
      <c r="H59" s="137" t="s">
        <v>617</v>
      </c>
      <c r="I59" s="137">
        <v>0.5</v>
      </c>
      <c r="J59" s="137">
        <v>15.6</v>
      </c>
      <c r="K59" s="137">
        <v>9.1</v>
      </c>
      <c r="L59" s="137">
        <v>4.0</v>
      </c>
      <c r="M59" s="137">
        <v>1.0</v>
      </c>
      <c r="N59" s="137">
        <v>1.0</v>
      </c>
      <c r="O59" s="137">
        <v>2.8</v>
      </c>
      <c r="P59" s="137">
        <v>3.52</v>
      </c>
    </row>
    <row r="60">
      <c r="A60" s="137">
        <v>59.0</v>
      </c>
      <c r="B60" s="138" t="s">
        <v>618</v>
      </c>
      <c r="C60" s="137" t="s">
        <v>514</v>
      </c>
      <c r="D60" s="137" t="s">
        <v>619</v>
      </c>
      <c r="E60" s="137">
        <v>78.0</v>
      </c>
      <c r="F60" s="137">
        <v>33.1</v>
      </c>
      <c r="G60" s="137" t="s">
        <v>620</v>
      </c>
      <c r="H60" s="137" t="s">
        <v>621</v>
      </c>
      <c r="I60" s="137">
        <v>1.7</v>
      </c>
      <c r="J60" s="137">
        <v>18.8</v>
      </c>
      <c r="K60" s="137">
        <v>4.6</v>
      </c>
      <c r="L60" s="137">
        <v>3.6</v>
      </c>
      <c r="M60" s="137">
        <v>1.1</v>
      </c>
      <c r="N60" s="137">
        <v>0.3</v>
      </c>
      <c r="O60" s="137">
        <v>2.0</v>
      </c>
      <c r="P60" s="137">
        <v>3.5</v>
      </c>
    </row>
    <row r="61">
      <c r="A61" s="137">
        <v>60.0</v>
      </c>
      <c r="B61" s="138" t="s">
        <v>622</v>
      </c>
      <c r="C61" s="137" t="s">
        <v>432</v>
      </c>
      <c r="D61" s="137" t="s">
        <v>503</v>
      </c>
      <c r="E61" s="137">
        <v>68.0</v>
      </c>
      <c r="F61" s="137">
        <v>31.9</v>
      </c>
      <c r="G61" s="137" t="s">
        <v>623</v>
      </c>
      <c r="H61" s="137" t="s">
        <v>624</v>
      </c>
      <c r="I61" s="137">
        <v>3.0</v>
      </c>
      <c r="J61" s="137">
        <v>16.2</v>
      </c>
      <c r="K61" s="137">
        <v>5.0</v>
      </c>
      <c r="L61" s="137">
        <v>2.0</v>
      </c>
      <c r="M61" s="137">
        <v>1.3</v>
      </c>
      <c r="N61" s="137">
        <v>0.3</v>
      </c>
      <c r="O61" s="137">
        <v>0.9</v>
      </c>
      <c r="P61" s="137">
        <v>3.45</v>
      </c>
    </row>
    <row r="62">
      <c r="A62" s="137">
        <v>61.0</v>
      </c>
      <c r="B62" s="138" t="s">
        <v>23</v>
      </c>
      <c r="C62" s="137" t="s">
        <v>424</v>
      </c>
      <c r="D62" s="137" t="s">
        <v>583</v>
      </c>
      <c r="E62" s="137">
        <v>65.0</v>
      </c>
      <c r="F62" s="137">
        <v>35.0</v>
      </c>
      <c r="G62" s="137" t="s">
        <v>625</v>
      </c>
      <c r="H62" s="137" t="s">
        <v>626</v>
      </c>
      <c r="I62" s="137">
        <v>3.7</v>
      </c>
      <c r="J62" s="137">
        <v>21.6</v>
      </c>
      <c r="K62" s="137">
        <v>2.9</v>
      </c>
      <c r="L62" s="137">
        <v>5.4</v>
      </c>
      <c r="M62" s="137">
        <v>0.7</v>
      </c>
      <c r="N62" s="137">
        <v>0.2</v>
      </c>
      <c r="O62" s="137">
        <v>2.2</v>
      </c>
      <c r="P62" s="137">
        <v>3.45</v>
      </c>
    </row>
    <row r="63">
      <c r="A63" s="137">
        <v>62.0</v>
      </c>
      <c r="B63" s="138" t="s">
        <v>627</v>
      </c>
      <c r="C63" s="137" t="s">
        <v>46</v>
      </c>
      <c r="D63" s="137" t="s">
        <v>590</v>
      </c>
      <c r="E63" s="137">
        <v>76.0</v>
      </c>
      <c r="F63" s="137">
        <v>28.8</v>
      </c>
      <c r="G63" s="137" t="s">
        <v>628</v>
      </c>
      <c r="H63" s="137" t="s">
        <v>629</v>
      </c>
      <c r="I63" s="137">
        <v>0.0</v>
      </c>
      <c r="J63" s="137">
        <v>12.8</v>
      </c>
      <c r="K63" s="137">
        <v>7.8</v>
      </c>
      <c r="L63" s="137">
        <v>1.4</v>
      </c>
      <c r="M63" s="137">
        <v>0.6</v>
      </c>
      <c r="N63" s="137">
        <v>1.7</v>
      </c>
      <c r="O63" s="137">
        <v>1.4</v>
      </c>
      <c r="P63" s="137">
        <v>3.43</v>
      </c>
    </row>
    <row r="64">
      <c r="A64" s="137">
        <v>63.0</v>
      </c>
      <c r="B64" s="138" t="s">
        <v>630</v>
      </c>
      <c r="C64" s="137" t="s">
        <v>469</v>
      </c>
      <c r="D64" s="137" t="s">
        <v>567</v>
      </c>
      <c r="E64" s="137">
        <v>69.0</v>
      </c>
      <c r="F64" s="137">
        <v>32.0</v>
      </c>
      <c r="G64" s="137" t="s">
        <v>631</v>
      </c>
      <c r="H64" s="137" t="s">
        <v>632</v>
      </c>
      <c r="I64" s="137">
        <v>2.9</v>
      </c>
      <c r="J64" s="137">
        <v>18.3</v>
      </c>
      <c r="K64" s="137">
        <v>4.3</v>
      </c>
      <c r="L64" s="137">
        <v>3.8</v>
      </c>
      <c r="M64" s="137">
        <v>1.2</v>
      </c>
      <c r="N64" s="137">
        <v>0.6</v>
      </c>
      <c r="O64" s="137">
        <v>1.2</v>
      </c>
      <c r="P64" s="137">
        <v>3.38</v>
      </c>
    </row>
    <row r="65">
      <c r="A65" s="137">
        <v>64.0</v>
      </c>
      <c r="B65" s="138" t="s">
        <v>633</v>
      </c>
      <c r="C65" s="137" t="s">
        <v>47</v>
      </c>
      <c r="D65" s="137" t="s">
        <v>449</v>
      </c>
      <c r="E65" s="137">
        <v>72.0</v>
      </c>
      <c r="F65" s="137">
        <v>29.7</v>
      </c>
      <c r="G65" s="137" t="s">
        <v>634</v>
      </c>
      <c r="H65" s="137" t="s">
        <v>635</v>
      </c>
      <c r="I65" s="137">
        <v>1.5</v>
      </c>
      <c r="J65" s="137">
        <v>13.5</v>
      </c>
      <c r="K65" s="137">
        <v>5.9</v>
      </c>
      <c r="L65" s="137">
        <v>1.0</v>
      </c>
      <c r="M65" s="137">
        <v>0.4</v>
      </c>
      <c r="N65" s="137">
        <v>2.0</v>
      </c>
      <c r="O65" s="137">
        <v>1.2</v>
      </c>
      <c r="P65" s="137">
        <v>3.35</v>
      </c>
    </row>
    <row r="66">
      <c r="A66" s="137">
        <v>65.0</v>
      </c>
      <c r="B66" s="138" t="s">
        <v>636</v>
      </c>
      <c r="C66" s="137" t="s">
        <v>47</v>
      </c>
      <c r="D66" s="137" t="s">
        <v>473</v>
      </c>
      <c r="E66" s="137">
        <v>76.0</v>
      </c>
      <c r="F66" s="137">
        <v>26.0</v>
      </c>
      <c r="G66" s="137" t="s">
        <v>637</v>
      </c>
      <c r="H66" s="137" t="s">
        <v>638</v>
      </c>
      <c r="I66" s="137">
        <v>0.0</v>
      </c>
      <c r="J66" s="137">
        <v>11.0</v>
      </c>
      <c r="K66" s="137">
        <v>8.0</v>
      </c>
      <c r="L66" s="137">
        <v>1.2</v>
      </c>
      <c r="M66" s="137">
        <v>0.8</v>
      </c>
      <c r="N66" s="137">
        <v>1.5</v>
      </c>
      <c r="O66" s="137">
        <v>1.2</v>
      </c>
      <c r="P66" s="137">
        <v>3.34</v>
      </c>
    </row>
    <row r="67">
      <c r="A67" s="137">
        <v>66.0</v>
      </c>
      <c r="B67" s="138" t="s">
        <v>639</v>
      </c>
      <c r="C67" s="137" t="s">
        <v>469</v>
      </c>
      <c r="D67" s="137" t="s">
        <v>425</v>
      </c>
      <c r="E67" s="137">
        <v>74.0</v>
      </c>
      <c r="F67" s="137">
        <v>31.9</v>
      </c>
      <c r="G67" s="137" t="s">
        <v>640</v>
      </c>
      <c r="H67" s="137" t="s">
        <v>641</v>
      </c>
      <c r="I67" s="137">
        <v>1.0</v>
      </c>
      <c r="J67" s="137">
        <v>15.0</v>
      </c>
      <c r="K67" s="137">
        <v>4.8</v>
      </c>
      <c r="L67" s="137">
        <v>3.5</v>
      </c>
      <c r="M67" s="137">
        <v>1.5</v>
      </c>
      <c r="N67" s="137">
        <v>0.5</v>
      </c>
      <c r="O67" s="137">
        <v>1.7</v>
      </c>
      <c r="P67" s="137">
        <v>3.24</v>
      </c>
    </row>
    <row r="68">
      <c r="A68" s="137">
        <v>67.0</v>
      </c>
      <c r="B68" s="138" t="s">
        <v>18</v>
      </c>
      <c r="C68" s="137" t="s">
        <v>469</v>
      </c>
      <c r="D68" s="137" t="s">
        <v>587</v>
      </c>
      <c r="E68" s="137">
        <v>68.0</v>
      </c>
      <c r="F68" s="137">
        <v>33.6</v>
      </c>
      <c r="G68" s="137" t="s">
        <v>642</v>
      </c>
      <c r="H68" s="137" t="s">
        <v>643</v>
      </c>
      <c r="I68" s="137">
        <v>2.1</v>
      </c>
      <c r="J68" s="137">
        <v>16.1</v>
      </c>
      <c r="K68" s="137">
        <v>4.9</v>
      </c>
      <c r="L68" s="137">
        <v>2.1</v>
      </c>
      <c r="M68" s="137">
        <v>1.6</v>
      </c>
      <c r="N68" s="137">
        <v>0.6</v>
      </c>
      <c r="O68" s="137">
        <v>1.8</v>
      </c>
      <c r="P68" s="137">
        <v>3.2</v>
      </c>
    </row>
    <row r="69">
      <c r="A69" s="137">
        <v>68.0</v>
      </c>
      <c r="B69" s="138" t="s">
        <v>644</v>
      </c>
      <c r="C69" s="137" t="s">
        <v>47</v>
      </c>
      <c r="D69" s="137" t="s">
        <v>461</v>
      </c>
      <c r="E69" s="137">
        <v>70.0</v>
      </c>
      <c r="F69" s="137">
        <v>28.4</v>
      </c>
      <c r="G69" s="137" t="s">
        <v>645</v>
      </c>
      <c r="H69" s="137" t="s">
        <v>646</v>
      </c>
      <c r="I69" s="137">
        <v>0.0</v>
      </c>
      <c r="J69" s="137">
        <v>12.6</v>
      </c>
      <c r="K69" s="137">
        <v>9.9</v>
      </c>
      <c r="L69" s="137">
        <v>0.6</v>
      </c>
      <c r="M69" s="137">
        <v>0.9</v>
      </c>
      <c r="N69" s="137">
        <v>1.4</v>
      </c>
      <c r="O69" s="137">
        <v>1.3</v>
      </c>
      <c r="P69" s="137">
        <v>3.15</v>
      </c>
    </row>
    <row r="70">
      <c r="A70" s="137">
        <v>69.0</v>
      </c>
      <c r="B70" s="138" t="s">
        <v>647</v>
      </c>
      <c r="C70" s="137" t="s">
        <v>432</v>
      </c>
      <c r="D70" s="137" t="s">
        <v>449</v>
      </c>
      <c r="E70" s="137">
        <v>65.0</v>
      </c>
      <c r="F70" s="137">
        <v>31.0</v>
      </c>
      <c r="G70" s="137" t="s">
        <v>648</v>
      </c>
      <c r="H70" s="137" t="s">
        <v>649</v>
      </c>
      <c r="I70" s="137">
        <v>2.0</v>
      </c>
      <c r="J70" s="137">
        <v>17.6</v>
      </c>
      <c r="K70" s="137">
        <v>4.9</v>
      </c>
      <c r="L70" s="137">
        <v>4.1</v>
      </c>
      <c r="M70" s="137">
        <v>1.1</v>
      </c>
      <c r="N70" s="137">
        <v>0.3</v>
      </c>
      <c r="O70" s="137">
        <v>2.4</v>
      </c>
      <c r="P70" s="137">
        <v>3.08</v>
      </c>
    </row>
    <row r="71">
      <c r="A71" s="137">
        <v>70.0</v>
      </c>
      <c r="B71" s="138" t="s">
        <v>650</v>
      </c>
      <c r="C71" s="137" t="s">
        <v>46</v>
      </c>
      <c r="D71" s="137" t="s">
        <v>547</v>
      </c>
      <c r="E71" s="137">
        <v>74.0</v>
      </c>
      <c r="F71" s="137">
        <v>35.4</v>
      </c>
      <c r="G71" s="137" t="s">
        <v>651</v>
      </c>
      <c r="H71" s="137" t="s">
        <v>652</v>
      </c>
      <c r="I71" s="137">
        <v>2.3</v>
      </c>
      <c r="J71" s="137">
        <v>22.9</v>
      </c>
      <c r="K71" s="137">
        <v>10.0</v>
      </c>
      <c r="L71" s="137">
        <v>4.7</v>
      </c>
      <c r="M71" s="137">
        <v>0.7</v>
      </c>
      <c r="N71" s="137">
        <v>0.4</v>
      </c>
      <c r="O71" s="137">
        <v>3.1</v>
      </c>
      <c r="P71" s="137">
        <v>3.04</v>
      </c>
    </row>
    <row r="72">
      <c r="A72" s="137">
        <v>71.0</v>
      </c>
      <c r="B72" s="138" t="s">
        <v>653</v>
      </c>
      <c r="C72" s="137" t="s">
        <v>469</v>
      </c>
      <c r="D72" s="137" t="s">
        <v>547</v>
      </c>
      <c r="E72" s="137">
        <v>74.0</v>
      </c>
      <c r="F72" s="137">
        <v>32.0</v>
      </c>
      <c r="G72" s="137" t="s">
        <v>654</v>
      </c>
      <c r="H72" s="137" t="s">
        <v>655</v>
      </c>
      <c r="I72" s="137">
        <v>1.0</v>
      </c>
      <c r="J72" s="137">
        <v>11.8</v>
      </c>
      <c r="K72" s="137">
        <v>7.5</v>
      </c>
      <c r="L72" s="137">
        <v>3.9</v>
      </c>
      <c r="M72" s="137">
        <v>1.4</v>
      </c>
      <c r="N72" s="137">
        <v>0.5</v>
      </c>
      <c r="O72" s="137">
        <v>1.8</v>
      </c>
      <c r="P72" s="137">
        <v>2.92</v>
      </c>
    </row>
    <row r="73">
      <c r="A73" s="137">
        <v>72.0</v>
      </c>
      <c r="B73" s="138" t="s">
        <v>656</v>
      </c>
      <c r="C73" s="137" t="s">
        <v>424</v>
      </c>
      <c r="D73" s="137" t="s">
        <v>487</v>
      </c>
      <c r="E73" s="137">
        <v>67.0</v>
      </c>
      <c r="F73" s="137">
        <v>34.0</v>
      </c>
      <c r="G73" s="137" t="s">
        <v>657</v>
      </c>
      <c r="H73" s="137" t="s">
        <v>658</v>
      </c>
      <c r="I73" s="137">
        <v>2.9</v>
      </c>
      <c r="J73" s="137">
        <v>20.8</v>
      </c>
      <c r="K73" s="137">
        <v>5.3</v>
      </c>
      <c r="L73" s="137">
        <v>4.2</v>
      </c>
      <c r="M73" s="137">
        <v>0.7</v>
      </c>
      <c r="N73" s="137">
        <v>0.2</v>
      </c>
      <c r="O73" s="137">
        <v>2.5</v>
      </c>
      <c r="P73" s="137">
        <v>2.81</v>
      </c>
    </row>
    <row r="74">
      <c r="A74" s="137">
        <v>73.0</v>
      </c>
      <c r="B74" s="138" t="s">
        <v>659</v>
      </c>
      <c r="C74" s="137" t="s">
        <v>46</v>
      </c>
      <c r="D74" s="137" t="s">
        <v>583</v>
      </c>
      <c r="E74" s="137">
        <v>65.0</v>
      </c>
      <c r="F74" s="137">
        <v>34.0</v>
      </c>
      <c r="G74" s="137" t="s">
        <v>660</v>
      </c>
      <c r="H74" s="137" t="s">
        <v>661</v>
      </c>
      <c r="I74" s="137">
        <v>2.1</v>
      </c>
      <c r="J74" s="137">
        <v>19.6</v>
      </c>
      <c r="K74" s="137">
        <v>4.4</v>
      </c>
      <c r="L74" s="137">
        <v>2.4</v>
      </c>
      <c r="M74" s="137">
        <v>0.9</v>
      </c>
      <c r="N74" s="137">
        <v>0.9</v>
      </c>
      <c r="O74" s="137">
        <v>1.8</v>
      </c>
      <c r="P74" s="137">
        <v>2.72</v>
      </c>
    </row>
    <row r="75">
      <c r="A75" s="137">
        <v>74.0</v>
      </c>
      <c r="B75" s="138" t="s">
        <v>19</v>
      </c>
      <c r="C75" s="137" t="s">
        <v>424</v>
      </c>
      <c r="D75" s="137" t="s">
        <v>619</v>
      </c>
      <c r="E75" s="137">
        <v>60.0</v>
      </c>
      <c r="F75" s="137">
        <v>29.6</v>
      </c>
      <c r="G75" s="137" t="s">
        <v>662</v>
      </c>
      <c r="H75" s="137" t="s">
        <v>663</v>
      </c>
      <c r="I75" s="137">
        <v>0.4</v>
      </c>
      <c r="J75" s="137">
        <v>14.4</v>
      </c>
      <c r="K75" s="137">
        <v>4.0</v>
      </c>
      <c r="L75" s="137">
        <v>6.2</v>
      </c>
      <c r="M75" s="137">
        <v>1.5</v>
      </c>
      <c r="N75" s="137">
        <v>0.4</v>
      </c>
      <c r="O75" s="137">
        <v>2.5</v>
      </c>
      <c r="P75" s="137">
        <v>2.67</v>
      </c>
    </row>
    <row r="76">
      <c r="A76" s="137">
        <v>75.0</v>
      </c>
      <c r="B76" s="138" t="s">
        <v>664</v>
      </c>
      <c r="C76" s="137" t="s">
        <v>424</v>
      </c>
      <c r="D76" s="137" t="s">
        <v>461</v>
      </c>
      <c r="E76" s="137">
        <v>68.0</v>
      </c>
      <c r="F76" s="137">
        <v>33.2</v>
      </c>
      <c r="G76" s="137" t="s">
        <v>665</v>
      </c>
      <c r="H76" s="137" t="s">
        <v>666</v>
      </c>
      <c r="I76" s="137">
        <v>2.8</v>
      </c>
      <c r="J76" s="137">
        <v>19.6</v>
      </c>
      <c r="K76" s="137">
        <v>4.1</v>
      </c>
      <c r="L76" s="137">
        <v>4.6</v>
      </c>
      <c r="M76" s="137">
        <v>1.2</v>
      </c>
      <c r="N76" s="137">
        <v>0.3</v>
      </c>
      <c r="O76" s="137">
        <v>1.7</v>
      </c>
      <c r="P76" s="137">
        <v>2.65</v>
      </c>
    </row>
    <row r="77">
      <c r="A77" s="137">
        <v>76.0</v>
      </c>
      <c r="B77" s="138" t="s">
        <v>667</v>
      </c>
      <c r="C77" s="137" t="s">
        <v>47</v>
      </c>
      <c r="D77" s="137" t="s">
        <v>398</v>
      </c>
      <c r="E77" s="137">
        <v>68.0</v>
      </c>
      <c r="F77" s="137">
        <v>30.6</v>
      </c>
      <c r="G77" s="137" t="s">
        <v>668</v>
      </c>
      <c r="H77" s="137" t="s">
        <v>669</v>
      </c>
      <c r="I77" s="137">
        <v>0.0</v>
      </c>
      <c r="J77" s="137">
        <v>13.5</v>
      </c>
      <c r="K77" s="137">
        <v>11.5</v>
      </c>
      <c r="L77" s="137">
        <v>1.1</v>
      </c>
      <c r="M77" s="137">
        <v>0.7</v>
      </c>
      <c r="N77" s="137">
        <v>1.4</v>
      </c>
      <c r="O77" s="137">
        <v>1.7</v>
      </c>
      <c r="P77" s="137">
        <v>2.64</v>
      </c>
    </row>
    <row r="78">
      <c r="A78" s="137">
        <v>77.0</v>
      </c>
      <c r="B78" s="138" t="s">
        <v>670</v>
      </c>
      <c r="C78" s="137" t="s">
        <v>432</v>
      </c>
      <c r="D78" s="137" t="s">
        <v>461</v>
      </c>
      <c r="E78" s="137">
        <v>60.0</v>
      </c>
      <c r="F78" s="137">
        <v>30.4</v>
      </c>
      <c r="G78" s="137" t="s">
        <v>671</v>
      </c>
      <c r="H78" s="137" t="s">
        <v>672</v>
      </c>
      <c r="I78" s="137">
        <v>1.7</v>
      </c>
      <c r="J78" s="137">
        <v>17.3</v>
      </c>
      <c r="K78" s="137">
        <v>6.1</v>
      </c>
      <c r="L78" s="137">
        <v>3.3</v>
      </c>
      <c r="M78" s="137">
        <v>0.8</v>
      </c>
      <c r="N78" s="137">
        <v>0.7</v>
      </c>
      <c r="O78" s="137">
        <v>1.6</v>
      </c>
      <c r="P78" s="137">
        <v>2.63</v>
      </c>
    </row>
    <row r="79">
      <c r="A79" s="137">
        <v>78.0</v>
      </c>
      <c r="B79" s="138" t="s">
        <v>673</v>
      </c>
      <c r="C79" s="137" t="s">
        <v>432</v>
      </c>
      <c r="D79" s="137" t="s">
        <v>587</v>
      </c>
      <c r="E79" s="137">
        <v>76.0</v>
      </c>
      <c r="F79" s="137">
        <v>33.2</v>
      </c>
      <c r="G79" s="137" t="s">
        <v>674</v>
      </c>
      <c r="H79" s="137" t="s">
        <v>675</v>
      </c>
      <c r="I79" s="137">
        <v>0.8</v>
      </c>
      <c r="J79" s="137">
        <v>15.0</v>
      </c>
      <c r="K79" s="137">
        <v>6.9</v>
      </c>
      <c r="L79" s="137">
        <v>5.1</v>
      </c>
      <c r="M79" s="137">
        <v>1.1</v>
      </c>
      <c r="N79" s="137">
        <v>0.8</v>
      </c>
      <c r="O79" s="137">
        <v>1.9</v>
      </c>
      <c r="P79" s="137">
        <v>2.62</v>
      </c>
    </row>
    <row r="80">
      <c r="A80" s="137">
        <v>79.0</v>
      </c>
      <c r="B80" s="138" t="s">
        <v>22</v>
      </c>
      <c r="C80" s="137" t="s">
        <v>514</v>
      </c>
      <c r="D80" s="137" t="s">
        <v>425</v>
      </c>
      <c r="E80" s="137">
        <v>74.0</v>
      </c>
      <c r="F80" s="137">
        <v>31.9</v>
      </c>
      <c r="G80" s="137" t="s">
        <v>676</v>
      </c>
      <c r="H80" s="137" t="s">
        <v>677</v>
      </c>
      <c r="I80" s="137">
        <v>1.1</v>
      </c>
      <c r="J80" s="137">
        <v>17.3</v>
      </c>
      <c r="K80" s="137">
        <v>8.1</v>
      </c>
      <c r="L80" s="137">
        <v>6.5</v>
      </c>
      <c r="M80" s="137">
        <v>0.9</v>
      </c>
      <c r="N80" s="137">
        <v>0.4</v>
      </c>
      <c r="O80" s="137">
        <v>3.0</v>
      </c>
      <c r="P80" s="137">
        <v>2.51</v>
      </c>
    </row>
    <row r="81">
      <c r="A81" s="137">
        <v>80.0</v>
      </c>
      <c r="B81" s="138" t="s">
        <v>678</v>
      </c>
      <c r="C81" s="137" t="s">
        <v>469</v>
      </c>
      <c r="D81" s="137" t="s">
        <v>441</v>
      </c>
      <c r="E81" s="137">
        <v>68.0</v>
      </c>
      <c r="F81" s="137">
        <v>32.4</v>
      </c>
      <c r="G81" s="137" t="s">
        <v>679</v>
      </c>
      <c r="H81" s="137" t="s">
        <v>680</v>
      </c>
      <c r="I81" s="137">
        <v>4.2</v>
      </c>
      <c r="J81" s="137">
        <v>21.2</v>
      </c>
      <c r="K81" s="137">
        <v>4.0</v>
      </c>
      <c r="L81" s="137">
        <v>2.4</v>
      </c>
      <c r="M81" s="137">
        <v>0.6</v>
      </c>
      <c r="N81" s="137">
        <v>0.5</v>
      </c>
      <c r="O81" s="137">
        <v>1.6</v>
      </c>
      <c r="P81" s="137">
        <v>2.5</v>
      </c>
    </row>
    <row r="82">
      <c r="A82" s="137">
        <v>81.0</v>
      </c>
      <c r="B82" s="138" t="s">
        <v>681</v>
      </c>
      <c r="C82" s="137" t="s">
        <v>43</v>
      </c>
      <c r="D82" s="137" t="s">
        <v>590</v>
      </c>
      <c r="E82" s="137">
        <v>72.0</v>
      </c>
      <c r="F82" s="137">
        <v>30.0</v>
      </c>
      <c r="G82" s="137" t="s">
        <v>682</v>
      </c>
      <c r="H82" s="137" t="s">
        <v>683</v>
      </c>
      <c r="I82" s="137">
        <v>1.9</v>
      </c>
      <c r="J82" s="137">
        <v>13.5</v>
      </c>
      <c r="K82" s="137">
        <v>3.5</v>
      </c>
      <c r="L82" s="137">
        <v>7.4</v>
      </c>
      <c r="M82" s="137">
        <v>1.4</v>
      </c>
      <c r="N82" s="137">
        <v>0.1</v>
      </c>
      <c r="O82" s="137">
        <v>1.1</v>
      </c>
      <c r="P82" s="137">
        <v>2.4</v>
      </c>
    </row>
    <row r="83">
      <c r="A83" s="137">
        <v>82.0</v>
      </c>
      <c r="B83" s="138" t="s">
        <v>684</v>
      </c>
      <c r="C83" s="137" t="s">
        <v>456</v>
      </c>
      <c r="D83" s="137" t="s">
        <v>420</v>
      </c>
      <c r="E83" s="137">
        <v>69.0</v>
      </c>
      <c r="F83" s="137">
        <v>23.8</v>
      </c>
      <c r="G83" s="137" t="s">
        <v>685</v>
      </c>
      <c r="H83" s="137" t="s">
        <v>686</v>
      </c>
      <c r="I83" s="137">
        <v>0.1</v>
      </c>
      <c r="J83" s="137">
        <v>10.2</v>
      </c>
      <c r="K83" s="137">
        <v>7.2</v>
      </c>
      <c r="L83" s="137">
        <v>1.4</v>
      </c>
      <c r="M83" s="137">
        <v>1.2</v>
      </c>
      <c r="N83" s="137">
        <v>1.4</v>
      </c>
      <c r="O83" s="137">
        <v>1.4</v>
      </c>
      <c r="P83" s="137">
        <v>2.28</v>
      </c>
    </row>
    <row r="84">
      <c r="A84" s="137">
        <v>83.0</v>
      </c>
      <c r="B84" s="138" t="s">
        <v>687</v>
      </c>
      <c r="C84" s="137" t="s">
        <v>47</v>
      </c>
      <c r="D84" s="137" t="s">
        <v>587</v>
      </c>
      <c r="E84" s="137">
        <v>70.0</v>
      </c>
      <c r="F84" s="137">
        <v>27.7</v>
      </c>
      <c r="G84" s="137" t="s">
        <v>688</v>
      </c>
      <c r="H84" s="137" t="s">
        <v>689</v>
      </c>
      <c r="I84" s="137">
        <v>0.0</v>
      </c>
      <c r="J84" s="137">
        <v>13.1</v>
      </c>
      <c r="K84" s="137">
        <v>9.3</v>
      </c>
      <c r="L84" s="137">
        <v>2.8</v>
      </c>
      <c r="M84" s="137">
        <v>0.8</v>
      </c>
      <c r="N84" s="137">
        <v>1.4</v>
      </c>
      <c r="O84" s="137">
        <v>1.7</v>
      </c>
      <c r="P84" s="137">
        <v>2.26</v>
      </c>
    </row>
    <row r="85">
      <c r="A85" s="137">
        <v>84.0</v>
      </c>
      <c r="B85" s="138" t="s">
        <v>690</v>
      </c>
      <c r="C85" s="137" t="s">
        <v>424</v>
      </c>
      <c r="D85" s="137" t="s">
        <v>457</v>
      </c>
      <c r="E85" s="137">
        <v>70.0</v>
      </c>
      <c r="F85" s="137">
        <v>30.2</v>
      </c>
      <c r="G85" s="137" t="s">
        <v>691</v>
      </c>
      <c r="H85" s="137" t="s">
        <v>692</v>
      </c>
      <c r="I85" s="137">
        <v>2.6</v>
      </c>
      <c r="J85" s="137">
        <v>16.9</v>
      </c>
      <c r="K85" s="137">
        <v>3.0</v>
      </c>
      <c r="L85" s="137">
        <v>6.2</v>
      </c>
      <c r="M85" s="137">
        <v>0.9</v>
      </c>
      <c r="N85" s="137">
        <v>0.4</v>
      </c>
      <c r="O85" s="137">
        <v>2.4</v>
      </c>
      <c r="P85" s="137">
        <v>2.15</v>
      </c>
    </row>
    <row r="86">
      <c r="A86" s="137">
        <v>85.0</v>
      </c>
      <c r="B86" s="138" t="s">
        <v>693</v>
      </c>
      <c r="C86" s="137" t="s">
        <v>432</v>
      </c>
      <c r="D86" s="137" t="s">
        <v>590</v>
      </c>
      <c r="E86" s="137">
        <v>65.0</v>
      </c>
      <c r="F86" s="137">
        <v>35.1</v>
      </c>
      <c r="G86" s="137" t="s">
        <v>694</v>
      </c>
      <c r="H86" s="137" t="s">
        <v>695</v>
      </c>
      <c r="I86" s="137">
        <v>2.6</v>
      </c>
      <c r="J86" s="137">
        <v>22.1</v>
      </c>
      <c r="K86" s="137">
        <v>8.1</v>
      </c>
      <c r="L86" s="137">
        <v>3.8</v>
      </c>
      <c r="M86" s="137">
        <v>0.7</v>
      </c>
      <c r="N86" s="137">
        <v>0.8</v>
      </c>
      <c r="O86" s="137">
        <v>3.2</v>
      </c>
      <c r="P86" s="137">
        <v>2.13</v>
      </c>
    </row>
    <row r="87">
      <c r="A87" s="137">
        <v>86.0</v>
      </c>
      <c r="B87" s="138" t="s">
        <v>696</v>
      </c>
      <c r="C87" s="137" t="s">
        <v>47</v>
      </c>
      <c r="D87" s="137" t="s">
        <v>473</v>
      </c>
      <c r="E87" s="137">
        <v>68.0</v>
      </c>
      <c r="F87" s="137">
        <v>26.3</v>
      </c>
      <c r="G87" s="137" t="s">
        <v>697</v>
      </c>
      <c r="H87" s="137" t="s">
        <v>698</v>
      </c>
      <c r="I87" s="137">
        <v>0.0</v>
      </c>
      <c r="J87" s="137">
        <v>11.4</v>
      </c>
      <c r="K87" s="137">
        <v>11.2</v>
      </c>
      <c r="L87" s="137">
        <v>1.1</v>
      </c>
      <c r="M87" s="137">
        <v>0.7</v>
      </c>
      <c r="N87" s="137">
        <v>1.2</v>
      </c>
      <c r="O87" s="137">
        <v>0.7</v>
      </c>
      <c r="P87" s="137">
        <v>2.1</v>
      </c>
    </row>
    <row r="88">
      <c r="A88" s="137">
        <v>87.0</v>
      </c>
      <c r="B88" s="138" t="s">
        <v>699</v>
      </c>
      <c r="C88" s="137" t="s">
        <v>469</v>
      </c>
      <c r="D88" s="137" t="s">
        <v>457</v>
      </c>
      <c r="E88" s="137">
        <v>71.0</v>
      </c>
      <c r="F88" s="137">
        <v>32.6</v>
      </c>
      <c r="G88" s="137" t="s">
        <v>700</v>
      </c>
      <c r="H88" s="137" t="s">
        <v>701</v>
      </c>
      <c r="I88" s="137">
        <v>1.6</v>
      </c>
      <c r="J88" s="137">
        <v>15.4</v>
      </c>
      <c r="K88" s="137">
        <v>3.3</v>
      </c>
      <c r="L88" s="137">
        <v>3.8</v>
      </c>
      <c r="M88" s="137">
        <v>0.7</v>
      </c>
      <c r="N88" s="137">
        <v>0.5</v>
      </c>
      <c r="O88" s="137">
        <v>1.6</v>
      </c>
      <c r="P88" s="137">
        <v>2.06</v>
      </c>
    </row>
    <row r="89">
      <c r="A89" s="137">
        <v>88.0</v>
      </c>
      <c r="B89" s="138" t="s">
        <v>702</v>
      </c>
      <c r="C89" s="137" t="s">
        <v>424</v>
      </c>
      <c r="D89" s="137" t="s">
        <v>603</v>
      </c>
      <c r="E89" s="137">
        <v>72.0</v>
      </c>
      <c r="F89" s="137">
        <v>34.7</v>
      </c>
      <c r="G89" s="137" t="s">
        <v>703</v>
      </c>
      <c r="H89" s="137" t="s">
        <v>704</v>
      </c>
      <c r="I89" s="137">
        <v>2.7</v>
      </c>
      <c r="J89" s="137">
        <v>20.5</v>
      </c>
      <c r="K89" s="137">
        <v>4.2</v>
      </c>
      <c r="L89" s="137">
        <v>5.2</v>
      </c>
      <c r="M89" s="137">
        <v>1.0</v>
      </c>
      <c r="N89" s="137">
        <v>0.4</v>
      </c>
      <c r="O89" s="137">
        <v>2.2</v>
      </c>
      <c r="P89" s="137">
        <v>2.04</v>
      </c>
    </row>
    <row r="90">
      <c r="A90" s="137">
        <v>89.0</v>
      </c>
      <c r="B90" s="138" t="s">
        <v>705</v>
      </c>
      <c r="C90" s="137" t="s">
        <v>456</v>
      </c>
      <c r="D90" s="137" t="s">
        <v>567</v>
      </c>
      <c r="E90" s="137">
        <v>66.0</v>
      </c>
      <c r="F90" s="137">
        <v>27.7</v>
      </c>
      <c r="G90" s="137" t="s">
        <v>706</v>
      </c>
      <c r="H90" s="137" t="s">
        <v>707</v>
      </c>
      <c r="I90" s="137">
        <v>1.0</v>
      </c>
      <c r="J90" s="137">
        <v>13.2</v>
      </c>
      <c r="K90" s="137">
        <v>7.4</v>
      </c>
      <c r="L90" s="137">
        <v>3.4</v>
      </c>
      <c r="M90" s="137">
        <v>0.7</v>
      </c>
      <c r="N90" s="137">
        <v>1.0</v>
      </c>
      <c r="O90" s="137">
        <v>2.5</v>
      </c>
      <c r="P90" s="137">
        <v>1.98</v>
      </c>
    </row>
    <row r="91">
      <c r="A91" s="137">
        <v>90.0</v>
      </c>
      <c r="B91" s="138" t="s">
        <v>708</v>
      </c>
      <c r="C91" s="137" t="s">
        <v>46</v>
      </c>
      <c r="D91" s="137" t="s">
        <v>507</v>
      </c>
      <c r="E91" s="137">
        <v>70.0</v>
      </c>
      <c r="F91" s="137">
        <v>30.0</v>
      </c>
      <c r="G91" s="137" t="s">
        <v>709</v>
      </c>
      <c r="H91" s="137" t="s">
        <v>710</v>
      </c>
      <c r="I91" s="137">
        <v>1.1</v>
      </c>
      <c r="J91" s="137">
        <v>14.4</v>
      </c>
      <c r="K91" s="137">
        <v>7.1</v>
      </c>
      <c r="L91" s="137">
        <v>1.5</v>
      </c>
      <c r="M91" s="137">
        <v>0.6</v>
      </c>
      <c r="N91" s="137">
        <v>1.0</v>
      </c>
      <c r="O91" s="137">
        <v>1.1</v>
      </c>
      <c r="P91" s="137">
        <v>1.93</v>
      </c>
    </row>
    <row r="92">
      <c r="A92" s="137">
        <v>91.0</v>
      </c>
      <c r="B92" s="138" t="s">
        <v>711</v>
      </c>
      <c r="C92" s="137" t="s">
        <v>43</v>
      </c>
      <c r="D92" s="137" t="s">
        <v>441</v>
      </c>
      <c r="E92" s="137">
        <v>60.0</v>
      </c>
      <c r="F92" s="137">
        <v>26.8</v>
      </c>
      <c r="G92" s="137" t="s">
        <v>712</v>
      </c>
      <c r="H92" s="137" t="s">
        <v>713</v>
      </c>
      <c r="I92" s="137">
        <v>1.3</v>
      </c>
      <c r="J92" s="137">
        <v>11.6</v>
      </c>
      <c r="K92" s="137">
        <v>3.6</v>
      </c>
      <c r="L92" s="137">
        <v>7.5</v>
      </c>
      <c r="M92" s="137">
        <v>1.2</v>
      </c>
      <c r="N92" s="137">
        <v>0.3</v>
      </c>
      <c r="O92" s="137">
        <v>1.8</v>
      </c>
      <c r="P92" s="137">
        <v>1.89</v>
      </c>
    </row>
    <row r="93">
      <c r="A93" s="137">
        <v>92.0</v>
      </c>
      <c r="B93" s="138" t="s">
        <v>714</v>
      </c>
      <c r="C93" s="137" t="s">
        <v>424</v>
      </c>
      <c r="D93" s="137" t="s">
        <v>420</v>
      </c>
      <c r="E93" s="137">
        <v>72.0</v>
      </c>
      <c r="F93" s="137">
        <v>26.9</v>
      </c>
      <c r="G93" s="137" t="s">
        <v>715</v>
      </c>
      <c r="H93" s="137" t="s">
        <v>716</v>
      </c>
      <c r="I93" s="137">
        <v>2.1</v>
      </c>
      <c r="J93" s="137">
        <v>11.3</v>
      </c>
      <c r="K93" s="137">
        <v>4.6</v>
      </c>
      <c r="L93" s="137">
        <v>2.8</v>
      </c>
      <c r="M93" s="137">
        <v>1.7</v>
      </c>
      <c r="N93" s="137">
        <v>0.6</v>
      </c>
      <c r="O93" s="137">
        <v>1.5</v>
      </c>
      <c r="P93" s="137">
        <v>1.88</v>
      </c>
    </row>
    <row r="94">
      <c r="A94" s="137">
        <v>93.0</v>
      </c>
      <c r="B94" s="138" t="s">
        <v>717</v>
      </c>
      <c r="C94" s="137" t="s">
        <v>432</v>
      </c>
      <c r="D94" s="137" t="s">
        <v>420</v>
      </c>
      <c r="E94" s="137">
        <v>73.0</v>
      </c>
      <c r="F94" s="137">
        <v>32.9</v>
      </c>
      <c r="G94" s="137" t="s">
        <v>718</v>
      </c>
      <c r="H94" s="137" t="s">
        <v>719</v>
      </c>
      <c r="I94" s="137">
        <v>1.5</v>
      </c>
      <c r="J94" s="137">
        <v>15.2</v>
      </c>
      <c r="K94" s="137">
        <v>6.0</v>
      </c>
      <c r="L94" s="137">
        <v>2.8</v>
      </c>
      <c r="M94" s="137">
        <v>0.8</v>
      </c>
      <c r="N94" s="137">
        <v>0.5</v>
      </c>
      <c r="O94" s="137">
        <v>1.3</v>
      </c>
      <c r="P94" s="137">
        <v>1.86</v>
      </c>
    </row>
    <row r="95">
      <c r="A95" s="137">
        <v>94.0</v>
      </c>
      <c r="B95" s="138" t="s">
        <v>720</v>
      </c>
      <c r="C95" s="137" t="s">
        <v>424</v>
      </c>
      <c r="D95" s="137" t="s">
        <v>433</v>
      </c>
      <c r="E95" s="137">
        <v>77.0</v>
      </c>
      <c r="F95" s="137">
        <v>29.1</v>
      </c>
      <c r="G95" s="137" t="s">
        <v>721</v>
      </c>
      <c r="H95" s="137" t="s">
        <v>722</v>
      </c>
      <c r="I95" s="137">
        <v>1.7</v>
      </c>
      <c r="J95" s="137">
        <v>13.0</v>
      </c>
      <c r="K95" s="137">
        <v>3.6</v>
      </c>
      <c r="L95" s="137">
        <v>4.0</v>
      </c>
      <c r="M95" s="137">
        <v>0.8</v>
      </c>
      <c r="N95" s="137">
        <v>0.9</v>
      </c>
      <c r="O95" s="137">
        <v>1.4</v>
      </c>
      <c r="P95" s="137">
        <v>1.81</v>
      </c>
    </row>
    <row r="96">
      <c r="A96" s="137">
        <v>95.0</v>
      </c>
      <c r="B96" s="138" t="s">
        <v>723</v>
      </c>
      <c r="C96" s="137" t="s">
        <v>47</v>
      </c>
      <c r="D96" s="137" t="s">
        <v>603</v>
      </c>
      <c r="E96" s="137">
        <v>74.0</v>
      </c>
      <c r="F96" s="137">
        <v>25.4</v>
      </c>
      <c r="G96" s="137" t="s">
        <v>724</v>
      </c>
      <c r="H96" s="137" t="s">
        <v>725</v>
      </c>
      <c r="I96" s="137">
        <v>0.6</v>
      </c>
      <c r="J96" s="137">
        <v>14.1</v>
      </c>
      <c r="K96" s="137">
        <v>9.9</v>
      </c>
      <c r="L96" s="137">
        <v>2.0</v>
      </c>
      <c r="M96" s="137">
        <v>0.4</v>
      </c>
      <c r="N96" s="137">
        <v>0.7</v>
      </c>
      <c r="O96" s="137">
        <v>2.0</v>
      </c>
      <c r="P96" s="137">
        <v>1.8</v>
      </c>
    </row>
    <row r="97">
      <c r="A97" s="137">
        <v>96.0</v>
      </c>
      <c r="B97" s="138" t="s">
        <v>726</v>
      </c>
      <c r="C97" s="137" t="s">
        <v>47</v>
      </c>
      <c r="D97" s="137" t="s">
        <v>583</v>
      </c>
      <c r="E97" s="137">
        <v>61.0</v>
      </c>
      <c r="F97" s="137">
        <v>23.4</v>
      </c>
      <c r="G97" s="137" t="s">
        <v>727</v>
      </c>
      <c r="H97" s="137" t="s">
        <v>728</v>
      </c>
      <c r="I97" s="137">
        <v>0.0</v>
      </c>
      <c r="J97" s="137">
        <v>7.6</v>
      </c>
      <c r="K97" s="137">
        <v>7.7</v>
      </c>
      <c r="L97" s="137">
        <v>2.1</v>
      </c>
      <c r="M97" s="137">
        <v>0.6</v>
      </c>
      <c r="N97" s="137">
        <v>1.4</v>
      </c>
      <c r="O97" s="137">
        <v>0.9</v>
      </c>
      <c r="P97" s="137">
        <v>1.79</v>
      </c>
    </row>
    <row r="98">
      <c r="A98" s="137">
        <v>97.0</v>
      </c>
      <c r="B98" s="138" t="s">
        <v>729</v>
      </c>
      <c r="C98" s="137" t="s">
        <v>432</v>
      </c>
      <c r="D98" s="137" t="s">
        <v>603</v>
      </c>
      <c r="E98" s="137">
        <v>60.0</v>
      </c>
      <c r="F98" s="137">
        <v>30.0</v>
      </c>
      <c r="G98" s="137" t="s">
        <v>730</v>
      </c>
      <c r="H98" s="137" t="s">
        <v>731</v>
      </c>
      <c r="I98" s="137">
        <v>2.5</v>
      </c>
      <c r="J98" s="137">
        <v>13.6</v>
      </c>
      <c r="K98" s="137">
        <v>3.9</v>
      </c>
      <c r="L98" s="137">
        <v>1.4</v>
      </c>
      <c r="M98" s="137">
        <v>1.0</v>
      </c>
      <c r="N98" s="137">
        <v>0.5</v>
      </c>
      <c r="O98" s="137">
        <v>0.7</v>
      </c>
      <c r="P98" s="137">
        <v>1.72</v>
      </c>
    </row>
    <row r="99">
      <c r="A99" s="137">
        <v>98.0</v>
      </c>
      <c r="B99" s="138" t="s">
        <v>732</v>
      </c>
      <c r="C99" s="137" t="s">
        <v>456</v>
      </c>
      <c r="D99" s="137" t="s">
        <v>441</v>
      </c>
      <c r="E99" s="137">
        <v>55.0</v>
      </c>
      <c r="F99" s="137">
        <v>31.3</v>
      </c>
      <c r="G99" s="137" t="s">
        <v>733</v>
      </c>
      <c r="H99" s="137" t="s">
        <v>734</v>
      </c>
      <c r="I99" s="137">
        <v>0.5</v>
      </c>
      <c r="J99" s="137">
        <v>8.4</v>
      </c>
      <c r="K99" s="137">
        <v>7.5</v>
      </c>
      <c r="L99" s="137">
        <v>6.0</v>
      </c>
      <c r="M99" s="137">
        <v>1.0</v>
      </c>
      <c r="N99" s="137">
        <v>0.7</v>
      </c>
      <c r="O99" s="137">
        <v>3.0</v>
      </c>
      <c r="P99" s="137">
        <v>1.58</v>
      </c>
    </row>
    <row r="100">
      <c r="A100" s="137">
        <v>99.0</v>
      </c>
      <c r="B100" s="138" t="s">
        <v>735</v>
      </c>
      <c r="C100" s="137" t="s">
        <v>45</v>
      </c>
      <c r="D100" s="137" t="s">
        <v>416</v>
      </c>
      <c r="E100" s="137">
        <v>65.0</v>
      </c>
      <c r="F100" s="137">
        <v>30.2</v>
      </c>
      <c r="G100" s="137" t="s">
        <v>736</v>
      </c>
      <c r="H100" s="137" t="s">
        <v>737</v>
      </c>
      <c r="I100" s="137">
        <v>2.9</v>
      </c>
      <c r="J100" s="137">
        <v>17.3</v>
      </c>
      <c r="K100" s="137">
        <v>5.9</v>
      </c>
      <c r="L100" s="137">
        <v>1.2</v>
      </c>
      <c r="M100" s="137">
        <v>0.7</v>
      </c>
      <c r="N100" s="137">
        <v>0.5</v>
      </c>
      <c r="O100" s="137">
        <v>1.2</v>
      </c>
      <c r="P100" s="137">
        <v>1.53</v>
      </c>
    </row>
    <row r="101">
      <c r="A101" s="137">
        <v>100.0</v>
      </c>
      <c r="B101" s="138" t="s">
        <v>738</v>
      </c>
      <c r="C101" s="137" t="s">
        <v>47</v>
      </c>
      <c r="D101" s="137" t="s">
        <v>547</v>
      </c>
      <c r="E101" s="137">
        <v>68.0</v>
      </c>
      <c r="F101" s="137">
        <v>26.9</v>
      </c>
      <c r="G101" s="137" t="s">
        <v>739</v>
      </c>
      <c r="H101" s="137" t="s">
        <v>740</v>
      </c>
      <c r="I101" s="137">
        <v>0.0</v>
      </c>
      <c r="J101" s="137">
        <v>8.3</v>
      </c>
      <c r="K101" s="137">
        <v>9.3</v>
      </c>
      <c r="L101" s="137">
        <v>0.7</v>
      </c>
      <c r="M101" s="137">
        <v>0.9</v>
      </c>
      <c r="N101" s="137">
        <v>1.9</v>
      </c>
      <c r="O101" s="137">
        <v>0.8</v>
      </c>
      <c r="P101" s="137">
        <v>1.49</v>
      </c>
    </row>
    <row r="102">
      <c r="A102" s="137">
        <v>101.0</v>
      </c>
      <c r="B102" s="138" t="s">
        <v>741</v>
      </c>
      <c r="C102" s="137" t="s">
        <v>432</v>
      </c>
      <c r="D102" s="137" t="s">
        <v>619</v>
      </c>
      <c r="E102" s="137">
        <v>72.0</v>
      </c>
      <c r="F102" s="137">
        <v>34.0</v>
      </c>
      <c r="G102" s="137" t="s">
        <v>742</v>
      </c>
      <c r="H102" s="137" t="s">
        <v>743</v>
      </c>
      <c r="I102" s="137">
        <v>1.3</v>
      </c>
      <c r="J102" s="137">
        <v>21.5</v>
      </c>
      <c r="K102" s="137">
        <v>7.5</v>
      </c>
      <c r="L102" s="137">
        <v>4.0</v>
      </c>
      <c r="M102" s="137">
        <v>1.0</v>
      </c>
      <c r="N102" s="137">
        <v>0.7</v>
      </c>
      <c r="O102" s="137">
        <v>2.8</v>
      </c>
      <c r="P102" s="137">
        <v>1.48</v>
      </c>
    </row>
    <row r="103">
      <c r="A103" s="137">
        <v>102.0</v>
      </c>
      <c r="B103" s="138" t="s">
        <v>744</v>
      </c>
      <c r="C103" s="137" t="s">
        <v>47</v>
      </c>
      <c r="D103" s="137" t="s">
        <v>445</v>
      </c>
      <c r="E103" s="137">
        <v>54.0</v>
      </c>
      <c r="F103" s="137">
        <v>28.0</v>
      </c>
      <c r="G103" s="137" t="s">
        <v>745</v>
      </c>
      <c r="H103" s="137" t="s">
        <v>746</v>
      </c>
      <c r="I103" s="137">
        <v>0.6</v>
      </c>
      <c r="J103" s="137">
        <v>13.2</v>
      </c>
      <c r="K103" s="137">
        <v>9.1</v>
      </c>
      <c r="L103" s="137">
        <v>2.5</v>
      </c>
      <c r="M103" s="137">
        <v>0.8</v>
      </c>
      <c r="N103" s="137">
        <v>0.9</v>
      </c>
      <c r="O103" s="137">
        <v>1.8</v>
      </c>
      <c r="P103" s="137">
        <v>1.39</v>
      </c>
    </row>
    <row r="104">
      <c r="A104" s="137">
        <v>103.0</v>
      </c>
      <c r="B104" s="138" t="s">
        <v>747</v>
      </c>
      <c r="C104" s="137" t="s">
        <v>456</v>
      </c>
      <c r="D104" s="137" t="s">
        <v>433</v>
      </c>
      <c r="E104" s="137">
        <v>58.0</v>
      </c>
      <c r="F104" s="137">
        <v>27.8</v>
      </c>
      <c r="G104" s="137" t="s">
        <v>748</v>
      </c>
      <c r="H104" s="137" t="s">
        <v>749</v>
      </c>
      <c r="I104" s="137">
        <v>1.7</v>
      </c>
      <c r="J104" s="137">
        <v>9.4</v>
      </c>
      <c r="K104" s="137">
        <v>6.6</v>
      </c>
      <c r="L104" s="137">
        <v>3.0</v>
      </c>
      <c r="M104" s="137">
        <v>0.6</v>
      </c>
      <c r="N104" s="137">
        <v>1.1</v>
      </c>
      <c r="O104" s="137">
        <v>0.7</v>
      </c>
      <c r="P104" s="137">
        <v>1.38</v>
      </c>
    </row>
    <row r="105">
      <c r="A105" s="137">
        <v>104.0</v>
      </c>
      <c r="B105" s="138" t="s">
        <v>750</v>
      </c>
      <c r="C105" s="137" t="s">
        <v>469</v>
      </c>
      <c r="D105" s="137" t="s">
        <v>554</v>
      </c>
      <c r="E105" s="137">
        <v>68.0</v>
      </c>
      <c r="F105" s="137">
        <v>31.4</v>
      </c>
      <c r="G105" s="137" t="s">
        <v>751</v>
      </c>
      <c r="H105" s="137" t="s">
        <v>752</v>
      </c>
      <c r="I105" s="137">
        <v>2.6</v>
      </c>
      <c r="J105" s="137">
        <v>19.9</v>
      </c>
      <c r="K105" s="137">
        <v>4.1</v>
      </c>
      <c r="L105" s="137">
        <v>2.1</v>
      </c>
      <c r="M105" s="137">
        <v>0.5</v>
      </c>
      <c r="N105" s="137">
        <v>0.1</v>
      </c>
      <c r="O105" s="137">
        <v>2.0</v>
      </c>
      <c r="P105" s="137">
        <v>1.37</v>
      </c>
    </row>
    <row r="106">
      <c r="A106" s="137">
        <v>105.0</v>
      </c>
      <c r="B106" s="138" t="s">
        <v>753</v>
      </c>
      <c r="C106" s="137" t="s">
        <v>469</v>
      </c>
      <c r="D106" s="137" t="s">
        <v>429</v>
      </c>
      <c r="E106" s="137">
        <v>76.0</v>
      </c>
      <c r="F106" s="137">
        <v>28.0</v>
      </c>
      <c r="G106" s="137" t="s">
        <v>754</v>
      </c>
      <c r="H106" s="137" t="s">
        <v>755</v>
      </c>
      <c r="I106" s="137">
        <v>3.1</v>
      </c>
      <c r="J106" s="137">
        <v>15.2</v>
      </c>
      <c r="K106" s="137">
        <v>4.3</v>
      </c>
      <c r="L106" s="137">
        <v>2.6</v>
      </c>
      <c r="M106" s="137">
        <v>0.9</v>
      </c>
      <c r="N106" s="137">
        <v>0.3</v>
      </c>
      <c r="O106" s="137">
        <v>1.7</v>
      </c>
      <c r="P106" s="137">
        <v>1.35</v>
      </c>
    </row>
    <row r="107">
      <c r="A107" s="137">
        <v>106.0</v>
      </c>
      <c r="B107" s="138" t="s">
        <v>756</v>
      </c>
      <c r="C107" s="137" t="s">
        <v>432</v>
      </c>
      <c r="D107" s="137" t="s">
        <v>476</v>
      </c>
      <c r="E107" s="137">
        <v>78.0</v>
      </c>
      <c r="F107" s="137">
        <v>31.0</v>
      </c>
      <c r="G107" s="137" t="s">
        <v>757</v>
      </c>
      <c r="H107" s="137" t="s">
        <v>758</v>
      </c>
      <c r="I107" s="137">
        <v>2.7</v>
      </c>
      <c r="J107" s="137">
        <v>14.0</v>
      </c>
      <c r="K107" s="137">
        <v>4.9</v>
      </c>
      <c r="L107" s="137">
        <v>1.3</v>
      </c>
      <c r="M107" s="137">
        <v>0.9</v>
      </c>
      <c r="N107" s="137">
        <v>0.6</v>
      </c>
      <c r="O107" s="137">
        <v>0.9</v>
      </c>
      <c r="P107" s="137">
        <v>1.29</v>
      </c>
    </row>
    <row r="108">
      <c r="A108" s="137">
        <v>107.0</v>
      </c>
      <c r="B108" s="138" t="s">
        <v>759</v>
      </c>
      <c r="C108" s="137" t="s">
        <v>47</v>
      </c>
      <c r="D108" s="137" t="s">
        <v>554</v>
      </c>
      <c r="E108" s="137">
        <v>70.0</v>
      </c>
      <c r="F108" s="137">
        <v>28.2</v>
      </c>
      <c r="G108" s="137" t="s">
        <v>760</v>
      </c>
      <c r="H108" s="137" t="s">
        <v>761</v>
      </c>
      <c r="I108" s="137">
        <v>0.0</v>
      </c>
      <c r="J108" s="137">
        <v>10.4</v>
      </c>
      <c r="K108" s="137">
        <v>10.1</v>
      </c>
      <c r="L108" s="137">
        <v>1.3</v>
      </c>
      <c r="M108" s="137">
        <v>0.8</v>
      </c>
      <c r="N108" s="137">
        <v>1.2</v>
      </c>
      <c r="O108" s="137">
        <v>1.6</v>
      </c>
      <c r="P108" s="137">
        <v>1.24</v>
      </c>
    </row>
    <row r="109">
      <c r="A109" s="137">
        <v>108.0</v>
      </c>
      <c r="B109" s="138" t="s">
        <v>762</v>
      </c>
      <c r="C109" s="137" t="s">
        <v>47</v>
      </c>
      <c r="D109" s="137" t="s">
        <v>491</v>
      </c>
      <c r="E109" s="137">
        <v>76.0</v>
      </c>
      <c r="F109" s="137">
        <v>27.5</v>
      </c>
      <c r="G109" s="137" t="s">
        <v>763</v>
      </c>
      <c r="H109" s="137" t="s">
        <v>764</v>
      </c>
      <c r="I109" s="137">
        <v>0.0</v>
      </c>
      <c r="J109" s="137">
        <v>11.1</v>
      </c>
      <c r="K109" s="137">
        <v>9.7</v>
      </c>
      <c r="L109" s="137">
        <v>1.4</v>
      </c>
      <c r="M109" s="137">
        <v>0.5</v>
      </c>
      <c r="N109" s="137">
        <v>1.2</v>
      </c>
      <c r="O109" s="137">
        <v>1.6</v>
      </c>
      <c r="P109" s="137">
        <v>1.23</v>
      </c>
    </row>
    <row r="110">
      <c r="A110" s="137">
        <v>109.0</v>
      </c>
      <c r="B110" s="138" t="s">
        <v>765</v>
      </c>
      <c r="C110" s="137" t="s">
        <v>766</v>
      </c>
      <c r="D110" s="137" t="s">
        <v>429</v>
      </c>
      <c r="E110" s="137">
        <v>70.0</v>
      </c>
      <c r="F110" s="137">
        <v>29.8</v>
      </c>
      <c r="G110" s="137" t="s">
        <v>767</v>
      </c>
      <c r="H110" s="137" t="s">
        <v>768</v>
      </c>
      <c r="I110" s="137">
        <v>1.0</v>
      </c>
      <c r="J110" s="137">
        <v>11.7</v>
      </c>
      <c r="K110" s="137">
        <v>5.0</v>
      </c>
      <c r="L110" s="137">
        <v>3.1</v>
      </c>
      <c r="M110" s="137">
        <v>1.2</v>
      </c>
      <c r="N110" s="137">
        <v>0.8</v>
      </c>
      <c r="O110" s="137">
        <v>1.3</v>
      </c>
      <c r="P110" s="137">
        <v>1.23</v>
      </c>
    </row>
    <row r="111">
      <c r="A111" s="137">
        <v>110.0</v>
      </c>
      <c r="B111" s="138" t="s">
        <v>769</v>
      </c>
      <c r="C111" s="137" t="s">
        <v>43</v>
      </c>
      <c r="D111" s="137" t="s">
        <v>583</v>
      </c>
      <c r="E111" s="137">
        <v>72.0</v>
      </c>
      <c r="F111" s="137">
        <v>30.5</v>
      </c>
      <c r="G111" s="137" t="s">
        <v>770</v>
      </c>
      <c r="H111" s="137" t="s">
        <v>771</v>
      </c>
      <c r="I111" s="137">
        <v>1.5</v>
      </c>
      <c r="J111" s="137">
        <v>16.4</v>
      </c>
      <c r="K111" s="137">
        <v>5.1</v>
      </c>
      <c r="L111" s="137">
        <v>5.8</v>
      </c>
      <c r="M111" s="137">
        <v>1.1</v>
      </c>
      <c r="N111" s="137">
        <v>0.3</v>
      </c>
      <c r="O111" s="137">
        <v>3.4</v>
      </c>
      <c r="P111" s="137">
        <v>1.21</v>
      </c>
    </row>
    <row r="112">
      <c r="A112" s="137">
        <v>111.0</v>
      </c>
      <c r="B112" s="138" t="s">
        <v>772</v>
      </c>
      <c r="C112" s="137" t="s">
        <v>432</v>
      </c>
      <c r="D112" s="137" t="s">
        <v>603</v>
      </c>
      <c r="E112" s="137">
        <v>69.0</v>
      </c>
      <c r="F112" s="137">
        <v>30.0</v>
      </c>
      <c r="G112" s="137" t="s">
        <v>773</v>
      </c>
      <c r="H112" s="137" t="s">
        <v>774</v>
      </c>
      <c r="I112" s="137">
        <v>0.8</v>
      </c>
      <c r="J112" s="137">
        <v>9.8</v>
      </c>
      <c r="K112" s="137">
        <v>4.0</v>
      </c>
      <c r="L112" s="137">
        <v>2.3</v>
      </c>
      <c r="M112" s="137">
        <v>1.7</v>
      </c>
      <c r="N112" s="137">
        <v>0.7</v>
      </c>
      <c r="O112" s="137">
        <v>1.3</v>
      </c>
      <c r="P112" s="137">
        <v>1.2</v>
      </c>
    </row>
    <row r="113">
      <c r="A113" s="137">
        <v>112.0</v>
      </c>
      <c r="B113" s="138" t="s">
        <v>775</v>
      </c>
      <c r="C113" s="137" t="s">
        <v>424</v>
      </c>
      <c r="D113" s="137" t="s">
        <v>547</v>
      </c>
      <c r="E113" s="137">
        <v>76.0</v>
      </c>
      <c r="F113" s="137">
        <v>28.6</v>
      </c>
      <c r="G113" s="137" t="s">
        <v>776</v>
      </c>
      <c r="H113" s="137" t="s">
        <v>777</v>
      </c>
      <c r="I113" s="137">
        <v>2.1</v>
      </c>
      <c r="J113" s="137">
        <v>15.2</v>
      </c>
      <c r="K113" s="137">
        <v>4.1</v>
      </c>
      <c r="L113" s="137">
        <v>3.9</v>
      </c>
      <c r="M113" s="137">
        <v>1.0</v>
      </c>
      <c r="N113" s="137">
        <v>0.1</v>
      </c>
      <c r="O113" s="137">
        <v>1.4</v>
      </c>
      <c r="P113" s="137">
        <v>1.2</v>
      </c>
    </row>
    <row r="114">
      <c r="A114" s="137">
        <v>113.0</v>
      </c>
      <c r="B114" s="138" t="s">
        <v>778</v>
      </c>
      <c r="C114" s="137" t="s">
        <v>456</v>
      </c>
      <c r="D114" s="137" t="s">
        <v>449</v>
      </c>
      <c r="E114" s="137">
        <v>71.0</v>
      </c>
      <c r="F114" s="137">
        <v>27.2</v>
      </c>
      <c r="G114" s="137" t="s">
        <v>779</v>
      </c>
      <c r="H114" s="137" t="s">
        <v>780</v>
      </c>
      <c r="I114" s="137">
        <v>1.6</v>
      </c>
      <c r="J114" s="137">
        <v>14.6</v>
      </c>
      <c r="K114" s="137">
        <v>9.5</v>
      </c>
      <c r="L114" s="137">
        <v>1.4</v>
      </c>
      <c r="M114" s="137">
        <v>0.6</v>
      </c>
      <c r="N114" s="137">
        <v>0.5</v>
      </c>
      <c r="O114" s="137">
        <v>1.2</v>
      </c>
      <c r="P114" s="137">
        <v>1.15</v>
      </c>
    </row>
    <row r="115">
      <c r="A115" s="137">
        <v>114.0</v>
      </c>
      <c r="B115" s="138" t="s">
        <v>781</v>
      </c>
      <c r="C115" s="137" t="s">
        <v>456</v>
      </c>
      <c r="D115" s="137" t="s">
        <v>537</v>
      </c>
      <c r="E115" s="137">
        <v>79.0</v>
      </c>
      <c r="F115" s="137">
        <v>32.2</v>
      </c>
      <c r="G115" s="137" t="s">
        <v>782</v>
      </c>
      <c r="H115" s="137" t="s">
        <v>783</v>
      </c>
      <c r="I115" s="137">
        <v>1.7</v>
      </c>
      <c r="J115" s="137">
        <v>14.8</v>
      </c>
      <c r="K115" s="137">
        <v>8.0</v>
      </c>
      <c r="L115" s="137">
        <v>1.4</v>
      </c>
      <c r="M115" s="137">
        <v>0.6</v>
      </c>
      <c r="N115" s="137">
        <v>1.2</v>
      </c>
      <c r="O115" s="137">
        <v>1.5</v>
      </c>
      <c r="P115" s="137">
        <v>1.14</v>
      </c>
    </row>
    <row r="116">
      <c r="A116" s="137">
        <v>115.0</v>
      </c>
      <c r="B116" s="138" t="s">
        <v>784</v>
      </c>
      <c r="C116" s="137" t="s">
        <v>43</v>
      </c>
      <c r="D116" s="137" t="s">
        <v>480</v>
      </c>
      <c r="E116" s="137">
        <v>67.0</v>
      </c>
      <c r="F116" s="137">
        <v>31.8</v>
      </c>
      <c r="G116" s="137" t="s">
        <v>785</v>
      </c>
      <c r="H116" s="137" t="s">
        <v>786</v>
      </c>
      <c r="I116" s="137">
        <v>1.8</v>
      </c>
      <c r="J116" s="137">
        <v>11.8</v>
      </c>
      <c r="K116" s="137">
        <v>3.5</v>
      </c>
      <c r="L116" s="137">
        <v>5.3</v>
      </c>
      <c r="M116" s="137">
        <v>1.6</v>
      </c>
      <c r="N116" s="137">
        <v>0.3</v>
      </c>
      <c r="O116" s="137">
        <v>2.3</v>
      </c>
      <c r="P116" s="137">
        <v>1.12</v>
      </c>
    </row>
    <row r="117">
      <c r="A117" s="137">
        <v>116.0</v>
      </c>
      <c r="B117" s="138" t="s">
        <v>787</v>
      </c>
      <c r="C117" s="137" t="s">
        <v>47</v>
      </c>
      <c r="D117" s="137" t="s">
        <v>619</v>
      </c>
      <c r="E117" s="137">
        <v>62.0</v>
      </c>
      <c r="F117" s="137">
        <v>29.9</v>
      </c>
      <c r="G117" s="137" t="s">
        <v>788</v>
      </c>
      <c r="H117" s="137" t="s">
        <v>789</v>
      </c>
      <c r="I117" s="137">
        <v>1.3</v>
      </c>
      <c r="J117" s="137">
        <v>15.4</v>
      </c>
      <c r="K117" s="137">
        <v>8.7</v>
      </c>
      <c r="L117" s="137">
        <v>2.2</v>
      </c>
      <c r="M117" s="137">
        <v>0.6</v>
      </c>
      <c r="N117" s="137">
        <v>0.7</v>
      </c>
      <c r="O117" s="137">
        <v>1.9</v>
      </c>
      <c r="P117" s="137">
        <v>1.12</v>
      </c>
    </row>
    <row r="118">
      <c r="A118" s="137">
        <v>117.0</v>
      </c>
      <c r="B118" s="138" t="s">
        <v>790</v>
      </c>
      <c r="C118" s="137" t="s">
        <v>43</v>
      </c>
      <c r="D118" s="137" t="s">
        <v>398</v>
      </c>
      <c r="E118" s="137">
        <v>68.0</v>
      </c>
      <c r="F118" s="137">
        <v>29.4</v>
      </c>
      <c r="G118" s="137" t="s">
        <v>791</v>
      </c>
      <c r="H118" s="137" t="s">
        <v>792</v>
      </c>
      <c r="I118" s="137">
        <v>2.1</v>
      </c>
      <c r="J118" s="137">
        <v>12.4</v>
      </c>
      <c r="K118" s="137">
        <v>2.8</v>
      </c>
      <c r="L118" s="137">
        <v>6.0</v>
      </c>
      <c r="M118" s="137">
        <v>1.1</v>
      </c>
      <c r="N118" s="137">
        <v>0.2</v>
      </c>
      <c r="O118" s="137">
        <v>1.6</v>
      </c>
      <c r="P118" s="137">
        <v>1.06</v>
      </c>
    </row>
    <row r="119">
      <c r="A119" s="137">
        <v>118.0</v>
      </c>
      <c r="B119" s="138" t="s">
        <v>793</v>
      </c>
      <c r="C119" s="137" t="s">
        <v>43</v>
      </c>
      <c r="D119" s="137" t="s">
        <v>503</v>
      </c>
      <c r="E119" s="137">
        <v>73.0</v>
      </c>
      <c r="F119" s="137">
        <v>33.5</v>
      </c>
      <c r="G119" s="137" t="s">
        <v>794</v>
      </c>
      <c r="H119" s="137" t="s">
        <v>795</v>
      </c>
      <c r="I119" s="137">
        <v>2.1</v>
      </c>
      <c r="J119" s="137">
        <v>16.5</v>
      </c>
      <c r="K119" s="137">
        <v>4.0</v>
      </c>
      <c r="L119" s="137">
        <v>6.2</v>
      </c>
      <c r="M119" s="137">
        <v>0.8</v>
      </c>
      <c r="N119" s="137">
        <v>0.3</v>
      </c>
      <c r="O119" s="137">
        <v>1.8</v>
      </c>
      <c r="P119" s="137">
        <v>1.05</v>
      </c>
    </row>
    <row r="120">
      <c r="A120" s="137">
        <v>119.0</v>
      </c>
      <c r="B120" s="138" t="s">
        <v>796</v>
      </c>
      <c r="C120" s="137" t="s">
        <v>43</v>
      </c>
      <c r="D120" s="137" t="s">
        <v>567</v>
      </c>
      <c r="E120" s="137">
        <v>69.0</v>
      </c>
      <c r="F120" s="137">
        <v>29.2</v>
      </c>
      <c r="G120" s="137" t="s">
        <v>797</v>
      </c>
      <c r="H120" s="137" t="s">
        <v>798</v>
      </c>
      <c r="I120" s="137">
        <v>0.5</v>
      </c>
      <c r="J120" s="137">
        <v>12.1</v>
      </c>
      <c r="K120" s="137">
        <v>3.8</v>
      </c>
      <c r="L120" s="137">
        <v>6.4</v>
      </c>
      <c r="M120" s="137">
        <v>1.2</v>
      </c>
      <c r="N120" s="137">
        <v>0.2</v>
      </c>
      <c r="O120" s="137">
        <v>1.5</v>
      </c>
      <c r="P120" s="137">
        <v>0.96</v>
      </c>
    </row>
    <row r="121">
      <c r="A121" s="137">
        <v>120.0</v>
      </c>
      <c r="B121" s="138" t="s">
        <v>799</v>
      </c>
      <c r="C121" s="137" t="s">
        <v>469</v>
      </c>
      <c r="D121" s="137" t="s">
        <v>416</v>
      </c>
      <c r="E121" s="137">
        <v>76.0</v>
      </c>
      <c r="F121" s="137">
        <v>31.1</v>
      </c>
      <c r="G121" s="137" t="s">
        <v>800</v>
      </c>
      <c r="H121" s="137" t="s">
        <v>801</v>
      </c>
      <c r="I121" s="137">
        <v>1.8</v>
      </c>
      <c r="J121" s="137">
        <v>12.1</v>
      </c>
      <c r="K121" s="137">
        <v>3.1</v>
      </c>
      <c r="L121" s="137">
        <v>2.2</v>
      </c>
      <c r="M121" s="137">
        <v>1.4</v>
      </c>
      <c r="N121" s="137">
        <v>0.4</v>
      </c>
      <c r="O121" s="137">
        <v>1.2</v>
      </c>
      <c r="P121" s="137">
        <v>0.69</v>
      </c>
    </row>
    <row r="122">
      <c r="A122" s="137">
        <v>121.0</v>
      </c>
      <c r="B122" s="138" t="s">
        <v>802</v>
      </c>
      <c r="C122" s="137" t="s">
        <v>432</v>
      </c>
      <c r="D122" s="137" t="s">
        <v>441</v>
      </c>
      <c r="E122" s="137">
        <v>69.0</v>
      </c>
      <c r="F122" s="137">
        <v>32.5</v>
      </c>
      <c r="G122" s="137" t="s">
        <v>803</v>
      </c>
      <c r="H122" s="137" t="s">
        <v>804</v>
      </c>
      <c r="I122" s="137">
        <v>2.3</v>
      </c>
      <c r="J122" s="137">
        <v>17.6</v>
      </c>
      <c r="K122" s="137">
        <v>4.8</v>
      </c>
      <c r="L122" s="137">
        <v>2.3</v>
      </c>
      <c r="M122" s="137">
        <v>1.1</v>
      </c>
      <c r="N122" s="137">
        <v>0.7</v>
      </c>
      <c r="O122" s="137">
        <v>1.5</v>
      </c>
      <c r="P122" s="137">
        <v>0.66</v>
      </c>
    </row>
    <row r="123">
      <c r="A123" s="137">
        <v>122.0</v>
      </c>
      <c r="B123" s="138" t="s">
        <v>805</v>
      </c>
      <c r="C123" s="137" t="s">
        <v>432</v>
      </c>
      <c r="D123" s="137" t="s">
        <v>398</v>
      </c>
      <c r="E123" s="137">
        <v>69.0</v>
      </c>
      <c r="F123" s="137">
        <v>25.8</v>
      </c>
      <c r="G123" s="137" t="s">
        <v>806</v>
      </c>
      <c r="H123" s="137" t="s">
        <v>807</v>
      </c>
      <c r="I123" s="137">
        <v>0.6</v>
      </c>
      <c r="J123" s="137">
        <v>9.2</v>
      </c>
      <c r="K123" s="137">
        <v>5.6</v>
      </c>
      <c r="L123" s="137">
        <v>3.9</v>
      </c>
      <c r="M123" s="137">
        <v>1.1</v>
      </c>
      <c r="N123" s="137">
        <v>0.8</v>
      </c>
      <c r="O123" s="137">
        <v>1.3</v>
      </c>
      <c r="P123" s="137">
        <v>0.63</v>
      </c>
    </row>
    <row r="124">
      <c r="A124" s="137">
        <v>123.0</v>
      </c>
      <c r="B124" s="138" t="s">
        <v>808</v>
      </c>
      <c r="C124" s="137" t="s">
        <v>469</v>
      </c>
      <c r="D124" s="137" t="s">
        <v>476</v>
      </c>
      <c r="E124" s="137">
        <v>74.0</v>
      </c>
      <c r="F124" s="137">
        <v>30.0</v>
      </c>
      <c r="G124" s="137" t="s">
        <v>809</v>
      </c>
      <c r="H124" s="137" t="s">
        <v>810</v>
      </c>
      <c r="I124" s="137">
        <v>2.5</v>
      </c>
      <c r="J124" s="137">
        <v>14.0</v>
      </c>
      <c r="K124" s="137">
        <v>3.5</v>
      </c>
      <c r="L124" s="137">
        <v>2.9</v>
      </c>
      <c r="M124" s="137">
        <v>0.9</v>
      </c>
      <c r="N124" s="137">
        <v>0.4</v>
      </c>
      <c r="O124" s="137">
        <v>1.3</v>
      </c>
      <c r="P124" s="137">
        <v>0.61</v>
      </c>
    </row>
    <row r="125">
      <c r="A125" s="137">
        <v>124.0</v>
      </c>
      <c r="B125" s="138" t="s">
        <v>811</v>
      </c>
      <c r="C125" s="137" t="s">
        <v>432</v>
      </c>
      <c r="D125" s="137" t="s">
        <v>537</v>
      </c>
      <c r="E125" s="137">
        <v>78.0</v>
      </c>
      <c r="F125" s="137">
        <v>25.3</v>
      </c>
      <c r="G125" s="137" t="s">
        <v>812</v>
      </c>
      <c r="H125" s="137" t="s">
        <v>813</v>
      </c>
      <c r="I125" s="137">
        <v>0.9</v>
      </c>
      <c r="J125" s="137">
        <v>11.4</v>
      </c>
      <c r="K125" s="137">
        <v>7.4</v>
      </c>
      <c r="L125" s="137">
        <v>1.3</v>
      </c>
      <c r="M125" s="137">
        <v>1.3</v>
      </c>
      <c r="N125" s="137">
        <v>0.7</v>
      </c>
      <c r="O125" s="137">
        <v>1.5</v>
      </c>
      <c r="P125" s="137">
        <v>0.58</v>
      </c>
    </row>
    <row r="126">
      <c r="A126" s="137">
        <v>125.0</v>
      </c>
      <c r="B126" s="138" t="s">
        <v>814</v>
      </c>
      <c r="C126" s="137" t="s">
        <v>432</v>
      </c>
      <c r="D126" s="137" t="s">
        <v>398</v>
      </c>
      <c r="E126" s="137">
        <v>74.0</v>
      </c>
      <c r="F126" s="137">
        <v>30.8</v>
      </c>
      <c r="G126" s="137" t="s">
        <v>815</v>
      </c>
      <c r="H126" s="137" t="s">
        <v>816</v>
      </c>
      <c r="I126" s="137">
        <v>1.4</v>
      </c>
      <c r="J126" s="137">
        <v>11.8</v>
      </c>
      <c r="K126" s="137">
        <v>4.4</v>
      </c>
      <c r="L126" s="137">
        <v>1.7</v>
      </c>
      <c r="M126" s="137">
        <v>0.9</v>
      </c>
      <c r="N126" s="137">
        <v>1.0</v>
      </c>
      <c r="O126" s="137">
        <v>1.4</v>
      </c>
      <c r="P126" s="137">
        <v>0.55</v>
      </c>
    </row>
    <row r="127">
      <c r="A127" s="137">
        <v>126.0</v>
      </c>
      <c r="B127" s="138" t="s">
        <v>817</v>
      </c>
      <c r="C127" s="137" t="s">
        <v>46</v>
      </c>
      <c r="D127" s="137" t="s">
        <v>457</v>
      </c>
      <c r="E127" s="137">
        <v>76.0</v>
      </c>
      <c r="F127" s="137">
        <v>26.4</v>
      </c>
      <c r="G127" s="137" t="s">
        <v>818</v>
      </c>
      <c r="H127" s="137" t="s">
        <v>819</v>
      </c>
      <c r="I127" s="137">
        <v>0.2</v>
      </c>
      <c r="J127" s="137">
        <v>8.0</v>
      </c>
      <c r="K127" s="137">
        <v>8.6</v>
      </c>
      <c r="L127" s="137">
        <v>2.0</v>
      </c>
      <c r="M127" s="137">
        <v>1.3</v>
      </c>
      <c r="N127" s="137">
        <v>0.5</v>
      </c>
      <c r="O127" s="137">
        <v>1.2</v>
      </c>
      <c r="P127" s="137">
        <v>0.42</v>
      </c>
    </row>
    <row r="128">
      <c r="A128" s="137">
        <v>127.0</v>
      </c>
      <c r="B128" s="138" t="s">
        <v>820</v>
      </c>
      <c r="C128" s="137" t="s">
        <v>821</v>
      </c>
      <c r="D128" s="137" t="s">
        <v>503</v>
      </c>
      <c r="E128" s="137">
        <v>50.0</v>
      </c>
      <c r="F128" s="137">
        <v>26.3</v>
      </c>
      <c r="G128" s="137" t="s">
        <v>822</v>
      </c>
      <c r="H128" s="137" t="s">
        <v>823</v>
      </c>
      <c r="I128" s="137">
        <v>0.0</v>
      </c>
      <c r="J128" s="137">
        <v>8.5</v>
      </c>
      <c r="K128" s="137">
        <v>6.3</v>
      </c>
      <c r="L128" s="137">
        <v>6.2</v>
      </c>
      <c r="M128" s="137">
        <v>1.3</v>
      </c>
      <c r="N128" s="137">
        <v>0.6</v>
      </c>
      <c r="O128" s="137">
        <v>2.3</v>
      </c>
      <c r="P128" s="137">
        <v>0.35</v>
      </c>
    </row>
    <row r="129">
      <c r="A129" s="137">
        <v>128.0</v>
      </c>
      <c r="B129" s="138" t="s">
        <v>824</v>
      </c>
      <c r="C129" s="137" t="s">
        <v>469</v>
      </c>
      <c r="D129" s="137" t="s">
        <v>583</v>
      </c>
      <c r="E129" s="137">
        <v>72.0</v>
      </c>
      <c r="F129" s="137">
        <v>27.0</v>
      </c>
      <c r="G129" s="137" t="s">
        <v>825</v>
      </c>
      <c r="H129" s="137" t="s">
        <v>826</v>
      </c>
      <c r="I129" s="137">
        <v>1.2</v>
      </c>
      <c r="J129" s="137">
        <v>6.8</v>
      </c>
      <c r="K129" s="137">
        <v>2.8</v>
      </c>
      <c r="L129" s="137">
        <v>1.2</v>
      </c>
      <c r="M129" s="137">
        <v>1.6</v>
      </c>
      <c r="N129" s="137">
        <v>1.0</v>
      </c>
      <c r="O129" s="137">
        <v>0.6</v>
      </c>
      <c r="P129" s="137">
        <v>0.34</v>
      </c>
    </row>
    <row r="130">
      <c r="A130" s="137">
        <v>129.0</v>
      </c>
      <c r="B130" s="138" t="s">
        <v>827</v>
      </c>
      <c r="C130" s="137" t="s">
        <v>46</v>
      </c>
      <c r="D130" s="137" t="s">
        <v>429</v>
      </c>
      <c r="E130" s="137">
        <v>70.0</v>
      </c>
      <c r="F130" s="137">
        <v>29.5</v>
      </c>
      <c r="G130" s="137" t="s">
        <v>828</v>
      </c>
      <c r="H130" s="137" t="s">
        <v>829</v>
      </c>
      <c r="I130" s="137">
        <v>1.5</v>
      </c>
      <c r="J130" s="137">
        <v>14.7</v>
      </c>
      <c r="K130" s="137">
        <v>5.6</v>
      </c>
      <c r="L130" s="137">
        <v>1.6</v>
      </c>
      <c r="M130" s="137">
        <v>0.6</v>
      </c>
      <c r="N130" s="137">
        <v>0.6</v>
      </c>
      <c r="O130" s="137">
        <v>1.2</v>
      </c>
      <c r="P130" s="137">
        <v>0.29</v>
      </c>
    </row>
    <row r="131">
      <c r="A131" s="137">
        <v>130.0</v>
      </c>
      <c r="B131" s="138" t="s">
        <v>830</v>
      </c>
      <c r="C131" s="137" t="s">
        <v>424</v>
      </c>
      <c r="D131" s="137" t="s">
        <v>590</v>
      </c>
      <c r="E131" s="137">
        <v>68.0</v>
      </c>
      <c r="F131" s="137">
        <v>24.0</v>
      </c>
      <c r="G131" s="137" t="s">
        <v>831</v>
      </c>
      <c r="H131" s="137" t="s">
        <v>832</v>
      </c>
      <c r="I131" s="137">
        <v>0.8</v>
      </c>
      <c r="J131" s="137">
        <v>6.5</v>
      </c>
      <c r="K131" s="137">
        <v>3.6</v>
      </c>
      <c r="L131" s="137">
        <v>3.5</v>
      </c>
      <c r="M131" s="137">
        <v>1.6</v>
      </c>
      <c r="N131" s="137">
        <v>0.3</v>
      </c>
      <c r="O131" s="137">
        <v>0.8</v>
      </c>
      <c r="P131" s="137">
        <v>0.28</v>
      </c>
    </row>
    <row r="132">
      <c r="A132" s="137">
        <v>131.0</v>
      </c>
      <c r="B132" s="138" t="s">
        <v>833</v>
      </c>
      <c r="C132" s="137" t="s">
        <v>424</v>
      </c>
      <c r="D132" s="137" t="s">
        <v>507</v>
      </c>
      <c r="E132" s="137">
        <v>68.0</v>
      </c>
      <c r="F132" s="137">
        <v>31.0</v>
      </c>
      <c r="G132" s="137" t="s">
        <v>834</v>
      </c>
      <c r="H132" s="137" t="s">
        <v>835</v>
      </c>
      <c r="I132" s="137">
        <v>2.6</v>
      </c>
      <c r="J132" s="137">
        <v>19.2</v>
      </c>
      <c r="K132" s="137">
        <v>3.9</v>
      </c>
      <c r="L132" s="137">
        <v>3.5</v>
      </c>
      <c r="M132" s="137">
        <v>0.8</v>
      </c>
      <c r="N132" s="137">
        <v>0.2</v>
      </c>
      <c r="O132" s="137">
        <v>2.4</v>
      </c>
      <c r="P132" s="137">
        <v>0.25</v>
      </c>
    </row>
    <row r="133">
      <c r="A133" s="137">
        <v>132.0</v>
      </c>
      <c r="B133" s="138" t="s">
        <v>836</v>
      </c>
      <c r="C133" s="137" t="s">
        <v>46</v>
      </c>
      <c r="D133" s="137" t="s">
        <v>416</v>
      </c>
      <c r="E133" s="137">
        <v>70.0</v>
      </c>
      <c r="F133" s="137">
        <v>31.3</v>
      </c>
      <c r="G133" s="137" t="s">
        <v>837</v>
      </c>
      <c r="H133" s="137" t="s">
        <v>838</v>
      </c>
      <c r="I133" s="137">
        <v>1.1</v>
      </c>
      <c r="J133" s="137">
        <v>16.0</v>
      </c>
      <c r="K133" s="137">
        <v>6.3</v>
      </c>
      <c r="L133" s="137">
        <v>2.8</v>
      </c>
      <c r="M133" s="137">
        <v>0.7</v>
      </c>
      <c r="N133" s="137">
        <v>0.7</v>
      </c>
      <c r="O133" s="137">
        <v>1.7</v>
      </c>
      <c r="P133" s="137">
        <v>0.22</v>
      </c>
    </row>
    <row r="134">
      <c r="A134" s="137">
        <v>133.0</v>
      </c>
      <c r="B134" s="138" t="s">
        <v>839</v>
      </c>
      <c r="C134" s="137" t="s">
        <v>469</v>
      </c>
      <c r="D134" s="137" t="s">
        <v>491</v>
      </c>
      <c r="E134" s="137">
        <v>60.0</v>
      </c>
      <c r="F134" s="137">
        <v>27.1</v>
      </c>
      <c r="G134" s="137" t="s">
        <v>840</v>
      </c>
      <c r="H134" s="137" t="s">
        <v>841</v>
      </c>
      <c r="I134" s="137">
        <v>2.0</v>
      </c>
      <c r="J134" s="137">
        <v>17.0</v>
      </c>
      <c r="K134" s="137">
        <v>2.9</v>
      </c>
      <c r="L134" s="137">
        <v>1.9</v>
      </c>
      <c r="M134" s="137">
        <v>0.8</v>
      </c>
      <c r="N134" s="137">
        <v>0.4</v>
      </c>
      <c r="O134" s="137">
        <v>1.5</v>
      </c>
      <c r="P134" s="137">
        <v>0.06</v>
      </c>
    </row>
    <row r="135">
      <c r="A135" s="137">
        <v>134.0</v>
      </c>
      <c r="B135" s="138" t="s">
        <v>842</v>
      </c>
      <c r="C135" s="137" t="s">
        <v>514</v>
      </c>
      <c r="D135" s="137" t="s">
        <v>473</v>
      </c>
      <c r="E135" s="137">
        <v>52.0</v>
      </c>
      <c r="F135" s="137">
        <v>26.8</v>
      </c>
      <c r="G135" s="137" t="s">
        <v>843</v>
      </c>
      <c r="H135" s="137" t="s">
        <v>844</v>
      </c>
      <c r="I135" s="137">
        <v>2.5</v>
      </c>
      <c r="J135" s="137">
        <v>13.8</v>
      </c>
      <c r="K135" s="137">
        <v>3.4</v>
      </c>
      <c r="L135" s="137">
        <v>2.8</v>
      </c>
      <c r="M135" s="137">
        <v>0.9</v>
      </c>
      <c r="N135" s="137">
        <v>0.3</v>
      </c>
      <c r="O135" s="137">
        <v>1.1</v>
      </c>
      <c r="P135" s="137">
        <v>0.01</v>
      </c>
    </row>
    <row r="136">
      <c r="A136" s="137">
        <v>135.0</v>
      </c>
      <c r="B136" s="138" t="s">
        <v>845</v>
      </c>
      <c r="C136" s="137" t="s">
        <v>46</v>
      </c>
      <c r="D136" s="137" t="s">
        <v>533</v>
      </c>
      <c r="E136" s="137">
        <v>72.0</v>
      </c>
      <c r="F136" s="137">
        <v>29.3</v>
      </c>
      <c r="G136" s="137" t="s">
        <v>846</v>
      </c>
      <c r="H136" s="137" t="s">
        <v>847</v>
      </c>
      <c r="I136" s="137">
        <v>1.4</v>
      </c>
      <c r="J136" s="137">
        <v>10.7</v>
      </c>
      <c r="K136" s="137">
        <v>4.3</v>
      </c>
      <c r="L136" s="137">
        <v>1.2</v>
      </c>
      <c r="M136" s="137">
        <v>0.9</v>
      </c>
      <c r="N136" s="137">
        <v>0.9</v>
      </c>
      <c r="O136" s="137">
        <v>1.3</v>
      </c>
      <c r="P136" s="137">
        <v>-0.01</v>
      </c>
    </row>
    <row r="137">
      <c r="A137" s="137">
        <v>136.0</v>
      </c>
      <c r="B137" s="138" t="s">
        <v>848</v>
      </c>
      <c r="C137" s="137" t="s">
        <v>44</v>
      </c>
      <c r="D137" s="137" t="s">
        <v>487</v>
      </c>
      <c r="E137" s="137">
        <v>65.0</v>
      </c>
      <c r="F137" s="137">
        <v>27.5</v>
      </c>
      <c r="G137" s="137" t="s">
        <v>849</v>
      </c>
      <c r="H137" s="137" t="s">
        <v>850</v>
      </c>
      <c r="I137" s="137">
        <v>1.9</v>
      </c>
      <c r="J137" s="137">
        <v>11.7</v>
      </c>
      <c r="K137" s="137">
        <v>3.2</v>
      </c>
      <c r="L137" s="137">
        <v>2.6</v>
      </c>
      <c r="M137" s="137">
        <v>1.1</v>
      </c>
      <c r="N137" s="137">
        <v>0.4</v>
      </c>
      <c r="O137" s="137">
        <v>1.4</v>
      </c>
      <c r="P137" s="137">
        <v>-0.01</v>
      </c>
    </row>
    <row r="138">
      <c r="A138" s="137">
        <v>137.0</v>
      </c>
      <c r="B138" s="138" t="s">
        <v>851</v>
      </c>
      <c r="C138" s="137" t="s">
        <v>469</v>
      </c>
      <c r="D138" s="137" t="s">
        <v>487</v>
      </c>
      <c r="E138" s="137">
        <v>70.0</v>
      </c>
      <c r="F138" s="137">
        <v>29.6</v>
      </c>
      <c r="G138" s="137" t="s">
        <v>852</v>
      </c>
      <c r="H138" s="137" t="s">
        <v>853</v>
      </c>
      <c r="I138" s="137">
        <v>1.3</v>
      </c>
      <c r="J138" s="137">
        <v>10.7</v>
      </c>
      <c r="K138" s="137">
        <v>5.0</v>
      </c>
      <c r="L138" s="137">
        <v>1.6</v>
      </c>
      <c r="M138" s="137">
        <v>1.1</v>
      </c>
      <c r="N138" s="137">
        <v>0.5</v>
      </c>
      <c r="O138" s="137">
        <v>1.1</v>
      </c>
      <c r="P138" s="137">
        <v>-0.02</v>
      </c>
    </row>
    <row r="139">
      <c r="A139" s="137">
        <v>138.0</v>
      </c>
      <c r="B139" s="138" t="s">
        <v>854</v>
      </c>
      <c r="C139" s="137" t="s">
        <v>469</v>
      </c>
      <c r="D139" s="137" t="s">
        <v>547</v>
      </c>
      <c r="E139" s="137">
        <v>70.0</v>
      </c>
      <c r="F139" s="137">
        <v>25.1</v>
      </c>
      <c r="G139" s="137" t="s">
        <v>855</v>
      </c>
      <c r="H139" s="137" t="s">
        <v>856</v>
      </c>
      <c r="I139" s="137">
        <v>2.0</v>
      </c>
      <c r="J139" s="137">
        <v>9.3</v>
      </c>
      <c r="K139" s="137">
        <v>4.3</v>
      </c>
      <c r="L139" s="137">
        <v>3.2</v>
      </c>
      <c r="M139" s="137">
        <v>1.3</v>
      </c>
      <c r="N139" s="137">
        <v>0.2</v>
      </c>
      <c r="O139" s="137">
        <v>1.6</v>
      </c>
      <c r="P139" s="137">
        <v>-0.04</v>
      </c>
    </row>
    <row r="140">
      <c r="A140" s="137">
        <v>139.0</v>
      </c>
      <c r="B140" s="138" t="s">
        <v>857</v>
      </c>
      <c r="C140" s="137" t="s">
        <v>46</v>
      </c>
      <c r="D140" s="137" t="s">
        <v>461</v>
      </c>
      <c r="E140" s="137">
        <v>72.0</v>
      </c>
      <c r="F140" s="137">
        <v>27.2</v>
      </c>
      <c r="G140" s="137" t="s">
        <v>858</v>
      </c>
      <c r="H140" s="137" t="s">
        <v>859</v>
      </c>
      <c r="I140" s="137">
        <v>1.7</v>
      </c>
      <c r="J140" s="137">
        <v>12.0</v>
      </c>
      <c r="K140" s="137">
        <v>4.6</v>
      </c>
      <c r="L140" s="137">
        <v>2.1</v>
      </c>
      <c r="M140" s="137">
        <v>0.8</v>
      </c>
      <c r="N140" s="137">
        <v>0.9</v>
      </c>
      <c r="O140" s="137">
        <v>1.3</v>
      </c>
      <c r="P140" s="137">
        <v>-0.04</v>
      </c>
    </row>
    <row r="141">
      <c r="A141" s="137">
        <v>140.0</v>
      </c>
      <c r="B141" s="138" t="s">
        <v>860</v>
      </c>
      <c r="C141" s="137" t="s">
        <v>43</v>
      </c>
      <c r="D141" s="137" t="s">
        <v>487</v>
      </c>
      <c r="E141" s="137">
        <v>60.0</v>
      </c>
      <c r="F141" s="137">
        <v>26.2</v>
      </c>
      <c r="G141" s="137" t="s">
        <v>861</v>
      </c>
      <c r="H141" s="137" t="s">
        <v>862</v>
      </c>
      <c r="I141" s="137">
        <v>1.7</v>
      </c>
      <c r="J141" s="137">
        <v>10.0</v>
      </c>
      <c r="K141" s="137">
        <v>3.5</v>
      </c>
      <c r="L141" s="137">
        <v>5.2</v>
      </c>
      <c r="M141" s="137">
        <v>0.9</v>
      </c>
      <c r="N141" s="137">
        <v>0.3</v>
      </c>
      <c r="O141" s="137">
        <v>1.9</v>
      </c>
      <c r="P141" s="137">
        <v>-0.1</v>
      </c>
    </row>
    <row r="142">
      <c r="A142" s="137">
        <v>141.0</v>
      </c>
      <c r="B142" s="138" t="s">
        <v>863</v>
      </c>
      <c r="C142" s="137" t="s">
        <v>432</v>
      </c>
      <c r="D142" s="137" t="s">
        <v>473</v>
      </c>
      <c r="E142" s="137">
        <v>78.0</v>
      </c>
      <c r="F142" s="137">
        <v>30.2</v>
      </c>
      <c r="G142" s="137" t="s">
        <v>864</v>
      </c>
      <c r="H142" s="137" t="s">
        <v>865</v>
      </c>
      <c r="I142" s="137">
        <v>2.2</v>
      </c>
      <c r="J142" s="137">
        <v>15.3</v>
      </c>
      <c r="K142" s="137">
        <v>4.9</v>
      </c>
      <c r="L142" s="137">
        <v>2.1</v>
      </c>
      <c r="M142" s="137">
        <v>0.9</v>
      </c>
      <c r="N142" s="137">
        <v>0.2</v>
      </c>
      <c r="O142" s="137">
        <v>1.0</v>
      </c>
      <c r="P142" s="137">
        <v>-0.12</v>
      </c>
    </row>
    <row r="143">
      <c r="A143" s="137">
        <v>142.0</v>
      </c>
      <c r="B143" s="138" t="s">
        <v>866</v>
      </c>
      <c r="C143" s="137" t="s">
        <v>424</v>
      </c>
      <c r="D143" s="137" t="s">
        <v>533</v>
      </c>
      <c r="E143" s="137">
        <v>64.0</v>
      </c>
      <c r="F143" s="137">
        <v>25.1</v>
      </c>
      <c r="G143" s="137" t="s">
        <v>867</v>
      </c>
      <c r="H143" s="137" t="s">
        <v>868</v>
      </c>
      <c r="I143" s="137">
        <v>0.9</v>
      </c>
      <c r="J143" s="137">
        <v>6.3</v>
      </c>
      <c r="K143" s="137">
        <v>3.2</v>
      </c>
      <c r="L143" s="137">
        <v>3.3</v>
      </c>
      <c r="M143" s="137">
        <v>1.6</v>
      </c>
      <c r="N143" s="137">
        <v>0.6</v>
      </c>
      <c r="O143" s="137">
        <v>1.3</v>
      </c>
      <c r="P143" s="137">
        <v>-0.14</v>
      </c>
    </row>
    <row r="144">
      <c r="A144" s="137">
        <v>143.0</v>
      </c>
      <c r="B144" s="138" t="s">
        <v>869</v>
      </c>
      <c r="C144" s="137" t="s">
        <v>424</v>
      </c>
      <c r="D144" s="137" t="s">
        <v>533</v>
      </c>
      <c r="E144" s="137">
        <v>72.0</v>
      </c>
      <c r="F144" s="137">
        <v>28.4</v>
      </c>
      <c r="G144" s="137" t="s">
        <v>870</v>
      </c>
      <c r="H144" s="137" t="s">
        <v>871</v>
      </c>
      <c r="I144" s="137">
        <v>2.2</v>
      </c>
      <c r="J144" s="137">
        <v>10.0</v>
      </c>
      <c r="K144" s="137">
        <v>3.3</v>
      </c>
      <c r="L144" s="137">
        <v>3.8</v>
      </c>
      <c r="M144" s="137">
        <v>1.0</v>
      </c>
      <c r="N144" s="137">
        <v>0.5</v>
      </c>
      <c r="O144" s="137">
        <v>1.2</v>
      </c>
      <c r="P144" s="137">
        <v>-0.17</v>
      </c>
    </row>
    <row r="145">
      <c r="A145" s="137">
        <v>144.0</v>
      </c>
      <c r="B145" s="138" t="s">
        <v>872</v>
      </c>
      <c r="C145" s="137" t="s">
        <v>45</v>
      </c>
      <c r="D145" s="137" t="s">
        <v>461</v>
      </c>
      <c r="E145" s="137">
        <v>72.0</v>
      </c>
      <c r="F145" s="137">
        <v>30.0</v>
      </c>
      <c r="G145" s="137" t="s">
        <v>873</v>
      </c>
      <c r="H145" s="137" t="s">
        <v>874</v>
      </c>
      <c r="I145" s="137">
        <v>2.2</v>
      </c>
      <c r="J145" s="137">
        <v>15.0</v>
      </c>
      <c r="K145" s="137">
        <v>4.8</v>
      </c>
      <c r="L145" s="137">
        <v>2.0</v>
      </c>
      <c r="M145" s="137">
        <v>0.8</v>
      </c>
      <c r="N145" s="137">
        <v>0.3</v>
      </c>
      <c r="O145" s="137">
        <v>1.4</v>
      </c>
      <c r="P145" s="137">
        <v>-0.23</v>
      </c>
    </row>
    <row r="146">
      <c r="A146" s="137">
        <v>145.0</v>
      </c>
      <c r="B146" s="138" t="s">
        <v>875</v>
      </c>
      <c r="C146" s="137" t="s">
        <v>43</v>
      </c>
      <c r="D146" s="137" t="s">
        <v>619</v>
      </c>
      <c r="E146" s="137">
        <v>64.0</v>
      </c>
      <c r="F146" s="137">
        <v>25.0</v>
      </c>
      <c r="G146" s="137" t="s">
        <v>876</v>
      </c>
      <c r="H146" s="137" t="s">
        <v>877</v>
      </c>
      <c r="I146" s="137">
        <v>1.5</v>
      </c>
      <c r="J146" s="137">
        <v>12.9</v>
      </c>
      <c r="K146" s="137">
        <v>4.5</v>
      </c>
      <c r="L146" s="137">
        <v>4.0</v>
      </c>
      <c r="M146" s="137">
        <v>0.6</v>
      </c>
      <c r="N146" s="137">
        <v>0.3</v>
      </c>
      <c r="O146" s="137">
        <v>1.8</v>
      </c>
      <c r="P146" s="137">
        <v>-0.25</v>
      </c>
    </row>
    <row r="147">
      <c r="A147" s="137">
        <v>146.0</v>
      </c>
      <c r="B147" s="138" t="s">
        <v>878</v>
      </c>
      <c r="C147" s="137" t="s">
        <v>424</v>
      </c>
      <c r="D147" s="137" t="s">
        <v>583</v>
      </c>
      <c r="E147" s="137">
        <v>61.0</v>
      </c>
      <c r="F147" s="137">
        <v>24.7</v>
      </c>
      <c r="G147" s="137" t="s">
        <v>879</v>
      </c>
      <c r="H147" s="137" t="s">
        <v>880</v>
      </c>
      <c r="I147" s="137">
        <v>1.5</v>
      </c>
      <c r="J147" s="137">
        <v>13.3</v>
      </c>
      <c r="K147" s="137">
        <v>3.7</v>
      </c>
      <c r="L147" s="137">
        <v>3.6</v>
      </c>
      <c r="M147" s="137">
        <v>0.6</v>
      </c>
      <c r="N147" s="137">
        <v>0.3</v>
      </c>
      <c r="O147" s="137">
        <v>1.4</v>
      </c>
      <c r="P147" s="137">
        <v>-0.28</v>
      </c>
    </row>
    <row r="148">
      <c r="A148" s="137">
        <v>147.0</v>
      </c>
      <c r="B148" s="138" t="s">
        <v>881</v>
      </c>
      <c r="C148" s="137" t="s">
        <v>432</v>
      </c>
      <c r="D148" s="137" t="s">
        <v>476</v>
      </c>
      <c r="E148" s="137">
        <v>78.0</v>
      </c>
      <c r="F148" s="137">
        <v>31.3</v>
      </c>
      <c r="G148" s="137" t="s">
        <v>882</v>
      </c>
      <c r="H148" s="137" t="s">
        <v>883</v>
      </c>
      <c r="I148" s="137">
        <v>1.6</v>
      </c>
      <c r="J148" s="137">
        <v>14.9</v>
      </c>
      <c r="K148" s="137">
        <v>4.8</v>
      </c>
      <c r="L148" s="137">
        <v>1.5</v>
      </c>
      <c r="M148" s="137">
        <v>0.7</v>
      </c>
      <c r="N148" s="137">
        <v>0.1</v>
      </c>
      <c r="O148" s="137">
        <v>1.2</v>
      </c>
      <c r="P148" s="137">
        <v>-0.32</v>
      </c>
    </row>
    <row r="149">
      <c r="A149" s="137">
        <v>148.0</v>
      </c>
      <c r="B149" s="138" t="s">
        <v>884</v>
      </c>
      <c r="C149" s="137" t="s">
        <v>456</v>
      </c>
      <c r="D149" s="137" t="s">
        <v>437</v>
      </c>
      <c r="E149" s="137">
        <v>70.0</v>
      </c>
      <c r="F149" s="137">
        <v>23.8</v>
      </c>
      <c r="G149" s="137" t="s">
        <v>885</v>
      </c>
      <c r="H149" s="137" t="s">
        <v>886</v>
      </c>
      <c r="I149" s="137">
        <v>0.1</v>
      </c>
      <c r="J149" s="137">
        <v>9.8</v>
      </c>
      <c r="K149" s="137">
        <v>6.5</v>
      </c>
      <c r="L149" s="137">
        <v>0.9</v>
      </c>
      <c r="M149" s="137">
        <v>0.3</v>
      </c>
      <c r="N149" s="137">
        <v>0.9</v>
      </c>
      <c r="O149" s="137">
        <v>1.2</v>
      </c>
      <c r="P149" s="137">
        <v>-0.4</v>
      </c>
    </row>
    <row r="150">
      <c r="A150" s="137">
        <v>149.0</v>
      </c>
      <c r="B150" s="138" t="s">
        <v>887</v>
      </c>
      <c r="C150" s="137" t="s">
        <v>432</v>
      </c>
      <c r="D150" s="137" t="s">
        <v>590</v>
      </c>
      <c r="E150" s="137">
        <v>78.0</v>
      </c>
      <c r="F150" s="137">
        <v>30.0</v>
      </c>
      <c r="G150" s="137" t="s">
        <v>888</v>
      </c>
      <c r="H150" s="137" t="s">
        <v>889</v>
      </c>
      <c r="I150" s="137">
        <v>1.1</v>
      </c>
      <c r="J150" s="137">
        <v>10.5</v>
      </c>
      <c r="K150" s="137">
        <v>6.9</v>
      </c>
      <c r="L150" s="137">
        <v>2.9</v>
      </c>
      <c r="M150" s="137">
        <v>0.9</v>
      </c>
      <c r="N150" s="137">
        <v>0.6</v>
      </c>
      <c r="O150" s="137">
        <v>1.6</v>
      </c>
      <c r="P150" s="137">
        <v>-0.5</v>
      </c>
    </row>
    <row r="151">
      <c r="A151" s="137">
        <v>150.0</v>
      </c>
      <c r="B151" s="138" t="s">
        <v>890</v>
      </c>
      <c r="C151" s="137" t="s">
        <v>424</v>
      </c>
      <c r="D151" s="137" t="s">
        <v>554</v>
      </c>
      <c r="E151" s="137">
        <v>74.0</v>
      </c>
      <c r="F151" s="137">
        <v>32.6</v>
      </c>
      <c r="G151" s="137" t="s">
        <v>891</v>
      </c>
      <c r="H151" s="137" t="s">
        <v>892</v>
      </c>
      <c r="I151" s="137">
        <v>1.8</v>
      </c>
      <c r="J151" s="137">
        <v>17.7</v>
      </c>
      <c r="K151" s="137">
        <v>4.1</v>
      </c>
      <c r="L151" s="137">
        <v>5.5</v>
      </c>
      <c r="M151" s="137">
        <v>0.9</v>
      </c>
      <c r="N151" s="137">
        <v>0.2</v>
      </c>
      <c r="O151" s="137">
        <v>3.4</v>
      </c>
      <c r="P151" s="137">
        <v>-0.56</v>
      </c>
    </row>
    <row r="152">
      <c r="A152" s="137">
        <v>151.0</v>
      </c>
      <c r="B152" s="138" t="s">
        <v>893</v>
      </c>
      <c r="C152" s="137" t="s">
        <v>424</v>
      </c>
      <c r="D152" s="137" t="s">
        <v>537</v>
      </c>
      <c r="E152" s="137">
        <v>74.0</v>
      </c>
      <c r="F152" s="137">
        <v>34.1</v>
      </c>
      <c r="G152" s="137" t="s">
        <v>894</v>
      </c>
      <c r="H152" s="137" t="s">
        <v>895</v>
      </c>
      <c r="I152" s="137">
        <v>2.5</v>
      </c>
      <c r="J152" s="137">
        <v>20.7</v>
      </c>
      <c r="K152" s="137">
        <v>3.7</v>
      </c>
      <c r="L152" s="137">
        <v>3.3</v>
      </c>
      <c r="M152" s="137">
        <v>0.8</v>
      </c>
      <c r="N152" s="137">
        <v>0.3</v>
      </c>
      <c r="O152" s="137">
        <v>2.4</v>
      </c>
      <c r="P152" s="137">
        <v>-0.57</v>
      </c>
    </row>
    <row r="153">
      <c r="A153" s="137">
        <v>152.0</v>
      </c>
      <c r="B153" s="138" t="s">
        <v>896</v>
      </c>
      <c r="C153" s="137" t="s">
        <v>469</v>
      </c>
      <c r="D153" s="137" t="s">
        <v>449</v>
      </c>
      <c r="E153" s="137">
        <v>72.0</v>
      </c>
      <c r="F153" s="137">
        <v>29.1</v>
      </c>
      <c r="G153" s="137" t="s">
        <v>897</v>
      </c>
      <c r="H153" s="137" t="s">
        <v>898</v>
      </c>
      <c r="I153" s="137">
        <v>3.4</v>
      </c>
      <c r="J153" s="137">
        <v>14.3</v>
      </c>
      <c r="K153" s="137">
        <v>3.7</v>
      </c>
      <c r="L153" s="137">
        <v>1.7</v>
      </c>
      <c r="M153" s="137">
        <v>0.8</v>
      </c>
      <c r="N153" s="137">
        <v>0.2</v>
      </c>
      <c r="O153" s="137">
        <v>1.0</v>
      </c>
      <c r="P153" s="137">
        <v>-0.74</v>
      </c>
    </row>
    <row r="154">
      <c r="A154" s="137">
        <v>153.0</v>
      </c>
      <c r="B154" s="138" t="s">
        <v>899</v>
      </c>
      <c r="C154" s="137" t="s">
        <v>47</v>
      </c>
      <c r="D154" s="137" t="s">
        <v>547</v>
      </c>
      <c r="E154" s="137">
        <v>76.0</v>
      </c>
      <c r="F154" s="137">
        <v>19.9</v>
      </c>
      <c r="G154" s="137" t="s">
        <v>900</v>
      </c>
      <c r="H154" s="137" t="s">
        <v>901</v>
      </c>
      <c r="I154" s="137">
        <v>0.2</v>
      </c>
      <c r="J154" s="137">
        <v>6.9</v>
      </c>
      <c r="K154" s="137">
        <v>6.1</v>
      </c>
      <c r="L154" s="137">
        <v>1.9</v>
      </c>
      <c r="M154" s="137">
        <v>0.7</v>
      </c>
      <c r="N154" s="137">
        <v>1.0</v>
      </c>
      <c r="O154" s="137">
        <v>1.1</v>
      </c>
      <c r="P154" s="137">
        <v>-0.8</v>
      </c>
    </row>
    <row r="155">
      <c r="A155" s="137">
        <v>154.0</v>
      </c>
      <c r="B155" s="138" t="s">
        <v>902</v>
      </c>
      <c r="C155" s="137" t="s">
        <v>469</v>
      </c>
      <c r="D155" s="137" t="s">
        <v>567</v>
      </c>
      <c r="E155" s="137">
        <v>70.0</v>
      </c>
      <c r="F155" s="137">
        <v>29.9</v>
      </c>
      <c r="G155" s="137" t="s">
        <v>903</v>
      </c>
      <c r="H155" s="137" t="s">
        <v>904</v>
      </c>
      <c r="I155" s="137">
        <v>1.9</v>
      </c>
      <c r="J155" s="137">
        <v>18.0</v>
      </c>
      <c r="K155" s="137">
        <v>4.9</v>
      </c>
      <c r="L155" s="137">
        <v>2.3</v>
      </c>
      <c r="M155" s="137">
        <v>0.7</v>
      </c>
      <c r="N155" s="137">
        <v>0.2</v>
      </c>
      <c r="O155" s="137">
        <v>1.5</v>
      </c>
      <c r="P155" s="137">
        <v>-0.85</v>
      </c>
    </row>
    <row r="156">
      <c r="A156" s="137">
        <v>155.0</v>
      </c>
      <c r="B156" s="138" t="s">
        <v>905</v>
      </c>
      <c r="C156" s="137" t="s">
        <v>46</v>
      </c>
      <c r="D156" s="137" t="s">
        <v>441</v>
      </c>
      <c r="E156" s="137">
        <v>80.0</v>
      </c>
      <c r="F156" s="137">
        <v>23.7</v>
      </c>
      <c r="G156" s="137" t="s">
        <v>906</v>
      </c>
      <c r="H156" s="137" t="s">
        <v>907</v>
      </c>
      <c r="I156" s="137">
        <v>0.0</v>
      </c>
      <c r="J156" s="137">
        <v>7.0</v>
      </c>
      <c r="K156" s="137">
        <v>9.0</v>
      </c>
      <c r="L156" s="137">
        <v>2.4</v>
      </c>
      <c r="M156" s="137">
        <v>0.7</v>
      </c>
      <c r="N156" s="137">
        <v>0.7</v>
      </c>
      <c r="O156" s="137">
        <v>0.7</v>
      </c>
      <c r="P156" s="137">
        <v>-0.88</v>
      </c>
    </row>
    <row r="157">
      <c r="A157" s="137">
        <v>156.0</v>
      </c>
      <c r="B157" s="138" t="s">
        <v>908</v>
      </c>
      <c r="C157" s="137" t="s">
        <v>47</v>
      </c>
      <c r="D157" s="137" t="s">
        <v>480</v>
      </c>
      <c r="E157" s="137">
        <v>68.0</v>
      </c>
      <c r="F157" s="137">
        <v>27.3</v>
      </c>
      <c r="G157" s="137" t="s">
        <v>909</v>
      </c>
      <c r="H157" s="137" t="s">
        <v>910</v>
      </c>
      <c r="I157" s="137">
        <v>0.0</v>
      </c>
      <c r="J157" s="137">
        <v>7.8</v>
      </c>
      <c r="K157" s="137">
        <v>11.0</v>
      </c>
      <c r="L157" s="137">
        <v>3.1</v>
      </c>
      <c r="M157" s="137">
        <v>0.9</v>
      </c>
      <c r="N157" s="137">
        <v>0.9</v>
      </c>
      <c r="O157" s="137">
        <v>1.7</v>
      </c>
      <c r="P157" s="137">
        <v>-0.91</v>
      </c>
    </row>
    <row r="158">
      <c r="A158" s="137">
        <v>157.0</v>
      </c>
      <c r="B158" s="138" t="s">
        <v>911</v>
      </c>
      <c r="C158" s="137" t="s">
        <v>43</v>
      </c>
      <c r="D158" s="137" t="s">
        <v>587</v>
      </c>
      <c r="E158" s="137">
        <v>70.0</v>
      </c>
      <c r="F158" s="137">
        <v>30.0</v>
      </c>
      <c r="G158" s="137" t="s">
        <v>912</v>
      </c>
      <c r="H158" s="137" t="s">
        <v>913</v>
      </c>
      <c r="I158" s="137">
        <v>1.3</v>
      </c>
      <c r="J158" s="137">
        <v>13.5</v>
      </c>
      <c r="K158" s="137">
        <v>3.0</v>
      </c>
      <c r="L158" s="137">
        <v>4.7</v>
      </c>
      <c r="M158" s="137">
        <v>0.8</v>
      </c>
      <c r="N158" s="137">
        <v>0.1</v>
      </c>
      <c r="O158" s="137">
        <v>2.0</v>
      </c>
      <c r="P158" s="137">
        <v>-0.92</v>
      </c>
    </row>
    <row r="159">
      <c r="A159" s="137">
        <v>158.0</v>
      </c>
      <c r="B159" s="138" t="s">
        <v>914</v>
      </c>
      <c r="C159" s="137" t="s">
        <v>424</v>
      </c>
      <c r="D159" s="137" t="s">
        <v>507</v>
      </c>
      <c r="E159" s="137">
        <v>62.0</v>
      </c>
      <c r="F159" s="137">
        <v>30.0</v>
      </c>
      <c r="G159" s="137" t="s">
        <v>915</v>
      </c>
      <c r="H159" s="137" t="s">
        <v>916</v>
      </c>
      <c r="I159" s="137">
        <v>1.1</v>
      </c>
      <c r="J159" s="137">
        <v>16.7</v>
      </c>
      <c r="K159" s="137">
        <v>2.7</v>
      </c>
      <c r="L159" s="137">
        <v>3.1</v>
      </c>
      <c r="M159" s="137">
        <v>0.7</v>
      </c>
      <c r="N159" s="137">
        <v>0.1</v>
      </c>
      <c r="O159" s="137">
        <v>2.2</v>
      </c>
      <c r="P159" s="137">
        <v>-0.98</v>
      </c>
    </row>
    <row r="160">
      <c r="A160" s="137">
        <v>159.0</v>
      </c>
      <c r="B160" s="138" t="s">
        <v>917</v>
      </c>
      <c r="C160" s="137" t="s">
        <v>432</v>
      </c>
      <c r="D160" s="137" t="s">
        <v>449</v>
      </c>
      <c r="E160" s="137">
        <v>67.0</v>
      </c>
      <c r="F160" s="137">
        <v>23.2</v>
      </c>
      <c r="G160" s="137" t="s">
        <v>918</v>
      </c>
      <c r="H160" s="137" t="s">
        <v>919</v>
      </c>
      <c r="I160" s="137">
        <v>1.6</v>
      </c>
      <c r="J160" s="137">
        <v>8.3</v>
      </c>
      <c r="K160" s="137">
        <v>4.4</v>
      </c>
      <c r="L160" s="137">
        <v>1.6</v>
      </c>
      <c r="M160" s="137">
        <v>1.1</v>
      </c>
      <c r="N160" s="137">
        <v>0.4</v>
      </c>
      <c r="O160" s="137">
        <v>0.7</v>
      </c>
      <c r="P160" s="137">
        <v>-1.03</v>
      </c>
    </row>
    <row r="161">
      <c r="A161" s="137">
        <v>160.0</v>
      </c>
      <c r="B161" s="138" t="s">
        <v>920</v>
      </c>
      <c r="C161" s="137" t="s">
        <v>469</v>
      </c>
      <c r="D161" s="137" t="s">
        <v>583</v>
      </c>
      <c r="E161" s="137">
        <v>78.0</v>
      </c>
      <c r="F161" s="137">
        <v>31.0</v>
      </c>
      <c r="G161" s="137" t="s">
        <v>921</v>
      </c>
      <c r="H161" s="137" t="s">
        <v>922</v>
      </c>
      <c r="I161" s="137">
        <v>1.9</v>
      </c>
      <c r="J161" s="137">
        <v>15.8</v>
      </c>
      <c r="K161" s="137">
        <v>4.3</v>
      </c>
      <c r="L161" s="137">
        <v>1.7</v>
      </c>
      <c r="M161" s="137">
        <v>0.7</v>
      </c>
      <c r="N161" s="137">
        <v>0.4</v>
      </c>
      <c r="O161" s="137">
        <v>1.5</v>
      </c>
      <c r="P161" s="137">
        <v>-1.07</v>
      </c>
    </row>
    <row r="162">
      <c r="A162" s="137">
        <v>161.0</v>
      </c>
      <c r="B162" s="138" t="s">
        <v>923</v>
      </c>
      <c r="C162" s="137" t="s">
        <v>469</v>
      </c>
      <c r="D162" s="137" t="s">
        <v>547</v>
      </c>
      <c r="E162" s="137">
        <v>70.0</v>
      </c>
      <c r="F162" s="137">
        <v>29.1</v>
      </c>
      <c r="G162" s="137" t="s">
        <v>924</v>
      </c>
      <c r="H162" s="137" t="s">
        <v>925</v>
      </c>
      <c r="I162" s="137">
        <v>2.3</v>
      </c>
      <c r="J162" s="137">
        <v>10.9</v>
      </c>
      <c r="K162" s="137">
        <v>3.3</v>
      </c>
      <c r="L162" s="137">
        <v>2.0</v>
      </c>
      <c r="M162" s="137">
        <v>0.8</v>
      </c>
      <c r="N162" s="137">
        <v>0.4</v>
      </c>
      <c r="O162" s="137">
        <v>1.0</v>
      </c>
      <c r="P162" s="137">
        <v>-1.12</v>
      </c>
    </row>
    <row r="163">
      <c r="A163" s="137">
        <v>162.0</v>
      </c>
      <c r="B163" s="138" t="s">
        <v>926</v>
      </c>
      <c r="C163" s="137" t="s">
        <v>456</v>
      </c>
      <c r="D163" s="137" t="s">
        <v>480</v>
      </c>
      <c r="E163" s="137">
        <v>8.0</v>
      </c>
      <c r="F163" s="137">
        <v>18.1</v>
      </c>
      <c r="G163" s="137" t="s">
        <v>927</v>
      </c>
      <c r="H163" s="137" t="s">
        <v>928</v>
      </c>
      <c r="I163" s="137">
        <v>0.1</v>
      </c>
      <c r="J163" s="137">
        <v>9.6</v>
      </c>
      <c r="K163" s="137">
        <v>5.1</v>
      </c>
      <c r="L163" s="137">
        <v>1.2</v>
      </c>
      <c r="M163" s="137">
        <v>0.6</v>
      </c>
      <c r="N163" s="137">
        <v>0.8</v>
      </c>
      <c r="O163" s="137">
        <v>0.7</v>
      </c>
      <c r="P163" s="137">
        <v>-1.12</v>
      </c>
    </row>
    <row r="164">
      <c r="A164" s="137">
        <v>163.0</v>
      </c>
      <c r="B164" s="138" t="s">
        <v>929</v>
      </c>
      <c r="C164" s="137" t="s">
        <v>432</v>
      </c>
      <c r="D164" s="137" t="s">
        <v>491</v>
      </c>
      <c r="E164" s="137">
        <v>67.0</v>
      </c>
      <c r="F164" s="137">
        <v>24.2</v>
      </c>
      <c r="G164" s="137" t="s">
        <v>930</v>
      </c>
      <c r="H164" s="137" t="s">
        <v>931</v>
      </c>
      <c r="I164" s="137">
        <v>1.8</v>
      </c>
      <c r="J164" s="137">
        <v>7.5</v>
      </c>
      <c r="K164" s="137">
        <v>4.3</v>
      </c>
      <c r="L164" s="137">
        <v>1.7</v>
      </c>
      <c r="M164" s="137">
        <v>0.9</v>
      </c>
      <c r="N164" s="137">
        <v>0.7</v>
      </c>
      <c r="O164" s="137">
        <v>0.7</v>
      </c>
      <c r="P164" s="137">
        <v>-1.22</v>
      </c>
    </row>
    <row r="165">
      <c r="A165" s="137">
        <v>164.0</v>
      </c>
      <c r="B165" s="138" t="s">
        <v>932</v>
      </c>
      <c r="C165" s="137" t="s">
        <v>469</v>
      </c>
      <c r="D165" s="137" t="s">
        <v>476</v>
      </c>
      <c r="E165" s="137">
        <v>76.0</v>
      </c>
      <c r="F165" s="137">
        <v>22.0</v>
      </c>
      <c r="G165" s="137" t="s">
        <v>933</v>
      </c>
      <c r="H165" s="137" t="s">
        <v>934</v>
      </c>
      <c r="I165" s="137">
        <v>1.8</v>
      </c>
      <c r="J165" s="137">
        <v>12.0</v>
      </c>
      <c r="K165" s="137">
        <v>2.6</v>
      </c>
      <c r="L165" s="137">
        <v>3.0</v>
      </c>
      <c r="M165" s="137">
        <v>0.6</v>
      </c>
      <c r="N165" s="137">
        <v>0.3</v>
      </c>
      <c r="O165" s="137">
        <v>1.5</v>
      </c>
      <c r="P165" s="137">
        <v>-1.26</v>
      </c>
    </row>
    <row r="166">
      <c r="A166" s="137">
        <v>165.0</v>
      </c>
      <c r="B166" s="138" t="s">
        <v>935</v>
      </c>
      <c r="C166" s="137" t="s">
        <v>46</v>
      </c>
      <c r="D166" s="137" t="s">
        <v>437</v>
      </c>
      <c r="E166" s="137">
        <v>72.0</v>
      </c>
      <c r="F166" s="137">
        <v>30.0</v>
      </c>
      <c r="G166" s="137" t="s">
        <v>936</v>
      </c>
      <c r="H166" s="137" t="s">
        <v>937</v>
      </c>
      <c r="I166" s="137">
        <v>1.6</v>
      </c>
      <c r="J166" s="137">
        <v>9.0</v>
      </c>
      <c r="K166" s="137">
        <v>4.6</v>
      </c>
      <c r="L166" s="137">
        <v>1.5</v>
      </c>
      <c r="M166" s="137">
        <v>0.6</v>
      </c>
      <c r="N166" s="137">
        <v>0.6</v>
      </c>
      <c r="O166" s="137">
        <v>1.0</v>
      </c>
      <c r="P166" s="137">
        <v>-1.27</v>
      </c>
    </row>
    <row r="167">
      <c r="A167" s="137">
        <v>166.0</v>
      </c>
      <c r="B167" s="138" t="s">
        <v>938</v>
      </c>
      <c r="C167" s="137" t="s">
        <v>47</v>
      </c>
      <c r="D167" s="137" t="s">
        <v>461</v>
      </c>
      <c r="E167" s="137">
        <v>70.0</v>
      </c>
      <c r="F167" s="137">
        <v>21.1</v>
      </c>
      <c r="G167" s="137" t="s">
        <v>939</v>
      </c>
      <c r="H167" s="137" t="s">
        <v>940</v>
      </c>
      <c r="I167" s="137">
        <v>0.0</v>
      </c>
      <c r="J167" s="137">
        <v>8.7</v>
      </c>
      <c r="K167" s="137">
        <v>6.4</v>
      </c>
      <c r="L167" s="137">
        <v>0.7</v>
      </c>
      <c r="M167" s="137">
        <v>0.3</v>
      </c>
      <c r="N167" s="137">
        <v>1.2</v>
      </c>
      <c r="O167" s="137">
        <v>1.1</v>
      </c>
      <c r="P167" s="137">
        <v>-1.33</v>
      </c>
    </row>
    <row r="168">
      <c r="A168" s="137">
        <v>167.0</v>
      </c>
      <c r="B168" s="138" t="s">
        <v>941</v>
      </c>
      <c r="C168" s="137" t="s">
        <v>424</v>
      </c>
      <c r="D168" s="137" t="s">
        <v>587</v>
      </c>
      <c r="E168" s="137">
        <v>65.0</v>
      </c>
      <c r="F168" s="137">
        <v>24.0</v>
      </c>
      <c r="G168" s="137" t="s">
        <v>942</v>
      </c>
      <c r="H168" s="137" t="s">
        <v>943</v>
      </c>
      <c r="I168" s="137">
        <v>2.0</v>
      </c>
      <c r="J168" s="137">
        <v>12.9</v>
      </c>
      <c r="K168" s="137">
        <v>1.9</v>
      </c>
      <c r="L168" s="137">
        <v>1.3</v>
      </c>
      <c r="M168" s="137">
        <v>1.2</v>
      </c>
      <c r="N168" s="137">
        <v>0.2</v>
      </c>
      <c r="O168" s="137">
        <v>0.7</v>
      </c>
      <c r="P168" s="137">
        <v>-1.38</v>
      </c>
    </row>
    <row r="169">
      <c r="A169" s="137">
        <v>168.0</v>
      </c>
      <c r="B169" s="138" t="s">
        <v>944</v>
      </c>
      <c r="C169" s="137" t="s">
        <v>456</v>
      </c>
      <c r="D169" s="137" t="s">
        <v>554</v>
      </c>
      <c r="E169" s="137">
        <v>70.0</v>
      </c>
      <c r="F169" s="137">
        <v>28.1</v>
      </c>
      <c r="G169" s="137" t="s">
        <v>945</v>
      </c>
      <c r="H169" s="137" t="s">
        <v>946</v>
      </c>
      <c r="I169" s="137">
        <v>1.4</v>
      </c>
      <c r="J169" s="137">
        <v>10.8</v>
      </c>
      <c r="K169" s="137">
        <v>8.2</v>
      </c>
      <c r="L169" s="137">
        <v>1.3</v>
      </c>
      <c r="M169" s="137">
        <v>0.4</v>
      </c>
      <c r="N169" s="137">
        <v>0.7</v>
      </c>
      <c r="O169" s="137">
        <v>1.4</v>
      </c>
      <c r="P169" s="137">
        <v>-1.4</v>
      </c>
    </row>
    <row r="170">
      <c r="A170" s="137">
        <v>169.0</v>
      </c>
      <c r="B170" s="138" t="s">
        <v>947</v>
      </c>
      <c r="C170" s="137" t="s">
        <v>43</v>
      </c>
      <c r="D170" s="137" t="s">
        <v>491</v>
      </c>
      <c r="E170" s="137">
        <v>74.0</v>
      </c>
      <c r="F170" s="137">
        <v>29.0</v>
      </c>
      <c r="G170" s="137" t="s">
        <v>948</v>
      </c>
      <c r="H170" s="137" t="s">
        <v>949</v>
      </c>
      <c r="I170" s="137">
        <v>1.0</v>
      </c>
      <c r="J170" s="137">
        <v>15.9</v>
      </c>
      <c r="K170" s="137">
        <v>6.1</v>
      </c>
      <c r="L170" s="137">
        <v>6.7</v>
      </c>
      <c r="M170" s="137">
        <v>0.9</v>
      </c>
      <c r="N170" s="137">
        <v>0.3</v>
      </c>
      <c r="O170" s="137">
        <v>3.4</v>
      </c>
      <c r="P170" s="137">
        <v>-1.4</v>
      </c>
    </row>
    <row r="171">
      <c r="A171" s="137">
        <v>170.0</v>
      </c>
      <c r="B171" s="138" t="s">
        <v>950</v>
      </c>
      <c r="C171" s="137" t="s">
        <v>469</v>
      </c>
      <c r="D171" s="137" t="s">
        <v>429</v>
      </c>
      <c r="E171" s="137">
        <v>74.0</v>
      </c>
      <c r="F171" s="137">
        <v>30.0</v>
      </c>
      <c r="G171" s="137" t="s">
        <v>951</v>
      </c>
      <c r="H171" s="137" t="s">
        <v>952</v>
      </c>
      <c r="I171" s="137">
        <v>1.4</v>
      </c>
      <c r="J171" s="137">
        <v>17.8</v>
      </c>
      <c r="K171" s="137">
        <v>4.3</v>
      </c>
      <c r="L171" s="137">
        <v>1.6</v>
      </c>
      <c r="M171" s="137">
        <v>0.7</v>
      </c>
      <c r="N171" s="137">
        <v>0.2</v>
      </c>
      <c r="O171" s="137">
        <v>2.1</v>
      </c>
      <c r="P171" s="137">
        <v>-1.4</v>
      </c>
    </row>
    <row r="172">
      <c r="A172" s="137">
        <v>171.0</v>
      </c>
      <c r="B172" s="138" t="s">
        <v>953</v>
      </c>
      <c r="C172" s="137" t="s">
        <v>469</v>
      </c>
      <c r="D172" s="137" t="s">
        <v>590</v>
      </c>
      <c r="E172" s="137">
        <v>74.0</v>
      </c>
      <c r="F172" s="137">
        <v>28.3</v>
      </c>
      <c r="G172" s="137" t="s">
        <v>954</v>
      </c>
      <c r="H172" s="137" t="s">
        <v>955</v>
      </c>
      <c r="I172" s="137">
        <v>2.3</v>
      </c>
      <c r="J172" s="137">
        <v>11.2</v>
      </c>
      <c r="K172" s="137">
        <v>3.1</v>
      </c>
      <c r="L172" s="137">
        <v>1.3</v>
      </c>
      <c r="M172" s="137">
        <v>0.5</v>
      </c>
      <c r="N172" s="137">
        <v>0.2</v>
      </c>
      <c r="O172" s="137">
        <v>0.8</v>
      </c>
      <c r="P172" s="137">
        <v>-1.48</v>
      </c>
    </row>
    <row r="173">
      <c r="A173" s="137">
        <v>172.0</v>
      </c>
      <c r="B173" s="138" t="s">
        <v>956</v>
      </c>
      <c r="C173" s="137" t="s">
        <v>766</v>
      </c>
      <c r="D173" s="137" t="s">
        <v>441</v>
      </c>
      <c r="E173" s="137">
        <v>70.0</v>
      </c>
      <c r="F173" s="137">
        <v>17.7</v>
      </c>
      <c r="G173" s="137" t="s">
        <v>957</v>
      </c>
      <c r="H173" s="137" t="s">
        <v>958</v>
      </c>
      <c r="I173" s="137">
        <v>0.6</v>
      </c>
      <c r="J173" s="137">
        <v>6.7</v>
      </c>
      <c r="K173" s="137">
        <v>3.5</v>
      </c>
      <c r="L173" s="137">
        <v>1.0</v>
      </c>
      <c r="M173" s="137">
        <v>1.3</v>
      </c>
      <c r="N173" s="137">
        <v>0.3</v>
      </c>
      <c r="O173" s="137">
        <v>0.6</v>
      </c>
      <c r="P173" s="137">
        <v>-1.5</v>
      </c>
    </row>
    <row r="174">
      <c r="A174" s="137">
        <v>173.0</v>
      </c>
      <c r="B174" s="138" t="s">
        <v>959</v>
      </c>
      <c r="C174" s="137" t="s">
        <v>469</v>
      </c>
      <c r="D174" s="137" t="s">
        <v>449</v>
      </c>
      <c r="E174" s="137">
        <v>64.0</v>
      </c>
      <c r="F174" s="137">
        <v>28.7</v>
      </c>
      <c r="G174" s="137" t="s">
        <v>960</v>
      </c>
      <c r="H174" s="137" t="s">
        <v>961</v>
      </c>
      <c r="I174" s="137">
        <v>2.2</v>
      </c>
      <c r="J174" s="137">
        <v>9.7</v>
      </c>
      <c r="K174" s="137">
        <v>4.8</v>
      </c>
      <c r="L174" s="137">
        <v>1.4</v>
      </c>
      <c r="M174" s="137">
        <v>0.8</v>
      </c>
      <c r="N174" s="137">
        <v>0.2</v>
      </c>
      <c r="O174" s="137">
        <v>0.6</v>
      </c>
      <c r="P174" s="137">
        <v>-1.51</v>
      </c>
    </row>
    <row r="175">
      <c r="A175" s="137">
        <v>174.0</v>
      </c>
      <c r="B175" s="138" t="s">
        <v>962</v>
      </c>
      <c r="C175" s="137" t="s">
        <v>469</v>
      </c>
      <c r="D175" s="137" t="s">
        <v>465</v>
      </c>
      <c r="E175" s="137">
        <v>73.0</v>
      </c>
      <c r="F175" s="137">
        <v>30.0</v>
      </c>
      <c r="G175" s="137" t="s">
        <v>942</v>
      </c>
      <c r="H175" s="137" t="s">
        <v>963</v>
      </c>
      <c r="I175" s="137">
        <v>2.7</v>
      </c>
      <c r="J175" s="137">
        <v>12.7</v>
      </c>
      <c r="K175" s="137">
        <v>3.6</v>
      </c>
      <c r="L175" s="137">
        <v>2.1</v>
      </c>
      <c r="M175" s="137">
        <v>0.6</v>
      </c>
      <c r="N175" s="137">
        <v>0.2</v>
      </c>
      <c r="O175" s="137">
        <v>1.0</v>
      </c>
      <c r="P175" s="137">
        <v>-1.53</v>
      </c>
    </row>
    <row r="176">
      <c r="A176" s="137">
        <v>175.0</v>
      </c>
      <c r="B176" s="138" t="s">
        <v>964</v>
      </c>
      <c r="C176" s="137" t="s">
        <v>46</v>
      </c>
      <c r="D176" s="137" t="s">
        <v>567</v>
      </c>
      <c r="E176" s="137">
        <v>66.0</v>
      </c>
      <c r="F176" s="137">
        <v>29.8</v>
      </c>
      <c r="G176" s="137" t="s">
        <v>965</v>
      </c>
      <c r="H176" s="137" t="s">
        <v>966</v>
      </c>
      <c r="I176" s="137">
        <v>0.8</v>
      </c>
      <c r="J176" s="137">
        <v>12.8</v>
      </c>
      <c r="K176" s="137">
        <v>6.1</v>
      </c>
      <c r="L176" s="137">
        <v>2.9</v>
      </c>
      <c r="M176" s="137">
        <v>0.9</v>
      </c>
      <c r="N176" s="137">
        <v>0.5</v>
      </c>
      <c r="O176" s="137">
        <v>2.0</v>
      </c>
      <c r="P176" s="137">
        <v>-1.54</v>
      </c>
    </row>
    <row r="177">
      <c r="A177" s="137">
        <v>176.0</v>
      </c>
      <c r="B177" s="138" t="s">
        <v>967</v>
      </c>
      <c r="C177" s="137" t="s">
        <v>424</v>
      </c>
      <c r="D177" s="137" t="s">
        <v>480</v>
      </c>
      <c r="E177" s="137">
        <v>64.0</v>
      </c>
      <c r="F177" s="137">
        <v>24.8</v>
      </c>
      <c r="G177" s="137" t="s">
        <v>968</v>
      </c>
      <c r="H177" s="137" t="s">
        <v>969</v>
      </c>
      <c r="I177" s="137">
        <v>2.5</v>
      </c>
      <c r="J177" s="137">
        <v>10.7</v>
      </c>
      <c r="K177" s="137">
        <v>3.0</v>
      </c>
      <c r="L177" s="137">
        <v>1.8</v>
      </c>
      <c r="M177" s="137">
        <v>0.6</v>
      </c>
      <c r="N177" s="137">
        <v>0.1</v>
      </c>
      <c r="O177" s="137">
        <v>0.8</v>
      </c>
      <c r="P177" s="137">
        <v>-1.54</v>
      </c>
    </row>
    <row r="178">
      <c r="A178" s="137">
        <v>177.0</v>
      </c>
      <c r="B178" s="138" t="s">
        <v>970</v>
      </c>
      <c r="C178" s="137" t="s">
        <v>469</v>
      </c>
      <c r="D178" s="137" t="s">
        <v>425</v>
      </c>
      <c r="E178" s="137">
        <v>72.0</v>
      </c>
      <c r="F178" s="137">
        <v>30.0</v>
      </c>
      <c r="G178" s="137" t="s">
        <v>971</v>
      </c>
      <c r="H178" s="137" t="s">
        <v>972</v>
      </c>
      <c r="I178" s="137">
        <v>2.0</v>
      </c>
      <c r="J178" s="137">
        <v>14.5</v>
      </c>
      <c r="K178" s="137">
        <v>4.3</v>
      </c>
      <c r="L178" s="137">
        <v>1.9</v>
      </c>
      <c r="M178" s="137">
        <v>0.9</v>
      </c>
      <c r="N178" s="137">
        <v>0.3</v>
      </c>
      <c r="O178" s="137">
        <v>1.4</v>
      </c>
      <c r="P178" s="137">
        <v>-1.58</v>
      </c>
    </row>
    <row r="179">
      <c r="A179" s="137">
        <v>178.0</v>
      </c>
      <c r="B179" s="138" t="s">
        <v>973</v>
      </c>
      <c r="C179" s="137" t="s">
        <v>456</v>
      </c>
      <c r="D179" s="137" t="s">
        <v>507</v>
      </c>
      <c r="E179" s="137">
        <v>66.0</v>
      </c>
      <c r="F179" s="137">
        <v>18.9</v>
      </c>
      <c r="G179" s="137" t="s">
        <v>974</v>
      </c>
      <c r="H179" s="137" t="s">
        <v>975</v>
      </c>
      <c r="I179" s="137">
        <v>1.1</v>
      </c>
      <c r="J179" s="137">
        <v>9.0</v>
      </c>
      <c r="K179" s="137">
        <v>4.2</v>
      </c>
      <c r="L179" s="137">
        <v>2.6</v>
      </c>
      <c r="M179" s="137">
        <v>0.6</v>
      </c>
      <c r="N179" s="137">
        <v>0.4</v>
      </c>
      <c r="O179" s="137">
        <v>1.6</v>
      </c>
      <c r="P179" s="137">
        <v>-1.61</v>
      </c>
    </row>
    <row r="180">
      <c r="A180" s="137">
        <v>179.0</v>
      </c>
      <c r="B180" s="138" t="s">
        <v>976</v>
      </c>
      <c r="C180" s="137" t="s">
        <v>43</v>
      </c>
      <c r="D180" s="137" t="s">
        <v>507</v>
      </c>
      <c r="E180" s="137">
        <v>60.0</v>
      </c>
      <c r="F180" s="137">
        <v>18.0</v>
      </c>
      <c r="G180" s="137" t="s">
        <v>977</v>
      </c>
      <c r="H180" s="137" t="s">
        <v>978</v>
      </c>
      <c r="I180" s="137">
        <v>0.4</v>
      </c>
      <c r="J180" s="137">
        <v>8.0</v>
      </c>
      <c r="K180" s="137">
        <v>3.0</v>
      </c>
      <c r="L180" s="137">
        <v>4.1</v>
      </c>
      <c r="M180" s="137">
        <v>1.0</v>
      </c>
      <c r="N180" s="137">
        <v>0.3</v>
      </c>
      <c r="O180" s="137">
        <v>1.4</v>
      </c>
      <c r="P180" s="137">
        <v>-1.63</v>
      </c>
    </row>
    <row r="181">
      <c r="A181" s="137">
        <v>180.0</v>
      </c>
      <c r="B181" s="138" t="s">
        <v>979</v>
      </c>
      <c r="C181" s="137" t="s">
        <v>456</v>
      </c>
      <c r="D181" s="137" t="s">
        <v>603</v>
      </c>
      <c r="E181" s="137">
        <v>65.0</v>
      </c>
      <c r="F181" s="137">
        <v>21.2</v>
      </c>
      <c r="G181" s="137" t="s">
        <v>980</v>
      </c>
      <c r="H181" s="137" t="s">
        <v>981</v>
      </c>
      <c r="I181" s="137">
        <v>0.3</v>
      </c>
      <c r="J181" s="137">
        <v>6.8</v>
      </c>
      <c r="K181" s="137">
        <v>5.3</v>
      </c>
      <c r="L181" s="137">
        <v>1.8</v>
      </c>
      <c r="M181" s="137">
        <v>0.9</v>
      </c>
      <c r="N181" s="137">
        <v>0.5</v>
      </c>
      <c r="O181" s="137">
        <v>0.7</v>
      </c>
      <c r="P181" s="137">
        <v>-1.64</v>
      </c>
    </row>
    <row r="182">
      <c r="A182" s="137">
        <v>181.0</v>
      </c>
      <c r="B182" s="138" t="s">
        <v>982</v>
      </c>
      <c r="C182" s="137" t="s">
        <v>469</v>
      </c>
      <c r="D182" s="137" t="s">
        <v>437</v>
      </c>
      <c r="E182" s="137">
        <v>67.0</v>
      </c>
      <c r="F182" s="137">
        <v>27.4</v>
      </c>
      <c r="G182" s="137" t="s">
        <v>983</v>
      </c>
      <c r="H182" s="137" t="s">
        <v>984</v>
      </c>
      <c r="I182" s="137">
        <v>1.2</v>
      </c>
      <c r="J182" s="137">
        <v>9.5</v>
      </c>
      <c r="K182" s="137">
        <v>3.7</v>
      </c>
      <c r="L182" s="137">
        <v>2.0</v>
      </c>
      <c r="M182" s="137">
        <v>0.9</v>
      </c>
      <c r="N182" s="137">
        <v>0.2</v>
      </c>
      <c r="O182" s="137">
        <v>1.3</v>
      </c>
      <c r="P182" s="137">
        <v>-1.69</v>
      </c>
    </row>
    <row r="183">
      <c r="A183" s="137">
        <v>182.0</v>
      </c>
      <c r="B183" s="138" t="s">
        <v>985</v>
      </c>
      <c r="C183" s="137" t="s">
        <v>469</v>
      </c>
      <c r="D183" s="137" t="s">
        <v>465</v>
      </c>
      <c r="E183" s="137">
        <v>67.0</v>
      </c>
      <c r="F183" s="137">
        <v>27.6</v>
      </c>
      <c r="G183" s="137" t="s">
        <v>986</v>
      </c>
      <c r="H183" s="137" t="s">
        <v>987</v>
      </c>
      <c r="I183" s="137">
        <v>1.5</v>
      </c>
      <c r="J183" s="137">
        <v>13.1</v>
      </c>
      <c r="K183" s="137">
        <v>3.4</v>
      </c>
      <c r="L183" s="137">
        <v>3.7</v>
      </c>
      <c r="M183" s="137">
        <v>0.9</v>
      </c>
      <c r="N183" s="137">
        <v>0.3</v>
      </c>
      <c r="O183" s="137">
        <v>1.6</v>
      </c>
      <c r="P183" s="137">
        <v>-1.72</v>
      </c>
    </row>
    <row r="184">
      <c r="A184" s="137">
        <v>183.0</v>
      </c>
      <c r="B184" s="138" t="s">
        <v>988</v>
      </c>
      <c r="C184" s="137" t="s">
        <v>43</v>
      </c>
      <c r="D184" s="137" t="s">
        <v>420</v>
      </c>
      <c r="E184" s="137">
        <v>64.0</v>
      </c>
      <c r="F184" s="137">
        <v>23.4</v>
      </c>
      <c r="G184" s="137" t="s">
        <v>989</v>
      </c>
      <c r="H184" s="137" t="s">
        <v>990</v>
      </c>
      <c r="I184" s="137">
        <v>1.2</v>
      </c>
      <c r="J184" s="137">
        <v>6.9</v>
      </c>
      <c r="K184" s="137">
        <v>3.5</v>
      </c>
      <c r="L184" s="137">
        <v>3.4</v>
      </c>
      <c r="M184" s="137">
        <v>0.9</v>
      </c>
      <c r="N184" s="137">
        <v>0.7</v>
      </c>
      <c r="O184" s="137">
        <v>1.0</v>
      </c>
      <c r="P184" s="137">
        <v>-1.81</v>
      </c>
    </row>
    <row r="185">
      <c r="A185" s="137">
        <v>184.0</v>
      </c>
      <c r="B185" s="138" t="s">
        <v>991</v>
      </c>
      <c r="C185" s="137" t="s">
        <v>469</v>
      </c>
      <c r="D185" s="137" t="s">
        <v>503</v>
      </c>
      <c r="E185" s="137">
        <v>76.0</v>
      </c>
      <c r="F185" s="137">
        <v>26.4</v>
      </c>
      <c r="G185" s="137" t="s">
        <v>992</v>
      </c>
      <c r="H185" s="137" t="s">
        <v>993</v>
      </c>
      <c r="I185" s="137">
        <v>1.6</v>
      </c>
      <c r="J185" s="137">
        <v>6.9</v>
      </c>
      <c r="K185" s="137">
        <v>4.2</v>
      </c>
      <c r="L185" s="137">
        <v>2.6</v>
      </c>
      <c r="M185" s="137">
        <v>0.8</v>
      </c>
      <c r="N185" s="137">
        <v>0.5</v>
      </c>
      <c r="O185" s="137">
        <v>1.1</v>
      </c>
      <c r="P185" s="137">
        <v>-1.84</v>
      </c>
    </row>
    <row r="186">
      <c r="A186" s="137">
        <v>185.0</v>
      </c>
      <c r="B186" s="138" t="s">
        <v>994</v>
      </c>
      <c r="C186" s="137" t="s">
        <v>456</v>
      </c>
      <c r="D186" s="137" t="s">
        <v>437</v>
      </c>
      <c r="E186" s="137">
        <v>60.0</v>
      </c>
      <c r="F186" s="137">
        <v>25.6</v>
      </c>
      <c r="G186" s="137" t="s">
        <v>995</v>
      </c>
      <c r="H186" s="137" t="s">
        <v>996</v>
      </c>
      <c r="I186" s="137">
        <v>1.3</v>
      </c>
      <c r="J186" s="137">
        <v>7.4</v>
      </c>
      <c r="K186" s="137">
        <v>5.3</v>
      </c>
      <c r="L186" s="137">
        <v>1.3</v>
      </c>
      <c r="M186" s="137">
        <v>0.5</v>
      </c>
      <c r="N186" s="137">
        <v>1.0</v>
      </c>
      <c r="O186" s="137">
        <v>0.8</v>
      </c>
      <c r="P186" s="137">
        <v>-1.86</v>
      </c>
    </row>
    <row r="187">
      <c r="A187" s="137">
        <v>186.0</v>
      </c>
      <c r="B187" s="138" t="s">
        <v>997</v>
      </c>
      <c r="C187" s="137" t="s">
        <v>469</v>
      </c>
      <c r="D187" s="137" t="s">
        <v>491</v>
      </c>
      <c r="E187" s="137">
        <v>80.0</v>
      </c>
      <c r="F187" s="137">
        <v>25.1</v>
      </c>
      <c r="G187" s="137" t="s">
        <v>998</v>
      </c>
      <c r="H187" s="137" t="s">
        <v>999</v>
      </c>
      <c r="I187" s="137">
        <v>1.1</v>
      </c>
      <c r="J187" s="137">
        <v>10.1</v>
      </c>
      <c r="K187" s="137">
        <v>4.4</v>
      </c>
      <c r="L187" s="137">
        <v>2.5</v>
      </c>
      <c r="M187" s="137">
        <v>0.6</v>
      </c>
      <c r="N187" s="137">
        <v>0.3</v>
      </c>
      <c r="O187" s="137">
        <v>1.0</v>
      </c>
      <c r="P187" s="137">
        <v>-1.86</v>
      </c>
    </row>
    <row r="188">
      <c r="A188" s="137">
        <v>187.0</v>
      </c>
      <c r="B188" s="138" t="s">
        <v>1000</v>
      </c>
      <c r="C188" s="137" t="s">
        <v>456</v>
      </c>
      <c r="D188" s="137" t="s">
        <v>429</v>
      </c>
      <c r="E188" s="137">
        <v>67.0</v>
      </c>
      <c r="F188" s="137">
        <v>16.5</v>
      </c>
      <c r="G188" s="137" t="s">
        <v>1001</v>
      </c>
      <c r="H188" s="137" t="s">
        <v>1002</v>
      </c>
      <c r="I188" s="137">
        <v>0.1</v>
      </c>
      <c r="J188" s="137">
        <v>7.9</v>
      </c>
      <c r="K188" s="137">
        <v>4.5</v>
      </c>
      <c r="L188" s="137">
        <v>0.6</v>
      </c>
      <c r="M188" s="137">
        <v>0.6</v>
      </c>
      <c r="N188" s="137">
        <v>1.5</v>
      </c>
      <c r="O188" s="137">
        <v>1.0</v>
      </c>
      <c r="P188" s="137">
        <v>-1.87</v>
      </c>
    </row>
    <row r="189">
      <c r="A189" s="137">
        <v>188.0</v>
      </c>
      <c r="B189" s="138" t="s">
        <v>1003</v>
      </c>
      <c r="C189" s="137" t="s">
        <v>424</v>
      </c>
      <c r="D189" s="137" t="s">
        <v>457</v>
      </c>
      <c r="E189" s="137">
        <v>70.0</v>
      </c>
      <c r="F189" s="137">
        <v>27.7</v>
      </c>
      <c r="G189" s="137" t="s">
        <v>1004</v>
      </c>
      <c r="H189" s="137" t="s">
        <v>1005</v>
      </c>
      <c r="I189" s="137">
        <v>2.0</v>
      </c>
      <c r="J189" s="137">
        <v>10.3</v>
      </c>
      <c r="K189" s="137">
        <v>2.3</v>
      </c>
      <c r="L189" s="137">
        <v>3.2</v>
      </c>
      <c r="M189" s="137">
        <v>1.0</v>
      </c>
      <c r="N189" s="137">
        <v>0.1</v>
      </c>
      <c r="O189" s="137">
        <v>1.6</v>
      </c>
      <c r="P189" s="137">
        <v>-1.9</v>
      </c>
    </row>
    <row r="190">
      <c r="A190" s="137">
        <v>189.0</v>
      </c>
      <c r="B190" s="138" t="s">
        <v>1006</v>
      </c>
      <c r="C190" s="137" t="s">
        <v>432</v>
      </c>
      <c r="D190" s="137" t="s">
        <v>473</v>
      </c>
      <c r="E190" s="137">
        <v>68.0</v>
      </c>
      <c r="F190" s="137">
        <v>31.4</v>
      </c>
      <c r="G190" s="137" t="s">
        <v>1007</v>
      </c>
      <c r="H190" s="137" t="s">
        <v>1008</v>
      </c>
      <c r="I190" s="137">
        <v>1.5</v>
      </c>
      <c r="J190" s="137">
        <v>14.9</v>
      </c>
      <c r="K190" s="137">
        <v>3.9</v>
      </c>
      <c r="L190" s="137">
        <v>1.4</v>
      </c>
      <c r="M190" s="137">
        <v>0.6</v>
      </c>
      <c r="N190" s="137">
        <v>0.3</v>
      </c>
      <c r="O190" s="137">
        <v>1.3</v>
      </c>
      <c r="P190" s="137">
        <v>-2.01</v>
      </c>
    </row>
    <row r="191">
      <c r="A191" s="137">
        <v>190.0</v>
      </c>
      <c r="B191" s="138" t="s">
        <v>1009</v>
      </c>
      <c r="C191" s="137" t="s">
        <v>45</v>
      </c>
      <c r="D191" s="137" t="s">
        <v>537</v>
      </c>
      <c r="E191" s="137">
        <v>70.0</v>
      </c>
      <c r="F191" s="137">
        <v>26.2</v>
      </c>
      <c r="G191" s="137" t="s">
        <v>1010</v>
      </c>
      <c r="H191" s="137" t="s">
        <v>1011</v>
      </c>
      <c r="I191" s="137">
        <v>0.5</v>
      </c>
      <c r="J191" s="137">
        <v>12.2</v>
      </c>
      <c r="K191" s="137">
        <v>3.7</v>
      </c>
      <c r="L191" s="137">
        <v>4.4</v>
      </c>
      <c r="M191" s="137">
        <v>1.1</v>
      </c>
      <c r="N191" s="137">
        <v>0.5</v>
      </c>
      <c r="O191" s="137">
        <v>2.1</v>
      </c>
      <c r="P191" s="137">
        <v>-2.02</v>
      </c>
    </row>
    <row r="192">
      <c r="A192" s="137">
        <v>191.0</v>
      </c>
      <c r="B192" s="138" t="s">
        <v>1012</v>
      </c>
      <c r="C192" s="137" t="s">
        <v>456</v>
      </c>
      <c r="D192" s="137" t="s">
        <v>398</v>
      </c>
      <c r="E192" s="137">
        <v>72.0</v>
      </c>
      <c r="F192" s="137">
        <v>16.4</v>
      </c>
      <c r="G192" s="137" t="s">
        <v>1013</v>
      </c>
      <c r="H192" s="137" t="s">
        <v>1014</v>
      </c>
      <c r="I192" s="137">
        <v>0.9</v>
      </c>
      <c r="J192" s="137">
        <v>9.5</v>
      </c>
      <c r="K192" s="137">
        <v>4.3</v>
      </c>
      <c r="L192" s="137">
        <v>1.0</v>
      </c>
      <c r="M192" s="137">
        <v>0.6</v>
      </c>
      <c r="N192" s="137">
        <v>0.8</v>
      </c>
      <c r="O192" s="137">
        <v>1.2</v>
      </c>
      <c r="P192" s="137">
        <v>-2.07</v>
      </c>
    </row>
    <row r="193">
      <c r="A193" s="137">
        <v>192.0</v>
      </c>
      <c r="B193" s="138" t="s">
        <v>1015</v>
      </c>
      <c r="C193" s="137" t="s">
        <v>456</v>
      </c>
      <c r="D193" s="137" t="s">
        <v>554</v>
      </c>
      <c r="E193" s="137">
        <v>46.0</v>
      </c>
      <c r="F193" s="137">
        <v>22.8</v>
      </c>
      <c r="G193" s="137" t="s">
        <v>1016</v>
      </c>
      <c r="H193" s="137" t="s">
        <v>1017</v>
      </c>
      <c r="I193" s="137">
        <v>0.5</v>
      </c>
      <c r="J193" s="137">
        <v>11.3</v>
      </c>
      <c r="K193" s="137">
        <v>6.6</v>
      </c>
      <c r="L193" s="137">
        <v>0.8</v>
      </c>
      <c r="M193" s="137">
        <v>0.4</v>
      </c>
      <c r="N193" s="137">
        <v>0.5</v>
      </c>
      <c r="O193" s="137">
        <v>0.9</v>
      </c>
      <c r="P193" s="137">
        <v>-2.11</v>
      </c>
    </row>
    <row r="194">
      <c r="A194" s="137">
        <v>193.0</v>
      </c>
      <c r="B194" s="138" t="s">
        <v>1018</v>
      </c>
      <c r="C194" s="137" t="s">
        <v>44</v>
      </c>
      <c r="D194" s="137" t="s">
        <v>533</v>
      </c>
      <c r="E194" s="137">
        <v>76.0</v>
      </c>
      <c r="F194" s="137">
        <v>26.6</v>
      </c>
      <c r="G194" s="137" t="s">
        <v>1019</v>
      </c>
      <c r="H194" s="137" t="s">
        <v>1020</v>
      </c>
      <c r="I194" s="137">
        <v>0.8</v>
      </c>
      <c r="J194" s="137">
        <v>8.8</v>
      </c>
      <c r="K194" s="137">
        <v>2.8</v>
      </c>
      <c r="L194" s="137">
        <v>3.0</v>
      </c>
      <c r="M194" s="137">
        <v>0.8</v>
      </c>
      <c r="N194" s="137">
        <v>0.4</v>
      </c>
      <c r="O194" s="137">
        <v>1.3</v>
      </c>
      <c r="P194" s="137">
        <v>-2.13</v>
      </c>
    </row>
    <row r="195">
      <c r="A195" s="137">
        <v>194.0</v>
      </c>
      <c r="B195" s="138" t="s">
        <v>1021</v>
      </c>
      <c r="C195" s="137" t="s">
        <v>43</v>
      </c>
      <c r="D195" s="137" t="s">
        <v>603</v>
      </c>
      <c r="E195" s="137">
        <v>67.0</v>
      </c>
      <c r="F195" s="137">
        <v>20.4</v>
      </c>
      <c r="G195" s="137" t="s">
        <v>1022</v>
      </c>
      <c r="H195" s="137" t="s">
        <v>1023</v>
      </c>
      <c r="I195" s="137">
        <v>1.1</v>
      </c>
      <c r="J195" s="137">
        <v>8.5</v>
      </c>
      <c r="K195" s="137">
        <v>2.3</v>
      </c>
      <c r="L195" s="137">
        <v>3.3</v>
      </c>
      <c r="M195" s="137">
        <v>1.3</v>
      </c>
      <c r="N195" s="137">
        <v>0.2</v>
      </c>
      <c r="O195" s="137">
        <v>1.2</v>
      </c>
      <c r="P195" s="137">
        <v>-2.14</v>
      </c>
    </row>
    <row r="196">
      <c r="A196" s="137">
        <v>195.0</v>
      </c>
      <c r="B196" s="138" t="s">
        <v>1024</v>
      </c>
      <c r="C196" s="137" t="s">
        <v>469</v>
      </c>
      <c r="D196" s="137" t="s">
        <v>537</v>
      </c>
      <c r="E196" s="137">
        <v>70.0</v>
      </c>
      <c r="F196" s="137">
        <v>28.4</v>
      </c>
      <c r="G196" s="137" t="s">
        <v>1025</v>
      </c>
      <c r="H196" s="137" t="s">
        <v>1026</v>
      </c>
      <c r="I196" s="137">
        <v>1.8</v>
      </c>
      <c r="J196" s="137">
        <v>15.2</v>
      </c>
      <c r="K196" s="137">
        <v>3.2</v>
      </c>
      <c r="L196" s="137">
        <v>2.6</v>
      </c>
      <c r="M196" s="137">
        <v>0.9</v>
      </c>
      <c r="N196" s="137">
        <v>0.2</v>
      </c>
      <c r="O196" s="137">
        <v>1.4</v>
      </c>
      <c r="P196" s="137">
        <v>-2.15</v>
      </c>
    </row>
    <row r="197">
      <c r="A197" s="137">
        <v>196.0</v>
      </c>
      <c r="B197" s="138" t="s">
        <v>1027</v>
      </c>
      <c r="C197" s="137" t="s">
        <v>469</v>
      </c>
      <c r="D197" s="137" t="s">
        <v>547</v>
      </c>
      <c r="E197" s="137">
        <v>72.0</v>
      </c>
      <c r="F197" s="137">
        <v>33.6</v>
      </c>
      <c r="G197" s="137" t="s">
        <v>1028</v>
      </c>
      <c r="H197" s="137" t="s">
        <v>1029</v>
      </c>
      <c r="I197" s="137">
        <v>1.8</v>
      </c>
      <c r="J197" s="137">
        <v>19.7</v>
      </c>
      <c r="K197" s="137">
        <v>5.4</v>
      </c>
      <c r="L197" s="137">
        <v>2.8</v>
      </c>
      <c r="M197" s="137">
        <v>0.5</v>
      </c>
      <c r="N197" s="137">
        <v>0.2</v>
      </c>
      <c r="O197" s="137">
        <v>2.2</v>
      </c>
      <c r="P197" s="137">
        <v>-2.17</v>
      </c>
    </row>
    <row r="198">
      <c r="A198" s="137">
        <v>197.0</v>
      </c>
      <c r="B198" s="138" t="s">
        <v>1030</v>
      </c>
      <c r="C198" s="137" t="s">
        <v>424</v>
      </c>
      <c r="D198" s="137" t="s">
        <v>537</v>
      </c>
      <c r="E198" s="137">
        <v>30.0</v>
      </c>
      <c r="F198" s="137">
        <v>20.8</v>
      </c>
      <c r="G198" s="137" t="s">
        <v>1031</v>
      </c>
      <c r="H198" s="137" t="s">
        <v>786</v>
      </c>
      <c r="I198" s="137">
        <v>1.6</v>
      </c>
      <c r="J198" s="137">
        <v>10.9</v>
      </c>
      <c r="K198" s="137">
        <v>3.1</v>
      </c>
      <c r="L198" s="137">
        <v>3.7</v>
      </c>
      <c r="M198" s="137">
        <v>0.8</v>
      </c>
      <c r="N198" s="137">
        <v>0.2</v>
      </c>
      <c r="O198" s="137">
        <v>2.0</v>
      </c>
      <c r="P198" s="137">
        <v>-2.21</v>
      </c>
    </row>
    <row r="199">
      <c r="A199" s="137">
        <v>198.0</v>
      </c>
      <c r="B199" s="138" t="s">
        <v>1032</v>
      </c>
      <c r="C199" s="137" t="s">
        <v>45</v>
      </c>
      <c r="D199" s="137" t="s">
        <v>461</v>
      </c>
      <c r="E199" s="137">
        <v>50.0</v>
      </c>
      <c r="F199" s="137">
        <v>25.4</v>
      </c>
      <c r="G199" s="137" t="s">
        <v>1033</v>
      </c>
      <c r="H199" s="137" t="s">
        <v>1034</v>
      </c>
      <c r="I199" s="137">
        <v>1.0</v>
      </c>
      <c r="J199" s="137">
        <v>12.0</v>
      </c>
      <c r="K199" s="137">
        <v>3.5</v>
      </c>
      <c r="L199" s="137">
        <v>3.0</v>
      </c>
      <c r="M199" s="137">
        <v>0.6</v>
      </c>
      <c r="N199" s="137">
        <v>0.2</v>
      </c>
      <c r="O199" s="137">
        <v>1.7</v>
      </c>
      <c r="P199" s="137">
        <v>-2.21</v>
      </c>
    </row>
    <row r="200">
      <c r="A200" s="137">
        <v>199.0</v>
      </c>
      <c r="B200" s="138" t="s">
        <v>1035</v>
      </c>
      <c r="C200" s="137" t="s">
        <v>424</v>
      </c>
      <c r="D200" s="137" t="s">
        <v>429</v>
      </c>
      <c r="E200" s="137">
        <v>72.0</v>
      </c>
      <c r="F200" s="137">
        <v>26.2</v>
      </c>
      <c r="G200" s="137" t="s">
        <v>1036</v>
      </c>
      <c r="H200" s="137" t="s">
        <v>1037</v>
      </c>
      <c r="I200" s="137">
        <v>1.2</v>
      </c>
      <c r="J200" s="137">
        <v>9.1</v>
      </c>
      <c r="K200" s="137">
        <v>2.5</v>
      </c>
      <c r="L200" s="137">
        <v>4.4</v>
      </c>
      <c r="M200" s="137">
        <v>0.9</v>
      </c>
      <c r="N200" s="137">
        <v>0.2</v>
      </c>
      <c r="O200" s="137">
        <v>1.6</v>
      </c>
      <c r="P200" s="137">
        <v>-2.23</v>
      </c>
    </row>
    <row r="201">
      <c r="A201" s="137">
        <v>200.0</v>
      </c>
      <c r="B201" s="138" t="s">
        <v>1038</v>
      </c>
      <c r="C201" s="137" t="s">
        <v>469</v>
      </c>
      <c r="D201" s="137" t="s">
        <v>445</v>
      </c>
      <c r="E201" s="137">
        <v>70.0</v>
      </c>
      <c r="F201" s="137">
        <v>23.4</v>
      </c>
      <c r="G201" s="137" t="s">
        <v>1039</v>
      </c>
      <c r="H201" s="137" t="s">
        <v>1040</v>
      </c>
      <c r="I201" s="137">
        <v>2.0</v>
      </c>
      <c r="J201" s="137">
        <v>9.1</v>
      </c>
      <c r="K201" s="137">
        <v>3.0</v>
      </c>
      <c r="L201" s="137">
        <v>1.7</v>
      </c>
      <c r="M201" s="137">
        <v>0.7</v>
      </c>
      <c r="N201" s="137">
        <v>0.2</v>
      </c>
      <c r="O201" s="137">
        <v>0.7</v>
      </c>
      <c r="P201" s="137">
        <v>-2.28</v>
      </c>
    </row>
    <row r="202">
      <c r="A202" s="137">
        <v>201.0</v>
      </c>
      <c r="B202" s="138" t="s">
        <v>1041</v>
      </c>
      <c r="C202" s="137" t="s">
        <v>456</v>
      </c>
      <c r="D202" s="137" t="s">
        <v>480</v>
      </c>
      <c r="E202" s="137">
        <v>75.0</v>
      </c>
      <c r="F202" s="137">
        <v>23.1</v>
      </c>
      <c r="G202" s="137" t="s">
        <v>1042</v>
      </c>
      <c r="H202" s="137" t="s">
        <v>1043</v>
      </c>
      <c r="I202" s="137">
        <v>1.1</v>
      </c>
      <c r="J202" s="137">
        <v>9.5</v>
      </c>
      <c r="K202" s="137">
        <v>5.2</v>
      </c>
      <c r="L202" s="137">
        <v>1.4</v>
      </c>
      <c r="M202" s="137">
        <v>0.6</v>
      </c>
      <c r="N202" s="137">
        <v>0.7</v>
      </c>
      <c r="O202" s="137">
        <v>0.9</v>
      </c>
      <c r="P202" s="137">
        <v>-2.33</v>
      </c>
    </row>
    <row r="203">
      <c r="A203" s="137">
        <v>202.0</v>
      </c>
      <c r="B203" s="138" t="s">
        <v>1044</v>
      </c>
      <c r="C203" s="137" t="s">
        <v>47</v>
      </c>
      <c r="D203" s="137" t="s">
        <v>491</v>
      </c>
      <c r="E203" s="137">
        <v>75.0</v>
      </c>
      <c r="F203" s="137">
        <v>23.4</v>
      </c>
      <c r="G203" s="137" t="s">
        <v>1045</v>
      </c>
      <c r="H203" s="137" t="s">
        <v>1046</v>
      </c>
      <c r="I203" s="137">
        <v>0.0</v>
      </c>
      <c r="J203" s="137">
        <v>8.2</v>
      </c>
      <c r="K203" s="137">
        <v>7.8</v>
      </c>
      <c r="L203" s="137">
        <v>2.9</v>
      </c>
      <c r="M203" s="137">
        <v>0.7</v>
      </c>
      <c r="N203" s="137">
        <v>0.6</v>
      </c>
      <c r="O203" s="137">
        <v>1.3</v>
      </c>
      <c r="P203" s="137">
        <v>-2.35</v>
      </c>
    </row>
    <row r="204">
      <c r="A204" s="137">
        <v>203.0</v>
      </c>
      <c r="B204" s="138" t="s">
        <v>1047</v>
      </c>
      <c r="C204" s="137" t="s">
        <v>47</v>
      </c>
      <c r="D204" s="137" t="s">
        <v>554</v>
      </c>
      <c r="E204" s="137">
        <v>56.0</v>
      </c>
      <c r="F204" s="137">
        <v>20.8</v>
      </c>
      <c r="G204" s="137" t="s">
        <v>1048</v>
      </c>
      <c r="H204" s="137" t="s">
        <v>1049</v>
      </c>
      <c r="I204" s="137">
        <v>0.1</v>
      </c>
      <c r="J204" s="137">
        <v>10.9</v>
      </c>
      <c r="K204" s="137">
        <v>6.5</v>
      </c>
      <c r="L204" s="137">
        <v>0.7</v>
      </c>
      <c r="M204" s="137">
        <v>0.2</v>
      </c>
      <c r="N204" s="137">
        <v>0.9</v>
      </c>
      <c r="O204" s="137">
        <v>1.2</v>
      </c>
      <c r="P204" s="137">
        <v>-2.35</v>
      </c>
    </row>
    <row r="205">
      <c r="A205" s="137">
        <v>204.0</v>
      </c>
      <c r="B205" s="138" t="s">
        <v>1050</v>
      </c>
      <c r="C205" s="137" t="s">
        <v>424</v>
      </c>
      <c r="D205" s="137" t="s">
        <v>619</v>
      </c>
      <c r="E205" s="137">
        <v>56.0</v>
      </c>
      <c r="F205" s="137">
        <v>23.8</v>
      </c>
      <c r="G205" s="137" t="s">
        <v>1051</v>
      </c>
      <c r="H205" s="137" t="s">
        <v>1052</v>
      </c>
      <c r="I205" s="137">
        <v>1.0</v>
      </c>
      <c r="J205" s="137">
        <v>10.3</v>
      </c>
      <c r="K205" s="137">
        <v>3.1</v>
      </c>
      <c r="L205" s="137">
        <v>3.4</v>
      </c>
      <c r="M205" s="137">
        <v>1.2</v>
      </c>
      <c r="N205" s="137">
        <v>0.4</v>
      </c>
      <c r="O205" s="137">
        <v>2.2</v>
      </c>
      <c r="P205" s="137">
        <v>-2.38</v>
      </c>
    </row>
    <row r="206">
      <c r="A206" s="137">
        <v>205.0</v>
      </c>
      <c r="B206" s="138" t="s">
        <v>1053</v>
      </c>
      <c r="C206" s="137" t="s">
        <v>469</v>
      </c>
      <c r="D206" s="137" t="s">
        <v>619</v>
      </c>
      <c r="E206" s="137">
        <v>60.0</v>
      </c>
      <c r="F206" s="137">
        <v>25.2</v>
      </c>
      <c r="G206" s="137" t="s">
        <v>1054</v>
      </c>
      <c r="H206" s="137" t="s">
        <v>1055</v>
      </c>
      <c r="I206" s="137">
        <v>1.8</v>
      </c>
      <c r="J206" s="137">
        <v>9.4</v>
      </c>
      <c r="K206" s="137">
        <v>1.9</v>
      </c>
      <c r="L206" s="137">
        <v>1.5</v>
      </c>
      <c r="M206" s="137">
        <v>0.9</v>
      </c>
      <c r="N206" s="137">
        <v>0.2</v>
      </c>
      <c r="O206" s="137">
        <v>0.8</v>
      </c>
      <c r="P206" s="137">
        <v>-2.42</v>
      </c>
    </row>
    <row r="207">
      <c r="A207" s="137">
        <v>206.0</v>
      </c>
      <c r="B207" s="138" t="s">
        <v>1056</v>
      </c>
      <c r="C207" s="137" t="s">
        <v>469</v>
      </c>
      <c r="D207" s="137" t="s">
        <v>445</v>
      </c>
      <c r="E207" s="137">
        <v>60.0</v>
      </c>
      <c r="F207" s="137">
        <v>26.5</v>
      </c>
      <c r="G207" s="137" t="s">
        <v>1057</v>
      </c>
      <c r="H207" s="137" t="s">
        <v>1058</v>
      </c>
      <c r="I207" s="137">
        <v>1.9</v>
      </c>
      <c r="J207" s="137">
        <v>11.9</v>
      </c>
      <c r="K207" s="137">
        <v>1.8</v>
      </c>
      <c r="L207" s="137">
        <v>2.5</v>
      </c>
      <c r="M207" s="137">
        <v>0.5</v>
      </c>
      <c r="N207" s="137">
        <v>0.3</v>
      </c>
      <c r="O207" s="137">
        <v>1.6</v>
      </c>
      <c r="P207" s="137">
        <v>-2.42</v>
      </c>
    </row>
    <row r="208">
      <c r="A208" s="137">
        <v>207.0</v>
      </c>
      <c r="B208" s="138" t="s">
        <v>1059</v>
      </c>
      <c r="C208" s="137" t="s">
        <v>47</v>
      </c>
      <c r="D208" s="137" t="s">
        <v>567</v>
      </c>
      <c r="E208" s="137">
        <v>60.0</v>
      </c>
      <c r="F208" s="137">
        <v>13.8</v>
      </c>
      <c r="G208" s="137" t="s">
        <v>1060</v>
      </c>
      <c r="H208" s="137" t="s">
        <v>1061</v>
      </c>
      <c r="I208" s="137">
        <v>0.1</v>
      </c>
      <c r="J208" s="137">
        <v>5.5</v>
      </c>
      <c r="K208" s="137">
        <v>5.3</v>
      </c>
      <c r="L208" s="137">
        <v>1.1</v>
      </c>
      <c r="M208" s="137">
        <v>0.4</v>
      </c>
      <c r="N208" s="137">
        <v>1.0</v>
      </c>
      <c r="O208" s="137">
        <v>1.0</v>
      </c>
      <c r="P208" s="137">
        <v>-2.42</v>
      </c>
    </row>
    <row r="209">
      <c r="A209" s="137">
        <v>208.0</v>
      </c>
      <c r="B209" s="138" t="s">
        <v>1062</v>
      </c>
      <c r="C209" s="137" t="s">
        <v>432</v>
      </c>
      <c r="D209" s="137" t="s">
        <v>619</v>
      </c>
      <c r="E209" s="137">
        <v>30.0</v>
      </c>
      <c r="F209" s="137">
        <v>16.9</v>
      </c>
      <c r="G209" s="137" t="s">
        <v>1063</v>
      </c>
      <c r="H209" s="137" t="s">
        <v>1064</v>
      </c>
      <c r="I209" s="137">
        <v>0.8</v>
      </c>
      <c r="J209" s="137">
        <v>7.6</v>
      </c>
      <c r="K209" s="137">
        <v>6.1</v>
      </c>
      <c r="L209" s="137">
        <v>0.8</v>
      </c>
      <c r="M209" s="137">
        <v>1.3</v>
      </c>
      <c r="N209" s="137">
        <v>0.6</v>
      </c>
      <c r="O209" s="137">
        <v>0.6</v>
      </c>
      <c r="P209" s="137">
        <v>-2.44</v>
      </c>
    </row>
    <row r="210">
      <c r="A210" s="137">
        <v>209.0</v>
      </c>
      <c r="B210" s="138" t="s">
        <v>1065</v>
      </c>
      <c r="C210" s="137" t="s">
        <v>47</v>
      </c>
      <c r="D210" s="137" t="s">
        <v>445</v>
      </c>
      <c r="E210" s="137">
        <v>70.0</v>
      </c>
      <c r="F210" s="137">
        <v>17.4</v>
      </c>
      <c r="G210" s="137" t="s">
        <v>1066</v>
      </c>
      <c r="H210" s="137" t="s">
        <v>1067</v>
      </c>
      <c r="I210" s="137">
        <v>0.1</v>
      </c>
      <c r="J210" s="137">
        <v>6.6</v>
      </c>
      <c r="K210" s="137">
        <v>5.0</v>
      </c>
      <c r="L210" s="137">
        <v>1.2</v>
      </c>
      <c r="M210" s="137">
        <v>0.4</v>
      </c>
      <c r="N210" s="137">
        <v>0.9</v>
      </c>
      <c r="O210" s="137">
        <v>0.9</v>
      </c>
      <c r="P210" s="137">
        <v>-2.49</v>
      </c>
    </row>
    <row r="211">
      <c r="A211" s="137">
        <v>210.0</v>
      </c>
      <c r="B211" s="138" t="s">
        <v>1068</v>
      </c>
      <c r="C211" s="137" t="s">
        <v>424</v>
      </c>
      <c r="D211" s="137" t="s">
        <v>491</v>
      </c>
      <c r="E211" s="137">
        <v>67.0</v>
      </c>
      <c r="F211" s="137">
        <v>18.7</v>
      </c>
      <c r="G211" s="137" t="s">
        <v>1051</v>
      </c>
      <c r="H211" s="137" t="s">
        <v>1069</v>
      </c>
      <c r="I211" s="137">
        <v>2.0</v>
      </c>
      <c r="J211" s="137">
        <v>10.7</v>
      </c>
      <c r="K211" s="137">
        <v>2.6</v>
      </c>
      <c r="L211" s="137">
        <v>2.9</v>
      </c>
      <c r="M211" s="137">
        <v>0.6</v>
      </c>
      <c r="N211" s="137">
        <v>0.3</v>
      </c>
      <c r="O211" s="137">
        <v>1.3</v>
      </c>
      <c r="P211" s="137">
        <v>-2.51</v>
      </c>
    </row>
    <row r="212">
      <c r="A212" s="137">
        <v>211.0</v>
      </c>
      <c r="B212" s="138" t="s">
        <v>1070</v>
      </c>
      <c r="C212" s="137" t="s">
        <v>46</v>
      </c>
      <c r="D212" s="137" t="s">
        <v>587</v>
      </c>
      <c r="E212" s="137">
        <v>72.0</v>
      </c>
      <c r="F212" s="137">
        <v>18.0</v>
      </c>
      <c r="G212" s="137" t="s">
        <v>1071</v>
      </c>
      <c r="H212" s="137" t="s">
        <v>1072</v>
      </c>
      <c r="I212" s="137">
        <v>0.7</v>
      </c>
      <c r="J212" s="137">
        <v>8.3</v>
      </c>
      <c r="K212" s="137">
        <v>5.2</v>
      </c>
      <c r="L212" s="137">
        <v>0.3</v>
      </c>
      <c r="M212" s="137">
        <v>0.5</v>
      </c>
      <c r="N212" s="137">
        <v>0.8</v>
      </c>
      <c r="O212" s="137">
        <v>0.5</v>
      </c>
      <c r="P212" s="137">
        <v>-2.51</v>
      </c>
    </row>
    <row r="213">
      <c r="A213" s="137">
        <v>212.0</v>
      </c>
      <c r="B213" s="138" t="s">
        <v>1073</v>
      </c>
      <c r="C213" s="137" t="s">
        <v>44</v>
      </c>
      <c r="D213" s="137" t="s">
        <v>416</v>
      </c>
      <c r="E213" s="137">
        <v>76.0</v>
      </c>
      <c r="F213" s="137">
        <v>25.2</v>
      </c>
      <c r="G213" s="137" t="s">
        <v>1074</v>
      </c>
      <c r="H213" s="137" t="s">
        <v>1075</v>
      </c>
      <c r="I213" s="137">
        <v>0.9</v>
      </c>
      <c r="J213" s="137">
        <v>8.2</v>
      </c>
      <c r="K213" s="137">
        <v>4.0</v>
      </c>
      <c r="L213" s="137">
        <v>1.3</v>
      </c>
      <c r="M213" s="137">
        <v>0.9</v>
      </c>
      <c r="N213" s="137">
        <v>0.4</v>
      </c>
      <c r="O213" s="137">
        <v>0.8</v>
      </c>
      <c r="P213" s="137">
        <v>-2.54</v>
      </c>
    </row>
    <row r="214">
      <c r="A214" s="137">
        <v>213.0</v>
      </c>
      <c r="B214" s="138" t="s">
        <v>1076</v>
      </c>
      <c r="C214" s="137" t="s">
        <v>432</v>
      </c>
      <c r="D214" s="137" t="s">
        <v>473</v>
      </c>
      <c r="E214" s="137">
        <v>72.0</v>
      </c>
      <c r="F214" s="137">
        <v>20.2</v>
      </c>
      <c r="G214" s="137" t="s">
        <v>1074</v>
      </c>
      <c r="H214" s="137" t="s">
        <v>1077</v>
      </c>
      <c r="I214" s="137">
        <v>0.6</v>
      </c>
      <c r="J214" s="137">
        <v>7.9</v>
      </c>
      <c r="K214" s="137">
        <v>5.4</v>
      </c>
      <c r="L214" s="137">
        <v>1.5</v>
      </c>
      <c r="M214" s="137">
        <v>0.7</v>
      </c>
      <c r="N214" s="137">
        <v>0.6</v>
      </c>
      <c r="O214" s="137">
        <v>0.9</v>
      </c>
      <c r="P214" s="137">
        <v>-2.66</v>
      </c>
    </row>
    <row r="215">
      <c r="A215" s="137">
        <v>214.0</v>
      </c>
      <c r="B215" s="138" t="s">
        <v>1078</v>
      </c>
      <c r="C215" s="137" t="s">
        <v>469</v>
      </c>
      <c r="D215" s="137" t="s">
        <v>437</v>
      </c>
      <c r="E215" s="137">
        <v>69.0</v>
      </c>
      <c r="F215" s="137">
        <v>27.4</v>
      </c>
      <c r="G215" s="137" t="s">
        <v>1079</v>
      </c>
      <c r="H215" s="137" t="s">
        <v>1080</v>
      </c>
      <c r="I215" s="137">
        <v>2.6</v>
      </c>
      <c r="J215" s="137">
        <v>13.2</v>
      </c>
      <c r="K215" s="137">
        <v>3.3</v>
      </c>
      <c r="L215" s="137">
        <v>1.8</v>
      </c>
      <c r="M215" s="137">
        <v>0.7</v>
      </c>
      <c r="N215" s="137">
        <v>0.2</v>
      </c>
      <c r="O215" s="137">
        <v>0.8</v>
      </c>
      <c r="P215" s="137">
        <v>-2.69</v>
      </c>
    </row>
    <row r="216">
      <c r="A216" s="137">
        <v>215.0</v>
      </c>
      <c r="B216" s="138" t="s">
        <v>1081</v>
      </c>
      <c r="C216" s="137" t="s">
        <v>45</v>
      </c>
      <c r="D216" s="137" t="s">
        <v>420</v>
      </c>
      <c r="E216" s="137">
        <v>68.0</v>
      </c>
      <c r="F216" s="137">
        <v>24.0</v>
      </c>
      <c r="G216" s="137" t="s">
        <v>1082</v>
      </c>
      <c r="H216" s="137" t="s">
        <v>1083</v>
      </c>
      <c r="I216" s="137">
        <v>1.4</v>
      </c>
      <c r="J216" s="137">
        <v>11.4</v>
      </c>
      <c r="K216" s="137">
        <v>3.0</v>
      </c>
      <c r="L216" s="137">
        <v>0.9</v>
      </c>
      <c r="M216" s="137">
        <v>0.9</v>
      </c>
      <c r="N216" s="137">
        <v>0.3</v>
      </c>
      <c r="O216" s="137">
        <v>0.8</v>
      </c>
      <c r="P216" s="137">
        <v>-2.7</v>
      </c>
    </row>
    <row r="217">
      <c r="A217" s="137">
        <v>216.0</v>
      </c>
      <c r="B217" s="138" t="s">
        <v>1084</v>
      </c>
      <c r="C217" s="137" t="s">
        <v>432</v>
      </c>
      <c r="D217" s="137" t="s">
        <v>503</v>
      </c>
      <c r="E217" s="137">
        <v>69.0</v>
      </c>
      <c r="F217" s="137">
        <v>25.1</v>
      </c>
      <c r="G217" s="137" t="s">
        <v>1085</v>
      </c>
      <c r="H217" s="137" t="s">
        <v>1086</v>
      </c>
      <c r="I217" s="137">
        <v>1.6</v>
      </c>
      <c r="J217" s="137">
        <v>7.8</v>
      </c>
      <c r="K217" s="137">
        <v>3.8</v>
      </c>
      <c r="L217" s="137">
        <v>1.4</v>
      </c>
      <c r="M217" s="137">
        <v>0.8</v>
      </c>
      <c r="N217" s="137">
        <v>0.4</v>
      </c>
      <c r="O217" s="137">
        <v>0.8</v>
      </c>
      <c r="P217" s="137">
        <v>-2.71</v>
      </c>
    </row>
    <row r="218">
      <c r="A218" s="137">
        <v>217.0</v>
      </c>
      <c r="B218" s="138" t="s">
        <v>1087</v>
      </c>
      <c r="C218" s="137" t="s">
        <v>469</v>
      </c>
      <c r="D218" s="137" t="s">
        <v>554</v>
      </c>
      <c r="E218" s="137">
        <v>72.0</v>
      </c>
      <c r="F218" s="137">
        <v>26.1</v>
      </c>
      <c r="G218" s="137" t="s">
        <v>1088</v>
      </c>
      <c r="H218" s="137" t="s">
        <v>1089</v>
      </c>
      <c r="I218" s="137">
        <v>0.7</v>
      </c>
      <c r="J218" s="137">
        <v>12.8</v>
      </c>
      <c r="K218" s="137">
        <v>4.1</v>
      </c>
      <c r="L218" s="137">
        <v>3.5</v>
      </c>
      <c r="M218" s="137">
        <v>1.0</v>
      </c>
      <c r="N218" s="137">
        <v>0.5</v>
      </c>
      <c r="O218" s="137">
        <v>1.8</v>
      </c>
      <c r="P218" s="137">
        <v>-2.72</v>
      </c>
    </row>
    <row r="219">
      <c r="A219" s="137">
        <v>218.0</v>
      </c>
      <c r="B219" s="138" t="s">
        <v>1090</v>
      </c>
      <c r="C219" s="137" t="s">
        <v>46</v>
      </c>
      <c r="D219" s="137" t="s">
        <v>441</v>
      </c>
      <c r="E219" s="137">
        <v>72.0</v>
      </c>
      <c r="F219" s="137">
        <v>24.4</v>
      </c>
      <c r="G219" s="137" t="s">
        <v>1091</v>
      </c>
      <c r="H219" s="137" t="s">
        <v>1092</v>
      </c>
      <c r="I219" s="137">
        <v>0.9</v>
      </c>
      <c r="J219" s="137">
        <v>11.9</v>
      </c>
      <c r="K219" s="137">
        <v>4.2</v>
      </c>
      <c r="L219" s="137">
        <v>1.7</v>
      </c>
      <c r="M219" s="137">
        <v>0.7</v>
      </c>
      <c r="N219" s="137">
        <v>0.5</v>
      </c>
      <c r="O219" s="137">
        <v>1.5</v>
      </c>
      <c r="P219" s="137">
        <v>-2.77</v>
      </c>
    </row>
    <row r="220">
      <c r="A220" s="137">
        <v>219.0</v>
      </c>
      <c r="B220" s="138" t="s">
        <v>1093</v>
      </c>
      <c r="C220" s="137" t="s">
        <v>432</v>
      </c>
      <c r="D220" s="137" t="s">
        <v>567</v>
      </c>
      <c r="E220" s="137">
        <v>68.0</v>
      </c>
      <c r="F220" s="137">
        <v>17.4</v>
      </c>
      <c r="G220" s="137" t="s">
        <v>1094</v>
      </c>
      <c r="H220" s="137" t="s">
        <v>1095</v>
      </c>
      <c r="I220" s="137">
        <v>2.1</v>
      </c>
      <c r="J220" s="137">
        <v>10.4</v>
      </c>
      <c r="K220" s="137">
        <v>3.8</v>
      </c>
      <c r="L220" s="137">
        <v>0.6</v>
      </c>
      <c r="M220" s="137">
        <v>0.4</v>
      </c>
      <c r="N220" s="137">
        <v>0.3</v>
      </c>
      <c r="O220" s="137">
        <v>0.7</v>
      </c>
      <c r="P220" s="137">
        <v>-2.8</v>
      </c>
    </row>
    <row r="221">
      <c r="A221" s="137">
        <v>220.0</v>
      </c>
      <c r="B221" s="138" t="s">
        <v>1096</v>
      </c>
      <c r="C221" s="137" t="s">
        <v>424</v>
      </c>
      <c r="D221" s="137" t="s">
        <v>425</v>
      </c>
      <c r="E221" s="137">
        <v>70.0</v>
      </c>
      <c r="F221" s="137">
        <v>20.0</v>
      </c>
      <c r="G221" s="137" t="s">
        <v>1097</v>
      </c>
      <c r="H221" s="137" t="s">
        <v>1098</v>
      </c>
      <c r="I221" s="137">
        <v>2.3</v>
      </c>
      <c r="J221" s="137">
        <v>10.0</v>
      </c>
      <c r="K221" s="137">
        <v>2.3</v>
      </c>
      <c r="L221" s="137">
        <v>1.2</v>
      </c>
      <c r="M221" s="137">
        <v>0.6</v>
      </c>
      <c r="N221" s="137">
        <v>0.1</v>
      </c>
      <c r="O221" s="137">
        <v>0.6</v>
      </c>
      <c r="P221" s="137">
        <v>-2.8</v>
      </c>
    </row>
    <row r="222">
      <c r="A222" s="137">
        <v>221.0</v>
      </c>
      <c r="B222" s="138" t="s">
        <v>1099</v>
      </c>
      <c r="C222" s="137" t="s">
        <v>469</v>
      </c>
      <c r="D222" s="137" t="s">
        <v>445</v>
      </c>
      <c r="E222" s="137">
        <v>70.0</v>
      </c>
      <c r="F222" s="137">
        <v>24.4</v>
      </c>
      <c r="G222" s="137" t="s">
        <v>1100</v>
      </c>
      <c r="H222" s="137" t="s">
        <v>1101</v>
      </c>
      <c r="I222" s="137">
        <v>1.1</v>
      </c>
      <c r="J222" s="137">
        <v>8.8</v>
      </c>
      <c r="K222" s="137">
        <v>4.2</v>
      </c>
      <c r="L222" s="137">
        <v>1.7</v>
      </c>
      <c r="M222" s="137">
        <v>1.1</v>
      </c>
      <c r="N222" s="137">
        <v>0.6</v>
      </c>
      <c r="O222" s="137">
        <v>1.1</v>
      </c>
      <c r="P222" s="137">
        <v>-2.86</v>
      </c>
    </row>
    <row r="223">
      <c r="A223" s="137" t="s">
        <v>1102</v>
      </c>
      <c r="B223" s="138" t="s">
        <v>1103</v>
      </c>
      <c r="C223" s="137" t="s">
        <v>469</v>
      </c>
      <c r="D223" s="137" t="s">
        <v>457</v>
      </c>
      <c r="E223" s="137">
        <v>70.0</v>
      </c>
      <c r="F223" s="137">
        <v>23.2</v>
      </c>
      <c r="G223" s="137" t="s">
        <v>1104</v>
      </c>
      <c r="H223" s="137" t="s">
        <v>1105</v>
      </c>
      <c r="I223" s="137">
        <v>1.4</v>
      </c>
      <c r="J223" s="137">
        <v>7.4</v>
      </c>
      <c r="K223" s="137">
        <v>3.9</v>
      </c>
      <c r="L223" s="137">
        <v>1.1</v>
      </c>
      <c r="M223" s="137">
        <v>0.7</v>
      </c>
      <c r="N223" s="137">
        <v>0.4</v>
      </c>
      <c r="O223" s="137">
        <v>1.0</v>
      </c>
      <c r="P223" s="137">
        <v>-2.89</v>
      </c>
    </row>
    <row r="224">
      <c r="A224" s="137" t="s">
        <v>1106</v>
      </c>
      <c r="B224" s="138" t="s">
        <v>1107</v>
      </c>
      <c r="C224" s="137" t="s">
        <v>46</v>
      </c>
      <c r="D224" s="137" t="s">
        <v>429</v>
      </c>
      <c r="E224" s="137">
        <v>70.0</v>
      </c>
      <c r="F224" s="137">
        <v>26.5</v>
      </c>
      <c r="G224" s="137" t="s">
        <v>1108</v>
      </c>
      <c r="H224" s="137" t="s">
        <v>1109</v>
      </c>
      <c r="I224" s="137">
        <v>0.9</v>
      </c>
      <c r="J224" s="137">
        <v>10.4</v>
      </c>
      <c r="K224" s="137">
        <v>6.7</v>
      </c>
      <c r="L224" s="137">
        <v>1.1</v>
      </c>
      <c r="M224" s="137">
        <v>0.4</v>
      </c>
      <c r="N224" s="137">
        <v>0.8</v>
      </c>
      <c r="O224" s="137">
        <v>1.4</v>
      </c>
      <c r="P224" s="137">
        <v>-2.89</v>
      </c>
    </row>
    <row r="225">
      <c r="A225" s="137">
        <v>224.0</v>
      </c>
      <c r="B225" s="138" t="s">
        <v>1110</v>
      </c>
      <c r="C225" s="137" t="s">
        <v>456</v>
      </c>
      <c r="D225" s="137" t="s">
        <v>487</v>
      </c>
      <c r="E225" s="137">
        <v>62.0</v>
      </c>
      <c r="F225" s="137">
        <v>17.7</v>
      </c>
      <c r="G225" s="137" t="s">
        <v>1063</v>
      </c>
      <c r="H225" s="137" t="s">
        <v>1111</v>
      </c>
      <c r="I225" s="137">
        <v>1.8</v>
      </c>
      <c r="J225" s="137">
        <v>9.3</v>
      </c>
      <c r="K225" s="137">
        <v>5.7</v>
      </c>
      <c r="L225" s="137">
        <v>1.7</v>
      </c>
      <c r="M225" s="137">
        <v>0.3</v>
      </c>
      <c r="N225" s="137">
        <v>0.2</v>
      </c>
      <c r="O225" s="137">
        <v>1.0</v>
      </c>
      <c r="P225" s="137">
        <v>-2.93</v>
      </c>
    </row>
    <row r="226">
      <c r="A226" s="137">
        <v>225.0</v>
      </c>
      <c r="B226" s="138" t="s">
        <v>1112</v>
      </c>
      <c r="C226" s="137" t="s">
        <v>424</v>
      </c>
      <c r="D226" s="137" t="s">
        <v>533</v>
      </c>
      <c r="E226" s="137">
        <v>72.0</v>
      </c>
      <c r="F226" s="137">
        <v>22.2</v>
      </c>
      <c r="G226" s="137" t="s">
        <v>1113</v>
      </c>
      <c r="H226" s="137" t="s">
        <v>1114</v>
      </c>
      <c r="I226" s="137">
        <v>1.7</v>
      </c>
      <c r="J226" s="137">
        <v>9.8</v>
      </c>
      <c r="K226" s="137">
        <v>2.6</v>
      </c>
      <c r="L226" s="137">
        <v>2.5</v>
      </c>
      <c r="M226" s="137">
        <v>0.6</v>
      </c>
      <c r="N226" s="137">
        <v>0.1</v>
      </c>
      <c r="O226" s="137">
        <v>1.0</v>
      </c>
      <c r="P226" s="137">
        <v>-2.97</v>
      </c>
    </row>
    <row r="227">
      <c r="A227" s="137">
        <v>226.0</v>
      </c>
      <c r="B227" s="138" t="s">
        <v>1115</v>
      </c>
      <c r="C227" s="137" t="s">
        <v>432</v>
      </c>
      <c r="D227" s="137" t="s">
        <v>457</v>
      </c>
      <c r="E227" s="137">
        <v>65.0</v>
      </c>
      <c r="F227" s="137">
        <v>24.6</v>
      </c>
      <c r="G227" s="137" t="s">
        <v>1116</v>
      </c>
      <c r="H227" s="137" t="s">
        <v>1117</v>
      </c>
      <c r="I227" s="137">
        <v>1.1</v>
      </c>
      <c r="J227" s="137">
        <v>12.2</v>
      </c>
      <c r="K227" s="137">
        <v>4.6</v>
      </c>
      <c r="L227" s="137">
        <v>1.1</v>
      </c>
      <c r="M227" s="137">
        <v>0.4</v>
      </c>
      <c r="N227" s="137">
        <v>0.4</v>
      </c>
      <c r="O227" s="137">
        <v>0.9</v>
      </c>
      <c r="P227" s="137">
        <v>-2.97</v>
      </c>
    </row>
    <row r="228">
      <c r="A228" s="137">
        <v>227.0</v>
      </c>
      <c r="B228" s="138" t="s">
        <v>1118</v>
      </c>
      <c r="C228" s="137" t="s">
        <v>456</v>
      </c>
      <c r="D228" s="137" t="s">
        <v>491</v>
      </c>
      <c r="E228" s="137">
        <v>60.0</v>
      </c>
      <c r="F228" s="137">
        <v>24.7</v>
      </c>
      <c r="G228" s="137" t="s">
        <v>1119</v>
      </c>
      <c r="H228" s="137" t="s">
        <v>1120</v>
      </c>
      <c r="I228" s="137">
        <v>1.6</v>
      </c>
      <c r="J228" s="137">
        <v>11.4</v>
      </c>
      <c r="K228" s="137">
        <v>3.7</v>
      </c>
      <c r="L228" s="137">
        <v>1.7</v>
      </c>
      <c r="M228" s="137">
        <v>0.5</v>
      </c>
      <c r="N228" s="137">
        <v>0.3</v>
      </c>
      <c r="O228" s="137">
        <v>0.9</v>
      </c>
      <c r="P228" s="137">
        <v>-2.98</v>
      </c>
    </row>
    <row r="229">
      <c r="A229" s="137">
        <v>228.0</v>
      </c>
      <c r="B229" s="138" t="s">
        <v>1121</v>
      </c>
      <c r="C229" s="137" t="s">
        <v>47</v>
      </c>
      <c r="D229" s="137" t="s">
        <v>619</v>
      </c>
      <c r="E229" s="137">
        <v>60.0</v>
      </c>
      <c r="F229" s="137">
        <v>16.5</v>
      </c>
      <c r="G229" s="137" t="s">
        <v>1122</v>
      </c>
      <c r="H229" s="137" t="s">
        <v>1123</v>
      </c>
      <c r="I229" s="137">
        <v>0.9</v>
      </c>
      <c r="J229" s="137">
        <v>9.4</v>
      </c>
      <c r="K229" s="137">
        <v>4.0</v>
      </c>
      <c r="L229" s="137">
        <v>1.4</v>
      </c>
      <c r="M229" s="137">
        <v>0.5</v>
      </c>
      <c r="N229" s="137">
        <v>0.2</v>
      </c>
      <c r="O229" s="137">
        <v>1.0</v>
      </c>
      <c r="P229" s="137">
        <v>-2.99</v>
      </c>
    </row>
    <row r="230">
      <c r="A230" s="137">
        <v>229.0</v>
      </c>
      <c r="B230" s="138" t="s">
        <v>1124</v>
      </c>
      <c r="C230" s="137" t="s">
        <v>432</v>
      </c>
      <c r="D230" s="137" t="s">
        <v>425</v>
      </c>
      <c r="E230" s="137">
        <v>50.0</v>
      </c>
      <c r="F230" s="137">
        <v>22.2</v>
      </c>
      <c r="G230" s="137" t="s">
        <v>1125</v>
      </c>
      <c r="H230" s="137" t="s">
        <v>1126</v>
      </c>
      <c r="I230" s="137">
        <v>0.9</v>
      </c>
      <c r="J230" s="137">
        <v>7.8</v>
      </c>
      <c r="K230" s="137">
        <v>4.7</v>
      </c>
      <c r="L230" s="137">
        <v>2.1</v>
      </c>
      <c r="M230" s="137">
        <v>0.9</v>
      </c>
      <c r="N230" s="137">
        <v>0.2</v>
      </c>
      <c r="O230" s="137">
        <v>0.8</v>
      </c>
      <c r="P230" s="137">
        <v>-3.05</v>
      </c>
    </row>
    <row r="231">
      <c r="A231" s="137">
        <v>230.0</v>
      </c>
      <c r="B231" s="138" t="s">
        <v>1127</v>
      </c>
      <c r="C231" s="137" t="s">
        <v>469</v>
      </c>
      <c r="D231" s="137" t="s">
        <v>461</v>
      </c>
      <c r="E231" s="137">
        <v>65.0</v>
      </c>
      <c r="F231" s="137">
        <v>21.2</v>
      </c>
      <c r="G231" s="137" t="s">
        <v>1128</v>
      </c>
      <c r="H231" s="137" t="s">
        <v>1129</v>
      </c>
      <c r="I231" s="137">
        <v>0.7</v>
      </c>
      <c r="J231" s="137">
        <v>6.2</v>
      </c>
      <c r="K231" s="137">
        <v>3.3</v>
      </c>
      <c r="L231" s="137">
        <v>2.0</v>
      </c>
      <c r="M231" s="137">
        <v>1.0</v>
      </c>
      <c r="N231" s="137">
        <v>0.4</v>
      </c>
      <c r="O231" s="137">
        <v>0.7</v>
      </c>
      <c r="P231" s="137">
        <v>-3.16</v>
      </c>
    </row>
    <row r="232">
      <c r="A232" s="137">
        <v>231.0</v>
      </c>
      <c r="B232" s="138" t="s">
        <v>1130</v>
      </c>
      <c r="C232" s="137" t="s">
        <v>432</v>
      </c>
      <c r="D232" s="137" t="s">
        <v>445</v>
      </c>
      <c r="E232" s="137">
        <v>69.0</v>
      </c>
      <c r="F232" s="137">
        <v>20.4</v>
      </c>
      <c r="G232" s="137" t="s">
        <v>1131</v>
      </c>
      <c r="H232" s="137" t="s">
        <v>1132</v>
      </c>
      <c r="I232" s="137">
        <v>0.6</v>
      </c>
      <c r="J232" s="137">
        <v>8.4</v>
      </c>
      <c r="K232" s="137">
        <v>4.1</v>
      </c>
      <c r="L232" s="137">
        <v>1.2</v>
      </c>
      <c r="M232" s="137">
        <v>0.6</v>
      </c>
      <c r="N232" s="137">
        <v>0.3</v>
      </c>
      <c r="O232" s="137">
        <v>0.9</v>
      </c>
      <c r="P232" s="137">
        <v>-3.2</v>
      </c>
    </row>
    <row r="233">
      <c r="A233" s="137">
        <v>232.0</v>
      </c>
      <c r="B233" s="138" t="s">
        <v>1133</v>
      </c>
      <c r="C233" s="137" t="s">
        <v>45</v>
      </c>
      <c r="D233" s="137" t="s">
        <v>567</v>
      </c>
      <c r="E233" s="137">
        <v>60.0</v>
      </c>
      <c r="F233" s="137">
        <v>17.4</v>
      </c>
      <c r="G233" s="137" t="s">
        <v>1134</v>
      </c>
      <c r="H233" s="137" t="s">
        <v>1135</v>
      </c>
      <c r="I233" s="137">
        <v>0.1</v>
      </c>
      <c r="J233" s="137">
        <v>5.6</v>
      </c>
      <c r="K233" s="137">
        <v>4.1</v>
      </c>
      <c r="L233" s="137">
        <v>1.2</v>
      </c>
      <c r="M233" s="137">
        <v>0.5</v>
      </c>
      <c r="N233" s="137">
        <v>0.9</v>
      </c>
      <c r="O233" s="137">
        <v>0.8</v>
      </c>
      <c r="P233" s="137">
        <v>-3.23</v>
      </c>
    </row>
    <row r="234">
      <c r="A234" s="137">
        <v>233.0</v>
      </c>
      <c r="B234" s="138" t="s">
        <v>1136</v>
      </c>
      <c r="C234" s="137" t="s">
        <v>424</v>
      </c>
      <c r="D234" s="137" t="s">
        <v>619</v>
      </c>
      <c r="E234" s="137">
        <v>72.0</v>
      </c>
      <c r="F234" s="137">
        <v>20.0</v>
      </c>
      <c r="G234" s="137" t="s">
        <v>1137</v>
      </c>
      <c r="H234" s="137" t="s">
        <v>1138</v>
      </c>
      <c r="I234" s="137">
        <v>0.3</v>
      </c>
      <c r="J234" s="137">
        <v>9.7</v>
      </c>
      <c r="K234" s="137">
        <v>2.8</v>
      </c>
      <c r="L234" s="137">
        <v>3.3</v>
      </c>
      <c r="M234" s="137">
        <v>1.1</v>
      </c>
      <c r="N234" s="137">
        <v>0.3</v>
      </c>
      <c r="O234" s="137">
        <v>1.8</v>
      </c>
      <c r="P234" s="137">
        <v>-3.26</v>
      </c>
    </row>
    <row r="235">
      <c r="A235" s="137">
        <v>234.0</v>
      </c>
      <c r="B235" s="138" t="s">
        <v>1139</v>
      </c>
      <c r="C235" s="137" t="s">
        <v>47</v>
      </c>
      <c r="D235" s="137" t="s">
        <v>437</v>
      </c>
      <c r="E235" s="137">
        <v>50.0</v>
      </c>
      <c r="F235" s="137">
        <v>11.1</v>
      </c>
      <c r="G235" s="137" t="s">
        <v>1140</v>
      </c>
      <c r="H235" s="137" t="s">
        <v>1141</v>
      </c>
      <c r="I235" s="137">
        <v>0.0</v>
      </c>
      <c r="J235" s="137">
        <v>4.5</v>
      </c>
      <c r="K235" s="137">
        <v>4.6</v>
      </c>
      <c r="L235" s="137">
        <v>0.9</v>
      </c>
      <c r="M235" s="137">
        <v>0.4</v>
      </c>
      <c r="N235" s="137">
        <v>0.9</v>
      </c>
      <c r="O235" s="137">
        <v>0.5</v>
      </c>
      <c r="P235" s="137">
        <v>-3.27</v>
      </c>
    </row>
    <row r="236">
      <c r="A236" s="137">
        <v>235.0</v>
      </c>
      <c r="B236" s="138" t="s">
        <v>1142</v>
      </c>
      <c r="C236" s="137" t="s">
        <v>424</v>
      </c>
      <c r="D236" s="137" t="s">
        <v>437</v>
      </c>
      <c r="E236" s="137">
        <v>69.0</v>
      </c>
      <c r="F236" s="137">
        <v>19.2</v>
      </c>
      <c r="G236" s="137" t="s">
        <v>1143</v>
      </c>
      <c r="H236" s="137" t="s">
        <v>1144</v>
      </c>
      <c r="I236" s="137">
        <v>1.7</v>
      </c>
      <c r="J236" s="137">
        <v>11.5</v>
      </c>
      <c r="K236" s="137">
        <v>2.4</v>
      </c>
      <c r="L236" s="137">
        <v>1.8</v>
      </c>
      <c r="M236" s="137">
        <v>0.5</v>
      </c>
      <c r="N236" s="137">
        <v>0.2</v>
      </c>
      <c r="O236" s="137">
        <v>1.3</v>
      </c>
      <c r="P236" s="137">
        <v>-3.29</v>
      </c>
    </row>
    <row r="237">
      <c r="A237" s="137">
        <v>236.0</v>
      </c>
      <c r="B237" s="138" t="s">
        <v>1145</v>
      </c>
      <c r="C237" s="137" t="s">
        <v>46</v>
      </c>
      <c r="D237" s="137" t="s">
        <v>457</v>
      </c>
      <c r="E237" s="137">
        <v>69.0</v>
      </c>
      <c r="F237" s="137">
        <v>17.2</v>
      </c>
      <c r="G237" s="137" t="s">
        <v>1146</v>
      </c>
      <c r="H237" s="137" t="s">
        <v>1147</v>
      </c>
      <c r="I237" s="137">
        <v>1.0</v>
      </c>
      <c r="J237" s="137">
        <v>9.8</v>
      </c>
      <c r="K237" s="137">
        <v>5.0</v>
      </c>
      <c r="L237" s="137">
        <v>1.2</v>
      </c>
      <c r="M237" s="137">
        <v>0.4</v>
      </c>
      <c r="N237" s="137">
        <v>0.6</v>
      </c>
      <c r="O237" s="137">
        <v>1.1</v>
      </c>
      <c r="P237" s="137">
        <v>-3.33</v>
      </c>
    </row>
    <row r="238">
      <c r="A238" s="137">
        <v>237.0</v>
      </c>
      <c r="B238" s="138" t="s">
        <v>1148</v>
      </c>
      <c r="C238" s="137" t="s">
        <v>46</v>
      </c>
      <c r="D238" s="137" t="s">
        <v>507</v>
      </c>
      <c r="E238" s="137">
        <v>72.0</v>
      </c>
      <c r="F238" s="137">
        <v>22.0</v>
      </c>
      <c r="G238" s="137" t="s">
        <v>1149</v>
      </c>
      <c r="H238" s="137" t="s">
        <v>1150</v>
      </c>
      <c r="I238" s="137">
        <v>0.8</v>
      </c>
      <c r="J238" s="137">
        <v>8.8</v>
      </c>
      <c r="K238" s="137">
        <v>5.6</v>
      </c>
      <c r="L238" s="137">
        <v>1.7</v>
      </c>
      <c r="M238" s="137">
        <v>0.4</v>
      </c>
      <c r="N238" s="137">
        <v>0.4</v>
      </c>
      <c r="O238" s="137">
        <v>1.2</v>
      </c>
      <c r="P238" s="137">
        <v>-3.37</v>
      </c>
    </row>
    <row r="239">
      <c r="A239" s="137">
        <v>238.0</v>
      </c>
      <c r="B239" s="138" t="s">
        <v>1151</v>
      </c>
      <c r="C239" s="137" t="s">
        <v>432</v>
      </c>
      <c r="D239" s="137" t="s">
        <v>445</v>
      </c>
      <c r="E239" s="137">
        <v>58.0</v>
      </c>
      <c r="F239" s="137">
        <v>22.0</v>
      </c>
      <c r="G239" s="137" t="s">
        <v>1152</v>
      </c>
      <c r="H239" s="137" t="s">
        <v>1153</v>
      </c>
      <c r="I239" s="137">
        <v>1.2</v>
      </c>
      <c r="J239" s="137">
        <v>8.3</v>
      </c>
      <c r="K239" s="137">
        <v>4.1</v>
      </c>
      <c r="L239" s="137">
        <v>1.1</v>
      </c>
      <c r="M239" s="137">
        <v>0.5</v>
      </c>
      <c r="N239" s="137">
        <v>0.6</v>
      </c>
      <c r="O239" s="137">
        <v>0.8</v>
      </c>
      <c r="P239" s="137">
        <v>-3.39</v>
      </c>
    </row>
    <row r="240">
      <c r="A240" s="137">
        <v>239.0</v>
      </c>
      <c r="B240" s="138" t="s">
        <v>1154</v>
      </c>
      <c r="C240" s="137" t="s">
        <v>432</v>
      </c>
      <c r="D240" s="137" t="s">
        <v>433</v>
      </c>
      <c r="E240" s="137">
        <v>76.0</v>
      </c>
      <c r="F240" s="137">
        <v>18.7</v>
      </c>
      <c r="G240" s="137" t="s">
        <v>1155</v>
      </c>
      <c r="H240" s="137" t="s">
        <v>1156</v>
      </c>
      <c r="I240" s="137">
        <v>2.1</v>
      </c>
      <c r="J240" s="137">
        <v>7.5</v>
      </c>
      <c r="K240" s="137">
        <v>3.0</v>
      </c>
      <c r="L240" s="137">
        <v>1.1</v>
      </c>
      <c r="M240" s="137">
        <v>0.4</v>
      </c>
      <c r="N240" s="137">
        <v>0.3</v>
      </c>
      <c r="O240" s="137">
        <v>0.4</v>
      </c>
      <c r="P240" s="137">
        <v>-3.39</v>
      </c>
    </row>
    <row r="241">
      <c r="A241" s="137">
        <v>240.0</v>
      </c>
      <c r="B241" s="138" t="s">
        <v>1157</v>
      </c>
      <c r="C241" s="137" t="s">
        <v>456</v>
      </c>
      <c r="D241" s="137" t="s">
        <v>425</v>
      </c>
      <c r="E241" s="137">
        <v>50.0</v>
      </c>
      <c r="F241" s="137">
        <v>18.0</v>
      </c>
      <c r="G241" s="137" t="s">
        <v>1158</v>
      </c>
      <c r="H241" s="137" t="s">
        <v>1159</v>
      </c>
      <c r="I241" s="137">
        <v>0.9</v>
      </c>
      <c r="J241" s="137">
        <v>7.0</v>
      </c>
      <c r="K241" s="137">
        <v>4.5</v>
      </c>
      <c r="L241" s="137">
        <v>1.8</v>
      </c>
      <c r="M241" s="137">
        <v>0.6</v>
      </c>
      <c r="N241" s="137">
        <v>0.8</v>
      </c>
      <c r="O241" s="137">
        <v>1.3</v>
      </c>
      <c r="P241" s="137">
        <v>-3.42</v>
      </c>
    </row>
    <row r="242">
      <c r="A242" s="137">
        <v>241.0</v>
      </c>
      <c r="B242" s="138" t="s">
        <v>1160</v>
      </c>
      <c r="C242" s="137" t="s">
        <v>44</v>
      </c>
      <c r="D242" s="137" t="s">
        <v>507</v>
      </c>
      <c r="E242" s="137">
        <v>72.0</v>
      </c>
      <c r="F242" s="137">
        <v>26.0</v>
      </c>
      <c r="G242" s="137" t="s">
        <v>1161</v>
      </c>
      <c r="H242" s="137" t="s">
        <v>1162</v>
      </c>
      <c r="I242" s="137">
        <v>1.5</v>
      </c>
      <c r="J242" s="137">
        <v>13.0</v>
      </c>
      <c r="K242" s="137">
        <v>2.7</v>
      </c>
      <c r="L242" s="137">
        <v>2.6</v>
      </c>
      <c r="M242" s="137">
        <v>0.6</v>
      </c>
      <c r="N242" s="137">
        <v>0.2</v>
      </c>
      <c r="O242" s="137">
        <v>1.7</v>
      </c>
      <c r="P242" s="137">
        <v>-3.43</v>
      </c>
    </row>
    <row r="243">
      <c r="A243" s="137">
        <v>242.0</v>
      </c>
      <c r="B243" s="138" t="s">
        <v>1163</v>
      </c>
      <c r="C243" s="137" t="s">
        <v>469</v>
      </c>
      <c r="D243" s="137" t="s">
        <v>473</v>
      </c>
      <c r="E243" s="137">
        <v>72.0</v>
      </c>
      <c r="F243" s="137">
        <v>20.2</v>
      </c>
      <c r="G243" s="137" t="s">
        <v>1164</v>
      </c>
      <c r="H243" s="137" t="s">
        <v>1165</v>
      </c>
      <c r="I243" s="137">
        <v>1.5</v>
      </c>
      <c r="J243" s="137">
        <v>9.3</v>
      </c>
      <c r="K243" s="137">
        <v>2.2</v>
      </c>
      <c r="L243" s="137">
        <v>1.1</v>
      </c>
      <c r="M243" s="137">
        <v>0.6</v>
      </c>
      <c r="N243" s="137">
        <v>0.2</v>
      </c>
      <c r="O243" s="137">
        <v>0.6</v>
      </c>
      <c r="P243" s="137">
        <v>-3.45</v>
      </c>
    </row>
    <row r="244">
      <c r="A244" s="137">
        <v>243.0</v>
      </c>
      <c r="B244" s="138" t="s">
        <v>1166</v>
      </c>
      <c r="C244" s="137" t="s">
        <v>424</v>
      </c>
      <c r="D244" s="137" t="s">
        <v>420</v>
      </c>
      <c r="E244" s="137">
        <v>58.0</v>
      </c>
      <c r="F244" s="137">
        <v>12.1</v>
      </c>
      <c r="G244" s="137" t="s">
        <v>1167</v>
      </c>
      <c r="H244" s="137" t="s">
        <v>1168</v>
      </c>
      <c r="I244" s="137">
        <v>0.3</v>
      </c>
      <c r="J244" s="137">
        <v>5.8</v>
      </c>
      <c r="K244" s="137">
        <v>2.1</v>
      </c>
      <c r="L244" s="137">
        <v>1.1</v>
      </c>
      <c r="M244" s="137">
        <v>0.9</v>
      </c>
      <c r="N244" s="137">
        <v>0.7</v>
      </c>
      <c r="O244" s="137">
        <v>0.5</v>
      </c>
      <c r="P244" s="137">
        <v>-3.45</v>
      </c>
    </row>
    <row r="245">
      <c r="A245" s="137">
        <v>244.0</v>
      </c>
      <c r="B245" s="138" t="s">
        <v>1169</v>
      </c>
      <c r="C245" s="137" t="s">
        <v>47</v>
      </c>
      <c r="D245" s="137" t="s">
        <v>487</v>
      </c>
      <c r="E245" s="137">
        <v>60.0</v>
      </c>
      <c r="F245" s="137">
        <v>15.2</v>
      </c>
      <c r="G245" s="137" t="s">
        <v>1170</v>
      </c>
      <c r="H245" s="137" t="s">
        <v>1171</v>
      </c>
      <c r="I245" s="137">
        <v>0.4</v>
      </c>
      <c r="J245" s="137">
        <v>7.9</v>
      </c>
      <c r="K245" s="137">
        <v>4.5</v>
      </c>
      <c r="L245" s="137">
        <v>0.6</v>
      </c>
      <c r="M245" s="137">
        <v>0.2</v>
      </c>
      <c r="N245" s="137">
        <v>0.5</v>
      </c>
      <c r="O245" s="137">
        <v>0.6</v>
      </c>
      <c r="P245" s="137">
        <v>-3.47</v>
      </c>
    </row>
    <row r="246">
      <c r="A246" s="137">
        <v>245.0</v>
      </c>
      <c r="B246" s="138" t="s">
        <v>1172</v>
      </c>
      <c r="C246" s="137" t="s">
        <v>424</v>
      </c>
      <c r="D246" s="137" t="s">
        <v>465</v>
      </c>
      <c r="E246" s="137">
        <v>38.0</v>
      </c>
      <c r="F246" s="137">
        <v>18.4</v>
      </c>
      <c r="G246" s="137" t="s">
        <v>1173</v>
      </c>
      <c r="H246" s="137" t="s">
        <v>1174</v>
      </c>
      <c r="I246" s="137">
        <v>1.0</v>
      </c>
      <c r="J246" s="137">
        <v>7.5</v>
      </c>
      <c r="K246" s="137">
        <v>2.6</v>
      </c>
      <c r="L246" s="137">
        <v>4.1</v>
      </c>
      <c r="M246" s="137">
        <v>0.9</v>
      </c>
      <c r="N246" s="137">
        <v>0.2</v>
      </c>
      <c r="O246" s="137">
        <v>1.5</v>
      </c>
      <c r="P246" s="137">
        <v>-3.51</v>
      </c>
    </row>
    <row r="247">
      <c r="A247" s="137">
        <v>246.0</v>
      </c>
      <c r="B247" s="138" t="s">
        <v>1175</v>
      </c>
      <c r="C247" s="137" t="s">
        <v>432</v>
      </c>
      <c r="D247" s="137" t="s">
        <v>587</v>
      </c>
      <c r="E247" s="137">
        <v>70.0</v>
      </c>
      <c r="F247" s="137">
        <v>18.0</v>
      </c>
      <c r="G247" s="137" t="s">
        <v>1176</v>
      </c>
      <c r="H247" s="137" t="s">
        <v>1177</v>
      </c>
      <c r="I247" s="137">
        <v>0.8</v>
      </c>
      <c r="J247" s="137">
        <v>7.1</v>
      </c>
      <c r="K247" s="137">
        <v>3.3</v>
      </c>
      <c r="L247" s="137">
        <v>1.2</v>
      </c>
      <c r="M247" s="137">
        <v>0.7</v>
      </c>
      <c r="N247" s="137">
        <v>0.4</v>
      </c>
      <c r="O247" s="137">
        <v>0.8</v>
      </c>
      <c r="P247" s="137">
        <v>-3.52</v>
      </c>
    </row>
    <row r="248">
      <c r="A248" s="137">
        <v>247.0</v>
      </c>
      <c r="B248" s="138" t="s">
        <v>1178</v>
      </c>
      <c r="C248" s="137" t="s">
        <v>456</v>
      </c>
      <c r="D248" s="137" t="s">
        <v>441</v>
      </c>
      <c r="E248" s="137">
        <v>67.0</v>
      </c>
      <c r="F248" s="137">
        <v>17.8</v>
      </c>
      <c r="G248" s="137" t="s">
        <v>1179</v>
      </c>
      <c r="H248" s="137" t="s">
        <v>1180</v>
      </c>
      <c r="I248" s="137">
        <v>1.0</v>
      </c>
      <c r="J248" s="137">
        <v>8.1</v>
      </c>
      <c r="K248" s="137">
        <v>4.6</v>
      </c>
      <c r="L248" s="137">
        <v>1.7</v>
      </c>
      <c r="M248" s="137">
        <v>0.5</v>
      </c>
      <c r="N248" s="137">
        <v>0.2</v>
      </c>
      <c r="O248" s="137">
        <v>1.2</v>
      </c>
      <c r="P248" s="137">
        <v>-3.55</v>
      </c>
    </row>
    <row r="249">
      <c r="A249" s="137">
        <v>248.0</v>
      </c>
      <c r="B249" s="138" t="s">
        <v>1181</v>
      </c>
      <c r="C249" s="137" t="s">
        <v>43</v>
      </c>
      <c r="D249" s="137" t="s">
        <v>445</v>
      </c>
      <c r="E249" s="137">
        <v>72.0</v>
      </c>
      <c r="F249" s="137">
        <v>15.8</v>
      </c>
      <c r="G249" s="137" t="s">
        <v>1182</v>
      </c>
      <c r="H249" s="137" t="s">
        <v>1183</v>
      </c>
      <c r="I249" s="137">
        <v>0.6</v>
      </c>
      <c r="J249" s="137">
        <v>5.8</v>
      </c>
      <c r="K249" s="137">
        <v>3.0</v>
      </c>
      <c r="L249" s="137">
        <v>2.4</v>
      </c>
      <c r="M249" s="137">
        <v>0.8</v>
      </c>
      <c r="N249" s="137">
        <v>0.4</v>
      </c>
      <c r="O249" s="137">
        <v>0.8</v>
      </c>
      <c r="P249" s="137">
        <v>-3.56</v>
      </c>
    </row>
    <row r="250">
      <c r="A250" s="137">
        <v>249.0</v>
      </c>
      <c r="B250" s="138" t="s">
        <v>1184</v>
      </c>
      <c r="C250" s="137" t="s">
        <v>47</v>
      </c>
      <c r="D250" s="137" t="s">
        <v>533</v>
      </c>
      <c r="E250" s="137">
        <v>70.0</v>
      </c>
      <c r="F250" s="137">
        <v>14.0</v>
      </c>
      <c r="G250" s="137" t="s">
        <v>1185</v>
      </c>
      <c r="H250" s="137" t="s">
        <v>1186</v>
      </c>
      <c r="I250" s="137">
        <v>0.0</v>
      </c>
      <c r="J250" s="137">
        <v>6.1</v>
      </c>
      <c r="K250" s="137">
        <v>7.0</v>
      </c>
      <c r="L250" s="137">
        <v>1.0</v>
      </c>
      <c r="M250" s="137">
        <v>0.8</v>
      </c>
      <c r="N250" s="137">
        <v>0.6</v>
      </c>
      <c r="O250" s="137">
        <v>1.2</v>
      </c>
      <c r="P250" s="137">
        <v>-3.6</v>
      </c>
    </row>
    <row r="251">
      <c r="A251" s="137">
        <v>250.0</v>
      </c>
      <c r="B251" s="138" t="s">
        <v>1187</v>
      </c>
      <c r="C251" s="137" t="s">
        <v>456</v>
      </c>
      <c r="D251" s="137" t="s">
        <v>480</v>
      </c>
      <c r="E251" s="137">
        <v>68.0</v>
      </c>
      <c r="F251" s="137">
        <v>16.9</v>
      </c>
      <c r="G251" s="137" t="s">
        <v>1188</v>
      </c>
      <c r="H251" s="137" t="s">
        <v>1189</v>
      </c>
      <c r="I251" s="137">
        <v>0.1</v>
      </c>
      <c r="J251" s="137">
        <v>6.2</v>
      </c>
      <c r="K251" s="137">
        <v>4.2</v>
      </c>
      <c r="L251" s="137">
        <v>1.4</v>
      </c>
      <c r="M251" s="137">
        <v>1.0</v>
      </c>
      <c r="N251" s="137">
        <v>0.4</v>
      </c>
      <c r="O251" s="137">
        <v>0.7</v>
      </c>
      <c r="P251" s="137">
        <v>-3.61</v>
      </c>
    </row>
    <row r="252">
      <c r="A252" s="137">
        <v>251.0</v>
      </c>
      <c r="B252" s="138" t="s">
        <v>1190</v>
      </c>
      <c r="C252" s="137" t="s">
        <v>45</v>
      </c>
      <c r="D252" s="137" t="s">
        <v>491</v>
      </c>
      <c r="E252" s="137">
        <v>72.0</v>
      </c>
      <c r="F252" s="137">
        <v>20.1</v>
      </c>
      <c r="G252" s="137" t="s">
        <v>1191</v>
      </c>
      <c r="H252" s="137" t="s">
        <v>1192</v>
      </c>
      <c r="I252" s="137">
        <v>0.7</v>
      </c>
      <c r="J252" s="137">
        <v>9.3</v>
      </c>
      <c r="K252" s="137">
        <v>4.0</v>
      </c>
      <c r="L252" s="137">
        <v>1.2</v>
      </c>
      <c r="M252" s="137">
        <v>0.4</v>
      </c>
      <c r="N252" s="137">
        <v>0.4</v>
      </c>
      <c r="O252" s="137">
        <v>0.8</v>
      </c>
      <c r="P252" s="137">
        <v>-3.67</v>
      </c>
    </row>
    <row r="253">
      <c r="A253" s="137">
        <v>252.0</v>
      </c>
      <c r="B253" s="138" t="s">
        <v>1193</v>
      </c>
      <c r="C253" s="137" t="s">
        <v>469</v>
      </c>
      <c r="D253" s="137" t="s">
        <v>480</v>
      </c>
      <c r="E253" s="137">
        <v>72.0</v>
      </c>
      <c r="F253" s="137">
        <v>18.0</v>
      </c>
      <c r="G253" s="137" t="s">
        <v>1194</v>
      </c>
      <c r="H253" s="137" t="s">
        <v>1195</v>
      </c>
      <c r="I253" s="137">
        <v>0.7</v>
      </c>
      <c r="J253" s="137">
        <v>4.7</v>
      </c>
      <c r="K253" s="137">
        <v>4.2</v>
      </c>
      <c r="L253" s="137">
        <v>1.4</v>
      </c>
      <c r="M253" s="137">
        <v>0.8</v>
      </c>
      <c r="N253" s="137">
        <v>0.3</v>
      </c>
      <c r="O253" s="137">
        <v>0.4</v>
      </c>
      <c r="P253" s="137">
        <v>-3.71</v>
      </c>
    </row>
    <row r="254">
      <c r="A254" s="137">
        <v>253.0</v>
      </c>
      <c r="B254" s="138" t="s">
        <v>1196</v>
      </c>
      <c r="C254" s="137" t="s">
        <v>44</v>
      </c>
      <c r="D254" s="137" t="s">
        <v>587</v>
      </c>
      <c r="E254" s="137">
        <v>72.0</v>
      </c>
      <c r="F254" s="137">
        <v>21.0</v>
      </c>
      <c r="G254" s="137" t="s">
        <v>1197</v>
      </c>
      <c r="H254" s="137" t="s">
        <v>1198</v>
      </c>
      <c r="I254" s="137">
        <v>2.0</v>
      </c>
      <c r="J254" s="137">
        <v>8.5</v>
      </c>
      <c r="K254" s="137">
        <v>2.2</v>
      </c>
      <c r="L254" s="137">
        <v>1.2</v>
      </c>
      <c r="M254" s="137">
        <v>0.6</v>
      </c>
      <c r="N254" s="137">
        <v>0.1</v>
      </c>
      <c r="O254" s="137">
        <v>0.6</v>
      </c>
      <c r="P254" s="137">
        <v>-3.73</v>
      </c>
    </row>
    <row r="255">
      <c r="A255" s="137">
        <v>254.0</v>
      </c>
      <c r="B255" s="138" t="s">
        <v>1199</v>
      </c>
      <c r="C255" s="137" t="s">
        <v>432</v>
      </c>
      <c r="D255" s="137" t="s">
        <v>457</v>
      </c>
      <c r="E255" s="137">
        <v>68.0</v>
      </c>
      <c r="F255" s="137">
        <v>18.4</v>
      </c>
      <c r="G255" s="137" t="s">
        <v>1200</v>
      </c>
      <c r="H255" s="137" t="s">
        <v>1201</v>
      </c>
      <c r="I255" s="137">
        <v>1.0</v>
      </c>
      <c r="J255" s="137">
        <v>8.2</v>
      </c>
      <c r="K255" s="137">
        <v>1.8</v>
      </c>
      <c r="L255" s="137">
        <v>1.0</v>
      </c>
      <c r="M255" s="137">
        <v>0.8</v>
      </c>
      <c r="N255" s="137">
        <v>0.3</v>
      </c>
      <c r="O255" s="137">
        <v>1.0</v>
      </c>
      <c r="P255" s="137">
        <v>-3.85</v>
      </c>
    </row>
    <row r="256">
      <c r="A256" s="137">
        <v>255.0</v>
      </c>
      <c r="B256" s="138" t="s">
        <v>1202</v>
      </c>
      <c r="C256" s="137" t="s">
        <v>469</v>
      </c>
      <c r="D256" s="137" t="s">
        <v>445</v>
      </c>
      <c r="E256" s="137">
        <v>69.0</v>
      </c>
      <c r="F256" s="137">
        <v>20.4</v>
      </c>
      <c r="G256" s="137" t="s">
        <v>1203</v>
      </c>
      <c r="H256" s="137" t="s">
        <v>1204</v>
      </c>
      <c r="I256" s="137">
        <v>1.3</v>
      </c>
      <c r="J256" s="137">
        <v>8.0</v>
      </c>
      <c r="K256" s="137">
        <v>3.2</v>
      </c>
      <c r="L256" s="137">
        <v>1.2</v>
      </c>
      <c r="M256" s="137">
        <v>0.5</v>
      </c>
      <c r="N256" s="137">
        <v>0.1</v>
      </c>
      <c r="O256" s="137">
        <v>0.9</v>
      </c>
      <c r="P256" s="137">
        <v>-3.88</v>
      </c>
    </row>
    <row r="257">
      <c r="A257" s="137">
        <v>256.0</v>
      </c>
      <c r="B257" s="138" t="s">
        <v>1205</v>
      </c>
      <c r="C257" s="137" t="s">
        <v>45</v>
      </c>
      <c r="D257" s="137" t="s">
        <v>420</v>
      </c>
      <c r="E257" s="137">
        <v>73.0</v>
      </c>
      <c r="F257" s="137">
        <v>24.7</v>
      </c>
      <c r="G257" s="137" t="s">
        <v>1206</v>
      </c>
      <c r="H257" s="137" t="s">
        <v>1207</v>
      </c>
      <c r="I257" s="137">
        <v>0.9</v>
      </c>
      <c r="J257" s="137">
        <v>5.2</v>
      </c>
      <c r="K257" s="137">
        <v>4.4</v>
      </c>
      <c r="L257" s="137">
        <v>1.4</v>
      </c>
      <c r="M257" s="137">
        <v>0.6</v>
      </c>
      <c r="N257" s="137">
        <v>0.2</v>
      </c>
      <c r="O257" s="137">
        <v>0.7</v>
      </c>
      <c r="P257" s="137">
        <v>-3.91</v>
      </c>
    </row>
    <row r="258">
      <c r="A258" s="137">
        <v>257.0</v>
      </c>
      <c r="B258" s="138" t="s">
        <v>1208</v>
      </c>
      <c r="C258" s="137" t="s">
        <v>469</v>
      </c>
      <c r="D258" s="137" t="s">
        <v>398</v>
      </c>
      <c r="E258" s="137">
        <v>67.0</v>
      </c>
      <c r="F258" s="137">
        <v>21.2</v>
      </c>
      <c r="G258" s="137" t="s">
        <v>1209</v>
      </c>
      <c r="H258" s="137" t="s">
        <v>1210</v>
      </c>
      <c r="I258" s="137">
        <v>1.5</v>
      </c>
      <c r="J258" s="137">
        <v>9.6</v>
      </c>
      <c r="K258" s="137">
        <v>2.6</v>
      </c>
      <c r="L258" s="137">
        <v>2.4</v>
      </c>
      <c r="M258" s="137">
        <v>0.7</v>
      </c>
      <c r="N258" s="137">
        <v>0.4</v>
      </c>
      <c r="O258" s="137">
        <v>1.4</v>
      </c>
      <c r="P258" s="137">
        <v>-3.99</v>
      </c>
    </row>
    <row r="259">
      <c r="A259" s="137">
        <v>258.0</v>
      </c>
      <c r="B259" s="138" t="s">
        <v>1211</v>
      </c>
      <c r="C259" s="137" t="s">
        <v>766</v>
      </c>
      <c r="D259" s="137" t="s">
        <v>567</v>
      </c>
      <c r="E259" s="137">
        <v>70.0</v>
      </c>
      <c r="F259" s="137">
        <v>24.0</v>
      </c>
      <c r="G259" s="137" t="s">
        <v>1212</v>
      </c>
      <c r="H259" s="137" t="s">
        <v>1213</v>
      </c>
      <c r="I259" s="137">
        <v>1.2</v>
      </c>
      <c r="J259" s="137">
        <v>10.5</v>
      </c>
      <c r="K259" s="137">
        <v>2.8</v>
      </c>
      <c r="L259" s="137">
        <v>2.0</v>
      </c>
      <c r="M259" s="137">
        <v>0.5</v>
      </c>
      <c r="N259" s="137">
        <v>0.1</v>
      </c>
      <c r="O259" s="137">
        <v>1.2</v>
      </c>
      <c r="P259" s="137">
        <v>-4.0</v>
      </c>
    </row>
    <row r="260">
      <c r="A260" s="137">
        <v>259.0</v>
      </c>
      <c r="B260" s="138" t="s">
        <v>1214</v>
      </c>
      <c r="C260" s="137" t="s">
        <v>456</v>
      </c>
      <c r="D260" s="137" t="s">
        <v>425</v>
      </c>
      <c r="E260" s="137">
        <v>70.0</v>
      </c>
      <c r="F260" s="137">
        <v>18.7</v>
      </c>
      <c r="G260" s="137" t="s">
        <v>1215</v>
      </c>
      <c r="H260" s="137" t="s">
        <v>1216</v>
      </c>
      <c r="I260" s="137">
        <v>1.0</v>
      </c>
      <c r="J260" s="137">
        <v>6.0</v>
      </c>
      <c r="K260" s="137">
        <v>5.0</v>
      </c>
      <c r="L260" s="137">
        <v>1.6</v>
      </c>
      <c r="M260" s="137">
        <v>0.6</v>
      </c>
      <c r="N260" s="137">
        <v>0.3</v>
      </c>
      <c r="O260" s="137">
        <v>0.8</v>
      </c>
      <c r="P260" s="137">
        <v>-4.05</v>
      </c>
    </row>
    <row r="261">
      <c r="A261" s="137">
        <v>260.0</v>
      </c>
      <c r="B261" s="138" t="s">
        <v>1217</v>
      </c>
      <c r="C261" s="137" t="s">
        <v>43</v>
      </c>
      <c r="D261" s="137" t="s">
        <v>416</v>
      </c>
      <c r="E261" s="137">
        <v>69.0</v>
      </c>
      <c r="F261" s="137">
        <v>21.2</v>
      </c>
      <c r="G261" s="137" t="s">
        <v>1218</v>
      </c>
      <c r="H261" s="137" t="s">
        <v>1219</v>
      </c>
      <c r="I261" s="137">
        <v>1.4</v>
      </c>
      <c r="J261" s="137">
        <v>10.5</v>
      </c>
      <c r="K261" s="137">
        <v>2.2</v>
      </c>
      <c r="L261" s="137">
        <v>3.2</v>
      </c>
      <c r="M261" s="137">
        <v>0.6</v>
      </c>
      <c r="N261" s="137">
        <v>0.1</v>
      </c>
      <c r="O261" s="137">
        <v>1.5</v>
      </c>
      <c r="P261" s="137">
        <v>-4.06</v>
      </c>
    </row>
    <row r="262">
      <c r="A262" s="137">
        <v>261.0</v>
      </c>
      <c r="B262" s="138" t="s">
        <v>1220</v>
      </c>
      <c r="C262" s="137" t="s">
        <v>432</v>
      </c>
      <c r="D262" s="137" t="s">
        <v>619</v>
      </c>
      <c r="E262" s="137">
        <v>50.0</v>
      </c>
      <c r="F262" s="137">
        <v>16.2</v>
      </c>
      <c r="G262" s="137" t="s">
        <v>1221</v>
      </c>
      <c r="H262" s="137" t="s">
        <v>1222</v>
      </c>
      <c r="I262" s="137">
        <v>1.0</v>
      </c>
      <c r="J262" s="137">
        <v>5.3</v>
      </c>
      <c r="K262" s="137">
        <v>3.2</v>
      </c>
      <c r="L262" s="137">
        <v>1.1</v>
      </c>
      <c r="M262" s="137">
        <v>0.8</v>
      </c>
      <c r="N262" s="137">
        <v>0.4</v>
      </c>
      <c r="O262" s="137">
        <v>0.5</v>
      </c>
      <c r="P262" s="137">
        <v>-4.09</v>
      </c>
    </row>
    <row r="263">
      <c r="A263" s="137">
        <v>262.0</v>
      </c>
      <c r="B263" s="138" t="s">
        <v>1223</v>
      </c>
      <c r="C263" s="137" t="s">
        <v>469</v>
      </c>
      <c r="D263" s="137" t="s">
        <v>449</v>
      </c>
      <c r="E263" s="137">
        <v>72.0</v>
      </c>
      <c r="F263" s="137">
        <v>22.4</v>
      </c>
      <c r="G263" s="137" t="s">
        <v>1224</v>
      </c>
      <c r="H263" s="137" t="s">
        <v>1225</v>
      </c>
      <c r="I263" s="137">
        <v>1.5</v>
      </c>
      <c r="J263" s="137">
        <v>8.4</v>
      </c>
      <c r="K263" s="137">
        <v>3.7</v>
      </c>
      <c r="L263" s="137">
        <v>1.1</v>
      </c>
      <c r="M263" s="137">
        <v>0.7</v>
      </c>
      <c r="N263" s="137">
        <v>0.2</v>
      </c>
      <c r="O263" s="137">
        <v>1.4</v>
      </c>
      <c r="P263" s="137">
        <v>-4.09</v>
      </c>
    </row>
    <row r="264">
      <c r="A264" s="137">
        <v>263.0</v>
      </c>
      <c r="B264" s="138" t="s">
        <v>1226</v>
      </c>
      <c r="C264" s="137" t="s">
        <v>469</v>
      </c>
      <c r="D264" s="137" t="s">
        <v>619</v>
      </c>
      <c r="E264" s="137">
        <v>60.0</v>
      </c>
      <c r="F264" s="137">
        <v>16.9</v>
      </c>
      <c r="G264" s="137" t="s">
        <v>1227</v>
      </c>
      <c r="H264" s="137" t="s">
        <v>1228</v>
      </c>
      <c r="I264" s="137">
        <v>1.9</v>
      </c>
      <c r="J264" s="137">
        <v>8.0</v>
      </c>
      <c r="K264" s="137">
        <v>2.1</v>
      </c>
      <c r="L264" s="137">
        <v>1.1</v>
      </c>
      <c r="M264" s="137">
        <v>0.6</v>
      </c>
      <c r="N264" s="137">
        <v>0.1</v>
      </c>
      <c r="O264" s="137">
        <v>0.5</v>
      </c>
      <c r="P264" s="137">
        <v>-4.14</v>
      </c>
    </row>
    <row r="265">
      <c r="A265" s="137">
        <v>264.0</v>
      </c>
      <c r="B265" s="138" t="s">
        <v>1229</v>
      </c>
      <c r="C265" s="137" t="s">
        <v>424</v>
      </c>
      <c r="D265" s="137" t="s">
        <v>437</v>
      </c>
      <c r="E265" s="137">
        <v>60.0</v>
      </c>
      <c r="F265" s="137">
        <v>17.1</v>
      </c>
      <c r="G265" s="137" t="s">
        <v>1230</v>
      </c>
      <c r="H265" s="137" t="s">
        <v>1231</v>
      </c>
      <c r="I265" s="137">
        <v>1.3</v>
      </c>
      <c r="J265" s="137">
        <v>7.9</v>
      </c>
      <c r="K265" s="137">
        <v>1.6</v>
      </c>
      <c r="L265" s="137">
        <v>1.7</v>
      </c>
      <c r="M265" s="137">
        <v>0.5</v>
      </c>
      <c r="N265" s="137">
        <v>0.1</v>
      </c>
      <c r="O265" s="137">
        <v>0.8</v>
      </c>
      <c r="P265" s="137">
        <v>-4.16</v>
      </c>
    </row>
    <row r="266">
      <c r="A266" s="137">
        <v>265.0</v>
      </c>
      <c r="B266" s="138" t="s">
        <v>1232</v>
      </c>
      <c r="C266" s="137" t="s">
        <v>469</v>
      </c>
      <c r="D266" s="137" t="s">
        <v>603</v>
      </c>
      <c r="E266" s="137">
        <v>72.0</v>
      </c>
      <c r="F266" s="137">
        <v>20.0</v>
      </c>
      <c r="G266" s="137" t="s">
        <v>1233</v>
      </c>
      <c r="H266" s="137" t="s">
        <v>1234</v>
      </c>
      <c r="I266" s="137">
        <v>0.7</v>
      </c>
      <c r="J266" s="137">
        <v>8.1</v>
      </c>
      <c r="K266" s="137">
        <v>3.4</v>
      </c>
      <c r="L266" s="137">
        <v>2.0</v>
      </c>
      <c r="M266" s="137">
        <v>0.7</v>
      </c>
      <c r="N266" s="137">
        <v>0.2</v>
      </c>
      <c r="O266" s="137">
        <v>1.1</v>
      </c>
      <c r="P266" s="137">
        <v>-4.18</v>
      </c>
    </row>
    <row r="267">
      <c r="A267" s="137">
        <v>266.0</v>
      </c>
      <c r="B267" s="138" t="s">
        <v>1235</v>
      </c>
      <c r="C267" s="137" t="s">
        <v>43</v>
      </c>
      <c r="D267" s="137" t="s">
        <v>567</v>
      </c>
      <c r="E267" s="137">
        <v>68.0</v>
      </c>
      <c r="F267" s="137">
        <v>16.5</v>
      </c>
      <c r="G267" s="137" t="s">
        <v>1236</v>
      </c>
      <c r="H267" s="137" t="s">
        <v>1237</v>
      </c>
      <c r="I267" s="137">
        <v>1.0</v>
      </c>
      <c r="J267" s="137">
        <v>8.3</v>
      </c>
      <c r="K267" s="137">
        <v>2.1</v>
      </c>
      <c r="L267" s="137">
        <v>3.7</v>
      </c>
      <c r="M267" s="137">
        <v>0.5</v>
      </c>
      <c r="N267" s="137">
        <v>0.2</v>
      </c>
      <c r="O267" s="137">
        <v>1.4</v>
      </c>
      <c r="P267" s="137">
        <v>-4.2</v>
      </c>
    </row>
    <row r="268">
      <c r="A268" s="137">
        <v>267.0</v>
      </c>
      <c r="B268" s="138" t="s">
        <v>1238</v>
      </c>
      <c r="C268" s="137" t="s">
        <v>432</v>
      </c>
      <c r="D268" s="137" t="s">
        <v>457</v>
      </c>
      <c r="E268" s="137">
        <v>65.0</v>
      </c>
      <c r="F268" s="137">
        <v>17.4</v>
      </c>
      <c r="G268" s="137" t="s">
        <v>1239</v>
      </c>
      <c r="H268" s="137" t="s">
        <v>1240</v>
      </c>
      <c r="I268" s="137">
        <v>1.2</v>
      </c>
      <c r="J268" s="137">
        <v>7.4</v>
      </c>
      <c r="K268" s="137">
        <v>2.3</v>
      </c>
      <c r="L268" s="137">
        <v>1.1</v>
      </c>
      <c r="M268" s="137">
        <v>0.6</v>
      </c>
      <c r="N268" s="137">
        <v>0.3</v>
      </c>
      <c r="O268" s="137">
        <v>0.9</v>
      </c>
      <c r="P268" s="137">
        <v>-4.24</v>
      </c>
    </row>
    <row r="269">
      <c r="A269" s="137">
        <v>268.0</v>
      </c>
      <c r="B269" s="138" t="s">
        <v>1241</v>
      </c>
      <c r="C269" s="137" t="s">
        <v>432</v>
      </c>
      <c r="D269" s="137" t="s">
        <v>398</v>
      </c>
      <c r="E269" s="137">
        <v>60.0</v>
      </c>
      <c r="F269" s="137">
        <v>20.0</v>
      </c>
      <c r="G269" s="137" t="s">
        <v>1242</v>
      </c>
      <c r="H269" s="137" t="s">
        <v>1243</v>
      </c>
      <c r="I269" s="137">
        <v>1.1</v>
      </c>
      <c r="J269" s="137">
        <v>5.7</v>
      </c>
      <c r="K269" s="137">
        <v>3.5</v>
      </c>
      <c r="L269" s="137">
        <v>1.1</v>
      </c>
      <c r="M269" s="137">
        <v>0.7</v>
      </c>
      <c r="N269" s="137">
        <v>0.2</v>
      </c>
      <c r="O269" s="137">
        <v>0.5</v>
      </c>
      <c r="P269" s="137">
        <v>-4.36</v>
      </c>
    </row>
    <row r="270">
      <c r="A270" s="137">
        <v>269.0</v>
      </c>
      <c r="B270" s="138" t="s">
        <v>1244</v>
      </c>
      <c r="C270" s="137" t="s">
        <v>43</v>
      </c>
      <c r="D270" s="137" t="s">
        <v>554</v>
      </c>
      <c r="E270" s="137">
        <v>68.0</v>
      </c>
      <c r="F270" s="137">
        <v>16.3</v>
      </c>
      <c r="G270" s="137" t="s">
        <v>1245</v>
      </c>
      <c r="H270" s="137" t="s">
        <v>1246</v>
      </c>
      <c r="I270" s="137">
        <v>0.9</v>
      </c>
      <c r="J270" s="137">
        <v>6.6</v>
      </c>
      <c r="K270" s="137">
        <v>1.8</v>
      </c>
      <c r="L270" s="137">
        <v>2.8</v>
      </c>
      <c r="M270" s="137">
        <v>0.4</v>
      </c>
      <c r="N270" s="137">
        <v>0.1</v>
      </c>
      <c r="O270" s="137">
        <v>0.6</v>
      </c>
      <c r="P270" s="137">
        <v>-4.39</v>
      </c>
    </row>
    <row r="271">
      <c r="A271" s="137">
        <v>270.0</v>
      </c>
      <c r="B271" s="138" t="s">
        <v>1247</v>
      </c>
      <c r="C271" s="137" t="s">
        <v>45</v>
      </c>
      <c r="D271" s="137" t="s">
        <v>398</v>
      </c>
      <c r="E271" s="137">
        <v>68.0</v>
      </c>
      <c r="F271" s="137">
        <v>16.4</v>
      </c>
      <c r="G271" s="137" t="s">
        <v>1248</v>
      </c>
      <c r="H271" s="137" t="s">
        <v>1249</v>
      </c>
      <c r="I271" s="137">
        <v>0.6</v>
      </c>
      <c r="J271" s="137">
        <v>7.5</v>
      </c>
      <c r="K271" s="137">
        <v>4.8</v>
      </c>
      <c r="L271" s="137">
        <v>1.3</v>
      </c>
      <c r="M271" s="137">
        <v>0.4</v>
      </c>
      <c r="N271" s="137">
        <v>0.3</v>
      </c>
      <c r="O271" s="137">
        <v>0.9</v>
      </c>
      <c r="P271" s="137">
        <v>-4.41</v>
      </c>
    </row>
    <row r="272">
      <c r="A272" s="137">
        <v>271.0</v>
      </c>
      <c r="B272" s="138" t="s">
        <v>1250</v>
      </c>
      <c r="C272" s="137" t="s">
        <v>469</v>
      </c>
      <c r="D272" s="137" t="s">
        <v>503</v>
      </c>
      <c r="E272" s="137">
        <v>68.0</v>
      </c>
      <c r="F272" s="137">
        <v>18.8</v>
      </c>
      <c r="G272" s="137" t="s">
        <v>1251</v>
      </c>
      <c r="H272" s="137" t="s">
        <v>1252</v>
      </c>
      <c r="I272" s="137">
        <v>0.9</v>
      </c>
      <c r="J272" s="137">
        <v>10.5</v>
      </c>
      <c r="K272" s="137">
        <v>2.3</v>
      </c>
      <c r="L272" s="137">
        <v>1.4</v>
      </c>
      <c r="M272" s="137">
        <v>0.5</v>
      </c>
      <c r="N272" s="137">
        <v>0.1</v>
      </c>
      <c r="O272" s="137">
        <v>1.1</v>
      </c>
      <c r="P272" s="137">
        <v>-4.41</v>
      </c>
    </row>
    <row r="273">
      <c r="A273" s="137">
        <v>272.0</v>
      </c>
      <c r="B273" s="138" t="s">
        <v>1253</v>
      </c>
      <c r="C273" s="137" t="s">
        <v>432</v>
      </c>
      <c r="D273" s="137" t="s">
        <v>491</v>
      </c>
      <c r="E273" s="137">
        <v>33.0</v>
      </c>
      <c r="F273" s="137">
        <v>12.2</v>
      </c>
      <c r="G273" s="137" t="s">
        <v>1254</v>
      </c>
      <c r="H273" s="137" t="s">
        <v>1255</v>
      </c>
      <c r="I273" s="137">
        <v>0.8</v>
      </c>
      <c r="J273" s="137">
        <v>4.1</v>
      </c>
      <c r="K273" s="137">
        <v>2.5</v>
      </c>
      <c r="L273" s="137">
        <v>0.7</v>
      </c>
      <c r="M273" s="137">
        <v>0.6</v>
      </c>
      <c r="N273" s="137">
        <v>0.6</v>
      </c>
      <c r="O273" s="137">
        <v>0.5</v>
      </c>
      <c r="P273" s="137">
        <v>-4.43</v>
      </c>
    </row>
    <row r="274">
      <c r="A274" s="137">
        <v>273.0</v>
      </c>
      <c r="B274" s="138" t="s">
        <v>1256</v>
      </c>
      <c r="C274" s="137" t="s">
        <v>424</v>
      </c>
      <c r="D274" s="137" t="s">
        <v>398</v>
      </c>
      <c r="E274" s="137">
        <v>69.0</v>
      </c>
      <c r="F274" s="137">
        <v>18.8</v>
      </c>
      <c r="G274" s="137" t="s">
        <v>1257</v>
      </c>
      <c r="H274" s="137" t="s">
        <v>1258</v>
      </c>
      <c r="I274" s="137">
        <v>0.7</v>
      </c>
      <c r="J274" s="137">
        <v>7.5</v>
      </c>
      <c r="K274" s="137">
        <v>2.3</v>
      </c>
      <c r="L274" s="137">
        <v>2.6</v>
      </c>
      <c r="M274" s="137">
        <v>0.4</v>
      </c>
      <c r="N274" s="137">
        <v>0.2</v>
      </c>
      <c r="O274" s="137">
        <v>1.0</v>
      </c>
      <c r="P274" s="137">
        <v>-4.46</v>
      </c>
    </row>
    <row r="275">
      <c r="A275" s="137">
        <v>274.0</v>
      </c>
      <c r="B275" s="138" t="s">
        <v>1259</v>
      </c>
      <c r="C275" s="137" t="s">
        <v>469</v>
      </c>
      <c r="D275" s="137" t="s">
        <v>465</v>
      </c>
      <c r="E275" s="137">
        <v>70.0</v>
      </c>
      <c r="F275" s="137">
        <v>21.0</v>
      </c>
      <c r="G275" s="137" t="s">
        <v>1260</v>
      </c>
      <c r="H275" s="137" t="s">
        <v>1261</v>
      </c>
      <c r="I275" s="137">
        <v>0.7</v>
      </c>
      <c r="J275" s="137">
        <v>6.3</v>
      </c>
      <c r="K275" s="137">
        <v>2.3</v>
      </c>
      <c r="L275" s="137">
        <v>1.2</v>
      </c>
      <c r="M275" s="137">
        <v>0.7</v>
      </c>
      <c r="N275" s="137">
        <v>0.3</v>
      </c>
      <c r="O275" s="137">
        <v>0.6</v>
      </c>
      <c r="P275" s="137">
        <v>-4.48</v>
      </c>
    </row>
    <row r="276">
      <c r="A276" s="137">
        <v>275.0</v>
      </c>
      <c r="B276" s="138" t="s">
        <v>1262</v>
      </c>
      <c r="C276" s="137" t="s">
        <v>432</v>
      </c>
      <c r="D276" s="137" t="s">
        <v>554</v>
      </c>
      <c r="E276" s="137">
        <v>60.0</v>
      </c>
      <c r="F276" s="137">
        <v>19.2</v>
      </c>
      <c r="G276" s="137" t="s">
        <v>1263</v>
      </c>
      <c r="H276" s="137" t="s">
        <v>1264</v>
      </c>
      <c r="I276" s="137">
        <v>1.2</v>
      </c>
      <c r="J276" s="137">
        <v>5.7</v>
      </c>
      <c r="K276" s="137">
        <v>2.5</v>
      </c>
      <c r="L276" s="137">
        <v>0.8</v>
      </c>
      <c r="M276" s="137">
        <v>0.5</v>
      </c>
      <c r="N276" s="137">
        <v>0.4</v>
      </c>
      <c r="O276" s="137">
        <v>0.6</v>
      </c>
      <c r="P276" s="137">
        <v>-4.49</v>
      </c>
    </row>
    <row r="277">
      <c r="A277" s="137">
        <v>276.0</v>
      </c>
      <c r="B277" s="138" t="s">
        <v>1265</v>
      </c>
      <c r="C277" s="137" t="s">
        <v>47</v>
      </c>
      <c r="D277" s="137" t="s">
        <v>487</v>
      </c>
      <c r="E277" s="137">
        <v>65.0</v>
      </c>
      <c r="F277" s="137">
        <v>16.8</v>
      </c>
      <c r="G277" s="137" t="s">
        <v>1266</v>
      </c>
      <c r="H277" s="137" t="s">
        <v>1267</v>
      </c>
      <c r="I277" s="137">
        <v>0.0</v>
      </c>
      <c r="J277" s="137">
        <v>4.6</v>
      </c>
      <c r="K277" s="137">
        <v>5.0</v>
      </c>
      <c r="L277" s="137">
        <v>1.0</v>
      </c>
      <c r="M277" s="137">
        <v>0.5</v>
      </c>
      <c r="N277" s="137">
        <v>0.5</v>
      </c>
      <c r="O277" s="137">
        <v>0.6</v>
      </c>
      <c r="P277" s="137">
        <v>-4.49</v>
      </c>
    </row>
    <row r="278">
      <c r="A278" s="137">
        <v>277.0</v>
      </c>
      <c r="B278" s="138" t="s">
        <v>1268</v>
      </c>
      <c r="C278" s="137" t="s">
        <v>424</v>
      </c>
      <c r="D278" s="137" t="s">
        <v>507</v>
      </c>
      <c r="E278" s="137">
        <v>68.0</v>
      </c>
      <c r="F278" s="137">
        <v>23.0</v>
      </c>
      <c r="G278" s="137" t="s">
        <v>1269</v>
      </c>
      <c r="H278" s="137" t="s">
        <v>1270</v>
      </c>
      <c r="I278" s="137">
        <v>1.6</v>
      </c>
      <c r="J278" s="137">
        <v>9.0</v>
      </c>
      <c r="K278" s="137">
        <v>2.3</v>
      </c>
      <c r="L278" s="137">
        <v>1.3</v>
      </c>
      <c r="M278" s="137">
        <v>0.3</v>
      </c>
      <c r="N278" s="137">
        <v>0.3</v>
      </c>
      <c r="O278" s="137">
        <v>0.8</v>
      </c>
      <c r="P278" s="137">
        <v>-4.54</v>
      </c>
    </row>
    <row r="279">
      <c r="A279" s="137">
        <v>278.0</v>
      </c>
      <c r="B279" s="138" t="s">
        <v>1271</v>
      </c>
      <c r="C279" s="137" t="s">
        <v>432</v>
      </c>
      <c r="D279" s="137" t="s">
        <v>429</v>
      </c>
      <c r="E279" s="137">
        <v>47.0</v>
      </c>
      <c r="F279" s="137">
        <v>17.7</v>
      </c>
      <c r="G279" s="137" t="s">
        <v>1272</v>
      </c>
      <c r="H279" s="137" t="s">
        <v>1273</v>
      </c>
      <c r="I279" s="137">
        <v>1.1</v>
      </c>
      <c r="J279" s="137">
        <v>7.0</v>
      </c>
      <c r="K279" s="137">
        <v>2.7</v>
      </c>
      <c r="L279" s="137">
        <v>0.9</v>
      </c>
      <c r="M279" s="137">
        <v>0.6</v>
      </c>
      <c r="N279" s="137">
        <v>0.3</v>
      </c>
      <c r="O279" s="137">
        <v>0.8</v>
      </c>
      <c r="P279" s="137">
        <v>-4.54</v>
      </c>
    </row>
    <row r="280">
      <c r="A280" s="137">
        <v>279.0</v>
      </c>
      <c r="B280" s="138" t="s">
        <v>1274</v>
      </c>
      <c r="C280" s="137" t="s">
        <v>44</v>
      </c>
      <c r="D280" s="137" t="s">
        <v>425</v>
      </c>
      <c r="E280" s="137">
        <v>66.0</v>
      </c>
      <c r="F280" s="137">
        <v>15.8</v>
      </c>
      <c r="G280" s="137" t="s">
        <v>1275</v>
      </c>
      <c r="H280" s="137" t="s">
        <v>1276</v>
      </c>
      <c r="I280" s="137">
        <v>0.8</v>
      </c>
      <c r="J280" s="137">
        <v>7.4</v>
      </c>
      <c r="K280" s="137">
        <v>1.8</v>
      </c>
      <c r="L280" s="137">
        <v>2.7</v>
      </c>
      <c r="M280" s="137">
        <v>0.7</v>
      </c>
      <c r="N280" s="137">
        <v>0.2</v>
      </c>
      <c r="O280" s="137">
        <v>1.1</v>
      </c>
      <c r="P280" s="137">
        <v>-4.55</v>
      </c>
    </row>
    <row r="281">
      <c r="A281" s="137">
        <v>280.0</v>
      </c>
      <c r="B281" s="138" t="s">
        <v>1277</v>
      </c>
      <c r="C281" s="137" t="s">
        <v>46</v>
      </c>
      <c r="D281" s="137" t="s">
        <v>465</v>
      </c>
      <c r="E281" s="137">
        <v>73.0</v>
      </c>
      <c r="F281" s="137">
        <v>18.4</v>
      </c>
      <c r="G281" s="137" t="s">
        <v>1278</v>
      </c>
      <c r="H281" s="137" t="s">
        <v>1279</v>
      </c>
      <c r="I281" s="137">
        <v>1.8</v>
      </c>
      <c r="J281" s="137">
        <v>7.7</v>
      </c>
      <c r="K281" s="137">
        <v>2.2</v>
      </c>
      <c r="L281" s="137">
        <v>1.0</v>
      </c>
      <c r="M281" s="137">
        <v>0.3</v>
      </c>
      <c r="N281" s="137">
        <v>0.2</v>
      </c>
      <c r="O281" s="137">
        <v>0.7</v>
      </c>
      <c r="P281" s="137">
        <v>-4.57</v>
      </c>
    </row>
    <row r="282">
      <c r="A282" s="137">
        <v>281.0</v>
      </c>
      <c r="B282" s="138" t="s">
        <v>1280</v>
      </c>
      <c r="C282" s="137" t="s">
        <v>43</v>
      </c>
      <c r="D282" s="137" t="s">
        <v>429</v>
      </c>
      <c r="E282" s="137">
        <v>58.0</v>
      </c>
      <c r="F282" s="137">
        <v>12.1</v>
      </c>
      <c r="G282" s="137" t="s">
        <v>1281</v>
      </c>
      <c r="H282" s="137" t="s">
        <v>1282</v>
      </c>
      <c r="I282" s="137">
        <v>0.2</v>
      </c>
      <c r="J282" s="137">
        <v>4.9</v>
      </c>
      <c r="K282" s="137">
        <v>1.8</v>
      </c>
      <c r="L282" s="137">
        <v>3.0</v>
      </c>
      <c r="M282" s="137">
        <v>0.6</v>
      </c>
      <c r="N282" s="137">
        <v>0.1</v>
      </c>
      <c r="O282" s="137">
        <v>1.0</v>
      </c>
      <c r="P282" s="137">
        <v>-4.58</v>
      </c>
    </row>
    <row r="283">
      <c r="A283" s="137">
        <v>282.0</v>
      </c>
      <c r="B283" s="138" t="s">
        <v>1283</v>
      </c>
      <c r="C283" s="137" t="s">
        <v>456</v>
      </c>
      <c r="D283" s="137" t="s">
        <v>476</v>
      </c>
      <c r="E283" s="137">
        <v>74.0</v>
      </c>
      <c r="F283" s="137">
        <v>14.8</v>
      </c>
      <c r="G283" s="137" t="s">
        <v>1284</v>
      </c>
      <c r="H283" s="137" t="s">
        <v>1285</v>
      </c>
      <c r="I283" s="137">
        <v>0.8</v>
      </c>
      <c r="J283" s="137">
        <v>7.2</v>
      </c>
      <c r="K283" s="137">
        <v>3.7</v>
      </c>
      <c r="L283" s="137">
        <v>0.8</v>
      </c>
      <c r="M283" s="137">
        <v>0.3</v>
      </c>
      <c r="N283" s="137">
        <v>0.3</v>
      </c>
      <c r="O283" s="137">
        <v>0.7</v>
      </c>
      <c r="P283" s="137">
        <v>-4.58</v>
      </c>
    </row>
    <row r="284">
      <c r="A284" s="137">
        <v>283.0</v>
      </c>
      <c r="B284" s="138" t="s">
        <v>1286</v>
      </c>
      <c r="C284" s="137" t="s">
        <v>766</v>
      </c>
      <c r="D284" s="137" t="s">
        <v>554</v>
      </c>
      <c r="E284" s="137">
        <v>64.0</v>
      </c>
      <c r="F284" s="137">
        <v>15.2</v>
      </c>
      <c r="G284" s="137" t="s">
        <v>1287</v>
      </c>
      <c r="H284" s="137" t="s">
        <v>1288</v>
      </c>
      <c r="I284" s="137">
        <v>1.1</v>
      </c>
      <c r="J284" s="137">
        <v>7.1</v>
      </c>
      <c r="K284" s="137">
        <v>2.5</v>
      </c>
      <c r="L284" s="137">
        <v>1.6</v>
      </c>
      <c r="M284" s="137">
        <v>0.6</v>
      </c>
      <c r="N284" s="137">
        <v>0.2</v>
      </c>
      <c r="O284" s="137">
        <v>0.7</v>
      </c>
      <c r="P284" s="137">
        <v>-4.58</v>
      </c>
    </row>
    <row r="285">
      <c r="A285" s="137">
        <v>284.0</v>
      </c>
      <c r="B285" s="138" t="s">
        <v>1289</v>
      </c>
      <c r="C285" s="137" t="s">
        <v>432</v>
      </c>
      <c r="D285" s="137" t="s">
        <v>533</v>
      </c>
      <c r="E285" s="137">
        <v>70.0</v>
      </c>
      <c r="F285" s="137">
        <v>16.3</v>
      </c>
      <c r="G285" s="137" t="s">
        <v>1290</v>
      </c>
      <c r="H285" s="137" t="s">
        <v>1291</v>
      </c>
      <c r="I285" s="137">
        <v>0.8</v>
      </c>
      <c r="J285" s="137">
        <v>5.1</v>
      </c>
      <c r="K285" s="137">
        <v>3.4</v>
      </c>
      <c r="L285" s="137">
        <v>1.0</v>
      </c>
      <c r="M285" s="137">
        <v>0.5</v>
      </c>
      <c r="N285" s="137">
        <v>0.5</v>
      </c>
      <c r="O285" s="137">
        <v>0.7</v>
      </c>
      <c r="P285" s="137">
        <v>-4.58</v>
      </c>
    </row>
    <row r="286">
      <c r="A286" s="137">
        <v>285.0</v>
      </c>
      <c r="B286" s="138" t="s">
        <v>1292</v>
      </c>
      <c r="C286" s="137" t="s">
        <v>44</v>
      </c>
      <c r="D286" s="137" t="s">
        <v>603</v>
      </c>
      <c r="E286" s="137">
        <v>72.0</v>
      </c>
      <c r="F286" s="137">
        <v>18.4</v>
      </c>
      <c r="G286" s="137" t="s">
        <v>1293</v>
      </c>
      <c r="H286" s="137" t="s">
        <v>1294</v>
      </c>
      <c r="I286" s="137">
        <v>1.7</v>
      </c>
      <c r="J286" s="137">
        <v>7.3</v>
      </c>
      <c r="K286" s="137">
        <v>1.9</v>
      </c>
      <c r="L286" s="137">
        <v>1.0</v>
      </c>
      <c r="M286" s="137">
        <v>0.5</v>
      </c>
      <c r="N286" s="137">
        <v>0.1</v>
      </c>
      <c r="O286" s="137">
        <v>0.5</v>
      </c>
      <c r="P286" s="137">
        <v>-4.63</v>
      </c>
    </row>
    <row r="287">
      <c r="A287" s="137">
        <v>286.0</v>
      </c>
      <c r="B287" s="138" t="s">
        <v>1295</v>
      </c>
      <c r="C287" s="137" t="s">
        <v>432</v>
      </c>
      <c r="D287" s="137" t="s">
        <v>537</v>
      </c>
      <c r="E287" s="137">
        <v>64.0</v>
      </c>
      <c r="F287" s="137">
        <v>15.6</v>
      </c>
      <c r="G287" s="137" t="s">
        <v>1296</v>
      </c>
      <c r="H287" s="137" t="s">
        <v>1297</v>
      </c>
      <c r="I287" s="137">
        <v>0.4</v>
      </c>
      <c r="J287" s="137">
        <v>6.9</v>
      </c>
      <c r="K287" s="137">
        <v>3.1</v>
      </c>
      <c r="L287" s="137">
        <v>1.8</v>
      </c>
      <c r="M287" s="137">
        <v>0.5</v>
      </c>
      <c r="N287" s="137">
        <v>0.3</v>
      </c>
      <c r="O287" s="137">
        <v>1.1</v>
      </c>
      <c r="P287" s="137">
        <v>-4.73</v>
      </c>
    </row>
    <row r="288">
      <c r="A288" s="137">
        <v>287.0</v>
      </c>
      <c r="B288" s="138" t="s">
        <v>1298</v>
      </c>
      <c r="C288" s="137" t="s">
        <v>45</v>
      </c>
      <c r="D288" s="137" t="s">
        <v>476</v>
      </c>
      <c r="E288" s="137">
        <v>68.0</v>
      </c>
      <c r="F288" s="137">
        <v>18.4</v>
      </c>
      <c r="G288" s="137" t="s">
        <v>1299</v>
      </c>
      <c r="H288" s="137" t="s">
        <v>1300</v>
      </c>
      <c r="I288" s="137">
        <v>1.1</v>
      </c>
      <c r="J288" s="137">
        <v>8.3</v>
      </c>
      <c r="K288" s="137">
        <v>2.6</v>
      </c>
      <c r="L288" s="137">
        <v>1.4</v>
      </c>
      <c r="M288" s="137">
        <v>0.6</v>
      </c>
      <c r="N288" s="137">
        <v>0.1</v>
      </c>
      <c r="O288" s="137">
        <v>1.0</v>
      </c>
      <c r="P288" s="137">
        <v>-4.75</v>
      </c>
    </row>
    <row r="289">
      <c r="A289" s="137">
        <v>288.0</v>
      </c>
      <c r="B289" s="138" t="s">
        <v>1301</v>
      </c>
      <c r="C289" s="137" t="s">
        <v>424</v>
      </c>
      <c r="D289" s="137" t="s">
        <v>603</v>
      </c>
      <c r="E289" s="137">
        <v>69.0</v>
      </c>
      <c r="F289" s="137">
        <v>18.7</v>
      </c>
      <c r="G289" s="137" t="s">
        <v>1302</v>
      </c>
      <c r="H289" s="137" t="s">
        <v>1303</v>
      </c>
      <c r="I289" s="137">
        <v>0.5</v>
      </c>
      <c r="J289" s="137">
        <v>4.1</v>
      </c>
      <c r="K289" s="137">
        <v>3.4</v>
      </c>
      <c r="L289" s="137">
        <v>2.4</v>
      </c>
      <c r="M289" s="137">
        <v>0.8</v>
      </c>
      <c r="N289" s="137">
        <v>0.2</v>
      </c>
      <c r="O289" s="137">
        <v>1.0</v>
      </c>
      <c r="P289" s="137">
        <v>-4.79</v>
      </c>
    </row>
    <row r="290">
      <c r="A290" s="137">
        <v>289.0</v>
      </c>
      <c r="B290" s="138" t="s">
        <v>1304</v>
      </c>
      <c r="C290" s="137" t="s">
        <v>45</v>
      </c>
      <c r="D290" s="137" t="s">
        <v>590</v>
      </c>
      <c r="E290" s="137">
        <v>40.0</v>
      </c>
      <c r="F290" s="137">
        <v>15.8</v>
      </c>
      <c r="G290" s="137" t="s">
        <v>1305</v>
      </c>
      <c r="H290" s="137" t="s">
        <v>1306</v>
      </c>
      <c r="I290" s="137">
        <v>1.1</v>
      </c>
      <c r="J290" s="137">
        <v>7.4</v>
      </c>
      <c r="K290" s="137">
        <v>2.9</v>
      </c>
      <c r="L290" s="137">
        <v>1.0</v>
      </c>
      <c r="M290" s="137">
        <v>0.3</v>
      </c>
      <c r="N290" s="137">
        <v>0.1</v>
      </c>
      <c r="O290" s="137">
        <v>0.4</v>
      </c>
      <c r="P290" s="137">
        <v>-4.8</v>
      </c>
    </row>
    <row r="291">
      <c r="A291" s="137">
        <v>290.0</v>
      </c>
      <c r="B291" s="138" t="s">
        <v>1307</v>
      </c>
      <c r="C291" s="137" t="s">
        <v>456</v>
      </c>
      <c r="D291" s="137" t="s">
        <v>487</v>
      </c>
      <c r="E291" s="137">
        <v>64.0</v>
      </c>
      <c r="F291" s="137">
        <v>16.7</v>
      </c>
      <c r="G291" s="137" t="s">
        <v>1308</v>
      </c>
      <c r="H291" s="137" t="s">
        <v>1309</v>
      </c>
      <c r="I291" s="137">
        <v>0.7</v>
      </c>
      <c r="J291" s="137">
        <v>7.0</v>
      </c>
      <c r="K291" s="137">
        <v>2.6</v>
      </c>
      <c r="L291" s="137">
        <v>0.8</v>
      </c>
      <c r="M291" s="137">
        <v>0.6</v>
      </c>
      <c r="N291" s="137">
        <v>0.2</v>
      </c>
      <c r="O291" s="137">
        <v>0.8</v>
      </c>
      <c r="P291" s="137">
        <v>-4.81</v>
      </c>
    </row>
    <row r="292">
      <c r="A292" s="137">
        <v>291.0</v>
      </c>
      <c r="B292" s="138" t="s">
        <v>1310</v>
      </c>
      <c r="C292" s="137" t="s">
        <v>456</v>
      </c>
      <c r="D292" s="137" t="s">
        <v>429</v>
      </c>
      <c r="E292" s="137">
        <v>44.0</v>
      </c>
      <c r="F292" s="137">
        <v>12.4</v>
      </c>
      <c r="G292" s="137" t="s">
        <v>1311</v>
      </c>
      <c r="H292" s="137" t="s">
        <v>1312</v>
      </c>
      <c r="I292" s="137">
        <v>0.5</v>
      </c>
      <c r="J292" s="137">
        <v>6.3</v>
      </c>
      <c r="K292" s="137">
        <v>4.0</v>
      </c>
      <c r="L292" s="137">
        <v>0.5</v>
      </c>
      <c r="M292" s="137">
        <v>0.2</v>
      </c>
      <c r="N292" s="137">
        <v>0.6</v>
      </c>
      <c r="O292" s="137">
        <v>0.7</v>
      </c>
      <c r="P292" s="137">
        <v>-4.89</v>
      </c>
    </row>
    <row r="293">
      <c r="A293" s="137">
        <v>292.0</v>
      </c>
      <c r="B293" s="138" t="s">
        <v>1313</v>
      </c>
      <c r="C293" s="137" t="s">
        <v>424</v>
      </c>
      <c r="D293" s="137" t="s">
        <v>433</v>
      </c>
      <c r="E293" s="137">
        <v>70.0</v>
      </c>
      <c r="F293" s="137">
        <v>16.4</v>
      </c>
      <c r="G293" s="137" t="s">
        <v>1314</v>
      </c>
      <c r="H293" s="137" t="s">
        <v>1315</v>
      </c>
      <c r="I293" s="137">
        <v>1.6</v>
      </c>
      <c r="J293" s="137">
        <v>7.1</v>
      </c>
      <c r="K293" s="137">
        <v>2.2</v>
      </c>
      <c r="L293" s="137">
        <v>2.1</v>
      </c>
      <c r="M293" s="137">
        <v>0.4</v>
      </c>
      <c r="N293" s="137">
        <v>0.1</v>
      </c>
      <c r="O293" s="137">
        <v>0.8</v>
      </c>
      <c r="P293" s="137">
        <v>-4.92</v>
      </c>
    </row>
    <row r="294">
      <c r="A294" s="137">
        <v>293.0</v>
      </c>
      <c r="B294" s="138" t="s">
        <v>1316</v>
      </c>
      <c r="C294" s="137" t="s">
        <v>469</v>
      </c>
      <c r="D294" s="137" t="s">
        <v>507</v>
      </c>
      <c r="E294" s="137">
        <v>60.0</v>
      </c>
      <c r="F294" s="137">
        <v>16.0</v>
      </c>
      <c r="G294" s="137" t="s">
        <v>1317</v>
      </c>
      <c r="H294" s="137" t="s">
        <v>1171</v>
      </c>
      <c r="I294" s="137">
        <v>0.6</v>
      </c>
      <c r="J294" s="137">
        <v>7.4</v>
      </c>
      <c r="K294" s="137">
        <v>2.3</v>
      </c>
      <c r="L294" s="137">
        <v>2.3</v>
      </c>
      <c r="M294" s="137">
        <v>0.6</v>
      </c>
      <c r="N294" s="137">
        <v>0.3</v>
      </c>
      <c r="O294" s="137">
        <v>1.2</v>
      </c>
      <c r="P294" s="137">
        <v>-4.97</v>
      </c>
    </row>
    <row r="295">
      <c r="A295" s="137">
        <v>294.0</v>
      </c>
      <c r="B295" s="138" t="s">
        <v>1318</v>
      </c>
      <c r="C295" s="137" t="s">
        <v>47</v>
      </c>
      <c r="D295" s="137" t="s">
        <v>537</v>
      </c>
      <c r="E295" s="137">
        <v>68.0</v>
      </c>
      <c r="F295" s="137">
        <v>13.4</v>
      </c>
      <c r="G295" s="137" t="s">
        <v>1319</v>
      </c>
      <c r="H295" s="137" t="s">
        <v>1320</v>
      </c>
      <c r="I295" s="137">
        <v>0.4</v>
      </c>
      <c r="J295" s="137">
        <v>6.2</v>
      </c>
      <c r="K295" s="137">
        <v>3.6</v>
      </c>
      <c r="L295" s="137">
        <v>1.0</v>
      </c>
      <c r="M295" s="137">
        <v>0.2</v>
      </c>
      <c r="N295" s="137">
        <v>0.4</v>
      </c>
      <c r="O295" s="137">
        <v>0.8</v>
      </c>
      <c r="P295" s="137">
        <v>-4.99</v>
      </c>
    </row>
    <row r="296">
      <c r="A296" s="137">
        <v>295.0</v>
      </c>
      <c r="B296" s="138" t="s">
        <v>1321</v>
      </c>
      <c r="C296" s="137" t="s">
        <v>47</v>
      </c>
      <c r="D296" s="137" t="s">
        <v>437</v>
      </c>
      <c r="E296" s="137">
        <v>74.0</v>
      </c>
      <c r="F296" s="137">
        <v>14.1</v>
      </c>
      <c r="G296" s="137" t="s">
        <v>1322</v>
      </c>
      <c r="H296" s="137" t="s">
        <v>1323</v>
      </c>
      <c r="I296" s="137">
        <v>0.1</v>
      </c>
      <c r="J296" s="137">
        <v>5.4</v>
      </c>
      <c r="K296" s="137">
        <v>3.1</v>
      </c>
      <c r="L296" s="137">
        <v>0.7</v>
      </c>
      <c r="M296" s="137">
        <v>0.4</v>
      </c>
      <c r="N296" s="137">
        <v>0.3</v>
      </c>
      <c r="O296" s="137">
        <v>0.6</v>
      </c>
      <c r="P296" s="137">
        <v>-5.02</v>
      </c>
    </row>
    <row r="297">
      <c r="A297" s="137">
        <v>296.0</v>
      </c>
      <c r="B297" s="138" t="s">
        <v>1324</v>
      </c>
      <c r="C297" s="137" t="s">
        <v>432</v>
      </c>
      <c r="D297" s="137" t="s">
        <v>398</v>
      </c>
      <c r="E297" s="137">
        <v>22.0</v>
      </c>
      <c r="F297" s="137">
        <v>10.1</v>
      </c>
      <c r="G297" s="137" t="s">
        <v>1325</v>
      </c>
      <c r="H297" s="137" t="s">
        <v>1326</v>
      </c>
      <c r="I297" s="137">
        <v>0.2</v>
      </c>
      <c r="J297" s="137">
        <v>4.8</v>
      </c>
      <c r="K297" s="137">
        <v>2.7</v>
      </c>
      <c r="L297" s="137">
        <v>0.5</v>
      </c>
      <c r="M297" s="137">
        <v>0.4</v>
      </c>
      <c r="N297" s="137">
        <v>0.6</v>
      </c>
      <c r="O297" s="137">
        <v>0.3</v>
      </c>
      <c r="P297" s="137">
        <v>-5.02</v>
      </c>
    </row>
    <row r="298">
      <c r="A298" s="137">
        <v>297.0</v>
      </c>
      <c r="B298" s="138" t="s">
        <v>1327</v>
      </c>
      <c r="C298" s="137" t="s">
        <v>45</v>
      </c>
      <c r="D298" s="137" t="s">
        <v>480</v>
      </c>
      <c r="E298" s="137">
        <v>60.0</v>
      </c>
      <c r="F298" s="137">
        <v>20.1</v>
      </c>
      <c r="G298" s="137" t="s">
        <v>1328</v>
      </c>
      <c r="H298" s="137" t="s">
        <v>1329</v>
      </c>
      <c r="I298" s="137">
        <v>1.1</v>
      </c>
      <c r="J298" s="137">
        <v>7.6</v>
      </c>
      <c r="K298" s="137">
        <v>2.2</v>
      </c>
      <c r="L298" s="137">
        <v>1.1</v>
      </c>
      <c r="M298" s="137">
        <v>0.5</v>
      </c>
      <c r="N298" s="137">
        <v>0.2</v>
      </c>
      <c r="O298" s="137">
        <v>0.8</v>
      </c>
      <c r="P298" s="137">
        <v>-5.03</v>
      </c>
    </row>
    <row r="299">
      <c r="A299" s="137">
        <v>298.0</v>
      </c>
      <c r="B299" s="138" t="s">
        <v>1330</v>
      </c>
      <c r="C299" s="137" t="s">
        <v>432</v>
      </c>
      <c r="D299" s="137" t="s">
        <v>619</v>
      </c>
      <c r="E299" s="137">
        <v>60.0</v>
      </c>
      <c r="F299" s="137">
        <v>16.8</v>
      </c>
      <c r="G299" s="137" t="s">
        <v>1331</v>
      </c>
      <c r="H299" s="137" t="s">
        <v>1332</v>
      </c>
      <c r="I299" s="137">
        <v>1.3</v>
      </c>
      <c r="J299" s="137">
        <v>5.0</v>
      </c>
      <c r="K299" s="137">
        <v>2.0</v>
      </c>
      <c r="L299" s="137">
        <v>2.4</v>
      </c>
      <c r="M299" s="137">
        <v>0.4</v>
      </c>
      <c r="N299" s="137">
        <v>0.1</v>
      </c>
      <c r="O299" s="137">
        <v>0.8</v>
      </c>
      <c r="P299" s="137">
        <v>-5.07</v>
      </c>
    </row>
    <row r="300">
      <c r="A300" s="137">
        <v>299.0</v>
      </c>
      <c r="B300" s="138" t="s">
        <v>1333</v>
      </c>
      <c r="C300" s="137" t="s">
        <v>44</v>
      </c>
      <c r="D300" s="137" t="s">
        <v>420</v>
      </c>
      <c r="E300" s="137">
        <v>30.0</v>
      </c>
      <c r="F300" s="137">
        <v>14.4</v>
      </c>
      <c r="G300" s="137" t="s">
        <v>1334</v>
      </c>
      <c r="H300" s="137" t="s">
        <v>1335</v>
      </c>
      <c r="I300" s="137">
        <v>1.2</v>
      </c>
      <c r="J300" s="137">
        <v>4.2</v>
      </c>
      <c r="K300" s="137">
        <v>1.7</v>
      </c>
      <c r="L300" s="137">
        <v>0.7</v>
      </c>
      <c r="M300" s="137">
        <v>0.7</v>
      </c>
      <c r="N300" s="137">
        <v>0.4</v>
      </c>
      <c r="O300" s="137">
        <v>0.5</v>
      </c>
      <c r="P300" s="137">
        <v>-5.08</v>
      </c>
    </row>
    <row r="301">
      <c r="A301" s="137">
        <v>300.0</v>
      </c>
      <c r="B301" s="138" t="s">
        <v>1336</v>
      </c>
      <c r="C301" s="137" t="s">
        <v>47</v>
      </c>
      <c r="D301" s="137" t="s">
        <v>587</v>
      </c>
      <c r="E301" s="137">
        <v>60.0</v>
      </c>
      <c r="F301" s="137">
        <v>14.8</v>
      </c>
      <c r="G301" s="137" t="s">
        <v>1337</v>
      </c>
      <c r="H301" s="137" t="s">
        <v>1338</v>
      </c>
      <c r="I301" s="137">
        <v>0.0</v>
      </c>
      <c r="J301" s="137">
        <v>3.4</v>
      </c>
      <c r="K301" s="137">
        <v>3.2</v>
      </c>
      <c r="L301" s="137">
        <v>0.6</v>
      </c>
      <c r="M301" s="137">
        <v>0.4</v>
      </c>
      <c r="N301" s="137">
        <v>1.1</v>
      </c>
      <c r="O301" s="137">
        <v>0.4</v>
      </c>
      <c r="P301" s="137">
        <v>-5.14</v>
      </c>
    </row>
    <row r="302">
      <c r="A302" s="137">
        <v>301.0</v>
      </c>
      <c r="B302" s="138" t="s">
        <v>1339</v>
      </c>
      <c r="C302" s="137" t="s">
        <v>45</v>
      </c>
      <c r="D302" s="137" t="s">
        <v>487</v>
      </c>
      <c r="E302" s="137">
        <v>70.0</v>
      </c>
      <c r="F302" s="137">
        <v>18.4</v>
      </c>
      <c r="G302" s="137" t="s">
        <v>1340</v>
      </c>
      <c r="H302" s="137" t="s">
        <v>1341</v>
      </c>
      <c r="I302" s="137">
        <v>0.4</v>
      </c>
      <c r="J302" s="137">
        <v>7.3</v>
      </c>
      <c r="K302" s="137">
        <v>2.5</v>
      </c>
      <c r="L302" s="137">
        <v>1.5</v>
      </c>
      <c r="M302" s="137">
        <v>0.6</v>
      </c>
      <c r="N302" s="137">
        <v>0.2</v>
      </c>
      <c r="O302" s="137">
        <v>0.8</v>
      </c>
      <c r="P302" s="137">
        <v>-5.16</v>
      </c>
    </row>
    <row r="303">
      <c r="A303" s="137">
        <v>302.0</v>
      </c>
      <c r="B303" s="138" t="s">
        <v>1342</v>
      </c>
      <c r="C303" s="137" t="s">
        <v>432</v>
      </c>
      <c r="D303" s="137" t="s">
        <v>465</v>
      </c>
      <c r="E303" s="137">
        <v>58.0</v>
      </c>
      <c r="F303" s="137">
        <v>18.1</v>
      </c>
      <c r="G303" s="137" t="s">
        <v>1343</v>
      </c>
      <c r="H303" s="137" t="s">
        <v>1344</v>
      </c>
      <c r="I303" s="137">
        <v>0.9</v>
      </c>
      <c r="J303" s="137">
        <v>4.6</v>
      </c>
      <c r="K303" s="137">
        <v>2.9</v>
      </c>
      <c r="L303" s="137">
        <v>0.9</v>
      </c>
      <c r="M303" s="137">
        <v>0.6</v>
      </c>
      <c r="N303" s="137">
        <v>0.3</v>
      </c>
      <c r="O303" s="137">
        <v>0.3</v>
      </c>
      <c r="P303" s="137">
        <v>-5.16</v>
      </c>
    </row>
    <row r="304">
      <c r="A304" s="137">
        <v>303.0</v>
      </c>
      <c r="B304" s="138" t="s">
        <v>1345</v>
      </c>
      <c r="C304" s="137" t="s">
        <v>469</v>
      </c>
      <c r="D304" s="137" t="s">
        <v>503</v>
      </c>
      <c r="E304" s="137">
        <v>67.0</v>
      </c>
      <c r="F304" s="137">
        <v>16.7</v>
      </c>
      <c r="G304" s="137" t="s">
        <v>1346</v>
      </c>
      <c r="H304" s="137" t="s">
        <v>1347</v>
      </c>
      <c r="I304" s="137">
        <v>1.2</v>
      </c>
      <c r="J304" s="137">
        <v>8.7</v>
      </c>
      <c r="K304" s="137">
        <v>1.7</v>
      </c>
      <c r="L304" s="137">
        <v>1.3</v>
      </c>
      <c r="M304" s="137">
        <v>0.4</v>
      </c>
      <c r="N304" s="137">
        <v>0.2</v>
      </c>
      <c r="O304" s="137">
        <v>0.7</v>
      </c>
      <c r="P304" s="137">
        <v>-5.17</v>
      </c>
    </row>
    <row r="305">
      <c r="A305" s="137">
        <v>304.0</v>
      </c>
      <c r="B305" s="138" t="s">
        <v>1348</v>
      </c>
      <c r="C305" s="137" t="s">
        <v>432</v>
      </c>
      <c r="D305" s="137" t="s">
        <v>583</v>
      </c>
      <c r="E305" s="137">
        <v>70.0</v>
      </c>
      <c r="F305" s="137">
        <v>16.8</v>
      </c>
      <c r="G305" s="137" t="s">
        <v>1349</v>
      </c>
      <c r="H305" s="137" t="s">
        <v>1350</v>
      </c>
      <c r="I305" s="137">
        <v>0.8</v>
      </c>
      <c r="J305" s="137">
        <v>6.8</v>
      </c>
      <c r="K305" s="137">
        <v>2.3</v>
      </c>
      <c r="L305" s="137">
        <v>0.9</v>
      </c>
      <c r="M305" s="137">
        <v>0.5</v>
      </c>
      <c r="N305" s="137">
        <v>0.3</v>
      </c>
      <c r="O305" s="137">
        <v>0.6</v>
      </c>
      <c r="P305" s="137">
        <v>-5.17</v>
      </c>
    </row>
    <row r="306">
      <c r="A306" s="137">
        <v>305.0</v>
      </c>
      <c r="B306" s="138" t="s">
        <v>1351</v>
      </c>
      <c r="C306" s="137" t="s">
        <v>47</v>
      </c>
      <c r="D306" s="137" t="s">
        <v>420</v>
      </c>
      <c r="E306" s="137">
        <v>50.0</v>
      </c>
      <c r="F306" s="137">
        <v>10.4</v>
      </c>
      <c r="G306" s="137" t="s">
        <v>1352</v>
      </c>
      <c r="H306" s="137" t="s">
        <v>1353</v>
      </c>
      <c r="I306" s="137">
        <v>0.6</v>
      </c>
      <c r="J306" s="137">
        <v>4.4</v>
      </c>
      <c r="K306" s="137">
        <v>3.2</v>
      </c>
      <c r="L306" s="137">
        <v>0.5</v>
      </c>
      <c r="M306" s="137">
        <v>0.2</v>
      </c>
      <c r="N306" s="137">
        <v>0.7</v>
      </c>
      <c r="O306" s="137">
        <v>0.4</v>
      </c>
      <c r="P306" s="137">
        <v>-5.17</v>
      </c>
    </row>
    <row r="307">
      <c r="A307" s="137">
        <v>306.0</v>
      </c>
      <c r="B307" s="138" t="s">
        <v>1354</v>
      </c>
      <c r="C307" s="137" t="s">
        <v>469</v>
      </c>
      <c r="D307" s="137" t="s">
        <v>487</v>
      </c>
      <c r="E307" s="137">
        <v>59.0</v>
      </c>
      <c r="F307" s="137">
        <v>17.8</v>
      </c>
      <c r="G307" s="137" t="s">
        <v>1355</v>
      </c>
      <c r="H307" s="137" t="s">
        <v>1356</v>
      </c>
      <c r="I307" s="137">
        <v>1.9</v>
      </c>
      <c r="J307" s="137">
        <v>7.4</v>
      </c>
      <c r="K307" s="137">
        <v>1.8</v>
      </c>
      <c r="L307" s="137">
        <v>1.2</v>
      </c>
      <c r="M307" s="137">
        <v>0.4</v>
      </c>
      <c r="N307" s="137">
        <v>0.1</v>
      </c>
      <c r="O307" s="137">
        <v>0.6</v>
      </c>
      <c r="P307" s="137">
        <v>-5.18</v>
      </c>
    </row>
    <row r="308">
      <c r="A308" s="137">
        <v>307.0</v>
      </c>
      <c r="B308" s="138" t="s">
        <v>1357</v>
      </c>
      <c r="C308" s="137" t="s">
        <v>47</v>
      </c>
      <c r="D308" s="137" t="s">
        <v>503</v>
      </c>
      <c r="E308" s="137">
        <v>50.0</v>
      </c>
      <c r="F308" s="137">
        <v>11.5</v>
      </c>
      <c r="G308" s="137" t="s">
        <v>1358</v>
      </c>
      <c r="H308" s="137" t="s">
        <v>1359</v>
      </c>
      <c r="I308" s="137">
        <v>0.1</v>
      </c>
      <c r="J308" s="137">
        <v>5.2</v>
      </c>
      <c r="K308" s="137">
        <v>4.4</v>
      </c>
      <c r="L308" s="137">
        <v>0.7</v>
      </c>
      <c r="M308" s="137">
        <v>0.3</v>
      </c>
      <c r="N308" s="137">
        <v>0.6</v>
      </c>
      <c r="O308" s="137">
        <v>0.9</v>
      </c>
      <c r="P308" s="137">
        <v>-5.19</v>
      </c>
    </row>
    <row r="309">
      <c r="A309" s="137">
        <v>308.0</v>
      </c>
      <c r="B309" s="138" t="s">
        <v>1360</v>
      </c>
      <c r="C309" s="137" t="s">
        <v>424</v>
      </c>
      <c r="D309" s="137" t="s">
        <v>476</v>
      </c>
      <c r="E309" s="137">
        <v>78.0</v>
      </c>
      <c r="F309" s="137">
        <v>18.8</v>
      </c>
      <c r="G309" s="137" t="s">
        <v>1361</v>
      </c>
      <c r="H309" s="137" t="s">
        <v>1362</v>
      </c>
      <c r="I309" s="137">
        <v>0.9</v>
      </c>
      <c r="J309" s="137">
        <v>7.1</v>
      </c>
      <c r="K309" s="137">
        <v>1.5</v>
      </c>
      <c r="L309" s="137">
        <v>2.7</v>
      </c>
      <c r="M309" s="137">
        <v>0.5</v>
      </c>
      <c r="N309" s="137">
        <v>0.2</v>
      </c>
      <c r="O309" s="137">
        <v>1.0</v>
      </c>
      <c r="P309" s="137">
        <v>-5.2</v>
      </c>
    </row>
    <row r="310">
      <c r="A310" s="137">
        <v>309.0</v>
      </c>
      <c r="B310" s="138" t="s">
        <v>1363</v>
      </c>
      <c r="C310" s="137" t="s">
        <v>46</v>
      </c>
      <c r="D310" s="137" t="s">
        <v>437</v>
      </c>
      <c r="E310" s="137">
        <v>61.0</v>
      </c>
      <c r="F310" s="137">
        <v>16.1</v>
      </c>
      <c r="G310" s="137" t="s">
        <v>1364</v>
      </c>
      <c r="H310" s="137" t="s">
        <v>1365</v>
      </c>
      <c r="I310" s="137">
        <v>0.5</v>
      </c>
      <c r="J310" s="137">
        <v>7.2</v>
      </c>
      <c r="K310" s="137">
        <v>2.9</v>
      </c>
      <c r="L310" s="137">
        <v>0.6</v>
      </c>
      <c r="M310" s="137">
        <v>0.6</v>
      </c>
      <c r="N310" s="137">
        <v>0.2</v>
      </c>
      <c r="O310" s="137">
        <v>0.6</v>
      </c>
      <c r="P310" s="137">
        <v>-5.33</v>
      </c>
    </row>
    <row r="311">
      <c r="A311" s="137">
        <v>310.0</v>
      </c>
      <c r="B311" s="138" t="s">
        <v>1366</v>
      </c>
      <c r="C311" s="137" t="s">
        <v>432</v>
      </c>
      <c r="D311" s="137" t="s">
        <v>445</v>
      </c>
      <c r="E311" s="137">
        <v>58.0</v>
      </c>
      <c r="F311" s="137">
        <v>15.5</v>
      </c>
      <c r="G311" s="137" t="s">
        <v>1367</v>
      </c>
      <c r="H311" s="137" t="s">
        <v>1368</v>
      </c>
      <c r="I311" s="137">
        <v>1.0</v>
      </c>
      <c r="J311" s="137">
        <v>5.5</v>
      </c>
      <c r="K311" s="137">
        <v>2.7</v>
      </c>
      <c r="L311" s="137">
        <v>0.8</v>
      </c>
      <c r="M311" s="137">
        <v>0.4</v>
      </c>
      <c r="N311" s="137">
        <v>0.4</v>
      </c>
      <c r="O311" s="137">
        <v>0.5</v>
      </c>
      <c r="P311" s="137">
        <v>-5.34</v>
      </c>
    </row>
    <row r="312">
      <c r="A312" s="137">
        <v>311.0</v>
      </c>
      <c r="B312" s="138" t="s">
        <v>1369</v>
      </c>
      <c r="C312" s="137" t="s">
        <v>424</v>
      </c>
      <c r="D312" s="137" t="s">
        <v>441</v>
      </c>
      <c r="E312" s="137">
        <v>68.0</v>
      </c>
      <c r="F312" s="137">
        <v>15.1</v>
      </c>
      <c r="G312" s="137" t="s">
        <v>1370</v>
      </c>
      <c r="H312" s="137" t="s">
        <v>1371</v>
      </c>
      <c r="I312" s="137">
        <v>0.7</v>
      </c>
      <c r="J312" s="137">
        <v>5.1</v>
      </c>
      <c r="K312" s="137">
        <v>1.5</v>
      </c>
      <c r="L312" s="137">
        <v>2.5</v>
      </c>
      <c r="M312" s="137">
        <v>0.4</v>
      </c>
      <c r="N312" s="137">
        <v>0.1</v>
      </c>
      <c r="O312" s="137">
        <v>0.8</v>
      </c>
      <c r="P312" s="137">
        <v>-5.35</v>
      </c>
    </row>
    <row r="313">
      <c r="A313" s="137">
        <v>312.0</v>
      </c>
      <c r="B313" s="138" t="s">
        <v>1372</v>
      </c>
      <c r="C313" s="137" t="s">
        <v>456</v>
      </c>
      <c r="D313" s="137" t="s">
        <v>416</v>
      </c>
      <c r="E313" s="137">
        <v>63.0</v>
      </c>
      <c r="F313" s="137">
        <v>16.1</v>
      </c>
      <c r="G313" s="137" t="s">
        <v>1373</v>
      </c>
      <c r="H313" s="137" t="s">
        <v>1374</v>
      </c>
      <c r="I313" s="137">
        <v>0.6</v>
      </c>
      <c r="J313" s="137">
        <v>6.3</v>
      </c>
      <c r="K313" s="137">
        <v>3.3</v>
      </c>
      <c r="L313" s="137">
        <v>0.4</v>
      </c>
      <c r="M313" s="137">
        <v>0.4</v>
      </c>
      <c r="N313" s="137">
        <v>0.4</v>
      </c>
      <c r="O313" s="137">
        <v>0.6</v>
      </c>
      <c r="P313" s="137">
        <v>-5.36</v>
      </c>
    </row>
    <row r="314">
      <c r="A314" s="137">
        <v>313.0</v>
      </c>
      <c r="B314" s="138" t="s">
        <v>1375</v>
      </c>
      <c r="C314" s="137" t="s">
        <v>45</v>
      </c>
      <c r="D314" s="137" t="s">
        <v>590</v>
      </c>
      <c r="E314" s="137">
        <v>70.0</v>
      </c>
      <c r="F314" s="137">
        <v>21.0</v>
      </c>
      <c r="G314" s="137" t="s">
        <v>1376</v>
      </c>
      <c r="H314" s="137" t="s">
        <v>1377</v>
      </c>
      <c r="I314" s="137">
        <v>0.6</v>
      </c>
      <c r="J314" s="137">
        <v>8.4</v>
      </c>
      <c r="K314" s="137">
        <v>3.8</v>
      </c>
      <c r="L314" s="137">
        <v>1.8</v>
      </c>
      <c r="M314" s="137">
        <v>0.6</v>
      </c>
      <c r="N314" s="137">
        <v>0.2</v>
      </c>
      <c r="O314" s="137">
        <v>1.2</v>
      </c>
      <c r="P314" s="137">
        <v>-5.37</v>
      </c>
    </row>
    <row r="315">
      <c r="A315" s="137">
        <v>314.0</v>
      </c>
      <c r="B315" s="138" t="s">
        <v>1378</v>
      </c>
      <c r="C315" s="137" t="s">
        <v>456</v>
      </c>
      <c r="D315" s="137" t="s">
        <v>457</v>
      </c>
      <c r="E315" s="137">
        <v>67.0</v>
      </c>
      <c r="F315" s="137">
        <v>12.4</v>
      </c>
      <c r="G315" s="137" t="s">
        <v>1379</v>
      </c>
      <c r="H315" s="137" t="s">
        <v>1380</v>
      </c>
      <c r="I315" s="137">
        <v>0.1</v>
      </c>
      <c r="J315" s="137">
        <v>5.4</v>
      </c>
      <c r="K315" s="137">
        <v>2.7</v>
      </c>
      <c r="L315" s="137">
        <v>0.5</v>
      </c>
      <c r="M315" s="137">
        <v>0.3</v>
      </c>
      <c r="N315" s="137">
        <v>0.5</v>
      </c>
      <c r="O315" s="137">
        <v>0.5</v>
      </c>
      <c r="P315" s="137">
        <v>-5.38</v>
      </c>
    </row>
    <row r="316">
      <c r="A316" s="137">
        <v>315.0</v>
      </c>
      <c r="B316" s="138" t="s">
        <v>1381</v>
      </c>
      <c r="C316" s="137" t="s">
        <v>424</v>
      </c>
      <c r="D316" s="137" t="s">
        <v>554</v>
      </c>
      <c r="E316" s="137">
        <v>65.0</v>
      </c>
      <c r="F316" s="137">
        <v>14.3</v>
      </c>
      <c r="G316" s="137" t="s">
        <v>1382</v>
      </c>
      <c r="H316" s="137" t="s">
        <v>1383</v>
      </c>
      <c r="I316" s="137">
        <v>0.5</v>
      </c>
      <c r="J316" s="137">
        <v>4.7</v>
      </c>
      <c r="K316" s="137">
        <v>1.6</v>
      </c>
      <c r="L316" s="137">
        <v>2.8</v>
      </c>
      <c r="M316" s="137">
        <v>0.7</v>
      </c>
      <c r="N316" s="137">
        <v>0.2</v>
      </c>
      <c r="O316" s="137">
        <v>1.1</v>
      </c>
      <c r="P316" s="137">
        <v>-5.4</v>
      </c>
    </row>
    <row r="317">
      <c r="A317" s="137">
        <v>316.0</v>
      </c>
      <c r="B317" s="138" t="s">
        <v>1384</v>
      </c>
      <c r="C317" s="137" t="s">
        <v>45</v>
      </c>
      <c r="D317" s="137" t="s">
        <v>420</v>
      </c>
      <c r="E317" s="137">
        <v>68.0</v>
      </c>
      <c r="F317" s="137">
        <v>16.8</v>
      </c>
      <c r="G317" s="137" t="s">
        <v>1385</v>
      </c>
      <c r="H317" s="137" t="s">
        <v>1023</v>
      </c>
      <c r="I317" s="137">
        <v>0.9</v>
      </c>
      <c r="J317" s="137">
        <v>5.8</v>
      </c>
      <c r="K317" s="137">
        <v>2.3</v>
      </c>
      <c r="L317" s="137">
        <v>1.0</v>
      </c>
      <c r="M317" s="137">
        <v>0.4</v>
      </c>
      <c r="N317" s="137">
        <v>0.3</v>
      </c>
      <c r="O317" s="137">
        <v>0.7</v>
      </c>
      <c r="P317" s="137">
        <v>-5.43</v>
      </c>
    </row>
    <row r="318">
      <c r="A318" s="137">
        <v>317.0</v>
      </c>
      <c r="B318" s="138" t="s">
        <v>1386</v>
      </c>
      <c r="C318" s="137" t="s">
        <v>432</v>
      </c>
      <c r="D318" s="137" t="s">
        <v>425</v>
      </c>
      <c r="E318" s="137">
        <v>64.0</v>
      </c>
      <c r="F318" s="137">
        <v>17.9</v>
      </c>
      <c r="G318" s="137" t="s">
        <v>1387</v>
      </c>
      <c r="H318" s="137" t="s">
        <v>1388</v>
      </c>
      <c r="I318" s="137">
        <v>0.8</v>
      </c>
      <c r="J318" s="137">
        <v>6.4</v>
      </c>
      <c r="K318" s="137">
        <v>3.3</v>
      </c>
      <c r="L318" s="137">
        <v>1.5</v>
      </c>
      <c r="M318" s="137">
        <v>0.5</v>
      </c>
      <c r="N318" s="137">
        <v>0.2</v>
      </c>
      <c r="O318" s="137">
        <v>0.8</v>
      </c>
      <c r="P318" s="137">
        <v>-5.43</v>
      </c>
    </row>
    <row r="319">
      <c r="A319" s="137">
        <v>318.0</v>
      </c>
      <c r="B319" s="138" t="s">
        <v>1389</v>
      </c>
      <c r="C319" s="137" t="s">
        <v>43</v>
      </c>
      <c r="D319" s="137" t="s">
        <v>398</v>
      </c>
      <c r="E319" s="137">
        <v>38.0</v>
      </c>
      <c r="F319" s="137">
        <v>12.6</v>
      </c>
      <c r="G319" s="137" t="s">
        <v>1390</v>
      </c>
      <c r="H319" s="137" t="s">
        <v>1391</v>
      </c>
      <c r="I319" s="137">
        <v>0.4</v>
      </c>
      <c r="J319" s="137">
        <v>3.2</v>
      </c>
      <c r="K319" s="137">
        <v>1.3</v>
      </c>
      <c r="L319" s="137">
        <v>2.7</v>
      </c>
      <c r="M319" s="137">
        <v>0.7</v>
      </c>
      <c r="N319" s="137">
        <v>0.1</v>
      </c>
      <c r="O319" s="137">
        <v>0.6</v>
      </c>
      <c r="P319" s="137">
        <v>-5.45</v>
      </c>
    </row>
    <row r="320">
      <c r="A320" s="137">
        <v>319.0</v>
      </c>
      <c r="B320" s="138" t="s">
        <v>1392</v>
      </c>
      <c r="C320" s="137" t="s">
        <v>469</v>
      </c>
      <c r="D320" s="137" t="s">
        <v>587</v>
      </c>
      <c r="E320" s="137">
        <v>30.0</v>
      </c>
      <c r="F320" s="137">
        <v>10.4</v>
      </c>
      <c r="G320" s="137" t="s">
        <v>1393</v>
      </c>
      <c r="H320" s="137" t="s">
        <v>1394</v>
      </c>
      <c r="I320" s="137">
        <v>0.6</v>
      </c>
      <c r="J320" s="137">
        <v>3.8</v>
      </c>
      <c r="K320" s="137">
        <v>2.6</v>
      </c>
      <c r="L320" s="137">
        <v>0.7</v>
      </c>
      <c r="M320" s="137">
        <v>0.5</v>
      </c>
      <c r="N320" s="137">
        <v>0.2</v>
      </c>
      <c r="O320" s="137">
        <v>0.3</v>
      </c>
      <c r="P320" s="137">
        <v>-5.51</v>
      </c>
    </row>
    <row r="321">
      <c r="A321" s="137">
        <v>320.0</v>
      </c>
      <c r="B321" s="138" t="s">
        <v>1395</v>
      </c>
      <c r="C321" s="137" t="s">
        <v>47</v>
      </c>
      <c r="D321" s="137" t="s">
        <v>465</v>
      </c>
      <c r="E321" s="137">
        <v>62.0</v>
      </c>
      <c r="F321" s="137">
        <v>10.5</v>
      </c>
      <c r="G321" s="137" t="s">
        <v>1396</v>
      </c>
      <c r="H321" s="137" t="s">
        <v>1397</v>
      </c>
      <c r="I321" s="137">
        <v>0.1</v>
      </c>
      <c r="J321" s="137">
        <v>4.2</v>
      </c>
      <c r="K321" s="137">
        <v>2.6</v>
      </c>
      <c r="L321" s="137">
        <v>0.6</v>
      </c>
      <c r="M321" s="137">
        <v>0.2</v>
      </c>
      <c r="N321" s="137">
        <v>0.5</v>
      </c>
      <c r="O321" s="137">
        <v>0.6</v>
      </c>
      <c r="P321" s="137">
        <v>-5.52</v>
      </c>
    </row>
    <row r="322">
      <c r="A322" s="137">
        <v>321.0</v>
      </c>
      <c r="B322" s="138" t="s">
        <v>1398</v>
      </c>
      <c r="C322" s="137" t="s">
        <v>432</v>
      </c>
      <c r="D322" s="137" t="s">
        <v>445</v>
      </c>
      <c r="E322" s="137">
        <v>45.0</v>
      </c>
      <c r="F322" s="137">
        <v>14.3</v>
      </c>
      <c r="G322" s="137" t="s">
        <v>1399</v>
      </c>
      <c r="H322" s="137" t="s">
        <v>1400</v>
      </c>
      <c r="I322" s="137">
        <v>0.9</v>
      </c>
      <c r="J322" s="137">
        <v>4.1</v>
      </c>
      <c r="K322" s="137">
        <v>2.2</v>
      </c>
      <c r="L322" s="137">
        <v>0.8</v>
      </c>
      <c r="M322" s="137">
        <v>0.7</v>
      </c>
      <c r="N322" s="137">
        <v>0.3</v>
      </c>
      <c r="O322" s="137">
        <v>0.4</v>
      </c>
      <c r="P322" s="137">
        <v>-5.54</v>
      </c>
    </row>
    <row r="323">
      <c r="A323" s="137">
        <v>322.0</v>
      </c>
      <c r="B323" s="138" t="s">
        <v>1401</v>
      </c>
      <c r="C323" s="137" t="s">
        <v>424</v>
      </c>
      <c r="D323" s="137" t="s">
        <v>457</v>
      </c>
      <c r="E323" s="137">
        <v>50.0</v>
      </c>
      <c r="F323" s="137">
        <v>14.1</v>
      </c>
      <c r="G323" s="137" t="s">
        <v>1402</v>
      </c>
      <c r="H323" s="137" t="s">
        <v>856</v>
      </c>
      <c r="I323" s="137">
        <v>1.0</v>
      </c>
      <c r="J323" s="137">
        <v>6.6</v>
      </c>
      <c r="K323" s="137">
        <v>1.3</v>
      </c>
      <c r="L323" s="137">
        <v>2.7</v>
      </c>
      <c r="M323" s="137">
        <v>0.4</v>
      </c>
      <c r="N323" s="137">
        <v>0.2</v>
      </c>
      <c r="O323" s="137">
        <v>1.0</v>
      </c>
      <c r="P323" s="137">
        <v>-5.54</v>
      </c>
    </row>
    <row r="324">
      <c r="A324" s="137">
        <v>323.0</v>
      </c>
      <c r="B324" s="138" t="s">
        <v>1403</v>
      </c>
      <c r="C324" s="137" t="s">
        <v>456</v>
      </c>
      <c r="D324" s="137" t="s">
        <v>445</v>
      </c>
      <c r="E324" s="137">
        <v>40.0</v>
      </c>
      <c r="F324" s="137">
        <v>10.4</v>
      </c>
      <c r="G324" s="137" t="s">
        <v>1404</v>
      </c>
      <c r="H324" s="137" t="s">
        <v>1405</v>
      </c>
      <c r="I324" s="137">
        <v>0.2</v>
      </c>
      <c r="J324" s="137">
        <v>4.4</v>
      </c>
      <c r="K324" s="137">
        <v>2.8</v>
      </c>
      <c r="L324" s="137">
        <v>0.5</v>
      </c>
      <c r="M324" s="137">
        <v>0.2</v>
      </c>
      <c r="N324" s="137">
        <v>0.6</v>
      </c>
      <c r="O324" s="137">
        <v>0.8</v>
      </c>
      <c r="P324" s="137">
        <v>-5.56</v>
      </c>
    </row>
    <row r="325">
      <c r="A325" s="137">
        <v>324.0</v>
      </c>
      <c r="B325" s="138" t="s">
        <v>1406</v>
      </c>
      <c r="C325" s="137" t="s">
        <v>469</v>
      </c>
      <c r="D325" s="137" t="s">
        <v>416</v>
      </c>
      <c r="E325" s="137">
        <v>69.0</v>
      </c>
      <c r="F325" s="137">
        <v>15.8</v>
      </c>
      <c r="G325" s="137" t="s">
        <v>1407</v>
      </c>
      <c r="H325" s="137" t="s">
        <v>1408</v>
      </c>
      <c r="I325" s="137">
        <v>0.5</v>
      </c>
      <c r="J325" s="137">
        <v>6.5</v>
      </c>
      <c r="K325" s="137">
        <v>3.2</v>
      </c>
      <c r="L325" s="137">
        <v>0.9</v>
      </c>
      <c r="M325" s="137">
        <v>0.2</v>
      </c>
      <c r="N325" s="137">
        <v>0.9</v>
      </c>
      <c r="O325" s="137">
        <v>0.7</v>
      </c>
      <c r="P325" s="137">
        <v>-5.56</v>
      </c>
    </row>
    <row r="326">
      <c r="A326" s="137">
        <v>325.0</v>
      </c>
      <c r="B326" s="138" t="s">
        <v>1409</v>
      </c>
      <c r="C326" s="137" t="s">
        <v>456</v>
      </c>
      <c r="D326" s="137" t="s">
        <v>587</v>
      </c>
      <c r="E326" s="137">
        <v>64.0</v>
      </c>
      <c r="F326" s="137">
        <v>16.0</v>
      </c>
      <c r="G326" s="137" t="s">
        <v>1410</v>
      </c>
      <c r="H326" s="137" t="s">
        <v>1411</v>
      </c>
      <c r="I326" s="137">
        <v>0.5</v>
      </c>
      <c r="J326" s="137">
        <v>6.6</v>
      </c>
      <c r="K326" s="137">
        <v>4.5</v>
      </c>
      <c r="L326" s="137">
        <v>0.7</v>
      </c>
      <c r="M326" s="137">
        <v>0.4</v>
      </c>
      <c r="N326" s="137">
        <v>0.4</v>
      </c>
      <c r="O326" s="137">
        <v>0.8</v>
      </c>
      <c r="P326" s="137">
        <v>-5.57</v>
      </c>
    </row>
    <row r="327">
      <c r="A327" s="137">
        <v>326.0</v>
      </c>
      <c r="B327" s="138" t="s">
        <v>1412</v>
      </c>
      <c r="C327" s="137" t="s">
        <v>432</v>
      </c>
      <c r="D327" s="137" t="s">
        <v>480</v>
      </c>
      <c r="E327" s="137">
        <v>68.0</v>
      </c>
      <c r="F327" s="137">
        <v>16.8</v>
      </c>
      <c r="G327" s="137" t="s">
        <v>1413</v>
      </c>
      <c r="H327" s="137" t="s">
        <v>1414</v>
      </c>
      <c r="I327" s="137">
        <v>1.0</v>
      </c>
      <c r="J327" s="137">
        <v>4.6</v>
      </c>
      <c r="K327" s="137">
        <v>2.6</v>
      </c>
      <c r="L327" s="137">
        <v>0.9</v>
      </c>
      <c r="M327" s="137">
        <v>0.5</v>
      </c>
      <c r="N327" s="137">
        <v>0.2</v>
      </c>
      <c r="O327" s="137">
        <v>0.7</v>
      </c>
      <c r="P327" s="137">
        <v>-5.66</v>
      </c>
    </row>
    <row r="328">
      <c r="A328" s="137">
        <v>327.0</v>
      </c>
      <c r="B328" s="138" t="s">
        <v>1415</v>
      </c>
      <c r="C328" s="137" t="s">
        <v>456</v>
      </c>
      <c r="D328" s="137" t="s">
        <v>590</v>
      </c>
      <c r="E328" s="137">
        <v>30.0</v>
      </c>
      <c r="F328" s="137">
        <v>10.4</v>
      </c>
      <c r="G328" s="137" t="s">
        <v>1416</v>
      </c>
      <c r="H328" s="137" t="s">
        <v>1417</v>
      </c>
      <c r="I328" s="137">
        <v>1.0</v>
      </c>
      <c r="J328" s="137">
        <v>5.0</v>
      </c>
      <c r="K328" s="137">
        <v>2.3</v>
      </c>
      <c r="L328" s="137">
        <v>0.5</v>
      </c>
      <c r="M328" s="137">
        <v>0.2</v>
      </c>
      <c r="N328" s="137">
        <v>0.3</v>
      </c>
      <c r="O328" s="137">
        <v>0.3</v>
      </c>
      <c r="P328" s="137">
        <v>-5.66</v>
      </c>
    </row>
    <row r="329">
      <c r="A329" s="137">
        <v>328.0</v>
      </c>
      <c r="B329" s="138" t="s">
        <v>1418</v>
      </c>
      <c r="C329" s="137" t="s">
        <v>469</v>
      </c>
      <c r="D329" s="137" t="s">
        <v>554</v>
      </c>
      <c r="E329" s="137">
        <v>58.0</v>
      </c>
      <c r="F329" s="137">
        <v>15.2</v>
      </c>
      <c r="G329" s="137" t="s">
        <v>1419</v>
      </c>
      <c r="H329" s="137" t="s">
        <v>1420</v>
      </c>
      <c r="I329" s="137">
        <v>1.4</v>
      </c>
      <c r="J329" s="137">
        <v>5.7</v>
      </c>
      <c r="K329" s="137">
        <v>1.7</v>
      </c>
      <c r="L329" s="137">
        <v>0.9</v>
      </c>
      <c r="M329" s="137">
        <v>0.3</v>
      </c>
      <c r="N329" s="137">
        <v>0.1</v>
      </c>
      <c r="O329" s="137">
        <v>0.5</v>
      </c>
      <c r="P329" s="137">
        <v>-5.67</v>
      </c>
    </row>
    <row r="330">
      <c r="A330" s="137">
        <v>329.0</v>
      </c>
      <c r="B330" s="138" t="s">
        <v>1421</v>
      </c>
      <c r="C330" s="137" t="s">
        <v>432</v>
      </c>
      <c r="D330" s="137" t="s">
        <v>487</v>
      </c>
      <c r="E330" s="137">
        <v>69.0</v>
      </c>
      <c r="F330" s="137">
        <v>18.4</v>
      </c>
      <c r="G330" s="137" t="s">
        <v>1422</v>
      </c>
      <c r="H330" s="137" t="s">
        <v>1423</v>
      </c>
      <c r="I330" s="137">
        <v>0.8</v>
      </c>
      <c r="J330" s="137">
        <v>4.6</v>
      </c>
      <c r="K330" s="137">
        <v>3.5</v>
      </c>
      <c r="L330" s="137">
        <v>0.8</v>
      </c>
      <c r="M330" s="137">
        <v>0.6</v>
      </c>
      <c r="N330" s="137">
        <v>0.3</v>
      </c>
      <c r="O330" s="137">
        <v>0.8</v>
      </c>
      <c r="P330" s="137">
        <v>-5.69</v>
      </c>
    </row>
    <row r="331">
      <c r="A331" s="137">
        <v>330.0</v>
      </c>
      <c r="B331" s="138" t="s">
        <v>1424</v>
      </c>
      <c r="C331" s="137" t="s">
        <v>45</v>
      </c>
      <c r="D331" s="137" t="s">
        <v>437</v>
      </c>
      <c r="E331" s="137">
        <v>54.0</v>
      </c>
      <c r="F331" s="137">
        <v>12.1</v>
      </c>
      <c r="G331" s="137" t="s">
        <v>1425</v>
      </c>
      <c r="H331" s="137" t="s">
        <v>1426</v>
      </c>
      <c r="I331" s="137">
        <v>0.3</v>
      </c>
      <c r="J331" s="137">
        <v>4.1</v>
      </c>
      <c r="K331" s="137">
        <v>2.2</v>
      </c>
      <c r="L331" s="137">
        <v>0.4</v>
      </c>
      <c r="M331" s="137">
        <v>0.4</v>
      </c>
      <c r="N331" s="137">
        <v>0.5</v>
      </c>
      <c r="O331" s="137">
        <v>0.4</v>
      </c>
      <c r="P331" s="137">
        <v>-5.74</v>
      </c>
    </row>
    <row r="332">
      <c r="A332" s="137">
        <v>331.0</v>
      </c>
      <c r="B332" s="138" t="s">
        <v>1427</v>
      </c>
      <c r="C332" s="137" t="s">
        <v>432</v>
      </c>
      <c r="D332" s="137" t="s">
        <v>567</v>
      </c>
      <c r="E332" s="137">
        <v>62.0</v>
      </c>
      <c r="F332" s="137">
        <v>18.4</v>
      </c>
      <c r="G332" s="137" t="s">
        <v>1428</v>
      </c>
      <c r="H332" s="137" t="s">
        <v>1414</v>
      </c>
      <c r="I332" s="137">
        <v>1.3</v>
      </c>
      <c r="J332" s="137">
        <v>5.0</v>
      </c>
      <c r="K332" s="137">
        <v>2.3</v>
      </c>
      <c r="L332" s="137">
        <v>0.8</v>
      </c>
      <c r="M332" s="137">
        <v>0.4</v>
      </c>
      <c r="N332" s="137">
        <v>0.1</v>
      </c>
      <c r="O332" s="137">
        <v>0.3</v>
      </c>
      <c r="P332" s="137">
        <v>-5.75</v>
      </c>
    </row>
    <row r="333">
      <c r="A333" s="137">
        <v>332.0</v>
      </c>
      <c r="B333" s="138" t="s">
        <v>1429</v>
      </c>
      <c r="C333" s="137" t="s">
        <v>47</v>
      </c>
      <c r="D333" s="137" t="s">
        <v>476</v>
      </c>
      <c r="E333" s="137">
        <v>38.0</v>
      </c>
      <c r="F333" s="137">
        <v>10.4</v>
      </c>
      <c r="G333" s="137" t="s">
        <v>1430</v>
      </c>
      <c r="H333" s="137" t="s">
        <v>1431</v>
      </c>
      <c r="I333" s="137">
        <v>0.0</v>
      </c>
      <c r="J333" s="137">
        <v>1.7</v>
      </c>
      <c r="K333" s="137">
        <v>2.6</v>
      </c>
      <c r="L333" s="137">
        <v>0.5</v>
      </c>
      <c r="M333" s="137">
        <v>0.6</v>
      </c>
      <c r="N333" s="137">
        <v>0.6</v>
      </c>
      <c r="O333" s="137">
        <v>0.5</v>
      </c>
      <c r="P333" s="137">
        <v>-5.78</v>
      </c>
    </row>
    <row r="334">
      <c r="A334" s="137">
        <v>333.0</v>
      </c>
      <c r="B334" s="138" t="s">
        <v>1432</v>
      </c>
      <c r="C334" s="137" t="s">
        <v>432</v>
      </c>
      <c r="D334" s="137" t="s">
        <v>480</v>
      </c>
      <c r="E334" s="137">
        <v>70.0</v>
      </c>
      <c r="F334" s="137">
        <v>19.1</v>
      </c>
      <c r="G334" s="137" t="s">
        <v>1433</v>
      </c>
      <c r="H334" s="137" t="s">
        <v>1434</v>
      </c>
      <c r="I334" s="137">
        <v>1.0</v>
      </c>
      <c r="J334" s="137">
        <v>7.1</v>
      </c>
      <c r="K334" s="137">
        <v>3.0</v>
      </c>
      <c r="L334" s="137">
        <v>0.9</v>
      </c>
      <c r="M334" s="137">
        <v>0.4</v>
      </c>
      <c r="N334" s="137">
        <v>0.3</v>
      </c>
      <c r="O334" s="137">
        <v>0.9</v>
      </c>
      <c r="P334" s="137">
        <v>-5.8</v>
      </c>
    </row>
    <row r="335">
      <c r="A335" s="137">
        <v>334.0</v>
      </c>
      <c r="B335" s="138" t="s">
        <v>1435</v>
      </c>
      <c r="C335" s="137" t="s">
        <v>469</v>
      </c>
      <c r="D335" s="137" t="s">
        <v>590</v>
      </c>
      <c r="E335" s="137">
        <v>63.0</v>
      </c>
      <c r="F335" s="137">
        <v>19.0</v>
      </c>
      <c r="G335" s="137" t="s">
        <v>1436</v>
      </c>
      <c r="H335" s="137" t="s">
        <v>1437</v>
      </c>
      <c r="I335" s="137">
        <v>1.0</v>
      </c>
      <c r="J335" s="137">
        <v>8.2</v>
      </c>
      <c r="K335" s="137">
        <v>3.0</v>
      </c>
      <c r="L335" s="137">
        <v>1.3</v>
      </c>
      <c r="M335" s="137">
        <v>0.5</v>
      </c>
      <c r="N335" s="137">
        <v>0.4</v>
      </c>
      <c r="O335" s="137">
        <v>0.8</v>
      </c>
      <c r="P335" s="137">
        <v>-5.84</v>
      </c>
    </row>
    <row r="336">
      <c r="A336" s="137">
        <v>335.0</v>
      </c>
      <c r="B336" s="138" t="s">
        <v>1438</v>
      </c>
      <c r="C336" s="137" t="s">
        <v>456</v>
      </c>
      <c r="D336" s="137" t="s">
        <v>445</v>
      </c>
      <c r="E336" s="137">
        <v>40.0</v>
      </c>
      <c r="F336" s="137">
        <v>10.4</v>
      </c>
      <c r="G336" s="137" t="s">
        <v>1439</v>
      </c>
      <c r="H336" s="137" t="s">
        <v>1440</v>
      </c>
      <c r="I336" s="137">
        <v>0.4</v>
      </c>
      <c r="J336" s="137">
        <v>4.6</v>
      </c>
      <c r="K336" s="137">
        <v>2.9</v>
      </c>
      <c r="L336" s="137">
        <v>0.5</v>
      </c>
      <c r="M336" s="137">
        <v>0.4</v>
      </c>
      <c r="N336" s="137">
        <v>0.3</v>
      </c>
      <c r="O336" s="137">
        <v>0.5</v>
      </c>
      <c r="P336" s="137">
        <v>-5.87</v>
      </c>
    </row>
    <row r="337">
      <c r="A337" s="137">
        <v>336.0</v>
      </c>
      <c r="B337" s="138" t="s">
        <v>1441</v>
      </c>
      <c r="C337" s="137" t="s">
        <v>47</v>
      </c>
      <c r="D337" s="137" t="s">
        <v>420</v>
      </c>
      <c r="E337" s="137">
        <v>40.0</v>
      </c>
      <c r="F337" s="137">
        <v>10.4</v>
      </c>
      <c r="G337" s="137" t="s">
        <v>1442</v>
      </c>
      <c r="H337" s="137" t="s">
        <v>1443</v>
      </c>
      <c r="I337" s="137">
        <v>0.0</v>
      </c>
      <c r="J337" s="137">
        <v>5.7</v>
      </c>
      <c r="K337" s="137">
        <v>2.7</v>
      </c>
      <c r="L337" s="137">
        <v>0.8</v>
      </c>
      <c r="M337" s="137">
        <v>0.2</v>
      </c>
      <c r="N337" s="137">
        <v>0.3</v>
      </c>
      <c r="O337" s="137">
        <v>0.5</v>
      </c>
      <c r="P337" s="137">
        <v>-5.93</v>
      </c>
    </row>
    <row r="338">
      <c r="A338" s="137">
        <v>337.0</v>
      </c>
      <c r="B338" s="138" t="s">
        <v>1444</v>
      </c>
      <c r="C338" s="137" t="s">
        <v>47</v>
      </c>
      <c r="D338" s="137" t="s">
        <v>433</v>
      </c>
      <c r="E338" s="137">
        <v>54.0</v>
      </c>
      <c r="F338" s="137">
        <v>9.5</v>
      </c>
      <c r="G338" s="137" t="s">
        <v>1445</v>
      </c>
      <c r="H338" s="137" t="s">
        <v>1446</v>
      </c>
      <c r="I338" s="137">
        <v>0.0</v>
      </c>
      <c r="J338" s="137">
        <v>3.1</v>
      </c>
      <c r="K338" s="137">
        <v>2.4</v>
      </c>
      <c r="L338" s="137">
        <v>0.7</v>
      </c>
      <c r="M338" s="137">
        <v>0.2</v>
      </c>
      <c r="N338" s="137">
        <v>0.5</v>
      </c>
      <c r="O338" s="137">
        <v>0.3</v>
      </c>
      <c r="P338" s="137">
        <v>-5.94</v>
      </c>
    </row>
    <row r="339">
      <c r="A339" s="137">
        <v>338.0</v>
      </c>
      <c r="B339" s="138" t="s">
        <v>1447</v>
      </c>
      <c r="C339" s="137" t="s">
        <v>47</v>
      </c>
      <c r="D339" s="137" t="s">
        <v>473</v>
      </c>
      <c r="E339" s="137">
        <v>30.0</v>
      </c>
      <c r="F339" s="137">
        <v>9.1</v>
      </c>
      <c r="G339" s="137" t="s">
        <v>1448</v>
      </c>
      <c r="H339" s="137" t="s">
        <v>1449</v>
      </c>
      <c r="I339" s="137">
        <v>0.0</v>
      </c>
      <c r="J339" s="137">
        <v>4.0</v>
      </c>
      <c r="K339" s="137">
        <v>3.2</v>
      </c>
      <c r="L339" s="137">
        <v>0.6</v>
      </c>
      <c r="M339" s="137">
        <v>0.1</v>
      </c>
      <c r="N339" s="137">
        <v>0.7</v>
      </c>
      <c r="O339" s="137">
        <v>0.6</v>
      </c>
      <c r="P339" s="137">
        <v>-5.94</v>
      </c>
    </row>
    <row r="340">
      <c r="A340" s="137">
        <v>339.0</v>
      </c>
      <c r="B340" s="138" t="s">
        <v>1450</v>
      </c>
      <c r="C340" s="137" t="s">
        <v>45</v>
      </c>
      <c r="D340" s="137" t="s">
        <v>537</v>
      </c>
      <c r="E340" s="137">
        <v>52.0</v>
      </c>
      <c r="F340" s="137">
        <v>15.0</v>
      </c>
      <c r="G340" s="137" t="s">
        <v>1451</v>
      </c>
      <c r="H340" s="137" t="s">
        <v>1452</v>
      </c>
      <c r="I340" s="137">
        <v>1.1</v>
      </c>
      <c r="J340" s="137">
        <v>6.3</v>
      </c>
      <c r="K340" s="137">
        <v>2.4</v>
      </c>
      <c r="L340" s="137">
        <v>0.5</v>
      </c>
      <c r="M340" s="137">
        <v>0.3</v>
      </c>
      <c r="N340" s="137">
        <v>0.2</v>
      </c>
      <c r="O340" s="137">
        <v>0.5</v>
      </c>
      <c r="P340" s="137">
        <v>-5.98</v>
      </c>
    </row>
    <row r="341">
      <c r="A341" s="137">
        <v>340.0</v>
      </c>
      <c r="B341" s="138" t="s">
        <v>1453</v>
      </c>
      <c r="C341" s="137" t="s">
        <v>47</v>
      </c>
      <c r="D341" s="137" t="s">
        <v>416</v>
      </c>
      <c r="E341" s="137">
        <v>33.0</v>
      </c>
      <c r="F341" s="137">
        <v>10.4</v>
      </c>
      <c r="G341" s="137" t="s">
        <v>1454</v>
      </c>
      <c r="H341" s="137" t="s">
        <v>1455</v>
      </c>
      <c r="I341" s="137">
        <v>0.0</v>
      </c>
      <c r="J341" s="137">
        <v>3.5</v>
      </c>
      <c r="K341" s="137">
        <v>4.1</v>
      </c>
      <c r="L341" s="137">
        <v>0.5</v>
      </c>
      <c r="M341" s="137">
        <v>0.2</v>
      </c>
      <c r="N341" s="137">
        <v>0.5</v>
      </c>
      <c r="O341" s="137">
        <v>0.7</v>
      </c>
      <c r="P341" s="137">
        <v>-5.98</v>
      </c>
    </row>
    <row r="342">
      <c r="A342" s="137">
        <v>341.0</v>
      </c>
      <c r="B342" s="138" t="s">
        <v>1456</v>
      </c>
      <c r="C342" s="137" t="s">
        <v>456</v>
      </c>
      <c r="D342" s="137" t="s">
        <v>425</v>
      </c>
      <c r="E342" s="137">
        <v>26.0</v>
      </c>
      <c r="F342" s="137">
        <v>10.4</v>
      </c>
      <c r="G342" s="137" t="s">
        <v>1457</v>
      </c>
      <c r="H342" s="137" t="s">
        <v>1458</v>
      </c>
      <c r="I342" s="137">
        <v>0.3</v>
      </c>
      <c r="J342" s="137">
        <v>2.4</v>
      </c>
      <c r="K342" s="137">
        <v>3.4</v>
      </c>
      <c r="L342" s="137">
        <v>0.7</v>
      </c>
      <c r="M342" s="137">
        <v>0.5</v>
      </c>
      <c r="N342" s="137">
        <v>0.4</v>
      </c>
      <c r="O342" s="137">
        <v>0.5</v>
      </c>
      <c r="P342" s="137">
        <v>-5.98</v>
      </c>
    </row>
    <row r="343">
      <c r="A343" s="137">
        <v>342.0</v>
      </c>
      <c r="B343" s="138" t="s">
        <v>1459</v>
      </c>
      <c r="C343" s="137" t="s">
        <v>46</v>
      </c>
      <c r="D343" s="137" t="s">
        <v>503</v>
      </c>
      <c r="E343" s="137">
        <v>48.0</v>
      </c>
      <c r="F343" s="137">
        <v>11.5</v>
      </c>
      <c r="G343" s="137" t="s">
        <v>1404</v>
      </c>
      <c r="H343" s="137" t="s">
        <v>1460</v>
      </c>
      <c r="I343" s="137">
        <v>0.2</v>
      </c>
      <c r="J343" s="137">
        <v>4.7</v>
      </c>
      <c r="K343" s="137">
        <v>2.5</v>
      </c>
      <c r="L343" s="137">
        <v>1.2</v>
      </c>
      <c r="M343" s="137">
        <v>0.3</v>
      </c>
      <c r="N343" s="137">
        <v>0.2</v>
      </c>
      <c r="O343" s="137">
        <v>0.7</v>
      </c>
      <c r="P343" s="137">
        <v>-6.0</v>
      </c>
    </row>
    <row r="344">
      <c r="A344" s="137">
        <v>343.0</v>
      </c>
      <c r="B344" s="138" t="s">
        <v>1461</v>
      </c>
      <c r="C344" s="137" t="s">
        <v>469</v>
      </c>
      <c r="D344" s="137" t="s">
        <v>416</v>
      </c>
      <c r="E344" s="137">
        <v>68.0</v>
      </c>
      <c r="F344" s="137">
        <v>15.4</v>
      </c>
      <c r="G344" s="137" t="s">
        <v>1462</v>
      </c>
      <c r="H344" s="137" t="s">
        <v>1463</v>
      </c>
      <c r="I344" s="137">
        <v>1.3</v>
      </c>
      <c r="J344" s="137">
        <v>5.4</v>
      </c>
      <c r="K344" s="137">
        <v>1.4</v>
      </c>
      <c r="L344" s="137">
        <v>1.0</v>
      </c>
      <c r="M344" s="137">
        <v>0.4</v>
      </c>
      <c r="N344" s="137">
        <v>0.3</v>
      </c>
      <c r="O344" s="137">
        <v>0.5</v>
      </c>
      <c r="P344" s="137">
        <v>-6.01</v>
      </c>
    </row>
    <row r="345">
      <c r="A345" s="137">
        <v>344.0</v>
      </c>
      <c r="B345" s="138" t="s">
        <v>1464</v>
      </c>
      <c r="C345" s="137" t="s">
        <v>469</v>
      </c>
      <c r="D345" s="137" t="s">
        <v>441</v>
      </c>
      <c r="E345" s="137">
        <v>68.0</v>
      </c>
      <c r="F345" s="137">
        <v>16.0</v>
      </c>
      <c r="G345" s="137" t="s">
        <v>1465</v>
      </c>
      <c r="H345" s="137" t="s">
        <v>1466</v>
      </c>
      <c r="I345" s="137">
        <v>1.0</v>
      </c>
      <c r="J345" s="137">
        <v>6.0</v>
      </c>
      <c r="K345" s="137">
        <v>2.1</v>
      </c>
      <c r="L345" s="137">
        <v>0.8</v>
      </c>
      <c r="M345" s="137">
        <v>0.3</v>
      </c>
      <c r="N345" s="137">
        <v>0.2</v>
      </c>
      <c r="O345" s="137">
        <v>0.5</v>
      </c>
      <c r="P345" s="137">
        <v>-6.03</v>
      </c>
    </row>
    <row r="346">
      <c r="A346" s="137">
        <v>345.0</v>
      </c>
      <c r="B346" s="138" t="s">
        <v>1467</v>
      </c>
      <c r="C346" s="137" t="s">
        <v>469</v>
      </c>
      <c r="D346" s="137" t="s">
        <v>425</v>
      </c>
      <c r="E346" s="137">
        <v>60.0</v>
      </c>
      <c r="F346" s="137">
        <v>14.0</v>
      </c>
      <c r="G346" s="137" t="s">
        <v>1468</v>
      </c>
      <c r="H346" s="137" t="s">
        <v>1469</v>
      </c>
      <c r="I346" s="137">
        <v>0.5</v>
      </c>
      <c r="J346" s="137">
        <v>5.1</v>
      </c>
      <c r="K346" s="137">
        <v>2.2</v>
      </c>
      <c r="L346" s="137">
        <v>0.8</v>
      </c>
      <c r="M346" s="137">
        <v>0.4</v>
      </c>
      <c r="N346" s="137">
        <v>0.1</v>
      </c>
      <c r="O346" s="137">
        <v>0.6</v>
      </c>
      <c r="P346" s="137">
        <v>-6.1</v>
      </c>
    </row>
    <row r="347">
      <c r="A347" s="137">
        <v>346.0</v>
      </c>
      <c r="B347" s="138" t="s">
        <v>1470</v>
      </c>
      <c r="C347" s="137" t="s">
        <v>46</v>
      </c>
      <c r="D347" s="137" t="s">
        <v>476</v>
      </c>
      <c r="E347" s="137">
        <v>68.0</v>
      </c>
      <c r="F347" s="137">
        <v>15.9</v>
      </c>
      <c r="G347" s="137" t="s">
        <v>1471</v>
      </c>
      <c r="H347" s="137" t="s">
        <v>1472</v>
      </c>
      <c r="I347" s="137">
        <v>1.2</v>
      </c>
      <c r="J347" s="137">
        <v>5.6</v>
      </c>
      <c r="K347" s="137">
        <v>1.6</v>
      </c>
      <c r="L347" s="137">
        <v>1.0</v>
      </c>
      <c r="M347" s="137">
        <v>0.4</v>
      </c>
      <c r="N347" s="137">
        <v>0.1</v>
      </c>
      <c r="O347" s="137">
        <v>0.6</v>
      </c>
      <c r="P347" s="137">
        <v>-6.11</v>
      </c>
    </row>
    <row r="348">
      <c r="A348" s="137">
        <v>347.0</v>
      </c>
      <c r="B348" s="138" t="s">
        <v>1473</v>
      </c>
      <c r="C348" s="137" t="s">
        <v>424</v>
      </c>
      <c r="D348" s="137" t="s">
        <v>503</v>
      </c>
      <c r="E348" s="137">
        <v>43.0</v>
      </c>
      <c r="F348" s="137">
        <v>11.5</v>
      </c>
      <c r="G348" s="137" t="s">
        <v>1474</v>
      </c>
      <c r="H348" s="137" t="s">
        <v>1475</v>
      </c>
      <c r="I348" s="137">
        <v>0.2</v>
      </c>
      <c r="J348" s="137">
        <v>3.9</v>
      </c>
      <c r="K348" s="137">
        <v>1.5</v>
      </c>
      <c r="L348" s="137">
        <v>2.3</v>
      </c>
      <c r="M348" s="137">
        <v>0.7</v>
      </c>
      <c r="N348" s="137">
        <v>0.2</v>
      </c>
      <c r="O348" s="137">
        <v>0.8</v>
      </c>
      <c r="P348" s="137">
        <v>-6.11</v>
      </c>
    </row>
    <row r="349">
      <c r="A349" s="137">
        <v>348.0</v>
      </c>
      <c r="B349" s="138" t="s">
        <v>1476</v>
      </c>
      <c r="C349" s="137" t="s">
        <v>47</v>
      </c>
      <c r="D349" s="137" t="s">
        <v>437</v>
      </c>
      <c r="E349" s="137">
        <v>10.0</v>
      </c>
      <c r="F349" s="137">
        <v>7.4</v>
      </c>
      <c r="G349" s="137" t="s">
        <v>1477</v>
      </c>
      <c r="H349" s="137" t="s">
        <v>1478</v>
      </c>
      <c r="I349" s="137">
        <v>0.0</v>
      </c>
      <c r="J349" s="137">
        <v>4.2</v>
      </c>
      <c r="K349" s="137">
        <v>3.0</v>
      </c>
      <c r="L349" s="137">
        <v>0.3</v>
      </c>
      <c r="M349" s="137">
        <v>0.1</v>
      </c>
      <c r="N349" s="137">
        <v>0.5</v>
      </c>
      <c r="O349" s="137">
        <v>0.7</v>
      </c>
      <c r="P349" s="137">
        <v>-6.17</v>
      </c>
    </row>
    <row r="350">
      <c r="A350" s="137">
        <v>349.0</v>
      </c>
      <c r="B350" s="138" t="s">
        <v>1479</v>
      </c>
      <c r="C350" s="137" t="s">
        <v>46</v>
      </c>
      <c r="D350" s="137" t="s">
        <v>491</v>
      </c>
      <c r="E350" s="137">
        <v>30.0</v>
      </c>
      <c r="F350" s="137">
        <v>11.2</v>
      </c>
      <c r="G350" s="137" t="s">
        <v>1480</v>
      </c>
      <c r="H350" s="137" t="s">
        <v>1481</v>
      </c>
      <c r="I350" s="137">
        <v>1.0</v>
      </c>
      <c r="J350" s="137">
        <v>6.0</v>
      </c>
      <c r="K350" s="137">
        <v>2.1</v>
      </c>
      <c r="L350" s="137">
        <v>0.4</v>
      </c>
      <c r="M350" s="137">
        <v>0.3</v>
      </c>
      <c r="N350" s="137">
        <v>0.2</v>
      </c>
      <c r="O350" s="137">
        <v>0.4</v>
      </c>
      <c r="P350" s="137">
        <v>-6.21</v>
      </c>
    </row>
    <row r="351">
      <c r="A351" s="137">
        <v>350.0</v>
      </c>
      <c r="B351" s="138" t="s">
        <v>1482</v>
      </c>
      <c r="C351" s="137" t="s">
        <v>432</v>
      </c>
      <c r="D351" s="137" t="s">
        <v>567</v>
      </c>
      <c r="E351" s="137">
        <v>40.0</v>
      </c>
      <c r="F351" s="137">
        <v>14.5</v>
      </c>
      <c r="G351" s="137" t="s">
        <v>1483</v>
      </c>
      <c r="H351" s="137" t="s">
        <v>1484</v>
      </c>
      <c r="I351" s="137">
        <v>1.3</v>
      </c>
      <c r="J351" s="137">
        <v>7.1</v>
      </c>
      <c r="K351" s="137">
        <v>1.5</v>
      </c>
      <c r="L351" s="137">
        <v>0.9</v>
      </c>
      <c r="M351" s="137">
        <v>0.2</v>
      </c>
      <c r="N351" s="137">
        <v>0.1</v>
      </c>
      <c r="O351" s="137">
        <v>0.6</v>
      </c>
      <c r="P351" s="137">
        <v>-6.22</v>
      </c>
    </row>
    <row r="352">
      <c r="A352" s="137">
        <v>351.0</v>
      </c>
      <c r="B352" s="138" t="s">
        <v>1485</v>
      </c>
      <c r="C352" s="137" t="s">
        <v>456</v>
      </c>
      <c r="D352" s="137" t="s">
        <v>465</v>
      </c>
      <c r="E352" s="137">
        <v>11.0</v>
      </c>
      <c r="F352" s="137">
        <v>10.1</v>
      </c>
      <c r="G352" s="137" t="s">
        <v>1486</v>
      </c>
      <c r="H352" s="137" t="s">
        <v>1487</v>
      </c>
      <c r="I352" s="137">
        <v>0.4</v>
      </c>
      <c r="J352" s="137">
        <v>3.7</v>
      </c>
      <c r="K352" s="137">
        <v>2.4</v>
      </c>
      <c r="L352" s="137">
        <v>0.4</v>
      </c>
      <c r="M352" s="137">
        <v>0.5</v>
      </c>
      <c r="N352" s="137">
        <v>0.4</v>
      </c>
      <c r="O352" s="137">
        <v>0.1</v>
      </c>
      <c r="P352" s="137">
        <v>-6.23</v>
      </c>
    </row>
    <row r="353">
      <c r="A353" s="137">
        <v>352.0</v>
      </c>
      <c r="B353" s="138" t="s">
        <v>1488</v>
      </c>
      <c r="C353" s="137" t="s">
        <v>456</v>
      </c>
      <c r="D353" s="137" t="s">
        <v>461</v>
      </c>
      <c r="E353" s="137">
        <v>40.0</v>
      </c>
      <c r="F353" s="137">
        <v>10.5</v>
      </c>
      <c r="G353" s="137" t="s">
        <v>1489</v>
      </c>
      <c r="H353" s="137" t="s">
        <v>1490</v>
      </c>
      <c r="I353" s="137">
        <v>0.1</v>
      </c>
      <c r="J353" s="137">
        <v>3.1</v>
      </c>
      <c r="K353" s="137">
        <v>2.3</v>
      </c>
      <c r="L353" s="137">
        <v>0.3</v>
      </c>
      <c r="M353" s="137">
        <v>0.3</v>
      </c>
      <c r="N353" s="137">
        <v>0.6</v>
      </c>
      <c r="O353" s="137">
        <v>0.6</v>
      </c>
      <c r="P353" s="137">
        <v>-6.31</v>
      </c>
    </row>
    <row r="354">
      <c r="A354" s="137">
        <v>353.0</v>
      </c>
      <c r="B354" s="138" t="s">
        <v>1491</v>
      </c>
      <c r="C354" s="137" t="s">
        <v>43</v>
      </c>
      <c r="D354" s="137" t="s">
        <v>480</v>
      </c>
      <c r="E354" s="137">
        <v>20.0</v>
      </c>
      <c r="F354" s="137">
        <v>10.3</v>
      </c>
      <c r="G354" s="137" t="s">
        <v>1492</v>
      </c>
      <c r="H354" s="137" t="s">
        <v>1493</v>
      </c>
      <c r="I354" s="137">
        <v>0.6</v>
      </c>
      <c r="J354" s="137">
        <v>5.0</v>
      </c>
      <c r="K354" s="137">
        <v>1.3</v>
      </c>
      <c r="L354" s="137">
        <v>1.6</v>
      </c>
      <c r="M354" s="137">
        <v>0.3</v>
      </c>
      <c r="N354" s="137">
        <v>0.2</v>
      </c>
      <c r="O354" s="137">
        <v>0.7</v>
      </c>
      <c r="P354" s="137">
        <v>-6.34</v>
      </c>
    </row>
    <row r="355">
      <c r="A355" s="137">
        <v>354.0</v>
      </c>
      <c r="B355" s="138" t="s">
        <v>1494</v>
      </c>
      <c r="C355" s="137" t="s">
        <v>469</v>
      </c>
      <c r="D355" s="137" t="s">
        <v>533</v>
      </c>
      <c r="E355" s="137">
        <v>48.0</v>
      </c>
      <c r="F355" s="137">
        <v>10.5</v>
      </c>
      <c r="G355" s="137" t="s">
        <v>1495</v>
      </c>
      <c r="H355" s="137" t="s">
        <v>1496</v>
      </c>
      <c r="I355" s="137">
        <v>0.4</v>
      </c>
      <c r="J355" s="137">
        <v>4.2</v>
      </c>
      <c r="K355" s="137">
        <v>1.8</v>
      </c>
      <c r="L355" s="137">
        <v>1.1</v>
      </c>
      <c r="M355" s="137">
        <v>0.6</v>
      </c>
      <c r="N355" s="137">
        <v>0.3</v>
      </c>
      <c r="O355" s="137">
        <v>0.4</v>
      </c>
      <c r="P355" s="137">
        <v>-6.49</v>
      </c>
    </row>
    <row r="356">
      <c r="A356" s="137">
        <v>355.0</v>
      </c>
      <c r="B356" s="138" t="s">
        <v>1497</v>
      </c>
      <c r="C356" s="137" t="s">
        <v>456</v>
      </c>
      <c r="D356" s="137" t="s">
        <v>547</v>
      </c>
      <c r="E356" s="137">
        <v>31.0</v>
      </c>
      <c r="F356" s="137">
        <v>10.6</v>
      </c>
      <c r="G356" s="137" t="s">
        <v>1498</v>
      </c>
      <c r="H356" s="137" t="s">
        <v>1499</v>
      </c>
      <c r="I356" s="137">
        <v>0.0</v>
      </c>
      <c r="J356" s="137">
        <v>2.1</v>
      </c>
      <c r="K356" s="137">
        <v>3.2</v>
      </c>
      <c r="L356" s="137">
        <v>0.4</v>
      </c>
      <c r="M356" s="137">
        <v>0.2</v>
      </c>
      <c r="N356" s="137">
        <v>0.4</v>
      </c>
      <c r="O356" s="137">
        <v>0.4</v>
      </c>
      <c r="P356" s="137">
        <v>-6.5</v>
      </c>
    </row>
    <row r="357">
      <c r="A357" s="137">
        <v>356.0</v>
      </c>
      <c r="B357" s="138" t="s">
        <v>1500</v>
      </c>
      <c r="C357" s="137" t="s">
        <v>43</v>
      </c>
      <c r="D357" s="137" t="s">
        <v>445</v>
      </c>
      <c r="E357" s="137">
        <v>10.0</v>
      </c>
      <c r="F357" s="137">
        <v>10.4</v>
      </c>
      <c r="G357" s="137" t="s">
        <v>1501</v>
      </c>
      <c r="H357" s="137" t="s">
        <v>1502</v>
      </c>
      <c r="I357" s="137">
        <v>0.3</v>
      </c>
      <c r="J357" s="137">
        <v>3.9</v>
      </c>
      <c r="K357" s="137">
        <v>1.4</v>
      </c>
      <c r="L357" s="137">
        <v>1.9</v>
      </c>
      <c r="M357" s="137">
        <v>0.6</v>
      </c>
      <c r="N357" s="137">
        <v>0.1</v>
      </c>
      <c r="O357" s="137">
        <v>0.6</v>
      </c>
      <c r="P357" s="137">
        <v>-6.5</v>
      </c>
    </row>
    <row r="358">
      <c r="A358" s="137">
        <v>357.0</v>
      </c>
      <c r="B358" s="138" t="s">
        <v>1503</v>
      </c>
      <c r="C358" s="137" t="s">
        <v>46</v>
      </c>
      <c r="D358" s="137" t="s">
        <v>416</v>
      </c>
      <c r="E358" s="137">
        <v>67.0</v>
      </c>
      <c r="F358" s="137">
        <v>12.2</v>
      </c>
      <c r="G358" s="137" t="s">
        <v>1504</v>
      </c>
      <c r="H358" s="137" t="s">
        <v>1505</v>
      </c>
      <c r="I358" s="137">
        <v>0.9</v>
      </c>
      <c r="J358" s="137">
        <v>5.6</v>
      </c>
      <c r="K358" s="137">
        <v>1.9</v>
      </c>
      <c r="L358" s="137">
        <v>0.4</v>
      </c>
      <c r="M358" s="137">
        <v>0.2</v>
      </c>
      <c r="N358" s="137">
        <v>0.2</v>
      </c>
      <c r="O358" s="137">
        <v>0.4</v>
      </c>
      <c r="P358" s="137">
        <v>-6.51</v>
      </c>
    </row>
    <row r="359">
      <c r="A359" s="137">
        <v>358.0</v>
      </c>
      <c r="B359" s="138" t="s">
        <v>1506</v>
      </c>
      <c r="C359" s="137" t="s">
        <v>47</v>
      </c>
      <c r="D359" s="137" t="s">
        <v>619</v>
      </c>
      <c r="E359" s="137">
        <v>30.0</v>
      </c>
      <c r="F359" s="137">
        <v>8.4</v>
      </c>
      <c r="G359" s="137" t="s">
        <v>1507</v>
      </c>
      <c r="H359" s="137" t="s">
        <v>1508</v>
      </c>
      <c r="I359" s="137">
        <v>0.2</v>
      </c>
      <c r="J359" s="137">
        <v>3.7</v>
      </c>
      <c r="K359" s="137">
        <v>2.3</v>
      </c>
      <c r="L359" s="137">
        <v>0.7</v>
      </c>
      <c r="M359" s="137">
        <v>0.3</v>
      </c>
      <c r="N359" s="137">
        <v>0.5</v>
      </c>
      <c r="O359" s="137">
        <v>0.5</v>
      </c>
      <c r="P359" s="137">
        <v>-6.53</v>
      </c>
    </row>
    <row r="360">
      <c r="A360" s="137">
        <v>359.0</v>
      </c>
      <c r="B360" s="138" t="s">
        <v>1509</v>
      </c>
      <c r="C360" s="137" t="s">
        <v>456</v>
      </c>
      <c r="D360" s="137" t="s">
        <v>507</v>
      </c>
      <c r="E360" s="137">
        <v>10.0</v>
      </c>
      <c r="F360" s="137">
        <v>8.4</v>
      </c>
      <c r="G360" s="137" t="s">
        <v>1510</v>
      </c>
      <c r="H360" s="137" t="s">
        <v>1511</v>
      </c>
      <c r="I360" s="137">
        <v>0.4</v>
      </c>
      <c r="J360" s="137">
        <v>3.7</v>
      </c>
      <c r="K360" s="137">
        <v>2.5</v>
      </c>
      <c r="L360" s="137">
        <v>0.4</v>
      </c>
      <c r="M360" s="137">
        <v>0.2</v>
      </c>
      <c r="N360" s="137">
        <v>0.1</v>
      </c>
      <c r="O360" s="137">
        <v>0.3</v>
      </c>
      <c r="P360" s="137">
        <v>-6.56</v>
      </c>
    </row>
    <row r="361">
      <c r="A361" s="137">
        <v>360.0</v>
      </c>
      <c r="B361" s="138" t="s">
        <v>1512</v>
      </c>
      <c r="C361" s="137" t="s">
        <v>45</v>
      </c>
      <c r="D361" s="137" t="s">
        <v>433</v>
      </c>
      <c r="E361" s="137">
        <v>60.0</v>
      </c>
      <c r="F361" s="137">
        <v>15.4</v>
      </c>
      <c r="G361" s="137" t="s">
        <v>1513</v>
      </c>
      <c r="H361" s="137" t="s">
        <v>1514</v>
      </c>
      <c r="I361" s="137">
        <v>0.6</v>
      </c>
      <c r="J361" s="137">
        <v>6.3</v>
      </c>
      <c r="K361" s="137">
        <v>1.9</v>
      </c>
      <c r="L361" s="137">
        <v>1.3</v>
      </c>
      <c r="M361" s="137">
        <v>0.5</v>
      </c>
      <c r="N361" s="137">
        <v>0.1</v>
      </c>
      <c r="O361" s="137">
        <v>1.2</v>
      </c>
      <c r="P361" s="137">
        <v>-6.58</v>
      </c>
    </row>
    <row r="362">
      <c r="A362" s="137">
        <v>361.0</v>
      </c>
      <c r="B362" s="138" t="s">
        <v>1515</v>
      </c>
      <c r="C362" s="137" t="s">
        <v>469</v>
      </c>
      <c r="D362" s="137" t="s">
        <v>473</v>
      </c>
      <c r="E362" s="137">
        <v>30.0</v>
      </c>
      <c r="F362" s="137">
        <v>11.4</v>
      </c>
      <c r="G362" s="137" t="s">
        <v>1516</v>
      </c>
      <c r="H362" s="137" t="s">
        <v>1517</v>
      </c>
      <c r="I362" s="137">
        <v>1.0</v>
      </c>
      <c r="J362" s="137">
        <v>4.4</v>
      </c>
      <c r="K362" s="137">
        <v>1.3</v>
      </c>
      <c r="L362" s="137">
        <v>0.4</v>
      </c>
      <c r="M362" s="137">
        <v>0.4</v>
      </c>
      <c r="N362" s="137">
        <v>0.1</v>
      </c>
      <c r="O362" s="137">
        <v>0.3</v>
      </c>
      <c r="P362" s="137">
        <v>-6.63</v>
      </c>
    </row>
    <row r="363">
      <c r="A363" s="137">
        <v>362.0</v>
      </c>
      <c r="B363" s="138" t="s">
        <v>1518</v>
      </c>
      <c r="C363" s="137" t="s">
        <v>456</v>
      </c>
      <c r="D363" s="137" t="s">
        <v>480</v>
      </c>
      <c r="E363" s="137">
        <v>34.0</v>
      </c>
      <c r="F363" s="137">
        <v>10.1</v>
      </c>
      <c r="G363" s="137" t="s">
        <v>1519</v>
      </c>
      <c r="H363" s="137" t="s">
        <v>1520</v>
      </c>
      <c r="I363" s="137">
        <v>0.4</v>
      </c>
      <c r="J363" s="137">
        <v>7.0</v>
      </c>
      <c r="K363" s="137">
        <v>3.0</v>
      </c>
      <c r="L363" s="137">
        <v>1.2</v>
      </c>
      <c r="M363" s="137">
        <v>0.3</v>
      </c>
      <c r="N363" s="137">
        <v>0.1</v>
      </c>
      <c r="O363" s="137">
        <v>0.7</v>
      </c>
      <c r="P363" s="137">
        <v>-6.66</v>
      </c>
    </row>
    <row r="364">
      <c r="A364" s="137">
        <v>363.0</v>
      </c>
      <c r="B364" s="138" t="s">
        <v>1521</v>
      </c>
      <c r="C364" s="137" t="s">
        <v>424</v>
      </c>
      <c r="D364" s="137" t="s">
        <v>567</v>
      </c>
      <c r="E364" s="137">
        <v>20.0</v>
      </c>
      <c r="F364" s="137">
        <v>11.4</v>
      </c>
      <c r="G364" s="137" t="s">
        <v>1522</v>
      </c>
      <c r="H364" s="137" t="s">
        <v>1523</v>
      </c>
      <c r="I364" s="137">
        <v>1.0</v>
      </c>
      <c r="J364" s="137">
        <v>4.7</v>
      </c>
      <c r="K364" s="137">
        <v>1.0</v>
      </c>
      <c r="L364" s="137">
        <v>1.7</v>
      </c>
      <c r="M364" s="137">
        <v>0.4</v>
      </c>
      <c r="N364" s="137">
        <v>0.1</v>
      </c>
      <c r="O364" s="137">
        <v>0.5</v>
      </c>
      <c r="P364" s="137">
        <v>-6.67</v>
      </c>
    </row>
    <row r="365">
      <c r="A365" s="137">
        <v>364.0</v>
      </c>
      <c r="B365" s="138" t="s">
        <v>1524</v>
      </c>
      <c r="C365" s="137" t="s">
        <v>456</v>
      </c>
      <c r="D365" s="137" t="s">
        <v>503</v>
      </c>
      <c r="E365" s="137">
        <v>33.0</v>
      </c>
      <c r="F365" s="137">
        <v>10.5</v>
      </c>
      <c r="G365" s="137" t="s">
        <v>1525</v>
      </c>
      <c r="H365" s="137" t="s">
        <v>1526</v>
      </c>
      <c r="I365" s="137">
        <v>0.4</v>
      </c>
      <c r="J365" s="137">
        <v>4.2</v>
      </c>
      <c r="K365" s="137">
        <v>2.4</v>
      </c>
      <c r="L365" s="137">
        <v>0.6</v>
      </c>
      <c r="M365" s="137">
        <v>0.3</v>
      </c>
      <c r="N365" s="137">
        <v>0.4</v>
      </c>
      <c r="O365" s="137">
        <v>0.5</v>
      </c>
      <c r="P365" s="137">
        <v>-6.68</v>
      </c>
    </row>
    <row r="366">
      <c r="A366" s="137">
        <v>365.0</v>
      </c>
      <c r="B366" s="138" t="s">
        <v>1527</v>
      </c>
      <c r="C366" s="137" t="s">
        <v>456</v>
      </c>
      <c r="D366" s="137" t="s">
        <v>587</v>
      </c>
      <c r="E366" s="137">
        <v>20.0</v>
      </c>
      <c r="F366" s="137">
        <v>8.4</v>
      </c>
      <c r="G366" s="137" t="s">
        <v>1528</v>
      </c>
      <c r="H366" s="137" t="s">
        <v>1529</v>
      </c>
      <c r="I366" s="137">
        <v>0.1</v>
      </c>
      <c r="J366" s="137">
        <v>2.9</v>
      </c>
      <c r="K366" s="137">
        <v>1.9</v>
      </c>
      <c r="L366" s="137">
        <v>0.9</v>
      </c>
      <c r="M366" s="137">
        <v>0.6</v>
      </c>
      <c r="N366" s="137">
        <v>0.1</v>
      </c>
      <c r="O366" s="137">
        <v>0.5</v>
      </c>
      <c r="P366" s="137">
        <v>-6.7</v>
      </c>
    </row>
    <row r="367">
      <c r="A367" s="137">
        <v>366.0</v>
      </c>
      <c r="B367" s="138" t="s">
        <v>1530</v>
      </c>
      <c r="C367" s="137" t="s">
        <v>424</v>
      </c>
      <c r="D367" s="137" t="s">
        <v>465</v>
      </c>
      <c r="E367" s="137">
        <v>40.0</v>
      </c>
      <c r="F367" s="137">
        <v>10.5</v>
      </c>
      <c r="G367" s="137" t="s">
        <v>1531</v>
      </c>
      <c r="H367" s="137" t="s">
        <v>1532</v>
      </c>
      <c r="I367" s="137">
        <v>0.6</v>
      </c>
      <c r="J367" s="137">
        <v>4.3</v>
      </c>
      <c r="K367" s="137">
        <v>1.0</v>
      </c>
      <c r="L367" s="137">
        <v>1.6</v>
      </c>
      <c r="M367" s="137">
        <v>0.4</v>
      </c>
      <c r="N367" s="137">
        <v>0.1</v>
      </c>
      <c r="O367" s="137">
        <v>0.4</v>
      </c>
      <c r="P367" s="137">
        <v>-6.7</v>
      </c>
    </row>
    <row r="368">
      <c r="A368" s="137">
        <v>367.0</v>
      </c>
      <c r="B368" s="138" t="s">
        <v>1533</v>
      </c>
      <c r="C368" s="137" t="s">
        <v>47</v>
      </c>
      <c r="D368" s="137" t="s">
        <v>445</v>
      </c>
      <c r="E368" s="137">
        <v>10.0</v>
      </c>
      <c r="F368" s="137">
        <v>8.4</v>
      </c>
      <c r="G368" s="137" t="s">
        <v>1534</v>
      </c>
      <c r="H368" s="137" t="s">
        <v>1535</v>
      </c>
      <c r="I368" s="137">
        <v>0.0</v>
      </c>
      <c r="J368" s="137">
        <v>3.1</v>
      </c>
      <c r="K368" s="137">
        <v>2.9</v>
      </c>
      <c r="L368" s="137">
        <v>0.2</v>
      </c>
      <c r="M368" s="137">
        <v>0.1</v>
      </c>
      <c r="N368" s="137">
        <v>0.4</v>
      </c>
      <c r="O368" s="137">
        <v>0.5</v>
      </c>
      <c r="P368" s="137">
        <v>-6.76</v>
      </c>
    </row>
    <row r="369">
      <c r="A369" s="137">
        <v>368.0</v>
      </c>
      <c r="B369" s="138" t="s">
        <v>1536</v>
      </c>
      <c r="C369" s="137" t="s">
        <v>43</v>
      </c>
      <c r="D369" s="137" t="s">
        <v>603</v>
      </c>
      <c r="E369" s="137">
        <v>33.0</v>
      </c>
      <c r="F369" s="137">
        <v>10.5</v>
      </c>
      <c r="G369" s="137" t="s">
        <v>1537</v>
      </c>
      <c r="H369" s="137" t="s">
        <v>1538</v>
      </c>
      <c r="I369" s="137">
        <v>0.5</v>
      </c>
      <c r="J369" s="137">
        <v>4.7</v>
      </c>
      <c r="K369" s="137">
        <v>1.3</v>
      </c>
      <c r="L369" s="137">
        <v>1.3</v>
      </c>
      <c r="M369" s="137">
        <v>0.4</v>
      </c>
      <c r="N369" s="137">
        <v>0.1</v>
      </c>
      <c r="O369" s="137">
        <v>0.7</v>
      </c>
      <c r="P369" s="137">
        <v>-6.76</v>
      </c>
    </row>
    <row r="370">
      <c r="A370" s="137">
        <v>369.0</v>
      </c>
      <c r="B370" s="138" t="s">
        <v>1539</v>
      </c>
      <c r="C370" s="137" t="s">
        <v>47</v>
      </c>
      <c r="D370" s="137" t="s">
        <v>507</v>
      </c>
      <c r="E370" s="137">
        <v>30.0</v>
      </c>
      <c r="F370" s="137">
        <v>8.4</v>
      </c>
      <c r="G370" s="137" t="s">
        <v>1540</v>
      </c>
      <c r="H370" s="137" t="s">
        <v>1541</v>
      </c>
      <c r="I370" s="137">
        <v>0.0</v>
      </c>
      <c r="J370" s="137">
        <v>3.6</v>
      </c>
      <c r="K370" s="137">
        <v>3.4</v>
      </c>
      <c r="L370" s="137">
        <v>0.6</v>
      </c>
      <c r="M370" s="137">
        <v>0.2</v>
      </c>
      <c r="N370" s="137">
        <v>0.2</v>
      </c>
      <c r="O370" s="137">
        <v>0.5</v>
      </c>
      <c r="P370" s="137">
        <v>-6.9</v>
      </c>
    </row>
    <row r="371">
      <c r="A371" s="137">
        <v>370.0</v>
      </c>
      <c r="B371" s="138" t="s">
        <v>1542</v>
      </c>
      <c r="C371" s="137" t="s">
        <v>424</v>
      </c>
      <c r="D371" s="137" t="s">
        <v>590</v>
      </c>
      <c r="E371" s="137">
        <v>50.0</v>
      </c>
      <c r="F371" s="137">
        <v>11.4</v>
      </c>
      <c r="G371" s="137" t="s">
        <v>1543</v>
      </c>
      <c r="H371" s="137" t="s">
        <v>1246</v>
      </c>
      <c r="I371" s="137">
        <v>1.0</v>
      </c>
      <c r="J371" s="137">
        <v>4.7</v>
      </c>
      <c r="K371" s="137">
        <v>1.0</v>
      </c>
      <c r="L371" s="137">
        <v>1.0</v>
      </c>
      <c r="M371" s="137">
        <v>0.3</v>
      </c>
      <c r="N371" s="137">
        <v>0.1</v>
      </c>
      <c r="O371" s="137">
        <v>0.4</v>
      </c>
      <c r="P371" s="137">
        <v>-6.95</v>
      </c>
    </row>
    <row r="372">
      <c r="A372" s="137">
        <v>371.0</v>
      </c>
      <c r="B372" s="138" t="s">
        <v>1544</v>
      </c>
      <c r="C372" s="137" t="s">
        <v>46</v>
      </c>
      <c r="D372" s="137" t="s">
        <v>441</v>
      </c>
      <c r="E372" s="137">
        <v>58.0</v>
      </c>
      <c r="F372" s="137">
        <v>9.5</v>
      </c>
      <c r="G372" s="137" t="s">
        <v>1545</v>
      </c>
      <c r="H372" s="137" t="s">
        <v>1546</v>
      </c>
      <c r="I372" s="137">
        <v>0.0</v>
      </c>
      <c r="J372" s="137">
        <v>3.8</v>
      </c>
      <c r="K372" s="137">
        <v>2.2</v>
      </c>
      <c r="L372" s="137">
        <v>1.4</v>
      </c>
      <c r="M372" s="137">
        <v>0.2</v>
      </c>
      <c r="N372" s="137">
        <v>0.2</v>
      </c>
      <c r="O372" s="137">
        <v>0.6</v>
      </c>
      <c r="P372" s="137">
        <v>-6.99</v>
      </c>
    </row>
    <row r="373">
      <c r="A373" s="137">
        <v>372.0</v>
      </c>
      <c r="B373" s="138" t="s">
        <v>1547</v>
      </c>
      <c r="C373" s="137" t="s">
        <v>43</v>
      </c>
      <c r="D373" s="137" t="s">
        <v>461</v>
      </c>
      <c r="E373" s="137">
        <v>32.0</v>
      </c>
      <c r="F373" s="137">
        <v>12.5</v>
      </c>
      <c r="G373" s="137" t="s">
        <v>1548</v>
      </c>
      <c r="H373" s="137" t="s">
        <v>1549</v>
      </c>
      <c r="I373" s="137">
        <v>0.5</v>
      </c>
      <c r="J373" s="137">
        <v>3.7</v>
      </c>
      <c r="K373" s="137">
        <v>1.4</v>
      </c>
      <c r="L373" s="137">
        <v>1.2</v>
      </c>
      <c r="M373" s="137">
        <v>0.4</v>
      </c>
      <c r="N373" s="137">
        <v>0.1</v>
      </c>
      <c r="O373" s="137">
        <v>0.6</v>
      </c>
      <c r="P373" s="137">
        <v>-6.99</v>
      </c>
    </row>
    <row r="374">
      <c r="A374" s="137">
        <v>373.0</v>
      </c>
      <c r="B374" s="138" t="s">
        <v>1550</v>
      </c>
      <c r="C374" s="137" t="s">
        <v>469</v>
      </c>
      <c r="D374" s="137" t="s">
        <v>476</v>
      </c>
      <c r="E374" s="137">
        <v>40.0</v>
      </c>
      <c r="F374" s="137">
        <v>11.0</v>
      </c>
      <c r="G374" s="137" t="s">
        <v>1551</v>
      </c>
      <c r="H374" s="137" t="s">
        <v>1552</v>
      </c>
      <c r="I374" s="137">
        <v>0.5</v>
      </c>
      <c r="J374" s="137">
        <v>3.1</v>
      </c>
      <c r="K374" s="137">
        <v>1.9</v>
      </c>
      <c r="L374" s="137">
        <v>0.4</v>
      </c>
      <c r="M374" s="137">
        <v>0.4</v>
      </c>
      <c r="N374" s="137">
        <v>0.2</v>
      </c>
      <c r="O374" s="137">
        <v>0.5</v>
      </c>
      <c r="P374" s="137">
        <v>-7.02</v>
      </c>
    </row>
    <row r="375">
      <c r="A375" s="137">
        <v>374.0</v>
      </c>
      <c r="B375" s="138" t="s">
        <v>1553</v>
      </c>
      <c r="C375" s="137" t="s">
        <v>46</v>
      </c>
      <c r="D375" s="137" t="s">
        <v>503</v>
      </c>
      <c r="E375" s="137">
        <v>33.0</v>
      </c>
      <c r="F375" s="137">
        <v>10.5</v>
      </c>
      <c r="G375" s="137" t="s">
        <v>1554</v>
      </c>
      <c r="H375" s="137" t="s">
        <v>1555</v>
      </c>
      <c r="I375" s="137">
        <v>0.4</v>
      </c>
      <c r="J375" s="137">
        <v>4.2</v>
      </c>
      <c r="K375" s="137">
        <v>2.5</v>
      </c>
      <c r="L375" s="137">
        <v>0.7</v>
      </c>
      <c r="M375" s="137">
        <v>0.2</v>
      </c>
      <c r="N375" s="137">
        <v>0.2</v>
      </c>
      <c r="O375" s="137">
        <v>0.5</v>
      </c>
      <c r="P375" s="137">
        <v>-7.03</v>
      </c>
    </row>
    <row r="376">
      <c r="A376" s="137">
        <v>375.0</v>
      </c>
      <c r="B376" s="138" t="s">
        <v>1556</v>
      </c>
      <c r="C376" s="137" t="s">
        <v>45</v>
      </c>
      <c r="D376" s="137" t="s">
        <v>507</v>
      </c>
      <c r="E376" s="137">
        <v>40.0</v>
      </c>
      <c r="F376" s="137">
        <v>10.4</v>
      </c>
      <c r="G376" s="137" t="s">
        <v>1557</v>
      </c>
      <c r="H376" s="137" t="s">
        <v>1472</v>
      </c>
      <c r="I376" s="137">
        <v>0.8</v>
      </c>
      <c r="J376" s="137">
        <v>4.6</v>
      </c>
      <c r="K376" s="137">
        <v>1.7</v>
      </c>
      <c r="L376" s="137">
        <v>0.4</v>
      </c>
      <c r="M376" s="137">
        <v>0.2</v>
      </c>
      <c r="N376" s="137">
        <v>0.1</v>
      </c>
      <c r="O376" s="137">
        <v>0.3</v>
      </c>
      <c r="P376" s="137">
        <v>-7.05</v>
      </c>
    </row>
    <row r="377">
      <c r="A377" s="137">
        <v>376.0</v>
      </c>
      <c r="B377" s="138" t="s">
        <v>1558</v>
      </c>
      <c r="C377" s="137" t="s">
        <v>47</v>
      </c>
      <c r="D377" s="137" t="s">
        <v>476</v>
      </c>
      <c r="E377" s="137">
        <v>40.0</v>
      </c>
      <c r="F377" s="137">
        <v>10.4</v>
      </c>
      <c r="G377" s="137" t="s">
        <v>1559</v>
      </c>
      <c r="H377" s="137" t="s">
        <v>1560</v>
      </c>
      <c r="I377" s="137">
        <v>0.0</v>
      </c>
      <c r="J377" s="137">
        <v>4.0</v>
      </c>
      <c r="K377" s="137">
        <v>2.9</v>
      </c>
      <c r="L377" s="137">
        <v>0.5</v>
      </c>
      <c r="M377" s="137">
        <v>0.1</v>
      </c>
      <c r="N377" s="137">
        <v>0.7</v>
      </c>
      <c r="O377" s="137">
        <v>0.5</v>
      </c>
      <c r="P377" s="137">
        <v>-7.05</v>
      </c>
    </row>
    <row r="378">
      <c r="A378" s="137">
        <v>377.0</v>
      </c>
      <c r="B378" s="138" t="s">
        <v>1561</v>
      </c>
      <c r="C378" s="137" t="s">
        <v>432</v>
      </c>
      <c r="D378" s="137" t="s">
        <v>590</v>
      </c>
      <c r="E378" s="137">
        <v>40.0</v>
      </c>
      <c r="F378" s="137">
        <v>8.4</v>
      </c>
      <c r="G378" s="137" t="s">
        <v>1562</v>
      </c>
      <c r="H378" s="137" t="s">
        <v>1563</v>
      </c>
      <c r="I378" s="137">
        <v>1.2</v>
      </c>
      <c r="J378" s="137">
        <v>4.6</v>
      </c>
      <c r="K378" s="137">
        <v>1.5</v>
      </c>
      <c r="L378" s="137">
        <v>0.4</v>
      </c>
      <c r="M378" s="137">
        <v>0.2</v>
      </c>
      <c r="N378" s="137">
        <v>0.2</v>
      </c>
      <c r="O378" s="137">
        <v>0.4</v>
      </c>
      <c r="P378" s="137">
        <v>-7.12</v>
      </c>
    </row>
    <row r="379">
      <c r="A379" s="137">
        <v>378.0</v>
      </c>
      <c r="B379" s="138" t="s">
        <v>1564</v>
      </c>
      <c r="C379" s="137" t="s">
        <v>43</v>
      </c>
      <c r="D379" s="137" t="s">
        <v>587</v>
      </c>
      <c r="E379" s="137">
        <v>60.0</v>
      </c>
      <c r="F379" s="137">
        <v>12.1</v>
      </c>
      <c r="G379" s="137" t="s">
        <v>1565</v>
      </c>
      <c r="H379" s="137" t="s">
        <v>1566</v>
      </c>
      <c r="I379" s="137">
        <v>0.8</v>
      </c>
      <c r="J379" s="137">
        <v>4.3</v>
      </c>
      <c r="K379" s="137">
        <v>1.4</v>
      </c>
      <c r="L379" s="137">
        <v>1.4</v>
      </c>
      <c r="M379" s="137">
        <v>0.4</v>
      </c>
      <c r="N379" s="137">
        <v>0.1</v>
      </c>
      <c r="O379" s="137">
        <v>0.4</v>
      </c>
      <c r="P379" s="137">
        <v>-7.13</v>
      </c>
    </row>
    <row r="380">
      <c r="A380" s="137">
        <v>379.0</v>
      </c>
      <c r="B380" s="138" t="s">
        <v>1567</v>
      </c>
      <c r="C380" s="137" t="s">
        <v>45</v>
      </c>
      <c r="D380" s="137" t="s">
        <v>465</v>
      </c>
      <c r="E380" s="137">
        <v>22.0</v>
      </c>
      <c r="F380" s="137">
        <v>12.1</v>
      </c>
      <c r="G380" s="137" t="s">
        <v>1568</v>
      </c>
      <c r="H380" s="137" t="s">
        <v>1569</v>
      </c>
      <c r="I380" s="137">
        <v>0.9</v>
      </c>
      <c r="J380" s="137">
        <v>5.0</v>
      </c>
      <c r="K380" s="137">
        <v>2.0</v>
      </c>
      <c r="L380" s="137">
        <v>0.4</v>
      </c>
      <c r="M380" s="137">
        <v>0.2</v>
      </c>
      <c r="N380" s="137">
        <v>0.2</v>
      </c>
      <c r="O380" s="137">
        <v>0.4</v>
      </c>
      <c r="P380" s="137">
        <v>-7.14</v>
      </c>
    </row>
    <row r="381">
      <c r="A381" s="137">
        <v>380.0</v>
      </c>
      <c r="B381" s="138" t="s">
        <v>1570</v>
      </c>
      <c r="C381" s="137" t="s">
        <v>432</v>
      </c>
      <c r="D381" s="137" t="s">
        <v>583</v>
      </c>
      <c r="E381" s="137">
        <v>68.0</v>
      </c>
      <c r="F381" s="137">
        <v>11.4</v>
      </c>
      <c r="G381" s="137" t="s">
        <v>1571</v>
      </c>
      <c r="H381" s="137" t="s">
        <v>1572</v>
      </c>
      <c r="I381" s="137">
        <v>0.3</v>
      </c>
      <c r="J381" s="137">
        <v>4.2</v>
      </c>
      <c r="K381" s="137">
        <v>2.4</v>
      </c>
      <c r="L381" s="137">
        <v>0.6</v>
      </c>
      <c r="M381" s="137">
        <v>0.2</v>
      </c>
      <c r="N381" s="137">
        <v>0.2</v>
      </c>
      <c r="O381" s="137">
        <v>0.5</v>
      </c>
      <c r="P381" s="137">
        <v>-7.14</v>
      </c>
    </row>
    <row r="382">
      <c r="A382" s="137">
        <v>381.0</v>
      </c>
      <c r="B382" s="138" t="s">
        <v>1573</v>
      </c>
      <c r="C382" s="137" t="s">
        <v>469</v>
      </c>
      <c r="D382" s="137" t="s">
        <v>461</v>
      </c>
      <c r="E382" s="137">
        <v>64.0</v>
      </c>
      <c r="F382" s="137">
        <v>17.1</v>
      </c>
      <c r="G382" s="137" t="s">
        <v>1574</v>
      </c>
      <c r="H382" s="137" t="s">
        <v>1575</v>
      </c>
      <c r="I382" s="137">
        <v>0.6</v>
      </c>
      <c r="J382" s="137">
        <v>5.4</v>
      </c>
      <c r="K382" s="137">
        <v>2.0</v>
      </c>
      <c r="L382" s="137">
        <v>1.2</v>
      </c>
      <c r="M382" s="137">
        <v>0.3</v>
      </c>
      <c r="N382" s="137">
        <v>0.1</v>
      </c>
      <c r="O382" s="137">
        <v>0.9</v>
      </c>
      <c r="P382" s="137">
        <v>-7.16</v>
      </c>
    </row>
    <row r="383">
      <c r="A383" s="137">
        <v>382.0</v>
      </c>
      <c r="B383" s="138" t="s">
        <v>1576</v>
      </c>
      <c r="C383" s="137" t="s">
        <v>47</v>
      </c>
      <c r="D383" s="137" t="s">
        <v>449</v>
      </c>
      <c r="E383" s="137">
        <v>68.0</v>
      </c>
      <c r="F383" s="137">
        <v>11.1</v>
      </c>
      <c r="G383" s="137" t="s">
        <v>1577</v>
      </c>
      <c r="H383" s="137" t="s">
        <v>1578</v>
      </c>
      <c r="I383" s="137">
        <v>0.1</v>
      </c>
      <c r="J383" s="137">
        <v>4.5</v>
      </c>
      <c r="K383" s="137">
        <v>2.2</v>
      </c>
      <c r="L383" s="137">
        <v>0.9</v>
      </c>
      <c r="M383" s="137">
        <v>0.1</v>
      </c>
      <c r="N383" s="137">
        <v>0.3</v>
      </c>
      <c r="O383" s="137">
        <v>0.9</v>
      </c>
      <c r="P383" s="137">
        <v>-7.16</v>
      </c>
    </row>
    <row r="384">
      <c r="A384" s="137">
        <v>383.0</v>
      </c>
      <c r="B384" s="138" t="s">
        <v>1579</v>
      </c>
      <c r="C384" s="137" t="s">
        <v>456</v>
      </c>
      <c r="D384" s="137" t="s">
        <v>537</v>
      </c>
      <c r="E384" s="137">
        <v>40.0</v>
      </c>
      <c r="F384" s="137">
        <v>10.5</v>
      </c>
      <c r="G384" s="137" t="s">
        <v>1580</v>
      </c>
      <c r="H384" s="137" t="s">
        <v>1581</v>
      </c>
      <c r="I384" s="137">
        <v>0.3</v>
      </c>
      <c r="J384" s="137">
        <v>4.4</v>
      </c>
      <c r="K384" s="137">
        <v>1.4</v>
      </c>
      <c r="L384" s="137">
        <v>0.6</v>
      </c>
      <c r="M384" s="137">
        <v>0.2</v>
      </c>
      <c r="N384" s="137">
        <v>0.2</v>
      </c>
      <c r="O384" s="137">
        <v>0.4</v>
      </c>
      <c r="P384" s="137">
        <v>-7.17</v>
      </c>
    </row>
    <row r="385">
      <c r="A385" s="137">
        <v>384.0</v>
      </c>
      <c r="B385" s="138" t="s">
        <v>1582</v>
      </c>
      <c r="C385" s="137" t="s">
        <v>45</v>
      </c>
      <c r="D385" s="137" t="s">
        <v>416</v>
      </c>
      <c r="E385" s="137">
        <v>38.0</v>
      </c>
      <c r="F385" s="137">
        <v>10.4</v>
      </c>
      <c r="G385" s="137" t="s">
        <v>1583</v>
      </c>
      <c r="H385" s="137" t="s">
        <v>1472</v>
      </c>
      <c r="I385" s="137">
        <v>0.8</v>
      </c>
      <c r="J385" s="137">
        <v>4.6</v>
      </c>
      <c r="K385" s="137">
        <v>1.7</v>
      </c>
      <c r="L385" s="137">
        <v>0.4</v>
      </c>
      <c r="M385" s="137">
        <v>0.2</v>
      </c>
      <c r="N385" s="137">
        <v>0.1</v>
      </c>
      <c r="O385" s="137">
        <v>0.3</v>
      </c>
      <c r="P385" s="137">
        <v>-7.18</v>
      </c>
    </row>
    <row r="386">
      <c r="A386" s="137">
        <v>385.0</v>
      </c>
      <c r="B386" s="138" t="s">
        <v>1584</v>
      </c>
      <c r="C386" s="137" t="s">
        <v>47</v>
      </c>
      <c r="D386" s="137" t="s">
        <v>603</v>
      </c>
      <c r="E386" s="137">
        <v>33.0</v>
      </c>
      <c r="F386" s="137">
        <v>8.4</v>
      </c>
      <c r="G386" s="137" t="s">
        <v>1585</v>
      </c>
      <c r="H386" s="137" t="s">
        <v>1586</v>
      </c>
      <c r="I386" s="137">
        <v>0.0</v>
      </c>
      <c r="J386" s="137">
        <v>3.5</v>
      </c>
      <c r="K386" s="137">
        <v>2.8</v>
      </c>
      <c r="L386" s="137">
        <v>0.5</v>
      </c>
      <c r="M386" s="137">
        <v>0.2</v>
      </c>
      <c r="N386" s="137">
        <v>0.2</v>
      </c>
      <c r="O386" s="137">
        <v>0.5</v>
      </c>
      <c r="P386" s="137">
        <v>-7.2</v>
      </c>
    </row>
    <row r="387">
      <c r="A387" s="137">
        <v>386.0</v>
      </c>
      <c r="B387" s="138" t="s">
        <v>1587</v>
      </c>
      <c r="C387" s="137" t="s">
        <v>47</v>
      </c>
      <c r="D387" s="137" t="s">
        <v>476</v>
      </c>
      <c r="E387" s="137">
        <v>30.0</v>
      </c>
      <c r="F387" s="137">
        <v>8.4</v>
      </c>
      <c r="G387" s="137" t="s">
        <v>1588</v>
      </c>
      <c r="H387" s="137" t="s">
        <v>1589</v>
      </c>
      <c r="I387" s="137">
        <v>0.1</v>
      </c>
      <c r="J387" s="137">
        <v>3.0</v>
      </c>
      <c r="K387" s="137">
        <v>2.4</v>
      </c>
      <c r="L387" s="137">
        <v>0.6</v>
      </c>
      <c r="M387" s="137">
        <v>0.2</v>
      </c>
      <c r="N387" s="137">
        <v>0.4</v>
      </c>
      <c r="O387" s="137">
        <v>0.6</v>
      </c>
      <c r="P387" s="137">
        <v>-7.21</v>
      </c>
    </row>
    <row r="388">
      <c r="A388" s="137">
        <v>387.0</v>
      </c>
      <c r="B388" s="138" t="s">
        <v>1590</v>
      </c>
      <c r="C388" s="137" t="s">
        <v>424</v>
      </c>
      <c r="D388" s="137" t="s">
        <v>425</v>
      </c>
      <c r="E388" s="137">
        <v>26.0</v>
      </c>
      <c r="F388" s="137">
        <v>10.4</v>
      </c>
      <c r="G388" s="137" t="s">
        <v>1591</v>
      </c>
      <c r="H388" s="137" t="s">
        <v>1592</v>
      </c>
      <c r="I388" s="137">
        <v>0.7</v>
      </c>
      <c r="J388" s="137">
        <v>4.7</v>
      </c>
      <c r="K388" s="137">
        <v>1.3</v>
      </c>
      <c r="L388" s="137">
        <v>0.9</v>
      </c>
      <c r="M388" s="137">
        <v>0.4</v>
      </c>
      <c r="N388" s="137">
        <v>0.1</v>
      </c>
      <c r="O388" s="137">
        <v>0.6</v>
      </c>
      <c r="P388" s="137">
        <v>-7.23</v>
      </c>
    </row>
    <row r="389">
      <c r="A389" s="137">
        <v>388.0</v>
      </c>
      <c r="B389" s="138" t="s">
        <v>1593</v>
      </c>
      <c r="C389" s="137" t="s">
        <v>432</v>
      </c>
      <c r="D389" s="137" t="s">
        <v>433</v>
      </c>
      <c r="E389" s="137">
        <v>58.0</v>
      </c>
      <c r="F389" s="137">
        <v>11.2</v>
      </c>
      <c r="G389" s="137" t="s">
        <v>1594</v>
      </c>
      <c r="H389" s="137" t="s">
        <v>1595</v>
      </c>
      <c r="I389" s="137">
        <v>0.6</v>
      </c>
      <c r="J389" s="137">
        <v>4.3</v>
      </c>
      <c r="K389" s="137">
        <v>2.5</v>
      </c>
      <c r="L389" s="137">
        <v>0.5</v>
      </c>
      <c r="M389" s="137">
        <v>0.3</v>
      </c>
      <c r="N389" s="137">
        <v>0.2</v>
      </c>
      <c r="O389" s="137">
        <v>0.4</v>
      </c>
      <c r="P389" s="137">
        <v>-7.28</v>
      </c>
    </row>
    <row r="390">
      <c r="A390" s="137">
        <v>389.0</v>
      </c>
      <c r="B390" s="138" t="s">
        <v>1596</v>
      </c>
      <c r="C390" s="137" t="s">
        <v>424</v>
      </c>
      <c r="D390" s="137" t="s">
        <v>537</v>
      </c>
      <c r="E390" s="137">
        <v>30.0</v>
      </c>
      <c r="F390" s="137">
        <v>8.4</v>
      </c>
      <c r="G390" s="137" t="s">
        <v>1597</v>
      </c>
      <c r="H390" s="137" t="s">
        <v>1598</v>
      </c>
      <c r="I390" s="137">
        <v>0.3</v>
      </c>
      <c r="J390" s="137">
        <v>3.0</v>
      </c>
      <c r="K390" s="137">
        <v>0.9</v>
      </c>
      <c r="L390" s="137">
        <v>1.1</v>
      </c>
      <c r="M390" s="137">
        <v>0.4</v>
      </c>
      <c r="N390" s="137">
        <v>0.1</v>
      </c>
      <c r="O390" s="137">
        <v>0.5</v>
      </c>
      <c r="P390" s="137">
        <v>-7.29</v>
      </c>
    </row>
    <row r="391">
      <c r="A391" s="137">
        <v>390.0</v>
      </c>
      <c r="B391" s="138" t="s">
        <v>1599</v>
      </c>
      <c r="C391" s="137" t="s">
        <v>43</v>
      </c>
      <c r="D391" s="137" t="s">
        <v>473</v>
      </c>
      <c r="E391" s="137">
        <v>20.0</v>
      </c>
      <c r="F391" s="137">
        <v>10.3</v>
      </c>
      <c r="G391" s="137" t="s">
        <v>1600</v>
      </c>
      <c r="H391" s="137" t="s">
        <v>1601</v>
      </c>
      <c r="I391" s="137">
        <v>1.0</v>
      </c>
      <c r="J391" s="137">
        <v>4.2</v>
      </c>
      <c r="K391" s="137">
        <v>0.7</v>
      </c>
      <c r="L391" s="137">
        <v>0.9</v>
      </c>
      <c r="M391" s="137">
        <v>0.2</v>
      </c>
      <c r="N391" s="137">
        <v>0.1</v>
      </c>
      <c r="O391" s="137">
        <v>0.4</v>
      </c>
      <c r="P391" s="137">
        <v>-7.32</v>
      </c>
    </row>
    <row r="392">
      <c r="A392" s="137">
        <v>391.0</v>
      </c>
      <c r="B392" s="138" t="s">
        <v>1602</v>
      </c>
      <c r="C392" s="137" t="s">
        <v>424</v>
      </c>
      <c r="D392" s="137" t="s">
        <v>445</v>
      </c>
      <c r="E392" s="137">
        <v>44.0</v>
      </c>
      <c r="F392" s="137">
        <v>10.4</v>
      </c>
      <c r="G392" s="137" t="s">
        <v>1603</v>
      </c>
      <c r="H392" s="137" t="s">
        <v>1604</v>
      </c>
      <c r="I392" s="137">
        <v>0.6</v>
      </c>
      <c r="J392" s="137">
        <v>4.3</v>
      </c>
      <c r="K392" s="137">
        <v>1.2</v>
      </c>
      <c r="L392" s="137">
        <v>1.3</v>
      </c>
      <c r="M392" s="137">
        <v>0.4</v>
      </c>
      <c r="N392" s="137">
        <v>0.2</v>
      </c>
      <c r="O392" s="137">
        <v>0.8</v>
      </c>
      <c r="P392" s="137">
        <v>-7.39</v>
      </c>
    </row>
    <row r="393">
      <c r="A393" s="137">
        <v>392.0</v>
      </c>
      <c r="B393" s="138" t="s">
        <v>1605</v>
      </c>
      <c r="C393" s="137" t="s">
        <v>44</v>
      </c>
      <c r="D393" s="137" t="s">
        <v>473</v>
      </c>
      <c r="E393" s="137">
        <v>34.0</v>
      </c>
      <c r="F393" s="137">
        <v>12.4</v>
      </c>
      <c r="G393" s="137" t="s">
        <v>1606</v>
      </c>
      <c r="H393" s="137" t="s">
        <v>1607</v>
      </c>
      <c r="I393" s="137">
        <v>0.6</v>
      </c>
      <c r="J393" s="137">
        <v>2.9</v>
      </c>
      <c r="K393" s="137">
        <v>1.4</v>
      </c>
      <c r="L393" s="137">
        <v>0.5</v>
      </c>
      <c r="M393" s="137">
        <v>0.3</v>
      </c>
      <c r="N393" s="137">
        <v>0.1</v>
      </c>
      <c r="O393" s="137">
        <v>0.3</v>
      </c>
      <c r="P393" s="137">
        <v>-7.39</v>
      </c>
    </row>
    <row r="394">
      <c r="A394" s="137">
        <v>393.0</v>
      </c>
      <c r="B394" s="138" t="s">
        <v>1608</v>
      </c>
      <c r="C394" s="137" t="s">
        <v>45</v>
      </c>
      <c r="D394" s="137" t="s">
        <v>507</v>
      </c>
      <c r="E394" s="137">
        <v>40.0</v>
      </c>
      <c r="F394" s="137">
        <v>12.4</v>
      </c>
      <c r="G394" s="137" t="s">
        <v>1609</v>
      </c>
      <c r="H394" s="137" t="s">
        <v>1610</v>
      </c>
      <c r="I394" s="137">
        <v>1.0</v>
      </c>
      <c r="J394" s="137">
        <v>5.4</v>
      </c>
      <c r="K394" s="137">
        <v>1.4</v>
      </c>
      <c r="L394" s="137">
        <v>0.7</v>
      </c>
      <c r="M394" s="137">
        <v>0.3</v>
      </c>
      <c r="N394" s="137">
        <v>0.1</v>
      </c>
      <c r="O394" s="137">
        <v>0.6</v>
      </c>
      <c r="P394" s="137">
        <v>-7.42</v>
      </c>
    </row>
    <row r="395">
      <c r="A395" s="137">
        <v>394.0</v>
      </c>
      <c r="B395" s="138" t="s">
        <v>1611</v>
      </c>
      <c r="C395" s="137" t="s">
        <v>424</v>
      </c>
      <c r="D395" s="137" t="s">
        <v>449</v>
      </c>
      <c r="E395" s="137">
        <v>30.0</v>
      </c>
      <c r="F395" s="137">
        <v>8.4</v>
      </c>
      <c r="G395" s="137" t="s">
        <v>1612</v>
      </c>
      <c r="H395" s="137" t="s">
        <v>1613</v>
      </c>
      <c r="I395" s="137">
        <v>1.1</v>
      </c>
      <c r="J395" s="137">
        <v>3.8</v>
      </c>
      <c r="K395" s="137">
        <v>1.1</v>
      </c>
      <c r="L395" s="137">
        <v>0.5</v>
      </c>
      <c r="M395" s="137">
        <v>0.2</v>
      </c>
      <c r="N395" s="137">
        <v>0.0</v>
      </c>
      <c r="O395" s="137">
        <v>0.2</v>
      </c>
      <c r="P395" s="137">
        <v>-7.42</v>
      </c>
    </row>
    <row r="396">
      <c r="A396" s="137">
        <v>395.0</v>
      </c>
      <c r="B396" s="138" t="s">
        <v>1614</v>
      </c>
      <c r="C396" s="137" t="s">
        <v>44</v>
      </c>
      <c r="D396" s="137" t="s">
        <v>473</v>
      </c>
      <c r="E396" s="137">
        <v>67.0</v>
      </c>
      <c r="F396" s="137">
        <v>12.4</v>
      </c>
      <c r="G396" s="137" t="s">
        <v>1615</v>
      </c>
      <c r="H396" s="137" t="s">
        <v>1616</v>
      </c>
      <c r="I396" s="137">
        <v>0.2</v>
      </c>
      <c r="J396" s="137">
        <v>4.4</v>
      </c>
      <c r="K396" s="137">
        <v>0.8</v>
      </c>
      <c r="L396" s="137">
        <v>0.9</v>
      </c>
      <c r="M396" s="137">
        <v>0.2</v>
      </c>
      <c r="N396" s="137">
        <v>0.2</v>
      </c>
      <c r="O396" s="137">
        <v>0.5</v>
      </c>
      <c r="P396" s="137">
        <v>-7.43</v>
      </c>
    </row>
    <row r="397">
      <c r="A397" s="137">
        <v>396.0</v>
      </c>
      <c r="B397" s="138" t="s">
        <v>1617</v>
      </c>
      <c r="C397" s="137" t="s">
        <v>47</v>
      </c>
      <c r="D397" s="137" t="s">
        <v>429</v>
      </c>
      <c r="E397" s="137">
        <v>20.0</v>
      </c>
      <c r="F397" s="137">
        <v>8.1</v>
      </c>
      <c r="G397" s="137" t="s">
        <v>1618</v>
      </c>
      <c r="H397" s="137" t="s">
        <v>1619</v>
      </c>
      <c r="I397" s="137">
        <v>0.3</v>
      </c>
      <c r="J397" s="137">
        <v>3.3</v>
      </c>
      <c r="K397" s="137">
        <v>1.9</v>
      </c>
      <c r="L397" s="137">
        <v>0.4</v>
      </c>
      <c r="M397" s="137">
        <v>0.2</v>
      </c>
      <c r="N397" s="137">
        <v>0.3</v>
      </c>
      <c r="O397" s="137">
        <v>0.4</v>
      </c>
      <c r="P397" s="137">
        <v>-7.45</v>
      </c>
    </row>
    <row r="398">
      <c r="A398" s="137">
        <v>397.0</v>
      </c>
      <c r="B398" s="138" t="s">
        <v>1620</v>
      </c>
      <c r="C398" s="137" t="s">
        <v>456</v>
      </c>
      <c r="D398" s="137" t="s">
        <v>425</v>
      </c>
      <c r="E398" s="137">
        <v>30.0</v>
      </c>
      <c r="F398" s="137">
        <v>8.4</v>
      </c>
      <c r="G398" s="137" t="s">
        <v>1621</v>
      </c>
      <c r="H398" s="137" t="s">
        <v>1622</v>
      </c>
      <c r="I398" s="137">
        <v>0.4</v>
      </c>
      <c r="J398" s="137">
        <v>2.9</v>
      </c>
      <c r="K398" s="137">
        <v>2.0</v>
      </c>
      <c r="L398" s="137">
        <v>0.4</v>
      </c>
      <c r="M398" s="137">
        <v>0.2</v>
      </c>
      <c r="N398" s="137">
        <v>0.1</v>
      </c>
      <c r="O398" s="137">
        <v>0.3</v>
      </c>
      <c r="P398" s="137">
        <v>-7.47</v>
      </c>
    </row>
    <row r="399">
      <c r="A399" s="137">
        <v>398.0</v>
      </c>
      <c r="B399" s="138" t="s">
        <v>1623</v>
      </c>
      <c r="C399" s="137" t="s">
        <v>432</v>
      </c>
      <c r="D399" s="137" t="s">
        <v>619</v>
      </c>
      <c r="E399" s="137">
        <v>30.0</v>
      </c>
      <c r="F399" s="137">
        <v>10.1</v>
      </c>
      <c r="G399" s="137" t="s">
        <v>1624</v>
      </c>
      <c r="H399" s="137" t="s">
        <v>1625</v>
      </c>
      <c r="I399" s="137">
        <v>0.6</v>
      </c>
      <c r="J399" s="137">
        <v>3.3</v>
      </c>
      <c r="K399" s="137">
        <v>1.7</v>
      </c>
      <c r="L399" s="137">
        <v>0.6</v>
      </c>
      <c r="M399" s="137">
        <v>0.1</v>
      </c>
      <c r="N399" s="137">
        <v>0.1</v>
      </c>
      <c r="O399" s="137">
        <v>0.4</v>
      </c>
      <c r="P399" s="137">
        <v>-7.47</v>
      </c>
    </row>
    <row r="400">
      <c r="A400" s="137">
        <v>399.0</v>
      </c>
      <c r="B400" s="138" t="s">
        <v>1626</v>
      </c>
      <c r="C400" s="137" t="s">
        <v>424</v>
      </c>
      <c r="D400" s="137" t="s">
        <v>433</v>
      </c>
      <c r="E400" s="137">
        <v>44.0</v>
      </c>
      <c r="F400" s="137">
        <v>8.4</v>
      </c>
      <c r="G400" s="137" t="s">
        <v>1627</v>
      </c>
      <c r="H400" s="137" t="s">
        <v>1490</v>
      </c>
      <c r="I400" s="137">
        <v>0.2</v>
      </c>
      <c r="J400" s="137">
        <v>3.0</v>
      </c>
      <c r="K400" s="137">
        <v>1.5</v>
      </c>
      <c r="L400" s="137">
        <v>1.2</v>
      </c>
      <c r="M400" s="137">
        <v>0.4</v>
      </c>
      <c r="N400" s="137">
        <v>0.2</v>
      </c>
      <c r="O400" s="137">
        <v>0.6</v>
      </c>
      <c r="P400" s="137">
        <v>-7.54</v>
      </c>
    </row>
    <row r="401">
      <c r="A401" s="137">
        <v>400.0</v>
      </c>
      <c r="B401" s="138" t="s">
        <v>1628</v>
      </c>
      <c r="C401" s="137" t="s">
        <v>47</v>
      </c>
      <c r="D401" s="137" t="s">
        <v>416</v>
      </c>
      <c r="E401" s="137">
        <v>10.0</v>
      </c>
      <c r="F401" s="137">
        <v>4.4</v>
      </c>
      <c r="G401" s="137" t="s">
        <v>1629</v>
      </c>
      <c r="H401" s="137" t="s">
        <v>1630</v>
      </c>
      <c r="I401" s="137">
        <v>0.2</v>
      </c>
      <c r="J401" s="137">
        <v>2.0</v>
      </c>
      <c r="K401" s="137">
        <v>1.0</v>
      </c>
      <c r="L401" s="137">
        <v>0.4</v>
      </c>
      <c r="M401" s="137">
        <v>0.2</v>
      </c>
      <c r="N401" s="137">
        <v>0.2</v>
      </c>
      <c r="O401" s="137">
        <v>0.2</v>
      </c>
      <c r="P401" s="137">
        <v>-7.55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</hyperlinks>
  <drawing r:id="rId40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9" t="s">
        <v>411</v>
      </c>
      <c r="B1" s="140" t="s">
        <v>90</v>
      </c>
      <c r="C1" s="140" t="s">
        <v>78</v>
      </c>
      <c r="D1" s="140" t="s">
        <v>81</v>
      </c>
      <c r="E1" s="140" t="s">
        <v>57</v>
      </c>
      <c r="F1" s="140" t="s">
        <v>412</v>
      </c>
      <c r="G1" s="140" t="s">
        <v>40</v>
      </c>
      <c r="H1" s="140" t="s">
        <v>41</v>
      </c>
      <c r="I1" s="141">
        <v>0.625</v>
      </c>
      <c r="J1" s="140" t="s">
        <v>34</v>
      </c>
      <c r="K1" s="140" t="s">
        <v>413</v>
      </c>
      <c r="L1" s="140" t="s">
        <v>37</v>
      </c>
      <c r="M1" s="140" t="s">
        <v>38</v>
      </c>
      <c r="N1" s="140" t="s">
        <v>61</v>
      </c>
      <c r="O1" s="140" t="s">
        <v>42</v>
      </c>
      <c r="P1" s="140" t="s">
        <v>414</v>
      </c>
    </row>
    <row r="2">
      <c r="A2" s="142">
        <v>1.0</v>
      </c>
      <c r="B2" s="143" t="s">
        <v>415</v>
      </c>
      <c r="C2" s="144" t="s">
        <v>47</v>
      </c>
      <c r="D2" s="144" t="s">
        <v>416</v>
      </c>
      <c r="E2" s="144">
        <v>72.0</v>
      </c>
      <c r="F2" s="144">
        <v>33.6</v>
      </c>
      <c r="G2" s="144" t="s">
        <v>417</v>
      </c>
      <c r="H2" s="144" t="s">
        <v>418</v>
      </c>
      <c r="I2" s="144">
        <v>1.0</v>
      </c>
      <c r="J2" s="144">
        <v>24.5</v>
      </c>
      <c r="K2" s="144">
        <v>11.7</v>
      </c>
      <c r="L2" s="144">
        <v>9.7</v>
      </c>
      <c r="M2" s="144">
        <v>1.4</v>
      </c>
      <c r="N2" s="144">
        <v>0.7</v>
      </c>
      <c r="O2" s="144">
        <v>3.7</v>
      </c>
      <c r="P2" s="144">
        <v>14.65</v>
      </c>
    </row>
    <row r="3">
      <c r="A3" s="142">
        <v>2.0</v>
      </c>
      <c r="B3" s="143" t="s">
        <v>419</v>
      </c>
      <c r="C3" s="144" t="s">
        <v>47</v>
      </c>
      <c r="D3" s="144" t="s">
        <v>420</v>
      </c>
      <c r="E3" s="144">
        <v>67.0</v>
      </c>
      <c r="F3" s="144">
        <v>34.2</v>
      </c>
      <c r="G3" s="144" t="s">
        <v>421</v>
      </c>
      <c r="H3" s="144" t="s">
        <v>422</v>
      </c>
      <c r="I3" s="144">
        <v>1.2</v>
      </c>
      <c r="J3" s="144">
        <v>32.6</v>
      </c>
      <c r="K3" s="144">
        <v>10.2</v>
      </c>
      <c r="L3" s="144">
        <v>4.2</v>
      </c>
      <c r="M3" s="144">
        <v>1.1</v>
      </c>
      <c r="N3" s="144">
        <v>1.6</v>
      </c>
      <c r="O3" s="144">
        <v>3.3</v>
      </c>
      <c r="P3" s="144">
        <v>13.74</v>
      </c>
    </row>
    <row r="4">
      <c r="A4" s="142">
        <v>3.0</v>
      </c>
      <c r="B4" s="143" t="s">
        <v>423</v>
      </c>
      <c r="C4" s="144" t="s">
        <v>424</v>
      </c>
      <c r="D4" s="144" t="s">
        <v>425</v>
      </c>
      <c r="E4" s="144">
        <v>67.0</v>
      </c>
      <c r="F4" s="144">
        <v>35.5</v>
      </c>
      <c r="G4" s="144" t="s">
        <v>426</v>
      </c>
      <c r="H4" s="144" t="s">
        <v>427</v>
      </c>
      <c r="I4" s="144">
        <v>1.0</v>
      </c>
      <c r="J4" s="144">
        <v>29.6</v>
      </c>
      <c r="K4" s="144">
        <v>5.0</v>
      </c>
      <c r="L4" s="144">
        <v>5.6</v>
      </c>
      <c r="M4" s="144">
        <v>1.5</v>
      </c>
      <c r="N4" s="144">
        <v>0.9</v>
      </c>
      <c r="O4" s="144">
        <v>2.9</v>
      </c>
      <c r="P4" s="144">
        <v>11.09</v>
      </c>
    </row>
    <row r="5">
      <c r="A5" s="142">
        <v>4.0</v>
      </c>
      <c r="B5" s="143" t="s">
        <v>428</v>
      </c>
      <c r="C5" s="144" t="s">
        <v>424</v>
      </c>
      <c r="D5" s="144" t="s">
        <v>429</v>
      </c>
      <c r="E5" s="144">
        <v>73.0</v>
      </c>
      <c r="F5" s="144">
        <v>34.7</v>
      </c>
      <c r="G5" s="144" t="s">
        <v>430</v>
      </c>
      <c r="H5" s="144" t="s">
        <v>431</v>
      </c>
      <c r="I5" s="144">
        <v>2.8</v>
      </c>
      <c r="J5" s="144">
        <v>23.3</v>
      </c>
      <c r="K5" s="144">
        <v>4.0</v>
      </c>
      <c r="L5" s="144">
        <v>10.5</v>
      </c>
      <c r="M5" s="144">
        <v>1.7</v>
      </c>
      <c r="N5" s="144">
        <v>0.4</v>
      </c>
      <c r="O5" s="144">
        <v>2.6</v>
      </c>
      <c r="P5" s="144">
        <v>9.96</v>
      </c>
    </row>
    <row r="6">
      <c r="A6" s="142">
        <v>5.0</v>
      </c>
      <c r="B6" s="143" t="s">
        <v>20</v>
      </c>
      <c r="C6" s="144" t="s">
        <v>432</v>
      </c>
      <c r="D6" s="144" t="s">
        <v>433</v>
      </c>
      <c r="E6" s="144">
        <v>75.0</v>
      </c>
      <c r="F6" s="144">
        <v>36.5</v>
      </c>
      <c r="G6" s="144" t="s">
        <v>434</v>
      </c>
      <c r="H6" s="144" t="s">
        <v>435</v>
      </c>
      <c r="I6" s="144">
        <v>3.3</v>
      </c>
      <c r="J6" s="144">
        <v>29.5</v>
      </c>
      <c r="K6" s="144">
        <v>8.2</v>
      </c>
      <c r="L6" s="144">
        <v>4.8</v>
      </c>
      <c r="M6" s="144">
        <v>1.1</v>
      </c>
      <c r="N6" s="144">
        <v>0.7</v>
      </c>
      <c r="O6" s="144">
        <v>3.0</v>
      </c>
      <c r="P6" s="144">
        <v>9.87</v>
      </c>
    </row>
    <row r="7">
      <c r="A7" s="142">
        <v>6.0</v>
      </c>
      <c r="B7" s="143" t="s">
        <v>436</v>
      </c>
      <c r="C7" s="144" t="s">
        <v>43</v>
      </c>
      <c r="D7" s="144" t="s">
        <v>437</v>
      </c>
      <c r="E7" s="144">
        <v>66.0</v>
      </c>
      <c r="F7" s="144">
        <v>35.8</v>
      </c>
      <c r="G7" s="144" t="s">
        <v>438</v>
      </c>
      <c r="H7" s="144" t="s">
        <v>439</v>
      </c>
      <c r="I7" s="144">
        <v>3.0</v>
      </c>
      <c r="J7" s="144">
        <v>32.7</v>
      </c>
      <c r="K7" s="144">
        <v>8.8</v>
      </c>
      <c r="L7" s="144">
        <v>8.1</v>
      </c>
      <c r="M7" s="144">
        <v>1.3</v>
      </c>
      <c r="N7" s="144">
        <v>0.5</v>
      </c>
      <c r="O7" s="144">
        <v>3.6</v>
      </c>
      <c r="P7" s="144">
        <v>9.84</v>
      </c>
    </row>
    <row r="8">
      <c r="A8" s="142">
        <v>7.0</v>
      </c>
      <c r="B8" s="143" t="s">
        <v>440</v>
      </c>
      <c r="C8" s="144" t="s">
        <v>43</v>
      </c>
      <c r="D8" s="144" t="s">
        <v>441</v>
      </c>
      <c r="E8" s="144">
        <v>65.0</v>
      </c>
      <c r="F8" s="144">
        <v>34.6</v>
      </c>
      <c r="G8" s="144" t="s">
        <v>442</v>
      </c>
      <c r="H8" s="144" t="s">
        <v>443</v>
      </c>
      <c r="I8" s="144">
        <v>4.7</v>
      </c>
      <c r="J8" s="144">
        <v>28.0</v>
      </c>
      <c r="K8" s="144">
        <v>5.6</v>
      </c>
      <c r="L8" s="144">
        <v>5.6</v>
      </c>
      <c r="M8" s="144">
        <v>0.9</v>
      </c>
      <c r="N8" s="144">
        <v>0.3</v>
      </c>
      <c r="O8" s="144">
        <v>3.3</v>
      </c>
      <c r="P8" s="144">
        <v>9.73</v>
      </c>
    </row>
    <row r="9">
      <c r="A9" s="142">
        <v>8.0</v>
      </c>
      <c r="B9" s="143" t="s">
        <v>448</v>
      </c>
      <c r="C9" s="144" t="s">
        <v>43</v>
      </c>
      <c r="D9" s="144" t="s">
        <v>583</v>
      </c>
      <c r="E9" s="144">
        <v>65.0</v>
      </c>
      <c r="F9" s="144">
        <v>36.3</v>
      </c>
      <c r="G9" s="144" t="s">
        <v>1631</v>
      </c>
      <c r="H9" s="144" t="s">
        <v>1632</v>
      </c>
      <c r="I9" s="144">
        <v>3.8</v>
      </c>
      <c r="J9" s="144">
        <v>29.2</v>
      </c>
      <c r="K9" s="144">
        <v>4.0</v>
      </c>
      <c r="L9" s="144">
        <v>7.1</v>
      </c>
      <c r="M9" s="144">
        <v>0.8</v>
      </c>
      <c r="N9" s="144">
        <v>0.3</v>
      </c>
      <c r="O9" s="144">
        <v>3.1</v>
      </c>
      <c r="P9" s="144">
        <v>9.57</v>
      </c>
    </row>
    <row r="10">
      <c r="A10" s="142">
        <v>9.0</v>
      </c>
      <c r="B10" s="143" t="s">
        <v>444</v>
      </c>
      <c r="C10" s="144" t="s">
        <v>432</v>
      </c>
      <c r="D10" s="144" t="s">
        <v>445</v>
      </c>
      <c r="E10" s="144">
        <v>60.0</v>
      </c>
      <c r="F10" s="144">
        <v>34.2</v>
      </c>
      <c r="G10" s="144" t="s">
        <v>446</v>
      </c>
      <c r="H10" s="144" t="s">
        <v>447</v>
      </c>
      <c r="I10" s="144">
        <v>1.9</v>
      </c>
      <c r="J10" s="144">
        <v>25.3</v>
      </c>
      <c r="K10" s="144">
        <v>6.5</v>
      </c>
      <c r="L10" s="144">
        <v>5.0</v>
      </c>
      <c r="M10" s="144">
        <v>0.7</v>
      </c>
      <c r="N10" s="144">
        <v>1.0</v>
      </c>
      <c r="O10" s="144">
        <v>3.1</v>
      </c>
      <c r="P10" s="144">
        <v>9.54</v>
      </c>
    </row>
    <row r="11">
      <c r="A11" s="142">
        <v>10.0</v>
      </c>
      <c r="B11" s="143" t="s">
        <v>452</v>
      </c>
      <c r="C11" s="144" t="s">
        <v>424</v>
      </c>
      <c r="D11" s="144" t="s">
        <v>437</v>
      </c>
      <c r="E11" s="144">
        <v>65.0</v>
      </c>
      <c r="F11" s="144">
        <v>36.4</v>
      </c>
      <c r="G11" s="144" t="s">
        <v>453</v>
      </c>
      <c r="H11" s="144" t="s">
        <v>454</v>
      </c>
      <c r="I11" s="144">
        <v>3.2</v>
      </c>
      <c r="J11" s="144">
        <v>26.7</v>
      </c>
      <c r="K11" s="144">
        <v>4.8</v>
      </c>
      <c r="L11" s="144">
        <v>5.5</v>
      </c>
      <c r="M11" s="144">
        <v>1.2</v>
      </c>
      <c r="N11" s="144">
        <v>0.7</v>
      </c>
      <c r="O11" s="144">
        <v>2.2</v>
      </c>
      <c r="P11" s="144">
        <v>9.47</v>
      </c>
    </row>
    <row r="12">
      <c r="A12" s="142">
        <v>11.0</v>
      </c>
      <c r="B12" s="143" t="s">
        <v>455</v>
      </c>
      <c r="C12" s="144" t="s">
        <v>456</v>
      </c>
      <c r="D12" s="144" t="s">
        <v>457</v>
      </c>
      <c r="E12" s="144">
        <v>60.0</v>
      </c>
      <c r="F12" s="144">
        <v>33.5</v>
      </c>
      <c r="G12" s="144" t="s">
        <v>458</v>
      </c>
      <c r="H12" s="144" t="s">
        <v>459</v>
      </c>
      <c r="I12" s="144">
        <v>0.3</v>
      </c>
      <c r="J12" s="144">
        <v>24.3</v>
      </c>
      <c r="K12" s="144">
        <v>11.2</v>
      </c>
      <c r="L12" s="144">
        <v>2.8</v>
      </c>
      <c r="M12" s="144">
        <v>1.1</v>
      </c>
      <c r="N12" s="144">
        <v>2.1</v>
      </c>
      <c r="O12" s="144">
        <v>2.1</v>
      </c>
      <c r="P12" s="144">
        <v>9.31</v>
      </c>
    </row>
    <row r="13">
      <c r="A13" s="142">
        <v>12.0</v>
      </c>
      <c r="B13" s="143" t="s">
        <v>483</v>
      </c>
      <c r="C13" s="144" t="s">
        <v>424</v>
      </c>
      <c r="D13" s="144" t="s">
        <v>420</v>
      </c>
      <c r="E13" s="144">
        <v>65.0</v>
      </c>
      <c r="F13" s="144">
        <v>36.4</v>
      </c>
      <c r="G13" s="144" t="s">
        <v>1633</v>
      </c>
      <c r="H13" s="144" t="s">
        <v>1634</v>
      </c>
      <c r="I13" s="144">
        <v>2.4</v>
      </c>
      <c r="J13" s="144">
        <v>20.6</v>
      </c>
      <c r="K13" s="144">
        <v>6.6</v>
      </c>
      <c r="L13" s="144">
        <v>10.6</v>
      </c>
      <c r="M13" s="144">
        <v>1.2</v>
      </c>
      <c r="N13" s="144">
        <v>0.5</v>
      </c>
      <c r="O13" s="144">
        <v>3.7</v>
      </c>
      <c r="P13" s="144">
        <v>8.94</v>
      </c>
    </row>
    <row r="14">
      <c r="A14" s="142">
        <v>13.0</v>
      </c>
      <c r="B14" s="143" t="s">
        <v>460</v>
      </c>
      <c r="C14" s="144" t="s">
        <v>424</v>
      </c>
      <c r="D14" s="144" t="s">
        <v>461</v>
      </c>
      <c r="E14" s="144">
        <v>69.0</v>
      </c>
      <c r="F14" s="144">
        <v>34.9</v>
      </c>
      <c r="G14" s="144" t="s">
        <v>1635</v>
      </c>
      <c r="H14" s="144" t="s">
        <v>463</v>
      </c>
      <c r="I14" s="144">
        <v>3.7</v>
      </c>
      <c r="J14" s="144">
        <v>23.4</v>
      </c>
      <c r="K14" s="144">
        <v>7.0</v>
      </c>
      <c r="L14" s="144">
        <v>8.6</v>
      </c>
      <c r="M14" s="144">
        <v>1.6</v>
      </c>
      <c r="N14" s="144">
        <v>0.4</v>
      </c>
      <c r="O14" s="144">
        <v>3.6</v>
      </c>
      <c r="P14" s="144">
        <v>8.79</v>
      </c>
    </row>
    <row r="15">
      <c r="A15" s="142">
        <v>14.0</v>
      </c>
      <c r="B15" s="143" t="s">
        <v>464</v>
      </c>
      <c r="C15" s="144" t="s">
        <v>424</v>
      </c>
      <c r="D15" s="144" t="s">
        <v>465</v>
      </c>
      <c r="E15" s="144">
        <v>69.0</v>
      </c>
      <c r="F15" s="144">
        <v>35.6</v>
      </c>
      <c r="G15" s="144" t="s">
        <v>466</v>
      </c>
      <c r="H15" s="144" t="s">
        <v>467</v>
      </c>
      <c r="I15" s="144">
        <v>3.6</v>
      </c>
      <c r="J15" s="144">
        <v>27.7</v>
      </c>
      <c r="K15" s="144">
        <v>4.4</v>
      </c>
      <c r="L15" s="144">
        <v>4.4</v>
      </c>
      <c r="M15" s="144">
        <v>1.5</v>
      </c>
      <c r="N15" s="144">
        <v>0.3</v>
      </c>
      <c r="O15" s="144">
        <v>2.7</v>
      </c>
      <c r="P15" s="144">
        <v>8.22</v>
      </c>
    </row>
    <row r="16">
      <c r="A16" s="142">
        <v>15.0</v>
      </c>
      <c r="B16" s="143" t="s">
        <v>468</v>
      </c>
      <c r="C16" s="144" t="s">
        <v>469</v>
      </c>
      <c r="D16" s="144" t="s">
        <v>445</v>
      </c>
      <c r="E16" s="144">
        <v>68.0</v>
      </c>
      <c r="F16" s="144">
        <v>35.1</v>
      </c>
      <c r="G16" s="144" t="s">
        <v>470</v>
      </c>
      <c r="H16" s="144" t="s">
        <v>471</v>
      </c>
      <c r="I16" s="144">
        <v>2.3</v>
      </c>
      <c r="J16" s="144">
        <v>27.2</v>
      </c>
      <c r="K16" s="144">
        <v>4.9</v>
      </c>
      <c r="L16" s="144">
        <v>6.3</v>
      </c>
      <c r="M16" s="144">
        <v>1.1</v>
      </c>
      <c r="N16" s="144">
        <v>0.4</v>
      </c>
      <c r="O16" s="144">
        <v>2.6</v>
      </c>
      <c r="P16" s="144">
        <v>7.66</v>
      </c>
    </row>
    <row r="17">
      <c r="A17" s="142">
        <v>16.0</v>
      </c>
      <c r="B17" s="143" t="s">
        <v>16</v>
      </c>
      <c r="C17" s="144" t="s">
        <v>456</v>
      </c>
      <c r="D17" s="144" t="s">
        <v>476</v>
      </c>
      <c r="E17" s="144">
        <v>72.0</v>
      </c>
      <c r="F17" s="144">
        <v>34.6</v>
      </c>
      <c r="G17" s="144" t="s">
        <v>477</v>
      </c>
      <c r="H17" s="144" t="s">
        <v>478</v>
      </c>
      <c r="I17" s="144">
        <v>0.5</v>
      </c>
      <c r="J17" s="144">
        <v>19.5</v>
      </c>
      <c r="K17" s="144">
        <v>12.4</v>
      </c>
      <c r="L17" s="144">
        <v>7.3</v>
      </c>
      <c r="M17" s="144">
        <v>0.9</v>
      </c>
      <c r="N17" s="144">
        <v>0.5</v>
      </c>
      <c r="O17" s="144">
        <v>3.0</v>
      </c>
      <c r="P17" s="144">
        <v>7.39</v>
      </c>
    </row>
    <row r="18">
      <c r="A18" s="142">
        <v>17.0</v>
      </c>
      <c r="B18" s="143" t="s">
        <v>479</v>
      </c>
      <c r="C18" s="144" t="s">
        <v>456</v>
      </c>
      <c r="D18" s="144" t="s">
        <v>480</v>
      </c>
      <c r="E18" s="144">
        <v>69.0</v>
      </c>
      <c r="F18" s="144">
        <v>29.2</v>
      </c>
      <c r="G18" s="144" t="s">
        <v>481</v>
      </c>
      <c r="H18" s="144" t="s">
        <v>482</v>
      </c>
      <c r="I18" s="144">
        <v>1.7</v>
      </c>
      <c r="J18" s="144">
        <v>19.6</v>
      </c>
      <c r="K18" s="144">
        <v>7.1</v>
      </c>
      <c r="L18" s="144">
        <v>1.2</v>
      </c>
      <c r="M18" s="144">
        <v>1.0</v>
      </c>
      <c r="N18" s="144">
        <v>2.6</v>
      </c>
      <c r="O18" s="144">
        <v>2.0</v>
      </c>
      <c r="P18" s="144">
        <v>7.38</v>
      </c>
    </row>
    <row r="19">
      <c r="A19" s="142">
        <v>18.0</v>
      </c>
      <c r="B19" s="143" t="s">
        <v>472</v>
      </c>
      <c r="C19" s="144" t="s">
        <v>43</v>
      </c>
      <c r="D19" s="144" t="s">
        <v>473</v>
      </c>
      <c r="E19" s="144">
        <v>75.0</v>
      </c>
      <c r="F19" s="144">
        <v>34.8</v>
      </c>
      <c r="G19" s="144" t="s">
        <v>474</v>
      </c>
      <c r="H19" s="144" t="s">
        <v>475</v>
      </c>
      <c r="I19" s="144">
        <v>2.2</v>
      </c>
      <c r="J19" s="144">
        <v>27.1</v>
      </c>
      <c r="K19" s="144">
        <v>3.4</v>
      </c>
      <c r="L19" s="144">
        <v>10.0</v>
      </c>
      <c r="M19" s="144">
        <v>1.0</v>
      </c>
      <c r="N19" s="144">
        <v>0.1</v>
      </c>
      <c r="O19" s="144">
        <v>4.1</v>
      </c>
      <c r="P19" s="144">
        <v>7.24</v>
      </c>
    </row>
    <row r="20">
      <c r="A20" s="142">
        <v>19.0</v>
      </c>
      <c r="B20" s="143" t="s">
        <v>486</v>
      </c>
      <c r="C20" s="144" t="s">
        <v>432</v>
      </c>
      <c r="D20" s="144" t="s">
        <v>487</v>
      </c>
      <c r="E20" s="144">
        <v>65.0</v>
      </c>
      <c r="F20" s="144">
        <v>33.3</v>
      </c>
      <c r="G20" s="144" t="s">
        <v>488</v>
      </c>
      <c r="H20" s="144" t="s">
        <v>489</v>
      </c>
      <c r="I20" s="144">
        <v>0.5</v>
      </c>
      <c r="J20" s="144">
        <v>21.3</v>
      </c>
      <c r="K20" s="144">
        <v>5.7</v>
      </c>
      <c r="L20" s="144">
        <v>5.0</v>
      </c>
      <c r="M20" s="144">
        <v>1.6</v>
      </c>
      <c r="N20" s="144">
        <v>0.4</v>
      </c>
      <c r="O20" s="144">
        <v>1.8</v>
      </c>
      <c r="P20" s="144">
        <v>7.18</v>
      </c>
    </row>
    <row r="21">
      <c r="A21" s="142">
        <v>20.0</v>
      </c>
      <c r="B21" s="143" t="s">
        <v>490</v>
      </c>
      <c r="C21" s="144" t="s">
        <v>469</v>
      </c>
      <c r="D21" s="144" t="s">
        <v>491</v>
      </c>
      <c r="E21" s="144">
        <v>56.0</v>
      </c>
      <c r="F21" s="144">
        <v>33.4</v>
      </c>
      <c r="G21" s="144" t="s">
        <v>492</v>
      </c>
      <c r="H21" s="144" t="s">
        <v>493</v>
      </c>
      <c r="I21" s="144">
        <v>1.9</v>
      </c>
      <c r="J21" s="144">
        <v>23.2</v>
      </c>
      <c r="K21" s="144">
        <v>6.2</v>
      </c>
      <c r="L21" s="144">
        <v>3.7</v>
      </c>
      <c r="M21" s="144">
        <v>1.3</v>
      </c>
      <c r="N21" s="144">
        <v>0.5</v>
      </c>
      <c r="O21" s="144">
        <v>1.7</v>
      </c>
      <c r="P21" s="144">
        <v>7.17</v>
      </c>
    </row>
    <row r="22">
      <c r="A22" s="142">
        <v>21.0</v>
      </c>
      <c r="B22" s="143" t="s">
        <v>499</v>
      </c>
      <c r="C22" s="144" t="s">
        <v>469</v>
      </c>
      <c r="D22" s="144" t="s">
        <v>398</v>
      </c>
      <c r="E22" s="144">
        <v>76.0</v>
      </c>
      <c r="F22" s="144">
        <v>35.8</v>
      </c>
      <c r="G22" s="144" t="s">
        <v>1636</v>
      </c>
      <c r="H22" s="144" t="s">
        <v>1637</v>
      </c>
      <c r="I22" s="144">
        <v>3.1</v>
      </c>
      <c r="J22" s="144">
        <v>26.4</v>
      </c>
      <c r="K22" s="144">
        <v>5.8</v>
      </c>
      <c r="L22" s="144">
        <v>4.9</v>
      </c>
      <c r="M22" s="144">
        <v>1.7</v>
      </c>
      <c r="N22" s="144">
        <v>0.8</v>
      </c>
      <c r="O22" s="144">
        <v>3.3</v>
      </c>
      <c r="P22" s="144">
        <v>7.03</v>
      </c>
    </row>
    <row r="23">
      <c r="A23" s="142">
        <v>22.0</v>
      </c>
      <c r="B23" s="143" t="s">
        <v>494</v>
      </c>
      <c r="C23" s="144" t="s">
        <v>456</v>
      </c>
      <c r="D23" s="144" t="s">
        <v>449</v>
      </c>
      <c r="E23" s="144">
        <v>65.0</v>
      </c>
      <c r="F23" s="144">
        <v>32.0</v>
      </c>
      <c r="G23" s="144" t="s">
        <v>1638</v>
      </c>
      <c r="H23" s="144" t="s">
        <v>496</v>
      </c>
      <c r="I23" s="144">
        <v>0.9</v>
      </c>
      <c r="J23" s="144">
        <v>30.3</v>
      </c>
      <c r="K23" s="144">
        <v>11.6</v>
      </c>
      <c r="L23" s="144">
        <v>5.7</v>
      </c>
      <c r="M23" s="144">
        <v>0.9</v>
      </c>
      <c r="N23" s="144">
        <v>1.0</v>
      </c>
      <c r="O23" s="144">
        <v>3.6</v>
      </c>
      <c r="P23" s="144">
        <v>6.74</v>
      </c>
    </row>
    <row r="24">
      <c r="A24" s="142">
        <v>23.0</v>
      </c>
      <c r="B24" s="143" t="s">
        <v>502</v>
      </c>
      <c r="C24" s="144" t="s">
        <v>469</v>
      </c>
      <c r="D24" s="144" t="s">
        <v>503</v>
      </c>
      <c r="E24" s="144">
        <v>80.0</v>
      </c>
      <c r="F24" s="144">
        <v>35.6</v>
      </c>
      <c r="G24" s="144" t="s">
        <v>504</v>
      </c>
      <c r="H24" s="144" t="s">
        <v>505</v>
      </c>
      <c r="I24" s="144">
        <v>2.4</v>
      </c>
      <c r="J24" s="144">
        <v>25.4</v>
      </c>
      <c r="K24" s="144">
        <v>4.6</v>
      </c>
      <c r="L24" s="144">
        <v>3.4</v>
      </c>
      <c r="M24" s="144">
        <v>1.1</v>
      </c>
      <c r="N24" s="144">
        <v>0.6</v>
      </c>
      <c r="O24" s="144">
        <v>1.8</v>
      </c>
      <c r="P24" s="144">
        <v>6.55</v>
      </c>
    </row>
    <row r="25">
      <c r="A25" s="142">
        <v>24.0</v>
      </c>
      <c r="B25" s="143" t="s">
        <v>21</v>
      </c>
      <c r="C25" s="144" t="s">
        <v>456</v>
      </c>
      <c r="D25" s="144" t="s">
        <v>398</v>
      </c>
      <c r="E25" s="144">
        <v>70.0</v>
      </c>
      <c r="F25" s="144">
        <v>32.9</v>
      </c>
      <c r="G25" s="144" t="s">
        <v>1639</v>
      </c>
      <c r="H25" s="144" t="s">
        <v>1640</v>
      </c>
      <c r="I25" s="144">
        <v>2.1</v>
      </c>
      <c r="J25" s="144">
        <v>21.7</v>
      </c>
      <c r="K25" s="144">
        <v>8.5</v>
      </c>
      <c r="L25" s="144">
        <v>4.6</v>
      </c>
      <c r="M25" s="144">
        <v>0.7</v>
      </c>
      <c r="N25" s="144">
        <v>0.7</v>
      </c>
      <c r="O25" s="144">
        <v>2.8</v>
      </c>
      <c r="P25" s="144">
        <v>6.51</v>
      </c>
    </row>
    <row r="26">
      <c r="A26" s="142">
        <v>25.0</v>
      </c>
      <c r="B26" s="143" t="s">
        <v>506</v>
      </c>
      <c r="C26" s="144" t="s">
        <v>432</v>
      </c>
      <c r="D26" s="144" t="s">
        <v>507</v>
      </c>
      <c r="E26" s="144">
        <v>66.0</v>
      </c>
      <c r="F26" s="144">
        <v>33.4</v>
      </c>
      <c r="G26" s="144" t="s">
        <v>508</v>
      </c>
      <c r="H26" s="144" t="s">
        <v>509</v>
      </c>
      <c r="I26" s="144">
        <v>2.9</v>
      </c>
      <c r="J26" s="144">
        <v>23.9</v>
      </c>
      <c r="K26" s="144">
        <v>8.0</v>
      </c>
      <c r="L26" s="144">
        <v>1.9</v>
      </c>
      <c r="M26" s="144">
        <v>0.7</v>
      </c>
      <c r="N26" s="144">
        <v>0.6</v>
      </c>
      <c r="O26" s="144">
        <v>1.9</v>
      </c>
      <c r="P26" s="144">
        <v>6.48</v>
      </c>
    </row>
    <row r="27">
      <c r="A27" s="142">
        <v>26.0</v>
      </c>
      <c r="B27" s="143" t="s">
        <v>510</v>
      </c>
      <c r="C27" s="144" t="s">
        <v>469</v>
      </c>
      <c r="D27" s="144" t="s">
        <v>480</v>
      </c>
      <c r="E27" s="144">
        <v>70.0</v>
      </c>
      <c r="F27" s="144">
        <v>32.1</v>
      </c>
      <c r="G27" s="144" t="s">
        <v>511</v>
      </c>
      <c r="H27" s="144" t="s">
        <v>512</v>
      </c>
      <c r="I27" s="144">
        <v>3.4</v>
      </c>
      <c r="J27" s="144">
        <v>22.6</v>
      </c>
      <c r="K27" s="144">
        <v>5.4</v>
      </c>
      <c r="L27" s="144">
        <v>4.0</v>
      </c>
      <c r="M27" s="144">
        <v>1.2</v>
      </c>
      <c r="N27" s="144">
        <v>0.4</v>
      </c>
      <c r="O27" s="144">
        <v>2.2</v>
      </c>
      <c r="P27" s="144">
        <v>6.47</v>
      </c>
    </row>
    <row r="28">
      <c r="A28" s="142">
        <v>27.0</v>
      </c>
      <c r="B28" s="143" t="s">
        <v>513</v>
      </c>
      <c r="C28" s="144" t="s">
        <v>514</v>
      </c>
      <c r="D28" s="144" t="s">
        <v>491</v>
      </c>
      <c r="E28" s="144">
        <v>60.0</v>
      </c>
      <c r="F28" s="144">
        <v>34.6</v>
      </c>
      <c r="G28" s="144" t="s">
        <v>515</v>
      </c>
      <c r="H28" s="144" t="s">
        <v>516</v>
      </c>
      <c r="I28" s="144">
        <v>2.8</v>
      </c>
      <c r="J28" s="144">
        <v>23.0</v>
      </c>
      <c r="K28" s="144">
        <v>6.1</v>
      </c>
      <c r="L28" s="144">
        <v>5.0</v>
      </c>
      <c r="M28" s="144">
        <v>1.5</v>
      </c>
      <c r="N28" s="144">
        <v>0.4</v>
      </c>
      <c r="O28" s="144">
        <v>3.3</v>
      </c>
      <c r="P28" s="144">
        <v>6.33</v>
      </c>
    </row>
    <row r="29">
      <c r="A29" s="142">
        <v>28.0</v>
      </c>
      <c r="B29" s="143" t="s">
        <v>517</v>
      </c>
      <c r="C29" s="144" t="s">
        <v>47</v>
      </c>
      <c r="D29" s="144" t="s">
        <v>487</v>
      </c>
      <c r="E29" s="144">
        <v>72.0</v>
      </c>
      <c r="F29" s="144">
        <v>34.1</v>
      </c>
      <c r="G29" s="144" t="s">
        <v>518</v>
      </c>
      <c r="H29" s="144" t="s">
        <v>519</v>
      </c>
      <c r="I29" s="144">
        <v>0.0</v>
      </c>
      <c r="J29" s="144">
        <v>20.2</v>
      </c>
      <c r="K29" s="144">
        <v>9.8</v>
      </c>
      <c r="L29" s="144">
        <v>3.5</v>
      </c>
      <c r="M29" s="144">
        <v>1.3</v>
      </c>
      <c r="N29" s="144">
        <v>0.8</v>
      </c>
      <c r="O29" s="144">
        <v>2.6</v>
      </c>
      <c r="P29" s="144">
        <v>5.98</v>
      </c>
    </row>
    <row r="30">
      <c r="A30" s="142">
        <v>29.0</v>
      </c>
      <c r="B30" s="143" t="s">
        <v>520</v>
      </c>
      <c r="C30" s="144" t="s">
        <v>432</v>
      </c>
      <c r="D30" s="144" t="s">
        <v>457</v>
      </c>
      <c r="E30" s="144">
        <v>56.0</v>
      </c>
      <c r="F30" s="144">
        <v>34.0</v>
      </c>
      <c r="G30" s="144" t="s">
        <v>521</v>
      </c>
      <c r="H30" s="144" t="s">
        <v>522</v>
      </c>
      <c r="I30" s="144">
        <v>2.3</v>
      </c>
      <c r="J30" s="144">
        <v>26.7</v>
      </c>
      <c r="K30" s="144">
        <v>7.6</v>
      </c>
      <c r="L30" s="144">
        <v>6.0</v>
      </c>
      <c r="M30" s="144">
        <v>0.8</v>
      </c>
      <c r="N30" s="144">
        <v>0.5</v>
      </c>
      <c r="O30" s="144">
        <v>3.1</v>
      </c>
      <c r="P30" s="144">
        <v>5.96</v>
      </c>
    </row>
    <row r="31">
      <c r="A31" s="142">
        <v>30.0</v>
      </c>
      <c r="B31" s="143" t="s">
        <v>523</v>
      </c>
      <c r="C31" s="144" t="s">
        <v>456</v>
      </c>
      <c r="D31" s="144" t="s">
        <v>433</v>
      </c>
      <c r="E31" s="144">
        <v>60.0</v>
      </c>
      <c r="F31" s="144">
        <v>31.1</v>
      </c>
      <c r="G31" s="144" t="s">
        <v>524</v>
      </c>
      <c r="H31" s="144" t="s">
        <v>525</v>
      </c>
      <c r="I31" s="144">
        <v>1.8</v>
      </c>
      <c r="J31" s="144">
        <v>18.7</v>
      </c>
      <c r="K31" s="144">
        <v>7.9</v>
      </c>
      <c r="L31" s="144">
        <v>2.1</v>
      </c>
      <c r="M31" s="144">
        <v>0.8</v>
      </c>
      <c r="N31" s="144">
        <v>1.5</v>
      </c>
      <c r="O31" s="144">
        <v>1.8</v>
      </c>
      <c r="P31" s="144">
        <v>5.81</v>
      </c>
    </row>
    <row r="32">
      <c r="A32" s="142">
        <v>31.0</v>
      </c>
      <c r="B32" s="143" t="s">
        <v>526</v>
      </c>
      <c r="C32" s="144" t="s">
        <v>47</v>
      </c>
      <c r="D32" s="144" t="s">
        <v>429</v>
      </c>
      <c r="E32" s="144">
        <v>64.0</v>
      </c>
      <c r="F32" s="144">
        <v>29.5</v>
      </c>
      <c r="G32" s="144" t="s">
        <v>527</v>
      </c>
      <c r="H32" s="144" t="s">
        <v>528</v>
      </c>
      <c r="I32" s="144">
        <v>1.5</v>
      </c>
      <c r="J32" s="144">
        <v>16.1</v>
      </c>
      <c r="K32" s="144">
        <v>7.4</v>
      </c>
      <c r="L32" s="144">
        <v>1.3</v>
      </c>
      <c r="M32" s="144">
        <v>0.6</v>
      </c>
      <c r="N32" s="144">
        <v>2.3</v>
      </c>
      <c r="O32" s="144">
        <v>1.5</v>
      </c>
      <c r="P32" s="144">
        <v>5.81</v>
      </c>
    </row>
    <row r="33">
      <c r="A33" s="142">
        <v>32.0</v>
      </c>
      <c r="B33" s="143" t="s">
        <v>529</v>
      </c>
      <c r="C33" s="144" t="s">
        <v>43</v>
      </c>
      <c r="D33" s="144" t="s">
        <v>465</v>
      </c>
      <c r="E33" s="144">
        <v>69.0</v>
      </c>
      <c r="F33" s="144">
        <v>35.6</v>
      </c>
      <c r="G33" s="144" t="s">
        <v>530</v>
      </c>
      <c r="H33" s="144" t="s">
        <v>531</v>
      </c>
      <c r="I33" s="144">
        <v>2.5</v>
      </c>
      <c r="J33" s="144">
        <v>21.8</v>
      </c>
      <c r="K33" s="144">
        <v>3.0</v>
      </c>
      <c r="L33" s="144">
        <v>7.8</v>
      </c>
      <c r="M33" s="144">
        <v>1.2</v>
      </c>
      <c r="N33" s="144">
        <v>0.1</v>
      </c>
      <c r="O33" s="144">
        <v>3.0</v>
      </c>
      <c r="P33" s="144">
        <v>5.48</v>
      </c>
    </row>
    <row r="34">
      <c r="A34" s="142">
        <v>33.0</v>
      </c>
      <c r="B34" s="143" t="s">
        <v>532</v>
      </c>
      <c r="C34" s="144" t="s">
        <v>44</v>
      </c>
      <c r="D34" s="144" t="s">
        <v>533</v>
      </c>
      <c r="E34" s="144">
        <v>74.0</v>
      </c>
      <c r="F34" s="144">
        <v>35.8</v>
      </c>
      <c r="G34" s="144" t="s">
        <v>534</v>
      </c>
      <c r="H34" s="144" t="s">
        <v>535</v>
      </c>
      <c r="I34" s="144">
        <v>0.6</v>
      </c>
      <c r="J34" s="144">
        <v>24.7</v>
      </c>
      <c r="K34" s="144">
        <v>4.6</v>
      </c>
      <c r="L34" s="144">
        <v>4.9</v>
      </c>
      <c r="M34" s="144">
        <v>1.0</v>
      </c>
      <c r="N34" s="144">
        <v>0.4</v>
      </c>
      <c r="O34" s="144">
        <v>2.1</v>
      </c>
      <c r="P34" s="144">
        <v>5.46</v>
      </c>
    </row>
    <row r="35">
      <c r="A35" s="142">
        <v>34.0</v>
      </c>
      <c r="B35" s="143" t="s">
        <v>536</v>
      </c>
      <c r="C35" s="144" t="s">
        <v>43</v>
      </c>
      <c r="D35" s="144" t="s">
        <v>537</v>
      </c>
      <c r="E35" s="144">
        <v>67.0</v>
      </c>
      <c r="F35" s="144">
        <v>34.2</v>
      </c>
      <c r="G35" s="144" t="s">
        <v>538</v>
      </c>
      <c r="H35" s="144" t="s">
        <v>539</v>
      </c>
      <c r="I35" s="144">
        <v>3.1</v>
      </c>
      <c r="J35" s="144">
        <v>18.4</v>
      </c>
      <c r="K35" s="144">
        <v>3.9</v>
      </c>
      <c r="L35" s="144">
        <v>6.4</v>
      </c>
      <c r="M35" s="144">
        <v>1.6</v>
      </c>
      <c r="N35" s="144">
        <v>0.5</v>
      </c>
      <c r="O35" s="144">
        <v>2.1</v>
      </c>
      <c r="P35" s="144">
        <v>5.44</v>
      </c>
    </row>
    <row r="36">
      <c r="A36" s="142">
        <v>35.0</v>
      </c>
      <c r="B36" s="143" t="s">
        <v>540</v>
      </c>
      <c r="C36" s="144" t="s">
        <v>424</v>
      </c>
      <c r="D36" s="144" t="s">
        <v>473</v>
      </c>
      <c r="E36" s="144">
        <v>74.0</v>
      </c>
      <c r="F36" s="144">
        <v>35.8</v>
      </c>
      <c r="G36" s="144" t="s">
        <v>541</v>
      </c>
      <c r="H36" s="144" t="s">
        <v>542</v>
      </c>
      <c r="I36" s="144">
        <v>1.6</v>
      </c>
      <c r="J36" s="144">
        <v>20.7</v>
      </c>
      <c r="K36" s="144">
        <v>6.5</v>
      </c>
      <c r="L36" s="144">
        <v>6.4</v>
      </c>
      <c r="M36" s="144">
        <v>1.6</v>
      </c>
      <c r="N36" s="144">
        <v>0.3</v>
      </c>
      <c r="O36" s="144">
        <v>2.2</v>
      </c>
      <c r="P36" s="144">
        <v>5.39</v>
      </c>
    </row>
    <row r="37">
      <c r="A37" s="142">
        <v>36.0</v>
      </c>
      <c r="B37" s="143" t="s">
        <v>593</v>
      </c>
      <c r="C37" s="144" t="s">
        <v>424</v>
      </c>
      <c r="D37" s="144" t="s">
        <v>449</v>
      </c>
      <c r="E37" s="144">
        <v>67.0</v>
      </c>
      <c r="F37" s="144">
        <v>32.4</v>
      </c>
      <c r="G37" s="144" t="s">
        <v>1641</v>
      </c>
      <c r="H37" s="144" t="s">
        <v>595</v>
      </c>
      <c r="I37" s="144">
        <v>2.2</v>
      </c>
      <c r="J37" s="144">
        <v>18.6</v>
      </c>
      <c r="K37" s="144">
        <v>4.8</v>
      </c>
      <c r="L37" s="144">
        <v>7.1</v>
      </c>
      <c r="M37" s="144">
        <v>1.4</v>
      </c>
      <c r="N37" s="144">
        <v>0.4</v>
      </c>
      <c r="O37" s="144">
        <v>2.8</v>
      </c>
      <c r="P37" s="144">
        <v>5.31</v>
      </c>
    </row>
    <row r="38">
      <c r="A38" s="142">
        <v>37.0</v>
      </c>
      <c r="B38" s="143" t="s">
        <v>543</v>
      </c>
      <c r="C38" s="144" t="s">
        <v>469</v>
      </c>
      <c r="D38" s="144" t="s">
        <v>433</v>
      </c>
      <c r="E38" s="144">
        <v>69.0</v>
      </c>
      <c r="F38" s="144">
        <v>35.6</v>
      </c>
      <c r="G38" s="144" t="s">
        <v>544</v>
      </c>
      <c r="H38" s="144" t="s">
        <v>545</v>
      </c>
      <c r="I38" s="144">
        <v>2.6</v>
      </c>
      <c r="J38" s="144">
        <v>26.4</v>
      </c>
      <c r="K38" s="144">
        <v>6.7</v>
      </c>
      <c r="L38" s="144">
        <v>3.6</v>
      </c>
      <c r="M38" s="144">
        <v>1.1</v>
      </c>
      <c r="N38" s="144">
        <v>0.3</v>
      </c>
      <c r="O38" s="144">
        <v>2.9</v>
      </c>
      <c r="P38" s="144">
        <v>5.01</v>
      </c>
    </row>
    <row r="39">
      <c r="A39" s="142">
        <v>38.0</v>
      </c>
      <c r="B39" s="143" t="s">
        <v>546</v>
      </c>
      <c r="C39" s="144" t="s">
        <v>43</v>
      </c>
      <c r="D39" s="144" t="s">
        <v>547</v>
      </c>
      <c r="E39" s="144">
        <v>72.0</v>
      </c>
      <c r="F39" s="144">
        <v>34.9</v>
      </c>
      <c r="G39" s="144" t="s">
        <v>548</v>
      </c>
      <c r="H39" s="144" t="s">
        <v>549</v>
      </c>
      <c r="I39" s="144">
        <v>2.0</v>
      </c>
      <c r="J39" s="144">
        <v>24.2</v>
      </c>
      <c r="K39" s="144">
        <v>3.7</v>
      </c>
      <c r="L39" s="144">
        <v>6.5</v>
      </c>
      <c r="M39" s="144">
        <v>1.0</v>
      </c>
      <c r="N39" s="144">
        <v>0.2</v>
      </c>
      <c r="O39" s="144">
        <v>2.2</v>
      </c>
      <c r="P39" s="144">
        <v>4.77</v>
      </c>
    </row>
    <row r="40">
      <c r="A40" s="142">
        <v>39.0</v>
      </c>
      <c r="B40" s="143" t="s">
        <v>550</v>
      </c>
      <c r="C40" s="144" t="s">
        <v>469</v>
      </c>
      <c r="D40" s="144" t="s">
        <v>533</v>
      </c>
      <c r="E40" s="144">
        <v>74.0</v>
      </c>
      <c r="F40" s="144">
        <v>35.6</v>
      </c>
      <c r="G40" s="144" t="s">
        <v>551</v>
      </c>
      <c r="H40" s="144" t="s">
        <v>552</v>
      </c>
      <c r="I40" s="144">
        <v>2.6</v>
      </c>
      <c r="J40" s="144">
        <v>24.9</v>
      </c>
      <c r="K40" s="144">
        <v>4.4</v>
      </c>
      <c r="L40" s="144">
        <v>4.3</v>
      </c>
      <c r="M40" s="144">
        <v>0.8</v>
      </c>
      <c r="N40" s="144">
        <v>0.3</v>
      </c>
      <c r="O40" s="144">
        <v>2.6</v>
      </c>
      <c r="P40" s="144">
        <v>4.68</v>
      </c>
    </row>
    <row r="41">
      <c r="A41" s="142">
        <v>40.0</v>
      </c>
      <c r="B41" s="143" t="s">
        <v>553</v>
      </c>
      <c r="C41" s="144" t="s">
        <v>424</v>
      </c>
      <c r="D41" s="144" t="s">
        <v>554</v>
      </c>
      <c r="E41" s="144">
        <v>65.0</v>
      </c>
      <c r="F41" s="144">
        <v>33.8</v>
      </c>
      <c r="G41" s="144" t="s">
        <v>555</v>
      </c>
      <c r="H41" s="144" t="s">
        <v>556</v>
      </c>
      <c r="I41" s="144">
        <v>1.8</v>
      </c>
      <c r="J41" s="144">
        <v>20.9</v>
      </c>
      <c r="K41" s="144">
        <v>6.4</v>
      </c>
      <c r="L41" s="144">
        <v>6.6</v>
      </c>
      <c r="M41" s="144">
        <v>1.3</v>
      </c>
      <c r="N41" s="144">
        <v>0.7</v>
      </c>
      <c r="O41" s="144">
        <v>3.3</v>
      </c>
      <c r="P41" s="144">
        <v>4.42</v>
      </c>
    </row>
    <row r="42">
      <c r="A42" s="142">
        <v>41.0</v>
      </c>
      <c r="B42" s="143" t="s">
        <v>557</v>
      </c>
      <c r="C42" s="144" t="s">
        <v>43</v>
      </c>
      <c r="D42" s="144" t="s">
        <v>476</v>
      </c>
      <c r="E42" s="144">
        <v>70.0</v>
      </c>
      <c r="F42" s="144">
        <v>33.5</v>
      </c>
      <c r="G42" s="144" t="s">
        <v>558</v>
      </c>
      <c r="H42" s="144" t="s">
        <v>559</v>
      </c>
      <c r="I42" s="144">
        <v>1.6</v>
      </c>
      <c r="J42" s="144">
        <v>25.1</v>
      </c>
      <c r="K42" s="144">
        <v>4.2</v>
      </c>
      <c r="L42" s="144">
        <v>6.1</v>
      </c>
      <c r="M42" s="144">
        <v>1.2</v>
      </c>
      <c r="N42" s="144">
        <v>0.4</v>
      </c>
      <c r="O42" s="144">
        <v>2.7</v>
      </c>
      <c r="P42" s="144">
        <v>4.39</v>
      </c>
    </row>
    <row r="43">
      <c r="A43" s="142">
        <v>42.0</v>
      </c>
      <c r="B43" s="143" t="s">
        <v>560</v>
      </c>
      <c r="C43" s="144" t="s">
        <v>424</v>
      </c>
      <c r="D43" s="144" t="s">
        <v>416</v>
      </c>
      <c r="E43" s="144">
        <v>70.0</v>
      </c>
      <c r="F43" s="144">
        <v>33.3</v>
      </c>
      <c r="G43" s="144" t="s">
        <v>561</v>
      </c>
      <c r="H43" s="144" t="s">
        <v>562</v>
      </c>
      <c r="I43" s="144">
        <v>2.7</v>
      </c>
      <c r="J43" s="144">
        <v>21.0</v>
      </c>
      <c r="K43" s="144">
        <v>4.1</v>
      </c>
      <c r="L43" s="144">
        <v>6.3</v>
      </c>
      <c r="M43" s="144">
        <v>1.0</v>
      </c>
      <c r="N43" s="144">
        <v>0.3</v>
      </c>
      <c r="O43" s="144">
        <v>2.3</v>
      </c>
      <c r="P43" s="144">
        <v>4.37</v>
      </c>
    </row>
    <row r="44">
      <c r="A44" s="142">
        <v>43.0</v>
      </c>
      <c r="B44" s="143" t="s">
        <v>563</v>
      </c>
      <c r="C44" s="144" t="s">
        <v>456</v>
      </c>
      <c r="D44" s="144" t="s">
        <v>465</v>
      </c>
      <c r="E44" s="144">
        <v>76.0</v>
      </c>
      <c r="F44" s="144">
        <v>34.6</v>
      </c>
      <c r="G44" s="144" t="s">
        <v>564</v>
      </c>
      <c r="H44" s="144" t="s">
        <v>565</v>
      </c>
      <c r="I44" s="144">
        <v>0.3</v>
      </c>
      <c r="J44" s="144">
        <v>17.2</v>
      </c>
      <c r="K44" s="144">
        <v>9.3</v>
      </c>
      <c r="L44" s="144">
        <v>2.9</v>
      </c>
      <c r="M44" s="144">
        <v>0.9</v>
      </c>
      <c r="N44" s="144">
        <v>1.7</v>
      </c>
      <c r="O44" s="144">
        <v>1.9</v>
      </c>
      <c r="P44" s="144">
        <v>4.36</v>
      </c>
    </row>
    <row r="45">
      <c r="A45" s="142">
        <v>44.0</v>
      </c>
      <c r="B45" s="143" t="s">
        <v>566</v>
      </c>
      <c r="C45" s="144" t="s">
        <v>456</v>
      </c>
      <c r="D45" s="144" t="s">
        <v>567</v>
      </c>
      <c r="E45" s="144">
        <v>65.0</v>
      </c>
      <c r="F45" s="144">
        <v>30.0</v>
      </c>
      <c r="G45" s="144" t="s">
        <v>568</v>
      </c>
      <c r="H45" s="144" t="s">
        <v>569</v>
      </c>
      <c r="I45" s="144">
        <v>1.0</v>
      </c>
      <c r="J45" s="144">
        <v>17.3</v>
      </c>
      <c r="K45" s="144">
        <v>8.2</v>
      </c>
      <c r="L45" s="144">
        <v>1.8</v>
      </c>
      <c r="M45" s="144">
        <v>0.7</v>
      </c>
      <c r="N45" s="144">
        <v>2.3</v>
      </c>
      <c r="O45" s="144">
        <v>1.8</v>
      </c>
      <c r="P45" s="144">
        <v>4.35</v>
      </c>
    </row>
    <row r="46">
      <c r="A46" s="142">
        <v>45.0</v>
      </c>
      <c r="B46" s="143" t="s">
        <v>570</v>
      </c>
      <c r="C46" s="144" t="s">
        <v>47</v>
      </c>
      <c r="D46" s="144" t="s">
        <v>507</v>
      </c>
      <c r="E46" s="144">
        <v>74.0</v>
      </c>
      <c r="F46" s="144">
        <v>28.8</v>
      </c>
      <c r="G46" s="144" t="s">
        <v>571</v>
      </c>
      <c r="H46" s="144" t="s">
        <v>572</v>
      </c>
      <c r="I46" s="144">
        <v>0.0</v>
      </c>
      <c r="J46" s="144">
        <v>11.2</v>
      </c>
      <c r="K46" s="144">
        <v>10.3</v>
      </c>
      <c r="L46" s="144">
        <v>1.1</v>
      </c>
      <c r="M46" s="144">
        <v>0.4</v>
      </c>
      <c r="N46" s="144">
        <v>2.7</v>
      </c>
      <c r="O46" s="144">
        <v>1.0</v>
      </c>
      <c r="P46" s="144">
        <v>4.29</v>
      </c>
    </row>
    <row r="47">
      <c r="A47" s="142">
        <v>46.0</v>
      </c>
      <c r="B47" s="143" t="s">
        <v>576</v>
      </c>
      <c r="C47" s="144" t="s">
        <v>47</v>
      </c>
      <c r="D47" s="144" t="s">
        <v>533</v>
      </c>
      <c r="E47" s="144">
        <v>74.0</v>
      </c>
      <c r="F47" s="144">
        <v>33.0</v>
      </c>
      <c r="G47" s="144" t="s">
        <v>577</v>
      </c>
      <c r="H47" s="144" t="s">
        <v>578</v>
      </c>
      <c r="I47" s="144">
        <v>1.5</v>
      </c>
      <c r="J47" s="144">
        <v>17.4</v>
      </c>
      <c r="K47" s="144">
        <v>11.0</v>
      </c>
      <c r="L47" s="144">
        <v>3.2</v>
      </c>
      <c r="M47" s="144">
        <v>0.7</v>
      </c>
      <c r="N47" s="144">
        <v>0.7</v>
      </c>
      <c r="O47" s="144">
        <v>1.8</v>
      </c>
      <c r="P47" s="144">
        <v>4.19</v>
      </c>
    </row>
    <row r="48">
      <c r="A48" s="142">
        <v>47.0</v>
      </c>
      <c r="B48" s="143" t="s">
        <v>579</v>
      </c>
      <c r="C48" s="144" t="s">
        <v>47</v>
      </c>
      <c r="D48" s="144" t="s">
        <v>503</v>
      </c>
      <c r="E48" s="144">
        <v>75.0</v>
      </c>
      <c r="F48" s="144">
        <v>31.0</v>
      </c>
      <c r="G48" s="144" t="s">
        <v>580</v>
      </c>
      <c r="H48" s="144" t="s">
        <v>581</v>
      </c>
      <c r="I48" s="144">
        <v>0.0</v>
      </c>
      <c r="J48" s="144">
        <v>12.0</v>
      </c>
      <c r="K48" s="144">
        <v>9.1</v>
      </c>
      <c r="L48" s="144">
        <v>1.8</v>
      </c>
      <c r="M48" s="144">
        <v>0.8</v>
      </c>
      <c r="N48" s="144">
        <v>2.4</v>
      </c>
      <c r="O48" s="144">
        <v>1.3</v>
      </c>
      <c r="P48" s="144">
        <v>4.16</v>
      </c>
    </row>
    <row r="49">
      <c r="A49" s="142">
        <v>48.0</v>
      </c>
      <c r="B49" s="143" t="s">
        <v>633</v>
      </c>
      <c r="C49" s="144" t="s">
        <v>47</v>
      </c>
      <c r="D49" s="144" t="s">
        <v>449</v>
      </c>
      <c r="E49" s="144">
        <v>72.0</v>
      </c>
      <c r="F49" s="144">
        <v>29.7</v>
      </c>
      <c r="G49" s="144" t="s">
        <v>1642</v>
      </c>
      <c r="H49" s="144" t="s">
        <v>1234</v>
      </c>
      <c r="I49" s="144">
        <v>1.6</v>
      </c>
      <c r="J49" s="144">
        <v>14.3</v>
      </c>
      <c r="K49" s="144">
        <v>5.9</v>
      </c>
      <c r="L49" s="144">
        <v>1.1</v>
      </c>
      <c r="M49" s="144">
        <v>0.5</v>
      </c>
      <c r="N49" s="144">
        <v>2.2</v>
      </c>
      <c r="O49" s="144">
        <v>1.2</v>
      </c>
      <c r="P49" s="144">
        <v>4.03</v>
      </c>
    </row>
    <row r="50">
      <c r="A50" s="142">
        <v>49.0</v>
      </c>
      <c r="B50" s="143" t="s">
        <v>586</v>
      </c>
      <c r="C50" s="144" t="s">
        <v>456</v>
      </c>
      <c r="D50" s="144" t="s">
        <v>587</v>
      </c>
      <c r="E50" s="144">
        <v>70.0</v>
      </c>
      <c r="F50" s="144">
        <v>35.4</v>
      </c>
      <c r="G50" s="144" t="s">
        <v>588</v>
      </c>
      <c r="H50" s="144" t="s">
        <v>589</v>
      </c>
      <c r="I50" s="144">
        <v>1.2</v>
      </c>
      <c r="J50" s="144">
        <v>22.1</v>
      </c>
      <c r="K50" s="144">
        <v>7.8</v>
      </c>
      <c r="L50" s="144">
        <v>5.7</v>
      </c>
      <c r="M50" s="144">
        <v>1.0</v>
      </c>
      <c r="N50" s="144">
        <v>0.5</v>
      </c>
      <c r="O50" s="144">
        <v>2.4</v>
      </c>
      <c r="P50" s="144">
        <v>3.97</v>
      </c>
    </row>
    <row r="51">
      <c r="A51" s="142">
        <v>50.0</v>
      </c>
      <c r="B51" s="143" t="s">
        <v>573</v>
      </c>
      <c r="C51" s="144" t="s">
        <v>424</v>
      </c>
      <c r="D51" s="144" t="s">
        <v>420</v>
      </c>
      <c r="E51" s="144">
        <v>70.0</v>
      </c>
      <c r="F51" s="144">
        <v>34.0</v>
      </c>
      <c r="G51" s="144" t="s">
        <v>1643</v>
      </c>
      <c r="H51" s="144" t="s">
        <v>1644</v>
      </c>
      <c r="I51" s="144">
        <v>2.9</v>
      </c>
      <c r="J51" s="144">
        <v>20.7</v>
      </c>
      <c r="K51" s="144">
        <v>3.2</v>
      </c>
      <c r="L51" s="144">
        <v>4.3</v>
      </c>
      <c r="M51" s="144">
        <v>0.8</v>
      </c>
      <c r="N51" s="144">
        <v>0.3</v>
      </c>
      <c r="O51" s="144">
        <v>1.3</v>
      </c>
      <c r="P51" s="144">
        <v>3.96</v>
      </c>
    </row>
    <row r="52">
      <c r="A52" s="142">
        <v>51.0</v>
      </c>
      <c r="B52" s="143" t="s">
        <v>17</v>
      </c>
      <c r="C52" s="144" t="s">
        <v>424</v>
      </c>
      <c r="D52" s="144" t="s">
        <v>590</v>
      </c>
      <c r="E52" s="144">
        <v>78.0</v>
      </c>
      <c r="F52" s="144">
        <v>33.5</v>
      </c>
      <c r="G52" s="144" t="s">
        <v>591</v>
      </c>
      <c r="H52" s="144" t="s">
        <v>592</v>
      </c>
      <c r="I52" s="144">
        <v>3.0</v>
      </c>
      <c r="J52" s="144">
        <v>22.0</v>
      </c>
      <c r="K52" s="144">
        <v>3.5</v>
      </c>
      <c r="L52" s="144">
        <v>4.8</v>
      </c>
      <c r="M52" s="144">
        <v>0.9</v>
      </c>
      <c r="N52" s="144">
        <v>0.3</v>
      </c>
      <c r="O52" s="144">
        <v>3.1</v>
      </c>
      <c r="P52" s="144">
        <v>3.94</v>
      </c>
    </row>
    <row r="53">
      <c r="A53" s="142">
        <v>52.0</v>
      </c>
      <c r="B53" s="143" t="s">
        <v>602</v>
      </c>
      <c r="C53" s="144" t="s">
        <v>514</v>
      </c>
      <c r="D53" s="144" t="s">
        <v>603</v>
      </c>
      <c r="E53" s="144">
        <v>60.0</v>
      </c>
      <c r="F53" s="144">
        <v>34.2</v>
      </c>
      <c r="G53" s="144" t="s">
        <v>1645</v>
      </c>
      <c r="H53" s="144" t="s">
        <v>1646</v>
      </c>
      <c r="I53" s="144">
        <v>1.4</v>
      </c>
      <c r="J53" s="144">
        <v>23.1</v>
      </c>
      <c r="K53" s="144">
        <v>5.5</v>
      </c>
      <c r="L53" s="144">
        <v>5.6</v>
      </c>
      <c r="M53" s="144">
        <v>0.7</v>
      </c>
      <c r="N53" s="144">
        <v>0.4</v>
      </c>
      <c r="O53" s="144">
        <v>2.9</v>
      </c>
      <c r="P53" s="144">
        <v>3.8</v>
      </c>
    </row>
    <row r="54">
      <c r="A54" s="142">
        <v>53.0</v>
      </c>
      <c r="B54" s="143" t="s">
        <v>596</v>
      </c>
      <c r="C54" s="144" t="s">
        <v>47</v>
      </c>
      <c r="D54" s="144" t="s">
        <v>465</v>
      </c>
      <c r="E54" s="144">
        <v>68.0</v>
      </c>
      <c r="F54" s="144">
        <v>32.5</v>
      </c>
      <c r="G54" s="144" t="s">
        <v>597</v>
      </c>
      <c r="H54" s="144" t="s">
        <v>598</v>
      </c>
      <c r="I54" s="144">
        <v>0.0</v>
      </c>
      <c r="J54" s="144">
        <v>14.1</v>
      </c>
      <c r="K54" s="144">
        <v>9.7</v>
      </c>
      <c r="L54" s="144">
        <v>1.5</v>
      </c>
      <c r="M54" s="144">
        <v>0.7</v>
      </c>
      <c r="N54" s="144">
        <v>1.2</v>
      </c>
      <c r="O54" s="144">
        <v>1.4</v>
      </c>
      <c r="P54" s="144">
        <v>3.77</v>
      </c>
    </row>
    <row r="55">
      <c r="A55" s="142">
        <v>54.0</v>
      </c>
      <c r="B55" s="143" t="s">
        <v>599</v>
      </c>
      <c r="C55" s="144" t="s">
        <v>456</v>
      </c>
      <c r="D55" s="144" t="s">
        <v>425</v>
      </c>
      <c r="E55" s="144">
        <v>64.0</v>
      </c>
      <c r="F55" s="144">
        <v>29.7</v>
      </c>
      <c r="G55" s="144" t="s">
        <v>600</v>
      </c>
      <c r="H55" s="144" t="s">
        <v>601</v>
      </c>
      <c r="I55" s="144">
        <v>1.3</v>
      </c>
      <c r="J55" s="144">
        <v>14.3</v>
      </c>
      <c r="K55" s="144">
        <v>9.2</v>
      </c>
      <c r="L55" s="144">
        <v>1.6</v>
      </c>
      <c r="M55" s="144">
        <v>0.5</v>
      </c>
      <c r="N55" s="144">
        <v>2.0</v>
      </c>
      <c r="O55" s="144">
        <v>1.2</v>
      </c>
      <c r="P55" s="144">
        <v>3.75</v>
      </c>
    </row>
    <row r="56">
      <c r="A56" s="142">
        <v>55.0</v>
      </c>
      <c r="B56" s="143" t="s">
        <v>606</v>
      </c>
      <c r="C56" s="144" t="s">
        <v>456</v>
      </c>
      <c r="D56" s="144" t="s">
        <v>603</v>
      </c>
      <c r="E56" s="144">
        <v>52.0</v>
      </c>
      <c r="F56" s="144">
        <v>33.1</v>
      </c>
      <c r="G56" s="144" t="s">
        <v>607</v>
      </c>
      <c r="H56" s="144" t="s">
        <v>608</v>
      </c>
      <c r="I56" s="144">
        <v>0.2</v>
      </c>
      <c r="J56" s="144">
        <v>25.3</v>
      </c>
      <c r="K56" s="144">
        <v>6.8</v>
      </c>
      <c r="L56" s="144">
        <v>4.5</v>
      </c>
      <c r="M56" s="144">
        <v>1.0</v>
      </c>
      <c r="N56" s="144">
        <v>0.5</v>
      </c>
      <c r="O56" s="144">
        <v>3.4</v>
      </c>
      <c r="P56" s="144">
        <v>3.67</v>
      </c>
    </row>
    <row r="57">
      <c r="A57" s="142">
        <v>56.0</v>
      </c>
      <c r="B57" s="143" t="s">
        <v>609</v>
      </c>
      <c r="C57" s="144" t="s">
        <v>43</v>
      </c>
      <c r="D57" s="144" t="s">
        <v>480</v>
      </c>
      <c r="E57" s="144">
        <v>48.0</v>
      </c>
      <c r="F57" s="144">
        <v>32.1</v>
      </c>
      <c r="G57" s="144" t="s">
        <v>610</v>
      </c>
      <c r="H57" s="144" t="s">
        <v>611</v>
      </c>
      <c r="I57" s="144">
        <v>1.5</v>
      </c>
      <c r="J57" s="144">
        <v>26.5</v>
      </c>
      <c r="K57" s="144">
        <v>5.8</v>
      </c>
      <c r="L57" s="144">
        <v>7.1</v>
      </c>
      <c r="M57" s="144">
        <v>1.1</v>
      </c>
      <c r="N57" s="144">
        <v>0.3</v>
      </c>
      <c r="O57" s="144">
        <v>3.4</v>
      </c>
      <c r="P57" s="144">
        <v>3.61</v>
      </c>
    </row>
    <row r="58">
      <c r="A58" s="142">
        <v>57.0</v>
      </c>
      <c r="B58" s="143" t="s">
        <v>582</v>
      </c>
      <c r="C58" s="144" t="s">
        <v>47</v>
      </c>
      <c r="D58" s="144" t="s">
        <v>445</v>
      </c>
      <c r="E58" s="144">
        <v>69.0</v>
      </c>
      <c r="F58" s="144">
        <v>30.6</v>
      </c>
      <c r="G58" s="144" t="s">
        <v>1647</v>
      </c>
      <c r="H58" s="144" t="s">
        <v>1648</v>
      </c>
      <c r="I58" s="144">
        <v>0.1</v>
      </c>
      <c r="J58" s="144">
        <v>16.2</v>
      </c>
      <c r="K58" s="144">
        <v>10.4</v>
      </c>
      <c r="L58" s="144">
        <v>1.6</v>
      </c>
      <c r="M58" s="144">
        <v>0.6</v>
      </c>
      <c r="N58" s="144">
        <v>0.8</v>
      </c>
      <c r="O58" s="144">
        <v>1.7</v>
      </c>
      <c r="P58" s="144">
        <v>3.61</v>
      </c>
    </row>
    <row r="59">
      <c r="A59" s="142">
        <v>58.0</v>
      </c>
      <c r="B59" s="143" t="s">
        <v>612</v>
      </c>
      <c r="C59" s="144" t="s">
        <v>424</v>
      </c>
      <c r="D59" s="144" t="s">
        <v>445</v>
      </c>
      <c r="E59" s="144">
        <v>62.0</v>
      </c>
      <c r="F59" s="144">
        <v>33.6</v>
      </c>
      <c r="G59" s="144" t="s">
        <v>613</v>
      </c>
      <c r="H59" s="144" t="s">
        <v>614</v>
      </c>
      <c r="I59" s="144">
        <v>1.6</v>
      </c>
      <c r="J59" s="144">
        <v>20.8</v>
      </c>
      <c r="K59" s="144">
        <v>4.2</v>
      </c>
      <c r="L59" s="144">
        <v>5.7</v>
      </c>
      <c r="M59" s="144">
        <v>0.9</v>
      </c>
      <c r="N59" s="144">
        <v>0.5</v>
      </c>
      <c r="O59" s="144">
        <v>3.1</v>
      </c>
      <c r="P59" s="144">
        <v>3.56</v>
      </c>
    </row>
    <row r="60">
      <c r="A60" s="142">
        <v>59.0</v>
      </c>
      <c r="B60" s="143" t="s">
        <v>647</v>
      </c>
      <c r="C60" s="144" t="s">
        <v>432</v>
      </c>
      <c r="D60" s="144" t="s">
        <v>449</v>
      </c>
      <c r="E60" s="144">
        <v>65.0</v>
      </c>
      <c r="F60" s="144">
        <v>31.0</v>
      </c>
      <c r="G60" s="144" t="s">
        <v>1649</v>
      </c>
      <c r="H60" s="144" t="s">
        <v>1650</v>
      </c>
      <c r="I60" s="144">
        <v>2.2</v>
      </c>
      <c r="J60" s="144">
        <v>18.8</v>
      </c>
      <c r="K60" s="144">
        <v>5.1</v>
      </c>
      <c r="L60" s="144">
        <v>5.2</v>
      </c>
      <c r="M60" s="144">
        <v>1.0</v>
      </c>
      <c r="N60" s="144">
        <v>0.2</v>
      </c>
      <c r="O60" s="144">
        <v>2.7</v>
      </c>
      <c r="P60" s="144">
        <v>3.54</v>
      </c>
    </row>
    <row r="61">
      <c r="A61" s="142">
        <v>60.0</v>
      </c>
      <c r="B61" s="143" t="s">
        <v>615</v>
      </c>
      <c r="C61" s="144" t="s">
        <v>47</v>
      </c>
      <c r="D61" s="144" t="s">
        <v>537</v>
      </c>
      <c r="E61" s="144">
        <v>74.0</v>
      </c>
      <c r="F61" s="144">
        <v>30.1</v>
      </c>
      <c r="G61" s="144" t="s">
        <v>616</v>
      </c>
      <c r="H61" s="144" t="s">
        <v>617</v>
      </c>
      <c r="I61" s="144">
        <v>0.5</v>
      </c>
      <c r="J61" s="144">
        <v>15.6</v>
      </c>
      <c r="K61" s="144">
        <v>9.1</v>
      </c>
      <c r="L61" s="144">
        <v>4.0</v>
      </c>
      <c r="M61" s="144">
        <v>1.0</v>
      </c>
      <c r="N61" s="144">
        <v>1.0</v>
      </c>
      <c r="O61" s="144">
        <v>2.8</v>
      </c>
      <c r="P61" s="144">
        <v>3.51</v>
      </c>
    </row>
    <row r="62">
      <c r="A62" s="142">
        <v>61.0</v>
      </c>
      <c r="B62" s="143" t="s">
        <v>618</v>
      </c>
      <c r="C62" s="144" t="s">
        <v>514</v>
      </c>
      <c r="D62" s="144" t="s">
        <v>619</v>
      </c>
      <c r="E62" s="144">
        <v>78.0</v>
      </c>
      <c r="F62" s="144">
        <v>33.1</v>
      </c>
      <c r="G62" s="144" t="s">
        <v>620</v>
      </c>
      <c r="H62" s="144" t="s">
        <v>621</v>
      </c>
      <c r="I62" s="144">
        <v>1.7</v>
      </c>
      <c r="J62" s="144">
        <v>18.8</v>
      </c>
      <c r="K62" s="144">
        <v>4.6</v>
      </c>
      <c r="L62" s="144">
        <v>3.6</v>
      </c>
      <c r="M62" s="144">
        <v>1.1</v>
      </c>
      <c r="N62" s="144">
        <v>0.3</v>
      </c>
      <c r="O62" s="144">
        <v>2.0</v>
      </c>
      <c r="P62" s="144">
        <v>3.48</v>
      </c>
    </row>
    <row r="63">
      <c r="A63" s="142">
        <v>62.0</v>
      </c>
      <c r="B63" s="143" t="s">
        <v>622</v>
      </c>
      <c r="C63" s="144" t="s">
        <v>432</v>
      </c>
      <c r="D63" s="144" t="s">
        <v>503</v>
      </c>
      <c r="E63" s="144">
        <v>68.0</v>
      </c>
      <c r="F63" s="144">
        <v>31.9</v>
      </c>
      <c r="G63" s="144" t="s">
        <v>623</v>
      </c>
      <c r="H63" s="144" t="s">
        <v>624</v>
      </c>
      <c r="I63" s="144">
        <v>3.0</v>
      </c>
      <c r="J63" s="144">
        <v>16.2</v>
      </c>
      <c r="K63" s="144">
        <v>5.0</v>
      </c>
      <c r="L63" s="144">
        <v>2.0</v>
      </c>
      <c r="M63" s="144">
        <v>1.3</v>
      </c>
      <c r="N63" s="144">
        <v>0.3</v>
      </c>
      <c r="O63" s="144">
        <v>0.9</v>
      </c>
      <c r="P63" s="144">
        <v>3.45</v>
      </c>
    </row>
    <row r="64">
      <c r="A64" s="142">
        <v>63.0</v>
      </c>
      <c r="B64" s="143" t="s">
        <v>627</v>
      </c>
      <c r="C64" s="144" t="s">
        <v>46</v>
      </c>
      <c r="D64" s="144" t="s">
        <v>590</v>
      </c>
      <c r="E64" s="144">
        <v>76.0</v>
      </c>
      <c r="F64" s="144">
        <v>28.8</v>
      </c>
      <c r="G64" s="144" t="s">
        <v>628</v>
      </c>
      <c r="H64" s="144" t="s">
        <v>629</v>
      </c>
      <c r="I64" s="144">
        <v>0.0</v>
      </c>
      <c r="J64" s="144">
        <v>12.8</v>
      </c>
      <c r="K64" s="144">
        <v>7.8</v>
      </c>
      <c r="L64" s="144">
        <v>1.4</v>
      </c>
      <c r="M64" s="144">
        <v>0.6</v>
      </c>
      <c r="N64" s="144">
        <v>1.7</v>
      </c>
      <c r="O64" s="144">
        <v>1.4</v>
      </c>
      <c r="P64" s="144">
        <v>3.4</v>
      </c>
    </row>
    <row r="65">
      <c r="A65" s="142">
        <v>64.0</v>
      </c>
      <c r="B65" s="143" t="s">
        <v>659</v>
      </c>
      <c r="C65" s="144" t="s">
        <v>46</v>
      </c>
      <c r="D65" s="144" t="s">
        <v>583</v>
      </c>
      <c r="E65" s="144">
        <v>65.0</v>
      </c>
      <c r="F65" s="144">
        <v>35.8</v>
      </c>
      <c r="G65" s="144" t="s">
        <v>1651</v>
      </c>
      <c r="H65" s="144" t="s">
        <v>1652</v>
      </c>
      <c r="I65" s="144">
        <v>2.2</v>
      </c>
      <c r="J65" s="144">
        <v>20.7</v>
      </c>
      <c r="K65" s="144">
        <v>4.6</v>
      </c>
      <c r="L65" s="144">
        <v>2.5</v>
      </c>
      <c r="M65" s="144">
        <v>0.9</v>
      </c>
      <c r="N65" s="144">
        <v>0.9</v>
      </c>
      <c r="O65" s="144">
        <v>1.9</v>
      </c>
      <c r="P65" s="144">
        <v>3.39</v>
      </c>
    </row>
    <row r="66">
      <c r="A66" s="142">
        <v>65.0</v>
      </c>
      <c r="B66" s="143" t="s">
        <v>630</v>
      </c>
      <c r="C66" s="144" t="s">
        <v>469</v>
      </c>
      <c r="D66" s="144" t="s">
        <v>567</v>
      </c>
      <c r="E66" s="144">
        <v>69.0</v>
      </c>
      <c r="F66" s="144">
        <v>32.0</v>
      </c>
      <c r="G66" s="144" t="s">
        <v>631</v>
      </c>
      <c r="H66" s="144" t="s">
        <v>632</v>
      </c>
      <c r="I66" s="144">
        <v>2.9</v>
      </c>
      <c r="J66" s="144">
        <v>18.3</v>
      </c>
      <c r="K66" s="144">
        <v>4.3</v>
      </c>
      <c r="L66" s="144">
        <v>3.8</v>
      </c>
      <c r="M66" s="144">
        <v>1.2</v>
      </c>
      <c r="N66" s="144">
        <v>0.6</v>
      </c>
      <c r="O66" s="144">
        <v>1.2</v>
      </c>
      <c r="P66" s="144">
        <v>3.37</v>
      </c>
    </row>
    <row r="67">
      <c r="A67" s="142">
        <v>66.0</v>
      </c>
      <c r="B67" s="143" t="s">
        <v>726</v>
      </c>
      <c r="C67" s="144" t="s">
        <v>47</v>
      </c>
      <c r="D67" s="144" t="s">
        <v>433</v>
      </c>
      <c r="E67" s="144">
        <v>61.0</v>
      </c>
      <c r="F67" s="144">
        <v>26.4</v>
      </c>
      <c r="G67" s="144" t="s">
        <v>1653</v>
      </c>
      <c r="H67" s="144" t="s">
        <v>1654</v>
      </c>
      <c r="I67" s="144">
        <v>0.0</v>
      </c>
      <c r="J67" s="144">
        <v>8.8</v>
      </c>
      <c r="K67" s="144">
        <v>8.8</v>
      </c>
      <c r="L67" s="144">
        <v>1.7</v>
      </c>
      <c r="M67" s="144">
        <v>0.7</v>
      </c>
      <c r="N67" s="144">
        <v>1.6</v>
      </c>
      <c r="O67" s="144">
        <v>1.0</v>
      </c>
      <c r="P67" s="144">
        <v>3.34</v>
      </c>
    </row>
    <row r="68">
      <c r="A68" s="142">
        <v>67.0</v>
      </c>
      <c r="B68" s="143" t="s">
        <v>636</v>
      </c>
      <c r="C68" s="144" t="s">
        <v>47</v>
      </c>
      <c r="D68" s="144" t="s">
        <v>473</v>
      </c>
      <c r="E68" s="144">
        <v>76.0</v>
      </c>
      <c r="F68" s="144">
        <v>26.0</v>
      </c>
      <c r="G68" s="144" t="s">
        <v>637</v>
      </c>
      <c r="H68" s="144" t="s">
        <v>638</v>
      </c>
      <c r="I68" s="144">
        <v>0.0</v>
      </c>
      <c r="J68" s="144">
        <v>11.0</v>
      </c>
      <c r="K68" s="144">
        <v>8.0</v>
      </c>
      <c r="L68" s="144">
        <v>1.2</v>
      </c>
      <c r="M68" s="144">
        <v>0.8</v>
      </c>
      <c r="N68" s="144">
        <v>1.5</v>
      </c>
      <c r="O68" s="144">
        <v>1.2</v>
      </c>
      <c r="P68" s="144">
        <v>3.31</v>
      </c>
    </row>
    <row r="69">
      <c r="A69" s="142">
        <v>68.0</v>
      </c>
      <c r="B69" s="143" t="s">
        <v>639</v>
      </c>
      <c r="C69" s="144" t="s">
        <v>469</v>
      </c>
      <c r="D69" s="144" t="s">
        <v>425</v>
      </c>
      <c r="E69" s="144">
        <v>74.0</v>
      </c>
      <c r="F69" s="144">
        <v>31.9</v>
      </c>
      <c r="G69" s="144" t="s">
        <v>640</v>
      </c>
      <c r="H69" s="144" t="s">
        <v>641</v>
      </c>
      <c r="I69" s="144">
        <v>1.0</v>
      </c>
      <c r="J69" s="144">
        <v>15.0</v>
      </c>
      <c r="K69" s="144">
        <v>4.8</v>
      </c>
      <c r="L69" s="144">
        <v>3.5</v>
      </c>
      <c r="M69" s="144">
        <v>1.5</v>
      </c>
      <c r="N69" s="144">
        <v>0.5</v>
      </c>
      <c r="O69" s="144">
        <v>1.7</v>
      </c>
      <c r="P69" s="144">
        <v>3.23</v>
      </c>
    </row>
    <row r="70">
      <c r="A70" s="142">
        <v>69.0</v>
      </c>
      <c r="B70" s="143" t="s">
        <v>18</v>
      </c>
      <c r="C70" s="144" t="s">
        <v>469</v>
      </c>
      <c r="D70" s="144" t="s">
        <v>587</v>
      </c>
      <c r="E70" s="144">
        <v>68.0</v>
      </c>
      <c r="F70" s="144">
        <v>33.6</v>
      </c>
      <c r="G70" s="144" t="s">
        <v>642</v>
      </c>
      <c r="H70" s="144" t="s">
        <v>643</v>
      </c>
      <c r="I70" s="144">
        <v>2.1</v>
      </c>
      <c r="J70" s="144">
        <v>16.1</v>
      </c>
      <c r="K70" s="144">
        <v>4.9</v>
      </c>
      <c r="L70" s="144">
        <v>2.1</v>
      </c>
      <c r="M70" s="144">
        <v>1.6</v>
      </c>
      <c r="N70" s="144">
        <v>0.6</v>
      </c>
      <c r="O70" s="144">
        <v>1.8</v>
      </c>
      <c r="P70" s="144">
        <v>3.21</v>
      </c>
    </row>
    <row r="71">
      <c r="A71" s="142">
        <v>70.0</v>
      </c>
      <c r="B71" s="143" t="s">
        <v>720</v>
      </c>
      <c r="C71" s="144" t="s">
        <v>424</v>
      </c>
      <c r="D71" s="144" t="s">
        <v>433</v>
      </c>
      <c r="E71" s="144">
        <v>77.0</v>
      </c>
      <c r="F71" s="144">
        <v>31.8</v>
      </c>
      <c r="G71" s="144" t="s">
        <v>1655</v>
      </c>
      <c r="H71" s="144" t="s">
        <v>1656</v>
      </c>
      <c r="I71" s="144">
        <v>1.9</v>
      </c>
      <c r="J71" s="144">
        <v>14.3</v>
      </c>
      <c r="K71" s="144">
        <v>3.9</v>
      </c>
      <c r="L71" s="144">
        <v>4.9</v>
      </c>
      <c r="M71" s="144">
        <v>0.8</v>
      </c>
      <c r="N71" s="144">
        <v>1.0</v>
      </c>
      <c r="O71" s="144">
        <v>1.5</v>
      </c>
      <c r="P71" s="144">
        <v>3.16</v>
      </c>
    </row>
    <row r="72">
      <c r="A72" s="142">
        <v>71.0</v>
      </c>
      <c r="B72" s="143" t="s">
        <v>644</v>
      </c>
      <c r="C72" s="144" t="s">
        <v>47</v>
      </c>
      <c r="D72" s="144" t="s">
        <v>461</v>
      </c>
      <c r="E72" s="144">
        <v>70.0</v>
      </c>
      <c r="F72" s="144">
        <v>28.4</v>
      </c>
      <c r="G72" s="144" t="s">
        <v>645</v>
      </c>
      <c r="H72" s="144" t="s">
        <v>646</v>
      </c>
      <c r="I72" s="144">
        <v>0.0</v>
      </c>
      <c r="J72" s="144">
        <v>12.6</v>
      </c>
      <c r="K72" s="144">
        <v>9.9</v>
      </c>
      <c r="L72" s="144">
        <v>0.6</v>
      </c>
      <c r="M72" s="144">
        <v>0.9</v>
      </c>
      <c r="N72" s="144">
        <v>1.4</v>
      </c>
      <c r="O72" s="144">
        <v>1.3</v>
      </c>
      <c r="P72" s="144">
        <v>3.14</v>
      </c>
    </row>
    <row r="73">
      <c r="A73" s="142">
        <v>72.0</v>
      </c>
      <c r="B73" s="143" t="s">
        <v>650</v>
      </c>
      <c r="C73" s="144" t="s">
        <v>46</v>
      </c>
      <c r="D73" s="144" t="s">
        <v>547</v>
      </c>
      <c r="E73" s="144">
        <v>74.0</v>
      </c>
      <c r="F73" s="144">
        <v>35.4</v>
      </c>
      <c r="G73" s="144" t="s">
        <v>651</v>
      </c>
      <c r="H73" s="144" t="s">
        <v>652</v>
      </c>
      <c r="I73" s="144">
        <v>2.3</v>
      </c>
      <c r="J73" s="144">
        <v>22.9</v>
      </c>
      <c r="K73" s="144">
        <v>10.0</v>
      </c>
      <c r="L73" s="144">
        <v>4.7</v>
      </c>
      <c r="M73" s="144">
        <v>0.7</v>
      </c>
      <c r="N73" s="144">
        <v>0.4</v>
      </c>
      <c r="O73" s="144">
        <v>3.1</v>
      </c>
      <c r="P73" s="144">
        <v>3.03</v>
      </c>
    </row>
    <row r="74">
      <c r="A74" s="142">
        <v>73.0</v>
      </c>
      <c r="B74" s="143" t="s">
        <v>653</v>
      </c>
      <c r="C74" s="144" t="s">
        <v>469</v>
      </c>
      <c r="D74" s="144" t="s">
        <v>547</v>
      </c>
      <c r="E74" s="144">
        <v>74.0</v>
      </c>
      <c r="F74" s="144">
        <v>32.0</v>
      </c>
      <c r="G74" s="144" t="s">
        <v>654</v>
      </c>
      <c r="H74" s="144" t="s">
        <v>655</v>
      </c>
      <c r="I74" s="144">
        <v>1.0</v>
      </c>
      <c r="J74" s="144">
        <v>11.8</v>
      </c>
      <c r="K74" s="144">
        <v>7.5</v>
      </c>
      <c r="L74" s="144">
        <v>3.9</v>
      </c>
      <c r="M74" s="144">
        <v>1.4</v>
      </c>
      <c r="N74" s="144">
        <v>0.5</v>
      </c>
      <c r="O74" s="144">
        <v>1.8</v>
      </c>
      <c r="P74" s="144">
        <v>2.92</v>
      </c>
    </row>
    <row r="75">
      <c r="A75" s="142">
        <v>74.0</v>
      </c>
      <c r="B75" s="143" t="s">
        <v>656</v>
      </c>
      <c r="C75" s="144" t="s">
        <v>424</v>
      </c>
      <c r="D75" s="144" t="s">
        <v>487</v>
      </c>
      <c r="E75" s="144">
        <v>67.0</v>
      </c>
      <c r="F75" s="144">
        <v>34.0</v>
      </c>
      <c r="G75" s="144" t="s">
        <v>657</v>
      </c>
      <c r="H75" s="144" t="s">
        <v>658</v>
      </c>
      <c r="I75" s="144">
        <v>2.9</v>
      </c>
      <c r="J75" s="144">
        <v>20.8</v>
      </c>
      <c r="K75" s="144">
        <v>5.3</v>
      </c>
      <c r="L75" s="144">
        <v>4.2</v>
      </c>
      <c r="M75" s="144">
        <v>0.7</v>
      </c>
      <c r="N75" s="144">
        <v>0.2</v>
      </c>
      <c r="O75" s="144">
        <v>2.5</v>
      </c>
      <c r="P75" s="144">
        <v>2.8</v>
      </c>
    </row>
    <row r="76">
      <c r="A76" s="142">
        <v>75.0</v>
      </c>
      <c r="B76" s="143" t="s">
        <v>19</v>
      </c>
      <c r="C76" s="144" t="s">
        <v>424</v>
      </c>
      <c r="D76" s="144" t="s">
        <v>619</v>
      </c>
      <c r="E76" s="144">
        <v>60.0</v>
      </c>
      <c r="F76" s="144">
        <v>29.6</v>
      </c>
      <c r="G76" s="144" t="s">
        <v>662</v>
      </c>
      <c r="H76" s="144" t="s">
        <v>663</v>
      </c>
      <c r="I76" s="144">
        <v>0.4</v>
      </c>
      <c r="J76" s="144">
        <v>14.4</v>
      </c>
      <c r="K76" s="144">
        <v>4.0</v>
      </c>
      <c r="L76" s="144">
        <v>6.2</v>
      </c>
      <c r="M76" s="144">
        <v>1.5</v>
      </c>
      <c r="N76" s="144">
        <v>0.4</v>
      </c>
      <c r="O76" s="144">
        <v>2.5</v>
      </c>
      <c r="P76" s="144">
        <v>2.65</v>
      </c>
    </row>
    <row r="77">
      <c r="A77" s="142">
        <v>76.0</v>
      </c>
      <c r="B77" s="143" t="s">
        <v>664</v>
      </c>
      <c r="C77" s="144" t="s">
        <v>424</v>
      </c>
      <c r="D77" s="144" t="s">
        <v>461</v>
      </c>
      <c r="E77" s="144">
        <v>68.0</v>
      </c>
      <c r="F77" s="144">
        <v>33.2</v>
      </c>
      <c r="G77" s="144" t="s">
        <v>665</v>
      </c>
      <c r="H77" s="144" t="s">
        <v>666</v>
      </c>
      <c r="I77" s="144">
        <v>2.8</v>
      </c>
      <c r="J77" s="144">
        <v>19.6</v>
      </c>
      <c r="K77" s="144">
        <v>4.1</v>
      </c>
      <c r="L77" s="144">
        <v>4.6</v>
      </c>
      <c r="M77" s="144">
        <v>1.2</v>
      </c>
      <c r="N77" s="144">
        <v>0.3</v>
      </c>
      <c r="O77" s="144">
        <v>1.7</v>
      </c>
      <c r="P77" s="144">
        <v>2.65</v>
      </c>
    </row>
    <row r="78">
      <c r="A78" s="142">
        <v>77.0</v>
      </c>
      <c r="B78" s="143" t="s">
        <v>667</v>
      </c>
      <c r="C78" s="144" t="s">
        <v>47</v>
      </c>
      <c r="D78" s="144" t="s">
        <v>398</v>
      </c>
      <c r="E78" s="144">
        <v>68.0</v>
      </c>
      <c r="F78" s="144">
        <v>30.6</v>
      </c>
      <c r="G78" s="144" t="s">
        <v>668</v>
      </c>
      <c r="H78" s="144" t="s">
        <v>669</v>
      </c>
      <c r="I78" s="144">
        <v>0.0</v>
      </c>
      <c r="J78" s="144">
        <v>13.5</v>
      </c>
      <c r="K78" s="144">
        <v>11.5</v>
      </c>
      <c r="L78" s="144">
        <v>1.1</v>
      </c>
      <c r="M78" s="144">
        <v>0.7</v>
      </c>
      <c r="N78" s="144">
        <v>1.4</v>
      </c>
      <c r="O78" s="144">
        <v>1.7</v>
      </c>
      <c r="P78" s="144">
        <v>2.63</v>
      </c>
    </row>
    <row r="79">
      <c r="A79" s="142">
        <v>78.0</v>
      </c>
      <c r="B79" s="143" t="s">
        <v>670</v>
      </c>
      <c r="C79" s="144" t="s">
        <v>432</v>
      </c>
      <c r="D79" s="144" t="s">
        <v>461</v>
      </c>
      <c r="E79" s="144">
        <v>60.0</v>
      </c>
      <c r="F79" s="144">
        <v>30.4</v>
      </c>
      <c r="G79" s="144" t="s">
        <v>671</v>
      </c>
      <c r="H79" s="144" t="s">
        <v>672</v>
      </c>
      <c r="I79" s="144">
        <v>1.7</v>
      </c>
      <c r="J79" s="144">
        <v>17.3</v>
      </c>
      <c r="K79" s="144">
        <v>6.1</v>
      </c>
      <c r="L79" s="144">
        <v>3.3</v>
      </c>
      <c r="M79" s="144">
        <v>0.8</v>
      </c>
      <c r="N79" s="144">
        <v>0.7</v>
      </c>
      <c r="O79" s="144">
        <v>1.6</v>
      </c>
      <c r="P79" s="144">
        <v>2.62</v>
      </c>
    </row>
    <row r="80">
      <c r="A80" s="142">
        <v>79.0</v>
      </c>
      <c r="B80" s="143" t="s">
        <v>673</v>
      </c>
      <c r="C80" s="144" t="s">
        <v>432</v>
      </c>
      <c r="D80" s="144" t="s">
        <v>587</v>
      </c>
      <c r="E80" s="144">
        <v>76.0</v>
      </c>
      <c r="F80" s="144">
        <v>33.2</v>
      </c>
      <c r="G80" s="144" t="s">
        <v>674</v>
      </c>
      <c r="H80" s="144" t="s">
        <v>675</v>
      </c>
      <c r="I80" s="144">
        <v>0.8</v>
      </c>
      <c r="J80" s="144">
        <v>15.0</v>
      </c>
      <c r="K80" s="144">
        <v>6.9</v>
      </c>
      <c r="L80" s="144">
        <v>5.1</v>
      </c>
      <c r="M80" s="144">
        <v>1.1</v>
      </c>
      <c r="N80" s="144">
        <v>0.8</v>
      </c>
      <c r="O80" s="144">
        <v>1.9</v>
      </c>
      <c r="P80" s="144">
        <v>2.61</v>
      </c>
    </row>
    <row r="81">
      <c r="A81" s="142">
        <v>80.0</v>
      </c>
      <c r="B81" s="143" t="s">
        <v>678</v>
      </c>
      <c r="C81" s="144" t="s">
        <v>469</v>
      </c>
      <c r="D81" s="144" t="s">
        <v>441</v>
      </c>
      <c r="E81" s="144">
        <v>68.0</v>
      </c>
      <c r="F81" s="144">
        <v>32.4</v>
      </c>
      <c r="G81" s="144" t="s">
        <v>679</v>
      </c>
      <c r="H81" s="144" t="s">
        <v>680</v>
      </c>
      <c r="I81" s="144">
        <v>4.2</v>
      </c>
      <c r="J81" s="144">
        <v>21.2</v>
      </c>
      <c r="K81" s="144">
        <v>4.0</v>
      </c>
      <c r="L81" s="144">
        <v>2.4</v>
      </c>
      <c r="M81" s="144">
        <v>0.6</v>
      </c>
      <c r="N81" s="144">
        <v>0.5</v>
      </c>
      <c r="O81" s="144">
        <v>1.6</v>
      </c>
      <c r="P81" s="144">
        <v>2.5</v>
      </c>
    </row>
    <row r="82">
      <c r="A82" s="142">
        <v>81.0</v>
      </c>
      <c r="B82" s="143" t="s">
        <v>22</v>
      </c>
      <c r="C82" s="144" t="s">
        <v>514</v>
      </c>
      <c r="D82" s="144" t="s">
        <v>425</v>
      </c>
      <c r="E82" s="144">
        <v>74.0</v>
      </c>
      <c r="F82" s="144">
        <v>31.9</v>
      </c>
      <c r="G82" s="144" t="s">
        <v>676</v>
      </c>
      <c r="H82" s="144" t="s">
        <v>677</v>
      </c>
      <c r="I82" s="144">
        <v>1.1</v>
      </c>
      <c r="J82" s="144">
        <v>17.3</v>
      </c>
      <c r="K82" s="144">
        <v>8.1</v>
      </c>
      <c r="L82" s="144">
        <v>6.5</v>
      </c>
      <c r="M82" s="144">
        <v>0.9</v>
      </c>
      <c r="N82" s="144">
        <v>0.4</v>
      </c>
      <c r="O82" s="144">
        <v>3.0</v>
      </c>
      <c r="P82" s="144">
        <v>2.49</v>
      </c>
    </row>
    <row r="83">
      <c r="A83" s="142">
        <v>82.0</v>
      </c>
      <c r="B83" s="143" t="s">
        <v>23</v>
      </c>
      <c r="C83" s="144" t="s">
        <v>424</v>
      </c>
      <c r="D83" s="144" t="s">
        <v>583</v>
      </c>
      <c r="E83" s="144">
        <v>65.0</v>
      </c>
      <c r="F83" s="144">
        <v>35.0</v>
      </c>
      <c r="G83" s="144" t="s">
        <v>625</v>
      </c>
      <c r="H83" s="144" t="s">
        <v>1657</v>
      </c>
      <c r="I83" s="144">
        <v>3.6</v>
      </c>
      <c r="J83" s="144">
        <v>21.1</v>
      </c>
      <c r="K83" s="144">
        <v>2.9</v>
      </c>
      <c r="L83" s="144">
        <v>4.4</v>
      </c>
      <c r="M83" s="144">
        <v>0.7</v>
      </c>
      <c r="N83" s="144">
        <v>0.2</v>
      </c>
      <c r="O83" s="144">
        <v>2.2</v>
      </c>
      <c r="P83" s="144">
        <v>2.48</v>
      </c>
    </row>
    <row r="84">
      <c r="A84" s="142">
        <v>83.0</v>
      </c>
      <c r="B84" s="143" t="s">
        <v>681</v>
      </c>
      <c r="C84" s="144" t="s">
        <v>43</v>
      </c>
      <c r="D84" s="144" t="s">
        <v>590</v>
      </c>
      <c r="E84" s="144">
        <v>72.0</v>
      </c>
      <c r="F84" s="144">
        <v>30.0</v>
      </c>
      <c r="G84" s="144" t="s">
        <v>682</v>
      </c>
      <c r="H84" s="144" t="s">
        <v>683</v>
      </c>
      <c r="I84" s="144">
        <v>1.9</v>
      </c>
      <c r="J84" s="144">
        <v>13.5</v>
      </c>
      <c r="K84" s="144">
        <v>3.5</v>
      </c>
      <c r="L84" s="144">
        <v>7.4</v>
      </c>
      <c r="M84" s="144">
        <v>1.4</v>
      </c>
      <c r="N84" s="144">
        <v>0.1</v>
      </c>
      <c r="O84" s="144">
        <v>1.1</v>
      </c>
      <c r="P84" s="144">
        <v>2.39</v>
      </c>
    </row>
    <row r="85">
      <c r="A85" s="142">
        <v>84.0</v>
      </c>
      <c r="B85" s="143" t="s">
        <v>684</v>
      </c>
      <c r="C85" s="144" t="s">
        <v>456</v>
      </c>
      <c r="D85" s="144" t="s">
        <v>420</v>
      </c>
      <c r="E85" s="144">
        <v>69.0</v>
      </c>
      <c r="F85" s="144">
        <v>23.8</v>
      </c>
      <c r="G85" s="144" t="s">
        <v>685</v>
      </c>
      <c r="H85" s="144" t="s">
        <v>686</v>
      </c>
      <c r="I85" s="144">
        <v>0.1</v>
      </c>
      <c r="J85" s="144">
        <v>10.2</v>
      </c>
      <c r="K85" s="144">
        <v>7.2</v>
      </c>
      <c r="L85" s="144">
        <v>1.4</v>
      </c>
      <c r="M85" s="144">
        <v>1.2</v>
      </c>
      <c r="N85" s="144">
        <v>1.4</v>
      </c>
      <c r="O85" s="144">
        <v>1.4</v>
      </c>
      <c r="P85" s="144">
        <v>2.27</v>
      </c>
    </row>
    <row r="86">
      <c r="A86" s="142">
        <v>85.0</v>
      </c>
      <c r="B86" s="143" t="s">
        <v>687</v>
      </c>
      <c r="C86" s="144" t="s">
        <v>47</v>
      </c>
      <c r="D86" s="144" t="s">
        <v>587</v>
      </c>
      <c r="E86" s="144">
        <v>70.0</v>
      </c>
      <c r="F86" s="144">
        <v>27.7</v>
      </c>
      <c r="G86" s="144" t="s">
        <v>688</v>
      </c>
      <c r="H86" s="144" t="s">
        <v>689</v>
      </c>
      <c r="I86" s="144">
        <v>0.0</v>
      </c>
      <c r="J86" s="144">
        <v>13.1</v>
      </c>
      <c r="K86" s="144">
        <v>9.3</v>
      </c>
      <c r="L86" s="144">
        <v>2.8</v>
      </c>
      <c r="M86" s="144">
        <v>0.8</v>
      </c>
      <c r="N86" s="144">
        <v>1.4</v>
      </c>
      <c r="O86" s="144">
        <v>1.7</v>
      </c>
      <c r="P86" s="144">
        <v>2.25</v>
      </c>
    </row>
    <row r="87">
      <c r="A87" s="142">
        <v>86.0</v>
      </c>
      <c r="B87" s="143" t="s">
        <v>693</v>
      </c>
      <c r="C87" s="144" t="s">
        <v>432</v>
      </c>
      <c r="D87" s="144" t="s">
        <v>590</v>
      </c>
      <c r="E87" s="144">
        <v>65.0</v>
      </c>
      <c r="F87" s="144">
        <v>35.1</v>
      </c>
      <c r="G87" s="144" t="s">
        <v>694</v>
      </c>
      <c r="H87" s="144" t="s">
        <v>695</v>
      </c>
      <c r="I87" s="144">
        <v>2.6</v>
      </c>
      <c r="J87" s="144">
        <v>22.1</v>
      </c>
      <c r="K87" s="144">
        <v>8.1</v>
      </c>
      <c r="L87" s="144">
        <v>3.8</v>
      </c>
      <c r="M87" s="144">
        <v>0.7</v>
      </c>
      <c r="N87" s="144">
        <v>0.8</v>
      </c>
      <c r="O87" s="144">
        <v>3.2</v>
      </c>
      <c r="P87" s="144">
        <v>2.14</v>
      </c>
    </row>
    <row r="88">
      <c r="A88" s="142">
        <v>87.0</v>
      </c>
      <c r="B88" s="143" t="s">
        <v>690</v>
      </c>
      <c r="C88" s="144" t="s">
        <v>424</v>
      </c>
      <c r="D88" s="144" t="s">
        <v>457</v>
      </c>
      <c r="E88" s="144">
        <v>70.0</v>
      </c>
      <c r="F88" s="144">
        <v>30.2</v>
      </c>
      <c r="G88" s="144" t="s">
        <v>691</v>
      </c>
      <c r="H88" s="144" t="s">
        <v>692</v>
      </c>
      <c r="I88" s="144">
        <v>2.6</v>
      </c>
      <c r="J88" s="144">
        <v>16.9</v>
      </c>
      <c r="K88" s="144">
        <v>3.0</v>
      </c>
      <c r="L88" s="144">
        <v>6.2</v>
      </c>
      <c r="M88" s="144">
        <v>0.9</v>
      </c>
      <c r="N88" s="144">
        <v>0.4</v>
      </c>
      <c r="O88" s="144">
        <v>2.4</v>
      </c>
      <c r="P88" s="144">
        <v>2.14</v>
      </c>
    </row>
    <row r="89">
      <c r="A89" s="142">
        <v>88.0</v>
      </c>
      <c r="B89" s="143" t="s">
        <v>696</v>
      </c>
      <c r="C89" s="144" t="s">
        <v>47</v>
      </c>
      <c r="D89" s="144" t="s">
        <v>473</v>
      </c>
      <c r="E89" s="144">
        <v>68.0</v>
      </c>
      <c r="F89" s="144">
        <v>26.3</v>
      </c>
      <c r="G89" s="144" t="s">
        <v>697</v>
      </c>
      <c r="H89" s="144" t="s">
        <v>698</v>
      </c>
      <c r="I89" s="144">
        <v>0.0</v>
      </c>
      <c r="J89" s="144">
        <v>11.4</v>
      </c>
      <c r="K89" s="144">
        <v>11.2</v>
      </c>
      <c r="L89" s="144">
        <v>1.1</v>
      </c>
      <c r="M89" s="144">
        <v>0.7</v>
      </c>
      <c r="N89" s="144">
        <v>1.2</v>
      </c>
      <c r="O89" s="144">
        <v>0.7</v>
      </c>
      <c r="P89" s="144">
        <v>2.09</v>
      </c>
    </row>
    <row r="90">
      <c r="A90" s="142">
        <v>89.0</v>
      </c>
      <c r="B90" s="143" t="s">
        <v>699</v>
      </c>
      <c r="C90" s="144" t="s">
        <v>469</v>
      </c>
      <c r="D90" s="144" t="s">
        <v>457</v>
      </c>
      <c r="E90" s="144">
        <v>71.0</v>
      </c>
      <c r="F90" s="144">
        <v>32.6</v>
      </c>
      <c r="G90" s="144" t="s">
        <v>700</v>
      </c>
      <c r="H90" s="144" t="s">
        <v>701</v>
      </c>
      <c r="I90" s="144">
        <v>1.6</v>
      </c>
      <c r="J90" s="144">
        <v>15.4</v>
      </c>
      <c r="K90" s="144">
        <v>3.3</v>
      </c>
      <c r="L90" s="144">
        <v>3.8</v>
      </c>
      <c r="M90" s="144">
        <v>0.7</v>
      </c>
      <c r="N90" s="144">
        <v>0.5</v>
      </c>
      <c r="O90" s="144">
        <v>1.6</v>
      </c>
      <c r="P90" s="144">
        <v>2.04</v>
      </c>
    </row>
    <row r="91">
      <c r="A91" s="142">
        <v>90.0</v>
      </c>
      <c r="B91" s="143" t="s">
        <v>702</v>
      </c>
      <c r="C91" s="144" t="s">
        <v>424</v>
      </c>
      <c r="D91" s="144" t="s">
        <v>603</v>
      </c>
      <c r="E91" s="144">
        <v>72.0</v>
      </c>
      <c r="F91" s="144">
        <v>34.7</v>
      </c>
      <c r="G91" s="144" t="s">
        <v>703</v>
      </c>
      <c r="H91" s="144" t="s">
        <v>704</v>
      </c>
      <c r="I91" s="144">
        <v>2.7</v>
      </c>
      <c r="J91" s="144">
        <v>20.5</v>
      </c>
      <c r="K91" s="144">
        <v>4.2</v>
      </c>
      <c r="L91" s="144">
        <v>5.2</v>
      </c>
      <c r="M91" s="144">
        <v>1.0</v>
      </c>
      <c r="N91" s="144">
        <v>0.4</v>
      </c>
      <c r="O91" s="144">
        <v>2.2</v>
      </c>
      <c r="P91" s="144">
        <v>2.04</v>
      </c>
    </row>
    <row r="92">
      <c r="A92" s="142">
        <v>91.0</v>
      </c>
      <c r="B92" s="143" t="s">
        <v>705</v>
      </c>
      <c r="C92" s="144" t="s">
        <v>456</v>
      </c>
      <c r="D92" s="144" t="s">
        <v>567</v>
      </c>
      <c r="E92" s="144">
        <v>66.0</v>
      </c>
      <c r="F92" s="144">
        <v>27.7</v>
      </c>
      <c r="G92" s="144" t="s">
        <v>706</v>
      </c>
      <c r="H92" s="144" t="s">
        <v>707</v>
      </c>
      <c r="I92" s="144">
        <v>1.0</v>
      </c>
      <c r="J92" s="144">
        <v>13.2</v>
      </c>
      <c r="K92" s="144">
        <v>7.4</v>
      </c>
      <c r="L92" s="144">
        <v>3.4</v>
      </c>
      <c r="M92" s="144">
        <v>0.7</v>
      </c>
      <c r="N92" s="144">
        <v>1.0</v>
      </c>
      <c r="O92" s="144">
        <v>2.5</v>
      </c>
      <c r="P92" s="144">
        <v>1.97</v>
      </c>
    </row>
    <row r="93">
      <c r="A93" s="142">
        <v>92.0</v>
      </c>
      <c r="B93" s="143" t="s">
        <v>714</v>
      </c>
      <c r="C93" s="144" t="s">
        <v>424</v>
      </c>
      <c r="D93" s="144" t="s">
        <v>420</v>
      </c>
      <c r="E93" s="144">
        <v>75.0</v>
      </c>
      <c r="F93" s="144">
        <v>27.9</v>
      </c>
      <c r="G93" s="144" t="s">
        <v>1658</v>
      </c>
      <c r="H93" s="144" t="s">
        <v>1659</v>
      </c>
      <c r="I93" s="144">
        <v>2.2</v>
      </c>
      <c r="J93" s="144">
        <v>11.6</v>
      </c>
      <c r="K93" s="144">
        <v>4.7</v>
      </c>
      <c r="L93" s="144">
        <v>2.9</v>
      </c>
      <c r="M93" s="144">
        <v>1.7</v>
      </c>
      <c r="N93" s="144">
        <v>0.6</v>
      </c>
      <c r="O93" s="144">
        <v>1.6</v>
      </c>
      <c r="P93" s="144">
        <v>1.93</v>
      </c>
    </row>
    <row r="94">
      <c r="A94" s="142">
        <v>93.0</v>
      </c>
      <c r="B94" s="143" t="s">
        <v>708</v>
      </c>
      <c r="C94" s="144" t="s">
        <v>46</v>
      </c>
      <c r="D94" s="144" t="s">
        <v>507</v>
      </c>
      <c r="E94" s="144">
        <v>70.0</v>
      </c>
      <c r="F94" s="144">
        <v>30.0</v>
      </c>
      <c r="G94" s="144" t="s">
        <v>709</v>
      </c>
      <c r="H94" s="144" t="s">
        <v>710</v>
      </c>
      <c r="I94" s="144">
        <v>1.1</v>
      </c>
      <c r="J94" s="144">
        <v>14.4</v>
      </c>
      <c r="K94" s="144">
        <v>7.1</v>
      </c>
      <c r="L94" s="144">
        <v>1.5</v>
      </c>
      <c r="M94" s="144">
        <v>0.6</v>
      </c>
      <c r="N94" s="144">
        <v>1.0</v>
      </c>
      <c r="O94" s="144">
        <v>1.1</v>
      </c>
      <c r="P94" s="144">
        <v>1.92</v>
      </c>
    </row>
    <row r="95">
      <c r="A95" s="142">
        <v>94.0</v>
      </c>
      <c r="B95" s="143" t="s">
        <v>711</v>
      </c>
      <c r="C95" s="144" t="s">
        <v>43</v>
      </c>
      <c r="D95" s="144" t="s">
        <v>441</v>
      </c>
      <c r="E95" s="144">
        <v>60.0</v>
      </c>
      <c r="F95" s="144">
        <v>26.8</v>
      </c>
      <c r="G95" s="144" t="s">
        <v>712</v>
      </c>
      <c r="H95" s="144" t="s">
        <v>713</v>
      </c>
      <c r="I95" s="144">
        <v>1.3</v>
      </c>
      <c r="J95" s="144">
        <v>11.6</v>
      </c>
      <c r="K95" s="144">
        <v>3.6</v>
      </c>
      <c r="L95" s="144">
        <v>7.5</v>
      </c>
      <c r="M95" s="144">
        <v>1.2</v>
      </c>
      <c r="N95" s="144">
        <v>0.3</v>
      </c>
      <c r="O95" s="144">
        <v>1.8</v>
      </c>
      <c r="P95" s="144">
        <v>1.87</v>
      </c>
    </row>
    <row r="96">
      <c r="A96" s="142">
        <v>95.0</v>
      </c>
      <c r="B96" s="143" t="s">
        <v>717</v>
      </c>
      <c r="C96" s="144" t="s">
        <v>432</v>
      </c>
      <c r="D96" s="144" t="s">
        <v>420</v>
      </c>
      <c r="E96" s="144">
        <v>73.0</v>
      </c>
      <c r="F96" s="144">
        <v>32.9</v>
      </c>
      <c r="G96" s="144" t="s">
        <v>718</v>
      </c>
      <c r="H96" s="144" t="s">
        <v>719</v>
      </c>
      <c r="I96" s="144">
        <v>1.5</v>
      </c>
      <c r="J96" s="144">
        <v>15.2</v>
      </c>
      <c r="K96" s="144">
        <v>6.0</v>
      </c>
      <c r="L96" s="144">
        <v>2.8</v>
      </c>
      <c r="M96" s="144">
        <v>0.8</v>
      </c>
      <c r="N96" s="144">
        <v>0.5</v>
      </c>
      <c r="O96" s="144">
        <v>1.3</v>
      </c>
      <c r="P96" s="144">
        <v>1.85</v>
      </c>
    </row>
    <row r="97">
      <c r="A97" s="142">
        <v>96.0</v>
      </c>
      <c r="B97" s="143" t="s">
        <v>723</v>
      </c>
      <c r="C97" s="144" t="s">
        <v>47</v>
      </c>
      <c r="D97" s="144" t="s">
        <v>603</v>
      </c>
      <c r="E97" s="144">
        <v>74.0</v>
      </c>
      <c r="F97" s="144">
        <v>25.4</v>
      </c>
      <c r="G97" s="144" t="s">
        <v>724</v>
      </c>
      <c r="H97" s="144" t="s">
        <v>725</v>
      </c>
      <c r="I97" s="144">
        <v>0.6</v>
      </c>
      <c r="J97" s="144">
        <v>14.1</v>
      </c>
      <c r="K97" s="144">
        <v>9.9</v>
      </c>
      <c r="L97" s="144">
        <v>2.0</v>
      </c>
      <c r="M97" s="144">
        <v>0.4</v>
      </c>
      <c r="N97" s="144">
        <v>0.7</v>
      </c>
      <c r="O97" s="144">
        <v>2.0</v>
      </c>
      <c r="P97" s="144">
        <v>1.79</v>
      </c>
    </row>
    <row r="98">
      <c r="A98" s="142">
        <v>97.0</v>
      </c>
      <c r="B98" s="143" t="s">
        <v>729</v>
      </c>
      <c r="C98" s="144" t="s">
        <v>432</v>
      </c>
      <c r="D98" s="144" t="s">
        <v>603</v>
      </c>
      <c r="E98" s="144">
        <v>60.0</v>
      </c>
      <c r="F98" s="144">
        <v>30.0</v>
      </c>
      <c r="G98" s="144" t="s">
        <v>730</v>
      </c>
      <c r="H98" s="144" t="s">
        <v>731</v>
      </c>
      <c r="I98" s="144">
        <v>2.5</v>
      </c>
      <c r="J98" s="144">
        <v>13.6</v>
      </c>
      <c r="K98" s="144">
        <v>3.9</v>
      </c>
      <c r="L98" s="144">
        <v>1.4</v>
      </c>
      <c r="M98" s="144">
        <v>1.0</v>
      </c>
      <c r="N98" s="144">
        <v>0.5</v>
      </c>
      <c r="O98" s="144">
        <v>0.7</v>
      </c>
      <c r="P98" s="144">
        <v>1.72</v>
      </c>
    </row>
    <row r="99">
      <c r="A99" s="142">
        <v>98.0</v>
      </c>
      <c r="B99" s="143" t="s">
        <v>732</v>
      </c>
      <c r="C99" s="144" t="s">
        <v>456</v>
      </c>
      <c r="D99" s="144" t="s">
        <v>441</v>
      </c>
      <c r="E99" s="144">
        <v>68.0</v>
      </c>
      <c r="F99" s="144">
        <v>31.3</v>
      </c>
      <c r="G99" s="144" t="s">
        <v>733</v>
      </c>
      <c r="H99" s="144" t="s">
        <v>734</v>
      </c>
      <c r="I99" s="144">
        <v>0.5</v>
      </c>
      <c r="J99" s="144">
        <v>8.4</v>
      </c>
      <c r="K99" s="144">
        <v>7.5</v>
      </c>
      <c r="L99" s="144">
        <v>6.0</v>
      </c>
      <c r="M99" s="144">
        <v>1.0</v>
      </c>
      <c r="N99" s="144">
        <v>0.7</v>
      </c>
      <c r="O99" s="144">
        <v>3.0</v>
      </c>
      <c r="P99" s="144">
        <v>1.57</v>
      </c>
    </row>
    <row r="100">
      <c r="A100" s="142">
        <v>99.0</v>
      </c>
      <c r="B100" s="143" t="s">
        <v>735</v>
      </c>
      <c r="C100" s="144" t="s">
        <v>45</v>
      </c>
      <c r="D100" s="144" t="s">
        <v>416</v>
      </c>
      <c r="E100" s="144">
        <v>65.0</v>
      </c>
      <c r="F100" s="144">
        <v>30.2</v>
      </c>
      <c r="G100" s="144" t="s">
        <v>736</v>
      </c>
      <c r="H100" s="144" t="s">
        <v>737</v>
      </c>
      <c r="I100" s="144">
        <v>2.9</v>
      </c>
      <c r="J100" s="144">
        <v>17.3</v>
      </c>
      <c r="K100" s="144">
        <v>5.9</v>
      </c>
      <c r="L100" s="144">
        <v>1.2</v>
      </c>
      <c r="M100" s="144">
        <v>0.7</v>
      </c>
      <c r="N100" s="144">
        <v>0.5</v>
      </c>
      <c r="O100" s="144">
        <v>1.2</v>
      </c>
      <c r="P100" s="144">
        <v>1.54</v>
      </c>
    </row>
    <row r="101">
      <c r="A101" s="142">
        <v>100.0</v>
      </c>
      <c r="B101" s="143" t="s">
        <v>738</v>
      </c>
      <c r="C101" s="144" t="s">
        <v>47</v>
      </c>
      <c r="D101" s="144" t="s">
        <v>547</v>
      </c>
      <c r="E101" s="144">
        <v>68.0</v>
      </c>
      <c r="F101" s="144">
        <v>26.9</v>
      </c>
      <c r="G101" s="144" t="s">
        <v>739</v>
      </c>
      <c r="H101" s="144" t="s">
        <v>740</v>
      </c>
      <c r="I101" s="144">
        <v>0.0</v>
      </c>
      <c r="J101" s="144">
        <v>8.3</v>
      </c>
      <c r="K101" s="144">
        <v>9.3</v>
      </c>
      <c r="L101" s="144">
        <v>0.7</v>
      </c>
      <c r="M101" s="144">
        <v>0.9</v>
      </c>
      <c r="N101" s="144">
        <v>1.9</v>
      </c>
      <c r="O101" s="144">
        <v>0.8</v>
      </c>
      <c r="P101" s="144">
        <v>1.5</v>
      </c>
    </row>
    <row r="102">
      <c r="A102" s="142">
        <v>101.0</v>
      </c>
      <c r="B102" s="143" t="s">
        <v>741</v>
      </c>
      <c r="C102" s="144" t="s">
        <v>432</v>
      </c>
      <c r="D102" s="144" t="s">
        <v>619</v>
      </c>
      <c r="E102" s="144">
        <v>72.0</v>
      </c>
      <c r="F102" s="144">
        <v>34.0</v>
      </c>
      <c r="G102" s="144" t="s">
        <v>742</v>
      </c>
      <c r="H102" s="144" t="s">
        <v>743</v>
      </c>
      <c r="I102" s="144">
        <v>1.3</v>
      </c>
      <c r="J102" s="144">
        <v>21.5</v>
      </c>
      <c r="K102" s="144">
        <v>7.5</v>
      </c>
      <c r="L102" s="144">
        <v>4.0</v>
      </c>
      <c r="M102" s="144">
        <v>1.0</v>
      </c>
      <c r="N102" s="144">
        <v>0.7</v>
      </c>
      <c r="O102" s="144">
        <v>2.8</v>
      </c>
      <c r="P102" s="144">
        <v>1.49</v>
      </c>
    </row>
    <row r="103">
      <c r="A103" s="142">
        <v>102.0</v>
      </c>
      <c r="B103" s="143" t="s">
        <v>747</v>
      </c>
      <c r="C103" s="144" t="s">
        <v>456</v>
      </c>
      <c r="D103" s="144" t="s">
        <v>433</v>
      </c>
      <c r="E103" s="144">
        <v>58.0</v>
      </c>
      <c r="F103" s="144">
        <v>27.8</v>
      </c>
      <c r="G103" s="144" t="s">
        <v>748</v>
      </c>
      <c r="H103" s="144" t="s">
        <v>749</v>
      </c>
      <c r="I103" s="144">
        <v>1.7</v>
      </c>
      <c r="J103" s="144">
        <v>9.4</v>
      </c>
      <c r="K103" s="144">
        <v>6.6</v>
      </c>
      <c r="L103" s="144">
        <v>3.0</v>
      </c>
      <c r="M103" s="144">
        <v>0.6</v>
      </c>
      <c r="N103" s="144">
        <v>1.1</v>
      </c>
      <c r="O103" s="144">
        <v>0.7</v>
      </c>
      <c r="P103" s="144">
        <v>1.37</v>
      </c>
    </row>
    <row r="104">
      <c r="A104" s="142">
        <v>103.0</v>
      </c>
      <c r="B104" s="143" t="s">
        <v>753</v>
      </c>
      <c r="C104" s="144" t="s">
        <v>469</v>
      </c>
      <c r="D104" s="144" t="s">
        <v>429</v>
      </c>
      <c r="E104" s="144">
        <v>76.0</v>
      </c>
      <c r="F104" s="144">
        <v>28.0</v>
      </c>
      <c r="G104" s="144" t="s">
        <v>754</v>
      </c>
      <c r="H104" s="144" t="s">
        <v>755</v>
      </c>
      <c r="I104" s="144">
        <v>3.1</v>
      </c>
      <c r="J104" s="144">
        <v>15.2</v>
      </c>
      <c r="K104" s="144">
        <v>4.3</v>
      </c>
      <c r="L104" s="144">
        <v>2.6</v>
      </c>
      <c r="M104" s="144">
        <v>0.9</v>
      </c>
      <c r="N104" s="144">
        <v>0.3</v>
      </c>
      <c r="O104" s="144">
        <v>1.7</v>
      </c>
      <c r="P104" s="144">
        <v>1.36</v>
      </c>
    </row>
    <row r="105">
      <c r="A105" s="142">
        <v>104.0</v>
      </c>
      <c r="B105" s="143" t="s">
        <v>750</v>
      </c>
      <c r="C105" s="144" t="s">
        <v>469</v>
      </c>
      <c r="D105" s="144" t="s">
        <v>554</v>
      </c>
      <c r="E105" s="144">
        <v>68.0</v>
      </c>
      <c r="F105" s="144">
        <v>31.4</v>
      </c>
      <c r="G105" s="144" t="s">
        <v>751</v>
      </c>
      <c r="H105" s="144" t="s">
        <v>752</v>
      </c>
      <c r="I105" s="144">
        <v>2.6</v>
      </c>
      <c r="J105" s="144">
        <v>19.9</v>
      </c>
      <c r="K105" s="144">
        <v>4.1</v>
      </c>
      <c r="L105" s="144">
        <v>2.1</v>
      </c>
      <c r="M105" s="144">
        <v>0.5</v>
      </c>
      <c r="N105" s="144">
        <v>0.1</v>
      </c>
      <c r="O105" s="144">
        <v>2.0</v>
      </c>
      <c r="P105" s="144">
        <v>1.36</v>
      </c>
    </row>
    <row r="106">
      <c r="A106" s="142">
        <v>105.0</v>
      </c>
      <c r="B106" s="143" t="s">
        <v>756</v>
      </c>
      <c r="C106" s="144" t="s">
        <v>432</v>
      </c>
      <c r="D106" s="144" t="s">
        <v>476</v>
      </c>
      <c r="E106" s="144">
        <v>78.0</v>
      </c>
      <c r="F106" s="144">
        <v>31.0</v>
      </c>
      <c r="G106" s="144" t="s">
        <v>757</v>
      </c>
      <c r="H106" s="144" t="s">
        <v>758</v>
      </c>
      <c r="I106" s="144">
        <v>2.7</v>
      </c>
      <c r="J106" s="144">
        <v>14.0</v>
      </c>
      <c r="K106" s="144">
        <v>4.9</v>
      </c>
      <c r="L106" s="144">
        <v>1.3</v>
      </c>
      <c r="M106" s="144">
        <v>0.9</v>
      </c>
      <c r="N106" s="144">
        <v>0.6</v>
      </c>
      <c r="O106" s="144">
        <v>0.9</v>
      </c>
      <c r="P106" s="144">
        <v>1.3</v>
      </c>
    </row>
    <row r="107">
      <c r="A107" s="142">
        <v>106.0</v>
      </c>
      <c r="B107" s="143" t="s">
        <v>878</v>
      </c>
      <c r="C107" s="144" t="s">
        <v>424</v>
      </c>
      <c r="D107" s="144" t="s">
        <v>433</v>
      </c>
      <c r="E107" s="144">
        <v>61.0</v>
      </c>
      <c r="F107" s="144">
        <v>26.7</v>
      </c>
      <c r="G107" s="144" t="s">
        <v>1660</v>
      </c>
      <c r="H107" s="144" t="s">
        <v>1661</v>
      </c>
      <c r="I107" s="144">
        <v>1.7</v>
      </c>
      <c r="J107" s="144">
        <v>15.4</v>
      </c>
      <c r="K107" s="144">
        <v>4.3</v>
      </c>
      <c r="L107" s="144">
        <v>4.2</v>
      </c>
      <c r="M107" s="144">
        <v>0.7</v>
      </c>
      <c r="N107" s="144">
        <v>0.3</v>
      </c>
      <c r="O107" s="144">
        <v>1.6</v>
      </c>
      <c r="P107" s="144">
        <v>1.29</v>
      </c>
    </row>
    <row r="108">
      <c r="A108" s="142">
        <v>107.0</v>
      </c>
      <c r="B108" s="143" t="s">
        <v>759</v>
      </c>
      <c r="C108" s="144" t="s">
        <v>47</v>
      </c>
      <c r="D108" s="144" t="s">
        <v>554</v>
      </c>
      <c r="E108" s="144">
        <v>70.0</v>
      </c>
      <c r="F108" s="144">
        <v>28.2</v>
      </c>
      <c r="G108" s="144" t="s">
        <v>760</v>
      </c>
      <c r="H108" s="144" t="s">
        <v>761</v>
      </c>
      <c r="I108" s="144">
        <v>0.0</v>
      </c>
      <c r="J108" s="144">
        <v>10.4</v>
      </c>
      <c r="K108" s="144">
        <v>10.1</v>
      </c>
      <c r="L108" s="144">
        <v>1.3</v>
      </c>
      <c r="M108" s="144">
        <v>0.8</v>
      </c>
      <c r="N108" s="144">
        <v>1.2</v>
      </c>
      <c r="O108" s="144">
        <v>1.6</v>
      </c>
      <c r="P108" s="144">
        <v>1.24</v>
      </c>
    </row>
    <row r="109">
      <c r="A109" s="142">
        <v>108.0</v>
      </c>
      <c r="B109" s="143" t="s">
        <v>765</v>
      </c>
      <c r="C109" s="144" t="s">
        <v>766</v>
      </c>
      <c r="D109" s="144" t="s">
        <v>429</v>
      </c>
      <c r="E109" s="144">
        <v>70.0</v>
      </c>
      <c r="F109" s="144">
        <v>29.8</v>
      </c>
      <c r="G109" s="144" t="s">
        <v>767</v>
      </c>
      <c r="H109" s="144" t="s">
        <v>768</v>
      </c>
      <c r="I109" s="144">
        <v>1.0</v>
      </c>
      <c r="J109" s="144">
        <v>11.7</v>
      </c>
      <c r="K109" s="144">
        <v>5.0</v>
      </c>
      <c r="L109" s="144">
        <v>3.1</v>
      </c>
      <c r="M109" s="144">
        <v>1.2</v>
      </c>
      <c r="N109" s="144">
        <v>0.8</v>
      </c>
      <c r="O109" s="144">
        <v>1.3</v>
      </c>
      <c r="P109" s="144">
        <v>1.23</v>
      </c>
    </row>
    <row r="110">
      <c r="A110" s="142">
        <v>109.0</v>
      </c>
      <c r="B110" s="143" t="s">
        <v>762</v>
      </c>
      <c r="C110" s="144" t="s">
        <v>47</v>
      </c>
      <c r="D110" s="144" t="s">
        <v>491</v>
      </c>
      <c r="E110" s="144">
        <v>76.0</v>
      </c>
      <c r="F110" s="144">
        <v>27.5</v>
      </c>
      <c r="G110" s="144" t="s">
        <v>763</v>
      </c>
      <c r="H110" s="144" t="s">
        <v>764</v>
      </c>
      <c r="I110" s="144">
        <v>0.0</v>
      </c>
      <c r="J110" s="144">
        <v>11.1</v>
      </c>
      <c r="K110" s="144">
        <v>9.7</v>
      </c>
      <c r="L110" s="144">
        <v>1.4</v>
      </c>
      <c r="M110" s="144">
        <v>0.5</v>
      </c>
      <c r="N110" s="144">
        <v>1.2</v>
      </c>
      <c r="O110" s="144">
        <v>1.6</v>
      </c>
      <c r="P110" s="144">
        <v>1.22</v>
      </c>
    </row>
    <row r="111">
      <c r="A111" s="142">
        <v>110.0</v>
      </c>
      <c r="B111" s="143" t="s">
        <v>772</v>
      </c>
      <c r="C111" s="144" t="s">
        <v>432</v>
      </c>
      <c r="D111" s="144" t="s">
        <v>603</v>
      </c>
      <c r="E111" s="144">
        <v>69.0</v>
      </c>
      <c r="F111" s="144">
        <v>30.0</v>
      </c>
      <c r="G111" s="144" t="s">
        <v>773</v>
      </c>
      <c r="H111" s="144" t="s">
        <v>774</v>
      </c>
      <c r="I111" s="144">
        <v>0.8</v>
      </c>
      <c r="J111" s="144">
        <v>9.8</v>
      </c>
      <c r="K111" s="144">
        <v>4.0</v>
      </c>
      <c r="L111" s="144">
        <v>2.3</v>
      </c>
      <c r="M111" s="144">
        <v>1.7</v>
      </c>
      <c r="N111" s="144">
        <v>0.7</v>
      </c>
      <c r="O111" s="144">
        <v>1.3</v>
      </c>
      <c r="P111" s="144">
        <v>1.21</v>
      </c>
    </row>
    <row r="112">
      <c r="A112" s="142">
        <v>111.0</v>
      </c>
      <c r="B112" s="143" t="s">
        <v>775</v>
      </c>
      <c r="C112" s="144" t="s">
        <v>424</v>
      </c>
      <c r="D112" s="144" t="s">
        <v>547</v>
      </c>
      <c r="E112" s="144">
        <v>76.0</v>
      </c>
      <c r="F112" s="144">
        <v>28.6</v>
      </c>
      <c r="G112" s="144" t="s">
        <v>776</v>
      </c>
      <c r="H112" s="144" t="s">
        <v>777</v>
      </c>
      <c r="I112" s="144">
        <v>2.1</v>
      </c>
      <c r="J112" s="144">
        <v>15.2</v>
      </c>
      <c r="K112" s="144">
        <v>4.1</v>
      </c>
      <c r="L112" s="144">
        <v>3.9</v>
      </c>
      <c r="M112" s="144">
        <v>1.0</v>
      </c>
      <c r="N112" s="144">
        <v>0.1</v>
      </c>
      <c r="O112" s="144">
        <v>1.4</v>
      </c>
      <c r="P112" s="144">
        <v>1.2</v>
      </c>
    </row>
    <row r="113">
      <c r="A113" s="142">
        <v>112.0</v>
      </c>
      <c r="B113" s="143" t="s">
        <v>778</v>
      </c>
      <c r="C113" s="144" t="s">
        <v>456</v>
      </c>
      <c r="D113" s="144" t="s">
        <v>449</v>
      </c>
      <c r="E113" s="144">
        <v>71.0</v>
      </c>
      <c r="F113" s="144">
        <v>27.2</v>
      </c>
      <c r="G113" s="144" t="s">
        <v>779</v>
      </c>
      <c r="H113" s="144" t="s">
        <v>780</v>
      </c>
      <c r="I113" s="144">
        <v>1.6</v>
      </c>
      <c r="J113" s="144">
        <v>14.6</v>
      </c>
      <c r="K113" s="144">
        <v>9.5</v>
      </c>
      <c r="L113" s="144">
        <v>1.4</v>
      </c>
      <c r="M113" s="144">
        <v>0.6</v>
      </c>
      <c r="N113" s="144">
        <v>0.5</v>
      </c>
      <c r="O113" s="144">
        <v>1.2</v>
      </c>
      <c r="P113" s="144">
        <v>1.16</v>
      </c>
    </row>
    <row r="114">
      <c r="A114" s="142">
        <v>113.0</v>
      </c>
      <c r="B114" s="143" t="s">
        <v>781</v>
      </c>
      <c r="C114" s="144" t="s">
        <v>456</v>
      </c>
      <c r="D114" s="144" t="s">
        <v>537</v>
      </c>
      <c r="E114" s="144">
        <v>79.0</v>
      </c>
      <c r="F114" s="144">
        <v>32.2</v>
      </c>
      <c r="G114" s="144" t="s">
        <v>782</v>
      </c>
      <c r="H114" s="144" t="s">
        <v>783</v>
      </c>
      <c r="I114" s="144">
        <v>1.7</v>
      </c>
      <c r="J114" s="144">
        <v>14.8</v>
      </c>
      <c r="K114" s="144">
        <v>8.0</v>
      </c>
      <c r="L114" s="144">
        <v>1.4</v>
      </c>
      <c r="M114" s="144">
        <v>0.6</v>
      </c>
      <c r="N114" s="144">
        <v>1.2</v>
      </c>
      <c r="O114" s="144">
        <v>1.5</v>
      </c>
      <c r="P114" s="144">
        <v>1.14</v>
      </c>
    </row>
    <row r="115">
      <c r="A115" s="142">
        <v>114.0</v>
      </c>
      <c r="B115" s="143" t="s">
        <v>784</v>
      </c>
      <c r="C115" s="144" t="s">
        <v>43</v>
      </c>
      <c r="D115" s="144" t="s">
        <v>480</v>
      </c>
      <c r="E115" s="144">
        <v>67.0</v>
      </c>
      <c r="F115" s="144">
        <v>31.8</v>
      </c>
      <c r="G115" s="144" t="s">
        <v>785</v>
      </c>
      <c r="H115" s="144" t="s">
        <v>786</v>
      </c>
      <c r="I115" s="144">
        <v>1.8</v>
      </c>
      <c r="J115" s="144">
        <v>11.8</v>
      </c>
      <c r="K115" s="144">
        <v>3.5</v>
      </c>
      <c r="L115" s="144">
        <v>5.3</v>
      </c>
      <c r="M115" s="144">
        <v>1.6</v>
      </c>
      <c r="N115" s="144">
        <v>0.3</v>
      </c>
      <c r="O115" s="144">
        <v>2.3</v>
      </c>
      <c r="P115" s="144">
        <v>1.13</v>
      </c>
    </row>
    <row r="116">
      <c r="A116" s="142">
        <v>115.0</v>
      </c>
      <c r="B116" s="143" t="s">
        <v>787</v>
      </c>
      <c r="C116" s="144" t="s">
        <v>47</v>
      </c>
      <c r="D116" s="144" t="s">
        <v>619</v>
      </c>
      <c r="E116" s="144">
        <v>62.0</v>
      </c>
      <c r="F116" s="144">
        <v>29.9</v>
      </c>
      <c r="G116" s="144" t="s">
        <v>788</v>
      </c>
      <c r="H116" s="144" t="s">
        <v>789</v>
      </c>
      <c r="I116" s="144">
        <v>1.3</v>
      </c>
      <c r="J116" s="144">
        <v>15.4</v>
      </c>
      <c r="K116" s="144">
        <v>8.7</v>
      </c>
      <c r="L116" s="144">
        <v>2.2</v>
      </c>
      <c r="M116" s="144">
        <v>0.6</v>
      </c>
      <c r="N116" s="144">
        <v>0.7</v>
      </c>
      <c r="O116" s="144">
        <v>1.9</v>
      </c>
      <c r="P116" s="144">
        <v>1.12</v>
      </c>
    </row>
    <row r="117">
      <c r="A117" s="142">
        <v>116.0</v>
      </c>
      <c r="B117" s="143" t="s">
        <v>790</v>
      </c>
      <c r="C117" s="144" t="s">
        <v>43</v>
      </c>
      <c r="D117" s="144" t="s">
        <v>398</v>
      </c>
      <c r="E117" s="144">
        <v>68.0</v>
      </c>
      <c r="F117" s="144">
        <v>29.4</v>
      </c>
      <c r="G117" s="144" t="s">
        <v>791</v>
      </c>
      <c r="H117" s="144" t="s">
        <v>792</v>
      </c>
      <c r="I117" s="144">
        <v>2.1</v>
      </c>
      <c r="J117" s="144">
        <v>12.4</v>
      </c>
      <c r="K117" s="144">
        <v>2.8</v>
      </c>
      <c r="L117" s="144">
        <v>6.0</v>
      </c>
      <c r="M117" s="144">
        <v>1.1</v>
      </c>
      <c r="N117" s="144">
        <v>0.2</v>
      </c>
      <c r="O117" s="144">
        <v>1.6</v>
      </c>
      <c r="P117" s="144">
        <v>1.06</v>
      </c>
    </row>
    <row r="118">
      <c r="A118" s="142">
        <v>117.0</v>
      </c>
      <c r="B118" s="143" t="s">
        <v>793</v>
      </c>
      <c r="C118" s="144" t="s">
        <v>43</v>
      </c>
      <c r="D118" s="144" t="s">
        <v>503</v>
      </c>
      <c r="E118" s="144">
        <v>73.0</v>
      </c>
      <c r="F118" s="144">
        <v>33.5</v>
      </c>
      <c r="G118" s="144" t="s">
        <v>794</v>
      </c>
      <c r="H118" s="144" t="s">
        <v>795</v>
      </c>
      <c r="I118" s="144">
        <v>2.1</v>
      </c>
      <c r="J118" s="144">
        <v>16.5</v>
      </c>
      <c r="K118" s="144">
        <v>4.0</v>
      </c>
      <c r="L118" s="144">
        <v>6.2</v>
      </c>
      <c r="M118" s="144">
        <v>0.8</v>
      </c>
      <c r="N118" s="144">
        <v>0.3</v>
      </c>
      <c r="O118" s="144">
        <v>1.8</v>
      </c>
      <c r="P118" s="144">
        <v>1.04</v>
      </c>
    </row>
    <row r="119">
      <c r="A119" s="142">
        <v>118.0</v>
      </c>
      <c r="B119" s="143" t="s">
        <v>796</v>
      </c>
      <c r="C119" s="144" t="s">
        <v>43</v>
      </c>
      <c r="D119" s="144" t="s">
        <v>567</v>
      </c>
      <c r="E119" s="144">
        <v>69.0</v>
      </c>
      <c r="F119" s="144">
        <v>29.2</v>
      </c>
      <c r="G119" s="144" t="s">
        <v>797</v>
      </c>
      <c r="H119" s="144" t="s">
        <v>798</v>
      </c>
      <c r="I119" s="144">
        <v>0.5</v>
      </c>
      <c r="J119" s="144">
        <v>12.1</v>
      </c>
      <c r="K119" s="144">
        <v>3.8</v>
      </c>
      <c r="L119" s="144">
        <v>6.4</v>
      </c>
      <c r="M119" s="144">
        <v>1.2</v>
      </c>
      <c r="N119" s="144">
        <v>0.2</v>
      </c>
      <c r="O119" s="144">
        <v>1.5</v>
      </c>
      <c r="P119" s="144">
        <v>0.94</v>
      </c>
    </row>
    <row r="120">
      <c r="A120" s="142">
        <v>119.0</v>
      </c>
      <c r="B120" s="143" t="s">
        <v>824</v>
      </c>
      <c r="C120" s="144" t="s">
        <v>469</v>
      </c>
      <c r="D120" s="144" t="s">
        <v>583</v>
      </c>
      <c r="E120" s="144">
        <v>72.0</v>
      </c>
      <c r="F120" s="144">
        <v>28.0</v>
      </c>
      <c r="G120" s="144" t="s">
        <v>1662</v>
      </c>
      <c r="H120" s="144" t="s">
        <v>1663</v>
      </c>
      <c r="I120" s="144">
        <v>1.2</v>
      </c>
      <c r="J120" s="144">
        <v>7.0</v>
      </c>
      <c r="K120" s="144">
        <v>2.9</v>
      </c>
      <c r="L120" s="144">
        <v>1.3</v>
      </c>
      <c r="M120" s="144">
        <v>1.7</v>
      </c>
      <c r="N120" s="144">
        <v>1.0</v>
      </c>
      <c r="O120" s="144">
        <v>0.6</v>
      </c>
      <c r="P120" s="144">
        <v>0.86</v>
      </c>
    </row>
    <row r="121">
      <c r="A121" s="142">
        <v>120.0</v>
      </c>
      <c r="B121" s="143" t="s">
        <v>769</v>
      </c>
      <c r="C121" s="144" t="s">
        <v>43</v>
      </c>
      <c r="D121" s="144" t="s">
        <v>583</v>
      </c>
      <c r="E121" s="144">
        <v>72.0</v>
      </c>
      <c r="F121" s="144">
        <v>30.0</v>
      </c>
      <c r="G121" s="144" t="s">
        <v>1664</v>
      </c>
      <c r="H121" s="144" t="s">
        <v>1665</v>
      </c>
      <c r="I121" s="144">
        <v>1.4</v>
      </c>
      <c r="J121" s="144">
        <v>15.9</v>
      </c>
      <c r="K121" s="144">
        <v>5.0</v>
      </c>
      <c r="L121" s="144">
        <v>5.6</v>
      </c>
      <c r="M121" s="144">
        <v>1.1</v>
      </c>
      <c r="N121" s="144">
        <v>0.3</v>
      </c>
      <c r="O121" s="144">
        <v>3.3</v>
      </c>
      <c r="P121" s="144">
        <v>0.8</v>
      </c>
    </row>
    <row r="122">
      <c r="A122" s="142">
        <v>121.0</v>
      </c>
      <c r="B122" s="143" t="s">
        <v>799</v>
      </c>
      <c r="C122" s="144" t="s">
        <v>469</v>
      </c>
      <c r="D122" s="144" t="s">
        <v>416</v>
      </c>
      <c r="E122" s="144">
        <v>76.0</v>
      </c>
      <c r="F122" s="144">
        <v>31.1</v>
      </c>
      <c r="G122" s="144" t="s">
        <v>800</v>
      </c>
      <c r="H122" s="144" t="s">
        <v>801</v>
      </c>
      <c r="I122" s="144">
        <v>1.8</v>
      </c>
      <c r="J122" s="144">
        <v>12.1</v>
      </c>
      <c r="K122" s="144">
        <v>3.1</v>
      </c>
      <c r="L122" s="144">
        <v>2.2</v>
      </c>
      <c r="M122" s="144">
        <v>1.4</v>
      </c>
      <c r="N122" s="144">
        <v>0.4</v>
      </c>
      <c r="O122" s="144">
        <v>1.2</v>
      </c>
      <c r="P122" s="144">
        <v>0.7</v>
      </c>
    </row>
    <row r="123">
      <c r="A123" s="142">
        <v>122.0</v>
      </c>
      <c r="B123" s="143" t="s">
        <v>802</v>
      </c>
      <c r="C123" s="144" t="s">
        <v>432</v>
      </c>
      <c r="D123" s="144" t="s">
        <v>441</v>
      </c>
      <c r="E123" s="144">
        <v>69.0</v>
      </c>
      <c r="F123" s="144">
        <v>32.5</v>
      </c>
      <c r="G123" s="144" t="s">
        <v>803</v>
      </c>
      <c r="H123" s="144" t="s">
        <v>804</v>
      </c>
      <c r="I123" s="144">
        <v>2.3</v>
      </c>
      <c r="J123" s="144">
        <v>17.6</v>
      </c>
      <c r="K123" s="144">
        <v>4.8</v>
      </c>
      <c r="L123" s="144">
        <v>2.3</v>
      </c>
      <c r="M123" s="144">
        <v>1.1</v>
      </c>
      <c r="N123" s="144">
        <v>0.7</v>
      </c>
      <c r="O123" s="144">
        <v>1.5</v>
      </c>
      <c r="P123" s="144">
        <v>0.69</v>
      </c>
    </row>
    <row r="124">
      <c r="A124" s="142">
        <v>123.0</v>
      </c>
      <c r="B124" s="143" t="s">
        <v>805</v>
      </c>
      <c r="C124" s="144" t="s">
        <v>432</v>
      </c>
      <c r="D124" s="144" t="s">
        <v>398</v>
      </c>
      <c r="E124" s="144">
        <v>69.0</v>
      </c>
      <c r="F124" s="144">
        <v>25.8</v>
      </c>
      <c r="G124" s="144" t="s">
        <v>806</v>
      </c>
      <c r="H124" s="144" t="s">
        <v>807</v>
      </c>
      <c r="I124" s="144">
        <v>0.6</v>
      </c>
      <c r="J124" s="144">
        <v>9.2</v>
      </c>
      <c r="K124" s="144">
        <v>5.6</v>
      </c>
      <c r="L124" s="144">
        <v>3.9</v>
      </c>
      <c r="M124" s="144">
        <v>1.1</v>
      </c>
      <c r="N124" s="144">
        <v>0.8</v>
      </c>
      <c r="O124" s="144">
        <v>1.3</v>
      </c>
      <c r="P124" s="144">
        <v>0.63</v>
      </c>
    </row>
    <row r="125">
      <c r="A125" s="142">
        <v>124.0</v>
      </c>
      <c r="B125" s="143" t="s">
        <v>808</v>
      </c>
      <c r="C125" s="144" t="s">
        <v>469</v>
      </c>
      <c r="D125" s="144" t="s">
        <v>476</v>
      </c>
      <c r="E125" s="144">
        <v>74.0</v>
      </c>
      <c r="F125" s="144">
        <v>30.0</v>
      </c>
      <c r="G125" s="144" t="s">
        <v>809</v>
      </c>
      <c r="H125" s="144" t="s">
        <v>810</v>
      </c>
      <c r="I125" s="144">
        <v>2.5</v>
      </c>
      <c r="J125" s="144">
        <v>14.0</v>
      </c>
      <c r="K125" s="144">
        <v>3.5</v>
      </c>
      <c r="L125" s="144">
        <v>2.9</v>
      </c>
      <c r="M125" s="144">
        <v>0.9</v>
      </c>
      <c r="N125" s="144">
        <v>0.4</v>
      </c>
      <c r="O125" s="144">
        <v>1.3</v>
      </c>
      <c r="P125" s="144">
        <v>0.62</v>
      </c>
    </row>
    <row r="126">
      <c r="A126" s="142">
        <v>125.0</v>
      </c>
      <c r="B126" s="143" t="s">
        <v>814</v>
      </c>
      <c r="C126" s="144" t="s">
        <v>432</v>
      </c>
      <c r="D126" s="144" t="s">
        <v>398</v>
      </c>
      <c r="E126" s="144">
        <v>74.0</v>
      </c>
      <c r="F126" s="144">
        <v>30.8</v>
      </c>
      <c r="G126" s="144" t="s">
        <v>815</v>
      </c>
      <c r="H126" s="144" t="s">
        <v>816</v>
      </c>
      <c r="I126" s="144">
        <v>1.4</v>
      </c>
      <c r="J126" s="144">
        <v>11.8</v>
      </c>
      <c r="K126" s="144">
        <v>4.4</v>
      </c>
      <c r="L126" s="144">
        <v>1.7</v>
      </c>
      <c r="M126" s="144">
        <v>0.9</v>
      </c>
      <c r="N126" s="144">
        <v>1.0</v>
      </c>
      <c r="O126" s="144">
        <v>1.4</v>
      </c>
      <c r="P126" s="144">
        <v>0.56</v>
      </c>
    </row>
    <row r="127">
      <c r="A127" s="142">
        <v>126.0</v>
      </c>
      <c r="B127" s="143" t="s">
        <v>744</v>
      </c>
      <c r="C127" s="144" t="s">
        <v>47</v>
      </c>
      <c r="D127" s="144" t="s">
        <v>583</v>
      </c>
      <c r="E127" s="144">
        <v>54.0</v>
      </c>
      <c r="F127" s="144">
        <v>28.0</v>
      </c>
      <c r="G127" s="144" t="s">
        <v>1666</v>
      </c>
      <c r="H127" s="144" t="s">
        <v>1667</v>
      </c>
      <c r="I127" s="144">
        <v>0.6</v>
      </c>
      <c r="J127" s="144">
        <v>14.7</v>
      </c>
      <c r="K127" s="144">
        <v>9.0</v>
      </c>
      <c r="L127" s="144">
        <v>2.9</v>
      </c>
      <c r="M127" s="144">
        <v>0.8</v>
      </c>
      <c r="N127" s="144">
        <v>0.8</v>
      </c>
      <c r="O127" s="144">
        <v>2.5</v>
      </c>
      <c r="P127" s="144">
        <v>0.44</v>
      </c>
    </row>
    <row r="128">
      <c r="A128" s="142">
        <v>127.0</v>
      </c>
      <c r="B128" s="143" t="s">
        <v>817</v>
      </c>
      <c r="C128" s="144" t="s">
        <v>46</v>
      </c>
      <c r="D128" s="144" t="s">
        <v>457</v>
      </c>
      <c r="E128" s="144">
        <v>76.0</v>
      </c>
      <c r="F128" s="144">
        <v>26.4</v>
      </c>
      <c r="G128" s="144" t="s">
        <v>818</v>
      </c>
      <c r="H128" s="144" t="s">
        <v>819</v>
      </c>
      <c r="I128" s="144">
        <v>0.2</v>
      </c>
      <c r="J128" s="144">
        <v>8.0</v>
      </c>
      <c r="K128" s="144">
        <v>8.6</v>
      </c>
      <c r="L128" s="144">
        <v>2.0</v>
      </c>
      <c r="M128" s="144">
        <v>1.3</v>
      </c>
      <c r="N128" s="144">
        <v>0.5</v>
      </c>
      <c r="O128" s="144">
        <v>1.2</v>
      </c>
      <c r="P128" s="144">
        <v>0.43</v>
      </c>
    </row>
    <row r="129">
      <c r="A129" s="142">
        <v>128.0</v>
      </c>
      <c r="B129" s="143" t="s">
        <v>820</v>
      </c>
      <c r="C129" s="144" t="s">
        <v>821</v>
      </c>
      <c r="D129" s="144" t="s">
        <v>503</v>
      </c>
      <c r="E129" s="144">
        <v>50.0</v>
      </c>
      <c r="F129" s="144">
        <v>26.3</v>
      </c>
      <c r="G129" s="144" t="s">
        <v>822</v>
      </c>
      <c r="H129" s="144" t="s">
        <v>823</v>
      </c>
      <c r="I129" s="144">
        <v>0.0</v>
      </c>
      <c r="J129" s="144">
        <v>8.5</v>
      </c>
      <c r="K129" s="144">
        <v>6.3</v>
      </c>
      <c r="L129" s="144">
        <v>6.2</v>
      </c>
      <c r="M129" s="144">
        <v>1.3</v>
      </c>
      <c r="N129" s="144">
        <v>0.6</v>
      </c>
      <c r="O129" s="144">
        <v>2.3</v>
      </c>
      <c r="P129" s="144">
        <v>0.35</v>
      </c>
    </row>
    <row r="130">
      <c r="A130" s="142">
        <v>129.0</v>
      </c>
      <c r="B130" s="143" t="s">
        <v>827</v>
      </c>
      <c r="C130" s="144" t="s">
        <v>46</v>
      </c>
      <c r="D130" s="144" t="s">
        <v>429</v>
      </c>
      <c r="E130" s="144">
        <v>70.0</v>
      </c>
      <c r="F130" s="144">
        <v>29.5</v>
      </c>
      <c r="G130" s="144" t="s">
        <v>828</v>
      </c>
      <c r="H130" s="144" t="s">
        <v>829</v>
      </c>
      <c r="I130" s="144">
        <v>1.5</v>
      </c>
      <c r="J130" s="144">
        <v>14.7</v>
      </c>
      <c r="K130" s="144">
        <v>5.6</v>
      </c>
      <c r="L130" s="144">
        <v>1.6</v>
      </c>
      <c r="M130" s="144">
        <v>0.6</v>
      </c>
      <c r="N130" s="144">
        <v>0.6</v>
      </c>
      <c r="O130" s="144">
        <v>1.2</v>
      </c>
      <c r="P130" s="144">
        <v>0.3</v>
      </c>
    </row>
    <row r="131">
      <c r="A131" s="142">
        <v>130.0</v>
      </c>
      <c r="B131" s="143" t="s">
        <v>830</v>
      </c>
      <c r="C131" s="144" t="s">
        <v>424</v>
      </c>
      <c r="D131" s="144" t="s">
        <v>590</v>
      </c>
      <c r="E131" s="144">
        <v>68.0</v>
      </c>
      <c r="F131" s="144">
        <v>24.0</v>
      </c>
      <c r="G131" s="144" t="s">
        <v>831</v>
      </c>
      <c r="H131" s="144" t="s">
        <v>832</v>
      </c>
      <c r="I131" s="144">
        <v>0.8</v>
      </c>
      <c r="J131" s="144">
        <v>6.5</v>
      </c>
      <c r="K131" s="144">
        <v>3.6</v>
      </c>
      <c r="L131" s="144">
        <v>3.5</v>
      </c>
      <c r="M131" s="144">
        <v>1.6</v>
      </c>
      <c r="N131" s="144">
        <v>0.3</v>
      </c>
      <c r="O131" s="144">
        <v>0.8</v>
      </c>
      <c r="P131" s="144">
        <v>0.28</v>
      </c>
    </row>
    <row r="132">
      <c r="A132" s="142">
        <v>131.0</v>
      </c>
      <c r="B132" s="143" t="s">
        <v>833</v>
      </c>
      <c r="C132" s="144" t="s">
        <v>424</v>
      </c>
      <c r="D132" s="144" t="s">
        <v>507</v>
      </c>
      <c r="E132" s="144">
        <v>68.0</v>
      </c>
      <c r="F132" s="144">
        <v>31.0</v>
      </c>
      <c r="G132" s="144" t="s">
        <v>834</v>
      </c>
      <c r="H132" s="144" t="s">
        <v>835</v>
      </c>
      <c r="I132" s="144">
        <v>2.6</v>
      </c>
      <c r="J132" s="144">
        <v>19.2</v>
      </c>
      <c r="K132" s="144">
        <v>3.9</v>
      </c>
      <c r="L132" s="144">
        <v>3.5</v>
      </c>
      <c r="M132" s="144">
        <v>0.8</v>
      </c>
      <c r="N132" s="144">
        <v>0.2</v>
      </c>
      <c r="O132" s="144">
        <v>2.4</v>
      </c>
      <c r="P132" s="144">
        <v>0.26</v>
      </c>
    </row>
    <row r="133">
      <c r="A133" s="142">
        <v>132.0</v>
      </c>
      <c r="B133" s="143" t="s">
        <v>836</v>
      </c>
      <c r="C133" s="144" t="s">
        <v>46</v>
      </c>
      <c r="D133" s="144" t="s">
        <v>416</v>
      </c>
      <c r="E133" s="144">
        <v>70.0</v>
      </c>
      <c r="F133" s="144">
        <v>31.3</v>
      </c>
      <c r="G133" s="144" t="s">
        <v>837</v>
      </c>
      <c r="H133" s="144" t="s">
        <v>838</v>
      </c>
      <c r="I133" s="144">
        <v>1.1</v>
      </c>
      <c r="J133" s="144">
        <v>16.0</v>
      </c>
      <c r="K133" s="144">
        <v>6.3</v>
      </c>
      <c r="L133" s="144">
        <v>2.8</v>
      </c>
      <c r="M133" s="144">
        <v>0.7</v>
      </c>
      <c r="N133" s="144">
        <v>0.7</v>
      </c>
      <c r="O133" s="144">
        <v>1.7</v>
      </c>
      <c r="P133" s="144">
        <v>0.23</v>
      </c>
    </row>
    <row r="134">
      <c r="A134" s="142">
        <v>133.0</v>
      </c>
      <c r="B134" s="143" t="s">
        <v>839</v>
      </c>
      <c r="C134" s="144" t="s">
        <v>469</v>
      </c>
      <c r="D134" s="144" t="s">
        <v>491</v>
      </c>
      <c r="E134" s="144">
        <v>60.0</v>
      </c>
      <c r="F134" s="144">
        <v>27.1</v>
      </c>
      <c r="G134" s="144" t="s">
        <v>840</v>
      </c>
      <c r="H134" s="144" t="s">
        <v>841</v>
      </c>
      <c r="I134" s="144">
        <v>2.0</v>
      </c>
      <c r="J134" s="144">
        <v>17.0</v>
      </c>
      <c r="K134" s="144">
        <v>2.9</v>
      </c>
      <c r="L134" s="144">
        <v>1.9</v>
      </c>
      <c r="M134" s="144">
        <v>0.8</v>
      </c>
      <c r="N134" s="144">
        <v>0.4</v>
      </c>
      <c r="O134" s="144">
        <v>1.5</v>
      </c>
      <c r="P134" s="144">
        <v>0.06</v>
      </c>
    </row>
    <row r="135">
      <c r="A135" s="142">
        <v>134.0</v>
      </c>
      <c r="B135" s="143" t="s">
        <v>842</v>
      </c>
      <c r="C135" s="144" t="s">
        <v>514</v>
      </c>
      <c r="D135" s="144" t="s">
        <v>473</v>
      </c>
      <c r="E135" s="144">
        <v>52.0</v>
      </c>
      <c r="F135" s="144">
        <v>26.8</v>
      </c>
      <c r="G135" s="144" t="s">
        <v>843</v>
      </c>
      <c r="H135" s="144" t="s">
        <v>844</v>
      </c>
      <c r="I135" s="144">
        <v>2.5</v>
      </c>
      <c r="J135" s="144">
        <v>13.8</v>
      </c>
      <c r="K135" s="144">
        <v>3.4</v>
      </c>
      <c r="L135" s="144">
        <v>2.8</v>
      </c>
      <c r="M135" s="144">
        <v>0.9</v>
      </c>
      <c r="N135" s="144">
        <v>0.3</v>
      </c>
      <c r="O135" s="144">
        <v>1.1</v>
      </c>
      <c r="P135" s="144">
        <v>0.02</v>
      </c>
    </row>
    <row r="136">
      <c r="A136" s="142">
        <v>135.0</v>
      </c>
      <c r="B136" s="143" t="s">
        <v>845</v>
      </c>
      <c r="C136" s="144" t="s">
        <v>46</v>
      </c>
      <c r="D136" s="144" t="s">
        <v>533</v>
      </c>
      <c r="E136" s="144">
        <v>72.0</v>
      </c>
      <c r="F136" s="144">
        <v>29.3</v>
      </c>
      <c r="G136" s="144" t="s">
        <v>846</v>
      </c>
      <c r="H136" s="144" t="s">
        <v>847</v>
      </c>
      <c r="I136" s="144">
        <v>1.4</v>
      </c>
      <c r="J136" s="144">
        <v>10.7</v>
      </c>
      <c r="K136" s="144">
        <v>4.3</v>
      </c>
      <c r="L136" s="144">
        <v>1.2</v>
      </c>
      <c r="M136" s="144">
        <v>0.9</v>
      </c>
      <c r="N136" s="144">
        <v>0.9</v>
      </c>
      <c r="O136" s="144">
        <v>1.3</v>
      </c>
      <c r="P136" s="144">
        <v>0.0</v>
      </c>
    </row>
    <row r="137">
      <c r="A137" s="142">
        <v>136.0</v>
      </c>
      <c r="B137" s="143" t="s">
        <v>848</v>
      </c>
      <c r="C137" s="144" t="s">
        <v>44</v>
      </c>
      <c r="D137" s="144" t="s">
        <v>487</v>
      </c>
      <c r="E137" s="144">
        <v>65.0</v>
      </c>
      <c r="F137" s="144">
        <v>27.5</v>
      </c>
      <c r="G137" s="144" t="s">
        <v>849</v>
      </c>
      <c r="H137" s="144" t="s">
        <v>850</v>
      </c>
      <c r="I137" s="144">
        <v>1.9</v>
      </c>
      <c r="J137" s="144">
        <v>11.7</v>
      </c>
      <c r="K137" s="144">
        <v>3.2</v>
      </c>
      <c r="L137" s="144">
        <v>2.6</v>
      </c>
      <c r="M137" s="144">
        <v>1.1</v>
      </c>
      <c r="N137" s="144">
        <v>0.4</v>
      </c>
      <c r="O137" s="144">
        <v>1.4</v>
      </c>
      <c r="P137" s="144">
        <v>0.0</v>
      </c>
    </row>
    <row r="138">
      <c r="A138" s="142">
        <v>137.0</v>
      </c>
      <c r="B138" s="143" t="s">
        <v>851</v>
      </c>
      <c r="C138" s="144" t="s">
        <v>469</v>
      </c>
      <c r="D138" s="144" t="s">
        <v>487</v>
      </c>
      <c r="E138" s="144">
        <v>70.0</v>
      </c>
      <c r="F138" s="144">
        <v>29.6</v>
      </c>
      <c r="G138" s="144" t="s">
        <v>852</v>
      </c>
      <c r="H138" s="144" t="s">
        <v>853</v>
      </c>
      <c r="I138" s="144">
        <v>1.3</v>
      </c>
      <c r="J138" s="144">
        <v>10.7</v>
      </c>
      <c r="K138" s="144">
        <v>5.0</v>
      </c>
      <c r="L138" s="144">
        <v>1.6</v>
      </c>
      <c r="M138" s="144">
        <v>1.1</v>
      </c>
      <c r="N138" s="144">
        <v>0.5</v>
      </c>
      <c r="O138" s="144">
        <v>1.1</v>
      </c>
      <c r="P138" s="144">
        <v>-0.01</v>
      </c>
    </row>
    <row r="139">
      <c r="A139" s="142">
        <v>138.0</v>
      </c>
      <c r="B139" s="143" t="s">
        <v>854</v>
      </c>
      <c r="C139" s="144" t="s">
        <v>469</v>
      </c>
      <c r="D139" s="144" t="s">
        <v>547</v>
      </c>
      <c r="E139" s="144">
        <v>70.0</v>
      </c>
      <c r="F139" s="144">
        <v>25.1</v>
      </c>
      <c r="G139" s="144" t="s">
        <v>855</v>
      </c>
      <c r="H139" s="144" t="s">
        <v>856</v>
      </c>
      <c r="I139" s="144">
        <v>2.0</v>
      </c>
      <c r="J139" s="144">
        <v>9.3</v>
      </c>
      <c r="K139" s="144">
        <v>4.3</v>
      </c>
      <c r="L139" s="144">
        <v>3.2</v>
      </c>
      <c r="M139" s="144">
        <v>1.3</v>
      </c>
      <c r="N139" s="144">
        <v>0.2</v>
      </c>
      <c r="O139" s="144">
        <v>1.6</v>
      </c>
      <c r="P139" s="144">
        <v>-0.03</v>
      </c>
    </row>
    <row r="140">
      <c r="A140" s="142">
        <v>139.0</v>
      </c>
      <c r="B140" s="143" t="s">
        <v>857</v>
      </c>
      <c r="C140" s="144" t="s">
        <v>46</v>
      </c>
      <c r="D140" s="144" t="s">
        <v>461</v>
      </c>
      <c r="E140" s="144">
        <v>72.0</v>
      </c>
      <c r="F140" s="144">
        <v>27.2</v>
      </c>
      <c r="G140" s="144" t="s">
        <v>858</v>
      </c>
      <c r="H140" s="144" t="s">
        <v>859</v>
      </c>
      <c r="I140" s="144">
        <v>1.7</v>
      </c>
      <c r="J140" s="144">
        <v>12.0</v>
      </c>
      <c r="K140" s="144">
        <v>4.6</v>
      </c>
      <c r="L140" s="144">
        <v>2.1</v>
      </c>
      <c r="M140" s="144">
        <v>0.8</v>
      </c>
      <c r="N140" s="144">
        <v>0.9</v>
      </c>
      <c r="O140" s="144">
        <v>1.3</v>
      </c>
      <c r="P140" s="144">
        <v>-0.03</v>
      </c>
    </row>
    <row r="141">
      <c r="A141" s="142">
        <v>140.0</v>
      </c>
      <c r="B141" s="143" t="s">
        <v>863</v>
      </c>
      <c r="C141" s="144" t="s">
        <v>432</v>
      </c>
      <c r="D141" s="144" t="s">
        <v>473</v>
      </c>
      <c r="E141" s="144">
        <v>78.0</v>
      </c>
      <c r="F141" s="144">
        <v>30.2</v>
      </c>
      <c r="G141" s="144" t="s">
        <v>864</v>
      </c>
      <c r="H141" s="144" t="s">
        <v>865</v>
      </c>
      <c r="I141" s="144">
        <v>2.2</v>
      </c>
      <c r="J141" s="144">
        <v>15.3</v>
      </c>
      <c r="K141" s="144">
        <v>4.9</v>
      </c>
      <c r="L141" s="144">
        <v>2.1</v>
      </c>
      <c r="M141" s="144">
        <v>0.9</v>
      </c>
      <c r="N141" s="144">
        <v>0.2</v>
      </c>
      <c r="O141" s="144">
        <v>1.0</v>
      </c>
      <c r="P141" s="144">
        <v>-0.1</v>
      </c>
    </row>
    <row r="142">
      <c r="A142" s="142">
        <v>141.0</v>
      </c>
      <c r="B142" s="143" t="s">
        <v>860</v>
      </c>
      <c r="C142" s="144" t="s">
        <v>43</v>
      </c>
      <c r="D142" s="144" t="s">
        <v>487</v>
      </c>
      <c r="E142" s="144">
        <v>60.0</v>
      </c>
      <c r="F142" s="144">
        <v>26.2</v>
      </c>
      <c r="G142" s="144" t="s">
        <v>861</v>
      </c>
      <c r="H142" s="144" t="s">
        <v>862</v>
      </c>
      <c r="I142" s="144">
        <v>1.7</v>
      </c>
      <c r="J142" s="144">
        <v>10.0</v>
      </c>
      <c r="K142" s="144">
        <v>3.5</v>
      </c>
      <c r="L142" s="144">
        <v>5.2</v>
      </c>
      <c r="M142" s="144">
        <v>0.9</v>
      </c>
      <c r="N142" s="144">
        <v>0.3</v>
      </c>
      <c r="O142" s="144">
        <v>1.9</v>
      </c>
      <c r="P142" s="144">
        <v>-0.11</v>
      </c>
    </row>
    <row r="143">
      <c r="A143" s="142">
        <v>142.0</v>
      </c>
      <c r="B143" s="143" t="s">
        <v>866</v>
      </c>
      <c r="C143" s="144" t="s">
        <v>424</v>
      </c>
      <c r="D143" s="144" t="s">
        <v>533</v>
      </c>
      <c r="E143" s="144">
        <v>64.0</v>
      </c>
      <c r="F143" s="144">
        <v>25.1</v>
      </c>
      <c r="G143" s="144" t="s">
        <v>867</v>
      </c>
      <c r="H143" s="144" t="s">
        <v>868</v>
      </c>
      <c r="I143" s="144">
        <v>0.9</v>
      </c>
      <c r="J143" s="144">
        <v>6.3</v>
      </c>
      <c r="K143" s="144">
        <v>3.2</v>
      </c>
      <c r="L143" s="144">
        <v>3.3</v>
      </c>
      <c r="M143" s="144">
        <v>1.6</v>
      </c>
      <c r="N143" s="144">
        <v>0.6</v>
      </c>
      <c r="O143" s="144">
        <v>1.3</v>
      </c>
      <c r="P143" s="144">
        <v>-0.12</v>
      </c>
    </row>
    <row r="144">
      <c r="A144" s="142">
        <v>143.0</v>
      </c>
      <c r="B144" s="143" t="s">
        <v>869</v>
      </c>
      <c r="C144" s="144" t="s">
        <v>424</v>
      </c>
      <c r="D144" s="144" t="s">
        <v>533</v>
      </c>
      <c r="E144" s="144">
        <v>72.0</v>
      </c>
      <c r="F144" s="144">
        <v>28.4</v>
      </c>
      <c r="G144" s="144" t="s">
        <v>870</v>
      </c>
      <c r="H144" s="144" t="s">
        <v>871</v>
      </c>
      <c r="I144" s="144">
        <v>2.2</v>
      </c>
      <c r="J144" s="144">
        <v>10.0</v>
      </c>
      <c r="K144" s="144">
        <v>3.3</v>
      </c>
      <c r="L144" s="144">
        <v>3.8</v>
      </c>
      <c r="M144" s="144">
        <v>1.0</v>
      </c>
      <c r="N144" s="144">
        <v>0.5</v>
      </c>
      <c r="O144" s="144">
        <v>1.2</v>
      </c>
      <c r="P144" s="144">
        <v>-0.16</v>
      </c>
    </row>
    <row r="145">
      <c r="A145" s="142">
        <v>144.0</v>
      </c>
      <c r="B145" s="143" t="s">
        <v>1030</v>
      </c>
      <c r="C145" s="144" t="s">
        <v>424</v>
      </c>
      <c r="D145" s="144" t="s">
        <v>537</v>
      </c>
      <c r="E145" s="144">
        <v>63.0</v>
      </c>
      <c r="F145" s="144">
        <v>25.5</v>
      </c>
      <c r="G145" s="144" t="s">
        <v>1668</v>
      </c>
      <c r="H145" s="144" t="s">
        <v>1669</v>
      </c>
      <c r="I145" s="144">
        <v>1.9</v>
      </c>
      <c r="J145" s="144">
        <v>13.6</v>
      </c>
      <c r="K145" s="144">
        <v>3.8</v>
      </c>
      <c r="L145" s="144">
        <v>4.7</v>
      </c>
      <c r="M145" s="144">
        <v>1.0</v>
      </c>
      <c r="N145" s="144">
        <v>0.3</v>
      </c>
      <c r="O145" s="144">
        <v>2.5</v>
      </c>
      <c r="P145" s="144">
        <v>-0.19</v>
      </c>
    </row>
    <row r="146">
      <c r="A146" s="142">
        <v>145.0</v>
      </c>
      <c r="B146" s="143" t="s">
        <v>872</v>
      </c>
      <c r="C146" s="144" t="s">
        <v>45</v>
      </c>
      <c r="D146" s="144" t="s">
        <v>461</v>
      </c>
      <c r="E146" s="144">
        <v>72.0</v>
      </c>
      <c r="F146" s="144">
        <v>30.0</v>
      </c>
      <c r="G146" s="144" t="s">
        <v>873</v>
      </c>
      <c r="H146" s="144" t="s">
        <v>874</v>
      </c>
      <c r="I146" s="144">
        <v>2.2</v>
      </c>
      <c r="J146" s="144">
        <v>15.0</v>
      </c>
      <c r="K146" s="144">
        <v>4.8</v>
      </c>
      <c r="L146" s="144">
        <v>2.0</v>
      </c>
      <c r="M146" s="144">
        <v>0.8</v>
      </c>
      <c r="N146" s="144">
        <v>0.3</v>
      </c>
      <c r="O146" s="144">
        <v>1.4</v>
      </c>
      <c r="P146" s="144">
        <v>-0.22</v>
      </c>
    </row>
    <row r="147">
      <c r="A147" s="142">
        <v>146.0</v>
      </c>
      <c r="B147" s="143" t="s">
        <v>875</v>
      </c>
      <c r="C147" s="144" t="s">
        <v>43</v>
      </c>
      <c r="D147" s="144" t="s">
        <v>619</v>
      </c>
      <c r="E147" s="144">
        <v>64.0</v>
      </c>
      <c r="F147" s="144">
        <v>25.0</v>
      </c>
      <c r="G147" s="144" t="s">
        <v>876</v>
      </c>
      <c r="H147" s="144" t="s">
        <v>877</v>
      </c>
      <c r="I147" s="144">
        <v>1.5</v>
      </c>
      <c r="J147" s="144">
        <v>12.9</v>
      </c>
      <c r="K147" s="144">
        <v>4.5</v>
      </c>
      <c r="L147" s="144">
        <v>4.0</v>
      </c>
      <c r="M147" s="144">
        <v>0.6</v>
      </c>
      <c r="N147" s="144">
        <v>0.3</v>
      </c>
      <c r="O147" s="144">
        <v>1.8</v>
      </c>
      <c r="P147" s="144">
        <v>-0.25</v>
      </c>
    </row>
    <row r="148">
      <c r="A148" s="142">
        <v>147.0</v>
      </c>
      <c r="B148" s="143" t="s">
        <v>811</v>
      </c>
      <c r="C148" s="144" t="s">
        <v>432</v>
      </c>
      <c r="D148" s="144" t="s">
        <v>537</v>
      </c>
      <c r="E148" s="144">
        <v>78.0</v>
      </c>
      <c r="F148" s="144">
        <v>23.3</v>
      </c>
      <c r="G148" s="144" t="s">
        <v>1670</v>
      </c>
      <c r="H148" s="144" t="s">
        <v>1671</v>
      </c>
      <c r="I148" s="144">
        <v>0.8</v>
      </c>
      <c r="J148" s="144">
        <v>10.2</v>
      </c>
      <c r="K148" s="144">
        <v>6.6</v>
      </c>
      <c r="L148" s="144">
        <v>1.2</v>
      </c>
      <c r="M148" s="144">
        <v>1.3</v>
      </c>
      <c r="N148" s="144">
        <v>0.6</v>
      </c>
      <c r="O148" s="144">
        <v>1.4</v>
      </c>
      <c r="P148" s="144">
        <v>-0.3</v>
      </c>
    </row>
    <row r="149">
      <c r="A149" s="142">
        <v>148.0</v>
      </c>
      <c r="B149" s="143" t="s">
        <v>881</v>
      </c>
      <c r="C149" s="144" t="s">
        <v>432</v>
      </c>
      <c r="D149" s="144" t="s">
        <v>476</v>
      </c>
      <c r="E149" s="144">
        <v>78.0</v>
      </c>
      <c r="F149" s="144">
        <v>31.3</v>
      </c>
      <c r="G149" s="144" t="s">
        <v>882</v>
      </c>
      <c r="H149" s="144" t="s">
        <v>883</v>
      </c>
      <c r="I149" s="144">
        <v>1.6</v>
      </c>
      <c r="J149" s="144">
        <v>14.9</v>
      </c>
      <c r="K149" s="144">
        <v>4.8</v>
      </c>
      <c r="L149" s="144">
        <v>1.5</v>
      </c>
      <c r="M149" s="144">
        <v>0.7</v>
      </c>
      <c r="N149" s="144">
        <v>0.1</v>
      </c>
      <c r="O149" s="144">
        <v>1.2</v>
      </c>
      <c r="P149" s="144">
        <v>-0.32</v>
      </c>
    </row>
    <row r="150">
      <c r="A150" s="142">
        <v>149.0</v>
      </c>
      <c r="B150" s="143" t="s">
        <v>884</v>
      </c>
      <c r="C150" s="144" t="s">
        <v>456</v>
      </c>
      <c r="D150" s="144" t="s">
        <v>437</v>
      </c>
      <c r="E150" s="144">
        <v>70.0</v>
      </c>
      <c r="F150" s="144">
        <v>23.8</v>
      </c>
      <c r="G150" s="144" t="s">
        <v>885</v>
      </c>
      <c r="H150" s="144" t="s">
        <v>886</v>
      </c>
      <c r="I150" s="144">
        <v>0.1</v>
      </c>
      <c r="J150" s="144">
        <v>9.8</v>
      </c>
      <c r="K150" s="144">
        <v>6.5</v>
      </c>
      <c r="L150" s="144">
        <v>0.9</v>
      </c>
      <c r="M150" s="144">
        <v>0.3</v>
      </c>
      <c r="N150" s="144">
        <v>0.9</v>
      </c>
      <c r="O150" s="144">
        <v>1.2</v>
      </c>
      <c r="P150" s="144">
        <v>-0.41</v>
      </c>
    </row>
    <row r="151">
      <c r="A151" s="142">
        <v>150.0</v>
      </c>
      <c r="B151" s="143" t="s">
        <v>887</v>
      </c>
      <c r="C151" s="144" t="s">
        <v>432</v>
      </c>
      <c r="D151" s="144" t="s">
        <v>590</v>
      </c>
      <c r="E151" s="144">
        <v>78.0</v>
      </c>
      <c r="F151" s="144">
        <v>30.0</v>
      </c>
      <c r="G151" s="144" t="s">
        <v>888</v>
      </c>
      <c r="H151" s="144" t="s">
        <v>889</v>
      </c>
      <c r="I151" s="144">
        <v>1.1</v>
      </c>
      <c r="J151" s="144">
        <v>10.5</v>
      </c>
      <c r="K151" s="144">
        <v>6.9</v>
      </c>
      <c r="L151" s="144">
        <v>2.9</v>
      </c>
      <c r="M151" s="144">
        <v>0.9</v>
      </c>
      <c r="N151" s="144">
        <v>0.6</v>
      </c>
      <c r="O151" s="144">
        <v>1.6</v>
      </c>
      <c r="P151" s="144">
        <v>-0.49</v>
      </c>
    </row>
    <row r="152">
      <c r="A152" s="142">
        <v>151.0</v>
      </c>
      <c r="B152" s="143" t="s">
        <v>890</v>
      </c>
      <c r="C152" s="144" t="s">
        <v>424</v>
      </c>
      <c r="D152" s="144" t="s">
        <v>554</v>
      </c>
      <c r="E152" s="144">
        <v>74.0</v>
      </c>
      <c r="F152" s="144">
        <v>32.6</v>
      </c>
      <c r="G152" s="144" t="s">
        <v>891</v>
      </c>
      <c r="H152" s="144" t="s">
        <v>892</v>
      </c>
      <c r="I152" s="144">
        <v>1.8</v>
      </c>
      <c r="J152" s="144">
        <v>17.7</v>
      </c>
      <c r="K152" s="144">
        <v>4.1</v>
      </c>
      <c r="L152" s="144">
        <v>5.5</v>
      </c>
      <c r="M152" s="144">
        <v>0.9</v>
      </c>
      <c r="N152" s="144">
        <v>0.2</v>
      </c>
      <c r="O152" s="144">
        <v>3.4</v>
      </c>
      <c r="P152" s="144">
        <v>-0.55</v>
      </c>
    </row>
    <row r="153">
      <c r="A153" s="142">
        <v>152.0</v>
      </c>
      <c r="B153" s="143" t="s">
        <v>893</v>
      </c>
      <c r="C153" s="144" t="s">
        <v>424</v>
      </c>
      <c r="D153" s="144" t="s">
        <v>537</v>
      </c>
      <c r="E153" s="144">
        <v>74.0</v>
      </c>
      <c r="F153" s="144">
        <v>34.1</v>
      </c>
      <c r="G153" s="144" t="s">
        <v>894</v>
      </c>
      <c r="H153" s="144" t="s">
        <v>895</v>
      </c>
      <c r="I153" s="144">
        <v>2.5</v>
      </c>
      <c r="J153" s="144">
        <v>20.7</v>
      </c>
      <c r="K153" s="144">
        <v>3.7</v>
      </c>
      <c r="L153" s="144">
        <v>3.3</v>
      </c>
      <c r="M153" s="144">
        <v>0.8</v>
      </c>
      <c r="N153" s="144">
        <v>0.3</v>
      </c>
      <c r="O153" s="144">
        <v>2.4</v>
      </c>
      <c r="P153" s="144">
        <v>-0.56</v>
      </c>
    </row>
    <row r="154">
      <c r="A154" s="142">
        <v>153.0</v>
      </c>
      <c r="B154" s="143" t="s">
        <v>899</v>
      </c>
      <c r="C154" s="144" t="s">
        <v>47</v>
      </c>
      <c r="D154" s="144" t="s">
        <v>547</v>
      </c>
      <c r="E154" s="144">
        <v>76.0</v>
      </c>
      <c r="F154" s="144">
        <v>19.9</v>
      </c>
      <c r="G154" s="144" t="s">
        <v>900</v>
      </c>
      <c r="H154" s="144" t="s">
        <v>901</v>
      </c>
      <c r="I154" s="144">
        <v>0.2</v>
      </c>
      <c r="J154" s="144">
        <v>6.9</v>
      </c>
      <c r="K154" s="144">
        <v>6.1</v>
      </c>
      <c r="L154" s="144">
        <v>1.9</v>
      </c>
      <c r="M154" s="144">
        <v>0.7</v>
      </c>
      <c r="N154" s="144">
        <v>1.0</v>
      </c>
      <c r="O154" s="144">
        <v>1.1</v>
      </c>
      <c r="P154" s="144">
        <v>-0.8</v>
      </c>
    </row>
    <row r="155">
      <c r="A155" s="142">
        <v>154.0</v>
      </c>
      <c r="B155" s="143" t="s">
        <v>902</v>
      </c>
      <c r="C155" s="144" t="s">
        <v>469</v>
      </c>
      <c r="D155" s="144" t="s">
        <v>567</v>
      </c>
      <c r="E155" s="144">
        <v>70.0</v>
      </c>
      <c r="F155" s="144">
        <v>29.9</v>
      </c>
      <c r="G155" s="144" t="s">
        <v>903</v>
      </c>
      <c r="H155" s="144" t="s">
        <v>904</v>
      </c>
      <c r="I155" s="144">
        <v>1.9</v>
      </c>
      <c r="J155" s="144">
        <v>18.0</v>
      </c>
      <c r="K155" s="144">
        <v>4.9</v>
      </c>
      <c r="L155" s="144">
        <v>2.3</v>
      </c>
      <c r="M155" s="144">
        <v>0.7</v>
      </c>
      <c r="N155" s="144">
        <v>0.2</v>
      </c>
      <c r="O155" s="144">
        <v>1.5</v>
      </c>
      <c r="P155" s="144">
        <v>-0.83</v>
      </c>
    </row>
    <row r="156">
      <c r="A156" s="142">
        <v>155.0</v>
      </c>
      <c r="B156" s="143" t="s">
        <v>905</v>
      </c>
      <c r="C156" s="144" t="s">
        <v>46</v>
      </c>
      <c r="D156" s="144" t="s">
        <v>441</v>
      </c>
      <c r="E156" s="144">
        <v>80.0</v>
      </c>
      <c r="F156" s="144">
        <v>23.7</v>
      </c>
      <c r="G156" s="144" t="s">
        <v>906</v>
      </c>
      <c r="H156" s="144" t="s">
        <v>907</v>
      </c>
      <c r="I156" s="144">
        <v>0.0</v>
      </c>
      <c r="J156" s="144">
        <v>7.0</v>
      </c>
      <c r="K156" s="144">
        <v>9.0</v>
      </c>
      <c r="L156" s="144">
        <v>2.4</v>
      </c>
      <c r="M156" s="144">
        <v>0.7</v>
      </c>
      <c r="N156" s="144">
        <v>0.7</v>
      </c>
      <c r="O156" s="144">
        <v>0.7</v>
      </c>
      <c r="P156" s="144">
        <v>-0.87</v>
      </c>
    </row>
    <row r="157">
      <c r="A157" s="142">
        <v>156.0</v>
      </c>
      <c r="B157" s="143" t="s">
        <v>1038</v>
      </c>
      <c r="C157" s="144" t="s">
        <v>469</v>
      </c>
      <c r="D157" s="144" t="s">
        <v>449</v>
      </c>
      <c r="E157" s="144">
        <v>70.0</v>
      </c>
      <c r="F157" s="144">
        <v>27.4</v>
      </c>
      <c r="G157" s="144" t="s">
        <v>1672</v>
      </c>
      <c r="H157" s="144" t="s">
        <v>1673</v>
      </c>
      <c r="I157" s="144">
        <v>2.2</v>
      </c>
      <c r="J157" s="144">
        <v>10.9</v>
      </c>
      <c r="K157" s="144">
        <v>3.4</v>
      </c>
      <c r="L157" s="144">
        <v>1.9</v>
      </c>
      <c r="M157" s="144">
        <v>0.8</v>
      </c>
      <c r="N157" s="144">
        <v>0.2</v>
      </c>
      <c r="O157" s="144">
        <v>0.8</v>
      </c>
      <c r="P157" s="144">
        <v>-0.88</v>
      </c>
    </row>
    <row r="158">
      <c r="A158" s="142">
        <v>157.0</v>
      </c>
      <c r="B158" s="143" t="s">
        <v>911</v>
      </c>
      <c r="C158" s="144" t="s">
        <v>43</v>
      </c>
      <c r="D158" s="144" t="s">
        <v>587</v>
      </c>
      <c r="E158" s="144">
        <v>70.0</v>
      </c>
      <c r="F158" s="144">
        <v>30.0</v>
      </c>
      <c r="G158" s="144" t="s">
        <v>912</v>
      </c>
      <c r="H158" s="144" t="s">
        <v>913</v>
      </c>
      <c r="I158" s="144">
        <v>1.3</v>
      </c>
      <c r="J158" s="144">
        <v>13.5</v>
      </c>
      <c r="K158" s="144">
        <v>3.0</v>
      </c>
      <c r="L158" s="144">
        <v>4.7</v>
      </c>
      <c r="M158" s="144">
        <v>0.8</v>
      </c>
      <c r="N158" s="144">
        <v>0.1</v>
      </c>
      <c r="O158" s="144">
        <v>2.0</v>
      </c>
      <c r="P158" s="144">
        <v>-0.92</v>
      </c>
    </row>
    <row r="159">
      <c r="A159" s="142">
        <v>158.0</v>
      </c>
      <c r="B159" s="143" t="s">
        <v>908</v>
      </c>
      <c r="C159" s="144" t="s">
        <v>47</v>
      </c>
      <c r="D159" s="144" t="s">
        <v>480</v>
      </c>
      <c r="E159" s="144">
        <v>68.0</v>
      </c>
      <c r="F159" s="144">
        <v>27.3</v>
      </c>
      <c r="G159" s="144" t="s">
        <v>909</v>
      </c>
      <c r="H159" s="144" t="s">
        <v>910</v>
      </c>
      <c r="I159" s="144">
        <v>0.0</v>
      </c>
      <c r="J159" s="144">
        <v>7.8</v>
      </c>
      <c r="K159" s="144">
        <v>11.0</v>
      </c>
      <c r="L159" s="144">
        <v>3.1</v>
      </c>
      <c r="M159" s="144">
        <v>0.9</v>
      </c>
      <c r="N159" s="144">
        <v>0.9</v>
      </c>
      <c r="O159" s="144">
        <v>1.7</v>
      </c>
      <c r="P159" s="144">
        <v>-0.93</v>
      </c>
    </row>
    <row r="160">
      <c r="A160" s="142">
        <v>159.0</v>
      </c>
      <c r="B160" s="143" t="s">
        <v>914</v>
      </c>
      <c r="C160" s="144" t="s">
        <v>424</v>
      </c>
      <c r="D160" s="144" t="s">
        <v>507</v>
      </c>
      <c r="E160" s="144">
        <v>62.0</v>
      </c>
      <c r="F160" s="144">
        <v>30.0</v>
      </c>
      <c r="G160" s="144" t="s">
        <v>915</v>
      </c>
      <c r="H160" s="144" t="s">
        <v>916</v>
      </c>
      <c r="I160" s="144">
        <v>1.1</v>
      </c>
      <c r="J160" s="144">
        <v>16.7</v>
      </c>
      <c r="K160" s="144">
        <v>2.7</v>
      </c>
      <c r="L160" s="144">
        <v>3.1</v>
      </c>
      <c r="M160" s="144">
        <v>0.7</v>
      </c>
      <c r="N160" s="144">
        <v>0.1</v>
      </c>
      <c r="O160" s="144">
        <v>2.2</v>
      </c>
      <c r="P160" s="144">
        <v>-0.98</v>
      </c>
    </row>
    <row r="161">
      <c r="A161" s="142">
        <v>160.0</v>
      </c>
      <c r="B161" s="143" t="s">
        <v>923</v>
      </c>
      <c r="C161" s="144" t="s">
        <v>469</v>
      </c>
      <c r="D161" s="144" t="s">
        <v>547</v>
      </c>
      <c r="E161" s="144">
        <v>70.0</v>
      </c>
      <c r="F161" s="144">
        <v>29.1</v>
      </c>
      <c r="G161" s="144" t="s">
        <v>924</v>
      </c>
      <c r="H161" s="144" t="s">
        <v>925</v>
      </c>
      <c r="I161" s="144">
        <v>2.3</v>
      </c>
      <c r="J161" s="144">
        <v>10.9</v>
      </c>
      <c r="K161" s="144">
        <v>3.3</v>
      </c>
      <c r="L161" s="144">
        <v>2.0</v>
      </c>
      <c r="M161" s="144">
        <v>0.8</v>
      </c>
      <c r="N161" s="144">
        <v>0.4</v>
      </c>
      <c r="O161" s="144">
        <v>1.0</v>
      </c>
      <c r="P161" s="144">
        <v>-1.1</v>
      </c>
    </row>
    <row r="162">
      <c r="A162" s="142">
        <v>161.0</v>
      </c>
      <c r="B162" s="143" t="s">
        <v>926</v>
      </c>
      <c r="C162" s="144" t="s">
        <v>456</v>
      </c>
      <c r="D162" s="144" t="s">
        <v>480</v>
      </c>
      <c r="E162" s="144">
        <v>8.0</v>
      </c>
      <c r="F162" s="144">
        <v>18.1</v>
      </c>
      <c r="G162" s="144" t="s">
        <v>927</v>
      </c>
      <c r="H162" s="144" t="s">
        <v>928</v>
      </c>
      <c r="I162" s="144">
        <v>0.1</v>
      </c>
      <c r="J162" s="144">
        <v>9.6</v>
      </c>
      <c r="K162" s="144">
        <v>5.1</v>
      </c>
      <c r="L162" s="144">
        <v>1.2</v>
      </c>
      <c r="M162" s="144">
        <v>0.6</v>
      </c>
      <c r="N162" s="144">
        <v>0.8</v>
      </c>
      <c r="O162" s="144">
        <v>0.7</v>
      </c>
      <c r="P162" s="144">
        <v>-1.12</v>
      </c>
    </row>
    <row r="163">
      <c r="A163" s="142">
        <v>162.0</v>
      </c>
      <c r="B163" s="143" t="s">
        <v>929</v>
      </c>
      <c r="C163" s="144" t="s">
        <v>432</v>
      </c>
      <c r="D163" s="144" t="s">
        <v>491</v>
      </c>
      <c r="E163" s="144">
        <v>67.0</v>
      </c>
      <c r="F163" s="144">
        <v>24.2</v>
      </c>
      <c r="G163" s="144" t="s">
        <v>930</v>
      </c>
      <c r="H163" s="144" t="s">
        <v>931</v>
      </c>
      <c r="I163" s="144">
        <v>1.8</v>
      </c>
      <c r="J163" s="144">
        <v>7.5</v>
      </c>
      <c r="K163" s="144">
        <v>4.3</v>
      </c>
      <c r="L163" s="144">
        <v>1.7</v>
      </c>
      <c r="M163" s="144">
        <v>0.9</v>
      </c>
      <c r="N163" s="144">
        <v>0.7</v>
      </c>
      <c r="O163" s="144">
        <v>0.7</v>
      </c>
      <c r="P163" s="144">
        <v>-1.2</v>
      </c>
    </row>
    <row r="164">
      <c r="A164" s="142">
        <v>163.0</v>
      </c>
      <c r="B164" s="143" t="s">
        <v>932</v>
      </c>
      <c r="C164" s="144" t="s">
        <v>469</v>
      </c>
      <c r="D164" s="144" t="s">
        <v>476</v>
      </c>
      <c r="E164" s="144">
        <v>76.0</v>
      </c>
      <c r="F164" s="144">
        <v>22.0</v>
      </c>
      <c r="G164" s="144" t="s">
        <v>933</v>
      </c>
      <c r="H164" s="144" t="s">
        <v>934</v>
      </c>
      <c r="I164" s="144">
        <v>1.8</v>
      </c>
      <c r="J164" s="144">
        <v>12.0</v>
      </c>
      <c r="K164" s="144">
        <v>2.6</v>
      </c>
      <c r="L164" s="144">
        <v>3.0</v>
      </c>
      <c r="M164" s="144">
        <v>0.6</v>
      </c>
      <c r="N164" s="144">
        <v>0.3</v>
      </c>
      <c r="O164" s="144">
        <v>1.5</v>
      </c>
      <c r="P164" s="144">
        <v>-1.25</v>
      </c>
    </row>
    <row r="165">
      <c r="A165" s="142">
        <v>164.0</v>
      </c>
      <c r="B165" s="143" t="s">
        <v>935</v>
      </c>
      <c r="C165" s="144" t="s">
        <v>46</v>
      </c>
      <c r="D165" s="144" t="s">
        <v>437</v>
      </c>
      <c r="E165" s="144">
        <v>72.0</v>
      </c>
      <c r="F165" s="144">
        <v>30.0</v>
      </c>
      <c r="G165" s="144" t="s">
        <v>936</v>
      </c>
      <c r="H165" s="144" t="s">
        <v>937</v>
      </c>
      <c r="I165" s="144">
        <v>1.6</v>
      </c>
      <c r="J165" s="144">
        <v>9.0</v>
      </c>
      <c r="K165" s="144">
        <v>4.6</v>
      </c>
      <c r="L165" s="144">
        <v>1.5</v>
      </c>
      <c r="M165" s="144">
        <v>0.6</v>
      </c>
      <c r="N165" s="144">
        <v>0.6</v>
      </c>
      <c r="O165" s="144">
        <v>1.0</v>
      </c>
      <c r="P165" s="144">
        <v>-1.26</v>
      </c>
    </row>
    <row r="166">
      <c r="A166" s="142">
        <v>165.0</v>
      </c>
      <c r="B166" s="143" t="s">
        <v>920</v>
      </c>
      <c r="C166" s="144" t="s">
        <v>469</v>
      </c>
      <c r="D166" s="144" t="s">
        <v>583</v>
      </c>
      <c r="E166" s="144">
        <v>78.0</v>
      </c>
      <c r="F166" s="144">
        <v>31.0</v>
      </c>
      <c r="G166" s="144" t="s">
        <v>1674</v>
      </c>
      <c r="H166" s="144" t="s">
        <v>1675</v>
      </c>
      <c r="I166" s="144">
        <v>1.8</v>
      </c>
      <c r="J166" s="144">
        <v>15.3</v>
      </c>
      <c r="K166" s="144">
        <v>4.2</v>
      </c>
      <c r="L166" s="144">
        <v>1.7</v>
      </c>
      <c r="M166" s="144">
        <v>0.7</v>
      </c>
      <c r="N166" s="144">
        <v>0.4</v>
      </c>
      <c r="O166" s="144">
        <v>1.5</v>
      </c>
      <c r="P166" s="144">
        <v>-1.33</v>
      </c>
    </row>
    <row r="167">
      <c r="A167" s="142">
        <v>166.0</v>
      </c>
      <c r="B167" s="143" t="s">
        <v>938</v>
      </c>
      <c r="C167" s="144" t="s">
        <v>47</v>
      </c>
      <c r="D167" s="144" t="s">
        <v>461</v>
      </c>
      <c r="E167" s="144">
        <v>70.0</v>
      </c>
      <c r="F167" s="144">
        <v>21.1</v>
      </c>
      <c r="G167" s="144" t="s">
        <v>939</v>
      </c>
      <c r="H167" s="144" t="s">
        <v>940</v>
      </c>
      <c r="I167" s="144">
        <v>0.0</v>
      </c>
      <c r="J167" s="144">
        <v>8.7</v>
      </c>
      <c r="K167" s="144">
        <v>6.4</v>
      </c>
      <c r="L167" s="144">
        <v>0.7</v>
      </c>
      <c r="M167" s="144">
        <v>0.3</v>
      </c>
      <c r="N167" s="144">
        <v>1.2</v>
      </c>
      <c r="O167" s="144">
        <v>1.1</v>
      </c>
      <c r="P167" s="144">
        <v>-1.33</v>
      </c>
    </row>
    <row r="168">
      <c r="A168" s="142">
        <v>167.0</v>
      </c>
      <c r="B168" s="143" t="s">
        <v>941</v>
      </c>
      <c r="C168" s="144" t="s">
        <v>424</v>
      </c>
      <c r="D168" s="144" t="s">
        <v>587</v>
      </c>
      <c r="E168" s="144">
        <v>65.0</v>
      </c>
      <c r="F168" s="144">
        <v>24.0</v>
      </c>
      <c r="G168" s="144" t="s">
        <v>942</v>
      </c>
      <c r="H168" s="144" t="s">
        <v>943</v>
      </c>
      <c r="I168" s="144">
        <v>2.0</v>
      </c>
      <c r="J168" s="144">
        <v>12.9</v>
      </c>
      <c r="K168" s="144">
        <v>1.9</v>
      </c>
      <c r="L168" s="144">
        <v>1.3</v>
      </c>
      <c r="M168" s="144">
        <v>1.2</v>
      </c>
      <c r="N168" s="144">
        <v>0.2</v>
      </c>
      <c r="O168" s="144">
        <v>0.7</v>
      </c>
      <c r="P168" s="144">
        <v>-1.35</v>
      </c>
    </row>
    <row r="169">
      <c r="A169" s="142">
        <v>168.0</v>
      </c>
      <c r="B169" s="143" t="s">
        <v>944</v>
      </c>
      <c r="C169" s="144" t="s">
        <v>456</v>
      </c>
      <c r="D169" s="144" t="s">
        <v>554</v>
      </c>
      <c r="E169" s="144">
        <v>70.0</v>
      </c>
      <c r="F169" s="144">
        <v>28.1</v>
      </c>
      <c r="G169" s="144" t="s">
        <v>945</v>
      </c>
      <c r="H169" s="144" t="s">
        <v>946</v>
      </c>
      <c r="I169" s="144">
        <v>1.4</v>
      </c>
      <c r="J169" s="144">
        <v>10.8</v>
      </c>
      <c r="K169" s="144">
        <v>8.2</v>
      </c>
      <c r="L169" s="144">
        <v>1.3</v>
      </c>
      <c r="M169" s="144">
        <v>0.4</v>
      </c>
      <c r="N169" s="144">
        <v>0.7</v>
      </c>
      <c r="O169" s="144">
        <v>1.4</v>
      </c>
      <c r="P169" s="144">
        <v>-1.38</v>
      </c>
    </row>
    <row r="170">
      <c r="A170" s="142">
        <v>169.0</v>
      </c>
      <c r="B170" s="143" t="s">
        <v>947</v>
      </c>
      <c r="C170" s="144" t="s">
        <v>43</v>
      </c>
      <c r="D170" s="144" t="s">
        <v>491</v>
      </c>
      <c r="E170" s="144">
        <v>74.0</v>
      </c>
      <c r="F170" s="144">
        <v>29.0</v>
      </c>
      <c r="G170" s="144" t="s">
        <v>948</v>
      </c>
      <c r="H170" s="144" t="s">
        <v>949</v>
      </c>
      <c r="I170" s="144">
        <v>1.0</v>
      </c>
      <c r="J170" s="144">
        <v>15.9</v>
      </c>
      <c r="K170" s="144">
        <v>6.1</v>
      </c>
      <c r="L170" s="144">
        <v>6.7</v>
      </c>
      <c r="M170" s="144">
        <v>0.9</v>
      </c>
      <c r="N170" s="144">
        <v>0.3</v>
      </c>
      <c r="O170" s="144">
        <v>3.4</v>
      </c>
      <c r="P170" s="144">
        <v>-1.38</v>
      </c>
    </row>
    <row r="171">
      <c r="A171" s="142">
        <v>170.0</v>
      </c>
      <c r="B171" s="143" t="s">
        <v>950</v>
      </c>
      <c r="C171" s="144" t="s">
        <v>469</v>
      </c>
      <c r="D171" s="144" t="s">
        <v>429</v>
      </c>
      <c r="E171" s="144">
        <v>74.0</v>
      </c>
      <c r="F171" s="144">
        <v>30.0</v>
      </c>
      <c r="G171" s="144" t="s">
        <v>951</v>
      </c>
      <c r="H171" s="144" t="s">
        <v>952</v>
      </c>
      <c r="I171" s="144">
        <v>1.4</v>
      </c>
      <c r="J171" s="144">
        <v>17.8</v>
      </c>
      <c r="K171" s="144">
        <v>4.3</v>
      </c>
      <c r="L171" s="144">
        <v>1.6</v>
      </c>
      <c r="M171" s="144">
        <v>0.7</v>
      </c>
      <c r="N171" s="144">
        <v>0.2</v>
      </c>
      <c r="O171" s="144">
        <v>2.1</v>
      </c>
      <c r="P171" s="144">
        <v>-1.39</v>
      </c>
    </row>
    <row r="172">
      <c r="A172" s="142">
        <v>171.0</v>
      </c>
      <c r="B172" s="143" t="s">
        <v>953</v>
      </c>
      <c r="C172" s="144" t="s">
        <v>469</v>
      </c>
      <c r="D172" s="144" t="s">
        <v>590</v>
      </c>
      <c r="E172" s="144">
        <v>74.0</v>
      </c>
      <c r="F172" s="144">
        <v>28.3</v>
      </c>
      <c r="G172" s="144" t="s">
        <v>954</v>
      </c>
      <c r="H172" s="144" t="s">
        <v>955</v>
      </c>
      <c r="I172" s="144">
        <v>2.3</v>
      </c>
      <c r="J172" s="144">
        <v>11.2</v>
      </c>
      <c r="K172" s="144">
        <v>3.1</v>
      </c>
      <c r="L172" s="144">
        <v>1.3</v>
      </c>
      <c r="M172" s="144">
        <v>0.5</v>
      </c>
      <c r="N172" s="144">
        <v>0.2</v>
      </c>
      <c r="O172" s="144">
        <v>0.8</v>
      </c>
      <c r="P172" s="144">
        <v>-1.47</v>
      </c>
    </row>
    <row r="173">
      <c r="A173" s="142">
        <v>172.0</v>
      </c>
      <c r="B173" s="143" t="s">
        <v>956</v>
      </c>
      <c r="C173" s="144" t="s">
        <v>766</v>
      </c>
      <c r="D173" s="144" t="s">
        <v>441</v>
      </c>
      <c r="E173" s="144">
        <v>70.0</v>
      </c>
      <c r="F173" s="144">
        <v>17.7</v>
      </c>
      <c r="G173" s="144" t="s">
        <v>957</v>
      </c>
      <c r="H173" s="144" t="s">
        <v>958</v>
      </c>
      <c r="I173" s="144">
        <v>0.6</v>
      </c>
      <c r="J173" s="144">
        <v>6.7</v>
      </c>
      <c r="K173" s="144">
        <v>3.5</v>
      </c>
      <c r="L173" s="144">
        <v>1.0</v>
      </c>
      <c r="M173" s="144">
        <v>1.3</v>
      </c>
      <c r="N173" s="144">
        <v>0.3</v>
      </c>
      <c r="O173" s="144">
        <v>0.6</v>
      </c>
      <c r="P173" s="144">
        <v>-1.48</v>
      </c>
    </row>
    <row r="174">
      <c r="A174" s="142">
        <v>173.0</v>
      </c>
      <c r="B174" s="143" t="s">
        <v>962</v>
      </c>
      <c r="C174" s="144" t="s">
        <v>469</v>
      </c>
      <c r="D174" s="144" t="s">
        <v>465</v>
      </c>
      <c r="E174" s="144">
        <v>73.0</v>
      </c>
      <c r="F174" s="144">
        <v>30.0</v>
      </c>
      <c r="G174" s="144" t="s">
        <v>942</v>
      </c>
      <c r="H174" s="144" t="s">
        <v>963</v>
      </c>
      <c r="I174" s="144">
        <v>2.7</v>
      </c>
      <c r="J174" s="144">
        <v>12.7</v>
      </c>
      <c r="K174" s="144">
        <v>3.6</v>
      </c>
      <c r="L174" s="144">
        <v>2.1</v>
      </c>
      <c r="M174" s="144">
        <v>0.6</v>
      </c>
      <c r="N174" s="144">
        <v>0.2</v>
      </c>
      <c r="O174" s="144">
        <v>1.0</v>
      </c>
      <c r="P174" s="144">
        <v>-1.51</v>
      </c>
    </row>
    <row r="175">
      <c r="A175" s="142">
        <v>174.0</v>
      </c>
      <c r="B175" s="143" t="s">
        <v>964</v>
      </c>
      <c r="C175" s="144" t="s">
        <v>46</v>
      </c>
      <c r="D175" s="144" t="s">
        <v>567</v>
      </c>
      <c r="E175" s="144">
        <v>66.0</v>
      </c>
      <c r="F175" s="144">
        <v>29.8</v>
      </c>
      <c r="G175" s="144" t="s">
        <v>965</v>
      </c>
      <c r="H175" s="144" t="s">
        <v>966</v>
      </c>
      <c r="I175" s="144">
        <v>0.8</v>
      </c>
      <c r="J175" s="144">
        <v>12.8</v>
      </c>
      <c r="K175" s="144">
        <v>6.1</v>
      </c>
      <c r="L175" s="144">
        <v>2.9</v>
      </c>
      <c r="M175" s="144">
        <v>0.9</v>
      </c>
      <c r="N175" s="144">
        <v>0.5</v>
      </c>
      <c r="O175" s="144">
        <v>2.0</v>
      </c>
      <c r="P175" s="144">
        <v>-1.52</v>
      </c>
    </row>
    <row r="176">
      <c r="A176" s="142">
        <v>175.0</v>
      </c>
      <c r="B176" s="143" t="s">
        <v>967</v>
      </c>
      <c r="C176" s="144" t="s">
        <v>424</v>
      </c>
      <c r="D176" s="144" t="s">
        <v>480</v>
      </c>
      <c r="E176" s="144">
        <v>64.0</v>
      </c>
      <c r="F176" s="144">
        <v>24.8</v>
      </c>
      <c r="G176" s="144" t="s">
        <v>968</v>
      </c>
      <c r="H176" s="144" t="s">
        <v>969</v>
      </c>
      <c r="I176" s="144">
        <v>2.5</v>
      </c>
      <c r="J176" s="144">
        <v>10.7</v>
      </c>
      <c r="K176" s="144">
        <v>3.0</v>
      </c>
      <c r="L176" s="144">
        <v>1.8</v>
      </c>
      <c r="M176" s="144">
        <v>0.6</v>
      </c>
      <c r="N176" s="144">
        <v>0.1</v>
      </c>
      <c r="O176" s="144">
        <v>0.8</v>
      </c>
      <c r="P176" s="144">
        <v>-1.52</v>
      </c>
    </row>
    <row r="177">
      <c r="A177" s="142">
        <v>176.0</v>
      </c>
      <c r="B177" s="143" t="s">
        <v>970</v>
      </c>
      <c r="C177" s="144" t="s">
        <v>469</v>
      </c>
      <c r="D177" s="144" t="s">
        <v>425</v>
      </c>
      <c r="E177" s="144">
        <v>72.0</v>
      </c>
      <c r="F177" s="144">
        <v>30.0</v>
      </c>
      <c r="G177" s="144" t="s">
        <v>971</v>
      </c>
      <c r="H177" s="144" t="s">
        <v>972</v>
      </c>
      <c r="I177" s="144">
        <v>2.0</v>
      </c>
      <c r="J177" s="144">
        <v>14.5</v>
      </c>
      <c r="K177" s="144">
        <v>4.3</v>
      </c>
      <c r="L177" s="144">
        <v>1.9</v>
      </c>
      <c r="M177" s="144">
        <v>0.9</v>
      </c>
      <c r="N177" s="144">
        <v>0.3</v>
      </c>
      <c r="O177" s="144">
        <v>1.4</v>
      </c>
      <c r="P177" s="144">
        <v>-1.55</v>
      </c>
    </row>
    <row r="178">
      <c r="A178" s="142">
        <v>177.0</v>
      </c>
      <c r="B178" s="143" t="s">
        <v>973</v>
      </c>
      <c r="C178" s="144" t="s">
        <v>456</v>
      </c>
      <c r="D178" s="144" t="s">
        <v>507</v>
      </c>
      <c r="E178" s="144">
        <v>66.0</v>
      </c>
      <c r="F178" s="144">
        <v>18.9</v>
      </c>
      <c r="G178" s="144" t="s">
        <v>974</v>
      </c>
      <c r="H178" s="144" t="s">
        <v>975</v>
      </c>
      <c r="I178" s="144">
        <v>1.1</v>
      </c>
      <c r="J178" s="144">
        <v>9.0</v>
      </c>
      <c r="K178" s="144">
        <v>4.2</v>
      </c>
      <c r="L178" s="144">
        <v>2.6</v>
      </c>
      <c r="M178" s="144">
        <v>0.6</v>
      </c>
      <c r="N178" s="144">
        <v>0.4</v>
      </c>
      <c r="O178" s="144">
        <v>1.6</v>
      </c>
      <c r="P178" s="144">
        <v>-1.6</v>
      </c>
    </row>
    <row r="179">
      <c r="A179" s="142">
        <v>178.0</v>
      </c>
      <c r="B179" s="143" t="s">
        <v>976</v>
      </c>
      <c r="C179" s="144" t="s">
        <v>43</v>
      </c>
      <c r="D179" s="144" t="s">
        <v>507</v>
      </c>
      <c r="E179" s="144">
        <v>60.0</v>
      </c>
      <c r="F179" s="144">
        <v>18.0</v>
      </c>
      <c r="G179" s="144" t="s">
        <v>977</v>
      </c>
      <c r="H179" s="144" t="s">
        <v>978</v>
      </c>
      <c r="I179" s="144">
        <v>0.4</v>
      </c>
      <c r="J179" s="144">
        <v>8.0</v>
      </c>
      <c r="K179" s="144">
        <v>3.0</v>
      </c>
      <c r="L179" s="144">
        <v>4.1</v>
      </c>
      <c r="M179" s="144">
        <v>1.0</v>
      </c>
      <c r="N179" s="144">
        <v>0.3</v>
      </c>
      <c r="O179" s="144">
        <v>1.4</v>
      </c>
      <c r="P179" s="144">
        <v>-1.62</v>
      </c>
    </row>
    <row r="180">
      <c r="A180" s="142">
        <v>179.0</v>
      </c>
      <c r="B180" s="143" t="s">
        <v>979</v>
      </c>
      <c r="C180" s="144" t="s">
        <v>456</v>
      </c>
      <c r="D180" s="144" t="s">
        <v>603</v>
      </c>
      <c r="E180" s="144">
        <v>65.0</v>
      </c>
      <c r="F180" s="144">
        <v>21.2</v>
      </c>
      <c r="G180" s="144" t="s">
        <v>980</v>
      </c>
      <c r="H180" s="144" t="s">
        <v>981</v>
      </c>
      <c r="I180" s="144">
        <v>0.3</v>
      </c>
      <c r="J180" s="144">
        <v>6.8</v>
      </c>
      <c r="K180" s="144">
        <v>5.3</v>
      </c>
      <c r="L180" s="144">
        <v>1.8</v>
      </c>
      <c r="M180" s="144">
        <v>0.9</v>
      </c>
      <c r="N180" s="144">
        <v>0.5</v>
      </c>
      <c r="O180" s="144">
        <v>0.7</v>
      </c>
      <c r="P180" s="144">
        <v>-1.63</v>
      </c>
    </row>
    <row r="181">
      <c r="A181" s="142">
        <v>180.0</v>
      </c>
      <c r="B181" s="143" t="s">
        <v>982</v>
      </c>
      <c r="C181" s="144" t="s">
        <v>469</v>
      </c>
      <c r="D181" s="144" t="s">
        <v>437</v>
      </c>
      <c r="E181" s="144">
        <v>67.0</v>
      </c>
      <c r="F181" s="144">
        <v>27.4</v>
      </c>
      <c r="G181" s="144" t="s">
        <v>983</v>
      </c>
      <c r="H181" s="144" t="s">
        <v>984</v>
      </c>
      <c r="I181" s="144">
        <v>1.2</v>
      </c>
      <c r="J181" s="144">
        <v>9.5</v>
      </c>
      <c r="K181" s="144">
        <v>3.7</v>
      </c>
      <c r="L181" s="144">
        <v>2.0</v>
      </c>
      <c r="M181" s="144">
        <v>0.9</v>
      </c>
      <c r="N181" s="144">
        <v>0.2</v>
      </c>
      <c r="O181" s="144">
        <v>1.3</v>
      </c>
      <c r="P181" s="144">
        <v>-1.67</v>
      </c>
    </row>
    <row r="182">
      <c r="A182" s="142">
        <v>181.0</v>
      </c>
      <c r="B182" s="143" t="s">
        <v>985</v>
      </c>
      <c r="C182" s="144" t="s">
        <v>469</v>
      </c>
      <c r="D182" s="144" t="s">
        <v>465</v>
      </c>
      <c r="E182" s="144">
        <v>67.0</v>
      </c>
      <c r="F182" s="144">
        <v>27.6</v>
      </c>
      <c r="G182" s="144" t="s">
        <v>986</v>
      </c>
      <c r="H182" s="144" t="s">
        <v>987</v>
      </c>
      <c r="I182" s="144">
        <v>1.5</v>
      </c>
      <c r="J182" s="144">
        <v>13.1</v>
      </c>
      <c r="K182" s="144">
        <v>3.4</v>
      </c>
      <c r="L182" s="144">
        <v>3.7</v>
      </c>
      <c r="M182" s="144">
        <v>0.9</v>
      </c>
      <c r="N182" s="144">
        <v>0.3</v>
      </c>
      <c r="O182" s="144">
        <v>1.6</v>
      </c>
      <c r="P182" s="144">
        <v>-1.7</v>
      </c>
    </row>
    <row r="183">
      <c r="A183" s="142">
        <v>182.0</v>
      </c>
      <c r="B183" s="143" t="s">
        <v>988</v>
      </c>
      <c r="C183" s="144" t="s">
        <v>43</v>
      </c>
      <c r="D183" s="144" t="s">
        <v>420</v>
      </c>
      <c r="E183" s="144">
        <v>64.0</v>
      </c>
      <c r="F183" s="144">
        <v>23.4</v>
      </c>
      <c r="G183" s="144" t="s">
        <v>989</v>
      </c>
      <c r="H183" s="144" t="s">
        <v>990</v>
      </c>
      <c r="I183" s="144">
        <v>1.2</v>
      </c>
      <c r="J183" s="144">
        <v>6.9</v>
      </c>
      <c r="K183" s="144">
        <v>3.5</v>
      </c>
      <c r="L183" s="144">
        <v>3.4</v>
      </c>
      <c r="M183" s="144">
        <v>0.9</v>
      </c>
      <c r="N183" s="144">
        <v>0.7</v>
      </c>
      <c r="O183" s="144">
        <v>1.0</v>
      </c>
      <c r="P183" s="144">
        <v>-1.8</v>
      </c>
    </row>
    <row r="184">
      <c r="A184" s="142">
        <v>183.0</v>
      </c>
      <c r="B184" s="143" t="s">
        <v>991</v>
      </c>
      <c r="C184" s="144" t="s">
        <v>469</v>
      </c>
      <c r="D184" s="144" t="s">
        <v>503</v>
      </c>
      <c r="E184" s="144">
        <v>76.0</v>
      </c>
      <c r="F184" s="144">
        <v>26.4</v>
      </c>
      <c r="G184" s="144" t="s">
        <v>992</v>
      </c>
      <c r="H184" s="144" t="s">
        <v>993</v>
      </c>
      <c r="I184" s="144">
        <v>1.6</v>
      </c>
      <c r="J184" s="144">
        <v>6.9</v>
      </c>
      <c r="K184" s="144">
        <v>4.2</v>
      </c>
      <c r="L184" s="144">
        <v>2.6</v>
      </c>
      <c r="M184" s="144">
        <v>0.8</v>
      </c>
      <c r="N184" s="144">
        <v>0.5</v>
      </c>
      <c r="O184" s="144">
        <v>1.1</v>
      </c>
      <c r="P184" s="144">
        <v>-1.82</v>
      </c>
    </row>
    <row r="185">
      <c r="A185" s="142">
        <v>184.0</v>
      </c>
      <c r="B185" s="143" t="s">
        <v>994</v>
      </c>
      <c r="C185" s="144" t="s">
        <v>456</v>
      </c>
      <c r="D185" s="144" t="s">
        <v>437</v>
      </c>
      <c r="E185" s="144">
        <v>60.0</v>
      </c>
      <c r="F185" s="144">
        <v>25.6</v>
      </c>
      <c r="G185" s="144" t="s">
        <v>995</v>
      </c>
      <c r="H185" s="144" t="s">
        <v>996</v>
      </c>
      <c r="I185" s="144">
        <v>1.3</v>
      </c>
      <c r="J185" s="144">
        <v>7.4</v>
      </c>
      <c r="K185" s="144">
        <v>5.3</v>
      </c>
      <c r="L185" s="144">
        <v>1.3</v>
      </c>
      <c r="M185" s="144">
        <v>0.5</v>
      </c>
      <c r="N185" s="144">
        <v>1.0</v>
      </c>
      <c r="O185" s="144">
        <v>0.8</v>
      </c>
      <c r="P185" s="144">
        <v>-1.84</v>
      </c>
    </row>
    <row r="186">
      <c r="A186" s="142">
        <v>185.0</v>
      </c>
      <c r="B186" s="143" t="s">
        <v>997</v>
      </c>
      <c r="C186" s="144" t="s">
        <v>469</v>
      </c>
      <c r="D186" s="144" t="s">
        <v>491</v>
      </c>
      <c r="E186" s="144">
        <v>80.0</v>
      </c>
      <c r="F186" s="144">
        <v>25.1</v>
      </c>
      <c r="G186" s="144" t="s">
        <v>998</v>
      </c>
      <c r="H186" s="144" t="s">
        <v>999</v>
      </c>
      <c r="I186" s="144">
        <v>1.1</v>
      </c>
      <c r="J186" s="144">
        <v>10.1</v>
      </c>
      <c r="K186" s="144">
        <v>4.4</v>
      </c>
      <c r="L186" s="144">
        <v>2.5</v>
      </c>
      <c r="M186" s="144">
        <v>0.6</v>
      </c>
      <c r="N186" s="144">
        <v>0.3</v>
      </c>
      <c r="O186" s="144">
        <v>1.0</v>
      </c>
      <c r="P186" s="144">
        <v>-1.85</v>
      </c>
    </row>
    <row r="187">
      <c r="A187" s="142">
        <v>186.0</v>
      </c>
      <c r="B187" s="143" t="s">
        <v>1000</v>
      </c>
      <c r="C187" s="144" t="s">
        <v>456</v>
      </c>
      <c r="D187" s="144" t="s">
        <v>429</v>
      </c>
      <c r="E187" s="144">
        <v>67.0</v>
      </c>
      <c r="F187" s="144">
        <v>16.5</v>
      </c>
      <c r="G187" s="144" t="s">
        <v>1001</v>
      </c>
      <c r="H187" s="144" t="s">
        <v>1002</v>
      </c>
      <c r="I187" s="144">
        <v>0.1</v>
      </c>
      <c r="J187" s="144">
        <v>7.9</v>
      </c>
      <c r="K187" s="144">
        <v>4.5</v>
      </c>
      <c r="L187" s="144">
        <v>0.6</v>
      </c>
      <c r="M187" s="144">
        <v>0.6</v>
      </c>
      <c r="N187" s="144">
        <v>1.5</v>
      </c>
      <c r="O187" s="144">
        <v>1.0</v>
      </c>
      <c r="P187" s="144">
        <v>-1.86</v>
      </c>
    </row>
    <row r="188">
      <c r="A188" s="142">
        <v>187.0</v>
      </c>
      <c r="B188" s="143" t="s">
        <v>1003</v>
      </c>
      <c r="C188" s="144" t="s">
        <v>424</v>
      </c>
      <c r="D188" s="144" t="s">
        <v>457</v>
      </c>
      <c r="E188" s="144">
        <v>70.0</v>
      </c>
      <c r="F188" s="144">
        <v>27.7</v>
      </c>
      <c r="G188" s="144" t="s">
        <v>1004</v>
      </c>
      <c r="H188" s="144" t="s">
        <v>1005</v>
      </c>
      <c r="I188" s="144">
        <v>2.0</v>
      </c>
      <c r="J188" s="144">
        <v>10.3</v>
      </c>
      <c r="K188" s="144">
        <v>2.3</v>
      </c>
      <c r="L188" s="144">
        <v>3.2</v>
      </c>
      <c r="M188" s="144">
        <v>1.0</v>
      </c>
      <c r="N188" s="144">
        <v>0.1</v>
      </c>
      <c r="O188" s="144">
        <v>1.6</v>
      </c>
      <c r="P188" s="144">
        <v>-1.88</v>
      </c>
    </row>
    <row r="189">
      <c r="A189" s="142">
        <v>188.0</v>
      </c>
      <c r="B189" s="143" t="s">
        <v>1006</v>
      </c>
      <c r="C189" s="144" t="s">
        <v>432</v>
      </c>
      <c r="D189" s="144" t="s">
        <v>473</v>
      </c>
      <c r="E189" s="144">
        <v>68.0</v>
      </c>
      <c r="F189" s="144">
        <v>31.4</v>
      </c>
      <c r="G189" s="144" t="s">
        <v>1007</v>
      </c>
      <c r="H189" s="144" t="s">
        <v>1008</v>
      </c>
      <c r="I189" s="144">
        <v>1.5</v>
      </c>
      <c r="J189" s="144">
        <v>14.9</v>
      </c>
      <c r="K189" s="144">
        <v>3.9</v>
      </c>
      <c r="L189" s="144">
        <v>1.4</v>
      </c>
      <c r="M189" s="144">
        <v>0.6</v>
      </c>
      <c r="N189" s="144">
        <v>0.3</v>
      </c>
      <c r="O189" s="144">
        <v>1.3</v>
      </c>
      <c r="P189" s="144">
        <v>-2.0</v>
      </c>
    </row>
    <row r="190">
      <c r="A190" s="142">
        <v>189.0</v>
      </c>
      <c r="B190" s="143" t="s">
        <v>1012</v>
      </c>
      <c r="C190" s="144" t="s">
        <v>456</v>
      </c>
      <c r="D190" s="144" t="s">
        <v>398</v>
      </c>
      <c r="E190" s="144">
        <v>72.0</v>
      </c>
      <c r="F190" s="144">
        <v>16.4</v>
      </c>
      <c r="G190" s="144" t="s">
        <v>1013</v>
      </c>
      <c r="H190" s="144" t="s">
        <v>1014</v>
      </c>
      <c r="I190" s="144">
        <v>0.9</v>
      </c>
      <c r="J190" s="144">
        <v>9.5</v>
      </c>
      <c r="K190" s="144">
        <v>4.3</v>
      </c>
      <c r="L190" s="144">
        <v>1.0</v>
      </c>
      <c r="M190" s="144">
        <v>0.6</v>
      </c>
      <c r="N190" s="144">
        <v>0.8</v>
      </c>
      <c r="O190" s="144">
        <v>1.2</v>
      </c>
      <c r="P190" s="144">
        <v>-2.06</v>
      </c>
    </row>
    <row r="191">
      <c r="A191" s="142">
        <v>190.0</v>
      </c>
      <c r="B191" s="143" t="s">
        <v>1015</v>
      </c>
      <c r="C191" s="144" t="s">
        <v>456</v>
      </c>
      <c r="D191" s="144" t="s">
        <v>554</v>
      </c>
      <c r="E191" s="144">
        <v>46.0</v>
      </c>
      <c r="F191" s="144">
        <v>22.8</v>
      </c>
      <c r="G191" s="144" t="s">
        <v>1016</v>
      </c>
      <c r="H191" s="144" t="s">
        <v>1017</v>
      </c>
      <c r="I191" s="144">
        <v>0.5</v>
      </c>
      <c r="J191" s="144">
        <v>11.3</v>
      </c>
      <c r="K191" s="144">
        <v>6.6</v>
      </c>
      <c r="L191" s="144">
        <v>0.8</v>
      </c>
      <c r="M191" s="144">
        <v>0.4</v>
      </c>
      <c r="N191" s="144">
        <v>0.5</v>
      </c>
      <c r="O191" s="144">
        <v>0.9</v>
      </c>
      <c r="P191" s="144">
        <v>-2.1</v>
      </c>
    </row>
    <row r="192">
      <c r="A192" s="142">
        <v>191.0</v>
      </c>
      <c r="B192" s="143" t="s">
        <v>1021</v>
      </c>
      <c r="C192" s="144" t="s">
        <v>43</v>
      </c>
      <c r="D192" s="144" t="s">
        <v>603</v>
      </c>
      <c r="E192" s="144">
        <v>67.0</v>
      </c>
      <c r="F192" s="144">
        <v>20.4</v>
      </c>
      <c r="G192" s="144" t="s">
        <v>1022</v>
      </c>
      <c r="H192" s="144" t="s">
        <v>1023</v>
      </c>
      <c r="I192" s="144">
        <v>1.1</v>
      </c>
      <c r="J192" s="144">
        <v>8.5</v>
      </c>
      <c r="K192" s="144">
        <v>2.3</v>
      </c>
      <c r="L192" s="144">
        <v>3.3</v>
      </c>
      <c r="M192" s="144">
        <v>1.3</v>
      </c>
      <c r="N192" s="144">
        <v>0.2</v>
      </c>
      <c r="O192" s="144">
        <v>1.2</v>
      </c>
      <c r="P192" s="144">
        <v>-2.12</v>
      </c>
    </row>
    <row r="193">
      <c r="A193" s="142">
        <v>192.0</v>
      </c>
      <c r="B193" s="143" t="s">
        <v>1151</v>
      </c>
      <c r="C193" s="144" t="s">
        <v>432</v>
      </c>
      <c r="D193" s="144" t="s">
        <v>583</v>
      </c>
      <c r="E193" s="144">
        <v>58.0</v>
      </c>
      <c r="F193" s="144">
        <v>26.0</v>
      </c>
      <c r="G193" s="144" t="s">
        <v>1676</v>
      </c>
      <c r="H193" s="144" t="s">
        <v>1677</v>
      </c>
      <c r="I193" s="144">
        <v>1.4</v>
      </c>
      <c r="J193" s="144">
        <v>9.8</v>
      </c>
      <c r="K193" s="144">
        <v>4.8</v>
      </c>
      <c r="L193" s="144">
        <v>1.3</v>
      </c>
      <c r="M193" s="144">
        <v>0.6</v>
      </c>
      <c r="N193" s="144">
        <v>0.7</v>
      </c>
      <c r="O193" s="144">
        <v>1.0</v>
      </c>
      <c r="P193" s="144">
        <v>-2.12</v>
      </c>
    </row>
    <row r="194">
      <c r="A194" s="142">
        <v>193.0</v>
      </c>
      <c r="B194" s="143" t="s">
        <v>1018</v>
      </c>
      <c r="C194" s="144" t="s">
        <v>44</v>
      </c>
      <c r="D194" s="144" t="s">
        <v>533</v>
      </c>
      <c r="E194" s="144">
        <v>76.0</v>
      </c>
      <c r="F194" s="144">
        <v>26.6</v>
      </c>
      <c r="G194" s="144" t="s">
        <v>1019</v>
      </c>
      <c r="H194" s="144" t="s">
        <v>1020</v>
      </c>
      <c r="I194" s="144">
        <v>0.8</v>
      </c>
      <c r="J194" s="144">
        <v>8.8</v>
      </c>
      <c r="K194" s="144">
        <v>2.8</v>
      </c>
      <c r="L194" s="144">
        <v>3.0</v>
      </c>
      <c r="M194" s="144">
        <v>0.8</v>
      </c>
      <c r="N194" s="144">
        <v>0.4</v>
      </c>
      <c r="O194" s="144">
        <v>1.3</v>
      </c>
      <c r="P194" s="144">
        <v>-2.13</v>
      </c>
    </row>
    <row r="195">
      <c r="A195" s="142">
        <v>194.0</v>
      </c>
      <c r="B195" s="143" t="s">
        <v>1024</v>
      </c>
      <c r="C195" s="144" t="s">
        <v>469</v>
      </c>
      <c r="D195" s="144" t="s">
        <v>537</v>
      </c>
      <c r="E195" s="144">
        <v>70.0</v>
      </c>
      <c r="F195" s="144">
        <v>28.4</v>
      </c>
      <c r="G195" s="144" t="s">
        <v>1025</v>
      </c>
      <c r="H195" s="144" t="s">
        <v>1026</v>
      </c>
      <c r="I195" s="144">
        <v>1.8</v>
      </c>
      <c r="J195" s="144">
        <v>15.2</v>
      </c>
      <c r="K195" s="144">
        <v>3.2</v>
      </c>
      <c r="L195" s="144">
        <v>2.6</v>
      </c>
      <c r="M195" s="144">
        <v>0.9</v>
      </c>
      <c r="N195" s="144">
        <v>0.2</v>
      </c>
      <c r="O195" s="144">
        <v>1.4</v>
      </c>
      <c r="P195" s="144">
        <v>-2.13</v>
      </c>
    </row>
    <row r="196">
      <c r="A196" s="142">
        <v>195.0</v>
      </c>
      <c r="B196" s="143" t="s">
        <v>1027</v>
      </c>
      <c r="C196" s="144" t="s">
        <v>469</v>
      </c>
      <c r="D196" s="144" t="s">
        <v>547</v>
      </c>
      <c r="E196" s="144">
        <v>72.0</v>
      </c>
      <c r="F196" s="144">
        <v>33.6</v>
      </c>
      <c r="G196" s="144" t="s">
        <v>1028</v>
      </c>
      <c r="H196" s="144" t="s">
        <v>1029</v>
      </c>
      <c r="I196" s="144">
        <v>1.8</v>
      </c>
      <c r="J196" s="144">
        <v>19.7</v>
      </c>
      <c r="K196" s="144">
        <v>5.4</v>
      </c>
      <c r="L196" s="144">
        <v>2.8</v>
      </c>
      <c r="M196" s="144">
        <v>0.5</v>
      </c>
      <c r="N196" s="144">
        <v>0.2</v>
      </c>
      <c r="O196" s="144">
        <v>2.2</v>
      </c>
      <c r="P196" s="144">
        <v>-2.15</v>
      </c>
    </row>
    <row r="197">
      <c r="A197" s="142">
        <v>196.0</v>
      </c>
      <c r="B197" s="143" t="s">
        <v>1032</v>
      </c>
      <c r="C197" s="144" t="s">
        <v>45</v>
      </c>
      <c r="D197" s="144" t="s">
        <v>461</v>
      </c>
      <c r="E197" s="144">
        <v>50.0</v>
      </c>
      <c r="F197" s="144">
        <v>25.4</v>
      </c>
      <c r="G197" s="144" t="s">
        <v>1033</v>
      </c>
      <c r="H197" s="144" t="s">
        <v>1034</v>
      </c>
      <c r="I197" s="144">
        <v>1.0</v>
      </c>
      <c r="J197" s="144">
        <v>12.0</v>
      </c>
      <c r="K197" s="144">
        <v>3.5</v>
      </c>
      <c r="L197" s="144">
        <v>3.0</v>
      </c>
      <c r="M197" s="144">
        <v>0.6</v>
      </c>
      <c r="N197" s="144">
        <v>0.2</v>
      </c>
      <c r="O197" s="144">
        <v>1.7</v>
      </c>
      <c r="P197" s="144">
        <v>-2.2</v>
      </c>
    </row>
    <row r="198">
      <c r="A198" s="142">
        <v>197.0</v>
      </c>
      <c r="B198" s="143" t="s">
        <v>1035</v>
      </c>
      <c r="C198" s="144" t="s">
        <v>424</v>
      </c>
      <c r="D198" s="144" t="s">
        <v>429</v>
      </c>
      <c r="E198" s="144">
        <v>72.0</v>
      </c>
      <c r="F198" s="144">
        <v>26.2</v>
      </c>
      <c r="G198" s="144" t="s">
        <v>1036</v>
      </c>
      <c r="H198" s="144" t="s">
        <v>1037</v>
      </c>
      <c r="I198" s="144">
        <v>1.2</v>
      </c>
      <c r="J198" s="144">
        <v>9.1</v>
      </c>
      <c r="K198" s="144">
        <v>2.5</v>
      </c>
      <c r="L198" s="144">
        <v>4.4</v>
      </c>
      <c r="M198" s="144">
        <v>0.9</v>
      </c>
      <c r="N198" s="144">
        <v>0.2</v>
      </c>
      <c r="O198" s="144">
        <v>1.6</v>
      </c>
      <c r="P198" s="144">
        <v>-2.21</v>
      </c>
    </row>
    <row r="199">
      <c r="A199" s="142">
        <v>198.0</v>
      </c>
      <c r="B199" s="143" t="s">
        <v>1041</v>
      </c>
      <c r="C199" s="144" t="s">
        <v>456</v>
      </c>
      <c r="D199" s="144" t="s">
        <v>480</v>
      </c>
      <c r="E199" s="144">
        <v>75.0</v>
      </c>
      <c r="F199" s="144">
        <v>23.1</v>
      </c>
      <c r="G199" s="144" t="s">
        <v>1042</v>
      </c>
      <c r="H199" s="144" t="s">
        <v>1043</v>
      </c>
      <c r="I199" s="144">
        <v>1.1</v>
      </c>
      <c r="J199" s="144">
        <v>9.5</v>
      </c>
      <c r="K199" s="144">
        <v>5.2</v>
      </c>
      <c r="L199" s="144">
        <v>1.4</v>
      </c>
      <c r="M199" s="144">
        <v>0.6</v>
      </c>
      <c r="N199" s="144">
        <v>0.7</v>
      </c>
      <c r="O199" s="144">
        <v>0.9</v>
      </c>
      <c r="P199" s="144">
        <v>-2.31</v>
      </c>
    </row>
    <row r="200">
      <c r="A200" s="142">
        <v>199.0</v>
      </c>
      <c r="B200" s="143" t="s">
        <v>1044</v>
      </c>
      <c r="C200" s="144" t="s">
        <v>47</v>
      </c>
      <c r="D200" s="144" t="s">
        <v>491</v>
      </c>
      <c r="E200" s="144">
        <v>75.0</v>
      </c>
      <c r="F200" s="144">
        <v>23.4</v>
      </c>
      <c r="G200" s="144" t="s">
        <v>1045</v>
      </c>
      <c r="H200" s="144" t="s">
        <v>1046</v>
      </c>
      <c r="I200" s="144">
        <v>0.0</v>
      </c>
      <c r="J200" s="144">
        <v>8.2</v>
      </c>
      <c r="K200" s="144">
        <v>7.8</v>
      </c>
      <c r="L200" s="144">
        <v>2.9</v>
      </c>
      <c r="M200" s="144">
        <v>0.7</v>
      </c>
      <c r="N200" s="144">
        <v>0.6</v>
      </c>
      <c r="O200" s="144">
        <v>1.3</v>
      </c>
      <c r="P200" s="144">
        <v>-2.32</v>
      </c>
    </row>
    <row r="201">
      <c r="A201" s="142">
        <v>200.0</v>
      </c>
      <c r="B201" s="143" t="s">
        <v>1047</v>
      </c>
      <c r="C201" s="144" t="s">
        <v>47</v>
      </c>
      <c r="D201" s="144" t="s">
        <v>554</v>
      </c>
      <c r="E201" s="144">
        <v>56.0</v>
      </c>
      <c r="F201" s="144">
        <v>20.8</v>
      </c>
      <c r="G201" s="144" t="s">
        <v>1048</v>
      </c>
      <c r="H201" s="144" t="s">
        <v>1049</v>
      </c>
      <c r="I201" s="144">
        <v>0.1</v>
      </c>
      <c r="J201" s="144">
        <v>10.9</v>
      </c>
      <c r="K201" s="144">
        <v>6.5</v>
      </c>
      <c r="L201" s="144">
        <v>0.7</v>
      </c>
      <c r="M201" s="144">
        <v>0.2</v>
      </c>
      <c r="N201" s="144">
        <v>0.9</v>
      </c>
      <c r="O201" s="144">
        <v>1.2</v>
      </c>
      <c r="P201" s="144">
        <v>-2.34</v>
      </c>
    </row>
    <row r="202">
      <c r="A202" s="142">
        <v>201.0</v>
      </c>
      <c r="B202" s="143" t="s">
        <v>1050</v>
      </c>
      <c r="C202" s="144" t="s">
        <v>424</v>
      </c>
      <c r="D202" s="144" t="s">
        <v>619</v>
      </c>
      <c r="E202" s="144">
        <v>56.0</v>
      </c>
      <c r="F202" s="144">
        <v>23.8</v>
      </c>
      <c r="G202" s="144" t="s">
        <v>1051</v>
      </c>
      <c r="H202" s="144" t="s">
        <v>1052</v>
      </c>
      <c r="I202" s="144">
        <v>1.0</v>
      </c>
      <c r="J202" s="144">
        <v>10.3</v>
      </c>
      <c r="K202" s="144">
        <v>3.1</v>
      </c>
      <c r="L202" s="144">
        <v>3.4</v>
      </c>
      <c r="M202" s="144">
        <v>1.2</v>
      </c>
      <c r="N202" s="144">
        <v>0.4</v>
      </c>
      <c r="O202" s="144">
        <v>2.2</v>
      </c>
      <c r="P202" s="144">
        <v>-2.35</v>
      </c>
    </row>
    <row r="203">
      <c r="A203" s="142">
        <v>202.0</v>
      </c>
      <c r="B203" s="143" t="s">
        <v>1053</v>
      </c>
      <c r="C203" s="144" t="s">
        <v>469</v>
      </c>
      <c r="D203" s="144" t="s">
        <v>619</v>
      </c>
      <c r="E203" s="144">
        <v>60.0</v>
      </c>
      <c r="F203" s="144">
        <v>25.2</v>
      </c>
      <c r="G203" s="144" t="s">
        <v>1054</v>
      </c>
      <c r="H203" s="144" t="s">
        <v>1055</v>
      </c>
      <c r="I203" s="144">
        <v>1.8</v>
      </c>
      <c r="J203" s="144">
        <v>9.4</v>
      </c>
      <c r="K203" s="144">
        <v>1.9</v>
      </c>
      <c r="L203" s="144">
        <v>1.5</v>
      </c>
      <c r="M203" s="144">
        <v>0.9</v>
      </c>
      <c r="N203" s="144">
        <v>0.2</v>
      </c>
      <c r="O203" s="144">
        <v>0.8</v>
      </c>
      <c r="P203" s="144">
        <v>-2.39</v>
      </c>
    </row>
    <row r="204">
      <c r="A204" s="142">
        <v>203.0</v>
      </c>
      <c r="B204" s="143" t="s">
        <v>1062</v>
      </c>
      <c r="C204" s="144" t="s">
        <v>432</v>
      </c>
      <c r="D204" s="144" t="s">
        <v>619</v>
      </c>
      <c r="E204" s="144">
        <v>30.0</v>
      </c>
      <c r="F204" s="144">
        <v>16.9</v>
      </c>
      <c r="G204" s="144" t="s">
        <v>1063</v>
      </c>
      <c r="H204" s="144" t="s">
        <v>1064</v>
      </c>
      <c r="I204" s="144">
        <v>0.8</v>
      </c>
      <c r="J204" s="144">
        <v>7.6</v>
      </c>
      <c r="K204" s="144">
        <v>6.1</v>
      </c>
      <c r="L204" s="144">
        <v>0.8</v>
      </c>
      <c r="M204" s="144">
        <v>1.3</v>
      </c>
      <c r="N204" s="144">
        <v>0.6</v>
      </c>
      <c r="O204" s="144">
        <v>0.6</v>
      </c>
      <c r="P204" s="144">
        <v>-2.4</v>
      </c>
    </row>
    <row r="205">
      <c r="A205" s="142">
        <v>204.0</v>
      </c>
      <c r="B205" s="143" t="s">
        <v>1056</v>
      </c>
      <c r="C205" s="144" t="s">
        <v>469</v>
      </c>
      <c r="D205" s="144" t="s">
        <v>445</v>
      </c>
      <c r="E205" s="144">
        <v>60.0</v>
      </c>
      <c r="F205" s="144">
        <v>26.5</v>
      </c>
      <c r="G205" s="144" t="s">
        <v>1057</v>
      </c>
      <c r="H205" s="144" t="s">
        <v>1058</v>
      </c>
      <c r="I205" s="144">
        <v>1.9</v>
      </c>
      <c r="J205" s="144">
        <v>11.9</v>
      </c>
      <c r="K205" s="144">
        <v>1.8</v>
      </c>
      <c r="L205" s="144">
        <v>2.5</v>
      </c>
      <c r="M205" s="144">
        <v>0.5</v>
      </c>
      <c r="N205" s="144">
        <v>0.3</v>
      </c>
      <c r="O205" s="144">
        <v>1.6</v>
      </c>
      <c r="P205" s="144">
        <v>-2.4</v>
      </c>
    </row>
    <row r="206">
      <c r="A206" s="142">
        <v>205.0</v>
      </c>
      <c r="B206" s="143" t="s">
        <v>1059</v>
      </c>
      <c r="C206" s="144" t="s">
        <v>47</v>
      </c>
      <c r="D206" s="144" t="s">
        <v>567</v>
      </c>
      <c r="E206" s="144">
        <v>60.0</v>
      </c>
      <c r="F206" s="144">
        <v>13.8</v>
      </c>
      <c r="G206" s="144" t="s">
        <v>1060</v>
      </c>
      <c r="H206" s="144" t="s">
        <v>1061</v>
      </c>
      <c r="I206" s="144">
        <v>0.1</v>
      </c>
      <c r="J206" s="144">
        <v>5.5</v>
      </c>
      <c r="K206" s="144">
        <v>5.3</v>
      </c>
      <c r="L206" s="144">
        <v>1.1</v>
      </c>
      <c r="M206" s="144">
        <v>0.4</v>
      </c>
      <c r="N206" s="144">
        <v>1.0</v>
      </c>
      <c r="O206" s="144">
        <v>1.0</v>
      </c>
      <c r="P206" s="144">
        <v>-2.41</v>
      </c>
    </row>
    <row r="207">
      <c r="A207" s="142">
        <v>206.0</v>
      </c>
      <c r="B207" s="143" t="s">
        <v>1065</v>
      </c>
      <c r="C207" s="144" t="s">
        <v>47</v>
      </c>
      <c r="D207" s="144" t="s">
        <v>445</v>
      </c>
      <c r="E207" s="144">
        <v>70.0</v>
      </c>
      <c r="F207" s="144">
        <v>17.4</v>
      </c>
      <c r="G207" s="144" t="s">
        <v>1066</v>
      </c>
      <c r="H207" s="144" t="s">
        <v>1067</v>
      </c>
      <c r="I207" s="144">
        <v>0.1</v>
      </c>
      <c r="J207" s="144">
        <v>6.6</v>
      </c>
      <c r="K207" s="144">
        <v>5.0</v>
      </c>
      <c r="L207" s="144">
        <v>1.2</v>
      </c>
      <c r="M207" s="144">
        <v>0.4</v>
      </c>
      <c r="N207" s="144">
        <v>0.9</v>
      </c>
      <c r="O207" s="144">
        <v>0.9</v>
      </c>
      <c r="P207" s="144">
        <v>-2.48</v>
      </c>
    </row>
    <row r="208">
      <c r="A208" s="142">
        <v>207.0</v>
      </c>
      <c r="B208" s="143" t="s">
        <v>1068</v>
      </c>
      <c r="C208" s="144" t="s">
        <v>424</v>
      </c>
      <c r="D208" s="144" t="s">
        <v>491</v>
      </c>
      <c r="E208" s="144">
        <v>67.0</v>
      </c>
      <c r="F208" s="144">
        <v>18.7</v>
      </c>
      <c r="G208" s="144" t="s">
        <v>1051</v>
      </c>
      <c r="H208" s="144" t="s">
        <v>1069</v>
      </c>
      <c r="I208" s="144">
        <v>2.0</v>
      </c>
      <c r="J208" s="144">
        <v>10.7</v>
      </c>
      <c r="K208" s="144">
        <v>2.6</v>
      </c>
      <c r="L208" s="144">
        <v>2.9</v>
      </c>
      <c r="M208" s="144">
        <v>0.6</v>
      </c>
      <c r="N208" s="144">
        <v>0.3</v>
      </c>
      <c r="O208" s="144">
        <v>1.3</v>
      </c>
      <c r="P208" s="144">
        <v>-2.49</v>
      </c>
    </row>
    <row r="209">
      <c r="A209" s="142">
        <v>208.0</v>
      </c>
      <c r="B209" s="143" t="s">
        <v>1070</v>
      </c>
      <c r="C209" s="144" t="s">
        <v>46</v>
      </c>
      <c r="D209" s="144" t="s">
        <v>587</v>
      </c>
      <c r="E209" s="144">
        <v>72.0</v>
      </c>
      <c r="F209" s="144">
        <v>18.0</v>
      </c>
      <c r="G209" s="144" t="s">
        <v>1071</v>
      </c>
      <c r="H209" s="144" t="s">
        <v>1072</v>
      </c>
      <c r="I209" s="144">
        <v>0.7</v>
      </c>
      <c r="J209" s="144">
        <v>8.3</v>
      </c>
      <c r="K209" s="144">
        <v>5.2</v>
      </c>
      <c r="L209" s="144">
        <v>0.3</v>
      </c>
      <c r="M209" s="144">
        <v>0.5</v>
      </c>
      <c r="N209" s="144">
        <v>0.8</v>
      </c>
      <c r="O209" s="144">
        <v>0.5</v>
      </c>
      <c r="P209" s="144">
        <v>-2.49</v>
      </c>
    </row>
    <row r="210">
      <c r="A210" s="142">
        <v>209.0</v>
      </c>
      <c r="B210" s="143" t="s">
        <v>1073</v>
      </c>
      <c r="C210" s="144" t="s">
        <v>44</v>
      </c>
      <c r="D210" s="144" t="s">
        <v>416</v>
      </c>
      <c r="E210" s="144">
        <v>76.0</v>
      </c>
      <c r="F210" s="144">
        <v>25.2</v>
      </c>
      <c r="G210" s="144" t="s">
        <v>1074</v>
      </c>
      <c r="H210" s="144" t="s">
        <v>1075</v>
      </c>
      <c r="I210" s="144">
        <v>0.9</v>
      </c>
      <c r="J210" s="144">
        <v>8.2</v>
      </c>
      <c r="K210" s="144">
        <v>4.0</v>
      </c>
      <c r="L210" s="144">
        <v>1.3</v>
      </c>
      <c r="M210" s="144">
        <v>0.9</v>
      </c>
      <c r="N210" s="144">
        <v>0.4</v>
      </c>
      <c r="O210" s="144">
        <v>0.8</v>
      </c>
      <c r="P210" s="144">
        <v>-2.52</v>
      </c>
    </row>
    <row r="211">
      <c r="A211" s="142">
        <v>210.0</v>
      </c>
      <c r="B211" s="143" t="s">
        <v>917</v>
      </c>
      <c r="C211" s="144" t="s">
        <v>432</v>
      </c>
      <c r="D211" s="144" t="s">
        <v>449</v>
      </c>
      <c r="E211" s="144">
        <v>67.0</v>
      </c>
      <c r="F211" s="144">
        <v>19.2</v>
      </c>
      <c r="G211" s="144" t="s">
        <v>1678</v>
      </c>
      <c r="H211" s="144" t="s">
        <v>1523</v>
      </c>
      <c r="I211" s="144">
        <v>1.3</v>
      </c>
      <c r="J211" s="144">
        <v>6.9</v>
      </c>
      <c r="K211" s="144">
        <v>3.7</v>
      </c>
      <c r="L211" s="144">
        <v>1.3</v>
      </c>
      <c r="M211" s="144">
        <v>0.9</v>
      </c>
      <c r="N211" s="144">
        <v>0.3</v>
      </c>
      <c r="O211" s="144">
        <v>0.5</v>
      </c>
      <c r="P211" s="144">
        <v>-2.55</v>
      </c>
    </row>
    <row r="212">
      <c r="A212" s="142">
        <v>211.0</v>
      </c>
      <c r="B212" s="143" t="s">
        <v>959</v>
      </c>
      <c r="C212" s="144" t="s">
        <v>469</v>
      </c>
      <c r="D212" s="144" t="s">
        <v>449</v>
      </c>
      <c r="E212" s="144">
        <v>64.0</v>
      </c>
      <c r="F212" s="144">
        <v>23.7</v>
      </c>
      <c r="G212" s="144" t="s">
        <v>1679</v>
      </c>
      <c r="H212" s="144" t="s">
        <v>1680</v>
      </c>
      <c r="I212" s="144">
        <v>2.0</v>
      </c>
      <c r="J212" s="144">
        <v>8.5</v>
      </c>
      <c r="K212" s="144">
        <v>4.3</v>
      </c>
      <c r="L212" s="144">
        <v>1.2</v>
      </c>
      <c r="M212" s="144">
        <v>0.7</v>
      </c>
      <c r="N212" s="144">
        <v>0.2</v>
      </c>
      <c r="O212" s="144">
        <v>0.5</v>
      </c>
      <c r="P212" s="144">
        <v>-2.63</v>
      </c>
    </row>
    <row r="213">
      <c r="A213" s="142">
        <v>212.0</v>
      </c>
      <c r="B213" s="143" t="s">
        <v>896</v>
      </c>
      <c r="C213" s="144" t="s">
        <v>469</v>
      </c>
      <c r="D213" s="144" t="s">
        <v>449</v>
      </c>
      <c r="E213" s="144">
        <v>72.0</v>
      </c>
      <c r="F213" s="144">
        <v>25.1</v>
      </c>
      <c r="G213" s="144" t="s">
        <v>1681</v>
      </c>
      <c r="H213" s="144" t="s">
        <v>1682</v>
      </c>
      <c r="I213" s="144">
        <v>3.0</v>
      </c>
      <c r="J213" s="144">
        <v>12.3</v>
      </c>
      <c r="K213" s="144">
        <v>3.2</v>
      </c>
      <c r="L213" s="144">
        <v>1.5</v>
      </c>
      <c r="M213" s="144">
        <v>0.7</v>
      </c>
      <c r="N213" s="144">
        <v>0.1</v>
      </c>
      <c r="O213" s="144">
        <v>0.8</v>
      </c>
      <c r="P213" s="144">
        <v>-2.63</v>
      </c>
    </row>
    <row r="214">
      <c r="A214" s="142">
        <v>213.0</v>
      </c>
      <c r="B214" s="143" t="s">
        <v>1076</v>
      </c>
      <c r="C214" s="144" t="s">
        <v>432</v>
      </c>
      <c r="D214" s="144" t="s">
        <v>473</v>
      </c>
      <c r="E214" s="144">
        <v>72.0</v>
      </c>
      <c r="F214" s="144">
        <v>20.2</v>
      </c>
      <c r="G214" s="144" t="s">
        <v>1074</v>
      </c>
      <c r="H214" s="144" t="s">
        <v>1077</v>
      </c>
      <c r="I214" s="144">
        <v>0.6</v>
      </c>
      <c r="J214" s="144">
        <v>7.9</v>
      </c>
      <c r="K214" s="144">
        <v>5.4</v>
      </c>
      <c r="L214" s="144">
        <v>1.5</v>
      </c>
      <c r="M214" s="144">
        <v>0.7</v>
      </c>
      <c r="N214" s="144">
        <v>0.6</v>
      </c>
      <c r="O214" s="144">
        <v>0.9</v>
      </c>
      <c r="P214" s="144">
        <v>-2.64</v>
      </c>
    </row>
    <row r="215">
      <c r="A215" s="142">
        <v>214.0</v>
      </c>
      <c r="B215" s="143" t="s">
        <v>1078</v>
      </c>
      <c r="C215" s="144" t="s">
        <v>469</v>
      </c>
      <c r="D215" s="144" t="s">
        <v>437</v>
      </c>
      <c r="E215" s="144">
        <v>69.0</v>
      </c>
      <c r="F215" s="144">
        <v>27.4</v>
      </c>
      <c r="G215" s="144" t="s">
        <v>1079</v>
      </c>
      <c r="H215" s="144" t="s">
        <v>1080</v>
      </c>
      <c r="I215" s="144">
        <v>2.6</v>
      </c>
      <c r="J215" s="144">
        <v>13.2</v>
      </c>
      <c r="K215" s="144">
        <v>3.3</v>
      </c>
      <c r="L215" s="144">
        <v>1.8</v>
      </c>
      <c r="M215" s="144">
        <v>0.7</v>
      </c>
      <c r="N215" s="144">
        <v>0.2</v>
      </c>
      <c r="O215" s="144">
        <v>0.8</v>
      </c>
      <c r="P215" s="144">
        <v>-2.65</v>
      </c>
    </row>
    <row r="216">
      <c r="A216" s="142">
        <v>215.0</v>
      </c>
      <c r="B216" s="143" t="s">
        <v>1084</v>
      </c>
      <c r="C216" s="144" t="s">
        <v>432</v>
      </c>
      <c r="D216" s="144" t="s">
        <v>503</v>
      </c>
      <c r="E216" s="144">
        <v>69.0</v>
      </c>
      <c r="F216" s="144">
        <v>25.1</v>
      </c>
      <c r="G216" s="144" t="s">
        <v>1085</v>
      </c>
      <c r="H216" s="144" t="s">
        <v>1086</v>
      </c>
      <c r="I216" s="144">
        <v>1.6</v>
      </c>
      <c r="J216" s="144">
        <v>7.8</v>
      </c>
      <c r="K216" s="144">
        <v>3.8</v>
      </c>
      <c r="L216" s="144">
        <v>1.4</v>
      </c>
      <c r="M216" s="144">
        <v>0.8</v>
      </c>
      <c r="N216" s="144">
        <v>0.4</v>
      </c>
      <c r="O216" s="144">
        <v>0.8</v>
      </c>
      <c r="P216" s="144">
        <v>-2.68</v>
      </c>
    </row>
    <row r="217">
      <c r="A217" s="142">
        <v>216.0</v>
      </c>
      <c r="B217" s="143" t="s">
        <v>1087</v>
      </c>
      <c r="C217" s="144" t="s">
        <v>469</v>
      </c>
      <c r="D217" s="144" t="s">
        <v>554</v>
      </c>
      <c r="E217" s="144">
        <v>72.0</v>
      </c>
      <c r="F217" s="144">
        <v>26.1</v>
      </c>
      <c r="G217" s="144" t="s">
        <v>1088</v>
      </c>
      <c r="H217" s="144" t="s">
        <v>1089</v>
      </c>
      <c r="I217" s="144">
        <v>0.7</v>
      </c>
      <c r="J217" s="144">
        <v>12.8</v>
      </c>
      <c r="K217" s="144">
        <v>4.1</v>
      </c>
      <c r="L217" s="144">
        <v>3.5</v>
      </c>
      <c r="M217" s="144">
        <v>1.0</v>
      </c>
      <c r="N217" s="144">
        <v>0.5</v>
      </c>
      <c r="O217" s="144">
        <v>1.8</v>
      </c>
      <c r="P217" s="144">
        <v>-2.7</v>
      </c>
    </row>
    <row r="218">
      <c r="A218" s="142">
        <v>217.0</v>
      </c>
      <c r="B218" s="143" t="s">
        <v>1090</v>
      </c>
      <c r="C218" s="144" t="s">
        <v>46</v>
      </c>
      <c r="D218" s="144" t="s">
        <v>441</v>
      </c>
      <c r="E218" s="144">
        <v>72.0</v>
      </c>
      <c r="F218" s="144">
        <v>24.4</v>
      </c>
      <c r="G218" s="144" t="s">
        <v>1091</v>
      </c>
      <c r="H218" s="144" t="s">
        <v>1092</v>
      </c>
      <c r="I218" s="144">
        <v>0.9</v>
      </c>
      <c r="J218" s="144">
        <v>11.9</v>
      </c>
      <c r="K218" s="144">
        <v>4.2</v>
      </c>
      <c r="L218" s="144">
        <v>1.7</v>
      </c>
      <c r="M218" s="144">
        <v>0.7</v>
      </c>
      <c r="N218" s="144">
        <v>0.5</v>
      </c>
      <c r="O218" s="144">
        <v>1.5</v>
      </c>
      <c r="P218" s="144">
        <v>-2.75</v>
      </c>
    </row>
    <row r="219">
      <c r="A219" s="142">
        <v>218.0</v>
      </c>
      <c r="B219" s="143" t="s">
        <v>1093</v>
      </c>
      <c r="C219" s="144" t="s">
        <v>432</v>
      </c>
      <c r="D219" s="144" t="s">
        <v>567</v>
      </c>
      <c r="E219" s="144">
        <v>68.0</v>
      </c>
      <c r="F219" s="144">
        <v>17.4</v>
      </c>
      <c r="G219" s="144" t="s">
        <v>1094</v>
      </c>
      <c r="H219" s="144" t="s">
        <v>1095</v>
      </c>
      <c r="I219" s="144">
        <v>2.1</v>
      </c>
      <c r="J219" s="144">
        <v>10.4</v>
      </c>
      <c r="K219" s="144">
        <v>3.8</v>
      </c>
      <c r="L219" s="144">
        <v>0.6</v>
      </c>
      <c r="M219" s="144">
        <v>0.4</v>
      </c>
      <c r="N219" s="144">
        <v>0.3</v>
      </c>
      <c r="O219" s="144">
        <v>0.7</v>
      </c>
      <c r="P219" s="144">
        <v>-2.77</v>
      </c>
    </row>
    <row r="220">
      <c r="A220" s="142">
        <v>219.0</v>
      </c>
      <c r="B220" s="143" t="s">
        <v>1096</v>
      </c>
      <c r="C220" s="144" t="s">
        <v>424</v>
      </c>
      <c r="D220" s="144" t="s">
        <v>425</v>
      </c>
      <c r="E220" s="144">
        <v>70.0</v>
      </c>
      <c r="F220" s="144">
        <v>20.0</v>
      </c>
      <c r="G220" s="144" t="s">
        <v>1097</v>
      </c>
      <c r="H220" s="144" t="s">
        <v>1098</v>
      </c>
      <c r="I220" s="144">
        <v>2.3</v>
      </c>
      <c r="J220" s="144">
        <v>10.0</v>
      </c>
      <c r="K220" s="144">
        <v>2.3</v>
      </c>
      <c r="L220" s="144">
        <v>1.2</v>
      </c>
      <c r="M220" s="144">
        <v>0.6</v>
      </c>
      <c r="N220" s="144">
        <v>0.1</v>
      </c>
      <c r="O220" s="144">
        <v>0.6</v>
      </c>
      <c r="P220" s="144">
        <v>-2.77</v>
      </c>
    </row>
    <row r="221">
      <c r="A221" s="142">
        <v>220.0</v>
      </c>
      <c r="B221" s="143" t="s">
        <v>1099</v>
      </c>
      <c r="C221" s="144" t="s">
        <v>469</v>
      </c>
      <c r="D221" s="144" t="s">
        <v>445</v>
      </c>
      <c r="E221" s="144">
        <v>70.0</v>
      </c>
      <c r="F221" s="144">
        <v>24.4</v>
      </c>
      <c r="G221" s="144" t="s">
        <v>1100</v>
      </c>
      <c r="H221" s="144" t="s">
        <v>1101</v>
      </c>
      <c r="I221" s="144">
        <v>1.1</v>
      </c>
      <c r="J221" s="144">
        <v>8.8</v>
      </c>
      <c r="K221" s="144">
        <v>4.2</v>
      </c>
      <c r="L221" s="144">
        <v>1.7</v>
      </c>
      <c r="M221" s="144">
        <v>1.1</v>
      </c>
      <c r="N221" s="144">
        <v>0.6</v>
      </c>
      <c r="O221" s="144">
        <v>1.1</v>
      </c>
      <c r="P221" s="144">
        <v>-2.82</v>
      </c>
    </row>
    <row r="222">
      <c r="A222" s="142">
        <v>221.0</v>
      </c>
      <c r="B222" s="143" t="s">
        <v>1107</v>
      </c>
      <c r="C222" s="144" t="s">
        <v>46</v>
      </c>
      <c r="D222" s="144" t="s">
        <v>429</v>
      </c>
      <c r="E222" s="144">
        <v>70.0</v>
      </c>
      <c r="F222" s="144">
        <v>26.5</v>
      </c>
      <c r="G222" s="144" t="s">
        <v>1108</v>
      </c>
      <c r="H222" s="144" t="s">
        <v>1109</v>
      </c>
      <c r="I222" s="144">
        <v>0.9</v>
      </c>
      <c r="J222" s="144">
        <v>10.4</v>
      </c>
      <c r="K222" s="144">
        <v>6.7</v>
      </c>
      <c r="L222" s="144">
        <v>1.1</v>
      </c>
      <c r="M222" s="144">
        <v>0.4</v>
      </c>
      <c r="N222" s="144">
        <v>0.8</v>
      </c>
      <c r="O222" s="144">
        <v>1.4</v>
      </c>
      <c r="P222" s="144">
        <v>-2.86</v>
      </c>
    </row>
    <row r="223">
      <c r="A223" s="142">
        <v>222.0</v>
      </c>
      <c r="B223" s="143" t="s">
        <v>1103</v>
      </c>
      <c r="C223" s="144" t="s">
        <v>469</v>
      </c>
      <c r="D223" s="144" t="s">
        <v>457</v>
      </c>
      <c r="E223" s="144">
        <v>70.0</v>
      </c>
      <c r="F223" s="144">
        <v>23.2</v>
      </c>
      <c r="G223" s="144" t="s">
        <v>1104</v>
      </c>
      <c r="H223" s="144" t="s">
        <v>1105</v>
      </c>
      <c r="I223" s="144">
        <v>1.4</v>
      </c>
      <c r="J223" s="144">
        <v>7.4</v>
      </c>
      <c r="K223" s="144">
        <v>3.9</v>
      </c>
      <c r="L223" s="144">
        <v>1.1</v>
      </c>
      <c r="M223" s="144">
        <v>0.7</v>
      </c>
      <c r="N223" s="144">
        <v>0.4</v>
      </c>
      <c r="O223" s="144">
        <v>1.0</v>
      </c>
      <c r="P223" s="144">
        <v>-2.87</v>
      </c>
    </row>
    <row r="224">
      <c r="A224" s="142">
        <v>223.0</v>
      </c>
      <c r="B224" s="143" t="s">
        <v>1110</v>
      </c>
      <c r="C224" s="144" t="s">
        <v>456</v>
      </c>
      <c r="D224" s="144" t="s">
        <v>487</v>
      </c>
      <c r="E224" s="144">
        <v>62.0</v>
      </c>
      <c r="F224" s="144">
        <v>17.7</v>
      </c>
      <c r="G224" s="144" t="s">
        <v>1063</v>
      </c>
      <c r="H224" s="144" t="s">
        <v>1111</v>
      </c>
      <c r="I224" s="144">
        <v>1.8</v>
      </c>
      <c r="J224" s="144">
        <v>9.3</v>
      </c>
      <c r="K224" s="144">
        <v>5.7</v>
      </c>
      <c r="L224" s="144">
        <v>1.7</v>
      </c>
      <c r="M224" s="144">
        <v>0.3</v>
      </c>
      <c r="N224" s="144">
        <v>0.2</v>
      </c>
      <c r="O224" s="144">
        <v>1.0</v>
      </c>
      <c r="P224" s="144">
        <v>-2.91</v>
      </c>
    </row>
    <row r="225">
      <c r="A225" s="142">
        <v>224.0</v>
      </c>
      <c r="B225" s="143" t="s">
        <v>1112</v>
      </c>
      <c r="C225" s="144" t="s">
        <v>424</v>
      </c>
      <c r="D225" s="144" t="s">
        <v>533</v>
      </c>
      <c r="E225" s="144">
        <v>72.0</v>
      </c>
      <c r="F225" s="144">
        <v>22.2</v>
      </c>
      <c r="G225" s="144" t="s">
        <v>1113</v>
      </c>
      <c r="H225" s="144" t="s">
        <v>1114</v>
      </c>
      <c r="I225" s="144">
        <v>1.7</v>
      </c>
      <c r="J225" s="144">
        <v>9.8</v>
      </c>
      <c r="K225" s="144">
        <v>2.6</v>
      </c>
      <c r="L225" s="144">
        <v>2.5</v>
      </c>
      <c r="M225" s="144">
        <v>0.6</v>
      </c>
      <c r="N225" s="144">
        <v>0.1</v>
      </c>
      <c r="O225" s="144">
        <v>1.0</v>
      </c>
      <c r="P225" s="144">
        <v>-2.95</v>
      </c>
    </row>
    <row r="226">
      <c r="A226" s="142">
        <v>225.0</v>
      </c>
      <c r="B226" s="143" t="s">
        <v>1115</v>
      </c>
      <c r="C226" s="144" t="s">
        <v>432</v>
      </c>
      <c r="D226" s="144" t="s">
        <v>457</v>
      </c>
      <c r="E226" s="144">
        <v>65.0</v>
      </c>
      <c r="F226" s="144">
        <v>24.6</v>
      </c>
      <c r="G226" s="144" t="s">
        <v>1116</v>
      </c>
      <c r="H226" s="144" t="s">
        <v>1117</v>
      </c>
      <c r="I226" s="144">
        <v>1.1</v>
      </c>
      <c r="J226" s="144">
        <v>12.2</v>
      </c>
      <c r="K226" s="144">
        <v>4.6</v>
      </c>
      <c r="L226" s="144">
        <v>1.1</v>
      </c>
      <c r="M226" s="144">
        <v>0.4</v>
      </c>
      <c r="N226" s="144">
        <v>0.4</v>
      </c>
      <c r="O226" s="144">
        <v>0.9</v>
      </c>
      <c r="P226" s="144">
        <v>-2.95</v>
      </c>
    </row>
    <row r="227">
      <c r="A227" s="142">
        <v>226.0</v>
      </c>
      <c r="B227" s="143" t="s">
        <v>1118</v>
      </c>
      <c r="C227" s="144" t="s">
        <v>456</v>
      </c>
      <c r="D227" s="144" t="s">
        <v>491</v>
      </c>
      <c r="E227" s="144">
        <v>60.0</v>
      </c>
      <c r="F227" s="144">
        <v>24.7</v>
      </c>
      <c r="G227" s="144" t="s">
        <v>1119</v>
      </c>
      <c r="H227" s="144" t="s">
        <v>1120</v>
      </c>
      <c r="I227" s="144">
        <v>1.6</v>
      </c>
      <c r="J227" s="144">
        <v>11.4</v>
      </c>
      <c r="K227" s="144">
        <v>3.7</v>
      </c>
      <c r="L227" s="144">
        <v>1.7</v>
      </c>
      <c r="M227" s="144">
        <v>0.5</v>
      </c>
      <c r="N227" s="144">
        <v>0.3</v>
      </c>
      <c r="O227" s="144">
        <v>0.9</v>
      </c>
      <c r="P227" s="144">
        <v>-2.96</v>
      </c>
    </row>
    <row r="228">
      <c r="A228" s="142">
        <v>227.0</v>
      </c>
      <c r="B228" s="143" t="s">
        <v>1121</v>
      </c>
      <c r="C228" s="144" t="s">
        <v>47</v>
      </c>
      <c r="D228" s="144" t="s">
        <v>619</v>
      </c>
      <c r="E228" s="144">
        <v>60.0</v>
      </c>
      <c r="F228" s="144">
        <v>16.5</v>
      </c>
      <c r="G228" s="144" t="s">
        <v>1122</v>
      </c>
      <c r="H228" s="144" t="s">
        <v>1123</v>
      </c>
      <c r="I228" s="144">
        <v>0.9</v>
      </c>
      <c r="J228" s="144">
        <v>9.4</v>
      </c>
      <c r="K228" s="144">
        <v>4.0</v>
      </c>
      <c r="L228" s="144">
        <v>1.4</v>
      </c>
      <c r="M228" s="144">
        <v>0.5</v>
      </c>
      <c r="N228" s="144">
        <v>0.2</v>
      </c>
      <c r="O228" s="144">
        <v>1.0</v>
      </c>
      <c r="P228" s="144">
        <v>-2.97</v>
      </c>
    </row>
    <row r="229">
      <c r="A229" s="142">
        <v>228.0</v>
      </c>
      <c r="B229" s="143" t="s">
        <v>1124</v>
      </c>
      <c r="C229" s="144" t="s">
        <v>432</v>
      </c>
      <c r="D229" s="144" t="s">
        <v>425</v>
      </c>
      <c r="E229" s="144">
        <v>50.0</v>
      </c>
      <c r="F229" s="144">
        <v>22.2</v>
      </c>
      <c r="G229" s="144" t="s">
        <v>1125</v>
      </c>
      <c r="H229" s="144" t="s">
        <v>1126</v>
      </c>
      <c r="I229" s="144">
        <v>0.9</v>
      </c>
      <c r="J229" s="144">
        <v>7.8</v>
      </c>
      <c r="K229" s="144">
        <v>4.7</v>
      </c>
      <c r="L229" s="144">
        <v>2.1</v>
      </c>
      <c r="M229" s="144">
        <v>0.9</v>
      </c>
      <c r="N229" s="144">
        <v>0.2</v>
      </c>
      <c r="O229" s="144">
        <v>0.8</v>
      </c>
      <c r="P229" s="144">
        <v>-3.02</v>
      </c>
    </row>
    <row r="230">
      <c r="A230" s="142">
        <v>229.0</v>
      </c>
      <c r="B230" s="143" t="s">
        <v>1127</v>
      </c>
      <c r="C230" s="144" t="s">
        <v>469</v>
      </c>
      <c r="D230" s="144" t="s">
        <v>461</v>
      </c>
      <c r="E230" s="144">
        <v>65.0</v>
      </c>
      <c r="F230" s="144">
        <v>21.2</v>
      </c>
      <c r="G230" s="144" t="s">
        <v>1128</v>
      </c>
      <c r="H230" s="144" t="s">
        <v>1129</v>
      </c>
      <c r="I230" s="144">
        <v>0.7</v>
      </c>
      <c r="J230" s="144">
        <v>6.2</v>
      </c>
      <c r="K230" s="144">
        <v>3.3</v>
      </c>
      <c r="L230" s="144">
        <v>2.0</v>
      </c>
      <c r="M230" s="144">
        <v>1.0</v>
      </c>
      <c r="N230" s="144">
        <v>0.4</v>
      </c>
      <c r="O230" s="144">
        <v>0.7</v>
      </c>
      <c r="P230" s="144">
        <v>-3.13</v>
      </c>
    </row>
    <row r="231">
      <c r="A231" s="142">
        <v>230.0</v>
      </c>
      <c r="B231" s="143" t="s">
        <v>1130</v>
      </c>
      <c r="C231" s="144" t="s">
        <v>432</v>
      </c>
      <c r="D231" s="144" t="s">
        <v>445</v>
      </c>
      <c r="E231" s="144">
        <v>69.0</v>
      </c>
      <c r="F231" s="144">
        <v>20.4</v>
      </c>
      <c r="G231" s="144" t="s">
        <v>1131</v>
      </c>
      <c r="H231" s="144" t="s">
        <v>1132</v>
      </c>
      <c r="I231" s="144">
        <v>0.6</v>
      </c>
      <c r="J231" s="144">
        <v>8.4</v>
      </c>
      <c r="K231" s="144">
        <v>4.1</v>
      </c>
      <c r="L231" s="144">
        <v>1.2</v>
      </c>
      <c r="M231" s="144">
        <v>0.6</v>
      </c>
      <c r="N231" s="144">
        <v>0.3</v>
      </c>
      <c r="O231" s="144">
        <v>0.9</v>
      </c>
      <c r="P231" s="144">
        <v>-3.18</v>
      </c>
    </row>
    <row r="232">
      <c r="A232" s="142">
        <v>231.0</v>
      </c>
      <c r="B232" s="143" t="s">
        <v>1133</v>
      </c>
      <c r="C232" s="144" t="s">
        <v>45</v>
      </c>
      <c r="D232" s="144" t="s">
        <v>567</v>
      </c>
      <c r="E232" s="144">
        <v>60.0</v>
      </c>
      <c r="F232" s="144">
        <v>17.4</v>
      </c>
      <c r="G232" s="144" t="s">
        <v>1134</v>
      </c>
      <c r="H232" s="144" t="s">
        <v>1135</v>
      </c>
      <c r="I232" s="144">
        <v>0.1</v>
      </c>
      <c r="J232" s="144">
        <v>5.6</v>
      </c>
      <c r="K232" s="144">
        <v>4.1</v>
      </c>
      <c r="L232" s="144">
        <v>1.2</v>
      </c>
      <c r="M232" s="144">
        <v>0.5</v>
      </c>
      <c r="N232" s="144">
        <v>0.9</v>
      </c>
      <c r="O232" s="144">
        <v>0.8</v>
      </c>
      <c r="P232" s="144">
        <v>-3.22</v>
      </c>
    </row>
    <row r="233">
      <c r="A233" s="142">
        <v>232.0</v>
      </c>
      <c r="B233" s="143" t="s">
        <v>1136</v>
      </c>
      <c r="C233" s="144" t="s">
        <v>424</v>
      </c>
      <c r="D233" s="144" t="s">
        <v>619</v>
      </c>
      <c r="E233" s="144">
        <v>72.0</v>
      </c>
      <c r="F233" s="144">
        <v>20.0</v>
      </c>
      <c r="G233" s="144" t="s">
        <v>1137</v>
      </c>
      <c r="H233" s="144" t="s">
        <v>1138</v>
      </c>
      <c r="I233" s="144">
        <v>0.3</v>
      </c>
      <c r="J233" s="144">
        <v>9.7</v>
      </c>
      <c r="K233" s="144">
        <v>2.8</v>
      </c>
      <c r="L233" s="144">
        <v>3.3</v>
      </c>
      <c r="M233" s="144">
        <v>1.1</v>
      </c>
      <c r="N233" s="144">
        <v>0.3</v>
      </c>
      <c r="O233" s="144">
        <v>1.8</v>
      </c>
      <c r="P233" s="144">
        <v>-3.24</v>
      </c>
    </row>
    <row r="234">
      <c r="A234" s="142">
        <v>233.0</v>
      </c>
      <c r="B234" s="143" t="s">
        <v>1139</v>
      </c>
      <c r="C234" s="144" t="s">
        <v>47</v>
      </c>
      <c r="D234" s="144" t="s">
        <v>437</v>
      </c>
      <c r="E234" s="144">
        <v>50.0</v>
      </c>
      <c r="F234" s="144">
        <v>11.1</v>
      </c>
      <c r="G234" s="144" t="s">
        <v>1140</v>
      </c>
      <c r="H234" s="144" t="s">
        <v>1141</v>
      </c>
      <c r="I234" s="144">
        <v>0.0</v>
      </c>
      <c r="J234" s="144">
        <v>4.5</v>
      </c>
      <c r="K234" s="144">
        <v>4.6</v>
      </c>
      <c r="L234" s="144">
        <v>0.9</v>
      </c>
      <c r="M234" s="144">
        <v>0.4</v>
      </c>
      <c r="N234" s="144">
        <v>0.9</v>
      </c>
      <c r="O234" s="144">
        <v>0.5</v>
      </c>
      <c r="P234" s="144">
        <v>-3.26</v>
      </c>
    </row>
    <row r="235">
      <c r="A235" s="142">
        <v>234.0</v>
      </c>
      <c r="B235" s="143" t="s">
        <v>1142</v>
      </c>
      <c r="C235" s="144" t="s">
        <v>424</v>
      </c>
      <c r="D235" s="144" t="s">
        <v>437</v>
      </c>
      <c r="E235" s="144">
        <v>69.0</v>
      </c>
      <c r="F235" s="144">
        <v>19.2</v>
      </c>
      <c r="G235" s="144" t="s">
        <v>1143</v>
      </c>
      <c r="H235" s="144" t="s">
        <v>1144</v>
      </c>
      <c r="I235" s="144">
        <v>1.7</v>
      </c>
      <c r="J235" s="144">
        <v>11.5</v>
      </c>
      <c r="K235" s="144">
        <v>2.4</v>
      </c>
      <c r="L235" s="144">
        <v>1.8</v>
      </c>
      <c r="M235" s="144">
        <v>0.5</v>
      </c>
      <c r="N235" s="144">
        <v>0.2</v>
      </c>
      <c r="O235" s="144">
        <v>1.3</v>
      </c>
      <c r="P235" s="144">
        <v>-3.27</v>
      </c>
    </row>
    <row r="236">
      <c r="A236" s="142">
        <v>235.0</v>
      </c>
      <c r="B236" s="143" t="s">
        <v>1145</v>
      </c>
      <c r="C236" s="144" t="s">
        <v>46</v>
      </c>
      <c r="D236" s="144" t="s">
        <v>457</v>
      </c>
      <c r="E236" s="144">
        <v>69.0</v>
      </c>
      <c r="F236" s="144">
        <v>17.2</v>
      </c>
      <c r="G236" s="144" t="s">
        <v>1146</v>
      </c>
      <c r="H236" s="144" t="s">
        <v>1147</v>
      </c>
      <c r="I236" s="144">
        <v>1.0</v>
      </c>
      <c r="J236" s="144">
        <v>9.8</v>
      </c>
      <c r="K236" s="144">
        <v>5.0</v>
      </c>
      <c r="L236" s="144">
        <v>1.2</v>
      </c>
      <c r="M236" s="144">
        <v>0.4</v>
      </c>
      <c r="N236" s="144">
        <v>0.6</v>
      </c>
      <c r="O236" s="144">
        <v>1.1</v>
      </c>
      <c r="P236" s="144">
        <v>-3.3</v>
      </c>
    </row>
    <row r="237">
      <c r="A237" s="142">
        <v>236.0</v>
      </c>
      <c r="B237" s="143" t="s">
        <v>1148</v>
      </c>
      <c r="C237" s="144" t="s">
        <v>46</v>
      </c>
      <c r="D237" s="144" t="s">
        <v>507</v>
      </c>
      <c r="E237" s="144">
        <v>72.0</v>
      </c>
      <c r="F237" s="144">
        <v>22.0</v>
      </c>
      <c r="G237" s="144" t="s">
        <v>1149</v>
      </c>
      <c r="H237" s="144" t="s">
        <v>1150</v>
      </c>
      <c r="I237" s="144">
        <v>0.8</v>
      </c>
      <c r="J237" s="144">
        <v>8.8</v>
      </c>
      <c r="K237" s="144">
        <v>5.6</v>
      </c>
      <c r="L237" s="144">
        <v>1.7</v>
      </c>
      <c r="M237" s="144">
        <v>0.4</v>
      </c>
      <c r="N237" s="144">
        <v>0.4</v>
      </c>
      <c r="O237" s="144">
        <v>1.2</v>
      </c>
      <c r="P237" s="144">
        <v>-3.35</v>
      </c>
    </row>
    <row r="238">
      <c r="A238" s="142">
        <v>237.0</v>
      </c>
      <c r="B238" s="143" t="s">
        <v>1154</v>
      </c>
      <c r="C238" s="144" t="s">
        <v>432</v>
      </c>
      <c r="D238" s="144" t="s">
        <v>433</v>
      </c>
      <c r="E238" s="144">
        <v>76.0</v>
      </c>
      <c r="F238" s="144">
        <v>18.7</v>
      </c>
      <c r="G238" s="144" t="s">
        <v>1155</v>
      </c>
      <c r="H238" s="144" t="s">
        <v>1156</v>
      </c>
      <c r="I238" s="144">
        <v>2.1</v>
      </c>
      <c r="J238" s="144">
        <v>7.5</v>
      </c>
      <c r="K238" s="144">
        <v>3.0</v>
      </c>
      <c r="L238" s="144">
        <v>1.1</v>
      </c>
      <c r="M238" s="144">
        <v>0.4</v>
      </c>
      <c r="N238" s="144">
        <v>0.3</v>
      </c>
      <c r="O238" s="144">
        <v>0.4</v>
      </c>
      <c r="P238" s="144">
        <v>-3.37</v>
      </c>
    </row>
    <row r="239">
      <c r="A239" s="142">
        <v>238.0</v>
      </c>
      <c r="B239" s="143" t="s">
        <v>1157</v>
      </c>
      <c r="C239" s="144" t="s">
        <v>456</v>
      </c>
      <c r="D239" s="144" t="s">
        <v>425</v>
      </c>
      <c r="E239" s="144">
        <v>50.0</v>
      </c>
      <c r="F239" s="144">
        <v>18.0</v>
      </c>
      <c r="G239" s="144" t="s">
        <v>1158</v>
      </c>
      <c r="H239" s="144" t="s">
        <v>1159</v>
      </c>
      <c r="I239" s="144">
        <v>0.9</v>
      </c>
      <c r="J239" s="144">
        <v>7.0</v>
      </c>
      <c r="K239" s="144">
        <v>4.5</v>
      </c>
      <c r="L239" s="144">
        <v>1.8</v>
      </c>
      <c r="M239" s="144">
        <v>0.6</v>
      </c>
      <c r="N239" s="144">
        <v>0.8</v>
      </c>
      <c r="O239" s="144">
        <v>1.3</v>
      </c>
      <c r="P239" s="144">
        <v>-3.4</v>
      </c>
    </row>
    <row r="240">
      <c r="A240" s="142">
        <v>239.0</v>
      </c>
      <c r="B240" s="143" t="s">
        <v>1160</v>
      </c>
      <c r="C240" s="144" t="s">
        <v>44</v>
      </c>
      <c r="D240" s="144" t="s">
        <v>507</v>
      </c>
      <c r="E240" s="144">
        <v>72.0</v>
      </c>
      <c r="F240" s="144">
        <v>26.0</v>
      </c>
      <c r="G240" s="144" t="s">
        <v>1161</v>
      </c>
      <c r="H240" s="144" t="s">
        <v>1162</v>
      </c>
      <c r="I240" s="144">
        <v>1.5</v>
      </c>
      <c r="J240" s="144">
        <v>13.0</v>
      </c>
      <c r="K240" s="144">
        <v>2.7</v>
      </c>
      <c r="L240" s="144">
        <v>2.6</v>
      </c>
      <c r="M240" s="144">
        <v>0.6</v>
      </c>
      <c r="N240" s="144">
        <v>0.2</v>
      </c>
      <c r="O240" s="144">
        <v>1.7</v>
      </c>
      <c r="P240" s="144">
        <v>-3.41</v>
      </c>
    </row>
    <row r="241">
      <c r="A241" s="142">
        <v>240.0</v>
      </c>
      <c r="B241" s="143" t="s">
        <v>1163</v>
      </c>
      <c r="C241" s="144" t="s">
        <v>469</v>
      </c>
      <c r="D241" s="144" t="s">
        <v>473</v>
      </c>
      <c r="E241" s="144">
        <v>72.0</v>
      </c>
      <c r="F241" s="144">
        <v>20.2</v>
      </c>
      <c r="G241" s="144" t="s">
        <v>1164</v>
      </c>
      <c r="H241" s="144" t="s">
        <v>1165</v>
      </c>
      <c r="I241" s="144">
        <v>1.5</v>
      </c>
      <c r="J241" s="144">
        <v>9.3</v>
      </c>
      <c r="K241" s="144">
        <v>2.2</v>
      </c>
      <c r="L241" s="144">
        <v>1.1</v>
      </c>
      <c r="M241" s="144">
        <v>0.6</v>
      </c>
      <c r="N241" s="144">
        <v>0.2</v>
      </c>
      <c r="O241" s="144">
        <v>0.6</v>
      </c>
      <c r="P241" s="144">
        <v>-3.42</v>
      </c>
    </row>
    <row r="242">
      <c r="A242" s="142">
        <v>241.0</v>
      </c>
      <c r="B242" s="143" t="s">
        <v>1166</v>
      </c>
      <c r="C242" s="144" t="s">
        <v>424</v>
      </c>
      <c r="D242" s="144" t="s">
        <v>420</v>
      </c>
      <c r="E242" s="144">
        <v>58.0</v>
      </c>
      <c r="F242" s="144">
        <v>12.1</v>
      </c>
      <c r="G242" s="144" t="s">
        <v>1167</v>
      </c>
      <c r="H242" s="144" t="s">
        <v>1168</v>
      </c>
      <c r="I242" s="144">
        <v>0.3</v>
      </c>
      <c r="J242" s="144">
        <v>5.8</v>
      </c>
      <c r="K242" s="144">
        <v>2.1</v>
      </c>
      <c r="L242" s="144">
        <v>1.1</v>
      </c>
      <c r="M242" s="144">
        <v>0.9</v>
      </c>
      <c r="N242" s="144">
        <v>0.7</v>
      </c>
      <c r="O242" s="144">
        <v>0.5</v>
      </c>
      <c r="P242" s="144">
        <v>-3.43</v>
      </c>
    </row>
    <row r="243">
      <c r="A243" s="142">
        <v>242.0</v>
      </c>
      <c r="B243" s="143" t="s">
        <v>1169</v>
      </c>
      <c r="C243" s="144" t="s">
        <v>47</v>
      </c>
      <c r="D243" s="144" t="s">
        <v>487</v>
      </c>
      <c r="E243" s="144">
        <v>60.0</v>
      </c>
      <c r="F243" s="144">
        <v>15.2</v>
      </c>
      <c r="G243" s="144" t="s">
        <v>1170</v>
      </c>
      <c r="H243" s="144" t="s">
        <v>1171</v>
      </c>
      <c r="I243" s="144">
        <v>0.4</v>
      </c>
      <c r="J243" s="144">
        <v>7.9</v>
      </c>
      <c r="K243" s="144">
        <v>4.5</v>
      </c>
      <c r="L243" s="144">
        <v>0.6</v>
      </c>
      <c r="M243" s="144">
        <v>0.2</v>
      </c>
      <c r="N243" s="144">
        <v>0.5</v>
      </c>
      <c r="O243" s="144">
        <v>0.6</v>
      </c>
      <c r="P243" s="144">
        <v>-3.46</v>
      </c>
    </row>
    <row r="244">
      <c r="A244" s="142">
        <v>243.0</v>
      </c>
      <c r="B244" s="143" t="s">
        <v>1172</v>
      </c>
      <c r="C244" s="144" t="s">
        <v>424</v>
      </c>
      <c r="D244" s="144" t="s">
        <v>465</v>
      </c>
      <c r="E244" s="144">
        <v>38.0</v>
      </c>
      <c r="F244" s="144">
        <v>18.4</v>
      </c>
      <c r="G244" s="144" t="s">
        <v>1173</v>
      </c>
      <c r="H244" s="144" t="s">
        <v>1174</v>
      </c>
      <c r="I244" s="144">
        <v>1.0</v>
      </c>
      <c r="J244" s="144">
        <v>7.5</v>
      </c>
      <c r="K244" s="144">
        <v>2.6</v>
      </c>
      <c r="L244" s="144">
        <v>4.1</v>
      </c>
      <c r="M244" s="144">
        <v>0.9</v>
      </c>
      <c r="N244" s="144">
        <v>0.2</v>
      </c>
      <c r="O244" s="144">
        <v>1.5</v>
      </c>
      <c r="P244" s="144">
        <v>-3.49</v>
      </c>
    </row>
    <row r="245">
      <c r="A245" s="142">
        <v>244.0</v>
      </c>
      <c r="B245" s="143" t="s">
        <v>1175</v>
      </c>
      <c r="C245" s="144" t="s">
        <v>432</v>
      </c>
      <c r="D245" s="144" t="s">
        <v>587</v>
      </c>
      <c r="E245" s="144">
        <v>70.0</v>
      </c>
      <c r="F245" s="144">
        <v>18.0</v>
      </c>
      <c r="G245" s="144" t="s">
        <v>1176</v>
      </c>
      <c r="H245" s="144" t="s">
        <v>1177</v>
      </c>
      <c r="I245" s="144">
        <v>0.8</v>
      </c>
      <c r="J245" s="144">
        <v>7.1</v>
      </c>
      <c r="K245" s="144">
        <v>3.3</v>
      </c>
      <c r="L245" s="144">
        <v>1.2</v>
      </c>
      <c r="M245" s="144">
        <v>0.7</v>
      </c>
      <c r="N245" s="144">
        <v>0.4</v>
      </c>
      <c r="O245" s="144">
        <v>0.8</v>
      </c>
      <c r="P245" s="144">
        <v>-3.5</v>
      </c>
    </row>
    <row r="246">
      <c r="A246" s="142">
        <v>245.0</v>
      </c>
      <c r="B246" s="143" t="s">
        <v>1178</v>
      </c>
      <c r="C246" s="144" t="s">
        <v>456</v>
      </c>
      <c r="D246" s="144" t="s">
        <v>441</v>
      </c>
      <c r="E246" s="144">
        <v>67.0</v>
      </c>
      <c r="F246" s="144">
        <v>17.8</v>
      </c>
      <c r="G246" s="144" t="s">
        <v>1179</v>
      </c>
      <c r="H246" s="144" t="s">
        <v>1180</v>
      </c>
      <c r="I246" s="144">
        <v>1.0</v>
      </c>
      <c r="J246" s="144">
        <v>8.1</v>
      </c>
      <c r="K246" s="144">
        <v>4.6</v>
      </c>
      <c r="L246" s="144">
        <v>1.7</v>
      </c>
      <c r="M246" s="144">
        <v>0.5</v>
      </c>
      <c r="N246" s="144">
        <v>0.2</v>
      </c>
      <c r="O246" s="144">
        <v>1.2</v>
      </c>
      <c r="P246" s="144">
        <v>-3.53</v>
      </c>
    </row>
    <row r="247">
      <c r="A247" s="142">
        <v>246.0</v>
      </c>
      <c r="B247" s="143" t="s">
        <v>1181</v>
      </c>
      <c r="C247" s="144" t="s">
        <v>43</v>
      </c>
      <c r="D247" s="144" t="s">
        <v>445</v>
      </c>
      <c r="E247" s="144">
        <v>72.0</v>
      </c>
      <c r="F247" s="144">
        <v>15.8</v>
      </c>
      <c r="G247" s="144" t="s">
        <v>1182</v>
      </c>
      <c r="H247" s="144" t="s">
        <v>1183</v>
      </c>
      <c r="I247" s="144">
        <v>0.6</v>
      </c>
      <c r="J247" s="144">
        <v>5.8</v>
      </c>
      <c r="K247" s="144">
        <v>3.0</v>
      </c>
      <c r="L247" s="144">
        <v>2.4</v>
      </c>
      <c r="M247" s="144">
        <v>0.8</v>
      </c>
      <c r="N247" s="144">
        <v>0.4</v>
      </c>
      <c r="O247" s="144">
        <v>0.8</v>
      </c>
      <c r="P247" s="144">
        <v>-3.54</v>
      </c>
    </row>
    <row r="248">
      <c r="A248" s="142">
        <v>247.0</v>
      </c>
      <c r="B248" s="143" t="s">
        <v>1184</v>
      </c>
      <c r="C248" s="144" t="s">
        <v>47</v>
      </c>
      <c r="D248" s="144" t="s">
        <v>533</v>
      </c>
      <c r="E248" s="144">
        <v>70.0</v>
      </c>
      <c r="F248" s="144">
        <v>14.0</v>
      </c>
      <c r="G248" s="144" t="s">
        <v>1185</v>
      </c>
      <c r="H248" s="144" t="s">
        <v>1186</v>
      </c>
      <c r="I248" s="144">
        <v>0.0</v>
      </c>
      <c r="J248" s="144">
        <v>6.1</v>
      </c>
      <c r="K248" s="144">
        <v>7.0</v>
      </c>
      <c r="L248" s="144">
        <v>1.0</v>
      </c>
      <c r="M248" s="144">
        <v>0.8</v>
      </c>
      <c r="N248" s="144">
        <v>0.6</v>
      </c>
      <c r="O248" s="144">
        <v>1.2</v>
      </c>
      <c r="P248" s="144">
        <v>-3.57</v>
      </c>
    </row>
    <row r="249">
      <c r="A249" s="142">
        <v>248.0</v>
      </c>
      <c r="B249" s="143" t="s">
        <v>1187</v>
      </c>
      <c r="C249" s="144" t="s">
        <v>456</v>
      </c>
      <c r="D249" s="144" t="s">
        <v>480</v>
      </c>
      <c r="E249" s="144">
        <v>68.0</v>
      </c>
      <c r="F249" s="144">
        <v>16.9</v>
      </c>
      <c r="G249" s="144" t="s">
        <v>1188</v>
      </c>
      <c r="H249" s="144" t="s">
        <v>1189</v>
      </c>
      <c r="I249" s="144">
        <v>0.1</v>
      </c>
      <c r="J249" s="144">
        <v>6.2</v>
      </c>
      <c r="K249" s="144">
        <v>4.2</v>
      </c>
      <c r="L249" s="144">
        <v>1.4</v>
      </c>
      <c r="M249" s="144">
        <v>1.0</v>
      </c>
      <c r="N249" s="144">
        <v>0.4</v>
      </c>
      <c r="O249" s="144">
        <v>0.7</v>
      </c>
      <c r="P249" s="144">
        <v>-3.57</v>
      </c>
    </row>
    <row r="250">
      <c r="A250" s="142">
        <v>249.0</v>
      </c>
      <c r="B250" s="143" t="s">
        <v>1190</v>
      </c>
      <c r="C250" s="144" t="s">
        <v>45</v>
      </c>
      <c r="D250" s="144" t="s">
        <v>491</v>
      </c>
      <c r="E250" s="144">
        <v>72.0</v>
      </c>
      <c r="F250" s="144">
        <v>20.1</v>
      </c>
      <c r="G250" s="144" t="s">
        <v>1191</v>
      </c>
      <c r="H250" s="144" t="s">
        <v>1192</v>
      </c>
      <c r="I250" s="144">
        <v>0.7</v>
      </c>
      <c r="J250" s="144">
        <v>9.3</v>
      </c>
      <c r="K250" s="144">
        <v>4.0</v>
      </c>
      <c r="L250" s="144">
        <v>1.2</v>
      </c>
      <c r="M250" s="144">
        <v>0.4</v>
      </c>
      <c r="N250" s="144">
        <v>0.4</v>
      </c>
      <c r="O250" s="144">
        <v>0.8</v>
      </c>
      <c r="P250" s="144">
        <v>-3.65</v>
      </c>
    </row>
    <row r="251">
      <c r="A251" s="142">
        <v>250.0</v>
      </c>
      <c r="B251" s="143" t="s">
        <v>1193</v>
      </c>
      <c r="C251" s="144" t="s">
        <v>469</v>
      </c>
      <c r="D251" s="144" t="s">
        <v>480</v>
      </c>
      <c r="E251" s="144">
        <v>72.0</v>
      </c>
      <c r="F251" s="144">
        <v>18.0</v>
      </c>
      <c r="G251" s="144" t="s">
        <v>1194</v>
      </c>
      <c r="H251" s="144" t="s">
        <v>1195</v>
      </c>
      <c r="I251" s="144">
        <v>0.7</v>
      </c>
      <c r="J251" s="144">
        <v>4.7</v>
      </c>
      <c r="K251" s="144">
        <v>4.2</v>
      </c>
      <c r="L251" s="144">
        <v>1.4</v>
      </c>
      <c r="M251" s="144">
        <v>0.8</v>
      </c>
      <c r="N251" s="144">
        <v>0.3</v>
      </c>
      <c r="O251" s="144">
        <v>0.4</v>
      </c>
      <c r="P251" s="144">
        <v>-3.68</v>
      </c>
    </row>
    <row r="252">
      <c r="A252" s="142">
        <v>251.0</v>
      </c>
      <c r="B252" s="143" t="s">
        <v>1196</v>
      </c>
      <c r="C252" s="144" t="s">
        <v>44</v>
      </c>
      <c r="D252" s="144" t="s">
        <v>587</v>
      </c>
      <c r="E252" s="144">
        <v>72.0</v>
      </c>
      <c r="F252" s="144">
        <v>21.0</v>
      </c>
      <c r="G252" s="144" t="s">
        <v>1197</v>
      </c>
      <c r="H252" s="144" t="s">
        <v>1198</v>
      </c>
      <c r="I252" s="144">
        <v>2.0</v>
      </c>
      <c r="J252" s="144">
        <v>8.5</v>
      </c>
      <c r="K252" s="144">
        <v>2.2</v>
      </c>
      <c r="L252" s="144">
        <v>1.2</v>
      </c>
      <c r="M252" s="144">
        <v>0.6</v>
      </c>
      <c r="N252" s="144">
        <v>0.1</v>
      </c>
      <c r="O252" s="144">
        <v>0.6</v>
      </c>
      <c r="P252" s="144">
        <v>-3.7</v>
      </c>
    </row>
    <row r="253">
      <c r="A253" s="142">
        <v>252.0</v>
      </c>
      <c r="B253" s="143" t="s">
        <v>1199</v>
      </c>
      <c r="C253" s="144" t="s">
        <v>432</v>
      </c>
      <c r="D253" s="144" t="s">
        <v>457</v>
      </c>
      <c r="E253" s="144">
        <v>68.0</v>
      </c>
      <c r="F253" s="144">
        <v>18.4</v>
      </c>
      <c r="G253" s="144" t="s">
        <v>1200</v>
      </c>
      <c r="H253" s="144" t="s">
        <v>1201</v>
      </c>
      <c r="I253" s="144">
        <v>1.0</v>
      </c>
      <c r="J253" s="144">
        <v>8.2</v>
      </c>
      <c r="K253" s="144">
        <v>1.8</v>
      </c>
      <c r="L253" s="144">
        <v>1.0</v>
      </c>
      <c r="M253" s="144">
        <v>0.8</v>
      </c>
      <c r="N253" s="144">
        <v>0.3</v>
      </c>
      <c r="O253" s="144">
        <v>1.0</v>
      </c>
      <c r="P253" s="144">
        <v>-3.83</v>
      </c>
    </row>
    <row r="254">
      <c r="A254" s="142">
        <v>253.0</v>
      </c>
      <c r="B254" s="143" t="s">
        <v>1202</v>
      </c>
      <c r="C254" s="144" t="s">
        <v>469</v>
      </c>
      <c r="D254" s="144" t="s">
        <v>445</v>
      </c>
      <c r="E254" s="144">
        <v>69.0</v>
      </c>
      <c r="F254" s="144">
        <v>20.4</v>
      </c>
      <c r="G254" s="144" t="s">
        <v>1203</v>
      </c>
      <c r="H254" s="144" t="s">
        <v>1204</v>
      </c>
      <c r="I254" s="144">
        <v>1.3</v>
      </c>
      <c r="J254" s="144">
        <v>8.0</v>
      </c>
      <c r="K254" s="144">
        <v>3.2</v>
      </c>
      <c r="L254" s="144">
        <v>1.2</v>
      </c>
      <c r="M254" s="144">
        <v>0.5</v>
      </c>
      <c r="N254" s="144">
        <v>0.1</v>
      </c>
      <c r="O254" s="144">
        <v>0.9</v>
      </c>
      <c r="P254" s="144">
        <v>-3.85</v>
      </c>
    </row>
    <row r="255">
      <c r="A255" s="142">
        <v>254.0</v>
      </c>
      <c r="B255" s="143" t="s">
        <v>1205</v>
      </c>
      <c r="C255" s="144" t="s">
        <v>45</v>
      </c>
      <c r="D255" s="144" t="s">
        <v>420</v>
      </c>
      <c r="E255" s="144">
        <v>73.0</v>
      </c>
      <c r="F255" s="144">
        <v>24.7</v>
      </c>
      <c r="G255" s="144" t="s">
        <v>1206</v>
      </c>
      <c r="H255" s="144" t="s">
        <v>1207</v>
      </c>
      <c r="I255" s="144">
        <v>0.9</v>
      </c>
      <c r="J255" s="144">
        <v>5.2</v>
      </c>
      <c r="K255" s="144">
        <v>4.4</v>
      </c>
      <c r="L255" s="144">
        <v>1.4</v>
      </c>
      <c r="M255" s="144">
        <v>0.6</v>
      </c>
      <c r="N255" s="144">
        <v>0.2</v>
      </c>
      <c r="O255" s="144">
        <v>0.7</v>
      </c>
      <c r="P255" s="144">
        <v>-3.88</v>
      </c>
    </row>
    <row r="256">
      <c r="A256" s="142">
        <v>255.0</v>
      </c>
      <c r="B256" s="143" t="s">
        <v>1009</v>
      </c>
      <c r="C256" s="144" t="s">
        <v>45</v>
      </c>
      <c r="D256" s="144" t="s">
        <v>537</v>
      </c>
      <c r="E256" s="144">
        <v>70.0</v>
      </c>
      <c r="F256" s="144">
        <v>24.2</v>
      </c>
      <c r="G256" s="144" t="s">
        <v>1683</v>
      </c>
      <c r="H256" s="144" t="s">
        <v>1684</v>
      </c>
      <c r="I256" s="144">
        <v>0.5</v>
      </c>
      <c r="J256" s="144">
        <v>11.0</v>
      </c>
      <c r="K256" s="144">
        <v>3.3</v>
      </c>
      <c r="L256" s="144">
        <v>4.0</v>
      </c>
      <c r="M256" s="144">
        <v>1.0</v>
      </c>
      <c r="N256" s="144">
        <v>0.5</v>
      </c>
      <c r="O256" s="144">
        <v>1.9</v>
      </c>
      <c r="P256" s="144">
        <v>-3.89</v>
      </c>
    </row>
    <row r="257">
      <c r="A257" s="142">
        <v>256.0</v>
      </c>
      <c r="B257" s="143" t="s">
        <v>1208</v>
      </c>
      <c r="C257" s="144" t="s">
        <v>469</v>
      </c>
      <c r="D257" s="144" t="s">
        <v>398</v>
      </c>
      <c r="E257" s="144">
        <v>67.0</v>
      </c>
      <c r="F257" s="144">
        <v>21.2</v>
      </c>
      <c r="G257" s="144" t="s">
        <v>1209</v>
      </c>
      <c r="H257" s="144" t="s">
        <v>1210</v>
      </c>
      <c r="I257" s="144">
        <v>1.5</v>
      </c>
      <c r="J257" s="144">
        <v>9.6</v>
      </c>
      <c r="K257" s="144">
        <v>2.6</v>
      </c>
      <c r="L257" s="144">
        <v>2.4</v>
      </c>
      <c r="M257" s="144">
        <v>0.7</v>
      </c>
      <c r="N257" s="144">
        <v>0.4</v>
      </c>
      <c r="O257" s="144">
        <v>1.4</v>
      </c>
      <c r="P257" s="144">
        <v>-3.96</v>
      </c>
    </row>
    <row r="258">
      <c r="A258" s="142">
        <v>257.0</v>
      </c>
      <c r="B258" s="143" t="s">
        <v>1211</v>
      </c>
      <c r="C258" s="144" t="s">
        <v>766</v>
      </c>
      <c r="D258" s="144" t="s">
        <v>567</v>
      </c>
      <c r="E258" s="144">
        <v>70.0</v>
      </c>
      <c r="F258" s="144">
        <v>24.0</v>
      </c>
      <c r="G258" s="144" t="s">
        <v>1212</v>
      </c>
      <c r="H258" s="144" t="s">
        <v>1213</v>
      </c>
      <c r="I258" s="144">
        <v>1.2</v>
      </c>
      <c r="J258" s="144">
        <v>10.5</v>
      </c>
      <c r="K258" s="144">
        <v>2.8</v>
      </c>
      <c r="L258" s="144">
        <v>2.0</v>
      </c>
      <c r="M258" s="144">
        <v>0.5</v>
      </c>
      <c r="N258" s="144">
        <v>0.1</v>
      </c>
      <c r="O258" s="144">
        <v>1.2</v>
      </c>
      <c r="P258" s="144">
        <v>-3.97</v>
      </c>
    </row>
    <row r="259">
      <c r="A259" s="142">
        <v>258.0</v>
      </c>
      <c r="B259" s="143" t="s">
        <v>1214</v>
      </c>
      <c r="C259" s="144" t="s">
        <v>456</v>
      </c>
      <c r="D259" s="144" t="s">
        <v>425</v>
      </c>
      <c r="E259" s="144">
        <v>70.0</v>
      </c>
      <c r="F259" s="144">
        <v>18.7</v>
      </c>
      <c r="G259" s="144" t="s">
        <v>1215</v>
      </c>
      <c r="H259" s="144" t="s">
        <v>1216</v>
      </c>
      <c r="I259" s="144">
        <v>1.0</v>
      </c>
      <c r="J259" s="144">
        <v>6.0</v>
      </c>
      <c r="K259" s="144">
        <v>5.0</v>
      </c>
      <c r="L259" s="144">
        <v>1.6</v>
      </c>
      <c r="M259" s="144">
        <v>0.6</v>
      </c>
      <c r="N259" s="144">
        <v>0.3</v>
      </c>
      <c r="O259" s="144">
        <v>0.8</v>
      </c>
      <c r="P259" s="144">
        <v>-4.02</v>
      </c>
    </row>
    <row r="260">
      <c r="A260" s="142">
        <v>259.0</v>
      </c>
      <c r="B260" s="143" t="s">
        <v>1217</v>
      </c>
      <c r="C260" s="144" t="s">
        <v>43</v>
      </c>
      <c r="D260" s="144" t="s">
        <v>416</v>
      </c>
      <c r="E260" s="144">
        <v>69.0</v>
      </c>
      <c r="F260" s="144">
        <v>21.2</v>
      </c>
      <c r="G260" s="144" t="s">
        <v>1218</v>
      </c>
      <c r="H260" s="144" t="s">
        <v>1219</v>
      </c>
      <c r="I260" s="144">
        <v>1.4</v>
      </c>
      <c r="J260" s="144">
        <v>10.5</v>
      </c>
      <c r="K260" s="144">
        <v>2.2</v>
      </c>
      <c r="L260" s="144">
        <v>3.2</v>
      </c>
      <c r="M260" s="144">
        <v>0.6</v>
      </c>
      <c r="N260" s="144">
        <v>0.1</v>
      </c>
      <c r="O260" s="144">
        <v>1.5</v>
      </c>
      <c r="P260" s="144">
        <v>-4.04</v>
      </c>
    </row>
    <row r="261">
      <c r="A261" s="142">
        <v>260.0</v>
      </c>
      <c r="B261" s="143" t="s">
        <v>1220</v>
      </c>
      <c r="C261" s="144" t="s">
        <v>432</v>
      </c>
      <c r="D261" s="144" t="s">
        <v>619</v>
      </c>
      <c r="E261" s="144">
        <v>50.0</v>
      </c>
      <c r="F261" s="144">
        <v>16.2</v>
      </c>
      <c r="G261" s="144" t="s">
        <v>1221</v>
      </c>
      <c r="H261" s="144" t="s">
        <v>1222</v>
      </c>
      <c r="I261" s="144">
        <v>1.0</v>
      </c>
      <c r="J261" s="144">
        <v>5.3</v>
      </c>
      <c r="K261" s="144">
        <v>3.2</v>
      </c>
      <c r="L261" s="144">
        <v>1.1</v>
      </c>
      <c r="M261" s="144">
        <v>0.8</v>
      </c>
      <c r="N261" s="144">
        <v>0.4</v>
      </c>
      <c r="O261" s="144">
        <v>0.5</v>
      </c>
      <c r="P261" s="144">
        <v>-4.06</v>
      </c>
    </row>
    <row r="262">
      <c r="A262" s="142">
        <v>261.0</v>
      </c>
      <c r="B262" s="143" t="s">
        <v>1226</v>
      </c>
      <c r="C262" s="144" t="s">
        <v>469</v>
      </c>
      <c r="D262" s="144" t="s">
        <v>619</v>
      </c>
      <c r="E262" s="144">
        <v>60.0</v>
      </c>
      <c r="F262" s="144">
        <v>16.9</v>
      </c>
      <c r="G262" s="144" t="s">
        <v>1227</v>
      </c>
      <c r="H262" s="144" t="s">
        <v>1228</v>
      </c>
      <c r="I262" s="144">
        <v>1.9</v>
      </c>
      <c r="J262" s="144">
        <v>8.0</v>
      </c>
      <c r="K262" s="144">
        <v>2.1</v>
      </c>
      <c r="L262" s="144">
        <v>1.1</v>
      </c>
      <c r="M262" s="144">
        <v>0.6</v>
      </c>
      <c r="N262" s="144">
        <v>0.1</v>
      </c>
      <c r="O262" s="144">
        <v>0.5</v>
      </c>
      <c r="P262" s="144">
        <v>-4.11</v>
      </c>
    </row>
    <row r="263">
      <c r="A263" s="142">
        <v>262.0</v>
      </c>
      <c r="B263" s="143" t="s">
        <v>1229</v>
      </c>
      <c r="C263" s="144" t="s">
        <v>424</v>
      </c>
      <c r="D263" s="144" t="s">
        <v>437</v>
      </c>
      <c r="E263" s="144">
        <v>60.0</v>
      </c>
      <c r="F263" s="144">
        <v>17.1</v>
      </c>
      <c r="G263" s="144" t="s">
        <v>1230</v>
      </c>
      <c r="H263" s="144" t="s">
        <v>1231</v>
      </c>
      <c r="I263" s="144">
        <v>1.3</v>
      </c>
      <c r="J263" s="144">
        <v>7.9</v>
      </c>
      <c r="K263" s="144">
        <v>1.6</v>
      </c>
      <c r="L263" s="144">
        <v>1.7</v>
      </c>
      <c r="M263" s="144">
        <v>0.5</v>
      </c>
      <c r="N263" s="144">
        <v>0.1</v>
      </c>
      <c r="O263" s="144">
        <v>0.8</v>
      </c>
      <c r="P263" s="144">
        <v>-4.14</v>
      </c>
    </row>
    <row r="264">
      <c r="A264" s="142">
        <v>263.0</v>
      </c>
      <c r="B264" s="143" t="s">
        <v>1232</v>
      </c>
      <c r="C264" s="144" t="s">
        <v>469</v>
      </c>
      <c r="D264" s="144" t="s">
        <v>603</v>
      </c>
      <c r="E264" s="144">
        <v>72.0</v>
      </c>
      <c r="F264" s="144">
        <v>20.0</v>
      </c>
      <c r="G264" s="144" t="s">
        <v>1233</v>
      </c>
      <c r="H264" s="144" t="s">
        <v>1234</v>
      </c>
      <c r="I264" s="144">
        <v>0.7</v>
      </c>
      <c r="J264" s="144">
        <v>8.1</v>
      </c>
      <c r="K264" s="144">
        <v>3.4</v>
      </c>
      <c r="L264" s="144">
        <v>2.0</v>
      </c>
      <c r="M264" s="144">
        <v>0.7</v>
      </c>
      <c r="N264" s="144">
        <v>0.2</v>
      </c>
      <c r="O264" s="144">
        <v>1.1</v>
      </c>
      <c r="P264" s="144">
        <v>-4.16</v>
      </c>
    </row>
    <row r="265">
      <c r="A265" s="142">
        <v>264.0</v>
      </c>
      <c r="B265" s="143" t="s">
        <v>1235</v>
      </c>
      <c r="C265" s="144" t="s">
        <v>43</v>
      </c>
      <c r="D265" s="144" t="s">
        <v>567</v>
      </c>
      <c r="E265" s="144">
        <v>68.0</v>
      </c>
      <c r="F265" s="144">
        <v>16.5</v>
      </c>
      <c r="G265" s="144" t="s">
        <v>1236</v>
      </c>
      <c r="H265" s="144" t="s">
        <v>1237</v>
      </c>
      <c r="I265" s="144">
        <v>1.0</v>
      </c>
      <c r="J265" s="144">
        <v>8.3</v>
      </c>
      <c r="K265" s="144">
        <v>2.1</v>
      </c>
      <c r="L265" s="144">
        <v>3.7</v>
      </c>
      <c r="M265" s="144">
        <v>0.5</v>
      </c>
      <c r="N265" s="144">
        <v>0.2</v>
      </c>
      <c r="O265" s="144">
        <v>1.4</v>
      </c>
      <c r="P265" s="144">
        <v>-4.18</v>
      </c>
    </row>
    <row r="266">
      <c r="A266" s="142">
        <v>265.0</v>
      </c>
      <c r="B266" s="143" t="s">
        <v>1238</v>
      </c>
      <c r="C266" s="144" t="s">
        <v>432</v>
      </c>
      <c r="D266" s="144" t="s">
        <v>457</v>
      </c>
      <c r="E266" s="144">
        <v>65.0</v>
      </c>
      <c r="F266" s="144">
        <v>17.4</v>
      </c>
      <c r="G266" s="144" t="s">
        <v>1239</v>
      </c>
      <c r="H266" s="144" t="s">
        <v>1240</v>
      </c>
      <c r="I266" s="144">
        <v>1.2</v>
      </c>
      <c r="J266" s="144">
        <v>7.4</v>
      </c>
      <c r="K266" s="144">
        <v>2.3</v>
      </c>
      <c r="L266" s="144">
        <v>1.1</v>
      </c>
      <c r="M266" s="144">
        <v>0.6</v>
      </c>
      <c r="N266" s="144">
        <v>0.3</v>
      </c>
      <c r="O266" s="144">
        <v>0.9</v>
      </c>
      <c r="P266" s="144">
        <v>-4.22</v>
      </c>
    </row>
    <row r="267">
      <c r="A267" s="142">
        <v>266.0</v>
      </c>
      <c r="B267" s="143" t="s">
        <v>1241</v>
      </c>
      <c r="C267" s="144" t="s">
        <v>432</v>
      </c>
      <c r="D267" s="144" t="s">
        <v>398</v>
      </c>
      <c r="E267" s="144">
        <v>60.0</v>
      </c>
      <c r="F267" s="144">
        <v>20.0</v>
      </c>
      <c r="G267" s="144" t="s">
        <v>1242</v>
      </c>
      <c r="H267" s="144" t="s">
        <v>1243</v>
      </c>
      <c r="I267" s="144">
        <v>1.1</v>
      </c>
      <c r="J267" s="144">
        <v>5.7</v>
      </c>
      <c r="K267" s="144">
        <v>3.5</v>
      </c>
      <c r="L267" s="144">
        <v>1.1</v>
      </c>
      <c r="M267" s="144">
        <v>0.7</v>
      </c>
      <c r="N267" s="144">
        <v>0.2</v>
      </c>
      <c r="O267" s="144">
        <v>0.5</v>
      </c>
      <c r="P267" s="144">
        <v>-4.32</v>
      </c>
    </row>
    <row r="268">
      <c r="A268" s="142">
        <v>267.0</v>
      </c>
      <c r="B268" s="143" t="s">
        <v>1244</v>
      </c>
      <c r="C268" s="144" t="s">
        <v>43</v>
      </c>
      <c r="D268" s="144" t="s">
        <v>554</v>
      </c>
      <c r="E268" s="144">
        <v>68.0</v>
      </c>
      <c r="F268" s="144">
        <v>16.3</v>
      </c>
      <c r="G268" s="144" t="s">
        <v>1245</v>
      </c>
      <c r="H268" s="144" t="s">
        <v>1246</v>
      </c>
      <c r="I268" s="144">
        <v>0.9</v>
      </c>
      <c r="J268" s="144">
        <v>6.6</v>
      </c>
      <c r="K268" s="144">
        <v>1.8</v>
      </c>
      <c r="L268" s="144">
        <v>2.8</v>
      </c>
      <c r="M268" s="144">
        <v>0.4</v>
      </c>
      <c r="N268" s="144">
        <v>0.1</v>
      </c>
      <c r="O268" s="144">
        <v>0.6</v>
      </c>
      <c r="P268" s="144">
        <v>-4.38</v>
      </c>
    </row>
    <row r="269">
      <c r="A269" s="142">
        <v>268.0</v>
      </c>
      <c r="B269" s="143" t="s">
        <v>1247</v>
      </c>
      <c r="C269" s="144" t="s">
        <v>45</v>
      </c>
      <c r="D269" s="144" t="s">
        <v>398</v>
      </c>
      <c r="E269" s="144">
        <v>68.0</v>
      </c>
      <c r="F269" s="144">
        <v>16.4</v>
      </c>
      <c r="G269" s="144" t="s">
        <v>1248</v>
      </c>
      <c r="H269" s="144" t="s">
        <v>1249</v>
      </c>
      <c r="I269" s="144">
        <v>0.6</v>
      </c>
      <c r="J269" s="144">
        <v>7.5</v>
      </c>
      <c r="K269" s="144">
        <v>4.8</v>
      </c>
      <c r="L269" s="144">
        <v>1.3</v>
      </c>
      <c r="M269" s="144">
        <v>0.4</v>
      </c>
      <c r="N269" s="144">
        <v>0.3</v>
      </c>
      <c r="O269" s="144">
        <v>0.9</v>
      </c>
      <c r="P269" s="144">
        <v>-4.38</v>
      </c>
    </row>
    <row r="270">
      <c r="A270" s="142">
        <v>269.0</v>
      </c>
      <c r="B270" s="143" t="s">
        <v>1250</v>
      </c>
      <c r="C270" s="144" t="s">
        <v>469</v>
      </c>
      <c r="D270" s="144" t="s">
        <v>503</v>
      </c>
      <c r="E270" s="144">
        <v>68.0</v>
      </c>
      <c r="F270" s="144">
        <v>18.8</v>
      </c>
      <c r="G270" s="144" t="s">
        <v>1251</v>
      </c>
      <c r="H270" s="144" t="s">
        <v>1252</v>
      </c>
      <c r="I270" s="144">
        <v>0.9</v>
      </c>
      <c r="J270" s="144">
        <v>10.5</v>
      </c>
      <c r="K270" s="144">
        <v>2.3</v>
      </c>
      <c r="L270" s="144">
        <v>1.4</v>
      </c>
      <c r="M270" s="144">
        <v>0.5</v>
      </c>
      <c r="N270" s="144">
        <v>0.1</v>
      </c>
      <c r="O270" s="144">
        <v>1.1</v>
      </c>
      <c r="P270" s="144">
        <v>-4.39</v>
      </c>
    </row>
    <row r="271">
      <c r="A271" s="142">
        <v>270.0</v>
      </c>
      <c r="B271" s="143" t="s">
        <v>1253</v>
      </c>
      <c r="C271" s="144" t="s">
        <v>432</v>
      </c>
      <c r="D271" s="144" t="s">
        <v>491</v>
      </c>
      <c r="E271" s="144">
        <v>33.0</v>
      </c>
      <c r="F271" s="144">
        <v>12.2</v>
      </c>
      <c r="G271" s="144" t="s">
        <v>1254</v>
      </c>
      <c r="H271" s="144" t="s">
        <v>1255</v>
      </c>
      <c r="I271" s="144">
        <v>0.8</v>
      </c>
      <c r="J271" s="144">
        <v>4.1</v>
      </c>
      <c r="K271" s="144">
        <v>2.5</v>
      </c>
      <c r="L271" s="144">
        <v>0.7</v>
      </c>
      <c r="M271" s="144">
        <v>0.6</v>
      </c>
      <c r="N271" s="144">
        <v>0.6</v>
      </c>
      <c r="O271" s="144">
        <v>0.5</v>
      </c>
      <c r="P271" s="144">
        <v>-4.4</v>
      </c>
    </row>
    <row r="272">
      <c r="A272" s="142">
        <v>271.0</v>
      </c>
      <c r="B272" s="143" t="s">
        <v>1256</v>
      </c>
      <c r="C272" s="144" t="s">
        <v>424</v>
      </c>
      <c r="D272" s="144" t="s">
        <v>398</v>
      </c>
      <c r="E272" s="144">
        <v>69.0</v>
      </c>
      <c r="F272" s="144">
        <v>18.8</v>
      </c>
      <c r="G272" s="144" t="s">
        <v>1257</v>
      </c>
      <c r="H272" s="144" t="s">
        <v>1258</v>
      </c>
      <c r="I272" s="144">
        <v>0.7</v>
      </c>
      <c r="J272" s="144">
        <v>7.5</v>
      </c>
      <c r="K272" s="144">
        <v>2.3</v>
      </c>
      <c r="L272" s="144">
        <v>2.6</v>
      </c>
      <c r="M272" s="144">
        <v>0.4</v>
      </c>
      <c r="N272" s="144">
        <v>0.2</v>
      </c>
      <c r="O272" s="144">
        <v>1.0</v>
      </c>
      <c r="P272" s="144">
        <v>-4.45</v>
      </c>
    </row>
    <row r="273">
      <c r="A273" s="142">
        <v>272.0</v>
      </c>
      <c r="B273" s="143" t="s">
        <v>1259</v>
      </c>
      <c r="C273" s="144" t="s">
        <v>469</v>
      </c>
      <c r="D273" s="144" t="s">
        <v>465</v>
      </c>
      <c r="E273" s="144">
        <v>70.0</v>
      </c>
      <c r="F273" s="144">
        <v>21.0</v>
      </c>
      <c r="G273" s="144" t="s">
        <v>1260</v>
      </c>
      <c r="H273" s="144" t="s">
        <v>1261</v>
      </c>
      <c r="I273" s="144">
        <v>0.7</v>
      </c>
      <c r="J273" s="144">
        <v>6.3</v>
      </c>
      <c r="K273" s="144">
        <v>2.3</v>
      </c>
      <c r="L273" s="144">
        <v>1.2</v>
      </c>
      <c r="M273" s="144">
        <v>0.7</v>
      </c>
      <c r="N273" s="144">
        <v>0.3</v>
      </c>
      <c r="O273" s="144">
        <v>0.6</v>
      </c>
      <c r="P273" s="144">
        <v>-4.46</v>
      </c>
    </row>
    <row r="274">
      <c r="A274" s="142">
        <v>273.0</v>
      </c>
      <c r="B274" s="143" t="s">
        <v>1262</v>
      </c>
      <c r="C274" s="144" t="s">
        <v>432</v>
      </c>
      <c r="D274" s="144" t="s">
        <v>554</v>
      </c>
      <c r="E274" s="144">
        <v>60.0</v>
      </c>
      <c r="F274" s="144">
        <v>19.2</v>
      </c>
      <c r="G274" s="144" t="s">
        <v>1263</v>
      </c>
      <c r="H274" s="144" t="s">
        <v>1264</v>
      </c>
      <c r="I274" s="144">
        <v>1.2</v>
      </c>
      <c r="J274" s="144">
        <v>5.7</v>
      </c>
      <c r="K274" s="144">
        <v>2.5</v>
      </c>
      <c r="L274" s="144">
        <v>0.8</v>
      </c>
      <c r="M274" s="144">
        <v>0.5</v>
      </c>
      <c r="N274" s="144">
        <v>0.4</v>
      </c>
      <c r="O274" s="144">
        <v>0.6</v>
      </c>
      <c r="P274" s="144">
        <v>-4.46</v>
      </c>
    </row>
    <row r="275">
      <c r="A275" s="142">
        <v>274.0</v>
      </c>
      <c r="B275" s="143" t="s">
        <v>1265</v>
      </c>
      <c r="C275" s="144" t="s">
        <v>47</v>
      </c>
      <c r="D275" s="144" t="s">
        <v>487</v>
      </c>
      <c r="E275" s="144">
        <v>65.0</v>
      </c>
      <c r="F275" s="144">
        <v>16.8</v>
      </c>
      <c r="G275" s="144" t="s">
        <v>1266</v>
      </c>
      <c r="H275" s="144" t="s">
        <v>1267</v>
      </c>
      <c r="I275" s="144">
        <v>0.0</v>
      </c>
      <c r="J275" s="144">
        <v>4.6</v>
      </c>
      <c r="K275" s="144">
        <v>5.0</v>
      </c>
      <c r="L275" s="144">
        <v>1.0</v>
      </c>
      <c r="M275" s="144">
        <v>0.5</v>
      </c>
      <c r="N275" s="144">
        <v>0.5</v>
      </c>
      <c r="O275" s="144">
        <v>0.6</v>
      </c>
      <c r="P275" s="144">
        <v>-4.47</v>
      </c>
    </row>
    <row r="276">
      <c r="A276" s="142">
        <v>275.0</v>
      </c>
      <c r="B276" s="143" t="s">
        <v>1268</v>
      </c>
      <c r="C276" s="144" t="s">
        <v>424</v>
      </c>
      <c r="D276" s="144" t="s">
        <v>507</v>
      </c>
      <c r="E276" s="144">
        <v>68.0</v>
      </c>
      <c r="F276" s="144">
        <v>23.0</v>
      </c>
      <c r="G276" s="144" t="s">
        <v>1269</v>
      </c>
      <c r="H276" s="144" t="s">
        <v>1270</v>
      </c>
      <c r="I276" s="144">
        <v>1.6</v>
      </c>
      <c r="J276" s="144">
        <v>9.0</v>
      </c>
      <c r="K276" s="144">
        <v>2.3</v>
      </c>
      <c r="L276" s="144">
        <v>1.3</v>
      </c>
      <c r="M276" s="144">
        <v>0.3</v>
      </c>
      <c r="N276" s="144">
        <v>0.3</v>
      </c>
      <c r="O276" s="144">
        <v>0.8</v>
      </c>
      <c r="P276" s="144">
        <v>-4.51</v>
      </c>
    </row>
    <row r="277">
      <c r="A277" s="142">
        <v>276.0</v>
      </c>
      <c r="B277" s="143" t="s">
        <v>1271</v>
      </c>
      <c r="C277" s="144" t="s">
        <v>432</v>
      </c>
      <c r="D277" s="144" t="s">
        <v>429</v>
      </c>
      <c r="E277" s="144">
        <v>47.0</v>
      </c>
      <c r="F277" s="144">
        <v>17.7</v>
      </c>
      <c r="G277" s="144" t="s">
        <v>1272</v>
      </c>
      <c r="H277" s="144" t="s">
        <v>1273</v>
      </c>
      <c r="I277" s="144">
        <v>1.1</v>
      </c>
      <c r="J277" s="144">
        <v>7.0</v>
      </c>
      <c r="K277" s="144">
        <v>2.7</v>
      </c>
      <c r="L277" s="144">
        <v>0.9</v>
      </c>
      <c r="M277" s="144">
        <v>0.6</v>
      </c>
      <c r="N277" s="144">
        <v>0.3</v>
      </c>
      <c r="O277" s="144">
        <v>0.8</v>
      </c>
      <c r="P277" s="144">
        <v>-4.52</v>
      </c>
    </row>
    <row r="278">
      <c r="A278" s="142">
        <v>277.0</v>
      </c>
      <c r="B278" s="143" t="s">
        <v>1274</v>
      </c>
      <c r="C278" s="144" t="s">
        <v>44</v>
      </c>
      <c r="D278" s="144" t="s">
        <v>425</v>
      </c>
      <c r="E278" s="144">
        <v>66.0</v>
      </c>
      <c r="F278" s="144">
        <v>15.8</v>
      </c>
      <c r="G278" s="144" t="s">
        <v>1275</v>
      </c>
      <c r="H278" s="144" t="s">
        <v>1276</v>
      </c>
      <c r="I278" s="144">
        <v>0.8</v>
      </c>
      <c r="J278" s="144">
        <v>7.4</v>
      </c>
      <c r="K278" s="144">
        <v>1.8</v>
      </c>
      <c r="L278" s="144">
        <v>2.7</v>
      </c>
      <c r="M278" s="144">
        <v>0.7</v>
      </c>
      <c r="N278" s="144">
        <v>0.2</v>
      </c>
      <c r="O278" s="144">
        <v>1.1</v>
      </c>
      <c r="P278" s="144">
        <v>-4.53</v>
      </c>
    </row>
    <row r="279">
      <c r="A279" s="142">
        <v>278.0</v>
      </c>
      <c r="B279" s="143" t="s">
        <v>1277</v>
      </c>
      <c r="C279" s="144" t="s">
        <v>46</v>
      </c>
      <c r="D279" s="144" t="s">
        <v>465</v>
      </c>
      <c r="E279" s="144">
        <v>73.0</v>
      </c>
      <c r="F279" s="144">
        <v>18.4</v>
      </c>
      <c r="G279" s="144" t="s">
        <v>1278</v>
      </c>
      <c r="H279" s="144" t="s">
        <v>1279</v>
      </c>
      <c r="I279" s="144">
        <v>1.8</v>
      </c>
      <c r="J279" s="144">
        <v>7.7</v>
      </c>
      <c r="K279" s="144">
        <v>2.2</v>
      </c>
      <c r="L279" s="144">
        <v>1.0</v>
      </c>
      <c r="M279" s="144">
        <v>0.3</v>
      </c>
      <c r="N279" s="144">
        <v>0.2</v>
      </c>
      <c r="O279" s="144">
        <v>0.7</v>
      </c>
      <c r="P279" s="144">
        <v>-4.55</v>
      </c>
    </row>
    <row r="280">
      <c r="A280" s="142">
        <v>279.0</v>
      </c>
      <c r="B280" s="143" t="s">
        <v>1286</v>
      </c>
      <c r="C280" s="144" t="s">
        <v>766</v>
      </c>
      <c r="D280" s="144" t="s">
        <v>554</v>
      </c>
      <c r="E280" s="144">
        <v>64.0</v>
      </c>
      <c r="F280" s="144">
        <v>15.2</v>
      </c>
      <c r="G280" s="144" t="s">
        <v>1287</v>
      </c>
      <c r="H280" s="144" t="s">
        <v>1288</v>
      </c>
      <c r="I280" s="144">
        <v>1.1</v>
      </c>
      <c r="J280" s="144">
        <v>7.1</v>
      </c>
      <c r="K280" s="144">
        <v>2.5</v>
      </c>
      <c r="L280" s="144">
        <v>1.6</v>
      </c>
      <c r="M280" s="144">
        <v>0.6</v>
      </c>
      <c r="N280" s="144">
        <v>0.2</v>
      </c>
      <c r="O280" s="144">
        <v>0.7</v>
      </c>
      <c r="P280" s="144">
        <v>-4.55</v>
      </c>
    </row>
    <row r="281">
      <c r="A281" s="142">
        <v>280.0</v>
      </c>
      <c r="B281" s="143" t="s">
        <v>1289</v>
      </c>
      <c r="C281" s="144" t="s">
        <v>432</v>
      </c>
      <c r="D281" s="144" t="s">
        <v>533</v>
      </c>
      <c r="E281" s="144">
        <v>70.0</v>
      </c>
      <c r="F281" s="144">
        <v>16.3</v>
      </c>
      <c r="G281" s="144" t="s">
        <v>1290</v>
      </c>
      <c r="H281" s="144" t="s">
        <v>1291</v>
      </c>
      <c r="I281" s="144">
        <v>0.8</v>
      </c>
      <c r="J281" s="144">
        <v>5.1</v>
      </c>
      <c r="K281" s="144">
        <v>3.4</v>
      </c>
      <c r="L281" s="144">
        <v>1.0</v>
      </c>
      <c r="M281" s="144">
        <v>0.5</v>
      </c>
      <c r="N281" s="144">
        <v>0.5</v>
      </c>
      <c r="O281" s="144">
        <v>0.7</v>
      </c>
      <c r="P281" s="144">
        <v>-4.56</v>
      </c>
    </row>
    <row r="282">
      <c r="A282" s="142">
        <v>281.0</v>
      </c>
      <c r="B282" s="143" t="s">
        <v>1283</v>
      </c>
      <c r="C282" s="144" t="s">
        <v>456</v>
      </c>
      <c r="D282" s="144" t="s">
        <v>476</v>
      </c>
      <c r="E282" s="144">
        <v>74.0</v>
      </c>
      <c r="F282" s="144">
        <v>14.8</v>
      </c>
      <c r="G282" s="144" t="s">
        <v>1284</v>
      </c>
      <c r="H282" s="144" t="s">
        <v>1285</v>
      </c>
      <c r="I282" s="144">
        <v>0.8</v>
      </c>
      <c r="J282" s="144">
        <v>7.2</v>
      </c>
      <c r="K282" s="144">
        <v>3.7</v>
      </c>
      <c r="L282" s="144">
        <v>0.8</v>
      </c>
      <c r="M282" s="144">
        <v>0.3</v>
      </c>
      <c r="N282" s="144">
        <v>0.3</v>
      </c>
      <c r="O282" s="144">
        <v>0.7</v>
      </c>
      <c r="P282" s="144">
        <v>-4.56</v>
      </c>
    </row>
    <row r="283">
      <c r="A283" s="142">
        <v>282.0</v>
      </c>
      <c r="B283" s="143" t="s">
        <v>1280</v>
      </c>
      <c r="C283" s="144" t="s">
        <v>43</v>
      </c>
      <c r="D283" s="144" t="s">
        <v>429</v>
      </c>
      <c r="E283" s="144">
        <v>58.0</v>
      </c>
      <c r="F283" s="144">
        <v>12.1</v>
      </c>
      <c r="G283" s="144" t="s">
        <v>1281</v>
      </c>
      <c r="H283" s="144" t="s">
        <v>1282</v>
      </c>
      <c r="I283" s="144">
        <v>0.2</v>
      </c>
      <c r="J283" s="144">
        <v>4.9</v>
      </c>
      <c r="K283" s="144">
        <v>1.8</v>
      </c>
      <c r="L283" s="144">
        <v>3.0</v>
      </c>
      <c r="M283" s="144">
        <v>0.6</v>
      </c>
      <c r="N283" s="144">
        <v>0.1</v>
      </c>
      <c r="O283" s="144">
        <v>1.0</v>
      </c>
      <c r="P283" s="144">
        <v>-4.56</v>
      </c>
    </row>
    <row r="284">
      <c r="A284" s="142">
        <v>283.0</v>
      </c>
      <c r="B284" s="143" t="s">
        <v>1384</v>
      </c>
      <c r="C284" s="144" t="s">
        <v>45</v>
      </c>
      <c r="D284" s="144" t="s">
        <v>420</v>
      </c>
      <c r="E284" s="144">
        <v>70.0</v>
      </c>
      <c r="F284" s="144">
        <v>20.8</v>
      </c>
      <c r="G284" s="144" t="s">
        <v>1685</v>
      </c>
      <c r="H284" s="144" t="s">
        <v>1686</v>
      </c>
      <c r="I284" s="144">
        <v>1.1</v>
      </c>
      <c r="J284" s="144">
        <v>7.1</v>
      </c>
      <c r="K284" s="144">
        <v>2.8</v>
      </c>
      <c r="L284" s="144">
        <v>1.2</v>
      </c>
      <c r="M284" s="144">
        <v>0.5</v>
      </c>
      <c r="N284" s="144">
        <v>0.4</v>
      </c>
      <c r="O284" s="144">
        <v>0.8</v>
      </c>
      <c r="P284" s="144">
        <v>-4.59</v>
      </c>
    </row>
    <row r="285">
      <c r="A285" s="142">
        <v>284.0</v>
      </c>
      <c r="B285" s="143" t="s">
        <v>1292</v>
      </c>
      <c r="C285" s="144" t="s">
        <v>44</v>
      </c>
      <c r="D285" s="144" t="s">
        <v>603</v>
      </c>
      <c r="E285" s="144">
        <v>72.0</v>
      </c>
      <c r="F285" s="144">
        <v>18.4</v>
      </c>
      <c r="G285" s="144" t="s">
        <v>1293</v>
      </c>
      <c r="H285" s="144" t="s">
        <v>1294</v>
      </c>
      <c r="I285" s="144">
        <v>1.7</v>
      </c>
      <c r="J285" s="144">
        <v>7.3</v>
      </c>
      <c r="K285" s="144">
        <v>1.9</v>
      </c>
      <c r="L285" s="144">
        <v>1.0</v>
      </c>
      <c r="M285" s="144">
        <v>0.5</v>
      </c>
      <c r="N285" s="144">
        <v>0.1</v>
      </c>
      <c r="O285" s="144">
        <v>0.5</v>
      </c>
      <c r="P285" s="144">
        <v>-4.6</v>
      </c>
    </row>
    <row r="286">
      <c r="A286" s="142">
        <v>285.0</v>
      </c>
      <c r="B286" s="143" t="s">
        <v>1295</v>
      </c>
      <c r="C286" s="144" t="s">
        <v>432</v>
      </c>
      <c r="D286" s="144" t="s">
        <v>537</v>
      </c>
      <c r="E286" s="144">
        <v>64.0</v>
      </c>
      <c r="F286" s="144">
        <v>15.6</v>
      </c>
      <c r="G286" s="144" t="s">
        <v>1296</v>
      </c>
      <c r="H286" s="144" t="s">
        <v>1297</v>
      </c>
      <c r="I286" s="144">
        <v>0.4</v>
      </c>
      <c r="J286" s="144">
        <v>6.9</v>
      </c>
      <c r="K286" s="144">
        <v>3.1</v>
      </c>
      <c r="L286" s="144">
        <v>1.8</v>
      </c>
      <c r="M286" s="144">
        <v>0.5</v>
      </c>
      <c r="N286" s="144">
        <v>0.3</v>
      </c>
      <c r="O286" s="144">
        <v>1.1</v>
      </c>
      <c r="P286" s="144">
        <v>-4.71</v>
      </c>
    </row>
    <row r="287">
      <c r="A287" s="142">
        <v>286.0</v>
      </c>
      <c r="B287" s="143" t="s">
        <v>1298</v>
      </c>
      <c r="C287" s="144" t="s">
        <v>45</v>
      </c>
      <c r="D287" s="144" t="s">
        <v>476</v>
      </c>
      <c r="E287" s="144">
        <v>68.0</v>
      </c>
      <c r="F287" s="144">
        <v>18.4</v>
      </c>
      <c r="G287" s="144" t="s">
        <v>1299</v>
      </c>
      <c r="H287" s="144" t="s">
        <v>1300</v>
      </c>
      <c r="I287" s="144">
        <v>1.1</v>
      </c>
      <c r="J287" s="144">
        <v>8.3</v>
      </c>
      <c r="K287" s="144">
        <v>2.6</v>
      </c>
      <c r="L287" s="144">
        <v>1.4</v>
      </c>
      <c r="M287" s="144">
        <v>0.6</v>
      </c>
      <c r="N287" s="144">
        <v>0.1</v>
      </c>
      <c r="O287" s="144">
        <v>1.0</v>
      </c>
      <c r="P287" s="144">
        <v>-4.71</v>
      </c>
    </row>
    <row r="288">
      <c r="A288" s="142">
        <v>287.0</v>
      </c>
      <c r="B288" s="143" t="s">
        <v>1301</v>
      </c>
      <c r="C288" s="144" t="s">
        <v>424</v>
      </c>
      <c r="D288" s="144" t="s">
        <v>603</v>
      </c>
      <c r="E288" s="144">
        <v>69.0</v>
      </c>
      <c r="F288" s="144">
        <v>18.7</v>
      </c>
      <c r="G288" s="144" t="s">
        <v>1302</v>
      </c>
      <c r="H288" s="144" t="s">
        <v>1303</v>
      </c>
      <c r="I288" s="144">
        <v>0.5</v>
      </c>
      <c r="J288" s="144">
        <v>4.1</v>
      </c>
      <c r="K288" s="144">
        <v>3.4</v>
      </c>
      <c r="L288" s="144">
        <v>2.4</v>
      </c>
      <c r="M288" s="144">
        <v>0.8</v>
      </c>
      <c r="N288" s="144">
        <v>0.2</v>
      </c>
      <c r="O288" s="144">
        <v>1.0</v>
      </c>
      <c r="P288" s="144">
        <v>-4.76</v>
      </c>
    </row>
    <row r="289">
      <c r="A289" s="142">
        <v>288.0</v>
      </c>
      <c r="B289" s="143" t="s">
        <v>1304</v>
      </c>
      <c r="C289" s="144" t="s">
        <v>45</v>
      </c>
      <c r="D289" s="144" t="s">
        <v>590</v>
      </c>
      <c r="E289" s="144">
        <v>40.0</v>
      </c>
      <c r="F289" s="144">
        <v>15.8</v>
      </c>
      <c r="G289" s="144" t="s">
        <v>1305</v>
      </c>
      <c r="H289" s="144" t="s">
        <v>1306</v>
      </c>
      <c r="I289" s="144">
        <v>1.1</v>
      </c>
      <c r="J289" s="144">
        <v>7.4</v>
      </c>
      <c r="K289" s="144">
        <v>2.9</v>
      </c>
      <c r="L289" s="144">
        <v>1.0</v>
      </c>
      <c r="M289" s="144">
        <v>0.3</v>
      </c>
      <c r="N289" s="144">
        <v>0.1</v>
      </c>
      <c r="O289" s="144">
        <v>0.4</v>
      </c>
      <c r="P289" s="144">
        <v>-4.77</v>
      </c>
    </row>
    <row r="290">
      <c r="A290" s="142">
        <v>289.0</v>
      </c>
      <c r="B290" s="143" t="s">
        <v>1307</v>
      </c>
      <c r="C290" s="144" t="s">
        <v>456</v>
      </c>
      <c r="D290" s="144" t="s">
        <v>487</v>
      </c>
      <c r="E290" s="144">
        <v>64.0</v>
      </c>
      <c r="F290" s="144">
        <v>16.7</v>
      </c>
      <c r="G290" s="144" t="s">
        <v>1308</v>
      </c>
      <c r="H290" s="144" t="s">
        <v>1309</v>
      </c>
      <c r="I290" s="144">
        <v>0.7</v>
      </c>
      <c r="J290" s="144">
        <v>7.0</v>
      </c>
      <c r="K290" s="144">
        <v>2.6</v>
      </c>
      <c r="L290" s="144">
        <v>0.8</v>
      </c>
      <c r="M290" s="144">
        <v>0.6</v>
      </c>
      <c r="N290" s="144">
        <v>0.2</v>
      </c>
      <c r="O290" s="144">
        <v>0.8</v>
      </c>
      <c r="P290" s="144">
        <v>-4.79</v>
      </c>
    </row>
    <row r="291">
      <c r="A291" s="142">
        <v>290.0</v>
      </c>
      <c r="B291" s="143" t="s">
        <v>1310</v>
      </c>
      <c r="C291" s="144" t="s">
        <v>456</v>
      </c>
      <c r="D291" s="144" t="s">
        <v>429</v>
      </c>
      <c r="E291" s="144">
        <v>44.0</v>
      </c>
      <c r="F291" s="144">
        <v>12.4</v>
      </c>
      <c r="G291" s="144" t="s">
        <v>1311</v>
      </c>
      <c r="H291" s="144" t="s">
        <v>1312</v>
      </c>
      <c r="I291" s="144">
        <v>0.5</v>
      </c>
      <c r="J291" s="144">
        <v>6.3</v>
      </c>
      <c r="K291" s="144">
        <v>4.0</v>
      </c>
      <c r="L291" s="144">
        <v>0.5</v>
      </c>
      <c r="M291" s="144">
        <v>0.2</v>
      </c>
      <c r="N291" s="144">
        <v>0.6</v>
      </c>
      <c r="O291" s="144">
        <v>0.7</v>
      </c>
      <c r="P291" s="144">
        <v>-4.87</v>
      </c>
    </row>
    <row r="292">
      <c r="A292" s="142">
        <v>291.0</v>
      </c>
      <c r="B292" s="143" t="s">
        <v>1313</v>
      </c>
      <c r="C292" s="144" t="s">
        <v>424</v>
      </c>
      <c r="D292" s="144" t="s">
        <v>433</v>
      </c>
      <c r="E292" s="144">
        <v>70.0</v>
      </c>
      <c r="F292" s="144">
        <v>16.4</v>
      </c>
      <c r="G292" s="144" t="s">
        <v>1314</v>
      </c>
      <c r="H292" s="144" t="s">
        <v>1315</v>
      </c>
      <c r="I292" s="144">
        <v>1.6</v>
      </c>
      <c r="J292" s="144">
        <v>7.1</v>
      </c>
      <c r="K292" s="144">
        <v>2.2</v>
      </c>
      <c r="L292" s="144">
        <v>2.1</v>
      </c>
      <c r="M292" s="144">
        <v>0.4</v>
      </c>
      <c r="N292" s="144">
        <v>0.1</v>
      </c>
      <c r="O292" s="144">
        <v>0.8</v>
      </c>
      <c r="P292" s="144">
        <v>-4.89</v>
      </c>
    </row>
    <row r="293">
      <c r="A293" s="142">
        <v>292.0</v>
      </c>
      <c r="B293" s="143" t="s">
        <v>1316</v>
      </c>
      <c r="C293" s="144" t="s">
        <v>469</v>
      </c>
      <c r="D293" s="144" t="s">
        <v>507</v>
      </c>
      <c r="E293" s="144">
        <v>60.0</v>
      </c>
      <c r="F293" s="144">
        <v>16.0</v>
      </c>
      <c r="G293" s="144" t="s">
        <v>1317</v>
      </c>
      <c r="H293" s="144" t="s">
        <v>1171</v>
      </c>
      <c r="I293" s="144">
        <v>0.6</v>
      </c>
      <c r="J293" s="144">
        <v>7.4</v>
      </c>
      <c r="K293" s="144">
        <v>2.3</v>
      </c>
      <c r="L293" s="144">
        <v>2.3</v>
      </c>
      <c r="M293" s="144">
        <v>0.6</v>
      </c>
      <c r="N293" s="144">
        <v>0.3</v>
      </c>
      <c r="O293" s="144">
        <v>1.2</v>
      </c>
      <c r="P293" s="144">
        <v>-4.95</v>
      </c>
    </row>
    <row r="294">
      <c r="A294" s="142">
        <v>293.0</v>
      </c>
      <c r="B294" s="143" t="s">
        <v>1318</v>
      </c>
      <c r="C294" s="144" t="s">
        <v>47</v>
      </c>
      <c r="D294" s="144" t="s">
        <v>537</v>
      </c>
      <c r="E294" s="144">
        <v>68.0</v>
      </c>
      <c r="F294" s="144">
        <v>13.4</v>
      </c>
      <c r="G294" s="144" t="s">
        <v>1319</v>
      </c>
      <c r="H294" s="144" t="s">
        <v>1320</v>
      </c>
      <c r="I294" s="144">
        <v>0.4</v>
      </c>
      <c r="J294" s="144">
        <v>6.2</v>
      </c>
      <c r="K294" s="144">
        <v>3.6</v>
      </c>
      <c r="L294" s="144">
        <v>1.0</v>
      </c>
      <c r="M294" s="144">
        <v>0.2</v>
      </c>
      <c r="N294" s="144">
        <v>0.4</v>
      </c>
      <c r="O294" s="144">
        <v>0.8</v>
      </c>
      <c r="P294" s="144">
        <v>-4.97</v>
      </c>
    </row>
    <row r="295">
      <c r="A295" s="142">
        <v>294.0</v>
      </c>
      <c r="B295" s="143" t="s">
        <v>1321</v>
      </c>
      <c r="C295" s="144" t="s">
        <v>47</v>
      </c>
      <c r="D295" s="144" t="s">
        <v>437</v>
      </c>
      <c r="E295" s="144">
        <v>74.0</v>
      </c>
      <c r="F295" s="144">
        <v>14.1</v>
      </c>
      <c r="G295" s="144" t="s">
        <v>1322</v>
      </c>
      <c r="H295" s="144" t="s">
        <v>1323</v>
      </c>
      <c r="I295" s="144">
        <v>0.1</v>
      </c>
      <c r="J295" s="144">
        <v>5.4</v>
      </c>
      <c r="K295" s="144">
        <v>3.1</v>
      </c>
      <c r="L295" s="144">
        <v>0.7</v>
      </c>
      <c r="M295" s="144">
        <v>0.4</v>
      </c>
      <c r="N295" s="144">
        <v>0.3</v>
      </c>
      <c r="O295" s="144">
        <v>0.6</v>
      </c>
      <c r="P295" s="144">
        <v>-5.0</v>
      </c>
    </row>
    <row r="296">
      <c r="A296" s="142">
        <v>295.0</v>
      </c>
      <c r="B296" s="143" t="s">
        <v>1324</v>
      </c>
      <c r="C296" s="144" t="s">
        <v>432</v>
      </c>
      <c r="D296" s="144" t="s">
        <v>398</v>
      </c>
      <c r="E296" s="144">
        <v>22.0</v>
      </c>
      <c r="F296" s="144">
        <v>10.1</v>
      </c>
      <c r="G296" s="144" t="s">
        <v>1325</v>
      </c>
      <c r="H296" s="144" t="s">
        <v>1326</v>
      </c>
      <c r="I296" s="144">
        <v>0.2</v>
      </c>
      <c r="J296" s="144">
        <v>4.8</v>
      </c>
      <c r="K296" s="144">
        <v>2.7</v>
      </c>
      <c r="L296" s="144">
        <v>0.5</v>
      </c>
      <c r="M296" s="144">
        <v>0.4</v>
      </c>
      <c r="N296" s="144">
        <v>0.6</v>
      </c>
      <c r="O296" s="144">
        <v>0.3</v>
      </c>
      <c r="P296" s="144">
        <v>-5.0</v>
      </c>
    </row>
    <row r="297">
      <c r="A297" s="142">
        <v>296.0</v>
      </c>
      <c r="B297" s="143" t="s">
        <v>1327</v>
      </c>
      <c r="C297" s="144" t="s">
        <v>45</v>
      </c>
      <c r="D297" s="144" t="s">
        <v>480</v>
      </c>
      <c r="E297" s="144">
        <v>60.0</v>
      </c>
      <c r="F297" s="144">
        <v>20.1</v>
      </c>
      <c r="G297" s="144" t="s">
        <v>1328</v>
      </c>
      <c r="H297" s="144" t="s">
        <v>1329</v>
      </c>
      <c r="I297" s="144">
        <v>1.1</v>
      </c>
      <c r="J297" s="144">
        <v>7.6</v>
      </c>
      <c r="K297" s="144">
        <v>2.2</v>
      </c>
      <c r="L297" s="144">
        <v>1.1</v>
      </c>
      <c r="M297" s="144">
        <v>0.5</v>
      </c>
      <c r="N297" s="144">
        <v>0.2</v>
      </c>
      <c r="O297" s="144">
        <v>0.8</v>
      </c>
      <c r="P297" s="144">
        <v>-5.0</v>
      </c>
    </row>
    <row r="298">
      <c r="A298" s="142">
        <v>297.0</v>
      </c>
      <c r="B298" s="143" t="s">
        <v>1330</v>
      </c>
      <c r="C298" s="144" t="s">
        <v>432</v>
      </c>
      <c r="D298" s="144" t="s">
        <v>619</v>
      </c>
      <c r="E298" s="144">
        <v>60.0</v>
      </c>
      <c r="F298" s="144">
        <v>16.8</v>
      </c>
      <c r="G298" s="144" t="s">
        <v>1331</v>
      </c>
      <c r="H298" s="144" t="s">
        <v>1332</v>
      </c>
      <c r="I298" s="144">
        <v>1.3</v>
      </c>
      <c r="J298" s="144">
        <v>5.0</v>
      </c>
      <c r="K298" s="144">
        <v>2.0</v>
      </c>
      <c r="L298" s="144">
        <v>2.4</v>
      </c>
      <c r="M298" s="144">
        <v>0.4</v>
      </c>
      <c r="N298" s="144">
        <v>0.1</v>
      </c>
      <c r="O298" s="144">
        <v>0.8</v>
      </c>
      <c r="P298" s="144">
        <v>-5.04</v>
      </c>
    </row>
    <row r="299">
      <c r="A299" s="142">
        <v>298.0</v>
      </c>
      <c r="B299" s="143" t="s">
        <v>1333</v>
      </c>
      <c r="C299" s="144" t="s">
        <v>44</v>
      </c>
      <c r="D299" s="144" t="s">
        <v>420</v>
      </c>
      <c r="E299" s="144">
        <v>30.0</v>
      </c>
      <c r="F299" s="144">
        <v>14.4</v>
      </c>
      <c r="G299" s="144" t="s">
        <v>1334</v>
      </c>
      <c r="H299" s="144" t="s">
        <v>1335</v>
      </c>
      <c r="I299" s="144">
        <v>1.2</v>
      </c>
      <c r="J299" s="144">
        <v>4.2</v>
      </c>
      <c r="K299" s="144">
        <v>1.7</v>
      </c>
      <c r="L299" s="144">
        <v>0.7</v>
      </c>
      <c r="M299" s="144">
        <v>0.7</v>
      </c>
      <c r="N299" s="144">
        <v>0.4</v>
      </c>
      <c r="O299" s="144">
        <v>0.5</v>
      </c>
      <c r="P299" s="144">
        <v>-5.05</v>
      </c>
    </row>
    <row r="300">
      <c r="A300" s="142">
        <v>299.0</v>
      </c>
      <c r="B300" s="143" t="s">
        <v>1336</v>
      </c>
      <c r="C300" s="144" t="s">
        <v>47</v>
      </c>
      <c r="D300" s="144" t="s">
        <v>587</v>
      </c>
      <c r="E300" s="144">
        <v>60.0</v>
      </c>
      <c r="F300" s="144">
        <v>14.8</v>
      </c>
      <c r="G300" s="144" t="s">
        <v>1337</v>
      </c>
      <c r="H300" s="144" t="s">
        <v>1338</v>
      </c>
      <c r="I300" s="144">
        <v>0.0</v>
      </c>
      <c r="J300" s="144">
        <v>3.4</v>
      </c>
      <c r="K300" s="144">
        <v>3.2</v>
      </c>
      <c r="L300" s="144">
        <v>0.6</v>
      </c>
      <c r="M300" s="144">
        <v>0.4</v>
      </c>
      <c r="N300" s="144">
        <v>1.1</v>
      </c>
      <c r="O300" s="144">
        <v>0.4</v>
      </c>
      <c r="P300" s="144">
        <v>-5.11</v>
      </c>
    </row>
    <row r="301">
      <c r="A301" s="142">
        <v>300.0</v>
      </c>
      <c r="B301" s="143" t="s">
        <v>1342</v>
      </c>
      <c r="C301" s="144" t="s">
        <v>432</v>
      </c>
      <c r="D301" s="144" t="s">
        <v>465</v>
      </c>
      <c r="E301" s="144">
        <v>58.0</v>
      </c>
      <c r="F301" s="144">
        <v>18.1</v>
      </c>
      <c r="G301" s="144" t="s">
        <v>1343</v>
      </c>
      <c r="H301" s="144" t="s">
        <v>1344</v>
      </c>
      <c r="I301" s="144">
        <v>0.9</v>
      </c>
      <c r="J301" s="144">
        <v>4.6</v>
      </c>
      <c r="K301" s="144">
        <v>2.9</v>
      </c>
      <c r="L301" s="144">
        <v>0.9</v>
      </c>
      <c r="M301" s="144">
        <v>0.6</v>
      </c>
      <c r="N301" s="144">
        <v>0.3</v>
      </c>
      <c r="O301" s="144">
        <v>0.3</v>
      </c>
      <c r="P301" s="144">
        <v>-5.12</v>
      </c>
    </row>
    <row r="302">
      <c r="A302" s="142">
        <v>301.0</v>
      </c>
      <c r="B302" s="143" t="s">
        <v>1339</v>
      </c>
      <c r="C302" s="144" t="s">
        <v>45</v>
      </c>
      <c r="D302" s="144" t="s">
        <v>487</v>
      </c>
      <c r="E302" s="144">
        <v>70.0</v>
      </c>
      <c r="F302" s="144">
        <v>18.4</v>
      </c>
      <c r="G302" s="144" t="s">
        <v>1340</v>
      </c>
      <c r="H302" s="144" t="s">
        <v>1341</v>
      </c>
      <c r="I302" s="144">
        <v>0.4</v>
      </c>
      <c r="J302" s="144">
        <v>7.3</v>
      </c>
      <c r="K302" s="144">
        <v>2.5</v>
      </c>
      <c r="L302" s="144">
        <v>1.5</v>
      </c>
      <c r="M302" s="144">
        <v>0.6</v>
      </c>
      <c r="N302" s="144">
        <v>0.2</v>
      </c>
      <c r="O302" s="144">
        <v>0.8</v>
      </c>
      <c r="P302" s="144">
        <v>-5.13</v>
      </c>
    </row>
    <row r="303">
      <c r="A303" s="142">
        <v>302.0</v>
      </c>
      <c r="B303" s="143" t="s">
        <v>1345</v>
      </c>
      <c r="C303" s="144" t="s">
        <v>469</v>
      </c>
      <c r="D303" s="144" t="s">
        <v>503</v>
      </c>
      <c r="E303" s="144">
        <v>67.0</v>
      </c>
      <c r="F303" s="144">
        <v>16.7</v>
      </c>
      <c r="G303" s="144" t="s">
        <v>1346</v>
      </c>
      <c r="H303" s="144" t="s">
        <v>1347</v>
      </c>
      <c r="I303" s="144">
        <v>1.2</v>
      </c>
      <c r="J303" s="144">
        <v>8.7</v>
      </c>
      <c r="K303" s="144">
        <v>1.7</v>
      </c>
      <c r="L303" s="144">
        <v>1.3</v>
      </c>
      <c r="M303" s="144">
        <v>0.4</v>
      </c>
      <c r="N303" s="144">
        <v>0.2</v>
      </c>
      <c r="O303" s="144">
        <v>0.7</v>
      </c>
      <c r="P303" s="144">
        <v>-5.14</v>
      </c>
    </row>
    <row r="304">
      <c r="A304" s="142">
        <v>303.0</v>
      </c>
      <c r="B304" s="143" t="s">
        <v>1348</v>
      </c>
      <c r="C304" s="144" t="s">
        <v>432</v>
      </c>
      <c r="D304" s="144" t="s">
        <v>583</v>
      </c>
      <c r="E304" s="144">
        <v>70.0</v>
      </c>
      <c r="F304" s="144">
        <v>16.8</v>
      </c>
      <c r="G304" s="144" t="s">
        <v>1349</v>
      </c>
      <c r="H304" s="144" t="s">
        <v>1350</v>
      </c>
      <c r="I304" s="144">
        <v>0.8</v>
      </c>
      <c r="J304" s="144">
        <v>6.8</v>
      </c>
      <c r="K304" s="144">
        <v>2.3</v>
      </c>
      <c r="L304" s="144">
        <v>0.9</v>
      </c>
      <c r="M304" s="144">
        <v>0.5</v>
      </c>
      <c r="N304" s="144">
        <v>0.3</v>
      </c>
      <c r="O304" s="144">
        <v>0.6</v>
      </c>
      <c r="P304" s="144">
        <v>-5.14</v>
      </c>
    </row>
    <row r="305">
      <c r="A305" s="142">
        <v>304.0</v>
      </c>
      <c r="B305" s="143" t="s">
        <v>1351</v>
      </c>
      <c r="C305" s="144" t="s">
        <v>47</v>
      </c>
      <c r="D305" s="144" t="s">
        <v>420</v>
      </c>
      <c r="E305" s="144">
        <v>50.0</v>
      </c>
      <c r="F305" s="144">
        <v>10.4</v>
      </c>
      <c r="G305" s="144" t="s">
        <v>1352</v>
      </c>
      <c r="H305" s="144" t="s">
        <v>1353</v>
      </c>
      <c r="I305" s="144">
        <v>0.6</v>
      </c>
      <c r="J305" s="144">
        <v>4.4</v>
      </c>
      <c r="K305" s="144">
        <v>3.2</v>
      </c>
      <c r="L305" s="144">
        <v>0.5</v>
      </c>
      <c r="M305" s="144">
        <v>0.2</v>
      </c>
      <c r="N305" s="144">
        <v>0.7</v>
      </c>
      <c r="O305" s="144">
        <v>0.4</v>
      </c>
      <c r="P305" s="144">
        <v>-5.15</v>
      </c>
    </row>
    <row r="306">
      <c r="A306" s="142">
        <v>305.0</v>
      </c>
      <c r="B306" s="143" t="s">
        <v>1354</v>
      </c>
      <c r="C306" s="144" t="s">
        <v>469</v>
      </c>
      <c r="D306" s="144" t="s">
        <v>487</v>
      </c>
      <c r="E306" s="144">
        <v>59.0</v>
      </c>
      <c r="F306" s="144">
        <v>17.8</v>
      </c>
      <c r="G306" s="144" t="s">
        <v>1355</v>
      </c>
      <c r="H306" s="144" t="s">
        <v>1356</v>
      </c>
      <c r="I306" s="144">
        <v>1.9</v>
      </c>
      <c r="J306" s="144">
        <v>7.4</v>
      </c>
      <c r="K306" s="144">
        <v>1.8</v>
      </c>
      <c r="L306" s="144">
        <v>1.2</v>
      </c>
      <c r="M306" s="144">
        <v>0.4</v>
      </c>
      <c r="N306" s="144">
        <v>0.1</v>
      </c>
      <c r="O306" s="144">
        <v>0.6</v>
      </c>
      <c r="P306" s="144">
        <v>-5.15</v>
      </c>
    </row>
    <row r="307">
      <c r="A307" s="142">
        <v>306.0</v>
      </c>
      <c r="B307" s="143" t="s">
        <v>1357</v>
      </c>
      <c r="C307" s="144" t="s">
        <v>47</v>
      </c>
      <c r="D307" s="144" t="s">
        <v>503</v>
      </c>
      <c r="E307" s="144">
        <v>50.0</v>
      </c>
      <c r="F307" s="144">
        <v>11.5</v>
      </c>
      <c r="G307" s="144" t="s">
        <v>1358</v>
      </c>
      <c r="H307" s="144" t="s">
        <v>1359</v>
      </c>
      <c r="I307" s="144">
        <v>0.1</v>
      </c>
      <c r="J307" s="144">
        <v>5.2</v>
      </c>
      <c r="K307" s="144">
        <v>4.4</v>
      </c>
      <c r="L307" s="144">
        <v>0.7</v>
      </c>
      <c r="M307" s="144">
        <v>0.3</v>
      </c>
      <c r="N307" s="144">
        <v>0.6</v>
      </c>
      <c r="O307" s="144">
        <v>0.9</v>
      </c>
      <c r="P307" s="144">
        <v>-5.16</v>
      </c>
    </row>
    <row r="308">
      <c r="A308" s="142">
        <v>307.0</v>
      </c>
      <c r="B308" s="143" t="s">
        <v>1360</v>
      </c>
      <c r="C308" s="144" t="s">
        <v>424</v>
      </c>
      <c r="D308" s="144" t="s">
        <v>476</v>
      </c>
      <c r="E308" s="144">
        <v>78.0</v>
      </c>
      <c r="F308" s="144">
        <v>18.8</v>
      </c>
      <c r="G308" s="144" t="s">
        <v>1361</v>
      </c>
      <c r="H308" s="144" t="s">
        <v>1362</v>
      </c>
      <c r="I308" s="144">
        <v>0.9</v>
      </c>
      <c r="J308" s="144">
        <v>7.1</v>
      </c>
      <c r="K308" s="144">
        <v>1.5</v>
      </c>
      <c r="L308" s="144">
        <v>2.7</v>
      </c>
      <c r="M308" s="144">
        <v>0.5</v>
      </c>
      <c r="N308" s="144">
        <v>0.2</v>
      </c>
      <c r="O308" s="144">
        <v>1.0</v>
      </c>
      <c r="P308" s="144">
        <v>-5.17</v>
      </c>
    </row>
    <row r="309">
      <c r="A309" s="142">
        <v>308.0</v>
      </c>
      <c r="B309" s="143" t="s">
        <v>1363</v>
      </c>
      <c r="C309" s="144" t="s">
        <v>46</v>
      </c>
      <c r="D309" s="144" t="s">
        <v>437</v>
      </c>
      <c r="E309" s="144">
        <v>61.0</v>
      </c>
      <c r="F309" s="144">
        <v>16.1</v>
      </c>
      <c r="G309" s="144" t="s">
        <v>1364</v>
      </c>
      <c r="H309" s="144" t="s">
        <v>1365</v>
      </c>
      <c r="I309" s="144">
        <v>0.5</v>
      </c>
      <c r="J309" s="144">
        <v>7.2</v>
      </c>
      <c r="K309" s="144">
        <v>2.9</v>
      </c>
      <c r="L309" s="144">
        <v>0.6</v>
      </c>
      <c r="M309" s="144">
        <v>0.6</v>
      </c>
      <c r="N309" s="144">
        <v>0.2</v>
      </c>
      <c r="O309" s="144">
        <v>0.6</v>
      </c>
      <c r="P309" s="144">
        <v>-5.29</v>
      </c>
    </row>
    <row r="310">
      <c r="A310" s="142">
        <v>309.0</v>
      </c>
      <c r="B310" s="143" t="s">
        <v>1366</v>
      </c>
      <c r="C310" s="144" t="s">
        <v>432</v>
      </c>
      <c r="D310" s="144" t="s">
        <v>445</v>
      </c>
      <c r="E310" s="144">
        <v>58.0</v>
      </c>
      <c r="F310" s="144">
        <v>15.5</v>
      </c>
      <c r="G310" s="144" t="s">
        <v>1367</v>
      </c>
      <c r="H310" s="144" t="s">
        <v>1368</v>
      </c>
      <c r="I310" s="144">
        <v>1.0</v>
      </c>
      <c r="J310" s="144">
        <v>5.5</v>
      </c>
      <c r="K310" s="144">
        <v>2.7</v>
      </c>
      <c r="L310" s="144">
        <v>0.8</v>
      </c>
      <c r="M310" s="144">
        <v>0.4</v>
      </c>
      <c r="N310" s="144">
        <v>0.4</v>
      </c>
      <c r="O310" s="144">
        <v>0.5</v>
      </c>
      <c r="P310" s="144">
        <v>-5.3</v>
      </c>
    </row>
    <row r="311">
      <c r="A311" s="142">
        <v>310.0</v>
      </c>
      <c r="B311" s="143" t="s">
        <v>1372</v>
      </c>
      <c r="C311" s="144" t="s">
        <v>456</v>
      </c>
      <c r="D311" s="144" t="s">
        <v>416</v>
      </c>
      <c r="E311" s="144">
        <v>63.0</v>
      </c>
      <c r="F311" s="144">
        <v>16.1</v>
      </c>
      <c r="G311" s="144" t="s">
        <v>1373</v>
      </c>
      <c r="H311" s="144" t="s">
        <v>1374</v>
      </c>
      <c r="I311" s="144">
        <v>0.6</v>
      </c>
      <c r="J311" s="144">
        <v>6.3</v>
      </c>
      <c r="K311" s="144">
        <v>3.3</v>
      </c>
      <c r="L311" s="144">
        <v>0.4</v>
      </c>
      <c r="M311" s="144">
        <v>0.4</v>
      </c>
      <c r="N311" s="144">
        <v>0.4</v>
      </c>
      <c r="O311" s="144">
        <v>0.6</v>
      </c>
      <c r="P311" s="144">
        <v>-5.33</v>
      </c>
    </row>
    <row r="312">
      <c r="A312" s="142">
        <v>311.0</v>
      </c>
      <c r="B312" s="143" t="s">
        <v>1369</v>
      </c>
      <c r="C312" s="144" t="s">
        <v>424</v>
      </c>
      <c r="D312" s="144" t="s">
        <v>441</v>
      </c>
      <c r="E312" s="144">
        <v>68.0</v>
      </c>
      <c r="F312" s="144">
        <v>15.1</v>
      </c>
      <c r="G312" s="144" t="s">
        <v>1370</v>
      </c>
      <c r="H312" s="144" t="s">
        <v>1371</v>
      </c>
      <c r="I312" s="144">
        <v>0.7</v>
      </c>
      <c r="J312" s="144">
        <v>5.1</v>
      </c>
      <c r="K312" s="144">
        <v>1.5</v>
      </c>
      <c r="L312" s="144">
        <v>2.5</v>
      </c>
      <c r="M312" s="144">
        <v>0.4</v>
      </c>
      <c r="N312" s="144">
        <v>0.1</v>
      </c>
      <c r="O312" s="144">
        <v>0.8</v>
      </c>
      <c r="P312" s="144">
        <v>-5.33</v>
      </c>
    </row>
    <row r="313">
      <c r="A313" s="142">
        <v>312.0</v>
      </c>
      <c r="B313" s="143" t="s">
        <v>1375</v>
      </c>
      <c r="C313" s="144" t="s">
        <v>45</v>
      </c>
      <c r="D313" s="144" t="s">
        <v>590</v>
      </c>
      <c r="E313" s="144">
        <v>70.0</v>
      </c>
      <c r="F313" s="144">
        <v>21.0</v>
      </c>
      <c r="G313" s="144" t="s">
        <v>1376</v>
      </c>
      <c r="H313" s="144" t="s">
        <v>1377</v>
      </c>
      <c r="I313" s="144">
        <v>0.6</v>
      </c>
      <c r="J313" s="144">
        <v>8.4</v>
      </c>
      <c r="K313" s="144">
        <v>3.8</v>
      </c>
      <c r="L313" s="144">
        <v>1.8</v>
      </c>
      <c r="M313" s="144">
        <v>0.6</v>
      </c>
      <c r="N313" s="144">
        <v>0.2</v>
      </c>
      <c r="O313" s="144">
        <v>1.2</v>
      </c>
      <c r="P313" s="144">
        <v>-5.33</v>
      </c>
    </row>
    <row r="314">
      <c r="A314" s="142">
        <v>313.0</v>
      </c>
      <c r="B314" s="143" t="s">
        <v>1378</v>
      </c>
      <c r="C314" s="144" t="s">
        <v>456</v>
      </c>
      <c r="D314" s="144" t="s">
        <v>457</v>
      </c>
      <c r="E314" s="144">
        <v>67.0</v>
      </c>
      <c r="F314" s="144">
        <v>12.4</v>
      </c>
      <c r="G314" s="144" t="s">
        <v>1379</v>
      </c>
      <c r="H314" s="144" t="s">
        <v>1380</v>
      </c>
      <c r="I314" s="144">
        <v>0.1</v>
      </c>
      <c r="J314" s="144">
        <v>5.4</v>
      </c>
      <c r="K314" s="144">
        <v>2.7</v>
      </c>
      <c r="L314" s="144">
        <v>0.5</v>
      </c>
      <c r="M314" s="144">
        <v>0.3</v>
      </c>
      <c r="N314" s="144">
        <v>0.5</v>
      </c>
      <c r="O314" s="144">
        <v>0.5</v>
      </c>
      <c r="P314" s="144">
        <v>-5.35</v>
      </c>
    </row>
    <row r="315">
      <c r="A315" s="142">
        <v>314.0</v>
      </c>
      <c r="B315" s="143" t="s">
        <v>1381</v>
      </c>
      <c r="C315" s="144" t="s">
        <v>424</v>
      </c>
      <c r="D315" s="144" t="s">
        <v>554</v>
      </c>
      <c r="E315" s="144">
        <v>65.0</v>
      </c>
      <c r="F315" s="144">
        <v>14.3</v>
      </c>
      <c r="G315" s="144" t="s">
        <v>1382</v>
      </c>
      <c r="H315" s="144" t="s">
        <v>1383</v>
      </c>
      <c r="I315" s="144">
        <v>0.5</v>
      </c>
      <c r="J315" s="144">
        <v>4.7</v>
      </c>
      <c r="K315" s="144">
        <v>1.6</v>
      </c>
      <c r="L315" s="144">
        <v>2.8</v>
      </c>
      <c r="M315" s="144">
        <v>0.7</v>
      </c>
      <c r="N315" s="144">
        <v>0.2</v>
      </c>
      <c r="O315" s="144">
        <v>1.1</v>
      </c>
      <c r="P315" s="144">
        <v>-5.37</v>
      </c>
    </row>
    <row r="316">
      <c r="A316" s="142">
        <v>315.0</v>
      </c>
      <c r="B316" s="143" t="s">
        <v>1386</v>
      </c>
      <c r="C316" s="144" t="s">
        <v>432</v>
      </c>
      <c r="D316" s="144" t="s">
        <v>425</v>
      </c>
      <c r="E316" s="144">
        <v>64.0</v>
      </c>
      <c r="F316" s="144">
        <v>17.9</v>
      </c>
      <c r="G316" s="144" t="s">
        <v>1387</v>
      </c>
      <c r="H316" s="144" t="s">
        <v>1388</v>
      </c>
      <c r="I316" s="144">
        <v>0.8</v>
      </c>
      <c r="J316" s="144">
        <v>6.4</v>
      </c>
      <c r="K316" s="144">
        <v>3.3</v>
      </c>
      <c r="L316" s="144">
        <v>1.5</v>
      </c>
      <c r="M316" s="144">
        <v>0.5</v>
      </c>
      <c r="N316" s="144">
        <v>0.2</v>
      </c>
      <c r="O316" s="144">
        <v>0.8</v>
      </c>
      <c r="P316" s="144">
        <v>-5.4</v>
      </c>
    </row>
    <row r="317">
      <c r="A317" s="142">
        <v>316.0</v>
      </c>
      <c r="B317" s="143" t="s">
        <v>1389</v>
      </c>
      <c r="C317" s="144" t="s">
        <v>43</v>
      </c>
      <c r="D317" s="144" t="s">
        <v>398</v>
      </c>
      <c r="E317" s="144">
        <v>38.0</v>
      </c>
      <c r="F317" s="144">
        <v>12.6</v>
      </c>
      <c r="G317" s="144" t="s">
        <v>1390</v>
      </c>
      <c r="H317" s="144" t="s">
        <v>1391</v>
      </c>
      <c r="I317" s="144">
        <v>0.4</v>
      </c>
      <c r="J317" s="144">
        <v>3.2</v>
      </c>
      <c r="K317" s="144">
        <v>1.3</v>
      </c>
      <c r="L317" s="144">
        <v>2.7</v>
      </c>
      <c r="M317" s="144">
        <v>0.7</v>
      </c>
      <c r="N317" s="144">
        <v>0.1</v>
      </c>
      <c r="O317" s="144">
        <v>0.6</v>
      </c>
      <c r="P317" s="144">
        <v>-5.42</v>
      </c>
    </row>
    <row r="318">
      <c r="A318" s="142">
        <v>317.0</v>
      </c>
      <c r="B318" s="143" t="s">
        <v>1223</v>
      </c>
      <c r="C318" s="144" t="s">
        <v>469</v>
      </c>
      <c r="D318" s="144" t="s">
        <v>449</v>
      </c>
      <c r="E318" s="144">
        <v>72.0</v>
      </c>
      <c r="F318" s="144">
        <v>18.4</v>
      </c>
      <c r="G318" s="144" t="s">
        <v>1687</v>
      </c>
      <c r="H318" s="144" t="s">
        <v>1688</v>
      </c>
      <c r="I318" s="144">
        <v>1.3</v>
      </c>
      <c r="J318" s="144">
        <v>7.1</v>
      </c>
      <c r="K318" s="144">
        <v>3.1</v>
      </c>
      <c r="L318" s="144">
        <v>0.9</v>
      </c>
      <c r="M318" s="144">
        <v>0.6</v>
      </c>
      <c r="N318" s="144">
        <v>0.2</v>
      </c>
      <c r="O318" s="144">
        <v>1.2</v>
      </c>
      <c r="P318" s="144">
        <v>-5.43</v>
      </c>
    </row>
    <row r="319">
      <c r="A319" s="142">
        <v>318.0</v>
      </c>
      <c r="B319" s="143" t="s">
        <v>1392</v>
      </c>
      <c r="C319" s="144" t="s">
        <v>469</v>
      </c>
      <c r="D319" s="144" t="s">
        <v>587</v>
      </c>
      <c r="E319" s="144">
        <v>30.0</v>
      </c>
      <c r="F319" s="144">
        <v>10.4</v>
      </c>
      <c r="G319" s="144" t="s">
        <v>1393</v>
      </c>
      <c r="H319" s="144" t="s">
        <v>1394</v>
      </c>
      <c r="I319" s="144">
        <v>0.6</v>
      </c>
      <c r="J319" s="144">
        <v>3.8</v>
      </c>
      <c r="K319" s="144">
        <v>2.6</v>
      </c>
      <c r="L319" s="144">
        <v>0.7</v>
      </c>
      <c r="M319" s="144">
        <v>0.5</v>
      </c>
      <c r="N319" s="144">
        <v>0.2</v>
      </c>
      <c r="O319" s="144">
        <v>0.3</v>
      </c>
      <c r="P319" s="144">
        <v>-5.47</v>
      </c>
    </row>
    <row r="320">
      <c r="A320" s="142">
        <v>319.0</v>
      </c>
      <c r="B320" s="143" t="s">
        <v>1398</v>
      </c>
      <c r="C320" s="144" t="s">
        <v>432</v>
      </c>
      <c r="D320" s="144" t="s">
        <v>445</v>
      </c>
      <c r="E320" s="144">
        <v>45.0</v>
      </c>
      <c r="F320" s="144">
        <v>14.3</v>
      </c>
      <c r="G320" s="144" t="s">
        <v>1399</v>
      </c>
      <c r="H320" s="144" t="s">
        <v>1400</v>
      </c>
      <c r="I320" s="144">
        <v>0.9</v>
      </c>
      <c r="J320" s="144">
        <v>4.1</v>
      </c>
      <c r="K320" s="144">
        <v>2.2</v>
      </c>
      <c r="L320" s="144">
        <v>0.8</v>
      </c>
      <c r="M320" s="144">
        <v>0.7</v>
      </c>
      <c r="N320" s="144">
        <v>0.3</v>
      </c>
      <c r="O320" s="144">
        <v>0.4</v>
      </c>
      <c r="P320" s="144">
        <v>-5.5</v>
      </c>
    </row>
    <row r="321">
      <c r="A321" s="142">
        <v>320.0</v>
      </c>
      <c r="B321" s="143" t="s">
        <v>1395</v>
      </c>
      <c r="C321" s="144" t="s">
        <v>47</v>
      </c>
      <c r="D321" s="144" t="s">
        <v>465</v>
      </c>
      <c r="E321" s="144">
        <v>62.0</v>
      </c>
      <c r="F321" s="144">
        <v>10.5</v>
      </c>
      <c r="G321" s="144" t="s">
        <v>1396</v>
      </c>
      <c r="H321" s="144" t="s">
        <v>1397</v>
      </c>
      <c r="I321" s="144">
        <v>0.1</v>
      </c>
      <c r="J321" s="144">
        <v>4.2</v>
      </c>
      <c r="K321" s="144">
        <v>2.6</v>
      </c>
      <c r="L321" s="144">
        <v>0.6</v>
      </c>
      <c r="M321" s="144">
        <v>0.2</v>
      </c>
      <c r="N321" s="144">
        <v>0.5</v>
      </c>
      <c r="O321" s="144">
        <v>0.6</v>
      </c>
      <c r="P321" s="144">
        <v>-5.5</v>
      </c>
    </row>
    <row r="322">
      <c r="A322" s="142">
        <v>321.0</v>
      </c>
      <c r="B322" s="143" t="s">
        <v>1401</v>
      </c>
      <c r="C322" s="144" t="s">
        <v>424</v>
      </c>
      <c r="D322" s="144" t="s">
        <v>457</v>
      </c>
      <c r="E322" s="144">
        <v>50.0</v>
      </c>
      <c r="F322" s="144">
        <v>14.1</v>
      </c>
      <c r="G322" s="144" t="s">
        <v>1402</v>
      </c>
      <c r="H322" s="144" t="s">
        <v>856</v>
      </c>
      <c r="I322" s="144">
        <v>1.0</v>
      </c>
      <c r="J322" s="144">
        <v>6.6</v>
      </c>
      <c r="K322" s="144">
        <v>1.3</v>
      </c>
      <c r="L322" s="144">
        <v>2.7</v>
      </c>
      <c r="M322" s="144">
        <v>0.4</v>
      </c>
      <c r="N322" s="144">
        <v>0.2</v>
      </c>
      <c r="O322" s="144">
        <v>1.0</v>
      </c>
      <c r="P322" s="144">
        <v>-5.52</v>
      </c>
    </row>
    <row r="323">
      <c r="A323" s="142">
        <v>322.0</v>
      </c>
      <c r="B323" s="143" t="s">
        <v>1406</v>
      </c>
      <c r="C323" s="144" t="s">
        <v>469</v>
      </c>
      <c r="D323" s="144" t="s">
        <v>416</v>
      </c>
      <c r="E323" s="144">
        <v>69.0</v>
      </c>
      <c r="F323" s="144">
        <v>15.8</v>
      </c>
      <c r="G323" s="144" t="s">
        <v>1407</v>
      </c>
      <c r="H323" s="144" t="s">
        <v>1408</v>
      </c>
      <c r="I323" s="144">
        <v>0.5</v>
      </c>
      <c r="J323" s="144">
        <v>6.5</v>
      </c>
      <c r="K323" s="144">
        <v>3.2</v>
      </c>
      <c r="L323" s="144">
        <v>0.9</v>
      </c>
      <c r="M323" s="144">
        <v>0.2</v>
      </c>
      <c r="N323" s="144">
        <v>0.9</v>
      </c>
      <c r="O323" s="144">
        <v>0.7</v>
      </c>
      <c r="P323" s="144">
        <v>-5.53</v>
      </c>
    </row>
    <row r="324">
      <c r="A324" s="142">
        <v>323.0</v>
      </c>
      <c r="B324" s="143" t="s">
        <v>1409</v>
      </c>
      <c r="C324" s="144" t="s">
        <v>456</v>
      </c>
      <c r="D324" s="144" t="s">
        <v>587</v>
      </c>
      <c r="E324" s="144">
        <v>64.0</v>
      </c>
      <c r="F324" s="144">
        <v>16.0</v>
      </c>
      <c r="G324" s="144" t="s">
        <v>1410</v>
      </c>
      <c r="H324" s="144" t="s">
        <v>1411</v>
      </c>
      <c r="I324" s="144">
        <v>0.5</v>
      </c>
      <c r="J324" s="144">
        <v>6.6</v>
      </c>
      <c r="K324" s="144">
        <v>4.5</v>
      </c>
      <c r="L324" s="144">
        <v>0.7</v>
      </c>
      <c r="M324" s="144">
        <v>0.4</v>
      </c>
      <c r="N324" s="144">
        <v>0.4</v>
      </c>
      <c r="O324" s="144">
        <v>0.8</v>
      </c>
      <c r="P324" s="144">
        <v>-5.53</v>
      </c>
    </row>
    <row r="325">
      <c r="A325" s="142">
        <v>324.0</v>
      </c>
      <c r="B325" s="143" t="s">
        <v>1403</v>
      </c>
      <c r="C325" s="144" t="s">
        <v>456</v>
      </c>
      <c r="D325" s="144" t="s">
        <v>445</v>
      </c>
      <c r="E325" s="144">
        <v>40.0</v>
      </c>
      <c r="F325" s="144">
        <v>10.4</v>
      </c>
      <c r="G325" s="144" t="s">
        <v>1404</v>
      </c>
      <c r="H325" s="144" t="s">
        <v>1405</v>
      </c>
      <c r="I325" s="144">
        <v>0.2</v>
      </c>
      <c r="J325" s="144">
        <v>4.4</v>
      </c>
      <c r="K325" s="144">
        <v>2.8</v>
      </c>
      <c r="L325" s="144">
        <v>0.5</v>
      </c>
      <c r="M325" s="144">
        <v>0.2</v>
      </c>
      <c r="N325" s="144">
        <v>0.6</v>
      </c>
      <c r="O325" s="144">
        <v>0.8</v>
      </c>
      <c r="P325" s="144">
        <v>-5.54</v>
      </c>
    </row>
    <row r="326">
      <c r="A326" s="142">
        <v>325.0</v>
      </c>
      <c r="B326" s="143" t="s">
        <v>1412</v>
      </c>
      <c r="C326" s="144" t="s">
        <v>432</v>
      </c>
      <c r="D326" s="144" t="s">
        <v>480</v>
      </c>
      <c r="E326" s="144">
        <v>68.0</v>
      </c>
      <c r="F326" s="144">
        <v>16.8</v>
      </c>
      <c r="G326" s="144" t="s">
        <v>1413</v>
      </c>
      <c r="H326" s="144" t="s">
        <v>1414</v>
      </c>
      <c r="I326" s="144">
        <v>1.0</v>
      </c>
      <c r="J326" s="144">
        <v>4.6</v>
      </c>
      <c r="K326" s="144">
        <v>2.6</v>
      </c>
      <c r="L326" s="144">
        <v>0.9</v>
      </c>
      <c r="M326" s="144">
        <v>0.5</v>
      </c>
      <c r="N326" s="144">
        <v>0.2</v>
      </c>
      <c r="O326" s="144">
        <v>0.7</v>
      </c>
      <c r="P326" s="144">
        <v>-5.63</v>
      </c>
    </row>
    <row r="327">
      <c r="A327" s="142">
        <v>326.0</v>
      </c>
      <c r="B327" s="143" t="s">
        <v>1415</v>
      </c>
      <c r="C327" s="144" t="s">
        <v>456</v>
      </c>
      <c r="D327" s="144" t="s">
        <v>590</v>
      </c>
      <c r="E327" s="144">
        <v>30.0</v>
      </c>
      <c r="F327" s="144">
        <v>10.4</v>
      </c>
      <c r="G327" s="144" t="s">
        <v>1416</v>
      </c>
      <c r="H327" s="144" t="s">
        <v>1417</v>
      </c>
      <c r="I327" s="144">
        <v>1.0</v>
      </c>
      <c r="J327" s="144">
        <v>5.0</v>
      </c>
      <c r="K327" s="144">
        <v>2.3</v>
      </c>
      <c r="L327" s="144">
        <v>0.5</v>
      </c>
      <c r="M327" s="144">
        <v>0.2</v>
      </c>
      <c r="N327" s="144">
        <v>0.3</v>
      </c>
      <c r="O327" s="144">
        <v>0.3</v>
      </c>
      <c r="P327" s="144">
        <v>-5.63</v>
      </c>
    </row>
    <row r="328">
      <c r="A328" s="142">
        <v>327.0</v>
      </c>
      <c r="B328" s="143" t="s">
        <v>1418</v>
      </c>
      <c r="C328" s="144" t="s">
        <v>469</v>
      </c>
      <c r="D328" s="144" t="s">
        <v>554</v>
      </c>
      <c r="E328" s="144">
        <v>58.0</v>
      </c>
      <c r="F328" s="144">
        <v>15.2</v>
      </c>
      <c r="G328" s="144" t="s">
        <v>1419</v>
      </c>
      <c r="H328" s="144" t="s">
        <v>1420</v>
      </c>
      <c r="I328" s="144">
        <v>1.4</v>
      </c>
      <c r="J328" s="144">
        <v>5.7</v>
      </c>
      <c r="K328" s="144">
        <v>1.7</v>
      </c>
      <c r="L328" s="144">
        <v>0.9</v>
      </c>
      <c r="M328" s="144">
        <v>0.3</v>
      </c>
      <c r="N328" s="144">
        <v>0.1</v>
      </c>
      <c r="O328" s="144">
        <v>0.5</v>
      </c>
      <c r="P328" s="144">
        <v>-5.64</v>
      </c>
    </row>
    <row r="329">
      <c r="A329" s="142">
        <v>328.0</v>
      </c>
      <c r="B329" s="143" t="s">
        <v>1421</v>
      </c>
      <c r="C329" s="144" t="s">
        <v>432</v>
      </c>
      <c r="D329" s="144" t="s">
        <v>487</v>
      </c>
      <c r="E329" s="144">
        <v>69.0</v>
      </c>
      <c r="F329" s="144">
        <v>18.4</v>
      </c>
      <c r="G329" s="144" t="s">
        <v>1422</v>
      </c>
      <c r="H329" s="144" t="s">
        <v>1423</v>
      </c>
      <c r="I329" s="144">
        <v>0.8</v>
      </c>
      <c r="J329" s="144">
        <v>4.6</v>
      </c>
      <c r="K329" s="144">
        <v>3.5</v>
      </c>
      <c r="L329" s="144">
        <v>0.8</v>
      </c>
      <c r="M329" s="144">
        <v>0.6</v>
      </c>
      <c r="N329" s="144">
        <v>0.3</v>
      </c>
      <c r="O329" s="144">
        <v>0.8</v>
      </c>
      <c r="P329" s="144">
        <v>-5.65</v>
      </c>
    </row>
    <row r="330">
      <c r="A330" s="142">
        <v>329.0</v>
      </c>
      <c r="B330" s="143" t="s">
        <v>1424</v>
      </c>
      <c r="C330" s="144" t="s">
        <v>45</v>
      </c>
      <c r="D330" s="144" t="s">
        <v>437</v>
      </c>
      <c r="E330" s="144">
        <v>54.0</v>
      </c>
      <c r="F330" s="144">
        <v>12.1</v>
      </c>
      <c r="G330" s="144" t="s">
        <v>1425</v>
      </c>
      <c r="H330" s="144" t="s">
        <v>1426</v>
      </c>
      <c r="I330" s="144">
        <v>0.3</v>
      </c>
      <c r="J330" s="144">
        <v>4.1</v>
      </c>
      <c r="K330" s="144">
        <v>2.2</v>
      </c>
      <c r="L330" s="144">
        <v>0.4</v>
      </c>
      <c r="M330" s="144">
        <v>0.4</v>
      </c>
      <c r="N330" s="144">
        <v>0.5</v>
      </c>
      <c r="O330" s="144">
        <v>0.4</v>
      </c>
      <c r="P330" s="144">
        <v>-5.71</v>
      </c>
    </row>
    <row r="331">
      <c r="A331" s="142">
        <v>330.0</v>
      </c>
      <c r="B331" s="143" t="s">
        <v>1427</v>
      </c>
      <c r="C331" s="144" t="s">
        <v>432</v>
      </c>
      <c r="D331" s="144" t="s">
        <v>567</v>
      </c>
      <c r="E331" s="144">
        <v>62.0</v>
      </c>
      <c r="F331" s="144">
        <v>18.4</v>
      </c>
      <c r="G331" s="144" t="s">
        <v>1428</v>
      </c>
      <c r="H331" s="144" t="s">
        <v>1414</v>
      </c>
      <c r="I331" s="144">
        <v>1.3</v>
      </c>
      <c r="J331" s="144">
        <v>5.0</v>
      </c>
      <c r="K331" s="144">
        <v>2.3</v>
      </c>
      <c r="L331" s="144">
        <v>0.8</v>
      </c>
      <c r="M331" s="144">
        <v>0.4</v>
      </c>
      <c r="N331" s="144">
        <v>0.1</v>
      </c>
      <c r="O331" s="144">
        <v>0.3</v>
      </c>
      <c r="P331" s="144">
        <v>-5.72</v>
      </c>
    </row>
    <row r="332">
      <c r="A332" s="142">
        <v>331.0</v>
      </c>
      <c r="B332" s="143" t="s">
        <v>1429</v>
      </c>
      <c r="C332" s="144" t="s">
        <v>47</v>
      </c>
      <c r="D332" s="144" t="s">
        <v>476</v>
      </c>
      <c r="E332" s="144">
        <v>38.0</v>
      </c>
      <c r="F332" s="144">
        <v>10.4</v>
      </c>
      <c r="G332" s="144" t="s">
        <v>1430</v>
      </c>
      <c r="H332" s="144" t="s">
        <v>1431</v>
      </c>
      <c r="I332" s="144">
        <v>0.0</v>
      </c>
      <c r="J332" s="144">
        <v>1.7</v>
      </c>
      <c r="K332" s="144">
        <v>2.6</v>
      </c>
      <c r="L332" s="144">
        <v>0.5</v>
      </c>
      <c r="M332" s="144">
        <v>0.6</v>
      </c>
      <c r="N332" s="144">
        <v>0.6</v>
      </c>
      <c r="O332" s="144">
        <v>0.5</v>
      </c>
      <c r="P332" s="144">
        <v>-5.75</v>
      </c>
    </row>
    <row r="333">
      <c r="A333" s="142">
        <v>332.0</v>
      </c>
      <c r="B333" s="143" t="s">
        <v>1432</v>
      </c>
      <c r="C333" s="144" t="s">
        <v>432</v>
      </c>
      <c r="D333" s="144" t="s">
        <v>480</v>
      </c>
      <c r="E333" s="144">
        <v>70.0</v>
      </c>
      <c r="F333" s="144">
        <v>19.1</v>
      </c>
      <c r="G333" s="144" t="s">
        <v>1433</v>
      </c>
      <c r="H333" s="144" t="s">
        <v>1434</v>
      </c>
      <c r="I333" s="144">
        <v>1.0</v>
      </c>
      <c r="J333" s="144">
        <v>7.1</v>
      </c>
      <c r="K333" s="144">
        <v>3.0</v>
      </c>
      <c r="L333" s="144">
        <v>0.9</v>
      </c>
      <c r="M333" s="144">
        <v>0.4</v>
      </c>
      <c r="N333" s="144">
        <v>0.3</v>
      </c>
      <c r="O333" s="144">
        <v>0.9</v>
      </c>
      <c r="P333" s="144">
        <v>-5.76</v>
      </c>
    </row>
    <row r="334">
      <c r="A334" s="142">
        <v>333.0</v>
      </c>
      <c r="B334" s="143" t="s">
        <v>1435</v>
      </c>
      <c r="C334" s="144" t="s">
        <v>469</v>
      </c>
      <c r="D334" s="144" t="s">
        <v>590</v>
      </c>
      <c r="E334" s="144">
        <v>63.0</v>
      </c>
      <c r="F334" s="144">
        <v>19.0</v>
      </c>
      <c r="G334" s="144" t="s">
        <v>1436</v>
      </c>
      <c r="H334" s="144" t="s">
        <v>1437</v>
      </c>
      <c r="I334" s="144">
        <v>1.0</v>
      </c>
      <c r="J334" s="144">
        <v>8.2</v>
      </c>
      <c r="K334" s="144">
        <v>3.0</v>
      </c>
      <c r="L334" s="144">
        <v>1.3</v>
      </c>
      <c r="M334" s="144">
        <v>0.5</v>
      </c>
      <c r="N334" s="144">
        <v>0.4</v>
      </c>
      <c r="O334" s="144">
        <v>0.8</v>
      </c>
      <c r="P334" s="144">
        <v>-5.8</v>
      </c>
    </row>
    <row r="335">
      <c r="A335" s="142">
        <v>334.0</v>
      </c>
      <c r="B335" s="143" t="s">
        <v>1438</v>
      </c>
      <c r="C335" s="144" t="s">
        <v>456</v>
      </c>
      <c r="D335" s="144" t="s">
        <v>445</v>
      </c>
      <c r="E335" s="144">
        <v>40.0</v>
      </c>
      <c r="F335" s="144">
        <v>10.4</v>
      </c>
      <c r="G335" s="144" t="s">
        <v>1439</v>
      </c>
      <c r="H335" s="144" t="s">
        <v>1440</v>
      </c>
      <c r="I335" s="144">
        <v>0.4</v>
      </c>
      <c r="J335" s="144">
        <v>4.6</v>
      </c>
      <c r="K335" s="144">
        <v>2.9</v>
      </c>
      <c r="L335" s="144">
        <v>0.5</v>
      </c>
      <c r="M335" s="144">
        <v>0.4</v>
      </c>
      <c r="N335" s="144">
        <v>0.3</v>
      </c>
      <c r="O335" s="144">
        <v>0.5</v>
      </c>
      <c r="P335" s="144">
        <v>-5.84</v>
      </c>
    </row>
    <row r="336">
      <c r="A336" s="142">
        <v>335.0</v>
      </c>
      <c r="B336" s="143" t="s">
        <v>1441</v>
      </c>
      <c r="C336" s="144" t="s">
        <v>47</v>
      </c>
      <c r="D336" s="144" t="s">
        <v>420</v>
      </c>
      <c r="E336" s="144">
        <v>40.0</v>
      </c>
      <c r="F336" s="144">
        <v>10.4</v>
      </c>
      <c r="G336" s="144" t="s">
        <v>1442</v>
      </c>
      <c r="H336" s="144" t="s">
        <v>1443</v>
      </c>
      <c r="I336" s="144">
        <v>0.0</v>
      </c>
      <c r="J336" s="144">
        <v>5.7</v>
      </c>
      <c r="K336" s="144">
        <v>2.7</v>
      </c>
      <c r="L336" s="144">
        <v>0.8</v>
      </c>
      <c r="M336" s="144">
        <v>0.2</v>
      </c>
      <c r="N336" s="144">
        <v>0.3</v>
      </c>
      <c r="O336" s="144">
        <v>0.5</v>
      </c>
      <c r="P336" s="144">
        <v>-5.91</v>
      </c>
    </row>
    <row r="337">
      <c r="A337" s="142">
        <v>336.0</v>
      </c>
      <c r="B337" s="143" t="s">
        <v>1447</v>
      </c>
      <c r="C337" s="144" t="s">
        <v>47</v>
      </c>
      <c r="D337" s="144" t="s">
        <v>473</v>
      </c>
      <c r="E337" s="144">
        <v>30.0</v>
      </c>
      <c r="F337" s="144">
        <v>9.1</v>
      </c>
      <c r="G337" s="144" t="s">
        <v>1448</v>
      </c>
      <c r="H337" s="144" t="s">
        <v>1449</v>
      </c>
      <c r="I337" s="144">
        <v>0.0</v>
      </c>
      <c r="J337" s="144">
        <v>4.0</v>
      </c>
      <c r="K337" s="144">
        <v>3.2</v>
      </c>
      <c r="L337" s="144">
        <v>0.6</v>
      </c>
      <c r="M337" s="144">
        <v>0.1</v>
      </c>
      <c r="N337" s="144">
        <v>0.7</v>
      </c>
      <c r="O337" s="144">
        <v>0.6</v>
      </c>
      <c r="P337" s="144">
        <v>-5.92</v>
      </c>
    </row>
    <row r="338">
      <c r="A338" s="142">
        <v>337.0</v>
      </c>
      <c r="B338" s="143" t="s">
        <v>1444</v>
      </c>
      <c r="C338" s="144" t="s">
        <v>47</v>
      </c>
      <c r="D338" s="144" t="s">
        <v>433</v>
      </c>
      <c r="E338" s="144">
        <v>54.0</v>
      </c>
      <c r="F338" s="144">
        <v>9.5</v>
      </c>
      <c r="G338" s="144" t="s">
        <v>1445</v>
      </c>
      <c r="H338" s="144" t="s">
        <v>1446</v>
      </c>
      <c r="I338" s="144">
        <v>0.0</v>
      </c>
      <c r="J338" s="144">
        <v>3.1</v>
      </c>
      <c r="K338" s="144">
        <v>2.4</v>
      </c>
      <c r="L338" s="144">
        <v>0.7</v>
      </c>
      <c r="M338" s="144">
        <v>0.2</v>
      </c>
      <c r="N338" s="144">
        <v>0.5</v>
      </c>
      <c r="O338" s="144">
        <v>0.3</v>
      </c>
      <c r="P338" s="144">
        <v>-5.92</v>
      </c>
    </row>
    <row r="339">
      <c r="A339" s="142">
        <v>338.0</v>
      </c>
      <c r="B339" s="143" t="s">
        <v>1450</v>
      </c>
      <c r="C339" s="144" t="s">
        <v>45</v>
      </c>
      <c r="D339" s="144" t="s">
        <v>537</v>
      </c>
      <c r="E339" s="144">
        <v>52.0</v>
      </c>
      <c r="F339" s="144">
        <v>15.0</v>
      </c>
      <c r="G339" s="144" t="s">
        <v>1451</v>
      </c>
      <c r="H339" s="144" t="s">
        <v>1452</v>
      </c>
      <c r="I339" s="144">
        <v>1.1</v>
      </c>
      <c r="J339" s="144">
        <v>6.3</v>
      </c>
      <c r="K339" s="144">
        <v>2.4</v>
      </c>
      <c r="L339" s="144">
        <v>0.5</v>
      </c>
      <c r="M339" s="144">
        <v>0.3</v>
      </c>
      <c r="N339" s="144">
        <v>0.2</v>
      </c>
      <c r="O339" s="144">
        <v>0.5</v>
      </c>
      <c r="P339" s="144">
        <v>-5.94</v>
      </c>
    </row>
    <row r="340">
      <c r="A340" s="142">
        <v>339.0</v>
      </c>
      <c r="B340" s="143" t="s">
        <v>1456</v>
      </c>
      <c r="C340" s="144" t="s">
        <v>456</v>
      </c>
      <c r="D340" s="144" t="s">
        <v>425</v>
      </c>
      <c r="E340" s="144">
        <v>26.0</v>
      </c>
      <c r="F340" s="144">
        <v>10.4</v>
      </c>
      <c r="G340" s="144" t="s">
        <v>1457</v>
      </c>
      <c r="H340" s="144" t="s">
        <v>1458</v>
      </c>
      <c r="I340" s="144">
        <v>0.3</v>
      </c>
      <c r="J340" s="144">
        <v>2.4</v>
      </c>
      <c r="K340" s="144">
        <v>3.4</v>
      </c>
      <c r="L340" s="144">
        <v>0.7</v>
      </c>
      <c r="M340" s="144">
        <v>0.5</v>
      </c>
      <c r="N340" s="144">
        <v>0.4</v>
      </c>
      <c r="O340" s="144">
        <v>0.5</v>
      </c>
      <c r="P340" s="144">
        <v>-5.95</v>
      </c>
    </row>
    <row r="341">
      <c r="A341" s="142">
        <v>340.0</v>
      </c>
      <c r="B341" s="143" t="s">
        <v>1453</v>
      </c>
      <c r="C341" s="144" t="s">
        <v>47</v>
      </c>
      <c r="D341" s="144" t="s">
        <v>416</v>
      </c>
      <c r="E341" s="144">
        <v>33.0</v>
      </c>
      <c r="F341" s="144">
        <v>10.4</v>
      </c>
      <c r="G341" s="144" t="s">
        <v>1454</v>
      </c>
      <c r="H341" s="144" t="s">
        <v>1455</v>
      </c>
      <c r="I341" s="144">
        <v>0.0</v>
      </c>
      <c r="J341" s="144">
        <v>3.5</v>
      </c>
      <c r="K341" s="144">
        <v>4.1</v>
      </c>
      <c r="L341" s="144">
        <v>0.5</v>
      </c>
      <c r="M341" s="144">
        <v>0.2</v>
      </c>
      <c r="N341" s="144">
        <v>0.5</v>
      </c>
      <c r="O341" s="144">
        <v>0.7</v>
      </c>
      <c r="P341" s="144">
        <v>-5.95</v>
      </c>
    </row>
    <row r="342">
      <c r="A342" s="142">
        <v>341.0</v>
      </c>
      <c r="B342" s="143" t="s">
        <v>1461</v>
      </c>
      <c r="C342" s="144" t="s">
        <v>469</v>
      </c>
      <c r="D342" s="144" t="s">
        <v>416</v>
      </c>
      <c r="E342" s="144">
        <v>68.0</v>
      </c>
      <c r="F342" s="144">
        <v>15.4</v>
      </c>
      <c r="G342" s="144" t="s">
        <v>1462</v>
      </c>
      <c r="H342" s="144" t="s">
        <v>1463</v>
      </c>
      <c r="I342" s="144">
        <v>1.3</v>
      </c>
      <c r="J342" s="144">
        <v>5.4</v>
      </c>
      <c r="K342" s="144">
        <v>1.4</v>
      </c>
      <c r="L342" s="144">
        <v>1.0</v>
      </c>
      <c r="M342" s="144">
        <v>0.4</v>
      </c>
      <c r="N342" s="144">
        <v>0.3</v>
      </c>
      <c r="O342" s="144">
        <v>0.5</v>
      </c>
      <c r="P342" s="144">
        <v>-5.97</v>
      </c>
    </row>
    <row r="343">
      <c r="A343" s="142">
        <v>342.0</v>
      </c>
      <c r="B343" s="143" t="s">
        <v>1459</v>
      </c>
      <c r="C343" s="144" t="s">
        <v>46</v>
      </c>
      <c r="D343" s="144" t="s">
        <v>503</v>
      </c>
      <c r="E343" s="144">
        <v>48.0</v>
      </c>
      <c r="F343" s="144">
        <v>11.5</v>
      </c>
      <c r="G343" s="144" t="s">
        <v>1404</v>
      </c>
      <c r="H343" s="144" t="s">
        <v>1460</v>
      </c>
      <c r="I343" s="144">
        <v>0.2</v>
      </c>
      <c r="J343" s="144">
        <v>4.7</v>
      </c>
      <c r="K343" s="144">
        <v>2.5</v>
      </c>
      <c r="L343" s="144">
        <v>1.2</v>
      </c>
      <c r="M343" s="144">
        <v>0.3</v>
      </c>
      <c r="N343" s="144">
        <v>0.2</v>
      </c>
      <c r="O343" s="144">
        <v>0.7</v>
      </c>
      <c r="P343" s="144">
        <v>-5.97</v>
      </c>
    </row>
    <row r="344">
      <c r="A344" s="142">
        <v>343.0</v>
      </c>
      <c r="B344" s="143" t="s">
        <v>1464</v>
      </c>
      <c r="C344" s="144" t="s">
        <v>469</v>
      </c>
      <c r="D344" s="144" t="s">
        <v>441</v>
      </c>
      <c r="E344" s="144">
        <v>68.0</v>
      </c>
      <c r="F344" s="144">
        <v>16.0</v>
      </c>
      <c r="G344" s="144" t="s">
        <v>1465</v>
      </c>
      <c r="H344" s="144" t="s">
        <v>1466</v>
      </c>
      <c r="I344" s="144">
        <v>1.0</v>
      </c>
      <c r="J344" s="144">
        <v>6.0</v>
      </c>
      <c r="K344" s="144">
        <v>2.1</v>
      </c>
      <c r="L344" s="144">
        <v>0.8</v>
      </c>
      <c r="M344" s="144">
        <v>0.3</v>
      </c>
      <c r="N344" s="144">
        <v>0.2</v>
      </c>
      <c r="O344" s="144">
        <v>0.5</v>
      </c>
      <c r="P344" s="144">
        <v>-5.99</v>
      </c>
    </row>
    <row r="345">
      <c r="A345" s="142">
        <v>344.0</v>
      </c>
      <c r="B345" s="143" t="s">
        <v>1467</v>
      </c>
      <c r="C345" s="144" t="s">
        <v>469</v>
      </c>
      <c r="D345" s="144" t="s">
        <v>425</v>
      </c>
      <c r="E345" s="144">
        <v>60.0</v>
      </c>
      <c r="F345" s="144">
        <v>14.0</v>
      </c>
      <c r="G345" s="144" t="s">
        <v>1468</v>
      </c>
      <c r="H345" s="144" t="s">
        <v>1469</v>
      </c>
      <c r="I345" s="144">
        <v>0.5</v>
      </c>
      <c r="J345" s="144">
        <v>5.1</v>
      </c>
      <c r="K345" s="144">
        <v>2.2</v>
      </c>
      <c r="L345" s="144">
        <v>0.8</v>
      </c>
      <c r="M345" s="144">
        <v>0.4</v>
      </c>
      <c r="N345" s="144">
        <v>0.1</v>
      </c>
      <c r="O345" s="144">
        <v>0.6</v>
      </c>
      <c r="P345" s="144">
        <v>-6.07</v>
      </c>
    </row>
    <row r="346">
      <c r="A346" s="142">
        <v>345.0</v>
      </c>
      <c r="B346" s="143" t="s">
        <v>1470</v>
      </c>
      <c r="C346" s="144" t="s">
        <v>46</v>
      </c>
      <c r="D346" s="144" t="s">
        <v>476</v>
      </c>
      <c r="E346" s="144">
        <v>68.0</v>
      </c>
      <c r="F346" s="144">
        <v>15.9</v>
      </c>
      <c r="G346" s="144" t="s">
        <v>1471</v>
      </c>
      <c r="H346" s="144" t="s">
        <v>1472</v>
      </c>
      <c r="I346" s="144">
        <v>1.2</v>
      </c>
      <c r="J346" s="144">
        <v>5.6</v>
      </c>
      <c r="K346" s="144">
        <v>1.6</v>
      </c>
      <c r="L346" s="144">
        <v>1.0</v>
      </c>
      <c r="M346" s="144">
        <v>0.4</v>
      </c>
      <c r="N346" s="144">
        <v>0.1</v>
      </c>
      <c r="O346" s="144">
        <v>0.6</v>
      </c>
      <c r="P346" s="144">
        <v>-6.07</v>
      </c>
    </row>
    <row r="347">
      <c r="A347" s="142">
        <v>346.0</v>
      </c>
      <c r="B347" s="143" t="s">
        <v>1473</v>
      </c>
      <c r="C347" s="144" t="s">
        <v>424</v>
      </c>
      <c r="D347" s="144" t="s">
        <v>503</v>
      </c>
      <c r="E347" s="144">
        <v>43.0</v>
      </c>
      <c r="F347" s="144">
        <v>11.5</v>
      </c>
      <c r="G347" s="144" t="s">
        <v>1474</v>
      </c>
      <c r="H347" s="144" t="s">
        <v>1475</v>
      </c>
      <c r="I347" s="144">
        <v>0.2</v>
      </c>
      <c r="J347" s="144">
        <v>3.9</v>
      </c>
      <c r="K347" s="144">
        <v>1.5</v>
      </c>
      <c r="L347" s="144">
        <v>2.3</v>
      </c>
      <c r="M347" s="144">
        <v>0.7</v>
      </c>
      <c r="N347" s="144">
        <v>0.2</v>
      </c>
      <c r="O347" s="144">
        <v>0.8</v>
      </c>
      <c r="P347" s="144">
        <v>-6.08</v>
      </c>
    </row>
    <row r="348">
      <c r="A348" s="142">
        <v>347.0</v>
      </c>
      <c r="B348" s="143" t="s">
        <v>1476</v>
      </c>
      <c r="C348" s="144" t="s">
        <v>47</v>
      </c>
      <c r="D348" s="144" t="s">
        <v>437</v>
      </c>
      <c r="E348" s="144">
        <v>10.0</v>
      </c>
      <c r="F348" s="144">
        <v>7.4</v>
      </c>
      <c r="G348" s="144" t="s">
        <v>1477</v>
      </c>
      <c r="H348" s="144" t="s">
        <v>1478</v>
      </c>
      <c r="I348" s="144">
        <v>0.0</v>
      </c>
      <c r="J348" s="144">
        <v>4.2</v>
      </c>
      <c r="K348" s="144">
        <v>3.0</v>
      </c>
      <c r="L348" s="144">
        <v>0.3</v>
      </c>
      <c r="M348" s="144">
        <v>0.1</v>
      </c>
      <c r="N348" s="144">
        <v>0.5</v>
      </c>
      <c r="O348" s="144">
        <v>0.7</v>
      </c>
      <c r="P348" s="144">
        <v>-6.15</v>
      </c>
    </row>
    <row r="349">
      <c r="A349" s="142">
        <v>348.0</v>
      </c>
      <c r="B349" s="143" t="s">
        <v>1479</v>
      </c>
      <c r="C349" s="144" t="s">
        <v>46</v>
      </c>
      <c r="D349" s="144" t="s">
        <v>491</v>
      </c>
      <c r="E349" s="144">
        <v>30.0</v>
      </c>
      <c r="F349" s="144">
        <v>11.2</v>
      </c>
      <c r="G349" s="144" t="s">
        <v>1480</v>
      </c>
      <c r="H349" s="144" t="s">
        <v>1481</v>
      </c>
      <c r="I349" s="144">
        <v>1.0</v>
      </c>
      <c r="J349" s="144">
        <v>6.0</v>
      </c>
      <c r="K349" s="144">
        <v>2.1</v>
      </c>
      <c r="L349" s="144">
        <v>0.4</v>
      </c>
      <c r="M349" s="144">
        <v>0.3</v>
      </c>
      <c r="N349" s="144">
        <v>0.2</v>
      </c>
      <c r="O349" s="144">
        <v>0.4</v>
      </c>
      <c r="P349" s="144">
        <v>-6.17</v>
      </c>
    </row>
    <row r="350">
      <c r="A350" s="142">
        <v>349.0</v>
      </c>
      <c r="B350" s="143" t="s">
        <v>1482</v>
      </c>
      <c r="C350" s="144" t="s">
        <v>432</v>
      </c>
      <c r="D350" s="144" t="s">
        <v>567</v>
      </c>
      <c r="E350" s="144">
        <v>40.0</v>
      </c>
      <c r="F350" s="144">
        <v>14.5</v>
      </c>
      <c r="G350" s="144" t="s">
        <v>1483</v>
      </c>
      <c r="H350" s="144" t="s">
        <v>1484</v>
      </c>
      <c r="I350" s="144">
        <v>1.3</v>
      </c>
      <c r="J350" s="144">
        <v>7.1</v>
      </c>
      <c r="K350" s="144">
        <v>1.5</v>
      </c>
      <c r="L350" s="144">
        <v>0.9</v>
      </c>
      <c r="M350" s="144">
        <v>0.2</v>
      </c>
      <c r="N350" s="144">
        <v>0.1</v>
      </c>
      <c r="O350" s="144">
        <v>0.6</v>
      </c>
      <c r="P350" s="144">
        <v>-6.19</v>
      </c>
    </row>
    <row r="351">
      <c r="A351" s="142">
        <v>350.0</v>
      </c>
      <c r="B351" s="143" t="s">
        <v>1485</v>
      </c>
      <c r="C351" s="144" t="s">
        <v>456</v>
      </c>
      <c r="D351" s="144" t="s">
        <v>465</v>
      </c>
      <c r="E351" s="144">
        <v>11.0</v>
      </c>
      <c r="F351" s="144">
        <v>10.1</v>
      </c>
      <c r="G351" s="144" t="s">
        <v>1486</v>
      </c>
      <c r="H351" s="144" t="s">
        <v>1487</v>
      </c>
      <c r="I351" s="144">
        <v>0.4</v>
      </c>
      <c r="J351" s="144">
        <v>3.7</v>
      </c>
      <c r="K351" s="144">
        <v>2.4</v>
      </c>
      <c r="L351" s="144">
        <v>0.4</v>
      </c>
      <c r="M351" s="144">
        <v>0.5</v>
      </c>
      <c r="N351" s="144">
        <v>0.4</v>
      </c>
      <c r="O351" s="144">
        <v>0.1</v>
      </c>
      <c r="P351" s="144">
        <v>-6.19</v>
      </c>
    </row>
    <row r="352">
      <c r="A352" s="142">
        <v>351.0</v>
      </c>
      <c r="B352" s="143" t="s">
        <v>1488</v>
      </c>
      <c r="C352" s="144" t="s">
        <v>456</v>
      </c>
      <c r="D352" s="144" t="s">
        <v>461</v>
      </c>
      <c r="E352" s="144">
        <v>40.0</v>
      </c>
      <c r="F352" s="144">
        <v>10.5</v>
      </c>
      <c r="G352" s="144" t="s">
        <v>1489</v>
      </c>
      <c r="H352" s="144" t="s">
        <v>1490</v>
      </c>
      <c r="I352" s="144">
        <v>0.1</v>
      </c>
      <c r="J352" s="144">
        <v>3.1</v>
      </c>
      <c r="K352" s="144">
        <v>2.3</v>
      </c>
      <c r="L352" s="144">
        <v>0.3</v>
      </c>
      <c r="M352" s="144">
        <v>0.3</v>
      </c>
      <c r="N352" s="144">
        <v>0.6</v>
      </c>
      <c r="O352" s="144">
        <v>0.6</v>
      </c>
      <c r="P352" s="144">
        <v>-6.28</v>
      </c>
    </row>
    <row r="353">
      <c r="A353" s="142">
        <v>352.0</v>
      </c>
      <c r="B353" s="143" t="s">
        <v>1491</v>
      </c>
      <c r="C353" s="144" t="s">
        <v>43</v>
      </c>
      <c r="D353" s="144" t="s">
        <v>480</v>
      </c>
      <c r="E353" s="144">
        <v>20.0</v>
      </c>
      <c r="F353" s="144">
        <v>10.3</v>
      </c>
      <c r="G353" s="144" t="s">
        <v>1492</v>
      </c>
      <c r="H353" s="144" t="s">
        <v>1493</v>
      </c>
      <c r="I353" s="144">
        <v>0.6</v>
      </c>
      <c r="J353" s="144">
        <v>5.0</v>
      </c>
      <c r="K353" s="144">
        <v>1.3</v>
      </c>
      <c r="L353" s="144">
        <v>1.6</v>
      </c>
      <c r="M353" s="144">
        <v>0.3</v>
      </c>
      <c r="N353" s="144">
        <v>0.2</v>
      </c>
      <c r="O353" s="144">
        <v>0.7</v>
      </c>
      <c r="P353" s="144">
        <v>-6.31</v>
      </c>
    </row>
    <row r="354">
      <c r="A354" s="142">
        <v>353.0</v>
      </c>
      <c r="B354" s="143" t="s">
        <v>1494</v>
      </c>
      <c r="C354" s="144" t="s">
        <v>469</v>
      </c>
      <c r="D354" s="144" t="s">
        <v>533</v>
      </c>
      <c r="E354" s="144">
        <v>48.0</v>
      </c>
      <c r="F354" s="144">
        <v>10.5</v>
      </c>
      <c r="G354" s="144" t="s">
        <v>1495</v>
      </c>
      <c r="H354" s="144" t="s">
        <v>1496</v>
      </c>
      <c r="I354" s="144">
        <v>0.4</v>
      </c>
      <c r="J354" s="144">
        <v>4.2</v>
      </c>
      <c r="K354" s="144">
        <v>1.8</v>
      </c>
      <c r="L354" s="144">
        <v>1.1</v>
      </c>
      <c r="M354" s="144">
        <v>0.6</v>
      </c>
      <c r="N354" s="144">
        <v>0.3</v>
      </c>
      <c r="O354" s="144">
        <v>0.4</v>
      </c>
      <c r="P354" s="144">
        <v>-6.45</v>
      </c>
    </row>
    <row r="355">
      <c r="A355" s="142">
        <v>354.0</v>
      </c>
      <c r="B355" s="143" t="s">
        <v>1500</v>
      </c>
      <c r="C355" s="144" t="s">
        <v>43</v>
      </c>
      <c r="D355" s="144" t="s">
        <v>445</v>
      </c>
      <c r="E355" s="144">
        <v>10.0</v>
      </c>
      <c r="F355" s="144">
        <v>10.4</v>
      </c>
      <c r="G355" s="144" t="s">
        <v>1501</v>
      </c>
      <c r="H355" s="144" t="s">
        <v>1502</v>
      </c>
      <c r="I355" s="144">
        <v>0.3</v>
      </c>
      <c r="J355" s="144">
        <v>3.9</v>
      </c>
      <c r="K355" s="144">
        <v>1.4</v>
      </c>
      <c r="L355" s="144">
        <v>1.9</v>
      </c>
      <c r="M355" s="144">
        <v>0.6</v>
      </c>
      <c r="N355" s="144">
        <v>0.1</v>
      </c>
      <c r="O355" s="144">
        <v>0.6</v>
      </c>
      <c r="P355" s="144">
        <v>-6.47</v>
      </c>
    </row>
    <row r="356">
      <c r="A356" s="142">
        <v>355.0</v>
      </c>
      <c r="B356" s="143" t="s">
        <v>1497</v>
      </c>
      <c r="C356" s="144" t="s">
        <v>456</v>
      </c>
      <c r="D356" s="144" t="s">
        <v>547</v>
      </c>
      <c r="E356" s="144">
        <v>31.0</v>
      </c>
      <c r="F356" s="144">
        <v>10.6</v>
      </c>
      <c r="G356" s="144" t="s">
        <v>1498</v>
      </c>
      <c r="H356" s="144" t="s">
        <v>1499</v>
      </c>
      <c r="I356" s="144">
        <v>0.0</v>
      </c>
      <c r="J356" s="144">
        <v>2.1</v>
      </c>
      <c r="K356" s="144">
        <v>3.2</v>
      </c>
      <c r="L356" s="144">
        <v>0.4</v>
      </c>
      <c r="M356" s="144">
        <v>0.2</v>
      </c>
      <c r="N356" s="144">
        <v>0.4</v>
      </c>
      <c r="O356" s="144">
        <v>0.4</v>
      </c>
      <c r="P356" s="144">
        <v>-6.47</v>
      </c>
    </row>
    <row r="357">
      <c r="A357" s="142">
        <v>356.0</v>
      </c>
      <c r="B357" s="143" t="s">
        <v>1503</v>
      </c>
      <c r="C357" s="144" t="s">
        <v>46</v>
      </c>
      <c r="D357" s="144" t="s">
        <v>416</v>
      </c>
      <c r="E357" s="144">
        <v>67.0</v>
      </c>
      <c r="F357" s="144">
        <v>12.2</v>
      </c>
      <c r="G357" s="144" t="s">
        <v>1504</v>
      </c>
      <c r="H357" s="144" t="s">
        <v>1505</v>
      </c>
      <c r="I357" s="144">
        <v>0.9</v>
      </c>
      <c r="J357" s="144">
        <v>5.6</v>
      </c>
      <c r="K357" s="144">
        <v>1.9</v>
      </c>
      <c r="L357" s="144">
        <v>0.4</v>
      </c>
      <c r="M357" s="144">
        <v>0.2</v>
      </c>
      <c r="N357" s="144">
        <v>0.2</v>
      </c>
      <c r="O357" s="144">
        <v>0.4</v>
      </c>
      <c r="P357" s="144">
        <v>-6.47</v>
      </c>
    </row>
    <row r="358">
      <c r="A358" s="142">
        <v>357.0</v>
      </c>
      <c r="B358" s="143" t="s">
        <v>1506</v>
      </c>
      <c r="C358" s="144" t="s">
        <v>47</v>
      </c>
      <c r="D358" s="144" t="s">
        <v>619</v>
      </c>
      <c r="E358" s="144">
        <v>30.0</v>
      </c>
      <c r="F358" s="144">
        <v>8.4</v>
      </c>
      <c r="G358" s="144" t="s">
        <v>1507</v>
      </c>
      <c r="H358" s="144" t="s">
        <v>1508</v>
      </c>
      <c r="I358" s="144">
        <v>0.2</v>
      </c>
      <c r="J358" s="144">
        <v>3.7</v>
      </c>
      <c r="K358" s="144">
        <v>2.3</v>
      </c>
      <c r="L358" s="144">
        <v>0.7</v>
      </c>
      <c r="M358" s="144">
        <v>0.3</v>
      </c>
      <c r="N358" s="144">
        <v>0.5</v>
      </c>
      <c r="O358" s="144">
        <v>0.5</v>
      </c>
      <c r="P358" s="144">
        <v>-6.5</v>
      </c>
    </row>
    <row r="359">
      <c r="A359" s="142">
        <v>358.0</v>
      </c>
      <c r="B359" s="143" t="s">
        <v>1509</v>
      </c>
      <c r="C359" s="144" t="s">
        <v>456</v>
      </c>
      <c r="D359" s="144" t="s">
        <v>507</v>
      </c>
      <c r="E359" s="144">
        <v>10.0</v>
      </c>
      <c r="F359" s="144">
        <v>8.4</v>
      </c>
      <c r="G359" s="144" t="s">
        <v>1510</v>
      </c>
      <c r="H359" s="144" t="s">
        <v>1511</v>
      </c>
      <c r="I359" s="144">
        <v>0.4</v>
      </c>
      <c r="J359" s="144">
        <v>3.7</v>
      </c>
      <c r="K359" s="144">
        <v>2.5</v>
      </c>
      <c r="L359" s="144">
        <v>0.4</v>
      </c>
      <c r="M359" s="144">
        <v>0.2</v>
      </c>
      <c r="N359" s="144">
        <v>0.1</v>
      </c>
      <c r="O359" s="144">
        <v>0.3</v>
      </c>
      <c r="P359" s="144">
        <v>-6.53</v>
      </c>
    </row>
    <row r="360">
      <c r="A360" s="142">
        <v>359.0</v>
      </c>
      <c r="B360" s="143" t="s">
        <v>1512</v>
      </c>
      <c r="C360" s="144" t="s">
        <v>45</v>
      </c>
      <c r="D360" s="144" t="s">
        <v>433</v>
      </c>
      <c r="E360" s="144">
        <v>60.0</v>
      </c>
      <c r="F360" s="144">
        <v>15.4</v>
      </c>
      <c r="G360" s="144" t="s">
        <v>1513</v>
      </c>
      <c r="H360" s="144" t="s">
        <v>1514</v>
      </c>
      <c r="I360" s="144">
        <v>0.6</v>
      </c>
      <c r="J360" s="144">
        <v>6.3</v>
      </c>
      <c r="K360" s="144">
        <v>1.9</v>
      </c>
      <c r="L360" s="144">
        <v>1.3</v>
      </c>
      <c r="M360" s="144">
        <v>0.5</v>
      </c>
      <c r="N360" s="144">
        <v>0.1</v>
      </c>
      <c r="O360" s="144">
        <v>1.2</v>
      </c>
      <c r="P360" s="144">
        <v>-6.54</v>
      </c>
    </row>
    <row r="361">
      <c r="A361" s="142">
        <v>360.0</v>
      </c>
      <c r="B361" s="143" t="s">
        <v>1515</v>
      </c>
      <c r="C361" s="144" t="s">
        <v>469</v>
      </c>
      <c r="D361" s="144" t="s">
        <v>473</v>
      </c>
      <c r="E361" s="144">
        <v>30.0</v>
      </c>
      <c r="F361" s="144">
        <v>11.4</v>
      </c>
      <c r="G361" s="144" t="s">
        <v>1516</v>
      </c>
      <c r="H361" s="144" t="s">
        <v>1517</v>
      </c>
      <c r="I361" s="144">
        <v>1.0</v>
      </c>
      <c r="J361" s="144">
        <v>4.4</v>
      </c>
      <c r="K361" s="144">
        <v>1.3</v>
      </c>
      <c r="L361" s="144">
        <v>0.4</v>
      </c>
      <c r="M361" s="144">
        <v>0.4</v>
      </c>
      <c r="N361" s="144">
        <v>0.1</v>
      </c>
      <c r="O361" s="144">
        <v>0.3</v>
      </c>
      <c r="P361" s="144">
        <v>-6.6</v>
      </c>
    </row>
    <row r="362">
      <c r="A362" s="142">
        <v>361.0</v>
      </c>
      <c r="B362" s="143" t="s">
        <v>1518</v>
      </c>
      <c r="C362" s="144" t="s">
        <v>456</v>
      </c>
      <c r="D362" s="144" t="s">
        <v>480</v>
      </c>
      <c r="E362" s="144">
        <v>34.0</v>
      </c>
      <c r="F362" s="144">
        <v>10.1</v>
      </c>
      <c r="G362" s="144" t="s">
        <v>1519</v>
      </c>
      <c r="H362" s="144" t="s">
        <v>1520</v>
      </c>
      <c r="I362" s="144">
        <v>0.4</v>
      </c>
      <c r="J362" s="144">
        <v>7.0</v>
      </c>
      <c r="K362" s="144">
        <v>3.0</v>
      </c>
      <c r="L362" s="144">
        <v>1.2</v>
      </c>
      <c r="M362" s="144">
        <v>0.3</v>
      </c>
      <c r="N362" s="144">
        <v>0.1</v>
      </c>
      <c r="O362" s="144">
        <v>0.7</v>
      </c>
      <c r="P362" s="144">
        <v>-6.62</v>
      </c>
    </row>
    <row r="363">
      <c r="A363" s="142">
        <v>362.0</v>
      </c>
      <c r="B363" s="143" t="s">
        <v>1521</v>
      </c>
      <c r="C363" s="144" t="s">
        <v>424</v>
      </c>
      <c r="D363" s="144" t="s">
        <v>567</v>
      </c>
      <c r="E363" s="144">
        <v>20.0</v>
      </c>
      <c r="F363" s="144">
        <v>11.4</v>
      </c>
      <c r="G363" s="144" t="s">
        <v>1522</v>
      </c>
      <c r="H363" s="144" t="s">
        <v>1523</v>
      </c>
      <c r="I363" s="144">
        <v>1.0</v>
      </c>
      <c r="J363" s="144">
        <v>4.7</v>
      </c>
      <c r="K363" s="144">
        <v>1.0</v>
      </c>
      <c r="L363" s="144">
        <v>1.7</v>
      </c>
      <c r="M363" s="144">
        <v>0.4</v>
      </c>
      <c r="N363" s="144">
        <v>0.1</v>
      </c>
      <c r="O363" s="144">
        <v>0.5</v>
      </c>
      <c r="P363" s="144">
        <v>-6.64</v>
      </c>
    </row>
    <row r="364">
      <c r="A364" s="142">
        <v>363.0</v>
      </c>
      <c r="B364" s="143" t="s">
        <v>1524</v>
      </c>
      <c r="C364" s="144" t="s">
        <v>456</v>
      </c>
      <c r="D364" s="144" t="s">
        <v>503</v>
      </c>
      <c r="E364" s="144">
        <v>33.0</v>
      </c>
      <c r="F364" s="144">
        <v>10.5</v>
      </c>
      <c r="G364" s="144" t="s">
        <v>1525</v>
      </c>
      <c r="H364" s="144" t="s">
        <v>1526</v>
      </c>
      <c r="I364" s="144">
        <v>0.4</v>
      </c>
      <c r="J364" s="144">
        <v>4.2</v>
      </c>
      <c r="K364" s="144">
        <v>2.4</v>
      </c>
      <c r="L364" s="144">
        <v>0.6</v>
      </c>
      <c r="M364" s="144">
        <v>0.3</v>
      </c>
      <c r="N364" s="144">
        <v>0.4</v>
      </c>
      <c r="O364" s="144">
        <v>0.5</v>
      </c>
      <c r="P364" s="144">
        <v>-6.64</v>
      </c>
    </row>
    <row r="365">
      <c r="A365" s="142">
        <v>364.0</v>
      </c>
      <c r="B365" s="143" t="s">
        <v>1527</v>
      </c>
      <c r="C365" s="144" t="s">
        <v>456</v>
      </c>
      <c r="D365" s="144" t="s">
        <v>587</v>
      </c>
      <c r="E365" s="144">
        <v>20.0</v>
      </c>
      <c r="F365" s="144">
        <v>8.4</v>
      </c>
      <c r="G365" s="144" t="s">
        <v>1528</v>
      </c>
      <c r="H365" s="144" t="s">
        <v>1529</v>
      </c>
      <c r="I365" s="144">
        <v>0.1</v>
      </c>
      <c r="J365" s="144">
        <v>2.9</v>
      </c>
      <c r="K365" s="144">
        <v>1.9</v>
      </c>
      <c r="L365" s="144">
        <v>0.9</v>
      </c>
      <c r="M365" s="144">
        <v>0.6</v>
      </c>
      <c r="N365" s="144">
        <v>0.1</v>
      </c>
      <c r="O365" s="144">
        <v>0.5</v>
      </c>
      <c r="P365" s="144">
        <v>-6.66</v>
      </c>
    </row>
    <row r="366">
      <c r="A366" s="142">
        <v>365.0</v>
      </c>
      <c r="B366" s="143" t="s">
        <v>1530</v>
      </c>
      <c r="C366" s="144" t="s">
        <v>424</v>
      </c>
      <c r="D366" s="144" t="s">
        <v>465</v>
      </c>
      <c r="E366" s="144">
        <v>40.0</v>
      </c>
      <c r="F366" s="144">
        <v>10.5</v>
      </c>
      <c r="G366" s="144" t="s">
        <v>1531</v>
      </c>
      <c r="H366" s="144" t="s">
        <v>1532</v>
      </c>
      <c r="I366" s="144">
        <v>0.6</v>
      </c>
      <c r="J366" s="144">
        <v>4.3</v>
      </c>
      <c r="K366" s="144">
        <v>1.0</v>
      </c>
      <c r="L366" s="144">
        <v>1.6</v>
      </c>
      <c r="M366" s="144">
        <v>0.4</v>
      </c>
      <c r="N366" s="144">
        <v>0.1</v>
      </c>
      <c r="O366" s="144">
        <v>0.4</v>
      </c>
      <c r="P366" s="144">
        <v>-6.67</v>
      </c>
    </row>
    <row r="367">
      <c r="A367" s="142">
        <v>366.0</v>
      </c>
      <c r="B367" s="143" t="s">
        <v>1536</v>
      </c>
      <c r="C367" s="144" t="s">
        <v>43</v>
      </c>
      <c r="D367" s="144" t="s">
        <v>603</v>
      </c>
      <c r="E367" s="144">
        <v>33.0</v>
      </c>
      <c r="F367" s="144">
        <v>10.5</v>
      </c>
      <c r="G367" s="144" t="s">
        <v>1537</v>
      </c>
      <c r="H367" s="144" t="s">
        <v>1538</v>
      </c>
      <c r="I367" s="144">
        <v>0.5</v>
      </c>
      <c r="J367" s="144">
        <v>4.7</v>
      </c>
      <c r="K367" s="144">
        <v>1.3</v>
      </c>
      <c r="L367" s="144">
        <v>1.3</v>
      </c>
      <c r="M367" s="144">
        <v>0.4</v>
      </c>
      <c r="N367" s="144">
        <v>0.1</v>
      </c>
      <c r="O367" s="144">
        <v>0.7</v>
      </c>
      <c r="P367" s="144">
        <v>-6.73</v>
      </c>
    </row>
    <row r="368">
      <c r="A368" s="142">
        <v>367.0</v>
      </c>
      <c r="B368" s="143" t="s">
        <v>1533</v>
      </c>
      <c r="C368" s="144" t="s">
        <v>47</v>
      </c>
      <c r="D368" s="144" t="s">
        <v>445</v>
      </c>
      <c r="E368" s="144">
        <v>10.0</v>
      </c>
      <c r="F368" s="144">
        <v>8.4</v>
      </c>
      <c r="G368" s="144" t="s">
        <v>1534</v>
      </c>
      <c r="H368" s="144" t="s">
        <v>1535</v>
      </c>
      <c r="I368" s="144">
        <v>0.0</v>
      </c>
      <c r="J368" s="144">
        <v>3.1</v>
      </c>
      <c r="K368" s="144">
        <v>2.9</v>
      </c>
      <c r="L368" s="144">
        <v>0.2</v>
      </c>
      <c r="M368" s="144">
        <v>0.1</v>
      </c>
      <c r="N368" s="144">
        <v>0.4</v>
      </c>
      <c r="O368" s="144">
        <v>0.5</v>
      </c>
      <c r="P368" s="144">
        <v>-6.73</v>
      </c>
    </row>
    <row r="369">
      <c r="A369" s="142">
        <v>368.0</v>
      </c>
      <c r="B369" s="143" t="s">
        <v>1539</v>
      </c>
      <c r="C369" s="144" t="s">
        <v>47</v>
      </c>
      <c r="D369" s="144" t="s">
        <v>507</v>
      </c>
      <c r="E369" s="144">
        <v>30.0</v>
      </c>
      <c r="F369" s="144">
        <v>8.4</v>
      </c>
      <c r="G369" s="144" t="s">
        <v>1540</v>
      </c>
      <c r="H369" s="144" t="s">
        <v>1541</v>
      </c>
      <c r="I369" s="144">
        <v>0.0</v>
      </c>
      <c r="J369" s="144">
        <v>3.6</v>
      </c>
      <c r="K369" s="144">
        <v>3.4</v>
      </c>
      <c r="L369" s="144">
        <v>0.6</v>
      </c>
      <c r="M369" s="144">
        <v>0.2</v>
      </c>
      <c r="N369" s="144">
        <v>0.2</v>
      </c>
      <c r="O369" s="144">
        <v>0.5</v>
      </c>
      <c r="P369" s="144">
        <v>-6.86</v>
      </c>
    </row>
    <row r="370">
      <c r="A370" s="142">
        <v>369.0</v>
      </c>
      <c r="B370" s="143" t="s">
        <v>1542</v>
      </c>
      <c r="C370" s="144" t="s">
        <v>424</v>
      </c>
      <c r="D370" s="144" t="s">
        <v>590</v>
      </c>
      <c r="E370" s="144">
        <v>50.0</v>
      </c>
      <c r="F370" s="144">
        <v>11.4</v>
      </c>
      <c r="G370" s="144" t="s">
        <v>1543</v>
      </c>
      <c r="H370" s="144" t="s">
        <v>1246</v>
      </c>
      <c r="I370" s="144">
        <v>1.0</v>
      </c>
      <c r="J370" s="144">
        <v>4.7</v>
      </c>
      <c r="K370" s="144">
        <v>1.0</v>
      </c>
      <c r="L370" s="144">
        <v>1.0</v>
      </c>
      <c r="M370" s="144">
        <v>0.3</v>
      </c>
      <c r="N370" s="144">
        <v>0.1</v>
      </c>
      <c r="O370" s="144">
        <v>0.4</v>
      </c>
      <c r="P370" s="144">
        <v>-6.92</v>
      </c>
    </row>
    <row r="371">
      <c r="A371" s="142">
        <v>370.0</v>
      </c>
      <c r="B371" s="143" t="s">
        <v>1547</v>
      </c>
      <c r="C371" s="144" t="s">
        <v>43</v>
      </c>
      <c r="D371" s="144" t="s">
        <v>461</v>
      </c>
      <c r="E371" s="144">
        <v>32.0</v>
      </c>
      <c r="F371" s="144">
        <v>12.5</v>
      </c>
      <c r="G371" s="144" t="s">
        <v>1548</v>
      </c>
      <c r="H371" s="144" t="s">
        <v>1549</v>
      </c>
      <c r="I371" s="144">
        <v>0.5</v>
      </c>
      <c r="J371" s="144">
        <v>3.7</v>
      </c>
      <c r="K371" s="144">
        <v>1.4</v>
      </c>
      <c r="L371" s="144">
        <v>1.2</v>
      </c>
      <c r="M371" s="144">
        <v>0.4</v>
      </c>
      <c r="N371" s="144">
        <v>0.1</v>
      </c>
      <c r="O371" s="144">
        <v>0.6</v>
      </c>
      <c r="P371" s="144">
        <v>-6.96</v>
      </c>
    </row>
    <row r="372">
      <c r="A372" s="142">
        <v>371.0</v>
      </c>
      <c r="B372" s="143" t="s">
        <v>1544</v>
      </c>
      <c r="C372" s="144" t="s">
        <v>46</v>
      </c>
      <c r="D372" s="144" t="s">
        <v>441</v>
      </c>
      <c r="E372" s="144">
        <v>58.0</v>
      </c>
      <c r="F372" s="144">
        <v>9.5</v>
      </c>
      <c r="G372" s="144" t="s">
        <v>1545</v>
      </c>
      <c r="H372" s="144" t="s">
        <v>1546</v>
      </c>
      <c r="I372" s="144">
        <v>0.0</v>
      </c>
      <c r="J372" s="144">
        <v>3.8</v>
      </c>
      <c r="K372" s="144">
        <v>2.2</v>
      </c>
      <c r="L372" s="144">
        <v>1.4</v>
      </c>
      <c r="M372" s="144">
        <v>0.2</v>
      </c>
      <c r="N372" s="144">
        <v>0.2</v>
      </c>
      <c r="O372" s="144">
        <v>0.6</v>
      </c>
      <c r="P372" s="144">
        <v>-6.96</v>
      </c>
    </row>
    <row r="373">
      <c r="A373" s="142">
        <v>372.0</v>
      </c>
      <c r="B373" s="143" t="s">
        <v>1550</v>
      </c>
      <c r="C373" s="144" t="s">
        <v>469</v>
      </c>
      <c r="D373" s="144" t="s">
        <v>476</v>
      </c>
      <c r="E373" s="144">
        <v>40.0</v>
      </c>
      <c r="F373" s="144">
        <v>11.0</v>
      </c>
      <c r="G373" s="144" t="s">
        <v>1551</v>
      </c>
      <c r="H373" s="144" t="s">
        <v>1552</v>
      </c>
      <c r="I373" s="144">
        <v>0.5</v>
      </c>
      <c r="J373" s="144">
        <v>3.1</v>
      </c>
      <c r="K373" s="144">
        <v>1.9</v>
      </c>
      <c r="L373" s="144">
        <v>0.4</v>
      </c>
      <c r="M373" s="144">
        <v>0.4</v>
      </c>
      <c r="N373" s="144">
        <v>0.2</v>
      </c>
      <c r="O373" s="144">
        <v>0.5</v>
      </c>
      <c r="P373" s="144">
        <v>-6.98</v>
      </c>
    </row>
    <row r="374">
      <c r="A374" s="142">
        <v>373.0</v>
      </c>
      <c r="B374" s="143" t="s">
        <v>1553</v>
      </c>
      <c r="C374" s="144" t="s">
        <v>46</v>
      </c>
      <c r="D374" s="144" t="s">
        <v>503</v>
      </c>
      <c r="E374" s="144">
        <v>33.0</v>
      </c>
      <c r="F374" s="144">
        <v>10.5</v>
      </c>
      <c r="G374" s="144" t="s">
        <v>1554</v>
      </c>
      <c r="H374" s="144" t="s">
        <v>1555</v>
      </c>
      <c r="I374" s="144">
        <v>0.4</v>
      </c>
      <c r="J374" s="144">
        <v>4.2</v>
      </c>
      <c r="K374" s="144">
        <v>2.5</v>
      </c>
      <c r="L374" s="144">
        <v>0.7</v>
      </c>
      <c r="M374" s="144">
        <v>0.2</v>
      </c>
      <c r="N374" s="144">
        <v>0.2</v>
      </c>
      <c r="O374" s="144">
        <v>0.5</v>
      </c>
      <c r="P374" s="144">
        <v>-6.99</v>
      </c>
    </row>
    <row r="375">
      <c r="A375" s="142">
        <v>374.0</v>
      </c>
      <c r="B375" s="143" t="s">
        <v>1556</v>
      </c>
      <c r="C375" s="144" t="s">
        <v>45</v>
      </c>
      <c r="D375" s="144" t="s">
        <v>507</v>
      </c>
      <c r="E375" s="144">
        <v>40.0</v>
      </c>
      <c r="F375" s="144">
        <v>10.4</v>
      </c>
      <c r="G375" s="144" t="s">
        <v>1557</v>
      </c>
      <c r="H375" s="144" t="s">
        <v>1472</v>
      </c>
      <c r="I375" s="144">
        <v>0.8</v>
      </c>
      <c r="J375" s="144">
        <v>4.6</v>
      </c>
      <c r="K375" s="144">
        <v>1.7</v>
      </c>
      <c r="L375" s="144">
        <v>0.4</v>
      </c>
      <c r="M375" s="144">
        <v>0.2</v>
      </c>
      <c r="N375" s="144">
        <v>0.1</v>
      </c>
      <c r="O375" s="144">
        <v>0.3</v>
      </c>
      <c r="P375" s="144">
        <v>-7.01</v>
      </c>
    </row>
    <row r="376">
      <c r="A376" s="142">
        <v>375.0</v>
      </c>
      <c r="B376" s="143" t="s">
        <v>1558</v>
      </c>
      <c r="C376" s="144" t="s">
        <v>47</v>
      </c>
      <c r="D376" s="144" t="s">
        <v>476</v>
      </c>
      <c r="E376" s="144">
        <v>40.0</v>
      </c>
      <c r="F376" s="144">
        <v>10.4</v>
      </c>
      <c r="G376" s="144" t="s">
        <v>1559</v>
      </c>
      <c r="H376" s="144" t="s">
        <v>1560</v>
      </c>
      <c r="I376" s="144">
        <v>0.0</v>
      </c>
      <c r="J376" s="144">
        <v>4.0</v>
      </c>
      <c r="K376" s="144">
        <v>2.9</v>
      </c>
      <c r="L376" s="144">
        <v>0.5</v>
      </c>
      <c r="M376" s="144">
        <v>0.1</v>
      </c>
      <c r="N376" s="144">
        <v>0.7</v>
      </c>
      <c r="O376" s="144">
        <v>0.5</v>
      </c>
      <c r="P376" s="144">
        <v>-7.01</v>
      </c>
    </row>
    <row r="377">
      <c r="A377" s="142">
        <v>376.0</v>
      </c>
      <c r="B377" s="143" t="s">
        <v>1561</v>
      </c>
      <c r="C377" s="144" t="s">
        <v>432</v>
      </c>
      <c r="D377" s="144" t="s">
        <v>590</v>
      </c>
      <c r="E377" s="144">
        <v>40.0</v>
      </c>
      <c r="F377" s="144">
        <v>8.4</v>
      </c>
      <c r="G377" s="144" t="s">
        <v>1562</v>
      </c>
      <c r="H377" s="144" t="s">
        <v>1563</v>
      </c>
      <c r="I377" s="144">
        <v>1.2</v>
      </c>
      <c r="J377" s="144">
        <v>4.6</v>
      </c>
      <c r="K377" s="144">
        <v>1.5</v>
      </c>
      <c r="L377" s="144">
        <v>0.4</v>
      </c>
      <c r="M377" s="144">
        <v>0.2</v>
      </c>
      <c r="N377" s="144">
        <v>0.2</v>
      </c>
      <c r="O377" s="144">
        <v>0.4</v>
      </c>
      <c r="P377" s="144">
        <v>-7.08</v>
      </c>
    </row>
    <row r="378">
      <c r="A378" s="142">
        <v>377.0</v>
      </c>
      <c r="B378" s="143" t="s">
        <v>1564</v>
      </c>
      <c r="C378" s="144" t="s">
        <v>43</v>
      </c>
      <c r="D378" s="144" t="s">
        <v>587</v>
      </c>
      <c r="E378" s="144">
        <v>60.0</v>
      </c>
      <c r="F378" s="144">
        <v>12.1</v>
      </c>
      <c r="G378" s="144" t="s">
        <v>1565</v>
      </c>
      <c r="H378" s="144" t="s">
        <v>1566</v>
      </c>
      <c r="I378" s="144">
        <v>0.8</v>
      </c>
      <c r="J378" s="144">
        <v>4.3</v>
      </c>
      <c r="K378" s="144">
        <v>1.4</v>
      </c>
      <c r="L378" s="144">
        <v>1.4</v>
      </c>
      <c r="M378" s="144">
        <v>0.4</v>
      </c>
      <c r="N378" s="144">
        <v>0.1</v>
      </c>
      <c r="O378" s="144">
        <v>0.4</v>
      </c>
      <c r="P378" s="144">
        <v>-7.09</v>
      </c>
    </row>
    <row r="379">
      <c r="A379" s="142">
        <v>378.0</v>
      </c>
      <c r="B379" s="143" t="s">
        <v>1567</v>
      </c>
      <c r="C379" s="144" t="s">
        <v>45</v>
      </c>
      <c r="D379" s="144" t="s">
        <v>465</v>
      </c>
      <c r="E379" s="144">
        <v>22.0</v>
      </c>
      <c r="F379" s="144">
        <v>12.1</v>
      </c>
      <c r="G379" s="144" t="s">
        <v>1568</v>
      </c>
      <c r="H379" s="144" t="s">
        <v>1569</v>
      </c>
      <c r="I379" s="144">
        <v>0.9</v>
      </c>
      <c r="J379" s="144">
        <v>5.0</v>
      </c>
      <c r="K379" s="144">
        <v>2.0</v>
      </c>
      <c r="L379" s="144">
        <v>0.4</v>
      </c>
      <c r="M379" s="144">
        <v>0.2</v>
      </c>
      <c r="N379" s="144">
        <v>0.2</v>
      </c>
      <c r="O379" s="144">
        <v>0.4</v>
      </c>
      <c r="P379" s="144">
        <v>-7.1</v>
      </c>
    </row>
    <row r="380">
      <c r="A380" s="142">
        <v>379.0</v>
      </c>
      <c r="B380" s="143" t="s">
        <v>1570</v>
      </c>
      <c r="C380" s="144" t="s">
        <v>432</v>
      </c>
      <c r="D380" s="144" t="s">
        <v>583</v>
      </c>
      <c r="E380" s="144">
        <v>68.0</v>
      </c>
      <c r="F380" s="144">
        <v>11.4</v>
      </c>
      <c r="G380" s="144" t="s">
        <v>1571</v>
      </c>
      <c r="H380" s="144" t="s">
        <v>1572</v>
      </c>
      <c r="I380" s="144">
        <v>0.3</v>
      </c>
      <c r="J380" s="144">
        <v>4.2</v>
      </c>
      <c r="K380" s="144">
        <v>2.4</v>
      </c>
      <c r="L380" s="144">
        <v>0.6</v>
      </c>
      <c r="M380" s="144">
        <v>0.2</v>
      </c>
      <c r="N380" s="144">
        <v>0.2</v>
      </c>
      <c r="O380" s="144">
        <v>0.5</v>
      </c>
      <c r="P380" s="144">
        <v>-7.1</v>
      </c>
    </row>
    <row r="381">
      <c r="A381" s="142">
        <v>380.0</v>
      </c>
      <c r="B381" s="143" t="s">
        <v>1573</v>
      </c>
      <c r="C381" s="144" t="s">
        <v>469</v>
      </c>
      <c r="D381" s="144" t="s">
        <v>461</v>
      </c>
      <c r="E381" s="144">
        <v>64.0</v>
      </c>
      <c r="F381" s="144">
        <v>17.1</v>
      </c>
      <c r="G381" s="144" t="s">
        <v>1574</v>
      </c>
      <c r="H381" s="144" t="s">
        <v>1575</v>
      </c>
      <c r="I381" s="144">
        <v>0.6</v>
      </c>
      <c r="J381" s="144">
        <v>5.4</v>
      </c>
      <c r="K381" s="144">
        <v>2.0</v>
      </c>
      <c r="L381" s="144">
        <v>1.2</v>
      </c>
      <c r="M381" s="144">
        <v>0.3</v>
      </c>
      <c r="N381" s="144">
        <v>0.1</v>
      </c>
      <c r="O381" s="144">
        <v>0.9</v>
      </c>
      <c r="P381" s="144">
        <v>-7.12</v>
      </c>
    </row>
    <row r="382">
      <c r="A382" s="142">
        <v>381.0</v>
      </c>
      <c r="B382" s="143" t="s">
        <v>1576</v>
      </c>
      <c r="C382" s="144" t="s">
        <v>47</v>
      </c>
      <c r="D382" s="144" t="s">
        <v>449</v>
      </c>
      <c r="E382" s="144">
        <v>68.0</v>
      </c>
      <c r="F382" s="144">
        <v>11.1</v>
      </c>
      <c r="G382" s="144" t="s">
        <v>1577</v>
      </c>
      <c r="H382" s="144" t="s">
        <v>1578</v>
      </c>
      <c r="I382" s="144">
        <v>0.1</v>
      </c>
      <c r="J382" s="144">
        <v>4.5</v>
      </c>
      <c r="K382" s="144">
        <v>2.2</v>
      </c>
      <c r="L382" s="144">
        <v>0.9</v>
      </c>
      <c r="M382" s="144">
        <v>0.1</v>
      </c>
      <c r="N382" s="144">
        <v>0.3</v>
      </c>
      <c r="O382" s="144">
        <v>0.9</v>
      </c>
      <c r="P382" s="144">
        <v>-7.13</v>
      </c>
    </row>
    <row r="383">
      <c r="A383" s="142">
        <v>382.0</v>
      </c>
      <c r="B383" s="143" t="s">
        <v>1579</v>
      </c>
      <c r="C383" s="144" t="s">
        <v>456</v>
      </c>
      <c r="D383" s="144" t="s">
        <v>537</v>
      </c>
      <c r="E383" s="144">
        <v>40.0</v>
      </c>
      <c r="F383" s="144">
        <v>10.5</v>
      </c>
      <c r="G383" s="144" t="s">
        <v>1580</v>
      </c>
      <c r="H383" s="144" t="s">
        <v>1581</v>
      </c>
      <c r="I383" s="144">
        <v>0.3</v>
      </c>
      <c r="J383" s="144">
        <v>4.4</v>
      </c>
      <c r="K383" s="144">
        <v>1.4</v>
      </c>
      <c r="L383" s="144">
        <v>0.6</v>
      </c>
      <c r="M383" s="144">
        <v>0.2</v>
      </c>
      <c r="N383" s="144">
        <v>0.2</v>
      </c>
      <c r="O383" s="144">
        <v>0.4</v>
      </c>
      <c r="P383" s="144">
        <v>-7.13</v>
      </c>
    </row>
    <row r="384">
      <c r="A384" s="142">
        <v>383.0</v>
      </c>
      <c r="B384" s="143" t="s">
        <v>1582</v>
      </c>
      <c r="C384" s="144" t="s">
        <v>45</v>
      </c>
      <c r="D384" s="144" t="s">
        <v>416</v>
      </c>
      <c r="E384" s="144">
        <v>38.0</v>
      </c>
      <c r="F384" s="144">
        <v>10.4</v>
      </c>
      <c r="G384" s="144" t="s">
        <v>1583</v>
      </c>
      <c r="H384" s="144" t="s">
        <v>1472</v>
      </c>
      <c r="I384" s="144">
        <v>0.8</v>
      </c>
      <c r="J384" s="144">
        <v>4.6</v>
      </c>
      <c r="K384" s="144">
        <v>1.7</v>
      </c>
      <c r="L384" s="144">
        <v>0.4</v>
      </c>
      <c r="M384" s="144">
        <v>0.2</v>
      </c>
      <c r="N384" s="144">
        <v>0.1</v>
      </c>
      <c r="O384" s="144">
        <v>0.3</v>
      </c>
      <c r="P384" s="144">
        <v>-7.15</v>
      </c>
    </row>
    <row r="385">
      <c r="A385" s="142">
        <v>384.0</v>
      </c>
      <c r="B385" s="143" t="s">
        <v>1584</v>
      </c>
      <c r="C385" s="144" t="s">
        <v>47</v>
      </c>
      <c r="D385" s="144" t="s">
        <v>603</v>
      </c>
      <c r="E385" s="144">
        <v>33.0</v>
      </c>
      <c r="F385" s="144">
        <v>8.4</v>
      </c>
      <c r="G385" s="144" t="s">
        <v>1585</v>
      </c>
      <c r="H385" s="144" t="s">
        <v>1586</v>
      </c>
      <c r="I385" s="144">
        <v>0.0</v>
      </c>
      <c r="J385" s="144">
        <v>3.5</v>
      </c>
      <c r="K385" s="144">
        <v>2.8</v>
      </c>
      <c r="L385" s="144">
        <v>0.5</v>
      </c>
      <c r="M385" s="144">
        <v>0.2</v>
      </c>
      <c r="N385" s="144">
        <v>0.2</v>
      </c>
      <c r="O385" s="144">
        <v>0.5</v>
      </c>
      <c r="P385" s="144">
        <v>-7.17</v>
      </c>
    </row>
    <row r="386">
      <c r="A386" s="142">
        <v>385.0</v>
      </c>
      <c r="B386" s="143" t="s">
        <v>1587</v>
      </c>
      <c r="C386" s="144" t="s">
        <v>47</v>
      </c>
      <c r="D386" s="144" t="s">
        <v>476</v>
      </c>
      <c r="E386" s="144">
        <v>30.0</v>
      </c>
      <c r="F386" s="144">
        <v>8.4</v>
      </c>
      <c r="G386" s="144" t="s">
        <v>1588</v>
      </c>
      <c r="H386" s="144" t="s">
        <v>1589</v>
      </c>
      <c r="I386" s="144">
        <v>0.1</v>
      </c>
      <c r="J386" s="144">
        <v>3.0</v>
      </c>
      <c r="K386" s="144">
        <v>2.4</v>
      </c>
      <c r="L386" s="144">
        <v>0.6</v>
      </c>
      <c r="M386" s="144">
        <v>0.2</v>
      </c>
      <c r="N386" s="144">
        <v>0.4</v>
      </c>
      <c r="O386" s="144">
        <v>0.6</v>
      </c>
      <c r="P386" s="144">
        <v>-7.18</v>
      </c>
    </row>
    <row r="387">
      <c r="A387" s="142">
        <v>386.0</v>
      </c>
      <c r="B387" s="143" t="s">
        <v>1590</v>
      </c>
      <c r="C387" s="144" t="s">
        <v>424</v>
      </c>
      <c r="D387" s="144" t="s">
        <v>425</v>
      </c>
      <c r="E387" s="144">
        <v>26.0</v>
      </c>
      <c r="F387" s="144">
        <v>10.4</v>
      </c>
      <c r="G387" s="144" t="s">
        <v>1591</v>
      </c>
      <c r="H387" s="144" t="s">
        <v>1592</v>
      </c>
      <c r="I387" s="144">
        <v>0.7</v>
      </c>
      <c r="J387" s="144">
        <v>4.7</v>
      </c>
      <c r="K387" s="144">
        <v>1.3</v>
      </c>
      <c r="L387" s="144">
        <v>0.9</v>
      </c>
      <c r="M387" s="144">
        <v>0.4</v>
      </c>
      <c r="N387" s="144">
        <v>0.1</v>
      </c>
      <c r="O387" s="144">
        <v>0.6</v>
      </c>
      <c r="P387" s="144">
        <v>-7.19</v>
      </c>
    </row>
    <row r="388">
      <c r="A388" s="142">
        <v>387.0</v>
      </c>
      <c r="B388" s="143" t="s">
        <v>1593</v>
      </c>
      <c r="C388" s="144" t="s">
        <v>432</v>
      </c>
      <c r="D388" s="144" t="s">
        <v>433</v>
      </c>
      <c r="E388" s="144">
        <v>58.0</v>
      </c>
      <c r="F388" s="144">
        <v>11.2</v>
      </c>
      <c r="G388" s="144" t="s">
        <v>1594</v>
      </c>
      <c r="H388" s="144" t="s">
        <v>1595</v>
      </c>
      <c r="I388" s="144">
        <v>0.6</v>
      </c>
      <c r="J388" s="144">
        <v>4.3</v>
      </c>
      <c r="K388" s="144">
        <v>2.5</v>
      </c>
      <c r="L388" s="144">
        <v>0.5</v>
      </c>
      <c r="M388" s="144">
        <v>0.3</v>
      </c>
      <c r="N388" s="144">
        <v>0.2</v>
      </c>
      <c r="O388" s="144">
        <v>0.4</v>
      </c>
      <c r="P388" s="144">
        <v>-7.23</v>
      </c>
    </row>
    <row r="389">
      <c r="A389" s="142">
        <v>388.0</v>
      </c>
      <c r="B389" s="143" t="s">
        <v>1596</v>
      </c>
      <c r="C389" s="144" t="s">
        <v>424</v>
      </c>
      <c r="D389" s="144" t="s">
        <v>537</v>
      </c>
      <c r="E389" s="144">
        <v>30.0</v>
      </c>
      <c r="F389" s="144">
        <v>8.4</v>
      </c>
      <c r="G389" s="144" t="s">
        <v>1597</v>
      </c>
      <c r="H389" s="144" t="s">
        <v>1598</v>
      </c>
      <c r="I389" s="144">
        <v>0.3</v>
      </c>
      <c r="J389" s="144">
        <v>3.0</v>
      </c>
      <c r="K389" s="144">
        <v>0.9</v>
      </c>
      <c r="L389" s="144">
        <v>1.1</v>
      </c>
      <c r="M389" s="144">
        <v>0.4</v>
      </c>
      <c r="N389" s="144">
        <v>0.1</v>
      </c>
      <c r="O389" s="144">
        <v>0.5</v>
      </c>
      <c r="P389" s="144">
        <v>-7.25</v>
      </c>
    </row>
    <row r="390">
      <c r="A390" s="142">
        <v>389.0</v>
      </c>
      <c r="B390" s="143" t="s">
        <v>1599</v>
      </c>
      <c r="C390" s="144" t="s">
        <v>43</v>
      </c>
      <c r="D390" s="144" t="s">
        <v>473</v>
      </c>
      <c r="E390" s="144">
        <v>20.0</v>
      </c>
      <c r="F390" s="144">
        <v>10.3</v>
      </c>
      <c r="G390" s="144" t="s">
        <v>1600</v>
      </c>
      <c r="H390" s="144" t="s">
        <v>1601</v>
      </c>
      <c r="I390" s="144">
        <v>1.0</v>
      </c>
      <c r="J390" s="144">
        <v>4.2</v>
      </c>
      <c r="K390" s="144">
        <v>0.7</v>
      </c>
      <c r="L390" s="144">
        <v>0.9</v>
      </c>
      <c r="M390" s="144">
        <v>0.2</v>
      </c>
      <c r="N390" s="144">
        <v>0.1</v>
      </c>
      <c r="O390" s="144">
        <v>0.4</v>
      </c>
      <c r="P390" s="144">
        <v>-7.28</v>
      </c>
    </row>
    <row r="391">
      <c r="A391" s="142">
        <v>390.0</v>
      </c>
      <c r="B391" s="143" t="s">
        <v>1602</v>
      </c>
      <c r="C391" s="144" t="s">
        <v>424</v>
      </c>
      <c r="D391" s="144" t="s">
        <v>583</v>
      </c>
      <c r="E391" s="144">
        <v>44.0</v>
      </c>
      <c r="F391" s="144">
        <v>10.4</v>
      </c>
      <c r="G391" s="144" t="s">
        <v>1603</v>
      </c>
      <c r="H391" s="144" t="s">
        <v>1604</v>
      </c>
      <c r="I391" s="144">
        <v>0.6</v>
      </c>
      <c r="J391" s="144">
        <v>4.3</v>
      </c>
      <c r="K391" s="144">
        <v>1.2</v>
      </c>
      <c r="L391" s="144">
        <v>1.3</v>
      </c>
      <c r="M391" s="144">
        <v>0.4</v>
      </c>
      <c r="N391" s="144">
        <v>0.2</v>
      </c>
      <c r="O391" s="144">
        <v>0.8</v>
      </c>
      <c r="P391" s="144">
        <v>-7.35</v>
      </c>
    </row>
    <row r="392">
      <c r="A392" s="142">
        <v>391.0</v>
      </c>
      <c r="B392" s="143" t="s">
        <v>1605</v>
      </c>
      <c r="C392" s="144" t="s">
        <v>44</v>
      </c>
      <c r="D392" s="144" t="s">
        <v>473</v>
      </c>
      <c r="E392" s="144">
        <v>34.0</v>
      </c>
      <c r="F392" s="144">
        <v>12.4</v>
      </c>
      <c r="G392" s="144" t="s">
        <v>1606</v>
      </c>
      <c r="H392" s="144" t="s">
        <v>1607</v>
      </c>
      <c r="I392" s="144">
        <v>0.6</v>
      </c>
      <c r="J392" s="144">
        <v>2.9</v>
      </c>
      <c r="K392" s="144">
        <v>1.4</v>
      </c>
      <c r="L392" s="144">
        <v>0.5</v>
      </c>
      <c r="M392" s="144">
        <v>0.3</v>
      </c>
      <c r="N392" s="144">
        <v>0.1</v>
      </c>
      <c r="O392" s="144">
        <v>0.3</v>
      </c>
      <c r="P392" s="144">
        <v>-7.35</v>
      </c>
    </row>
    <row r="393">
      <c r="A393" s="142">
        <v>392.0</v>
      </c>
      <c r="B393" s="143" t="s">
        <v>1608</v>
      </c>
      <c r="C393" s="144" t="s">
        <v>45</v>
      </c>
      <c r="D393" s="144" t="s">
        <v>507</v>
      </c>
      <c r="E393" s="144">
        <v>40.0</v>
      </c>
      <c r="F393" s="144">
        <v>12.4</v>
      </c>
      <c r="G393" s="144" t="s">
        <v>1609</v>
      </c>
      <c r="H393" s="144" t="s">
        <v>1610</v>
      </c>
      <c r="I393" s="144">
        <v>1.0</v>
      </c>
      <c r="J393" s="144">
        <v>5.4</v>
      </c>
      <c r="K393" s="144">
        <v>1.4</v>
      </c>
      <c r="L393" s="144">
        <v>0.7</v>
      </c>
      <c r="M393" s="144">
        <v>0.3</v>
      </c>
      <c r="N393" s="144">
        <v>0.1</v>
      </c>
      <c r="O393" s="144">
        <v>0.6</v>
      </c>
      <c r="P393" s="144">
        <v>-7.38</v>
      </c>
    </row>
    <row r="394">
      <c r="A394" s="142">
        <v>393.0</v>
      </c>
      <c r="B394" s="143" t="s">
        <v>1611</v>
      </c>
      <c r="C394" s="144" t="s">
        <v>424</v>
      </c>
      <c r="D394" s="144" t="s">
        <v>449</v>
      </c>
      <c r="E394" s="144">
        <v>30.0</v>
      </c>
      <c r="F394" s="144">
        <v>8.4</v>
      </c>
      <c r="G394" s="144" t="s">
        <v>1612</v>
      </c>
      <c r="H394" s="144" t="s">
        <v>1613</v>
      </c>
      <c r="I394" s="144">
        <v>1.1</v>
      </c>
      <c r="J394" s="144">
        <v>3.8</v>
      </c>
      <c r="K394" s="144">
        <v>1.1</v>
      </c>
      <c r="L394" s="144">
        <v>0.5</v>
      </c>
      <c r="M394" s="144">
        <v>0.2</v>
      </c>
      <c r="N394" s="144">
        <v>0.0</v>
      </c>
      <c r="O394" s="144">
        <v>0.2</v>
      </c>
      <c r="P394" s="144">
        <v>-7.38</v>
      </c>
    </row>
    <row r="395">
      <c r="A395" s="142">
        <v>394.0</v>
      </c>
      <c r="B395" s="143" t="s">
        <v>1614</v>
      </c>
      <c r="C395" s="144" t="s">
        <v>44</v>
      </c>
      <c r="D395" s="144" t="s">
        <v>473</v>
      </c>
      <c r="E395" s="144">
        <v>67.0</v>
      </c>
      <c r="F395" s="144">
        <v>12.4</v>
      </c>
      <c r="G395" s="144" t="s">
        <v>1615</v>
      </c>
      <c r="H395" s="144" t="s">
        <v>1616</v>
      </c>
      <c r="I395" s="144">
        <v>0.2</v>
      </c>
      <c r="J395" s="144">
        <v>4.4</v>
      </c>
      <c r="K395" s="144">
        <v>0.8</v>
      </c>
      <c r="L395" s="144">
        <v>0.9</v>
      </c>
      <c r="M395" s="144">
        <v>0.2</v>
      </c>
      <c r="N395" s="144">
        <v>0.2</v>
      </c>
      <c r="O395" s="144">
        <v>0.5</v>
      </c>
      <c r="P395" s="144">
        <v>-7.4</v>
      </c>
    </row>
    <row r="396">
      <c r="A396" s="142">
        <v>395.0</v>
      </c>
      <c r="B396" s="143" t="s">
        <v>1617</v>
      </c>
      <c r="C396" s="144" t="s">
        <v>47</v>
      </c>
      <c r="D396" s="144" t="s">
        <v>429</v>
      </c>
      <c r="E396" s="144">
        <v>20.0</v>
      </c>
      <c r="F396" s="144">
        <v>8.1</v>
      </c>
      <c r="G396" s="144" t="s">
        <v>1618</v>
      </c>
      <c r="H396" s="144" t="s">
        <v>1619</v>
      </c>
      <c r="I396" s="144">
        <v>0.3</v>
      </c>
      <c r="J396" s="144">
        <v>3.3</v>
      </c>
      <c r="K396" s="144">
        <v>1.9</v>
      </c>
      <c r="L396" s="144">
        <v>0.4</v>
      </c>
      <c r="M396" s="144">
        <v>0.2</v>
      </c>
      <c r="N396" s="144">
        <v>0.3</v>
      </c>
      <c r="O396" s="144">
        <v>0.4</v>
      </c>
      <c r="P396" s="144">
        <v>-7.42</v>
      </c>
    </row>
    <row r="397">
      <c r="A397" s="142">
        <v>396.0</v>
      </c>
      <c r="B397" s="143" t="s">
        <v>1620</v>
      </c>
      <c r="C397" s="144" t="s">
        <v>456</v>
      </c>
      <c r="D397" s="144" t="s">
        <v>425</v>
      </c>
      <c r="E397" s="144">
        <v>30.0</v>
      </c>
      <c r="F397" s="144">
        <v>8.4</v>
      </c>
      <c r="G397" s="144" t="s">
        <v>1621</v>
      </c>
      <c r="H397" s="144" t="s">
        <v>1622</v>
      </c>
      <c r="I397" s="144">
        <v>0.4</v>
      </c>
      <c r="J397" s="144">
        <v>2.9</v>
      </c>
      <c r="K397" s="144">
        <v>2.0</v>
      </c>
      <c r="L397" s="144">
        <v>0.4</v>
      </c>
      <c r="M397" s="144">
        <v>0.2</v>
      </c>
      <c r="N397" s="144">
        <v>0.1</v>
      </c>
      <c r="O397" s="144">
        <v>0.3</v>
      </c>
      <c r="P397" s="144">
        <v>-7.43</v>
      </c>
    </row>
    <row r="398">
      <c r="A398" s="142">
        <v>397.0</v>
      </c>
      <c r="B398" s="143" t="s">
        <v>1623</v>
      </c>
      <c r="C398" s="144" t="s">
        <v>432</v>
      </c>
      <c r="D398" s="144" t="s">
        <v>619</v>
      </c>
      <c r="E398" s="144">
        <v>30.0</v>
      </c>
      <c r="F398" s="144">
        <v>10.1</v>
      </c>
      <c r="G398" s="144" t="s">
        <v>1624</v>
      </c>
      <c r="H398" s="144" t="s">
        <v>1625</v>
      </c>
      <c r="I398" s="144">
        <v>0.6</v>
      </c>
      <c r="J398" s="144">
        <v>3.3</v>
      </c>
      <c r="K398" s="144">
        <v>1.7</v>
      </c>
      <c r="L398" s="144">
        <v>0.6</v>
      </c>
      <c r="M398" s="144">
        <v>0.1</v>
      </c>
      <c r="N398" s="144">
        <v>0.1</v>
      </c>
      <c r="O398" s="144">
        <v>0.4</v>
      </c>
      <c r="P398" s="144">
        <v>-7.44</v>
      </c>
    </row>
    <row r="399">
      <c r="A399" s="142">
        <v>398.0</v>
      </c>
      <c r="B399" s="143" t="s">
        <v>1626</v>
      </c>
      <c r="C399" s="144" t="s">
        <v>424</v>
      </c>
      <c r="D399" s="144" t="s">
        <v>433</v>
      </c>
      <c r="E399" s="144">
        <v>44.0</v>
      </c>
      <c r="F399" s="144">
        <v>8.4</v>
      </c>
      <c r="G399" s="144" t="s">
        <v>1627</v>
      </c>
      <c r="H399" s="144" t="s">
        <v>1490</v>
      </c>
      <c r="I399" s="144">
        <v>0.2</v>
      </c>
      <c r="J399" s="144">
        <v>3.0</v>
      </c>
      <c r="K399" s="144">
        <v>1.5</v>
      </c>
      <c r="L399" s="144">
        <v>1.2</v>
      </c>
      <c r="M399" s="144">
        <v>0.4</v>
      </c>
      <c r="N399" s="144">
        <v>0.2</v>
      </c>
      <c r="O399" s="144">
        <v>0.6</v>
      </c>
      <c r="P399" s="144">
        <v>-7.5</v>
      </c>
    </row>
    <row r="400">
      <c r="A400" s="142">
        <v>399.0</v>
      </c>
      <c r="B400" s="143" t="s">
        <v>1628</v>
      </c>
      <c r="C400" s="144" t="s">
        <v>47</v>
      </c>
      <c r="D400" s="144" t="s">
        <v>416</v>
      </c>
      <c r="E400" s="144">
        <v>10.0</v>
      </c>
      <c r="F400" s="144">
        <v>4.4</v>
      </c>
      <c r="G400" s="144" t="s">
        <v>1629</v>
      </c>
      <c r="H400" s="144" t="s">
        <v>1630</v>
      </c>
      <c r="I400" s="144">
        <v>0.2</v>
      </c>
      <c r="J400" s="144">
        <v>2.0</v>
      </c>
      <c r="K400" s="144">
        <v>1.0</v>
      </c>
      <c r="L400" s="144">
        <v>0.4</v>
      </c>
      <c r="M400" s="144">
        <v>0.2</v>
      </c>
      <c r="N400" s="144">
        <v>0.2</v>
      </c>
      <c r="O400" s="144">
        <v>0.2</v>
      </c>
      <c r="P400" s="144">
        <v>-7.52</v>
      </c>
    </row>
    <row r="401">
      <c r="A401" s="142">
        <v>400.0</v>
      </c>
      <c r="B401" s="143" t="s">
        <v>1689</v>
      </c>
      <c r="C401" s="144" t="s">
        <v>44</v>
      </c>
      <c r="D401" s="144" t="s">
        <v>441</v>
      </c>
      <c r="E401" s="144">
        <v>60.0</v>
      </c>
      <c r="F401" s="144">
        <v>13.5</v>
      </c>
      <c r="G401" s="144" t="s">
        <v>1690</v>
      </c>
      <c r="H401" s="144" t="s">
        <v>1691</v>
      </c>
      <c r="I401" s="144">
        <v>0.4</v>
      </c>
      <c r="J401" s="144">
        <v>4.4</v>
      </c>
      <c r="K401" s="144">
        <v>1.3</v>
      </c>
      <c r="L401" s="144">
        <v>1.3</v>
      </c>
      <c r="M401" s="144">
        <v>0.2</v>
      </c>
      <c r="N401" s="144">
        <v>0.1</v>
      </c>
      <c r="O401" s="144">
        <v>0.6</v>
      </c>
      <c r="P401" s="144">
        <v>-7.56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</hyperlinks>
  <drawing r:id="rId40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J1" s="145"/>
    </row>
    <row r="2">
      <c r="A2" s="33" t="s">
        <v>647</v>
      </c>
      <c r="B2" s="33" t="s">
        <v>432</v>
      </c>
      <c r="C2" s="33" t="s">
        <v>449</v>
      </c>
      <c r="D2" s="33">
        <v>68.0</v>
      </c>
      <c r="E2" s="33">
        <v>32.4</v>
      </c>
      <c r="F2" s="33" t="s">
        <v>1692</v>
      </c>
      <c r="G2" s="33" t="s">
        <v>1693</v>
      </c>
      <c r="H2" s="33">
        <v>2.5</v>
      </c>
      <c r="I2" s="33">
        <v>20.7</v>
      </c>
      <c r="J2" s="33">
        <v>5.5</v>
      </c>
      <c r="K2" s="33">
        <v>5.5</v>
      </c>
      <c r="L2" s="33">
        <v>1.2</v>
      </c>
      <c r="M2" s="33">
        <v>0.3</v>
      </c>
      <c r="N2" s="33">
        <v>3.0</v>
      </c>
      <c r="O2" s="33">
        <v>6.31</v>
      </c>
    </row>
    <row r="3">
      <c r="A3" s="33" t="s">
        <v>1694</v>
      </c>
      <c r="B3" s="33" t="s">
        <v>47</v>
      </c>
      <c r="C3" s="33" t="s">
        <v>433</v>
      </c>
      <c r="D3" s="33">
        <v>50.0</v>
      </c>
      <c r="E3" s="33">
        <v>28.4</v>
      </c>
      <c r="F3" s="33" t="s">
        <v>1695</v>
      </c>
      <c r="G3" s="33" t="s">
        <v>1696</v>
      </c>
      <c r="H3" s="33">
        <v>0.0</v>
      </c>
      <c r="I3" s="33">
        <v>9.8</v>
      </c>
      <c r="J3" s="33">
        <v>9.3</v>
      </c>
      <c r="K3" s="33">
        <v>1.9</v>
      </c>
      <c r="L3" s="33">
        <v>0.8</v>
      </c>
      <c r="M3" s="33">
        <v>2.1</v>
      </c>
      <c r="N3" s="33">
        <v>1.0</v>
      </c>
      <c r="O3" s="33">
        <v>6.08</v>
      </c>
    </row>
    <row r="4">
      <c r="A4" s="33" t="s">
        <v>842</v>
      </c>
      <c r="B4" s="33" t="s">
        <v>469</v>
      </c>
      <c r="C4" s="33" t="s">
        <v>473</v>
      </c>
      <c r="D4" s="33">
        <v>65.0</v>
      </c>
      <c r="E4" s="33">
        <v>30.1</v>
      </c>
      <c r="F4" s="33" t="s">
        <v>1697</v>
      </c>
      <c r="G4" s="33" t="s">
        <v>1698</v>
      </c>
      <c r="H4" s="33">
        <v>2.6</v>
      </c>
      <c r="I4" s="33">
        <v>14.7</v>
      </c>
      <c r="J4" s="33">
        <v>3.9</v>
      </c>
      <c r="K4" s="33">
        <v>2.9</v>
      </c>
      <c r="L4" s="33">
        <v>1.1</v>
      </c>
      <c r="M4" s="33">
        <v>0.2</v>
      </c>
      <c r="N4" s="33">
        <v>1.1</v>
      </c>
      <c r="O4" s="33">
        <v>0.4</v>
      </c>
    </row>
  </sheetData>
  <autoFilter ref="$A$1:$Q$20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3" width="18.5"/>
  </cols>
  <sheetData>
    <row r="1">
      <c r="A1" s="33" t="s">
        <v>411</v>
      </c>
      <c r="B1" s="33" t="s">
        <v>83</v>
      </c>
      <c r="C1" s="33" t="s">
        <v>78</v>
      </c>
      <c r="D1" s="33" t="s">
        <v>81</v>
      </c>
      <c r="E1" s="33" t="s">
        <v>57</v>
      </c>
      <c r="F1" s="33" t="s">
        <v>412</v>
      </c>
      <c r="G1" s="33" t="s">
        <v>399</v>
      </c>
      <c r="H1" s="146" t="s">
        <v>40</v>
      </c>
      <c r="I1" s="33" t="s">
        <v>401</v>
      </c>
      <c r="J1" s="146" t="s">
        <v>41</v>
      </c>
      <c r="K1" s="147" t="s">
        <v>1699</v>
      </c>
      <c r="L1" s="33" t="s">
        <v>34</v>
      </c>
      <c r="M1" s="33" t="s">
        <v>413</v>
      </c>
      <c r="N1" s="33" t="s">
        <v>37</v>
      </c>
      <c r="O1" s="33" t="s">
        <v>38</v>
      </c>
      <c r="P1" s="33" t="s">
        <v>61</v>
      </c>
      <c r="Q1" s="33" t="s">
        <v>42</v>
      </c>
      <c r="R1" s="33" t="s">
        <v>400</v>
      </c>
      <c r="S1" s="33" t="s">
        <v>195</v>
      </c>
      <c r="T1" s="148"/>
      <c r="U1" s="115"/>
      <c r="V1" s="148"/>
      <c r="W1" s="115"/>
      <c r="X1" s="115"/>
      <c r="Y1" s="115"/>
      <c r="Z1" s="115"/>
      <c r="AA1" s="115"/>
    </row>
    <row r="2">
      <c r="A2" s="33">
        <v>1.0</v>
      </c>
      <c r="B2" s="149" t="str">
        <f>'Paste #BBall'!B2</f>
        <v>Nikola Jokic</v>
      </c>
      <c r="C2" s="150" t="str">
        <f>'Paste #BBall'!C2</f>
        <v>C</v>
      </c>
      <c r="D2" s="150" t="str">
        <f>'Paste #BBall'!D2</f>
        <v>DEN</v>
      </c>
      <c r="E2" s="151">
        <f>'Paste #BBall'!E2</f>
        <v>72</v>
      </c>
      <c r="F2" s="152">
        <f>'Paste #BBall'!F2</f>
        <v>33.6</v>
      </c>
      <c r="G2" s="153" t="str">
        <f>right(Left('Paste #BBall'!G2,Search("/",'Paste #BBall'!G2)-1),len(Left('Paste #BBall'!G2,Search("/",'Paste #BBall'!G2)-1))-search("(",Left('Paste #BBall'!G2,Search("/",'Paste #BBall'!G2)-1)))</f>
        <v>9.2</v>
      </c>
      <c r="H2" s="152">
        <f t="shared" ref="H2:H401" si="1">IFERROR(G2/R2,0)</f>
        <v>0.6216216216</v>
      </c>
      <c r="I2" s="152" t="str">
        <f>right(Left('Paste #BBall'!H2,Search("/",'Paste #BBall'!H2)-1),len(Left('Paste #BBall'!H2,Search("/",'Paste #BBall'!H2)-1))-search("(",Left('Paste #BBall'!H2,Search("/",'Paste #BBall'!H2)-1)))</f>
        <v>5.0</v>
      </c>
      <c r="J2" s="152">
        <f t="shared" ref="J2:J401" si="2">IFERROR(I2/S2,0)</f>
        <v>0.8196721311</v>
      </c>
      <c r="K2" s="152">
        <f>'Paste #BBall'!I2</f>
        <v>1</v>
      </c>
      <c r="L2" s="152">
        <f>'Paste #BBall'!J2</f>
        <v>24.5</v>
      </c>
      <c r="M2" s="152">
        <f>'Paste #BBall'!K2</f>
        <v>11.7</v>
      </c>
      <c r="N2" s="152">
        <f>'Paste #BBall'!L2</f>
        <v>9.7</v>
      </c>
      <c r="O2" s="152">
        <f>'Paste #BBall'!M2</f>
        <v>1.4</v>
      </c>
      <c r="P2" s="152">
        <f>'Paste #BBall'!N2</f>
        <v>0.7</v>
      </c>
      <c r="Q2" s="152">
        <f>'Paste #BBall'!O2</f>
        <v>3.7</v>
      </c>
      <c r="R2" s="153" t="str">
        <f>Left(Right('Paste #BBall'!G2,Len('Paste #BBall'!G2)-Search("/",'Paste #BBall'!G2)),Len(Right('Paste #BBall'!G2,Len('Paste #BBall'!G2)-Search("/",'Paste #BBall'!G2)))-1)</f>
        <v>14.8</v>
      </c>
      <c r="S2" s="153" t="str">
        <f>Left(Right('Paste #BBall'!H2,Len('Paste #BBall'!H2)-Search("/",'Paste #BBall'!H2)),Len(Right('Paste #BBall'!H2,Len('Paste #BBall'!H2)-Search("/",'Paste #BBall'!H2)))-1)</f>
        <v>6.1</v>
      </c>
      <c r="T2" s="154"/>
      <c r="U2" s="155"/>
      <c r="V2" s="155" t="s">
        <v>52</v>
      </c>
      <c r="W2" s="131" t="s">
        <v>51</v>
      </c>
      <c r="X2" s="131" t="s">
        <v>50</v>
      </c>
    </row>
    <row r="3">
      <c r="A3" s="33">
        <v>2.0</v>
      </c>
      <c r="B3" s="149" t="str">
        <f>'Paste #BBall'!B3</f>
        <v>Joel Embiid</v>
      </c>
      <c r="C3" s="150" t="str">
        <f>'Paste #BBall'!C3</f>
        <v>C</v>
      </c>
      <c r="D3" s="150" t="str">
        <f>'Paste #BBall'!D3</f>
        <v>PHI</v>
      </c>
      <c r="E3" s="151">
        <f>'Paste #BBall'!E3</f>
        <v>67</v>
      </c>
      <c r="F3" s="152">
        <f>'Paste #BBall'!F3</f>
        <v>34.2</v>
      </c>
      <c r="G3" s="153" t="str">
        <f>right(Left('Paste #BBall'!G3,Search("/",'Paste #BBall'!G3)-1),len(Left('Paste #BBall'!G3,Search("/",'Paste #BBall'!G3)-1))-search("(",Left('Paste #BBall'!G3,Search("/",'Paste #BBall'!G3)-1)))</f>
        <v>10.8</v>
      </c>
      <c r="H3" s="152">
        <f t="shared" si="1"/>
        <v>0.54</v>
      </c>
      <c r="I3" s="152" t="str">
        <f>right(Left('Paste #BBall'!H3,Search("/",'Paste #BBall'!H3)-1),len(Left('Paste #BBall'!H3,Search("/",'Paste #BBall'!H3)-1))-search("(",Left('Paste #BBall'!H3,Search("/",'Paste #BBall'!H3)-1)))</f>
        <v>9.9</v>
      </c>
      <c r="J3" s="152">
        <f t="shared" si="2"/>
        <v>0.8319327731</v>
      </c>
      <c r="K3" s="152">
        <f>'Paste #BBall'!I3</f>
        <v>1.2</v>
      </c>
      <c r="L3" s="152">
        <f>'Paste #BBall'!J3</f>
        <v>32.6</v>
      </c>
      <c r="M3" s="152">
        <f>'Paste #BBall'!K3</f>
        <v>10.2</v>
      </c>
      <c r="N3" s="152">
        <f>'Paste #BBall'!L3</f>
        <v>4.2</v>
      </c>
      <c r="O3" s="152">
        <f>'Paste #BBall'!M3</f>
        <v>1.1</v>
      </c>
      <c r="P3" s="152">
        <f>'Paste #BBall'!N3</f>
        <v>1.6</v>
      </c>
      <c r="Q3" s="152">
        <f>'Paste #BBall'!O3</f>
        <v>3.3</v>
      </c>
      <c r="R3" s="153" t="str">
        <f>Left(Right('Paste #BBall'!G3,Len('Paste #BBall'!G3)-Search("/",'Paste #BBall'!G3)),Len(Right('Paste #BBall'!G3,Len('Paste #BBall'!G3)-Search("/",'Paste #BBall'!G3)))-1)</f>
        <v>20.0</v>
      </c>
      <c r="S3" s="153" t="str">
        <f>Left(Right('Paste #BBall'!H3,Len('Paste #BBall'!H3)-Search("/",'Paste #BBall'!H3)),Len(Right('Paste #BBall'!H3,Len('Paste #BBall'!H3)-Search("/",'Paste #BBall'!H3)))-1)</f>
        <v>11.9</v>
      </c>
      <c r="T3" s="53"/>
      <c r="U3" s="156" t="s">
        <v>473</v>
      </c>
      <c r="V3" s="157">
        <v>3.0</v>
      </c>
      <c r="W3" s="144">
        <v>4.0</v>
      </c>
      <c r="X3" s="144">
        <v>3.0</v>
      </c>
    </row>
    <row r="4">
      <c r="A4" s="33">
        <v>3.0</v>
      </c>
      <c r="B4" s="149" t="str">
        <f>'Paste #BBall'!B4</f>
        <v>Shai Gilgeous-Alexander</v>
      </c>
      <c r="C4" s="150" t="str">
        <f>'Paste #BBall'!C4</f>
        <v>PG,SG</v>
      </c>
      <c r="D4" s="150" t="str">
        <f>'Paste #BBall'!D4</f>
        <v>OKC</v>
      </c>
      <c r="E4" s="151">
        <f>'Paste #BBall'!E4</f>
        <v>67</v>
      </c>
      <c r="F4" s="152">
        <f>'Paste #BBall'!F4</f>
        <v>35.5</v>
      </c>
      <c r="G4" s="153" t="str">
        <f>right(Left('Paste #BBall'!G4,Search("/",'Paste #BBall'!G4)-1),len(Left('Paste #BBall'!G4,Search("/",'Paste #BBall'!G4)-1))-search("(",Left('Paste #BBall'!G4,Search("/",'Paste #BBall'!G4)-1)))</f>
        <v>9.7</v>
      </c>
      <c r="H4" s="152">
        <f t="shared" si="1"/>
        <v>0.485</v>
      </c>
      <c r="I4" s="152" t="str">
        <f>right(Left('Paste #BBall'!H4,Search("/",'Paste #BBall'!H4)-1),len(Left('Paste #BBall'!H4,Search("/",'Paste #BBall'!H4)-1))-search("(",Left('Paste #BBall'!H4,Search("/",'Paste #BBall'!H4)-1)))</f>
        <v>9.2</v>
      </c>
      <c r="J4" s="152">
        <f t="shared" si="2"/>
        <v>0.8846153846</v>
      </c>
      <c r="K4" s="152">
        <f>'Paste #BBall'!I4</f>
        <v>1</v>
      </c>
      <c r="L4" s="152">
        <f>'Paste #BBall'!J4</f>
        <v>29.6</v>
      </c>
      <c r="M4" s="152">
        <f>'Paste #BBall'!K4</f>
        <v>5</v>
      </c>
      <c r="N4" s="152">
        <f>'Paste #BBall'!L4</f>
        <v>5.6</v>
      </c>
      <c r="O4" s="152">
        <f>'Paste #BBall'!M4</f>
        <v>1.5</v>
      </c>
      <c r="P4" s="152">
        <f>'Paste #BBall'!N4</f>
        <v>0.9</v>
      </c>
      <c r="Q4" s="152">
        <f>'Paste #BBall'!O4</f>
        <v>2.9</v>
      </c>
      <c r="R4" s="153" t="str">
        <f>Left(Right('Paste #BBall'!G4,Len('Paste #BBall'!G4)-Search("/",'Paste #BBall'!G4)),Len(Right('Paste #BBall'!G4,Len('Paste #BBall'!G4)-Search("/",'Paste #BBall'!G4)))-1)</f>
        <v>20.0</v>
      </c>
      <c r="S4" s="153" t="str">
        <f>Left(Right('Paste #BBall'!H4,Len('Paste #BBall'!H4)-Search("/",'Paste #BBall'!H4)),Len(Right('Paste #BBall'!H4,Len('Paste #BBall'!H4)-Search("/",'Paste #BBall'!H4)))-1)</f>
        <v>10.4</v>
      </c>
      <c r="T4" s="53"/>
      <c r="U4" s="156" t="s">
        <v>433</v>
      </c>
      <c r="V4" s="157">
        <v>4.0</v>
      </c>
      <c r="W4" s="144">
        <v>3.0</v>
      </c>
      <c r="X4" s="144">
        <v>3.0</v>
      </c>
    </row>
    <row r="5">
      <c r="A5" s="33">
        <v>4.0</v>
      </c>
      <c r="B5" s="149" t="str">
        <f>'Paste #BBall'!B5</f>
        <v>Tyrese Haliburton</v>
      </c>
      <c r="C5" s="150" t="str">
        <f>'Paste #BBall'!C5</f>
        <v>PG,SG</v>
      </c>
      <c r="D5" s="150" t="str">
        <f>'Paste #BBall'!D5</f>
        <v>IND</v>
      </c>
      <c r="E5" s="151">
        <f>'Paste #BBall'!E5</f>
        <v>73</v>
      </c>
      <c r="F5" s="152">
        <f>'Paste #BBall'!F5</f>
        <v>34.7</v>
      </c>
      <c r="G5" s="153" t="str">
        <f>right(Left('Paste #BBall'!G5,Search("/",'Paste #BBall'!G5)-1),len(Left('Paste #BBall'!G5,Search("/",'Paste #BBall'!G5)-1))-search("(",Left('Paste #BBall'!G5,Search("/",'Paste #BBall'!G5)-1)))</f>
        <v>9.0</v>
      </c>
      <c r="H5" s="152">
        <f t="shared" si="1"/>
        <v>0.4891304348</v>
      </c>
      <c r="I5" s="152" t="str">
        <f>right(Left('Paste #BBall'!H5,Search("/",'Paste #BBall'!H5)-1),len(Left('Paste #BBall'!H5,Search("/",'Paste #BBall'!H5)-1))-search("(",Left('Paste #BBall'!H5,Search("/",'Paste #BBall'!H5)-1)))</f>
        <v>2.6</v>
      </c>
      <c r="J5" s="152">
        <f t="shared" si="2"/>
        <v>0.8666666667</v>
      </c>
      <c r="K5" s="152">
        <f>'Paste #BBall'!I5</f>
        <v>2.8</v>
      </c>
      <c r="L5" s="152">
        <f>'Paste #BBall'!J5</f>
        <v>23.3</v>
      </c>
      <c r="M5" s="152">
        <f>'Paste #BBall'!K5</f>
        <v>4</v>
      </c>
      <c r="N5" s="152">
        <f>'Paste #BBall'!L5</f>
        <v>10.5</v>
      </c>
      <c r="O5" s="152">
        <f>'Paste #BBall'!M5</f>
        <v>1.7</v>
      </c>
      <c r="P5" s="152">
        <f>'Paste #BBall'!N5</f>
        <v>0.4</v>
      </c>
      <c r="Q5" s="152">
        <f>'Paste #BBall'!O5</f>
        <v>2.6</v>
      </c>
      <c r="R5" s="153" t="str">
        <f>Left(Right('Paste #BBall'!G5,Len('Paste #BBall'!G5)-Search("/",'Paste #BBall'!G5)),Len(Right('Paste #BBall'!G5,Len('Paste #BBall'!G5)-Search("/",'Paste #BBall'!G5)))-1)</f>
        <v>18.4</v>
      </c>
      <c r="S5" s="153" t="str">
        <f>Left(Right('Paste #BBall'!H5,Len('Paste #BBall'!H5)-Search("/",'Paste #BBall'!H5)),Len(Right('Paste #BBall'!H5,Len('Paste #BBall'!H5)-Search("/",'Paste #BBall'!H5)))-1)</f>
        <v>3.0</v>
      </c>
      <c r="T5" s="53"/>
      <c r="U5" s="156" t="s">
        <v>503</v>
      </c>
      <c r="V5" s="157">
        <v>3.0</v>
      </c>
      <c r="W5" s="144">
        <v>4.0</v>
      </c>
      <c r="X5" s="144">
        <v>4.0</v>
      </c>
    </row>
    <row r="6">
      <c r="A6" s="33">
        <v>5.0</v>
      </c>
      <c r="B6" s="149" t="str">
        <f>'Paste #BBall'!B6</f>
        <v>Jayson Tatum</v>
      </c>
      <c r="C6" s="150" t="str">
        <f>'Paste #BBall'!C6</f>
        <v>SF,PF</v>
      </c>
      <c r="D6" s="150" t="str">
        <f>'Paste #BBall'!D6</f>
        <v>BOS</v>
      </c>
      <c r="E6" s="151">
        <f>'Paste #BBall'!E6</f>
        <v>75</v>
      </c>
      <c r="F6" s="152">
        <f>'Paste #BBall'!F6</f>
        <v>36.5</v>
      </c>
      <c r="G6" s="153" t="str">
        <f>right(Left('Paste #BBall'!G6,Search("/",'Paste #BBall'!G6)-1),len(Left('Paste #BBall'!G6,Search("/",'Paste #BBall'!G6)-1))-search("(",Left('Paste #BBall'!G6,Search("/",'Paste #BBall'!G6)-1)))</f>
        <v>9.8</v>
      </c>
      <c r="H6" s="152">
        <f t="shared" si="1"/>
        <v>0.4666666667</v>
      </c>
      <c r="I6" s="152" t="str">
        <f>right(Left('Paste #BBall'!H6,Search("/",'Paste #BBall'!H6)-1),len(Left('Paste #BBall'!H6,Search("/",'Paste #BBall'!H6)-1))-search("(",Left('Paste #BBall'!H6,Search("/",'Paste #BBall'!H6)-1)))</f>
        <v>6.6</v>
      </c>
      <c r="J6" s="152">
        <f t="shared" si="2"/>
        <v>0.8571428571</v>
      </c>
      <c r="K6" s="152">
        <f>'Paste #BBall'!I6</f>
        <v>3.3</v>
      </c>
      <c r="L6" s="152">
        <f>'Paste #BBall'!J6</f>
        <v>29.5</v>
      </c>
      <c r="M6" s="152">
        <f>'Paste #BBall'!K6</f>
        <v>8.2</v>
      </c>
      <c r="N6" s="152">
        <f>'Paste #BBall'!L6</f>
        <v>4.8</v>
      </c>
      <c r="O6" s="152">
        <f>'Paste #BBall'!M6</f>
        <v>1.1</v>
      </c>
      <c r="P6" s="152">
        <f>'Paste #BBall'!N6</f>
        <v>0.7</v>
      </c>
      <c r="Q6" s="152">
        <f>'Paste #BBall'!O6</f>
        <v>3</v>
      </c>
      <c r="R6" s="153" t="str">
        <f>Left(Right('Paste #BBall'!G6,Len('Paste #BBall'!G6)-Search("/",'Paste #BBall'!G6)),Len(Right('Paste #BBall'!G6,Len('Paste #BBall'!G6)-Search("/",'Paste #BBall'!G6)))-1)</f>
        <v>21.0</v>
      </c>
      <c r="S6" s="153" t="str">
        <f>Left(Right('Paste #BBall'!H6,Len('Paste #BBall'!H6)-Search("/",'Paste #BBall'!H6)),Len(Right('Paste #BBall'!H6,Len('Paste #BBall'!H6)-Search("/",'Paste #BBall'!H6)))-1)</f>
        <v>7.7</v>
      </c>
      <c r="T6" s="53"/>
      <c r="U6" s="156" t="s">
        <v>461</v>
      </c>
      <c r="V6" s="157">
        <v>2.0</v>
      </c>
      <c r="W6" s="144">
        <v>4.0</v>
      </c>
      <c r="X6" s="144">
        <v>3.0</v>
      </c>
    </row>
    <row r="7">
      <c r="A7" s="33">
        <v>6.0</v>
      </c>
      <c r="B7" s="149" t="str">
        <f>'Paste #BBall'!B7</f>
        <v>Luka Doncic</v>
      </c>
      <c r="C7" s="150" t="str">
        <f>'Paste #BBall'!C7</f>
        <v>PG</v>
      </c>
      <c r="D7" s="150" t="str">
        <f>'Paste #BBall'!D7</f>
        <v>DAL</v>
      </c>
      <c r="E7" s="151">
        <f>'Paste #BBall'!E7</f>
        <v>66</v>
      </c>
      <c r="F7" s="152">
        <f>'Paste #BBall'!F7</f>
        <v>35.8</v>
      </c>
      <c r="G7" s="153" t="str">
        <f>right(Left('Paste #BBall'!G7,Search("/",'Paste #BBall'!G7)-1),len(Left('Paste #BBall'!G7,Search("/",'Paste #BBall'!G7)-1))-search("(",Left('Paste #BBall'!G7,Search("/",'Paste #BBall'!G7)-1)))</f>
        <v>11.0</v>
      </c>
      <c r="H7" s="152">
        <f t="shared" si="1"/>
        <v>0.4910714286</v>
      </c>
      <c r="I7" s="152" t="str">
        <f>right(Left('Paste #BBall'!H7,Search("/",'Paste #BBall'!H7)-1),len(Left('Paste #BBall'!H7,Search("/",'Paste #BBall'!H7)-1))-search("(",Left('Paste #BBall'!H7,Search("/",'Paste #BBall'!H7)-1)))</f>
        <v>7.8</v>
      </c>
      <c r="J7" s="152">
        <f t="shared" si="2"/>
        <v>0.7647058824</v>
      </c>
      <c r="K7" s="152">
        <f>'Paste #BBall'!I7</f>
        <v>3</v>
      </c>
      <c r="L7" s="152">
        <f>'Paste #BBall'!J7</f>
        <v>32.7</v>
      </c>
      <c r="M7" s="152">
        <f>'Paste #BBall'!K7</f>
        <v>8.8</v>
      </c>
      <c r="N7" s="152">
        <f>'Paste #BBall'!L7</f>
        <v>8.1</v>
      </c>
      <c r="O7" s="152">
        <f>'Paste #BBall'!M7</f>
        <v>1.3</v>
      </c>
      <c r="P7" s="152">
        <f>'Paste #BBall'!N7</f>
        <v>0.5</v>
      </c>
      <c r="Q7" s="152">
        <f>'Paste #BBall'!O7</f>
        <v>3.6</v>
      </c>
      <c r="R7" s="153" t="str">
        <f>Left(Right('Paste #BBall'!G7,Len('Paste #BBall'!G7)-Search("/",'Paste #BBall'!G7)),Len(Right('Paste #BBall'!G7,Len('Paste #BBall'!G7)-Search("/",'Paste #BBall'!G7)))-1)</f>
        <v>22.4</v>
      </c>
      <c r="S7" s="153" t="str">
        <f>Left(Right('Paste #BBall'!H7,Len('Paste #BBall'!H7)-Search("/",'Paste #BBall'!H7)),Len(Right('Paste #BBall'!H7,Len('Paste #BBall'!H7)-Search("/",'Paste #BBall'!H7)))-1)</f>
        <v>10.2</v>
      </c>
      <c r="T7" s="53"/>
      <c r="U7" s="156" t="s">
        <v>533</v>
      </c>
      <c r="V7" s="157">
        <v>3.0</v>
      </c>
      <c r="W7" s="144">
        <v>2.0</v>
      </c>
      <c r="X7" s="144">
        <v>4.0</v>
      </c>
    </row>
    <row r="8">
      <c r="A8" s="33">
        <v>7.0</v>
      </c>
      <c r="B8" s="149" t="str">
        <f>'Paste #BBall'!B8</f>
        <v>Stephen Curry</v>
      </c>
      <c r="C8" s="150" t="str">
        <f>'Paste #BBall'!C8</f>
        <v>PG</v>
      </c>
      <c r="D8" s="150" t="str">
        <f>'Paste #BBall'!D8</f>
        <v>GS</v>
      </c>
      <c r="E8" s="151">
        <f>'Paste #BBall'!E8</f>
        <v>65</v>
      </c>
      <c r="F8" s="152">
        <f>'Paste #BBall'!F8</f>
        <v>34.6</v>
      </c>
      <c r="G8" s="153" t="str">
        <f>right(Left('Paste #BBall'!G8,Search("/",'Paste #BBall'!G8)-1),len(Left('Paste #BBall'!G8,Search("/",'Paste #BBall'!G8)-1))-search("(",Left('Paste #BBall'!G8,Search("/",'Paste #BBall'!G8)-1)))</f>
        <v>9.4</v>
      </c>
      <c r="H8" s="152">
        <f t="shared" si="1"/>
        <v>0.4747474747</v>
      </c>
      <c r="I8" s="152" t="str">
        <f>right(Left('Paste #BBall'!H8,Search("/",'Paste #BBall'!H8)-1),len(Left('Paste #BBall'!H8,Search("/",'Paste #BBall'!H8)-1))-search("(",Left('Paste #BBall'!H8,Search("/",'Paste #BBall'!H8)-1)))</f>
        <v>4.5</v>
      </c>
      <c r="J8" s="152">
        <f t="shared" si="2"/>
        <v>0.9183673469</v>
      </c>
      <c r="K8" s="152">
        <f>'Paste #BBall'!I8</f>
        <v>4.7</v>
      </c>
      <c r="L8" s="152">
        <f>'Paste #BBall'!J8</f>
        <v>28</v>
      </c>
      <c r="M8" s="152">
        <f>'Paste #BBall'!K8</f>
        <v>5.6</v>
      </c>
      <c r="N8" s="152">
        <f>'Paste #BBall'!L8</f>
        <v>5.6</v>
      </c>
      <c r="O8" s="152">
        <f>'Paste #BBall'!M8</f>
        <v>0.9</v>
      </c>
      <c r="P8" s="152">
        <f>'Paste #BBall'!N8</f>
        <v>0.3</v>
      </c>
      <c r="Q8" s="152">
        <f>'Paste #BBall'!O8</f>
        <v>3.3</v>
      </c>
      <c r="R8" s="153" t="str">
        <f>Left(Right('Paste #BBall'!G8,Len('Paste #BBall'!G8)-Search("/",'Paste #BBall'!G8)),Len(Right('Paste #BBall'!G8,Len('Paste #BBall'!G8)-Search("/",'Paste #BBall'!G8)))-1)</f>
        <v>19.8</v>
      </c>
      <c r="S8" s="153" t="str">
        <f>Left(Right('Paste #BBall'!H8,Len('Paste #BBall'!H8)-Search("/",'Paste #BBall'!H8)),Len(Right('Paste #BBall'!H8,Len('Paste #BBall'!H8)-Search("/",'Paste #BBall'!H8)))-1)</f>
        <v>4.9</v>
      </c>
      <c r="T8" s="53"/>
      <c r="U8" s="156" t="s">
        <v>465</v>
      </c>
      <c r="V8" s="157">
        <v>3.0</v>
      </c>
      <c r="W8" s="144">
        <v>4.0</v>
      </c>
      <c r="X8" s="144">
        <v>2.0</v>
      </c>
    </row>
    <row r="9">
      <c r="A9" s="33">
        <v>8.0</v>
      </c>
      <c r="B9" s="149" t="str">
        <f>'Paste #BBall'!B9</f>
        <v>Kevin Durant</v>
      </c>
      <c r="C9" s="150" t="str">
        <f>'Paste #BBall'!C9</f>
        <v>SF,PF</v>
      </c>
      <c r="D9" s="150" t="str">
        <f>'Paste #BBall'!D9</f>
        <v>PHO</v>
      </c>
      <c r="E9" s="151">
        <f>'Paste #BBall'!E9</f>
        <v>60</v>
      </c>
      <c r="F9" s="152">
        <f>'Paste #BBall'!F9</f>
        <v>34.2</v>
      </c>
      <c r="G9" s="153" t="str">
        <f>right(Left('Paste #BBall'!G9,Search("/",'Paste #BBall'!G9)-1),len(Left('Paste #BBall'!G9,Search("/",'Paste #BBall'!G9)-1))-search("(",Left('Paste #BBall'!G9,Search("/",'Paste #BBall'!G9)-1)))</f>
        <v>8.8</v>
      </c>
      <c r="H9" s="152">
        <f t="shared" si="1"/>
        <v>0.5238095238</v>
      </c>
      <c r="I9" s="152" t="str">
        <f>right(Left('Paste #BBall'!H9,Search("/",'Paste #BBall'!H9)-1),len(Left('Paste #BBall'!H9,Search("/",'Paste #BBall'!H9)-1))-search("(",Left('Paste #BBall'!H9,Search("/",'Paste #BBall'!H9)-1)))</f>
        <v>5.9</v>
      </c>
      <c r="J9" s="152">
        <f t="shared" si="2"/>
        <v>0.8939393939</v>
      </c>
      <c r="K9" s="152">
        <f>'Paste #BBall'!I9</f>
        <v>1.9</v>
      </c>
      <c r="L9" s="152">
        <f>'Paste #BBall'!J9</f>
        <v>25.3</v>
      </c>
      <c r="M9" s="152">
        <f>'Paste #BBall'!K9</f>
        <v>6.5</v>
      </c>
      <c r="N9" s="152">
        <f>'Paste #BBall'!L9</f>
        <v>5</v>
      </c>
      <c r="O9" s="152">
        <f>'Paste #BBall'!M9</f>
        <v>0.7</v>
      </c>
      <c r="P9" s="152">
        <f>'Paste #BBall'!N9</f>
        <v>1</v>
      </c>
      <c r="Q9" s="152">
        <f>'Paste #BBall'!O9</f>
        <v>3.1</v>
      </c>
      <c r="R9" s="153" t="str">
        <f>Left(Right('Paste #BBall'!G9,Len('Paste #BBall'!G9)-Search("/",'Paste #BBall'!G9)),Len(Right('Paste #BBall'!G9,Len('Paste #BBall'!G9)-Search("/",'Paste #BBall'!G9)))-1)</f>
        <v>16.8</v>
      </c>
      <c r="S9" s="153" t="str">
        <f>Left(Right('Paste #BBall'!H9,Len('Paste #BBall'!H9)-Search("/",'Paste #BBall'!H9)),Len(Right('Paste #BBall'!H9,Len('Paste #BBall'!H9)-Search("/",'Paste #BBall'!H9)))-1)</f>
        <v>6.6</v>
      </c>
      <c r="T9" s="53"/>
      <c r="U9" s="156" t="s">
        <v>437</v>
      </c>
      <c r="V9" s="157">
        <v>3.0</v>
      </c>
      <c r="W9" s="144">
        <v>3.0</v>
      </c>
      <c r="X9" s="144">
        <v>3.0</v>
      </c>
    </row>
    <row r="10">
      <c r="A10" s="33">
        <v>9.0</v>
      </c>
      <c r="B10" s="149" t="str">
        <f>'Paste #BBall'!B10</f>
        <v>Damian Lillard</v>
      </c>
      <c r="C10" s="150" t="str">
        <f>'Paste #BBall'!C10</f>
        <v>PG</v>
      </c>
      <c r="D10" s="150" t="str">
        <f>'Paste #BBall'!D10</f>
        <v>MIL</v>
      </c>
      <c r="E10" s="151">
        <f>'Paste #BBall'!E10</f>
        <v>67</v>
      </c>
      <c r="F10" s="152">
        <f>'Paste #BBall'!F10</f>
        <v>35.6</v>
      </c>
      <c r="G10" s="153" t="str">
        <f>right(Left('Paste #BBall'!G10,Search("/",'Paste #BBall'!G10)-1),len(Left('Paste #BBall'!G10,Search("/",'Paste #BBall'!G10)-1))-search("(",Left('Paste #BBall'!G10,Search("/",'Paste #BBall'!G10)-1)))</f>
        <v>8.2</v>
      </c>
      <c r="H10" s="152">
        <f t="shared" si="1"/>
        <v>0.4606741573</v>
      </c>
      <c r="I10" s="152" t="str">
        <f>right(Left('Paste #BBall'!H10,Search("/",'Paste #BBall'!H10)-1),len(Left('Paste #BBall'!H10,Search("/",'Paste #BBall'!H10)-1))-search("(",Left('Paste #BBall'!H10,Search("/",'Paste #BBall'!H10)-1)))</f>
        <v>7.1</v>
      </c>
      <c r="J10" s="152">
        <f t="shared" si="2"/>
        <v>0.9102564103</v>
      </c>
      <c r="K10" s="152">
        <f>'Paste #BBall'!I10</f>
        <v>3.8</v>
      </c>
      <c r="L10" s="152">
        <f>'Paste #BBall'!J10</f>
        <v>27.2</v>
      </c>
      <c r="M10" s="152">
        <f>'Paste #BBall'!K10</f>
        <v>4</v>
      </c>
      <c r="N10" s="152">
        <f>'Paste #BBall'!L10</f>
        <v>6.9</v>
      </c>
      <c r="O10" s="152">
        <f>'Paste #BBall'!M10</f>
        <v>0.9</v>
      </c>
      <c r="P10" s="152">
        <f>'Paste #BBall'!N10</f>
        <v>0.3</v>
      </c>
      <c r="Q10" s="152">
        <f>'Paste #BBall'!O10</f>
        <v>3.1</v>
      </c>
      <c r="R10" s="153" t="str">
        <f>Left(Right('Paste #BBall'!G10,Len('Paste #BBall'!G10)-Search("/",'Paste #BBall'!G10)),Len(Right('Paste #BBall'!G10,Len('Paste #BBall'!G10)-Search("/",'Paste #BBall'!G10)))-1)</f>
        <v>17.8</v>
      </c>
      <c r="S10" s="153" t="str">
        <f>Left(Right('Paste #BBall'!H10,Len('Paste #BBall'!H10)-Search("/",'Paste #BBall'!H10)),Len(Right('Paste #BBall'!H10,Len('Paste #BBall'!H10)-Search("/",'Paste #BBall'!H10)))-1)</f>
        <v>7.8</v>
      </c>
      <c r="T10" s="53"/>
      <c r="U10" s="156" t="s">
        <v>416</v>
      </c>
      <c r="V10" s="157">
        <v>4.0</v>
      </c>
      <c r="W10" s="144">
        <v>4.0</v>
      </c>
      <c r="X10" s="144">
        <v>2.0</v>
      </c>
    </row>
    <row r="11">
      <c r="A11" s="33">
        <v>10.0</v>
      </c>
      <c r="B11" s="149" t="str">
        <f>'Paste #BBall'!B11</f>
        <v>Kyrie Irving</v>
      </c>
      <c r="C11" s="150" t="str">
        <f>'Paste #BBall'!C11</f>
        <v>PG,SG</v>
      </c>
      <c r="D11" s="150" t="str">
        <f>'Paste #BBall'!D11</f>
        <v>DAL</v>
      </c>
      <c r="E11" s="151">
        <f>'Paste #BBall'!E11</f>
        <v>62</v>
      </c>
      <c r="F11" s="152">
        <f>'Paste #BBall'!F11</f>
        <v>36.4</v>
      </c>
      <c r="G11" s="153" t="str">
        <f>right(Left('Paste #BBall'!G11,Search("/",'Paste #BBall'!G11)-1),len(Left('Paste #BBall'!G11,Search("/",'Paste #BBall'!G11)-1))-search("(",Left('Paste #BBall'!G11,Search("/",'Paste #BBall'!G11)-1)))</f>
        <v>9.8</v>
      </c>
      <c r="H11" s="152">
        <f t="shared" si="1"/>
        <v>0.4875621891</v>
      </c>
      <c r="I11" s="152" t="str">
        <f>right(Left('Paste #BBall'!H11,Search("/",'Paste #BBall'!H11)-1),len(Left('Paste #BBall'!H11,Search("/",'Paste #BBall'!H11)-1))-search("(",Left('Paste #BBall'!H11,Search("/",'Paste #BBall'!H11)-1)))</f>
        <v>4.0</v>
      </c>
      <c r="J11" s="152">
        <f t="shared" si="2"/>
        <v>0.9090909091</v>
      </c>
      <c r="K11" s="152">
        <f>'Paste #BBall'!I11</f>
        <v>3.2</v>
      </c>
      <c r="L11" s="152">
        <f>'Paste #BBall'!J11</f>
        <v>26.7</v>
      </c>
      <c r="M11" s="152">
        <f>'Paste #BBall'!K11</f>
        <v>4.8</v>
      </c>
      <c r="N11" s="152">
        <f>'Paste #BBall'!L11</f>
        <v>5.5</v>
      </c>
      <c r="O11" s="152">
        <f>'Paste #BBall'!M11</f>
        <v>1.2</v>
      </c>
      <c r="P11" s="152">
        <f>'Paste #BBall'!N11</f>
        <v>0.7</v>
      </c>
      <c r="Q11" s="152">
        <f>'Paste #BBall'!O11</f>
        <v>2.2</v>
      </c>
      <c r="R11" s="153" t="str">
        <f>Left(Right('Paste #BBall'!G11,Len('Paste #BBall'!G11)-Search("/",'Paste #BBall'!G11)),Len(Right('Paste #BBall'!G11,Len('Paste #BBall'!G11)-Search("/",'Paste #BBall'!G11)))-1)</f>
        <v>20.1</v>
      </c>
      <c r="S11" s="153" t="str">
        <f>Left(Right('Paste #BBall'!H11,Len('Paste #BBall'!H11)-Search("/",'Paste #BBall'!H11)),Len(Right('Paste #BBall'!H11,Len('Paste #BBall'!H11)-Search("/",'Paste #BBall'!H11)))-1)</f>
        <v>4.4</v>
      </c>
      <c r="T11" s="53"/>
      <c r="U11" s="156" t="s">
        <v>554</v>
      </c>
      <c r="V11" s="157">
        <v>4.0</v>
      </c>
      <c r="W11" s="144">
        <v>3.0</v>
      </c>
      <c r="X11" s="144">
        <v>2.0</v>
      </c>
    </row>
    <row r="12">
      <c r="A12" s="33">
        <v>11.0</v>
      </c>
      <c r="B12" s="149" t="str">
        <f>'Paste #BBall'!B12</f>
        <v>Anthony Davis</v>
      </c>
      <c r="C12" s="150" t="str">
        <f>'Paste #BBall'!C12</f>
        <v>PF,C</v>
      </c>
      <c r="D12" s="150" t="str">
        <f>'Paste #BBall'!D12</f>
        <v>LAL</v>
      </c>
      <c r="E12" s="151">
        <f>'Paste #BBall'!E12</f>
        <v>60</v>
      </c>
      <c r="F12" s="152">
        <f>'Paste #BBall'!F12</f>
        <v>33.5</v>
      </c>
      <c r="G12" s="153" t="str">
        <f>right(Left('Paste #BBall'!G12,Search("/",'Paste #BBall'!G12)-1),len(Left('Paste #BBall'!G12,Search("/",'Paste #BBall'!G12)-1))-search("(",Left('Paste #BBall'!G12,Search("/",'Paste #BBall'!G12)-1)))</f>
        <v>9.3</v>
      </c>
      <c r="H12" s="152">
        <f t="shared" si="1"/>
        <v>0.5470588235</v>
      </c>
      <c r="I12" s="152" t="str">
        <f>right(Left('Paste #BBall'!H12,Search("/",'Paste #BBall'!H12)-1),len(Left('Paste #BBall'!H12,Search("/",'Paste #BBall'!H12)-1))-search("(",Left('Paste #BBall'!H12,Search("/",'Paste #BBall'!H12)-1)))</f>
        <v>5.3</v>
      </c>
      <c r="J12" s="152">
        <f t="shared" si="2"/>
        <v>0.7571428571</v>
      </c>
      <c r="K12" s="152">
        <f>'Paste #BBall'!I12</f>
        <v>0.3</v>
      </c>
      <c r="L12" s="152">
        <f>'Paste #BBall'!J12</f>
        <v>24.3</v>
      </c>
      <c r="M12" s="152">
        <f>'Paste #BBall'!K12</f>
        <v>11.2</v>
      </c>
      <c r="N12" s="152">
        <f>'Paste #BBall'!L12</f>
        <v>2.8</v>
      </c>
      <c r="O12" s="152">
        <f>'Paste #BBall'!M12</f>
        <v>1.1</v>
      </c>
      <c r="P12" s="152">
        <f>'Paste #BBall'!N12</f>
        <v>2.1</v>
      </c>
      <c r="Q12" s="152">
        <f>'Paste #BBall'!O12</f>
        <v>2.1</v>
      </c>
      <c r="R12" s="153" t="str">
        <f>Left(Right('Paste #BBall'!G12,Len('Paste #BBall'!G12)-Search("/",'Paste #BBall'!G12)),Len(Right('Paste #BBall'!G12,Len('Paste #BBall'!G12)-Search("/",'Paste #BBall'!G12)))-1)</f>
        <v>17.0</v>
      </c>
      <c r="S12" s="153" t="str">
        <f>Left(Right('Paste #BBall'!H12,Len('Paste #BBall'!H12)-Search("/",'Paste #BBall'!H12)),Len(Right('Paste #BBall'!H12,Len('Paste #BBall'!H12)-Search("/",'Paste #BBall'!H12)))-1)</f>
        <v>7.0</v>
      </c>
      <c r="T12" s="53"/>
      <c r="U12" s="156" t="s">
        <v>1700</v>
      </c>
      <c r="V12" s="157">
        <v>4.0</v>
      </c>
      <c r="W12" s="144">
        <v>3.0</v>
      </c>
      <c r="X12" s="144">
        <v>4.0</v>
      </c>
    </row>
    <row r="13">
      <c r="A13" s="33">
        <v>12.0</v>
      </c>
      <c r="B13" s="149" t="str">
        <f>'Paste #BBall'!B13</f>
        <v>LaMelo Ball</v>
      </c>
      <c r="C13" s="150" t="str">
        <f>'Paste #BBall'!C13</f>
        <v>PG,SG</v>
      </c>
      <c r="D13" s="150" t="str">
        <f>'Paste #BBall'!D13</f>
        <v>CHA</v>
      </c>
      <c r="E13" s="151">
        <f>'Paste #BBall'!E13</f>
        <v>69</v>
      </c>
      <c r="F13" s="152">
        <f>'Paste #BBall'!F13</f>
        <v>34.9</v>
      </c>
      <c r="G13" s="153" t="str">
        <f>right(Left('Paste #BBall'!G13,Search("/",'Paste #BBall'!G13)-1),len(Left('Paste #BBall'!G13,Search("/",'Paste #BBall'!G13)-1))-search("(",Left('Paste #BBall'!G13,Search("/",'Paste #BBall'!G13)-1)))</f>
        <v>8.3</v>
      </c>
      <c r="H13" s="152">
        <f t="shared" si="1"/>
        <v>0.4278350515</v>
      </c>
      <c r="I13" s="152" t="str">
        <f>right(Left('Paste #BBall'!H13,Search("/",'Paste #BBall'!H13)-1),len(Left('Paste #BBall'!H13,Search("/",'Paste #BBall'!H13)-1))-search("(",Left('Paste #BBall'!H13,Search("/",'Paste #BBall'!H13)-1)))</f>
        <v>3.0</v>
      </c>
      <c r="J13" s="152">
        <f t="shared" si="2"/>
        <v>0.8571428571</v>
      </c>
      <c r="K13" s="152">
        <f>'Paste #BBall'!I13</f>
        <v>3.7</v>
      </c>
      <c r="L13" s="152">
        <f>'Paste #BBall'!J13</f>
        <v>23.4</v>
      </c>
      <c r="M13" s="152">
        <f>'Paste #BBall'!K13</f>
        <v>7</v>
      </c>
      <c r="N13" s="152">
        <f>'Paste #BBall'!L13</f>
        <v>8.6</v>
      </c>
      <c r="O13" s="152">
        <f>'Paste #BBall'!M13</f>
        <v>1.6</v>
      </c>
      <c r="P13" s="152">
        <f>'Paste #BBall'!N13</f>
        <v>0.4</v>
      </c>
      <c r="Q13" s="152">
        <f>'Paste #BBall'!O13</f>
        <v>3.6</v>
      </c>
      <c r="R13" s="153" t="str">
        <f>Left(Right('Paste #BBall'!G13,Len('Paste #BBall'!G13)-Search("/",'Paste #BBall'!G13)),Len(Right('Paste #BBall'!G13,Len('Paste #BBall'!G13)-Search("/",'Paste #BBall'!G13)))-1)</f>
        <v>19.4</v>
      </c>
      <c r="S13" s="153" t="str">
        <f>Left(Right('Paste #BBall'!H13,Len('Paste #BBall'!H13)-Search("/",'Paste #BBall'!H13)),Len(Right('Paste #BBall'!H13,Len('Paste #BBall'!H13)-Search("/",'Paste #BBall'!H13)))-1)</f>
        <v>3.5</v>
      </c>
      <c r="T13" s="53"/>
      <c r="U13" s="156" t="s">
        <v>537</v>
      </c>
      <c r="V13" s="157">
        <v>4.0</v>
      </c>
      <c r="W13" s="144">
        <v>3.0</v>
      </c>
      <c r="X13" s="144">
        <v>4.0</v>
      </c>
    </row>
    <row r="14">
      <c r="A14" s="33">
        <v>13.0</v>
      </c>
      <c r="B14" s="149" t="str">
        <f>'Paste #BBall'!B14</f>
        <v>Donovan Mitchell</v>
      </c>
      <c r="C14" s="150" t="str">
        <f>'Paste #BBall'!C14</f>
        <v>PG,SG</v>
      </c>
      <c r="D14" s="150" t="str">
        <f>'Paste #BBall'!D14</f>
        <v>CLE</v>
      </c>
      <c r="E14" s="151">
        <f>'Paste #BBall'!E14</f>
        <v>69</v>
      </c>
      <c r="F14" s="152">
        <f>'Paste #BBall'!F14</f>
        <v>35.6</v>
      </c>
      <c r="G14" s="153" t="str">
        <f>right(Left('Paste #BBall'!G14,Search("/",'Paste #BBall'!G14)-1),len(Left('Paste #BBall'!G14,Search("/",'Paste #BBall'!G14)-1))-search("(",Left('Paste #BBall'!G14,Search("/",'Paste #BBall'!G14)-1)))</f>
        <v>9.8</v>
      </c>
      <c r="H14" s="152">
        <f t="shared" si="1"/>
        <v>0.4780487805</v>
      </c>
      <c r="I14" s="152" t="str">
        <f>right(Left('Paste #BBall'!H14,Search("/",'Paste #BBall'!H14)-1),len(Left('Paste #BBall'!H14,Search("/",'Paste #BBall'!H14)-1))-search("(",Left('Paste #BBall'!H14,Search("/",'Paste #BBall'!H14)-1)))</f>
        <v>4.5</v>
      </c>
      <c r="J14" s="152">
        <f t="shared" si="2"/>
        <v>0.8653846154</v>
      </c>
      <c r="K14" s="152">
        <f>'Paste #BBall'!I14</f>
        <v>3.6</v>
      </c>
      <c r="L14" s="152">
        <f>'Paste #BBall'!J14</f>
        <v>27.7</v>
      </c>
      <c r="M14" s="152">
        <f>'Paste #BBall'!K14</f>
        <v>4.4</v>
      </c>
      <c r="N14" s="152">
        <f>'Paste #BBall'!L14</f>
        <v>4.4</v>
      </c>
      <c r="O14" s="152">
        <f>'Paste #BBall'!M14</f>
        <v>1.5</v>
      </c>
      <c r="P14" s="152">
        <f>'Paste #BBall'!N14</f>
        <v>0.3</v>
      </c>
      <c r="Q14" s="152">
        <f>'Paste #BBall'!O14</f>
        <v>2.7</v>
      </c>
      <c r="R14" s="153" t="str">
        <f>Left(Right('Paste #BBall'!G14,Len('Paste #BBall'!G14)-Search("/",'Paste #BBall'!G14)),Len(Right('Paste #BBall'!G14,Len('Paste #BBall'!G14)-Search("/",'Paste #BBall'!G14)))-1)</f>
        <v>20.5</v>
      </c>
      <c r="S14" s="153" t="str">
        <f>Left(Right('Paste #BBall'!H14,Len('Paste #BBall'!H14)-Search("/",'Paste #BBall'!H14)),Len(Right('Paste #BBall'!H14,Len('Paste #BBall'!H14)-Search("/",'Paste #BBall'!H14)))-1)</f>
        <v>5.2</v>
      </c>
      <c r="T14" s="53"/>
      <c r="U14" s="156" t="s">
        <v>429</v>
      </c>
      <c r="V14" s="157">
        <v>3.0</v>
      </c>
      <c r="W14" s="144">
        <v>3.0</v>
      </c>
      <c r="X14" s="144">
        <v>3.0</v>
      </c>
    </row>
    <row r="15">
      <c r="A15" s="33">
        <v>14.0</v>
      </c>
      <c r="B15" s="149" t="str">
        <f>'Paste #BBall'!B15</f>
        <v>Devin Booker</v>
      </c>
      <c r="C15" s="150" t="str">
        <f>'Paste #BBall'!C15</f>
        <v>SG,SF</v>
      </c>
      <c r="D15" s="150" t="str">
        <f>'Paste #BBall'!D15</f>
        <v>PHO</v>
      </c>
      <c r="E15" s="151">
        <f>'Paste #BBall'!E15</f>
        <v>68</v>
      </c>
      <c r="F15" s="152">
        <f>'Paste #BBall'!F15</f>
        <v>35.1</v>
      </c>
      <c r="G15" s="153" t="str">
        <f>right(Left('Paste #BBall'!G15,Search("/",'Paste #BBall'!G15)-1),len(Left('Paste #BBall'!G15,Search("/",'Paste #BBall'!G15)-1))-search("(",Left('Paste #BBall'!G15,Search("/",'Paste #BBall'!G15)-1)))</f>
        <v>9.8</v>
      </c>
      <c r="H15" s="152">
        <f t="shared" si="1"/>
        <v>0.4875621891</v>
      </c>
      <c r="I15" s="152" t="str">
        <f>right(Left('Paste #BBall'!H15,Search("/",'Paste #BBall'!H15)-1),len(Left('Paste #BBall'!H15,Search("/",'Paste #BBall'!H15)-1))-search("(",Left('Paste #BBall'!H15,Search("/",'Paste #BBall'!H15)-1)))</f>
        <v>5.3</v>
      </c>
      <c r="J15" s="152">
        <f t="shared" si="2"/>
        <v>0.868852459</v>
      </c>
      <c r="K15" s="152">
        <f>'Paste #BBall'!I15</f>
        <v>2.3</v>
      </c>
      <c r="L15" s="152">
        <f>'Paste #BBall'!J15</f>
        <v>27.2</v>
      </c>
      <c r="M15" s="152">
        <f>'Paste #BBall'!K15</f>
        <v>4.9</v>
      </c>
      <c r="N15" s="152">
        <f>'Paste #BBall'!L15</f>
        <v>6.3</v>
      </c>
      <c r="O15" s="152">
        <f>'Paste #BBall'!M15</f>
        <v>1.1</v>
      </c>
      <c r="P15" s="152">
        <f>'Paste #BBall'!N15</f>
        <v>0.4</v>
      </c>
      <c r="Q15" s="152">
        <f>'Paste #BBall'!O15</f>
        <v>2.6</v>
      </c>
      <c r="R15" s="153" t="str">
        <f>Left(Right('Paste #BBall'!G15,Len('Paste #BBall'!G15)-Search("/",'Paste #BBall'!G15)),Len(Right('Paste #BBall'!G15,Len('Paste #BBall'!G15)-Search("/",'Paste #BBall'!G15)))-1)</f>
        <v>20.1</v>
      </c>
      <c r="S15" s="153" t="str">
        <f>Left(Right('Paste #BBall'!H15,Len('Paste #BBall'!H15)-Search("/",'Paste #BBall'!H15)),Len(Right('Paste #BBall'!H15,Len('Paste #BBall'!H15)-Search("/",'Paste #BBall'!H15)))-1)</f>
        <v>6.1</v>
      </c>
      <c r="T15" s="53"/>
      <c r="U15" s="156" t="s">
        <v>491</v>
      </c>
      <c r="V15" s="157">
        <v>3.0</v>
      </c>
      <c r="W15" s="144">
        <v>2.0</v>
      </c>
      <c r="X15" s="144">
        <v>4.0</v>
      </c>
    </row>
    <row r="16">
      <c r="A16" s="33">
        <v>15.0</v>
      </c>
      <c r="B16" s="149" t="str">
        <f>'Paste #BBall'!B16</f>
        <v>Trae Young</v>
      </c>
      <c r="C16" s="150" t="str">
        <f>'Paste #BBall'!C16</f>
        <v>PG</v>
      </c>
      <c r="D16" s="150" t="str">
        <f>'Paste #BBall'!D16</f>
        <v>ATL</v>
      </c>
      <c r="E16" s="151">
        <f>'Paste #BBall'!E16</f>
        <v>75</v>
      </c>
      <c r="F16" s="152">
        <f>'Paste #BBall'!F16</f>
        <v>34.8</v>
      </c>
      <c r="G16" s="153" t="str">
        <f>right(Left('Paste #BBall'!G16,Search("/",'Paste #BBall'!G16)-1),len(Left('Paste #BBall'!G16,Search("/",'Paste #BBall'!G16)-1))-search("(",Left('Paste #BBall'!G16,Search("/",'Paste #BBall'!G16)-1)))</f>
        <v>8.9</v>
      </c>
      <c r="H16" s="152">
        <f t="shared" si="1"/>
        <v>0.4362745098</v>
      </c>
      <c r="I16" s="152" t="str">
        <f>right(Left('Paste #BBall'!H16,Search("/",'Paste #BBall'!H16)-1),len(Left('Paste #BBall'!H16,Search("/",'Paste #BBall'!H16)-1))-search("(",Left('Paste #BBall'!H16,Search("/",'Paste #BBall'!H16)-1)))</f>
        <v>7.2</v>
      </c>
      <c r="J16" s="152">
        <f t="shared" si="2"/>
        <v>0.8888888889</v>
      </c>
      <c r="K16" s="152">
        <f>'Paste #BBall'!I16</f>
        <v>2.2</v>
      </c>
      <c r="L16" s="152">
        <f>'Paste #BBall'!J16</f>
        <v>27.1</v>
      </c>
      <c r="M16" s="152">
        <f>'Paste #BBall'!K16</f>
        <v>3.4</v>
      </c>
      <c r="N16" s="152">
        <f>'Paste #BBall'!L16</f>
        <v>10</v>
      </c>
      <c r="O16" s="152">
        <f>'Paste #BBall'!M16</f>
        <v>1.1</v>
      </c>
      <c r="P16" s="152">
        <f>'Paste #BBall'!N16</f>
        <v>0.1</v>
      </c>
      <c r="Q16" s="152">
        <f>'Paste #BBall'!O16</f>
        <v>4.1</v>
      </c>
      <c r="R16" s="153" t="str">
        <f>Left(Right('Paste #BBall'!G16,Len('Paste #BBall'!G16)-Search("/",'Paste #BBall'!G16)),Len(Right('Paste #BBall'!G16,Len('Paste #BBall'!G16)-Search("/",'Paste #BBall'!G16)))-1)</f>
        <v>20.4</v>
      </c>
      <c r="S16" s="153" t="str">
        <f>Left(Right('Paste #BBall'!H16,Len('Paste #BBall'!H16)-Search("/",'Paste #BBall'!H16)),Len(Right('Paste #BBall'!H16,Len('Paste #BBall'!H16)-Search("/",'Paste #BBall'!H16)))-1)</f>
        <v>8.1</v>
      </c>
      <c r="T16" s="53"/>
      <c r="U16" s="156" t="s">
        <v>457</v>
      </c>
      <c r="V16" s="157">
        <v>4.0</v>
      </c>
      <c r="W16" s="144">
        <v>3.0</v>
      </c>
      <c r="X16" s="144">
        <v>4.0</v>
      </c>
    </row>
    <row r="17">
      <c r="A17" s="33">
        <v>16.0</v>
      </c>
      <c r="B17" s="149" t="str">
        <f>'Paste #BBall'!B17</f>
        <v>Domantas Sabonis</v>
      </c>
      <c r="C17" s="150" t="str">
        <f>'Paste #BBall'!C17</f>
        <v>PF,C</v>
      </c>
      <c r="D17" s="150" t="str">
        <f>'Paste #BBall'!D17</f>
        <v>SAC</v>
      </c>
      <c r="E17" s="151">
        <f>'Paste #BBall'!E17</f>
        <v>72</v>
      </c>
      <c r="F17" s="152">
        <f>'Paste #BBall'!F17</f>
        <v>34.6</v>
      </c>
      <c r="G17" s="153" t="str">
        <f>right(Left('Paste #BBall'!G17,Search("/",'Paste #BBall'!G17)-1),len(Left('Paste #BBall'!G17,Search("/",'Paste #BBall'!G17)-1))-search("(",Left('Paste #BBall'!G17,Search("/",'Paste #BBall'!G17)-1)))</f>
        <v>7.4</v>
      </c>
      <c r="H17" s="152">
        <f t="shared" si="1"/>
        <v>0.606557377</v>
      </c>
      <c r="I17" s="152" t="str">
        <f>right(Left('Paste #BBall'!H17,Search("/",'Paste #BBall'!H17)-1),len(Left('Paste #BBall'!H17,Search("/",'Paste #BBall'!H17)-1))-search("(",Left('Paste #BBall'!H17,Search("/",'Paste #BBall'!H17)-1)))</f>
        <v>4.1</v>
      </c>
      <c r="J17" s="152">
        <f t="shared" si="2"/>
        <v>0.7454545455</v>
      </c>
      <c r="K17" s="152">
        <f>'Paste #BBall'!I17</f>
        <v>0.5</v>
      </c>
      <c r="L17" s="152">
        <f>'Paste #BBall'!J17</f>
        <v>19.5</v>
      </c>
      <c r="M17" s="152">
        <f>'Paste #BBall'!K17</f>
        <v>12.4</v>
      </c>
      <c r="N17" s="152">
        <f>'Paste #BBall'!L17</f>
        <v>7.3</v>
      </c>
      <c r="O17" s="152">
        <f>'Paste #BBall'!M17</f>
        <v>0.9</v>
      </c>
      <c r="P17" s="152">
        <f>'Paste #BBall'!N17</f>
        <v>0.5</v>
      </c>
      <c r="Q17" s="152">
        <f>'Paste #BBall'!O17</f>
        <v>3</v>
      </c>
      <c r="R17" s="153" t="str">
        <f>Left(Right('Paste #BBall'!G17,Len('Paste #BBall'!G17)-Search("/",'Paste #BBall'!G17)),Len(Right('Paste #BBall'!G17,Len('Paste #BBall'!G17)-Search("/",'Paste #BBall'!G17)))-1)</f>
        <v>12.2</v>
      </c>
      <c r="S17" s="153" t="str">
        <f>Left(Right('Paste #BBall'!H17,Len('Paste #BBall'!H17)-Search("/",'Paste #BBall'!H17)),Len(Right('Paste #BBall'!H17,Len('Paste #BBall'!H17)-Search("/",'Paste #BBall'!H17)))-1)</f>
        <v>5.5</v>
      </c>
      <c r="T17" s="53"/>
      <c r="U17" s="156" t="s">
        <v>480</v>
      </c>
      <c r="V17" s="157">
        <v>4.0</v>
      </c>
      <c r="W17" s="144">
        <v>3.0</v>
      </c>
      <c r="X17" s="144">
        <v>4.0</v>
      </c>
    </row>
    <row r="18">
      <c r="A18" s="33">
        <v>17.0</v>
      </c>
      <c r="B18" s="149" t="str">
        <f>'Paste #BBall'!B18</f>
        <v>Jaren Jackson Jr.</v>
      </c>
      <c r="C18" s="150" t="str">
        <f>'Paste #BBall'!C18</f>
        <v>PF,C</v>
      </c>
      <c r="D18" s="150" t="str">
        <f>'Paste #BBall'!D18</f>
        <v>MEM</v>
      </c>
      <c r="E18" s="151">
        <f>'Paste #BBall'!E18</f>
        <v>69</v>
      </c>
      <c r="F18" s="152">
        <f>'Paste #BBall'!F18</f>
        <v>29.2</v>
      </c>
      <c r="G18" s="153" t="str">
        <f>right(Left('Paste #BBall'!G18,Search("/",'Paste #BBall'!G18)-1),len(Left('Paste #BBall'!G18,Search("/",'Paste #BBall'!G18)-1))-search("(",Left('Paste #BBall'!G18,Search("/",'Paste #BBall'!G18)-1)))</f>
        <v>7.0</v>
      </c>
      <c r="H18" s="152">
        <f t="shared" si="1"/>
        <v>0.4794520548</v>
      </c>
      <c r="I18" s="152" t="str">
        <f>right(Left('Paste #BBall'!H18,Search("/",'Paste #BBall'!H18)-1),len(Left('Paste #BBall'!H18,Search("/",'Paste #BBall'!H18)-1))-search("(",Left('Paste #BBall'!H18,Search("/",'Paste #BBall'!H18)-1)))</f>
        <v>4.0</v>
      </c>
      <c r="J18" s="152">
        <f t="shared" si="2"/>
        <v>0.8</v>
      </c>
      <c r="K18" s="152">
        <f>'Paste #BBall'!I18</f>
        <v>1.7</v>
      </c>
      <c r="L18" s="152">
        <f>'Paste #BBall'!J18</f>
        <v>19.6</v>
      </c>
      <c r="M18" s="152">
        <f>'Paste #BBall'!K18</f>
        <v>7.1</v>
      </c>
      <c r="N18" s="152">
        <f>'Paste #BBall'!L18</f>
        <v>1.2</v>
      </c>
      <c r="O18" s="152">
        <f>'Paste #BBall'!M18</f>
        <v>1</v>
      </c>
      <c r="P18" s="152">
        <f>'Paste #BBall'!N18</f>
        <v>2.6</v>
      </c>
      <c r="Q18" s="152">
        <f>'Paste #BBall'!O18</f>
        <v>2</v>
      </c>
      <c r="R18" s="153" t="str">
        <f>Left(Right('Paste #BBall'!G18,Len('Paste #BBall'!G18)-Search("/",'Paste #BBall'!G18)),Len(Right('Paste #BBall'!G18,Len('Paste #BBall'!G18)-Search("/",'Paste #BBall'!G18)))-1)</f>
        <v>14.6</v>
      </c>
      <c r="S18" s="153" t="str">
        <f>Left(Right('Paste #BBall'!H18,Len('Paste #BBall'!H18)-Search("/",'Paste #BBall'!H18)),Len(Right('Paste #BBall'!H18,Len('Paste #BBall'!H18)-Search("/",'Paste #BBall'!H18)))-1)</f>
        <v>5.0</v>
      </c>
      <c r="T18" s="53"/>
      <c r="U18" s="156" t="s">
        <v>487</v>
      </c>
      <c r="V18" s="157">
        <v>4.0</v>
      </c>
      <c r="W18" s="144">
        <v>4.0</v>
      </c>
      <c r="X18" s="144">
        <v>3.0</v>
      </c>
    </row>
    <row r="19">
      <c r="A19" s="33">
        <v>18.0</v>
      </c>
      <c r="B19" s="149" t="str">
        <f>'Paste #BBall'!B19</f>
        <v>James Harden</v>
      </c>
      <c r="C19" s="150" t="str">
        <f>'Paste #BBall'!C19</f>
        <v>PG,SG</v>
      </c>
      <c r="D19" s="150" t="str">
        <f>'Paste #BBall'!D19</f>
        <v>PHI</v>
      </c>
      <c r="E19" s="151">
        <f>'Paste #BBall'!E19</f>
        <v>60</v>
      </c>
      <c r="F19" s="152">
        <f>'Paste #BBall'!F19</f>
        <v>35.5</v>
      </c>
      <c r="G19" s="153" t="str">
        <f>right(Left('Paste #BBall'!G19,Search("/",'Paste #BBall'!G19)-1),len(Left('Paste #BBall'!G19,Search("/",'Paste #BBall'!G19)-1))-search("(",Left('Paste #BBall'!G19,Search("/",'Paste #BBall'!G19)-1)))</f>
        <v>5.9</v>
      </c>
      <c r="H19" s="152">
        <f t="shared" si="1"/>
        <v>0.4275362319</v>
      </c>
      <c r="I19" s="152" t="str">
        <f>right(Left('Paste #BBall'!H19,Search("/",'Paste #BBall'!H19)-1),len(Left('Paste #BBall'!H19,Search("/",'Paste #BBall'!H19)-1))-search("(",Left('Paste #BBall'!H19,Search("/",'Paste #BBall'!H19)-1)))</f>
        <v>5.9</v>
      </c>
      <c r="J19" s="152">
        <f t="shared" si="2"/>
        <v>0.8676470588</v>
      </c>
      <c r="K19" s="152">
        <f>'Paste #BBall'!I19</f>
        <v>2.4</v>
      </c>
      <c r="L19" s="152">
        <f>'Paste #BBall'!J19</f>
        <v>20</v>
      </c>
      <c r="M19" s="152">
        <f>'Paste #BBall'!K19</f>
        <v>5.6</v>
      </c>
      <c r="N19" s="152">
        <f>'Paste #BBall'!L19</f>
        <v>10.1</v>
      </c>
      <c r="O19" s="152">
        <f>'Paste #BBall'!M19</f>
        <v>1.1</v>
      </c>
      <c r="P19" s="152">
        <f>'Paste #BBall'!N19</f>
        <v>0.5</v>
      </c>
      <c r="Q19" s="152">
        <f>'Paste #BBall'!O19</f>
        <v>3.8</v>
      </c>
      <c r="R19" s="153" t="str">
        <f>Left(Right('Paste #BBall'!G19,Len('Paste #BBall'!G19)-Search("/",'Paste #BBall'!G19)),Len(Right('Paste #BBall'!G19,Len('Paste #BBall'!G19)-Search("/",'Paste #BBall'!G19)))-1)</f>
        <v>13.8</v>
      </c>
      <c r="S19" s="153" t="str">
        <f>Left(Right('Paste #BBall'!H19,Len('Paste #BBall'!H19)-Search("/",'Paste #BBall'!H19)),Len(Right('Paste #BBall'!H19,Len('Paste #BBall'!H19)-Search("/",'Paste #BBall'!H19)))-1)</f>
        <v>6.8</v>
      </c>
      <c r="T19" s="53"/>
      <c r="U19" s="156" t="s">
        <v>449</v>
      </c>
      <c r="V19" s="157">
        <v>4.0</v>
      </c>
      <c r="W19" s="144">
        <v>4.0</v>
      </c>
      <c r="X19" s="144">
        <v>3.0</v>
      </c>
    </row>
    <row r="20">
      <c r="A20" s="33">
        <v>19.0</v>
      </c>
      <c r="B20" s="149" t="str">
        <f>'Paste #BBall'!B20</f>
        <v>Jimmy Butler</v>
      </c>
      <c r="C20" s="150" t="str">
        <f>'Paste #BBall'!C20</f>
        <v>SF,PF</v>
      </c>
      <c r="D20" s="150" t="str">
        <f>'Paste #BBall'!D20</f>
        <v>MIA</v>
      </c>
      <c r="E20" s="151">
        <f>'Paste #BBall'!E20</f>
        <v>65</v>
      </c>
      <c r="F20" s="152">
        <f>'Paste #BBall'!F20</f>
        <v>33.3</v>
      </c>
      <c r="G20" s="153" t="str">
        <f>right(Left('Paste #BBall'!G20,Search("/",'Paste #BBall'!G20)-1),len(Left('Paste #BBall'!G20,Search("/",'Paste #BBall'!G20)-1))-search("(",Left('Paste #BBall'!G20,Search("/",'Paste #BBall'!G20)-1)))</f>
        <v>7.0</v>
      </c>
      <c r="H20" s="152">
        <f t="shared" si="1"/>
        <v>0.5147058824</v>
      </c>
      <c r="I20" s="152" t="str">
        <f>right(Left('Paste #BBall'!H20,Search("/",'Paste #BBall'!H20)-1),len(Left('Paste #BBall'!H20,Search("/",'Paste #BBall'!H20)-1))-search("(",Left('Paste #BBall'!H20,Search("/",'Paste #BBall'!H20)-1)))</f>
        <v>6.9</v>
      </c>
      <c r="J20" s="152">
        <f t="shared" si="2"/>
        <v>0.8625</v>
      </c>
      <c r="K20" s="152">
        <f>'Paste #BBall'!I20</f>
        <v>0.5</v>
      </c>
      <c r="L20" s="152">
        <f>'Paste #BBall'!J20</f>
        <v>21.3</v>
      </c>
      <c r="M20" s="152">
        <f>'Paste #BBall'!K20</f>
        <v>5.7</v>
      </c>
      <c r="N20" s="152">
        <f>'Paste #BBall'!L20</f>
        <v>5</v>
      </c>
      <c r="O20" s="152">
        <f>'Paste #BBall'!M20</f>
        <v>1.6</v>
      </c>
      <c r="P20" s="152">
        <f>'Paste #BBall'!N20</f>
        <v>0.4</v>
      </c>
      <c r="Q20" s="152">
        <f>'Paste #BBall'!O20</f>
        <v>1.8</v>
      </c>
      <c r="R20" s="153" t="str">
        <f>Left(Right('Paste #BBall'!G20,Len('Paste #BBall'!G20)-Search("/",'Paste #BBall'!G20)),Len(Right('Paste #BBall'!G20,Len('Paste #BBall'!G20)-Search("/",'Paste #BBall'!G20)))-1)</f>
        <v>13.6</v>
      </c>
      <c r="S20" s="153" t="str">
        <f>Left(Right('Paste #BBall'!H20,Len('Paste #BBall'!H20)-Search("/",'Paste #BBall'!H20)),Len(Right('Paste #BBall'!H20,Len('Paste #BBall'!H20)-Search("/",'Paste #BBall'!H20)))-1)</f>
        <v>8.0</v>
      </c>
      <c r="T20" s="53"/>
      <c r="U20" s="156" t="s">
        <v>398</v>
      </c>
      <c r="V20" s="157">
        <v>4.0</v>
      </c>
      <c r="W20" s="144">
        <v>2.0</v>
      </c>
      <c r="X20" s="144">
        <v>3.0</v>
      </c>
    </row>
    <row r="21">
      <c r="A21" s="33">
        <v>20.0</v>
      </c>
      <c r="B21" s="149" t="str">
        <f>'Paste #BBall'!B21</f>
        <v>Kawhi Leonard</v>
      </c>
      <c r="C21" s="150" t="str">
        <f>'Paste #BBall'!C21</f>
        <v>SG,SF</v>
      </c>
      <c r="D21" s="150" t="str">
        <f>'Paste #BBall'!D21</f>
        <v>LAC</v>
      </c>
      <c r="E21" s="151">
        <f>'Paste #BBall'!E21</f>
        <v>56</v>
      </c>
      <c r="F21" s="152">
        <f>'Paste #BBall'!F21</f>
        <v>33.4</v>
      </c>
      <c r="G21" s="153" t="str">
        <f>right(Left('Paste #BBall'!G21,Search("/",'Paste #BBall'!G21)-1),len(Left('Paste #BBall'!G21,Search("/",'Paste #BBall'!G21)-1))-search("(",Left('Paste #BBall'!G21,Search("/",'Paste #BBall'!G21)-1)))</f>
        <v>8.4</v>
      </c>
      <c r="H21" s="152">
        <f t="shared" si="1"/>
        <v>0.502994012</v>
      </c>
      <c r="I21" s="152" t="str">
        <f>right(Left('Paste #BBall'!H21,Search("/",'Paste #BBall'!H21)-1),len(Left('Paste #BBall'!H21,Search("/",'Paste #BBall'!H21)-1))-search("(",Left('Paste #BBall'!H21,Search("/",'Paste #BBall'!H21)-1)))</f>
        <v>4.4</v>
      </c>
      <c r="J21" s="152">
        <f t="shared" si="2"/>
        <v>0.862745098</v>
      </c>
      <c r="K21" s="152">
        <f>'Paste #BBall'!I21</f>
        <v>1.9</v>
      </c>
      <c r="L21" s="152">
        <f>'Paste #BBall'!J21</f>
        <v>23.2</v>
      </c>
      <c r="M21" s="152">
        <f>'Paste #BBall'!K21</f>
        <v>6.2</v>
      </c>
      <c r="N21" s="152">
        <f>'Paste #BBall'!L21</f>
        <v>3.7</v>
      </c>
      <c r="O21" s="152">
        <f>'Paste #BBall'!M21</f>
        <v>1.3</v>
      </c>
      <c r="P21" s="152">
        <f>'Paste #BBall'!N21</f>
        <v>0.5</v>
      </c>
      <c r="Q21" s="152">
        <f>'Paste #BBall'!O21</f>
        <v>1.7</v>
      </c>
      <c r="R21" s="153" t="str">
        <f>Left(Right('Paste #BBall'!G21,Len('Paste #BBall'!G21)-Search("/",'Paste #BBall'!G21)),Len(Right('Paste #BBall'!G21,Len('Paste #BBall'!G21)-Search("/",'Paste #BBall'!G21)))-1)</f>
        <v>16.7</v>
      </c>
      <c r="S21" s="153" t="str">
        <f>Left(Right('Paste #BBall'!H21,Len('Paste #BBall'!H21)-Search("/",'Paste #BBall'!H21)),Len(Right('Paste #BBall'!H21,Len('Paste #BBall'!H21)-Search("/",'Paste #BBall'!H21)))-1)</f>
        <v>5.1</v>
      </c>
      <c r="T21" s="53"/>
      <c r="U21" s="156" t="s">
        <v>1701</v>
      </c>
      <c r="V21" s="157">
        <v>3.0</v>
      </c>
      <c r="W21" s="144">
        <v>4.0</v>
      </c>
      <c r="X21" s="144">
        <v>2.0</v>
      </c>
    </row>
    <row r="22">
      <c r="A22" s="33">
        <v>21.0</v>
      </c>
      <c r="B22" s="149" t="str">
        <f>'Paste #BBall'!B22</f>
        <v>Giannis Antetokounmpo</v>
      </c>
      <c r="C22" s="150" t="str">
        <f>'Paste #BBall'!C22</f>
        <v>PF,C</v>
      </c>
      <c r="D22" s="150" t="str">
        <f>'Paste #BBall'!D22</f>
        <v>MIL</v>
      </c>
      <c r="E22" s="151">
        <f>'Paste #BBall'!E22</f>
        <v>65</v>
      </c>
      <c r="F22" s="152">
        <f>'Paste #BBall'!F22</f>
        <v>32</v>
      </c>
      <c r="G22" s="153" t="str">
        <f>right(Left('Paste #BBall'!G22,Search("/",'Paste #BBall'!G22)-1),len(Left('Paste #BBall'!G22,Search("/",'Paste #BBall'!G22)-1))-search("(",Left('Paste #BBall'!G22,Search("/",'Paste #BBall'!G22)-1)))</f>
        <v>9.7</v>
      </c>
      <c r="H22" s="152">
        <f t="shared" si="1"/>
        <v>0.567251462</v>
      </c>
      <c r="I22" s="152" t="str">
        <f>right(Left('Paste #BBall'!H22,Search("/",'Paste #BBall'!H22)-1),len(Left('Paste #BBall'!H22,Search("/",'Paste #BBall'!H22)-1))-search("(",Left('Paste #BBall'!H22,Search("/",'Paste #BBall'!H22)-1)))</f>
        <v>8.0</v>
      </c>
      <c r="J22" s="152">
        <f t="shared" si="2"/>
        <v>0.6779661017</v>
      </c>
      <c r="K22" s="152">
        <f>'Paste #BBall'!I22</f>
        <v>0.9</v>
      </c>
      <c r="L22" s="152">
        <f>'Paste #BBall'!J22</f>
        <v>28.3</v>
      </c>
      <c r="M22" s="152">
        <f>'Paste #BBall'!K22</f>
        <v>11.6</v>
      </c>
      <c r="N22" s="152">
        <f>'Paste #BBall'!L22</f>
        <v>5.7</v>
      </c>
      <c r="O22" s="152">
        <f>'Paste #BBall'!M22</f>
        <v>1.1</v>
      </c>
      <c r="P22" s="152">
        <f>'Paste #BBall'!N22</f>
        <v>1</v>
      </c>
      <c r="Q22" s="152">
        <f>'Paste #BBall'!O22</f>
        <v>3.6</v>
      </c>
      <c r="R22" s="153" t="str">
        <f>Left(Right('Paste #BBall'!G22,Len('Paste #BBall'!G22)-Search("/",'Paste #BBall'!G22)),Len(Right('Paste #BBall'!G22,Len('Paste #BBall'!G22)-Search("/",'Paste #BBall'!G22)))-1)</f>
        <v>17.1</v>
      </c>
      <c r="S22" s="153" t="str">
        <f>Left(Right('Paste #BBall'!H22,Len('Paste #BBall'!H22)-Search("/",'Paste #BBall'!H22)),Len(Right('Paste #BBall'!H22,Len('Paste #BBall'!H22)-Search("/",'Paste #BBall'!H22)))-1)</f>
        <v>11.8</v>
      </c>
      <c r="T22" s="53"/>
      <c r="U22" s="156" t="s">
        <v>1702</v>
      </c>
      <c r="V22" s="157">
        <v>2.0</v>
      </c>
      <c r="W22" s="144">
        <v>4.0</v>
      </c>
      <c r="X22" s="144">
        <v>3.0</v>
      </c>
    </row>
    <row r="23">
      <c r="A23" s="33">
        <v>22.0</v>
      </c>
      <c r="B23" s="149" t="str">
        <f>'Paste #BBall'!B23</f>
        <v>Karl-Anthony Towns</v>
      </c>
      <c r="C23" s="150" t="str">
        <f>'Paste #BBall'!C23</f>
        <v>PF,C</v>
      </c>
      <c r="D23" s="150" t="str">
        <f>'Paste #BBall'!D23</f>
        <v>MIN</v>
      </c>
      <c r="E23" s="151">
        <f>'Paste #BBall'!E23</f>
        <v>70</v>
      </c>
      <c r="F23" s="152">
        <f>'Paste #BBall'!F23</f>
        <v>32.9</v>
      </c>
      <c r="G23" s="153" t="str">
        <f>right(Left('Paste #BBall'!G23,Search("/",'Paste #BBall'!G23)-1),len(Left('Paste #BBall'!G23,Search("/",'Paste #BBall'!G23)-1))-search("(",Left('Paste #BBall'!G23,Search("/",'Paste #BBall'!G23)-1)))</f>
        <v>7.5</v>
      </c>
      <c r="H23" s="152">
        <f t="shared" si="1"/>
        <v>0.5</v>
      </c>
      <c r="I23" s="152" t="str">
        <f>right(Left('Paste #BBall'!H23,Search("/",'Paste #BBall'!H23)-1),len(Left('Paste #BBall'!H23,Search("/",'Paste #BBall'!H23)-1))-search("(",Left('Paste #BBall'!H23,Search("/",'Paste #BBall'!H23)-1)))</f>
        <v>4.4</v>
      </c>
      <c r="J23" s="152">
        <f t="shared" si="2"/>
        <v>0.8461538462</v>
      </c>
      <c r="K23" s="152">
        <f>'Paste #BBall'!I23</f>
        <v>2.1</v>
      </c>
      <c r="L23" s="152">
        <f>'Paste #BBall'!J23</f>
        <v>21.4</v>
      </c>
      <c r="M23" s="152">
        <f>'Paste #BBall'!K23</f>
        <v>8.5</v>
      </c>
      <c r="N23" s="152">
        <f>'Paste #BBall'!L23</f>
        <v>4.6</v>
      </c>
      <c r="O23" s="152">
        <f>'Paste #BBall'!M23</f>
        <v>0.7</v>
      </c>
      <c r="P23" s="152">
        <f>'Paste #BBall'!N23</f>
        <v>0.7</v>
      </c>
      <c r="Q23" s="152">
        <f>'Paste #BBall'!O23</f>
        <v>2.8</v>
      </c>
      <c r="R23" s="153" t="str">
        <f>Left(Right('Paste #BBall'!G23,Len('Paste #BBall'!G23)-Search("/",'Paste #BBall'!G23)),Len(Right('Paste #BBall'!G23,Len('Paste #BBall'!G23)-Search("/",'Paste #BBall'!G23)))-1)</f>
        <v>15.0</v>
      </c>
      <c r="S23" s="153" t="str">
        <f>Left(Right('Paste #BBall'!H23,Len('Paste #BBall'!H23)-Search("/",'Paste #BBall'!H23)),Len(Right('Paste #BBall'!H23,Len('Paste #BBall'!H23)-Search("/",'Paste #BBall'!H23)))-1)</f>
        <v>5.2</v>
      </c>
      <c r="T23" s="53"/>
      <c r="U23" s="156" t="s">
        <v>425</v>
      </c>
      <c r="V23" s="157">
        <v>3.0</v>
      </c>
      <c r="W23" s="144">
        <v>4.0</v>
      </c>
      <c r="X23" s="144">
        <v>4.0</v>
      </c>
    </row>
    <row r="24">
      <c r="A24" s="33">
        <v>23.0</v>
      </c>
      <c r="B24" s="149" t="str">
        <f>'Paste #BBall'!B24</f>
        <v>Anthony Edwards</v>
      </c>
      <c r="C24" s="150" t="str">
        <f>'Paste #BBall'!C24</f>
        <v>SG,SF</v>
      </c>
      <c r="D24" s="150" t="str">
        <f>'Paste #BBall'!D24</f>
        <v>MIN</v>
      </c>
      <c r="E24" s="151">
        <f>'Paste #BBall'!E24</f>
        <v>76</v>
      </c>
      <c r="F24" s="152">
        <f>'Paste #BBall'!F24</f>
        <v>35.8</v>
      </c>
      <c r="G24" s="153" t="str">
        <f>right(Left('Paste #BBall'!G24,Search("/",'Paste #BBall'!G24)-1),len(Left('Paste #BBall'!G24,Search("/",'Paste #BBall'!G24)-1))-search("(",Left('Paste #BBall'!G24,Search("/",'Paste #BBall'!G24)-1)))</f>
        <v>9.2</v>
      </c>
      <c r="H24" s="152">
        <f t="shared" si="1"/>
        <v>0.4623115578</v>
      </c>
      <c r="I24" s="152" t="str">
        <f>right(Left('Paste #BBall'!H24,Search("/",'Paste #BBall'!H24)-1),len(Left('Paste #BBall'!H24,Search("/",'Paste #BBall'!H24)-1))-search("(",Left('Paste #BBall'!H24,Search("/",'Paste #BBall'!H24)-1)))</f>
        <v>4.3</v>
      </c>
      <c r="J24" s="152">
        <f t="shared" si="2"/>
        <v>0.7678571429</v>
      </c>
      <c r="K24" s="152">
        <f>'Paste #BBall'!I24</f>
        <v>3</v>
      </c>
      <c r="L24" s="152">
        <f>'Paste #BBall'!J24</f>
        <v>25.8</v>
      </c>
      <c r="M24" s="152">
        <f>'Paste #BBall'!K24</f>
        <v>5.7</v>
      </c>
      <c r="N24" s="152">
        <f>'Paste #BBall'!L24</f>
        <v>4.8</v>
      </c>
      <c r="O24" s="152">
        <f>'Paste #BBall'!M24</f>
        <v>1.6</v>
      </c>
      <c r="P24" s="152">
        <f>'Paste #BBall'!N24</f>
        <v>0.7</v>
      </c>
      <c r="Q24" s="152">
        <f>'Paste #BBall'!O24</f>
        <v>3.2</v>
      </c>
      <c r="R24" s="153" t="str">
        <f>Left(Right('Paste #BBall'!G24,Len('Paste #BBall'!G24)-Search("/",'Paste #BBall'!G24)),Len(Right('Paste #BBall'!G24,Len('Paste #BBall'!G24)-Search("/",'Paste #BBall'!G24)))-1)</f>
        <v>19.9</v>
      </c>
      <c r="S24" s="153" t="str">
        <f>Left(Right('Paste #BBall'!H24,Len('Paste #BBall'!H24)-Search("/",'Paste #BBall'!H24)),Len(Right('Paste #BBall'!H24,Len('Paste #BBall'!H24)-Search("/",'Paste #BBall'!H24)))-1)</f>
        <v>5.6</v>
      </c>
      <c r="T24" s="53"/>
      <c r="U24" s="156" t="s">
        <v>619</v>
      </c>
      <c r="V24" s="157">
        <v>4.0</v>
      </c>
      <c r="W24" s="144">
        <v>3.0</v>
      </c>
      <c r="X24" s="144">
        <v>4.0</v>
      </c>
    </row>
    <row r="25">
      <c r="A25" s="33">
        <v>24.0</v>
      </c>
      <c r="B25" s="149" t="str">
        <f>'Paste #BBall'!B25</f>
        <v>Mikal Bridges</v>
      </c>
      <c r="C25" s="150" t="str">
        <f>'Paste #BBall'!C25</f>
        <v>SG,SF</v>
      </c>
      <c r="D25" s="150" t="str">
        <f>'Paste #BBall'!D25</f>
        <v>BKN</v>
      </c>
      <c r="E25" s="151">
        <f>'Paste #BBall'!E25</f>
        <v>80</v>
      </c>
      <c r="F25" s="152">
        <f>'Paste #BBall'!F25</f>
        <v>35.6</v>
      </c>
      <c r="G25" s="153" t="str">
        <f>right(Left('Paste #BBall'!G25,Search("/",'Paste #BBall'!G25)-1),len(Left('Paste #BBall'!G25,Search("/",'Paste #BBall'!G25)-1))-search("(",Left('Paste #BBall'!G25,Search("/",'Paste #BBall'!G25)-1)))</f>
        <v>9.1</v>
      </c>
      <c r="H25" s="152">
        <f t="shared" si="1"/>
        <v>0.4739583333</v>
      </c>
      <c r="I25" s="152" t="str">
        <f>right(Left('Paste #BBall'!H25,Search("/",'Paste #BBall'!H25)-1),len(Left('Paste #BBall'!H25,Search("/",'Paste #BBall'!H25)-1))-search("(",Left('Paste #BBall'!H25,Search("/",'Paste #BBall'!H25)-1)))</f>
        <v>4.7</v>
      </c>
      <c r="J25" s="152">
        <f t="shared" si="2"/>
        <v>0.8703703704</v>
      </c>
      <c r="K25" s="152">
        <f>'Paste #BBall'!I25</f>
        <v>2.4</v>
      </c>
      <c r="L25" s="152">
        <f>'Paste #BBall'!J25</f>
        <v>25.4</v>
      </c>
      <c r="M25" s="152">
        <f>'Paste #BBall'!K25</f>
        <v>4.6</v>
      </c>
      <c r="N25" s="152">
        <f>'Paste #BBall'!L25</f>
        <v>3.4</v>
      </c>
      <c r="O25" s="152">
        <f>'Paste #BBall'!M25</f>
        <v>1.1</v>
      </c>
      <c r="P25" s="152">
        <f>'Paste #BBall'!N25</f>
        <v>0.6</v>
      </c>
      <c r="Q25" s="152">
        <f>'Paste #BBall'!O25</f>
        <v>1.8</v>
      </c>
      <c r="R25" s="153" t="str">
        <f>Left(Right('Paste #BBall'!G25,Len('Paste #BBall'!G25)-Search("/",'Paste #BBall'!G25)),Len(Right('Paste #BBall'!G25,Len('Paste #BBall'!G25)-Search("/",'Paste #BBall'!G25)))-1)</f>
        <v>19.2</v>
      </c>
      <c r="S25" s="153" t="str">
        <f>Left(Right('Paste #BBall'!H25,Len('Paste #BBall'!H25)-Search("/",'Paste #BBall'!H25)),Len(Right('Paste #BBall'!H25,Len('Paste #BBall'!H25)-Search("/",'Paste #BBall'!H25)))-1)</f>
        <v>5.4</v>
      </c>
      <c r="T25" s="53"/>
      <c r="U25" s="156" t="s">
        <v>420</v>
      </c>
      <c r="V25" s="157">
        <v>3.0</v>
      </c>
      <c r="W25" s="144">
        <v>4.0</v>
      </c>
      <c r="X25" s="144">
        <v>3.0</v>
      </c>
    </row>
    <row r="26">
      <c r="A26" s="33">
        <v>25.0</v>
      </c>
      <c r="B26" s="149" t="str">
        <f>'Paste #BBall'!B26</f>
        <v>Lauri Markkanen</v>
      </c>
      <c r="C26" s="150" t="str">
        <f>'Paste #BBall'!C26</f>
        <v>SF,PF</v>
      </c>
      <c r="D26" s="150" t="str">
        <f>'Paste #BBall'!D26</f>
        <v>UTA</v>
      </c>
      <c r="E26" s="151">
        <f>'Paste #BBall'!E26</f>
        <v>66</v>
      </c>
      <c r="F26" s="152">
        <f>'Paste #BBall'!F26</f>
        <v>33.4</v>
      </c>
      <c r="G26" s="153" t="str">
        <f>right(Left('Paste #BBall'!G26,Search("/",'Paste #BBall'!G26)-1),len(Left('Paste #BBall'!G26,Search("/",'Paste #BBall'!G26)-1))-search("(",Left('Paste #BBall'!G26,Search("/",'Paste #BBall'!G26)-1)))</f>
        <v>8.0</v>
      </c>
      <c r="H26" s="152">
        <f t="shared" si="1"/>
        <v>0.487804878</v>
      </c>
      <c r="I26" s="152" t="str">
        <f>right(Left('Paste #BBall'!H26,Search("/",'Paste #BBall'!H26)-1),len(Left('Paste #BBall'!H26,Search("/",'Paste #BBall'!H26)-1))-search("(",Left('Paste #BBall'!H26,Search("/",'Paste #BBall'!H26)-1)))</f>
        <v>5.0</v>
      </c>
      <c r="J26" s="152">
        <f t="shared" si="2"/>
        <v>0.8771929825</v>
      </c>
      <c r="K26" s="152">
        <f>'Paste #BBall'!I26</f>
        <v>2.9</v>
      </c>
      <c r="L26" s="152">
        <f>'Paste #BBall'!J26</f>
        <v>23.9</v>
      </c>
      <c r="M26" s="152">
        <f>'Paste #BBall'!K26</f>
        <v>8</v>
      </c>
      <c r="N26" s="152">
        <f>'Paste #BBall'!L26</f>
        <v>1.9</v>
      </c>
      <c r="O26" s="152">
        <f>'Paste #BBall'!M26</f>
        <v>0.7</v>
      </c>
      <c r="P26" s="152">
        <f>'Paste #BBall'!N26</f>
        <v>0.6</v>
      </c>
      <c r="Q26" s="152">
        <f>'Paste #BBall'!O26</f>
        <v>1.9</v>
      </c>
      <c r="R26" s="153" t="str">
        <f>Left(Right('Paste #BBall'!G26,Len('Paste #BBall'!G26)-Search("/",'Paste #BBall'!G26)),Len(Right('Paste #BBall'!G26,Len('Paste #BBall'!G26)-Search("/",'Paste #BBall'!G26)))-1)</f>
        <v>16.4</v>
      </c>
      <c r="S26" s="153" t="str">
        <f>Left(Right('Paste #BBall'!H26,Len('Paste #BBall'!H26)-Search("/",'Paste #BBall'!H26)),Len(Right('Paste #BBall'!H26,Len('Paste #BBall'!H26)-Search("/",'Paste #BBall'!H26)))-1)</f>
        <v>5.7</v>
      </c>
      <c r="T26" s="53"/>
      <c r="U26" s="156" t="s">
        <v>1703</v>
      </c>
      <c r="V26" s="157">
        <v>4.0</v>
      </c>
      <c r="W26" s="144">
        <v>2.0</v>
      </c>
      <c r="X26" s="144">
        <v>3.0</v>
      </c>
    </row>
    <row r="27">
      <c r="A27" s="33">
        <v>26.0</v>
      </c>
      <c r="B27" s="149" t="str">
        <f>'Paste #BBall'!B27</f>
        <v>Desmond Bane</v>
      </c>
      <c r="C27" s="150" t="str">
        <f>'Paste #BBall'!C27</f>
        <v>SG,SF</v>
      </c>
      <c r="D27" s="150" t="str">
        <f>'Paste #BBall'!D27</f>
        <v>MEM</v>
      </c>
      <c r="E27" s="151">
        <f>'Paste #BBall'!E27</f>
        <v>70</v>
      </c>
      <c r="F27" s="152">
        <f>'Paste #BBall'!F27</f>
        <v>32.1</v>
      </c>
      <c r="G27" s="153" t="str">
        <f>right(Left('Paste #BBall'!G27,Search("/",'Paste #BBall'!G27)-1),len(Left('Paste #BBall'!G27,Search("/",'Paste #BBall'!G27)-1))-search("(",Left('Paste #BBall'!G27,Search("/",'Paste #BBall'!G27)-1)))</f>
        <v>8.2</v>
      </c>
      <c r="H27" s="152">
        <f t="shared" si="1"/>
        <v>0.4659090909</v>
      </c>
      <c r="I27" s="152" t="str">
        <f>right(Left('Paste #BBall'!H27,Search("/",'Paste #BBall'!H27)-1),len(Left('Paste #BBall'!H27,Search("/",'Paste #BBall'!H27)-1))-search("(",Left('Paste #BBall'!H27,Search("/",'Paste #BBall'!H27)-1)))</f>
        <v>2.8</v>
      </c>
      <c r="J27" s="152">
        <f t="shared" si="2"/>
        <v>0.9032258065</v>
      </c>
      <c r="K27" s="152">
        <f>'Paste #BBall'!I27</f>
        <v>3.4</v>
      </c>
      <c r="L27" s="152">
        <f>'Paste #BBall'!J27</f>
        <v>22.6</v>
      </c>
      <c r="M27" s="152">
        <f>'Paste #BBall'!K27</f>
        <v>5.4</v>
      </c>
      <c r="N27" s="152">
        <f>'Paste #BBall'!L27</f>
        <v>4</v>
      </c>
      <c r="O27" s="152">
        <f>'Paste #BBall'!M27</f>
        <v>1.2</v>
      </c>
      <c r="P27" s="152">
        <f>'Paste #BBall'!N27</f>
        <v>0.4</v>
      </c>
      <c r="Q27" s="152">
        <f>'Paste #BBall'!O27</f>
        <v>2.2</v>
      </c>
      <c r="R27" s="153" t="str">
        <f>Left(Right('Paste #BBall'!G27,Len('Paste #BBall'!G27)-Search("/",'Paste #BBall'!G27)),Len(Right('Paste #BBall'!G27,Len('Paste #BBall'!G27)-Search("/",'Paste #BBall'!G27)))-1)</f>
        <v>17.6</v>
      </c>
      <c r="S27" s="153" t="str">
        <f>Left(Right('Paste #BBall'!H27,Len('Paste #BBall'!H27)-Search("/",'Paste #BBall'!H27)),Len(Right('Paste #BBall'!H27,Len('Paste #BBall'!H27)-Search("/",'Paste #BBall'!H27)))-1)</f>
        <v>3.1</v>
      </c>
      <c r="T27" s="53"/>
      <c r="U27" s="156" t="s">
        <v>583</v>
      </c>
      <c r="V27" s="157">
        <v>3.0</v>
      </c>
      <c r="W27" s="144">
        <v>4.0</v>
      </c>
      <c r="X27" s="144">
        <v>4.0</v>
      </c>
    </row>
    <row r="28">
      <c r="A28" s="33">
        <v>27.0</v>
      </c>
      <c r="B28" s="149" t="str">
        <f>'Paste #BBall'!B28</f>
        <v>Paul George</v>
      </c>
      <c r="C28" s="150" t="str">
        <f>'Paste #BBall'!C28</f>
        <v>SG,SF,PF</v>
      </c>
      <c r="D28" s="150" t="str">
        <f>'Paste #BBall'!D28</f>
        <v>LAC</v>
      </c>
      <c r="E28" s="151">
        <f>'Paste #BBall'!E28</f>
        <v>60</v>
      </c>
      <c r="F28" s="152">
        <f>'Paste #BBall'!F28</f>
        <v>34.6</v>
      </c>
      <c r="G28" s="153" t="str">
        <f>right(Left('Paste #BBall'!G28,Search("/",'Paste #BBall'!G28)-1),len(Left('Paste #BBall'!G28,Search("/",'Paste #BBall'!G28)-1))-search("(",Left('Paste #BBall'!G28,Search("/",'Paste #BBall'!G28)-1)))</f>
        <v>8.0</v>
      </c>
      <c r="H28" s="152">
        <f t="shared" si="1"/>
        <v>0.4419889503</v>
      </c>
      <c r="I28" s="152" t="str">
        <f>right(Left('Paste #BBall'!H28,Search("/",'Paste #BBall'!H28)-1),len(Left('Paste #BBall'!H28,Search("/",'Paste #BBall'!H28)-1))-search("(",Left('Paste #BBall'!H28,Search("/",'Paste #BBall'!H28)-1)))</f>
        <v>4.2</v>
      </c>
      <c r="J28" s="152">
        <f t="shared" si="2"/>
        <v>0.8571428571</v>
      </c>
      <c r="K28" s="152">
        <f>'Paste #BBall'!I28</f>
        <v>2.8</v>
      </c>
      <c r="L28" s="152">
        <f>'Paste #BBall'!J28</f>
        <v>23</v>
      </c>
      <c r="M28" s="152">
        <f>'Paste #BBall'!K28</f>
        <v>6.1</v>
      </c>
      <c r="N28" s="152">
        <f>'Paste #BBall'!L28</f>
        <v>5</v>
      </c>
      <c r="O28" s="152">
        <f>'Paste #BBall'!M28</f>
        <v>1.5</v>
      </c>
      <c r="P28" s="152">
        <f>'Paste #BBall'!N28</f>
        <v>0.4</v>
      </c>
      <c r="Q28" s="152">
        <f>'Paste #BBall'!O28</f>
        <v>3.3</v>
      </c>
      <c r="R28" s="153" t="str">
        <f>Left(Right('Paste #BBall'!G28,Len('Paste #BBall'!G28)-Search("/",'Paste #BBall'!G28)),Len(Right('Paste #BBall'!G28,Len('Paste #BBall'!G28)-Search("/",'Paste #BBall'!G28)))-1)</f>
        <v>18.1</v>
      </c>
      <c r="S28" s="153" t="str">
        <f>Left(Right('Paste #BBall'!H28,Len('Paste #BBall'!H28)-Search("/",'Paste #BBall'!H28)),Len(Right('Paste #BBall'!H28,Len('Paste #BBall'!H28)-Search("/",'Paste #BBall'!H28)))-1)</f>
        <v>4.9</v>
      </c>
      <c r="T28" s="53"/>
      <c r="U28" s="156" t="s">
        <v>476</v>
      </c>
      <c r="V28" s="157">
        <v>4.0</v>
      </c>
      <c r="W28" s="144">
        <v>3.0</v>
      </c>
      <c r="X28" s="144">
        <v>3.0</v>
      </c>
    </row>
    <row r="29">
      <c r="A29" s="33">
        <v>28.0</v>
      </c>
      <c r="B29" s="149" t="str">
        <f>'Paste #BBall'!B29</f>
        <v>Bam Adebayo</v>
      </c>
      <c r="C29" s="150" t="str">
        <f>'Paste #BBall'!C29</f>
        <v>C</v>
      </c>
      <c r="D29" s="150" t="str">
        <f>'Paste #BBall'!D29</f>
        <v>MIA</v>
      </c>
      <c r="E29" s="151">
        <f>'Paste #BBall'!E29</f>
        <v>72</v>
      </c>
      <c r="F29" s="152">
        <f>'Paste #BBall'!F29</f>
        <v>34.1</v>
      </c>
      <c r="G29" s="153" t="str">
        <f>right(Left('Paste #BBall'!G29,Search("/",'Paste #BBall'!G29)-1),len(Left('Paste #BBall'!G29,Search("/",'Paste #BBall'!G29)-1))-search("(",Left('Paste #BBall'!G29,Search("/",'Paste #BBall'!G29)-1)))</f>
        <v>7.9</v>
      </c>
      <c r="H29" s="152">
        <f t="shared" si="1"/>
        <v>0.537414966</v>
      </c>
      <c r="I29" s="152" t="str">
        <f>right(Left('Paste #BBall'!H29,Search("/",'Paste #BBall'!H29)-1),len(Left('Paste #BBall'!H29,Search("/",'Paste #BBall'!H29)-1))-search("(",Left('Paste #BBall'!H29,Search("/",'Paste #BBall'!H29)-1)))</f>
        <v>4.5</v>
      </c>
      <c r="J29" s="152">
        <f t="shared" si="2"/>
        <v>0.8035714286</v>
      </c>
      <c r="K29" s="152">
        <f>'Paste #BBall'!I29</f>
        <v>0</v>
      </c>
      <c r="L29" s="152">
        <f>'Paste #BBall'!J29</f>
        <v>20.2</v>
      </c>
      <c r="M29" s="152">
        <f>'Paste #BBall'!K29</f>
        <v>9.8</v>
      </c>
      <c r="N29" s="152">
        <f>'Paste #BBall'!L29</f>
        <v>3.5</v>
      </c>
      <c r="O29" s="152">
        <f>'Paste #BBall'!M29</f>
        <v>1.3</v>
      </c>
      <c r="P29" s="152">
        <f>'Paste #BBall'!N29</f>
        <v>0.8</v>
      </c>
      <c r="Q29" s="152">
        <f>'Paste #BBall'!O29</f>
        <v>2.6</v>
      </c>
      <c r="R29" s="153" t="str">
        <f>Left(Right('Paste #BBall'!G29,Len('Paste #BBall'!G29)-Search("/",'Paste #BBall'!G29)),Len(Right('Paste #BBall'!G29,Len('Paste #BBall'!G29)-Search("/",'Paste #BBall'!G29)))-1)</f>
        <v>14.7</v>
      </c>
      <c r="S29" s="153" t="str">
        <f>Left(Right('Paste #BBall'!H29,Len('Paste #BBall'!H29)-Search("/",'Paste #BBall'!H29)),Len(Right('Paste #BBall'!H29,Len('Paste #BBall'!H29)-Search("/",'Paste #BBall'!H29)))-1)</f>
        <v>5.6</v>
      </c>
      <c r="T29" s="53"/>
      <c r="U29" s="156" t="s">
        <v>1704</v>
      </c>
      <c r="V29" s="157">
        <v>4.0</v>
      </c>
      <c r="W29" s="144">
        <v>2.0</v>
      </c>
      <c r="X29" s="144">
        <v>4.0</v>
      </c>
    </row>
    <row r="30">
      <c r="A30" s="33">
        <v>29.0</v>
      </c>
      <c r="B30" s="149" t="str">
        <f>'Paste #BBall'!B30</f>
        <v>LeBron James</v>
      </c>
      <c r="C30" s="150" t="str">
        <f>'Paste #BBall'!C30</f>
        <v>SF,PF</v>
      </c>
      <c r="D30" s="150" t="str">
        <f>'Paste #BBall'!D30</f>
        <v>LAL</v>
      </c>
      <c r="E30" s="151">
        <f>'Paste #BBall'!E30</f>
        <v>56</v>
      </c>
      <c r="F30" s="152">
        <f>'Paste #BBall'!F30</f>
        <v>34</v>
      </c>
      <c r="G30" s="153" t="str">
        <f>right(Left('Paste #BBall'!G30,Search("/",'Paste #BBall'!G30)-1),len(Left('Paste #BBall'!G30,Search("/",'Paste #BBall'!G30)-1))-search("(",Left('Paste #BBall'!G30,Search("/",'Paste #BBall'!G30)-1)))</f>
        <v>10.1</v>
      </c>
      <c r="H30" s="152">
        <f t="shared" si="1"/>
        <v>0.5024875622</v>
      </c>
      <c r="I30" s="152" t="str">
        <f>right(Left('Paste #BBall'!H30,Search("/",'Paste #BBall'!H30)-1),len(Left('Paste #BBall'!H30,Search("/",'Paste #BBall'!H30)-1))-search("(",Left('Paste #BBall'!H30,Search("/",'Paste #BBall'!H30)-1)))</f>
        <v>4.2</v>
      </c>
      <c r="J30" s="152">
        <f t="shared" si="2"/>
        <v>0.7636363636</v>
      </c>
      <c r="K30" s="152">
        <f>'Paste #BBall'!I30</f>
        <v>2.3</v>
      </c>
      <c r="L30" s="152">
        <f>'Paste #BBall'!J30</f>
        <v>26.7</v>
      </c>
      <c r="M30" s="152">
        <f>'Paste #BBall'!K30</f>
        <v>7.6</v>
      </c>
      <c r="N30" s="152">
        <f>'Paste #BBall'!L30</f>
        <v>6</v>
      </c>
      <c r="O30" s="152">
        <f>'Paste #BBall'!M30</f>
        <v>0.8</v>
      </c>
      <c r="P30" s="152">
        <f>'Paste #BBall'!N30</f>
        <v>0.5</v>
      </c>
      <c r="Q30" s="152">
        <f>'Paste #BBall'!O30</f>
        <v>3.1</v>
      </c>
      <c r="R30" s="153" t="str">
        <f>Left(Right('Paste #BBall'!G30,Len('Paste #BBall'!G30)-Search("/",'Paste #BBall'!G30)),Len(Right('Paste #BBall'!G30,Len('Paste #BBall'!G30)-Search("/",'Paste #BBall'!G30)))-1)</f>
        <v>20.1</v>
      </c>
      <c r="S30" s="153" t="str">
        <f>Left(Right('Paste #BBall'!H30,Len('Paste #BBall'!H30)-Search("/",'Paste #BBall'!H30)),Len(Right('Paste #BBall'!H30,Len('Paste #BBall'!H30)-Search("/",'Paste #BBall'!H30)))-1)</f>
        <v>5.5</v>
      </c>
      <c r="T30" s="53"/>
      <c r="U30" s="156" t="s">
        <v>587</v>
      </c>
      <c r="V30" s="157">
        <v>4.0</v>
      </c>
      <c r="W30" s="144">
        <v>3.0</v>
      </c>
      <c r="X30" s="144">
        <v>3.0</v>
      </c>
    </row>
    <row r="31">
      <c r="A31" s="33">
        <v>30.0</v>
      </c>
      <c r="B31" s="149" t="str">
        <f>'Paste #BBall'!B31</f>
        <v>Kristaps Porzingis</v>
      </c>
      <c r="C31" s="150" t="str">
        <f>'Paste #BBall'!C31</f>
        <v>PF,C</v>
      </c>
      <c r="D31" s="150" t="str">
        <f>'Paste #BBall'!D31</f>
        <v>BOS</v>
      </c>
      <c r="E31" s="151">
        <f>'Paste #BBall'!E31</f>
        <v>60</v>
      </c>
      <c r="F31" s="152">
        <f>'Paste #BBall'!F31</f>
        <v>31.1</v>
      </c>
      <c r="G31" s="153" t="str">
        <f>right(Left('Paste #BBall'!G31,Search("/",'Paste #BBall'!G31)-1),len(Left('Paste #BBall'!G31,Search("/",'Paste #BBall'!G31)-1))-search("(",Left('Paste #BBall'!G31,Search("/",'Paste #BBall'!G31)-1)))</f>
        <v>6.5</v>
      </c>
      <c r="H31" s="152">
        <f t="shared" si="1"/>
        <v>0.4814814815</v>
      </c>
      <c r="I31" s="152" t="str">
        <f>right(Left('Paste #BBall'!H31,Search("/",'Paste #BBall'!H31)-1),len(Left('Paste #BBall'!H31,Search("/",'Paste #BBall'!H31)-1))-search("(",Left('Paste #BBall'!H31,Search("/",'Paste #BBall'!H31)-1)))</f>
        <v>4.0</v>
      </c>
      <c r="J31" s="152">
        <f t="shared" si="2"/>
        <v>0.8510638298</v>
      </c>
      <c r="K31" s="152">
        <f>'Paste #BBall'!I31</f>
        <v>1.8</v>
      </c>
      <c r="L31" s="152">
        <f>'Paste #BBall'!J31</f>
        <v>18.7</v>
      </c>
      <c r="M31" s="152">
        <f>'Paste #BBall'!K31</f>
        <v>7.9</v>
      </c>
      <c r="N31" s="152">
        <f>'Paste #BBall'!L31</f>
        <v>2.1</v>
      </c>
      <c r="O31" s="152">
        <f>'Paste #BBall'!M31</f>
        <v>0.8</v>
      </c>
      <c r="P31" s="152">
        <f>'Paste #BBall'!N31</f>
        <v>1.5</v>
      </c>
      <c r="Q31" s="152">
        <f>'Paste #BBall'!O31</f>
        <v>1.8</v>
      </c>
      <c r="R31" s="153" t="str">
        <f>Left(Right('Paste #BBall'!G31,Len('Paste #BBall'!G31)-Search("/",'Paste #BBall'!G31)),Len(Right('Paste #BBall'!G31,Len('Paste #BBall'!G31)-Search("/",'Paste #BBall'!G31)))-1)</f>
        <v>13.5</v>
      </c>
      <c r="S31" s="153" t="str">
        <f>Left(Right('Paste #BBall'!H31,Len('Paste #BBall'!H31)-Search("/",'Paste #BBall'!H31)),Len(Right('Paste #BBall'!H31,Len('Paste #BBall'!H31)-Search("/",'Paste #BBall'!H31)))-1)</f>
        <v>4.7</v>
      </c>
      <c r="T31" s="53"/>
      <c r="U31" s="156" t="s">
        <v>507</v>
      </c>
      <c r="V31" s="157">
        <v>2.0</v>
      </c>
      <c r="W31" s="144">
        <v>3.0</v>
      </c>
      <c r="X31" s="144">
        <v>3.0</v>
      </c>
    </row>
    <row r="32">
      <c r="A32" s="33">
        <v>31.0</v>
      </c>
      <c r="B32" s="149" t="str">
        <f>'Paste #BBall'!B32</f>
        <v>Myles Turner</v>
      </c>
      <c r="C32" s="150" t="str">
        <f>'Paste #BBall'!C32</f>
        <v>C</v>
      </c>
      <c r="D32" s="150" t="str">
        <f>'Paste #BBall'!D32</f>
        <v>IND</v>
      </c>
      <c r="E32" s="151">
        <f>'Paste #BBall'!E32</f>
        <v>64</v>
      </c>
      <c r="F32" s="152">
        <f>'Paste #BBall'!F32</f>
        <v>29.5</v>
      </c>
      <c r="G32" s="153" t="str">
        <f>right(Left('Paste #BBall'!G32,Search("/",'Paste #BBall'!G32)-1),len(Left('Paste #BBall'!G32,Search("/",'Paste #BBall'!G32)-1))-search("(",Left('Paste #BBall'!G32,Search("/",'Paste #BBall'!G32)-1)))</f>
        <v>5.9</v>
      </c>
      <c r="H32" s="152">
        <f t="shared" si="1"/>
        <v>0.5363636364</v>
      </c>
      <c r="I32" s="152" t="str">
        <f>right(Left('Paste #BBall'!H32,Search("/",'Paste #BBall'!H32)-1),len(Left('Paste #BBall'!H32,Search("/",'Paste #BBall'!H32)-1))-search("(",Left('Paste #BBall'!H32,Search("/",'Paste #BBall'!H32)-1)))</f>
        <v>2.9</v>
      </c>
      <c r="J32" s="152">
        <f t="shared" si="2"/>
        <v>0.7837837838</v>
      </c>
      <c r="K32" s="152">
        <f>'Paste #BBall'!I32</f>
        <v>1.5</v>
      </c>
      <c r="L32" s="152">
        <f>'Paste #BBall'!J32</f>
        <v>16.1</v>
      </c>
      <c r="M32" s="152">
        <f>'Paste #BBall'!K32</f>
        <v>7.4</v>
      </c>
      <c r="N32" s="152">
        <f>'Paste #BBall'!L32</f>
        <v>1.3</v>
      </c>
      <c r="O32" s="152">
        <f>'Paste #BBall'!M32</f>
        <v>0.6</v>
      </c>
      <c r="P32" s="152">
        <f>'Paste #BBall'!N32</f>
        <v>2.3</v>
      </c>
      <c r="Q32" s="152">
        <f>'Paste #BBall'!O32</f>
        <v>1.5</v>
      </c>
      <c r="R32" s="153" t="str">
        <f>Left(Right('Paste #BBall'!G32,Len('Paste #BBall'!G32)-Search("/",'Paste #BBall'!G32)),Len(Right('Paste #BBall'!G32,Len('Paste #BBall'!G32)-Search("/",'Paste #BBall'!G32)))-1)</f>
        <v>11.0</v>
      </c>
      <c r="S32" s="153" t="str">
        <f>Left(Right('Paste #BBall'!H32,Len('Paste #BBall'!H32)-Search("/",'Paste #BBall'!H32)),Len(Right('Paste #BBall'!H32,Len('Paste #BBall'!H32)-Search("/",'Paste #BBall'!H32)))-1)</f>
        <v>3.7</v>
      </c>
      <c r="T32" s="53"/>
      <c r="U32" s="156" t="s">
        <v>590</v>
      </c>
      <c r="V32" s="157">
        <v>3.0</v>
      </c>
      <c r="W32" s="144">
        <v>4.0</v>
      </c>
      <c r="X32" s="144">
        <v>3.0</v>
      </c>
    </row>
    <row r="33">
      <c r="A33" s="33">
        <v>32.0</v>
      </c>
      <c r="B33" s="149" t="str">
        <f>'Paste #BBall'!B33</f>
        <v>Darius Garland</v>
      </c>
      <c r="C33" s="150" t="str">
        <f>'Paste #BBall'!C33</f>
        <v>PG</v>
      </c>
      <c r="D33" s="150" t="str">
        <f>'Paste #BBall'!D33</f>
        <v>CLE</v>
      </c>
      <c r="E33" s="151">
        <f>'Paste #BBall'!E33</f>
        <v>69</v>
      </c>
      <c r="F33" s="152">
        <f>'Paste #BBall'!F33</f>
        <v>35.6</v>
      </c>
      <c r="G33" s="153" t="str">
        <f>right(Left('Paste #BBall'!G33,Search("/",'Paste #BBall'!G33)-1),len(Left('Paste #BBall'!G33,Search("/",'Paste #BBall'!G33)-1))-search("(",Left('Paste #BBall'!G33,Search("/",'Paste #BBall'!G33)-1)))</f>
        <v>7.8</v>
      </c>
      <c r="H33" s="152">
        <f t="shared" si="1"/>
        <v>0.4588235294</v>
      </c>
      <c r="I33" s="152" t="str">
        <f>right(Left('Paste #BBall'!H33,Search("/",'Paste #BBall'!H33)-1),len(Left('Paste #BBall'!H33,Search("/",'Paste #BBall'!H33)-1))-search("(",Left('Paste #BBall'!H33,Search("/",'Paste #BBall'!H33)-1)))</f>
        <v>3.6</v>
      </c>
      <c r="J33" s="152">
        <f t="shared" si="2"/>
        <v>0.8780487805</v>
      </c>
      <c r="K33" s="152">
        <f>'Paste #BBall'!I33</f>
        <v>2.5</v>
      </c>
      <c r="L33" s="152">
        <f>'Paste #BBall'!J33</f>
        <v>21.8</v>
      </c>
      <c r="M33" s="152">
        <f>'Paste #BBall'!K33</f>
        <v>3</v>
      </c>
      <c r="N33" s="152">
        <f>'Paste #BBall'!L33</f>
        <v>7.8</v>
      </c>
      <c r="O33" s="152">
        <f>'Paste #BBall'!M33</f>
        <v>1.2</v>
      </c>
      <c r="P33" s="152">
        <f>'Paste #BBall'!N33</f>
        <v>0.1</v>
      </c>
      <c r="Q33" s="152">
        <f>'Paste #BBall'!O33</f>
        <v>3</v>
      </c>
      <c r="R33" s="153" t="str">
        <f>Left(Right('Paste #BBall'!G33,Len('Paste #BBall'!G33)-Search("/",'Paste #BBall'!G33)),Len(Right('Paste #BBall'!G33,Len('Paste #BBall'!G33)-Search("/",'Paste #BBall'!G33)))-1)</f>
        <v>17.0</v>
      </c>
      <c r="S33" s="153" t="str">
        <f>Left(Right('Paste #BBall'!H33,Len('Paste #BBall'!H33)-Search("/",'Paste #BBall'!H33)),Len(Right('Paste #BBall'!H33,Len('Paste #BBall'!H33)-Search("/",'Paste #BBall'!H33)))-1)</f>
        <v>4.1</v>
      </c>
      <c r="T33" s="53"/>
      <c r="U33" s="53"/>
      <c r="V33" s="53"/>
    </row>
    <row r="34">
      <c r="A34" s="33">
        <v>33.0</v>
      </c>
      <c r="B34" s="149" t="str">
        <f>'Paste #BBall'!B34</f>
        <v>DeMar DeRozan</v>
      </c>
      <c r="C34" s="150" t="str">
        <f>'Paste #BBall'!C34</f>
        <v>SG</v>
      </c>
      <c r="D34" s="150" t="str">
        <f>'Paste #BBall'!D34</f>
        <v>CHI</v>
      </c>
      <c r="E34" s="151">
        <f>'Paste #BBall'!E34</f>
        <v>74</v>
      </c>
      <c r="F34" s="152">
        <f>'Paste #BBall'!F34</f>
        <v>35.8</v>
      </c>
      <c r="G34" s="153" t="str">
        <f>right(Left('Paste #BBall'!G34,Search("/",'Paste #BBall'!G34)-1),len(Left('Paste #BBall'!G34,Search("/",'Paste #BBall'!G34)-1))-search("(",Left('Paste #BBall'!G34,Search("/",'Paste #BBall'!G34)-1)))</f>
        <v>9.1</v>
      </c>
      <c r="H34" s="152">
        <f t="shared" si="1"/>
        <v>0.5055555556</v>
      </c>
      <c r="I34" s="152" t="str">
        <f>right(Left('Paste #BBall'!H34,Search("/",'Paste #BBall'!H34)-1),len(Left('Paste #BBall'!H34,Search("/",'Paste #BBall'!H34)-1))-search("(",Left('Paste #BBall'!H34,Search("/",'Paste #BBall'!H34)-1)))</f>
        <v>6.0</v>
      </c>
      <c r="J34" s="152">
        <f t="shared" si="2"/>
        <v>0.8695652174</v>
      </c>
      <c r="K34" s="152">
        <f>'Paste #BBall'!I34</f>
        <v>0.6</v>
      </c>
      <c r="L34" s="152">
        <f>'Paste #BBall'!J34</f>
        <v>24.7</v>
      </c>
      <c r="M34" s="152">
        <f>'Paste #BBall'!K34</f>
        <v>4.6</v>
      </c>
      <c r="N34" s="152">
        <f>'Paste #BBall'!L34</f>
        <v>4.9</v>
      </c>
      <c r="O34" s="152">
        <f>'Paste #BBall'!M34</f>
        <v>1</v>
      </c>
      <c r="P34" s="152">
        <f>'Paste #BBall'!N34</f>
        <v>0.4</v>
      </c>
      <c r="Q34" s="152">
        <f>'Paste #BBall'!O34</f>
        <v>2.1</v>
      </c>
      <c r="R34" s="153" t="str">
        <f>Left(Right('Paste #BBall'!G34,Len('Paste #BBall'!G34)-Search("/",'Paste #BBall'!G34)),Len(Right('Paste #BBall'!G34,Len('Paste #BBall'!G34)-Search("/",'Paste #BBall'!G34)))-1)</f>
        <v>18.0</v>
      </c>
      <c r="S34" s="153" t="str">
        <f>Left(Right('Paste #BBall'!H34,Len('Paste #BBall'!H34)-Search("/",'Paste #BBall'!H34)),Len(Right('Paste #BBall'!H34,Len('Paste #BBall'!H34)-Search("/",'Paste #BBall'!H34)))-1)</f>
        <v>6.9</v>
      </c>
      <c r="T34" s="53"/>
      <c r="U34" s="53"/>
      <c r="V34" s="53"/>
    </row>
    <row r="35">
      <c r="A35" s="33">
        <v>34.0</v>
      </c>
      <c r="B35" s="149" t="str">
        <f>'Paste #BBall'!B35</f>
        <v>Fred VanVleet</v>
      </c>
      <c r="C35" s="150" t="str">
        <f>'Paste #BBall'!C35</f>
        <v>PG</v>
      </c>
      <c r="D35" s="150" t="str">
        <f>'Paste #BBall'!D35</f>
        <v>HOU</v>
      </c>
      <c r="E35" s="151">
        <f>'Paste #BBall'!E35</f>
        <v>67</v>
      </c>
      <c r="F35" s="152">
        <f>'Paste #BBall'!F35</f>
        <v>34.2</v>
      </c>
      <c r="G35" s="153" t="str">
        <f>right(Left('Paste #BBall'!G35,Search("/",'Paste #BBall'!G35)-1),len(Left('Paste #BBall'!G35,Search("/",'Paste #BBall'!G35)-1))-search("(",Left('Paste #BBall'!G35,Search("/",'Paste #BBall'!G35)-1)))</f>
        <v>6.1</v>
      </c>
      <c r="H35" s="152">
        <f t="shared" si="1"/>
        <v>0.3986928105</v>
      </c>
      <c r="I35" s="152" t="str">
        <f>right(Left('Paste #BBall'!H35,Search("/",'Paste #BBall'!H35)-1),len(Left('Paste #BBall'!H35,Search("/",'Paste #BBall'!H35)-1))-search("(",Left('Paste #BBall'!H35,Search("/",'Paste #BBall'!H35)-1)))</f>
        <v>3.1</v>
      </c>
      <c r="J35" s="152">
        <f t="shared" si="2"/>
        <v>0.8857142857</v>
      </c>
      <c r="K35" s="152">
        <f>'Paste #BBall'!I35</f>
        <v>3.1</v>
      </c>
      <c r="L35" s="152">
        <f>'Paste #BBall'!J35</f>
        <v>18.4</v>
      </c>
      <c r="M35" s="152">
        <f>'Paste #BBall'!K35</f>
        <v>3.9</v>
      </c>
      <c r="N35" s="152">
        <f>'Paste #BBall'!L35</f>
        <v>6.4</v>
      </c>
      <c r="O35" s="152">
        <f>'Paste #BBall'!M35</f>
        <v>1.6</v>
      </c>
      <c r="P35" s="152">
        <f>'Paste #BBall'!N35</f>
        <v>0.5</v>
      </c>
      <c r="Q35" s="152">
        <f>'Paste #BBall'!O35</f>
        <v>2.1</v>
      </c>
      <c r="R35" s="153" t="str">
        <f>Left(Right('Paste #BBall'!G35,Len('Paste #BBall'!G35)-Search("/",'Paste #BBall'!G35)),Len(Right('Paste #BBall'!G35,Len('Paste #BBall'!G35)-Search("/",'Paste #BBall'!G35)))-1)</f>
        <v>15.3</v>
      </c>
      <c r="S35" s="153" t="str">
        <f>Left(Right('Paste #BBall'!H35,Len('Paste #BBall'!H35)-Search("/",'Paste #BBall'!H35)),Len(Right('Paste #BBall'!H35,Len('Paste #BBall'!H35)-Search("/",'Paste #BBall'!H35)))-1)</f>
        <v>3.5</v>
      </c>
      <c r="T35" s="53"/>
      <c r="U35" s="53"/>
      <c r="V35" s="53"/>
    </row>
    <row r="36">
      <c r="A36" s="33">
        <v>35.0</v>
      </c>
      <c r="B36" s="149" t="str">
        <f>'Paste #BBall'!B36</f>
        <v>Dejounte Murray</v>
      </c>
      <c r="C36" s="150" t="str">
        <f>'Paste #BBall'!C36</f>
        <v>PG,SG</v>
      </c>
      <c r="D36" s="150" t="str">
        <f>'Paste #BBall'!D36</f>
        <v>ATL</v>
      </c>
      <c r="E36" s="151">
        <f>'Paste #BBall'!E36</f>
        <v>74</v>
      </c>
      <c r="F36" s="152">
        <f>'Paste #BBall'!F36</f>
        <v>35.8</v>
      </c>
      <c r="G36" s="153" t="str">
        <f>right(Left('Paste #BBall'!G36,Search("/",'Paste #BBall'!G36)-1),len(Left('Paste #BBall'!G36,Search("/",'Paste #BBall'!G36)-1))-search("(",Left('Paste #BBall'!G36,Search("/",'Paste #BBall'!G36)-1)))</f>
        <v>8.5</v>
      </c>
      <c r="H36" s="152">
        <f t="shared" si="1"/>
        <v>0.4644808743</v>
      </c>
      <c r="I36" s="152" t="str">
        <f>right(Left('Paste #BBall'!H36,Search("/",'Paste #BBall'!H36)-1),len(Left('Paste #BBall'!H36,Search("/",'Paste #BBall'!H36)-1))-search("(",Left('Paste #BBall'!H36,Search("/",'Paste #BBall'!H36)-1)))</f>
        <v>2.1</v>
      </c>
      <c r="J36" s="152">
        <f t="shared" si="2"/>
        <v>0.8076923077</v>
      </c>
      <c r="K36" s="152">
        <f>'Paste #BBall'!I36</f>
        <v>1.6</v>
      </c>
      <c r="L36" s="152">
        <f>'Paste #BBall'!J36</f>
        <v>20.7</v>
      </c>
      <c r="M36" s="152">
        <f>'Paste #BBall'!K36</f>
        <v>6.5</v>
      </c>
      <c r="N36" s="152">
        <f>'Paste #BBall'!L36</f>
        <v>6.4</v>
      </c>
      <c r="O36" s="152">
        <f>'Paste #BBall'!M36</f>
        <v>1.6</v>
      </c>
      <c r="P36" s="152">
        <f>'Paste #BBall'!N36</f>
        <v>0.3</v>
      </c>
      <c r="Q36" s="152">
        <f>'Paste #BBall'!O36</f>
        <v>2.2</v>
      </c>
      <c r="R36" s="153" t="str">
        <f>Left(Right('Paste #BBall'!G36,Len('Paste #BBall'!G36)-Search("/",'Paste #BBall'!G36)),Len(Right('Paste #BBall'!G36,Len('Paste #BBall'!G36)-Search("/",'Paste #BBall'!G36)))-1)</f>
        <v>18.3</v>
      </c>
      <c r="S36" s="153" t="str">
        <f>Left(Right('Paste #BBall'!H36,Len('Paste #BBall'!H36)-Search("/",'Paste #BBall'!H36)),Len(Right('Paste #BBall'!H36,Len('Paste #BBall'!H36)-Search("/",'Paste #BBall'!H36)))-1)</f>
        <v>2.6</v>
      </c>
      <c r="T36" s="53"/>
      <c r="U36" s="53"/>
      <c r="V36" s="53"/>
    </row>
    <row r="37">
      <c r="A37" s="33">
        <v>36.0</v>
      </c>
      <c r="B37" s="149" t="str">
        <f>'Paste #BBall'!B37</f>
        <v>Jaylen Brown</v>
      </c>
      <c r="C37" s="150" t="str">
        <f>'Paste #BBall'!C37</f>
        <v>SG,SF</v>
      </c>
      <c r="D37" s="150" t="str">
        <f>'Paste #BBall'!D37</f>
        <v>BOS</v>
      </c>
      <c r="E37" s="151">
        <f>'Paste #BBall'!E37</f>
        <v>69</v>
      </c>
      <c r="F37" s="152">
        <f>'Paste #BBall'!F37</f>
        <v>35.6</v>
      </c>
      <c r="G37" s="153" t="str">
        <f>right(Left('Paste #BBall'!G37,Search("/",'Paste #BBall'!G37)-1),len(Left('Paste #BBall'!G37,Search("/",'Paste #BBall'!G37)-1))-search("(",Left('Paste #BBall'!G37,Search("/",'Paste #BBall'!G37)-1)))</f>
        <v>10.0</v>
      </c>
      <c r="H37" s="152">
        <f t="shared" si="1"/>
        <v>0.495049505</v>
      </c>
      <c r="I37" s="152" t="str">
        <f>right(Left('Paste #BBall'!H37,Search("/",'Paste #BBall'!H37)-1),len(Left('Paste #BBall'!H37,Search("/",'Paste #BBall'!H37)-1))-search("(",Left('Paste #BBall'!H37,Search("/",'Paste #BBall'!H37)-1)))</f>
        <v>3.9</v>
      </c>
      <c r="J37" s="152">
        <f t="shared" si="2"/>
        <v>0.7647058824</v>
      </c>
      <c r="K37" s="152">
        <f>'Paste #BBall'!I37</f>
        <v>2.6</v>
      </c>
      <c r="L37" s="152">
        <f>'Paste #BBall'!J37</f>
        <v>26.4</v>
      </c>
      <c r="M37" s="152">
        <f>'Paste #BBall'!K37</f>
        <v>6.7</v>
      </c>
      <c r="N37" s="152">
        <f>'Paste #BBall'!L37</f>
        <v>3.6</v>
      </c>
      <c r="O37" s="152">
        <f>'Paste #BBall'!M37</f>
        <v>1.1</v>
      </c>
      <c r="P37" s="152">
        <f>'Paste #BBall'!N37</f>
        <v>0.3</v>
      </c>
      <c r="Q37" s="152">
        <f>'Paste #BBall'!O37</f>
        <v>2.9</v>
      </c>
      <c r="R37" s="153" t="str">
        <f>Left(Right('Paste #BBall'!G37,Len('Paste #BBall'!G37)-Search("/",'Paste #BBall'!G37)),Len(Right('Paste #BBall'!G37,Len('Paste #BBall'!G37)-Search("/",'Paste #BBall'!G37)))-1)</f>
        <v>20.2</v>
      </c>
      <c r="S37" s="153" t="str">
        <f>Left(Right('Paste #BBall'!H37,Len('Paste #BBall'!H37)-Search("/",'Paste #BBall'!H37)),Len(Right('Paste #BBall'!H37,Len('Paste #BBall'!H37)-Search("/",'Paste #BBall'!H37)))-1)</f>
        <v>5.1</v>
      </c>
      <c r="T37" s="53"/>
      <c r="U37" s="53"/>
      <c r="V37" s="53"/>
    </row>
    <row r="38">
      <c r="A38" s="33">
        <v>37.0</v>
      </c>
      <c r="B38" s="149" t="str">
        <f>'Paste #BBall'!B38</f>
        <v>Jalen Brunson</v>
      </c>
      <c r="C38" s="150" t="str">
        <f>'Paste #BBall'!C38</f>
        <v>PG</v>
      </c>
      <c r="D38" s="150" t="str">
        <f>'Paste #BBall'!D38</f>
        <v>NY</v>
      </c>
      <c r="E38" s="151">
        <f>'Paste #BBall'!E38</f>
        <v>72</v>
      </c>
      <c r="F38" s="152">
        <f>'Paste #BBall'!F38</f>
        <v>34.9</v>
      </c>
      <c r="G38" s="153" t="str">
        <f>right(Left('Paste #BBall'!G38,Search("/",'Paste #BBall'!G38)-1),len(Left('Paste #BBall'!G38,Search("/",'Paste #BBall'!G38)-1))-search("(",Left('Paste #BBall'!G38,Search("/",'Paste #BBall'!G38)-1)))</f>
        <v>9.0</v>
      </c>
      <c r="H38" s="152">
        <f t="shared" si="1"/>
        <v>0.4918032787</v>
      </c>
      <c r="I38" s="152" t="str">
        <f>right(Left('Paste #BBall'!H38,Search("/",'Paste #BBall'!H38)-1),len(Left('Paste #BBall'!H38,Search("/",'Paste #BBall'!H38)-1))-search("(",Left('Paste #BBall'!H38,Search("/",'Paste #BBall'!H38)-1)))</f>
        <v>4.2</v>
      </c>
      <c r="J38" s="152">
        <f t="shared" si="2"/>
        <v>0.84</v>
      </c>
      <c r="K38" s="152">
        <f>'Paste #BBall'!I38</f>
        <v>2</v>
      </c>
      <c r="L38" s="152">
        <f>'Paste #BBall'!J38</f>
        <v>24.2</v>
      </c>
      <c r="M38" s="152">
        <f>'Paste #BBall'!K38</f>
        <v>3.7</v>
      </c>
      <c r="N38" s="152">
        <f>'Paste #BBall'!L38</f>
        <v>6.5</v>
      </c>
      <c r="O38" s="152">
        <f>'Paste #BBall'!M38</f>
        <v>1</v>
      </c>
      <c r="P38" s="152">
        <f>'Paste #BBall'!N38</f>
        <v>0.2</v>
      </c>
      <c r="Q38" s="152">
        <f>'Paste #BBall'!O38</f>
        <v>2.2</v>
      </c>
      <c r="R38" s="153" t="str">
        <f>Left(Right('Paste #BBall'!G38,Len('Paste #BBall'!G38)-Search("/",'Paste #BBall'!G38)),Len(Right('Paste #BBall'!G38,Len('Paste #BBall'!G38)-Search("/",'Paste #BBall'!G38)))-1)</f>
        <v>18.3</v>
      </c>
      <c r="S38" s="153" t="str">
        <f>Left(Right('Paste #BBall'!H38,Len('Paste #BBall'!H38)-Search("/",'Paste #BBall'!H38)),Len(Right('Paste #BBall'!H38,Len('Paste #BBall'!H38)-Search("/",'Paste #BBall'!H38)))-1)</f>
        <v>5.0</v>
      </c>
      <c r="T38" s="53"/>
      <c r="U38" s="53"/>
      <c r="V38" s="53"/>
    </row>
    <row r="39">
      <c r="A39" s="33">
        <v>38.0</v>
      </c>
      <c r="B39" s="149" t="str">
        <f>'Paste #BBall'!B39</f>
        <v>Zach LaVine</v>
      </c>
      <c r="C39" s="150" t="str">
        <f>'Paste #BBall'!C39</f>
        <v>SG,SF</v>
      </c>
      <c r="D39" s="150" t="str">
        <f>'Paste #BBall'!D39</f>
        <v>CHI</v>
      </c>
      <c r="E39" s="151">
        <f>'Paste #BBall'!E39</f>
        <v>74</v>
      </c>
      <c r="F39" s="152">
        <f>'Paste #BBall'!F39</f>
        <v>35.6</v>
      </c>
      <c r="G39" s="153" t="str">
        <f>right(Left('Paste #BBall'!G39,Search("/",'Paste #BBall'!G39)-1),len(Left('Paste #BBall'!G39,Search("/",'Paste #BBall'!G39)-1))-search("(",Left('Paste #BBall'!G39,Search("/",'Paste #BBall'!G39)-1)))</f>
        <v>8.7</v>
      </c>
      <c r="H39" s="152">
        <f t="shared" si="1"/>
        <v>0.478021978</v>
      </c>
      <c r="I39" s="152" t="str">
        <f>right(Left('Paste #BBall'!H39,Search("/",'Paste #BBall'!H39)-1),len(Left('Paste #BBall'!H39,Search("/",'Paste #BBall'!H39)-1))-search("(",Left('Paste #BBall'!H39,Search("/",'Paste #BBall'!H39)-1)))</f>
        <v>4.8</v>
      </c>
      <c r="J39" s="152">
        <f t="shared" si="2"/>
        <v>0.8421052632</v>
      </c>
      <c r="K39" s="152">
        <f>'Paste #BBall'!I39</f>
        <v>2.6</v>
      </c>
      <c r="L39" s="152">
        <f>'Paste #BBall'!J39</f>
        <v>24.9</v>
      </c>
      <c r="M39" s="152">
        <f>'Paste #BBall'!K39</f>
        <v>4.4</v>
      </c>
      <c r="N39" s="152">
        <f>'Paste #BBall'!L39</f>
        <v>4.3</v>
      </c>
      <c r="O39" s="152">
        <f>'Paste #BBall'!M39</f>
        <v>0.8</v>
      </c>
      <c r="P39" s="152">
        <f>'Paste #BBall'!N39</f>
        <v>0.3</v>
      </c>
      <c r="Q39" s="152">
        <f>'Paste #BBall'!O39</f>
        <v>2.6</v>
      </c>
      <c r="R39" s="153" t="str">
        <f>Left(Right('Paste #BBall'!G39,Len('Paste #BBall'!G39)-Search("/",'Paste #BBall'!G39)),Len(Right('Paste #BBall'!G39,Len('Paste #BBall'!G39)-Search("/",'Paste #BBall'!G39)))-1)</f>
        <v>18.2</v>
      </c>
      <c r="S39" s="153" t="str">
        <f>Left(Right('Paste #BBall'!H39,Len('Paste #BBall'!H39)-Search("/",'Paste #BBall'!H39)),Len(Right('Paste #BBall'!H39,Len('Paste #BBall'!H39)-Search("/",'Paste #BBall'!H39)))-1)</f>
        <v>5.7</v>
      </c>
      <c r="T39" s="53"/>
      <c r="U39" s="53"/>
      <c r="V39" s="53"/>
    </row>
    <row r="40">
      <c r="A40" s="33">
        <v>39.0</v>
      </c>
      <c r="B40" s="149" t="str">
        <f>'Paste #BBall'!B40</f>
        <v>Cade Cunningham</v>
      </c>
      <c r="C40" s="150" t="str">
        <f>'Paste #BBall'!C40</f>
        <v>PG,SG</v>
      </c>
      <c r="D40" s="150" t="str">
        <f>'Paste #BBall'!D40</f>
        <v>DET</v>
      </c>
      <c r="E40" s="151">
        <f>'Paste #BBall'!E40</f>
        <v>65</v>
      </c>
      <c r="F40" s="152">
        <f>'Paste #BBall'!F40</f>
        <v>33.8</v>
      </c>
      <c r="G40" s="153" t="str">
        <f>right(Left('Paste #BBall'!G40,Search("/",'Paste #BBall'!G40)-1),len(Left('Paste #BBall'!G40,Search("/",'Paste #BBall'!G40)-1))-search("(",Left('Paste #BBall'!G40,Search("/",'Paste #BBall'!G40)-1)))</f>
        <v>7.9</v>
      </c>
      <c r="H40" s="152">
        <f t="shared" si="1"/>
        <v>0.420212766</v>
      </c>
      <c r="I40" s="152" t="str">
        <f>right(Left('Paste #BBall'!H40,Search("/",'Paste #BBall'!H40)-1),len(Left('Paste #BBall'!H40,Search("/",'Paste #BBall'!H40)-1))-search("(",Left('Paste #BBall'!H40,Search("/",'Paste #BBall'!H40)-1)))</f>
        <v>3.2</v>
      </c>
      <c r="J40" s="152">
        <f t="shared" si="2"/>
        <v>0.8421052632</v>
      </c>
      <c r="K40" s="152">
        <f>'Paste #BBall'!I40</f>
        <v>1.8</v>
      </c>
      <c r="L40" s="152">
        <f>'Paste #BBall'!J40</f>
        <v>20.9</v>
      </c>
      <c r="M40" s="152">
        <f>'Paste #BBall'!K40</f>
        <v>6.4</v>
      </c>
      <c r="N40" s="152">
        <f>'Paste #BBall'!L40</f>
        <v>6.6</v>
      </c>
      <c r="O40" s="152">
        <f>'Paste #BBall'!M40</f>
        <v>1.3</v>
      </c>
      <c r="P40" s="152">
        <f>'Paste #BBall'!N40</f>
        <v>0.7</v>
      </c>
      <c r="Q40" s="152">
        <f>'Paste #BBall'!O40</f>
        <v>3.3</v>
      </c>
      <c r="R40" s="153" t="str">
        <f>Left(Right('Paste #BBall'!G40,Len('Paste #BBall'!G40)-Search("/",'Paste #BBall'!G40)),Len(Right('Paste #BBall'!G40,Len('Paste #BBall'!G40)-Search("/",'Paste #BBall'!G40)))-1)</f>
        <v>18.8</v>
      </c>
      <c r="S40" s="153" t="str">
        <f>Left(Right('Paste #BBall'!H40,Len('Paste #BBall'!H40)-Search("/",'Paste #BBall'!H40)),Len(Right('Paste #BBall'!H40,Len('Paste #BBall'!H40)-Search("/",'Paste #BBall'!H40)))-1)</f>
        <v>3.8</v>
      </c>
      <c r="T40" s="53"/>
      <c r="U40" s="53"/>
      <c r="V40" s="53"/>
    </row>
    <row r="41">
      <c r="A41" s="33">
        <v>40.0</v>
      </c>
      <c r="B41" s="149" t="str">
        <f>'Paste #BBall'!B41</f>
        <v>De'Aaron Fox</v>
      </c>
      <c r="C41" s="150" t="str">
        <f>'Paste #BBall'!C41</f>
        <v>PG</v>
      </c>
      <c r="D41" s="150" t="str">
        <f>'Paste #BBall'!D41</f>
        <v>SAC</v>
      </c>
      <c r="E41" s="151">
        <f>'Paste #BBall'!E41</f>
        <v>70</v>
      </c>
      <c r="F41" s="152">
        <f>'Paste #BBall'!F41</f>
        <v>33.5</v>
      </c>
      <c r="G41" s="153" t="str">
        <f>right(Left('Paste #BBall'!G41,Search("/",'Paste #BBall'!G41)-1),len(Left('Paste #BBall'!G41,Search("/",'Paste #BBall'!G41)-1))-search("(",Left('Paste #BBall'!G41,Search("/",'Paste #BBall'!G41)-1)))</f>
        <v>9.4</v>
      </c>
      <c r="H41" s="152">
        <f t="shared" si="1"/>
        <v>0.4973544974</v>
      </c>
      <c r="I41" s="152" t="str">
        <f>right(Left('Paste #BBall'!H41,Search("/",'Paste #BBall'!H41)-1),len(Left('Paste #BBall'!H41,Search("/",'Paste #BBall'!H41)-1))-search("(",Left('Paste #BBall'!H41,Search("/",'Paste #BBall'!H41)-1)))</f>
        <v>4.7</v>
      </c>
      <c r="J41" s="152">
        <f t="shared" si="2"/>
        <v>0.7704918033</v>
      </c>
      <c r="K41" s="152">
        <f>'Paste #BBall'!I41</f>
        <v>1.6</v>
      </c>
      <c r="L41" s="152">
        <f>'Paste #BBall'!J41</f>
        <v>25.1</v>
      </c>
      <c r="M41" s="152">
        <f>'Paste #BBall'!K41</f>
        <v>4.2</v>
      </c>
      <c r="N41" s="152">
        <f>'Paste #BBall'!L41</f>
        <v>6.1</v>
      </c>
      <c r="O41" s="152">
        <f>'Paste #BBall'!M41</f>
        <v>1.2</v>
      </c>
      <c r="P41" s="152">
        <f>'Paste #BBall'!N41</f>
        <v>0.4</v>
      </c>
      <c r="Q41" s="152">
        <f>'Paste #BBall'!O41</f>
        <v>2.7</v>
      </c>
      <c r="R41" s="153" t="str">
        <f>Left(Right('Paste #BBall'!G41,Len('Paste #BBall'!G41)-Search("/",'Paste #BBall'!G41)),Len(Right('Paste #BBall'!G41,Len('Paste #BBall'!G41)-Search("/",'Paste #BBall'!G41)))-1)</f>
        <v>18.9</v>
      </c>
      <c r="S41" s="153" t="str">
        <f>Left(Right('Paste #BBall'!H41,Len('Paste #BBall'!H41)-Search("/",'Paste #BBall'!H41)),Len(Right('Paste #BBall'!H41,Len('Paste #BBall'!H41)-Search("/",'Paste #BBall'!H41)))-1)</f>
        <v>6.1</v>
      </c>
      <c r="T41" s="53"/>
      <c r="U41" s="53"/>
      <c r="V41" s="53"/>
    </row>
    <row r="42">
      <c r="A42" s="33">
        <v>41.0</v>
      </c>
      <c r="B42" s="149" t="str">
        <f>'Paste #BBall'!B42</f>
        <v>Jamal Murray</v>
      </c>
      <c r="C42" s="150" t="str">
        <f>'Paste #BBall'!C42</f>
        <v>PG,SG</v>
      </c>
      <c r="D42" s="150" t="str">
        <f>'Paste #BBall'!D42</f>
        <v>DEN</v>
      </c>
      <c r="E42" s="151">
        <f>'Paste #BBall'!E42</f>
        <v>70</v>
      </c>
      <c r="F42" s="152">
        <f>'Paste #BBall'!F42</f>
        <v>33.3</v>
      </c>
      <c r="G42" s="153" t="str">
        <f>right(Left('Paste #BBall'!G42,Search("/",'Paste #BBall'!G42)-1),len(Left('Paste #BBall'!G42,Search("/",'Paste #BBall'!G42)-1))-search("(",Left('Paste #BBall'!G42,Search("/",'Paste #BBall'!G42)-1)))</f>
        <v>7.8</v>
      </c>
      <c r="H42" s="152">
        <f t="shared" si="1"/>
        <v>0.4698795181</v>
      </c>
      <c r="I42" s="152" t="str">
        <f>right(Left('Paste #BBall'!H42,Search("/",'Paste #BBall'!H42)-1),len(Left('Paste #BBall'!H42,Search("/",'Paste #BBall'!H42)-1))-search("(",Left('Paste #BBall'!H42,Search("/",'Paste #BBall'!H42)-1)))</f>
        <v>2.8</v>
      </c>
      <c r="J42" s="152">
        <f t="shared" si="2"/>
        <v>0.8235294118</v>
      </c>
      <c r="K42" s="152">
        <f>'Paste #BBall'!I42</f>
        <v>2.7</v>
      </c>
      <c r="L42" s="152">
        <f>'Paste #BBall'!J42</f>
        <v>21</v>
      </c>
      <c r="M42" s="152">
        <f>'Paste #BBall'!K42</f>
        <v>4.1</v>
      </c>
      <c r="N42" s="152">
        <f>'Paste #BBall'!L42</f>
        <v>6.3</v>
      </c>
      <c r="O42" s="152">
        <f>'Paste #BBall'!M42</f>
        <v>1</v>
      </c>
      <c r="P42" s="152">
        <f>'Paste #BBall'!N42</f>
        <v>0.3</v>
      </c>
      <c r="Q42" s="152">
        <f>'Paste #BBall'!O42</f>
        <v>2.3</v>
      </c>
      <c r="R42" s="153" t="str">
        <f>Left(Right('Paste #BBall'!G42,Len('Paste #BBall'!G42)-Search("/",'Paste #BBall'!G42)),Len(Right('Paste #BBall'!G42,Len('Paste #BBall'!G42)-Search("/",'Paste #BBall'!G42)))-1)</f>
        <v>16.6</v>
      </c>
      <c r="S42" s="153" t="str">
        <f>Left(Right('Paste #BBall'!H42,Len('Paste #BBall'!H42)-Search("/",'Paste #BBall'!H42)),Len(Right('Paste #BBall'!H42,Len('Paste #BBall'!H42)-Search("/",'Paste #BBall'!H42)))-1)</f>
        <v>3.4</v>
      </c>
      <c r="T42" s="53"/>
      <c r="U42" s="53"/>
      <c r="V42" s="53"/>
    </row>
    <row r="43">
      <c r="A43" s="33">
        <v>42.0</v>
      </c>
      <c r="B43" s="149" t="str">
        <f>'Paste #BBall'!B43</f>
        <v>Evan Mobley</v>
      </c>
      <c r="C43" s="150" t="str">
        <f>'Paste #BBall'!C43</f>
        <v>PF,C</v>
      </c>
      <c r="D43" s="150" t="str">
        <f>'Paste #BBall'!D43</f>
        <v>CLE</v>
      </c>
      <c r="E43" s="151">
        <f>'Paste #BBall'!E43</f>
        <v>76</v>
      </c>
      <c r="F43" s="152">
        <f>'Paste #BBall'!F43</f>
        <v>34.6</v>
      </c>
      <c r="G43" s="153" t="str">
        <f>right(Left('Paste #BBall'!G43,Search("/",'Paste #BBall'!G43)-1),len(Left('Paste #BBall'!G43,Search("/",'Paste #BBall'!G43)-1))-search("(",Left('Paste #BBall'!G43,Search("/",'Paste #BBall'!G43)-1)))</f>
        <v>7.1</v>
      </c>
      <c r="H43" s="152">
        <f t="shared" si="1"/>
        <v>0.5503875969</v>
      </c>
      <c r="I43" s="152" t="str">
        <f>right(Left('Paste #BBall'!H43,Search("/",'Paste #BBall'!H43)-1),len(Left('Paste #BBall'!H43,Search("/",'Paste #BBall'!H43)-1))-search("(",Left('Paste #BBall'!H43,Search("/",'Paste #BBall'!H43)-1)))</f>
        <v>2.7</v>
      </c>
      <c r="J43" s="152">
        <f t="shared" si="2"/>
        <v>0.675</v>
      </c>
      <c r="K43" s="152">
        <f>'Paste #BBall'!I43</f>
        <v>0.3</v>
      </c>
      <c r="L43" s="152">
        <f>'Paste #BBall'!J43</f>
        <v>17.2</v>
      </c>
      <c r="M43" s="152">
        <f>'Paste #BBall'!K43</f>
        <v>9.3</v>
      </c>
      <c r="N43" s="152">
        <f>'Paste #BBall'!L43</f>
        <v>2.9</v>
      </c>
      <c r="O43" s="152">
        <f>'Paste #BBall'!M43</f>
        <v>0.9</v>
      </c>
      <c r="P43" s="152">
        <f>'Paste #BBall'!N43</f>
        <v>1.7</v>
      </c>
      <c r="Q43" s="152">
        <f>'Paste #BBall'!O43</f>
        <v>1.9</v>
      </c>
      <c r="R43" s="153" t="str">
        <f>Left(Right('Paste #BBall'!G43,Len('Paste #BBall'!G43)-Search("/",'Paste #BBall'!G43)),Len(Right('Paste #BBall'!G43,Len('Paste #BBall'!G43)-Search("/",'Paste #BBall'!G43)))-1)</f>
        <v>12.9</v>
      </c>
      <c r="S43" s="153" t="str">
        <f>Left(Right('Paste #BBall'!H43,Len('Paste #BBall'!H43)-Search("/",'Paste #BBall'!H43)),Len(Right('Paste #BBall'!H43,Len('Paste #BBall'!H43)-Search("/",'Paste #BBall'!H43)))-1)</f>
        <v>4.0</v>
      </c>
      <c r="T43" s="53"/>
      <c r="U43" s="53"/>
      <c r="V43" s="53"/>
    </row>
    <row r="44">
      <c r="A44" s="33">
        <v>43.0</v>
      </c>
      <c r="B44" s="149" t="str">
        <f>'Paste #BBall'!B44</f>
        <v>Victor Wembanyama</v>
      </c>
      <c r="C44" s="150" t="str">
        <f>'Paste #BBall'!C44</f>
        <v>PF,C</v>
      </c>
      <c r="D44" s="150" t="str">
        <f>'Paste #BBall'!D44</f>
        <v>SA</v>
      </c>
      <c r="E44" s="151">
        <f>'Paste #BBall'!E44</f>
        <v>65</v>
      </c>
      <c r="F44" s="152">
        <f>'Paste #BBall'!F44</f>
        <v>30</v>
      </c>
      <c r="G44" s="153" t="str">
        <f>right(Left('Paste #BBall'!G44,Search("/",'Paste #BBall'!G44)-1),len(Left('Paste #BBall'!G44,Search("/",'Paste #BBall'!G44)-1))-search("(",Left('Paste #BBall'!G44,Search("/",'Paste #BBall'!G44)-1)))</f>
        <v>6.4</v>
      </c>
      <c r="H44" s="152">
        <f t="shared" si="1"/>
        <v>0.4571428571</v>
      </c>
      <c r="I44" s="152" t="str">
        <f>right(Left('Paste #BBall'!H44,Search("/",'Paste #BBall'!H44)-1),len(Left('Paste #BBall'!H44,Search("/",'Paste #BBall'!H44)-1))-search("(",Left('Paste #BBall'!H44,Search("/",'Paste #BBall'!H44)-1)))</f>
        <v>3.6</v>
      </c>
      <c r="J44" s="152">
        <f t="shared" si="2"/>
        <v>0.7826086957</v>
      </c>
      <c r="K44" s="152">
        <f>'Paste #BBall'!I44</f>
        <v>1</v>
      </c>
      <c r="L44" s="152">
        <f>'Paste #BBall'!J44</f>
        <v>17.3</v>
      </c>
      <c r="M44" s="152">
        <f>'Paste #BBall'!K44</f>
        <v>8.2</v>
      </c>
      <c r="N44" s="152">
        <f>'Paste #BBall'!L44</f>
        <v>1.8</v>
      </c>
      <c r="O44" s="152">
        <f>'Paste #BBall'!M44</f>
        <v>0.7</v>
      </c>
      <c r="P44" s="152">
        <f>'Paste #BBall'!N44</f>
        <v>2.3</v>
      </c>
      <c r="Q44" s="152">
        <f>'Paste #BBall'!O44</f>
        <v>1.8</v>
      </c>
      <c r="R44" s="153" t="str">
        <f>Left(Right('Paste #BBall'!G44,Len('Paste #BBall'!G44)-Search("/",'Paste #BBall'!G44)),Len(Right('Paste #BBall'!G44,Len('Paste #BBall'!G44)-Search("/",'Paste #BBall'!G44)))-1)</f>
        <v>14.0</v>
      </c>
      <c r="S44" s="153" t="str">
        <f>Left(Right('Paste #BBall'!H44,Len('Paste #BBall'!H44)-Search("/",'Paste #BBall'!H44)),Len(Right('Paste #BBall'!H44,Len('Paste #BBall'!H44)-Search("/",'Paste #BBall'!H44)))-1)</f>
        <v>4.6</v>
      </c>
      <c r="T44" s="53"/>
      <c r="U44" s="53"/>
      <c r="V44" s="53"/>
    </row>
    <row r="45">
      <c r="A45" s="33">
        <v>44.0</v>
      </c>
      <c r="B45" s="149" t="str">
        <f>'Paste #BBall'!B45</f>
        <v>Walker Kessler</v>
      </c>
      <c r="C45" s="150" t="str">
        <f>'Paste #BBall'!C45</f>
        <v>C</v>
      </c>
      <c r="D45" s="150" t="str">
        <f>'Paste #BBall'!D45</f>
        <v>UTA</v>
      </c>
      <c r="E45" s="151">
        <f>'Paste #BBall'!E45</f>
        <v>74</v>
      </c>
      <c r="F45" s="152">
        <f>'Paste #BBall'!F45</f>
        <v>28.8</v>
      </c>
      <c r="G45" s="153" t="str">
        <f>right(Left('Paste #BBall'!G45,Search("/",'Paste #BBall'!G45)-1),len(Left('Paste #BBall'!G45,Search("/",'Paste #BBall'!G45)-1))-search("(",Left('Paste #BBall'!G45,Search("/",'Paste #BBall'!G45)-1)))</f>
        <v>4.9</v>
      </c>
      <c r="H45" s="152">
        <f t="shared" si="1"/>
        <v>0.7205882353</v>
      </c>
      <c r="I45" s="152" t="str">
        <f>right(Left('Paste #BBall'!H45,Search("/",'Paste #BBall'!H45)-1),len(Left('Paste #BBall'!H45,Search("/",'Paste #BBall'!H45)-1))-search("(",Left('Paste #BBall'!H45,Search("/",'Paste #BBall'!H45)-1)))</f>
        <v>1.4</v>
      </c>
      <c r="J45" s="152">
        <f t="shared" si="2"/>
        <v>0.5384615385</v>
      </c>
      <c r="K45" s="152">
        <f>'Paste #BBall'!I45</f>
        <v>0</v>
      </c>
      <c r="L45" s="152">
        <f>'Paste #BBall'!J45</f>
        <v>11.2</v>
      </c>
      <c r="M45" s="152">
        <f>'Paste #BBall'!K45</f>
        <v>10.3</v>
      </c>
      <c r="N45" s="152">
        <f>'Paste #BBall'!L45</f>
        <v>1.1</v>
      </c>
      <c r="O45" s="152">
        <f>'Paste #BBall'!M45</f>
        <v>0.4</v>
      </c>
      <c r="P45" s="152">
        <f>'Paste #BBall'!N45</f>
        <v>2.7</v>
      </c>
      <c r="Q45" s="152">
        <f>'Paste #BBall'!O45</f>
        <v>1</v>
      </c>
      <c r="R45" s="153" t="str">
        <f>Left(Right('Paste #BBall'!G45,Len('Paste #BBall'!G45)-Search("/",'Paste #BBall'!G45)),Len(Right('Paste #BBall'!G45,Len('Paste #BBall'!G45)-Search("/",'Paste #BBall'!G45)))-1)</f>
        <v>6.8</v>
      </c>
      <c r="S45" s="153" t="str">
        <f>Left(Right('Paste #BBall'!H45,Len('Paste #BBall'!H45)-Search("/",'Paste #BBall'!H45)),Len(Right('Paste #BBall'!H45,Len('Paste #BBall'!H45)-Search("/",'Paste #BBall'!H45)))-1)</f>
        <v>2.6</v>
      </c>
      <c r="T45" s="53"/>
      <c r="U45" s="53"/>
      <c r="V45" s="53"/>
    </row>
    <row r="46">
      <c r="A46" s="33">
        <v>45.0</v>
      </c>
      <c r="B46" s="149" t="str">
        <f>'Paste #BBall'!B46</f>
        <v>Tyrese Maxey</v>
      </c>
      <c r="C46" s="150" t="str">
        <f>'Paste #BBall'!C46</f>
        <v>PG,SG</v>
      </c>
      <c r="D46" s="150" t="str">
        <f>'Paste #BBall'!D46</f>
        <v>PHI</v>
      </c>
      <c r="E46" s="151">
        <f>'Paste #BBall'!E46</f>
        <v>70</v>
      </c>
      <c r="F46" s="152">
        <f>'Paste #BBall'!F46</f>
        <v>34.2</v>
      </c>
      <c r="G46" s="153" t="str">
        <f>right(Left('Paste #BBall'!G46,Search("/",'Paste #BBall'!G46)-1),len(Left('Paste #BBall'!G46,Search("/",'Paste #BBall'!G46)-1))-search("(",Left('Paste #BBall'!G46,Search("/",'Paste #BBall'!G46)-1)))</f>
        <v>7.8</v>
      </c>
      <c r="H46" s="152">
        <f t="shared" si="1"/>
        <v>0.4875</v>
      </c>
      <c r="I46" s="152" t="str">
        <f>right(Left('Paste #BBall'!H46,Search("/",'Paste #BBall'!H46)-1),len(Left('Paste #BBall'!H46,Search("/",'Paste #BBall'!H46)-1))-search("(",Left('Paste #BBall'!H46,Search("/",'Paste #BBall'!H46)-1)))</f>
        <v>3.1</v>
      </c>
      <c r="J46" s="152">
        <f t="shared" si="2"/>
        <v>0.8611111111</v>
      </c>
      <c r="K46" s="152">
        <f>'Paste #BBall'!I46</f>
        <v>2.9</v>
      </c>
      <c r="L46" s="152">
        <f>'Paste #BBall'!J46</f>
        <v>21.5</v>
      </c>
      <c r="M46" s="152">
        <f>'Paste #BBall'!K46</f>
        <v>3.3</v>
      </c>
      <c r="N46" s="152">
        <f>'Paste #BBall'!L46</f>
        <v>4.4</v>
      </c>
      <c r="O46" s="152">
        <f>'Paste #BBall'!M46</f>
        <v>0.8</v>
      </c>
      <c r="P46" s="152">
        <f>'Paste #BBall'!N46</f>
        <v>0.3</v>
      </c>
      <c r="Q46" s="152">
        <f>'Paste #BBall'!O46</f>
        <v>1.3</v>
      </c>
      <c r="R46" s="153" t="str">
        <f>Left(Right('Paste #BBall'!G46,Len('Paste #BBall'!G46)-Search("/",'Paste #BBall'!G46)),Len(Right('Paste #BBall'!G46,Len('Paste #BBall'!G46)-Search("/",'Paste #BBall'!G46)))-1)</f>
        <v>16.0</v>
      </c>
      <c r="S46" s="153" t="str">
        <f>Left(Right('Paste #BBall'!H46,Len('Paste #BBall'!H46)-Search("/",'Paste #BBall'!H46)),Len(Right('Paste #BBall'!H46,Len('Paste #BBall'!H46)-Search("/",'Paste #BBall'!H46)))-1)</f>
        <v>3.6</v>
      </c>
      <c r="T46" s="53"/>
      <c r="U46" s="53"/>
      <c r="V46" s="53"/>
    </row>
    <row r="47">
      <c r="A47" s="33">
        <v>46.0</v>
      </c>
      <c r="B47" s="149" t="str">
        <f>'Paste #BBall'!B47</f>
        <v>Nikola Vucevic</v>
      </c>
      <c r="C47" s="150" t="str">
        <f>'Paste #BBall'!C47</f>
        <v>C</v>
      </c>
      <c r="D47" s="150" t="str">
        <f>'Paste #BBall'!D47</f>
        <v>CHI</v>
      </c>
      <c r="E47" s="151">
        <f>'Paste #BBall'!E47</f>
        <v>74</v>
      </c>
      <c r="F47" s="152">
        <f>'Paste #BBall'!F47</f>
        <v>33</v>
      </c>
      <c r="G47" s="153" t="str">
        <f>right(Left('Paste #BBall'!G47,Search("/",'Paste #BBall'!G47)-1),len(Left('Paste #BBall'!G47,Search("/",'Paste #BBall'!G47)-1))-search("(",Left('Paste #BBall'!G47,Search("/",'Paste #BBall'!G47)-1)))</f>
        <v>7.2</v>
      </c>
      <c r="H47" s="152">
        <f t="shared" si="1"/>
        <v>0.4864864865</v>
      </c>
      <c r="I47" s="152" t="str">
        <f>right(Left('Paste #BBall'!H47,Search("/",'Paste #BBall'!H47)-1),len(Left('Paste #BBall'!H47,Search("/",'Paste #BBall'!H47)-1))-search("(",Left('Paste #BBall'!H47,Search("/",'Paste #BBall'!H47)-1)))</f>
        <v>1.5</v>
      </c>
      <c r="J47" s="152">
        <f t="shared" si="2"/>
        <v>0.8333333333</v>
      </c>
      <c r="K47" s="152">
        <f>'Paste #BBall'!I47</f>
        <v>1.5</v>
      </c>
      <c r="L47" s="152">
        <f>'Paste #BBall'!J47</f>
        <v>17.4</v>
      </c>
      <c r="M47" s="152">
        <f>'Paste #BBall'!K47</f>
        <v>11</v>
      </c>
      <c r="N47" s="152">
        <f>'Paste #BBall'!L47</f>
        <v>3.2</v>
      </c>
      <c r="O47" s="152">
        <f>'Paste #BBall'!M47</f>
        <v>0.7</v>
      </c>
      <c r="P47" s="152">
        <f>'Paste #BBall'!N47</f>
        <v>0.7</v>
      </c>
      <c r="Q47" s="152">
        <f>'Paste #BBall'!O47</f>
        <v>1.8</v>
      </c>
      <c r="R47" s="153" t="str">
        <f>Left(Right('Paste #BBall'!G47,Len('Paste #BBall'!G47)-Search("/",'Paste #BBall'!G47)),Len(Right('Paste #BBall'!G47,Len('Paste #BBall'!G47)-Search("/",'Paste #BBall'!G47)))-1)</f>
        <v>14.8</v>
      </c>
      <c r="S47" s="153" t="str">
        <f>Left(Right('Paste #BBall'!H47,Len('Paste #BBall'!H47)-Search("/",'Paste #BBall'!H47)),Len(Right('Paste #BBall'!H47,Len('Paste #BBall'!H47)-Search("/",'Paste #BBall'!H47)))-1)</f>
        <v>1.8</v>
      </c>
      <c r="T47" s="53"/>
      <c r="U47" s="53"/>
      <c r="V47" s="53"/>
    </row>
    <row r="48">
      <c r="A48" s="33">
        <v>47.0</v>
      </c>
      <c r="B48" s="149" t="str">
        <f>'Paste #BBall'!B48</f>
        <v>Nicolas Claxton</v>
      </c>
      <c r="C48" s="150" t="str">
        <f>'Paste #BBall'!C48</f>
        <v>C</v>
      </c>
      <c r="D48" s="150" t="str">
        <f>'Paste #BBall'!D48</f>
        <v>BKN</v>
      </c>
      <c r="E48" s="151">
        <f>'Paste #BBall'!E48</f>
        <v>75</v>
      </c>
      <c r="F48" s="152">
        <f>'Paste #BBall'!F48</f>
        <v>31</v>
      </c>
      <c r="G48" s="153" t="str">
        <f>right(Left('Paste #BBall'!G48,Search("/",'Paste #BBall'!G48)-1),len(Left('Paste #BBall'!G48,Search("/",'Paste #BBall'!G48)-1))-search("(",Left('Paste #BBall'!G48,Search("/",'Paste #BBall'!G48)-1)))</f>
        <v>5.1</v>
      </c>
      <c r="H48" s="152">
        <f t="shared" si="1"/>
        <v>0.6538461538</v>
      </c>
      <c r="I48" s="152" t="str">
        <f>right(Left('Paste #BBall'!H48,Search("/",'Paste #BBall'!H48)-1),len(Left('Paste #BBall'!H48,Search("/",'Paste #BBall'!H48)-1))-search("(",Left('Paste #BBall'!H48,Search("/",'Paste #BBall'!H48)-1)))</f>
        <v>1.7</v>
      </c>
      <c r="J48" s="152">
        <f t="shared" si="2"/>
        <v>0.5666666667</v>
      </c>
      <c r="K48" s="152">
        <f>'Paste #BBall'!I48</f>
        <v>0</v>
      </c>
      <c r="L48" s="152">
        <f>'Paste #BBall'!J48</f>
        <v>12</v>
      </c>
      <c r="M48" s="152">
        <f>'Paste #BBall'!K48</f>
        <v>9.1</v>
      </c>
      <c r="N48" s="152">
        <f>'Paste #BBall'!L48</f>
        <v>1.8</v>
      </c>
      <c r="O48" s="152">
        <f>'Paste #BBall'!M48</f>
        <v>0.8</v>
      </c>
      <c r="P48" s="152">
        <f>'Paste #BBall'!N48</f>
        <v>2.4</v>
      </c>
      <c r="Q48" s="152">
        <f>'Paste #BBall'!O48</f>
        <v>1.3</v>
      </c>
      <c r="R48" s="153" t="str">
        <f>Left(Right('Paste #BBall'!G48,Len('Paste #BBall'!G48)-Search("/",'Paste #BBall'!G48)),Len(Right('Paste #BBall'!G48,Len('Paste #BBall'!G48)-Search("/",'Paste #BBall'!G48)))-1)</f>
        <v>7.8</v>
      </c>
      <c r="S48" s="153" t="str">
        <f>Left(Right('Paste #BBall'!H48,Len('Paste #BBall'!H48)-Search("/",'Paste #BBall'!H48)),Len(Right('Paste #BBall'!H48,Len('Paste #BBall'!H48)-Search("/",'Paste #BBall'!H48)))-1)</f>
        <v>3.0</v>
      </c>
      <c r="T48" s="53"/>
      <c r="U48" s="53"/>
      <c r="V48" s="53"/>
    </row>
    <row r="49">
      <c r="A49" s="33">
        <v>48.0</v>
      </c>
      <c r="B49" s="149" t="str">
        <f>'Paste #BBall'!B49</f>
        <v>Deandre Ayton</v>
      </c>
      <c r="C49" s="150" t="str">
        <f>'Paste #BBall'!C49</f>
        <v>C</v>
      </c>
      <c r="D49" s="150" t="str">
        <f>'Paste #BBall'!D49</f>
        <v>POR</v>
      </c>
      <c r="E49" s="151">
        <f>'Paste #BBall'!E49</f>
        <v>69</v>
      </c>
      <c r="F49" s="152">
        <f>'Paste #BBall'!F49</f>
        <v>31.6</v>
      </c>
      <c r="G49" s="153" t="str">
        <f>right(Left('Paste #BBall'!G49,Search("/",'Paste #BBall'!G49)-1),len(Left('Paste #BBall'!G49,Search("/",'Paste #BBall'!G49)-1))-search("(",Left('Paste #BBall'!G49,Search("/",'Paste #BBall'!G49)-1)))</f>
        <v>8.3</v>
      </c>
      <c r="H49" s="152">
        <f t="shared" si="1"/>
        <v>0.5845070423</v>
      </c>
      <c r="I49" s="152" t="str">
        <f>right(Left('Paste #BBall'!H49,Search("/",'Paste #BBall'!H49)-1),len(Left('Paste #BBall'!H49,Search("/",'Paste #BBall'!H49)-1))-search("(",Left('Paste #BBall'!H49,Search("/",'Paste #BBall'!H49)-1)))</f>
        <v>2.2</v>
      </c>
      <c r="J49" s="152">
        <f t="shared" si="2"/>
        <v>0.7333333333</v>
      </c>
      <c r="K49" s="152">
        <f>'Paste #BBall'!I49</f>
        <v>0.1</v>
      </c>
      <c r="L49" s="152">
        <f>'Paste #BBall'!J49</f>
        <v>18.9</v>
      </c>
      <c r="M49" s="152">
        <f>'Paste #BBall'!K49</f>
        <v>10.1</v>
      </c>
      <c r="N49" s="152">
        <f>'Paste #BBall'!L49</f>
        <v>1.7</v>
      </c>
      <c r="O49" s="152">
        <f>'Paste #BBall'!M49</f>
        <v>0.7</v>
      </c>
      <c r="P49" s="152">
        <f>'Paste #BBall'!N49</f>
        <v>0.8</v>
      </c>
      <c r="Q49" s="152">
        <f>'Paste #BBall'!O49</f>
        <v>1.8</v>
      </c>
      <c r="R49" s="153" t="str">
        <f>Left(Right('Paste #BBall'!G49,Len('Paste #BBall'!G49)-Search("/",'Paste #BBall'!G49)),Len(Right('Paste #BBall'!G49,Len('Paste #BBall'!G49)-Search("/",'Paste #BBall'!G49)))-1)</f>
        <v>14.2</v>
      </c>
      <c r="S49" s="153" t="str">
        <f>Left(Right('Paste #BBall'!H49,Len('Paste #BBall'!H49)-Search("/",'Paste #BBall'!H49)),Len(Right('Paste #BBall'!H49,Len('Paste #BBall'!H49)-Search("/",'Paste #BBall'!H49)))-1)</f>
        <v>3.0</v>
      </c>
      <c r="T49" s="53"/>
      <c r="U49" s="53"/>
      <c r="V49" s="53"/>
    </row>
    <row r="50">
      <c r="A50" s="33">
        <v>49.0</v>
      </c>
      <c r="B50" s="149" t="str">
        <f>'Paste #BBall'!B50</f>
        <v>Pascal Siakam</v>
      </c>
      <c r="C50" s="150" t="str">
        <f>'Paste #BBall'!C50</f>
        <v>PF,C</v>
      </c>
      <c r="D50" s="150" t="str">
        <f>'Paste #BBall'!D50</f>
        <v>TOR</v>
      </c>
      <c r="E50" s="151">
        <f>'Paste #BBall'!E50</f>
        <v>70</v>
      </c>
      <c r="F50" s="152">
        <f>'Paste #BBall'!F50</f>
        <v>35.4</v>
      </c>
      <c r="G50" s="153" t="str">
        <f>right(Left('Paste #BBall'!G50,Search("/",'Paste #BBall'!G50)-1),len(Left('Paste #BBall'!G50,Search("/",'Paste #BBall'!G50)-1))-search("(",Left('Paste #BBall'!G50,Search("/",'Paste #BBall'!G50)-1)))</f>
        <v>8.2</v>
      </c>
      <c r="H50" s="152">
        <f t="shared" si="1"/>
        <v>0.476744186</v>
      </c>
      <c r="I50" s="152" t="str">
        <f>right(Left('Paste #BBall'!H50,Search("/",'Paste #BBall'!H50)-1),len(Left('Paste #BBall'!H50,Search("/",'Paste #BBall'!H50)-1))-search("(",Left('Paste #BBall'!H50,Search("/",'Paste #BBall'!H50)-1)))</f>
        <v>4.5</v>
      </c>
      <c r="J50" s="152">
        <f t="shared" si="2"/>
        <v>0.775862069</v>
      </c>
      <c r="K50" s="152">
        <f>'Paste #BBall'!I50</f>
        <v>1.2</v>
      </c>
      <c r="L50" s="152">
        <f>'Paste #BBall'!J50</f>
        <v>22.1</v>
      </c>
      <c r="M50" s="152">
        <f>'Paste #BBall'!K50</f>
        <v>7.8</v>
      </c>
      <c r="N50" s="152">
        <f>'Paste #BBall'!L50</f>
        <v>5.7</v>
      </c>
      <c r="O50" s="152">
        <f>'Paste #BBall'!M50</f>
        <v>1</v>
      </c>
      <c r="P50" s="152">
        <f>'Paste #BBall'!N50</f>
        <v>0.5</v>
      </c>
      <c r="Q50" s="152">
        <f>'Paste #BBall'!O50</f>
        <v>2.4</v>
      </c>
      <c r="R50" s="153" t="str">
        <f>Left(Right('Paste #BBall'!G50,Len('Paste #BBall'!G50)-Search("/",'Paste #BBall'!G50)),Len(Right('Paste #BBall'!G50,Len('Paste #BBall'!G50)-Search("/",'Paste #BBall'!G50)))-1)</f>
        <v>17.2</v>
      </c>
      <c r="S50" s="153" t="str">
        <f>Left(Right('Paste #BBall'!H50,Len('Paste #BBall'!H50)-Search("/",'Paste #BBall'!H50)),Len(Right('Paste #BBall'!H50,Len('Paste #BBall'!H50)-Search("/",'Paste #BBall'!H50)))-1)</f>
        <v>5.8</v>
      </c>
      <c r="T50" s="53"/>
      <c r="U50" s="53"/>
      <c r="V50" s="53"/>
    </row>
    <row r="51">
      <c r="A51" s="33">
        <v>50.0</v>
      </c>
      <c r="B51" s="149" t="str">
        <f>'Paste #BBall'!B51</f>
        <v>Jordan Poole</v>
      </c>
      <c r="C51" s="150" t="str">
        <f>'Paste #BBall'!C51</f>
        <v>PG,SG</v>
      </c>
      <c r="D51" s="150" t="str">
        <f>'Paste #BBall'!D51</f>
        <v>WAS</v>
      </c>
      <c r="E51" s="151">
        <f>'Paste #BBall'!E51</f>
        <v>78</v>
      </c>
      <c r="F51" s="152">
        <f>'Paste #BBall'!F51</f>
        <v>33.5</v>
      </c>
      <c r="G51" s="153" t="str">
        <f>right(Left('Paste #BBall'!G51,Search("/",'Paste #BBall'!G51)-1),len(Left('Paste #BBall'!G51,Search("/",'Paste #BBall'!G51)-1))-search("(",Left('Paste #BBall'!G51,Search("/",'Paste #BBall'!G51)-1)))</f>
        <v>7.3</v>
      </c>
      <c r="H51" s="152">
        <f t="shared" si="1"/>
        <v>0.4371257485</v>
      </c>
      <c r="I51" s="152" t="str">
        <f>right(Left('Paste #BBall'!H51,Search("/",'Paste #BBall'!H51)-1),len(Left('Paste #BBall'!H51,Search("/",'Paste #BBall'!H51)-1))-search("(",Left('Paste #BBall'!H51,Search("/",'Paste #BBall'!H51)-1)))</f>
        <v>4.3</v>
      </c>
      <c r="J51" s="152">
        <f t="shared" si="2"/>
        <v>0.8775510204</v>
      </c>
      <c r="K51" s="152">
        <f>'Paste #BBall'!I51</f>
        <v>3</v>
      </c>
      <c r="L51" s="152">
        <f>'Paste #BBall'!J51</f>
        <v>22</v>
      </c>
      <c r="M51" s="152">
        <f>'Paste #BBall'!K51</f>
        <v>3.5</v>
      </c>
      <c r="N51" s="152">
        <f>'Paste #BBall'!L51</f>
        <v>4.8</v>
      </c>
      <c r="O51" s="152">
        <f>'Paste #BBall'!M51</f>
        <v>0.9</v>
      </c>
      <c r="P51" s="152">
        <f>'Paste #BBall'!N51</f>
        <v>0.3</v>
      </c>
      <c r="Q51" s="152">
        <f>'Paste #BBall'!O51</f>
        <v>3.1</v>
      </c>
      <c r="R51" s="153" t="str">
        <f>Left(Right('Paste #BBall'!G51,Len('Paste #BBall'!G51)-Search("/",'Paste #BBall'!G51)),Len(Right('Paste #BBall'!G51,Len('Paste #BBall'!G51)-Search("/",'Paste #BBall'!G51)))-1)</f>
        <v>16.7</v>
      </c>
      <c r="S51" s="153" t="str">
        <f>Left(Right('Paste #BBall'!H51,Len('Paste #BBall'!H51)-Search("/",'Paste #BBall'!H51)),Len(Right('Paste #BBall'!H51,Len('Paste #BBall'!H51)-Search("/",'Paste #BBall'!H51)))-1)</f>
        <v>4.9</v>
      </c>
      <c r="T51" s="53"/>
      <c r="U51" s="53"/>
      <c r="V51" s="53"/>
    </row>
    <row r="52">
      <c r="A52" s="33">
        <v>51.0</v>
      </c>
      <c r="B52" s="149" t="str">
        <f>'Paste #BBall'!B52</f>
        <v>Jrue Holiday</v>
      </c>
      <c r="C52" s="150" t="str">
        <f>'Paste #BBall'!C52</f>
        <v>PG,SG</v>
      </c>
      <c r="D52" s="150" t="str">
        <f>'Paste #BBall'!D52</f>
        <v>BOS</v>
      </c>
      <c r="E52" s="151">
        <f>'Paste #BBall'!E52</f>
        <v>67</v>
      </c>
      <c r="F52" s="152">
        <f>'Paste #BBall'!F52</f>
        <v>32.4</v>
      </c>
      <c r="G52" s="153" t="str">
        <f>right(Left('Paste #BBall'!G52,Search("/",'Paste #BBall'!G52)-1),len(Left('Paste #BBall'!G52,Search("/",'Paste #BBall'!G52)-1))-search("(",Left('Paste #BBall'!G52,Search("/",'Paste #BBall'!G52)-1)))</f>
        <v>6.0</v>
      </c>
      <c r="H52" s="152">
        <f t="shared" si="1"/>
        <v>0.4761904762</v>
      </c>
      <c r="I52" s="152" t="str">
        <f>right(Left('Paste #BBall'!H52,Search("/",'Paste #BBall'!H52)-1),len(Left('Paste #BBall'!H52,Search("/",'Paste #BBall'!H52)-1))-search("(",Left('Paste #BBall'!H52,Search("/",'Paste #BBall'!H52)-1)))</f>
        <v>2.2</v>
      </c>
      <c r="J52" s="152">
        <f t="shared" si="2"/>
        <v>0.8148148148</v>
      </c>
      <c r="K52" s="152">
        <f>'Paste #BBall'!I52</f>
        <v>2.2</v>
      </c>
      <c r="L52" s="152">
        <f>'Paste #BBall'!J52</f>
        <v>16.3</v>
      </c>
      <c r="M52" s="152">
        <f>'Paste #BBall'!K52</f>
        <v>4.8</v>
      </c>
      <c r="N52" s="152">
        <f>'Paste #BBall'!L52</f>
        <v>5.1</v>
      </c>
      <c r="O52" s="152">
        <f>'Paste #BBall'!M52</f>
        <v>1.4</v>
      </c>
      <c r="P52" s="152">
        <f>'Paste #BBall'!N52</f>
        <v>0.4</v>
      </c>
      <c r="Q52" s="152">
        <f>'Paste #BBall'!O52</f>
        <v>2.8</v>
      </c>
      <c r="R52" s="153" t="str">
        <f>Left(Right('Paste #BBall'!G52,Len('Paste #BBall'!G52)-Search("/",'Paste #BBall'!G52)),Len(Right('Paste #BBall'!G52,Len('Paste #BBall'!G52)-Search("/",'Paste #BBall'!G52)))-1)</f>
        <v>12.6</v>
      </c>
      <c r="S52" s="153" t="str">
        <f>Left(Right('Paste #BBall'!H52,Len('Paste #BBall'!H52)-Search("/",'Paste #BBall'!H52)),Len(Right('Paste #BBall'!H52,Len('Paste #BBall'!H52)-Search("/",'Paste #BBall'!H52)))-1)</f>
        <v>2.7</v>
      </c>
      <c r="T52" s="53"/>
      <c r="U52" s="53"/>
      <c r="V52" s="53"/>
    </row>
    <row r="53">
      <c r="A53" s="33">
        <v>52.0</v>
      </c>
      <c r="B53" s="149" t="str">
        <f>'Paste #BBall'!B53</f>
        <v>Jarrett Allen</v>
      </c>
      <c r="C53" s="150" t="str">
        <f>'Paste #BBall'!C53</f>
        <v>C</v>
      </c>
      <c r="D53" s="150" t="str">
        <f>'Paste #BBall'!D53</f>
        <v>CLE</v>
      </c>
      <c r="E53" s="151">
        <f>'Paste #BBall'!E53</f>
        <v>68</v>
      </c>
      <c r="F53" s="152">
        <f>'Paste #BBall'!F53</f>
        <v>32.5</v>
      </c>
      <c r="G53" s="153" t="str">
        <f>right(Left('Paste #BBall'!G53,Search("/",'Paste #BBall'!G53)-1),len(Left('Paste #BBall'!G53,Search("/",'Paste #BBall'!G53)-1))-search("(",Left('Paste #BBall'!G53,Search("/",'Paste #BBall'!G53)-1)))</f>
        <v>5.8</v>
      </c>
      <c r="H53" s="152">
        <f t="shared" si="1"/>
        <v>0.6590909091</v>
      </c>
      <c r="I53" s="152" t="str">
        <f>right(Left('Paste #BBall'!H53,Search("/",'Paste #BBall'!H53)-1),len(Left('Paste #BBall'!H53,Search("/",'Paste #BBall'!H53)-1))-search("(",Left('Paste #BBall'!H53,Search("/",'Paste #BBall'!H53)-1)))</f>
        <v>2.5</v>
      </c>
      <c r="J53" s="152">
        <f t="shared" si="2"/>
        <v>0.7352941176</v>
      </c>
      <c r="K53" s="152">
        <f>'Paste #BBall'!I53</f>
        <v>0</v>
      </c>
      <c r="L53" s="152">
        <f>'Paste #BBall'!J53</f>
        <v>14.1</v>
      </c>
      <c r="M53" s="152">
        <f>'Paste #BBall'!K53</f>
        <v>9.7</v>
      </c>
      <c r="N53" s="152">
        <f>'Paste #BBall'!L53</f>
        <v>1.5</v>
      </c>
      <c r="O53" s="152">
        <f>'Paste #BBall'!M53</f>
        <v>0.7</v>
      </c>
      <c r="P53" s="152">
        <f>'Paste #BBall'!N53</f>
        <v>1.2</v>
      </c>
      <c r="Q53" s="152">
        <f>'Paste #BBall'!O53</f>
        <v>1.4</v>
      </c>
      <c r="R53" s="153" t="str">
        <f>Left(Right('Paste #BBall'!G53,Len('Paste #BBall'!G53)-Search("/",'Paste #BBall'!G53)),Len(Right('Paste #BBall'!G53,Len('Paste #BBall'!G53)-Search("/",'Paste #BBall'!G53)))-1)</f>
        <v>8.8</v>
      </c>
      <c r="S53" s="153" t="str">
        <f>Left(Right('Paste #BBall'!H53,Len('Paste #BBall'!H53)-Search("/",'Paste #BBall'!H53)),Len(Right('Paste #BBall'!H53,Len('Paste #BBall'!H53)-Search("/",'Paste #BBall'!H53)))-1)</f>
        <v>3.4</v>
      </c>
      <c r="T53" s="53"/>
      <c r="U53" s="53"/>
      <c r="V53" s="53"/>
    </row>
    <row r="54">
      <c r="A54" s="33">
        <v>53.0</v>
      </c>
      <c r="B54" s="149" t="str">
        <f>'Paste #BBall'!B54</f>
        <v>Chet Holmgren</v>
      </c>
      <c r="C54" s="150" t="str">
        <f>'Paste #BBall'!C54</f>
        <v>PF,C</v>
      </c>
      <c r="D54" s="150" t="str">
        <f>'Paste #BBall'!D54</f>
        <v>OKC</v>
      </c>
      <c r="E54" s="151">
        <f>'Paste #BBall'!E54</f>
        <v>64</v>
      </c>
      <c r="F54" s="152">
        <f>'Paste #BBall'!F54</f>
        <v>29.7</v>
      </c>
      <c r="G54" s="153" t="str">
        <f>right(Left('Paste #BBall'!G54,Search("/",'Paste #BBall'!G54)-1),len(Left('Paste #BBall'!G54,Search("/",'Paste #BBall'!G54)-1))-search("(",Left('Paste #BBall'!G54,Search("/",'Paste #BBall'!G54)-1)))</f>
        <v>5.0</v>
      </c>
      <c r="H54" s="152">
        <f t="shared" si="1"/>
        <v>0.4807692308</v>
      </c>
      <c r="I54" s="152" t="str">
        <f>right(Left('Paste #BBall'!H54,Search("/",'Paste #BBall'!H54)-1),len(Left('Paste #BBall'!H54,Search("/",'Paste #BBall'!H54)-1))-search("(",Left('Paste #BBall'!H54,Search("/",'Paste #BBall'!H54)-1)))</f>
        <v>3.0</v>
      </c>
      <c r="J54" s="152">
        <f t="shared" si="2"/>
        <v>0.75</v>
      </c>
      <c r="K54" s="152">
        <f>'Paste #BBall'!I54</f>
        <v>1.3</v>
      </c>
      <c r="L54" s="152">
        <f>'Paste #BBall'!J54</f>
        <v>14.3</v>
      </c>
      <c r="M54" s="152">
        <f>'Paste #BBall'!K54</f>
        <v>9.2</v>
      </c>
      <c r="N54" s="152">
        <f>'Paste #BBall'!L54</f>
        <v>1.6</v>
      </c>
      <c r="O54" s="152">
        <f>'Paste #BBall'!M54</f>
        <v>0.5</v>
      </c>
      <c r="P54" s="152">
        <f>'Paste #BBall'!N54</f>
        <v>2</v>
      </c>
      <c r="Q54" s="152">
        <f>'Paste #BBall'!O54</f>
        <v>1.2</v>
      </c>
      <c r="R54" s="153" t="str">
        <f>Left(Right('Paste #BBall'!G54,Len('Paste #BBall'!G54)-Search("/",'Paste #BBall'!G54)),Len(Right('Paste #BBall'!G54,Len('Paste #BBall'!G54)-Search("/",'Paste #BBall'!G54)))-1)</f>
        <v>10.4</v>
      </c>
      <c r="S54" s="153" t="str">
        <f>Left(Right('Paste #BBall'!H54,Len('Paste #BBall'!H54)-Search("/",'Paste #BBall'!H54)),Len(Right('Paste #BBall'!H54,Len('Paste #BBall'!H54)-Search("/",'Paste #BBall'!H54)))-1)</f>
        <v>4.0</v>
      </c>
      <c r="T54" s="53"/>
      <c r="U54" s="53"/>
      <c r="V54" s="53"/>
    </row>
    <row r="55">
      <c r="A55" s="33">
        <v>54.0</v>
      </c>
      <c r="B55" s="149" t="str">
        <f>'Paste #BBall'!B55</f>
        <v>Brandon Ingram</v>
      </c>
      <c r="C55" s="150" t="str">
        <f>'Paste #BBall'!C55</f>
        <v>SG,SF,PF</v>
      </c>
      <c r="D55" s="150" t="str">
        <f>'Paste #BBall'!D55</f>
        <v>NO</v>
      </c>
      <c r="E55" s="151">
        <f>'Paste #BBall'!E55</f>
        <v>60</v>
      </c>
      <c r="F55" s="152">
        <f>'Paste #BBall'!F55</f>
        <v>34.2</v>
      </c>
      <c r="G55" s="153" t="str">
        <f>right(Left('Paste #BBall'!G55,Search("/",'Paste #BBall'!G55)-1),len(Left('Paste #BBall'!G55,Search("/",'Paste #BBall'!G55)-1))-search("(",Left('Paste #BBall'!G55,Search("/",'Paste #BBall'!G55)-1)))</f>
        <v>8.3</v>
      </c>
      <c r="H55" s="152">
        <f t="shared" si="1"/>
        <v>0.4689265537</v>
      </c>
      <c r="I55" s="152" t="str">
        <f>right(Left('Paste #BBall'!H55,Search("/",'Paste #BBall'!H55)-1),len(Left('Paste #BBall'!H55,Search("/",'Paste #BBall'!H55)-1))-search("(",Left('Paste #BBall'!H55,Search("/",'Paste #BBall'!H55)-1)))</f>
        <v>4.9</v>
      </c>
      <c r="J55" s="152">
        <f t="shared" si="2"/>
        <v>0.8448275862</v>
      </c>
      <c r="K55" s="152">
        <f>'Paste #BBall'!I55</f>
        <v>1.3</v>
      </c>
      <c r="L55" s="152">
        <f>'Paste #BBall'!J55</f>
        <v>23</v>
      </c>
      <c r="M55" s="152">
        <f>'Paste #BBall'!K55</f>
        <v>5.5</v>
      </c>
      <c r="N55" s="152">
        <f>'Paste #BBall'!L55</f>
        <v>5.5</v>
      </c>
      <c r="O55" s="152">
        <f>'Paste #BBall'!M55</f>
        <v>0.7</v>
      </c>
      <c r="P55" s="152">
        <f>'Paste #BBall'!N55</f>
        <v>0.4</v>
      </c>
      <c r="Q55" s="152">
        <f>'Paste #BBall'!O55</f>
        <v>2.9</v>
      </c>
      <c r="R55" s="153" t="str">
        <f>Left(Right('Paste #BBall'!G55,Len('Paste #BBall'!G55)-Search("/",'Paste #BBall'!G55)),Len(Right('Paste #BBall'!G55,Len('Paste #BBall'!G55)-Search("/",'Paste #BBall'!G55)))-1)</f>
        <v>17.7</v>
      </c>
      <c r="S55" s="153" t="str">
        <f>Left(Right('Paste #BBall'!H55,Len('Paste #BBall'!H55)-Search("/",'Paste #BBall'!H55)),Len(Right('Paste #BBall'!H55,Len('Paste #BBall'!H55)-Search("/",'Paste #BBall'!H55)))-1)</f>
        <v>5.8</v>
      </c>
      <c r="T55" s="53"/>
      <c r="U55" s="53"/>
      <c r="V55" s="53"/>
    </row>
    <row r="56">
      <c r="A56" s="33">
        <v>55.0</v>
      </c>
      <c r="B56" s="149" t="str">
        <f>'Paste #BBall'!B56</f>
        <v>Zion Williamson</v>
      </c>
      <c r="C56" s="150" t="str">
        <f>'Paste #BBall'!C56</f>
        <v>PF,C</v>
      </c>
      <c r="D56" s="150" t="str">
        <f>'Paste #BBall'!D56</f>
        <v>NO</v>
      </c>
      <c r="E56" s="151">
        <f>'Paste #BBall'!E56</f>
        <v>52</v>
      </c>
      <c r="F56" s="152">
        <f>'Paste #BBall'!F56</f>
        <v>33.1</v>
      </c>
      <c r="G56" s="153" t="str">
        <f>right(Left('Paste #BBall'!G56,Search("/",'Paste #BBall'!G56)-1),len(Left('Paste #BBall'!G56,Search("/",'Paste #BBall'!G56)-1))-search("(",Left('Paste #BBall'!G56,Search("/",'Paste #BBall'!G56)-1)))</f>
        <v>9.6</v>
      </c>
      <c r="H56" s="152">
        <f t="shared" si="1"/>
        <v>0.6037735849</v>
      </c>
      <c r="I56" s="152" t="str">
        <f>right(Left('Paste #BBall'!H56,Search("/",'Paste #BBall'!H56)-1),len(Left('Paste #BBall'!H56,Search("/",'Paste #BBall'!H56)-1))-search("(",Left('Paste #BBall'!H56,Search("/",'Paste #BBall'!H56)-1)))</f>
        <v>5.9</v>
      </c>
      <c r="J56" s="152">
        <f t="shared" si="2"/>
        <v>0.7023809524</v>
      </c>
      <c r="K56" s="152">
        <f>'Paste #BBall'!I56</f>
        <v>0.2</v>
      </c>
      <c r="L56" s="152">
        <f>'Paste #BBall'!J56</f>
        <v>25.3</v>
      </c>
      <c r="M56" s="152">
        <f>'Paste #BBall'!K56</f>
        <v>6.8</v>
      </c>
      <c r="N56" s="152">
        <f>'Paste #BBall'!L56</f>
        <v>4.5</v>
      </c>
      <c r="O56" s="152">
        <f>'Paste #BBall'!M56</f>
        <v>1</v>
      </c>
      <c r="P56" s="152">
        <f>'Paste #BBall'!N56</f>
        <v>0.5</v>
      </c>
      <c r="Q56" s="152">
        <f>'Paste #BBall'!O56</f>
        <v>3.4</v>
      </c>
      <c r="R56" s="153" t="str">
        <f>Left(Right('Paste #BBall'!G56,Len('Paste #BBall'!G56)-Search("/",'Paste #BBall'!G56)),Len(Right('Paste #BBall'!G56,Len('Paste #BBall'!G56)-Search("/",'Paste #BBall'!G56)))-1)</f>
        <v>15.9</v>
      </c>
      <c r="S56" s="153" t="str">
        <f>Left(Right('Paste #BBall'!H56,Len('Paste #BBall'!H56)-Search("/",'Paste #BBall'!H56)),Len(Right('Paste #BBall'!H56,Len('Paste #BBall'!H56)-Search("/",'Paste #BBall'!H56)))-1)</f>
        <v>8.4</v>
      </c>
      <c r="T56" s="53"/>
      <c r="U56" s="53"/>
      <c r="V56" s="53"/>
    </row>
    <row r="57">
      <c r="A57" s="33">
        <v>56.0</v>
      </c>
      <c r="B57" s="149" t="str">
        <f>'Paste #BBall'!B57</f>
        <v>Ja Morant</v>
      </c>
      <c r="C57" s="150" t="str">
        <f>'Paste #BBall'!C57</f>
        <v>PG</v>
      </c>
      <c r="D57" s="150" t="str">
        <f>'Paste #BBall'!D57</f>
        <v>MEM</v>
      </c>
      <c r="E57" s="151">
        <f>'Paste #BBall'!E57</f>
        <v>48</v>
      </c>
      <c r="F57" s="152">
        <f>'Paste #BBall'!F57</f>
        <v>32.1</v>
      </c>
      <c r="G57" s="153" t="str">
        <f>right(Left('Paste #BBall'!G57,Search("/",'Paste #BBall'!G57)-1),len(Left('Paste #BBall'!G57,Search("/",'Paste #BBall'!G57)-1))-search("(",Left('Paste #BBall'!G57,Search("/",'Paste #BBall'!G57)-1)))</f>
        <v>9.6</v>
      </c>
      <c r="H57" s="152">
        <f t="shared" si="1"/>
        <v>0.4752475248</v>
      </c>
      <c r="I57" s="152" t="str">
        <f>right(Left('Paste #BBall'!H57,Search("/",'Paste #BBall'!H57)-1),len(Left('Paste #BBall'!H57,Search("/",'Paste #BBall'!H57)-1))-search("(",Left('Paste #BBall'!H57,Search("/",'Paste #BBall'!H57)-1)))</f>
        <v>5.8</v>
      </c>
      <c r="J57" s="152">
        <f t="shared" si="2"/>
        <v>0.7532467532</v>
      </c>
      <c r="K57" s="152">
        <f>'Paste #BBall'!I57</f>
        <v>1.5</v>
      </c>
      <c r="L57" s="152">
        <f>'Paste #BBall'!J57</f>
        <v>26.5</v>
      </c>
      <c r="M57" s="152">
        <f>'Paste #BBall'!K57</f>
        <v>5.8</v>
      </c>
      <c r="N57" s="152">
        <f>'Paste #BBall'!L57</f>
        <v>7.1</v>
      </c>
      <c r="O57" s="152">
        <f>'Paste #BBall'!M57</f>
        <v>1.1</v>
      </c>
      <c r="P57" s="152">
        <f>'Paste #BBall'!N57</f>
        <v>0.3</v>
      </c>
      <c r="Q57" s="152">
        <f>'Paste #BBall'!O57</f>
        <v>3.4</v>
      </c>
      <c r="R57" s="153" t="str">
        <f>Left(Right('Paste #BBall'!G57,Len('Paste #BBall'!G57)-Search("/",'Paste #BBall'!G57)),Len(Right('Paste #BBall'!G57,Len('Paste #BBall'!G57)-Search("/",'Paste #BBall'!G57)))-1)</f>
        <v>20.2</v>
      </c>
      <c r="S57" s="153" t="str">
        <f>Left(Right('Paste #BBall'!H57,Len('Paste #BBall'!H57)-Search("/",'Paste #BBall'!H57)),Len(Right('Paste #BBall'!H57,Len('Paste #BBall'!H57)-Search("/",'Paste #BBall'!H57)))-1)</f>
        <v>7.7</v>
      </c>
      <c r="T57" s="53"/>
      <c r="U57" s="53"/>
      <c r="V57" s="53"/>
    </row>
    <row r="58">
      <c r="A58" s="33">
        <v>57.0</v>
      </c>
      <c r="B58" s="149" t="str">
        <f>'Paste #BBall'!B58</f>
        <v>Bradley Beal</v>
      </c>
      <c r="C58" s="150" t="str">
        <f>'Paste #BBall'!C58</f>
        <v>PG,SG</v>
      </c>
      <c r="D58" s="150" t="str">
        <f>'Paste #BBall'!D58</f>
        <v>PHO</v>
      </c>
      <c r="E58" s="151">
        <f>'Paste #BBall'!E58</f>
        <v>62</v>
      </c>
      <c r="F58" s="152">
        <f>'Paste #BBall'!F58</f>
        <v>33.6</v>
      </c>
      <c r="G58" s="153" t="str">
        <f>right(Left('Paste #BBall'!G58,Search("/",'Paste #BBall'!G58)-1),len(Left('Paste #BBall'!G58,Search("/",'Paste #BBall'!G58)-1))-search("(",Left('Paste #BBall'!G58,Search("/",'Paste #BBall'!G58)-1)))</f>
        <v>7.6</v>
      </c>
      <c r="H58" s="152">
        <f t="shared" si="1"/>
        <v>0.475</v>
      </c>
      <c r="I58" s="152" t="str">
        <f>right(Left('Paste #BBall'!H58,Search("/",'Paste #BBall'!H58)-1),len(Left('Paste #BBall'!H58,Search("/",'Paste #BBall'!H58)-1))-search("(",Left('Paste #BBall'!H58,Search("/",'Paste #BBall'!H58)-1)))</f>
        <v>3.9</v>
      </c>
      <c r="J58" s="152">
        <f t="shared" si="2"/>
        <v>0.829787234</v>
      </c>
      <c r="K58" s="152">
        <f>'Paste #BBall'!I58</f>
        <v>1.6</v>
      </c>
      <c r="L58" s="152">
        <f>'Paste #BBall'!J58</f>
        <v>20.8</v>
      </c>
      <c r="M58" s="152">
        <f>'Paste #BBall'!K58</f>
        <v>4.2</v>
      </c>
      <c r="N58" s="152">
        <f>'Paste #BBall'!L58</f>
        <v>5.7</v>
      </c>
      <c r="O58" s="152">
        <f>'Paste #BBall'!M58</f>
        <v>0.9</v>
      </c>
      <c r="P58" s="152">
        <f>'Paste #BBall'!N58</f>
        <v>0.5</v>
      </c>
      <c r="Q58" s="152">
        <f>'Paste #BBall'!O58</f>
        <v>3.1</v>
      </c>
      <c r="R58" s="153" t="str">
        <f>Left(Right('Paste #BBall'!G58,Len('Paste #BBall'!G58)-Search("/",'Paste #BBall'!G58)),Len(Right('Paste #BBall'!G58,Len('Paste #BBall'!G58)-Search("/",'Paste #BBall'!G58)))-1)</f>
        <v>16.0</v>
      </c>
      <c r="S58" s="153" t="str">
        <f>Left(Right('Paste #BBall'!H58,Len('Paste #BBall'!H58)-Search("/",'Paste #BBall'!H58)),Len(Right('Paste #BBall'!H58,Len('Paste #BBall'!H58)-Search("/",'Paste #BBall'!H58)))-1)</f>
        <v>4.7</v>
      </c>
      <c r="T58" s="53"/>
      <c r="U58" s="53"/>
      <c r="V58" s="53"/>
    </row>
    <row r="59">
      <c r="A59" s="33">
        <v>58.0</v>
      </c>
      <c r="B59" s="149" t="str">
        <f>'Paste #BBall'!B59</f>
        <v>Alperen Sengün</v>
      </c>
      <c r="C59" s="150" t="str">
        <f>'Paste #BBall'!C59</f>
        <v>C</v>
      </c>
      <c r="D59" s="150" t="str">
        <f>'Paste #BBall'!D59</f>
        <v>HOU</v>
      </c>
      <c r="E59" s="151">
        <f>'Paste #BBall'!E59</f>
        <v>74</v>
      </c>
      <c r="F59" s="152">
        <f>'Paste #BBall'!F59</f>
        <v>30.1</v>
      </c>
      <c r="G59" s="153" t="str">
        <f>right(Left('Paste #BBall'!G59,Search("/",'Paste #BBall'!G59)-1),len(Left('Paste #BBall'!G59,Search("/",'Paste #BBall'!G59)-1))-search("(",Left('Paste #BBall'!G59,Search("/",'Paste #BBall'!G59)-1)))</f>
        <v>6.0</v>
      </c>
      <c r="H59" s="152">
        <f t="shared" si="1"/>
        <v>0.5454545455</v>
      </c>
      <c r="I59" s="152" t="str">
        <f>right(Left('Paste #BBall'!H59,Search("/",'Paste #BBall'!H59)-1),len(Left('Paste #BBall'!H59,Search("/",'Paste #BBall'!H59)-1))-search("(",Left('Paste #BBall'!H59,Search("/",'Paste #BBall'!H59)-1)))</f>
        <v>3.1</v>
      </c>
      <c r="J59" s="152">
        <f t="shared" si="2"/>
        <v>0.7209302326</v>
      </c>
      <c r="K59" s="152">
        <f>'Paste #BBall'!I59</f>
        <v>0.5</v>
      </c>
      <c r="L59" s="152">
        <f>'Paste #BBall'!J59</f>
        <v>15.6</v>
      </c>
      <c r="M59" s="152">
        <f>'Paste #BBall'!K59</f>
        <v>9.1</v>
      </c>
      <c r="N59" s="152">
        <f>'Paste #BBall'!L59</f>
        <v>4</v>
      </c>
      <c r="O59" s="152">
        <f>'Paste #BBall'!M59</f>
        <v>1</v>
      </c>
      <c r="P59" s="152">
        <f>'Paste #BBall'!N59</f>
        <v>1</v>
      </c>
      <c r="Q59" s="152">
        <f>'Paste #BBall'!O59</f>
        <v>2.8</v>
      </c>
      <c r="R59" s="153" t="str">
        <f>Left(Right('Paste #BBall'!G59,Len('Paste #BBall'!G59)-Search("/",'Paste #BBall'!G59)),Len(Right('Paste #BBall'!G59,Len('Paste #BBall'!G59)-Search("/",'Paste #BBall'!G59)))-1)</f>
        <v>11.0</v>
      </c>
      <c r="S59" s="153" t="str">
        <f>Left(Right('Paste #BBall'!H59,Len('Paste #BBall'!H59)-Search("/",'Paste #BBall'!H59)),Len(Right('Paste #BBall'!H59,Len('Paste #BBall'!H59)-Search("/",'Paste #BBall'!H59)))-1)</f>
        <v>4.3</v>
      </c>
      <c r="T59" s="53"/>
      <c r="U59" s="53"/>
      <c r="V59" s="53"/>
    </row>
    <row r="60">
      <c r="A60" s="33">
        <v>59.0</v>
      </c>
      <c r="B60" s="149" t="str">
        <f>'Paste #BBall'!B60</f>
        <v>Franz Wagner</v>
      </c>
      <c r="C60" s="150" t="str">
        <f>'Paste #BBall'!C60</f>
        <v>SG,SF,PF</v>
      </c>
      <c r="D60" s="150" t="str">
        <f>'Paste #BBall'!D60</f>
        <v>ORL</v>
      </c>
      <c r="E60" s="151">
        <f>'Paste #BBall'!E60</f>
        <v>78</v>
      </c>
      <c r="F60" s="152">
        <f>'Paste #BBall'!F60</f>
        <v>33.1</v>
      </c>
      <c r="G60" s="153" t="str">
        <f>right(Left('Paste #BBall'!G60,Search("/",'Paste #BBall'!G60)-1),len(Left('Paste #BBall'!G60,Search("/",'Paste #BBall'!G60)-1))-search("(",Left('Paste #BBall'!G60,Search("/",'Paste #BBall'!G60)-1)))</f>
        <v>6.8</v>
      </c>
      <c r="H60" s="152">
        <f t="shared" si="1"/>
        <v>0.4892086331</v>
      </c>
      <c r="I60" s="152" t="str">
        <f>right(Left('Paste #BBall'!H60,Search("/",'Paste #BBall'!H60)-1),len(Left('Paste #BBall'!H60,Search("/",'Paste #BBall'!H60)-1))-search("(",Left('Paste #BBall'!H60,Search("/",'Paste #BBall'!H60)-1)))</f>
        <v>3.6</v>
      </c>
      <c r="J60" s="152">
        <f t="shared" si="2"/>
        <v>0.8571428571</v>
      </c>
      <c r="K60" s="152">
        <f>'Paste #BBall'!I60</f>
        <v>1.7</v>
      </c>
      <c r="L60" s="152">
        <f>'Paste #BBall'!J60</f>
        <v>18.8</v>
      </c>
      <c r="M60" s="152">
        <f>'Paste #BBall'!K60</f>
        <v>4.6</v>
      </c>
      <c r="N60" s="152">
        <f>'Paste #BBall'!L60</f>
        <v>3.6</v>
      </c>
      <c r="O60" s="152">
        <f>'Paste #BBall'!M60</f>
        <v>1.1</v>
      </c>
      <c r="P60" s="152">
        <f>'Paste #BBall'!N60</f>
        <v>0.3</v>
      </c>
      <c r="Q60" s="152">
        <f>'Paste #BBall'!O60</f>
        <v>2</v>
      </c>
      <c r="R60" s="153" t="str">
        <f>Left(Right('Paste #BBall'!G60,Len('Paste #BBall'!G60)-Search("/",'Paste #BBall'!G60)),Len(Right('Paste #BBall'!G60,Len('Paste #BBall'!G60)-Search("/",'Paste #BBall'!G60)))-1)</f>
        <v>13.9</v>
      </c>
      <c r="S60" s="153" t="str">
        <f>Left(Right('Paste #BBall'!H60,Len('Paste #BBall'!H60)-Search("/",'Paste #BBall'!H60)),Len(Right('Paste #BBall'!H60,Len('Paste #BBall'!H60)-Search("/",'Paste #BBall'!H60)))-1)</f>
        <v>4.2</v>
      </c>
      <c r="T60" s="53"/>
      <c r="U60" s="53"/>
      <c r="V60" s="53"/>
    </row>
    <row r="61">
      <c r="A61" s="33">
        <v>60.0</v>
      </c>
      <c r="B61" s="149" t="str">
        <f>'Paste #BBall'!B61</f>
        <v>Cameron Johnson</v>
      </c>
      <c r="C61" s="150" t="str">
        <f>'Paste #BBall'!C61</f>
        <v>SF,PF</v>
      </c>
      <c r="D61" s="150" t="str">
        <f>'Paste #BBall'!D61</f>
        <v>BKN</v>
      </c>
      <c r="E61" s="151">
        <f>'Paste #BBall'!E61</f>
        <v>68</v>
      </c>
      <c r="F61" s="152">
        <f>'Paste #BBall'!F61</f>
        <v>31.9</v>
      </c>
      <c r="G61" s="153" t="str">
        <f>right(Left('Paste #BBall'!G61,Search("/",'Paste #BBall'!G61)-1),len(Left('Paste #BBall'!G61,Search("/",'Paste #BBall'!G61)-1))-search("(",Left('Paste #BBall'!G61,Search("/",'Paste #BBall'!G61)-1)))</f>
        <v>5.5</v>
      </c>
      <c r="H61" s="152">
        <f t="shared" si="1"/>
        <v>0.4621848739</v>
      </c>
      <c r="I61" s="152" t="str">
        <f>right(Left('Paste #BBall'!H61,Search("/",'Paste #BBall'!H61)-1),len(Left('Paste #BBall'!H61,Search("/",'Paste #BBall'!H61)-1))-search("(",Left('Paste #BBall'!H61,Search("/",'Paste #BBall'!H61)-1)))</f>
        <v>2.2</v>
      </c>
      <c r="J61" s="152">
        <f t="shared" si="2"/>
        <v>0.8461538462</v>
      </c>
      <c r="K61" s="152">
        <f>'Paste #BBall'!I61</f>
        <v>3</v>
      </c>
      <c r="L61" s="152">
        <f>'Paste #BBall'!J61</f>
        <v>16.2</v>
      </c>
      <c r="M61" s="152">
        <f>'Paste #BBall'!K61</f>
        <v>5</v>
      </c>
      <c r="N61" s="152">
        <f>'Paste #BBall'!L61</f>
        <v>2</v>
      </c>
      <c r="O61" s="152">
        <f>'Paste #BBall'!M61</f>
        <v>1.3</v>
      </c>
      <c r="P61" s="152">
        <f>'Paste #BBall'!N61</f>
        <v>0.3</v>
      </c>
      <c r="Q61" s="152">
        <f>'Paste #BBall'!O61</f>
        <v>0.9</v>
      </c>
      <c r="R61" s="153" t="str">
        <f>Left(Right('Paste #BBall'!G61,Len('Paste #BBall'!G61)-Search("/",'Paste #BBall'!G61)),Len(Right('Paste #BBall'!G61,Len('Paste #BBall'!G61)-Search("/",'Paste #BBall'!G61)))-1)</f>
        <v>11.9</v>
      </c>
      <c r="S61" s="153" t="str">
        <f>Left(Right('Paste #BBall'!H61,Len('Paste #BBall'!H61)-Search("/",'Paste #BBall'!H61)),Len(Right('Paste #BBall'!H61,Len('Paste #BBall'!H61)-Search("/",'Paste #BBall'!H61)))-1)</f>
        <v>2.6</v>
      </c>
      <c r="T61" s="53"/>
      <c r="U61" s="53"/>
      <c r="V61" s="53"/>
    </row>
    <row r="62">
      <c r="A62" s="33">
        <v>61.0</v>
      </c>
      <c r="B62" s="149" t="str">
        <f>'Paste #BBall'!B62</f>
        <v>Anfernee Simons</v>
      </c>
      <c r="C62" s="150" t="str">
        <f>'Paste #BBall'!C62</f>
        <v>PG,SG</v>
      </c>
      <c r="D62" s="150" t="str">
        <f>'Paste #BBall'!D62</f>
        <v>POR</v>
      </c>
      <c r="E62" s="151">
        <f>'Paste #BBall'!E62</f>
        <v>65</v>
      </c>
      <c r="F62" s="152">
        <f>'Paste #BBall'!F62</f>
        <v>35</v>
      </c>
      <c r="G62" s="153" t="str">
        <f>right(Left('Paste #BBall'!G62,Search("/",'Paste #BBall'!G62)-1),len(Left('Paste #BBall'!G62,Search("/",'Paste #BBall'!G62)-1))-search("(",Left('Paste #BBall'!G62,Search("/",'Paste #BBall'!G62)-1)))</f>
        <v>7.5</v>
      </c>
      <c r="H62" s="152">
        <f t="shared" si="1"/>
        <v>0.4437869822</v>
      </c>
      <c r="I62" s="152" t="str">
        <f>right(Left('Paste #BBall'!H62,Search("/",'Paste #BBall'!H62)-1),len(Left('Paste #BBall'!H62,Search("/",'Paste #BBall'!H62)-1))-search("(",Left('Paste #BBall'!H62,Search("/",'Paste #BBall'!H62)-1)))</f>
        <v>2.9</v>
      </c>
      <c r="J62" s="152">
        <f t="shared" si="2"/>
        <v>0.90625</v>
      </c>
      <c r="K62" s="152">
        <f>'Paste #BBall'!I62</f>
        <v>3.7</v>
      </c>
      <c r="L62" s="152">
        <f>'Paste #BBall'!J62</f>
        <v>21.6</v>
      </c>
      <c r="M62" s="152">
        <f>'Paste #BBall'!K62</f>
        <v>2.9</v>
      </c>
      <c r="N62" s="152">
        <f>'Paste #BBall'!L62</f>
        <v>5.4</v>
      </c>
      <c r="O62" s="152">
        <f>'Paste #BBall'!M62</f>
        <v>0.7</v>
      </c>
      <c r="P62" s="152">
        <f>'Paste #BBall'!N62</f>
        <v>0.2</v>
      </c>
      <c r="Q62" s="152">
        <f>'Paste #BBall'!O62</f>
        <v>2.2</v>
      </c>
      <c r="R62" s="153" t="str">
        <f>Left(Right('Paste #BBall'!G62,Len('Paste #BBall'!G62)-Search("/",'Paste #BBall'!G62)),Len(Right('Paste #BBall'!G62,Len('Paste #BBall'!G62)-Search("/",'Paste #BBall'!G62)))-1)</f>
        <v>16.9</v>
      </c>
      <c r="S62" s="153" t="str">
        <f>Left(Right('Paste #BBall'!H62,Len('Paste #BBall'!H62)-Search("/",'Paste #BBall'!H62)),Len(Right('Paste #BBall'!H62,Len('Paste #BBall'!H62)-Search("/",'Paste #BBall'!H62)))-1)</f>
        <v>3.2</v>
      </c>
      <c r="T62" s="53"/>
      <c r="U62" s="53"/>
      <c r="V62" s="53"/>
    </row>
    <row r="63">
      <c r="A63" s="33">
        <v>62.0</v>
      </c>
      <c r="B63" s="149" t="str">
        <f>'Paste #BBall'!B63</f>
        <v>Daniel Gafford</v>
      </c>
      <c r="C63" s="150" t="str">
        <f>'Paste #BBall'!C63</f>
        <v>PF</v>
      </c>
      <c r="D63" s="150" t="str">
        <f>'Paste #BBall'!D63</f>
        <v>WAS</v>
      </c>
      <c r="E63" s="151">
        <f>'Paste #BBall'!E63</f>
        <v>76</v>
      </c>
      <c r="F63" s="152">
        <f>'Paste #BBall'!F63</f>
        <v>28.8</v>
      </c>
      <c r="G63" s="153" t="str">
        <f>right(Left('Paste #BBall'!G63,Search("/",'Paste #BBall'!G63)-1),len(Left('Paste #BBall'!G63,Search("/",'Paste #BBall'!G63)-1))-search("(",Left('Paste #BBall'!G63,Search("/",'Paste #BBall'!G63)-1)))</f>
        <v>5.3</v>
      </c>
      <c r="H63" s="152">
        <f t="shared" si="1"/>
        <v>0.7162162162</v>
      </c>
      <c r="I63" s="152" t="str">
        <f>right(Left('Paste #BBall'!H63,Search("/",'Paste #BBall'!H63)-1),len(Left('Paste #BBall'!H63,Search("/",'Paste #BBall'!H63)-1))-search("(",Left('Paste #BBall'!H63,Search("/",'Paste #BBall'!H63)-1)))</f>
        <v>2.2</v>
      </c>
      <c r="J63" s="152">
        <f t="shared" si="2"/>
        <v>0.7096774194</v>
      </c>
      <c r="K63" s="152">
        <f>'Paste #BBall'!I63</f>
        <v>0</v>
      </c>
      <c r="L63" s="152">
        <f>'Paste #BBall'!J63</f>
        <v>12.8</v>
      </c>
      <c r="M63" s="152">
        <f>'Paste #BBall'!K63</f>
        <v>7.8</v>
      </c>
      <c r="N63" s="152">
        <f>'Paste #BBall'!L63</f>
        <v>1.4</v>
      </c>
      <c r="O63" s="152">
        <f>'Paste #BBall'!M63</f>
        <v>0.6</v>
      </c>
      <c r="P63" s="152">
        <f>'Paste #BBall'!N63</f>
        <v>1.7</v>
      </c>
      <c r="Q63" s="152">
        <f>'Paste #BBall'!O63</f>
        <v>1.4</v>
      </c>
      <c r="R63" s="153" t="str">
        <f>Left(Right('Paste #BBall'!G63,Len('Paste #BBall'!G63)-Search("/",'Paste #BBall'!G63)),Len(Right('Paste #BBall'!G63,Len('Paste #BBall'!G63)-Search("/",'Paste #BBall'!G63)))-1)</f>
        <v>7.4</v>
      </c>
      <c r="S63" s="153" t="str">
        <f>Left(Right('Paste #BBall'!H63,Len('Paste #BBall'!H63)-Search("/",'Paste #BBall'!H63)),Len(Right('Paste #BBall'!H63,Len('Paste #BBall'!H63)-Search("/",'Paste #BBall'!H63)))-1)</f>
        <v>3.1</v>
      </c>
      <c r="T63" s="53"/>
      <c r="U63" s="53"/>
      <c r="V63" s="53"/>
    </row>
    <row r="64">
      <c r="A64" s="33">
        <v>63.0</v>
      </c>
      <c r="B64" s="149" t="str">
        <f>'Paste #BBall'!B64</f>
        <v>Devin Vassell</v>
      </c>
      <c r="C64" s="150" t="str">
        <f>'Paste #BBall'!C64</f>
        <v>SG,SF</v>
      </c>
      <c r="D64" s="150" t="str">
        <f>'Paste #BBall'!D64</f>
        <v>SA</v>
      </c>
      <c r="E64" s="151">
        <f>'Paste #BBall'!E64</f>
        <v>69</v>
      </c>
      <c r="F64" s="152">
        <f>'Paste #BBall'!F64</f>
        <v>32</v>
      </c>
      <c r="G64" s="153" t="str">
        <f>right(Left('Paste #BBall'!G64,Search("/",'Paste #BBall'!G64)-1),len(Left('Paste #BBall'!G64,Search("/",'Paste #BBall'!G64)-1))-search("(",Left('Paste #BBall'!G64,Search("/",'Paste #BBall'!G64)-1)))</f>
        <v>6.5</v>
      </c>
      <c r="H64" s="152">
        <f t="shared" si="1"/>
        <v>0.4304635762</v>
      </c>
      <c r="I64" s="152" t="str">
        <f>right(Left('Paste #BBall'!H64,Search("/",'Paste #BBall'!H64)-1),len(Left('Paste #BBall'!H64,Search("/",'Paste #BBall'!H64)-1))-search("(",Left('Paste #BBall'!H64,Search("/",'Paste #BBall'!H64)-1)))</f>
        <v>2.4</v>
      </c>
      <c r="J64" s="152">
        <f t="shared" si="2"/>
        <v>0.8275862069</v>
      </c>
      <c r="K64" s="152">
        <f>'Paste #BBall'!I64</f>
        <v>2.9</v>
      </c>
      <c r="L64" s="152">
        <f>'Paste #BBall'!J64</f>
        <v>18.3</v>
      </c>
      <c r="M64" s="152">
        <f>'Paste #BBall'!K64</f>
        <v>4.3</v>
      </c>
      <c r="N64" s="152">
        <f>'Paste #BBall'!L64</f>
        <v>3.8</v>
      </c>
      <c r="O64" s="152">
        <f>'Paste #BBall'!M64</f>
        <v>1.2</v>
      </c>
      <c r="P64" s="152">
        <f>'Paste #BBall'!N64</f>
        <v>0.6</v>
      </c>
      <c r="Q64" s="152">
        <f>'Paste #BBall'!O64</f>
        <v>1.2</v>
      </c>
      <c r="R64" s="153" t="str">
        <f>Left(Right('Paste #BBall'!G64,Len('Paste #BBall'!G64)-Search("/",'Paste #BBall'!G64)),Len(Right('Paste #BBall'!G64,Len('Paste #BBall'!G64)-Search("/",'Paste #BBall'!G64)))-1)</f>
        <v>15.1</v>
      </c>
      <c r="S64" s="153" t="str">
        <f>Left(Right('Paste #BBall'!H64,Len('Paste #BBall'!H64)-Search("/",'Paste #BBall'!H64)),Len(Right('Paste #BBall'!H64,Len('Paste #BBall'!H64)-Search("/",'Paste #BBall'!H64)))-1)</f>
        <v>2.9</v>
      </c>
      <c r="T64" s="53"/>
      <c r="U64" s="53"/>
      <c r="V64" s="53"/>
    </row>
    <row r="65">
      <c r="A65" s="33">
        <v>64.0</v>
      </c>
      <c r="B65" s="149" t="str">
        <f>'Paste #BBall'!B65</f>
        <v>Brook Lopez</v>
      </c>
      <c r="C65" s="150" t="str">
        <f>'Paste #BBall'!C65</f>
        <v>C</v>
      </c>
      <c r="D65" s="150" t="str">
        <f>'Paste #BBall'!D65</f>
        <v>MIL</v>
      </c>
      <c r="E65" s="151">
        <f>'Paste #BBall'!E65</f>
        <v>72</v>
      </c>
      <c r="F65" s="152">
        <f>'Paste #BBall'!F65</f>
        <v>29.7</v>
      </c>
      <c r="G65" s="153" t="str">
        <f>right(Left('Paste #BBall'!G65,Search("/",'Paste #BBall'!G65)-1),len(Left('Paste #BBall'!G65,Search("/",'Paste #BBall'!G65)-1))-search("(",Left('Paste #BBall'!G65,Search("/",'Paste #BBall'!G65)-1)))</f>
        <v>5.2</v>
      </c>
      <c r="H65" s="152">
        <f t="shared" si="1"/>
        <v>0.52</v>
      </c>
      <c r="I65" s="152" t="str">
        <f>right(Left('Paste #BBall'!H65,Search("/",'Paste #BBall'!H65)-1),len(Left('Paste #BBall'!H65,Search("/",'Paste #BBall'!H65)-1))-search("(",Left('Paste #BBall'!H65,Search("/",'Paste #BBall'!H65)-1)))</f>
        <v>1.6</v>
      </c>
      <c r="J65" s="152">
        <f t="shared" si="2"/>
        <v>0.8</v>
      </c>
      <c r="K65" s="152">
        <f>'Paste #BBall'!I65</f>
        <v>1.5</v>
      </c>
      <c r="L65" s="152">
        <f>'Paste #BBall'!J65</f>
        <v>13.5</v>
      </c>
      <c r="M65" s="152">
        <f>'Paste #BBall'!K65</f>
        <v>5.9</v>
      </c>
      <c r="N65" s="152">
        <f>'Paste #BBall'!L65</f>
        <v>1</v>
      </c>
      <c r="O65" s="152">
        <f>'Paste #BBall'!M65</f>
        <v>0.4</v>
      </c>
      <c r="P65" s="152">
        <f>'Paste #BBall'!N65</f>
        <v>2</v>
      </c>
      <c r="Q65" s="152">
        <f>'Paste #BBall'!O65</f>
        <v>1.2</v>
      </c>
      <c r="R65" s="153" t="str">
        <f>Left(Right('Paste #BBall'!G65,Len('Paste #BBall'!G65)-Search("/",'Paste #BBall'!G65)),Len(Right('Paste #BBall'!G65,Len('Paste #BBall'!G65)-Search("/",'Paste #BBall'!G65)))-1)</f>
        <v>10.0</v>
      </c>
      <c r="S65" s="153" t="str">
        <f>Left(Right('Paste #BBall'!H65,Len('Paste #BBall'!H65)-Search("/",'Paste #BBall'!H65)),Len(Right('Paste #BBall'!H65,Len('Paste #BBall'!H65)-Search("/",'Paste #BBall'!H65)))-1)</f>
        <v>2.0</v>
      </c>
      <c r="T65" s="53"/>
      <c r="U65" s="53"/>
      <c r="V65" s="53"/>
    </row>
    <row r="66">
      <c r="A66" s="33">
        <v>65.0</v>
      </c>
      <c r="B66" s="149" t="str">
        <f>'Paste #BBall'!B66</f>
        <v>Onyeka Okongwu</v>
      </c>
      <c r="C66" s="150" t="str">
        <f>'Paste #BBall'!C66</f>
        <v>C</v>
      </c>
      <c r="D66" s="150" t="str">
        <f>'Paste #BBall'!D66</f>
        <v>ATL</v>
      </c>
      <c r="E66" s="151">
        <f>'Paste #BBall'!E66</f>
        <v>76</v>
      </c>
      <c r="F66" s="152">
        <f>'Paste #BBall'!F66</f>
        <v>26</v>
      </c>
      <c r="G66" s="153" t="str">
        <f>right(Left('Paste #BBall'!G66,Search("/",'Paste #BBall'!G66)-1),len(Left('Paste #BBall'!G66,Search("/",'Paste #BBall'!G66)-1))-search("(",Left('Paste #BBall'!G66,Search("/",'Paste #BBall'!G66)-1)))</f>
        <v>4.4</v>
      </c>
      <c r="H66" s="152">
        <f t="shared" si="1"/>
        <v>0.6567164179</v>
      </c>
      <c r="I66" s="152" t="str">
        <f>right(Left('Paste #BBall'!H66,Search("/",'Paste #BBall'!H66)-1),len(Left('Paste #BBall'!H66,Search("/",'Paste #BBall'!H66)-1))-search("(",Left('Paste #BBall'!H66,Search("/",'Paste #BBall'!H66)-1)))</f>
        <v>2.2</v>
      </c>
      <c r="J66" s="152">
        <f t="shared" si="2"/>
        <v>0.7857142857</v>
      </c>
      <c r="K66" s="152">
        <f>'Paste #BBall'!I66</f>
        <v>0</v>
      </c>
      <c r="L66" s="152">
        <f>'Paste #BBall'!J66</f>
        <v>11</v>
      </c>
      <c r="M66" s="152">
        <f>'Paste #BBall'!K66</f>
        <v>8</v>
      </c>
      <c r="N66" s="152">
        <f>'Paste #BBall'!L66</f>
        <v>1.2</v>
      </c>
      <c r="O66" s="152">
        <f>'Paste #BBall'!M66</f>
        <v>0.8</v>
      </c>
      <c r="P66" s="152">
        <f>'Paste #BBall'!N66</f>
        <v>1.5</v>
      </c>
      <c r="Q66" s="152">
        <f>'Paste #BBall'!O66</f>
        <v>1.2</v>
      </c>
      <c r="R66" s="153" t="str">
        <f>Left(Right('Paste #BBall'!G66,Len('Paste #BBall'!G66)-Search("/",'Paste #BBall'!G66)),Len(Right('Paste #BBall'!G66,Len('Paste #BBall'!G66)-Search("/",'Paste #BBall'!G66)))-1)</f>
        <v>6.7</v>
      </c>
      <c r="S66" s="153" t="str">
        <f>Left(Right('Paste #BBall'!H66,Len('Paste #BBall'!H66)-Search("/",'Paste #BBall'!H66)),Len(Right('Paste #BBall'!H66,Len('Paste #BBall'!H66)-Search("/",'Paste #BBall'!H66)))-1)</f>
        <v>2.8</v>
      </c>
      <c r="T66" s="53"/>
      <c r="U66" s="53"/>
      <c r="V66" s="53"/>
    </row>
    <row r="67">
      <c r="A67" s="33">
        <v>66.0</v>
      </c>
      <c r="B67" s="149" t="str">
        <f>'Paste #BBall'!B67</f>
        <v>Jalen Williams</v>
      </c>
      <c r="C67" s="150" t="str">
        <f>'Paste #BBall'!C67</f>
        <v>SG,SF</v>
      </c>
      <c r="D67" s="150" t="str">
        <f>'Paste #BBall'!D67</f>
        <v>OKC</v>
      </c>
      <c r="E67" s="151">
        <f>'Paste #BBall'!E67</f>
        <v>74</v>
      </c>
      <c r="F67" s="152">
        <f>'Paste #BBall'!F67</f>
        <v>31.9</v>
      </c>
      <c r="G67" s="153" t="str">
        <f>right(Left('Paste #BBall'!G67,Search("/",'Paste #BBall'!G67)-1),len(Left('Paste #BBall'!G67,Search("/",'Paste #BBall'!G67)-1))-search("(",Left('Paste #BBall'!G67,Search("/",'Paste #BBall'!G67)-1)))</f>
        <v>5.9</v>
      </c>
      <c r="H67" s="152">
        <f t="shared" si="1"/>
        <v>0.5267857143</v>
      </c>
      <c r="I67" s="152" t="str">
        <f>right(Left('Paste #BBall'!H67,Search("/",'Paste #BBall'!H67)-1),len(Left('Paste #BBall'!H67,Search("/",'Paste #BBall'!H67)-1))-search("(",Left('Paste #BBall'!H67,Search("/",'Paste #BBall'!H67)-1)))</f>
        <v>2.2</v>
      </c>
      <c r="J67" s="152">
        <f t="shared" si="2"/>
        <v>0.8148148148</v>
      </c>
      <c r="K67" s="152">
        <f>'Paste #BBall'!I67</f>
        <v>1</v>
      </c>
      <c r="L67" s="152">
        <f>'Paste #BBall'!J67</f>
        <v>15</v>
      </c>
      <c r="M67" s="152">
        <f>'Paste #BBall'!K67</f>
        <v>4.8</v>
      </c>
      <c r="N67" s="152">
        <f>'Paste #BBall'!L67</f>
        <v>3.5</v>
      </c>
      <c r="O67" s="152">
        <f>'Paste #BBall'!M67</f>
        <v>1.5</v>
      </c>
      <c r="P67" s="152">
        <f>'Paste #BBall'!N67</f>
        <v>0.5</v>
      </c>
      <c r="Q67" s="152">
        <f>'Paste #BBall'!O67</f>
        <v>1.7</v>
      </c>
      <c r="R67" s="153" t="str">
        <f>Left(Right('Paste #BBall'!G67,Len('Paste #BBall'!G67)-Search("/",'Paste #BBall'!G67)),Len(Right('Paste #BBall'!G67,Len('Paste #BBall'!G67)-Search("/",'Paste #BBall'!G67)))-1)</f>
        <v>11.2</v>
      </c>
      <c r="S67" s="153" t="str">
        <f>Left(Right('Paste #BBall'!H67,Len('Paste #BBall'!H67)-Search("/",'Paste #BBall'!H67)),Len(Right('Paste #BBall'!H67,Len('Paste #BBall'!H67)-Search("/",'Paste #BBall'!H67)))-1)</f>
        <v>2.7</v>
      </c>
      <c r="T67" s="53"/>
      <c r="U67" s="53"/>
      <c r="V67" s="53"/>
    </row>
    <row r="68">
      <c r="A68" s="33">
        <v>67.0</v>
      </c>
      <c r="B68" s="149" t="str">
        <f>'Paste #BBall'!B68</f>
        <v>OG Anunoby</v>
      </c>
      <c r="C68" s="150" t="str">
        <f>'Paste #BBall'!C68</f>
        <v>SG,SF</v>
      </c>
      <c r="D68" s="150" t="str">
        <f>'Paste #BBall'!D68</f>
        <v>TOR</v>
      </c>
      <c r="E68" s="151">
        <f>'Paste #BBall'!E68</f>
        <v>68</v>
      </c>
      <c r="F68" s="152">
        <f>'Paste #BBall'!F68</f>
        <v>33.6</v>
      </c>
      <c r="G68" s="153" t="str">
        <f>right(Left('Paste #BBall'!G68,Search("/",'Paste #BBall'!G68)-1),len(Left('Paste #BBall'!G68,Search("/",'Paste #BBall'!G68)-1))-search("(",Left('Paste #BBall'!G68,Search("/",'Paste #BBall'!G68)-1)))</f>
        <v>6.0</v>
      </c>
      <c r="H68" s="152">
        <f t="shared" si="1"/>
        <v>0.4580152672</v>
      </c>
      <c r="I68" s="152" t="str">
        <f>right(Left('Paste #BBall'!H68,Search("/",'Paste #BBall'!H68)-1),len(Left('Paste #BBall'!H68,Search("/",'Paste #BBall'!H68)-1))-search("(",Left('Paste #BBall'!H68,Search("/",'Paste #BBall'!H68)-1)))</f>
        <v>1.9</v>
      </c>
      <c r="J68" s="152">
        <f t="shared" si="2"/>
        <v>0.7916666667</v>
      </c>
      <c r="K68" s="152">
        <f>'Paste #BBall'!I68</f>
        <v>2.1</v>
      </c>
      <c r="L68" s="152">
        <f>'Paste #BBall'!J68</f>
        <v>16.1</v>
      </c>
      <c r="M68" s="152">
        <f>'Paste #BBall'!K68</f>
        <v>4.9</v>
      </c>
      <c r="N68" s="152">
        <f>'Paste #BBall'!L68</f>
        <v>2.1</v>
      </c>
      <c r="O68" s="152">
        <f>'Paste #BBall'!M68</f>
        <v>1.6</v>
      </c>
      <c r="P68" s="152">
        <f>'Paste #BBall'!N68</f>
        <v>0.6</v>
      </c>
      <c r="Q68" s="152">
        <f>'Paste #BBall'!O68</f>
        <v>1.8</v>
      </c>
      <c r="R68" s="153" t="str">
        <f>Left(Right('Paste #BBall'!G68,Len('Paste #BBall'!G68)-Search("/",'Paste #BBall'!G68)),Len(Right('Paste #BBall'!G68,Len('Paste #BBall'!G68)-Search("/",'Paste #BBall'!G68)))-1)</f>
        <v>13.1</v>
      </c>
      <c r="S68" s="153" t="str">
        <f>Left(Right('Paste #BBall'!H68,Len('Paste #BBall'!H68)-Search("/",'Paste #BBall'!H68)),Len(Right('Paste #BBall'!H68,Len('Paste #BBall'!H68)-Search("/",'Paste #BBall'!H68)))-1)</f>
        <v>2.4</v>
      </c>
      <c r="T68" s="53"/>
      <c r="U68" s="53"/>
      <c r="V68" s="53"/>
    </row>
    <row r="69">
      <c r="A69" s="33">
        <v>68.0</v>
      </c>
      <c r="B69" s="149" t="str">
        <f>'Paste #BBall'!B69</f>
        <v>Mark Williams</v>
      </c>
      <c r="C69" s="150" t="str">
        <f>'Paste #BBall'!C69</f>
        <v>C</v>
      </c>
      <c r="D69" s="150" t="str">
        <f>'Paste #BBall'!D69</f>
        <v>CHA</v>
      </c>
      <c r="E69" s="151">
        <f>'Paste #BBall'!E69</f>
        <v>70</v>
      </c>
      <c r="F69" s="152">
        <f>'Paste #BBall'!F69</f>
        <v>28.4</v>
      </c>
      <c r="G69" s="153" t="str">
        <f>right(Left('Paste #BBall'!G69,Search("/",'Paste #BBall'!G69)-1),len(Left('Paste #BBall'!G69,Search("/",'Paste #BBall'!G69)-1))-search("(",Left('Paste #BBall'!G69,Search("/",'Paste #BBall'!G69)-1)))</f>
        <v>5.2</v>
      </c>
      <c r="H69" s="152">
        <f t="shared" si="1"/>
        <v>0.6341463415</v>
      </c>
      <c r="I69" s="152" t="str">
        <f>right(Left('Paste #BBall'!H69,Search("/",'Paste #BBall'!H69)-1),len(Left('Paste #BBall'!H69,Search("/",'Paste #BBall'!H69)-1))-search("(",Left('Paste #BBall'!H69,Search("/",'Paste #BBall'!H69)-1)))</f>
        <v>2.2</v>
      </c>
      <c r="J69" s="152">
        <f t="shared" si="2"/>
        <v>0.6875</v>
      </c>
      <c r="K69" s="152">
        <f>'Paste #BBall'!I69</f>
        <v>0</v>
      </c>
      <c r="L69" s="152">
        <f>'Paste #BBall'!J69</f>
        <v>12.6</v>
      </c>
      <c r="M69" s="152">
        <f>'Paste #BBall'!K69</f>
        <v>9.9</v>
      </c>
      <c r="N69" s="152">
        <f>'Paste #BBall'!L69</f>
        <v>0.6</v>
      </c>
      <c r="O69" s="152">
        <f>'Paste #BBall'!M69</f>
        <v>0.9</v>
      </c>
      <c r="P69" s="152">
        <f>'Paste #BBall'!N69</f>
        <v>1.4</v>
      </c>
      <c r="Q69" s="152">
        <f>'Paste #BBall'!O69</f>
        <v>1.3</v>
      </c>
      <c r="R69" s="153" t="str">
        <f>Left(Right('Paste #BBall'!G69,Len('Paste #BBall'!G69)-Search("/",'Paste #BBall'!G69)),Len(Right('Paste #BBall'!G69,Len('Paste #BBall'!G69)-Search("/",'Paste #BBall'!G69)))-1)</f>
        <v>8.2</v>
      </c>
      <c r="S69" s="153" t="str">
        <f>Left(Right('Paste #BBall'!H69,Len('Paste #BBall'!H69)-Search("/",'Paste #BBall'!H69)),Len(Right('Paste #BBall'!H69,Len('Paste #BBall'!H69)-Search("/",'Paste #BBall'!H69)))-1)</f>
        <v>3.2</v>
      </c>
      <c r="T69" s="53"/>
      <c r="U69" s="53"/>
      <c r="V69" s="53"/>
    </row>
    <row r="70">
      <c r="A70" s="33">
        <v>69.0</v>
      </c>
      <c r="B70" s="149" t="str">
        <f>'Paste #BBall'!B70</f>
        <v>Khris Middleton</v>
      </c>
      <c r="C70" s="150" t="str">
        <f>'Paste #BBall'!C70</f>
        <v>SF,PF</v>
      </c>
      <c r="D70" s="150" t="str">
        <f>'Paste #BBall'!D70</f>
        <v>MIL</v>
      </c>
      <c r="E70" s="151">
        <f>'Paste #BBall'!E70</f>
        <v>65</v>
      </c>
      <c r="F70" s="152">
        <f>'Paste #BBall'!F70</f>
        <v>31</v>
      </c>
      <c r="G70" s="153" t="str">
        <f>right(Left('Paste #BBall'!G70,Search("/",'Paste #BBall'!G70)-1),len(Left('Paste #BBall'!G70,Search("/",'Paste #BBall'!G70)-1))-search("(",Left('Paste #BBall'!G70,Search("/",'Paste #BBall'!G70)-1)))</f>
        <v>6.3</v>
      </c>
      <c r="H70" s="152">
        <f t="shared" si="1"/>
        <v>0.45</v>
      </c>
      <c r="I70" s="152" t="str">
        <f>right(Left('Paste #BBall'!H70,Search("/",'Paste #BBall'!H70)-1),len(Left('Paste #BBall'!H70,Search("/",'Paste #BBall'!H70)-1))-search("(",Left('Paste #BBall'!H70,Search("/",'Paste #BBall'!H70)-1)))</f>
        <v>3.1</v>
      </c>
      <c r="J70" s="152">
        <f t="shared" si="2"/>
        <v>0.9117647059</v>
      </c>
      <c r="K70" s="152">
        <f>'Paste #BBall'!I70</f>
        <v>2</v>
      </c>
      <c r="L70" s="152">
        <f>'Paste #BBall'!J70</f>
        <v>17.6</v>
      </c>
      <c r="M70" s="152">
        <f>'Paste #BBall'!K70</f>
        <v>4.9</v>
      </c>
      <c r="N70" s="152">
        <f>'Paste #BBall'!L70</f>
        <v>4.1</v>
      </c>
      <c r="O70" s="152">
        <f>'Paste #BBall'!M70</f>
        <v>1.1</v>
      </c>
      <c r="P70" s="152">
        <f>'Paste #BBall'!N70</f>
        <v>0.3</v>
      </c>
      <c r="Q70" s="152">
        <f>'Paste #BBall'!O70</f>
        <v>2.4</v>
      </c>
      <c r="R70" s="153" t="str">
        <f>Left(Right('Paste #BBall'!G70,Len('Paste #BBall'!G70)-Search("/",'Paste #BBall'!G70)),Len(Right('Paste #BBall'!G70,Len('Paste #BBall'!G70)-Search("/",'Paste #BBall'!G70)))-1)</f>
        <v>14.0</v>
      </c>
      <c r="S70" s="153" t="str">
        <f>Left(Right('Paste #BBall'!H70,Len('Paste #BBall'!H70)-Search("/",'Paste #BBall'!H70)),Len(Right('Paste #BBall'!H70,Len('Paste #BBall'!H70)-Search("/",'Paste #BBall'!H70)))-1)</f>
        <v>3.4</v>
      </c>
      <c r="T70" s="53"/>
      <c r="U70" s="53"/>
      <c r="V70" s="53"/>
    </row>
    <row r="71">
      <c r="A71" s="33">
        <v>70.0</v>
      </c>
      <c r="B71" s="149" t="str">
        <f>'Paste #BBall'!B71</f>
        <v>Julius Randle</v>
      </c>
      <c r="C71" s="150" t="str">
        <f>'Paste #BBall'!C71</f>
        <v>PF</v>
      </c>
      <c r="D71" s="150" t="str">
        <f>'Paste #BBall'!D71</f>
        <v>NY</v>
      </c>
      <c r="E71" s="151">
        <f>'Paste #BBall'!E71</f>
        <v>74</v>
      </c>
      <c r="F71" s="152">
        <f>'Paste #BBall'!F71</f>
        <v>35.4</v>
      </c>
      <c r="G71" s="153" t="str">
        <f>right(Left('Paste #BBall'!G71,Search("/",'Paste #BBall'!G71)-1),len(Left('Paste #BBall'!G71,Search("/",'Paste #BBall'!G71)-1))-search("(",Left('Paste #BBall'!G71,Search("/",'Paste #BBall'!G71)-1)))</f>
        <v>7.9</v>
      </c>
      <c r="H71" s="152">
        <f t="shared" si="1"/>
        <v>0.4514285714</v>
      </c>
      <c r="I71" s="152" t="str">
        <f>right(Left('Paste #BBall'!H71,Search("/",'Paste #BBall'!H71)-1),len(Left('Paste #BBall'!H71,Search("/",'Paste #BBall'!H71)-1))-search("(",Left('Paste #BBall'!H71,Search("/",'Paste #BBall'!H71)-1)))</f>
        <v>4.8</v>
      </c>
      <c r="J71" s="152">
        <f t="shared" si="2"/>
        <v>0.7619047619</v>
      </c>
      <c r="K71" s="152">
        <f>'Paste #BBall'!I71</f>
        <v>2.3</v>
      </c>
      <c r="L71" s="152">
        <f>'Paste #BBall'!J71</f>
        <v>22.9</v>
      </c>
      <c r="M71" s="152">
        <f>'Paste #BBall'!K71</f>
        <v>10</v>
      </c>
      <c r="N71" s="152">
        <f>'Paste #BBall'!L71</f>
        <v>4.7</v>
      </c>
      <c r="O71" s="152">
        <f>'Paste #BBall'!M71</f>
        <v>0.7</v>
      </c>
      <c r="P71" s="152">
        <f>'Paste #BBall'!N71</f>
        <v>0.4</v>
      </c>
      <c r="Q71" s="152">
        <f>'Paste #BBall'!O71</f>
        <v>3.1</v>
      </c>
      <c r="R71" s="153" t="str">
        <f>Left(Right('Paste #BBall'!G71,Len('Paste #BBall'!G71)-Search("/",'Paste #BBall'!G71)),Len(Right('Paste #BBall'!G71,Len('Paste #BBall'!G71)-Search("/",'Paste #BBall'!G71)))-1)</f>
        <v>17.5</v>
      </c>
      <c r="S71" s="153" t="str">
        <f>Left(Right('Paste #BBall'!H71,Len('Paste #BBall'!H71)-Search("/",'Paste #BBall'!H71)),Len(Right('Paste #BBall'!H71,Len('Paste #BBall'!H71)-Search("/",'Paste #BBall'!H71)))-1)</f>
        <v>6.3</v>
      </c>
      <c r="T71" s="53"/>
      <c r="U71" s="53"/>
      <c r="V71" s="53"/>
    </row>
    <row r="72">
      <c r="A72" s="33">
        <v>71.0</v>
      </c>
      <c r="B72" s="149" t="str">
        <f>'Paste #BBall'!B72</f>
        <v>Josh Hart</v>
      </c>
      <c r="C72" s="150" t="str">
        <f>'Paste #BBall'!C72</f>
        <v>SG,SF</v>
      </c>
      <c r="D72" s="150" t="str">
        <f>'Paste #BBall'!D72</f>
        <v>NY</v>
      </c>
      <c r="E72" s="151">
        <f>'Paste #BBall'!E72</f>
        <v>74</v>
      </c>
      <c r="F72" s="152">
        <f>'Paste #BBall'!F72</f>
        <v>32</v>
      </c>
      <c r="G72" s="153" t="str">
        <f>right(Left('Paste #BBall'!G72,Search("/",'Paste #BBall'!G72)-1),len(Left('Paste #BBall'!G72,Search("/",'Paste #BBall'!G72)-1))-search("(",Left('Paste #BBall'!G72,Search("/",'Paste #BBall'!G72)-1)))</f>
        <v>4.3</v>
      </c>
      <c r="H72" s="152">
        <f t="shared" si="1"/>
        <v>0.5180722892</v>
      </c>
      <c r="I72" s="152" t="str">
        <f>right(Left('Paste #BBall'!H72,Search("/",'Paste #BBall'!H72)-1),len(Left('Paste #BBall'!H72,Search("/",'Paste #BBall'!H72)-1))-search("(",Left('Paste #BBall'!H72,Search("/",'Paste #BBall'!H72)-1)))</f>
        <v>2.2</v>
      </c>
      <c r="J72" s="152">
        <f t="shared" si="2"/>
        <v>0.7333333333</v>
      </c>
      <c r="K72" s="152">
        <f>'Paste #BBall'!I72</f>
        <v>1</v>
      </c>
      <c r="L72" s="152">
        <f>'Paste #BBall'!J72</f>
        <v>11.8</v>
      </c>
      <c r="M72" s="152">
        <f>'Paste #BBall'!K72</f>
        <v>7.5</v>
      </c>
      <c r="N72" s="152">
        <f>'Paste #BBall'!L72</f>
        <v>3.9</v>
      </c>
      <c r="O72" s="152">
        <f>'Paste #BBall'!M72</f>
        <v>1.4</v>
      </c>
      <c r="P72" s="152">
        <f>'Paste #BBall'!N72</f>
        <v>0.5</v>
      </c>
      <c r="Q72" s="152">
        <f>'Paste #BBall'!O72</f>
        <v>1.8</v>
      </c>
      <c r="R72" s="153" t="str">
        <f>Left(Right('Paste #BBall'!G72,Len('Paste #BBall'!G72)-Search("/",'Paste #BBall'!G72)),Len(Right('Paste #BBall'!G72,Len('Paste #BBall'!G72)-Search("/",'Paste #BBall'!G72)))-1)</f>
        <v>8.3</v>
      </c>
      <c r="S72" s="153" t="str">
        <f>Left(Right('Paste #BBall'!H72,Len('Paste #BBall'!H72)-Search("/",'Paste #BBall'!H72)),Len(Right('Paste #BBall'!H72,Len('Paste #BBall'!H72)-Search("/",'Paste #BBall'!H72)))-1)</f>
        <v>3.0</v>
      </c>
      <c r="T72" s="53"/>
      <c r="U72" s="53"/>
      <c r="V72" s="53"/>
    </row>
    <row r="73">
      <c r="A73" s="33">
        <v>72.0</v>
      </c>
      <c r="B73" s="149" t="str">
        <f>'Paste #BBall'!B73</f>
        <v>Tyler Herro</v>
      </c>
      <c r="C73" s="150" t="str">
        <f>'Paste #BBall'!C73</f>
        <v>PG,SG</v>
      </c>
      <c r="D73" s="150" t="str">
        <f>'Paste #BBall'!D73</f>
        <v>MIA</v>
      </c>
      <c r="E73" s="151">
        <f>'Paste #BBall'!E73</f>
        <v>67</v>
      </c>
      <c r="F73" s="152">
        <f>'Paste #BBall'!F73</f>
        <v>34</v>
      </c>
      <c r="G73" s="153" t="str">
        <f>right(Left('Paste #BBall'!G73,Search("/",'Paste #BBall'!G73)-1),len(Left('Paste #BBall'!G73,Search("/",'Paste #BBall'!G73)-1))-search("(",Left('Paste #BBall'!G73,Search("/",'Paste #BBall'!G73)-1)))</f>
        <v>7.6</v>
      </c>
      <c r="H73" s="152">
        <f t="shared" si="1"/>
        <v>0.4444444444</v>
      </c>
      <c r="I73" s="152" t="str">
        <f>right(Left('Paste #BBall'!H73,Search("/",'Paste #BBall'!H73)-1),len(Left('Paste #BBall'!H73,Search("/",'Paste #BBall'!H73)-1))-search("(",Left('Paste #BBall'!H73,Search("/",'Paste #BBall'!H73)-1)))</f>
        <v>2.8</v>
      </c>
      <c r="J73" s="152">
        <f t="shared" si="2"/>
        <v>0.9032258065</v>
      </c>
      <c r="K73" s="152">
        <f>'Paste #BBall'!I73</f>
        <v>2.9</v>
      </c>
      <c r="L73" s="152">
        <f>'Paste #BBall'!J73</f>
        <v>20.8</v>
      </c>
      <c r="M73" s="152">
        <f>'Paste #BBall'!K73</f>
        <v>5.3</v>
      </c>
      <c r="N73" s="152">
        <f>'Paste #BBall'!L73</f>
        <v>4.2</v>
      </c>
      <c r="O73" s="152">
        <f>'Paste #BBall'!M73</f>
        <v>0.7</v>
      </c>
      <c r="P73" s="152">
        <f>'Paste #BBall'!N73</f>
        <v>0.2</v>
      </c>
      <c r="Q73" s="152">
        <f>'Paste #BBall'!O73</f>
        <v>2.5</v>
      </c>
      <c r="R73" s="153" t="str">
        <f>Left(Right('Paste #BBall'!G73,Len('Paste #BBall'!G73)-Search("/",'Paste #BBall'!G73)),Len(Right('Paste #BBall'!G73,Len('Paste #BBall'!G73)-Search("/",'Paste #BBall'!G73)))-1)</f>
        <v>17.1</v>
      </c>
      <c r="S73" s="153" t="str">
        <f>Left(Right('Paste #BBall'!H73,Len('Paste #BBall'!H73)-Search("/",'Paste #BBall'!H73)),Len(Right('Paste #BBall'!H73,Len('Paste #BBall'!H73)-Search("/",'Paste #BBall'!H73)))-1)</f>
        <v>3.1</v>
      </c>
      <c r="T73" s="53"/>
      <c r="U73" s="53"/>
      <c r="V73" s="53"/>
    </row>
    <row r="74">
      <c r="A74" s="33">
        <v>73.0</v>
      </c>
      <c r="B74" s="149" t="str">
        <f>'Paste #BBall'!B74</f>
        <v>Jerami Grant</v>
      </c>
      <c r="C74" s="150" t="str">
        <f>'Paste #BBall'!C74</f>
        <v>PF</v>
      </c>
      <c r="D74" s="150" t="str">
        <f>'Paste #BBall'!D74</f>
        <v>POR</v>
      </c>
      <c r="E74" s="151">
        <f>'Paste #BBall'!E74</f>
        <v>65</v>
      </c>
      <c r="F74" s="152">
        <f>'Paste #BBall'!F74</f>
        <v>34</v>
      </c>
      <c r="G74" s="153" t="str">
        <f>right(Left('Paste #BBall'!G74,Search("/",'Paste #BBall'!G74)-1),len(Left('Paste #BBall'!G74,Search("/",'Paste #BBall'!G74)-1))-search("(",Left('Paste #BBall'!G74,Search("/",'Paste #BBall'!G74)-1)))</f>
        <v>6.7</v>
      </c>
      <c r="H74" s="152">
        <f t="shared" si="1"/>
        <v>0.4685314685</v>
      </c>
      <c r="I74" s="152" t="str">
        <f>right(Left('Paste #BBall'!H74,Search("/",'Paste #BBall'!H74)-1),len(Left('Paste #BBall'!H74,Search("/",'Paste #BBall'!H74)-1))-search("(",Left('Paste #BBall'!H74,Search("/",'Paste #BBall'!H74)-1)))</f>
        <v>4.2</v>
      </c>
      <c r="J74" s="152">
        <f t="shared" si="2"/>
        <v>0.8076923077</v>
      </c>
      <c r="K74" s="152">
        <f>'Paste #BBall'!I74</f>
        <v>2.1</v>
      </c>
      <c r="L74" s="152">
        <f>'Paste #BBall'!J74</f>
        <v>19.6</v>
      </c>
      <c r="M74" s="152">
        <f>'Paste #BBall'!K74</f>
        <v>4.4</v>
      </c>
      <c r="N74" s="152">
        <f>'Paste #BBall'!L74</f>
        <v>2.4</v>
      </c>
      <c r="O74" s="152">
        <f>'Paste #BBall'!M74</f>
        <v>0.9</v>
      </c>
      <c r="P74" s="152">
        <f>'Paste #BBall'!N74</f>
        <v>0.9</v>
      </c>
      <c r="Q74" s="152">
        <f>'Paste #BBall'!O74</f>
        <v>1.8</v>
      </c>
      <c r="R74" s="153" t="str">
        <f>Left(Right('Paste #BBall'!G74,Len('Paste #BBall'!G74)-Search("/",'Paste #BBall'!G74)),Len(Right('Paste #BBall'!G74,Len('Paste #BBall'!G74)-Search("/",'Paste #BBall'!G74)))-1)</f>
        <v>14.3</v>
      </c>
      <c r="S74" s="153" t="str">
        <f>Left(Right('Paste #BBall'!H74,Len('Paste #BBall'!H74)-Search("/",'Paste #BBall'!H74)),Len(Right('Paste #BBall'!H74,Len('Paste #BBall'!H74)-Search("/",'Paste #BBall'!H74)))-1)</f>
        <v>5.2</v>
      </c>
      <c r="T74" s="53"/>
      <c r="U74" s="53"/>
      <c r="V74" s="53"/>
    </row>
    <row r="75">
      <c r="A75" s="33">
        <v>74.0</v>
      </c>
      <c r="B75" s="149" t="str">
        <f>'Paste #BBall'!B75</f>
        <v>Markelle Fultz</v>
      </c>
      <c r="C75" s="150" t="str">
        <f>'Paste #BBall'!C75</f>
        <v>PG,SG</v>
      </c>
      <c r="D75" s="150" t="str">
        <f>'Paste #BBall'!D75</f>
        <v>ORL</v>
      </c>
      <c r="E75" s="151">
        <f>'Paste #BBall'!E75</f>
        <v>60</v>
      </c>
      <c r="F75" s="152">
        <f>'Paste #BBall'!F75</f>
        <v>29.6</v>
      </c>
      <c r="G75" s="153" t="str">
        <f>right(Left('Paste #BBall'!G75,Search("/",'Paste #BBall'!G75)-1),len(Left('Paste #BBall'!G75,Search("/",'Paste #BBall'!G75)-1))-search("(",Left('Paste #BBall'!G75,Search("/",'Paste #BBall'!G75)-1)))</f>
        <v>6.0</v>
      </c>
      <c r="H75" s="152">
        <f t="shared" si="1"/>
        <v>0.5042016807</v>
      </c>
      <c r="I75" s="152" t="str">
        <f>right(Left('Paste #BBall'!H75,Search("/",'Paste #BBall'!H75)-1),len(Left('Paste #BBall'!H75,Search("/",'Paste #BBall'!H75)-1))-search("(",Left('Paste #BBall'!H75,Search("/",'Paste #BBall'!H75)-1)))</f>
        <v>1.9</v>
      </c>
      <c r="J75" s="152">
        <f t="shared" si="2"/>
        <v>0.7916666667</v>
      </c>
      <c r="K75" s="152">
        <f>'Paste #BBall'!I75</f>
        <v>0.4</v>
      </c>
      <c r="L75" s="152">
        <f>'Paste #BBall'!J75</f>
        <v>14.4</v>
      </c>
      <c r="M75" s="152">
        <f>'Paste #BBall'!K75</f>
        <v>4</v>
      </c>
      <c r="N75" s="152">
        <f>'Paste #BBall'!L75</f>
        <v>6.2</v>
      </c>
      <c r="O75" s="152">
        <f>'Paste #BBall'!M75</f>
        <v>1.5</v>
      </c>
      <c r="P75" s="152">
        <f>'Paste #BBall'!N75</f>
        <v>0.4</v>
      </c>
      <c r="Q75" s="152">
        <f>'Paste #BBall'!O75</f>
        <v>2.5</v>
      </c>
      <c r="R75" s="153" t="str">
        <f>Left(Right('Paste #BBall'!G75,Len('Paste #BBall'!G75)-Search("/",'Paste #BBall'!G75)),Len(Right('Paste #BBall'!G75,Len('Paste #BBall'!G75)-Search("/",'Paste #BBall'!G75)))-1)</f>
        <v>11.9</v>
      </c>
      <c r="S75" s="153" t="str">
        <f>Left(Right('Paste #BBall'!H75,Len('Paste #BBall'!H75)-Search("/",'Paste #BBall'!H75)),Len(Right('Paste #BBall'!H75,Len('Paste #BBall'!H75)-Search("/",'Paste #BBall'!H75)))-1)</f>
        <v>2.4</v>
      </c>
      <c r="T75" s="53"/>
      <c r="U75" s="53"/>
      <c r="V75" s="53"/>
    </row>
    <row r="76">
      <c r="A76" s="33">
        <v>75.0</v>
      </c>
      <c r="B76" s="149" t="str">
        <f>'Paste #BBall'!B76</f>
        <v>Terry Rozier</v>
      </c>
      <c r="C76" s="150" t="str">
        <f>'Paste #BBall'!C76</f>
        <v>PG,SG</v>
      </c>
      <c r="D76" s="150" t="str">
        <f>'Paste #BBall'!D76</f>
        <v>CHA</v>
      </c>
      <c r="E76" s="151">
        <f>'Paste #BBall'!E76</f>
        <v>68</v>
      </c>
      <c r="F76" s="152">
        <f>'Paste #BBall'!F76</f>
        <v>33.2</v>
      </c>
      <c r="G76" s="153" t="str">
        <f>right(Left('Paste #BBall'!G76,Search("/",'Paste #BBall'!G76)-1),len(Left('Paste #BBall'!G76,Search("/",'Paste #BBall'!G76)-1))-search("(",Left('Paste #BBall'!G76,Search("/",'Paste #BBall'!G76)-1)))</f>
        <v>7.3</v>
      </c>
      <c r="H76" s="152">
        <f t="shared" si="1"/>
        <v>0.4319526627</v>
      </c>
      <c r="I76" s="152" t="str">
        <f>right(Left('Paste #BBall'!H76,Search("/",'Paste #BBall'!H76)-1),len(Left('Paste #BBall'!H76,Search("/",'Paste #BBall'!H76)-1))-search("(",Left('Paste #BBall'!H76,Search("/",'Paste #BBall'!H76)-1)))</f>
        <v>2.4</v>
      </c>
      <c r="J76" s="152">
        <f t="shared" si="2"/>
        <v>0.8571428571</v>
      </c>
      <c r="K76" s="152">
        <f>'Paste #BBall'!I76</f>
        <v>2.8</v>
      </c>
      <c r="L76" s="152">
        <f>'Paste #BBall'!J76</f>
        <v>19.6</v>
      </c>
      <c r="M76" s="152">
        <f>'Paste #BBall'!K76</f>
        <v>4.1</v>
      </c>
      <c r="N76" s="152">
        <f>'Paste #BBall'!L76</f>
        <v>4.6</v>
      </c>
      <c r="O76" s="152">
        <f>'Paste #BBall'!M76</f>
        <v>1.2</v>
      </c>
      <c r="P76" s="152">
        <f>'Paste #BBall'!N76</f>
        <v>0.3</v>
      </c>
      <c r="Q76" s="152">
        <f>'Paste #BBall'!O76</f>
        <v>1.7</v>
      </c>
      <c r="R76" s="153" t="str">
        <f>Left(Right('Paste #BBall'!G76,Len('Paste #BBall'!G76)-Search("/",'Paste #BBall'!G76)),Len(Right('Paste #BBall'!G76,Len('Paste #BBall'!G76)-Search("/",'Paste #BBall'!G76)))-1)</f>
        <v>16.9</v>
      </c>
      <c r="S76" s="153" t="str">
        <f>Left(Right('Paste #BBall'!H76,Len('Paste #BBall'!H76)-Search("/",'Paste #BBall'!H76)),Len(Right('Paste #BBall'!H76,Len('Paste #BBall'!H76)-Search("/",'Paste #BBall'!H76)))-1)</f>
        <v>2.8</v>
      </c>
      <c r="T76" s="53"/>
      <c r="U76" s="53"/>
      <c r="V76" s="53"/>
    </row>
    <row r="77">
      <c r="A77" s="33">
        <v>76.0</v>
      </c>
      <c r="B77" s="149" t="str">
        <f>'Paste #BBall'!B77</f>
        <v>Rudy Gobert</v>
      </c>
      <c r="C77" s="150" t="str">
        <f>'Paste #BBall'!C77</f>
        <v>C</v>
      </c>
      <c r="D77" s="150" t="str">
        <f>'Paste #BBall'!D77</f>
        <v>MIN</v>
      </c>
      <c r="E77" s="151">
        <f>'Paste #BBall'!E77</f>
        <v>68</v>
      </c>
      <c r="F77" s="152">
        <f>'Paste #BBall'!F77</f>
        <v>30.6</v>
      </c>
      <c r="G77" s="153" t="str">
        <f>right(Left('Paste #BBall'!G77,Search("/",'Paste #BBall'!G77)-1),len(Left('Paste #BBall'!G77,Search("/",'Paste #BBall'!G77)-1))-search("(",Left('Paste #BBall'!G77,Search("/",'Paste #BBall'!G77)-1)))</f>
        <v>5.0</v>
      </c>
      <c r="H77" s="152">
        <f t="shared" si="1"/>
        <v>0.6944444444</v>
      </c>
      <c r="I77" s="152" t="str">
        <f>right(Left('Paste #BBall'!H77,Search("/",'Paste #BBall'!H77)-1),len(Left('Paste #BBall'!H77,Search("/",'Paste #BBall'!H77)-1))-search("(",Left('Paste #BBall'!H77,Search("/",'Paste #BBall'!H77)-1)))</f>
        <v>3.6</v>
      </c>
      <c r="J77" s="152">
        <f t="shared" si="2"/>
        <v>0.6666666667</v>
      </c>
      <c r="K77" s="152">
        <f>'Paste #BBall'!I77</f>
        <v>0</v>
      </c>
      <c r="L77" s="152">
        <f>'Paste #BBall'!J77</f>
        <v>13.5</v>
      </c>
      <c r="M77" s="152">
        <f>'Paste #BBall'!K77</f>
        <v>11.5</v>
      </c>
      <c r="N77" s="152">
        <f>'Paste #BBall'!L77</f>
        <v>1.1</v>
      </c>
      <c r="O77" s="152">
        <f>'Paste #BBall'!M77</f>
        <v>0.7</v>
      </c>
      <c r="P77" s="152">
        <f>'Paste #BBall'!N77</f>
        <v>1.4</v>
      </c>
      <c r="Q77" s="152">
        <f>'Paste #BBall'!O77</f>
        <v>1.7</v>
      </c>
      <c r="R77" s="153" t="str">
        <f>Left(Right('Paste #BBall'!G77,Len('Paste #BBall'!G77)-Search("/",'Paste #BBall'!G77)),Len(Right('Paste #BBall'!G77,Len('Paste #BBall'!G77)-Search("/",'Paste #BBall'!G77)))-1)</f>
        <v>7.2</v>
      </c>
      <c r="S77" s="153" t="str">
        <f>Left(Right('Paste #BBall'!H77,Len('Paste #BBall'!H77)-Search("/",'Paste #BBall'!H77)),Len(Right('Paste #BBall'!H77,Len('Paste #BBall'!H77)-Search("/",'Paste #BBall'!H77)))-1)</f>
        <v>5.4</v>
      </c>
      <c r="T77" s="53"/>
      <c r="U77" s="53"/>
      <c r="V77" s="53"/>
    </row>
    <row r="78">
      <c r="A78" s="33">
        <v>77.0</v>
      </c>
      <c r="B78" s="149" t="str">
        <f>'Paste #BBall'!B78</f>
        <v>Miles Bridges</v>
      </c>
      <c r="C78" s="150" t="str">
        <f>'Paste #BBall'!C78</f>
        <v>SF,PF</v>
      </c>
      <c r="D78" s="150" t="str">
        <f>'Paste #BBall'!D78</f>
        <v>CHA</v>
      </c>
      <c r="E78" s="151">
        <f>'Paste #BBall'!E78</f>
        <v>60</v>
      </c>
      <c r="F78" s="152">
        <f>'Paste #BBall'!F78</f>
        <v>30.4</v>
      </c>
      <c r="G78" s="153" t="str">
        <f>right(Left('Paste #BBall'!G78,Search("/",'Paste #BBall'!G78)-1),len(Left('Paste #BBall'!G78,Search("/",'Paste #BBall'!G78)-1))-search("(",Left('Paste #BBall'!G78,Search("/",'Paste #BBall'!G78)-1)))</f>
        <v>6.4</v>
      </c>
      <c r="H78" s="152">
        <f t="shared" si="1"/>
        <v>0.4885496183</v>
      </c>
      <c r="I78" s="152" t="str">
        <f>right(Left('Paste #BBall'!H78,Search("/",'Paste #BBall'!H78)-1),len(Left('Paste #BBall'!H78,Search("/",'Paste #BBall'!H78)-1))-search("(",Left('Paste #BBall'!H78,Search("/",'Paste #BBall'!H78)-1)))</f>
        <v>2.9</v>
      </c>
      <c r="J78" s="152">
        <f t="shared" si="2"/>
        <v>0.8055555556</v>
      </c>
      <c r="K78" s="152">
        <f>'Paste #BBall'!I78</f>
        <v>1.7</v>
      </c>
      <c r="L78" s="152">
        <f>'Paste #BBall'!J78</f>
        <v>17.3</v>
      </c>
      <c r="M78" s="152">
        <f>'Paste #BBall'!K78</f>
        <v>6.1</v>
      </c>
      <c r="N78" s="152">
        <f>'Paste #BBall'!L78</f>
        <v>3.3</v>
      </c>
      <c r="O78" s="152">
        <f>'Paste #BBall'!M78</f>
        <v>0.8</v>
      </c>
      <c r="P78" s="152">
        <f>'Paste #BBall'!N78</f>
        <v>0.7</v>
      </c>
      <c r="Q78" s="152">
        <f>'Paste #BBall'!O78</f>
        <v>1.6</v>
      </c>
      <c r="R78" s="153" t="str">
        <f>Left(Right('Paste #BBall'!G78,Len('Paste #BBall'!G78)-Search("/",'Paste #BBall'!G78)),Len(Right('Paste #BBall'!G78,Len('Paste #BBall'!G78)-Search("/",'Paste #BBall'!G78)))-1)</f>
        <v>13.1</v>
      </c>
      <c r="S78" s="153" t="str">
        <f>Left(Right('Paste #BBall'!H78,Len('Paste #BBall'!H78)-Search("/",'Paste #BBall'!H78)),Len(Right('Paste #BBall'!H78,Len('Paste #BBall'!H78)-Search("/",'Paste #BBall'!H78)))-1)</f>
        <v>3.6</v>
      </c>
      <c r="T78" s="53"/>
      <c r="U78" s="53"/>
      <c r="V78" s="53"/>
    </row>
    <row r="79">
      <c r="A79" s="33">
        <v>78.0</v>
      </c>
      <c r="B79" s="149" t="str">
        <f>'Paste #BBall'!B79</f>
        <v>Scottie Barnes</v>
      </c>
      <c r="C79" s="150" t="str">
        <f>'Paste #BBall'!C79</f>
        <v>SF,PF</v>
      </c>
      <c r="D79" s="150" t="str">
        <f>'Paste #BBall'!D79</f>
        <v>TOR</v>
      </c>
      <c r="E79" s="151">
        <f>'Paste #BBall'!E79</f>
        <v>76</v>
      </c>
      <c r="F79" s="152">
        <f>'Paste #BBall'!F79</f>
        <v>33.2</v>
      </c>
      <c r="G79" s="153" t="str">
        <f>right(Left('Paste #BBall'!G79,Search("/",'Paste #BBall'!G79)-1),len(Left('Paste #BBall'!G79,Search("/",'Paste #BBall'!G79)-1))-search("(",Left('Paste #BBall'!G79,Search("/",'Paste #BBall'!G79)-1)))</f>
        <v>6.0</v>
      </c>
      <c r="H79" s="152">
        <f t="shared" si="1"/>
        <v>0.4761904762</v>
      </c>
      <c r="I79" s="152" t="str">
        <f>right(Left('Paste #BBall'!H79,Search("/",'Paste #BBall'!H79)-1),len(Left('Paste #BBall'!H79,Search("/",'Paste #BBall'!H79)-1))-search("(",Left('Paste #BBall'!H79,Search("/",'Paste #BBall'!H79)-1)))</f>
        <v>2.3</v>
      </c>
      <c r="J79" s="152">
        <f t="shared" si="2"/>
        <v>0.7931034483</v>
      </c>
      <c r="K79" s="152">
        <f>'Paste #BBall'!I79</f>
        <v>0.8</v>
      </c>
      <c r="L79" s="152">
        <f>'Paste #BBall'!J79</f>
        <v>15</v>
      </c>
      <c r="M79" s="152">
        <f>'Paste #BBall'!K79</f>
        <v>6.9</v>
      </c>
      <c r="N79" s="152">
        <f>'Paste #BBall'!L79</f>
        <v>5.1</v>
      </c>
      <c r="O79" s="152">
        <f>'Paste #BBall'!M79</f>
        <v>1.1</v>
      </c>
      <c r="P79" s="152">
        <f>'Paste #BBall'!N79</f>
        <v>0.8</v>
      </c>
      <c r="Q79" s="152">
        <f>'Paste #BBall'!O79</f>
        <v>1.9</v>
      </c>
      <c r="R79" s="153" t="str">
        <f>Left(Right('Paste #BBall'!G79,Len('Paste #BBall'!G79)-Search("/",'Paste #BBall'!G79)),Len(Right('Paste #BBall'!G79,Len('Paste #BBall'!G79)-Search("/",'Paste #BBall'!G79)))-1)</f>
        <v>12.6</v>
      </c>
      <c r="S79" s="153" t="str">
        <f>Left(Right('Paste #BBall'!H79,Len('Paste #BBall'!H79)-Search("/",'Paste #BBall'!H79)),Len(Right('Paste #BBall'!H79,Len('Paste #BBall'!H79)-Search("/",'Paste #BBall'!H79)))-1)</f>
        <v>2.9</v>
      </c>
      <c r="T79" s="53"/>
      <c r="U79" s="53"/>
      <c r="V79" s="53"/>
    </row>
    <row r="80">
      <c r="A80" s="33">
        <v>79.0</v>
      </c>
      <c r="B80" s="149" t="str">
        <f>'Paste #BBall'!B80</f>
        <v>Josh Giddey</v>
      </c>
      <c r="C80" s="150" t="str">
        <f>'Paste #BBall'!C80</f>
        <v>SG,SF,PF</v>
      </c>
      <c r="D80" s="150" t="str">
        <f>'Paste #BBall'!D80</f>
        <v>OKC</v>
      </c>
      <c r="E80" s="151">
        <f>'Paste #BBall'!E80</f>
        <v>74</v>
      </c>
      <c r="F80" s="152">
        <f>'Paste #BBall'!F80</f>
        <v>31.9</v>
      </c>
      <c r="G80" s="153" t="str">
        <f>right(Left('Paste #BBall'!G80,Search("/",'Paste #BBall'!G80)-1),len(Left('Paste #BBall'!G80,Search("/",'Paste #BBall'!G80)-1))-search("(",Left('Paste #BBall'!G80,Search("/",'Paste #BBall'!G80)-1)))</f>
        <v>7.5</v>
      </c>
      <c r="H80" s="152">
        <f t="shared" si="1"/>
        <v>0.4777070064</v>
      </c>
      <c r="I80" s="152" t="str">
        <f>right(Left('Paste #BBall'!H80,Search("/",'Paste #BBall'!H80)-1),len(Left('Paste #BBall'!H80,Search("/",'Paste #BBall'!H80)-1))-search("(",Left('Paste #BBall'!H80,Search("/",'Paste #BBall'!H80)-1)))</f>
        <v>1.3</v>
      </c>
      <c r="J80" s="152">
        <f t="shared" si="2"/>
        <v>0.7222222222</v>
      </c>
      <c r="K80" s="152">
        <f>'Paste #BBall'!I80</f>
        <v>1.1</v>
      </c>
      <c r="L80" s="152">
        <f>'Paste #BBall'!J80</f>
        <v>17.3</v>
      </c>
      <c r="M80" s="152">
        <f>'Paste #BBall'!K80</f>
        <v>8.1</v>
      </c>
      <c r="N80" s="152">
        <f>'Paste #BBall'!L80</f>
        <v>6.5</v>
      </c>
      <c r="O80" s="152">
        <f>'Paste #BBall'!M80</f>
        <v>0.9</v>
      </c>
      <c r="P80" s="152">
        <f>'Paste #BBall'!N80</f>
        <v>0.4</v>
      </c>
      <c r="Q80" s="152">
        <f>'Paste #BBall'!O80</f>
        <v>3</v>
      </c>
      <c r="R80" s="153" t="str">
        <f>Left(Right('Paste #BBall'!G80,Len('Paste #BBall'!G80)-Search("/",'Paste #BBall'!G80)),Len(Right('Paste #BBall'!G80,Len('Paste #BBall'!G80)-Search("/",'Paste #BBall'!G80)))-1)</f>
        <v>15.7</v>
      </c>
      <c r="S80" s="153" t="str">
        <f>Left(Right('Paste #BBall'!H80,Len('Paste #BBall'!H80)-Search("/",'Paste #BBall'!H80)),Len(Right('Paste #BBall'!H80,Len('Paste #BBall'!H80)-Search("/",'Paste #BBall'!H80)))-1)</f>
        <v>1.8</v>
      </c>
      <c r="T80" s="53"/>
      <c r="U80" s="53"/>
      <c r="V80" s="53"/>
    </row>
    <row r="81">
      <c r="A81" s="33">
        <v>80.0</v>
      </c>
      <c r="B81" s="149" t="str">
        <f>'Paste #BBall'!B81</f>
        <v>Klay Thompson</v>
      </c>
      <c r="C81" s="150" t="str">
        <f>'Paste #BBall'!C81</f>
        <v>SG,SF</v>
      </c>
      <c r="D81" s="150" t="str">
        <f>'Paste #BBall'!D81</f>
        <v>GS</v>
      </c>
      <c r="E81" s="151">
        <f>'Paste #BBall'!E81</f>
        <v>68</v>
      </c>
      <c r="F81" s="152">
        <f>'Paste #BBall'!F81</f>
        <v>32.4</v>
      </c>
      <c r="G81" s="153" t="str">
        <f>right(Left('Paste #BBall'!G81,Search("/",'Paste #BBall'!G81)-1),len(Left('Paste #BBall'!G81,Search("/",'Paste #BBall'!G81)-1))-search("(",Left('Paste #BBall'!G81,Search("/",'Paste #BBall'!G81)-1)))</f>
        <v>7.7</v>
      </c>
      <c r="H81" s="152">
        <f t="shared" si="1"/>
        <v>0.4325842697</v>
      </c>
      <c r="I81" s="152" t="str">
        <f>right(Left('Paste #BBall'!H81,Search("/",'Paste #BBall'!H81)-1),len(Left('Paste #BBall'!H81,Search("/",'Paste #BBall'!H81)-1))-search("(",Left('Paste #BBall'!H81,Search("/",'Paste #BBall'!H81)-1)))</f>
        <v>1.6</v>
      </c>
      <c r="J81" s="152">
        <f t="shared" si="2"/>
        <v>0.8888888889</v>
      </c>
      <c r="K81" s="152">
        <f>'Paste #BBall'!I81</f>
        <v>4.2</v>
      </c>
      <c r="L81" s="152">
        <f>'Paste #BBall'!J81</f>
        <v>21.2</v>
      </c>
      <c r="M81" s="152">
        <f>'Paste #BBall'!K81</f>
        <v>4</v>
      </c>
      <c r="N81" s="152">
        <f>'Paste #BBall'!L81</f>
        <v>2.4</v>
      </c>
      <c r="O81" s="152">
        <f>'Paste #BBall'!M81</f>
        <v>0.6</v>
      </c>
      <c r="P81" s="152">
        <f>'Paste #BBall'!N81</f>
        <v>0.5</v>
      </c>
      <c r="Q81" s="152">
        <f>'Paste #BBall'!O81</f>
        <v>1.6</v>
      </c>
      <c r="R81" s="153" t="str">
        <f>Left(Right('Paste #BBall'!G81,Len('Paste #BBall'!G81)-Search("/",'Paste #BBall'!G81)),Len(Right('Paste #BBall'!G81,Len('Paste #BBall'!G81)-Search("/",'Paste #BBall'!G81)))-1)</f>
        <v>17.8</v>
      </c>
      <c r="S81" s="153" t="str">
        <f>Left(Right('Paste #BBall'!H81,Len('Paste #BBall'!H81)-Search("/",'Paste #BBall'!H81)),Len(Right('Paste #BBall'!H81,Len('Paste #BBall'!H81)-Search("/",'Paste #BBall'!H81)))-1)</f>
        <v>1.8</v>
      </c>
      <c r="T81" s="53"/>
      <c r="U81" s="53"/>
      <c r="V81" s="53"/>
    </row>
    <row r="82">
      <c r="A82" s="33">
        <v>81.0</v>
      </c>
      <c r="B82" s="149" t="str">
        <f>'Paste #BBall'!B82</f>
        <v>Tyus Jones</v>
      </c>
      <c r="C82" s="150" t="str">
        <f>'Paste #BBall'!C82</f>
        <v>PG</v>
      </c>
      <c r="D82" s="150" t="str">
        <f>'Paste #BBall'!D82</f>
        <v>WAS</v>
      </c>
      <c r="E82" s="151">
        <f>'Paste #BBall'!E82</f>
        <v>72</v>
      </c>
      <c r="F82" s="152">
        <f>'Paste #BBall'!F82</f>
        <v>30</v>
      </c>
      <c r="G82" s="153" t="str">
        <f>right(Left('Paste #BBall'!G82,Search("/",'Paste #BBall'!G82)-1),len(Left('Paste #BBall'!G82,Search("/",'Paste #BBall'!G82)-1))-search("(",Left('Paste #BBall'!G82,Search("/",'Paste #BBall'!G82)-1)))</f>
        <v>5.2</v>
      </c>
      <c r="H82" s="152">
        <f t="shared" si="1"/>
        <v>0.4444444444</v>
      </c>
      <c r="I82" s="152" t="str">
        <f>right(Left('Paste #BBall'!H82,Search("/",'Paste #BBall'!H82)-1),len(Left('Paste #BBall'!H82,Search("/",'Paste #BBall'!H82)-1))-search("(",Left('Paste #BBall'!H82,Search("/",'Paste #BBall'!H82)-1)))</f>
        <v>1.2</v>
      </c>
      <c r="J82" s="152">
        <f t="shared" si="2"/>
        <v>0.8</v>
      </c>
      <c r="K82" s="152">
        <f>'Paste #BBall'!I82</f>
        <v>1.9</v>
      </c>
      <c r="L82" s="152">
        <f>'Paste #BBall'!J82</f>
        <v>13.5</v>
      </c>
      <c r="M82" s="152">
        <f>'Paste #BBall'!K82</f>
        <v>3.5</v>
      </c>
      <c r="N82" s="152">
        <f>'Paste #BBall'!L82</f>
        <v>7.4</v>
      </c>
      <c r="O82" s="152">
        <f>'Paste #BBall'!M82</f>
        <v>1.4</v>
      </c>
      <c r="P82" s="152">
        <f>'Paste #BBall'!N82</f>
        <v>0.1</v>
      </c>
      <c r="Q82" s="152">
        <f>'Paste #BBall'!O82</f>
        <v>1.1</v>
      </c>
      <c r="R82" s="153" t="str">
        <f>Left(Right('Paste #BBall'!G82,Len('Paste #BBall'!G82)-Search("/",'Paste #BBall'!G82)),Len(Right('Paste #BBall'!G82,Len('Paste #BBall'!G82)-Search("/",'Paste #BBall'!G82)))-1)</f>
        <v>11.7</v>
      </c>
      <c r="S82" s="153" t="str">
        <f>Left(Right('Paste #BBall'!H82,Len('Paste #BBall'!H82)-Search("/",'Paste #BBall'!H82)),Len(Right('Paste #BBall'!H82,Len('Paste #BBall'!H82)-Search("/",'Paste #BBall'!H82)))-1)</f>
        <v>1.5</v>
      </c>
      <c r="T82" s="53"/>
      <c r="U82" s="53"/>
      <c r="V82" s="53"/>
    </row>
    <row r="83">
      <c r="A83" s="33">
        <v>82.0</v>
      </c>
      <c r="B83" s="149" t="str">
        <f>'Paste #BBall'!B83</f>
        <v>Paul Reed</v>
      </c>
      <c r="C83" s="150" t="str">
        <f>'Paste #BBall'!C83</f>
        <v>PF,C</v>
      </c>
      <c r="D83" s="150" t="str">
        <f>'Paste #BBall'!D83</f>
        <v>PHI</v>
      </c>
      <c r="E83" s="151">
        <f>'Paste #BBall'!E83</f>
        <v>69</v>
      </c>
      <c r="F83" s="152">
        <f>'Paste #BBall'!F83</f>
        <v>23.8</v>
      </c>
      <c r="G83" s="153" t="str">
        <f>right(Left('Paste #BBall'!G83,Search("/",'Paste #BBall'!G83)-1),len(Left('Paste #BBall'!G83,Search("/",'Paste #BBall'!G83)-1))-search("(",Left('Paste #BBall'!G83,Search("/",'Paste #BBall'!G83)-1)))</f>
        <v>4.5</v>
      </c>
      <c r="H83" s="152">
        <f t="shared" si="1"/>
        <v>0.5625</v>
      </c>
      <c r="I83" s="152" t="str">
        <f>right(Left('Paste #BBall'!H83,Search("/",'Paste #BBall'!H83)-1),len(Left('Paste #BBall'!H83,Search("/",'Paste #BBall'!H83)-1))-search("(",Left('Paste #BBall'!H83,Search("/",'Paste #BBall'!H83)-1)))</f>
        <v>1.1</v>
      </c>
      <c r="J83" s="152">
        <f t="shared" si="2"/>
        <v>0.6875</v>
      </c>
      <c r="K83" s="152">
        <f>'Paste #BBall'!I83</f>
        <v>0.1</v>
      </c>
      <c r="L83" s="152">
        <f>'Paste #BBall'!J83</f>
        <v>10.2</v>
      </c>
      <c r="M83" s="152">
        <f>'Paste #BBall'!K83</f>
        <v>7.2</v>
      </c>
      <c r="N83" s="152">
        <f>'Paste #BBall'!L83</f>
        <v>1.4</v>
      </c>
      <c r="O83" s="152">
        <f>'Paste #BBall'!M83</f>
        <v>1.2</v>
      </c>
      <c r="P83" s="152">
        <f>'Paste #BBall'!N83</f>
        <v>1.4</v>
      </c>
      <c r="Q83" s="152">
        <f>'Paste #BBall'!O83</f>
        <v>1.4</v>
      </c>
      <c r="R83" s="153" t="str">
        <f>Left(Right('Paste #BBall'!G83,Len('Paste #BBall'!G83)-Search("/",'Paste #BBall'!G83)),Len(Right('Paste #BBall'!G83,Len('Paste #BBall'!G83)-Search("/",'Paste #BBall'!G83)))-1)</f>
        <v>8.0</v>
      </c>
      <c r="S83" s="153" t="str">
        <f>Left(Right('Paste #BBall'!H83,Len('Paste #BBall'!H83)-Search("/",'Paste #BBall'!H83)),Len(Right('Paste #BBall'!H83,Len('Paste #BBall'!H83)-Search("/",'Paste #BBall'!H83)))-1)</f>
        <v>1.6</v>
      </c>
      <c r="T83" s="53"/>
      <c r="U83" s="53"/>
      <c r="V83" s="53"/>
    </row>
    <row r="84">
      <c r="A84" s="33">
        <v>83.0</v>
      </c>
      <c r="B84" s="149" t="str">
        <f>'Paste #BBall'!B84</f>
        <v>Jakob Poeltl</v>
      </c>
      <c r="C84" s="150" t="str">
        <f>'Paste #BBall'!C84</f>
        <v>C</v>
      </c>
      <c r="D84" s="150" t="str">
        <f>'Paste #BBall'!D84</f>
        <v>TOR</v>
      </c>
      <c r="E84" s="151">
        <f>'Paste #BBall'!E84</f>
        <v>70</v>
      </c>
      <c r="F84" s="152">
        <f>'Paste #BBall'!F84</f>
        <v>27.7</v>
      </c>
      <c r="G84" s="153" t="str">
        <f>right(Left('Paste #BBall'!G84,Search("/",'Paste #BBall'!G84)-1),len(Left('Paste #BBall'!G84,Search("/",'Paste #BBall'!G84)-1))-search("(",Left('Paste #BBall'!G84,Search("/",'Paste #BBall'!G84)-1)))</f>
        <v>5.8</v>
      </c>
      <c r="H84" s="152">
        <f t="shared" si="1"/>
        <v>0.623655914</v>
      </c>
      <c r="I84" s="152" t="str">
        <f>right(Left('Paste #BBall'!H84,Search("/",'Paste #BBall'!H84)-1),len(Left('Paste #BBall'!H84,Search("/",'Paste #BBall'!H84)-1))-search("(",Left('Paste #BBall'!H84,Search("/",'Paste #BBall'!H84)-1)))</f>
        <v>1.5</v>
      </c>
      <c r="J84" s="152">
        <f t="shared" si="2"/>
        <v>0.5357142857</v>
      </c>
      <c r="K84" s="152">
        <f>'Paste #BBall'!I84</f>
        <v>0</v>
      </c>
      <c r="L84" s="152">
        <f>'Paste #BBall'!J84</f>
        <v>13.1</v>
      </c>
      <c r="M84" s="152">
        <f>'Paste #BBall'!K84</f>
        <v>9.3</v>
      </c>
      <c r="N84" s="152">
        <f>'Paste #BBall'!L84</f>
        <v>2.8</v>
      </c>
      <c r="O84" s="152">
        <f>'Paste #BBall'!M84</f>
        <v>0.8</v>
      </c>
      <c r="P84" s="152">
        <f>'Paste #BBall'!N84</f>
        <v>1.4</v>
      </c>
      <c r="Q84" s="152">
        <f>'Paste #BBall'!O84</f>
        <v>1.7</v>
      </c>
      <c r="R84" s="153" t="str">
        <f>Left(Right('Paste #BBall'!G84,Len('Paste #BBall'!G84)-Search("/",'Paste #BBall'!G84)),Len(Right('Paste #BBall'!G84,Len('Paste #BBall'!G84)-Search("/",'Paste #BBall'!G84)))-1)</f>
        <v>9.3</v>
      </c>
      <c r="S84" s="153" t="str">
        <f>Left(Right('Paste #BBall'!H84,Len('Paste #BBall'!H84)-Search("/",'Paste #BBall'!H84)),Len(Right('Paste #BBall'!H84,Len('Paste #BBall'!H84)-Search("/",'Paste #BBall'!H84)))-1)</f>
        <v>2.8</v>
      </c>
      <c r="T84" s="53"/>
      <c r="U84" s="53"/>
      <c r="V84" s="53"/>
    </row>
    <row r="85">
      <c r="A85" s="33">
        <v>84.0</v>
      </c>
      <c r="B85" s="149" t="str">
        <f>'Paste #BBall'!B85</f>
        <v>D'Angelo Russell</v>
      </c>
      <c r="C85" s="150" t="str">
        <f>'Paste #BBall'!C85</f>
        <v>PG,SG</v>
      </c>
      <c r="D85" s="150" t="str">
        <f>'Paste #BBall'!D85</f>
        <v>LAL</v>
      </c>
      <c r="E85" s="151">
        <f>'Paste #BBall'!E85</f>
        <v>70</v>
      </c>
      <c r="F85" s="152">
        <f>'Paste #BBall'!F85</f>
        <v>30.2</v>
      </c>
      <c r="G85" s="153" t="str">
        <f>right(Left('Paste #BBall'!G85,Search("/",'Paste #BBall'!G85)-1),len(Left('Paste #BBall'!G85,Search("/",'Paste #BBall'!G85)-1))-search("(",Left('Paste #BBall'!G85,Search("/",'Paste #BBall'!G85)-1)))</f>
        <v>5.9</v>
      </c>
      <c r="H85" s="152">
        <f t="shared" si="1"/>
        <v>0.4436090226</v>
      </c>
      <c r="I85" s="152" t="str">
        <f>right(Left('Paste #BBall'!H85,Search("/",'Paste #BBall'!H85)-1),len(Left('Paste #BBall'!H85,Search("/",'Paste #BBall'!H85)-1))-search("(",Left('Paste #BBall'!H85,Search("/",'Paste #BBall'!H85)-1)))</f>
        <v>2.6</v>
      </c>
      <c r="J85" s="152">
        <f t="shared" si="2"/>
        <v>0.8125</v>
      </c>
      <c r="K85" s="152">
        <f>'Paste #BBall'!I85</f>
        <v>2.6</v>
      </c>
      <c r="L85" s="152">
        <f>'Paste #BBall'!J85</f>
        <v>16.9</v>
      </c>
      <c r="M85" s="152">
        <f>'Paste #BBall'!K85</f>
        <v>3</v>
      </c>
      <c r="N85" s="152">
        <f>'Paste #BBall'!L85</f>
        <v>6.2</v>
      </c>
      <c r="O85" s="152">
        <f>'Paste #BBall'!M85</f>
        <v>0.9</v>
      </c>
      <c r="P85" s="152">
        <f>'Paste #BBall'!N85</f>
        <v>0.4</v>
      </c>
      <c r="Q85" s="152">
        <f>'Paste #BBall'!O85</f>
        <v>2.4</v>
      </c>
      <c r="R85" s="153" t="str">
        <f>Left(Right('Paste #BBall'!G85,Len('Paste #BBall'!G85)-Search("/",'Paste #BBall'!G85)),Len(Right('Paste #BBall'!G85,Len('Paste #BBall'!G85)-Search("/",'Paste #BBall'!G85)))-1)</f>
        <v>13.3</v>
      </c>
      <c r="S85" s="153" t="str">
        <f>Left(Right('Paste #BBall'!H85,Len('Paste #BBall'!H85)-Search("/",'Paste #BBall'!H85)),Len(Right('Paste #BBall'!H85,Len('Paste #BBall'!H85)-Search("/",'Paste #BBall'!H85)))-1)</f>
        <v>3.2</v>
      </c>
      <c r="T85" s="53"/>
      <c r="U85" s="53"/>
      <c r="V85" s="53"/>
    </row>
    <row r="86">
      <c r="A86" s="33">
        <v>85.0</v>
      </c>
      <c r="B86" s="149" t="str">
        <f>'Paste #BBall'!B86</f>
        <v>Kyle Kuzma</v>
      </c>
      <c r="C86" s="150" t="str">
        <f>'Paste #BBall'!C86</f>
        <v>SF,PF</v>
      </c>
      <c r="D86" s="150" t="str">
        <f>'Paste #BBall'!D86</f>
        <v>WAS</v>
      </c>
      <c r="E86" s="151">
        <f>'Paste #BBall'!E86</f>
        <v>65</v>
      </c>
      <c r="F86" s="152">
        <f>'Paste #BBall'!F86</f>
        <v>35.1</v>
      </c>
      <c r="G86" s="153" t="str">
        <f>right(Left('Paste #BBall'!G86,Search("/",'Paste #BBall'!G86)-1),len(Left('Paste #BBall'!G86,Search("/",'Paste #BBall'!G86)-1))-search("(",Left('Paste #BBall'!G86,Search("/",'Paste #BBall'!G86)-1)))</f>
        <v>8.3</v>
      </c>
      <c r="H86" s="152">
        <f t="shared" si="1"/>
        <v>0.4462365591</v>
      </c>
      <c r="I86" s="152" t="str">
        <f>right(Left('Paste #BBall'!H86,Search("/",'Paste #BBall'!H86)-1),len(Left('Paste #BBall'!H86,Search("/",'Paste #BBall'!H86)-1))-search("(",Left('Paste #BBall'!H86,Search("/",'Paste #BBall'!H86)-1)))</f>
        <v>2.9</v>
      </c>
      <c r="J86" s="152">
        <f t="shared" si="2"/>
        <v>0.725</v>
      </c>
      <c r="K86" s="152">
        <f>'Paste #BBall'!I86</f>
        <v>2.6</v>
      </c>
      <c r="L86" s="152">
        <f>'Paste #BBall'!J86</f>
        <v>22.1</v>
      </c>
      <c r="M86" s="152">
        <f>'Paste #BBall'!K86</f>
        <v>8.1</v>
      </c>
      <c r="N86" s="152">
        <f>'Paste #BBall'!L86</f>
        <v>3.8</v>
      </c>
      <c r="O86" s="152">
        <f>'Paste #BBall'!M86</f>
        <v>0.7</v>
      </c>
      <c r="P86" s="152">
        <f>'Paste #BBall'!N86</f>
        <v>0.8</v>
      </c>
      <c r="Q86" s="152">
        <f>'Paste #BBall'!O86</f>
        <v>3.2</v>
      </c>
      <c r="R86" s="153" t="str">
        <f>Left(Right('Paste #BBall'!G86,Len('Paste #BBall'!G86)-Search("/",'Paste #BBall'!G86)),Len(Right('Paste #BBall'!G86,Len('Paste #BBall'!G86)-Search("/",'Paste #BBall'!G86)))-1)</f>
        <v>18.6</v>
      </c>
      <c r="S86" s="153" t="str">
        <f>Left(Right('Paste #BBall'!H86,Len('Paste #BBall'!H86)-Search("/",'Paste #BBall'!H86)),Len(Right('Paste #BBall'!H86,Len('Paste #BBall'!H86)-Search("/",'Paste #BBall'!H86)))-1)</f>
        <v>4.0</v>
      </c>
      <c r="T86" s="53"/>
      <c r="U86" s="53"/>
      <c r="V86" s="53"/>
    </row>
    <row r="87">
      <c r="A87" s="33">
        <v>86.0</v>
      </c>
      <c r="B87" s="149" t="str">
        <f>'Paste #BBall'!B87</f>
        <v>Clint Capela</v>
      </c>
      <c r="C87" s="150" t="str">
        <f>'Paste #BBall'!C87</f>
        <v>C</v>
      </c>
      <c r="D87" s="150" t="str">
        <f>'Paste #BBall'!D87</f>
        <v>ATL</v>
      </c>
      <c r="E87" s="151">
        <f>'Paste #BBall'!E87</f>
        <v>68</v>
      </c>
      <c r="F87" s="152">
        <f>'Paste #BBall'!F87</f>
        <v>26.3</v>
      </c>
      <c r="G87" s="153" t="str">
        <f>right(Left('Paste #BBall'!G87,Search("/",'Paste #BBall'!G87)-1),len(Left('Paste #BBall'!G87,Search("/",'Paste #BBall'!G87)-1))-search("(",Left('Paste #BBall'!G87,Search("/",'Paste #BBall'!G87)-1)))</f>
        <v>5.1</v>
      </c>
      <c r="H87" s="152">
        <f t="shared" si="1"/>
        <v>0.6375</v>
      </c>
      <c r="I87" s="152" t="str">
        <f>right(Left('Paste #BBall'!H87,Search("/",'Paste #BBall'!H87)-1),len(Left('Paste #BBall'!H87,Search("/",'Paste #BBall'!H87)-1))-search("(",Left('Paste #BBall'!H87,Search("/",'Paste #BBall'!H87)-1)))</f>
        <v>1.2</v>
      </c>
      <c r="J87" s="152">
        <f t="shared" si="2"/>
        <v>0.5714285714</v>
      </c>
      <c r="K87" s="152">
        <f>'Paste #BBall'!I87</f>
        <v>0</v>
      </c>
      <c r="L87" s="152">
        <f>'Paste #BBall'!J87</f>
        <v>11.4</v>
      </c>
      <c r="M87" s="152">
        <f>'Paste #BBall'!K87</f>
        <v>11.2</v>
      </c>
      <c r="N87" s="152">
        <f>'Paste #BBall'!L87</f>
        <v>1.1</v>
      </c>
      <c r="O87" s="152">
        <f>'Paste #BBall'!M87</f>
        <v>0.7</v>
      </c>
      <c r="P87" s="152">
        <f>'Paste #BBall'!N87</f>
        <v>1.2</v>
      </c>
      <c r="Q87" s="152">
        <f>'Paste #BBall'!O87</f>
        <v>0.7</v>
      </c>
      <c r="R87" s="153" t="str">
        <f>Left(Right('Paste #BBall'!G87,Len('Paste #BBall'!G87)-Search("/",'Paste #BBall'!G87)),Len(Right('Paste #BBall'!G87,Len('Paste #BBall'!G87)-Search("/",'Paste #BBall'!G87)))-1)</f>
        <v>8.0</v>
      </c>
      <c r="S87" s="153" t="str">
        <f>Left(Right('Paste #BBall'!H87,Len('Paste #BBall'!H87)-Search("/",'Paste #BBall'!H87)),Len(Right('Paste #BBall'!H87,Len('Paste #BBall'!H87)-Search("/",'Paste #BBall'!H87)))-1)</f>
        <v>2.1</v>
      </c>
      <c r="T87" s="53"/>
      <c r="U87" s="53"/>
      <c r="V87" s="53"/>
    </row>
    <row r="88">
      <c r="A88" s="33">
        <v>87.0</v>
      </c>
      <c r="B88" s="149" t="str">
        <f>'Paste #BBall'!B88</f>
        <v>Austin Reaves</v>
      </c>
      <c r="C88" s="150" t="str">
        <f>'Paste #BBall'!C88</f>
        <v>SG,SF</v>
      </c>
      <c r="D88" s="150" t="str">
        <f>'Paste #BBall'!D88</f>
        <v>LAL</v>
      </c>
      <c r="E88" s="151">
        <f>'Paste #BBall'!E88</f>
        <v>71</v>
      </c>
      <c r="F88" s="152">
        <f>'Paste #BBall'!F88</f>
        <v>32.6</v>
      </c>
      <c r="G88" s="153" t="str">
        <f>right(Left('Paste #BBall'!G88,Search("/",'Paste #BBall'!G88)-1),len(Left('Paste #BBall'!G88,Search("/",'Paste #BBall'!G88)-1))-search("(",Left('Paste #BBall'!G88,Search("/",'Paste #BBall'!G88)-1)))</f>
        <v>5.0</v>
      </c>
      <c r="H88" s="152">
        <f t="shared" si="1"/>
        <v>0.5</v>
      </c>
      <c r="I88" s="152" t="str">
        <f>right(Left('Paste #BBall'!H88,Search("/",'Paste #BBall'!H88)-1),len(Left('Paste #BBall'!H88,Search("/",'Paste #BBall'!H88)-1))-search("(",Left('Paste #BBall'!H88,Search("/",'Paste #BBall'!H88)-1)))</f>
        <v>3.9</v>
      </c>
      <c r="J88" s="152">
        <f t="shared" si="2"/>
        <v>0.8666666667</v>
      </c>
      <c r="K88" s="152">
        <f>'Paste #BBall'!I88</f>
        <v>1.6</v>
      </c>
      <c r="L88" s="152">
        <f>'Paste #BBall'!J88</f>
        <v>15.4</v>
      </c>
      <c r="M88" s="152">
        <f>'Paste #BBall'!K88</f>
        <v>3.3</v>
      </c>
      <c r="N88" s="152">
        <f>'Paste #BBall'!L88</f>
        <v>3.8</v>
      </c>
      <c r="O88" s="152">
        <f>'Paste #BBall'!M88</f>
        <v>0.7</v>
      </c>
      <c r="P88" s="152">
        <f>'Paste #BBall'!N88</f>
        <v>0.5</v>
      </c>
      <c r="Q88" s="152">
        <f>'Paste #BBall'!O88</f>
        <v>1.6</v>
      </c>
      <c r="R88" s="153" t="str">
        <f>Left(Right('Paste #BBall'!G88,Len('Paste #BBall'!G88)-Search("/",'Paste #BBall'!G88)),Len(Right('Paste #BBall'!G88,Len('Paste #BBall'!G88)-Search("/",'Paste #BBall'!G88)))-1)</f>
        <v>10.0</v>
      </c>
      <c r="S88" s="153" t="str">
        <f>Left(Right('Paste #BBall'!H88,Len('Paste #BBall'!H88)-Search("/",'Paste #BBall'!H88)),Len(Right('Paste #BBall'!H88,Len('Paste #BBall'!H88)-Search("/",'Paste #BBall'!H88)))-1)</f>
        <v>4.5</v>
      </c>
      <c r="T88" s="53"/>
      <c r="U88" s="53"/>
      <c r="V88" s="53"/>
    </row>
    <row r="89">
      <c r="A89" s="33">
        <v>88.0</v>
      </c>
      <c r="B89" s="149" t="str">
        <f>'Paste #BBall'!B89</f>
        <v>CJ McCollum</v>
      </c>
      <c r="C89" s="150" t="str">
        <f>'Paste #BBall'!C89</f>
        <v>PG,SG</v>
      </c>
      <c r="D89" s="150" t="str">
        <f>'Paste #BBall'!D89</f>
        <v>NO</v>
      </c>
      <c r="E89" s="151">
        <f>'Paste #BBall'!E89</f>
        <v>72</v>
      </c>
      <c r="F89" s="152">
        <f>'Paste #BBall'!F89</f>
        <v>34.7</v>
      </c>
      <c r="G89" s="153" t="str">
        <f>right(Left('Paste #BBall'!G89,Search("/",'Paste #BBall'!G89)-1),len(Left('Paste #BBall'!G89,Search("/",'Paste #BBall'!G89)-1))-search("(",Left('Paste #BBall'!G89,Search("/",'Paste #BBall'!G89)-1)))</f>
        <v>7.8</v>
      </c>
      <c r="H89" s="152">
        <f t="shared" si="1"/>
        <v>0.4457142857</v>
      </c>
      <c r="I89" s="152" t="str">
        <f>right(Left('Paste #BBall'!H89,Search("/",'Paste #BBall'!H89)-1),len(Left('Paste #BBall'!H89,Search("/",'Paste #BBall'!H89)-1))-search("(",Left('Paste #BBall'!H89,Search("/",'Paste #BBall'!H89)-1)))</f>
        <v>2.1</v>
      </c>
      <c r="J89" s="152">
        <f t="shared" si="2"/>
        <v>0.75</v>
      </c>
      <c r="K89" s="152">
        <f>'Paste #BBall'!I89</f>
        <v>2.7</v>
      </c>
      <c r="L89" s="152">
        <f>'Paste #BBall'!J89</f>
        <v>20.5</v>
      </c>
      <c r="M89" s="152">
        <f>'Paste #BBall'!K89</f>
        <v>4.2</v>
      </c>
      <c r="N89" s="152">
        <f>'Paste #BBall'!L89</f>
        <v>5.2</v>
      </c>
      <c r="O89" s="152">
        <f>'Paste #BBall'!M89</f>
        <v>1</v>
      </c>
      <c r="P89" s="152">
        <f>'Paste #BBall'!N89</f>
        <v>0.4</v>
      </c>
      <c r="Q89" s="152">
        <f>'Paste #BBall'!O89</f>
        <v>2.2</v>
      </c>
      <c r="R89" s="153" t="str">
        <f>Left(Right('Paste #BBall'!G89,Len('Paste #BBall'!G89)-Search("/",'Paste #BBall'!G89)),Len(Right('Paste #BBall'!G89,Len('Paste #BBall'!G89)-Search("/",'Paste #BBall'!G89)))-1)</f>
        <v>17.5</v>
      </c>
      <c r="S89" s="153" t="str">
        <f>Left(Right('Paste #BBall'!H89,Len('Paste #BBall'!H89)-Search("/",'Paste #BBall'!H89)),Len(Right('Paste #BBall'!H89,Len('Paste #BBall'!H89)-Search("/",'Paste #BBall'!H89)))-1)</f>
        <v>2.8</v>
      </c>
      <c r="T89" s="53"/>
      <c r="U89" s="53"/>
      <c r="V89" s="53"/>
    </row>
    <row r="90">
      <c r="A90" s="33">
        <v>89.0</v>
      </c>
      <c r="B90" s="149" t="str">
        <f>'Paste #BBall'!B90</f>
        <v>Zach Collins</v>
      </c>
      <c r="C90" s="150" t="str">
        <f>'Paste #BBall'!C90</f>
        <v>PF,C</v>
      </c>
      <c r="D90" s="150" t="str">
        <f>'Paste #BBall'!D90</f>
        <v>SA</v>
      </c>
      <c r="E90" s="151">
        <f>'Paste #BBall'!E90</f>
        <v>66</v>
      </c>
      <c r="F90" s="152">
        <f>'Paste #BBall'!F90</f>
        <v>27.7</v>
      </c>
      <c r="G90" s="153" t="str">
        <f>right(Left('Paste #BBall'!G90,Search("/",'Paste #BBall'!G90)-1),len(Left('Paste #BBall'!G90,Search("/",'Paste #BBall'!G90)-1))-search("(",Left('Paste #BBall'!G90,Search("/",'Paste #BBall'!G90)-1)))</f>
        <v>5.0</v>
      </c>
      <c r="H90" s="152">
        <f t="shared" si="1"/>
        <v>0.5050505051</v>
      </c>
      <c r="I90" s="152" t="str">
        <f>right(Left('Paste #BBall'!H90,Search("/",'Paste #BBall'!H90)-1),len(Left('Paste #BBall'!H90,Search("/",'Paste #BBall'!H90)-1))-search("(",Left('Paste #BBall'!H90,Search("/",'Paste #BBall'!H90)-1)))</f>
        <v>2.2</v>
      </c>
      <c r="J90" s="152">
        <f t="shared" si="2"/>
        <v>0.7586206897</v>
      </c>
      <c r="K90" s="152">
        <f>'Paste #BBall'!I90</f>
        <v>1</v>
      </c>
      <c r="L90" s="152">
        <f>'Paste #BBall'!J90</f>
        <v>13.2</v>
      </c>
      <c r="M90" s="152">
        <f>'Paste #BBall'!K90</f>
        <v>7.4</v>
      </c>
      <c r="N90" s="152">
        <f>'Paste #BBall'!L90</f>
        <v>3.4</v>
      </c>
      <c r="O90" s="152">
        <f>'Paste #BBall'!M90</f>
        <v>0.7</v>
      </c>
      <c r="P90" s="152">
        <f>'Paste #BBall'!N90</f>
        <v>1</v>
      </c>
      <c r="Q90" s="152">
        <f>'Paste #BBall'!O90</f>
        <v>2.5</v>
      </c>
      <c r="R90" s="153" t="str">
        <f>Left(Right('Paste #BBall'!G90,Len('Paste #BBall'!G90)-Search("/",'Paste #BBall'!G90)),Len(Right('Paste #BBall'!G90,Len('Paste #BBall'!G90)-Search("/",'Paste #BBall'!G90)))-1)</f>
        <v>9.9</v>
      </c>
      <c r="S90" s="153" t="str">
        <f>Left(Right('Paste #BBall'!H90,Len('Paste #BBall'!H90)-Search("/",'Paste #BBall'!H90)),Len(Right('Paste #BBall'!H90,Len('Paste #BBall'!H90)-Search("/",'Paste #BBall'!H90)))-1)</f>
        <v>2.9</v>
      </c>
      <c r="T90" s="53"/>
      <c r="U90" s="53"/>
      <c r="V90" s="53"/>
    </row>
    <row r="91">
      <c r="A91" s="33">
        <v>90.0</v>
      </c>
      <c r="B91" s="149" t="str">
        <f>'Paste #BBall'!B91</f>
        <v>John Collins</v>
      </c>
      <c r="C91" s="150" t="str">
        <f>'Paste #BBall'!C91</f>
        <v>PF</v>
      </c>
      <c r="D91" s="150" t="str">
        <f>'Paste #BBall'!D91</f>
        <v>UTA</v>
      </c>
      <c r="E91" s="151">
        <f>'Paste #BBall'!E91</f>
        <v>70</v>
      </c>
      <c r="F91" s="152">
        <f>'Paste #BBall'!F91</f>
        <v>30</v>
      </c>
      <c r="G91" s="153" t="str">
        <f>right(Left('Paste #BBall'!G91,Search("/",'Paste #BBall'!G91)-1),len(Left('Paste #BBall'!G91,Search("/",'Paste #BBall'!G91)-1))-search("(",Left('Paste #BBall'!G91,Search("/",'Paste #BBall'!G91)-1)))</f>
        <v>5.6</v>
      </c>
      <c r="H91" s="152">
        <f t="shared" si="1"/>
        <v>0.5185185185</v>
      </c>
      <c r="I91" s="152" t="str">
        <f>right(Left('Paste #BBall'!H91,Search("/",'Paste #BBall'!H91)-1),len(Left('Paste #BBall'!H91,Search("/",'Paste #BBall'!H91)-1))-search("(",Left('Paste #BBall'!H91,Search("/",'Paste #BBall'!H91)-1)))</f>
        <v>2.2</v>
      </c>
      <c r="J91" s="152">
        <f t="shared" si="2"/>
        <v>0.7857142857</v>
      </c>
      <c r="K91" s="152">
        <f>'Paste #BBall'!I91</f>
        <v>1.1</v>
      </c>
      <c r="L91" s="152">
        <f>'Paste #BBall'!J91</f>
        <v>14.4</v>
      </c>
      <c r="M91" s="152">
        <f>'Paste #BBall'!K91</f>
        <v>7.1</v>
      </c>
      <c r="N91" s="152">
        <f>'Paste #BBall'!L91</f>
        <v>1.5</v>
      </c>
      <c r="O91" s="152">
        <f>'Paste #BBall'!M91</f>
        <v>0.6</v>
      </c>
      <c r="P91" s="152">
        <f>'Paste #BBall'!N91</f>
        <v>1</v>
      </c>
      <c r="Q91" s="152">
        <f>'Paste #BBall'!O91</f>
        <v>1.1</v>
      </c>
      <c r="R91" s="153" t="str">
        <f>Left(Right('Paste #BBall'!G91,Len('Paste #BBall'!G91)-Search("/",'Paste #BBall'!G91)),Len(Right('Paste #BBall'!G91,Len('Paste #BBall'!G91)-Search("/",'Paste #BBall'!G91)))-1)</f>
        <v>10.8</v>
      </c>
      <c r="S91" s="153" t="str">
        <f>Left(Right('Paste #BBall'!H91,Len('Paste #BBall'!H91)-Search("/",'Paste #BBall'!H91)),Len(Right('Paste #BBall'!H91,Len('Paste #BBall'!H91)-Search("/",'Paste #BBall'!H91)))-1)</f>
        <v>2.8</v>
      </c>
      <c r="T91" s="53"/>
      <c r="U91" s="53"/>
      <c r="V91" s="53"/>
    </row>
    <row r="92">
      <c r="A92" s="33">
        <v>91.0</v>
      </c>
      <c r="B92" s="149" t="str">
        <f>'Paste #BBall'!B92</f>
        <v>Chris Paul</v>
      </c>
      <c r="C92" s="150" t="str">
        <f>'Paste #BBall'!C92</f>
        <v>PG</v>
      </c>
      <c r="D92" s="150" t="str">
        <f>'Paste #BBall'!D92</f>
        <v>GS</v>
      </c>
      <c r="E92" s="151">
        <f>'Paste #BBall'!E92</f>
        <v>60</v>
      </c>
      <c r="F92" s="152">
        <f>'Paste #BBall'!F92</f>
        <v>26.8</v>
      </c>
      <c r="G92" s="153" t="str">
        <f>right(Left('Paste #BBall'!G92,Search("/",'Paste #BBall'!G92)-1),len(Left('Paste #BBall'!G92,Search("/",'Paste #BBall'!G92)-1))-search("(",Left('Paste #BBall'!G92,Search("/",'Paste #BBall'!G92)-1)))</f>
        <v>4.1</v>
      </c>
      <c r="H92" s="152">
        <f t="shared" si="1"/>
        <v>0.4361702128</v>
      </c>
      <c r="I92" s="152" t="str">
        <f>right(Left('Paste #BBall'!H92,Search("/",'Paste #BBall'!H92)-1),len(Left('Paste #BBall'!H92,Search("/",'Paste #BBall'!H92)-1))-search("(",Left('Paste #BBall'!H92,Search("/",'Paste #BBall'!H92)-1)))</f>
        <v>2.0</v>
      </c>
      <c r="J92" s="152">
        <f t="shared" si="2"/>
        <v>0.8333333333</v>
      </c>
      <c r="K92" s="152">
        <f>'Paste #BBall'!I92</f>
        <v>1.3</v>
      </c>
      <c r="L92" s="152">
        <f>'Paste #BBall'!J92</f>
        <v>11.6</v>
      </c>
      <c r="M92" s="152">
        <f>'Paste #BBall'!K92</f>
        <v>3.6</v>
      </c>
      <c r="N92" s="152">
        <f>'Paste #BBall'!L92</f>
        <v>7.5</v>
      </c>
      <c r="O92" s="152">
        <f>'Paste #BBall'!M92</f>
        <v>1.2</v>
      </c>
      <c r="P92" s="152">
        <f>'Paste #BBall'!N92</f>
        <v>0.3</v>
      </c>
      <c r="Q92" s="152">
        <f>'Paste #BBall'!O92</f>
        <v>1.8</v>
      </c>
      <c r="R92" s="153" t="str">
        <f>Left(Right('Paste #BBall'!G92,Len('Paste #BBall'!G92)-Search("/",'Paste #BBall'!G92)),Len(Right('Paste #BBall'!G92,Len('Paste #BBall'!G92)-Search("/",'Paste #BBall'!G92)))-1)</f>
        <v>9.4</v>
      </c>
      <c r="S92" s="153" t="str">
        <f>Left(Right('Paste #BBall'!H92,Len('Paste #BBall'!H92)-Search("/",'Paste #BBall'!H92)),Len(Right('Paste #BBall'!H92,Len('Paste #BBall'!H92)-Search("/",'Paste #BBall'!H92)))-1)</f>
        <v>2.4</v>
      </c>
      <c r="T92" s="53"/>
      <c r="U92" s="53"/>
      <c r="V92" s="53"/>
    </row>
    <row r="93">
      <c r="A93" s="33">
        <v>92.0</v>
      </c>
      <c r="B93" s="149" t="str">
        <f>'Paste #BBall'!B93</f>
        <v>De'Anthony Melton</v>
      </c>
      <c r="C93" s="150" t="str">
        <f>'Paste #BBall'!C93</f>
        <v>PG,SG</v>
      </c>
      <c r="D93" s="150" t="str">
        <f>'Paste #BBall'!D93</f>
        <v>PHI</v>
      </c>
      <c r="E93" s="151">
        <f>'Paste #BBall'!E93</f>
        <v>72</v>
      </c>
      <c r="F93" s="152">
        <f>'Paste #BBall'!F93</f>
        <v>26.9</v>
      </c>
      <c r="G93" s="153" t="str">
        <f>right(Left('Paste #BBall'!G93,Search("/",'Paste #BBall'!G93)-1),len(Left('Paste #BBall'!G93,Search("/",'Paste #BBall'!G93)-1))-search("(",Left('Paste #BBall'!G93,Search("/",'Paste #BBall'!G93)-1)))</f>
        <v>4.0</v>
      </c>
      <c r="H93" s="152">
        <f t="shared" si="1"/>
        <v>0.4255319149</v>
      </c>
      <c r="I93" s="152" t="str">
        <f>right(Left('Paste #BBall'!H93,Search("/",'Paste #BBall'!H93)-1),len(Left('Paste #BBall'!H93,Search("/",'Paste #BBall'!H93)-1))-search("(",Left('Paste #BBall'!H93,Search("/",'Paste #BBall'!H93)-1)))</f>
        <v>1.1</v>
      </c>
      <c r="J93" s="152">
        <f t="shared" si="2"/>
        <v>0.7333333333</v>
      </c>
      <c r="K93" s="152">
        <f>'Paste #BBall'!I93</f>
        <v>2.1</v>
      </c>
      <c r="L93" s="152">
        <f>'Paste #BBall'!J93</f>
        <v>11.3</v>
      </c>
      <c r="M93" s="152">
        <f>'Paste #BBall'!K93</f>
        <v>4.6</v>
      </c>
      <c r="N93" s="152">
        <f>'Paste #BBall'!L93</f>
        <v>2.8</v>
      </c>
      <c r="O93" s="152">
        <f>'Paste #BBall'!M93</f>
        <v>1.7</v>
      </c>
      <c r="P93" s="152">
        <f>'Paste #BBall'!N93</f>
        <v>0.6</v>
      </c>
      <c r="Q93" s="152">
        <f>'Paste #BBall'!O93</f>
        <v>1.5</v>
      </c>
      <c r="R93" s="153" t="str">
        <f>Left(Right('Paste #BBall'!G93,Len('Paste #BBall'!G93)-Search("/",'Paste #BBall'!G93)),Len(Right('Paste #BBall'!G93,Len('Paste #BBall'!G93)-Search("/",'Paste #BBall'!G93)))-1)</f>
        <v>9.4</v>
      </c>
      <c r="S93" s="153" t="str">
        <f>Left(Right('Paste #BBall'!H93,Len('Paste #BBall'!H93)-Search("/",'Paste #BBall'!H93)),Len(Right('Paste #BBall'!H93,Len('Paste #BBall'!H93)-Search("/",'Paste #BBall'!H93)))-1)</f>
        <v>1.5</v>
      </c>
      <c r="T93" s="53"/>
      <c r="U93" s="53"/>
      <c r="V93" s="53"/>
    </row>
    <row r="94">
      <c r="A94" s="33">
        <v>93.0</v>
      </c>
      <c r="B94" s="149" t="str">
        <f>'Paste #BBall'!B94</f>
        <v>Tobias Harris</v>
      </c>
      <c r="C94" s="150" t="str">
        <f>'Paste #BBall'!C94</f>
        <v>SF,PF</v>
      </c>
      <c r="D94" s="150" t="str">
        <f>'Paste #BBall'!D94</f>
        <v>PHI</v>
      </c>
      <c r="E94" s="151">
        <f>'Paste #BBall'!E94</f>
        <v>73</v>
      </c>
      <c r="F94" s="152">
        <f>'Paste #BBall'!F94</f>
        <v>32.9</v>
      </c>
      <c r="G94" s="153" t="str">
        <f>right(Left('Paste #BBall'!G94,Search("/",'Paste #BBall'!G94)-1),len(Left('Paste #BBall'!G94,Search("/",'Paste #BBall'!G94)-1))-search("(",Left('Paste #BBall'!G94,Search("/",'Paste #BBall'!G94)-1)))</f>
        <v>5.9</v>
      </c>
      <c r="H94" s="152">
        <f t="shared" si="1"/>
        <v>0.4876033058</v>
      </c>
      <c r="I94" s="152" t="str">
        <f>right(Left('Paste #BBall'!H94,Search("/",'Paste #BBall'!H94)-1),len(Left('Paste #BBall'!H94,Search("/",'Paste #BBall'!H94)-1))-search("(",Left('Paste #BBall'!H94,Search("/",'Paste #BBall'!H94)-1)))</f>
        <v>1.8</v>
      </c>
      <c r="J94" s="152">
        <f t="shared" si="2"/>
        <v>0.8181818182</v>
      </c>
      <c r="K94" s="152">
        <f>'Paste #BBall'!I94</f>
        <v>1.5</v>
      </c>
      <c r="L94" s="152">
        <f>'Paste #BBall'!J94</f>
        <v>15.2</v>
      </c>
      <c r="M94" s="152">
        <f>'Paste #BBall'!K94</f>
        <v>6</v>
      </c>
      <c r="N94" s="152">
        <f>'Paste #BBall'!L94</f>
        <v>2.8</v>
      </c>
      <c r="O94" s="152">
        <f>'Paste #BBall'!M94</f>
        <v>0.8</v>
      </c>
      <c r="P94" s="152">
        <f>'Paste #BBall'!N94</f>
        <v>0.5</v>
      </c>
      <c r="Q94" s="152">
        <f>'Paste #BBall'!O94</f>
        <v>1.3</v>
      </c>
      <c r="R94" s="153" t="str">
        <f>Left(Right('Paste #BBall'!G94,Len('Paste #BBall'!G94)-Search("/",'Paste #BBall'!G94)),Len(Right('Paste #BBall'!G94,Len('Paste #BBall'!G94)-Search("/",'Paste #BBall'!G94)))-1)</f>
        <v>12.1</v>
      </c>
      <c r="S94" s="153" t="str">
        <f>Left(Right('Paste #BBall'!H94,Len('Paste #BBall'!H94)-Search("/",'Paste #BBall'!H94)),Len(Right('Paste #BBall'!H94,Len('Paste #BBall'!H94)-Search("/",'Paste #BBall'!H94)))-1)</f>
        <v>2.2</v>
      </c>
      <c r="T94" s="53"/>
      <c r="U94" s="53"/>
      <c r="V94" s="53"/>
    </row>
    <row r="95">
      <c r="A95" s="33">
        <v>94.0</v>
      </c>
      <c r="B95" s="149" t="str">
        <f>'Paste #BBall'!B95</f>
        <v>Derrick White</v>
      </c>
      <c r="C95" s="150" t="str">
        <f>'Paste #BBall'!C95</f>
        <v>PG,SG</v>
      </c>
      <c r="D95" s="150" t="str">
        <f>'Paste #BBall'!D95</f>
        <v>BOS</v>
      </c>
      <c r="E95" s="151">
        <f>'Paste #BBall'!E95</f>
        <v>77</v>
      </c>
      <c r="F95" s="152">
        <f>'Paste #BBall'!F95</f>
        <v>29.1</v>
      </c>
      <c r="G95" s="153" t="str">
        <f>right(Left('Paste #BBall'!G95,Search("/",'Paste #BBall'!G95)-1),len(Left('Paste #BBall'!G95,Search("/",'Paste #BBall'!G95)-1))-search("(",Left('Paste #BBall'!G95,Search("/",'Paste #BBall'!G95)-1)))</f>
        <v>4.5</v>
      </c>
      <c r="H95" s="152">
        <f t="shared" si="1"/>
        <v>0.4545454545</v>
      </c>
      <c r="I95" s="152" t="str">
        <f>right(Left('Paste #BBall'!H95,Search("/",'Paste #BBall'!H95)-1),len(Left('Paste #BBall'!H95,Search("/",'Paste #BBall'!H95)-1))-search("(",Left('Paste #BBall'!H95,Search("/",'Paste #BBall'!H95)-1)))</f>
        <v>2.4</v>
      </c>
      <c r="J95" s="152">
        <f t="shared" si="2"/>
        <v>0.8571428571</v>
      </c>
      <c r="K95" s="152">
        <f>'Paste #BBall'!I95</f>
        <v>1.7</v>
      </c>
      <c r="L95" s="152">
        <f>'Paste #BBall'!J95</f>
        <v>13</v>
      </c>
      <c r="M95" s="152">
        <f>'Paste #BBall'!K95</f>
        <v>3.6</v>
      </c>
      <c r="N95" s="152">
        <f>'Paste #BBall'!L95</f>
        <v>4</v>
      </c>
      <c r="O95" s="152">
        <f>'Paste #BBall'!M95</f>
        <v>0.8</v>
      </c>
      <c r="P95" s="152">
        <f>'Paste #BBall'!N95</f>
        <v>0.9</v>
      </c>
      <c r="Q95" s="152">
        <f>'Paste #BBall'!O95</f>
        <v>1.4</v>
      </c>
      <c r="R95" s="153" t="str">
        <f>Left(Right('Paste #BBall'!G95,Len('Paste #BBall'!G95)-Search("/",'Paste #BBall'!G95)),Len(Right('Paste #BBall'!G95,Len('Paste #BBall'!G95)-Search("/",'Paste #BBall'!G95)))-1)</f>
        <v>9.9</v>
      </c>
      <c r="S95" s="153" t="str">
        <f>Left(Right('Paste #BBall'!H95,Len('Paste #BBall'!H95)-Search("/",'Paste #BBall'!H95)),Len(Right('Paste #BBall'!H95,Len('Paste #BBall'!H95)-Search("/",'Paste #BBall'!H95)))-1)</f>
        <v>2.8</v>
      </c>
      <c r="T95" s="53"/>
      <c r="U95" s="53"/>
      <c r="V95" s="53"/>
    </row>
    <row r="96">
      <c r="A96" s="33">
        <v>95.0</v>
      </c>
      <c r="B96" s="149" t="str">
        <f>'Paste #BBall'!B96</f>
        <v>Jonas Valanciunas</v>
      </c>
      <c r="C96" s="150" t="str">
        <f>'Paste #BBall'!C96</f>
        <v>C</v>
      </c>
      <c r="D96" s="150" t="str">
        <f>'Paste #BBall'!D96</f>
        <v>NO</v>
      </c>
      <c r="E96" s="151">
        <f>'Paste #BBall'!E96</f>
        <v>74</v>
      </c>
      <c r="F96" s="152">
        <f>'Paste #BBall'!F96</f>
        <v>25.4</v>
      </c>
      <c r="G96" s="153" t="str">
        <f>right(Left('Paste #BBall'!G96,Search("/",'Paste #BBall'!G96)-1),len(Left('Paste #BBall'!G96,Search("/",'Paste #BBall'!G96)-1))-search("(",Left('Paste #BBall'!G96,Search("/",'Paste #BBall'!G96)-1)))</f>
        <v>5.7</v>
      </c>
      <c r="H96" s="152">
        <f t="shared" si="1"/>
        <v>0.5428571429</v>
      </c>
      <c r="I96" s="152" t="str">
        <f>right(Left('Paste #BBall'!H96,Search("/",'Paste #BBall'!H96)-1),len(Left('Paste #BBall'!H96,Search("/",'Paste #BBall'!H96)-1))-search("(",Left('Paste #BBall'!H96,Search("/",'Paste #BBall'!H96)-1)))</f>
        <v>2.1</v>
      </c>
      <c r="J96" s="152">
        <f t="shared" si="2"/>
        <v>0.84</v>
      </c>
      <c r="K96" s="152">
        <f>'Paste #BBall'!I96</f>
        <v>0.6</v>
      </c>
      <c r="L96" s="152">
        <f>'Paste #BBall'!J96</f>
        <v>14.1</v>
      </c>
      <c r="M96" s="152">
        <f>'Paste #BBall'!K96</f>
        <v>9.9</v>
      </c>
      <c r="N96" s="152">
        <f>'Paste #BBall'!L96</f>
        <v>2</v>
      </c>
      <c r="O96" s="152">
        <f>'Paste #BBall'!M96</f>
        <v>0.4</v>
      </c>
      <c r="P96" s="152">
        <f>'Paste #BBall'!N96</f>
        <v>0.7</v>
      </c>
      <c r="Q96" s="152">
        <f>'Paste #BBall'!O96</f>
        <v>2</v>
      </c>
      <c r="R96" s="153" t="str">
        <f>Left(Right('Paste #BBall'!G96,Len('Paste #BBall'!G96)-Search("/",'Paste #BBall'!G96)),Len(Right('Paste #BBall'!G96,Len('Paste #BBall'!G96)-Search("/",'Paste #BBall'!G96)))-1)</f>
        <v>10.5</v>
      </c>
      <c r="S96" s="153" t="str">
        <f>Left(Right('Paste #BBall'!H96,Len('Paste #BBall'!H96)-Search("/",'Paste #BBall'!H96)),Len(Right('Paste #BBall'!H96,Len('Paste #BBall'!H96)-Search("/",'Paste #BBall'!H96)))-1)</f>
        <v>2.5</v>
      </c>
      <c r="T96" s="53"/>
      <c r="U96" s="53"/>
      <c r="V96" s="53"/>
    </row>
    <row r="97">
      <c r="A97" s="33">
        <v>96.0</v>
      </c>
      <c r="B97" s="149" t="str">
        <f>'Paste #BBall'!B97</f>
        <v>Robert Williams III</v>
      </c>
      <c r="C97" s="150" t="str">
        <f>'Paste #BBall'!C97</f>
        <v>C</v>
      </c>
      <c r="D97" s="150" t="str">
        <f>'Paste #BBall'!D97</f>
        <v>POR</v>
      </c>
      <c r="E97" s="151">
        <f>'Paste #BBall'!E97</f>
        <v>61</v>
      </c>
      <c r="F97" s="152">
        <f>'Paste #BBall'!F97</f>
        <v>23.4</v>
      </c>
      <c r="G97" s="153" t="str">
        <f>right(Left('Paste #BBall'!G97,Search("/",'Paste #BBall'!G97)-1),len(Left('Paste #BBall'!G97,Search("/",'Paste #BBall'!G97)-1))-search("(",Left('Paste #BBall'!G97,Search("/",'Paste #BBall'!G97)-1)))</f>
        <v>3.5</v>
      </c>
      <c r="H97" s="152">
        <f t="shared" si="1"/>
        <v>0.7142857143</v>
      </c>
      <c r="I97" s="152" t="str">
        <f>right(Left('Paste #BBall'!H97,Search("/",'Paste #BBall'!H97)-1),len(Left('Paste #BBall'!H97,Search("/",'Paste #BBall'!H97)-1))-search("(",Left('Paste #BBall'!H97,Search("/",'Paste #BBall'!H97)-1)))</f>
        <v>0.7</v>
      </c>
      <c r="J97" s="152">
        <f t="shared" si="2"/>
        <v>0.6363636364</v>
      </c>
      <c r="K97" s="152">
        <f>'Paste #BBall'!I97</f>
        <v>0</v>
      </c>
      <c r="L97" s="152">
        <f>'Paste #BBall'!J97</f>
        <v>7.6</v>
      </c>
      <c r="M97" s="152">
        <f>'Paste #BBall'!K97</f>
        <v>7.7</v>
      </c>
      <c r="N97" s="152">
        <f>'Paste #BBall'!L97</f>
        <v>2.1</v>
      </c>
      <c r="O97" s="152">
        <f>'Paste #BBall'!M97</f>
        <v>0.6</v>
      </c>
      <c r="P97" s="152">
        <f>'Paste #BBall'!N97</f>
        <v>1.4</v>
      </c>
      <c r="Q97" s="152">
        <f>'Paste #BBall'!O97</f>
        <v>0.9</v>
      </c>
      <c r="R97" s="153" t="str">
        <f>Left(Right('Paste #BBall'!G97,Len('Paste #BBall'!G97)-Search("/",'Paste #BBall'!G97)),Len(Right('Paste #BBall'!G97,Len('Paste #BBall'!G97)-Search("/",'Paste #BBall'!G97)))-1)</f>
        <v>4.9</v>
      </c>
      <c r="S97" s="153" t="str">
        <f>Left(Right('Paste #BBall'!H97,Len('Paste #BBall'!H97)-Search("/",'Paste #BBall'!H97)),Len(Right('Paste #BBall'!H97,Len('Paste #BBall'!H97)-Search("/",'Paste #BBall'!H97)))-1)</f>
        <v>1.1</v>
      </c>
      <c r="T97" s="53"/>
      <c r="U97" s="53"/>
      <c r="V97" s="53"/>
    </row>
    <row r="98">
      <c r="A98" s="33">
        <v>97.0</v>
      </c>
      <c r="B98" s="149" t="str">
        <f>'Paste #BBall'!B98</f>
        <v>Trey Murphy III</v>
      </c>
      <c r="C98" s="150" t="str">
        <f>'Paste #BBall'!C98</f>
        <v>SF,PF</v>
      </c>
      <c r="D98" s="150" t="str">
        <f>'Paste #BBall'!D98</f>
        <v>NO</v>
      </c>
      <c r="E98" s="151">
        <f>'Paste #BBall'!E98</f>
        <v>60</v>
      </c>
      <c r="F98" s="152">
        <f>'Paste #BBall'!F98</f>
        <v>30</v>
      </c>
      <c r="G98" s="153" t="str">
        <f>right(Left('Paste #BBall'!G98,Search("/",'Paste #BBall'!G98)-1),len(Left('Paste #BBall'!G98,Search("/",'Paste #BBall'!G98)-1))-search("(",Left('Paste #BBall'!G98,Search("/",'Paste #BBall'!G98)-1)))</f>
        <v>4.6</v>
      </c>
      <c r="H98" s="152">
        <f t="shared" si="1"/>
        <v>0.4646464646</v>
      </c>
      <c r="I98" s="152" t="str">
        <f>right(Left('Paste #BBall'!H98,Search("/",'Paste #BBall'!H98)-1),len(Left('Paste #BBall'!H98,Search("/",'Paste #BBall'!H98)-1))-search("(",Left('Paste #BBall'!H98,Search("/",'Paste #BBall'!H98)-1)))</f>
        <v>2.0</v>
      </c>
      <c r="J98" s="152">
        <f t="shared" si="2"/>
        <v>0.9090909091</v>
      </c>
      <c r="K98" s="152">
        <f>'Paste #BBall'!I98</f>
        <v>2.5</v>
      </c>
      <c r="L98" s="152">
        <f>'Paste #BBall'!J98</f>
        <v>13.6</v>
      </c>
      <c r="M98" s="152">
        <f>'Paste #BBall'!K98</f>
        <v>3.9</v>
      </c>
      <c r="N98" s="152">
        <f>'Paste #BBall'!L98</f>
        <v>1.4</v>
      </c>
      <c r="O98" s="152">
        <f>'Paste #BBall'!M98</f>
        <v>1</v>
      </c>
      <c r="P98" s="152">
        <f>'Paste #BBall'!N98</f>
        <v>0.5</v>
      </c>
      <c r="Q98" s="152">
        <f>'Paste #BBall'!O98</f>
        <v>0.7</v>
      </c>
      <c r="R98" s="153" t="str">
        <f>Left(Right('Paste #BBall'!G98,Len('Paste #BBall'!G98)-Search("/",'Paste #BBall'!G98)),Len(Right('Paste #BBall'!G98,Len('Paste #BBall'!G98)-Search("/",'Paste #BBall'!G98)))-1)</f>
        <v>9.9</v>
      </c>
      <c r="S98" s="153" t="str">
        <f>Left(Right('Paste #BBall'!H98,Len('Paste #BBall'!H98)-Search("/",'Paste #BBall'!H98)),Len(Right('Paste #BBall'!H98,Len('Paste #BBall'!H98)-Search("/",'Paste #BBall'!H98)))-1)</f>
        <v>2.2</v>
      </c>
      <c r="T98" s="53"/>
      <c r="U98" s="53"/>
      <c r="V98" s="53"/>
    </row>
    <row r="99">
      <c r="A99" s="33">
        <v>98.0</v>
      </c>
      <c r="B99" s="149" t="str">
        <f>'Paste #BBall'!B99</f>
        <v>Draymond Green</v>
      </c>
      <c r="C99" s="150" t="str">
        <f>'Paste #BBall'!C99</f>
        <v>PF,C</v>
      </c>
      <c r="D99" s="150" t="str">
        <f>'Paste #BBall'!D99</f>
        <v>GS</v>
      </c>
      <c r="E99" s="151">
        <f>'Paste #BBall'!E99</f>
        <v>55</v>
      </c>
      <c r="F99" s="152">
        <f>'Paste #BBall'!F99</f>
        <v>31.3</v>
      </c>
      <c r="G99" s="153" t="str">
        <f>right(Left('Paste #BBall'!G99,Search("/",'Paste #BBall'!G99)-1),len(Left('Paste #BBall'!G99,Search("/",'Paste #BBall'!G99)-1))-search("(",Left('Paste #BBall'!G99,Search("/",'Paste #BBall'!G99)-1)))</f>
        <v>3.4</v>
      </c>
      <c r="H99" s="152">
        <f t="shared" si="1"/>
        <v>0.53125</v>
      </c>
      <c r="I99" s="152" t="str">
        <f>right(Left('Paste #BBall'!H99,Search("/",'Paste #BBall'!H99)-1),len(Left('Paste #BBall'!H99,Search("/",'Paste #BBall'!H99)-1))-search("(",Left('Paste #BBall'!H99,Search("/",'Paste #BBall'!H99)-1)))</f>
        <v>1.2</v>
      </c>
      <c r="J99" s="152">
        <f t="shared" si="2"/>
        <v>0.7058823529</v>
      </c>
      <c r="K99" s="152">
        <f>'Paste #BBall'!I99</f>
        <v>0.5</v>
      </c>
      <c r="L99" s="152">
        <f>'Paste #BBall'!J99</f>
        <v>8.4</v>
      </c>
      <c r="M99" s="152">
        <f>'Paste #BBall'!K99</f>
        <v>7.5</v>
      </c>
      <c r="N99" s="152">
        <f>'Paste #BBall'!L99</f>
        <v>6</v>
      </c>
      <c r="O99" s="152">
        <f>'Paste #BBall'!M99</f>
        <v>1</v>
      </c>
      <c r="P99" s="152">
        <f>'Paste #BBall'!N99</f>
        <v>0.7</v>
      </c>
      <c r="Q99" s="152">
        <f>'Paste #BBall'!O99</f>
        <v>3</v>
      </c>
      <c r="R99" s="153" t="str">
        <f>Left(Right('Paste #BBall'!G99,Len('Paste #BBall'!G99)-Search("/",'Paste #BBall'!G99)),Len(Right('Paste #BBall'!G99,Len('Paste #BBall'!G99)-Search("/",'Paste #BBall'!G99)))-1)</f>
        <v>6.4</v>
      </c>
      <c r="S99" s="153" t="str">
        <f>Left(Right('Paste #BBall'!H99,Len('Paste #BBall'!H99)-Search("/",'Paste #BBall'!H99)),Len(Right('Paste #BBall'!H99,Len('Paste #BBall'!H99)-Search("/",'Paste #BBall'!H99)))-1)</f>
        <v>1.7</v>
      </c>
      <c r="T99" s="53"/>
      <c r="U99" s="53"/>
      <c r="V99" s="53"/>
    </row>
    <row r="100">
      <c r="A100" s="33">
        <v>99.0</v>
      </c>
      <c r="B100" s="149" t="str">
        <f>'Paste #BBall'!B100</f>
        <v>Michael Porter Jr.</v>
      </c>
      <c r="C100" s="150" t="str">
        <f>'Paste #BBall'!C100</f>
        <v>SF</v>
      </c>
      <c r="D100" s="150" t="str">
        <f>'Paste #BBall'!D100</f>
        <v>DEN</v>
      </c>
      <c r="E100" s="151">
        <f>'Paste #BBall'!E100</f>
        <v>65</v>
      </c>
      <c r="F100" s="152">
        <f>'Paste #BBall'!F100</f>
        <v>30.2</v>
      </c>
      <c r="G100" s="153" t="str">
        <f>right(Left('Paste #BBall'!G100,Search("/",'Paste #BBall'!G100)-1),len(Left('Paste #BBall'!G100,Search("/",'Paste #BBall'!G100)-1))-search("(",Left('Paste #BBall'!G100,Search("/",'Paste #BBall'!G100)-1)))</f>
        <v>6.4</v>
      </c>
      <c r="H100" s="152">
        <f t="shared" si="1"/>
        <v>0.4705882353</v>
      </c>
      <c r="I100" s="152" t="str">
        <f>right(Left('Paste #BBall'!H100,Search("/",'Paste #BBall'!H100)-1),len(Left('Paste #BBall'!H100,Search("/",'Paste #BBall'!H100)-1))-search("(",Left('Paste #BBall'!H100,Search("/",'Paste #BBall'!H100)-1)))</f>
        <v>1.5</v>
      </c>
      <c r="J100" s="152">
        <f t="shared" si="2"/>
        <v>0.7894736842</v>
      </c>
      <c r="K100" s="152">
        <f>'Paste #BBall'!I100</f>
        <v>2.9</v>
      </c>
      <c r="L100" s="152">
        <f>'Paste #BBall'!J100</f>
        <v>17.3</v>
      </c>
      <c r="M100" s="152">
        <f>'Paste #BBall'!K100</f>
        <v>5.9</v>
      </c>
      <c r="N100" s="152">
        <f>'Paste #BBall'!L100</f>
        <v>1.2</v>
      </c>
      <c r="O100" s="152">
        <f>'Paste #BBall'!M100</f>
        <v>0.7</v>
      </c>
      <c r="P100" s="152">
        <f>'Paste #BBall'!N100</f>
        <v>0.5</v>
      </c>
      <c r="Q100" s="152">
        <f>'Paste #BBall'!O100</f>
        <v>1.2</v>
      </c>
      <c r="R100" s="153" t="str">
        <f>Left(Right('Paste #BBall'!G100,Len('Paste #BBall'!G100)-Search("/",'Paste #BBall'!G100)),Len(Right('Paste #BBall'!G100,Len('Paste #BBall'!G100)-Search("/",'Paste #BBall'!G100)))-1)</f>
        <v>13.6</v>
      </c>
      <c r="S100" s="153" t="str">
        <f>Left(Right('Paste #BBall'!H100,Len('Paste #BBall'!H100)-Search("/",'Paste #BBall'!H100)),Len(Right('Paste #BBall'!H100,Len('Paste #BBall'!H100)-Search("/",'Paste #BBall'!H100)))-1)</f>
        <v>1.9</v>
      </c>
      <c r="T100" s="53"/>
      <c r="U100" s="53"/>
      <c r="V100" s="53"/>
    </row>
    <row r="101">
      <c r="A101" s="33">
        <v>100.0</v>
      </c>
      <c r="B101" s="149" t="str">
        <f>'Paste #BBall'!B101</f>
        <v>Mitchell Robinson</v>
      </c>
      <c r="C101" s="150" t="str">
        <f>'Paste #BBall'!C101</f>
        <v>C</v>
      </c>
      <c r="D101" s="150" t="str">
        <f>'Paste #BBall'!D101</f>
        <v>NY</v>
      </c>
      <c r="E101" s="151">
        <f>'Paste #BBall'!E101</f>
        <v>68</v>
      </c>
      <c r="F101" s="152">
        <f>'Paste #BBall'!F101</f>
        <v>26.9</v>
      </c>
      <c r="G101" s="153" t="str">
        <f>right(Left('Paste #BBall'!G101,Search("/",'Paste #BBall'!G101)-1),len(Left('Paste #BBall'!G101,Search("/",'Paste #BBall'!G101)-1))-search("(",Left('Paste #BBall'!G101,Search("/",'Paste #BBall'!G101)-1)))</f>
        <v>3.6</v>
      </c>
      <c r="H101" s="152">
        <f t="shared" si="1"/>
        <v>0.72</v>
      </c>
      <c r="I101" s="152" t="str">
        <f>right(Left('Paste #BBall'!H101,Search("/",'Paste #BBall'!H101)-1),len(Left('Paste #BBall'!H101,Search("/",'Paste #BBall'!H101)-1))-search("(",Left('Paste #BBall'!H101,Search("/",'Paste #BBall'!H101)-1)))</f>
        <v>1.2</v>
      </c>
      <c r="J101" s="152">
        <f t="shared" si="2"/>
        <v>0.5</v>
      </c>
      <c r="K101" s="152">
        <f>'Paste #BBall'!I101</f>
        <v>0</v>
      </c>
      <c r="L101" s="152">
        <f>'Paste #BBall'!J101</f>
        <v>8.3</v>
      </c>
      <c r="M101" s="152">
        <f>'Paste #BBall'!K101</f>
        <v>9.3</v>
      </c>
      <c r="N101" s="152">
        <f>'Paste #BBall'!L101</f>
        <v>0.7</v>
      </c>
      <c r="O101" s="152">
        <f>'Paste #BBall'!M101</f>
        <v>0.9</v>
      </c>
      <c r="P101" s="152">
        <f>'Paste #BBall'!N101</f>
        <v>1.9</v>
      </c>
      <c r="Q101" s="152">
        <f>'Paste #BBall'!O101</f>
        <v>0.8</v>
      </c>
      <c r="R101" s="153" t="str">
        <f>Left(Right('Paste #BBall'!G101,Len('Paste #BBall'!G101)-Search("/",'Paste #BBall'!G101)),Len(Right('Paste #BBall'!G101,Len('Paste #BBall'!G101)-Search("/",'Paste #BBall'!G101)))-1)</f>
        <v>5.0</v>
      </c>
      <c r="S101" s="153" t="str">
        <f>Left(Right('Paste #BBall'!H101,Len('Paste #BBall'!H101)-Search("/",'Paste #BBall'!H101)),Len(Right('Paste #BBall'!H101,Len('Paste #BBall'!H101)-Search("/",'Paste #BBall'!H101)))-1)</f>
        <v>2.4</v>
      </c>
      <c r="T101" s="53"/>
      <c r="U101" s="53"/>
      <c r="V101" s="53"/>
    </row>
    <row r="102">
      <c r="A102" s="33">
        <v>101.0</v>
      </c>
      <c r="B102" s="149" t="str">
        <f>'Paste #BBall'!B102</f>
        <v>Paolo Banchero</v>
      </c>
      <c r="C102" s="150" t="str">
        <f>'Paste #BBall'!C102</f>
        <v>SF,PF</v>
      </c>
      <c r="D102" s="150" t="str">
        <f>'Paste #BBall'!D102</f>
        <v>ORL</v>
      </c>
      <c r="E102" s="151">
        <f>'Paste #BBall'!E102</f>
        <v>72</v>
      </c>
      <c r="F102" s="152">
        <f>'Paste #BBall'!F102</f>
        <v>34</v>
      </c>
      <c r="G102" s="153" t="str">
        <f>right(Left('Paste #BBall'!G102,Search("/",'Paste #BBall'!G102)-1),len(Left('Paste #BBall'!G102,Search("/",'Paste #BBall'!G102)-1))-search("(",Left('Paste #BBall'!G102,Search("/",'Paste #BBall'!G102)-1)))</f>
        <v>7.3</v>
      </c>
      <c r="H102" s="152">
        <f t="shared" si="1"/>
        <v>0.4424242424</v>
      </c>
      <c r="I102" s="152" t="str">
        <f>right(Left('Paste #BBall'!H102,Search("/",'Paste #BBall'!H102)-1),len(Left('Paste #BBall'!H102,Search("/",'Paste #BBall'!H102)-1))-search("(",Left('Paste #BBall'!H102,Search("/",'Paste #BBall'!H102)-1)))</f>
        <v>5.6</v>
      </c>
      <c r="J102" s="152">
        <f t="shared" si="2"/>
        <v>0.7466666667</v>
      </c>
      <c r="K102" s="152">
        <f>'Paste #BBall'!I102</f>
        <v>1.3</v>
      </c>
      <c r="L102" s="152">
        <f>'Paste #BBall'!J102</f>
        <v>21.5</v>
      </c>
      <c r="M102" s="152">
        <f>'Paste #BBall'!K102</f>
        <v>7.5</v>
      </c>
      <c r="N102" s="152">
        <f>'Paste #BBall'!L102</f>
        <v>4</v>
      </c>
      <c r="O102" s="152">
        <f>'Paste #BBall'!M102</f>
        <v>1</v>
      </c>
      <c r="P102" s="152">
        <f>'Paste #BBall'!N102</f>
        <v>0.7</v>
      </c>
      <c r="Q102" s="152">
        <f>'Paste #BBall'!O102</f>
        <v>2.8</v>
      </c>
      <c r="R102" s="153" t="str">
        <f>Left(Right('Paste #BBall'!G102,Len('Paste #BBall'!G102)-Search("/",'Paste #BBall'!G102)),Len(Right('Paste #BBall'!G102,Len('Paste #BBall'!G102)-Search("/",'Paste #BBall'!G102)))-1)</f>
        <v>16.5</v>
      </c>
      <c r="S102" s="153" t="str">
        <f>Left(Right('Paste #BBall'!H102,Len('Paste #BBall'!H102)-Search("/",'Paste #BBall'!H102)),Len(Right('Paste #BBall'!H102,Len('Paste #BBall'!H102)-Search("/",'Paste #BBall'!H102)))-1)</f>
        <v>7.5</v>
      </c>
      <c r="T102" s="53"/>
      <c r="U102" s="53"/>
      <c r="V102" s="53"/>
    </row>
    <row r="103">
      <c r="A103" s="33">
        <v>102.0</v>
      </c>
      <c r="B103" s="149" t="str">
        <f>'Paste #BBall'!B103</f>
        <v>Jusuf Nurkic</v>
      </c>
      <c r="C103" s="150" t="str">
        <f>'Paste #BBall'!C103</f>
        <v>C</v>
      </c>
      <c r="D103" s="150" t="str">
        <f>'Paste #BBall'!D103</f>
        <v>PHO</v>
      </c>
      <c r="E103" s="151">
        <f>'Paste #BBall'!E103</f>
        <v>54</v>
      </c>
      <c r="F103" s="152">
        <f>'Paste #BBall'!F103</f>
        <v>28</v>
      </c>
      <c r="G103" s="153" t="str">
        <f>right(Left('Paste #BBall'!G103,Search("/",'Paste #BBall'!G103)-1),len(Left('Paste #BBall'!G103,Search("/",'Paste #BBall'!G103)-1))-search("(",Left('Paste #BBall'!G103,Search("/",'Paste #BBall'!G103)-1)))</f>
        <v>5.1</v>
      </c>
      <c r="H103" s="152">
        <f t="shared" si="1"/>
        <v>0.5425531915</v>
      </c>
      <c r="I103" s="152" t="str">
        <f>right(Left('Paste #BBall'!H103,Search("/",'Paste #BBall'!H103)-1),len(Left('Paste #BBall'!H103,Search("/",'Paste #BBall'!H103)-1))-search("(",Left('Paste #BBall'!H103,Search("/",'Paste #BBall'!H103)-1)))</f>
        <v>2.5</v>
      </c>
      <c r="J103" s="152">
        <f t="shared" si="2"/>
        <v>0.6944444444</v>
      </c>
      <c r="K103" s="152">
        <f>'Paste #BBall'!I103</f>
        <v>0.6</v>
      </c>
      <c r="L103" s="152">
        <f>'Paste #BBall'!J103</f>
        <v>13.2</v>
      </c>
      <c r="M103" s="152">
        <f>'Paste #BBall'!K103</f>
        <v>9.1</v>
      </c>
      <c r="N103" s="152">
        <f>'Paste #BBall'!L103</f>
        <v>2.5</v>
      </c>
      <c r="O103" s="152">
        <f>'Paste #BBall'!M103</f>
        <v>0.8</v>
      </c>
      <c r="P103" s="152">
        <f>'Paste #BBall'!N103</f>
        <v>0.9</v>
      </c>
      <c r="Q103" s="152">
        <f>'Paste #BBall'!O103</f>
        <v>1.8</v>
      </c>
      <c r="R103" s="153" t="str">
        <f>Left(Right('Paste #BBall'!G103,Len('Paste #BBall'!G103)-Search("/",'Paste #BBall'!G103)),Len(Right('Paste #BBall'!G103,Len('Paste #BBall'!G103)-Search("/",'Paste #BBall'!G103)))-1)</f>
        <v>9.4</v>
      </c>
      <c r="S103" s="153" t="str">
        <f>Left(Right('Paste #BBall'!H103,Len('Paste #BBall'!H103)-Search("/",'Paste #BBall'!H103)),Len(Right('Paste #BBall'!H103,Len('Paste #BBall'!H103)-Search("/",'Paste #BBall'!H103)))-1)</f>
        <v>3.6</v>
      </c>
      <c r="T103" s="53"/>
      <c r="U103" s="53"/>
      <c r="V103" s="53"/>
    </row>
    <row r="104">
      <c r="A104" s="33">
        <v>103.0</v>
      </c>
      <c r="B104" s="149" t="str">
        <f>'Paste #BBall'!B104</f>
        <v>Al Horford</v>
      </c>
      <c r="C104" s="150" t="str">
        <f>'Paste #BBall'!C104</f>
        <v>PF,C</v>
      </c>
      <c r="D104" s="150" t="str">
        <f>'Paste #BBall'!D104</f>
        <v>BOS</v>
      </c>
      <c r="E104" s="151">
        <f>'Paste #BBall'!E104</f>
        <v>58</v>
      </c>
      <c r="F104" s="152">
        <f>'Paste #BBall'!F104</f>
        <v>27.8</v>
      </c>
      <c r="G104" s="153" t="str">
        <f>right(Left('Paste #BBall'!G104,Search("/",'Paste #BBall'!G104)-1),len(Left('Paste #BBall'!G104,Search("/",'Paste #BBall'!G104)-1))-search("(",Left('Paste #BBall'!G104,Search("/",'Paste #BBall'!G104)-1)))</f>
        <v>3.5</v>
      </c>
      <c r="H104" s="152">
        <f t="shared" si="1"/>
        <v>0.4666666667</v>
      </c>
      <c r="I104" s="152" t="str">
        <f>right(Left('Paste #BBall'!H104,Search("/",'Paste #BBall'!H104)-1),len(Left('Paste #BBall'!H104,Search("/",'Paste #BBall'!H104)-1))-search("(",Left('Paste #BBall'!H104,Search("/",'Paste #BBall'!H104)-1)))</f>
        <v>0.6</v>
      </c>
      <c r="J104" s="152">
        <f t="shared" si="2"/>
        <v>0.75</v>
      </c>
      <c r="K104" s="152">
        <f>'Paste #BBall'!I104</f>
        <v>1.7</v>
      </c>
      <c r="L104" s="152">
        <f>'Paste #BBall'!J104</f>
        <v>9.4</v>
      </c>
      <c r="M104" s="152">
        <f>'Paste #BBall'!K104</f>
        <v>6.6</v>
      </c>
      <c r="N104" s="152">
        <f>'Paste #BBall'!L104</f>
        <v>3</v>
      </c>
      <c r="O104" s="152">
        <f>'Paste #BBall'!M104</f>
        <v>0.6</v>
      </c>
      <c r="P104" s="152">
        <f>'Paste #BBall'!N104</f>
        <v>1.1</v>
      </c>
      <c r="Q104" s="152">
        <f>'Paste #BBall'!O104</f>
        <v>0.7</v>
      </c>
      <c r="R104" s="153" t="str">
        <f>Left(Right('Paste #BBall'!G104,Len('Paste #BBall'!G104)-Search("/",'Paste #BBall'!G104)),Len(Right('Paste #BBall'!G104,Len('Paste #BBall'!G104)-Search("/",'Paste #BBall'!G104)))-1)</f>
        <v>7.5</v>
      </c>
      <c r="S104" s="153" t="str">
        <f>Left(Right('Paste #BBall'!H104,Len('Paste #BBall'!H104)-Search("/",'Paste #BBall'!H104)),Len(Right('Paste #BBall'!H104,Len('Paste #BBall'!H104)-Search("/",'Paste #BBall'!H104)))-1)</f>
        <v>0.8</v>
      </c>
      <c r="T104" s="53"/>
      <c r="U104" s="53"/>
      <c r="V104" s="53"/>
    </row>
    <row r="105">
      <c r="A105" s="33">
        <v>104.0</v>
      </c>
      <c r="B105" s="149" t="str">
        <f>'Paste #BBall'!B105</f>
        <v>Bojan Bogdanovic</v>
      </c>
      <c r="C105" s="150" t="str">
        <f>'Paste #BBall'!C105</f>
        <v>SG,SF</v>
      </c>
      <c r="D105" s="150" t="str">
        <f>'Paste #BBall'!D105</f>
        <v>DET</v>
      </c>
      <c r="E105" s="151">
        <f>'Paste #BBall'!E105</f>
        <v>68</v>
      </c>
      <c r="F105" s="152">
        <f>'Paste #BBall'!F105</f>
        <v>31.4</v>
      </c>
      <c r="G105" s="153" t="str">
        <f>right(Left('Paste #BBall'!G105,Search("/",'Paste #BBall'!G105)-1),len(Left('Paste #BBall'!G105,Search("/",'Paste #BBall'!G105)-1))-search("(",Left('Paste #BBall'!G105,Search("/",'Paste #BBall'!G105)-1)))</f>
        <v>6.7</v>
      </c>
      <c r="H105" s="152">
        <f t="shared" si="1"/>
        <v>0.4685314685</v>
      </c>
      <c r="I105" s="152" t="str">
        <f>right(Left('Paste #BBall'!H105,Search("/",'Paste #BBall'!H105)-1),len(Left('Paste #BBall'!H105,Search("/",'Paste #BBall'!H105)-1))-search("(",Left('Paste #BBall'!H105,Search("/",'Paste #BBall'!H105)-1)))</f>
        <v>3.9</v>
      </c>
      <c r="J105" s="152">
        <f t="shared" si="2"/>
        <v>0.8863636364</v>
      </c>
      <c r="K105" s="152">
        <f>'Paste #BBall'!I105</f>
        <v>2.6</v>
      </c>
      <c r="L105" s="152">
        <f>'Paste #BBall'!J105</f>
        <v>19.9</v>
      </c>
      <c r="M105" s="152">
        <f>'Paste #BBall'!K105</f>
        <v>4.1</v>
      </c>
      <c r="N105" s="152">
        <f>'Paste #BBall'!L105</f>
        <v>2.1</v>
      </c>
      <c r="O105" s="152">
        <f>'Paste #BBall'!M105</f>
        <v>0.5</v>
      </c>
      <c r="P105" s="152">
        <f>'Paste #BBall'!N105</f>
        <v>0.1</v>
      </c>
      <c r="Q105" s="152">
        <f>'Paste #BBall'!O105</f>
        <v>2</v>
      </c>
      <c r="R105" s="153" t="str">
        <f>Left(Right('Paste #BBall'!G105,Len('Paste #BBall'!G105)-Search("/",'Paste #BBall'!G105)),Len(Right('Paste #BBall'!G105,Len('Paste #BBall'!G105)-Search("/",'Paste #BBall'!G105)))-1)</f>
        <v>14.3</v>
      </c>
      <c r="S105" s="153" t="str">
        <f>Left(Right('Paste #BBall'!H105,Len('Paste #BBall'!H105)-Search("/",'Paste #BBall'!H105)),Len(Right('Paste #BBall'!H105,Len('Paste #BBall'!H105)-Search("/",'Paste #BBall'!H105)))-1)</f>
        <v>4.4</v>
      </c>
      <c r="T105" s="53"/>
      <c r="U105" s="53"/>
      <c r="V105" s="53"/>
    </row>
    <row r="106">
      <c r="A106" s="33">
        <v>105.0</v>
      </c>
      <c r="B106" s="149" t="str">
        <f>'Paste #BBall'!B106</f>
        <v>Buddy Hield</v>
      </c>
      <c r="C106" s="150" t="str">
        <f>'Paste #BBall'!C106</f>
        <v>SG,SF</v>
      </c>
      <c r="D106" s="150" t="str">
        <f>'Paste #BBall'!D106</f>
        <v>IND</v>
      </c>
      <c r="E106" s="151">
        <f>'Paste #BBall'!E106</f>
        <v>76</v>
      </c>
      <c r="F106" s="152">
        <f>'Paste #BBall'!F106</f>
        <v>28</v>
      </c>
      <c r="G106" s="153" t="str">
        <f>right(Left('Paste #BBall'!G106,Search("/",'Paste #BBall'!G106)-1),len(Left('Paste #BBall'!G106,Search("/",'Paste #BBall'!G106)-1))-search("(",Left('Paste #BBall'!G106,Search("/",'Paste #BBall'!G106)-1)))</f>
        <v>5.4</v>
      </c>
      <c r="H106" s="152">
        <f t="shared" si="1"/>
        <v>0.4462809917</v>
      </c>
      <c r="I106" s="152" t="str">
        <f>right(Left('Paste #BBall'!H106,Search("/",'Paste #BBall'!H106)-1),len(Left('Paste #BBall'!H106,Search("/",'Paste #BBall'!H106)-1))-search("(",Left('Paste #BBall'!H106,Search("/",'Paste #BBall'!H106)-1)))</f>
        <v>1.2</v>
      </c>
      <c r="J106" s="152">
        <f t="shared" si="2"/>
        <v>0.8</v>
      </c>
      <c r="K106" s="152">
        <f>'Paste #BBall'!I106</f>
        <v>3.1</v>
      </c>
      <c r="L106" s="152">
        <f>'Paste #BBall'!J106</f>
        <v>15.2</v>
      </c>
      <c r="M106" s="152">
        <f>'Paste #BBall'!K106</f>
        <v>4.3</v>
      </c>
      <c r="N106" s="152">
        <f>'Paste #BBall'!L106</f>
        <v>2.6</v>
      </c>
      <c r="O106" s="152">
        <f>'Paste #BBall'!M106</f>
        <v>0.9</v>
      </c>
      <c r="P106" s="152">
        <f>'Paste #BBall'!N106</f>
        <v>0.3</v>
      </c>
      <c r="Q106" s="152">
        <f>'Paste #BBall'!O106</f>
        <v>1.7</v>
      </c>
      <c r="R106" s="153" t="str">
        <f>Left(Right('Paste #BBall'!G106,Len('Paste #BBall'!G106)-Search("/",'Paste #BBall'!G106)),Len(Right('Paste #BBall'!G106,Len('Paste #BBall'!G106)-Search("/",'Paste #BBall'!G106)))-1)</f>
        <v>12.1</v>
      </c>
      <c r="S106" s="153" t="str">
        <f>Left(Right('Paste #BBall'!H106,Len('Paste #BBall'!H106)-Search("/",'Paste #BBall'!H106)),Len(Right('Paste #BBall'!H106,Len('Paste #BBall'!H106)-Search("/",'Paste #BBall'!H106)))-1)</f>
        <v>1.5</v>
      </c>
      <c r="T106" s="53"/>
      <c r="U106" s="53"/>
      <c r="V106" s="53"/>
    </row>
    <row r="107">
      <c r="A107" s="33">
        <v>106.0</v>
      </c>
      <c r="B107" s="149" t="str">
        <f>'Paste #BBall'!B107</f>
        <v>Keegan Murray</v>
      </c>
      <c r="C107" s="150" t="str">
        <f>'Paste #BBall'!C107</f>
        <v>SF,PF</v>
      </c>
      <c r="D107" s="150" t="str">
        <f>'Paste #BBall'!D107</f>
        <v>SAC</v>
      </c>
      <c r="E107" s="151">
        <f>'Paste #BBall'!E107</f>
        <v>78</v>
      </c>
      <c r="F107" s="152">
        <f>'Paste #BBall'!F107</f>
        <v>31</v>
      </c>
      <c r="G107" s="153" t="str">
        <f>right(Left('Paste #BBall'!G107,Search("/",'Paste #BBall'!G107)-1),len(Left('Paste #BBall'!G107,Search("/",'Paste #BBall'!G107)-1))-search("(",Left('Paste #BBall'!G107,Search("/",'Paste #BBall'!G107)-1)))</f>
        <v>5.1</v>
      </c>
      <c r="H107" s="152">
        <f t="shared" si="1"/>
        <v>0.4636363636</v>
      </c>
      <c r="I107" s="152" t="str">
        <f>right(Left('Paste #BBall'!H107,Search("/",'Paste #BBall'!H107)-1),len(Left('Paste #BBall'!H107,Search("/",'Paste #BBall'!H107)-1))-search("(",Left('Paste #BBall'!H107,Search("/",'Paste #BBall'!H107)-1)))</f>
        <v>1.1</v>
      </c>
      <c r="J107" s="152">
        <f t="shared" si="2"/>
        <v>0.7857142857</v>
      </c>
      <c r="K107" s="152">
        <f>'Paste #BBall'!I107</f>
        <v>2.7</v>
      </c>
      <c r="L107" s="152">
        <f>'Paste #BBall'!J107</f>
        <v>14</v>
      </c>
      <c r="M107" s="152">
        <f>'Paste #BBall'!K107</f>
        <v>4.9</v>
      </c>
      <c r="N107" s="152">
        <f>'Paste #BBall'!L107</f>
        <v>1.3</v>
      </c>
      <c r="O107" s="152">
        <f>'Paste #BBall'!M107</f>
        <v>0.9</v>
      </c>
      <c r="P107" s="152">
        <f>'Paste #BBall'!N107</f>
        <v>0.6</v>
      </c>
      <c r="Q107" s="152">
        <f>'Paste #BBall'!O107</f>
        <v>0.9</v>
      </c>
      <c r="R107" s="153" t="str">
        <f>Left(Right('Paste #BBall'!G107,Len('Paste #BBall'!G107)-Search("/",'Paste #BBall'!G107)),Len(Right('Paste #BBall'!G107,Len('Paste #BBall'!G107)-Search("/",'Paste #BBall'!G107)))-1)</f>
        <v>11.0</v>
      </c>
      <c r="S107" s="153" t="str">
        <f>Left(Right('Paste #BBall'!H107,Len('Paste #BBall'!H107)-Search("/",'Paste #BBall'!H107)),Len(Right('Paste #BBall'!H107,Len('Paste #BBall'!H107)-Search("/",'Paste #BBall'!H107)))-1)</f>
        <v>1.4</v>
      </c>
      <c r="T107" s="53"/>
      <c r="U107" s="53"/>
      <c r="V107" s="53"/>
    </row>
    <row r="108">
      <c r="A108" s="33">
        <v>107.0</v>
      </c>
      <c r="B108" s="149" t="str">
        <f>'Paste #BBall'!B108</f>
        <v>Jalen Duren</v>
      </c>
      <c r="C108" s="150" t="str">
        <f>'Paste #BBall'!C108</f>
        <v>C</v>
      </c>
      <c r="D108" s="150" t="str">
        <f>'Paste #BBall'!D108</f>
        <v>DET</v>
      </c>
      <c r="E108" s="151">
        <f>'Paste #BBall'!E108</f>
        <v>70</v>
      </c>
      <c r="F108" s="152">
        <f>'Paste #BBall'!F108</f>
        <v>28.2</v>
      </c>
      <c r="G108" s="153" t="str">
        <f>right(Left('Paste #BBall'!G108,Search("/",'Paste #BBall'!G108)-1),len(Left('Paste #BBall'!G108,Search("/",'Paste #BBall'!G108)-1))-search("(",Left('Paste #BBall'!G108,Search("/",'Paste #BBall'!G108)-1)))</f>
        <v>4.4</v>
      </c>
      <c r="H108" s="152">
        <f t="shared" si="1"/>
        <v>0.6470588235</v>
      </c>
      <c r="I108" s="152" t="str">
        <f>right(Left('Paste #BBall'!H108,Search("/",'Paste #BBall'!H108)-1),len(Left('Paste #BBall'!H108,Search("/",'Paste #BBall'!H108)-1))-search("(",Left('Paste #BBall'!H108,Search("/",'Paste #BBall'!H108)-1)))</f>
        <v>1.6</v>
      </c>
      <c r="J108" s="152">
        <f t="shared" si="2"/>
        <v>0.5925925926</v>
      </c>
      <c r="K108" s="152">
        <f>'Paste #BBall'!I108</f>
        <v>0</v>
      </c>
      <c r="L108" s="152">
        <f>'Paste #BBall'!J108</f>
        <v>10.4</v>
      </c>
      <c r="M108" s="152">
        <f>'Paste #BBall'!K108</f>
        <v>10.1</v>
      </c>
      <c r="N108" s="152">
        <f>'Paste #BBall'!L108</f>
        <v>1.3</v>
      </c>
      <c r="O108" s="152">
        <f>'Paste #BBall'!M108</f>
        <v>0.8</v>
      </c>
      <c r="P108" s="152">
        <f>'Paste #BBall'!N108</f>
        <v>1.2</v>
      </c>
      <c r="Q108" s="152">
        <f>'Paste #BBall'!O108</f>
        <v>1.6</v>
      </c>
      <c r="R108" s="153" t="str">
        <f>Left(Right('Paste #BBall'!G108,Len('Paste #BBall'!G108)-Search("/",'Paste #BBall'!G108)),Len(Right('Paste #BBall'!G108,Len('Paste #BBall'!G108)-Search("/",'Paste #BBall'!G108)))-1)</f>
        <v>6.8</v>
      </c>
      <c r="S108" s="153" t="str">
        <f>Left(Right('Paste #BBall'!H108,Len('Paste #BBall'!H108)-Search("/",'Paste #BBall'!H108)),Len(Right('Paste #BBall'!H108,Len('Paste #BBall'!H108)-Search("/",'Paste #BBall'!H108)))-1)</f>
        <v>2.7</v>
      </c>
      <c r="T108" s="53"/>
      <c r="U108" s="53"/>
      <c r="V108" s="53"/>
    </row>
    <row r="109">
      <c r="A109" s="33">
        <v>108.0</v>
      </c>
      <c r="B109" s="149" t="str">
        <f>'Paste #BBall'!B109</f>
        <v>Ivica Zubac</v>
      </c>
      <c r="C109" s="150" t="str">
        <f>'Paste #BBall'!C109</f>
        <v>C</v>
      </c>
      <c r="D109" s="150" t="str">
        <f>'Paste #BBall'!D109</f>
        <v>LAC</v>
      </c>
      <c r="E109" s="151">
        <f>'Paste #BBall'!E109</f>
        <v>76</v>
      </c>
      <c r="F109" s="152">
        <f>'Paste #BBall'!F109</f>
        <v>27.5</v>
      </c>
      <c r="G109" s="153" t="str">
        <f>right(Left('Paste #BBall'!G109,Search("/",'Paste #BBall'!G109)-1),len(Left('Paste #BBall'!G109,Search("/",'Paste #BBall'!G109)-1))-search("(",Left('Paste #BBall'!G109,Search("/",'Paste #BBall'!G109)-1)))</f>
        <v>4.4</v>
      </c>
      <c r="H109" s="152">
        <f t="shared" si="1"/>
        <v>0.6285714286</v>
      </c>
      <c r="I109" s="152" t="str">
        <f>right(Left('Paste #BBall'!H109,Search("/",'Paste #BBall'!H109)-1),len(Left('Paste #BBall'!H109,Search("/",'Paste #BBall'!H109)-1))-search("(",Left('Paste #BBall'!H109,Search("/",'Paste #BBall'!H109)-1)))</f>
        <v>2.3</v>
      </c>
      <c r="J109" s="152">
        <f t="shared" si="2"/>
        <v>0.71875</v>
      </c>
      <c r="K109" s="152">
        <f>'Paste #BBall'!I109</f>
        <v>0</v>
      </c>
      <c r="L109" s="152">
        <f>'Paste #BBall'!J109</f>
        <v>11.1</v>
      </c>
      <c r="M109" s="152">
        <f>'Paste #BBall'!K109</f>
        <v>9.7</v>
      </c>
      <c r="N109" s="152">
        <f>'Paste #BBall'!L109</f>
        <v>1.4</v>
      </c>
      <c r="O109" s="152">
        <f>'Paste #BBall'!M109</f>
        <v>0.5</v>
      </c>
      <c r="P109" s="152">
        <f>'Paste #BBall'!N109</f>
        <v>1.2</v>
      </c>
      <c r="Q109" s="152">
        <f>'Paste #BBall'!O109</f>
        <v>1.6</v>
      </c>
      <c r="R109" s="153" t="str">
        <f>Left(Right('Paste #BBall'!G109,Len('Paste #BBall'!G109)-Search("/",'Paste #BBall'!G109)),Len(Right('Paste #BBall'!G109,Len('Paste #BBall'!G109)-Search("/",'Paste #BBall'!G109)))-1)</f>
        <v>7.0</v>
      </c>
      <c r="S109" s="153" t="str">
        <f>Left(Right('Paste #BBall'!H109,Len('Paste #BBall'!H109)-Search("/",'Paste #BBall'!H109)),Len(Right('Paste #BBall'!H109,Len('Paste #BBall'!H109)-Search("/",'Paste #BBall'!H109)))-1)</f>
        <v>3.2</v>
      </c>
      <c r="T109" s="53"/>
      <c r="U109" s="53"/>
      <c r="V109" s="53"/>
    </row>
    <row r="110">
      <c r="A110" s="33">
        <v>109.0</v>
      </c>
      <c r="B110" s="149" t="str">
        <f>'Paste #BBall'!B110</f>
        <v>Bruce Brown</v>
      </c>
      <c r="C110" s="150" t="str">
        <f>'Paste #BBall'!C110</f>
        <v>PG,SG,SF</v>
      </c>
      <c r="D110" s="150" t="str">
        <f>'Paste #BBall'!D110</f>
        <v>IND</v>
      </c>
      <c r="E110" s="151">
        <f>'Paste #BBall'!E110</f>
        <v>70</v>
      </c>
      <c r="F110" s="152">
        <f>'Paste #BBall'!F110</f>
        <v>29.8</v>
      </c>
      <c r="G110" s="153" t="str">
        <f>right(Left('Paste #BBall'!G110,Search("/",'Paste #BBall'!G110)-1),len(Left('Paste #BBall'!G110,Search("/",'Paste #BBall'!G110)-1))-search("(",Left('Paste #BBall'!G110,Search("/",'Paste #BBall'!G110)-1)))</f>
        <v>4.6</v>
      </c>
      <c r="H110" s="152">
        <f t="shared" si="1"/>
        <v>0.4893617021</v>
      </c>
      <c r="I110" s="152" t="str">
        <f>right(Left('Paste #BBall'!H110,Search("/",'Paste #BBall'!H110)-1),len(Left('Paste #BBall'!H110,Search("/",'Paste #BBall'!H110)-1))-search("(",Left('Paste #BBall'!H110,Search("/",'Paste #BBall'!H110)-1)))</f>
        <v>1.6</v>
      </c>
      <c r="J110" s="152">
        <f t="shared" si="2"/>
        <v>0.7619047619</v>
      </c>
      <c r="K110" s="152">
        <f>'Paste #BBall'!I110</f>
        <v>1</v>
      </c>
      <c r="L110" s="152">
        <f>'Paste #BBall'!J110</f>
        <v>11.7</v>
      </c>
      <c r="M110" s="152">
        <f>'Paste #BBall'!K110</f>
        <v>5</v>
      </c>
      <c r="N110" s="152">
        <f>'Paste #BBall'!L110</f>
        <v>3.1</v>
      </c>
      <c r="O110" s="152">
        <f>'Paste #BBall'!M110</f>
        <v>1.2</v>
      </c>
      <c r="P110" s="152">
        <f>'Paste #BBall'!N110</f>
        <v>0.8</v>
      </c>
      <c r="Q110" s="152">
        <f>'Paste #BBall'!O110</f>
        <v>1.3</v>
      </c>
      <c r="R110" s="153" t="str">
        <f>Left(Right('Paste #BBall'!G110,Len('Paste #BBall'!G110)-Search("/",'Paste #BBall'!G110)),Len(Right('Paste #BBall'!G110,Len('Paste #BBall'!G110)-Search("/",'Paste #BBall'!G110)))-1)</f>
        <v>9.4</v>
      </c>
      <c r="S110" s="153" t="str">
        <f>Left(Right('Paste #BBall'!H110,Len('Paste #BBall'!H110)-Search("/",'Paste #BBall'!H110)),Len(Right('Paste #BBall'!H110,Len('Paste #BBall'!H110)-Search("/",'Paste #BBall'!H110)))-1)</f>
        <v>2.1</v>
      </c>
      <c r="T110" s="53"/>
      <c r="U110" s="53"/>
      <c r="V110" s="53"/>
    </row>
    <row r="111">
      <c r="A111" s="33">
        <v>110.0</v>
      </c>
      <c r="B111" s="149" t="str">
        <f>'Paste #BBall'!B111</f>
        <v>Scoot Henderson</v>
      </c>
      <c r="C111" s="150" t="str">
        <f>'Paste #BBall'!C111</f>
        <v>PG</v>
      </c>
      <c r="D111" s="150" t="str">
        <f>'Paste #BBall'!D111</f>
        <v>POR</v>
      </c>
      <c r="E111" s="151">
        <f>'Paste #BBall'!E111</f>
        <v>72</v>
      </c>
      <c r="F111" s="152">
        <f>'Paste #BBall'!F111</f>
        <v>30.5</v>
      </c>
      <c r="G111" s="153" t="str">
        <f>right(Left('Paste #BBall'!G111,Search("/",'Paste #BBall'!G111)-1),len(Left('Paste #BBall'!G111,Search("/",'Paste #BBall'!G111)-1))-search("(",Left('Paste #BBall'!G111,Search("/",'Paste #BBall'!G111)-1)))</f>
        <v>6.5</v>
      </c>
      <c r="H111" s="152">
        <f t="shared" si="1"/>
        <v>0.4452054795</v>
      </c>
      <c r="I111" s="152" t="str">
        <f>right(Left('Paste #BBall'!H111,Search("/",'Paste #BBall'!H111)-1),len(Left('Paste #BBall'!H111,Search("/",'Paste #BBall'!H111)-1))-search("(",Left('Paste #BBall'!H111,Search("/",'Paste #BBall'!H111)-1)))</f>
        <v>2.1</v>
      </c>
      <c r="J111" s="152">
        <f t="shared" si="2"/>
        <v>0.8076923077</v>
      </c>
      <c r="K111" s="152">
        <f>'Paste #BBall'!I111</f>
        <v>1.5</v>
      </c>
      <c r="L111" s="152">
        <f>'Paste #BBall'!J111</f>
        <v>16.4</v>
      </c>
      <c r="M111" s="152">
        <f>'Paste #BBall'!K111</f>
        <v>5.1</v>
      </c>
      <c r="N111" s="152">
        <f>'Paste #BBall'!L111</f>
        <v>5.8</v>
      </c>
      <c r="O111" s="152">
        <f>'Paste #BBall'!M111</f>
        <v>1.1</v>
      </c>
      <c r="P111" s="152">
        <f>'Paste #BBall'!N111</f>
        <v>0.3</v>
      </c>
      <c r="Q111" s="152">
        <f>'Paste #BBall'!O111</f>
        <v>3.4</v>
      </c>
      <c r="R111" s="153" t="str">
        <f>Left(Right('Paste #BBall'!G111,Len('Paste #BBall'!G111)-Search("/",'Paste #BBall'!G111)),Len(Right('Paste #BBall'!G111,Len('Paste #BBall'!G111)-Search("/",'Paste #BBall'!G111)))-1)</f>
        <v>14.6</v>
      </c>
      <c r="S111" s="153" t="str">
        <f>Left(Right('Paste #BBall'!H111,Len('Paste #BBall'!H111)-Search("/",'Paste #BBall'!H111)),Len(Right('Paste #BBall'!H111,Len('Paste #BBall'!H111)-Search("/",'Paste #BBall'!H111)))-1)</f>
        <v>2.6</v>
      </c>
      <c r="T111" s="53"/>
      <c r="U111" s="53"/>
      <c r="V111" s="53"/>
    </row>
    <row r="112">
      <c r="A112" s="33">
        <v>111.0</v>
      </c>
      <c r="B112" s="149" t="str">
        <f>'Paste #BBall'!B112</f>
        <v>Herbert Jones</v>
      </c>
      <c r="C112" s="150" t="str">
        <f>'Paste #BBall'!C112</f>
        <v>SF,PF</v>
      </c>
      <c r="D112" s="150" t="str">
        <f>'Paste #BBall'!D112</f>
        <v>NO</v>
      </c>
      <c r="E112" s="151">
        <f>'Paste #BBall'!E112</f>
        <v>69</v>
      </c>
      <c r="F112" s="152">
        <f>'Paste #BBall'!F112</f>
        <v>30</v>
      </c>
      <c r="G112" s="153" t="str">
        <f>right(Left('Paste #BBall'!G112,Search("/",'Paste #BBall'!G112)-1),len(Left('Paste #BBall'!G112,Search("/",'Paste #BBall'!G112)-1))-search("(",Left('Paste #BBall'!G112,Search("/",'Paste #BBall'!G112)-1)))</f>
        <v>3.6</v>
      </c>
      <c r="H112" s="152">
        <f t="shared" si="1"/>
        <v>0.4736842105</v>
      </c>
      <c r="I112" s="152" t="str">
        <f>right(Left('Paste #BBall'!H112,Search("/",'Paste #BBall'!H112)-1),len(Left('Paste #BBall'!H112,Search("/",'Paste #BBall'!H112)-1))-search("(",Left('Paste #BBall'!H112,Search("/",'Paste #BBall'!H112)-1)))</f>
        <v>1.8</v>
      </c>
      <c r="J112" s="152">
        <f t="shared" si="2"/>
        <v>0.7826086957</v>
      </c>
      <c r="K112" s="152">
        <f>'Paste #BBall'!I112</f>
        <v>0.8</v>
      </c>
      <c r="L112" s="152">
        <f>'Paste #BBall'!J112</f>
        <v>9.8</v>
      </c>
      <c r="M112" s="152">
        <f>'Paste #BBall'!K112</f>
        <v>4</v>
      </c>
      <c r="N112" s="152">
        <f>'Paste #BBall'!L112</f>
        <v>2.3</v>
      </c>
      <c r="O112" s="152">
        <f>'Paste #BBall'!M112</f>
        <v>1.7</v>
      </c>
      <c r="P112" s="152">
        <f>'Paste #BBall'!N112</f>
        <v>0.7</v>
      </c>
      <c r="Q112" s="152">
        <f>'Paste #BBall'!O112</f>
        <v>1.3</v>
      </c>
      <c r="R112" s="153" t="str">
        <f>Left(Right('Paste #BBall'!G112,Len('Paste #BBall'!G112)-Search("/",'Paste #BBall'!G112)),Len(Right('Paste #BBall'!G112,Len('Paste #BBall'!G112)-Search("/",'Paste #BBall'!G112)))-1)</f>
        <v>7.6</v>
      </c>
      <c r="S112" s="153" t="str">
        <f>Left(Right('Paste #BBall'!H112,Len('Paste #BBall'!H112)-Search("/",'Paste #BBall'!H112)),Len(Right('Paste #BBall'!H112,Len('Paste #BBall'!H112)-Search("/",'Paste #BBall'!H112)))-1)</f>
        <v>2.3</v>
      </c>
      <c r="T112" s="53"/>
      <c r="U112" s="53"/>
      <c r="V112" s="53"/>
    </row>
    <row r="113">
      <c r="A113" s="33">
        <v>112.0</v>
      </c>
      <c r="B113" s="149" t="str">
        <f>'Paste #BBall'!B113</f>
        <v>Immanuel Quickley</v>
      </c>
      <c r="C113" s="150" t="str">
        <f>'Paste #BBall'!C113</f>
        <v>PG,SG</v>
      </c>
      <c r="D113" s="150" t="str">
        <f>'Paste #BBall'!D113</f>
        <v>NY</v>
      </c>
      <c r="E113" s="151">
        <f>'Paste #BBall'!E113</f>
        <v>76</v>
      </c>
      <c r="F113" s="152">
        <f>'Paste #BBall'!F113</f>
        <v>28.6</v>
      </c>
      <c r="G113" s="153" t="str">
        <f>right(Left('Paste #BBall'!G113,Search("/",'Paste #BBall'!G113)-1),len(Left('Paste #BBall'!G113,Search("/",'Paste #BBall'!G113)-1))-search("(",Left('Paste #BBall'!G113,Search("/",'Paste #BBall'!G113)-1)))</f>
        <v>5.2</v>
      </c>
      <c r="H113" s="152">
        <f t="shared" si="1"/>
        <v>0.4482758621</v>
      </c>
      <c r="I113" s="152" t="str">
        <f>right(Left('Paste #BBall'!H113,Search("/",'Paste #BBall'!H113)-1),len(Left('Paste #BBall'!H113,Search("/",'Paste #BBall'!H113)-1))-search("(",Left('Paste #BBall'!H113,Search("/",'Paste #BBall'!H113)-1)))</f>
        <v>2.7</v>
      </c>
      <c r="J113" s="152">
        <f t="shared" si="2"/>
        <v>0.8709677419</v>
      </c>
      <c r="K113" s="152">
        <f>'Paste #BBall'!I113</f>
        <v>2.1</v>
      </c>
      <c r="L113" s="152">
        <f>'Paste #BBall'!J113</f>
        <v>15.2</v>
      </c>
      <c r="M113" s="152">
        <f>'Paste #BBall'!K113</f>
        <v>4.1</v>
      </c>
      <c r="N113" s="152">
        <f>'Paste #BBall'!L113</f>
        <v>3.9</v>
      </c>
      <c r="O113" s="152">
        <f>'Paste #BBall'!M113</f>
        <v>1</v>
      </c>
      <c r="P113" s="152">
        <f>'Paste #BBall'!N113</f>
        <v>0.1</v>
      </c>
      <c r="Q113" s="152">
        <f>'Paste #BBall'!O113</f>
        <v>1.4</v>
      </c>
      <c r="R113" s="153" t="str">
        <f>Left(Right('Paste #BBall'!G113,Len('Paste #BBall'!G113)-Search("/",'Paste #BBall'!G113)),Len(Right('Paste #BBall'!G113,Len('Paste #BBall'!G113)-Search("/",'Paste #BBall'!G113)))-1)</f>
        <v>11.6</v>
      </c>
      <c r="S113" s="153" t="str">
        <f>Left(Right('Paste #BBall'!H113,Len('Paste #BBall'!H113)-Search("/",'Paste #BBall'!H113)),Len(Right('Paste #BBall'!H113,Len('Paste #BBall'!H113)-Search("/",'Paste #BBall'!H113)))-1)</f>
        <v>3.1</v>
      </c>
      <c r="T113" s="53"/>
      <c r="U113" s="53"/>
      <c r="V113" s="53"/>
    </row>
    <row r="114">
      <c r="A114" s="33">
        <v>113.0</v>
      </c>
      <c r="B114" s="149" t="str">
        <f>'Paste #BBall'!B114</f>
        <v>Bobby Portis</v>
      </c>
      <c r="C114" s="150" t="str">
        <f>'Paste #BBall'!C114</f>
        <v>PF,C</v>
      </c>
      <c r="D114" s="150" t="str">
        <f>'Paste #BBall'!D114</f>
        <v>MIL</v>
      </c>
      <c r="E114" s="151">
        <f>'Paste #BBall'!E114</f>
        <v>71</v>
      </c>
      <c r="F114" s="152">
        <f>'Paste #BBall'!F114</f>
        <v>27.2</v>
      </c>
      <c r="G114" s="153" t="str">
        <f>right(Left('Paste #BBall'!G114,Search("/",'Paste #BBall'!G114)-1),len(Left('Paste #BBall'!G114,Search("/",'Paste #BBall'!G114)-1))-search("(",Left('Paste #BBall'!G114,Search("/",'Paste #BBall'!G114)-1)))</f>
        <v>5.8</v>
      </c>
      <c r="H114" s="152">
        <f t="shared" si="1"/>
        <v>0.4833333333</v>
      </c>
      <c r="I114" s="152" t="str">
        <f>right(Left('Paste #BBall'!H114,Search("/",'Paste #BBall'!H114)-1),len(Left('Paste #BBall'!H114,Search("/",'Paste #BBall'!H114)-1))-search("(",Left('Paste #BBall'!H114,Search("/",'Paste #BBall'!H114)-1)))</f>
        <v>1.3</v>
      </c>
      <c r="J114" s="152">
        <f t="shared" si="2"/>
        <v>0.7647058824</v>
      </c>
      <c r="K114" s="152">
        <f>'Paste #BBall'!I114</f>
        <v>1.6</v>
      </c>
      <c r="L114" s="152">
        <f>'Paste #BBall'!J114</f>
        <v>14.6</v>
      </c>
      <c r="M114" s="152">
        <f>'Paste #BBall'!K114</f>
        <v>9.5</v>
      </c>
      <c r="N114" s="152">
        <f>'Paste #BBall'!L114</f>
        <v>1.4</v>
      </c>
      <c r="O114" s="152">
        <f>'Paste #BBall'!M114</f>
        <v>0.6</v>
      </c>
      <c r="P114" s="152">
        <f>'Paste #BBall'!N114</f>
        <v>0.5</v>
      </c>
      <c r="Q114" s="152">
        <f>'Paste #BBall'!O114</f>
        <v>1.2</v>
      </c>
      <c r="R114" s="153" t="str">
        <f>Left(Right('Paste #BBall'!G114,Len('Paste #BBall'!G114)-Search("/",'Paste #BBall'!G114)),Len(Right('Paste #BBall'!G114,Len('Paste #BBall'!G114)-Search("/",'Paste #BBall'!G114)))-1)</f>
        <v>12.0</v>
      </c>
      <c r="S114" s="153" t="str">
        <f>Left(Right('Paste #BBall'!H114,Len('Paste #BBall'!H114)-Search("/",'Paste #BBall'!H114)),Len(Right('Paste #BBall'!H114,Len('Paste #BBall'!H114)-Search("/",'Paste #BBall'!H114)))-1)</f>
        <v>1.7</v>
      </c>
      <c r="T114" s="53"/>
      <c r="U114" s="53"/>
      <c r="V114" s="53"/>
    </row>
    <row r="115">
      <c r="A115" s="33">
        <v>114.0</v>
      </c>
      <c r="B115" s="149" t="str">
        <f>'Paste #BBall'!B115</f>
        <v>Jabari Smith Jr.</v>
      </c>
      <c r="C115" s="150" t="str">
        <f>'Paste #BBall'!C115</f>
        <v>PF,C</v>
      </c>
      <c r="D115" s="150" t="str">
        <f>'Paste #BBall'!D115</f>
        <v>HOU</v>
      </c>
      <c r="E115" s="151">
        <f>'Paste #BBall'!E115</f>
        <v>79</v>
      </c>
      <c r="F115" s="152">
        <f>'Paste #BBall'!F115</f>
        <v>32.2</v>
      </c>
      <c r="G115" s="153" t="str">
        <f>right(Left('Paste #BBall'!G115,Search("/",'Paste #BBall'!G115)-1),len(Left('Paste #BBall'!G115,Search("/",'Paste #BBall'!G115)-1))-search("(",Left('Paste #BBall'!G115,Search("/",'Paste #BBall'!G115)-1)))</f>
        <v>5.4</v>
      </c>
      <c r="H115" s="152">
        <f t="shared" si="1"/>
        <v>0.432</v>
      </c>
      <c r="I115" s="152" t="str">
        <f>right(Left('Paste #BBall'!H115,Search("/",'Paste #BBall'!H115)-1),len(Left('Paste #BBall'!H115,Search("/",'Paste #BBall'!H115)-1))-search("(",Left('Paste #BBall'!H115,Search("/",'Paste #BBall'!H115)-1)))</f>
        <v>2.3</v>
      </c>
      <c r="J115" s="152">
        <f t="shared" si="2"/>
        <v>0.7666666667</v>
      </c>
      <c r="K115" s="152">
        <f>'Paste #BBall'!I115</f>
        <v>1.7</v>
      </c>
      <c r="L115" s="152">
        <f>'Paste #BBall'!J115</f>
        <v>14.8</v>
      </c>
      <c r="M115" s="152">
        <f>'Paste #BBall'!K115</f>
        <v>8</v>
      </c>
      <c r="N115" s="152">
        <f>'Paste #BBall'!L115</f>
        <v>1.4</v>
      </c>
      <c r="O115" s="152">
        <f>'Paste #BBall'!M115</f>
        <v>0.6</v>
      </c>
      <c r="P115" s="152">
        <f>'Paste #BBall'!N115</f>
        <v>1.2</v>
      </c>
      <c r="Q115" s="152">
        <f>'Paste #BBall'!O115</f>
        <v>1.5</v>
      </c>
      <c r="R115" s="153" t="str">
        <f>Left(Right('Paste #BBall'!G115,Len('Paste #BBall'!G115)-Search("/",'Paste #BBall'!G115)),Len(Right('Paste #BBall'!G115,Len('Paste #BBall'!G115)-Search("/",'Paste #BBall'!G115)))-1)</f>
        <v>12.5</v>
      </c>
      <c r="S115" s="153" t="str">
        <f>Left(Right('Paste #BBall'!H115,Len('Paste #BBall'!H115)-Search("/",'Paste #BBall'!H115)),Len(Right('Paste #BBall'!H115,Len('Paste #BBall'!H115)-Search("/",'Paste #BBall'!H115)))-1)</f>
        <v>3.0</v>
      </c>
      <c r="T115" s="53"/>
      <c r="U115" s="53"/>
      <c r="V115" s="53"/>
    </row>
    <row r="116">
      <c r="A116" s="33">
        <v>115.0</v>
      </c>
      <c r="B116" s="149" t="str">
        <f>'Paste #BBall'!B116</f>
        <v>Marcus Smart</v>
      </c>
      <c r="C116" s="150" t="str">
        <f>'Paste #BBall'!C116</f>
        <v>PG</v>
      </c>
      <c r="D116" s="150" t="str">
        <f>'Paste #BBall'!D116</f>
        <v>MEM</v>
      </c>
      <c r="E116" s="151">
        <f>'Paste #BBall'!E116</f>
        <v>67</v>
      </c>
      <c r="F116" s="152">
        <f>'Paste #BBall'!F116</f>
        <v>31.8</v>
      </c>
      <c r="G116" s="153" t="str">
        <f>right(Left('Paste #BBall'!G116,Search("/",'Paste #BBall'!G116)-1),len(Left('Paste #BBall'!G116,Search("/",'Paste #BBall'!G116)-1))-search("(",Left('Paste #BBall'!G116,Search("/",'Paste #BBall'!G116)-1)))</f>
        <v>4.2</v>
      </c>
      <c r="H116" s="152">
        <f t="shared" si="1"/>
        <v>0.42</v>
      </c>
      <c r="I116" s="152" t="str">
        <f>right(Left('Paste #BBall'!H116,Search("/",'Paste #BBall'!H116)-1),len(Left('Paste #BBall'!H116,Search("/",'Paste #BBall'!H116)-1))-search("(",Left('Paste #BBall'!H116,Search("/",'Paste #BBall'!H116)-1)))</f>
        <v>1.7</v>
      </c>
      <c r="J116" s="152">
        <f t="shared" si="2"/>
        <v>0.7727272727</v>
      </c>
      <c r="K116" s="152">
        <f>'Paste #BBall'!I116</f>
        <v>1.8</v>
      </c>
      <c r="L116" s="152">
        <f>'Paste #BBall'!J116</f>
        <v>11.8</v>
      </c>
      <c r="M116" s="152">
        <f>'Paste #BBall'!K116</f>
        <v>3.5</v>
      </c>
      <c r="N116" s="152">
        <f>'Paste #BBall'!L116</f>
        <v>5.3</v>
      </c>
      <c r="O116" s="152">
        <f>'Paste #BBall'!M116</f>
        <v>1.6</v>
      </c>
      <c r="P116" s="152">
        <f>'Paste #BBall'!N116</f>
        <v>0.3</v>
      </c>
      <c r="Q116" s="152">
        <f>'Paste #BBall'!O116</f>
        <v>2.3</v>
      </c>
      <c r="R116" s="153" t="str">
        <f>Left(Right('Paste #BBall'!G116,Len('Paste #BBall'!G116)-Search("/",'Paste #BBall'!G116)),Len(Right('Paste #BBall'!G116,Len('Paste #BBall'!G116)-Search("/",'Paste #BBall'!G116)))-1)</f>
        <v>10.0</v>
      </c>
      <c r="S116" s="153" t="str">
        <f>Left(Right('Paste #BBall'!H116,Len('Paste #BBall'!H116)-Search("/",'Paste #BBall'!H116)),Len(Right('Paste #BBall'!H116,Len('Paste #BBall'!H116)-Search("/",'Paste #BBall'!H116)))-1)</f>
        <v>2.2</v>
      </c>
      <c r="T116" s="53"/>
      <c r="U116" s="53"/>
      <c r="V116" s="53"/>
    </row>
    <row r="117">
      <c r="A117" s="33">
        <v>116.0</v>
      </c>
      <c r="B117" s="149" t="str">
        <f>'Paste #BBall'!B117</f>
        <v>Wendell Carter Jr.</v>
      </c>
      <c r="C117" s="150" t="str">
        <f>'Paste #BBall'!C117</f>
        <v>C</v>
      </c>
      <c r="D117" s="150" t="str">
        <f>'Paste #BBall'!D117</f>
        <v>ORL</v>
      </c>
      <c r="E117" s="151">
        <f>'Paste #BBall'!E117</f>
        <v>62</v>
      </c>
      <c r="F117" s="152">
        <f>'Paste #BBall'!F117</f>
        <v>29.9</v>
      </c>
      <c r="G117" s="153" t="str">
        <f>right(Left('Paste #BBall'!G117,Search("/",'Paste #BBall'!G117)-1),len(Left('Paste #BBall'!G117,Search("/",'Paste #BBall'!G117)-1))-search("(",Left('Paste #BBall'!G117,Search("/",'Paste #BBall'!G117)-1)))</f>
        <v>5.8</v>
      </c>
      <c r="H117" s="152">
        <f t="shared" si="1"/>
        <v>0.5225225225</v>
      </c>
      <c r="I117" s="152" t="str">
        <f>right(Left('Paste #BBall'!H117,Search("/",'Paste #BBall'!H117)-1),len(Left('Paste #BBall'!H117,Search("/",'Paste #BBall'!H117)-1))-search("(",Left('Paste #BBall'!H117,Search("/",'Paste #BBall'!H117)-1)))</f>
        <v>2.5</v>
      </c>
      <c r="J117" s="152">
        <f t="shared" si="2"/>
        <v>0.7352941176</v>
      </c>
      <c r="K117" s="152">
        <f>'Paste #BBall'!I117</f>
        <v>1.3</v>
      </c>
      <c r="L117" s="152">
        <f>'Paste #BBall'!J117</f>
        <v>15.4</v>
      </c>
      <c r="M117" s="152">
        <f>'Paste #BBall'!K117</f>
        <v>8.7</v>
      </c>
      <c r="N117" s="152">
        <f>'Paste #BBall'!L117</f>
        <v>2.2</v>
      </c>
      <c r="O117" s="152">
        <f>'Paste #BBall'!M117</f>
        <v>0.6</v>
      </c>
      <c r="P117" s="152">
        <f>'Paste #BBall'!N117</f>
        <v>0.7</v>
      </c>
      <c r="Q117" s="152">
        <f>'Paste #BBall'!O117</f>
        <v>1.9</v>
      </c>
      <c r="R117" s="153" t="str">
        <f>Left(Right('Paste #BBall'!G117,Len('Paste #BBall'!G117)-Search("/",'Paste #BBall'!G117)),Len(Right('Paste #BBall'!G117,Len('Paste #BBall'!G117)-Search("/",'Paste #BBall'!G117)))-1)</f>
        <v>11.1</v>
      </c>
      <c r="S117" s="153" t="str">
        <f>Left(Right('Paste #BBall'!H117,Len('Paste #BBall'!H117)-Search("/",'Paste #BBall'!H117)),Len(Right('Paste #BBall'!H117,Len('Paste #BBall'!H117)-Search("/",'Paste #BBall'!H117)))-1)</f>
        <v>3.4</v>
      </c>
      <c r="T117" s="53"/>
      <c r="U117" s="53"/>
      <c r="V117" s="53"/>
    </row>
    <row r="118">
      <c r="A118" s="33">
        <v>117.0</v>
      </c>
      <c r="B118" s="149" t="str">
        <f>'Paste #BBall'!B118</f>
        <v>Mike Conley</v>
      </c>
      <c r="C118" s="150" t="str">
        <f>'Paste #BBall'!C118</f>
        <v>PG</v>
      </c>
      <c r="D118" s="150" t="str">
        <f>'Paste #BBall'!D118</f>
        <v>MIN</v>
      </c>
      <c r="E118" s="151">
        <f>'Paste #BBall'!E118</f>
        <v>68</v>
      </c>
      <c r="F118" s="152">
        <f>'Paste #BBall'!F118</f>
        <v>29.4</v>
      </c>
      <c r="G118" s="153" t="str">
        <f>right(Left('Paste #BBall'!G118,Search("/",'Paste #BBall'!G118)-1),len(Left('Paste #BBall'!G118,Search("/",'Paste #BBall'!G118)-1))-search("(",Left('Paste #BBall'!G118,Search("/",'Paste #BBall'!G118)-1)))</f>
        <v>4.2</v>
      </c>
      <c r="H118" s="152">
        <f t="shared" si="1"/>
        <v>0.4329896907</v>
      </c>
      <c r="I118" s="152" t="str">
        <f>right(Left('Paste #BBall'!H118,Search("/",'Paste #BBall'!H118)-1),len(Left('Paste #BBall'!H118,Search("/",'Paste #BBall'!H118)-1))-search("(",Left('Paste #BBall'!H118,Search("/",'Paste #BBall'!H118)-1)))</f>
        <v>1.9</v>
      </c>
      <c r="J118" s="152">
        <f t="shared" si="2"/>
        <v>0.8260869565</v>
      </c>
      <c r="K118" s="152">
        <f>'Paste #BBall'!I118</f>
        <v>2.1</v>
      </c>
      <c r="L118" s="152">
        <f>'Paste #BBall'!J118</f>
        <v>12.4</v>
      </c>
      <c r="M118" s="152">
        <f>'Paste #BBall'!K118</f>
        <v>2.8</v>
      </c>
      <c r="N118" s="152">
        <f>'Paste #BBall'!L118</f>
        <v>6</v>
      </c>
      <c r="O118" s="152">
        <f>'Paste #BBall'!M118</f>
        <v>1.1</v>
      </c>
      <c r="P118" s="152">
        <f>'Paste #BBall'!N118</f>
        <v>0.2</v>
      </c>
      <c r="Q118" s="152">
        <f>'Paste #BBall'!O118</f>
        <v>1.6</v>
      </c>
      <c r="R118" s="153" t="str">
        <f>Left(Right('Paste #BBall'!G118,Len('Paste #BBall'!G118)-Search("/",'Paste #BBall'!G118)),Len(Right('Paste #BBall'!G118,Len('Paste #BBall'!G118)-Search("/",'Paste #BBall'!G118)))-1)</f>
        <v>9.7</v>
      </c>
      <c r="S118" s="153" t="str">
        <f>Left(Right('Paste #BBall'!H118,Len('Paste #BBall'!H118)-Search("/",'Paste #BBall'!H118)),Len(Right('Paste #BBall'!H118,Len('Paste #BBall'!H118)-Search("/",'Paste #BBall'!H118)))-1)</f>
        <v>2.3</v>
      </c>
      <c r="T118" s="53"/>
      <c r="U118" s="53"/>
      <c r="V118" s="53"/>
    </row>
    <row r="119">
      <c r="A119" s="33">
        <v>118.0</v>
      </c>
      <c r="B119" s="149" t="str">
        <f>'Paste #BBall'!B119</f>
        <v>Spencer Dinwiddie</v>
      </c>
      <c r="C119" s="150" t="str">
        <f>'Paste #BBall'!C119</f>
        <v>PG</v>
      </c>
      <c r="D119" s="150" t="str">
        <f>'Paste #BBall'!D119</f>
        <v>BKN</v>
      </c>
      <c r="E119" s="151">
        <f>'Paste #BBall'!E119</f>
        <v>73</v>
      </c>
      <c r="F119" s="152">
        <f>'Paste #BBall'!F119</f>
        <v>33.5</v>
      </c>
      <c r="G119" s="153" t="str">
        <f>right(Left('Paste #BBall'!G119,Search("/",'Paste #BBall'!G119)-1),len(Left('Paste #BBall'!G119,Search("/",'Paste #BBall'!G119)-1))-search("(",Left('Paste #BBall'!G119,Search("/",'Paste #BBall'!G119)-1)))</f>
        <v>5.5</v>
      </c>
      <c r="H119" s="152">
        <f t="shared" si="1"/>
        <v>0.4296875</v>
      </c>
      <c r="I119" s="152" t="str">
        <f>right(Left('Paste #BBall'!H119,Search("/",'Paste #BBall'!H119)-1),len(Left('Paste #BBall'!H119,Search("/",'Paste #BBall'!H119)-1))-search("(",Left('Paste #BBall'!H119,Search("/",'Paste #BBall'!H119)-1)))</f>
        <v>3.3</v>
      </c>
      <c r="J119" s="152">
        <f t="shared" si="2"/>
        <v>0.7857142857</v>
      </c>
      <c r="K119" s="152">
        <f>'Paste #BBall'!I119</f>
        <v>2.1</v>
      </c>
      <c r="L119" s="152">
        <f>'Paste #BBall'!J119</f>
        <v>16.5</v>
      </c>
      <c r="M119" s="152">
        <f>'Paste #BBall'!K119</f>
        <v>4</v>
      </c>
      <c r="N119" s="152">
        <f>'Paste #BBall'!L119</f>
        <v>6.2</v>
      </c>
      <c r="O119" s="152">
        <f>'Paste #BBall'!M119</f>
        <v>0.8</v>
      </c>
      <c r="P119" s="152">
        <f>'Paste #BBall'!N119</f>
        <v>0.3</v>
      </c>
      <c r="Q119" s="152">
        <f>'Paste #BBall'!O119</f>
        <v>1.8</v>
      </c>
      <c r="R119" s="153" t="str">
        <f>Left(Right('Paste #BBall'!G119,Len('Paste #BBall'!G119)-Search("/",'Paste #BBall'!G119)),Len(Right('Paste #BBall'!G119,Len('Paste #BBall'!G119)-Search("/",'Paste #BBall'!G119)))-1)</f>
        <v>12.8</v>
      </c>
      <c r="S119" s="153" t="str">
        <f>Left(Right('Paste #BBall'!H119,Len('Paste #BBall'!H119)-Search("/",'Paste #BBall'!H119)),Len(Right('Paste #BBall'!H119,Len('Paste #BBall'!H119)-Search("/",'Paste #BBall'!H119)))-1)</f>
        <v>4.2</v>
      </c>
      <c r="T119" s="53"/>
      <c r="U119" s="53"/>
      <c r="V119" s="53"/>
    </row>
    <row r="120">
      <c r="A120" s="33">
        <v>119.0</v>
      </c>
      <c r="B120" s="149" t="str">
        <f>'Paste #BBall'!B120</f>
        <v>Tre Jones</v>
      </c>
      <c r="C120" s="150" t="str">
        <f>'Paste #BBall'!C120</f>
        <v>PG</v>
      </c>
      <c r="D120" s="150" t="str">
        <f>'Paste #BBall'!D120</f>
        <v>SA</v>
      </c>
      <c r="E120" s="151">
        <f>'Paste #BBall'!E120</f>
        <v>69</v>
      </c>
      <c r="F120" s="152">
        <f>'Paste #BBall'!F120</f>
        <v>29.2</v>
      </c>
      <c r="G120" s="153" t="str">
        <f>right(Left('Paste #BBall'!G120,Search("/",'Paste #BBall'!G120)-1),len(Left('Paste #BBall'!G120,Search("/",'Paste #BBall'!G120)-1))-search("(",Left('Paste #BBall'!G120,Search("/",'Paste #BBall'!G120)-1)))</f>
        <v>4.8</v>
      </c>
      <c r="H120" s="152">
        <f t="shared" si="1"/>
        <v>0.4705882353</v>
      </c>
      <c r="I120" s="152" t="str">
        <f>right(Left('Paste #BBall'!H120,Search("/",'Paste #BBall'!H120)-1),len(Left('Paste #BBall'!H120,Search("/",'Paste #BBall'!H120)-1))-search("(",Left('Paste #BBall'!H120,Search("/",'Paste #BBall'!H120)-1)))</f>
        <v>2.1</v>
      </c>
      <c r="J120" s="152">
        <f t="shared" si="2"/>
        <v>0.84</v>
      </c>
      <c r="K120" s="152">
        <f>'Paste #BBall'!I120</f>
        <v>0.5</v>
      </c>
      <c r="L120" s="152">
        <f>'Paste #BBall'!J120</f>
        <v>12.1</v>
      </c>
      <c r="M120" s="152">
        <f>'Paste #BBall'!K120</f>
        <v>3.8</v>
      </c>
      <c r="N120" s="152">
        <f>'Paste #BBall'!L120</f>
        <v>6.4</v>
      </c>
      <c r="O120" s="152">
        <f>'Paste #BBall'!M120</f>
        <v>1.2</v>
      </c>
      <c r="P120" s="152">
        <f>'Paste #BBall'!N120</f>
        <v>0.2</v>
      </c>
      <c r="Q120" s="152">
        <f>'Paste #BBall'!O120</f>
        <v>1.5</v>
      </c>
      <c r="R120" s="153" t="str">
        <f>Left(Right('Paste #BBall'!G120,Len('Paste #BBall'!G120)-Search("/",'Paste #BBall'!G120)),Len(Right('Paste #BBall'!G120,Len('Paste #BBall'!G120)-Search("/",'Paste #BBall'!G120)))-1)</f>
        <v>10.2</v>
      </c>
      <c r="S120" s="153" t="str">
        <f>Left(Right('Paste #BBall'!H120,Len('Paste #BBall'!H120)-Search("/",'Paste #BBall'!H120)),Len(Right('Paste #BBall'!H120,Len('Paste #BBall'!H120)-Search("/",'Paste #BBall'!H120)))-1)</f>
        <v>2.5</v>
      </c>
      <c r="T120" s="53"/>
      <c r="U120" s="53"/>
      <c r="V120" s="53"/>
    </row>
    <row r="121">
      <c r="A121" s="33">
        <v>120.0</v>
      </c>
      <c r="B121" s="149" t="str">
        <f>'Paste #BBall'!B121</f>
        <v>Kentavious Caldwell-Pope</v>
      </c>
      <c r="C121" s="150" t="str">
        <f>'Paste #BBall'!C121</f>
        <v>SG,SF</v>
      </c>
      <c r="D121" s="150" t="str">
        <f>'Paste #BBall'!D121</f>
        <v>DEN</v>
      </c>
      <c r="E121" s="151">
        <f>'Paste #BBall'!E121</f>
        <v>76</v>
      </c>
      <c r="F121" s="152">
        <f>'Paste #BBall'!F121</f>
        <v>31.1</v>
      </c>
      <c r="G121" s="153" t="str">
        <f>right(Left('Paste #BBall'!G121,Search("/",'Paste #BBall'!G121)-1),len(Left('Paste #BBall'!G121,Search("/",'Paste #BBall'!G121)-1))-search("(",Left('Paste #BBall'!G121,Search("/",'Paste #BBall'!G121)-1)))</f>
        <v>4.4</v>
      </c>
      <c r="H121" s="152">
        <f t="shared" si="1"/>
        <v>0.4536082474</v>
      </c>
      <c r="I121" s="152" t="str">
        <f>right(Left('Paste #BBall'!H121,Search("/",'Paste #BBall'!H121)-1),len(Left('Paste #BBall'!H121,Search("/",'Paste #BBall'!H121)-1))-search("(",Left('Paste #BBall'!H121,Search("/",'Paste #BBall'!H121)-1)))</f>
        <v>1.6</v>
      </c>
      <c r="J121" s="152">
        <f t="shared" si="2"/>
        <v>0.8421052632</v>
      </c>
      <c r="K121" s="152">
        <f>'Paste #BBall'!I121</f>
        <v>1.8</v>
      </c>
      <c r="L121" s="152">
        <f>'Paste #BBall'!J121</f>
        <v>12.1</v>
      </c>
      <c r="M121" s="152">
        <f>'Paste #BBall'!K121</f>
        <v>3.1</v>
      </c>
      <c r="N121" s="152">
        <f>'Paste #BBall'!L121</f>
        <v>2.2</v>
      </c>
      <c r="O121" s="152">
        <f>'Paste #BBall'!M121</f>
        <v>1.4</v>
      </c>
      <c r="P121" s="152">
        <f>'Paste #BBall'!N121</f>
        <v>0.4</v>
      </c>
      <c r="Q121" s="152">
        <f>'Paste #BBall'!O121</f>
        <v>1.2</v>
      </c>
      <c r="R121" s="153" t="str">
        <f>Left(Right('Paste #BBall'!G121,Len('Paste #BBall'!G121)-Search("/",'Paste #BBall'!G121)),Len(Right('Paste #BBall'!G121,Len('Paste #BBall'!G121)-Search("/",'Paste #BBall'!G121)))-1)</f>
        <v>9.7</v>
      </c>
      <c r="S121" s="153" t="str">
        <f>Left(Right('Paste #BBall'!H121,Len('Paste #BBall'!H121)-Search("/",'Paste #BBall'!H121)),Len(Right('Paste #BBall'!H121,Len('Paste #BBall'!H121)-Search("/",'Paste #BBall'!H121)))-1)</f>
        <v>1.9</v>
      </c>
      <c r="T121" s="53"/>
      <c r="U121" s="53"/>
      <c r="V121" s="53"/>
    </row>
    <row r="122">
      <c r="A122" s="33">
        <v>121.0</v>
      </c>
      <c r="B122" s="149" t="str">
        <f>'Paste #BBall'!B122</f>
        <v>Andrew Wiggins</v>
      </c>
      <c r="C122" s="150" t="str">
        <f>'Paste #BBall'!C122</f>
        <v>SF,PF</v>
      </c>
      <c r="D122" s="150" t="str">
        <f>'Paste #BBall'!D122</f>
        <v>GS</v>
      </c>
      <c r="E122" s="151">
        <f>'Paste #BBall'!E122</f>
        <v>69</v>
      </c>
      <c r="F122" s="152">
        <f>'Paste #BBall'!F122</f>
        <v>32.5</v>
      </c>
      <c r="G122" s="153" t="str">
        <f>right(Left('Paste #BBall'!G122,Search("/",'Paste #BBall'!G122)-1),len(Left('Paste #BBall'!G122,Search("/",'Paste #BBall'!G122)-1))-search("(",Left('Paste #BBall'!G122,Search("/",'Paste #BBall'!G122)-1)))</f>
        <v>6.8</v>
      </c>
      <c r="H122" s="152">
        <f t="shared" si="1"/>
        <v>0.4722222222</v>
      </c>
      <c r="I122" s="152" t="str">
        <f>right(Left('Paste #BBall'!H122,Search("/",'Paste #BBall'!H122)-1),len(Left('Paste #BBall'!H122,Search("/",'Paste #BBall'!H122)-1))-search("(",Left('Paste #BBall'!H122,Search("/",'Paste #BBall'!H122)-1)))</f>
        <v>1.8</v>
      </c>
      <c r="J122" s="152">
        <f t="shared" si="2"/>
        <v>0.6206896552</v>
      </c>
      <c r="K122" s="152">
        <f>'Paste #BBall'!I122</f>
        <v>2.3</v>
      </c>
      <c r="L122" s="152">
        <f>'Paste #BBall'!J122</f>
        <v>17.6</v>
      </c>
      <c r="M122" s="152">
        <f>'Paste #BBall'!K122</f>
        <v>4.8</v>
      </c>
      <c r="N122" s="152">
        <f>'Paste #BBall'!L122</f>
        <v>2.3</v>
      </c>
      <c r="O122" s="152">
        <f>'Paste #BBall'!M122</f>
        <v>1.1</v>
      </c>
      <c r="P122" s="152">
        <f>'Paste #BBall'!N122</f>
        <v>0.7</v>
      </c>
      <c r="Q122" s="152">
        <f>'Paste #BBall'!O122</f>
        <v>1.5</v>
      </c>
      <c r="R122" s="153" t="str">
        <f>Left(Right('Paste #BBall'!G122,Len('Paste #BBall'!G122)-Search("/",'Paste #BBall'!G122)),Len(Right('Paste #BBall'!G122,Len('Paste #BBall'!G122)-Search("/",'Paste #BBall'!G122)))-1)</f>
        <v>14.4</v>
      </c>
      <c r="S122" s="153" t="str">
        <f>Left(Right('Paste #BBall'!H122,Len('Paste #BBall'!H122)-Search("/",'Paste #BBall'!H122)),Len(Right('Paste #BBall'!H122,Len('Paste #BBall'!H122)-Search("/",'Paste #BBall'!H122)))-1)</f>
        <v>2.9</v>
      </c>
      <c r="T122" s="53"/>
      <c r="U122" s="53"/>
      <c r="V122" s="53"/>
    </row>
    <row r="123">
      <c r="A123" s="33">
        <v>122.0</v>
      </c>
      <c r="B123" s="149" t="str">
        <f>'Paste #BBall'!B123</f>
        <v>Kyle Anderson</v>
      </c>
      <c r="C123" s="150" t="str">
        <f>'Paste #BBall'!C123</f>
        <v>SF,PF</v>
      </c>
      <c r="D123" s="150" t="str">
        <f>'Paste #BBall'!D123</f>
        <v>MIN</v>
      </c>
      <c r="E123" s="151">
        <f>'Paste #BBall'!E123</f>
        <v>69</v>
      </c>
      <c r="F123" s="152">
        <f>'Paste #BBall'!F123</f>
        <v>25.8</v>
      </c>
      <c r="G123" s="153" t="str">
        <f>right(Left('Paste #BBall'!G123,Search("/",'Paste #BBall'!G123)-1),len(Left('Paste #BBall'!G123,Search("/",'Paste #BBall'!G123)-1))-search("(",Left('Paste #BBall'!G123,Search("/",'Paste #BBall'!G123)-1)))</f>
        <v>3.7</v>
      </c>
      <c r="H123" s="152">
        <f t="shared" si="1"/>
        <v>0.5068493151</v>
      </c>
      <c r="I123" s="152" t="str">
        <f>right(Left('Paste #BBall'!H123,Search("/",'Paste #BBall'!H123)-1),len(Left('Paste #BBall'!H123,Search("/",'Paste #BBall'!H123)-1))-search("(",Left('Paste #BBall'!H123,Search("/",'Paste #BBall'!H123)-1)))</f>
        <v>1.3</v>
      </c>
      <c r="J123" s="152">
        <f t="shared" si="2"/>
        <v>0.7222222222</v>
      </c>
      <c r="K123" s="152">
        <f>'Paste #BBall'!I123</f>
        <v>0.6</v>
      </c>
      <c r="L123" s="152">
        <f>'Paste #BBall'!J123</f>
        <v>9.2</v>
      </c>
      <c r="M123" s="152">
        <f>'Paste #BBall'!K123</f>
        <v>5.6</v>
      </c>
      <c r="N123" s="152">
        <f>'Paste #BBall'!L123</f>
        <v>3.9</v>
      </c>
      <c r="O123" s="152">
        <f>'Paste #BBall'!M123</f>
        <v>1.1</v>
      </c>
      <c r="P123" s="152">
        <f>'Paste #BBall'!N123</f>
        <v>0.8</v>
      </c>
      <c r="Q123" s="152">
        <f>'Paste #BBall'!O123</f>
        <v>1.3</v>
      </c>
      <c r="R123" s="153" t="str">
        <f>Left(Right('Paste #BBall'!G123,Len('Paste #BBall'!G123)-Search("/",'Paste #BBall'!G123)),Len(Right('Paste #BBall'!G123,Len('Paste #BBall'!G123)-Search("/",'Paste #BBall'!G123)))-1)</f>
        <v>7.3</v>
      </c>
      <c r="S123" s="153" t="str">
        <f>Left(Right('Paste #BBall'!H123,Len('Paste #BBall'!H123)-Search("/",'Paste #BBall'!H123)),Len(Right('Paste #BBall'!H123,Len('Paste #BBall'!H123)-Search("/",'Paste #BBall'!H123)))-1)</f>
        <v>1.8</v>
      </c>
      <c r="T123" s="53"/>
      <c r="U123" s="53"/>
      <c r="V123" s="53"/>
    </row>
    <row r="124">
      <c r="A124" s="33">
        <v>123.0</v>
      </c>
      <c r="B124" s="149" t="str">
        <f>'Paste #BBall'!B124</f>
        <v>Kevin Huerter</v>
      </c>
      <c r="C124" s="150" t="str">
        <f>'Paste #BBall'!C124</f>
        <v>SG,SF</v>
      </c>
      <c r="D124" s="150" t="str">
        <f>'Paste #BBall'!D124</f>
        <v>SAC</v>
      </c>
      <c r="E124" s="151">
        <f>'Paste #BBall'!E124</f>
        <v>74</v>
      </c>
      <c r="F124" s="152">
        <f>'Paste #BBall'!F124</f>
        <v>30</v>
      </c>
      <c r="G124" s="153" t="str">
        <f>right(Left('Paste #BBall'!G124,Search("/",'Paste #BBall'!G124)-1),len(Left('Paste #BBall'!G124,Search("/",'Paste #BBall'!G124)-1))-search("(",Left('Paste #BBall'!G124,Search("/",'Paste #BBall'!G124)-1)))</f>
        <v>5.3</v>
      </c>
      <c r="H124" s="152">
        <f t="shared" si="1"/>
        <v>0.4732142857</v>
      </c>
      <c r="I124" s="152" t="str">
        <f>right(Left('Paste #BBall'!H124,Search("/",'Paste #BBall'!H124)-1),len(Left('Paste #BBall'!H124,Search("/",'Paste #BBall'!H124)-1))-search("(",Left('Paste #BBall'!H124,Search("/",'Paste #BBall'!H124)-1)))</f>
        <v>1.0</v>
      </c>
      <c r="J124" s="152">
        <f t="shared" si="2"/>
        <v>0.7692307692</v>
      </c>
      <c r="K124" s="152">
        <f>'Paste #BBall'!I124</f>
        <v>2.5</v>
      </c>
      <c r="L124" s="152">
        <f>'Paste #BBall'!J124</f>
        <v>14</v>
      </c>
      <c r="M124" s="152">
        <f>'Paste #BBall'!K124</f>
        <v>3.5</v>
      </c>
      <c r="N124" s="152">
        <f>'Paste #BBall'!L124</f>
        <v>2.9</v>
      </c>
      <c r="O124" s="152">
        <f>'Paste #BBall'!M124</f>
        <v>0.9</v>
      </c>
      <c r="P124" s="152">
        <f>'Paste #BBall'!N124</f>
        <v>0.4</v>
      </c>
      <c r="Q124" s="152">
        <f>'Paste #BBall'!O124</f>
        <v>1.3</v>
      </c>
      <c r="R124" s="153" t="str">
        <f>Left(Right('Paste #BBall'!G124,Len('Paste #BBall'!G124)-Search("/",'Paste #BBall'!G124)),Len(Right('Paste #BBall'!G124,Len('Paste #BBall'!G124)-Search("/",'Paste #BBall'!G124)))-1)</f>
        <v>11.2</v>
      </c>
      <c r="S124" s="153" t="str">
        <f>Left(Right('Paste #BBall'!H124,Len('Paste #BBall'!H124)-Search("/",'Paste #BBall'!H124)),Len(Right('Paste #BBall'!H124,Len('Paste #BBall'!H124)-Search("/",'Paste #BBall'!H124)))-1)</f>
        <v>1.3</v>
      </c>
      <c r="T124" s="53"/>
      <c r="U124" s="53"/>
      <c r="V124" s="53"/>
    </row>
    <row r="125">
      <c r="A125" s="33">
        <v>124.0</v>
      </c>
      <c r="B125" s="149" t="str">
        <f>'Paste #BBall'!B125</f>
        <v>Tari Eason</v>
      </c>
      <c r="C125" s="150" t="str">
        <f>'Paste #BBall'!C125</f>
        <v>SF,PF</v>
      </c>
      <c r="D125" s="150" t="str">
        <f>'Paste #BBall'!D125</f>
        <v>HOU</v>
      </c>
      <c r="E125" s="151">
        <f>'Paste #BBall'!E125</f>
        <v>78</v>
      </c>
      <c r="F125" s="152">
        <f>'Paste #BBall'!F125</f>
        <v>25.3</v>
      </c>
      <c r="G125" s="153" t="str">
        <f>right(Left('Paste #BBall'!G125,Search("/",'Paste #BBall'!G125)-1),len(Left('Paste #BBall'!G125,Search("/",'Paste #BBall'!G125)-1))-search("(",Left('Paste #BBall'!G125,Search("/",'Paste #BBall'!G125)-1)))</f>
        <v>4.5</v>
      </c>
      <c r="H125" s="152">
        <f t="shared" si="1"/>
        <v>0.4591836735</v>
      </c>
      <c r="I125" s="152" t="str">
        <f>right(Left('Paste #BBall'!H125,Search("/",'Paste #BBall'!H125)-1),len(Left('Paste #BBall'!H125,Search("/",'Paste #BBall'!H125)-1))-search("(",Left('Paste #BBall'!H125,Search("/",'Paste #BBall'!H125)-1)))</f>
        <v>1.6</v>
      </c>
      <c r="J125" s="152">
        <f t="shared" si="2"/>
        <v>0.7272727273</v>
      </c>
      <c r="K125" s="152">
        <f>'Paste #BBall'!I125</f>
        <v>0.9</v>
      </c>
      <c r="L125" s="152">
        <f>'Paste #BBall'!J125</f>
        <v>11.4</v>
      </c>
      <c r="M125" s="152">
        <f>'Paste #BBall'!K125</f>
        <v>7.4</v>
      </c>
      <c r="N125" s="152">
        <f>'Paste #BBall'!L125</f>
        <v>1.3</v>
      </c>
      <c r="O125" s="152">
        <f>'Paste #BBall'!M125</f>
        <v>1.3</v>
      </c>
      <c r="P125" s="152">
        <f>'Paste #BBall'!N125</f>
        <v>0.7</v>
      </c>
      <c r="Q125" s="152">
        <f>'Paste #BBall'!O125</f>
        <v>1.5</v>
      </c>
      <c r="R125" s="153" t="str">
        <f>Left(Right('Paste #BBall'!G125,Len('Paste #BBall'!G125)-Search("/",'Paste #BBall'!G125)),Len(Right('Paste #BBall'!G125,Len('Paste #BBall'!G125)-Search("/",'Paste #BBall'!G125)))-1)</f>
        <v>9.8</v>
      </c>
      <c r="S125" s="153" t="str">
        <f>Left(Right('Paste #BBall'!H125,Len('Paste #BBall'!H125)-Search("/",'Paste #BBall'!H125)),Len(Right('Paste #BBall'!H125,Len('Paste #BBall'!H125)-Search("/",'Paste #BBall'!H125)))-1)</f>
        <v>2.2</v>
      </c>
      <c r="T125" s="53"/>
      <c r="U125" s="53"/>
      <c r="V125" s="53"/>
    </row>
    <row r="126">
      <c r="A126" s="33">
        <v>125.0</v>
      </c>
      <c r="B126" s="149" t="str">
        <f>'Paste #BBall'!B126</f>
        <v>Jaden McDaniels</v>
      </c>
      <c r="C126" s="150" t="str">
        <f>'Paste #BBall'!C126</f>
        <v>SF,PF</v>
      </c>
      <c r="D126" s="150" t="str">
        <f>'Paste #BBall'!D126</f>
        <v>MIN</v>
      </c>
      <c r="E126" s="151">
        <f>'Paste #BBall'!E126</f>
        <v>74</v>
      </c>
      <c r="F126" s="152">
        <f>'Paste #BBall'!F126</f>
        <v>30.8</v>
      </c>
      <c r="G126" s="153" t="str">
        <f>right(Left('Paste #BBall'!G126,Search("/",'Paste #BBall'!G126)-1),len(Left('Paste #BBall'!G126,Search("/",'Paste #BBall'!G126)-1))-search("(",Left('Paste #BBall'!G126,Search("/",'Paste #BBall'!G126)-1)))</f>
        <v>4.6</v>
      </c>
      <c r="H126" s="152">
        <f t="shared" si="1"/>
        <v>0.4893617021</v>
      </c>
      <c r="I126" s="152" t="str">
        <f>right(Left('Paste #BBall'!H126,Search("/",'Paste #BBall'!H126)-1),len(Left('Paste #BBall'!H126,Search("/",'Paste #BBall'!H126)-1))-search("(",Left('Paste #BBall'!H126,Search("/",'Paste #BBall'!H126)-1)))</f>
        <v>1.2</v>
      </c>
      <c r="J126" s="152">
        <f t="shared" si="2"/>
        <v>0.75</v>
      </c>
      <c r="K126" s="152">
        <f>'Paste #BBall'!I126</f>
        <v>1.4</v>
      </c>
      <c r="L126" s="152">
        <f>'Paste #BBall'!J126</f>
        <v>11.8</v>
      </c>
      <c r="M126" s="152">
        <f>'Paste #BBall'!K126</f>
        <v>4.4</v>
      </c>
      <c r="N126" s="152">
        <f>'Paste #BBall'!L126</f>
        <v>1.7</v>
      </c>
      <c r="O126" s="152">
        <f>'Paste #BBall'!M126</f>
        <v>0.9</v>
      </c>
      <c r="P126" s="152">
        <f>'Paste #BBall'!N126</f>
        <v>1</v>
      </c>
      <c r="Q126" s="152">
        <f>'Paste #BBall'!O126</f>
        <v>1.4</v>
      </c>
      <c r="R126" s="153" t="str">
        <f>Left(Right('Paste #BBall'!G126,Len('Paste #BBall'!G126)-Search("/",'Paste #BBall'!G126)),Len(Right('Paste #BBall'!G126,Len('Paste #BBall'!G126)-Search("/",'Paste #BBall'!G126)))-1)</f>
        <v>9.4</v>
      </c>
      <c r="S126" s="153" t="str">
        <f>Left(Right('Paste #BBall'!H126,Len('Paste #BBall'!H126)-Search("/",'Paste #BBall'!H126)),Len(Right('Paste #BBall'!H126,Len('Paste #BBall'!H126)-Search("/",'Paste #BBall'!H126)))-1)</f>
        <v>1.6</v>
      </c>
      <c r="T126" s="53"/>
      <c r="U126" s="53"/>
      <c r="V126" s="53"/>
    </row>
    <row r="127">
      <c r="A127" s="33">
        <v>126.0</v>
      </c>
      <c r="B127" s="149" t="str">
        <f>'Paste #BBall'!B127</f>
        <v>Jarred Vanderbilt</v>
      </c>
      <c r="C127" s="150" t="str">
        <f>'Paste #BBall'!C127</f>
        <v>PF</v>
      </c>
      <c r="D127" s="150" t="str">
        <f>'Paste #BBall'!D127</f>
        <v>LAL</v>
      </c>
      <c r="E127" s="151">
        <f>'Paste #BBall'!E127</f>
        <v>76</v>
      </c>
      <c r="F127" s="152">
        <f>'Paste #BBall'!F127</f>
        <v>26.4</v>
      </c>
      <c r="G127" s="153" t="str">
        <f>right(Left('Paste #BBall'!G127,Search("/",'Paste #BBall'!G127)-1),len(Left('Paste #BBall'!G127,Search("/",'Paste #BBall'!G127)-1))-search("(",Left('Paste #BBall'!G127,Search("/",'Paste #BBall'!G127)-1)))</f>
        <v>3.3</v>
      </c>
      <c r="H127" s="152">
        <f t="shared" si="1"/>
        <v>0.5689655172</v>
      </c>
      <c r="I127" s="152" t="str">
        <f>right(Left('Paste #BBall'!H127,Search("/",'Paste #BBall'!H127)-1),len(Left('Paste #BBall'!H127,Search("/",'Paste #BBall'!H127)-1))-search("(",Left('Paste #BBall'!H127,Search("/",'Paste #BBall'!H127)-1)))</f>
        <v>1.3</v>
      </c>
      <c r="J127" s="152">
        <f t="shared" si="2"/>
        <v>0.6842105263</v>
      </c>
      <c r="K127" s="152">
        <f>'Paste #BBall'!I127</f>
        <v>0.2</v>
      </c>
      <c r="L127" s="152">
        <f>'Paste #BBall'!J127</f>
        <v>8</v>
      </c>
      <c r="M127" s="152">
        <f>'Paste #BBall'!K127</f>
        <v>8.6</v>
      </c>
      <c r="N127" s="152">
        <f>'Paste #BBall'!L127</f>
        <v>2</v>
      </c>
      <c r="O127" s="152">
        <f>'Paste #BBall'!M127</f>
        <v>1.3</v>
      </c>
      <c r="P127" s="152">
        <f>'Paste #BBall'!N127</f>
        <v>0.5</v>
      </c>
      <c r="Q127" s="152">
        <f>'Paste #BBall'!O127</f>
        <v>1.2</v>
      </c>
      <c r="R127" s="153" t="str">
        <f>Left(Right('Paste #BBall'!G127,Len('Paste #BBall'!G127)-Search("/",'Paste #BBall'!G127)),Len(Right('Paste #BBall'!G127,Len('Paste #BBall'!G127)-Search("/",'Paste #BBall'!G127)))-1)</f>
        <v>5.8</v>
      </c>
      <c r="S127" s="153" t="str">
        <f>Left(Right('Paste #BBall'!H127,Len('Paste #BBall'!H127)-Search("/",'Paste #BBall'!H127)),Len(Right('Paste #BBall'!H127,Len('Paste #BBall'!H127)-Search("/",'Paste #BBall'!H127)))-1)</f>
        <v>1.9</v>
      </c>
      <c r="T127" s="53"/>
      <c r="U127" s="53"/>
      <c r="V127" s="53"/>
    </row>
    <row r="128">
      <c r="A128" s="33">
        <v>127.0</v>
      </c>
      <c r="B128" s="149" t="str">
        <f>'Paste #BBall'!B128</f>
        <v>Ben Simmons</v>
      </c>
      <c r="C128" s="150" t="str">
        <f>'Paste #BBall'!C128</f>
        <v>PG,SG,PF</v>
      </c>
      <c r="D128" s="150" t="str">
        <f>'Paste #BBall'!D128</f>
        <v>BKN</v>
      </c>
      <c r="E128" s="151">
        <f>'Paste #BBall'!E128</f>
        <v>50</v>
      </c>
      <c r="F128" s="152">
        <f>'Paste #BBall'!F128</f>
        <v>26.3</v>
      </c>
      <c r="G128" s="153" t="str">
        <f>right(Left('Paste #BBall'!G128,Search("/",'Paste #BBall'!G128)-1),len(Left('Paste #BBall'!G128,Search("/",'Paste #BBall'!G128)-1))-search("(",Left('Paste #BBall'!G128,Search("/",'Paste #BBall'!G128)-1)))</f>
        <v>4.0</v>
      </c>
      <c r="H128" s="152">
        <f t="shared" si="1"/>
        <v>0.5633802817</v>
      </c>
      <c r="I128" s="152" t="str">
        <f>right(Left('Paste #BBall'!H128,Search("/",'Paste #BBall'!H128)-1),len(Left('Paste #BBall'!H128,Search("/",'Paste #BBall'!H128)-1))-search("(",Left('Paste #BBall'!H128,Search("/",'Paste #BBall'!H128)-1)))</f>
        <v>0.6</v>
      </c>
      <c r="J128" s="152">
        <f t="shared" si="2"/>
        <v>0.4285714286</v>
      </c>
      <c r="K128" s="152">
        <f>'Paste #BBall'!I128</f>
        <v>0</v>
      </c>
      <c r="L128" s="152">
        <f>'Paste #BBall'!J128</f>
        <v>8.5</v>
      </c>
      <c r="M128" s="152">
        <f>'Paste #BBall'!K128</f>
        <v>6.3</v>
      </c>
      <c r="N128" s="152">
        <f>'Paste #BBall'!L128</f>
        <v>6.2</v>
      </c>
      <c r="O128" s="152">
        <f>'Paste #BBall'!M128</f>
        <v>1.3</v>
      </c>
      <c r="P128" s="152">
        <f>'Paste #BBall'!N128</f>
        <v>0.6</v>
      </c>
      <c r="Q128" s="152">
        <f>'Paste #BBall'!O128</f>
        <v>2.3</v>
      </c>
      <c r="R128" s="153" t="str">
        <f>Left(Right('Paste #BBall'!G128,Len('Paste #BBall'!G128)-Search("/",'Paste #BBall'!G128)),Len(Right('Paste #BBall'!G128,Len('Paste #BBall'!G128)-Search("/",'Paste #BBall'!G128)))-1)</f>
        <v>7.1</v>
      </c>
      <c r="S128" s="153" t="str">
        <f>Left(Right('Paste #BBall'!H128,Len('Paste #BBall'!H128)-Search("/",'Paste #BBall'!H128)),Len(Right('Paste #BBall'!H128,Len('Paste #BBall'!H128)-Search("/",'Paste #BBall'!H128)))-1)</f>
        <v>1.4</v>
      </c>
      <c r="T128" s="53"/>
      <c r="U128" s="53"/>
      <c r="V128" s="53"/>
    </row>
    <row r="129">
      <c r="A129" s="33">
        <v>128.0</v>
      </c>
      <c r="B129" s="149" t="str">
        <f>'Paste #BBall'!B129</f>
        <v>Matisse Thybulle</v>
      </c>
      <c r="C129" s="150" t="str">
        <f>'Paste #BBall'!C129</f>
        <v>SG,SF</v>
      </c>
      <c r="D129" s="150" t="str">
        <f>'Paste #BBall'!D129</f>
        <v>POR</v>
      </c>
      <c r="E129" s="151">
        <f>'Paste #BBall'!E129</f>
        <v>72</v>
      </c>
      <c r="F129" s="152">
        <f>'Paste #BBall'!F129</f>
        <v>27</v>
      </c>
      <c r="G129" s="153" t="str">
        <f>right(Left('Paste #BBall'!G129,Search("/",'Paste #BBall'!G129)-1),len(Left('Paste #BBall'!G129,Search("/",'Paste #BBall'!G129)-1))-search("(",Left('Paste #BBall'!G129,Search("/",'Paste #BBall'!G129)-1)))</f>
        <v>2.6</v>
      </c>
      <c r="H129" s="152">
        <f t="shared" si="1"/>
        <v>0.4642857143</v>
      </c>
      <c r="I129" s="152" t="str">
        <f>right(Left('Paste #BBall'!H129,Search("/",'Paste #BBall'!H129)-1),len(Left('Paste #BBall'!H129,Search("/",'Paste #BBall'!H129)-1))-search("(",Left('Paste #BBall'!H129,Search("/",'Paste #BBall'!H129)-1)))</f>
        <v>0.5</v>
      </c>
      <c r="J129" s="152">
        <f t="shared" si="2"/>
        <v>0.7142857143</v>
      </c>
      <c r="K129" s="152">
        <f>'Paste #BBall'!I129</f>
        <v>1.2</v>
      </c>
      <c r="L129" s="152">
        <f>'Paste #BBall'!J129</f>
        <v>6.8</v>
      </c>
      <c r="M129" s="152">
        <f>'Paste #BBall'!K129</f>
        <v>2.8</v>
      </c>
      <c r="N129" s="152">
        <f>'Paste #BBall'!L129</f>
        <v>1.2</v>
      </c>
      <c r="O129" s="152">
        <f>'Paste #BBall'!M129</f>
        <v>1.6</v>
      </c>
      <c r="P129" s="152">
        <f>'Paste #BBall'!N129</f>
        <v>1</v>
      </c>
      <c r="Q129" s="152">
        <f>'Paste #BBall'!O129</f>
        <v>0.6</v>
      </c>
      <c r="R129" s="153" t="str">
        <f>Left(Right('Paste #BBall'!G129,Len('Paste #BBall'!G129)-Search("/",'Paste #BBall'!G129)),Len(Right('Paste #BBall'!G129,Len('Paste #BBall'!G129)-Search("/",'Paste #BBall'!G129)))-1)</f>
        <v>5.6</v>
      </c>
      <c r="S129" s="153" t="str">
        <f>Left(Right('Paste #BBall'!H129,Len('Paste #BBall'!H129)-Search("/",'Paste #BBall'!H129)),Len(Right('Paste #BBall'!H129,Len('Paste #BBall'!H129)-Search("/",'Paste #BBall'!H129)))-1)</f>
        <v>0.7</v>
      </c>
      <c r="T129" s="53"/>
      <c r="U129" s="53"/>
      <c r="V129" s="53"/>
    </row>
    <row r="130">
      <c r="A130" s="33">
        <v>129.0</v>
      </c>
      <c r="B130" s="149" t="str">
        <f>'Paste #BBall'!B130</f>
        <v>Obi Toppin</v>
      </c>
      <c r="C130" s="150" t="str">
        <f>'Paste #BBall'!C130</f>
        <v>PF</v>
      </c>
      <c r="D130" s="150" t="str">
        <f>'Paste #BBall'!D130</f>
        <v>IND</v>
      </c>
      <c r="E130" s="151">
        <f>'Paste #BBall'!E130</f>
        <v>70</v>
      </c>
      <c r="F130" s="152">
        <f>'Paste #BBall'!F130</f>
        <v>29.5</v>
      </c>
      <c r="G130" s="153" t="str">
        <f>right(Left('Paste #BBall'!G130,Search("/",'Paste #BBall'!G130)-1),len(Left('Paste #BBall'!G130,Search("/",'Paste #BBall'!G130)-1))-search("(",Left('Paste #BBall'!G130,Search("/",'Paste #BBall'!G130)-1)))</f>
        <v>5.7</v>
      </c>
      <c r="H130" s="152">
        <f t="shared" si="1"/>
        <v>0.4789915966</v>
      </c>
      <c r="I130" s="152" t="str">
        <f>right(Left('Paste #BBall'!H130,Search("/",'Paste #BBall'!H130)-1),len(Left('Paste #BBall'!H130,Search("/",'Paste #BBall'!H130)-1))-search("(",Left('Paste #BBall'!H130,Search("/",'Paste #BBall'!H130)-1)))</f>
        <v>1.7</v>
      </c>
      <c r="J130" s="152">
        <f t="shared" si="2"/>
        <v>0.8095238095</v>
      </c>
      <c r="K130" s="152">
        <f>'Paste #BBall'!I130</f>
        <v>1.5</v>
      </c>
      <c r="L130" s="152">
        <f>'Paste #BBall'!J130</f>
        <v>14.7</v>
      </c>
      <c r="M130" s="152">
        <f>'Paste #BBall'!K130</f>
        <v>5.6</v>
      </c>
      <c r="N130" s="152">
        <f>'Paste #BBall'!L130</f>
        <v>1.6</v>
      </c>
      <c r="O130" s="152">
        <f>'Paste #BBall'!M130</f>
        <v>0.6</v>
      </c>
      <c r="P130" s="152">
        <f>'Paste #BBall'!N130</f>
        <v>0.6</v>
      </c>
      <c r="Q130" s="152">
        <f>'Paste #BBall'!O130</f>
        <v>1.2</v>
      </c>
      <c r="R130" s="153" t="str">
        <f>Left(Right('Paste #BBall'!G130,Len('Paste #BBall'!G130)-Search("/",'Paste #BBall'!G130)),Len(Right('Paste #BBall'!G130,Len('Paste #BBall'!G130)-Search("/",'Paste #BBall'!G130)))-1)</f>
        <v>11.9</v>
      </c>
      <c r="S130" s="153" t="str">
        <f>Left(Right('Paste #BBall'!H130,Len('Paste #BBall'!H130)-Search("/",'Paste #BBall'!H130)),Len(Right('Paste #BBall'!H130,Len('Paste #BBall'!H130)-Search("/",'Paste #BBall'!H130)))-1)</f>
        <v>2.1</v>
      </c>
      <c r="T130" s="53"/>
      <c r="U130" s="53"/>
      <c r="V130" s="53"/>
    </row>
    <row r="131">
      <c r="A131" s="33">
        <v>130.0</v>
      </c>
      <c r="B131" s="149" t="str">
        <f>'Paste #BBall'!B131</f>
        <v>Delon Wright</v>
      </c>
      <c r="C131" s="150" t="str">
        <f>'Paste #BBall'!C131</f>
        <v>PG,SG</v>
      </c>
      <c r="D131" s="150" t="str">
        <f>'Paste #BBall'!D131</f>
        <v>WAS</v>
      </c>
      <c r="E131" s="151">
        <f>'Paste #BBall'!E131</f>
        <v>68</v>
      </c>
      <c r="F131" s="152">
        <f>'Paste #BBall'!F131</f>
        <v>24</v>
      </c>
      <c r="G131" s="153" t="str">
        <f>right(Left('Paste #BBall'!G131,Search("/",'Paste #BBall'!G131)-1),len(Left('Paste #BBall'!G131,Search("/",'Paste #BBall'!G131)-1))-search("(",Left('Paste #BBall'!G131,Search("/",'Paste #BBall'!G131)-1)))</f>
        <v>2.4</v>
      </c>
      <c r="H131" s="152">
        <f t="shared" si="1"/>
        <v>0.4705882353</v>
      </c>
      <c r="I131" s="152" t="str">
        <f>right(Left('Paste #BBall'!H131,Search("/",'Paste #BBall'!H131)-1),len(Left('Paste #BBall'!H131,Search("/",'Paste #BBall'!H131)-1))-search("(",Left('Paste #BBall'!H131,Search("/",'Paste #BBall'!H131)-1)))</f>
        <v>1.0</v>
      </c>
      <c r="J131" s="152">
        <f t="shared" si="2"/>
        <v>0.9090909091</v>
      </c>
      <c r="K131" s="152">
        <f>'Paste #BBall'!I131</f>
        <v>0.8</v>
      </c>
      <c r="L131" s="152">
        <f>'Paste #BBall'!J131</f>
        <v>6.5</v>
      </c>
      <c r="M131" s="152">
        <f>'Paste #BBall'!K131</f>
        <v>3.6</v>
      </c>
      <c r="N131" s="152">
        <f>'Paste #BBall'!L131</f>
        <v>3.5</v>
      </c>
      <c r="O131" s="152">
        <f>'Paste #BBall'!M131</f>
        <v>1.6</v>
      </c>
      <c r="P131" s="152">
        <f>'Paste #BBall'!N131</f>
        <v>0.3</v>
      </c>
      <c r="Q131" s="152">
        <f>'Paste #BBall'!O131</f>
        <v>0.8</v>
      </c>
      <c r="R131" s="153" t="str">
        <f>Left(Right('Paste #BBall'!G131,Len('Paste #BBall'!G131)-Search("/",'Paste #BBall'!G131)),Len(Right('Paste #BBall'!G131,Len('Paste #BBall'!G131)-Search("/",'Paste #BBall'!G131)))-1)</f>
        <v>5.1</v>
      </c>
      <c r="S131" s="153" t="str">
        <f>Left(Right('Paste #BBall'!H131,Len('Paste #BBall'!H131)-Search("/",'Paste #BBall'!H131)),Len(Right('Paste #BBall'!H131,Len('Paste #BBall'!H131)-Search("/",'Paste #BBall'!H131)))-1)</f>
        <v>1.1</v>
      </c>
      <c r="T131" s="53"/>
      <c r="U131" s="53"/>
      <c r="V131" s="53"/>
    </row>
    <row r="132">
      <c r="A132" s="33">
        <v>131.0</v>
      </c>
      <c r="B132" s="149" t="str">
        <f>'Paste #BBall'!B132</f>
        <v>Jordan Clarkson</v>
      </c>
      <c r="C132" s="150" t="str">
        <f>'Paste #BBall'!C132</f>
        <v>PG,SG</v>
      </c>
      <c r="D132" s="150" t="str">
        <f>'Paste #BBall'!D132</f>
        <v>UTA</v>
      </c>
      <c r="E132" s="151">
        <f>'Paste #BBall'!E132</f>
        <v>68</v>
      </c>
      <c r="F132" s="152">
        <f>'Paste #BBall'!F132</f>
        <v>31</v>
      </c>
      <c r="G132" s="153" t="str">
        <f>right(Left('Paste #BBall'!G132,Search("/",'Paste #BBall'!G132)-1),len(Left('Paste #BBall'!G132,Search("/",'Paste #BBall'!G132)-1))-search("(",Left('Paste #BBall'!G132,Search("/",'Paste #BBall'!G132)-1)))</f>
        <v>7.0</v>
      </c>
      <c r="H132" s="152">
        <f t="shared" si="1"/>
        <v>0.4294478528</v>
      </c>
      <c r="I132" s="152" t="str">
        <f>right(Left('Paste #BBall'!H132,Search("/",'Paste #BBall'!H132)-1),len(Left('Paste #BBall'!H132,Search("/",'Paste #BBall'!H132)-1))-search("(",Left('Paste #BBall'!H132,Search("/",'Paste #BBall'!H132)-1)))</f>
        <v>2.6</v>
      </c>
      <c r="J132" s="152">
        <f t="shared" si="2"/>
        <v>0.8125</v>
      </c>
      <c r="K132" s="152">
        <f>'Paste #BBall'!I132</f>
        <v>2.6</v>
      </c>
      <c r="L132" s="152">
        <f>'Paste #BBall'!J132</f>
        <v>19.2</v>
      </c>
      <c r="M132" s="152">
        <f>'Paste #BBall'!K132</f>
        <v>3.9</v>
      </c>
      <c r="N132" s="152">
        <f>'Paste #BBall'!L132</f>
        <v>3.5</v>
      </c>
      <c r="O132" s="152">
        <f>'Paste #BBall'!M132</f>
        <v>0.8</v>
      </c>
      <c r="P132" s="152">
        <f>'Paste #BBall'!N132</f>
        <v>0.2</v>
      </c>
      <c r="Q132" s="152">
        <f>'Paste #BBall'!O132</f>
        <v>2.4</v>
      </c>
      <c r="R132" s="153" t="str">
        <f>Left(Right('Paste #BBall'!G132,Len('Paste #BBall'!G132)-Search("/",'Paste #BBall'!G132)),Len(Right('Paste #BBall'!G132,Len('Paste #BBall'!G132)-Search("/",'Paste #BBall'!G132)))-1)</f>
        <v>16.3</v>
      </c>
      <c r="S132" s="153" t="str">
        <f>Left(Right('Paste #BBall'!H132,Len('Paste #BBall'!H132)-Search("/",'Paste #BBall'!H132)),Len(Right('Paste #BBall'!H132,Len('Paste #BBall'!H132)-Search("/",'Paste #BBall'!H132)))-1)</f>
        <v>3.2</v>
      </c>
      <c r="T132" s="53"/>
      <c r="U132" s="53"/>
      <c r="V132" s="53"/>
    </row>
    <row r="133">
      <c r="A133" s="33">
        <v>132.0</v>
      </c>
      <c r="B133" s="149" t="str">
        <f>'Paste #BBall'!B133</f>
        <v>Aaron Gordon</v>
      </c>
      <c r="C133" s="150" t="str">
        <f>'Paste #BBall'!C133</f>
        <v>PF</v>
      </c>
      <c r="D133" s="150" t="str">
        <f>'Paste #BBall'!D133</f>
        <v>DEN</v>
      </c>
      <c r="E133" s="151">
        <f>'Paste #BBall'!E133</f>
        <v>70</v>
      </c>
      <c r="F133" s="152">
        <f>'Paste #BBall'!F133</f>
        <v>31.3</v>
      </c>
      <c r="G133" s="153" t="str">
        <f>right(Left('Paste #BBall'!G133,Search("/",'Paste #BBall'!G133)-1),len(Left('Paste #BBall'!G133,Search("/",'Paste #BBall'!G133)-1))-search("(",Left('Paste #BBall'!G133,Search("/",'Paste #BBall'!G133)-1)))</f>
        <v>6.2</v>
      </c>
      <c r="H133" s="152">
        <f t="shared" si="1"/>
        <v>0.5438596491</v>
      </c>
      <c r="I133" s="152" t="str">
        <f>right(Left('Paste #BBall'!H133,Search("/",'Paste #BBall'!H133)-1),len(Left('Paste #BBall'!H133,Search("/",'Paste #BBall'!H133)-1))-search("(",Left('Paste #BBall'!H133,Search("/",'Paste #BBall'!H133)-1)))</f>
        <v>2.6</v>
      </c>
      <c r="J133" s="152">
        <f t="shared" si="2"/>
        <v>0.6666666667</v>
      </c>
      <c r="K133" s="152">
        <f>'Paste #BBall'!I133</f>
        <v>1.1</v>
      </c>
      <c r="L133" s="152">
        <f>'Paste #BBall'!J133</f>
        <v>16</v>
      </c>
      <c r="M133" s="152">
        <f>'Paste #BBall'!K133</f>
        <v>6.3</v>
      </c>
      <c r="N133" s="152">
        <f>'Paste #BBall'!L133</f>
        <v>2.8</v>
      </c>
      <c r="O133" s="152">
        <f>'Paste #BBall'!M133</f>
        <v>0.7</v>
      </c>
      <c r="P133" s="152">
        <f>'Paste #BBall'!N133</f>
        <v>0.7</v>
      </c>
      <c r="Q133" s="152">
        <f>'Paste #BBall'!O133</f>
        <v>1.7</v>
      </c>
      <c r="R133" s="153" t="str">
        <f>Left(Right('Paste #BBall'!G133,Len('Paste #BBall'!G133)-Search("/",'Paste #BBall'!G133)),Len(Right('Paste #BBall'!G133,Len('Paste #BBall'!G133)-Search("/",'Paste #BBall'!G133)))-1)</f>
        <v>11.4</v>
      </c>
      <c r="S133" s="153" t="str">
        <f>Left(Right('Paste #BBall'!H133,Len('Paste #BBall'!H133)-Search("/",'Paste #BBall'!H133)),Len(Right('Paste #BBall'!H133,Len('Paste #BBall'!H133)-Search("/",'Paste #BBall'!H133)))-1)</f>
        <v>3.9</v>
      </c>
      <c r="T133" s="53"/>
      <c r="U133" s="53"/>
      <c r="V133" s="53"/>
    </row>
    <row r="134">
      <c r="A134" s="33">
        <v>133.0</v>
      </c>
      <c r="B134" s="149" t="str">
        <f>'Paste #BBall'!B134</f>
        <v>Norman Powell</v>
      </c>
      <c r="C134" s="150" t="str">
        <f>'Paste #BBall'!C134</f>
        <v>SG,SF</v>
      </c>
      <c r="D134" s="150" t="str">
        <f>'Paste #BBall'!D134</f>
        <v>LAC</v>
      </c>
      <c r="E134" s="151">
        <f>'Paste #BBall'!E134</f>
        <v>60</v>
      </c>
      <c r="F134" s="152">
        <f>'Paste #BBall'!F134</f>
        <v>27.1</v>
      </c>
      <c r="G134" s="153" t="str">
        <f>right(Left('Paste #BBall'!G134,Search("/",'Paste #BBall'!G134)-1),len(Left('Paste #BBall'!G134,Search("/",'Paste #BBall'!G134)-1))-search("(",Left('Paste #BBall'!G134,Search("/",'Paste #BBall'!G134)-1)))</f>
        <v>5.6</v>
      </c>
      <c r="H134" s="152">
        <f t="shared" si="1"/>
        <v>0.4705882353</v>
      </c>
      <c r="I134" s="152" t="str">
        <f>right(Left('Paste #BBall'!H134,Search("/",'Paste #BBall'!H134)-1),len(Left('Paste #BBall'!H134,Search("/",'Paste #BBall'!H134)-1))-search("(",Left('Paste #BBall'!H134,Search("/",'Paste #BBall'!H134)-1)))</f>
        <v>3.8</v>
      </c>
      <c r="J134" s="152">
        <f t="shared" si="2"/>
        <v>0.8260869565</v>
      </c>
      <c r="K134" s="152">
        <f>'Paste #BBall'!I134</f>
        <v>2</v>
      </c>
      <c r="L134" s="152">
        <f>'Paste #BBall'!J134</f>
        <v>17</v>
      </c>
      <c r="M134" s="152">
        <f>'Paste #BBall'!K134</f>
        <v>2.9</v>
      </c>
      <c r="N134" s="152">
        <f>'Paste #BBall'!L134</f>
        <v>1.9</v>
      </c>
      <c r="O134" s="152">
        <f>'Paste #BBall'!M134</f>
        <v>0.8</v>
      </c>
      <c r="P134" s="152">
        <f>'Paste #BBall'!N134</f>
        <v>0.4</v>
      </c>
      <c r="Q134" s="152">
        <f>'Paste #BBall'!O134</f>
        <v>1.5</v>
      </c>
      <c r="R134" s="153" t="str">
        <f>Left(Right('Paste #BBall'!G134,Len('Paste #BBall'!G134)-Search("/",'Paste #BBall'!G134)),Len(Right('Paste #BBall'!G134,Len('Paste #BBall'!G134)-Search("/",'Paste #BBall'!G134)))-1)</f>
        <v>11.9</v>
      </c>
      <c r="S134" s="153" t="str">
        <f>Left(Right('Paste #BBall'!H134,Len('Paste #BBall'!H134)-Search("/",'Paste #BBall'!H134)),Len(Right('Paste #BBall'!H134,Len('Paste #BBall'!H134)-Search("/",'Paste #BBall'!H134)))-1)</f>
        <v>4.6</v>
      </c>
      <c r="T134" s="53"/>
      <c r="U134" s="53"/>
      <c r="V134" s="53"/>
    </row>
    <row r="135">
      <c r="A135" s="33">
        <v>134.0</v>
      </c>
      <c r="B135" s="149" t="str">
        <f>'Paste #BBall'!B135</f>
        <v>Bogdan Bogdanovic</v>
      </c>
      <c r="C135" s="150" t="str">
        <f>'Paste #BBall'!C135</f>
        <v>SG,SF,PF</v>
      </c>
      <c r="D135" s="150" t="str">
        <f>'Paste #BBall'!D135</f>
        <v>ATL</v>
      </c>
      <c r="E135" s="151">
        <f>'Paste #BBall'!E135</f>
        <v>52</v>
      </c>
      <c r="F135" s="152">
        <f>'Paste #BBall'!F135</f>
        <v>26.8</v>
      </c>
      <c r="G135" s="153" t="str">
        <f>right(Left('Paste #BBall'!G135,Search("/",'Paste #BBall'!G135)-1),len(Left('Paste #BBall'!G135,Search("/",'Paste #BBall'!G135)-1))-search("(",Left('Paste #BBall'!G135,Search("/",'Paste #BBall'!G135)-1)))</f>
        <v>5.0</v>
      </c>
      <c r="H135" s="152">
        <f t="shared" si="1"/>
        <v>0.4424778761</v>
      </c>
      <c r="I135" s="152" t="str">
        <f>right(Left('Paste #BBall'!H135,Search("/",'Paste #BBall'!H135)-1),len(Left('Paste #BBall'!H135,Search("/",'Paste #BBall'!H135)-1))-search("(",Left('Paste #BBall'!H135,Search("/",'Paste #BBall'!H135)-1)))</f>
        <v>1.3</v>
      </c>
      <c r="J135" s="152">
        <f t="shared" si="2"/>
        <v>0.8125</v>
      </c>
      <c r="K135" s="152">
        <f>'Paste #BBall'!I135</f>
        <v>2.5</v>
      </c>
      <c r="L135" s="152">
        <f>'Paste #BBall'!J135</f>
        <v>13.8</v>
      </c>
      <c r="M135" s="152">
        <f>'Paste #BBall'!K135</f>
        <v>3.4</v>
      </c>
      <c r="N135" s="152">
        <f>'Paste #BBall'!L135</f>
        <v>2.8</v>
      </c>
      <c r="O135" s="152">
        <f>'Paste #BBall'!M135</f>
        <v>0.9</v>
      </c>
      <c r="P135" s="152">
        <f>'Paste #BBall'!N135</f>
        <v>0.3</v>
      </c>
      <c r="Q135" s="152">
        <f>'Paste #BBall'!O135</f>
        <v>1.1</v>
      </c>
      <c r="R135" s="153" t="str">
        <f>Left(Right('Paste #BBall'!G135,Len('Paste #BBall'!G135)-Search("/",'Paste #BBall'!G135)),Len(Right('Paste #BBall'!G135,Len('Paste #BBall'!G135)-Search("/",'Paste #BBall'!G135)))-1)</f>
        <v>11.3</v>
      </c>
      <c r="S135" s="153" t="str">
        <f>Left(Right('Paste #BBall'!H135,Len('Paste #BBall'!H135)-Search("/",'Paste #BBall'!H135)),Len(Right('Paste #BBall'!H135,Len('Paste #BBall'!H135)-Search("/",'Paste #BBall'!H135)))-1)</f>
        <v>1.6</v>
      </c>
      <c r="T135" s="53"/>
      <c r="U135" s="53"/>
      <c r="V135" s="53"/>
    </row>
    <row r="136">
      <c r="A136" s="33">
        <v>135.0</v>
      </c>
      <c r="B136" s="149" t="str">
        <f>'Paste #BBall'!B136</f>
        <v>Patrick Williams</v>
      </c>
      <c r="C136" s="150" t="str">
        <f>'Paste #BBall'!C136</f>
        <v>PF</v>
      </c>
      <c r="D136" s="150" t="str">
        <f>'Paste #BBall'!D136</f>
        <v>CHI</v>
      </c>
      <c r="E136" s="151">
        <f>'Paste #BBall'!E136</f>
        <v>72</v>
      </c>
      <c r="F136" s="152">
        <f>'Paste #BBall'!F136</f>
        <v>29.3</v>
      </c>
      <c r="G136" s="153" t="str">
        <f>right(Left('Paste #BBall'!G136,Search("/",'Paste #BBall'!G136)-1),len(Left('Paste #BBall'!G136,Search("/",'Paste #BBall'!G136)-1))-search("(",Left('Paste #BBall'!G136,Search("/",'Paste #BBall'!G136)-1)))</f>
        <v>4.0</v>
      </c>
      <c r="H136" s="152">
        <f t="shared" si="1"/>
        <v>0.4761904762</v>
      </c>
      <c r="I136" s="152" t="str">
        <f>right(Left('Paste #BBall'!H136,Search("/",'Paste #BBall'!H136)-1),len(Left('Paste #BBall'!H136,Search("/",'Paste #BBall'!H136)-1))-search("(",Left('Paste #BBall'!H136,Search("/",'Paste #BBall'!H136)-1)))</f>
        <v>1.3</v>
      </c>
      <c r="J136" s="152">
        <f t="shared" si="2"/>
        <v>0.8125</v>
      </c>
      <c r="K136" s="152">
        <f>'Paste #BBall'!I136</f>
        <v>1.4</v>
      </c>
      <c r="L136" s="152">
        <f>'Paste #BBall'!J136</f>
        <v>10.7</v>
      </c>
      <c r="M136" s="152">
        <f>'Paste #BBall'!K136</f>
        <v>4.3</v>
      </c>
      <c r="N136" s="152">
        <f>'Paste #BBall'!L136</f>
        <v>1.2</v>
      </c>
      <c r="O136" s="152">
        <f>'Paste #BBall'!M136</f>
        <v>0.9</v>
      </c>
      <c r="P136" s="152">
        <f>'Paste #BBall'!N136</f>
        <v>0.9</v>
      </c>
      <c r="Q136" s="152">
        <f>'Paste #BBall'!O136</f>
        <v>1.3</v>
      </c>
      <c r="R136" s="153" t="str">
        <f>Left(Right('Paste #BBall'!G136,Len('Paste #BBall'!G136)-Search("/",'Paste #BBall'!G136)),Len(Right('Paste #BBall'!G136,Len('Paste #BBall'!G136)-Search("/",'Paste #BBall'!G136)))-1)</f>
        <v>8.4</v>
      </c>
      <c r="S136" s="153" t="str">
        <f>Left(Right('Paste #BBall'!H136,Len('Paste #BBall'!H136)-Search("/",'Paste #BBall'!H136)),Len(Right('Paste #BBall'!H136,Len('Paste #BBall'!H136)-Search("/",'Paste #BBall'!H136)))-1)</f>
        <v>1.6</v>
      </c>
      <c r="T136" s="53"/>
      <c r="U136" s="53"/>
      <c r="V136" s="53"/>
    </row>
    <row r="137">
      <c r="A137" s="33">
        <v>136.0</v>
      </c>
      <c r="B137" s="149" t="str">
        <f>'Paste #BBall'!B137</f>
        <v>Josh Richardson</v>
      </c>
      <c r="C137" s="150" t="str">
        <f>'Paste #BBall'!C137</f>
        <v>SG</v>
      </c>
      <c r="D137" s="150" t="str">
        <f>'Paste #BBall'!D137</f>
        <v>MIA</v>
      </c>
      <c r="E137" s="151">
        <f>'Paste #BBall'!E137</f>
        <v>65</v>
      </c>
      <c r="F137" s="152">
        <f>'Paste #BBall'!F137</f>
        <v>27.5</v>
      </c>
      <c r="G137" s="153" t="str">
        <f>right(Left('Paste #BBall'!G137,Search("/",'Paste #BBall'!G137)-1),len(Left('Paste #BBall'!G137,Search("/",'Paste #BBall'!G137)-1))-search("(",Left('Paste #BBall'!G137,Search("/",'Paste #BBall'!G137)-1)))</f>
        <v>4.2</v>
      </c>
      <c r="H137" s="152">
        <f t="shared" si="1"/>
        <v>0.4329896907</v>
      </c>
      <c r="I137" s="152" t="str">
        <f>right(Left('Paste #BBall'!H137,Search("/",'Paste #BBall'!H137)-1),len(Left('Paste #BBall'!H137,Search("/",'Paste #BBall'!H137)-1))-search("(",Left('Paste #BBall'!H137,Search("/",'Paste #BBall'!H137)-1)))</f>
        <v>1.5</v>
      </c>
      <c r="J137" s="152">
        <f t="shared" si="2"/>
        <v>0.8823529412</v>
      </c>
      <c r="K137" s="152">
        <f>'Paste #BBall'!I137</f>
        <v>1.9</v>
      </c>
      <c r="L137" s="152">
        <f>'Paste #BBall'!J137</f>
        <v>11.7</v>
      </c>
      <c r="M137" s="152">
        <f>'Paste #BBall'!K137</f>
        <v>3.2</v>
      </c>
      <c r="N137" s="152">
        <f>'Paste #BBall'!L137</f>
        <v>2.6</v>
      </c>
      <c r="O137" s="152">
        <f>'Paste #BBall'!M137</f>
        <v>1.1</v>
      </c>
      <c r="P137" s="152">
        <f>'Paste #BBall'!N137</f>
        <v>0.4</v>
      </c>
      <c r="Q137" s="152">
        <f>'Paste #BBall'!O137</f>
        <v>1.4</v>
      </c>
      <c r="R137" s="153" t="str">
        <f>Left(Right('Paste #BBall'!G137,Len('Paste #BBall'!G137)-Search("/",'Paste #BBall'!G137)),Len(Right('Paste #BBall'!G137,Len('Paste #BBall'!G137)-Search("/",'Paste #BBall'!G137)))-1)</f>
        <v>9.7</v>
      </c>
      <c r="S137" s="153" t="str">
        <f>Left(Right('Paste #BBall'!H137,Len('Paste #BBall'!H137)-Search("/",'Paste #BBall'!H137)),Len(Right('Paste #BBall'!H137,Len('Paste #BBall'!H137)-Search("/",'Paste #BBall'!H137)))-1)</f>
        <v>1.7</v>
      </c>
      <c r="T137" s="53"/>
      <c r="U137" s="53"/>
      <c r="V137" s="53"/>
    </row>
    <row r="138">
      <c r="A138" s="33">
        <v>137.0</v>
      </c>
      <c r="B138" s="149" t="str">
        <f>'Paste #BBall'!B138</f>
        <v>Caleb Martin</v>
      </c>
      <c r="C138" s="150" t="str">
        <f>'Paste #BBall'!C138</f>
        <v>SG,SF</v>
      </c>
      <c r="D138" s="150" t="str">
        <f>'Paste #BBall'!D138</f>
        <v>MIA</v>
      </c>
      <c r="E138" s="151">
        <f>'Paste #BBall'!E138</f>
        <v>70</v>
      </c>
      <c r="F138" s="152">
        <f>'Paste #BBall'!F138</f>
        <v>29.6</v>
      </c>
      <c r="G138" s="153" t="str">
        <f>right(Left('Paste #BBall'!G138,Search("/",'Paste #BBall'!G138)-1),len(Left('Paste #BBall'!G138,Search("/",'Paste #BBall'!G138)-1))-search("(",Left('Paste #BBall'!G138,Search("/",'Paste #BBall'!G138)-1)))</f>
        <v>4.0</v>
      </c>
      <c r="H138" s="152">
        <f t="shared" si="1"/>
        <v>0.4819277108</v>
      </c>
      <c r="I138" s="152" t="str">
        <f>right(Left('Paste #BBall'!H138,Search("/",'Paste #BBall'!H138)-1),len(Left('Paste #BBall'!H138,Search("/",'Paste #BBall'!H138)-1))-search("(",Left('Paste #BBall'!H138,Search("/",'Paste #BBall'!H138)-1)))</f>
        <v>1.4</v>
      </c>
      <c r="J138" s="152">
        <f t="shared" si="2"/>
        <v>0.7777777778</v>
      </c>
      <c r="K138" s="152">
        <f>'Paste #BBall'!I138</f>
        <v>1.3</v>
      </c>
      <c r="L138" s="152">
        <f>'Paste #BBall'!J138</f>
        <v>10.7</v>
      </c>
      <c r="M138" s="152">
        <f>'Paste #BBall'!K138</f>
        <v>5</v>
      </c>
      <c r="N138" s="152">
        <f>'Paste #BBall'!L138</f>
        <v>1.6</v>
      </c>
      <c r="O138" s="152">
        <f>'Paste #BBall'!M138</f>
        <v>1.1</v>
      </c>
      <c r="P138" s="152">
        <f>'Paste #BBall'!N138</f>
        <v>0.5</v>
      </c>
      <c r="Q138" s="152">
        <f>'Paste #BBall'!O138</f>
        <v>1.1</v>
      </c>
      <c r="R138" s="153" t="str">
        <f>Left(Right('Paste #BBall'!G138,Len('Paste #BBall'!G138)-Search("/",'Paste #BBall'!G138)),Len(Right('Paste #BBall'!G138,Len('Paste #BBall'!G138)-Search("/",'Paste #BBall'!G138)))-1)</f>
        <v>8.3</v>
      </c>
      <c r="S138" s="153" t="str">
        <f>Left(Right('Paste #BBall'!H138,Len('Paste #BBall'!H138)-Search("/",'Paste #BBall'!H138)),Len(Right('Paste #BBall'!H138,Len('Paste #BBall'!H138)-Search("/",'Paste #BBall'!H138)))-1)</f>
        <v>1.8</v>
      </c>
      <c r="T138" s="53"/>
      <c r="U138" s="53"/>
      <c r="V138" s="53"/>
    </row>
    <row r="139">
      <c r="A139" s="33">
        <v>138.0</v>
      </c>
      <c r="B139" s="149" t="str">
        <f>'Paste #BBall'!B139</f>
        <v>Donte DiVincenzo</v>
      </c>
      <c r="C139" s="150" t="str">
        <f>'Paste #BBall'!C139</f>
        <v>SG,SF</v>
      </c>
      <c r="D139" s="150" t="str">
        <f>'Paste #BBall'!D139</f>
        <v>NY</v>
      </c>
      <c r="E139" s="151">
        <f>'Paste #BBall'!E139</f>
        <v>70</v>
      </c>
      <c r="F139" s="152">
        <f>'Paste #BBall'!F139</f>
        <v>25.1</v>
      </c>
      <c r="G139" s="153" t="str">
        <f>right(Left('Paste #BBall'!G139,Search("/",'Paste #BBall'!G139)-1),len(Left('Paste #BBall'!G139,Search("/",'Paste #BBall'!G139)-1))-search("(",Left('Paste #BBall'!G139,Search("/",'Paste #BBall'!G139)-1)))</f>
        <v>3.1</v>
      </c>
      <c r="H139" s="152">
        <f t="shared" si="1"/>
        <v>0.4246575342</v>
      </c>
      <c r="I139" s="152" t="str">
        <f>right(Left('Paste #BBall'!H139,Search("/",'Paste #BBall'!H139)-1),len(Left('Paste #BBall'!H139,Search("/",'Paste #BBall'!H139)-1))-search("(",Left('Paste #BBall'!H139,Search("/",'Paste #BBall'!H139)-1)))</f>
        <v>1.1</v>
      </c>
      <c r="J139" s="152">
        <f t="shared" si="2"/>
        <v>0.7857142857</v>
      </c>
      <c r="K139" s="152">
        <f>'Paste #BBall'!I139</f>
        <v>2</v>
      </c>
      <c r="L139" s="152">
        <f>'Paste #BBall'!J139</f>
        <v>9.3</v>
      </c>
      <c r="M139" s="152">
        <f>'Paste #BBall'!K139</f>
        <v>4.3</v>
      </c>
      <c r="N139" s="152">
        <f>'Paste #BBall'!L139</f>
        <v>3.2</v>
      </c>
      <c r="O139" s="152">
        <f>'Paste #BBall'!M139</f>
        <v>1.3</v>
      </c>
      <c r="P139" s="152">
        <f>'Paste #BBall'!N139</f>
        <v>0.2</v>
      </c>
      <c r="Q139" s="152">
        <f>'Paste #BBall'!O139</f>
        <v>1.6</v>
      </c>
      <c r="R139" s="153" t="str">
        <f>Left(Right('Paste #BBall'!G139,Len('Paste #BBall'!G139)-Search("/",'Paste #BBall'!G139)),Len(Right('Paste #BBall'!G139,Len('Paste #BBall'!G139)-Search("/",'Paste #BBall'!G139)))-1)</f>
        <v>7.3</v>
      </c>
      <c r="S139" s="153" t="str">
        <f>Left(Right('Paste #BBall'!H139,Len('Paste #BBall'!H139)-Search("/",'Paste #BBall'!H139)),Len(Right('Paste #BBall'!H139,Len('Paste #BBall'!H139)-Search("/",'Paste #BBall'!H139)))-1)</f>
        <v>1.4</v>
      </c>
      <c r="T139" s="53"/>
      <c r="U139" s="53"/>
      <c r="V139" s="53"/>
    </row>
    <row r="140">
      <c r="A140" s="33">
        <v>139.0</v>
      </c>
      <c r="B140" s="149" t="str">
        <f>'Paste #BBall'!B140</f>
        <v>P.J. Washington</v>
      </c>
      <c r="C140" s="150" t="str">
        <f>'Paste #BBall'!C140</f>
        <v>PF</v>
      </c>
      <c r="D140" s="150" t="str">
        <f>'Paste #BBall'!D140</f>
        <v>CHA</v>
      </c>
      <c r="E140" s="151">
        <f>'Paste #BBall'!E140</f>
        <v>72</v>
      </c>
      <c r="F140" s="152">
        <f>'Paste #BBall'!F140</f>
        <v>27.2</v>
      </c>
      <c r="G140" s="153" t="str">
        <f>right(Left('Paste #BBall'!G140,Search("/",'Paste #BBall'!G140)-1),len(Left('Paste #BBall'!G140,Search("/",'Paste #BBall'!G140)-1))-search("(",Left('Paste #BBall'!G140,Search("/",'Paste #BBall'!G140)-1)))</f>
        <v>4.5</v>
      </c>
      <c r="H140" s="152">
        <f t="shared" si="1"/>
        <v>0.45</v>
      </c>
      <c r="I140" s="152" t="str">
        <f>right(Left('Paste #BBall'!H140,Search("/",'Paste #BBall'!H140)-1),len(Left('Paste #BBall'!H140,Search("/",'Paste #BBall'!H140)-1))-search("(",Left('Paste #BBall'!H140,Search("/",'Paste #BBall'!H140)-1)))</f>
        <v>1.2</v>
      </c>
      <c r="J140" s="152">
        <f t="shared" si="2"/>
        <v>0.7058823529</v>
      </c>
      <c r="K140" s="152">
        <f>'Paste #BBall'!I140</f>
        <v>1.7</v>
      </c>
      <c r="L140" s="152">
        <f>'Paste #BBall'!J140</f>
        <v>12</v>
      </c>
      <c r="M140" s="152">
        <f>'Paste #BBall'!K140</f>
        <v>4.6</v>
      </c>
      <c r="N140" s="152">
        <f>'Paste #BBall'!L140</f>
        <v>2.1</v>
      </c>
      <c r="O140" s="152">
        <f>'Paste #BBall'!M140</f>
        <v>0.8</v>
      </c>
      <c r="P140" s="152">
        <f>'Paste #BBall'!N140</f>
        <v>0.9</v>
      </c>
      <c r="Q140" s="152">
        <f>'Paste #BBall'!O140</f>
        <v>1.3</v>
      </c>
      <c r="R140" s="153" t="str">
        <f>Left(Right('Paste #BBall'!G140,Len('Paste #BBall'!G140)-Search("/",'Paste #BBall'!G140)),Len(Right('Paste #BBall'!G140,Len('Paste #BBall'!G140)-Search("/",'Paste #BBall'!G140)))-1)</f>
        <v>10.0</v>
      </c>
      <c r="S140" s="153" t="str">
        <f>Left(Right('Paste #BBall'!H140,Len('Paste #BBall'!H140)-Search("/",'Paste #BBall'!H140)),Len(Right('Paste #BBall'!H140,Len('Paste #BBall'!H140)-Search("/",'Paste #BBall'!H140)))-1)</f>
        <v>1.7</v>
      </c>
      <c r="T140" s="53"/>
      <c r="U140" s="53"/>
      <c r="V140" s="53"/>
    </row>
    <row r="141">
      <c r="A141" s="33">
        <v>140.0</v>
      </c>
      <c r="B141" s="149" t="str">
        <f>'Paste #BBall'!B141</f>
        <v>Kyle Lowry</v>
      </c>
      <c r="C141" s="150" t="str">
        <f>'Paste #BBall'!C141</f>
        <v>PG</v>
      </c>
      <c r="D141" s="150" t="str">
        <f>'Paste #BBall'!D141</f>
        <v>MIA</v>
      </c>
      <c r="E141" s="151">
        <f>'Paste #BBall'!E141</f>
        <v>60</v>
      </c>
      <c r="F141" s="152">
        <f>'Paste #BBall'!F141</f>
        <v>26.2</v>
      </c>
      <c r="G141" s="153" t="str">
        <f>right(Left('Paste #BBall'!G141,Search("/",'Paste #BBall'!G141)-1),len(Left('Paste #BBall'!G141,Search("/",'Paste #BBall'!G141)-1))-search("(",Left('Paste #BBall'!G141,Search("/",'Paste #BBall'!G141)-1)))</f>
        <v>3.3</v>
      </c>
      <c r="H141" s="152">
        <f t="shared" si="1"/>
        <v>0.4285714286</v>
      </c>
      <c r="I141" s="152" t="str">
        <f>right(Left('Paste #BBall'!H141,Search("/",'Paste #BBall'!H141)-1),len(Left('Paste #BBall'!H141,Search("/",'Paste #BBall'!H141)-1))-search("(",Left('Paste #BBall'!H141,Search("/",'Paste #BBall'!H141)-1)))</f>
        <v>1.8</v>
      </c>
      <c r="J141" s="152">
        <f t="shared" si="2"/>
        <v>0.8571428571</v>
      </c>
      <c r="K141" s="152">
        <f>'Paste #BBall'!I141</f>
        <v>1.7</v>
      </c>
      <c r="L141" s="152">
        <f>'Paste #BBall'!J141</f>
        <v>10</v>
      </c>
      <c r="M141" s="152">
        <f>'Paste #BBall'!K141</f>
        <v>3.5</v>
      </c>
      <c r="N141" s="152">
        <f>'Paste #BBall'!L141</f>
        <v>5.2</v>
      </c>
      <c r="O141" s="152">
        <f>'Paste #BBall'!M141</f>
        <v>0.9</v>
      </c>
      <c r="P141" s="152">
        <f>'Paste #BBall'!N141</f>
        <v>0.3</v>
      </c>
      <c r="Q141" s="152">
        <f>'Paste #BBall'!O141</f>
        <v>1.9</v>
      </c>
      <c r="R141" s="153" t="str">
        <f>Left(Right('Paste #BBall'!G141,Len('Paste #BBall'!G141)-Search("/",'Paste #BBall'!G141)),Len(Right('Paste #BBall'!G141,Len('Paste #BBall'!G141)-Search("/",'Paste #BBall'!G141)))-1)</f>
        <v>7.7</v>
      </c>
      <c r="S141" s="153" t="str">
        <f>Left(Right('Paste #BBall'!H141,Len('Paste #BBall'!H141)-Search("/",'Paste #BBall'!H141)),Len(Right('Paste #BBall'!H141,Len('Paste #BBall'!H141)-Search("/",'Paste #BBall'!H141)))-1)</f>
        <v>2.1</v>
      </c>
      <c r="T141" s="53"/>
      <c r="U141" s="53"/>
      <c r="V141" s="53"/>
    </row>
    <row r="142">
      <c r="A142" s="33">
        <v>141.0</v>
      </c>
      <c r="B142" s="149" t="str">
        <f>'Paste #BBall'!B142</f>
        <v>Saddiq Bey</v>
      </c>
      <c r="C142" s="150" t="str">
        <f>'Paste #BBall'!C142</f>
        <v>SF,PF</v>
      </c>
      <c r="D142" s="150" t="str">
        <f>'Paste #BBall'!D142</f>
        <v>ATL</v>
      </c>
      <c r="E142" s="151">
        <f>'Paste #BBall'!E142</f>
        <v>78</v>
      </c>
      <c r="F142" s="152">
        <f>'Paste #BBall'!F142</f>
        <v>30.2</v>
      </c>
      <c r="G142" s="153" t="str">
        <f>right(Left('Paste #BBall'!G142,Search("/",'Paste #BBall'!G142)-1),len(Left('Paste #BBall'!G142,Search("/",'Paste #BBall'!G142)-1))-search("(",Left('Paste #BBall'!G142,Search("/",'Paste #BBall'!G142)-1)))</f>
        <v>5.3</v>
      </c>
      <c r="H142" s="152">
        <f t="shared" si="1"/>
        <v>0.4206349206</v>
      </c>
      <c r="I142" s="152" t="str">
        <f>right(Left('Paste #BBall'!H142,Search("/",'Paste #BBall'!H142)-1),len(Left('Paste #BBall'!H142,Search("/",'Paste #BBall'!H142)-1))-search("(",Left('Paste #BBall'!H142,Search("/",'Paste #BBall'!H142)-1)))</f>
        <v>2.5</v>
      </c>
      <c r="J142" s="152">
        <f t="shared" si="2"/>
        <v>0.8333333333</v>
      </c>
      <c r="K142" s="152">
        <f>'Paste #BBall'!I142</f>
        <v>2.2</v>
      </c>
      <c r="L142" s="152">
        <f>'Paste #BBall'!J142</f>
        <v>15.3</v>
      </c>
      <c r="M142" s="152">
        <f>'Paste #BBall'!K142</f>
        <v>4.9</v>
      </c>
      <c r="N142" s="152">
        <f>'Paste #BBall'!L142</f>
        <v>2.1</v>
      </c>
      <c r="O142" s="152">
        <f>'Paste #BBall'!M142</f>
        <v>0.9</v>
      </c>
      <c r="P142" s="152">
        <f>'Paste #BBall'!N142</f>
        <v>0.2</v>
      </c>
      <c r="Q142" s="152">
        <f>'Paste #BBall'!O142</f>
        <v>1</v>
      </c>
      <c r="R142" s="153" t="str">
        <f>Left(Right('Paste #BBall'!G142,Len('Paste #BBall'!G142)-Search("/",'Paste #BBall'!G142)),Len(Right('Paste #BBall'!G142,Len('Paste #BBall'!G142)-Search("/",'Paste #BBall'!G142)))-1)</f>
        <v>12.6</v>
      </c>
      <c r="S142" s="153" t="str">
        <f>Left(Right('Paste #BBall'!H142,Len('Paste #BBall'!H142)-Search("/",'Paste #BBall'!H142)),Len(Right('Paste #BBall'!H142,Len('Paste #BBall'!H142)-Search("/",'Paste #BBall'!H142)))-1)</f>
        <v>3.0</v>
      </c>
      <c r="T142" s="53"/>
      <c r="U142" s="53"/>
      <c r="V142" s="53"/>
    </row>
    <row r="143">
      <c r="A143" s="33">
        <v>142.0</v>
      </c>
      <c r="B143" s="149" t="str">
        <f>'Paste #BBall'!B143</f>
        <v>Alex Caruso</v>
      </c>
      <c r="C143" s="150" t="str">
        <f>'Paste #BBall'!C143</f>
        <v>PG,SG</v>
      </c>
      <c r="D143" s="150" t="str">
        <f>'Paste #BBall'!D143</f>
        <v>CHI</v>
      </c>
      <c r="E143" s="151">
        <f>'Paste #BBall'!E143</f>
        <v>64</v>
      </c>
      <c r="F143" s="152">
        <f>'Paste #BBall'!F143</f>
        <v>25.1</v>
      </c>
      <c r="G143" s="153" t="str">
        <f>right(Left('Paste #BBall'!G143,Search("/",'Paste #BBall'!G143)-1),len(Left('Paste #BBall'!G143,Search("/",'Paste #BBall'!G143)-1))-search("(",Left('Paste #BBall'!G143,Search("/",'Paste #BBall'!G143)-1)))</f>
        <v>2.2</v>
      </c>
      <c r="H143" s="152">
        <f t="shared" si="1"/>
        <v>0.431372549</v>
      </c>
      <c r="I143" s="152" t="str">
        <f>right(Left('Paste #BBall'!H143,Search("/",'Paste #BBall'!H143)-1),len(Left('Paste #BBall'!H143,Search("/",'Paste #BBall'!H143)-1))-search("(",Left('Paste #BBall'!H143,Search("/",'Paste #BBall'!H143)-1)))</f>
        <v>1.1</v>
      </c>
      <c r="J143" s="152">
        <f t="shared" si="2"/>
        <v>0.7857142857</v>
      </c>
      <c r="K143" s="152">
        <f>'Paste #BBall'!I143</f>
        <v>0.9</v>
      </c>
      <c r="L143" s="152">
        <f>'Paste #BBall'!J143</f>
        <v>6.3</v>
      </c>
      <c r="M143" s="152">
        <f>'Paste #BBall'!K143</f>
        <v>3.2</v>
      </c>
      <c r="N143" s="152">
        <f>'Paste #BBall'!L143</f>
        <v>3.3</v>
      </c>
      <c r="O143" s="152">
        <f>'Paste #BBall'!M143</f>
        <v>1.6</v>
      </c>
      <c r="P143" s="152">
        <f>'Paste #BBall'!N143</f>
        <v>0.6</v>
      </c>
      <c r="Q143" s="152">
        <f>'Paste #BBall'!O143</f>
        <v>1.3</v>
      </c>
      <c r="R143" s="153" t="str">
        <f>Left(Right('Paste #BBall'!G143,Len('Paste #BBall'!G143)-Search("/",'Paste #BBall'!G143)),Len(Right('Paste #BBall'!G143,Len('Paste #BBall'!G143)-Search("/",'Paste #BBall'!G143)))-1)</f>
        <v>5.1</v>
      </c>
      <c r="S143" s="153" t="str">
        <f>Left(Right('Paste #BBall'!H143,Len('Paste #BBall'!H143)-Search("/",'Paste #BBall'!H143)),Len(Right('Paste #BBall'!H143,Len('Paste #BBall'!H143)-Search("/",'Paste #BBall'!H143)))-1)</f>
        <v>1.4</v>
      </c>
      <c r="T143" s="53"/>
      <c r="U143" s="53"/>
      <c r="V143" s="53"/>
    </row>
    <row r="144">
      <c r="A144" s="33">
        <v>143.0</v>
      </c>
      <c r="B144" s="149" t="str">
        <f>'Paste #BBall'!B144</f>
        <v>Jevon Carter</v>
      </c>
      <c r="C144" s="150" t="str">
        <f>'Paste #BBall'!C144</f>
        <v>PG,SG</v>
      </c>
      <c r="D144" s="150" t="str">
        <f>'Paste #BBall'!D144</f>
        <v>CHI</v>
      </c>
      <c r="E144" s="151">
        <f>'Paste #BBall'!E144</f>
        <v>72</v>
      </c>
      <c r="F144" s="152">
        <f>'Paste #BBall'!F144</f>
        <v>28.4</v>
      </c>
      <c r="G144" s="153" t="str">
        <f>right(Left('Paste #BBall'!G144,Search("/",'Paste #BBall'!G144)-1),len(Left('Paste #BBall'!G144,Search("/",'Paste #BBall'!G144)-1))-search("(",Left('Paste #BBall'!G144,Search("/",'Paste #BBall'!G144)-1)))</f>
        <v>3.7</v>
      </c>
      <c r="H144" s="152">
        <f t="shared" si="1"/>
        <v>0.4302325581</v>
      </c>
      <c r="I144" s="152" t="str">
        <f>right(Left('Paste #BBall'!H144,Search("/",'Paste #BBall'!H144)-1),len(Left('Paste #BBall'!H144,Search("/",'Paste #BBall'!H144)-1))-search("(",Left('Paste #BBall'!H144,Search("/",'Paste #BBall'!H144)-1)))</f>
        <v>0.5</v>
      </c>
      <c r="J144" s="152">
        <f t="shared" si="2"/>
        <v>0.8333333333</v>
      </c>
      <c r="K144" s="152">
        <f>'Paste #BBall'!I144</f>
        <v>2.2</v>
      </c>
      <c r="L144" s="152">
        <f>'Paste #BBall'!J144</f>
        <v>10</v>
      </c>
      <c r="M144" s="152">
        <f>'Paste #BBall'!K144</f>
        <v>3.3</v>
      </c>
      <c r="N144" s="152">
        <f>'Paste #BBall'!L144</f>
        <v>3.8</v>
      </c>
      <c r="O144" s="152">
        <f>'Paste #BBall'!M144</f>
        <v>1</v>
      </c>
      <c r="P144" s="152">
        <f>'Paste #BBall'!N144</f>
        <v>0.5</v>
      </c>
      <c r="Q144" s="152">
        <f>'Paste #BBall'!O144</f>
        <v>1.2</v>
      </c>
      <c r="R144" s="153" t="str">
        <f>Left(Right('Paste #BBall'!G144,Len('Paste #BBall'!G144)-Search("/",'Paste #BBall'!G144)),Len(Right('Paste #BBall'!G144,Len('Paste #BBall'!G144)-Search("/",'Paste #BBall'!G144)))-1)</f>
        <v>8.6</v>
      </c>
      <c r="S144" s="153" t="str">
        <f>Left(Right('Paste #BBall'!H144,Len('Paste #BBall'!H144)-Search("/",'Paste #BBall'!H144)),Len(Right('Paste #BBall'!H144,Len('Paste #BBall'!H144)-Search("/",'Paste #BBall'!H144)))-1)</f>
        <v>0.6</v>
      </c>
      <c r="T144" s="53"/>
      <c r="U144" s="53"/>
      <c r="V144" s="53"/>
    </row>
    <row r="145">
      <c r="A145" s="33">
        <v>144.0</v>
      </c>
      <c r="B145" s="149" t="str">
        <f>'Paste #BBall'!B145</f>
        <v>Brandon Miller</v>
      </c>
      <c r="C145" s="150" t="str">
        <f>'Paste #BBall'!C145</f>
        <v>SF</v>
      </c>
      <c r="D145" s="150" t="str">
        <f>'Paste #BBall'!D145</f>
        <v>CHA</v>
      </c>
      <c r="E145" s="151">
        <f>'Paste #BBall'!E145</f>
        <v>72</v>
      </c>
      <c r="F145" s="152">
        <f>'Paste #BBall'!F145</f>
        <v>30</v>
      </c>
      <c r="G145" s="153" t="str">
        <f>right(Left('Paste #BBall'!G145,Search("/",'Paste #BBall'!G145)-1),len(Left('Paste #BBall'!G145,Search("/",'Paste #BBall'!G145)-1))-search("(",Left('Paste #BBall'!G145,Search("/",'Paste #BBall'!G145)-1)))</f>
        <v>5.4</v>
      </c>
      <c r="H145" s="152">
        <f t="shared" si="1"/>
        <v>0.4285714286</v>
      </c>
      <c r="I145" s="152" t="str">
        <f>right(Left('Paste #BBall'!H145,Search("/",'Paste #BBall'!H145)-1),len(Left('Paste #BBall'!H145,Search("/",'Paste #BBall'!H145)-1))-search("(",Left('Paste #BBall'!H145,Search("/",'Paste #BBall'!H145)-1)))</f>
        <v>1.9</v>
      </c>
      <c r="J145" s="152">
        <f t="shared" si="2"/>
        <v>0.8260869565</v>
      </c>
      <c r="K145" s="152">
        <f>'Paste #BBall'!I145</f>
        <v>2.2</v>
      </c>
      <c r="L145" s="152">
        <f>'Paste #BBall'!J145</f>
        <v>15</v>
      </c>
      <c r="M145" s="152">
        <f>'Paste #BBall'!K145</f>
        <v>4.8</v>
      </c>
      <c r="N145" s="152">
        <f>'Paste #BBall'!L145</f>
        <v>2</v>
      </c>
      <c r="O145" s="152">
        <f>'Paste #BBall'!M145</f>
        <v>0.8</v>
      </c>
      <c r="P145" s="152">
        <f>'Paste #BBall'!N145</f>
        <v>0.3</v>
      </c>
      <c r="Q145" s="152">
        <f>'Paste #BBall'!O145</f>
        <v>1.4</v>
      </c>
      <c r="R145" s="153" t="str">
        <f>Left(Right('Paste #BBall'!G145,Len('Paste #BBall'!G145)-Search("/",'Paste #BBall'!G145)),Len(Right('Paste #BBall'!G145,Len('Paste #BBall'!G145)-Search("/",'Paste #BBall'!G145)))-1)</f>
        <v>12.6</v>
      </c>
      <c r="S145" s="153" t="str">
        <f>Left(Right('Paste #BBall'!H145,Len('Paste #BBall'!H145)-Search("/",'Paste #BBall'!H145)),Len(Right('Paste #BBall'!H145,Len('Paste #BBall'!H145)-Search("/",'Paste #BBall'!H145)))-1)</f>
        <v>2.3</v>
      </c>
      <c r="T145" s="53"/>
      <c r="U145" s="53"/>
      <c r="V145" s="53"/>
    </row>
    <row r="146">
      <c r="A146" s="33">
        <v>145.0</v>
      </c>
      <c r="B146" s="149" t="str">
        <f>'Paste #BBall'!B146</f>
        <v>Cole Anthony</v>
      </c>
      <c r="C146" s="150" t="str">
        <f>'Paste #BBall'!C146</f>
        <v>PG</v>
      </c>
      <c r="D146" s="150" t="str">
        <f>'Paste #BBall'!D146</f>
        <v>ORL</v>
      </c>
      <c r="E146" s="151">
        <f>'Paste #BBall'!E146</f>
        <v>64</v>
      </c>
      <c r="F146" s="152">
        <f>'Paste #BBall'!F146</f>
        <v>25</v>
      </c>
      <c r="G146" s="153" t="str">
        <f>right(Left('Paste #BBall'!G146,Search("/",'Paste #BBall'!G146)-1),len(Left('Paste #BBall'!G146,Search("/",'Paste #BBall'!G146)-1))-search("(",Left('Paste #BBall'!G146,Search("/",'Paste #BBall'!G146)-1)))</f>
        <v>4.4</v>
      </c>
      <c r="H146" s="152">
        <f t="shared" si="1"/>
        <v>0.4356435644</v>
      </c>
      <c r="I146" s="152" t="str">
        <f>right(Left('Paste #BBall'!H146,Search("/",'Paste #BBall'!H146)-1),len(Left('Paste #BBall'!H146,Search("/",'Paste #BBall'!H146)-1))-search("(",Left('Paste #BBall'!H146,Search("/",'Paste #BBall'!H146)-1)))</f>
        <v>2.6</v>
      </c>
      <c r="J146" s="152">
        <f t="shared" si="2"/>
        <v>0.8666666667</v>
      </c>
      <c r="K146" s="152">
        <f>'Paste #BBall'!I146</f>
        <v>1.5</v>
      </c>
      <c r="L146" s="152">
        <f>'Paste #BBall'!J146</f>
        <v>12.9</v>
      </c>
      <c r="M146" s="152">
        <f>'Paste #BBall'!K146</f>
        <v>4.5</v>
      </c>
      <c r="N146" s="152">
        <f>'Paste #BBall'!L146</f>
        <v>4</v>
      </c>
      <c r="O146" s="152">
        <f>'Paste #BBall'!M146</f>
        <v>0.6</v>
      </c>
      <c r="P146" s="152">
        <f>'Paste #BBall'!N146</f>
        <v>0.3</v>
      </c>
      <c r="Q146" s="152">
        <f>'Paste #BBall'!O146</f>
        <v>1.8</v>
      </c>
      <c r="R146" s="153" t="str">
        <f>Left(Right('Paste #BBall'!G146,Len('Paste #BBall'!G146)-Search("/",'Paste #BBall'!G146)),Len(Right('Paste #BBall'!G146,Len('Paste #BBall'!G146)-Search("/",'Paste #BBall'!G146)))-1)</f>
        <v>10.1</v>
      </c>
      <c r="S146" s="153" t="str">
        <f>Left(Right('Paste #BBall'!H146,Len('Paste #BBall'!H146)-Search("/",'Paste #BBall'!H146)),Len(Right('Paste #BBall'!H146,Len('Paste #BBall'!H146)-Search("/",'Paste #BBall'!H146)))-1)</f>
        <v>3.0</v>
      </c>
      <c r="T146" s="53"/>
      <c r="U146" s="53"/>
      <c r="V146" s="53"/>
    </row>
    <row r="147">
      <c r="A147" s="33">
        <v>146.0</v>
      </c>
      <c r="B147" s="149" t="str">
        <f>'Paste #BBall'!B147</f>
        <v>Malcolm Brogdon</v>
      </c>
      <c r="C147" s="150" t="str">
        <f>'Paste #BBall'!C147</f>
        <v>PG,SG</v>
      </c>
      <c r="D147" s="150" t="str">
        <f>'Paste #BBall'!D147</f>
        <v>POR</v>
      </c>
      <c r="E147" s="151">
        <f>'Paste #BBall'!E147</f>
        <v>61</v>
      </c>
      <c r="F147" s="152">
        <f>'Paste #BBall'!F147</f>
        <v>24.7</v>
      </c>
      <c r="G147" s="153" t="str">
        <f>right(Left('Paste #BBall'!G147,Search("/",'Paste #BBall'!G147)-1),len(Left('Paste #BBall'!G147,Search("/",'Paste #BBall'!G147)-1))-search("(",Left('Paste #BBall'!G147,Search("/",'Paste #BBall'!G147)-1)))</f>
        <v>4.7</v>
      </c>
      <c r="H147" s="152">
        <f t="shared" si="1"/>
        <v>0.47</v>
      </c>
      <c r="I147" s="152" t="str">
        <f>right(Left('Paste #BBall'!H147,Search("/",'Paste #BBall'!H147)-1),len(Left('Paste #BBall'!H147,Search("/",'Paste #BBall'!H147)-1))-search("(",Left('Paste #BBall'!H147,Search("/",'Paste #BBall'!H147)-1)))</f>
        <v>2.4</v>
      </c>
      <c r="J147" s="152">
        <f t="shared" si="2"/>
        <v>0.8571428571</v>
      </c>
      <c r="K147" s="152">
        <f>'Paste #BBall'!I147</f>
        <v>1.5</v>
      </c>
      <c r="L147" s="152">
        <f>'Paste #BBall'!J147</f>
        <v>13.3</v>
      </c>
      <c r="M147" s="152">
        <f>'Paste #BBall'!K147</f>
        <v>3.7</v>
      </c>
      <c r="N147" s="152">
        <f>'Paste #BBall'!L147</f>
        <v>3.6</v>
      </c>
      <c r="O147" s="152">
        <f>'Paste #BBall'!M147</f>
        <v>0.6</v>
      </c>
      <c r="P147" s="152">
        <f>'Paste #BBall'!N147</f>
        <v>0.3</v>
      </c>
      <c r="Q147" s="152">
        <f>'Paste #BBall'!O147</f>
        <v>1.4</v>
      </c>
      <c r="R147" s="153" t="str">
        <f>Left(Right('Paste #BBall'!G147,Len('Paste #BBall'!G147)-Search("/",'Paste #BBall'!G147)),Len(Right('Paste #BBall'!G147,Len('Paste #BBall'!G147)-Search("/",'Paste #BBall'!G147)))-1)</f>
        <v>10.0</v>
      </c>
      <c r="S147" s="153" t="str">
        <f>Left(Right('Paste #BBall'!H147,Len('Paste #BBall'!H147)-Search("/",'Paste #BBall'!H147)),Len(Right('Paste #BBall'!H147,Len('Paste #BBall'!H147)-Search("/",'Paste #BBall'!H147)))-1)</f>
        <v>2.8</v>
      </c>
      <c r="T147" s="53"/>
      <c r="U147" s="53"/>
      <c r="V147" s="53"/>
    </row>
    <row r="148">
      <c r="A148" s="33">
        <v>147.0</v>
      </c>
      <c r="B148" s="149" t="str">
        <f>'Paste #BBall'!B148</f>
        <v>Harrison Barnes</v>
      </c>
      <c r="C148" s="150" t="str">
        <f>'Paste #BBall'!C148</f>
        <v>SF,PF</v>
      </c>
      <c r="D148" s="150" t="str">
        <f>'Paste #BBall'!D148</f>
        <v>SAC</v>
      </c>
      <c r="E148" s="151">
        <f>'Paste #BBall'!E148</f>
        <v>78</v>
      </c>
      <c r="F148" s="152">
        <f>'Paste #BBall'!F148</f>
        <v>31.3</v>
      </c>
      <c r="G148" s="153" t="str">
        <f>right(Left('Paste #BBall'!G148,Search("/",'Paste #BBall'!G148)-1),len(Left('Paste #BBall'!G148,Search("/",'Paste #BBall'!G148)-1))-search("(",Left('Paste #BBall'!G148,Search("/",'Paste #BBall'!G148)-1)))</f>
        <v>4.6</v>
      </c>
      <c r="H148" s="152">
        <f t="shared" si="1"/>
        <v>0.4742268041</v>
      </c>
      <c r="I148" s="152" t="str">
        <f>right(Left('Paste #BBall'!H148,Search("/",'Paste #BBall'!H148)-1),len(Left('Paste #BBall'!H148,Search("/",'Paste #BBall'!H148)-1))-search("(",Left('Paste #BBall'!H148,Search("/",'Paste #BBall'!H148)-1)))</f>
        <v>4.1</v>
      </c>
      <c r="J148" s="152">
        <f t="shared" si="2"/>
        <v>0.8367346939</v>
      </c>
      <c r="K148" s="152">
        <f>'Paste #BBall'!I148</f>
        <v>1.6</v>
      </c>
      <c r="L148" s="152">
        <f>'Paste #BBall'!J148</f>
        <v>14.9</v>
      </c>
      <c r="M148" s="152">
        <f>'Paste #BBall'!K148</f>
        <v>4.8</v>
      </c>
      <c r="N148" s="152">
        <f>'Paste #BBall'!L148</f>
        <v>1.5</v>
      </c>
      <c r="O148" s="152">
        <f>'Paste #BBall'!M148</f>
        <v>0.7</v>
      </c>
      <c r="P148" s="152">
        <f>'Paste #BBall'!N148</f>
        <v>0.1</v>
      </c>
      <c r="Q148" s="152">
        <f>'Paste #BBall'!O148</f>
        <v>1.2</v>
      </c>
      <c r="R148" s="153" t="str">
        <f>Left(Right('Paste #BBall'!G148,Len('Paste #BBall'!G148)-Search("/",'Paste #BBall'!G148)),Len(Right('Paste #BBall'!G148,Len('Paste #BBall'!G148)-Search("/",'Paste #BBall'!G148)))-1)</f>
        <v>9.7</v>
      </c>
      <c r="S148" s="153" t="str">
        <f>Left(Right('Paste #BBall'!H148,Len('Paste #BBall'!H148)-Search("/",'Paste #BBall'!H148)),Len(Right('Paste #BBall'!H148,Len('Paste #BBall'!H148)-Search("/",'Paste #BBall'!H148)))-1)</f>
        <v>4.9</v>
      </c>
      <c r="T148" s="53"/>
      <c r="U148" s="53"/>
      <c r="V148" s="53"/>
    </row>
    <row r="149">
      <c r="A149" s="33">
        <v>148.0</v>
      </c>
      <c r="B149" s="149" t="str">
        <f>'Paste #BBall'!B149</f>
        <v>Richaun Holmes</v>
      </c>
      <c r="C149" s="150" t="str">
        <f>'Paste #BBall'!C149</f>
        <v>PF,C</v>
      </c>
      <c r="D149" s="150" t="str">
        <f>'Paste #BBall'!D149</f>
        <v>DAL</v>
      </c>
      <c r="E149" s="151">
        <f>'Paste #BBall'!E149</f>
        <v>70</v>
      </c>
      <c r="F149" s="152">
        <f>'Paste #BBall'!F149</f>
        <v>23.8</v>
      </c>
      <c r="G149" s="153" t="str">
        <f>right(Left('Paste #BBall'!G149,Search("/",'Paste #BBall'!G149)-1),len(Left('Paste #BBall'!G149,Search("/",'Paste #BBall'!G149)-1))-search("(",Left('Paste #BBall'!G149,Search("/",'Paste #BBall'!G149)-1)))</f>
        <v>4.1</v>
      </c>
      <c r="H149" s="152">
        <f t="shared" si="1"/>
        <v>0.640625</v>
      </c>
      <c r="I149" s="152" t="str">
        <f>right(Left('Paste #BBall'!H149,Search("/",'Paste #BBall'!H149)-1),len(Left('Paste #BBall'!H149,Search("/",'Paste #BBall'!H149)-1))-search("(",Left('Paste #BBall'!H149,Search("/",'Paste #BBall'!H149)-1)))</f>
        <v>1.4</v>
      </c>
      <c r="J149" s="152">
        <f t="shared" si="2"/>
        <v>0.7777777778</v>
      </c>
      <c r="K149" s="152">
        <f>'Paste #BBall'!I149</f>
        <v>0.1</v>
      </c>
      <c r="L149" s="152">
        <f>'Paste #BBall'!J149</f>
        <v>9.8</v>
      </c>
      <c r="M149" s="152">
        <f>'Paste #BBall'!K149</f>
        <v>6.5</v>
      </c>
      <c r="N149" s="152">
        <f>'Paste #BBall'!L149</f>
        <v>0.9</v>
      </c>
      <c r="O149" s="152">
        <f>'Paste #BBall'!M149</f>
        <v>0.3</v>
      </c>
      <c r="P149" s="152">
        <f>'Paste #BBall'!N149</f>
        <v>0.9</v>
      </c>
      <c r="Q149" s="152">
        <f>'Paste #BBall'!O149</f>
        <v>1.2</v>
      </c>
      <c r="R149" s="153" t="str">
        <f>Left(Right('Paste #BBall'!G149,Len('Paste #BBall'!G149)-Search("/",'Paste #BBall'!G149)),Len(Right('Paste #BBall'!G149,Len('Paste #BBall'!G149)-Search("/",'Paste #BBall'!G149)))-1)</f>
        <v>6.4</v>
      </c>
      <c r="S149" s="153" t="str">
        <f>Left(Right('Paste #BBall'!H149,Len('Paste #BBall'!H149)-Search("/",'Paste #BBall'!H149)),Len(Right('Paste #BBall'!H149,Len('Paste #BBall'!H149)-Search("/",'Paste #BBall'!H149)))-1)</f>
        <v>1.8</v>
      </c>
      <c r="T149" s="53"/>
      <c r="U149" s="53"/>
      <c r="V149" s="53"/>
    </row>
    <row r="150">
      <c r="A150" s="33">
        <v>149.0</v>
      </c>
      <c r="B150" s="149" t="str">
        <f>'Paste #BBall'!B150</f>
        <v>Deni Avdija</v>
      </c>
      <c r="C150" s="150" t="str">
        <f>'Paste #BBall'!C150</f>
        <v>SF,PF</v>
      </c>
      <c r="D150" s="150" t="str">
        <f>'Paste #BBall'!D150</f>
        <v>WAS</v>
      </c>
      <c r="E150" s="151">
        <f>'Paste #BBall'!E150</f>
        <v>78</v>
      </c>
      <c r="F150" s="152">
        <f>'Paste #BBall'!F150</f>
        <v>30</v>
      </c>
      <c r="G150" s="153" t="str">
        <f>right(Left('Paste #BBall'!G150,Search("/",'Paste #BBall'!G150)-1),len(Left('Paste #BBall'!G150,Search("/",'Paste #BBall'!G150)-1))-search("(",Left('Paste #BBall'!G150,Search("/",'Paste #BBall'!G150)-1)))</f>
        <v>3.8</v>
      </c>
      <c r="H150" s="152">
        <f t="shared" si="1"/>
        <v>0.4318181818</v>
      </c>
      <c r="I150" s="152" t="str">
        <f>right(Left('Paste #BBall'!H150,Search("/",'Paste #BBall'!H150)-1),len(Left('Paste #BBall'!H150,Search("/",'Paste #BBall'!H150)-1))-search("(",Left('Paste #BBall'!H150,Search("/",'Paste #BBall'!H150)-1)))</f>
        <v>1.7</v>
      </c>
      <c r="J150" s="152">
        <f t="shared" si="2"/>
        <v>0.7391304348</v>
      </c>
      <c r="K150" s="152">
        <f>'Paste #BBall'!I150</f>
        <v>1.1</v>
      </c>
      <c r="L150" s="152">
        <f>'Paste #BBall'!J150</f>
        <v>10.5</v>
      </c>
      <c r="M150" s="152">
        <f>'Paste #BBall'!K150</f>
        <v>6.9</v>
      </c>
      <c r="N150" s="152">
        <f>'Paste #BBall'!L150</f>
        <v>2.9</v>
      </c>
      <c r="O150" s="152">
        <f>'Paste #BBall'!M150</f>
        <v>0.9</v>
      </c>
      <c r="P150" s="152">
        <f>'Paste #BBall'!N150</f>
        <v>0.6</v>
      </c>
      <c r="Q150" s="152">
        <f>'Paste #BBall'!O150</f>
        <v>1.6</v>
      </c>
      <c r="R150" s="153" t="str">
        <f>Left(Right('Paste #BBall'!G150,Len('Paste #BBall'!G150)-Search("/",'Paste #BBall'!G150)),Len(Right('Paste #BBall'!G150,Len('Paste #BBall'!G150)-Search("/",'Paste #BBall'!G150)))-1)</f>
        <v>8.8</v>
      </c>
      <c r="S150" s="153" t="str">
        <f>Left(Right('Paste #BBall'!H150,Len('Paste #BBall'!H150)-Search("/",'Paste #BBall'!H150)),Len(Right('Paste #BBall'!H150,Len('Paste #BBall'!H150)-Search("/",'Paste #BBall'!H150)))-1)</f>
        <v>2.3</v>
      </c>
      <c r="T150" s="53"/>
      <c r="U150" s="53"/>
      <c r="V150" s="53"/>
    </row>
    <row r="151">
      <c r="A151" s="33">
        <v>150.0</v>
      </c>
      <c r="B151" s="149" t="str">
        <f>'Paste #BBall'!B151</f>
        <v>Jaden Ivey</v>
      </c>
      <c r="C151" s="150" t="str">
        <f>'Paste #BBall'!C151</f>
        <v>PG,SG</v>
      </c>
      <c r="D151" s="150" t="str">
        <f>'Paste #BBall'!D151</f>
        <v>DET</v>
      </c>
      <c r="E151" s="151">
        <f>'Paste #BBall'!E151</f>
        <v>74</v>
      </c>
      <c r="F151" s="152">
        <f>'Paste #BBall'!F151</f>
        <v>32.6</v>
      </c>
      <c r="G151" s="153" t="str">
        <f>right(Left('Paste #BBall'!G151,Search("/",'Paste #BBall'!G151)-1),len(Left('Paste #BBall'!G151,Search("/",'Paste #BBall'!G151)-1))-search("(",Left('Paste #BBall'!G151,Search("/",'Paste #BBall'!G151)-1)))</f>
        <v>6.0</v>
      </c>
      <c r="H151" s="152">
        <f t="shared" si="1"/>
        <v>0.4255319149</v>
      </c>
      <c r="I151" s="152" t="str">
        <f>right(Left('Paste #BBall'!H151,Search("/",'Paste #BBall'!H151)-1),len(Left('Paste #BBall'!H151,Search("/",'Paste #BBall'!H151)-1))-search("(",Left('Paste #BBall'!H151,Search("/",'Paste #BBall'!H151)-1)))</f>
        <v>4.0</v>
      </c>
      <c r="J151" s="152">
        <f t="shared" si="2"/>
        <v>0.7692307692</v>
      </c>
      <c r="K151" s="152">
        <f>'Paste #BBall'!I151</f>
        <v>1.8</v>
      </c>
      <c r="L151" s="152">
        <f>'Paste #BBall'!J151</f>
        <v>17.7</v>
      </c>
      <c r="M151" s="152">
        <f>'Paste #BBall'!K151</f>
        <v>4.1</v>
      </c>
      <c r="N151" s="152">
        <f>'Paste #BBall'!L151</f>
        <v>5.5</v>
      </c>
      <c r="O151" s="152">
        <f>'Paste #BBall'!M151</f>
        <v>0.9</v>
      </c>
      <c r="P151" s="152">
        <f>'Paste #BBall'!N151</f>
        <v>0.2</v>
      </c>
      <c r="Q151" s="152">
        <f>'Paste #BBall'!O151</f>
        <v>3.4</v>
      </c>
      <c r="R151" s="153" t="str">
        <f>Left(Right('Paste #BBall'!G151,Len('Paste #BBall'!G151)-Search("/",'Paste #BBall'!G151)),Len(Right('Paste #BBall'!G151,Len('Paste #BBall'!G151)-Search("/",'Paste #BBall'!G151)))-1)</f>
        <v>14.1</v>
      </c>
      <c r="S151" s="153" t="str">
        <f>Left(Right('Paste #BBall'!H151,Len('Paste #BBall'!H151)-Search("/",'Paste #BBall'!H151)),Len(Right('Paste #BBall'!H151,Len('Paste #BBall'!H151)-Search("/",'Paste #BBall'!H151)))-1)</f>
        <v>5.2</v>
      </c>
      <c r="T151" s="53"/>
      <c r="U151" s="53"/>
      <c r="V151" s="53"/>
    </row>
    <row r="152">
      <c r="A152" s="33">
        <v>151.0</v>
      </c>
      <c r="B152" s="149" t="str">
        <f>'Paste #BBall'!B152</f>
        <v>Jalen Green</v>
      </c>
      <c r="C152" s="150" t="str">
        <f>'Paste #BBall'!C152</f>
        <v>PG,SG</v>
      </c>
      <c r="D152" s="150" t="str">
        <f>'Paste #BBall'!D152</f>
        <v>HOU</v>
      </c>
      <c r="E152" s="151">
        <f>'Paste #BBall'!E152</f>
        <v>74</v>
      </c>
      <c r="F152" s="152">
        <f>'Paste #BBall'!F152</f>
        <v>34.1</v>
      </c>
      <c r="G152" s="153" t="str">
        <f>right(Left('Paste #BBall'!G152,Search("/",'Paste #BBall'!G152)-1),len(Left('Paste #BBall'!G152,Search("/",'Paste #BBall'!G152)-1))-search("(",Left('Paste #BBall'!G152,Search("/",'Paste #BBall'!G152)-1)))</f>
        <v>7.1</v>
      </c>
      <c r="H152" s="152">
        <f t="shared" si="1"/>
        <v>0.4226190476</v>
      </c>
      <c r="I152" s="152" t="str">
        <f>right(Left('Paste #BBall'!H152,Search("/",'Paste #BBall'!H152)-1),len(Left('Paste #BBall'!H152,Search("/",'Paste #BBall'!H152)-1))-search("(",Left('Paste #BBall'!H152,Search("/",'Paste #BBall'!H152)-1)))</f>
        <v>4.0</v>
      </c>
      <c r="J152" s="152">
        <f t="shared" si="2"/>
        <v>0.7843137255</v>
      </c>
      <c r="K152" s="152">
        <f>'Paste #BBall'!I152</f>
        <v>2.5</v>
      </c>
      <c r="L152" s="152">
        <f>'Paste #BBall'!J152</f>
        <v>20.7</v>
      </c>
      <c r="M152" s="152">
        <f>'Paste #BBall'!K152</f>
        <v>3.7</v>
      </c>
      <c r="N152" s="152">
        <f>'Paste #BBall'!L152</f>
        <v>3.3</v>
      </c>
      <c r="O152" s="152">
        <f>'Paste #BBall'!M152</f>
        <v>0.8</v>
      </c>
      <c r="P152" s="152">
        <f>'Paste #BBall'!N152</f>
        <v>0.3</v>
      </c>
      <c r="Q152" s="152">
        <f>'Paste #BBall'!O152</f>
        <v>2.4</v>
      </c>
      <c r="R152" s="153" t="str">
        <f>Left(Right('Paste #BBall'!G152,Len('Paste #BBall'!G152)-Search("/",'Paste #BBall'!G152)),Len(Right('Paste #BBall'!G152,Len('Paste #BBall'!G152)-Search("/",'Paste #BBall'!G152)))-1)</f>
        <v>16.8</v>
      </c>
      <c r="S152" s="153" t="str">
        <f>Left(Right('Paste #BBall'!H152,Len('Paste #BBall'!H152)-Search("/",'Paste #BBall'!H152)),Len(Right('Paste #BBall'!H152,Len('Paste #BBall'!H152)-Search("/",'Paste #BBall'!H152)))-1)</f>
        <v>5.1</v>
      </c>
      <c r="T152" s="53"/>
      <c r="U152" s="53"/>
      <c r="V152" s="53"/>
    </row>
    <row r="153">
      <c r="A153" s="33">
        <v>152.0</v>
      </c>
      <c r="B153" s="149" t="str">
        <f>'Paste #BBall'!B153</f>
        <v>Malik Beasley</v>
      </c>
      <c r="C153" s="150" t="str">
        <f>'Paste #BBall'!C153</f>
        <v>SG,SF</v>
      </c>
      <c r="D153" s="150" t="str">
        <f>'Paste #BBall'!D153</f>
        <v>MIL</v>
      </c>
      <c r="E153" s="151">
        <f>'Paste #BBall'!E153</f>
        <v>72</v>
      </c>
      <c r="F153" s="152">
        <f>'Paste #BBall'!F153</f>
        <v>29.1</v>
      </c>
      <c r="G153" s="153" t="str">
        <f>right(Left('Paste #BBall'!G153,Search("/",'Paste #BBall'!G153)-1),len(Left('Paste #BBall'!G153,Search("/",'Paste #BBall'!G153)-1))-search("(",Left('Paste #BBall'!G153,Search("/",'Paste #BBall'!G153)-1)))</f>
        <v>5.1</v>
      </c>
      <c r="H153" s="152">
        <f t="shared" si="1"/>
        <v>0.4214876033</v>
      </c>
      <c r="I153" s="152" t="str">
        <f>right(Left('Paste #BBall'!H153,Search("/",'Paste #BBall'!H153)-1),len(Left('Paste #BBall'!H153,Search("/",'Paste #BBall'!H153)-1))-search("(",Left('Paste #BBall'!H153,Search("/",'Paste #BBall'!H153)-1)))</f>
        <v>0.7</v>
      </c>
      <c r="J153" s="152">
        <f t="shared" si="2"/>
        <v>0.7777777778</v>
      </c>
      <c r="K153" s="152">
        <f>'Paste #BBall'!I153</f>
        <v>3.4</v>
      </c>
      <c r="L153" s="152">
        <f>'Paste #BBall'!J153</f>
        <v>14.3</v>
      </c>
      <c r="M153" s="152">
        <f>'Paste #BBall'!K153</f>
        <v>3.7</v>
      </c>
      <c r="N153" s="152">
        <f>'Paste #BBall'!L153</f>
        <v>1.7</v>
      </c>
      <c r="O153" s="152">
        <f>'Paste #BBall'!M153</f>
        <v>0.8</v>
      </c>
      <c r="P153" s="152">
        <f>'Paste #BBall'!N153</f>
        <v>0.2</v>
      </c>
      <c r="Q153" s="152">
        <f>'Paste #BBall'!O153</f>
        <v>1</v>
      </c>
      <c r="R153" s="153" t="str">
        <f>Left(Right('Paste #BBall'!G153,Len('Paste #BBall'!G153)-Search("/",'Paste #BBall'!G153)),Len(Right('Paste #BBall'!G153,Len('Paste #BBall'!G153)-Search("/",'Paste #BBall'!G153)))-1)</f>
        <v>12.1</v>
      </c>
      <c r="S153" s="153" t="str">
        <f>Left(Right('Paste #BBall'!H153,Len('Paste #BBall'!H153)-Search("/",'Paste #BBall'!H153)),Len(Right('Paste #BBall'!H153,Len('Paste #BBall'!H153)-Search("/",'Paste #BBall'!H153)))-1)</f>
        <v>0.9</v>
      </c>
      <c r="T153" s="53"/>
      <c r="U153" s="53"/>
      <c r="V153" s="53"/>
    </row>
    <row r="154">
      <c r="A154" s="33">
        <v>153.0</v>
      </c>
      <c r="B154" s="149" t="str">
        <f>'Paste #BBall'!B154</f>
        <v>Isaiah Hartenstein</v>
      </c>
      <c r="C154" s="150" t="str">
        <f>'Paste #BBall'!C154</f>
        <v>C</v>
      </c>
      <c r="D154" s="150" t="str">
        <f>'Paste #BBall'!D154</f>
        <v>NY</v>
      </c>
      <c r="E154" s="151">
        <f>'Paste #BBall'!E154</f>
        <v>76</v>
      </c>
      <c r="F154" s="152">
        <f>'Paste #BBall'!F154</f>
        <v>19.9</v>
      </c>
      <c r="G154" s="153" t="str">
        <f>right(Left('Paste #BBall'!G154,Search("/",'Paste #BBall'!G154)-1),len(Left('Paste #BBall'!G154,Search("/",'Paste #BBall'!G154)-1))-search("(",Left('Paste #BBall'!G154,Search("/",'Paste #BBall'!G154)-1)))</f>
        <v>2.9</v>
      </c>
      <c r="H154" s="152">
        <f t="shared" si="1"/>
        <v>0.5918367347</v>
      </c>
      <c r="I154" s="152" t="str">
        <f>right(Left('Paste #BBall'!H154,Search("/",'Paste #BBall'!H154)-1),len(Left('Paste #BBall'!H154,Search("/",'Paste #BBall'!H154)-1))-search("(",Left('Paste #BBall'!H154,Search("/",'Paste #BBall'!H154)-1)))</f>
        <v>1.0</v>
      </c>
      <c r="J154" s="152">
        <f t="shared" si="2"/>
        <v>0.7142857143</v>
      </c>
      <c r="K154" s="152">
        <f>'Paste #BBall'!I154</f>
        <v>0.2</v>
      </c>
      <c r="L154" s="152">
        <f>'Paste #BBall'!J154</f>
        <v>6.9</v>
      </c>
      <c r="M154" s="152">
        <f>'Paste #BBall'!K154</f>
        <v>6.1</v>
      </c>
      <c r="N154" s="152">
        <f>'Paste #BBall'!L154</f>
        <v>1.9</v>
      </c>
      <c r="O154" s="152">
        <f>'Paste #BBall'!M154</f>
        <v>0.7</v>
      </c>
      <c r="P154" s="152">
        <f>'Paste #BBall'!N154</f>
        <v>1</v>
      </c>
      <c r="Q154" s="152">
        <f>'Paste #BBall'!O154</f>
        <v>1.1</v>
      </c>
      <c r="R154" s="153" t="str">
        <f>Left(Right('Paste #BBall'!G154,Len('Paste #BBall'!G154)-Search("/",'Paste #BBall'!G154)),Len(Right('Paste #BBall'!G154,Len('Paste #BBall'!G154)-Search("/",'Paste #BBall'!G154)))-1)</f>
        <v>4.9</v>
      </c>
      <c r="S154" s="153" t="str">
        <f>Left(Right('Paste #BBall'!H154,Len('Paste #BBall'!H154)-Search("/",'Paste #BBall'!H154)),Len(Right('Paste #BBall'!H154,Len('Paste #BBall'!H154)-Search("/",'Paste #BBall'!H154)))-1)</f>
        <v>1.4</v>
      </c>
      <c r="T154" s="53"/>
      <c r="U154" s="53"/>
      <c r="V154" s="53"/>
    </row>
    <row r="155">
      <c r="A155" s="33">
        <v>154.0</v>
      </c>
      <c r="B155" s="149" t="str">
        <f>'Paste #BBall'!B155</f>
        <v>Keldon Johnson</v>
      </c>
      <c r="C155" s="150" t="str">
        <f>'Paste #BBall'!C155</f>
        <v>SG,SF</v>
      </c>
      <c r="D155" s="150" t="str">
        <f>'Paste #BBall'!D155</f>
        <v>SA</v>
      </c>
      <c r="E155" s="151">
        <f>'Paste #BBall'!E155</f>
        <v>70</v>
      </c>
      <c r="F155" s="152">
        <f>'Paste #BBall'!F155</f>
        <v>29.9</v>
      </c>
      <c r="G155" s="153" t="str">
        <f>right(Left('Paste #BBall'!G155,Search("/",'Paste #BBall'!G155)-1),len(Left('Paste #BBall'!G155,Search("/",'Paste #BBall'!G155)-1))-search("(",Left('Paste #BBall'!G155,Search("/",'Paste #BBall'!G155)-1)))</f>
        <v>6.6</v>
      </c>
      <c r="H155" s="152">
        <f t="shared" si="1"/>
        <v>0.4647887324</v>
      </c>
      <c r="I155" s="152" t="str">
        <f>right(Left('Paste #BBall'!H155,Search("/",'Paste #BBall'!H155)-1),len(Left('Paste #BBall'!H155,Search("/",'Paste #BBall'!H155)-1))-search("(",Left('Paste #BBall'!H155,Search("/",'Paste #BBall'!H155)-1)))</f>
        <v>2.9</v>
      </c>
      <c r="J155" s="152">
        <f t="shared" si="2"/>
        <v>0.7631578947</v>
      </c>
      <c r="K155" s="152">
        <f>'Paste #BBall'!I155</f>
        <v>1.9</v>
      </c>
      <c r="L155" s="152">
        <f>'Paste #BBall'!J155</f>
        <v>18</v>
      </c>
      <c r="M155" s="152">
        <f>'Paste #BBall'!K155</f>
        <v>4.9</v>
      </c>
      <c r="N155" s="152">
        <f>'Paste #BBall'!L155</f>
        <v>2.3</v>
      </c>
      <c r="O155" s="152">
        <f>'Paste #BBall'!M155</f>
        <v>0.7</v>
      </c>
      <c r="P155" s="152">
        <f>'Paste #BBall'!N155</f>
        <v>0.2</v>
      </c>
      <c r="Q155" s="152">
        <f>'Paste #BBall'!O155</f>
        <v>1.5</v>
      </c>
      <c r="R155" s="153" t="str">
        <f>Left(Right('Paste #BBall'!G155,Len('Paste #BBall'!G155)-Search("/",'Paste #BBall'!G155)),Len(Right('Paste #BBall'!G155,Len('Paste #BBall'!G155)-Search("/",'Paste #BBall'!G155)))-1)</f>
        <v>14.2</v>
      </c>
      <c r="S155" s="153" t="str">
        <f>Left(Right('Paste #BBall'!H155,Len('Paste #BBall'!H155)-Search("/",'Paste #BBall'!H155)),Len(Right('Paste #BBall'!H155,Len('Paste #BBall'!H155)-Search("/",'Paste #BBall'!H155)))-1)</f>
        <v>3.8</v>
      </c>
      <c r="T155" s="53"/>
      <c r="U155" s="53"/>
      <c r="V155" s="53"/>
    </row>
    <row r="156">
      <c r="A156" s="33">
        <v>155.0</v>
      </c>
      <c r="B156" s="149" t="str">
        <f>'Paste #BBall'!B156</f>
        <v>Kevon Looney</v>
      </c>
      <c r="C156" s="150" t="str">
        <f>'Paste #BBall'!C156</f>
        <v>PF</v>
      </c>
      <c r="D156" s="150" t="str">
        <f>'Paste #BBall'!D156</f>
        <v>GS</v>
      </c>
      <c r="E156" s="151">
        <f>'Paste #BBall'!E156</f>
        <v>80</v>
      </c>
      <c r="F156" s="152">
        <f>'Paste #BBall'!F156</f>
        <v>23.7</v>
      </c>
      <c r="G156" s="153" t="str">
        <f>right(Left('Paste #BBall'!G156,Search("/",'Paste #BBall'!G156)-1),len(Left('Paste #BBall'!G156,Search("/",'Paste #BBall'!G156)-1))-search("(",Left('Paste #BBall'!G156,Search("/",'Paste #BBall'!G156)-1)))</f>
        <v>3.0</v>
      </c>
      <c r="H156" s="152">
        <f t="shared" si="1"/>
        <v>0.612244898</v>
      </c>
      <c r="I156" s="152" t="str">
        <f>right(Left('Paste #BBall'!H156,Search("/",'Paste #BBall'!H156)-1),len(Left('Paste #BBall'!H156,Search("/",'Paste #BBall'!H156)-1))-search("(",Left('Paste #BBall'!H156,Search("/",'Paste #BBall'!H156)-1)))</f>
        <v>1.1</v>
      </c>
      <c r="J156" s="152">
        <f t="shared" si="2"/>
        <v>0.6111111111</v>
      </c>
      <c r="K156" s="152">
        <f>'Paste #BBall'!I156</f>
        <v>0</v>
      </c>
      <c r="L156" s="152">
        <f>'Paste #BBall'!J156</f>
        <v>7</v>
      </c>
      <c r="M156" s="152">
        <f>'Paste #BBall'!K156</f>
        <v>9</v>
      </c>
      <c r="N156" s="152">
        <f>'Paste #BBall'!L156</f>
        <v>2.4</v>
      </c>
      <c r="O156" s="152">
        <f>'Paste #BBall'!M156</f>
        <v>0.7</v>
      </c>
      <c r="P156" s="152">
        <f>'Paste #BBall'!N156</f>
        <v>0.7</v>
      </c>
      <c r="Q156" s="152">
        <f>'Paste #BBall'!O156</f>
        <v>0.7</v>
      </c>
      <c r="R156" s="153" t="str">
        <f>Left(Right('Paste #BBall'!G156,Len('Paste #BBall'!G156)-Search("/",'Paste #BBall'!G156)),Len(Right('Paste #BBall'!G156,Len('Paste #BBall'!G156)-Search("/",'Paste #BBall'!G156)))-1)</f>
        <v>4.9</v>
      </c>
      <c r="S156" s="153" t="str">
        <f>Left(Right('Paste #BBall'!H156,Len('Paste #BBall'!H156)-Search("/",'Paste #BBall'!H156)),Len(Right('Paste #BBall'!H156,Len('Paste #BBall'!H156)-Search("/",'Paste #BBall'!H156)))-1)</f>
        <v>1.8</v>
      </c>
      <c r="T156" s="53"/>
      <c r="U156" s="53"/>
      <c r="V156" s="53"/>
    </row>
    <row r="157">
      <c r="A157" s="33">
        <v>156.0</v>
      </c>
      <c r="B157" s="149" t="str">
        <f>'Paste #BBall'!B157</f>
        <v>Steven Adams</v>
      </c>
      <c r="C157" s="150" t="str">
        <f>'Paste #BBall'!C157</f>
        <v>C</v>
      </c>
      <c r="D157" s="150" t="str">
        <f>'Paste #BBall'!D157</f>
        <v>MEM</v>
      </c>
      <c r="E157" s="151">
        <f>'Paste #BBall'!E157</f>
        <v>68</v>
      </c>
      <c r="F157" s="152">
        <f>'Paste #BBall'!F157</f>
        <v>27.3</v>
      </c>
      <c r="G157" s="153" t="str">
        <f>right(Left('Paste #BBall'!G157,Search("/",'Paste #BBall'!G157)-1),len(Left('Paste #BBall'!G157,Search("/",'Paste #BBall'!G157)-1))-search("(",Left('Paste #BBall'!G157,Search("/",'Paste #BBall'!G157)-1)))</f>
        <v>3.2</v>
      </c>
      <c r="H157" s="152">
        <f t="shared" si="1"/>
        <v>0.5614035088</v>
      </c>
      <c r="I157" s="152" t="str">
        <f>right(Left('Paste #BBall'!H157,Search("/",'Paste #BBall'!H157)-1),len(Left('Paste #BBall'!H157,Search("/",'Paste #BBall'!H157)-1))-search("(",Left('Paste #BBall'!H157,Search("/",'Paste #BBall'!H157)-1)))</f>
        <v>1.4</v>
      </c>
      <c r="J157" s="152">
        <f t="shared" si="2"/>
        <v>0.4827586207</v>
      </c>
      <c r="K157" s="152">
        <f>'Paste #BBall'!I157</f>
        <v>0</v>
      </c>
      <c r="L157" s="152">
        <f>'Paste #BBall'!J157</f>
        <v>7.8</v>
      </c>
      <c r="M157" s="152">
        <f>'Paste #BBall'!K157</f>
        <v>11</v>
      </c>
      <c r="N157" s="152">
        <f>'Paste #BBall'!L157</f>
        <v>3.1</v>
      </c>
      <c r="O157" s="152">
        <f>'Paste #BBall'!M157</f>
        <v>0.9</v>
      </c>
      <c r="P157" s="152">
        <f>'Paste #BBall'!N157</f>
        <v>0.9</v>
      </c>
      <c r="Q157" s="152">
        <f>'Paste #BBall'!O157</f>
        <v>1.7</v>
      </c>
      <c r="R157" s="153" t="str">
        <f>Left(Right('Paste #BBall'!G157,Len('Paste #BBall'!G157)-Search("/",'Paste #BBall'!G157)),Len(Right('Paste #BBall'!G157,Len('Paste #BBall'!G157)-Search("/",'Paste #BBall'!G157)))-1)</f>
        <v>5.7</v>
      </c>
      <c r="S157" s="153" t="str">
        <f>Left(Right('Paste #BBall'!H157,Len('Paste #BBall'!H157)-Search("/",'Paste #BBall'!H157)),Len(Right('Paste #BBall'!H157,Len('Paste #BBall'!H157)-Search("/",'Paste #BBall'!H157)))-1)</f>
        <v>2.9</v>
      </c>
      <c r="T157" s="53"/>
      <c r="U157" s="53"/>
      <c r="V157" s="53"/>
    </row>
    <row r="158">
      <c r="A158" s="33">
        <v>157.0</v>
      </c>
      <c r="B158" s="149" t="str">
        <f>'Paste #BBall'!B158</f>
        <v>Dennis Schröder</v>
      </c>
      <c r="C158" s="150" t="str">
        <f>'Paste #BBall'!C158</f>
        <v>PG</v>
      </c>
      <c r="D158" s="150" t="str">
        <f>'Paste #BBall'!D158</f>
        <v>TOR</v>
      </c>
      <c r="E158" s="151">
        <f>'Paste #BBall'!E158</f>
        <v>70</v>
      </c>
      <c r="F158" s="152">
        <f>'Paste #BBall'!F158</f>
        <v>30</v>
      </c>
      <c r="G158" s="153" t="str">
        <f>right(Left('Paste #BBall'!G158,Search("/",'Paste #BBall'!G158)-1),len(Left('Paste #BBall'!G158,Search("/",'Paste #BBall'!G158)-1))-search("(",Left('Paste #BBall'!G158,Search("/",'Paste #BBall'!G158)-1)))</f>
        <v>4.6</v>
      </c>
      <c r="H158" s="152">
        <f t="shared" si="1"/>
        <v>0.4220183486</v>
      </c>
      <c r="I158" s="152" t="str">
        <f>right(Left('Paste #BBall'!H158,Search("/",'Paste #BBall'!H158)-1),len(Left('Paste #BBall'!H158,Search("/",'Paste #BBall'!H158)-1))-search("(",Left('Paste #BBall'!H158,Search("/",'Paste #BBall'!H158)-1)))</f>
        <v>3.0</v>
      </c>
      <c r="J158" s="152">
        <f t="shared" si="2"/>
        <v>0.8571428571</v>
      </c>
      <c r="K158" s="152">
        <f>'Paste #BBall'!I158</f>
        <v>1.3</v>
      </c>
      <c r="L158" s="152">
        <f>'Paste #BBall'!J158</f>
        <v>13.5</v>
      </c>
      <c r="M158" s="152">
        <f>'Paste #BBall'!K158</f>
        <v>3</v>
      </c>
      <c r="N158" s="152">
        <f>'Paste #BBall'!L158</f>
        <v>4.7</v>
      </c>
      <c r="O158" s="152">
        <f>'Paste #BBall'!M158</f>
        <v>0.8</v>
      </c>
      <c r="P158" s="152">
        <f>'Paste #BBall'!N158</f>
        <v>0.1</v>
      </c>
      <c r="Q158" s="152">
        <f>'Paste #BBall'!O158</f>
        <v>2</v>
      </c>
      <c r="R158" s="153" t="str">
        <f>Left(Right('Paste #BBall'!G158,Len('Paste #BBall'!G158)-Search("/",'Paste #BBall'!G158)),Len(Right('Paste #BBall'!G158,Len('Paste #BBall'!G158)-Search("/",'Paste #BBall'!G158)))-1)</f>
        <v>10.9</v>
      </c>
      <c r="S158" s="153" t="str">
        <f>Left(Right('Paste #BBall'!H158,Len('Paste #BBall'!H158)-Search("/",'Paste #BBall'!H158)),Len(Right('Paste #BBall'!H158,Len('Paste #BBall'!H158)-Search("/",'Paste #BBall'!H158)))-1)</f>
        <v>3.5</v>
      </c>
      <c r="T158" s="53"/>
      <c r="U158" s="53"/>
      <c r="V158" s="53"/>
    </row>
    <row r="159">
      <c r="A159" s="33">
        <v>158.0</v>
      </c>
      <c r="B159" s="149" t="str">
        <f>'Paste #BBall'!B159</f>
        <v>Collin Sexton</v>
      </c>
      <c r="C159" s="150" t="str">
        <f>'Paste #BBall'!C159</f>
        <v>PG,SG</v>
      </c>
      <c r="D159" s="150" t="str">
        <f>'Paste #BBall'!D159</f>
        <v>UTA</v>
      </c>
      <c r="E159" s="151">
        <f>'Paste #BBall'!E159</f>
        <v>62</v>
      </c>
      <c r="F159" s="152">
        <f>'Paste #BBall'!F159</f>
        <v>30</v>
      </c>
      <c r="G159" s="153" t="str">
        <f>right(Left('Paste #BBall'!G159,Search("/",'Paste #BBall'!G159)-1),len(Left('Paste #BBall'!G159,Search("/",'Paste #BBall'!G159)-1))-search("(",Left('Paste #BBall'!G159,Search("/",'Paste #BBall'!G159)-1)))</f>
        <v>5.9</v>
      </c>
      <c r="H159" s="152">
        <f t="shared" si="1"/>
        <v>0.4916666667</v>
      </c>
      <c r="I159" s="152" t="str">
        <f>right(Left('Paste #BBall'!H159,Search("/",'Paste #BBall'!H159)-1),len(Left('Paste #BBall'!H159,Search("/",'Paste #BBall'!H159)-1))-search("(",Left('Paste #BBall'!H159,Search("/",'Paste #BBall'!H159)-1)))</f>
        <v>3.7</v>
      </c>
      <c r="J159" s="152">
        <f t="shared" si="2"/>
        <v>0.8043478261</v>
      </c>
      <c r="K159" s="152">
        <f>'Paste #BBall'!I159</f>
        <v>1.1</v>
      </c>
      <c r="L159" s="152">
        <f>'Paste #BBall'!J159</f>
        <v>16.7</v>
      </c>
      <c r="M159" s="152">
        <f>'Paste #BBall'!K159</f>
        <v>2.7</v>
      </c>
      <c r="N159" s="152">
        <f>'Paste #BBall'!L159</f>
        <v>3.1</v>
      </c>
      <c r="O159" s="152">
        <f>'Paste #BBall'!M159</f>
        <v>0.7</v>
      </c>
      <c r="P159" s="152">
        <f>'Paste #BBall'!N159</f>
        <v>0.1</v>
      </c>
      <c r="Q159" s="152">
        <f>'Paste #BBall'!O159</f>
        <v>2.2</v>
      </c>
      <c r="R159" s="153" t="str">
        <f>Left(Right('Paste #BBall'!G159,Len('Paste #BBall'!G159)-Search("/",'Paste #BBall'!G159)),Len(Right('Paste #BBall'!G159,Len('Paste #BBall'!G159)-Search("/",'Paste #BBall'!G159)))-1)</f>
        <v>12.0</v>
      </c>
      <c r="S159" s="153" t="str">
        <f>Left(Right('Paste #BBall'!H159,Len('Paste #BBall'!H159)-Search("/",'Paste #BBall'!H159)),Len(Right('Paste #BBall'!H159,Len('Paste #BBall'!H159)-Search("/",'Paste #BBall'!H159)))-1)</f>
        <v>4.6</v>
      </c>
      <c r="T159" s="53"/>
      <c r="U159" s="53"/>
      <c r="V159" s="53"/>
    </row>
    <row r="160">
      <c r="A160" s="33">
        <v>159.0</v>
      </c>
      <c r="B160" s="149" t="str">
        <f>'Paste #BBall'!B160</f>
        <v>Jae Crowder</v>
      </c>
      <c r="C160" s="150" t="str">
        <f>'Paste #BBall'!C160</f>
        <v>SF,PF</v>
      </c>
      <c r="D160" s="150" t="str">
        <f>'Paste #BBall'!D160</f>
        <v>MIL</v>
      </c>
      <c r="E160" s="151">
        <f>'Paste #BBall'!E160</f>
        <v>67</v>
      </c>
      <c r="F160" s="152">
        <f>'Paste #BBall'!F160</f>
        <v>23.2</v>
      </c>
      <c r="G160" s="153" t="str">
        <f>right(Left('Paste #BBall'!G160,Search("/",'Paste #BBall'!G160)-1),len(Left('Paste #BBall'!G160,Search("/",'Paste #BBall'!G160)-1))-search("(",Left('Paste #BBall'!G160,Search("/",'Paste #BBall'!G160)-1)))</f>
        <v>2.9</v>
      </c>
      <c r="H160" s="152">
        <f t="shared" si="1"/>
        <v>0.4393939394</v>
      </c>
      <c r="I160" s="152" t="str">
        <f>right(Left('Paste #BBall'!H160,Search("/",'Paste #BBall'!H160)-1),len(Left('Paste #BBall'!H160,Search("/",'Paste #BBall'!H160)-1))-search("(",Left('Paste #BBall'!H160,Search("/",'Paste #BBall'!H160)-1)))</f>
        <v>0.9</v>
      </c>
      <c r="J160" s="152">
        <f t="shared" si="2"/>
        <v>0.8181818182</v>
      </c>
      <c r="K160" s="152">
        <f>'Paste #BBall'!I160</f>
        <v>1.6</v>
      </c>
      <c r="L160" s="152">
        <f>'Paste #BBall'!J160</f>
        <v>8.3</v>
      </c>
      <c r="M160" s="152">
        <f>'Paste #BBall'!K160</f>
        <v>4.4</v>
      </c>
      <c r="N160" s="152">
        <f>'Paste #BBall'!L160</f>
        <v>1.6</v>
      </c>
      <c r="O160" s="152">
        <f>'Paste #BBall'!M160</f>
        <v>1.1</v>
      </c>
      <c r="P160" s="152">
        <f>'Paste #BBall'!N160</f>
        <v>0.4</v>
      </c>
      <c r="Q160" s="152">
        <f>'Paste #BBall'!O160</f>
        <v>0.7</v>
      </c>
      <c r="R160" s="153" t="str">
        <f>Left(Right('Paste #BBall'!G160,Len('Paste #BBall'!G160)-Search("/",'Paste #BBall'!G160)),Len(Right('Paste #BBall'!G160,Len('Paste #BBall'!G160)-Search("/",'Paste #BBall'!G160)))-1)</f>
        <v>6.6</v>
      </c>
      <c r="S160" s="153" t="str">
        <f>Left(Right('Paste #BBall'!H160,Len('Paste #BBall'!H160)-Search("/",'Paste #BBall'!H160)),Len(Right('Paste #BBall'!H160,Len('Paste #BBall'!H160)-Search("/",'Paste #BBall'!H160)))-1)</f>
        <v>1.1</v>
      </c>
      <c r="T160" s="53"/>
      <c r="U160" s="53"/>
      <c r="V160" s="53"/>
    </row>
    <row r="161">
      <c r="A161" s="33">
        <v>160.0</v>
      </c>
      <c r="B161" s="149" t="str">
        <f>'Paste #BBall'!B161</f>
        <v>Shaedon Sharpe</v>
      </c>
      <c r="C161" s="150" t="str">
        <f>'Paste #BBall'!C161</f>
        <v>SG,SF</v>
      </c>
      <c r="D161" s="150" t="str">
        <f>'Paste #BBall'!D161</f>
        <v>POR</v>
      </c>
      <c r="E161" s="151">
        <f>'Paste #BBall'!E161</f>
        <v>78</v>
      </c>
      <c r="F161" s="152">
        <f>'Paste #BBall'!F161</f>
        <v>31</v>
      </c>
      <c r="G161" s="153" t="str">
        <f>right(Left('Paste #BBall'!G161,Search("/",'Paste #BBall'!G161)-1),len(Left('Paste #BBall'!G161,Search("/",'Paste #BBall'!G161)-1))-search("(",Left('Paste #BBall'!G161,Search("/",'Paste #BBall'!G161)-1)))</f>
        <v>6.0</v>
      </c>
      <c r="H161" s="152">
        <f t="shared" si="1"/>
        <v>0.46875</v>
      </c>
      <c r="I161" s="152" t="str">
        <f>right(Left('Paste #BBall'!H161,Search("/",'Paste #BBall'!H161)-1),len(Left('Paste #BBall'!H161,Search("/",'Paste #BBall'!H161)-1))-search("(",Left('Paste #BBall'!H161,Search("/",'Paste #BBall'!H161)-1)))</f>
        <v>1.9</v>
      </c>
      <c r="J161" s="152">
        <f t="shared" si="2"/>
        <v>0.7307692308</v>
      </c>
      <c r="K161" s="152">
        <f>'Paste #BBall'!I161</f>
        <v>1.9</v>
      </c>
      <c r="L161" s="152">
        <f>'Paste #BBall'!J161</f>
        <v>15.8</v>
      </c>
      <c r="M161" s="152">
        <f>'Paste #BBall'!K161</f>
        <v>4.3</v>
      </c>
      <c r="N161" s="152">
        <f>'Paste #BBall'!L161</f>
        <v>1.7</v>
      </c>
      <c r="O161" s="152">
        <f>'Paste #BBall'!M161</f>
        <v>0.7</v>
      </c>
      <c r="P161" s="152">
        <f>'Paste #BBall'!N161</f>
        <v>0.4</v>
      </c>
      <c r="Q161" s="152">
        <f>'Paste #BBall'!O161</f>
        <v>1.5</v>
      </c>
      <c r="R161" s="153" t="str">
        <f>Left(Right('Paste #BBall'!G161,Len('Paste #BBall'!G161)-Search("/",'Paste #BBall'!G161)),Len(Right('Paste #BBall'!G161,Len('Paste #BBall'!G161)-Search("/",'Paste #BBall'!G161)))-1)</f>
        <v>12.8</v>
      </c>
      <c r="S161" s="153" t="str">
        <f>Left(Right('Paste #BBall'!H161,Len('Paste #BBall'!H161)-Search("/",'Paste #BBall'!H161)),Len(Right('Paste #BBall'!H161,Len('Paste #BBall'!H161)-Search("/",'Paste #BBall'!H161)))-1)</f>
        <v>2.6</v>
      </c>
      <c r="T161" s="53"/>
      <c r="U161" s="53"/>
      <c r="V161" s="53"/>
    </row>
    <row r="162">
      <c r="A162" s="33">
        <v>161.0</v>
      </c>
      <c r="B162" s="149" t="str">
        <f>'Paste #BBall'!B162</f>
        <v>Quentin Grimes</v>
      </c>
      <c r="C162" s="150" t="str">
        <f>'Paste #BBall'!C162</f>
        <v>SG,SF</v>
      </c>
      <c r="D162" s="150" t="str">
        <f>'Paste #BBall'!D162</f>
        <v>NY</v>
      </c>
      <c r="E162" s="151">
        <f>'Paste #BBall'!E162</f>
        <v>70</v>
      </c>
      <c r="F162" s="152">
        <f>'Paste #BBall'!F162</f>
        <v>29.1</v>
      </c>
      <c r="G162" s="153" t="str">
        <f>right(Left('Paste #BBall'!G162,Search("/",'Paste #BBall'!G162)-1),len(Left('Paste #BBall'!G162,Search("/",'Paste #BBall'!G162)-1))-search("(",Left('Paste #BBall'!G162,Search("/",'Paste #BBall'!G162)-1)))</f>
        <v>3.8</v>
      </c>
      <c r="H162" s="152">
        <f t="shared" si="1"/>
        <v>0.4470588235</v>
      </c>
      <c r="I162" s="152" t="str">
        <f>right(Left('Paste #BBall'!H162,Search("/",'Paste #BBall'!H162)-1),len(Left('Paste #BBall'!H162,Search("/",'Paste #BBall'!H162)-1))-search("(",Left('Paste #BBall'!H162,Search("/",'Paste #BBall'!H162)-1)))</f>
        <v>0.9</v>
      </c>
      <c r="J162" s="152">
        <f t="shared" si="2"/>
        <v>0.75</v>
      </c>
      <c r="K162" s="152">
        <f>'Paste #BBall'!I162</f>
        <v>2.3</v>
      </c>
      <c r="L162" s="152">
        <f>'Paste #BBall'!J162</f>
        <v>10.9</v>
      </c>
      <c r="M162" s="152">
        <f>'Paste #BBall'!K162</f>
        <v>3.3</v>
      </c>
      <c r="N162" s="152">
        <f>'Paste #BBall'!L162</f>
        <v>2</v>
      </c>
      <c r="O162" s="152">
        <f>'Paste #BBall'!M162</f>
        <v>0.8</v>
      </c>
      <c r="P162" s="152">
        <f>'Paste #BBall'!N162</f>
        <v>0.4</v>
      </c>
      <c r="Q162" s="152">
        <f>'Paste #BBall'!O162</f>
        <v>1</v>
      </c>
      <c r="R162" s="153" t="str">
        <f>Left(Right('Paste #BBall'!G162,Len('Paste #BBall'!G162)-Search("/",'Paste #BBall'!G162)),Len(Right('Paste #BBall'!G162,Len('Paste #BBall'!G162)-Search("/",'Paste #BBall'!G162)))-1)</f>
        <v>8.5</v>
      </c>
      <c r="S162" s="153" t="str">
        <f>Left(Right('Paste #BBall'!H162,Len('Paste #BBall'!H162)-Search("/",'Paste #BBall'!H162)),Len(Right('Paste #BBall'!H162,Len('Paste #BBall'!H162)-Search("/",'Paste #BBall'!H162)))-1)</f>
        <v>1.2</v>
      </c>
      <c r="T162" s="53"/>
      <c r="U162" s="53"/>
      <c r="V162" s="53"/>
    </row>
    <row r="163">
      <c r="A163" s="33">
        <v>162.0</v>
      </c>
      <c r="B163" s="149" t="str">
        <f>'Paste #BBall'!B163</f>
        <v>Brandon Clarke</v>
      </c>
      <c r="C163" s="150" t="str">
        <f>'Paste #BBall'!C163</f>
        <v>PF,C</v>
      </c>
      <c r="D163" s="150" t="str">
        <f>'Paste #BBall'!D163</f>
        <v>MEM</v>
      </c>
      <c r="E163" s="151">
        <f>'Paste #BBall'!E163</f>
        <v>8</v>
      </c>
      <c r="F163" s="152">
        <f>'Paste #BBall'!F163</f>
        <v>18.1</v>
      </c>
      <c r="G163" s="153" t="str">
        <f>right(Left('Paste #BBall'!G163,Search("/",'Paste #BBall'!G163)-1),len(Left('Paste #BBall'!G163,Search("/",'Paste #BBall'!G163)-1))-search("(",Left('Paste #BBall'!G163,Search("/",'Paste #BBall'!G163)-1)))</f>
        <v>4.1</v>
      </c>
      <c r="H163" s="152">
        <f t="shared" si="1"/>
        <v>0.6612903226</v>
      </c>
      <c r="I163" s="152" t="str">
        <f>right(Left('Paste #BBall'!H163,Search("/",'Paste #BBall'!H163)-1),len(Left('Paste #BBall'!H163,Search("/",'Paste #BBall'!H163)-1))-search("(",Left('Paste #BBall'!H163,Search("/",'Paste #BBall'!H163)-1)))</f>
        <v>1.4</v>
      </c>
      <c r="J163" s="152">
        <f t="shared" si="2"/>
        <v>0.6666666667</v>
      </c>
      <c r="K163" s="152">
        <f>'Paste #BBall'!I163</f>
        <v>0.1</v>
      </c>
      <c r="L163" s="152">
        <f>'Paste #BBall'!J163</f>
        <v>9.6</v>
      </c>
      <c r="M163" s="152">
        <f>'Paste #BBall'!K163</f>
        <v>5.1</v>
      </c>
      <c r="N163" s="152">
        <f>'Paste #BBall'!L163</f>
        <v>1.2</v>
      </c>
      <c r="O163" s="152">
        <f>'Paste #BBall'!M163</f>
        <v>0.6</v>
      </c>
      <c r="P163" s="152">
        <f>'Paste #BBall'!N163</f>
        <v>0.8</v>
      </c>
      <c r="Q163" s="152">
        <f>'Paste #BBall'!O163</f>
        <v>0.7</v>
      </c>
      <c r="R163" s="153" t="str">
        <f>Left(Right('Paste #BBall'!G163,Len('Paste #BBall'!G163)-Search("/",'Paste #BBall'!G163)),Len(Right('Paste #BBall'!G163,Len('Paste #BBall'!G163)-Search("/",'Paste #BBall'!G163)))-1)</f>
        <v>6.2</v>
      </c>
      <c r="S163" s="153" t="str">
        <f>Left(Right('Paste #BBall'!H163,Len('Paste #BBall'!H163)-Search("/",'Paste #BBall'!H163)),Len(Right('Paste #BBall'!H163,Len('Paste #BBall'!H163)-Search("/",'Paste #BBall'!H163)))-1)</f>
        <v>2.1</v>
      </c>
      <c r="T163" s="53"/>
      <c r="U163" s="53"/>
      <c r="V163" s="53"/>
    </row>
    <row r="164">
      <c r="A164" s="33">
        <v>163.0</v>
      </c>
      <c r="B164" s="149" t="str">
        <f>'Paste #BBall'!B164</f>
        <v>Nicolas Batum</v>
      </c>
      <c r="C164" s="150" t="str">
        <f>'Paste #BBall'!C164</f>
        <v>SF,PF</v>
      </c>
      <c r="D164" s="150" t="str">
        <f>'Paste #BBall'!D164</f>
        <v>LAC</v>
      </c>
      <c r="E164" s="151">
        <f>'Paste #BBall'!E164</f>
        <v>67</v>
      </c>
      <c r="F164" s="152">
        <f>'Paste #BBall'!F164</f>
        <v>24.2</v>
      </c>
      <c r="G164" s="153" t="str">
        <f>right(Left('Paste #BBall'!G164,Search("/",'Paste #BBall'!G164)-1),len(Left('Paste #BBall'!G164,Search("/",'Paste #BBall'!G164)-1))-search("(",Left('Paste #BBall'!G164,Search("/",'Paste #BBall'!G164)-1)))</f>
        <v>2.6</v>
      </c>
      <c r="H164" s="152">
        <f t="shared" si="1"/>
        <v>0.4406779661</v>
      </c>
      <c r="I164" s="152" t="str">
        <f>right(Left('Paste #BBall'!H164,Search("/",'Paste #BBall'!H164)-1),len(Left('Paste #BBall'!H164,Search("/",'Paste #BBall'!H164)-1))-search("(",Left('Paste #BBall'!H164,Search("/",'Paste #BBall'!H164)-1)))</f>
        <v>0.5</v>
      </c>
      <c r="J164" s="152">
        <f t="shared" si="2"/>
        <v>0.7142857143</v>
      </c>
      <c r="K164" s="152">
        <f>'Paste #BBall'!I164</f>
        <v>1.8</v>
      </c>
      <c r="L164" s="152">
        <f>'Paste #BBall'!J164</f>
        <v>7.5</v>
      </c>
      <c r="M164" s="152">
        <f>'Paste #BBall'!K164</f>
        <v>4.3</v>
      </c>
      <c r="N164" s="152">
        <f>'Paste #BBall'!L164</f>
        <v>1.7</v>
      </c>
      <c r="O164" s="152">
        <f>'Paste #BBall'!M164</f>
        <v>0.9</v>
      </c>
      <c r="P164" s="152">
        <f>'Paste #BBall'!N164</f>
        <v>0.7</v>
      </c>
      <c r="Q164" s="152">
        <f>'Paste #BBall'!O164</f>
        <v>0.7</v>
      </c>
      <c r="R164" s="153" t="str">
        <f>Left(Right('Paste #BBall'!G164,Len('Paste #BBall'!G164)-Search("/",'Paste #BBall'!G164)),Len(Right('Paste #BBall'!G164,Len('Paste #BBall'!G164)-Search("/",'Paste #BBall'!G164)))-1)</f>
        <v>5.9</v>
      </c>
      <c r="S164" s="153" t="str">
        <f>Left(Right('Paste #BBall'!H164,Len('Paste #BBall'!H164)-Search("/",'Paste #BBall'!H164)),Len(Right('Paste #BBall'!H164,Len('Paste #BBall'!H164)-Search("/",'Paste #BBall'!H164)))-1)</f>
        <v>0.7</v>
      </c>
      <c r="T164" s="53"/>
      <c r="U164" s="53"/>
      <c r="V164" s="53"/>
    </row>
    <row r="165">
      <c r="A165" s="33">
        <v>164.0</v>
      </c>
      <c r="B165" s="149" t="str">
        <f>'Paste #BBall'!B165</f>
        <v>Malik Monk</v>
      </c>
      <c r="C165" s="150" t="str">
        <f>'Paste #BBall'!C165</f>
        <v>SG,SF</v>
      </c>
      <c r="D165" s="150" t="str">
        <f>'Paste #BBall'!D165</f>
        <v>SAC</v>
      </c>
      <c r="E165" s="151">
        <f>'Paste #BBall'!E165</f>
        <v>76</v>
      </c>
      <c r="F165" s="152">
        <f>'Paste #BBall'!F165</f>
        <v>22</v>
      </c>
      <c r="G165" s="153" t="str">
        <f>right(Left('Paste #BBall'!G165,Search("/",'Paste #BBall'!G165)-1),len(Left('Paste #BBall'!G165,Search("/",'Paste #BBall'!G165)-1))-search("(",Left('Paste #BBall'!G165,Search("/",'Paste #BBall'!G165)-1)))</f>
        <v>4.3</v>
      </c>
      <c r="H165" s="152">
        <f t="shared" si="1"/>
        <v>0.4623655914</v>
      </c>
      <c r="I165" s="152" t="str">
        <f>right(Left('Paste #BBall'!H165,Search("/",'Paste #BBall'!H165)-1),len(Left('Paste #BBall'!H165,Search("/",'Paste #BBall'!H165)-1))-search("(",Left('Paste #BBall'!H165,Search("/",'Paste #BBall'!H165)-1)))</f>
        <v>1.6</v>
      </c>
      <c r="J165" s="152">
        <f t="shared" si="2"/>
        <v>0.8421052632</v>
      </c>
      <c r="K165" s="152">
        <f>'Paste #BBall'!I165</f>
        <v>1.8</v>
      </c>
      <c r="L165" s="152">
        <f>'Paste #BBall'!J165</f>
        <v>12</v>
      </c>
      <c r="M165" s="152">
        <f>'Paste #BBall'!K165</f>
        <v>2.6</v>
      </c>
      <c r="N165" s="152">
        <f>'Paste #BBall'!L165</f>
        <v>3</v>
      </c>
      <c r="O165" s="152">
        <f>'Paste #BBall'!M165</f>
        <v>0.6</v>
      </c>
      <c r="P165" s="152">
        <f>'Paste #BBall'!N165</f>
        <v>0.3</v>
      </c>
      <c r="Q165" s="152">
        <f>'Paste #BBall'!O165</f>
        <v>1.5</v>
      </c>
      <c r="R165" s="153" t="str">
        <f>Left(Right('Paste #BBall'!G165,Len('Paste #BBall'!G165)-Search("/",'Paste #BBall'!G165)),Len(Right('Paste #BBall'!G165,Len('Paste #BBall'!G165)-Search("/",'Paste #BBall'!G165)))-1)</f>
        <v>9.3</v>
      </c>
      <c r="S165" s="153" t="str">
        <f>Left(Right('Paste #BBall'!H165,Len('Paste #BBall'!H165)-Search("/",'Paste #BBall'!H165)),Len(Right('Paste #BBall'!H165,Len('Paste #BBall'!H165)-Search("/",'Paste #BBall'!H165)))-1)</f>
        <v>1.9</v>
      </c>
      <c r="T165" s="53"/>
      <c r="U165" s="53"/>
      <c r="V165" s="53"/>
    </row>
    <row r="166">
      <c r="A166" s="33">
        <v>165.0</v>
      </c>
      <c r="B166" s="149" t="str">
        <f>'Paste #BBall'!B166</f>
        <v>Grant Williams</v>
      </c>
      <c r="C166" s="150" t="str">
        <f>'Paste #BBall'!C166</f>
        <v>PF</v>
      </c>
      <c r="D166" s="150" t="str">
        <f>'Paste #BBall'!D166</f>
        <v>DAL</v>
      </c>
      <c r="E166" s="151">
        <f>'Paste #BBall'!E166</f>
        <v>72</v>
      </c>
      <c r="F166" s="152">
        <f>'Paste #BBall'!F166</f>
        <v>30</v>
      </c>
      <c r="G166" s="153" t="str">
        <f>right(Left('Paste #BBall'!G166,Search("/",'Paste #BBall'!G166)-1),len(Left('Paste #BBall'!G166,Search("/",'Paste #BBall'!G166)-1))-search("(",Left('Paste #BBall'!G166,Search("/",'Paste #BBall'!G166)-1)))</f>
        <v>3.0</v>
      </c>
      <c r="H166" s="152">
        <f t="shared" si="1"/>
        <v>0.4545454545</v>
      </c>
      <c r="I166" s="152" t="str">
        <f>right(Left('Paste #BBall'!H166,Search("/",'Paste #BBall'!H166)-1),len(Left('Paste #BBall'!H166,Search("/",'Paste #BBall'!H166)-1))-search("(",Left('Paste #BBall'!H166,Search("/",'Paste #BBall'!H166)-1)))</f>
        <v>1.3</v>
      </c>
      <c r="J166" s="152">
        <f t="shared" si="2"/>
        <v>0.8125</v>
      </c>
      <c r="K166" s="152">
        <f>'Paste #BBall'!I166</f>
        <v>1.6</v>
      </c>
      <c r="L166" s="152">
        <f>'Paste #BBall'!J166</f>
        <v>9</v>
      </c>
      <c r="M166" s="152">
        <f>'Paste #BBall'!K166</f>
        <v>4.6</v>
      </c>
      <c r="N166" s="152">
        <f>'Paste #BBall'!L166</f>
        <v>1.5</v>
      </c>
      <c r="O166" s="152">
        <f>'Paste #BBall'!M166</f>
        <v>0.6</v>
      </c>
      <c r="P166" s="152">
        <f>'Paste #BBall'!N166</f>
        <v>0.6</v>
      </c>
      <c r="Q166" s="152">
        <f>'Paste #BBall'!O166</f>
        <v>1</v>
      </c>
      <c r="R166" s="153" t="str">
        <f>Left(Right('Paste #BBall'!G166,Len('Paste #BBall'!G166)-Search("/",'Paste #BBall'!G166)),Len(Right('Paste #BBall'!G166,Len('Paste #BBall'!G166)-Search("/",'Paste #BBall'!G166)))-1)</f>
        <v>6.6</v>
      </c>
      <c r="S166" s="153" t="str">
        <f>Left(Right('Paste #BBall'!H166,Len('Paste #BBall'!H166)-Search("/",'Paste #BBall'!H166)),Len(Right('Paste #BBall'!H166,Len('Paste #BBall'!H166)-Search("/",'Paste #BBall'!H166)))-1)</f>
        <v>1.6</v>
      </c>
      <c r="T166" s="53"/>
      <c r="U166" s="53"/>
      <c r="V166" s="53"/>
    </row>
    <row r="167">
      <c r="A167" s="33">
        <v>166.0</v>
      </c>
      <c r="B167" s="149" t="str">
        <f>'Paste #BBall'!B167</f>
        <v>Nick Richards</v>
      </c>
      <c r="C167" s="150" t="str">
        <f>'Paste #BBall'!C167</f>
        <v>C</v>
      </c>
      <c r="D167" s="150" t="str">
        <f>'Paste #BBall'!D167</f>
        <v>CHA</v>
      </c>
      <c r="E167" s="151">
        <f>'Paste #BBall'!E167</f>
        <v>70</v>
      </c>
      <c r="F167" s="152">
        <f>'Paste #BBall'!F167</f>
        <v>21.1</v>
      </c>
      <c r="G167" s="153" t="str">
        <f>right(Left('Paste #BBall'!G167,Search("/",'Paste #BBall'!G167)-1),len(Left('Paste #BBall'!G167,Search("/",'Paste #BBall'!G167)-1))-search("(",Left('Paste #BBall'!G167,Search("/",'Paste #BBall'!G167)-1)))</f>
        <v>3.3</v>
      </c>
      <c r="H167" s="152">
        <f t="shared" si="1"/>
        <v>0.6470588235</v>
      </c>
      <c r="I167" s="152" t="str">
        <f>right(Left('Paste #BBall'!H167,Search("/",'Paste #BBall'!H167)-1),len(Left('Paste #BBall'!H167,Search("/",'Paste #BBall'!H167)-1))-search("(",Left('Paste #BBall'!H167,Search("/",'Paste #BBall'!H167)-1)))</f>
        <v>2.1</v>
      </c>
      <c r="J167" s="152">
        <f t="shared" si="2"/>
        <v>0.724137931</v>
      </c>
      <c r="K167" s="152">
        <f>'Paste #BBall'!I167</f>
        <v>0</v>
      </c>
      <c r="L167" s="152">
        <f>'Paste #BBall'!J167</f>
        <v>8.7</v>
      </c>
      <c r="M167" s="152">
        <f>'Paste #BBall'!K167</f>
        <v>6.4</v>
      </c>
      <c r="N167" s="152">
        <f>'Paste #BBall'!L167</f>
        <v>0.7</v>
      </c>
      <c r="O167" s="152">
        <f>'Paste #BBall'!M167</f>
        <v>0.3</v>
      </c>
      <c r="P167" s="152">
        <f>'Paste #BBall'!N167</f>
        <v>1.2</v>
      </c>
      <c r="Q167" s="152">
        <f>'Paste #BBall'!O167</f>
        <v>1.1</v>
      </c>
      <c r="R167" s="153" t="str">
        <f>Left(Right('Paste #BBall'!G167,Len('Paste #BBall'!G167)-Search("/",'Paste #BBall'!G167)),Len(Right('Paste #BBall'!G167,Len('Paste #BBall'!G167)-Search("/",'Paste #BBall'!G167)))-1)</f>
        <v>5.1</v>
      </c>
      <c r="S167" s="153" t="str">
        <f>Left(Right('Paste #BBall'!H167,Len('Paste #BBall'!H167)-Search("/",'Paste #BBall'!H167)),Len(Right('Paste #BBall'!H167,Len('Paste #BBall'!H167)-Search("/",'Paste #BBall'!H167)))-1)</f>
        <v>2.9</v>
      </c>
      <c r="T167" s="53"/>
      <c r="U167" s="53"/>
      <c r="V167" s="53"/>
    </row>
    <row r="168">
      <c r="A168" s="33">
        <v>167.0</v>
      </c>
      <c r="B168" s="149" t="str">
        <f>'Paste #BBall'!B168</f>
        <v>Gary Trent Jr.</v>
      </c>
      <c r="C168" s="150" t="str">
        <f>'Paste #BBall'!C168</f>
        <v>PG,SG</v>
      </c>
      <c r="D168" s="150" t="str">
        <f>'Paste #BBall'!D168</f>
        <v>TOR</v>
      </c>
      <c r="E168" s="151">
        <f>'Paste #BBall'!E168</f>
        <v>65</v>
      </c>
      <c r="F168" s="152">
        <f>'Paste #BBall'!F168</f>
        <v>24</v>
      </c>
      <c r="G168" s="153" t="str">
        <f>right(Left('Paste #BBall'!G168,Search("/",'Paste #BBall'!G168)-1),len(Left('Paste #BBall'!G168,Search("/",'Paste #BBall'!G168)-1))-search("(",Left('Paste #BBall'!G168,Search("/",'Paste #BBall'!G168)-1)))</f>
        <v>4.5</v>
      </c>
      <c r="H168" s="152">
        <f t="shared" si="1"/>
        <v>0.4205607477</v>
      </c>
      <c r="I168" s="152" t="str">
        <f>right(Left('Paste #BBall'!H168,Search("/",'Paste #BBall'!H168)-1),len(Left('Paste #BBall'!H168,Search("/",'Paste #BBall'!H168)-1))-search("(",Left('Paste #BBall'!H168,Search("/",'Paste #BBall'!H168)-1)))</f>
        <v>1.8</v>
      </c>
      <c r="J168" s="152">
        <f t="shared" si="2"/>
        <v>0.8181818182</v>
      </c>
      <c r="K168" s="152">
        <f>'Paste #BBall'!I168</f>
        <v>2</v>
      </c>
      <c r="L168" s="152">
        <f>'Paste #BBall'!J168</f>
        <v>12.9</v>
      </c>
      <c r="M168" s="152">
        <f>'Paste #BBall'!K168</f>
        <v>1.9</v>
      </c>
      <c r="N168" s="152">
        <f>'Paste #BBall'!L168</f>
        <v>1.3</v>
      </c>
      <c r="O168" s="152">
        <f>'Paste #BBall'!M168</f>
        <v>1.2</v>
      </c>
      <c r="P168" s="152">
        <f>'Paste #BBall'!N168</f>
        <v>0.2</v>
      </c>
      <c r="Q168" s="152">
        <f>'Paste #BBall'!O168</f>
        <v>0.7</v>
      </c>
      <c r="R168" s="153" t="str">
        <f>Left(Right('Paste #BBall'!G168,Len('Paste #BBall'!G168)-Search("/",'Paste #BBall'!G168)),Len(Right('Paste #BBall'!G168,Len('Paste #BBall'!G168)-Search("/",'Paste #BBall'!G168)))-1)</f>
        <v>10.7</v>
      </c>
      <c r="S168" s="153" t="str">
        <f>Left(Right('Paste #BBall'!H168,Len('Paste #BBall'!H168)-Search("/",'Paste #BBall'!H168)),Len(Right('Paste #BBall'!H168,Len('Paste #BBall'!H168)-Search("/",'Paste #BBall'!H168)))-1)</f>
        <v>2.2</v>
      </c>
      <c r="T168" s="53"/>
      <c r="U168" s="53"/>
      <c r="V168" s="53"/>
    </row>
    <row r="169">
      <c r="A169" s="33">
        <v>168.0</v>
      </c>
      <c r="B169" s="149" t="str">
        <f>'Paste #BBall'!B169</f>
        <v>Isaiah Stewart</v>
      </c>
      <c r="C169" s="150" t="str">
        <f>'Paste #BBall'!C169</f>
        <v>PF,C</v>
      </c>
      <c r="D169" s="150" t="str">
        <f>'Paste #BBall'!D169</f>
        <v>DET</v>
      </c>
      <c r="E169" s="151">
        <f>'Paste #BBall'!E169</f>
        <v>70</v>
      </c>
      <c r="F169" s="152">
        <f>'Paste #BBall'!F169</f>
        <v>28.1</v>
      </c>
      <c r="G169" s="153" t="str">
        <f>right(Left('Paste #BBall'!G169,Search("/",'Paste #BBall'!G169)-1),len(Left('Paste #BBall'!G169,Search("/",'Paste #BBall'!G169)-1))-search("(",Left('Paste #BBall'!G169,Search("/",'Paste #BBall'!G169)-1)))</f>
        <v>3.9</v>
      </c>
      <c r="H169" s="152">
        <f t="shared" si="1"/>
        <v>0.4482758621</v>
      </c>
      <c r="I169" s="152" t="str">
        <f>right(Left('Paste #BBall'!H169,Search("/",'Paste #BBall'!H169)-1),len(Left('Paste #BBall'!H169,Search("/",'Paste #BBall'!H169)-1))-search("(",Left('Paste #BBall'!H169,Search("/",'Paste #BBall'!H169)-1)))</f>
        <v>1.6</v>
      </c>
      <c r="J169" s="152">
        <f t="shared" si="2"/>
        <v>0.7272727273</v>
      </c>
      <c r="K169" s="152">
        <f>'Paste #BBall'!I169</f>
        <v>1.4</v>
      </c>
      <c r="L169" s="152">
        <f>'Paste #BBall'!J169</f>
        <v>10.8</v>
      </c>
      <c r="M169" s="152">
        <f>'Paste #BBall'!K169</f>
        <v>8.2</v>
      </c>
      <c r="N169" s="152">
        <f>'Paste #BBall'!L169</f>
        <v>1.3</v>
      </c>
      <c r="O169" s="152">
        <f>'Paste #BBall'!M169</f>
        <v>0.4</v>
      </c>
      <c r="P169" s="152">
        <f>'Paste #BBall'!N169</f>
        <v>0.7</v>
      </c>
      <c r="Q169" s="152">
        <f>'Paste #BBall'!O169</f>
        <v>1.4</v>
      </c>
      <c r="R169" s="153" t="str">
        <f>Left(Right('Paste #BBall'!G169,Len('Paste #BBall'!G169)-Search("/",'Paste #BBall'!G169)),Len(Right('Paste #BBall'!G169,Len('Paste #BBall'!G169)-Search("/",'Paste #BBall'!G169)))-1)</f>
        <v>8.7</v>
      </c>
      <c r="S169" s="153" t="str">
        <f>Left(Right('Paste #BBall'!H169,Len('Paste #BBall'!H169)-Search("/",'Paste #BBall'!H169)),Len(Right('Paste #BBall'!H169,Len('Paste #BBall'!H169)-Search("/",'Paste #BBall'!H169)))-1)</f>
        <v>2.2</v>
      </c>
      <c r="T169" s="53"/>
      <c r="U169" s="53"/>
      <c r="V169" s="53"/>
    </row>
    <row r="170">
      <c r="A170" s="33">
        <v>169.0</v>
      </c>
      <c r="B170" s="149" t="str">
        <f>'Paste #BBall'!B170</f>
        <v>Russell Westbrook</v>
      </c>
      <c r="C170" s="150" t="str">
        <f>'Paste #BBall'!C170</f>
        <v>PG</v>
      </c>
      <c r="D170" s="150" t="str">
        <f>'Paste #BBall'!D170</f>
        <v>LAC</v>
      </c>
      <c r="E170" s="151">
        <f>'Paste #BBall'!E170</f>
        <v>74</v>
      </c>
      <c r="F170" s="152">
        <f>'Paste #BBall'!F170</f>
        <v>29</v>
      </c>
      <c r="G170" s="153" t="str">
        <f>right(Left('Paste #BBall'!G170,Search("/",'Paste #BBall'!G170)-1),len(Left('Paste #BBall'!G170,Search("/",'Paste #BBall'!G170)-1))-search("(",Left('Paste #BBall'!G170,Search("/",'Paste #BBall'!G170)-1)))</f>
        <v>6.0</v>
      </c>
      <c r="H170" s="152">
        <f t="shared" si="1"/>
        <v>0.4411764706</v>
      </c>
      <c r="I170" s="152" t="str">
        <f>right(Left('Paste #BBall'!H170,Search("/",'Paste #BBall'!H170)-1),len(Left('Paste #BBall'!H170,Search("/",'Paste #BBall'!H170)-1))-search("(",Left('Paste #BBall'!H170,Search("/",'Paste #BBall'!H170)-1)))</f>
        <v>2.9</v>
      </c>
      <c r="J170" s="152">
        <f t="shared" si="2"/>
        <v>0.6590909091</v>
      </c>
      <c r="K170" s="152">
        <f>'Paste #BBall'!I170</f>
        <v>1</v>
      </c>
      <c r="L170" s="152">
        <f>'Paste #BBall'!J170</f>
        <v>15.9</v>
      </c>
      <c r="M170" s="152">
        <f>'Paste #BBall'!K170</f>
        <v>6.1</v>
      </c>
      <c r="N170" s="152">
        <f>'Paste #BBall'!L170</f>
        <v>6.7</v>
      </c>
      <c r="O170" s="152">
        <f>'Paste #BBall'!M170</f>
        <v>0.9</v>
      </c>
      <c r="P170" s="152">
        <f>'Paste #BBall'!N170</f>
        <v>0.3</v>
      </c>
      <c r="Q170" s="152">
        <f>'Paste #BBall'!O170</f>
        <v>3.4</v>
      </c>
      <c r="R170" s="153" t="str">
        <f>Left(Right('Paste #BBall'!G170,Len('Paste #BBall'!G170)-Search("/",'Paste #BBall'!G170)),Len(Right('Paste #BBall'!G170,Len('Paste #BBall'!G170)-Search("/",'Paste #BBall'!G170)))-1)</f>
        <v>13.6</v>
      </c>
      <c r="S170" s="153" t="str">
        <f>Left(Right('Paste #BBall'!H170,Len('Paste #BBall'!H170)-Search("/",'Paste #BBall'!H170)),Len(Right('Paste #BBall'!H170,Len('Paste #BBall'!H170)-Search("/",'Paste #BBall'!H170)))-1)</f>
        <v>4.4</v>
      </c>
      <c r="T170" s="53"/>
      <c r="U170" s="53"/>
      <c r="V170" s="53"/>
    </row>
    <row r="171">
      <c r="A171" s="33">
        <v>170.0</v>
      </c>
      <c r="B171" s="149" t="str">
        <f>'Paste #BBall'!B171</f>
        <v>Bennedict Mathurin</v>
      </c>
      <c r="C171" s="150" t="str">
        <f>'Paste #BBall'!C171</f>
        <v>SG,SF</v>
      </c>
      <c r="D171" s="150" t="str">
        <f>'Paste #BBall'!D171</f>
        <v>IND</v>
      </c>
      <c r="E171" s="151">
        <f>'Paste #BBall'!E171</f>
        <v>74</v>
      </c>
      <c r="F171" s="152">
        <f>'Paste #BBall'!F171</f>
        <v>30</v>
      </c>
      <c r="G171" s="153" t="str">
        <f>right(Left('Paste #BBall'!G171,Search("/",'Paste #BBall'!G171)-1),len(Left('Paste #BBall'!G171,Search("/",'Paste #BBall'!G171)-1))-search("(",Left('Paste #BBall'!G171,Search("/",'Paste #BBall'!G171)-1)))</f>
        <v>5.6</v>
      </c>
      <c r="H171" s="152">
        <f t="shared" si="1"/>
        <v>0.4307692308</v>
      </c>
      <c r="I171" s="152" t="str">
        <f>right(Left('Paste #BBall'!H171,Search("/",'Paste #BBall'!H171)-1),len(Left('Paste #BBall'!H171,Search("/",'Paste #BBall'!H171)-1))-search("(",Left('Paste #BBall'!H171,Search("/",'Paste #BBall'!H171)-1)))</f>
        <v>5.1</v>
      </c>
      <c r="J171" s="152">
        <f t="shared" si="2"/>
        <v>0.8225806452</v>
      </c>
      <c r="K171" s="152">
        <f>'Paste #BBall'!I171</f>
        <v>1.4</v>
      </c>
      <c r="L171" s="152">
        <f>'Paste #BBall'!J171</f>
        <v>17.8</v>
      </c>
      <c r="M171" s="152">
        <f>'Paste #BBall'!K171</f>
        <v>4.3</v>
      </c>
      <c r="N171" s="152">
        <f>'Paste #BBall'!L171</f>
        <v>1.6</v>
      </c>
      <c r="O171" s="152">
        <f>'Paste #BBall'!M171</f>
        <v>0.7</v>
      </c>
      <c r="P171" s="152">
        <f>'Paste #BBall'!N171</f>
        <v>0.2</v>
      </c>
      <c r="Q171" s="152">
        <f>'Paste #BBall'!O171</f>
        <v>2.1</v>
      </c>
      <c r="R171" s="153" t="str">
        <f>Left(Right('Paste #BBall'!G171,Len('Paste #BBall'!G171)-Search("/",'Paste #BBall'!G171)),Len(Right('Paste #BBall'!G171,Len('Paste #BBall'!G171)-Search("/",'Paste #BBall'!G171)))-1)</f>
        <v>13.0</v>
      </c>
      <c r="S171" s="153" t="str">
        <f>Left(Right('Paste #BBall'!H171,Len('Paste #BBall'!H171)-Search("/",'Paste #BBall'!H171)),Len(Right('Paste #BBall'!H171,Len('Paste #BBall'!H171)-Search("/",'Paste #BBall'!H171)))-1)</f>
        <v>6.2</v>
      </c>
      <c r="T171" s="53"/>
      <c r="U171" s="53"/>
      <c r="V171" s="53"/>
    </row>
    <row r="172">
      <c r="A172" s="33">
        <v>171.0</v>
      </c>
      <c r="B172" s="149" t="str">
        <f>'Paste #BBall'!B172</f>
        <v>Corey Kispert</v>
      </c>
      <c r="C172" s="150" t="str">
        <f>'Paste #BBall'!C172</f>
        <v>SG,SF</v>
      </c>
      <c r="D172" s="150" t="str">
        <f>'Paste #BBall'!D172</f>
        <v>WAS</v>
      </c>
      <c r="E172" s="151">
        <f>'Paste #BBall'!E172</f>
        <v>74</v>
      </c>
      <c r="F172" s="152">
        <f>'Paste #BBall'!F172</f>
        <v>28.3</v>
      </c>
      <c r="G172" s="153" t="str">
        <f>right(Left('Paste #BBall'!G172,Search("/",'Paste #BBall'!G172)-1),len(Left('Paste #BBall'!G172,Search("/",'Paste #BBall'!G172)-1))-search("(",Left('Paste #BBall'!G172,Search("/",'Paste #BBall'!G172)-1)))</f>
        <v>4.0</v>
      </c>
      <c r="H172" s="152">
        <f t="shared" si="1"/>
        <v>0.4938271605</v>
      </c>
      <c r="I172" s="152" t="str">
        <f>right(Left('Paste #BBall'!H172,Search("/",'Paste #BBall'!H172)-1),len(Left('Paste #BBall'!H172,Search("/",'Paste #BBall'!H172)-1))-search("(",Left('Paste #BBall'!H172,Search("/",'Paste #BBall'!H172)-1)))</f>
        <v>1.0</v>
      </c>
      <c r="J172" s="152">
        <f t="shared" si="2"/>
        <v>0.9090909091</v>
      </c>
      <c r="K172" s="152">
        <f>'Paste #BBall'!I172</f>
        <v>2.3</v>
      </c>
      <c r="L172" s="152">
        <f>'Paste #BBall'!J172</f>
        <v>11.2</v>
      </c>
      <c r="M172" s="152">
        <f>'Paste #BBall'!K172</f>
        <v>3.1</v>
      </c>
      <c r="N172" s="152">
        <f>'Paste #BBall'!L172</f>
        <v>1.3</v>
      </c>
      <c r="O172" s="152">
        <f>'Paste #BBall'!M172</f>
        <v>0.5</v>
      </c>
      <c r="P172" s="152">
        <f>'Paste #BBall'!N172</f>
        <v>0.2</v>
      </c>
      <c r="Q172" s="152">
        <f>'Paste #BBall'!O172</f>
        <v>0.8</v>
      </c>
      <c r="R172" s="153" t="str">
        <f>Left(Right('Paste #BBall'!G172,Len('Paste #BBall'!G172)-Search("/",'Paste #BBall'!G172)),Len(Right('Paste #BBall'!G172,Len('Paste #BBall'!G172)-Search("/",'Paste #BBall'!G172)))-1)</f>
        <v>8.1</v>
      </c>
      <c r="S172" s="153" t="str">
        <f>Left(Right('Paste #BBall'!H172,Len('Paste #BBall'!H172)-Search("/",'Paste #BBall'!H172)),Len(Right('Paste #BBall'!H172,Len('Paste #BBall'!H172)-Search("/",'Paste #BBall'!H172)))-1)</f>
        <v>1.1</v>
      </c>
      <c r="T172" s="53"/>
      <c r="U172" s="53"/>
      <c r="V172" s="53"/>
    </row>
    <row r="173">
      <c r="A173" s="33">
        <v>172.0</v>
      </c>
      <c r="B173" s="149" t="str">
        <f>'Paste #BBall'!B173</f>
        <v>Gary Payton II</v>
      </c>
      <c r="C173" s="150" t="str">
        <f>'Paste #BBall'!C173</f>
        <v>PG,SG,SF</v>
      </c>
      <c r="D173" s="150" t="str">
        <f>'Paste #BBall'!D173</f>
        <v>GS</v>
      </c>
      <c r="E173" s="151">
        <f>'Paste #BBall'!E173</f>
        <v>70</v>
      </c>
      <c r="F173" s="152">
        <f>'Paste #BBall'!F173</f>
        <v>17.7</v>
      </c>
      <c r="G173" s="153" t="str">
        <f>right(Left('Paste #BBall'!G173,Search("/",'Paste #BBall'!G173)-1),len(Left('Paste #BBall'!G173,Search("/",'Paste #BBall'!G173)-1))-search("(",Left('Paste #BBall'!G173,Search("/",'Paste #BBall'!G173)-1)))</f>
        <v>2.8</v>
      </c>
      <c r="H173" s="152">
        <f t="shared" si="1"/>
        <v>0.6086956522</v>
      </c>
      <c r="I173" s="152" t="str">
        <f>right(Left('Paste #BBall'!H173,Search("/",'Paste #BBall'!H173)-1),len(Left('Paste #BBall'!H173,Search("/",'Paste #BBall'!H173)-1))-search("(",Left('Paste #BBall'!H173,Search("/",'Paste #BBall'!H173)-1)))</f>
        <v>0.5</v>
      </c>
      <c r="J173" s="152">
        <f t="shared" si="2"/>
        <v>0.7142857143</v>
      </c>
      <c r="K173" s="152">
        <f>'Paste #BBall'!I173</f>
        <v>0.6</v>
      </c>
      <c r="L173" s="152">
        <f>'Paste #BBall'!J173</f>
        <v>6.7</v>
      </c>
      <c r="M173" s="152">
        <f>'Paste #BBall'!K173</f>
        <v>3.5</v>
      </c>
      <c r="N173" s="152">
        <f>'Paste #BBall'!L173</f>
        <v>1</v>
      </c>
      <c r="O173" s="152">
        <f>'Paste #BBall'!M173</f>
        <v>1.3</v>
      </c>
      <c r="P173" s="152">
        <f>'Paste #BBall'!N173</f>
        <v>0.3</v>
      </c>
      <c r="Q173" s="152">
        <f>'Paste #BBall'!O173</f>
        <v>0.6</v>
      </c>
      <c r="R173" s="153" t="str">
        <f>Left(Right('Paste #BBall'!G173,Len('Paste #BBall'!G173)-Search("/",'Paste #BBall'!G173)),Len(Right('Paste #BBall'!G173,Len('Paste #BBall'!G173)-Search("/",'Paste #BBall'!G173)))-1)</f>
        <v>4.6</v>
      </c>
      <c r="S173" s="153" t="str">
        <f>Left(Right('Paste #BBall'!H173,Len('Paste #BBall'!H173)-Search("/",'Paste #BBall'!H173)),Len(Right('Paste #BBall'!H173,Len('Paste #BBall'!H173)-Search("/",'Paste #BBall'!H173)))-1)</f>
        <v>0.7</v>
      </c>
      <c r="T173" s="53"/>
      <c r="U173" s="53"/>
      <c r="V173" s="53"/>
    </row>
    <row r="174">
      <c r="A174" s="33">
        <v>173.0</v>
      </c>
      <c r="B174" s="149" t="str">
        <f>'Paste #BBall'!B174</f>
        <v>Pat Connaughton</v>
      </c>
      <c r="C174" s="150" t="str">
        <f>'Paste #BBall'!C174</f>
        <v>SG,SF</v>
      </c>
      <c r="D174" s="150" t="str">
        <f>'Paste #BBall'!D174</f>
        <v>MIL</v>
      </c>
      <c r="E174" s="151">
        <f>'Paste #BBall'!E174</f>
        <v>64</v>
      </c>
      <c r="F174" s="152">
        <f>'Paste #BBall'!F174</f>
        <v>28.7</v>
      </c>
      <c r="G174" s="153" t="str">
        <f>right(Left('Paste #BBall'!G174,Search("/",'Paste #BBall'!G174)-1),len(Left('Paste #BBall'!G174,Search("/",'Paste #BBall'!G174)-1))-search("(",Left('Paste #BBall'!G174,Search("/",'Paste #BBall'!G174)-1)))</f>
        <v>3.4</v>
      </c>
      <c r="H174" s="152">
        <f t="shared" si="1"/>
        <v>0.4303797468</v>
      </c>
      <c r="I174" s="152" t="str">
        <f>right(Left('Paste #BBall'!H174,Search("/",'Paste #BBall'!H174)-1),len(Left('Paste #BBall'!H174,Search("/",'Paste #BBall'!H174)-1))-search("(",Left('Paste #BBall'!H174,Search("/",'Paste #BBall'!H174)-1)))</f>
        <v>0.6</v>
      </c>
      <c r="J174" s="152">
        <f t="shared" si="2"/>
        <v>0.75</v>
      </c>
      <c r="K174" s="152">
        <f>'Paste #BBall'!I174</f>
        <v>2.2</v>
      </c>
      <c r="L174" s="152">
        <f>'Paste #BBall'!J174</f>
        <v>9.7</v>
      </c>
      <c r="M174" s="152">
        <f>'Paste #BBall'!K174</f>
        <v>4.8</v>
      </c>
      <c r="N174" s="152">
        <f>'Paste #BBall'!L174</f>
        <v>1.4</v>
      </c>
      <c r="O174" s="152">
        <f>'Paste #BBall'!M174</f>
        <v>0.8</v>
      </c>
      <c r="P174" s="152">
        <f>'Paste #BBall'!N174</f>
        <v>0.2</v>
      </c>
      <c r="Q174" s="152">
        <f>'Paste #BBall'!O174</f>
        <v>0.6</v>
      </c>
      <c r="R174" s="153" t="str">
        <f>Left(Right('Paste #BBall'!G174,Len('Paste #BBall'!G174)-Search("/",'Paste #BBall'!G174)),Len(Right('Paste #BBall'!G174,Len('Paste #BBall'!G174)-Search("/",'Paste #BBall'!G174)))-1)</f>
        <v>7.9</v>
      </c>
      <c r="S174" s="153" t="str">
        <f>Left(Right('Paste #BBall'!H174,Len('Paste #BBall'!H174)-Search("/",'Paste #BBall'!H174)),Len(Right('Paste #BBall'!H174,Len('Paste #BBall'!H174)-Search("/",'Paste #BBall'!H174)))-1)</f>
        <v>0.8</v>
      </c>
      <c r="T174" s="53"/>
      <c r="U174" s="53"/>
      <c r="V174" s="53"/>
    </row>
    <row r="175">
      <c r="A175" s="33">
        <v>174.0</v>
      </c>
      <c r="B175" s="149" t="str">
        <f>'Paste #BBall'!B175</f>
        <v>Max Strus</v>
      </c>
      <c r="C175" s="150" t="str">
        <f>'Paste #BBall'!C175</f>
        <v>SG,SF</v>
      </c>
      <c r="D175" s="150" t="str">
        <f>'Paste #BBall'!D175</f>
        <v>CLE</v>
      </c>
      <c r="E175" s="151">
        <f>'Paste #BBall'!E175</f>
        <v>73</v>
      </c>
      <c r="F175" s="152">
        <f>'Paste #BBall'!F175</f>
        <v>30</v>
      </c>
      <c r="G175" s="153" t="str">
        <f>right(Left('Paste #BBall'!G175,Search("/",'Paste #BBall'!G175)-1),len(Left('Paste #BBall'!G175,Search("/",'Paste #BBall'!G175)-1))-search("(",Left('Paste #BBall'!G175,Search("/",'Paste #BBall'!G175)-1)))</f>
        <v>4.5</v>
      </c>
      <c r="H175" s="152">
        <f t="shared" si="1"/>
        <v>0.4205607477</v>
      </c>
      <c r="I175" s="152" t="str">
        <f>right(Left('Paste #BBall'!H175,Search("/",'Paste #BBall'!H175)-1),len(Left('Paste #BBall'!H175,Search("/",'Paste #BBall'!H175)-1))-search("(",Left('Paste #BBall'!H175,Search("/",'Paste #BBall'!H175)-1)))</f>
        <v>1.0</v>
      </c>
      <c r="J175" s="152">
        <f t="shared" si="2"/>
        <v>0.9090909091</v>
      </c>
      <c r="K175" s="152">
        <f>'Paste #BBall'!I175</f>
        <v>2.7</v>
      </c>
      <c r="L175" s="152">
        <f>'Paste #BBall'!J175</f>
        <v>12.7</v>
      </c>
      <c r="M175" s="152">
        <f>'Paste #BBall'!K175</f>
        <v>3.6</v>
      </c>
      <c r="N175" s="152">
        <f>'Paste #BBall'!L175</f>
        <v>2.1</v>
      </c>
      <c r="O175" s="152">
        <f>'Paste #BBall'!M175</f>
        <v>0.6</v>
      </c>
      <c r="P175" s="152">
        <f>'Paste #BBall'!N175</f>
        <v>0.2</v>
      </c>
      <c r="Q175" s="152">
        <f>'Paste #BBall'!O175</f>
        <v>1</v>
      </c>
      <c r="R175" s="153" t="str">
        <f>Left(Right('Paste #BBall'!G175,Len('Paste #BBall'!G175)-Search("/",'Paste #BBall'!G175)),Len(Right('Paste #BBall'!G175,Len('Paste #BBall'!G175)-Search("/",'Paste #BBall'!G175)))-1)</f>
        <v>10.7</v>
      </c>
      <c r="S175" s="153" t="str">
        <f>Left(Right('Paste #BBall'!H175,Len('Paste #BBall'!H175)-Search("/",'Paste #BBall'!H175)),Len(Right('Paste #BBall'!H175,Len('Paste #BBall'!H175)-Search("/",'Paste #BBall'!H175)))-1)</f>
        <v>1.1</v>
      </c>
    </row>
    <row r="176">
      <c r="A176" s="33">
        <v>175.0</v>
      </c>
      <c r="B176" s="149" t="str">
        <f>'Paste #BBall'!B176</f>
        <v>Jeremy Sochan</v>
      </c>
      <c r="C176" s="150" t="str">
        <f>'Paste #BBall'!C176</f>
        <v>PF</v>
      </c>
      <c r="D176" s="150" t="str">
        <f>'Paste #BBall'!D176</f>
        <v>SA</v>
      </c>
      <c r="E176" s="151">
        <f>'Paste #BBall'!E176</f>
        <v>66</v>
      </c>
      <c r="F176" s="152">
        <f>'Paste #BBall'!F176</f>
        <v>29.8</v>
      </c>
      <c r="G176" s="153" t="str">
        <f>right(Left('Paste #BBall'!G176,Search("/",'Paste #BBall'!G176)-1),len(Left('Paste #BBall'!G176,Search("/",'Paste #BBall'!G176)-1))-search("(",Left('Paste #BBall'!G176,Search("/",'Paste #BBall'!G176)-1)))</f>
        <v>5.2</v>
      </c>
      <c r="H176" s="152">
        <f t="shared" si="1"/>
        <v>0.4561403509</v>
      </c>
      <c r="I176" s="152" t="str">
        <f>right(Left('Paste #BBall'!H176,Search("/",'Paste #BBall'!H176)-1),len(Left('Paste #BBall'!H176,Search("/",'Paste #BBall'!H176)-1))-search("(",Left('Paste #BBall'!H176,Search("/",'Paste #BBall'!H176)-1)))</f>
        <v>1.7</v>
      </c>
      <c r="J176" s="152">
        <f t="shared" si="2"/>
        <v>0.7083333333</v>
      </c>
      <c r="K176" s="152">
        <f>'Paste #BBall'!I176</f>
        <v>0.8</v>
      </c>
      <c r="L176" s="152">
        <f>'Paste #BBall'!J176</f>
        <v>12.8</v>
      </c>
      <c r="M176" s="152">
        <f>'Paste #BBall'!K176</f>
        <v>6.1</v>
      </c>
      <c r="N176" s="152">
        <f>'Paste #BBall'!L176</f>
        <v>2.9</v>
      </c>
      <c r="O176" s="152">
        <f>'Paste #BBall'!M176</f>
        <v>0.9</v>
      </c>
      <c r="P176" s="152">
        <f>'Paste #BBall'!N176</f>
        <v>0.5</v>
      </c>
      <c r="Q176" s="152">
        <f>'Paste #BBall'!O176</f>
        <v>2</v>
      </c>
      <c r="R176" s="153" t="str">
        <f>Left(Right('Paste #BBall'!G176,Len('Paste #BBall'!G176)-Search("/",'Paste #BBall'!G176)),Len(Right('Paste #BBall'!G176,Len('Paste #BBall'!G176)-Search("/",'Paste #BBall'!G176)))-1)</f>
        <v>11.4</v>
      </c>
      <c r="S176" s="153" t="str">
        <f>Left(Right('Paste #BBall'!H176,Len('Paste #BBall'!H176)-Search("/",'Paste #BBall'!H176)),Len(Right('Paste #BBall'!H176,Len('Paste #BBall'!H176)-Search("/",'Paste #BBall'!H176)))-1)</f>
        <v>2.4</v>
      </c>
    </row>
    <row r="177">
      <c r="A177" s="33">
        <v>176.0</v>
      </c>
      <c r="B177" s="149" t="str">
        <f>'Paste #BBall'!B177</f>
        <v>Luke Kennard</v>
      </c>
      <c r="C177" s="150" t="str">
        <f>'Paste #BBall'!C177</f>
        <v>PG,SG</v>
      </c>
      <c r="D177" s="150" t="str">
        <f>'Paste #BBall'!D177</f>
        <v>MEM</v>
      </c>
      <c r="E177" s="151">
        <f>'Paste #BBall'!E177</f>
        <v>64</v>
      </c>
      <c r="F177" s="152">
        <f>'Paste #BBall'!F177</f>
        <v>24.8</v>
      </c>
      <c r="G177" s="153" t="str">
        <f>right(Left('Paste #BBall'!G177,Search("/",'Paste #BBall'!G177)-1),len(Left('Paste #BBall'!G177,Search("/",'Paste #BBall'!G177)-1))-search("(",Left('Paste #BBall'!G177,Search("/",'Paste #BBall'!G177)-1)))</f>
        <v>3.7</v>
      </c>
      <c r="H177" s="152">
        <f t="shared" si="1"/>
        <v>0.4683544304</v>
      </c>
      <c r="I177" s="152" t="str">
        <f>right(Left('Paste #BBall'!H177,Search("/",'Paste #BBall'!H177)-1),len(Left('Paste #BBall'!H177,Search("/",'Paste #BBall'!H177)-1))-search("(",Left('Paste #BBall'!H177,Search("/",'Paste #BBall'!H177)-1)))</f>
        <v>0.8</v>
      </c>
      <c r="J177" s="152">
        <f t="shared" si="2"/>
        <v>0.8888888889</v>
      </c>
      <c r="K177" s="152">
        <f>'Paste #BBall'!I177</f>
        <v>2.5</v>
      </c>
      <c r="L177" s="152">
        <f>'Paste #BBall'!J177</f>
        <v>10.7</v>
      </c>
      <c r="M177" s="152">
        <f>'Paste #BBall'!K177</f>
        <v>3</v>
      </c>
      <c r="N177" s="152">
        <f>'Paste #BBall'!L177</f>
        <v>1.8</v>
      </c>
      <c r="O177" s="152">
        <f>'Paste #BBall'!M177</f>
        <v>0.6</v>
      </c>
      <c r="P177" s="152">
        <f>'Paste #BBall'!N177</f>
        <v>0.1</v>
      </c>
      <c r="Q177" s="152">
        <f>'Paste #BBall'!O177</f>
        <v>0.8</v>
      </c>
      <c r="R177" s="153" t="str">
        <f>Left(Right('Paste #BBall'!G177,Len('Paste #BBall'!G177)-Search("/",'Paste #BBall'!G177)),Len(Right('Paste #BBall'!G177,Len('Paste #BBall'!G177)-Search("/",'Paste #BBall'!G177)))-1)</f>
        <v>7.9</v>
      </c>
      <c r="S177" s="153" t="str">
        <f>Left(Right('Paste #BBall'!H177,Len('Paste #BBall'!H177)-Search("/",'Paste #BBall'!H177)),Len(Right('Paste #BBall'!H177,Len('Paste #BBall'!H177)-Search("/",'Paste #BBall'!H177)))-1)</f>
        <v>0.9</v>
      </c>
    </row>
    <row r="178">
      <c r="A178" s="33">
        <v>177.0</v>
      </c>
      <c r="B178" s="149" t="str">
        <f>'Paste #BBall'!B178</f>
        <v>Luguentz Dort</v>
      </c>
      <c r="C178" s="150" t="str">
        <f>'Paste #BBall'!C178</f>
        <v>SG,SF</v>
      </c>
      <c r="D178" s="150" t="str">
        <f>'Paste #BBall'!D178</f>
        <v>OKC</v>
      </c>
      <c r="E178" s="151">
        <f>'Paste #BBall'!E178</f>
        <v>72</v>
      </c>
      <c r="F178" s="152">
        <f>'Paste #BBall'!F178</f>
        <v>30</v>
      </c>
      <c r="G178" s="153" t="str">
        <f>right(Left('Paste #BBall'!G178,Search("/",'Paste #BBall'!G178)-1),len(Left('Paste #BBall'!G178,Search("/",'Paste #BBall'!G178)-1))-search("(",Left('Paste #BBall'!G178,Search("/",'Paste #BBall'!G178)-1)))</f>
        <v>4.9</v>
      </c>
      <c r="H178" s="152">
        <f t="shared" si="1"/>
        <v>0.3983739837</v>
      </c>
      <c r="I178" s="152" t="str">
        <f>right(Left('Paste #BBall'!H178,Search("/",'Paste #BBall'!H178)-1),len(Left('Paste #BBall'!H178,Search("/",'Paste #BBall'!H178)-1))-search("(",Left('Paste #BBall'!H178,Search("/",'Paste #BBall'!H178)-1)))</f>
        <v>2.8</v>
      </c>
      <c r="J178" s="152">
        <f t="shared" si="2"/>
        <v>0.8</v>
      </c>
      <c r="K178" s="152">
        <f>'Paste #BBall'!I178</f>
        <v>2</v>
      </c>
      <c r="L178" s="152">
        <f>'Paste #BBall'!J178</f>
        <v>14.5</v>
      </c>
      <c r="M178" s="152">
        <f>'Paste #BBall'!K178</f>
        <v>4.3</v>
      </c>
      <c r="N178" s="152">
        <f>'Paste #BBall'!L178</f>
        <v>1.9</v>
      </c>
      <c r="O178" s="152">
        <f>'Paste #BBall'!M178</f>
        <v>0.9</v>
      </c>
      <c r="P178" s="152">
        <f>'Paste #BBall'!N178</f>
        <v>0.3</v>
      </c>
      <c r="Q178" s="152">
        <f>'Paste #BBall'!O178</f>
        <v>1.4</v>
      </c>
      <c r="R178" s="153" t="str">
        <f>Left(Right('Paste #BBall'!G178,Len('Paste #BBall'!G178)-Search("/",'Paste #BBall'!G178)),Len(Right('Paste #BBall'!G178,Len('Paste #BBall'!G178)-Search("/",'Paste #BBall'!G178)))-1)</f>
        <v>12.3</v>
      </c>
      <c r="S178" s="153" t="str">
        <f>Left(Right('Paste #BBall'!H178,Len('Paste #BBall'!H178)-Search("/",'Paste #BBall'!H178)),Len(Right('Paste #BBall'!H178,Len('Paste #BBall'!H178)-Search("/",'Paste #BBall'!H178)))-1)</f>
        <v>3.5</v>
      </c>
    </row>
    <row r="179">
      <c r="A179" s="33">
        <v>178.0</v>
      </c>
      <c r="B179" s="149" t="str">
        <f>'Paste #BBall'!B179</f>
        <v>Kelly Olynyk</v>
      </c>
      <c r="C179" s="150" t="str">
        <f>'Paste #BBall'!C179</f>
        <v>PF,C</v>
      </c>
      <c r="D179" s="150" t="str">
        <f>'Paste #BBall'!D179</f>
        <v>UTA</v>
      </c>
      <c r="E179" s="151">
        <f>'Paste #BBall'!E179</f>
        <v>66</v>
      </c>
      <c r="F179" s="152">
        <f>'Paste #BBall'!F179</f>
        <v>18.9</v>
      </c>
      <c r="G179" s="153" t="str">
        <f>right(Left('Paste #BBall'!G179,Search("/",'Paste #BBall'!G179)-1),len(Left('Paste #BBall'!G179,Search("/",'Paste #BBall'!G179)-1))-search("(",Left('Paste #BBall'!G179,Search("/",'Paste #BBall'!G179)-1)))</f>
        <v>3.0</v>
      </c>
      <c r="H179" s="152">
        <f t="shared" si="1"/>
        <v>0.4838709677</v>
      </c>
      <c r="I179" s="152" t="str">
        <f>right(Left('Paste #BBall'!H179,Search("/",'Paste #BBall'!H179)-1),len(Left('Paste #BBall'!H179,Search("/",'Paste #BBall'!H179)-1))-search("(",Left('Paste #BBall'!H179,Search("/",'Paste #BBall'!H179)-1)))</f>
        <v>1.9</v>
      </c>
      <c r="J179" s="152">
        <f t="shared" si="2"/>
        <v>0.8260869565</v>
      </c>
      <c r="K179" s="152">
        <f>'Paste #BBall'!I179</f>
        <v>1.1</v>
      </c>
      <c r="L179" s="152">
        <f>'Paste #BBall'!J179</f>
        <v>9</v>
      </c>
      <c r="M179" s="152">
        <f>'Paste #BBall'!K179</f>
        <v>4.2</v>
      </c>
      <c r="N179" s="152">
        <f>'Paste #BBall'!L179</f>
        <v>2.6</v>
      </c>
      <c r="O179" s="152">
        <f>'Paste #BBall'!M179</f>
        <v>0.6</v>
      </c>
      <c r="P179" s="152">
        <f>'Paste #BBall'!N179</f>
        <v>0.4</v>
      </c>
      <c r="Q179" s="152">
        <f>'Paste #BBall'!O179</f>
        <v>1.6</v>
      </c>
      <c r="R179" s="153" t="str">
        <f>Left(Right('Paste #BBall'!G179,Len('Paste #BBall'!G179)-Search("/",'Paste #BBall'!G179)),Len(Right('Paste #BBall'!G179,Len('Paste #BBall'!G179)-Search("/",'Paste #BBall'!G179)))-1)</f>
        <v>6.2</v>
      </c>
      <c r="S179" s="153" t="str">
        <f>Left(Right('Paste #BBall'!H179,Len('Paste #BBall'!H179)-Search("/",'Paste #BBall'!H179)),Len(Right('Paste #BBall'!H179,Len('Paste #BBall'!H179)-Search("/",'Paste #BBall'!H179)))-1)</f>
        <v>2.3</v>
      </c>
    </row>
    <row r="180">
      <c r="A180" s="33">
        <v>179.0</v>
      </c>
      <c r="B180" s="149" t="str">
        <f>'Paste #BBall'!B180</f>
        <v>Kris Dunn</v>
      </c>
      <c r="C180" s="150" t="str">
        <f>'Paste #BBall'!C180</f>
        <v>PG</v>
      </c>
      <c r="D180" s="150" t="str">
        <f>'Paste #BBall'!D180</f>
        <v>UTA</v>
      </c>
      <c r="E180" s="151">
        <f>'Paste #BBall'!E180</f>
        <v>60</v>
      </c>
      <c r="F180" s="152">
        <f>'Paste #BBall'!F180</f>
        <v>18</v>
      </c>
      <c r="G180" s="153" t="str">
        <f>right(Left('Paste #BBall'!G180,Search("/",'Paste #BBall'!G180)-1),len(Left('Paste #BBall'!G180,Search("/",'Paste #BBall'!G180)-1))-search("(",Left('Paste #BBall'!G180,Search("/",'Paste #BBall'!G180)-1)))</f>
        <v>3.2</v>
      </c>
      <c r="H180" s="152">
        <f t="shared" si="1"/>
        <v>0.5</v>
      </c>
      <c r="I180" s="152" t="str">
        <f>right(Left('Paste #BBall'!H180,Search("/",'Paste #BBall'!H180)-1),len(Left('Paste #BBall'!H180,Search("/",'Paste #BBall'!H180)-1))-search("(",Left('Paste #BBall'!H180,Search("/",'Paste #BBall'!H180)-1)))</f>
        <v>1.2</v>
      </c>
      <c r="J180" s="152">
        <f t="shared" si="2"/>
        <v>0.8571428571</v>
      </c>
      <c r="K180" s="152">
        <f>'Paste #BBall'!I180</f>
        <v>0.4</v>
      </c>
      <c r="L180" s="152">
        <f>'Paste #BBall'!J180</f>
        <v>8</v>
      </c>
      <c r="M180" s="152">
        <f>'Paste #BBall'!K180</f>
        <v>3</v>
      </c>
      <c r="N180" s="152">
        <f>'Paste #BBall'!L180</f>
        <v>4.1</v>
      </c>
      <c r="O180" s="152">
        <f>'Paste #BBall'!M180</f>
        <v>1</v>
      </c>
      <c r="P180" s="152">
        <f>'Paste #BBall'!N180</f>
        <v>0.3</v>
      </c>
      <c r="Q180" s="152">
        <f>'Paste #BBall'!O180</f>
        <v>1.4</v>
      </c>
      <c r="R180" s="153" t="str">
        <f>Left(Right('Paste #BBall'!G180,Len('Paste #BBall'!G180)-Search("/",'Paste #BBall'!G180)),Len(Right('Paste #BBall'!G180,Len('Paste #BBall'!G180)-Search("/",'Paste #BBall'!G180)))-1)</f>
        <v>6.4</v>
      </c>
      <c r="S180" s="153" t="str">
        <f>Left(Right('Paste #BBall'!H180,Len('Paste #BBall'!H180)-Search("/",'Paste #BBall'!H180)),Len(Right('Paste #BBall'!H180,Len('Paste #BBall'!H180)-Search("/",'Paste #BBall'!H180)))-1)</f>
        <v>1.4</v>
      </c>
    </row>
    <row r="181">
      <c r="A181" s="33">
        <v>180.0</v>
      </c>
      <c r="B181" s="149" t="str">
        <f>'Paste #BBall'!B181</f>
        <v>Larry Nance Jr.</v>
      </c>
      <c r="C181" s="150" t="str">
        <f>'Paste #BBall'!C181</f>
        <v>PF,C</v>
      </c>
      <c r="D181" s="150" t="str">
        <f>'Paste #BBall'!D181</f>
        <v>NO</v>
      </c>
      <c r="E181" s="151">
        <f>'Paste #BBall'!E181</f>
        <v>65</v>
      </c>
      <c r="F181" s="152">
        <f>'Paste #BBall'!F181</f>
        <v>21.2</v>
      </c>
      <c r="G181" s="153" t="str">
        <f>right(Left('Paste #BBall'!G181,Search("/",'Paste #BBall'!G181)-1),len(Left('Paste #BBall'!G181,Search("/",'Paste #BBall'!G181)-1))-search("(",Left('Paste #BBall'!G181,Search("/",'Paste #BBall'!G181)-1)))</f>
        <v>2.8</v>
      </c>
      <c r="H181" s="152">
        <f t="shared" si="1"/>
        <v>0.5714285714</v>
      </c>
      <c r="I181" s="152" t="str">
        <f>right(Left('Paste #BBall'!H181,Search("/",'Paste #BBall'!H181)-1),len(Left('Paste #BBall'!H181,Search("/",'Paste #BBall'!H181)-1))-search("(",Left('Paste #BBall'!H181,Search("/",'Paste #BBall'!H181)-1)))</f>
        <v>0.8</v>
      </c>
      <c r="J181" s="152">
        <f t="shared" si="2"/>
        <v>0.6666666667</v>
      </c>
      <c r="K181" s="152">
        <f>'Paste #BBall'!I181</f>
        <v>0.3</v>
      </c>
      <c r="L181" s="152">
        <f>'Paste #BBall'!J181</f>
        <v>6.8</v>
      </c>
      <c r="M181" s="152">
        <f>'Paste #BBall'!K181</f>
        <v>5.3</v>
      </c>
      <c r="N181" s="152">
        <f>'Paste #BBall'!L181</f>
        <v>1.8</v>
      </c>
      <c r="O181" s="152">
        <f>'Paste #BBall'!M181</f>
        <v>0.9</v>
      </c>
      <c r="P181" s="152">
        <f>'Paste #BBall'!N181</f>
        <v>0.5</v>
      </c>
      <c r="Q181" s="152">
        <f>'Paste #BBall'!O181</f>
        <v>0.7</v>
      </c>
      <c r="R181" s="153" t="str">
        <f>Left(Right('Paste #BBall'!G181,Len('Paste #BBall'!G181)-Search("/",'Paste #BBall'!G181)),Len(Right('Paste #BBall'!G181,Len('Paste #BBall'!G181)-Search("/",'Paste #BBall'!G181)))-1)</f>
        <v>4.9</v>
      </c>
      <c r="S181" s="153" t="str">
        <f>Left(Right('Paste #BBall'!H181,Len('Paste #BBall'!H181)-Search("/",'Paste #BBall'!H181)),Len(Right('Paste #BBall'!H181,Len('Paste #BBall'!H181)-Search("/",'Paste #BBall'!H181)))-1)</f>
        <v>1.2</v>
      </c>
    </row>
    <row r="182">
      <c r="A182" s="33">
        <v>181.0</v>
      </c>
      <c r="B182" s="149" t="str">
        <f>'Paste #BBall'!B182</f>
        <v>Josh Green</v>
      </c>
      <c r="C182" s="150" t="str">
        <f>'Paste #BBall'!C182</f>
        <v>SG,SF</v>
      </c>
      <c r="D182" s="150" t="str">
        <f>'Paste #BBall'!D182</f>
        <v>DAL</v>
      </c>
      <c r="E182" s="151">
        <f>'Paste #BBall'!E182</f>
        <v>67</v>
      </c>
      <c r="F182" s="152">
        <f>'Paste #BBall'!F182</f>
        <v>27.4</v>
      </c>
      <c r="G182" s="153" t="str">
        <f>right(Left('Paste #BBall'!G182,Search("/",'Paste #BBall'!G182)-1),len(Left('Paste #BBall'!G182,Search("/",'Paste #BBall'!G182)-1))-search("(",Left('Paste #BBall'!G182,Search("/",'Paste #BBall'!G182)-1)))</f>
        <v>3.6</v>
      </c>
      <c r="H182" s="152">
        <f t="shared" si="1"/>
        <v>0.5217391304</v>
      </c>
      <c r="I182" s="152" t="str">
        <f>right(Left('Paste #BBall'!H182,Search("/",'Paste #BBall'!H182)-1),len(Left('Paste #BBall'!H182,Search("/",'Paste #BBall'!H182)-1))-search("(",Left('Paste #BBall'!H182,Search("/",'Paste #BBall'!H182)-1)))</f>
        <v>1.1</v>
      </c>
      <c r="J182" s="152">
        <f t="shared" si="2"/>
        <v>0.7857142857</v>
      </c>
      <c r="K182" s="152">
        <f>'Paste #BBall'!I182</f>
        <v>1.2</v>
      </c>
      <c r="L182" s="152">
        <f>'Paste #BBall'!J182</f>
        <v>9.5</v>
      </c>
      <c r="M182" s="152">
        <f>'Paste #BBall'!K182</f>
        <v>3.7</v>
      </c>
      <c r="N182" s="152">
        <f>'Paste #BBall'!L182</f>
        <v>2</v>
      </c>
      <c r="O182" s="152">
        <f>'Paste #BBall'!M182</f>
        <v>0.9</v>
      </c>
      <c r="P182" s="152">
        <f>'Paste #BBall'!N182</f>
        <v>0.2</v>
      </c>
      <c r="Q182" s="152">
        <f>'Paste #BBall'!O182</f>
        <v>1.3</v>
      </c>
      <c r="R182" s="153" t="str">
        <f>Left(Right('Paste #BBall'!G182,Len('Paste #BBall'!G182)-Search("/",'Paste #BBall'!G182)),Len(Right('Paste #BBall'!G182,Len('Paste #BBall'!G182)-Search("/",'Paste #BBall'!G182)))-1)</f>
        <v>6.9</v>
      </c>
      <c r="S182" s="153" t="str">
        <f>Left(Right('Paste #BBall'!H182,Len('Paste #BBall'!H182)-Search("/",'Paste #BBall'!H182)),Len(Right('Paste #BBall'!H182,Len('Paste #BBall'!H182)-Search("/",'Paste #BBall'!H182)))-1)</f>
        <v>1.4</v>
      </c>
    </row>
    <row r="183">
      <c r="A183" s="33">
        <v>182.0</v>
      </c>
      <c r="B183" s="149" t="str">
        <f>'Paste #BBall'!B183</f>
        <v>Caris LeVert</v>
      </c>
      <c r="C183" s="150" t="str">
        <f>'Paste #BBall'!C183</f>
        <v>SG,SF</v>
      </c>
      <c r="D183" s="150" t="str">
        <f>'Paste #BBall'!D183</f>
        <v>CLE</v>
      </c>
      <c r="E183" s="151">
        <f>'Paste #BBall'!E183</f>
        <v>67</v>
      </c>
      <c r="F183" s="152">
        <f>'Paste #BBall'!F183</f>
        <v>27.6</v>
      </c>
      <c r="G183" s="153" t="str">
        <f>right(Left('Paste #BBall'!G183,Search("/",'Paste #BBall'!G183)-1),len(Left('Paste #BBall'!G183,Search("/",'Paste #BBall'!G183)-1))-search("(",Left('Paste #BBall'!G183,Search("/",'Paste #BBall'!G183)-1)))</f>
        <v>4.9</v>
      </c>
      <c r="H183" s="152">
        <f t="shared" si="1"/>
        <v>0.4414414414</v>
      </c>
      <c r="I183" s="152" t="str">
        <f>right(Left('Paste #BBall'!H183,Search("/",'Paste #BBall'!H183)-1),len(Left('Paste #BBall'!H183,Search("/",'Paste #BBall'!H183)-1))-search("(",Left('Paste #BBall'!H183,Search("/",'Paste #BBall'!H183)-1)))</f>
        <v>1.9</v>
      </c>
      <c r="J183" s="152">
        <f t="shared" si="2"/>
        <v>0.7307692308</v>
      </c>
      <c r="K183" s="152">
        <f>'Paste #BBall'!I183</f>
        <v>1.5</v>
      </c>
      <c r="L183" s="152">
        <f>'Paste #BBall'!J183</f>
        <v>13.1</v>
      </c>
      <c r="M183" s="152">
        <f>'Paste #BBall'!K183</f>
        <v>3.4</v>
      </c>
      <c r="N183" s="152">
        <f>'Paste #BBall'!L183</f>
        <v>3.7</v>
      </c>
      <c r="O183" s="152">
        <f>'Paste #BBall'!M183</f>
        <v>0.9</v>
      </c>
      <c r="P183" s="152">
        <f>'Paste #BBall'!N183</f>
        <v>0.3</v>
      </c>
      <c r="Q183" s="152">
        <f>'Paste #BBall'!O183</f>
        <v>1.6</v>
      </c>
      <c r="R183" s="153" t="str">
        <f>Left(Right('Paste #BBall'!G183,Len('Paste #BBall'!G183)-Search("/",'Paste #BBall'!G183)),Len(Right('Paste #BBall'!G183,Len('Paste #BBall'!G183)-Search("/",'Paste #BBall'!G183)))-1)</f>
        <v>11.1</v>
      </c>
      <c r="S183" s="153" t="str">
        <f>Left(Right('Paste #BBall'!H183,Len('Paste #BBall'!H183)-Search("/",'Paste #BBall'!H183)),Len(Right('Paste #BBall'!H183,Len('Paste #BBall'!H183)-Search("/",'Paste #BBall'!H183)))-1)</f>
        <v>2.6</v>
      </c>
    </row>
    <row r="184">
      <c r="A184" s="33">
        <v>183.0</v>
      </c>
      <c r="B184" s="149" t="str">
        <f>'Paste #BBall'!B184</f>
        <v>Patrick Beverley</v>
      </c>
      <c r="C184" s="150" t="str">
        <f>'Paste #BBall'!C184</f>
        <v>PG</v>
      </c>
      <c r="D184" s="150" t="str">
        <f>'Paste #BBall'!D184</f>
        <v>PHI</v>
      </c>
      <c r="E184" s="151">
        <f>'Paste #BBall'!E184</f>
        <v>64</v>
      </c>
      <c r="F184" s="152">
        <f>'Paste #BBall'!F184</f>
        <v>23.4</v>
      </c>
      <c r="G184" s="153" t="str">
        <f>right(Left('Paste #BBall'!G184,Search("/",'Paste #BBall'!G184)-1),len(Left('Paste #BBall'!G184,Search("/",'Paste #BBall'!G184)-1))-search("(",Left('Paste #BBall'!G184,Search("/",'Paste #BBall'!G184)-1)))</f>
        <v>2.3</v>
      </c>
      <c r="H184" s="152">
        <f t="shared" si="1"/>
        <v>0.3965517241</v>
      </c>
      <c r="I184" s="152" t="str">
        <f>right(Left('Paste #BBall'!H184,Search("/",'Paste #BBall'!H184)-1),len(Left('Paste #BBall'!H184,Search("/",'Paste #BBall'!H184)-1))-search("(",Left('Paste #BBall'!H184,Search("/",'Paste #BBall'!H184)-1)))</f>
        <v>1.0</v>
      </c>
      <c r="J184" s="152">
        <f t="shared" si="2"/>
        <v>0.7142857143</v>
      </c>
      <c r="K184" s="152">
        <f>'Paste #BBall'!I184</f>
        <v>1.2</v>
      </c>
      <c r="L184" s="152">
        <f>'Paste #BBall'!J184</f>
        <v>6.9</v>
      </c>
      <c r="M184" s="152">
        <f>'Paste #BBall'!K184</f>
        <v>3.5</v>
      </c>
      <c r="N184" s="152">
        <f>'Paste #BBall'!L184</f>
        <v>3.4</v>
      </c>
      <c r="O184" s="152">
        <f>'Paste #BBall'!M184</f>
        <v>0.9</v>
      </c>
      <c r="P184" s="152">
        <f>'Paste #BBall'!N184</f>
        <v>0.7</v>
      </c>
      <c r="Q184" s="152">
        <f>'Paste #BBall'!O184</f>
        <v>1</v>
      </c>
      <c r="R184" s="153" t="str">
        <f>Left(Right('Paste #BBall'!G184,Len('Paste #BBall'!G184)-Search("/",'Paste #BBall'!G184)),Len(Right('Paste #BBall'!G184,Len('Paste #BBall'!G184)-Search("/",'Paste #BBall'!G184)))-1)</f>
        <v>5.8</v>
      </c>
      <c r="S184" s="153" t="str">
        <f>Left(Right('Paste #BBall'!H184,Len('Paste #BBall'!H184)-Search("/",'Paste #BBall'!H184)),Len(Right('Paste #BBall'!H184,Len('Paste #BBall'!H184)-Search("/",'Paste #BBall'!H184)))-1)</f>
        <v>1.4</v>
      </c>
    </row>
    <row r="185">
      <c r="A185" s="33">
        <v>184.0</v>
      </c>
      <c r="B185" s="149" t="str">
        <f>'Paste #BBall'!B185</f>
        <v>Royce O'Neale</v>
      </c>
      <c r="C185" s="150" t="str">
        <f>'Paste #BBall'!C185</f>
        <v>SG,SF</v>
      </c>
      <c r="D185" s="150" t="str">
        <f>'Paste #BBall'!D185</f>
        <v>BKN</v>
      </c>
      <c r="E185" s="151">
        <f>'Paste #BBall'!E185</f>
        <v>76</v>
      </c>
      <c r="F185" s="152">
        <f>'Paste #BBall'!F185</f>
        <v>26.4</v>
      </c>
      <c r="G185" s="153" t="str">
        <f>right(Left('Paste #BBall'!G185,Search("/",'Paste #BBall'!G185)-1),len(Left('Paste #BBall'!G185,Search("/",'Paste #BBall'!G185)-1))-search("(",Left('Paste #BBall'!G185,Search("/",'Paste #BBall'!G185)-1)))</f>
        <v>2.4</v>
      </c>
      <c r="H185" s="152">
        <f t="shared" si="1"/>
        <v>0.4210526316</v>
      </c>
      <c r="I185" s="152" t="str">
        <f>right(Left('Paste #BBall'!H185,Search("/",'Paste #BBall'!H185)-1),len(Left('Paste #BBall'!H185,Search("/",'Paste #BBall'!H185)-1))-search("(",Left('Paste #BBall'!H185,Search("/",'Paste #BBall'!H185)-1)))</f>
        <v>0.5</v>
      </c>
      <c r="J185" s="152">
        <f t="shared" si="2"/>
        <v>0.7142857143</v>
      </c>
      <c r="K185" s="152">
        <f>'Paste #BBall'!I185</f>
        <v>1.6</v>
      </c>
      <c r="L185" s="152">
        <f>'Paste #BBall'!J185</f>
        <v>6.9</v>
      </c>
      <c r="M185" s="152">
        <f>'Paste #BBall'!K185</f>
        <v>4.2</v>
      </c>
      <c r="N185" s="152">
        <f>'Paste #BBall'!L185</f>
        <v>2.6</v>
      </c>
      <c r="O185" s="152">
        <f>'Paste #BBall'!M185</f>
        <v>0.8</v>
      </c>
      <c r="P185" s="152">
        <f>'Paste #BBall'!N185</f>
        <v>0.5</v>
      </c>
      <c r="Q185" s="152">
        <f>'Paste #BBall'!O185</f>
        <v>1.1</v>
      </c>
      <c r="R185" s="153" t="str">
        <f>Left(Right('Paste #BBall'!G185,Len('Paste #BBall'!G185)-Search("/",'Paste #BBall'!G185)),Len(Right('Paste #BBall'!G185,Len('Paste #BBall'!G185)-Search("/",'Paste #BBall'!G185)))-1)</f>
        <v>5.7</v>
      </c>
      <c r="S185" s="153" t="str">
        <f>Left(Right('Paste #BBall'!H185,Len('Paste #BBall'!H185)-Search("/",'Paste #BBall'!H185)),Len(Right('Paste #BBall'!H185,Len('Paste #BBall'!H185)-Search("/",'Paste #BBall'!H185)))-1)</f>
        <v>0.7</v>
      </c>
    </row>
    <row r="186">
      <c r="A186" s="33">
        <v>185.0</v>
      </c>
      <c r="B186" s="149" t="str">
        <f>'Paste #BBall'!B186</f>
        <v>Maxi Kleber</v>
      </c>
      <c r="C186" s="150" t="str">
        <f>'Paste #BBall'!C186</f>
        <v>PF,C</v>
      </c>
      <c r="D186" s="150" t="str">
        <f>'Paste #BBall'!D186</f>
        <v>DAL</v>
      </c>
      <c r="E186" s="151">
        <f>'Paste #BBall'!E186</f>
        <v>60</v>
      </c>
      <c r="F186" s="152">
        <f>'Paste #BBall'!F186</f>
        <v>25.6</v>
      </c>
      <c r="G186" s="153" t="str">
        <f>right(Left('Paste #BBall'!G186,Search("/",'Paste #BBall'!G186)-1),len(Left('Paste #BBall'!G186,Search("/",'Paste #BBall'!G186)-1))-search("(",Left('Paste #BBall'!G186,Search("/",'Paste #BBall'!G186)-1)))</f>
        <v>2.6</v>
      </c>
      <c r="H186" s="152">
        <f t="shared" si="1"/>
        <v>0.4482758621</v>
      </c>
      <c r="I186" s="152" t="str">
        <f>right(Left('Paste #BBall'!H186,Search("/",'Paste #BBall'!H186)-1),len(Left('Paste #BBall'!H186,Search("/",'Paste #BBall'!H186)-1))-search("(",Left('Paste #BBall'!H186,Search("/",'Paste #BBall'!H186)-1)))</f>
        <v>0.8</v>
      </c>
      <c r="J186" s="152">
        <f t="shared" si="2"/>
        <v>0.7272727273</v>
      </c>
      <c r="K186" s="152">
        <f>'Paste #BBall'!I186</f>
        <v>1.3</v>
      </c>
      <c r="L186" s="152">
        <f>'Paste #BBall'!J186</f>
        <v>7.4</v>
      </c>
      <c r="M186" s="152">
        <f>'Paste #BBall'!K186</f>
        <v>5.3</v>
      </c>
      <c r="N186" s="152">
        <f>'Paste #BBall'!L186</f>
        <v>1.3</v>
      </c>
      <c r="O186" s="152">
        <f>'Paste #BBall'!M186</f>
        <v>0.5</v>
      </c>
      <c r="P186" s="152">
        <f>'Paste #BBall'!N186</f>
        <v>1</v>
      </c>
      <c r="Q186" s="152">
        <f>'Paste #BBall'!O186</f>
        <v>0.8</v>
      </c>
      <c r="R186" s="153" t="str">
        <f>Left(Right('Paste #BBall'!G186,Len('Paste #BBall'!G186)-Search("/",'Paste #BBall'!G186)),Len(Right('Paste #BBall'!G186,Len('Paste #BBall'!G186)-Search("/",'Paste #BBall'!G186)))-1)</f>
        <v>5.8</v>
      </c>
      <c r="S186" s="153" t="str">
        <f>Left(Right('Paste #BBall'!H186,Len('Paste #BBall'!H186)-Search("/",'Paste #BBall'!H186)),Len(Right('Paste #BBall'!H186,Len('Paste #BBall'!H186)-Search("/",'Paste #BBall'!H186)))-1)</f>
        <v>1.1</v>
      </c>
    </row>
    <row r="187">
      <c r="A187" s="33">
        <v>186.0</v>
      </c>
      <c r="B187" s="149" t="str">
        <f>'Paste #BBall'!B187</f>
        <v>Terance Mann</v>
      </c>
      <c r="C187" s="150" t="str">
        <f>'Paste #BBall'!C187</f>
        <v>SG,SF</v>
      </c>
      <c r="D187" s="150" t="str">
        <f>'Paste #BBall'!D187</f>
        <v>LAC</v>
      </c>
      <c r="E187" s="151">
        <f>'Paste #BBall'!E187</f>
        <v>80</v>
      </c>
      <c r="F187" s="152">
        <f>'Paste #BBall'!F187</f>
        <v>25.1</v>
      </c>
      <c r="G187" s="153" t="str">
        <f>right(Left('Paste #BBall'!G187,Search("/",'Paste #BBall'!G187)-1),len(Left('Paste #BBall'!G187,Search("/",'Paste #BBall'!G187)-1))-search("(",Left('Paste #BBall'!G187,Search("/",'Paste #BBall'!G187)-1)))</f>
        <v>3.8</v>
      </c>
      <c r="H187" s="152">
        <f t="shared" si="1"/>
        <v>0.5</v>
      </c>
      <c r="I187" s="152" t="str">
        <f>right(Left('Paste #BBall'!H187,Search("/",'Paste #BBall'!H187)-1),len(Left('Paste #BBall'!H187,Search("/",'Paste #BBall'!H187)-1))-search("(",Left('Paste #BBall'!H187,Search("/",'Paste #BBall'!H187)-1)))</f>
        <v>1.4</v>
      </c>
      <c r="J187" s="152">
        <f t="shared" si="2"/>
        <v>0.7777777778</v>
      </c>
      <c r="K187" s="152">
        <f>'Paste #BBall'!I187</f>
        <v>1.1</v>
      </c>
      <c r="L187" s="152">
        <f>'Paste #BBall'!J187</f>
        <v>10.1</v>
      </c>
      <c r="M187" s="152">
        <f>'Paste #BBall'!K187</f>
        <v>4.4</v>
      </c>
      <c r="N187" s="152">
        <f>'Paste #BBall'!L187</f>
        <v>2.5</v>
      </c>
      <c r="O187" s="152">
        <f>'Paste #BBall'!M187</f>
        <v>0.6</v>
      </c>
      <c r="P187" s="152">
        <f>'Paste #BBall'!N187</f>
        <v>0.3</v>
      </c>
      <c r="Q187" s="152">
        <f>'Paste #BBall'!O187</f>
        <v>1</v>
      </c>
      <c r="R187" s="153" t="str">
        <f>Left(Right('Paste #BBall'!G187,Len('Paste #BBall'!G187)-Search("/",'Paste #BBall'!G187)),Len(Right('Paste #BBall'!G187,Len('Paste #BBall'!G187)-Search("/",'Paste #BBall'!G187)))-1)</f>
        <v>7.6</v>
      </c>
      <c r="S187" s="153" t="str">
        <f>Left(Right('Paste #BBall'!H187,Len('Paste #BBall'!H187)-Search("/",'Paste #BBall'!H187)),Len(Right('Paste #BBall'!H187,Len('Paste #BBall'!H187)-Search("/",'Paste #BBall'!H187)))-1)</f>
        <v>1.8</v>
      </c>
    </row>
    <row r="188">
      <c r="A188" s="33">
        <v>187.0</v>
      </c>
      <c r="B188" s="149" t="str">
        <f>'Paste #BBall'!B188</f>
        <v>Isaiah Jackson</v>
      </c>
      <c r="C188" s="150" t="str">
        <f>'Paste #BBall'!C188</f>
        <v>PF,C</v>
      </c>
      <c r="D188" s="150" t="str">
        <f>'Paste #BBall'!D188</f>
        <v>IND</v>
      </c>
      <c r="E188" s="151">
        <f>'Paste #BBall'!E188</f>
        <v>67</v>
      </c>
      <c r="F188" s="152">
        <f>'Paste #BBall'!F188</f>
        <v>16.5</v>
      </c>
      <c r="G188" s="153" t="str">
        <f>right(Left('Paste #BBall'!G188,Search("/",'Paste #BBall'!G188)-1),len(Left('Paste #BBall'!G188,Search("/",'Paste #BBall'!G188)-1))-search("(",Left('Paste #BBall'!G188,Search("/",'Paste #BBall'!G188)-1)))</f>
        <v>3.1</v>
      </c>
      <c r="H188" s="152">
        <f t="shared" si="1"/>
        <v>0.5636363636</v>
      </c>
      <c r="I188" s="152" t="str">
        <f>right(Left('Paste #BBall'!H188,Search("/",'Paste #BBall'!H188)-1),len(Left('Paste #BBall'!H188,Search("/",'Paste #BBall'!H188)-1))-search("(",Left('Paste #BBall'!H188,Search("/",'Paste #BBall'!H188)-1)))</f>
        <v>1.6</v>
      </c>
      <c r="J188" s="152">
        <f t="shared" si="2"/>
        <v>0.64</v>
      </c>
      <c r="K188" s="152">
        <f>'Paste #BBall'!I188</f>
        <v>0.1</v>
      </c>
      <c r="L188" s="152">
        <f>'Paste #BBall'!J188</f>
        <v>7.9</v>
      </c>
      <c r="M188" s="152">
        <f>'Paste #BBall'!K188</f>
        <v>4.5</v>
      </c>
      <c r="N188" s="152">
        <f>'Paste #BBall'!L188</f>
        <v>0.6</v>
      </c>
      <c r="O188" s="152">
        <f>'Paste #BBall'!M188</f>
        <v>0.6</v>
      </c>
      <c r="P188" s="152">
        <f>'Paste #BBall'!N188</f>
        <v>1.5</v>
      </c>
      <c r="Q188" s="152">
        <f>'Paste #BBall'!O188</f>
        <v>1</v>
      </c>
      <c r="R188" s="153" t="str">
        <f>Left(Right('Paste #BBall'!G188,Len('Paste #BBall'!G188)-Search("/",'Paste #BBall'!G188)),Len(Right('Paste #BBall'!G188,Len('Paste #BBall'!G188)-Search("/",'Paste #BBall'!G188)))-1)</f>
        <v>5.5</v>
      </c>
      <c r="S188" s="153" t="str">
        <f>Left(Right('Paste #BBall'!H188,Len('Paste #BBall'!H188)-Search("/",'Paste #BBall'!H188)),Len(Right('Paste #BBall'!H188,Len('Paste #BBall'!H188)-Search("/",'Paste #BBall'!H188)))-1)</f>
        <v>2.5</v>
      </c>
    </row>
    <row r="189">
      <c r="A189" s="33">
        <v>188.0</v>
      </c>
      <c r="B189" s="149" t="str">
        <f>'Paste #BBall'!B189</f>
        <v>Gabe Vincent</v>
      </c>
      <c r="C189" s="150" t="str">
        <f>'Paste #BBall'!C189</f>
        <v>PG,SG</v>
      </c>
      <c r="D189" s="150" t="str">
        <f>'Paste #BBall'!D189</f>
        <v>LAL</v>
      </c>
      <c r="E189" s="151">
        <f>'Paste #BBall'!E189</f>
        <v>70</v>
      </c>
      <c r="F189" s="152">
        <f>'Paste #BBall'!F189</f>
        <v>27.7</v>
      </c>
      <c r="G189" s="153" t="str">
        <f>right(Left('Paste #BBall'!G189,Search("/",'Paste #BBall'!G189)-1),len(Left('Paste #BBall'!G189,Search("/",'Paste #BBall'!G189)-1))-search("(",Left('Paste #BBall'!G189,Search("/",'Paste #BBall'!G189)-1)))</f>
        <v>3.7</v>
      </c>
      <c r="H189" s="152">
        <f t="shared" si="1"/>
        <v>0.4111111111</v>
      </c>
      <c r="I189" s="152" t="str">
        <f>right(Left('Paste #BBall'!H189,Search("/",'Paste #BBall'!H189)-1),len(Left('Paste #BBall'!H189,Search("/",'Paste #BBall'!H189)-1))-search("(",Left('Paste #BBall'!H189,Search("/",'Paste #BBall'!H189)-1)))</f>
        <v>0.9</v>
      </c>
      <c r="J189" s="152">
        <f t="shared" si="2"/>
        <v>0.8181818182</v>
      </c>
      <c r="K189" s="152">
        <f>'Paste #BBall'!I189</f>
        <v>2</v>
      </c>
      <c r="L189" s="152">
        <f>'Paste #BBall'!J189</f>
        <v>10.3</v>
      </c>
      <c r="M189" s="152">
        <f>'Paste #BBall'!K189</f>
        <v>2.3</v>
      </c>
      <c r="N189" s="152">
        <f>'Paste #BBall'!L189</f>
        <v>3.2</v>
      </c>
      <c r="O189" s="152">
        <f>'Paste #BBall'!M189</f>
        <v>1</v>
      </c>
      <c r="P189" s="152">
        <f>'Paste #BBall'!N189</f>
        <v>0.1</v>
      </c>
      <c r="Q189" s="152">
        <f>'Paste #BBall'!O189</f>
        <v>1.6</v>
      </c>
      <c r="R189" s="153" t="str">
        <f>Left(Right('Paste #BBall'!G189,Len('Paste #BBall'!G189)-Search("/",'Paste #BBall'!G189)),Len(Right('Paste #BBall'!G189,Len('Paste #BBall'!G189)-Search("/",'Paste #BBall'!G189)))-1)</f>
        <v>9.0</v>
      </c>
      <c r="S189" s="153" t="str">
        <f>Left(Right('Paste #BBall'!H189,Len('Paste #BBall'!H189)-Search("/",'Paste #BBall'!H189)),Len(Right('Paste #BBall'!H189,Len('Paste #BBall'!H189)-Search("/",'Paste #BBall'!H189)))-1)</f>
        <v>1.1</v>
      </c>
    </row>
    <row r="190">
      <c r="A190" s="33">
        <v>189.0</v>
      </c>
      <c r="B190" s="149" t="str">
        <f>'Paste #BBall'!B190</f>
        <v>De'Andre Hunter</v>
      </c>
      <c r="C190" s="150" t="str">
        <f>'Paste #BBall'!C190</f>
        <v>SF,PF</v>
      </c>
      <c r="D190" s="150" t="str">
        <f>'Paste #BBall'!D190</f>
        <v>ATL</v>
      </c>
      <c r="E190" s="151">
        <f>'Paste #BBall'!E190</f>
        <v>68</v>
      </c>
      <c r="F190" s="152">
        <f>'Paste #BBall'!F190</f>
        <v>31.4</v>
      </c>
      <c r="G190" s="153" t="str">
        <f>right(Left('Paste #BBall'!G190,Search("/",'Paste #BBall'!G190)-1),len(Left('Paste #BBall'!G190,Search("/",'Paste #BBall'!G190)-1))-search("(",Left('Paste #BBall'!G190,Search("/",'Paste #BBall'!G190)-1)))</f>
        <v>5.4</v>
      </c>
      <c r="H190" s="152">
        <f t="shared" si="1"/>
        <v>0.45</v>
      </c>
      <c r="I190" s="152" t="str">
        <f>right(Left('Paste #BBall'!H190,Search("/",'Paste #BBall'!H190)-1),len(Left('Paste #BBall'!H190,Search("/",'Paste #BBall'!H190)-1))-search("(",Left('Paste #BBall'!H190,Search("/",'Paste #BBall'!H190)-1)))</f>
        <v>2.6</v>
      </c>
      <c r="J190" s="152">
        <f t="shared" si="2"/>
        <v>0.8125</v>
      </c>
      <c r="K190" s="152">
        <f>'Paste #BBall'!I190</f>
        <v>1.5</v>
      </c>
      <c r="L190" s="152">
        <f>'Paste #BBall'!J190</f>
        <v>14.9</v>
      </c>
      <c r="M190" s="152">
        <f>'Paste #BBall'!K190</f>
        <v>3.9</v>
      </c>
      <c r="N190" s="152">
        <f>'Paste #BBall'!L190</f>
        <v>1.4</v>
      </c>
      <c r="O190" s="152">
        <f>'Paste #BBall'!M190</f>
        <v>0.6</v>
      </c>
      <c r="P190" s="152">
        <f>'Paste #BBall'!N190</f>
        <v>0.3</v>
      </c>
      <c r="Q190" s="152">
        <f>'Paste #BBall'!O190</f>
        <v>1.3</v>
      </c>
      <c r="R190" s="153" t="str">
        <f>Left(Right('Paste #BBall'!G190,Len('Paste #BBall'!G190)-Search("/",'Paste #BBall'!G190)),Len(Right('Paste #BBall'!G190,Len('Paste #BBall'!G190)-Search("/",'Paste #BBall'!G190)))-1)</f>
        <v>12.0</v>
      </c>
      <c r="S190" s="153" t="str">
        <f>Left(Right('Paste #BBall'!H190,Len('Paste #BBall'!H190)-Search("/",'Paste #BBall'!H190)),Len(Right('Paste #BBall'!H190,Len('Paste #BBall'!H190)-Search("/",'Paste #BBall'!H190)))-1)</f>
        <v>3.2</v>
      </c>
    </row>
    <row r="191">
      <c r="A191" s="33">
        <v>190.0</v>
      </c>
      <c r="B191" s="149" t="str">
        <f>'Paste #BBall'!B191</f>
        <v>Amen Thompson</v>
      </c>
      <c r="C191" s="150" t="str">
        <f>'Paste #BBall'!C191</f>
        <v>SF</v>
      </c>
      <c r="D191" s="150" t="str">
        <f>'Paste #BBall'!D191</f>
        <v>HOU</v>
      </c>
      <c r="E191" s="151">
        <f>'Paste #BBall'!E191</f>
        <v>70</v>
      </c>
      <c r="F191" s="152">
        <f>'Paste #BBall'!F191</f>
        <v>26.2</v>
      </c>
      <c r="G191" s="153" t="str">
        <f>right(Left('Paste #BBall'!G191,Search("/",'Paste #BBall'!G191)-1),len(Left('Paste #BBall'!G191,Search("/",'Paste #BBall'!G191)-1))-search("(",Left('Paste #BBall'!G191,Search("/",'Paste #BBall'!G191)-1)))</f>
        <v>4.5</v>
      </c>
      <c r="H191" s="152">
        <f t="shared" si="1"/>
        <v>0.45</v>
      </c>
      <c r="I191" s="152" t="str">
        <f>right(Left('Paste #BBall'!H191,Search("/",'Paste #BBall'!H191)-1),len(Left('Paste #BBall'!H191,Search("/",'Paste #BBall'!H191)-1))-search("(",Left('Paste #BBall'!H191,Search("/",'Paste #BBall'!H191)-1)))</f>
        <v>2.7</v>
      </c>
      <c r="J191" s="152">
        <f t="shared" si="2"/>
        <v>0.6923076923</v>
      </c>
      <c r="K191" s="152">
        <f>'Paste #BBall'!I191</f>
        <v>0.5</v>
      </c>
      <c r="L191" s="152">
        <f>'Paste #BBall'!J191</f>
        <v>12.2</v>
      </c>
      <c r="M191" s="152">
        <f>'Paste #BBall'!K191</f>
        <v>3.7</v>
      </c>
      <c r="N191" s="152">
        <f>'Paste #BBall'!L191</f>
        <v>4.4</v>
      </c>
      <c r="O191" s="152">
        <f>'Paste #BBall'!M191</f>
        <v>1.1</v>
      </c>
      <c r="P191" s="152">
        <f>'Paste #BBall'!N191</f>
        <v>0.5</v>
      </c>
      <c r="Q191" s="152">
        <f>'Paste #BBall'!O191</f>
        <v>2.1</v>
      </c>
      <c r="R191" s="153" t="str">
        <f>Left(Right('Paste #BBall'!G191,Len('Paste #BBall'!G191)-Search("/",'Paste #BBall'!G191)),Len(Right('Paste #BBall'!G191,Len('Paste #BBall'!G191)-Search("/",'Paste #BBall'!G191)))-1)</f>
        <v>10.0</v>
      </c>
      <c r="S191" s="153" t="str">
        <f>Left(Right('Paste #BBall'!H191,Len('Paste #BBall'!H191)-Search("/",'Paste #BBall'!H191)),Len(Right('Paste #BBall'!H191,Len('Paste #BBall'!H191)-Search("/",'Paste #BBall'!H191)))-1)</f>
        <v>3.9</v>
      </c>
    </row>
    <row r="192">
      <c r="A192" s="33">
        <v>191.0</v>
      </c>
      <c r="B192" s="149" t="str">
        <f>'Paste #BBall'!B192</f>
        <v>Naz Reid</v>
      </c>
      <c r="C192" s="150" t="str">
        <f>'Paste #BBall'!C192</f>
        <v>PF,C</v>
      </c>
      <c r="D192" s="150" t="str">
        <f>'Paste #BBall'!D192</f>
        <v>MIN</v>
      </c>
      <c r="E192" s="151">
        <f>'Paste #BBall'!E192</f>
        <v>72</v>
      </c>
      <c r="F192" s="152">
        <f>'Paste #BBall'!F192</f>
        <v>16.4</v>
      </c>
      <c r="G192" s="153" t="str">
        <f>right(Left('Paste #BBall'!G192,Search("/",'Paste #BBall'!G192)-1),len(Left('Paste #BBall'!G192,Search("/",'Paste #BBall'!G192)-1))-search("(",Left('Paste #BBall'!G192,Search("/",'Paste #BBall'!G192)-1)))</f>
        <v>3.7</v>
      </c>
      <c r="H192" s="152">
        <f t="shared" si="1"/>
        <v>0.5211267606</v>
      </c>
      <c r="I192" s="152" t="str">
        <f>right(Left('Paste #BBall'!H192,Search("/",'Paste #BBall'!H192)-1),len(Left('Paste #BBall'!H192,Search("/",'Paste #BBall'!H192)-1))-search("(",Left('Paste #BBall'!H192,Search("/",'Paste #BBall'!H192)-1)))</f>
        <v>1.3</v>
      </c>
      <c r="J192" s="152">
        <f t="shared" si="2"/>
        <v>0.6842105263</v>
      </c>
      <c r="K192" s="152">
        <f>'Paste #BBall'!I192</f>
        <v>0.9</v>
      </c>
      <c r="L192" s="152">
        <f>'Paste #BBall'!J192</f>
        <v>9.5</v>
      </c>
      <c r="M192" s="152">
        <f>'Paste #BBall'!K192</f>
        <v>4.3</v>
      </c>
      <c r="N192" s="152">
        <f>'Paste #BBall'!L192</f>
        <v>1</v>
      </c>
      <c r="O192" s="152">
        <f>'Paste #BBall'!M192</f>
        <v>0.6</v>
      </c>
      <c r="P192" s="152">
        <f>'Paste #BBall'!N192</f>
        <v>0.8</v>
      </c>
      <c r="Q192" s="152">
        <f>'Paste #BBall'!O192</f>
        <v>1.2</v>
      </c>
      <c r="R192" s="153" t="str">
        <f>Left(Right('Paste #BBall'!G192,Len('Paste #BBall'!G192)-Search("/",'Paste #BBall'!G192)),Len(Right('Paste #BBall'!G192,Len('Paste #BBall'!G192)-Search("/",'Paste #BBall'!G192)))-1)</f>
        <v>7.1</v>
      </c>
      <c r="S192" s="153" t="str">
        <f>Left(Right('Paste #BBall'!H192,Len('Paste #BBall'!H192)-Search("/",'Paste #BBall'!H192)),Len(Right('Paste #BBall'!H192,Len('Paste #BBall'!H192)-Search("/",'Paste #BBall'!H192)))-1)</f>
        <v>1.9</v>
      </c>
    </row>
    <row r="193">
      <c r="A193" s="33">
        <v>192.0</v>
      </c>
      <c r="B193" s="149" t="str">
        <f>'Paste #BBall'!B193</f>
        <v>Marvin Bagley III</v>
      </c>
      <c r="C193" s="150" t="str">
        <f>'Paste #BBall'!C193</f>
        <v>PF,C</v>
      </c>
      <c r="D193" s="150" t="str">
        <f>'Paste #BBall'!D193</f>
        <v>DET</v>
      </c>
      <c r="E193" s="151">
        <f>'Paste #BBall'!E193</f>
        <v>46</v>
      </c>
      <c r="F193" s="152">
        <f>'Paste #BBall'!F193</f>
        <v>22.8</v>
      </c>
      <c r="G193" s="153" t="str">
        <f>right(Left('Paste #BBall'!G193,Search("/",'Paste #BBall'!G193)-1),len(Left('Paste #BBall'!G193,Search("/",'Paste #BBall'!G193)-1))-search("(",Left('Paste #BBall'!G193,Search("/",'Paste #BBall'!G193)-1)))</f>
        <v>4.6</v>
      </c>
      <c r="H193" s="152">
        <f t="shared" si="1"/>
        <v>0.5168539326</v>
      </c>
      <c r="I193" s="152" t="str">
        <f>right(Left('Paste #BBall'!H193,Search("/",'Paste #BBall'!H193)-1),len(Left('Paste #BBall'!H193,Search("/",'Paste #BBall'!H193)-1))-search("(",Left('Paste #BBall'!H193,Search("/",'Paste #BBall'!H193)-1)))</f>
        <v>1.6</v>
      </c>
      <c r="J193" s="152">
        <f t="shared" si="2"/>
        <v>0.7619047619</v>
      </c>
      <c r="K193" s="152">
        <f>'Paste #BBall'!I193</f>
        <v>0.5</v>
      </c>
      <c r="L193" s="152">
        <f>'Paste #BBall'!J193</f>
        <v>11.3</v>
      </c>
      <c r="M193" s="152">
        <f>'Paste #BBall'!K193</f>
        <v>6.6</v>
      </c>
      <c r="N193" s="152">
        <f>'Paste #BBall'!L193</f>
        <v>0.8</v>
      </c>
      <c r="O193" s="152">
        <f>'Paste #BBall'!M193</f>
        <v>0.4</v>
      </c>
      <c r="P193" s="152">
        <f>'Paste #BBall'!N193</f>
        <v>0.5</v>
      </c>
      <c r="Q193" s="152">
        <f>'Paste #BBall'!O193</f>
        <v>0.9</v>
      </c>
      <c r="R193" s="153" t="str">
        <f>Left(Right('Paste #BBall'!G193,Len('Paste #BBall'!G193)-Search("/",'Paste #BBall'!G193)),Len(Right('Paste #BBall'!G193,Len('Paste #BBall'!G193)-Search("/",'Paste #BBall'!G193)))-1)</f>
        <v>8.9</v>
      </c>
      <c r="S193" s="153" t="str">
        <f>Left(Right('Paste #BBall'!H193,Len('Paste #BBall'!H193)-Search("/",'Paste #BBall'!H193)),Len(Right('Paste #BBall'!H193,Len('Paste #BBall'!H193)-Search("/",'Paste #BBall'!H193)))-1)</f>
        <v>2.1</v>
      </c>
    </row>
    <row r="194">
      <c r="A194" s="33">
        <v>193.0</v>
      </c>
      <c r="B194" s="149" t="str">
        <f>'Paste #BBall'!B194</f>
        <v>Ayo Dosunmu</v>
      </c>
      <c r="C194" s="150" t="str">
        <f>'Paste #BBall'!C194</f>
        <v>SG</v>
      </c>
      <c r="D194" s="150" t="str">
        <f>'Paste #BBall'!D194</f>
        <v>CHI</v>
      </c>
      <c r="E194" s="151">
        <f>'Paste #BBall'!E194</f>
        <v>76</v>
      </c>
      <c r="F194" s="152">
        <f>'Paste #BBall'!F194</f>
        <v>26.6</v>
      </c>
      <c r="G194" s="153" t="str">
        <f>right(Left('Paste #BBall'!G194,Search("/",'Paste #BBall'!G194)-1),len(Left('Paste #BBall'!G194,Search("/",'Paste #BBall'!G194)-1))-search("(",Left('Paste #BBall'!G194,Search("/",'Paste #BBall'!G194)-1)))</f>
        <v>3.6</v>
      </c>
      <c r="H194" s="152">
        <f t="shared" si="1"/>
        <v>0.5</v>
      </c>
      <c r="I194" s="152" t="str">
        <f>right(Left('Paste #BBall'!H194,Search("/",'Paste #BBall'!H194)-1),len(Left('Paste #BBall'!H194,Search("/",'Paste #BBall'!H194)-1))-search("(",Left('Paste #BBall'!H194,Search("/",'Paste #BBall'!H194)-1)))</f>
        <v>0.9</v>
      </c>
      <c r="J194" s="152">
        <f t="shared" si="2"/>
        <v>0.8181818182</v>
      </c>
      <c r="K194" s="152">
        <f>'Paste #BBall'!I194</f>
        <v>0.8</v>
      </c>
      <c r="L194" s="152">
        <f>'Paste #BBall'!J194</f>
        <v>8.8</v>
      </c>
      <c r="M194" s="152">
        <f>'Paste #BBall'!K194</f>
        <v>2.8</v>
      </c>
      <c r="N194" s="152">
        <f>'Paste #BBall'!L194</f>
        <v>3</v>
      </c>
      <c r="O194" s="152">
        <f>'Paste #BBall'!M194</f>
        <v>0.8</v>
      </c>
      <c r="P194" s="152">
        <f>'Paste #BBall'!N194</f>
        <v>0.4</v>
      </c>
      <c r="Q194" s="152">
        <f>'Paste #BBall'!O194</f>
        <v>1.3</v>
      </c>
      <c r="R194" s="153" t="str">
        <f>Left(Right('Paste #BBall'!G194,Len('Paste #BBall'!G194)-Search("/",'Paste #BBall'!G194)),Len(Right('Paste #BBall'!G194,Len('Paste #BBall'!G194)-Search("/",'Paste #BBall'!G194)))-1)</f>
        <v>7.2</v>
      </c>
      <c r="S194" s="153" t="str">
        <f>Left(Right('Paste #BBall'!H194,Len('Paste #BBall'!H194)-Search("/",'Paste #BBall'!H194)),Len(Right('Paste #BBall'!H194,Len('Paste #BBall'!H194)-Search("/",'Paste #BBall'!H194)))-1)</f>
        <v>1.1</v>
      </c>
    </row>
    <row r="195">
      <c r="A195" s="33">
        <v>194.0</v>
      </c>
      <c r="B195" s="149" t="str">
        <f>'Paste #BBall'!B195</f>
        <v>Jose Alvarado</v>
      </c>
      <c r="C195" s="150" t="str">
        <f>'Paste #BBall'!C195</f>
        <v>PG</v>
      </c>
      <c r="D195" s="150" t="str">
        <f>'Paste #BBall'!D195</f>
        <v>NO</v>
      </c>
      <c r="E195" s="151">
        <f>'Paste #BBall'!E195</f>
        <v>67</v>
      </c>
      <c r="F195" s="152">
        <f>'Paste #BBall'!F195</f>
        <v>20.4</v>
      </c>
      <c r="G195" s="153" t="str">
        <f>right(Left('Paste #BBall'!G195,Search("/",'Paste #BBall'!G195)-1),len(Left('Paste #BBall'!G195,Search("/",'Paste #BBall'!G195)-1))-search("(",Left('Paste #BBall'!G195,Search("/",'Paste #BBall'!G195)-1)))</f>
        <v>3.2</v>
      </c>
      <c r="H195" s="152">
        <f t="shared" si="1"/>
        <v>0.4266666667</v>
      </c>
      <c r="I195" s="152" t="str">
        <f>right(Left('Paste #BBall'!H195,Search("/",'Paste #BBall'!H195)-1),len(Left('Paste #BBall'!H195,Search("/",'Paste #BBall'!H195)-1))-search("(",Left('Paste #BBall'!H195,Search("/",'Paste #BBall'!H195)-1)))</f>
        <v>1.0</v>
      </c>
      <c r="J195" s="152">
        <f t="shared" si="2"/>
        <v>0.7692307692</v>
      </c>
      <c r="K195" s="152">
        <f>'Paste #BBall'!I195</f>
        <v>1.1</v>
      </c>
      <c r="L195" s="152">
        <f>'Paste #BBall'!J195</f>
        <v>8.5</v>
      </c>
      <c r="M195" s="152">
        <f>'Paste #BBall'!K195</f>
        <v>2.3</v>
      </c>
      <c r="N195" s="152">
        <f>'Paste #BBall'!L195</f>
        <v>3.3</v>
      </c>
      <c r="O195" s="152">
        <f>'Paste #BBall'!M195</f>
        <v>1.3</v>
      </c>
      <c r="P195" s="152">
        <f>'Paste #BBall'!N195</f>
        <v>0.2</v>
      </c>
      <c r="Q195" s="152">
        <f>'Paste #BBall'!O195</f>
        <v>1.2</v>
      </c>
      <c r="R195" s="153" t="str">
        <f>Left(Right('Paste #BBall'!G195,Len('Paste #BBall'!G195)-Search("/",'Paste #BBall'!G195)),Len(Right('Paste #BBall'!G195,Len('Paste #BBall'!G195)-Search("/",'Paste #BBall'!G195)))-1)</f>
        <v>7.5</v>
      </c>
      <c r="S195" s="153" t="str">
        <f>Left(Right('Paste #BBall'!H195,Len('Paste #BBall'!H195)-Search("/",'Paste #BBall'!H195)),Len(Right('Paste #BBall'!H195,Len('Paste #BBall'!H195)-Search("/",'Paste #BBall'!H195)))-1)</f>
        <v>1.3</v>
      </c>
    </row>
    <row r="196">
      <c r="A196" s="33">
        <v>195.0</v>
      </c>
      <c r="B196" s="149" t="str">
        <f>'Paste #BBall'!B196</f>
        <v>Dillon Brooks</v>
      </c>
      <c r="C196" s="150" t="str">
        <f>'Paste #BBall'!C196</f>
        <v>SG,SF</v>
      </c>
      <c r="D196" s="150" t="str">
        <f>'Paste #BBall'!D196</f>
        <v>HOU</v>
      </c>
      <c r="E196" s="151">
        <f>'Paste #BBall'!E196</f>
        <v>70</v>
      </c>
      <c r="F196" s="152">
        <f>'Paste #BBall'!F196</f>
        <v>28.4</v>
      </c>
      <c r="G196" s="153" t="str">
        <f>right(Left('Paste #BBall'!G196,Search("/",'Paste #BBall'!G196)-1),len(Left('Paste #BBall'!G196,Search("/",'Paste #BBall'!G196)-1))-search("(",Left('Paste #BBall'!G196,Search("/",'Paste #BBall'!G196)-1)))</f>
        <v>5.7</v>
      </c>
      <c r="H196" s="152">
        <f t="shared" si="1"/>
        <v>0.4071428571</v>
      </c>
      <c r="I196" s="152" t="str">
        <f>right(Left('Paste #BBall'!H196,Search("/",'Paste #BBall'!H196)-1),len(Left('Paste #BBall'!H196,Search("/",'Paste #BBall'!H196)-1))-search("(",Left('Paste #BBall'!H196,Search("/",'Paste #BBall'!H196)-1)))</f>
        <v>1.9</v>
      </c>
      <c r="J196" s="152">
        <f t="shared" si="2"/>
        <v>0.7916666667</v>
      </c>
      <c r="K196" s="152">
        <f>'Paste #BBall'!I196</f>
        <v>1.8</v>
      </c>
      <c r="L196" s="152">
        <f>'Paste #BBall'!J196</f>
        <v>15.2</v>
      </c>
      <c r="M196" s="152">
        <f>'Paste #BBall'!K196</f>
        <v>3.2</v>
      </c>
      <c r="N196" s="152">
        <f>'Paste #BBall'!L196</f>
        <v>2.6</v>
      </c>
      <c r="O196" s="152">
        <f>'Paste #BBall'!M196</f>
        <v>0.9</v>
      </c>
      <c r="P196" s="152">
        <f>'Paste #BBall'!N196</f>
        <v>0.2</v>
      </c>
      <c r="Q196" s="152">
        <f>'Paste #BBall'!O196</f>
        <v>1.4</v>
      </c>
      <c r="R196" s="153" t="str">
        <f>Left(Right('Paste #BBall'!G196,Len('Paste #BBall'!G196)-Search("/",'Paste #BBall'!G196)),Len(Right('Paste #BBall'!G196,Len('Paste #BBall'!G196)-Search("/",'Paste #BBall'!G196)))-1)</f>
        <v>14.0</v>
      </c>
      <c r="S196" s="153" t="str">
        <f>Left(Right('Paste #BBall'!H196,Len('Paste #BBall'!H196)-Search("/",'Paste #BBall'!H196)),Len(Right('Paste #BBall'!H196,Len('Paste #BBall'!H196)-Search("/",'Paste #BBall'!H196)))-1)</f>
        <v>2.4</v>
      </c>
    </row>
    <row r="197">
      <c r="A197" s="33">
        <v>196.0</v>
      </c>
      <c r="B197" s="149" t="str">
        <f>'Paste #BBall'!B197</f>
        <v>RJ Barrett</v>
      </c>
      <c r="C197" s="150" t="str">
        <f>'Paste #BBall'!C197</f>
        <v>SG,SF</v>
      </c>
      <c r="D197" s="150" t="str">
        <f>'Paste #BBall'!D197</f>
        <v>NY</v>
      </c>
      <c r="E197" s="151">
        <f>'Paste #BBall'!E197</f>
        <v>72</v>
      </c>
      <c r="F197" s="152">
        <f>'Paste #BBall'!F197</f>
        <v>33.6</v>
      </c>
      <c r="G197" s="153" t="str">
        <f>right(Left('Paste #BBall'!G197,Search("/",'Paste #BBall'!G197)-1),len(Left('Paste #BBall'!G197,Search("/",'Paste #BBall'!G197)-1))-search("(",Left('Paste #BBall'!G197,Search("/",'Paste #BBall'!G197)-1)))</f>
        <v>6.9</v>
      </c>
      <c r="H197" s="152">
        <f t="shared" si="1"/>
        <v>0.43125</v>
      </c>
      <c r="I197" s="152" t="str">
        <f>right(Left('Paste #BBall'!H197,Search("/",'Paste #BBall'!H197)-1),len(Left('Paste #BBall'!H197,Search("/",'Paste #BBall'!H197)-1))-search("(",Left('Paste #BBall'!H197,Search("/",'Paste #BBall'!H197)-1)))</f>
        <v>4.0</v>
      </c>
      <c r="J197" s="152">
        <f t="shared" si="2"/>
        <v>0.7407407407</v>
      </c>
      <c r="K197" s="152">
        <f>'Paste #BBall'!I197</f>
        <v>1.8</v>
      </c>
      <c r="L197" s="152">
        <f>'Paste #BBall'!J197</f>
        <v>19.7</v>
      </c>
      <c r="M197" s="152">
        <f>'Paste #BBall'!K197</f>
        <v>5.4</v>
      </c>
      <c r="N197" s="152">
        <f>'Paste #BBall'!L197</f>
        <v>2.8</v>
      </c>
      <c r="O197" s="152">
        <f>'Paste #BBall'!M197</f>
        <v>0.5</v>
      </c>
      <c r="P197" s="152">
        <f>'Paste #BBall'!N197</f>
        <v>0.2</v>
      </c>
      <c r="Q197" s="152">
        <f>'Paste #BBall'!O197</f>
        <v>2.2</v>
      </c>
      <c r="R197" s="153" t="str">
        <f>Left(Right('Paste #BBall'!G197,Len('Paste #BBall'!G197)-Search("/",'Paste #BBall'!G197)),Len(Right('Paste #BBall'!G197,Len('Paste #BBall'!G197)-Search("/",'Paste #BBall'!G197)))-1)</f>
        <v>16.0</v>
      </c>
      <c r="S197" s="153" t="str">
        <f>Left(Right('Paste #BBall'!H197,Len('Paste #BBall'!H197)-Search("/",'Paste #BBall'!H197)),Len(Right('Paste #BBall'!H197,Len('Paste #BBall'!H197)-Search("/",'Paste #BBall'!H197)))-1)</f>
        <v>5.4</v>
      </c>
    </row>
    <row r="198">
      <c r="A198" s="33">
        <v>197.0</v>
      </c>
      <c r="B198" s="149" t="str">
        <f>'Paste #BBall'!B198</f>
        <v>Kevin Porter Jr.</v>
      </c>
      <c r="C198" s="150" t="str">
        <f>'Paste #BBall'!C198</f>
        <v>PG,SG</v>
      </c>
      <c r="D198" s="150" t="str">
        <f>'Paste #BBall'!D198</f>
        <v>HOU</v>
      </c>
      <c r="E198" s="151">
        <f>'Paste #BBall'!E198</f>
        <v>30</v>
      </c>
      <c r="F198" s="152">
        <f>'Paste #BBall'!F198</f>
        <v>20.8</v>
      </c>
      <c r="G198" s="153" t="str">
        <f>right(Left('Paste #BBall'!G198,Search("/",'Paste #BBall'!G198)-1),len(Left('Paste #BBall'!G198,Search("/",'Paste #BBall'!G198)-1))-search("(",Left('Paste #BBall'!G198,Search("/",'Paste #BBall'!G198)-1)))</f>
        <v>3.8</v>
      </c>
      <c r="H198" s="152">
        <f t="shared" si="1"/>
        <v>0.4318181818</v>
      </c>
      <c r="I198" s="152" t="str">
        <f>right(Left('Paste #BBall'!H198,Search("/",'Paste #BBall'!H198)-1),len(Left('Paste #BBall'!H198,Search("/",'Paste #BBall'!H198)-1))-search("(",Left('Paste #BBall'!H198,Search("/",'Paste #BBall'!H198)-1)))</f>
        <v>1.7</v>
      </c>
      <c r="J198" s="152">
        <f t="shared" si="2"/>
        <v>0.7727272727</v>
      </c>
      <c r="K198" s="152">
        <f>'Paste #BBall'!I198</f>
        <v>1.6</v>
      </c>
      <c r="L198" s="152">
        <f>'Paste #BBall'!J198</f>
        <v>10.9</v>
      </c>
      <c r="M198" s="152">
        <f>'Paste #BBall'!K198</f>
        <v>3.1</v>
      </c>
      <c r="N198" s="152">
        <f>'Paste #BBall'!L198</f>
        <v>3.7</v>
      </c>
      <c r="O198" s="152">
        <f>'Paste #BBall'!M198</f>
        <v>0.8</v>
      </c>
      <c r="P198" s="152">
        <f>'Paste #BBall'!N198</f>
        <v>0.2</v>
      </c>
      <c r="Q198" s="152">
        <f>'Paste #BBall'!O198</f>
        <v>2</v>
      </c>
      <c r="R198" s="153" t="str">
        <f>Left(Right('Paste #BBall'!G198,Len('Paste #BBall'!G198)-Search("/",'Paste #BBall'!G198)),Len(Right('Paste #BBall'!G198,Len('Paste #BBall'!G198)-Search("/",'Paste #BBall'!G198)))-1)</f>
        <v>8.8</v>
      </c>
      <c r="S198" s="153" t="str">
        <f>Left(Right('Paste #BBall'!H198,Len('Paste #BBall'!H198)-Search("/",'Paste #BBall'!H198)),Len(Right('Paste #BBall'!H198,Len('Paste #BBall'!H198)-Search("/",'Paste #BBall'!H198)))-1)</f>
        <v>2.2</v>
      </c>
    </row>
    <row r="199">
      <c r="A199" s="33">
        <v>198.0</v>
      </c>
      <c r="B199" s="149" t="str">
        <f>'Paste #BBall'!B199</f>
        <v>Gordon Hayward</v>
      </c>
      <c r="C199" s="150" t="str">
        <f>'Paste #BBall'!C199</f>
        <v>SF</v>
      </c>
      <c r="D199" s="150" t="str">
        <f>'Paste #BBall'!D199</f>
        <v>CHA</v>
      </c>
      <c r="E199" s="151">
        <f>'Paste #BBall'!E199</f>
        <v>50</v>
      </c>
      <c r="F199" s="152">
        <f>'Paste #BBall'!F199</f>
        <v>25.4</v>
      </c>
      <c r="G199" s="153" t="str">
        <f>right(Left('Paste #BBall'!G199,Search("/",'Paste #BBall'!G199)-1),len(Left('Paste #BBall'!G199,Search("/",'Paste #BBall'!G199)-1))-search("(",Left('Paste #BBall'!G199,Search("/",'Paste #BBall'!G199)-1)))</f>
        <v>4.5</v>
      </c>
      <c r="H199" s="152">
        <f t="shared" si="1"/>
        <v>0.4736842105</v>
      </c>
      <c r="I199" s="152" t="str">
        <f>right(Left('Paste #BBall'!H199,Search("/",'Paste #BBall'!H199)-1),len(Left('Paste #BBall'!H199,Search("/",'Paste #BBall'!H199)-1))-search("(",Left('Paste #BBall'!H199,Search("/",'Paste #BBall'!H199)-1)))</f>
        <v>2.0</v>
      </c>
      <c r="J199" s="152">
        <f t="shared" si="2"/>
        <v>0.8</v>
      </c>
      <c r="K199" s="152">
        <f>'Paste #BBall'!I199</f>
        <v>1</v>
      </c>
      <c r="L199" s="152">
        <f>'Paste #BBall'!J199</f>
        <v>12</v>
      </c>
      <c r="M199" s="152">
        <f>'Paste #BBall'!K199</f>
        <v>3.5</v>
      </c>
      <c r="N199" s="152">
        <f>'Paste #BBall'!L199</f>
        <v>3</v>
      </c>
      <c r="O199" s="152">
        <f>'Paste #BBall'!M199</f>
        <v>0.6</v>
      </c>
      <c r="P199" s="152">
        <f>'Paste #BBall'!N199</f>
        <v>0.2</v>
      </c>
      <c r="Q199" s="152">
        <f>'Paste #BBall'!O199</f>
        <v>1.7</v>
      </c>
      <c r="R199" s="153" t="str">
        <f>Left(Right('Paste #BBall'!G199,Len('Paste #BBall'!G199)-Search("/",'Paste #BBall'!G199)),Len(Right('Paste #BBall'!G199,Len('Paste #BBall'!G199)-Search("/",'Paste #BBall'!G199)))-1)</f>
        <v>9.5</v>
      </c>
      <c r="S199" s="153" t="str">
        <f>Left(Right('Paste #BBall'!H199,Len('Paste #BBall'!H199)-Search("/",'Paste #BBall'!H199)),Len(Right('Paste #BBall'!H199,Len('Paste #BBall'!H199)-Search("/",'Paste #BBall'!H199)))-1)</f>
        <v>2.5</v>
      </c>
    </row>
    <row r="200">
      <c r="A200" s="33">
        <v>199.0</v>
      </c>
      <c r="B200" s="149" t="str">
        <f>'Paste #BBall'!B200</f>
        <v>Andrew Nembhard</v>
      </c>
      <c r="C200" s="150" t="str">
        <f>'Paste #BBall'!C200</f>
        <v>PG,SG</v>
      </c>
      <c r="D200" s="150" t="str">
        <f>'Paste #BBall'!D200</f>
        <v>IND</v>
      </c>
      <c r="E200" s="151">
        <f>'Paste #BBall'!E200</f>
        <v>72</v>
      </c>
      <c r="F200" s="152">
        <f>'Paste #BBall'!F200</f>
        <v>26.2</v>
      </c>
      <c r="G200" s="153" t="str">
        <f>right(Left('Paste #BBall'!G200,Search("/",'Paste #BBall'!G200)-1),len(Left('Paste #BBall'!G200,Search("/",'Paste #BBall'!G200)-1))-search("(",Left('Paste #BBall'!G200,Search("/",'Paste #BBall'!G200)-1)))</f>
        <v>3.6</v>
      </c>
      <c r="H200" s="152">
        <f t="shared" si="1"/>
        <v>0.4390243902</v>
      </c>
      <c r="I200" s="152" t="str">
        <f>right(Left('Paste #BBall'!H200,Search("/",'Paste #BBall'!H200)-1),len(Left('Paste #BBall'!H200,Search("/",'Paste #BBall'!H200)-1))-search("(",Left('Paste #BBall'!H200,Search("/",'Paste #BBall'!H200)-1)))</f>
        <v>0.6</v>
      </c>
      <c r="J200" s="152">
        <f t="shared" si="2"/>
        <v>0.75</v>
      </c>
      <c r="K200" s="152">
        <f>'Paste #BBall'!I200</f>
        <v>1.2</v>
      </c>
      <c r="L200" s="152">
        <f>'Paste #BBall'!J200</f>
        <v>9.1</v>
      </c>
      <c r="M200" s="152">
        <f>'Paste #BBall'!K200</f>
        <v>2.5</v>
      </c>
      <c r="N200" s="152">
        <f>'Paste #BBall'!L200</f>
        <v>4.4</v>
      </c>
      <c r="O200" s="152">
        <f>'Paste #BBall'!M200</f>
        <v>0.9</v>
      </c>
      <c r="P200" s="152">
        <f>'Paste #BBall'!N200</f>
        <v>0.2</v>
      </c>
      <c r="Q200" s="152">
        <f>'Paste #BBall'!O200</f>
        <v>1.6</v>
      </c>
      <c r="R200" s="153" t="str">
        <f>Left(Right('Paste #BBall'!G200,Len('Paste #BBall'!G200)-Search("/",'Paste #BBall'!G200)),Len(Right('Paste #BBall'!G200,Len('Paste #BBall'!G200)-Search("/",'Paste #BBall'!G200)))-1)</f>
        <v>8.2</v>
      </c>
      <c r="S200" s="153" t="str">
        <f>Left(Right('Paste #BBall'!H200,Len('Paste #BBall'!H200)-Search("/",'Paste #BBall'!H200)),Len(Right('Paste #BBall'!H200,Len('Paste #BBall'!H200)-Search("/",'Paste #BBall'!H200)))-1)</f>
        <v>0.8</v>
      </c>
    </row>
    <row r="201">
      <c r="A201" s="33">
        <v>200.0</v>
      </c>
      <c r="B201" s="149" t="str">
        <f>'Paste #BBall'!B201</f>
        <v>Grayson Allen</v>
      </c>
      <c r="C201" s="150" t="str">
        <f>'Paste #BBall'!C201</f>
        <v>SG,SF</v>
      </c>
      <c r="D201" s="150" t="str">
        <f>'Paste #BBall'!D201</f>
        <v>PHO</v>
      </c>
      <c r="E201" s="151">
        <f>'Paste #BBall'!E201</f>
        <v>70</v>
      </c>
      <c r="F201" s="152">
        <f>'Paste #BBall'!F201</f>
        <v>23.4</v>
      </c>
      <c r="G201" s="153" t="str">
        <f>right(Left('Paste #BBall'!G201,Search("/",'Paste #BBall'!G201)-1),len(Left('Paste #BBall'!G201,Search("/",'Paste #BBall'!G201)-1))-search("(",Left('Paste #BBall'!G201,Search("/",'Paste #BBall'!G201)-1)))</f>
        <v>3.0</v>
      </c>
      <c r="H201" s="152">
        <f t="shared" si="1"/>
        <v>0.4285714286</v>
      </c>
      <c r="I201" s="152" t="str">
        <f>right(Left('Paste #BBall'!H201,Search("/",'Paste #BBall'!H201)-1),len(Left('Paste #BBall'!H201,Search("/",'Paste #BBall'!H201)-1))-search("(",Left('Paste #BBall'!H201,Search("/",'Paste #BBall'!H201)-1)))</f>
        <v>1.1</v>
      </c>
      <c r="J201" s="152">
        <f t="shared" si="2"/>
        <v>0.8461538462</v>
      </c>
      <c r="K201" s="152">
        <f>'Paste #BBall'!I201</f>
        <v>2</v>
      </c>
      <c r="L201" s="152">
        <f>'Paste #BBall'!J201</f>
        <v>9.1</v>
      </c>
      <c r="M201" s="152">
        <f>'Paste #BBall'!K201</f>
        <v>3</v>
      </c>
      <c r="N201" s="152">
        <f>'Paste #BBall'!L201</f>
        <v>1.7</v>
      </c>
      <c r="O201" s="152">
        <f>'Paste #BBall'!M201</f>
        <v>0.7</v>
      </c>
      <c r="P201" s="152">
        <f>'Paste #BBall'!N201</f>
        <v>0.2</v>
      </c>
      <c r="Q201" s="152">
        <f>'Paste #BBall'!O201</f>
        <v>0.7</v>
      </c>
      <c r="R201" s="153" t="str">
        <f>Left(Right('Paste #BBall'!G201,Len('Paste #BBall'!G201)-Search("/",'Paste #BBall'!G201)),Len(Right('Paste #BBall'!G201,Len('Paste #BBall'!G201)-Search("/",'Paste #BBall'!G201)))-1)</f>
        <v>7.0</v>
      </c>
      <c r="S201" s="153" t="str">
        <f>Left(Right('Paste #BBall'!H201,Len('Paste #BBall'!H201)-Search("/",'Paste #BBall'!H201)),Len(Right('Paste #BBall'!H201,Len('Paste #BBall'!H201)-Search("/",'Paste #BBall'!H201)))-1)</f>
        <v>1.3</v>
      </c>
    </row>
    <row r="202">
      <c r="A202" s="33">
        <v>201.0</v>
      </c>
      <c r="B202" s="149" t="str">
        <f>'Paste #BBall'!B202</f>
        <v>Santi Aldama</v>
      </c>
      <c r="C202" s="150" t="str">
        <f>'Paste #BBall'!C202</f>
        <v>PF,C</v>
      </c>
      <c r="D202" s="150" t="str">
        <f>'Paste #BBall'!D202</f>
        <v>MEM</v>
      </c>
      <c r="E202" s="151">
        <f>'Paste #BBall'!E202</f>
        <v>75</v>
      </c>
      <c r="F202" s="152">
        <f>'Paste #BBall'!F202</f>
        <v>23.1</v>
      </c>
      <c r="G202" s="153" t="str">
        <f>right(Left('Paste #BBall'!G202,Search("/",'Paste #BBall'!G202)-1),len(Left('Paste #BBall'!G202,Search("/",'Paste #BBall'!G202)-1))-search("(",Left('Paste #BBall'!G202,Search("/",'Paste #BBall'!G202)-1)))</f>
        <v>3.4</v>
      </c>
      <c r="H202" s="152">
        <f t="shared" si="1"/>
        <v>0.4533333333</v>
      </c>
      <c r="I202" s="152" t="str">
        <f>right(Left('Paste #BBall'!H202,Search("/",'Paste #BBall'!H202)-1),len(Left('Paste #BBall'!H202,Search("/",'Paste #BBall'!H202)-1))-search("(",Left('Paste #BBall'!H202,Search("/",'Paste #BBall'!H202)-1)))</f>
        <v>1.5</v>
      </c>
      <c r="J202" s="152">
        <f t="shared" si="2"/>
        <v>0.75</v>
      </c>
      <c r="K202" s="152">
        <f>'Paste #BBall'!I202</f>
        <v>1.1</v>
      </c>
      <c r="L202" s="152">
        <f>'Paste #BBall'!J202</f>
        <v>9.5</v>
      </c>
      <c r="M202" s="152">
        <f>'Paste #BBall'!K202</f>
        <v>5.2</v>
      </c>
      <c r="N202" s="152">
        <f>'Paste #BBall'!L202</f>
        <v>1.4</v>
      </c>
      <c r="O202" s="152">
        <f>'Paste #BBall'!M202</f>
        <v>0.6</v>
      </c>
      <c r="P202" s="152">
        <f>'Paste #BBall'!N202</f>
        <v>0.7</v>
      </c>
      <c r="Q202" s="152">
        <f>'Paste #BBall'!O202</f>
        <v>0.9</v>
      </c>
      <c r="R202" s="153" t="str">
        <f>Left(Right('Paste #BBall'!G202,Len('Paste #BBall'!G202)-Search("/",'Paste #BBall'!G202)),Len(Right('Paste #BBall'!G202,Len('Paste #BBall'!G202)-Search("/",'Paste #BBall'!G202)))-1)</f>
        <v>7.5</v>
      </c>
      <c r="S202" s="153" t="str">
        <f>Left(Right('Paste #BBall'!H202,Len('Paste #BBall'!H202)-Search("/",'Paste #BBall'!H202)),Len(Right('Paste #BBall'!H202,Len('Paste #BBall'!H202)-Search("/",'Paste #BBall'!H202)))-1)</f>
        <v>2.0</v>
      </c>
    </row>
    <row r="203">
      <c r="A203" s="33">
        <v>202.0</v>
      </c>
      <c r="B203" s="149" t="str">
        <f>'Paste #BBall'!B203</f>
        <v>Mason Plumlee</v>
      </c>
      <c r="C203" s="150" t="str">
        <f>'Paste #BBall'!C203</f>
        <v>C</v>
      </c>
      <c r="D203" s="150" t="str">
        <f>'Paste #BBall'!D203</f>
        <v>LAC</v>
      </c>
      <c r="E203" s="151">
        <f>'Paste #BBall'!E203</f>
        <v>75</v>
      </c>
      <c r="F203" s="152">
        <f>'Paste #BBall'!F203</f>
        <v>23.4</v>
      </c>
      <c r="G203" s="153" t="str">
        <f>right(Left('Paste #BBall'!G203,Search("/",'Paste #BBall'!G203)-1),len(Left('Paste #BBall'!G203,Search("/",'Paste #BBall'!G203)-1))-search("(",Left('Paste #BBall'!G203,Search("/",'Paste #BBall'!G203)-1)))</f>
        <v>3.3</v>
      </c>
      <c r="H203" s="152">
        <f t="shared" si="1"/>
        <v>0.6734693878</v>
      </c>
      <c r="I203" s="152" t="str">
        <f>right(Left('Paste #BBall'!H203,Search("/",'Paste #BBall'!H203)-1),len(Left('Paste #BBall'!H203,Search("/",'Paste #BBall'!H203)-1))-search("(",Left('Paste #BBall'!H203,Search("/",'Paste #BBall'!H203)-1)))</f>
        <v>1.6</v>
      </c>
      <c r="J203" s="152">
        <f t="shared" si="2"/>
        <v>0.5333333333</v>
      </c>
      <c r="K203" s="152">
        <f>'Paste #BBall'!I203</f>
        <v>0</v>
      </c>
      <c r="L203" s="152">
        <f>'Paste #BBall'!J203</f>
        <v>8.2</v>
      </c>
      <c r="M203" s="152">
        <f>'Paste #BBall'!K203</f>
        <v>7.8</v>
      </c>
      <c r="N203" s="152">
        <f>'Paste #BBall'!L203</f>
        <v>2.9</v>
      </c>
      <c r="O203" s="152">
        <f>'Paste #BBall'!M203</f>
        <v>0.7</v>
      </c>
      <c r="P203" s="152">
        <f>'Paste #BBall'!N203</f>
        <v>0.6</v>
      </c>
      <c r="Q203" s="152">
        <f>'Paste #BBall'!O203</f>
        <v>1.3</v>
      </c>
      <c r="R203" s="153" t="str">
        <f>Left(Right('Paste #BBall'!G203,Len('Paste #BBall'!G203)-Search("/",'Paste #BBall'!G203)),Len(Right('Paste #BBall'!G203,Len('Paste #BBall'!G203)-Search("/",'Paste #BBall'!G203)))-1)</f>
        <v>4.9</v>
      </c>
      <c r="S203" s="153" t="str">
        <f>Left(Right('Paste #BBall'!H203,Len('Paste #BBall'!H203)-Search("/",'Paste #BBall'!H203)),Len(Right('Paste #BBall'!H203,Len('Paste #BBall'!H203)-Search("/",'Paste #BBall'!H203)))-1)</f>
        <v>3.0</v>
      </c>
    </row>
    <row r="204">
      <c r="A204" s="33">
        <v>203.0</v>
      </c>
      <c r="B204" s="149" t="str">
        <f>'Paste #BBall'!B204</f>
        <v>James Wiseman</v>
      </c>
      <c r="C204" s="150" t="str">
        <f>'Paste #BBall'!C204</f>
        <v>C</v>
      </c>
      <c r="D204" s="150" t="str">
        <f>'Paste #BBall'!D204</f>
        <v>DET</v>
      </c>
      <c r="E204" s="151">
        <f>'Paste #BBall'!E204</f>
        <v>56</v>
      </c>
      <c r="F204" s="152">
        <f>'Paste #BBall'!F204</f>
        <v>20.8</v>
      </c>
      <c r="G204" s="153" t="str">
        <f>right(Left('Paste #BBall'!G204,Search("/",'Paste #BBall'!G204)-1),len(Left('Paste #BBall'!G204,Search("/",'Paste #BBall'!G204)-1))-search("(",Left('Paste #BBall'!G204,Search("/",'Paste #BBall'!G204)-1)))</f>
        <v>4.6</v>
      </c>
      <c r="H204" s="152">
        <f t="shared" si="1"/>
        <v>0.5609756098</v>
      </c>
      <c r="I204" s="152" t="str">
        <f>right(Left('Paste #BBall'!H204,Search("/",'Paste #BBall'!H204)-1),len(Left('Paste #BBall'!H204,Search("/",'Paste #BBall'!H204)-1))-search("(",Left('Paste #BBall'!H204,Search("/",'Paste #BBall'!H204)-1)))</f>
        <v>1.7</v>
      </c>
      <c r="J204" s="152">
        <f t="shared" si="2"/>
        <v>0.7083333333</v>
      </c>
      <c r="K204" s="152">
        <f>'Paste #BBall'!I204</f>
        <v>0.1</v>
      </c>
      <c r="L204" s="152">
        <f>'Paste #BBall'!J204</f>
        <v>10.9</v>
      </c>
      <c r="M204" s="152">
        <f>'Paste #BBall'!K204</f>
        <v>6.5</v>
      </c>
      <c r="N204" s="152">
        <f>'Paste #BBall'!L204</f>
        <v>0.7</v>
      </c>
      <c r="O204" s="152">
        <f>'Paste #BBall'!M204</f>
        <v>0.2</v>
      </c>
      <c r="P204" s="152">
        <f>'Paste #BBall'!N204</f>
        <v>0.9</v>
      </c>
      <c r="Q204" s="152">
        <f>'Paste #BBall'!O204</f>
        <v>1.2</v>
      </c>
      <c r="R204" s="153" t="str">
        <f>Left(Right('Paste #BBall'!G204,Len('Paste #BBall'!G204)-Search("/",'Paste #BBall'!G204)),Len(Right('Paste #BBall'!G204,Len('Paste #BBall'!G204)-Search("/",'Paste #BBall'!G204)))-1)</f>
        <v>8.2</v>
      </c>
      <c r="S204" s="153" t="str">
        <f>Left(Right('Paste #BBall'!H204,Len('Paste #BBall'!H204)-Search("/",'Paste #BBall'!H204)),Len(Right('Paste #BBall'!H204,Len('Paste #BBall'!H204)-Search("/",'Paste #BBall'!H204)))-1)</f>
        <v>2.4</v>
      </c>
    </row>
    <row r="205">
      <c r="A205" s="33">
        <v>204.0</v>
      </c>
      <c r="B205" s="149" t="str">
        <f>'Paste #BBall'!B205</f>
        <v>Jalen Suggs</v>
      </c>
      <c r="C205" s="150" t="str">
        <f>'Paste #BBall'!C205</f>
        <v>PG,SG</v>
      </c>
      <c r="D205" s="150" t="str">
        <f>'Paste #BBall'!D205</f>
        <v>ORL</v>
      </c>
      <c r="E205" s="151">
        <f>'Paste #BBall'!E205</f>
        <v>56</v>
      </c>
      <c r="F205" s="152">
        <f>'Paste #BBall'!F205</f>
        <v>23.8</v>
      </c>
      <c r="G205" s="153" t="str">
        <f>right(Left('Paste #BBall'!G205,Search("/",'Paste #BBall'!G205)-1),len(Left('Paste #BBall'!G205,Search("/",'Paste #BBall'!G205)-1))-search("(",Left('Paste #BBall'!G205,Search("/",'Paste #BBall'!G205)-1)))</f>
        <v>3.6</v>
      </c>
      <c r="H205" s="152">
        <f t="shared" si="1"/>
        <v>0.4</v>
      </c>
      <c r="I205" s="152" t="str">
        <f>right(Left('Paste #BBall'!H205,Search("/",'Paste #BBall'!H205)-1),len(Left('Paste #BBall'!H205,Search("/",'Paste #BBall'!H205)-1))-search("(",Left('Paste #BBall'!H205,Search("/",'Paste #BBall'!H205)-1)))</f>
        <v>2.0</v>
      </c>
      <c r="J205" s="152">
        <f t="shared" si="2"/>
        <v>0.7407407407</v>
      </c>
      <c r="K205" s="152">
        <f>'Paste #BBall'!I205</f>
        <v>1</v>
      </c>
      <c r="L205" s="152">
        <f>'Paste #BBall'!J205</f>
        <v>10.3</v>
      </c>
      <c r="M205" s="152">
        <f>'Paste #BBall'!K205</f>
        <v>3.1</v>
      </c>
      <c r="N205" s="152">
        <f>'Paste #BBall'!L205</f>
        <v>3.4</v>
      </c>
      <c r="O205" s="152">
        <f>'Paste #BBall'!M205</f>
        <v>1.2</v>
      </c>
      <c r="P205" s="152">
        <f>'Paste #BBall'!N205</f>
        <v>0.4</v>
      </c>
      <c r="Q205" s="152">
        <f>'Paste #BBall'!O205</f>
        <v>2.2</v>
      </c>
      <c r="R205" s="153" t="str">
        <f>Left(Right('Paste #BBall'!G205,Len('Paste #BBall'!G205)-Search("/",'Paste #BBall'!G205)),Len(Right('Paste #BBall'!G205,Len('Paste #BBall'!G205)-Search("/",'Paste #BBall'!G205)))-1)</f>
        <v>9.0</v>
      </c>
      <c r="S205" s="153" t="str">
        <f>Left(Right('Paste #BBall'!H205,Len('Paste #BBall'!H205)-Search("/",'Paste #BBall'!H205)),Len(Right('Paste #BBall'!H205,Len('Paste #BBall'!H205)-Search("/",'Paste #BBall'!H205)))-1)</f>
        <v>2.7</v>
      </c>
    </row>
    <row r="206">
      <c r="A206" s="33">
        <v>205.0</v>
      </c>
      <c r="B206" s="149" t="str">
        <f>'Paste #BBall'!B206</f>
        <v>Gary Harris</v>
      </c>
      <c r="C206" s="150" t="str">
        <f>'Paste #BBall'!C206</f>
        <v>SG,SF</v>
      </c>
      <c r="D206" s="150" t="str">
        <f>'Paste #BBall'!D206</f>
        <v>ORL</v>
      </c>
      <c r="E206" s="151">
        <f>'Paste #BBall'!E206</f>
        <v>60</v>
      </c>
      <c r="F206" s="152">
        <f>'Paste #BBall'!F206</f>
        <v>25.2</v>
      </c>
      <c r="G206" s="153" t="str">
        <f>right(Left('Paste #BBall'!G206,Search("/",'Paste #BBall'!G206)-1),len(Left('Paste #BBall'!G206,Search("/",'Paste #BBall'!G206)-1))-search("(",Left('Paste #BBall'!G206,Search("/",'Paste #BBall'!G206)-1)))</f>
        <v>3.3</v>
      </c>
      <c r="H206" s="152">
        <f t="shared" si="1"/>
        <v>0.44</v>
      </c>
      <c r="I206" s="152" t="str">
        <f>right(Left('Paste #BBall'!H206,Search("/",'Paste #BBall'!H206)-1),len(Left('Paste #BBall'!H206,Search("/",'Paste #BBall'!H206)-1))-search("(",Left('Paste #BBall'!H206,Search("/",'Paste #BBall'!H206)-1)))</f>
        <v>1.0</v>
      </c>
      <c r="J206" s="152">
        <f t="shared" si="2"/>
        <v>0.9090909091</v>
      </c>
      <c r="K206" s="152">
        <f>'Paste #BBall'!I206</f>
        <v>1.8</v>
      </c>
      <c r="L206" s="152">
        <f>'Paste #BBall'!J206</f>
        <v>9.4</v>
      </c>
      <c r="M206" s="152">
        <f>'Paste #BBall'!K206</f>
        <v>1.9</v>
      </c>
      <c r="N206" s="152">
        <f>'Paste #BBall'!L206</f>
        <v>1.5</v>
      </c>
      <c r="O206" s="152">
        <f>'Paste #BBall'!M206</f>
        <v>0.9</v>
      </c>
      <c r="P206" s="152">
        <f>'Paste #BBall'!N206</f>
        <v>0.2</v>
      </c>
      <c r="Q206" s="152">
        <f>'Paste #BBall'!O206</f>
        <v>0.8</v>
      </c>
      <c r="R206" s="153" t="str">
        <f>Left(Right('Paste #BBall'!G206,Len('Paste #BBall'!G206)-Search("/",'Paste #BBall'!G206)),Len(Right('Paste #BBall'!G206,Len('Paste #BBall'!G206)-Search("/",'Paste #BBall'!G206)))-1)</f>
        <v>7.5</v>
      </c>
      <c r="S206" s="153" t="str">
        <f>Left(Right('Paste #BBall'!H206,Len('Paste #BBall'!H206)-Search("/",'Paste #BBall'!H206)),Len(Right('Paste #BBall'!H206,Len('Paste #BBall'!H206)-Search("/",'Paste #BBall'!H206)))-1)</f>
        <v>1.1</v>
      </c>
    </row>
    <row r="207">
      <c r="A207" s="33">
        <v>206.0</v>
      </c>
      <c r="B207" s="149" t="str">
        <f>'Paste #BBall'!B207</f>
        <v>Eric Gordon</v>
      </c>
      <c r="C207" s="150" t="str">
        <f>'Paste #BBall'!C207</f>
        <v>SG,SF</v>
      </c>
      <c r="D207" s="150" t="str">
        <f>'Paste #BBall'!D207</f>
        <v>PHO</v>
      </c>
      <c r="E207" s="151">
        <f>'Paste #BBall'!E207</f>
        <v>60</v>
      </c>
      <c r="F207" s="152">
        <f>'Paste #BBall'!F207</f>
        <v>26.5</v>
      </c>
      <c r="G207" s="153" t="str">
        <f>right(Left('Paste #BBall'!G207,Search("/",'Paste #BBall'!G207)-1),len(Left('Paste #BBall'!G207,Search("/",'Paste #BBall'!G207)-1))-search("(",Left('Paste #BBall'!G207,Search("/",'Paste #BBall'!G207)-1)))</f>
        <v>4.1</v>
      </c>
      <c r="H207" s="152">
        <f t="shared" si="1"/>
        <v>0.4555555556</v>
      </c>
      <c r="I207" s="152" t="str">
        <f>right(Left('Paste #BBall'!H207,Search("/",'Paste #BBall'!H207)-1),len(Left('Paste #BBall'!H207,Search("/",'Paste #BBall'!H207)-1))-search("(",Left('Paste #BBall'!H207,Search("/",'Paste #BBall'!H207)-1)))</f>
        <v>1.8</v>
      </c>
      <c r="J207" s="152">
        <f t="shared" si="2"/>
        <v>0.7826086957</v>
      </c>
      <c r="K207" s="152">
        <f>'Paste #BBall'!I207</f>
        <v>1.9</v>
      </c>
      <c r="L207" s="152">
        <f>'Paste #BBall'!J207</f>
        <v>11.9</v>
      </c>
      <c r="M207" s="152">
        <f>'Paste #BBall'!K207</f>
        <v>1.8</v>
      </c>
      <c r="N207" s="152">
        <f>'Paste #BBall'!L207</f>
        <v>2.5</v>
      </c>
      <c r="O207" s="152">
        <f>'Paste #BBall'!M207</f>
        <v>0.5</v>
      </c>
      <c r="P207" s="152">
        <f>'Paste #BBall'!N207</f>
        <v>0.3</v>
      </c>
      <c r="Q207" s="152">
        <f>'Paste #BBall'!O207</f>
        <v>1.6</v>
      </c>
      <c r="R207" s="153" t="str">
        <f>Left(Right('Paste #BBall'!G207,Len('Paste #BBall'!G207)-Search("/",'Paste #BBall'!G207)),Len(Right('Paste #BBall'!G207,Len('Paste #BBall'!G207)-Search("/",'Paste #BBall'!G207)))-1)</f>
        <v>9.0</v>
      </c>
      <c r="S207" s="153" t="str">
        <f>Left(Right('Paste #BBall'!H207,Len('Paste #BBall'!H207)-Search("/",'Paste #BBall'!H207)),Len(Right('Paste #BBall'!H207,Len('Paste #BBall'!H207)-Search("/",'Paste #BBall'!H207)))-1)</f>
        <v>2.3</v>
      </c>
    </row>
    <row r="208">
      <c r="A208" s="33">
        <v>207.0</v>
      </c>
      <c r="B208" s="149" t="str">
        <f>'Paste #BBall'!B208</f>
        <v>Charles Bassey</v>
      </c>
      <c r="C208" s="150" t="str">
        <f>'Paste #BBall'!C208</f>
        <v>C</v>
      </c>
      <c r="D208" s="150" t="str">
        <f>'Paste #BBall'!D208</f>
        <v>SA</v>
      </c>
      <c r="E208" s="151">
        <f>'Paste #BBall'!E208</f>
        <v>60</v>
      </c>
      <c r="F208" s="152">
        <f>'Paste #BBall'!F208</f>
        <v>13.8</v>
      </c>
      <c r="G208" s="153" t="str">
        <f>right(Left('Paste #BBall'!G208,Search("/",'Paste #BBall'!G208)-1),len(Left('Paste #BBall'!G208,Search("/",'Paste #BBall'!G208)-1))-search("(",Left('Paste #BBall'!G208,Search("/",'Paste #BBall'!G208)-1)))</f>
        <v>2.4</v>
      </c>
      <c r="H208" s="152">
        <f t="shared" si="1"/>
        <v>0.6315789474</v>
      </c>
      <c r="I208" s="152" t="str">
        <f>right(Left('Paste #BBall'!H208,Search("/",'Paste #BBall'!H208)-1),len(Left('Paste #BBall'!H208,Search("/",'Paste #BBall'!H208)-1))-search("(",Left('Paste #BBall'!H208,Search("/",'Paste #BBall'!H208)-1)))</f>
        <v>0.6</v>
      </c>
      <c r="J208" s="152">
        <f t="shared" si="2"/>
        <v>0.6</v>
      </c>
      <c r="K208" s="152">
        <f>'Paste #BBall'!I208</f>
        <v>0.1</v>
      </c>
      <c r="L208" s="152">
        <f>'Paste #BBall'!J208</f>
        <v>5.5</v>
      </c>
      <c r="M208" s="152">
        <f>'Paste #BBall'!K208</f>
        <v>5.3</v>
      </c>
      <c r="N208" s="152">
        <f>'Paste #BBall'!L208</f>
        <v>1.1</v>
      </c>
      <c r="O208" s="152">
        <f>'Paste #BBall'!M208</f>
        <v>0.4</v>
      </c>
      <c r="P208" s="152">
        <f>'Paste #BBall'!N208</f>
        <v>1</v>
      </c>
      <c r="Q208" s="152">
        <f>'Paste #BBall'!O208</f>
        <v>1</v>
      </c>
      <c r="R208" s="153" t="str">
        <f>Left(Right('Paste #BBall'!G208,Len('Paste #BBall'!G208)-Search("/",'Paste #BBall'!G208)),Len(Right('Paste #BBall'!G208,Len('Paste #BBall'!G208)-Search("/",'Paste #BBall'!G208)))-1)</f>
        <v>3.8</v>
      </c>
      <c r="S208" s="153" t="str">
        <f>Left(Right('Paste #BBall'!H208,Len('Paste #BBall'!H208)-Search("/",'Paste #BBall'!H208)),Len(Right('Paste #BBall'!H208,Len('Paste #BBall'!H208)-Search("/",'Paste #BBall'!H208)))-1)</f>
        <v>1.0</v>
      </c>
    </row>
    <row r="209">
      <c r="A209" s="33">
        <v>208.0</v>
      </c>
      <c r="B209" s="149" t="str">
        <f>'Paste #BBall'!B209</f>
        <v>Jonathan Isaac</v>
      </c>
      <c r="C209" s="150" t="str">
        <f>'Paste #BBall'!C209</f>
        <v>SF,PF</v>
      </c>
      <c r="D209" s="150" t="str">
        <f>'Paste #BBall'!D209</f>
        <v>ORL</v>
      </c>
      <c r="E209" s="151">
        <f>'Paste #BBall'!E209</f>
        <v>30</v>
      </c>
      <c r="F209" s="152">
        <f>'Paste #BBall'!F209</f>
        <v>16.9</v>
      </c>
      <c r="G209" s="153" t="str">
        <f>right(Left('Paste #BBall'!G209,Search("/",'Paste #BBall'!G209)-1),len(Left('Paste #BBall'!G209,Search("/",'Paste #BBall'!G209)-1))-search("(",Left('Paste #BBall'!G209,Search("/",'Paste #BBall'!G209)-1)))</f>
        <v>3.0</v>
      </c>
      <c r="H209" s="152">
        <f t="shared" si="1"/>
        <v>0.4109589041</v>
      </c>
      <c r="I209" s="152" t="str">
        <f>right(Left('Paste #BBall'!H209,Search("/",'Paste #BBall'!H209)-1),len(Left('Paste #BBall'!H209,Search("/",'Paste #BBall'!H209)-1))-search("(",Left('Paste #BBall'!H209,Search("/",'Paste #BBall'!H209)-1)))</f>
        <v>0.7</v>
      </c>
      <c r="J209" s="152">
        <f t="shared" si="2"/>
        <v>0.5833333333</v>
      </c>
      <c r="K209" s="152">
        <f>'Paste #BBall'!I209</f>
        <v>0.8</v>
      </c>
      <c r="L209" s="152">
        <f>'Paste #BBall'!J209</f>
        <v>7.6</v>
      </c>
      <c r="M209" s="152">
        <f>'Paste #BBall'!K209</f>
        <v>6.1</v>
      </c>
      <c r="N209" s="152">
        <f>'Paste #BBall'!L209</f>
        <v>0.8</v>
      </c>
      <c r="O209" s="152">
        <f>'Paste #BBall'!M209</f>
        <v>1.3</v>
      </c>
      <c r="P209" s="152">
        <f>'Paste #BBall'!N209</f>
        <v>0.6</v>
      </c>
      <c r="Q209" s="152">
        <f>'Paste #BBall'!O209</f>
        <v>0.6</v>
      </c>
      <c r="R209" s="153" t="str">
        <f>Left(Right('Paste #BBall'!G209,Len('Paste #BBall'!G209)-Search("/",'Paste #BBall'!G209)),Len(Right('Paste #BBall'!G209,Len('Paste #BBall'!G209)-Search("/",'Paste #BBall'!G209)))-1)</f>
        <v>7.3</v>
      </c>
      <c r="S209" s="153" t="str">
        <f>Left(Right('Paste #BBall'!H209,Len('Paste #BBall'!H209)-Search("/",'Paste #BBall'!H209)),Len(Right('Paste #BBall'!H209,Len('Paste #BBall'!H209)-Search("/",'Paste #BBall'!H209)))-1)</f>
        <v>1.2</v>
      </c>
    </row>
    <row r="210">
      <c r="A210" s="33">
        <v>209.0</v>
      </c>
      <c r="B210" s="149" t="str">
        <f>'Paste #BBall'!B210</f>
        <v>Drew Eubanks</v>
      </c>
      <c r="C210" s="150" t="str">
        <f>'Paste #BBall'!C210</f>
        <v>C</v>
      </c>
      <c r="D210" s="150" t="str">
        <f>'Paste #BBall'!D210</f>
        <v>PHO</v>
      </c>
      <c r="E210" s="151">
        <f>'Paste #BBall'!E210</f>
        <v>70</v>
      </c>
      <c r="F210" s="152">
        <f>'Paste #BBall'!F210</f>
        <v>17.4</v>
      </c>
      <c r="G210" s="153" t="str">
        <f>right(Left('Paste #BBall'!G210,Search("/",'Paste #BBall'!G210)-1),len(Left('Paste #BBall'!G210,Search("/",'Paste #BBall'!G210)-1))-search("(",Left('Paste #BBall'!G210,Search("/",'Paste #BBall'!G210)-1)))</f>
        <v>2.7</v>
      </c>
      <c r="H210" s="152">
        <f t="shared" si="1"/>
        <v>0.6136363636</v>
      </c>
      <c r="I210" s="152" t="str">
        <f>right(Left('Paste #BBall'!H210,Search("/",'Paste #BBall'!H210)-1),len(Left('Paste #BBall'!H210,Search("/",'Paste #BBall'!H210)-1))-search("(",Left('Paste #BBall'!H210,Search("/",'Paste #BBall'!H210)-1)))</f>
        <v>1.1</v>
      </c>
      <c r="J210" s="152">
        <f t="shared" si="2"/>
        <v>0.6875</v>
      </c>
      <c r="K210" s="152">
        <f>'Paste #BBall'!I210</f>
        <v>0.1</v>
      </c>
      <c r="L210" s="152">
        <f>'Paste #BBall'!J210</f>
        <v>6.6</v>
      </c>
      <c r="M210" s="152">
        <f>'Paste #BBall'!K210</f>
        <v>5</v>
      </c>
      <c r="N210" s="152">
        <f>'Paste #BBall'!L210</f>
        <v>1.2</v>
      </c>
      <c r="O210" s="152">
        <f>'Paste #BBall'!M210</f>
        <v>0.4</v>
      </c>
      <c r="P210" s="152">
        <f>'Paste #BBall'!N210</f>
        <v>0.9</v>
      </c>
      <c r="Q210" s="152">
        <f>'Paste #BBall'!O210</f>
        <v>0.9</v>
      </c>
      <c r="R210" s="153" t="str">
        <f>Left(Right('Paste #BBall'!G210,Len('Paste #BBall'!G210)-Search("/",'Paste #BBall'!G210)),Len(Right('Paste #BBall'!G210,Len('Paste #BBall'!G210)-Search("/",'Paste #BBall'!G210)))-1)</f>
        <v>4.4</v>
      </c>
      <c r="S210" s="153" t="str">
        <f>Left(Right('Paste #BBall'!H210,Len('Paste #BBall'!H210)-Search("/",'Paste #BBall'!H210)),Len(Right('Paste #BBall'!H210,Len('Paste #BBall'!H210)-Search("/",'Paste #BBall'!H210)))-1)</f>
        <v>1.6</v>
      </c>
    </row>
    <row r="211">
      <c r="A211" s="33">
        <v>210.0</v>
      </c>
      <c r="B211" s="149" t="str">
        <f>'Paste #BBall'!B211</f>
        <v>Bones Hyland</v>
      </c>
      <c r="C211" s="150" t="str">
        <f>'Paste #BBall'!C211</f>
        <v>PG,SG</v>
      </c>
      <c r="D211" s="150" t="str">
        <f>'Paste #BBall'!D211</f>
        <v>LAC</v>
      </c>
      <c r="E211" s="151">
        <f>'Paste #BBall'!E211</f>
        <v>67</v>
      </c>
      <c r="F211" s="152">
        <f>'Paste #BBall'!F211</f>
        <v>18.7</v>
      </c>
      <c r="G211" s="153" t="str">
        <f>right(Left('Paste #BBall'!G211,Search("/",'Paste #BBall'!G211)-1),len(Left('Paste #BBall'!G211,Search("/",'Paste #BBall'!G211)-1))-search("(",Left('Paste #BBall'!G211,Search("/",'Paste #BBall'!G211)-1)))</f>
        <v>3.6</v>
      </c>
      <c r="H211" s="152">
        <f t="shared" si="1"/>
        <v>0.4</v>
      </c>
      <c r="I211" s="152" t="str">
        <f>right(Left('Paste #BBall'!H211,Search("/",'Paste #BBall'!H211)-1),len(Left('Paste #BBall'!H211,Search("/",'Paste #BBall'!H211)-1))-search("(",Left('Paste #BBall'!H211,Search("/",'Paste #BBall'!H211)-1)))</f>
        <v>1.5</v>
      </c>
      <c r="J211" s="152">
        <f t="shared" si="2"/>
        <v>0.8333333333</v>
      </c>
      <c r="K211" s="152">
        <f>'Paste #BBall'!I211</f>
        <v>2</v>
      </c>
      <c r="L211" s="152">
        <f>'Paste #BBall'!J211</f>
        <v>10.7</v>
      </c>
      <c r="M211" s="152">
        <f>'Paste #BBall'!K211</f>
        <v>2.6</v>
      </c>
      <c r="N211" s="152">
        <f>'Paste #BBall'!L211</f>
        <v>2.9</v>
      </c>
      <c r="O211" s="152">
        <f>'Paste #BBall'!M211</f>
        <v>0.6</v>
      </c>
      <c r="P211" s="152">
        <f>'Paste #BBall'!N211</f>
        <v>0.3</v>
      </c>
      <c r="Q211" s="152">
        <f>'Paste #BBall'!O211</f>
        <v>1.3</v>
      </c>
      <c r="R211" s="153" t="str">
        <f>Left(Right('Paste #BBall'!G211,Len('Paste #BBall'!G211)-Search("/",'Paste #BBall'!G211)),Len(Right('Paste #BBall'!G211,Len('Paste #BBall'!G211)-Search("/",'Paste #BBall'!G211)))-1)</f>
        <v>9.0</v>
      </c>
      <c r="S211" s="153" t="str">
        <f>Left(Right('Paste #BBall'!H211,Len('Paste #BBall'!H211)-Search("/",'Paste #BBall'!H211)),Len(Right('Paste #BBall'!H211,Len('Paste #BBall'!H211)-Search("/",'Paste #BBall'!H211)))-1)</f>
        <v>1.8</v>
      </c>
    </row>
    <row r="212">
      <c r="A212" s="33">
        <v>211.0</v>
      </c>
      <c r="B212" s="149" t="str">
        <f>'Paste #BBall'!B212</f>
        <v>Chris Boucher</v>
      </c>
      <c r="C212" s="150" t="str">
        <f>'Paste #BBall'!C212</f>
        <v>PF</v>
      </c>
      <c r="D212" s="150" t="str">
        <f>'Paste #BBall'!D212</f>
        <v>TOR</v>
      </c>
      <c r="E212" s="151">
        <f>'Paste #BBall'!E212</f>
        <v>72</v>
      </c>
      <c r="F212" s="152">
        <f>'Paste #BBall'!F212</f>
        <v>18</v>
      </c>
      <c r="G212" s="153" t="str">
        <f>right(Left('Paste #BBall'!G212,Search("/",'Paste #BBall'!G212)-1),len(Left('Paste #BBall'!G212,Search("/",'Paste #BBall'!G212)-1))-search("(",Left('Paste #BBall'!G212,Search("/",'Paste #BBall'!G212)-1)))</f>
        <v>3.0</v>
      </c>
      <c r="H212" s="152">
        <f t="shared" si="1"/>
        <v>0.4761904762</v>
      </c>
      <c r="I212" s="152" t="str">
        <f>right(Left('Paste #BBall'!H212,Search("/",'Paste #BBall'!H212)-1),len(Left('Paste #BBall'!H212,Search("/",'Paste #BBall'!H212)-1))-search("(",Left('Paste #BBall'!H212,Search("/",'Paste #BBall'!H212)-1)))</f>
        <v>1.6</v>
      </c>
      <c r="J212" s="152">
        <f t="shared" si="2"/>
        <v>0.8</v>
      </c>
      <c r="K212" s="152">
        <f>'Paste #BBall'!I212</f>
        <v>0.7</v>
      </c>
      <c r="L212" s="152">
        <f>'Paste #BBall'!J212</f>
        <v>8.3</v>
      </c>
      <c r="M212" s="152">
        <f>'Paste #BBall'!K212</f>
        <v>5.2</v>
      </c>
      <c r="N212" s="152">
        <f>'Paste #BBall'!L212</f>
        <v>0.3</v>
      </c>
      <c r="O212" s="152">
        <f>'Paste #BBall'!M212</f>
        <v>0.5</v>
      </c>
      <c r="P212" s="152">
        <f>'Paste #BBall'!N212</f>
        <v>0.8</v>
      </c>
      <c r="Q212" s="152">
        <f>'Paste #BBall'!O212</f>
        <v>0.5</v>
      </c>
      <c r="R212" s="153" t="str">
        <f>Left(Right('Paste #BBall'!G212,Len('Paste #BBall'!G212)-Search("/",'Paste #BBall'!G212)),Len(Right('Paste #BBall'!G212,Len('Paste #BBall'!G212)-Search("/",'Paste #BBall'!G212)))-1)</f>
        <v>6.3</v>
      </c>
      <c r="S212" s="153" t="str">
        <f>Left(Right('Paste #BBall'!H212,Len('Paste #BBall'!H212)-Search("/",'Paste #BBall'!H212)),Len(Right('Paste #BBall'!H212,Len('Paste #BBall'!H212)-Search("/",'Paste #BBall'!H212)))-1)</f>
        <v>2.0</v>
      </c>
    </row>
    <row r="213">
      <c r="A213" s="33">
        <v>212.0</v>
      </c>
      <c r="B213" s="149" t="str">
        <f>'Paste #BBall'!B213</f>
        <v>Christian Braun</v>
      </c>
      <c r="C213" s="150" t="str">
        <f>'Paste #BBall'!C213</f>
        <v>SG</v>
      </c>
      <c r="D213" s="150" t="str">
        <f>'Paste #BBall'!D213</f>
        <v>DEN</v>
      </c>
      <c r="E213" s="151">
        <f>'Paste #BBall'!E213</f>
        <v>76</v>
      </c>
      <c r="F213" s="152">
        <f>'Paste #BBall'!F213</f>
        <v>25.2</v>
      </c>
      <c r="G213" s="153" t="str">
        <f>right(Left('Paste #BBall'!G213,Search("/",'Paste #BBall'!G213)-1),len(Left('Paste #BBall'!G213,Search("/",'Paste #BBall'!G213)-1))-search("(",Left('Paste #BBall'!G213,Search("/",'Paste #BBall'!G213)-1)))</f>
        <v>3.2</v>
      </c>
      <c r="H213" s="152">
        <f t="shared" si="1"/>
        <v>0.5</v>
      </c>
      <c r="I213" s="152" t="str">
        <f>right(Left('Paste #BBall'!H213,Search("/",'Paste #BBall'!H213)-1),len(Left('Paste #BBall'!H213,Search("/",'Paste #BBall'!H213)-1))-search("(",Left('Paste #BBall'!H213,Search("/",'Paste #BBall'!H213)-1)))</f>
        <v>1.0</v>
      </c>
      <c r="J213" s="152">
        <f t="shared" si="2"/>
        <v>0.7142857143</v>
      </c>
      <c r="K213" s="152">
        <f>'Paste #BBall'!I213</f>
        <v>0.9</v>
      </c>
      <c r="L213" s="152">
        <f>'Paste #BBall'!J213</f>
        <v>8.2</v>
      </c>
      <c r="M213" s="152">
        <f>'Paste #BBall'!K213</f>
        <v>4</v>
      </c>
      <c r="N213" s="152">
        <f>'Paste #BBall'!L213</f>
        <v>1.3</v>
      </c>
      <c r="O213" s="152">
        <f>'Paste #BBall'!M213</f>
        <v>0.9</v>
      </c>
      <c r="P213" s="152">
        <f>'Paste #BBall'!N213</f>
        <v>0.4</v>
      </c>
      <c r="Q213" s="152">
        <f>'Paste #BBall'!O213</f>
        <v>0.8</v>
      </c>
      <c r="R213" s="153" t="str">
        <f>Left(Right('Paste #BBall'!G213,Len('Paste #BBall'!G213)-Search("/",'Paste #BBall'!G213)),Len(Right('Paste #BBall'!G213,Len('Paste #BBall'!G213)-Search("/",'Paste #BBall'!G213)))-1)</f>
        <v>6.4</v>
      </c>
      <c r="S213" s="153" t="str">
        <f>Left(Right('Paste #BBall'!H213,Len('Paste #BBall'!H213)-Search("/",'Paste #BBall'!H213)),Len(Right('Paste #BBall'!H213,Len('Paste #BBall'!H213)-Search("/",'Paste #BBall'!H213)))-1)</f>
        <v>1.4</v>
      </c>
    </row>
    <row r="214">
      <c r="A214" s="33">
        <v>213.0</v>
      </c>
      <c r="B214" s="149" t="str">
        <f>'Paste #BBall'!B214</f>
        <v>Jalen Johnson</v>
      </c>
      <c r="C214" s="150" t="str">
        <f>'Paste #BBall'!C214</f>
        <v>SF,PF</v>
      </c>
      <c r="D214" s="150" t="str">
        <f>'Paste #BBall'!D214</f>
        <v>ATL</v>
      </c>
      <c r="E214" s="151">
        <f>'Paste #BBall'!E214</f>
        <v>72</v>
      </c>
      <c r="F214" s="152">
        <f>'Paste #BBall'!F214</f>
        <v>20.2</v>
      </c>
      <c r="G214" s="153" t="str">
        <f>right(Left('Paste #BBall'!G214,Search("/",'Paste #BBall'!G214)-1),len(Left('Paste #BBall'!G214,Search("/",'Paste #BBall'!G214)-1))-search("(",Left('Paste #BBall'!G214,Search("/",'Paste #BBall'!G214)-1)))</f>
        <v>3.2</v>
      </c>
      <c r="H214" s="152">
        <f t="shared" si="1"/>
        <v>0.5</v>
      </c>
      <c r="I214" s="152" t="str">
        <f>right(Left('Paste #BBall'!H214,Search("/",'Paste #BBall'!H214)-1),len(Left('Paste #BBall'!H214,Search("/",'Paste #BBall'!H214)-1))-search("(",Left('Paste #BBall'!H214,Search("/",'Paste #BBall'!H214)-1)))</f>
        <v>1.0</v>
      </c>
      <c r="J214" s="152">
        <f t="shared" si="2"/>
        <v>0.6666666667</v>
      </c>
      <c r="K214" s="152">
        <f>'Paste #BBall'!I214</f>
        <v>0.6</v>
      </c>
      <c r="L214" s="152">
        <f>'Paste #BBall'!J214</f>
        <v>7.9</v>
      </c>
      <c r="M214" s="152">
        <f>'Paste #BBall'!K214</f>
        <v>5.4</v>
      </c>
      <c r="N214" s="152">
        <f>'Paste #BBall'!L214</f>
        <v>1.5</v>
      </c>
      <c r="O214" s="152">
        <f>'Paste #BBall'!M214</f>
        <v>0.7</v>
      </c>
      <c r="P214" s="152">
        <f>'Paste #BBall'!N214</f>
        <v>0.6</v>
      </c>
      <c r="Q214" s="152">
        <f>'Paste #BBall'!O214</f>
        <v>0.9</v>
      </c>
      <c r="R214" s="153" t="str">
        <f>Left(Right('Paste #BBall'!G214,Len('Paste #BBall'!G214)-Search("/",'Paste #BBall'!G214)),Len(Right('Paste #BBall'!G214,Len('Paste #BBall'!G214)-Search("/",'Paste #BBall'!G214)))-1)</f>
        <v>6.4</v>
      </c>
      <c r="S214" s="153" t="str">
        <f>Left(Right('Paste #BBall'!H214,Len('Paste #BBall'!H214)-Search("/",'Paste #BBall'!H214)),Len(Right('Paste #BBall'!H214,Len('Paste #BBall'!H214)-Search("/",'Paste #BBall'!H214)))-1)</f>
        <v>1.5</v>
      </c>
    </row>
    <row r="215">
      <c r="A215" s="33">
        <v>214.0</v>
      </c>
      <c r="B215" s="149" t="str">
        <f>'Paste #BBall'!B215</f>
        <v>Tim Hardaway Jr.</v>
      </c>
      <c r="C215" s="150" t="str">
        <f>'Paste #BBall'!C215</f>
        <v>SG,SF</v>
      </c>
      <c r="D215" s="150" t="str">
        <f>'Paste #BBall'!D215</f>
        <v>DAL</v>
      </c>
      <c r="E215" s="151">
        <f>'Paste #BBall'!E215</f>
        <v>69</v>
      </c>
      <c r="F215" s="152">
        <f>'Paste #BBall'!F215</f>
        <v>27.4</v>
      </c>
      <c r="G215" s="153" t="str">
        <f>right(Left('Paste #BBall'!G215,Search("/",'Paste #BBall'!G215)-1),len(Left('Paste #BBall'!G215,Search("/",'Paste #BBall'!G215)-1))-search("(",Left('Paste #BBall'!G215,Search("/",'Paste #BBall'!G215)-1)))</f>
        <v>4.5</v>
      </c>
      <c r="H215" s="152">
        <f t="shared" si="1"/>
        <v>0.4017857143</v>
      </c>
      <c r="I215" s="152" t="str">
        <f>right(Left('Paste #BBall'!H215,Search("/",'Paste #BBall'!H215)-1),len(Left('Paste #BBall'!H215,Search("/",'Paste #BBall'!H215)-1))-search("(",Left('Paste #BBall'!H215,Search("/",'Paste #BBall'!H215)-1)))</f>
        <v>1.7</v>
      </c>
      <c r="J215" s="152">
        <f t="shared" si="2"/>
        <v>0.7727272727</v>
      </c>
      <c r="K215" s="152">
        <f>'Paste #BBall'!I215</f>
        <v>2.6</v>
      </c>
      <c r="L215" s="152">
        <f>'Paste #BBall'!J215</f>
        <v>13.2</v>
      </c>
      <c r="M215" s="152">
        <f>'Paste #BBall'!K215</f>
        <v>3.3</v>
      </c>
      <c r="N215" s="152">
        <f>'Paste #BBall'!L215</f>
        <v>1.8</v>
      </c>
      <c r="O215" s="152">
        <f>'Paste #BBall'!M215</f>
        <v>0.7</v>
      </c>
      <c r="P215" s="152">
        <f>'Paste #BBall'!N215</f>
        <v>0.2</v>
      </c>
      <c r="Q215" s="152">
        <f>'Paste #BBall'!O215</f>
        <v>0.8</v>
      </c>
      <c r="R215" s="153" t="str">
        <f>Left(Right('Paste #BBall'!G215,Len('Paste #BBall'!G215)-Search("/",'Paste #BBall'!G215)),Len(Right('Paste #BBall'!G215,Len('Paste #BBall'!G215)-Search("/",'Paste #BBall'!G215)))-1)</f>
        <v>11.2</v>
      </c>
      <c r="S215" s="153" t="str">
        <f>Left(Right('Paste #BBall'!H215,Len('Paste #BBall'!H215)-Search("/",'Paste #BBall'!H215)),Len(Right('Paste #BBall'!H215,Len('Paste #BBall'!H215)-Search("/",'Paste #BBall'!H215)))-1)</f>
        <v>2.2</v>
      </c>
    </row>
    <row r="216">
      <c r="A216" s="33">
        <v>215.0</v>
      </c>
      <c r="B216" s="149" t="str">
        <f>'Paste #BBall'!B216</f>
        <v>Kelly Oubre Jr.</v>
      </c>
      <c r="C216" s="150" t="str">
        <f>'Paste #BBall'!C216</f>
        <v>SF</v>
      </c>
      <c r="D216" s="150" t="str">
        <f>'Paste #BBall'!D216</f>
        <v>PHI</v>
      </c>
      <c r="E216" s="151">
        <f>'Paste #BBall'!E216</f>
        <v>68</v>
      </c>
      <c r="F216" s="152">
        <f>'Paste #BBall'!F216</f>
        <v>24</v>
      </c>
      <c r="G216" s="153" t="str">
        <f>right(Left('Paste #BBall'!G216,Search("/",'Paste #BBall'!G216)-1),len(Left('Paste #BBall'!G216,Search("/",'Paste #BBall'!G216)-1))-search("(",Left('Paste #BBall'!G216,Search("/",'Paste #BBall'!G216)-1)))</f>
        <v>4.2</v>
      </c>
      <c r="H216" s="152">
        <f t="shared" si="1"/>
        <v>0.4516129032</v>
      </c>
      <c r="I216" s="152" t="str">
        <f>right(Left('Paste #BBall'!H216,Search("/",'Paste #BBall'!H216)-1),len(Left('Paste #BBall'!H216,Search("/",'Paste #BBall'!H216)-1))-search("(",Left('Paste #BBall'!H216,Search("/",'Paste #BBall'!H216)-1)))</f>
        <v>1.7</v>
      </c>
      <c r="J216" s="152">
        <f t="shared" si="2"/>
        <v>0.7727272727</v>
      </c>
      <c r="K216" s="152">
        <f>'Paste #BBall'!I216</f>
        <v>1.4</v>
      </c>
      <c r="L216" s="152">
        <f>'Paste #BBall'!J216</f>
        <v>11.4</v>
      </c>
      <c r="M216" s="152">
        <f>'Paste #BBall'!K216</f>
        <v>3</v>
      </c>
      <c r="N216" s="152">
        <f>'Paste #BBall'!L216</f>
        <v>0.9</v>
      </c>
      <c r="O216" s="152">
        <f>'Paste #BBall'!M216</f>
        <v>0.9</v>
      </c>
      <c r="P216" s="152">
        <f>'Paste #BBall'!N216</f>
        <v>0.3</v>
      </c>
      <c r="Q216" s="152">
        <f>'Paste #BBall'!O216</f>
        <v>0.8</v>
      </c>
      <c r="R216" s="153" t="str">
        <f>Left(Right('Paste #BBall'!G216,Len('Paste #BBall'!G216)-Search("/",'Paste #BBall'!G216)),Len(Right('Paste #BBall'!G216,Len('Paste #BBall'!G216)-Search("/",'Paste #BBall'!G216)))-1)</f>
        <v>9.3</v>
      </c>
      <c r="S216" s="153" t="str">
        <f>Left(Right('Paste #BBall'!H216,Len('Paste #BBall'!H216)-Search("/",'Paste #BBall'!H216)),Len(Right('Paste #BBall'!H216,Len('Paste #BBall'!H216)-Search("/",'Paste #BBall'!H216)))-1)</f>
        <v>2.2</v>
      </c>
    </row>
    <row r="217">
      <c r="A217" s="33">
        <v>216.0</v>
      </c>
      <c r="B217" s="149" t="str">
        <f>'Paste #BBall'!B217</f>
        <v>Dorian Finney-Smith</v>
      </c>
      <c r="C217" s="150" t="str">
        <f>'Paste #BBall'!C217</f>
        <v>SF,PF</v>
      </c>
      <c r="D217" s="150" t="str">
        <f>'Paste #BBall'!D217</f>
        <v>BKN</v>
      </c>
      <c r="E217" s="151">
        <f>'Paste #BBall'!E217</f>
        <v>69</v>
      </c>
      <c r="F217" s="152">
        <f>'Paste #BBall'!F217</f>
        <v>25.1</v>
      </c>
      <c r="G217" s="153" t="str">
        <f>right(Left('Paste #BBall'!G217,Search("/",'Paste #BBall'!G217)-1),len(Left('Paste #BBall'!G217,Search("/",'Paste #BBall'!G217)-1))-search("(",Left('Paste #BBall'!G217,Search("/",'Paste #BBall'!G217)-1)))</f>
        <v>2.8</v>
      </c>
      <c r="H217" s="152">
        <f t="shared" si="1"/>
        <v>0.4307692308</v>
      </c>
      <c r="I217" s="152" t="str">
        <f>right(Left('Paste #BBall'!H217,Search("/",'Paste #BBall'!H217)-1),len(Left('Paste #BBall'!H217,Search("/",'Paste #BBall'!H217)-1))-search("(",Left('Paste #BBall'!H217,Search("/",'Paste #BBall'!H217)-1)))</f>
        <v>0.6</v>
      </c>
      <c r="J217" s="152">
        <f t="shared" si="2"/>
        <v>0.75</v>
      </c>
      <c r="K217" s="152">
        <f>'Paste #BBall'!I217</f>
        <v>1.6</v>
      </c>
      <c r="L217" s="152">
        <f>'Paste #BBall'!J217</f>
        <v>7.8</v>
      </c>
      <c r="M217" s="152">
        <f>'Paste #BBall'!K217</f>
        <v>3.8</v>
      </c>
      <c r="N217" s="152">
        <f>'Paste #BBall'!L217</f>
        <v>1.4</v>
      </c>
      <c r="O217" s="152">
        <f>'Paste #BBall'!M217</f>
        <v>0.8</v>
      </c>
      <c r="P217" s="152">
        <f>'Paste #BBall'!N217</f>
        <v>0.4</v>
      </c>
      <c r="Q217" s="152">
        <f>'Paste #BBall'!O217</f>
        <v>0.8</v>
      </c>
      <c r="R217" s="153" t="str">
        <f>Left(Right('Paste #BBall'!G217,Len('Paste #BBall'!G217)-Search("/",'Paste #BBall'!G217)),Len(Right('Paste #BBall'!G217,Len('Paste #BBall'!G217)-Search("/",'Paste #BBall'!G217)))-1)</f>
        <v>6.5</v>
      </c>
      <c r="S217" s="153" t="str">
        <f>Left(Right('Paste #BBall'!H217,Len('Paste #BBall'!H217)-Search("/",'Paste #BBall'!H217)),Len(Right('Paste #BBall'!H217,Len('Paste #BBall'!H217)-Search("/",'Paste #BBall'!H217)))-1)</f>
        <v>0.8</v>
      </c>
    </row>
    <row r="218">
      <c r="A218" s="33">
        <v>217.0</v>
      </c>
      <c r="B218" s="149" t="str">
        <f>'Paste #BBall'!B218</f>
        <v>Ausar Thompson</v>
      </c>
      <c r="C218" s="150" t="str">
        <f>'Paste #BBall'!C218</f>
        <v>SG,SF</v>
      </c>
      <c r="D218" s="150" t="str">
        <f>'Paste #BBall'!D218</f>
        <v>DET</v>
      </c>
      <c r="E218" s="151">
        <f>'Paste #BBall'!E218</f>
        <v>72</v>
      </c>
      <c r="F218" s="152">
        <f>'Paste #BBall'!F218</f>
        <v>26.1</v>
      </c>
      <c r="G218" s="153" t="str">
        <f>right(Left('Paste #BBall'!G218,Search("/",'Paste #BBall'!G218)-1),len(Left('Paste #BBall'!G218,Search("/",'Paste #BBall'!G218)-1))-search("(",Left('Paste #BBall'!G218,Search("/",'Paste #BBall'!G218)-1)))</f>
        <v>5.0</v>
      </c>
      <c r="H218" s="152">
        <f t="shared" si="1"/>
        <v>0.4424778761</v>
      </c>
      <c r="I218" s="152" t="str">
        <f>right(Left('Paste #BBall'!H218,Search("/",'Paste #BBall'!H218)-1),len(Left('Paste #BBall'!H218,Search("/",'Paste #BBall'!H218)-1))-search("(",Left('Paste #BBall'!H218,Search("/",'Paste #BBall'!H218)-1)))</f>
        <v>2.0</v>
      </c>
      <c r="J218" s="152">
        <f t="shared" si="2"/>
        <v>0.6666666667</v>
      </c>
      <c r="K218" s="152">
        <f>'Paste #BBall'!I218</f>
        <v>0.7</v>
      </c>
      <c r="L218" s="152">
        <f>'Paste #BBall'!J218</f>
        <v>12.8</v>
      </c>
      <c r="M218" s="152">
        <f>'Paste #BBall'!K218</f>
        <v>4.1</v>
      </c>
      <c r="N218" s="152">
        <f>'Paste #BBall'!L218</f>
        <v>3.5</v>
      </c>
      <c r="O218" s="152">
        <f>'Paste #BBall'!M218</f>
        <v>1</v>
      </c>
      <c r="P218" s="152">
        <f>'Paste #BBall'!N218</f>
        <v>0.5</v>
      </c>
      <c r="Q218" s="152">
        <f>'Paste #BBall'!O218</f>
        <v>1.8</v>
      </c>
      <c r="R218" s="153" t="str">
        <f>Left(Right('Paste #BBall'!G218,Len('Paste #BBall'!G218)-Search("/",'Paste #BBall'!G218)),Len(Right('Paste #BBall'!G218,Len('Paste #BBall'!G218)-Search("/",'Paste #BBall'!G218)))-1)</f>
        <v>11.3</v>
      </c>
      <c r="S218" s="153" t="str">
        <f>Left(Right('Paste #BBall'!H218,Len('Paste #BBall'!H218)-Search("/",'Paste #BBall'!H218)),Len(Right('Paste #BBall'!H218,Len('Paste #BBall'!H218)-Search("/",'Paste #BBall'!H218)))-1)</f>
        <v>3.0</v>
      </c>
    </row>
    <row r="219">
      <c r="A219" s="33">
        <v>218.0</v>
      </c>
      <c r="B219" s="149" t="str">
        <f>'Paste #BBall'!B219</f>
        <v>Jonathan Kuminga</v>
      </c>
      <c r="C219" s="150" t="str">
        <f>'Paste #BBall'!C219</f>
        <v>PF</v>
      </c>
      <c r="D219" s="150" t="str">
        <f>'Paste #BBall'!D219</f>
        <v>GS</v>
      </c>
      <c r="E219" s="151">
        <f>'Paste #BBall'!E219</f>
        <v>72</v>
      </c>
      <c r="F219" s="152">
        <f>'Paste #BBall'!F219</f>
        <v>24.4</v>
      </c>
      <c r="G219" s="153" t="str">
        <f>right(Left('Paste #BBall'!G219,Search("/",'Paste #BBall'!G219)-1),len(Left('Paste #BBall'!G219,Search("/",'Paste #BBall'!G219)-1))-search("(",Left('Paste #BBall'!G219,Search("/",'Paste #BBall'!G219)-1)))</f>
        <v>4.5</v>
      </c>
      <c r="H219" s="152">
        <f t="shared" si="1"/>
        <v>0.523255814</v>
      </c>
      <c r="I219" s="152" t="str">
        <f>right(Left('Paste #BBall'!H219,Search("/",'Paste #BBall'!H219)-1),len(Left('Paste #BBall'!H219,Search("/",'Paste #BBall'!H219)-1))-search("(",Left('Paste #BBall'!H219,Search("/",'Paste #BBall'!H219)-1)))</f>
        <v>2.0</v>
      </c>
      <c r="J219" s="152">
        <f t="shared" si="2"/>
        <v>0.6666666667</v>
      </c>
      <c r="K219" s="152">
        <f>'Paste #BBall'!I219</f>
        <v>0.9</v>
      </c>
      <c r="L219" s="152">
        <f>'Paste #BBall'!J219</f>
        <v>11.9</v>
      </c>
      <c r="M219" s="152">
        <f>'Paste #BBall'!K219</f>
        <v>4.2</v>
      </c>
      <c r="N219" s="152">
        <f>'Paste #BBall'!L219</f>
        <v>1.7</v>
      </c>
      <c r="O219" s="152">
        <f>'Paste #BBall'!M219</f>
        <v>0.7</v>
      </c>
      <c r="P219" s="152">
        <f>'Paste #BBall'!N219</f>
        <v>0.5</v>
      </c>
      <c r="Q219" s="152">
        <f>'Paste #BBall'!O219</f>
        <v>1.5</v>
      </c>
      <c r="R219" s="153" t="str">
        <f>Left(Right('Paste #BBall'!G219,Len('Paste #BBall'!G219)-Search("/",'Paste #BBall'!G219)),Len(Right('Paste #BBall'!G219,Len('Paste #BBall'!G219)-Search("/",'Paste #BBall'!G219)))-1)</f>
        <v>8.6</v>
      </c>
      <c r="S219" s="153" t="str">
        <f>Left(Right('Paste #BBall'!H219,Len('Paste #BBall'!H219)-Search("/",'Paste #BBall'!H219)),Len(Right('Paste #BBall'!H219,Len('Paste #BBall'!H219)-Search("/",'Paste #BBall'!H219)))-1)</f>
        <v>3.0</v>
      </c>
    </row>
    <row r="220">
      <c r="A220" s="33">
        <v>219.0</v>
      </c>
      <c r="B220" s="149" t="str">
        <f>'Paste #BBall'!B220</f>
        <v>Julian Champagnie</v>
      </c>
      <c r="C220" s="150" t="str">
        <f>'Paste #BBall'!C220</f>
        <v>SF,PF</v>
      </c>
      <c r="D220" s="150" t="str">
        <f>'Paste #BBall'!D220</f>
        <v>SA</v>
      </c>
      <c r="E220" s="151">
        <f>'Paste #BBall'!E220</f>
        <v>68</v>
      </c>
      <c r="F220" s="152">
        <f>'Paste #BBall'!F220</f>
        <v>17.4</v>
      </c>
      <c r="G220" s="153" t="str">
        <f>right(Left('Paste #BBall'!G220,Search("/",'Paste #BBall'!G220)-1),len(Left('Paste #BBall'!G220,Search("/",'Paste #BBall'!G220)-1))-search("(",Left('Paste #BBall'!G220,Search("/",'Paste #BBall'!G220)-1)))</f>
        <v>3.7</v>
      </c>
      <c r="H220" s="152">
        <f t="shared" si="1"/>
        <v>0.4512195122</v>
      </c>
      <c r="I220" s="152" t="str">
        <f>right(Left('Paste #BBall'!H220,Search("/",'Paste #BBall'!H220)-1),len(Left('Paste #BBall'!H220,Search("/",'Paste #BBall'!H220)-1))-search("(",Left('Paste #BBall'!H220,Search("/",'Paste #BBall'!H220)-1)))</f>
        <v>0.9</v>
      </c>
      <c r="J220" s="152">
        <f t="shared" si="2"/>
        <v>0.8181818182</v>
      </c>
      <c r="K220" s="152">
        <f>'Paste #BBall'!I220</f>
        <v>2.1</v>
      </c>
      <c r="L220" s="152">
        <f>'Paste #BBall'!J220</f>
        <v>10.4</v>
      </c>
      <c r="M220" s="152">
        <f>'Paste #BBall'!K220</f>
        <v>3.8</v>
      </c>
      <c r="N220" s="152">
        <f>'Paste #BBall'!L220</f>
        <v>0.6</v>
      </c>
      <c r="O220" s="152">
        <f>'Paste #BBall'!M220</f>
        <v>0.4</v>
      </c>
      <c r="P220" s="152">
        <f>'Paste #BBall'!N220</f>
        <v>0.3</v>
      </c>
      <c r="Q220" s="152">
        <f>'Paste #BBall'!O220</f>
        <v>0.7</v>
      </c>
      <c r="R220" s="153" t="str">
        <f>Left(Right('Paste #BBall'!G220,Len('Paste #BBall'!G220)-Search("/",'Paste #BBall'!G220)),Len(Right('Paste #BBall'!G220,Len('Paste #BBall'!G220)-Search("/",'Paste #BBall'!G220)))-1)</f>
        <v>8.2</v>
      </c>
      <c r="S220" s="153" t="str">
        <f>Left(Right('Paste #BBall'!H220,Len('Paste #BBall'!H220)-Search("/",'Paste #BBall'!H220)),Len(Right('Paste #BBall'!H220,Len('Paste #BBall'!H220)-Search("/",'Paste #BBall'!H220)))-1)</f>
        <v>1.1</v>
      </c>
    </row>
    <row r="221">
      <c r="A221" s="33">
        <v>220.0</v>
      </c>
      <c r="B221" s="149" t="str">
        <f>'Paste #BBall'!B221</f>
        <v>Isaiah Joe</v>
      </c>
      <c r="C221" s="150" t="str">
        <f>'Paste #BBall'!C221</f>
        <v>PG,SG</v>
      </c>
      <c r="D221" s="150" t="str">
        <f>'Paste #BBall'!D221</f>
        <v>OKC</v>
      </c>
      <c r="E221" s="151">
        <f>'Paste #BBall'!E221</f>
        <v>70</v>
      </c>
      <c r="F221" s="152">
        <f>'Paste #BBall'!F221</f>
        <v>20</v>
      </c>
      <c r="G221" s="153" t="str">
        <f>right(Left('Paste #BBall'!G221,Search("/",'Paste #BBall'!G221)-1),len(Left('Paste #BBall'!G221,Search("/",'Paste #BBall'!G221)-1))-search("(",Left('Paste #BBall'!G221,Search("/",'Paste #BBall'!G221)-1)))</f>
        <v>3.3</v>
      </c>
      <c r="H221" s="152">
        <f t="shared" si="1"/>
        <v>0.4342105263</v>
      </c>
      <c r="I221" s="152" t="str">
        <f>right(Left('Paste #BBall'!H221,Search("/",'Paste #BBall'!H221)-1),len(Left('Paste #BBall'!H221,Search("/",'Paste #BBall'!H221)-1))-search("(",Left('Paste #BBall'!H221,Search("/",'Paste #BBall'!H221)-1)))</f>
        <v>1.1</v>
      </c>
      <c r="J221" s="152">
        <f t="shared" si="2"/>
        <v>0.8461538462</v>
      </c>
      <c r="K221" s="152">
        <f>'Paste #BBall'!I221</f>
        <v>2.3</v>
      </c>
      <c r="L221" s="152">
        <f>'Paste #BBall'!J221</f>
        <v>10</v>
      </c>
      <c r="M221" s="152">
        <f>'Paste #BBall'!K221</f>
        <v>2.3</v>
      </c>
      <c r="N221" s="152">
        <f>'Paste #BBall'!L221</f>
        <v>1.2</v>
      </c>
      <c r="O221" s="152">
        <f>'Paste #BBall'!M221</f>
        <v>0.6</v>
      </c>
      <c r="P221" s="152">
        <f>'Paste #BBall'!N221</f>
        <v>0.1</v>
      </c>
      <c r="Q221" s="152">
        <f>'Paste #BBall'!O221</f>
        <v>0.6</v>
      </c>
      <c r="R221" s="153" t="str">
        <f>Left(Right('Paste #BBall'!G221,Len('Paste #BBall'!G221)-Search("/",'Paste #BBall'!G221)),Len(Right('Paste #BBall'!G221,Len('Paste #BBall'!G221)-Search("/",'Paste #BBall'!G221)))-1)</f>
        <v>7.6</v>
      </c>
      <c r="S221" s="153" t="str">
        <f>Left(Right('Paste #BBall'!H221,Len('Paste #BBall'!H221)-Search("/",'Paste #BBall'!H221)),Len(Right('Paste #BBall'!H221,Len('Paste #BBall'!H221)-Search("/",'Paste #BBall'!H221)))-1)</f>
        <v>1.3</v>
      </c>
    </row>
    <row r="222">
      <c r="A222" s="33">
        <v>221.0</v>
      </c>
      <c r="B222" s="149" t="str">
        <f>'Paste #BBall'!B222</f>
        <v>Josh Okogie</v>
      </c>
      <c r="C222" s="150" t="str">
        <f>'Paste #BBall'!C222</f>
        <v>SG,SF</v>
      </c>
      <c r="D222" s="150" t="str">
        <f>'Paste #BBall'!D222</f>
        <v>PHO</v>
      </c>
      <c r="E222" s="151">
        <f>'Paste #BBall'!E222</f>
        <v>70</v>
      </c>
      <c r="F222" s="152">
        <f>'Paste #BBall'!F222</f>
        <v>24.4</v>
      </c>
      <c r="G222" s="153" t="str">
        <f>right(Left('Paste #BBall'!G222,Search("/",'Paste #BBall'!G222)-1),len(Left('Paste #BBall'!G222,Search("/",'Paste #BBall'!G222)-1))-search("(",Left('Paste #BBall'!G222,Search("/",'Paste #BBall'!G222)-1)))</f>
        <v>2.7</v>
      </c>
      <c r="H222" s="152">
        <f t="shared" si="1"/>
        <v>0.3970588235</v>
      </c>
      <c r="I222" s="152" t="str">
        <f>right(Left('Paste #BBall'!H222,Search("/",'Paste #BBall'!H222)-1),len(Left('Paste #BBall'!H222,Search("/",'Paste #BBall'!H222)-1))-search("(",Left('Paste #BBall'!H222,Search("/",'Paste #BBall'!H222)-1)))</f>
        <v>2.3</v>
      </c>
      <c r="J222" s="152">
        <f t="shared" si="2"/>
        <v>0.71875</v>
      </c>
      <c r="K222" s="152">
        <f>'Paste #BBall'!I222</f>
        <v>1.1</v>
      </c>
      <c r="L222" s="152">
        <f>'Paste #BBall'!J222</f>
        <v>8.8</v>
      </c>
      <c r="M222" s="152">
        <f>'Paste #BBall'!K222</f>
        <v>4.2</v>
      </c>
      <c r="N222" s="152">
        <f>'Paste #BBall'!L222</f>
        <v>1.7</v>
      </c>
      <c r="O222" s="152">
        <f>'Paste #BBall'!M222</f>
        <v>1.1</v>
      </c>
      <c r="P222" s="152">
        <f>'Paste #BBall'!N222</f>
        <v>0.6</v>
      </c>
      <c r="Q222" s="152">
        <f>'Paste #BBall'!O222</f>
        <v>1.1</v>
      </c>
      <c r="R222" s="153" t="str">
        <f>Left(Right('Paste #BBall'!G222,Len('Paste #BBall'!G222)-Search("/",'Paste #BBall'!G222)),Len(Right('Paste #BBall'!G222,Len('Paste #BBall'!G222)-Search("/",'Paste #BBall'!G222)))-1)</f>
        <v>6.8</v>
      </c>
      <c r="S222" s="153" t="str">
        <f>Left(Right('Paste #BBall'!H222,Len('Paste #BBall'!H222)-Search("/",'Paste #BBall'!H222)),Len(Right('Paste #BBall'!H222,Len('Paste #BBall'!H222)-Search("/",'Paste #BBall'!H222)))-1)</f>
        <v>3.2</v>
      </c>
    </row>
    <row r="223">
      <c r="A223" s="33">
        <v>222.0</v>
      </c>
      <c r="B223" s="149" t="str">
        <f>'Paste #BBall'!B223</f>
        <v>Max Christie</v>
      </c>
      <c r="C223" s="150" t="str">
        <f>'Paste #BBall'!C223</f>
        <v>SG,SF</v>
      </c>
      <c r="D223" s="150" t="str">
        <f>'Paste #BBall'!D223</f>
        <v>LAL</v>
      </c>
      <c r="E223" s="151">
        <f>'Paste #BBall'!E223</f>
        <v>70</v>
      </c>
      <c r="F223" s="152">
        <f>'Paste #BBall'!F223</f>
        <v>23.2</v>
      </c>
      <c r="G223" s="153" t="str">
        <f>right(Left('Paste #BBall'!G223,Search("/",'Paste #BBall'!G223)-1),len(Left('Paste #BBall'!G223,Search("/",'Paste #BBall'!G223)-1))-search("(",Left('Paste #BBall'!G223,Search("/",'Paste #BBall'!G223)-1)))</f>
        <v>2.6</v>
      </c>
      <c r="H223" s="152">
        <f t="shared" si="1"/>
        <v>0.4333333333</v>
      </c>
      <c r="I223" s="152" t="str">
        <f>right(Left('Paste #BBall'!H223,Search("/",'Paste #BBall'!H223)-1),len(Left('Paste #BBall'!H223,Search("/",'Paste #BBall'!H223)-1))-search("(",Left('Paste #BBall'!H223,Search("/",'Paste #BBall'!H223)-1)))</f>
        <v>0.7</v>
      </c>
      <c r="J223" s="152">
        <f t="shared" si="2"/>
        <v>0.7777777778</v>
      </c>
      <c r="K223" s="152">
        <f>'Paste #BBall'!I223</f>
        <v>1.4</v>
      </c>
      <c r="L223" s="152">
        <f>'Paste #BBall'!J223</f>
        <v>7.4</v>
      </c>
      <c r="M223" s="152">
        <f>'Paste #BBall'!K223</f>
        <v>3.9</v>
      </c>
      <c r="N223" s="152">
        <f>'Paste #BBall'!L223</f>
        <v>1.1</v>
      </c>
      <c r="O223" s="152">
        <f>'Paste #BBall'!M223</f>
        <v>0.7</v>
      </c>
      <c r="P223" s="152">
        <f>'Paste #BBall'!N223</f>
        <v>0.4</v>
      </c>
      <c r="Q223" s="152">
        <f>'Paste #BBall'!O223</f>
        <v>1</v>
      </c>
      <c r="R223" s="153" t="str">
        <f>Left(Right('Paste #BBall'!G223,Len('Paste #BBall'!G223)-Search("/",'Paste #BBall'!G223)),Len(Right('Paste #BBall'!G223,Len('Paste #BBall'!G223)-Search("/",'Paste #BBall'!G223)))-1)</f>
        <v>6.0</v>
      </c>
      <c r="S223" s="153" t="str">
        <f>Left(Right('Paste #BBall'!H223,Len('Paste #BBall'!H223)-Search("/",'Paste #BBall'!H223)),Len(Right('Paste #BBall'!H223,Len('Paste #BBall'!H223)-Search("/",'Paste #BBall'!H223)))-1)</f>
        <v>0.9</v>
      </c>
    </row>
    <row r="224">
      <c r="A224" s="33">
        <v>223.0</v>
      </c>
      <c r="B224" s="149" t="str">
        <f>'Paste #BBall'!B224</f>
        <v>Jarace Walker</v>
      </c>
      <c r="C224" s="150" t="str">
        <f>'Paste #BBall'!C224</f>
        <v>PF</v>
      </c>
      <c r="D224" s="150" t="str">
        <f>'Paste #BBall'!D224</f>
        <v>IND</v>
      </c>
      <c r="E224" s="151">
        <f>'Paste #BBall'!E224</f>
        <v>70</v>
      </c>
      <c r="F224" s="152">
        <f>'Paste #BBall'!F224</f>
        <v>26.5</v>
      </c>
      <c r="G224" s="153" t="str">
        <f>right(Left('Paste #BBall'!G224,Search("/",'Paste #BBall'!G224)-1),len(Left('Paste #BBall'!G224,Search("/",'Paste #BBall'!G224)-1))-search("(",Left('Paste #BBall'!G224,Search("/",'Paste #BBall'!G224)-1)))</f>
        <v>3.9</v>
      </c>
      <c r="H224" s="152">
        <f t="shared" si="1"/>
        <v>0.4588235294</v>
      </c>
      <c r="I224" s="152" t="str">
        <f>right(Left('Paste #BBall'!H224,Search("/",'Paste #BBall'!H224)-1),len(Left('Paste #BBall'!H224,Search("/",'Paste #BBall'!H224)-1))-search("(",Left('Paste #BBall'!H224,Search("/",'Paste #BBall'!H224)-1)))</f>
        <v>1.7</v>
      </c>
      <c r="J224" s="152">
        <f t="shared" si="2"/>
        <v>0.68</v>
      </c>
      <c r="K224" s="152">
        <f>'Paste #BBall'!I224</f>
        <v>0.9</v>
      </c>
      <c r="L224" s="152">
        <f>'Paste #BBall'!J224</f>
        <v>10.4</v>
      </c>
      <c r="M224" s="152">
        <f>'Paste #BBall'!K224</f>
        <v>6.7</v>
      </c>
      <c r="N224" s="152">
        <f>'Paste #BBall'!L224</f>
        <v>1.1</v>
      </c>
      <c r="O224" s="152">
        <f>'Paste #BBall'!M224</f>
        <v>0.4</v>
      </c>
      <c r="P224" s="152">
        <f>'Paste #BBall'!N224</f>
        <v>0.8</v>
      </c>
      <c r="Q224" s="152">
        <f>'Paste #BBall'!O224</f>
        <v>1.4</v>
      </c>
      <c r="R224" s="153" t="str">
        <f>Left(Right('Paste #BBall'!G224,Len('Paste #BBall'!G224)-Search("/",'Paste #BBall'!G224)),Len(Right('Paste #BBall'!G224,Len('Paste #BBall'!G224)-Search("/",'Paste #BBall'!G224)))-1)</f>
        <v>8.5</v>
      </c>
      <c r="S224" s="153" t="str">
        <f>Left(Right('Paste #BBall'!H224,Len('Paste #BBall'!H224)-Search("/",'Paste #BBall'!H224)),Len(Right('Paste #BBall'!H224,Len('Paste #BBall'!H224)-Search("/",'Paste #BBall'!H224)))-1)</f>
        <v>2.5</v>
      </c>
    </row>
    <row r="225">
      <c r="A225" s="33">
        <v>224.0</v>
      </c>
      <c r="B225" s="149" t="str">
        <f>'Paste #BBall'!B225</f>
        <v>Kevin Love</v>
      </c>
      <c r="C225" s="150" t="str">
        <f>'Paste #BBall'!C225</f>
        <v>PF,C</v>
      </c>
      <c r="D225" s="150" t="str">
        <f>'Paste #BBall'!D225</f>
        <v>MIA</v>
      </c>
      <c r="E225" s="151">
        <f>'Paste #BBall'!E225</f>
        <v>62</v>
      </c>
      <c r="F225" s="152">
        <f>'Paste #BBall'!F225</f>
        <v>17.7</v>
      </c>
      <c r="G225" s="153" t="str">
        <f>right(Left('Paste #BBall'!G225,Search("/",'Paste #BBall'!G225)-1),len(Left('Paste #BBall'!G225,Search("/",'Paste #BBall'!G225)-1))-search("(",Left('Paste #BBall'!G225,Search("/",'Paste #BBall'!G225)-1)))</f>
        <v>3.0</v>
      </c>
      <c r="H225" s="152">
        <f t="shared" si="1"/>
        <v>0.4109589041</v>
      </c>
      <c r="I225" s="152" t="str">
        <f>right(Left('Paste #BBall'!H225,Search("/",'Paste #BBall'!H225)-1),len(Left('Paste #BBall'!H225,Search("/",'Paste #BBall'!H225)-1))-search("(",Left('Paste #BBall'!H225,Search("/",'Paste #BBall'!H225)-1)))</f>
        <v>1.5</v>
      </c>
      <c r="J225" s="152">
        <f t="shared" si="2"/>
        <v>0.8333333333</v>
      </c>
      <c r="K225" s="152">
        <f>'Paste #BBall'!I225</f>
        <v>1.8</v>
      </c>
      <c r="L225" s="152">
        <f>'Paste #BBall'!J225</f>
        <v>9.3</v>
      </c>
      <c r="M225" s="152">
        <f>'Paste #BBall'!K225</f>
        <v>5.7</v>
      </c>
      <c r="N225" s="152">
        <f>'Paste #BBall'!L225</f>
        <v>1.7</v>
      </c>
      <c r="O225" s="152">
        <f>'Paste #BBall'!M225</f>
        <v>0.3</v>
      </c>
      <c r="P225" s="152">
        <f>'Paste #BBall'!N225</f>
        <v>0.2</v>
      </c>
      <c r="Q225" s="152">
        <f>'Paste #BBall'!O225</f>
        <v>1</v>
      </c>
      <c r="R225" s="153" t="str">
        <f>Left(Right('Paste #BBall'!G225,Len('Paste #BBall'!G225)-Search("/",'Paste #BBall'!G225)),Len(Right('Paste #BBall'!G225,Len('Paste #BBall'!G225)-Search("/",'Paste #BBall'!G225)))-1)</f>
        <v>7.3</v>
      </c>
      <c r="S225" s="153" t="str">
        <f>Left(Right('Paste #BBall'!H225,Len('Paste #BBall'!H225)-Search("/",'Paste #BBall'!H225)),Len(Right('Paste #BBall'!H225,Len('Paste #BBall'!H225)-Search("/",'Paste #BBall'!H225)))-1)</f>
        <v>1.8</v>
      </c>
    </row>
    <row r="226">
      <c r="A226" s="33">
        <v>225.0</v>
      </c>
      <c r="B226" s="149" t="str">
        <f>'Paste #BBall'!B226</f>
        <v>Coby White</v>
      </c>
      <c r="C226" s="150" t="str">
        <f>'Paste #BBall'!C226</f>
        <v>PG,SG</v>
      </c>
      <c r="D226" s="150" t="str">
        <f>'Paste #BBall'!D226</f>
        <v>CHI</v>
      </c>
      <c r="E226" s="151">
        <f>'Paste #BBall'!E226</f>
        <v>72</v>
      </c>
      <c r="F226" s="152">
        <f>'Paste #BBall'!F226</f>
        <v>22.2</v>
      </c>
      <c r="G226" s="153" t="str">
        <f>right(Left('Paste #BBall'!G226,Search("/",'Paste #BBall'!G226)-1),len(Left('Paste #BBall'!G226,Search("/",'Paste #BBall'!G226)-1))-search("(",Left('Paste #BBall'!G226,Search("/",'Paste #BBall'!G226)-1)))</f>
        <v>3.6</v>
      </c>
      <c r="H226" s="152">
        <f t="shared" si="1"/>
        <v>0.4390243902</v>
      </c>
      <c r="I226" s="152" t="str">
        <f>right(Left('Paste #BBall'!H226,Search("/",'Paste #BBall'!H226)-1),len(Left('Paste #BBall'!H226,Search("/",'Paste #BBall'!H226)-1))-search("(",Left('Paste #BBall'!H226,Search("/",'Paste #BBall'!H226)-1)))</f>
        <v>0.9</v>
      </c>
      <c r="J226" s="152">
        <f t="shared" si="2"/>
        <v>0.8181818182</v>
      </c>
      <c r="K226" s="152">
        <f>'Paste #BBall'!I226</f>
        <v>1.7</v>
      </c>
      <c r="L226" s="152">
        <f>'Paste #BBall'!J226</f>
        <v>9.8</v>
      </c>
      <c r="M226" s="152">
        <f>'Paste #BBall'!K226</f>
        <v>2.6</v>
      </c>
      <c r="N226" s="152">
        <f>'Paste #BBall'!L226</f>
        <v>2.5</v>
      </c>
      <c r="O226" s="152">
        <f>'Paste #BBall'!M226</f>
        <v>0.6</v>
      </c>
      <c r="P226" s="152">
        <f>'Paste #BBall'!N226</f>
        <v>0.1</v>
      </c>
      <c r="Q226" s="152">
        <f>'Paste #BBall'!O226</f>
        <v>1</v>
      </c>
      <c r="R226" s="153" t="str">
        <f>Left(Right('Paste #BBall'!G226,Len('Paste #BBall'!G226)-Search("/",'Paste #BBall'!G226)),Len(Right('Paste #BBall'!G226,Len('Paste #BBall'!G226)-Search("/",'Paste #BBall'!G226)))-1)</f>
        <v>8.2</v>
      </c>
      <c r="S226" s="153" t="str">
        <f>Left(Right('Paste #BBall'!H226,Len('Paste #BBall'!H226)-Search("/",'Paste #BBall'!H226)),Len(Right('Paste #BBall'!H226,Len('Paste #BBall'!H226)-Search("/",'Paste #BBall'!H226)))-1)</f>
        <v>1.1</v>
      </c>
    </row>
    <row r="227">
      <c r="A227" s="33">
        <v>226.0</v>
      </c>
      <c r="B227" s="149" t="str">
        <f>'Paste #BBall'!B227</f>
        <v>Rui Hachimura</v>
      </c>
      <c r="C227" s="150" t="str">
        <f>'Paste #BBall'!C227</f>
        <v>SF,PF</v>
      </c>
      <c r="D227" s="150" t="str">
        <f>'Paste #BBall'!D227</f>
        <v>LAL</v>
      </c>
      <c r="E227" s="151">
        <f>'Paste #BBall'!E227</f>
        <v>65</v>
      </c>
      <c r="F227" s="152">
        <f>'Paste #BBall'!F227</f>
        <v>24.6</v>
      </c>
      <c r="G227" s="153" t="str">
        <f>right(Left('Paste #BBall'!G227,Search("/",'Paste #BBall'!G227)-1),len(Left('Paste #BBall'!G227,Search("/",'Paste #BBall'!G227)-1))-search("(",Left('Paste #BBall'!G227,Search("/",'Paste #BBall'!G227)-1)))</f>
        <v>4.9</v>
      </c>
      <c r="H227" s="152">
        <f t="shared" si="1"/>
        <v>0.49</v>
      </c>
      <c r="I227" s="152" t="str">
        <f>right(Left('Paste #BBall'!H227,Search("/",'Paste #BBall'!H227)-1),len(Left('Paste #BBall'!H227,Search("/",'Paste #BBall'!H227)-1))-search("(",Left('Paste #BBall'!H227,Search("/",'Paste #BBall'!H227)-1)))</f>
        <v>1.4</v>
      </c>
      <c r="J227" s="152">
        <f t="shared" si="2"/>
        <v>0.7368421053</v>
      </c>
      <c r="K227" s="152">
        <f>'Paste #BBall'!I227</f>
        <v>1.1</v>
      </c>
      <c r="L227" s="152">
        <f>'Paste #BBall'!J227</f>
        <v>12.2</v>
      </c>
      <c r="M227" s="152">
        <f>'Paste #BBall'!K227</f>
        <v>4.6</v>
      </c>
      <c r="N227" s="152">
        <f>'Paste #BBall'!L227</f>
        <v>1.1</v>
      </c>
      <c r="O227" s="152">
        <f>'Paste #BBall'!M227</f>
        <v>0.4</v>
      </c>
      <c r="P227" s="152">
        <f>'Paste #BBall'!N227</f>
        <v>0.4</v>
      </c>
      <c r="Q227" s="152">
        <f>'Paste #BBall'!O227</f>
        <v>0.9</v>
      </c>
      <c r="R227" s="153" t="str">
        <f>Left(Right('Paste #BBall'!G227,Len('Paste #BBall'!G227)-Search("/",'Paste #BBall'!G227)),Len(Right('Paste #BBall'!G227,Len('Paste #BBall'!G227)-Search("/",'Paste #BBall'!G227)))-1)</f>
        <v>10.0</v>
      </c>
      <c r="S227" s="153" t="str">
        <f>Left(Right('Paste #BBall'!H227,Len('Paste #BBall'!H227)-Search("/",'Paste #BBall'!H227)),Len(Right('Paste #BBall'!H227,Len('Paste #BBall'!H227)-Search("/",'Paste #BBall'!H227)))-1)</f>
        <v>1.9</v>
      </c>
    </row>
    <row r="228">
      <c r="A228" s="33">
        <v>227.0</v>
      </c>
      <c r="B228" s="149" t="str">
        <f>'Paste #BBall'!B228</f>
        <v>Marcus Morris Sr.</v>
      </c>
      <c r="C228" s="150" t="str">
        <f>'Paste #BBall'!C228</f>
        <v>PF,C</v>
      </c>
      <c r="D228" s="150" t="str">
        <f>'Paste #BBall'!D228</f>
        <v>LAC</v>
      </c>
      <c r="E228" s="151">
        <f>'Paste #BBall'!E228</f>
        <v>60</v>
      </c>
      <c r="F228" s="152">
        <f>'Paste #BBall'!F228</f>
        <v>24.7</v>
      </c>
      <c r="G228" s="153" t="str">
        <f>right(Left('Paste #BBall'!G228,Search("/",'Paste #BBall'!G228)-1),len(Left('Paste #BBall'!G228,Search("/",'Paste #BBall'!G228)-1))-search("(",Left('Paste #BBall'!G228,Search("/",'Paste #BBall'!G228)-1)))</f>
        <v>4.2</v>
      </c>
      <c r="H228" s="152">
        <f t="shared" si="1"/>
        <v>0.4285714286</v>
      </c>
      <c r="I228" s="152" t="str">
        <f>right(Left('Paste #BBall'!H228,Search("/",'Paste #BBall'!H228)-1),len(Left('Paste #BBall'!H228,Search("/",'Paste #BBall'!H228)-1))-search("(",Left('Paste #BBall'!H228,Search("/",'Paste #BBall'!H228)-1)))</f>
        <v>1.4</v>
      </c>
      <c r="J228" s="152">
        <f t="shared" si="2"/>
        <v>0.8235294118</v>
      </c>
      <c r="K228" s="152">
        <f>'Paste #BBall'!I228</f>
        <v>1.6</v>
      </c>
      <c r="L228" s="152">
        <f>'Paste #BBall'!J228</f>
        <v>11.4</v>
      </c>
      <c r="M228" s="152">
        <f>'Paste #BBall'!K228</f>
        <v>3.7</v>
      </c>
      <c r="N228" s="152">
        <f>'Paste #BBall'!L228</f>
        <v>1.7</v>
      </c>
      <c r="O228" s="152">
        <f>'Paste #BBall'!M228</f>
        <v>0.5</v>
      </c>
      <c r="P228" s="152">
        <f>'Paste #BBall'!N228</f>
        <v>0.3</v>
      </c>
      <c r="Q228" s="152">
        <f>'Paste #BBall'!O228</f>
        <v>0.9</v>
      </c>
      <c r="R228" s="153" t="str">
        <f>Left(Right('Paste #BBall'!G228,Len('Paste #BBall'!G228)-Search("/",'Paste #BBall'!G228)),Len(Right('Paste #BBall'!G228,Len('Paste #BBall'!G228)-Search("/",'Paste #BBall'!G228)))-1)</f>
        <v>9.8</v>
      </c>
      <c r="S228" s="153" t="str">
        <f>Left(Right('Paste #BBall'!H228,Len('Paste #BBall'!H228)-Search("/",'Paste #BBall'!H228)),Len(Right('Paste #BBall'!H228,Len('Paste #BBall'!H228)-Search("/",'Paste #BBall'!H228)))-1)</f>
        <v>1.7</v>
      </c>
    </row>
    <row r="229">
      <c r="A229" s="33">
        <v>228.0</v>
      </c>
      <c r="B229" s="149" t="str">
        <f>'Paste #BBall'!B229</f>
        <v>Moritz Wagner</v>
      </c>
      <c r="C229" s="150" t="str">
        <f>'Paste #BBall'!C229</f>
        <v>C</v>
      </c>
      <c r="D229" s="150" t="str">
        <f>'Paste #BBall'!D229</f>
        <v>ORL</v>
      </c>
      <c r="E229" s="151">
        <f>'Paste #BBall'!E229</f>
        <v>60</v>
      </c>
      <c r="F229" s="152">
        <f>'Paste #BBall'!F229</f>
        <v>16.5</v>
      </c>
      <c r="G229" s="153" t="str">
        <f>right(Left('Paste #BBall'!G229,Search("/",'Paste #BBall'!G229)-1),len(Left('Paste #BBall'!G229,Search("/",'Paste #BBall'!G229)-1))-search("(",Left('Paste #BBall'!G229,Search("/",'Paste #BBall'!G229)-1)))</f>
        <v>3.2</v>
      </c>
      <c r="H229" s="152">
        <f t="shared" si="1"/>
        <v>0.5</v>
      </c>
      <c r="I229" s="152" t="str">
        <f>right(Left('Paste #BBall'!H229,Search("/",'Paste #BBall'!H229)-1),len(Left('Paste #BBall'!H229,Search("/",'Paste #BBall'!H229)-1))-search("(",Left('Paste #BBall'!H229,Search("/",'Paste #BBall'!H229)-1)))</f>
        <v>2.1</v>
      </c>
      <c r="J229" s="152">
        <f t="shared" si="2"/>
        <v>0.84</v>
      </c>
      <c r="K229" s="152">
        <f>'Paste #BBall'!I229</f>
        <v>0.9</v>
      </c>
      <c r="L229" s="152">
        <f>'Paste #BBall'!J229</f>
        <v>9.4</v>
      </c>
      <c r="M229" s="152">
        <f>'Paste #BBall'!K229</f>
        <v>4</v>
      </c>
      <c r="N229" s="152">
        <f>'Paste #BBall'!L229</f>
        <v>1.4</v>
      </c>
      <c r="O229" s="152">
        <f>'Paste #BBall'!M229</f>
        <v>0.5</v>
      </c>
      <c r="P229" s="152">
        <f>'Paste #BBall'!N229</f>
        <v>0.2</v>
      </c>
      <c r="Q229" s="152">
        <f>'Paste #BBall'!O229</f>
        <v>1</v>
      </c>
      <c r="R229" s="153" t="str">
        <f>Left(Right('Paste #BBall'!G229,Len('Paste #BBall'!G229)-Search("/",'Paste #BBall'!G229)),Len(Right('Paste #BBall'!G229,Len('Paste #BBall'!G229)-Search("/",'Paste #BBall'!G229)))-1)</f>
        <v>6.4</v>
      </c>
      <c r="S229" s="153" t="str">
        <f>Left(Right('Paste #BBall'!H229,Len('Paste #BBall'!H229)-Search("/",'Paste #BBall'!H229)),Len(Right('Paste #BBall'!H229,Len('Paste #BBall'!H229)-Search("/",'Paste #BBall'!H229)))-1)</f>
        <v>2.5</v>
      </c>
    </row>
    <row r="230">
      <c r="A230" s="33">
        <v>229.0</v>
      </c>
      <c r="B230" s="149" t="str">
        <f>'Paste #BBall'!B230</f>
        <v>Kenrich Williams</v>
      </c>
      <c r="C230" s="150" t="str">
        <f>'Paste #BBall'!C230</f>
        <v>SF,PF</v>
      </c>
      <c r="D230" s="150" t="str">
        <f>'Paste #BBall'!D230</f>
        <v>OKC</v>
      </c>
      <c r="E230" s="151">
        <f>'Paste #BBall'!E230</f>
        <v>50</v>
      </c>
      <c r="F230" s="152">
        <f>'Paste #BBall'!F230</f>
        <v>22.2</v>
      </c>
      <c r="G230" s="153" t="str">
        <f>right(Left('Paste #BBall'!G230,Search("/",'Paste #BBall'!G230)-1),len(Left('Paste #BBall'!G230,Search("/",'Paste #BBall'!G230)-1))-search("(",Left('Paste #BBall'!G230,Search("/",'Paste #BBall'!G230)-1)))</f>
        <v>3.2</v>
      </c>
      <c r="H230" s="152">
        <f t="shared" si="1"/>
        <v>0.4923076923</v>
      </c>
      <c r="I230" s="152" t="str">
        <f>right(Left('Paste #BBall'!H230,Search("/",'Paste #BBall'!H230)-1),len(Left('Paste #BBall'!H230,Search("/",'Paste #BBall'!H230)-1))-search("(",Left('Paste #BBall'!H230,Search("/",'Paste #BBall'!H230)-1)))</f>
        <v>0.5</v>
      </c>
      <c r="J230" s="152">
        <f t="shared" si="2"/>
        <v>0.5555555556</v>
      </c>
      <c r="K230" s="152">
        <f>'Paste #BBall'!I230</f>
        <v>0.9</v>
      </c>
      <c r="L230" s="152">
        <f>'Paste #BBall'!J230</f>
        <v>7.8</v>
      </c>
      <c r="M230" s="152">
        <f>'Paste #BBall'!K230</f>
        <v>4.7</v>
      </c>
      <c r="N230" s="152">
        <f>'Paste #BBall'!L230</f>
        <v>2.1</v>
      </c>
      <c r="O230" s="152">
        <f>'Paste #BBall'!M230</f>
        <v>0.9</v>
      </c>
      <c r="P230" s="152">
        <f>'Paste #BBall'!N230</f>
        <v>0.2</v>
      </c>
      <c r="Q230" s="152">
        <f>'Paste #BBall'!O230</f>
        <v>0.8</v>
      </c>
      <c r="R230" s="153" t="str">
        <f>Left(Right('Paste #BBall'!G230,Len('Paste #BBall'!G230)-Search("/",'Paste #BBall'!G230)),Len(Right('Paste #BBall'!G230,Len('Paste #BBall'!G230)-Search("/",'Paste #BBall'!G230)))-1)</f>
        <v>6.5</v>
      </c>
      <c r="S230" s="153" t="str">
        <f>Left(Right('Paste #BBall'!H230,Len('Paste #BBall'!H230)-Search("/",'Paste #BBall'!H230)),Len(Right('Paste #BBall'!H230,Len('Paste #BBall'!H230)-Search("/",'Paste #BBall'!H230)))-1)</f>
        <v>0.9</v>
      </c>
    </row>
    <row r="231">
      <c r="A231" s="33">
        <v>230.0</v>
      </c>
      <c r="B231" s="149" t="str">
        <f>'Paste #BBall'!B231</f>
        <v>Cody Martin</v>
      </c>
      <c r="C231" s="150" t="str">
        <f>'Paste #BBall'!C231</f>
        <v>SG,SF</v>
      </c>
      <c r="D231" s="150" t="str">
        <f>'Paste #BBall'!D231</f>
        <v>CHA</v>
      </c>
      <c r="E231" s="151">
        <f>'Paste #BBall'!E231</f>
        <v>65</v>
      </c>
      <c r="F231" s="152">
        <f>'Paste #BBall'!F231</f>
        <v>21.2</v>
      </c>
      <c r="G231" s="153" t="str">
        <f>right(Left('Paste #BBall'!G231,Search("/",'Paste #BBall'!G231)-1),len(Left('Paste #BBall'!G231,Search("/",'Paste #BBall'!G231)-1))-search("(",Left('Paste #BBall'!G231,Search("/",'Paste #BBall'!G231)-1)))</f>
        <v>2.3</v>
      </c>
      <c r="H231" s="152">
        <f t="shared" si="1"/>
        <v>0.46</v>
      </c>
      <c r="I231" s="152" t="str">
        <f>right(Left('Paste #BBall'!H231,Search("/",'Paste #BBall'!H231)-1),len(Left('Paste #BBall'!H231,Search("/",'Paste #BBall'!H231)-1))-search("(",Left('Paste #BBall'!H231,Search("/",'Paste #BBall'!H231)-1)))</f>
        <v>0.9</v>
      </c>
      <c r="J231" s="152">
        <f t="shared" si="2"/>
        <v>0.75</v>
      </c>
      <c r="K231" s="152">
        <f>'Paste #BBall'!I231</f>
        <v>0.7</v>
      </c>
      <c r="L231" s="152">
        <f>'Paste #BBall'!J231</f>
        <v>6.2</v>
      </c>
      <c r="M231" s="152">
        <f>'Paste #BBall'!K231</f>
        <v>3.3</v>
      </c>
      <c r="N231" s="152">
        <f>'Paste #BBall'!L231</f>
        <v>2</v>
      </c>
      <c r="O231" s="152">
        <f>'Paste #BBall'!M231</f>
        <v>1</v>
      </c>
      <c r="P231" s="152">
        <f>'Paste #BBall'!N231</f>
        <v>0.4</v>
      </c>
      <c r="Q231" s="152">
        <f>'Paste #BBall'!O231</f>
        <v>0.7</v>
      </c>
      <c r="R231" s="153" t="str">
        <f>Left(Right('Paste #BBall'!G231,Len('Paste #BBall'!G231)-Search("/",'Paste #BBall'!G231)),Len(Right('Paste #BBall'!G231,Len('Paste #BBall'!G231)-Search("/",'Paste #BBall'!G231)))-1)</f>
        <v>5.0</v>
      </c>
      <c r="S231" s="153" t="str">
        <f>Left(Right('Paste #BBall'!H231,Len('Paste #BBall'!H231)-Search("/",'Paste #BBall'!H231)),Len(Right('Paste #BBall'!H231,Len('Paste #BBall'!H231)-Search("/",'Paste #BBall'!H231)))-1)</f>
        <v>1.2</v>
      </c>
    </row>
    <row r="232">
      <c r="A232" s="33">
        <v>231.0</v>
      </c>
      <c r="B232" s="149" t="str">
        <f>'Paste #BBall'!B232</f>
        <v>Keita Bates-Diop</v>
      </c>
      <c r="C232" s="150" t="str">
        <f>'Paste #BBall'!C232</f>
        <v>SF,PF</v>
      </c>
      <c r="D232" s="150" t="str">
        <f>'Paste #BBall'!D232</f>
        <v>PHO</v>
      </c>
      <c r="E232" s="151">
        <f>'Paste #BBall'!E232</f>
        <v>69</v>
      </c>
      <c r="F232" s="152">
        <f>'Paste #BBall'!F232</f>
        <v>20.4</v>
      </c>
      <c r="G232" s="153" t="str">
        <f>right(Left('Paste #BBall'!G232,Search("/",'Paste #BBall'!G232)-1),len(Left('Paste #BBall'!G232,Search("/",'Paste #BBall'!G232)-1))-search("(",Left('Paste #BBall'!G232,Search("/",'Paste #BBall'!G232)-1)))</f>
        <v>3.2</v>
      </c>
      <c r="H232" s="152">
        <f t="shared" si="1"/>
        <v>0.5161290323</v>
      </c>
      <c r="I232" s="152" t="str">
        <f>right(Left('Paste #BBall'!H232,Search("/",'Paste #BBall'!H232)-1),len(Left('Paste #BBall'!H232,Search("/",'Paste #BBall'!H232)-1))-search("(",Left('Paste #BBall'!H232,Search("/",'Paste #BBall'!H232)-1)))</f>
        <v>1.4</v>
      </c>
      <c r="J232" s="152">
        <f t="shared" si="2"/>
        <v>0.7777777778</v>
      </c>
      <c r="K232" s="152">
        <f>'Paste #BBall'!I232</f>
        <v>0.6</v>
      </c>
      <c r="L232" s="152">
        <f>'Paste #BBall'!J232</f>
        <v>8.4</v>
      </c>
      <c r="M232" s="152">
        <f>'Paste #BBall'!K232</f>
        <v>4.1</v>
      </c>
      <c r="N232" s="152">
        <f>'Paste #BBall'!L232</f>
        <v>1.2</v>
      </c>
      <c r="O232" s="152">
        <f>'Paste #BBall'!M232</f>
        <v>0.6</v>
      </c>
      <c r="P232" s="152">
        <f>'Paste #BBall'!N232</f>
        <v>0.3</v>
      </c>
      <c r="Q232" s="152">
        <f>'Paste #BBall'!O232</f>
        <v>0.9</v>
      </c>
      <c r="R232" s="153" t="str">
        <f>Left(Right('Paste #BBall'!G232,Len('Paste #BBall'!G232)-Search("/",'Paste #BBall'!G232)),Len(Right('Paste #BBall'!G232,Len('Paste #BBall'!G232)-Search("/",'Paste #BBall'!G232)))-1)</f>
        <v>6.2</v>
      </c>
      <c r="S232" s="153" t="str">
        <f>Left(Right('Paste #BBall'!H232,Len('Paste #BBall'!H232)-Search("/",'Paste #BBall'!H232)),Len(Right('Paste #BBall'!H232,Len('Paste #BBall'!H232)-Search("/",'Paste #BBall'!H232)))-1)</f>
        <v>1.8</v>
      </c>
    </row>
    <row r="233">
      <c r="A233" s="33">
        <v>232.0</v>
      </c>
      <c r="B233" s="149" t="str">
        <f>'Paste #BBall'!B233</f>
        <v>Dominick Barlow</v>
      </c>
      <c r="C233" s="150" t="str">
        <f>'Paste #BBall'!C233</f>
        <v>SF</v>
      </c>
      <c r="D233" s="150" t="str">
        <f>'Paste #BBall'!D233</f>
        <v>SA</v>
      </c>
      <c r="E233" s="151">
        <f>'Paste #BBall'!E233</f>
        <v>60</v>
      </c>
      <c r="F233" s="152">
        <f>'Paste #BBall'!F233</f>
        <v>17.4</v>
      </c>
      <c r="G233" s="153" t="str">
        <f>right(Left('Paste #BBall'!G233,Search("/",'Paste #BBall'!G233)-1),len(Left('Paste #BBall'!G233,Search("/",'Paste #BBall'!G233)-1))-search("(",Left('Paste #BBall'!G233,Search("/",'Paste #BBall'!G233)-1)))</f>
        <v>2.3</v>
      </c>
      <c r="H233" s="152">
        <f t="shared" si="1"/>
        <v>0.5348837209</v>
      </c>
      <c r="I233" s="152" t="str">
        <f>right(Left('Paste #BBall'!H233,Search("/",'Paste #BBall'!H233)-1),len(Left('Paste #BBall'!H233,Search("/",'Paste #BBall'!H233)-1))-search("(",Left('Paste #BBall'!H233,Search("/",'Paste #BBall'!H233)-1)))</f>
        <v>0.9</v>
      </c>
      <c r="J233" s="152">
        <f t="shared" si="2"/>
        <v>0.75</v>
      </c>
      <c r="K233" s="152">
        <f>'Paste #BBall'!I233</f>
        <v>0.1</v>
      </c>
      <c r="L233" s="152">
        <f>'Paste #BBall'!J233</f>
        <v>5.6</v>
      </c>
      <c r="M233" s="152">
        <f>'Paste #BBall'!K233</f>
        <v>4.1</v>
      </c>
      <c r="N233" s="152">
        <f>'Paste #BBall'!L233</f>
        <v>1.2</v>
      </c>
      <c r="O233" s="152">
        <f>'Paste #BBall'!M233</f>
        <v>0.5</v>
      </c>
      <c r="P233" s="152">
        <f>'Paste #BBall'!N233</f>
        <v>0.9</v>
      </c>
      <c r="Q233" s="152">
        <f>'Paste #BBall'!O233</f>
        <v>0.8</v>
      </c>
      <c r="R233" s="153" t="str">
        <f>Left(Right('Paste #BBall'!G233,Len('Paste #BBall'!G233)-Search("/",'Paste #BBall'!G233)),Len(Right('Paste #BBall'!G233,Len('Paste #BBall'!G233)-Search("/",'Paste #BBall'!G233)))-1)</f>
        <v>4.3</v>
      </c>
      <c r="S233" s="153" t="str">
        <f>Left(Right('Paste #BBall'!H233,Len('Paste #BBall'!H233)-Search("/",'Paste #BBall'!H233)),Len(Right('Paste #BBall'!H233,Len('Paste #BBall'!H233)-Search("/",'Paste #BBall'!H233)))-1)</f>
        <v>1.2</v>
      </c>
    </row>
    <row r="234">
      <c r="A234" s="33">
        <v>233.0</v>
      </c>
      <c r="B234" s="149" t="str">
        <f>'Paste #BBall'!B234</f>
        <v>Anthony Black</v>
      </c>
      <c r="C234" s="150" t="str">
        <f>'Paste #BBall'!C234</f>
        <v>PG,SG</v>
      </c>
      <c r="D234" s="150" t="str">
        <f>'Paste #BBall'!D234</f>
        <v>ORL</v>
      </c>
      <c r="E234" s="151">
        <f>'Paste #BBall'!E234</f>
        <v>72</v>
      </c>
      <c r="F234" s="152">
        <f>'Paste #BBall'!F234</f>
        <v>20</v>
      </c>
      <c r="G234" s="153" t="str">
        <f>right(Left('Paste #BBall'!G234,Search("/",'Paste #BBall'!G234)-1),len(Left('Paste #BBall'!G234,Search("/",'Paste #BBall'!G234)-1))-search("(",Left('Paste #BBall'!G234,Search("/",'Paste #BBall'!G234)-1)))</f>
        <v>4.0</v>
      </c>
      <c r="H234" s="152">
        <f t="shared" si="1"/>
        <v>0.4494382022</v>
      </c>
      <c r="I234" s="152" t="str">
        <f>right(Left('Paste #BBall'!H234,Search("/",'Paste #BBall'!H234)-1),len(Left('Paste #BBall'!H234,Search("/",'Paste #BBall'!H234)-1))-search("(",Left('Paste #BBall'!H234,Search("/",'Paste #BBall'!H234)-1)))</f>
        <v>1.3</v>
      </c>
      <c r="J234" s="152">
        <f t="shared" si="2"/>
        <v>0.6842105263</v>
      </c>
      <c r="K234" s="152">
        <f>'Paste #BBall'!I234</f>
        <v>0.3</v>
      </c>
      <c r="L234" s="152">
        <f>'Paste #BBall'!J234</f>
        <v>9.7</v>
      </c>
      <c r="M234" s="152">
        <f>'Paste #BBall'!K234</f>
        <v>2.8</v>
      </c>
      <c r="N234" s="152">
        <f>'Paste #BBall'!L234</f>
        <v>3.3</v>
      </c>
      <c r="O234" s="152">
        <f>'Paste #BBall'!M234</f>
        <v>1.1</v>
      </c>
      <c r="P234" s="152">
        <f>'Paste #BBall'!N234</f>
        <v>0.3</v>
      </c>
      <c r="Q234" s="152">
        <f>'Paste #BBall'!O234</f>
        <v>1.8</v>
      </c>
      <c r="R234" s="153" t="str">
        <f>Left(Right('Paste #BBall'!G234,Len('Paste #BBall'!G234)-Search("/",'Paste #BBall'!G234)),Len(Right('Paste #BBall'!G234,Len('Paste #BBall'!G234)-Search("/",'Paste #BBall'!G234)))-1)</f>
        <v>8.9</v>
      </c>
      <c r="S234" s="153" t="str">
        <f>Left(Right('Paste #BBall'!H234,Len('Paste #BBall'!H234)-Search("/",'Paste #BBall'!H234)),Len(Right('Paste #BBall'!H234,Len('Paste #BBall'!H234)-Search("/",'Paste #BBall'!H234)))-1)</f>
        <v>1.9</v>
      </c>
    </row>
    <row r="235">
      <c r="A235" s="33">
        <v>234.0</v>
      </c>
      <c r="B235" s="149" t="str">
        <f>'Paste #BBall'!B235</f>
        <v>Dereck Lively II</v>
      </c>
      <c r="C235" s="150" t="str">
        <f>'Paste #BBall'!C235</f>
        <v>C</v>
      </c>
      <c r="D235" s="150" t="str">
        <f>'Paste #BBall'!D235</f>
        <v>DAL</v>
      </c>
      <c r="E235" s="151">
        <f>'Paste #BBall'!E235</f>
        <v>50</v>
      </c>
      <c r="F235" s="152">
        <f>'Paste #BBall'!F235</f>
        <v>11.1</v>
      </c>
      <c r="G235" s="153" t="str">
        <f>right(Left('Paste #BBall'!G235,Search("/",'Paste #BBall'!G235)-1),len(Left('Paste #BBall'!G235,Search("/",'Paste #BBall'!G235)-1))-search("(",Left('Paste #BBall'!G235,Search("/",'Paste #BBall'!G235)-1)))</f>
        <v>2.0</v>
      </c>
      <c r="H235" s="152">
        <f t="shared" si="1"/>
        <v>0.625</v>
      </c>
      <c r="I235" s="152" t="str">
        <f>right(Left('Paste #BBall'!H235,Search("/",'Paste #BBall'!H235)-1),len(Left('Paste #BBall'!H235,Search("/",'Paste #BBall'!H235)-1))-search("(",Left('Paste #BBall'!H235,Search("/",'Paste #BBall'!H235)-1)))</f>
        <v>0.5</v>
      </c>
      <c r="J235" s="152">
        <f t="shared" si="2"/>
        <v>0.625</v>
      </c>
      <c r="K235" s="152">
        <f>'Paste #BBall'!I235</f>
        <v>0</v>
      </c>
      <c r="L235" s="152">
        <f>'Paste #BBall'!J235</f>
        <v>4.5</v>
      </c>
      <c r="M235" s="152">
        <f>'Paste #BBall'!K235</f>
        <v>4.6</v>
      </c>
      <c r="N235" s="152">
        <f>'Paste #BBall'!L235</f>
        <v>0.9</v>
      </c>
      <c r="O235" s="152">
        <f>'Paste #BBall'!M235</f>
        <v>0.4</v>
      </c>
      <c r="P235" s="152">
        <f>'Paste #BBall'!N235</f>
        <v>0.9</v>
      </c>
      <c r="Q235" s="152">
        <f>'Paste #BBall'!O235</f>
        <v>0.5</v>
      </c>
      <c r="R235" s="153" t="str">
        <f>Left(Right('Paste #BBall'!G235,Len('Paste #BBall'!G235)-Search("/",'Paste #BBall'!G235)),Len(Right('Paste #BBall'!G235,Len('Paste #BBall'!G235)-Search("/",'Paste #BBall'!G235)))-1)</f>
        <v>3.2</v>
      </c>
      <c r="S235" s="153" t="str">
        <f>Left(Right('Paste #BBall'!H235,Len('Paste #BBall'!H235)-Search("/",'Paste #BBall'!H235)),Len(Right('Paste #BBall'!H235,Len('Paste #BBall'!H235)-Search("/",'Paste #BBall'!H235)))-1)</f>
        <v>0.8</v>
      </c>
    </row>
    <row r="236">
      <c r="A236" s="33">
        <v>235.0</v>
      </c>
      <c r="B236" s="149" t="str">
        <f>'Paste #BBall'!B236</f>
        <v>Jaden Hardy</v>
      </c>
      <c r="C236" s="150" t="str">
        <f>'Paste #BBall'!C236</f>
        <v>PG,SG</v>
      </c>
      <c r="D236" s="150" t="str">
        <f>'Paste #BBall'!D236</f>
        <v>DAL</v>
      </c>
      <c r="E236" s="151">
        <f>'Paste #BBall'!E236</f>
        <v>69</v>
      </c>
      <c r="F236" s="152">
        <f>'Paste #BBall'!F236</f>
        <v>19.2</v>
      </c>
      <c r="G236" s="153" t="str">
        <f>right(Left('Paste #BBall'!G236,Search("/",'Paste #BBall'!G236)-1),len(Left('Paste #BBall'!G236,Search("/",'Paste #BBall'!G236)-1))-search("(",Left('Paste #BBall'!G236,Search("/",'Paste #BBall'!G236)-1)))</f>
        <v>4.0</v>
      </c>
      <c r="H236" s="152">
        <f t="shared" si="1"/>
        <v>0.4444444444</v>
      </c>
      <c r="I236" s="152" t="str">
        <f>right(Left('Paste #BBall'!H236,Search("/",'Paste #BBall'!H236)-1),len(Left('Paste #BBall'!H236,Search("/",'Paste #BBall'!H236)-1))-search("(",Left('Paste #BBall'!H236,Search("/",'Paste #BBall'!H236)-1)))</f>
        <v>1.8</v>
      </c>
      <c r="J236" s="152">
        <f t="shared" si="2"/>
        <v>0.8181818182</v>
      </c>
      <c r="K236" s="152">
        <f>'Paste #BBall'!I236</f>
        <v>1.7</v>
      </c>
      <c r="L236" s="152">
        <f>'Paste #BBall'!J236</f>
        <v>11.5</v>
      </c>
      <c r="M236" s="152">
        <f>'Paste #BBall'!K236</f>
        <v>2.4</v>
      </c>
      <c r="N236" s="152">
        <f>'Paste #BBall'!L236</f>
        <v>1.8</v>
      </c>
      <c r="O236" s="152">
        <f>'Paste #BBall'!M236</f>
        <v>0.5</v>
      </c>
      <c r="P236" s="152">
        <f>'Paste #BBall'!N236</f>
        <v>0.2</v>
      </c>
      <c r="Q236" s="152">
        <f>'Paste #BBall'!O236</f>
        <v>1.3</v>
      </c>
      <c r="R236" s="153" t="str">
        <f>Left(Right('Paste #BBall'!G236,Len('Paste #BBall'!G236)-Search("/",'Paste #BBall'!G236)),Len(Right('Paste #BBall'!G236,Len('Paste #BBall'!G236)-Search("/",'Paste #BBall'!G236)))-1)</f>
        <v>9.0</v>
      </c>
      <c r="S236" s="153" t="str">
        <f>Left(Right('Paste #BBall'!H236,Len('Paste #BBall'!H236)-Search("/",'Paste #BBall'!H236)),Len(Right('Paste #BBall'!H236,Len('Paste #BBall'!H236)-Search("/",'Paste #BBall'!H236)))-1)</f>
        <v>2.2</v>
      </c>
    </row>
    <row r="237">
      <c r="A237" s="33">
        <v>236.0</v>
      </c>
      <c r="B237" s="149" t="str">
        <f>'Paste #BBall'!B237</f>
        <v>Christian Wood</v>
      </c>
      <c r="C237" s="150" t="str">
        <f>'Paste #BBall'!C237</f>
        <v>PF</v>
      </c>
      <c r="D237" s="150" t="str">
        <f>'Paste #BBall'!D237</f>
        <v>LAL</v>
      </c>
      <c r="E237" s="151">
        <f>'Paste #BBall'!E237</f>
        <v>69</v>
      </c>
      <c r="F237" s="152">
        <f>'Paste #BBall'!F237</f>
        <v>17.2</v>
      </c>
      <c r="G237" s="153" t="str">
        <f>right(Left('Paste #BBall'!G237,Search("/",'Paste #BBall'!G237)-1),len(Left('Paste #BBall'!G237,Search("/",'Paste #BBall'!G237)-1))-search("(",Left('Paste #BBall'!G237,Search("/",'Paste #BBall'!G237)-1)))</f>
        <v>3.5</v>
      </c>
      <c r="H237" s="152">
        <f t="shared" si="1"/>
        <v>0.5</v>
      </c>
      <c r="I237" s="152" t="str">
        <f>right(Left('Paste #BBall'!H237,Search("/",'Paste #BBall'!H237)-1),len(Left('Paste #BBall'!H237,Search("/",'Paste #BBall'!H237)-1))-search("(",Left('Paste #BBall'!H237,Search("/",'Paste #BBall'!H237)-1)))</f>
        <v>1.8</v>
      </c>
      <c r="J237" s="152">
        <f t="shared" si="2"/>
        <v>0.6923076923</v>
      </c>
      <c r="K237" s="152">
        <f>'Paste #BBall'!I237</f>
        <v>1</v>
      </c>
      <c r="L237" s="152">
        <f>'Paste #BBall'!J237</f>
        <v>9.8</v>
      </c>
      <c r="M237" s="152">
        <f>'Paste #BBall'!K237</f>
        <v>5</v>
      </c>
      <c r="N237" s="152">
        <f>'Paste #BBall'!L237</f>
        <v>1.2</v>
      </c>
      <c r="O237" s="152">
        <f>'Paste #BBall'!M237</f>
        <v>0.4</v>
      </c>
      <c r="P237" s="152">
        <f>'Paste #BBall'!N237</f>
        <v>0.6</v>
      </c>
      <c r="Q237" s="152">
        <f>'Paste #BBall'!O237</f>
        <v>1.1</v>
      </c>
      <c r="R237" s="153" t="str">
        <f>Left(Right('Paste #BBall'!G237,Len('Paste #BBall'!G237)-Search("/",'Paste #BBall'!G237)),Len(Right('Paste #BBall'!G237,Len('Paste #BBall'!G237)-Search("/",'Paste #BBall'!G237)))-1)</f>
        <v>7.0</v>
      </c>
      <c r="S237" s="153" t="str">
        <f>Left(Right('Paste #BBall'!H237,Len('Paste #BBall'!H237)-Search("/",'Paste #BBall'!H237)),Len(Right('Paste #BBall'!H237,Len('Paste #BBall'!H237)-Search("/",'Paste #BBall'!H237)))-1)</f>
        <v>2.6</v>
      </c>
    </row>
    <row r="238">
      <c r="A238" s="33">
        <v>237.0</v>
      </c>
      <c r="B238" s="149" t="str">
        <f>'Paste #BBall'!B238</f>
        <v>Taylor Hendricks</v>
      </c>
      <c r="C238" s="150" t="str">
        <f>'Paste #BBall'!C238</f>
        <v>PF</v>
      </c>
      <c r="D238" s="150" t="str">
        <f>'Paste #BBall'!D238</f>
        <v>UTA</v>
      </c>
      <c r="E238" s="151">
        <f>'Paste #BBall'!E238</f>
        <v>72</v>
      </c>
      <c r="F238" s="152">
        <f>'Paste #BBall'!F238</f>
        <v>22</v>
      </c>
      <c r="G238" s="153" t="str">
        <f>right(Left('Paste #BBall'!G238,Search("/",'Paste #BBall'!G238)-1),len(Left('Paste #BBall'!G238,Search("/",'Paste #BBall'!G238)-1))-search("(",Left('Paste #BBall'!G238,Search("/",'Paste #BBall'!G238)-1)))</f>
        <v>3.2</v>
      </c>
      <c r="H238" s="152">
        <f t="shared" si="1"/>
        <v>0.4571428571</v>
      </c>
      <c r="I238" s="152" t="str">
        <f>right(Left('Paste #BBall'!H238,Search("/",'Paste #BBall'!H238)-1),len(Left('Paste #BBall'!H238,Search("/",'Paste #BBall'!H238)-1))-search("(",Left('Paste #BBall'!H238,Search("/",'Paste #BBall'!H238)-1)))</f>
        <v>1.6</v>
      </c>
      <c r="J238" s="152">
        <f t="shared" si="2"/>
        <v>0.8</v>
      </c>
      <c r="K238" s="152">
        <f>'Paste #BBall'!I238</f>
        <v>0.8</v>
      </c>
      <c r="L238" s="152">
        <f>'Paste #BBall'!J238</f>
        <v>8.8</v>
      </c>
      <c r="M238" s="152">
        <f>'Paste #BBall'!K238</f>
        <v>5.6</v>
      </c>
      <c r="N238" s="152">
        <f>'Paste #BBall'!L238</f>
        <v>1.7</v>
      </c>
      <c r="O238" s="152">
        <f>'Paste #BBall'!M238</f>
        <v>0.4</v>
      </c>
      <c r="P238" s="152">
        <f>'Paste #BBall'!N238</f>
        <v>0.4</v>
      </c>
      <c r="Q238" s="152">
        <f>'Paste #BBall'!O238</f>
        <v>1.2</v>
      </c>
      <c r="R238" s="153" t="str">
        <f>Left(Right('Paste #BBall'!G238,Len('Paste #BBall'!G238)-Search("/",'Paste #BBall'!G238)),Len(Right('Paste #BBall'!G238,Len('Paste #BBall'!G238)-Search("/",'Paste #BBall'!G238)))-1)</f>
        <v>7.0</v>
      </c>
      <c r="S238" s="153" t="str">
        <f>Left(Right('Paste #BBall'!H238,Len('Paste #BBall'!H238)-Search("/",'Paste #BBall'!H238)),Len(Right('Paste #BBall'!H238,Len('Paste #BBall'!H238)-Search("/",'Paste #BBall'!H238)))-1)</f>
        <v>2.0</v>
      </c>
    </row>
    <row r="239">
      <c r="A239" s="33">
        <v>238.0</v>
      </c>
      <c r="B239" s="149" t="str">
        <f>'Paste #BBall'!B239</f>
        <v>Nassir Little</v>
      </c>
      <c r="C239" s="150" t="str">
        <f>'Paste #BBall'!C239</f>
        <v>SF,PF</v>
      </c>
      <c r="D239" s="150" t="str">
        <f>'Paste #BBall'!D239</f>
        <v>PHO</v>
      </c>
      <c r="E239" s="151">
        <f>'Paste #BBall'!E239</f>
        <v>58</v>
      </c>
      <c r="F239" s="152">
        <f>'Paste #BBall'!F239</f>
        <v>22</v>
      </c>
      <c r="G239" s="153" t="str">
        <f>right(Left('Paste #BBall'!G239,Search("/",'Paste #BBall'!G239)-1),len(Left('Paste #BBall'!G239,Search("/",'Paste #BBall'!G239)-1))-search("(",Left('Paste #BBall'!G239,Search("/",'Paste #BBall'!G239)-1)))</f>
        <v>3.0</v>
      </c>
      <c r="H239" s="152">
        <f t="shared" si="1"/>
        <v>0.447761194</v>
      </c>
      <c r="I239" s="152" t="str">
        <f>right(Left('Paste #BBall'!H239,Search("/",'Paste #BBall'!H239)-1),len(Left('Paste #BBall'!H239,Search("/",'Paste #BBall'!H239)-1))-search("(",Left('Paste #BBall'!H239,Search("/",'Paste #BBall'!H239)-1)))</f>
        <v>1.1</v>
      </c>
      <c r="J239" s="152">
        <f t="shared" si="2"/>
        <v>0.7333333333</v>
      </c>
      <c r="K239" s="152">
        <f>'Paste #BBall'!I239</f>
        <v>1.2</v>
      </c>
      <c r="L239" s="152">
        <f>'Paste #BBall'!J239</f>
        <v>8.3</v>
      </c>
      <c r="M239" s="152">
        <f>'Paste #BBall'!K239</f>
        <v>4.1</v>
      </c>
      <c r="N239" s="152">
        <f>'Paste #BBall'!L239</f>
        <v>1.1</v>
      </c>
      <c r="O239" s="152">
        <f>'Paste #BBall'!M239</f>
        <v>0.5</v>
      </c>
      <c r="P239" s="152">
        <f>'Paste #BBall'!N239</f>
        <v>0.6</v>
      </c>
      <c r="Q239" s="152">
        <f>'Paste #BBall'!O239</f>
        <v>0.8</v>
      </c>
      <c r="R239" s="153" t="str">
        <f>Left(Right('Paste #BBall'!G239,Len('Paste #BBall'!G239)-Search("/",'Paste #BBall'!G239)),Len(Right('Paste #BBall'!G239,Len('Paste #BBall'!G239)-Search("/",'Paste #BBall'!G239)))-1)</f>
        <v>6.7</v>
      </c>
      <c r="S239" s="153" t="str">
        <f>Left(Right('Paste #BBall'!H239,Len('Paste #BBall'!H239)-Search("/",'Paste #BBall'!H239)),Len(Right('Paste #BBall'!H239,Len('Paste #BBall'!H239)-Search("/",'Paste #BBall'!H239)))-1)</f>
        <v>1.5</v>
      </c>
    </row>
    <row r="240">
      <c r="A240" s="33">
        <v>239.0</v>
      </c>
      <c r="B240" s="149" t="str">
        <f>'Paste #BBall'!B240</f>
        <v>Sam Hauser</v>
      </c>
      <c r="C240" s="150" t="str">
        <f>'Paste #BBall'!C240</f>
        <v>SF,PF</v>
      </c>
      <c r="D240" s="150" t="str">
        <f>'Paste #BBall'!D240</f>
        <v>BOS</v>
      </c>
      <c r="E240" s="151">
        <f>'Paste #BBall'!E240</f>
        <v>76</v>
      </c>
      <c r="F240" s="152">
        <f>'Paste #BBall'!F240</f>
        <v>18.7</v>
      </c>
      <c r="G240" s="153" t="str">
        <f>right(Left('Paste #BBall'!G240,Search("/",'Paste #BBall'!G240)-1),len(Left('Paste #BBall'!G240,Search("/",'Paste #BBall'!G240)-1))-search("(",Left('Paste #BBall'!G240,Search("/",'Paste #BBall'!G240)-1)))</f>
        <v>2.7</v>
      </c>
      <c r="H240" s="152">
        <f t="shared" si="1"/>
        <v>0.4655172414</v>
      </c>
      <c r="I240" s="152" t="str">
        <f>right(Left('Paste #BBall'!H240,Search("/",'Paste #BBall'!H240)-1),len(Left('Paste #BBall'!H240,Search("/",'Paste #BBall'!H240)-1))-search("(",Left('Paste #BBall'!H240,Search("/",'Paste #BBall'!H240)-1)))</f>
        <v>0.2</v>
      </c>
      <c r="J240" s="152">
        <f t="shared" si="2"/>
        <v>1</v>
      </c>
      <c r="K240" s="152">
        <f>'Paste #BBall'!I240</f>
        <v>2.1</v>
      </c>
      <c r="L240" s="152">
        <f>'Paste #BBall'!J240</f>
        <v>7.5</v>
      </c>
      <c r="M240" s="152">
        <f>'Paste #BBall'!K240</f>
        <v>3</v>
      </c>
      <c r="N240" s="152">
        <f>'Paste #BBall'!L240</f>
        <v>1.1</v>
      </c>
      <c r="O240" s="152">
        <f>'Paste #BBall'!M240</f>
        <v>0.4</v>
      </c>
      <c r="P240" s="152">
        <f>'Paste #BBall'!N240</f>
        <v>0.3</v>
      </c>
      <c r="Q240" s="152">
        <f>'Paste #BBall'!O240</f>
        <v>0.4</v>
      </c>
      <c r="R240" s="153" t="str">
        <f>Left(Right('Paste #BBall'!G240,Len('Paste #BBall'!G240)-Search("/",'Paste #BBall'!G240)),Len(Right('Paste #BBall'!G240,Len('Paste #BBall'!G240)-Search("/",'Paste #BBall'!G240)))-1)</f>
        <v>5.8</v>
      </c>
      <c r="S240" s="153" t="str">
        <f>Left(Right('Paste #BBall'!H240,Len('Paste #BBall'!H240)-Search("/",'Paste #BBall'!H240)),Len(Right('Paste #BBall'!H240,Len('Paste #BBall'!H240)-Search("/",'Paste #BBall'!H240)))-1)</f>
        <v>0.2</v>
      </c>
    </row>
    <row r="241">
      <c r="A241" s="33">
        <v>240.0</v>
      </c>
      <c r="B241" s="149" t="str">
        <f>'Paste #BBall'!B241</f>
        <v>Aleksej Pokusevski</v>
      </c>
      <c r="C241" s="150" t="str">
        <f>'Paste #BBall'!C241</f>
        <v>PF,C</v>
      </c>
      <c r="D241" s="150" t="str">
        <f>'Paste #BBall'!D241</f>
        <v>OKC</v>
      </c>
      <c r="E241" s="151">
        <f>'Paste #BBall'!E241</f>
        <v>50</v>
      </c>
      <c r="F241" s="152">
        <f>'Paste #BBall'!F241</f>
        <v>18</v>
      </c>
      <c r="G241" s="153" t="str">
        <f>right(Left('Paste #BBall'!G241,Search("/",'Paste #BBall'!G241)-1),len(Left('Paste #BBall'!G241,Search("/",'Paste #BBall'!G241)-1))-search("(",Left('Paste #BBall'!G241,Search("/",'Paste #BBall'!G241)-1)))</f>
        <v>2.8</v>
      </c>
      <c r="H241" s="152">
        <f t="shared" si="1"/>
        <v>0.4242424242</v>
      </c>
      <c r="I241" s="152" t="str">
        <f>right(Left('Paste #BBall'!H241,Search("/",'Paste #BBall'!H241)-1),len(Left('Paste #BBall'!H241,Search("/",'Paste #BBall'!H241)-1))-search("(",Left('Paste #BBall'!H241,Search("/",'Paste #BBall'!H241)-1)))</f>
        <v>0.5</v>
      </c>
      <c r="J241" s="152">
        <f t="shared" si="2"/>
        <v>0.625</v>
      </c>
      <c r="K241" s="152">
        <f>'Paste #BBall'!I241</f>
        <v>0.9</v>
      </c>
      <c r="L241" s="152">
        <f>'Paste #BBall'!J241</f>
        <v>7</v>
      </c>
      <c r="M241" s="152">
        <f>'Paste #BBall'!K241</f>
        <v>4.5</v>
      </c>
      <c r="N241" s="152">
        <f>'Paste #BBall'!L241</f>
        <v>1.8</v>
      </c>
      <c r="O241" s="152">
        <f>'Paste #BBall'!M241</f>
        <v>0.6</v>
      </c>
      <c r="P241" s="152">
        <f>'Paste #BBall'!N241</f>
        <v>0.8</v>
      </c>
      <c r="Q241" s="152">
        <f>'Paste #BBall'!O241</f>
        <v>1.3</v>
      </c>
      <c r="R241" s="153" t="str">
        <f>Left(Right('Paste #BBall'!G241,Len('Paste #BBall'!G241)-Search("/",'Paste #BBall'!G241)),Len(Right('Paste #BBall'!G241,Len('Paste #BBall'!G241)-Search("/",'Paste #BBall'!G241)))-1)</f>
        <v>6.6</v>
      </c>
      <c r="S241" s="153" t="str">
        <f>Left(Right('Paste #BBall'!H241,Len('Paste #BBall'!H241)-Search("/",'Paste #BBall'!H241)),Len(Right('Paste #BBall'!H241,Len('Paste #BBall'!H241)-Search("/",'Paste #BBall'!H241)))-1)</f>
        <v>0.8</v>
      </c>
    </row>
    <row r="242">
      <c r="A242" s="33">
        <v>241.0</v>
      </c>
      <c r="B242" s="149" t="str">
        <f>'Paste #BBall'!B242</f>
        <v>Keyonte George</v>
      </c>
      <c r="C242" s="150" t="str">
        <f>'Paste #BBall'!C242</f>
        <v>SG</v>
      </c>
      <c r="D242" s="150" t="str">
        <f>'Paste #BBall'!D242</f>
        <v>UTA</v>
      </c>
      <c r="E242" s="151">
        <f>'Paste #BBall'!E242</f>
        <v>72</v>
      </c>
      <c r="F242" s="152">
        <f>'Paste #BBall'!F242</f>
        <v>26</v>
      </c>
      <c r="G242" s="153" t="str">
        <f>right(Left('Paste #BBall'!G242,Search("/",'Paste #BBall'!G242)-1),len(Left('Paste #BBall'!G242,Search("/",'Paste #BBall'!G242)-1))-search("(",Left('Paste #BBall'!G242,Search("/",'Paste #BBall'!G242)-1)))</f>
        <v>4.9</v>
      </c>
      <c r="H242" s="152">
        <f t="shared" si="1"/>
        <v>0.4224137931</v>
      </c>
      <c r="I242" s="152" t="str">
        <f>right(Left('Paste #BBall'!H242,Search("/",'Paste #BBall'!H242)-1),len(Left('Paste #BBall'!H242,Search("/",'Paste #BBall'!H242)-1))-search("(",Left('Paste #BBall'!H242,Search("/",'Paste #BBall'!H242)-1)))</f>
        <v>1.8</v>
      </c>
      <c r="J242" s="152">
        <f t="shared" si="2"/>
        <v>0.8181818182</v>
      </c>
      <c r="K242" s="152">
        <f>'Paste #BBall'!I242</f>
        <v>1.5</v>
      </c>
      <c r="L242" s="152">
        <f>'Paste #BBall'!J242</f>
        <v>13</v>
      </c>
      <c r="M242" s="152">
        <f>'Paste #BBall'!K242</f>
        <v>2.7</v>
      </c>
      <c r="N242" s="152">
        <f>'Paste #BBall'!L242</f>
        <v>2.6</v>
      </c>
      <c r="O242" s="152">
        <f>'Paste #BBall'!M242</f>
        <v>0.6</v>
      </c>
      <c r="P242" s="152">
        <f>'Paste #BBall'!N242</f>
        <v>0.2</v>
      </c>
      <c r="Q242" s="152">
        <f>'Paste #BBall'!O242</f>
        <v>1.7</v>
      </c>
      <c r="R242" s="153" t="str">
        <f>Left(Right('Paste #BBall'!G242,Len('Paste #BBall'!G242)-Search("/",'Paste #BBall'!G242)),Len(Right('Paste #BBall'!G242,Len('Paste #BBall'!G242)-Search("/",'Paste #BBall'!G242)))-1)</f>
        <v>11.6</v>
      </c>
      <c r="S242" s="153" t="str">
        <f>Left(Right('Paste #BBall'!H242,Len('Paste #BBall'!H242)-Search("/",'Paste #BBall'!H242)),Len(Right('Paste #BBall'!H242,Len('Paste #BBall'!H242)-Search("/",'Paste #BBall'!H242)))-1)</f>
        <v>2.2</v>
      </c>
    </row>
    <row r="243">
      <c r="A243" s="33">
        <v>242.0</v>
      </c>
      <c r="B243" s="149" t="str">
        <f>'Paste #BBall'!B243</f>
        <v>AJ Griffin</v>
      </c>
      <c r="C243" s="150" t="str">
        <f>'Paste #BBall'!C243</f>
        <v>SG,SF</v>
      </c>
      <c r="D243" s="150" t="str">
        <f>'Paste #BBall'!D243</f>
        <v>ATL</v>
      </c>
      <c r="E243" s="151">
        <f>'Paste #BBall'!E243</f>
        <v>72</v>
      </c>
      <c r="F243" s="152">
        <f>'Paste #BBall'!F243</f>
        <v>20.2</v>
      </c>
      <c r="G243" s="153" t="str">
        <f>right(Left('Paste #BBall'!G243,Search("/",'Paste #BBall'!G243)-1),len(Left('Paste #BBall'!G243,Search("/",'Paste #BBall'!G243)-1))-search("(",Left('Paste #BBall'!G243,Search("/",'Paste #BBall'!G243)-1)))</f>
        <v>3.6</v>
      </c>
      <c r="H243" s="152">
        <f t="shared" si="1"/>
        <v>0.4615384615</v>
      </c>
      <c r="I243" s="152" t="str">
        <f>right(Left('Paste #BBall'!H243,Search("/",'Paste #BBall'!H243)-1),len(Left('Paste #BBall'!H243,Search("/",'Paste #BBall'!H243)-1))-search("(",Left('Paste #BBall'!H243,Search("/",'Paste #BBall'!H243)-1)))</f>
        <v>0.6</v>
      </c>
      <c r="J243" s="152">
        <f t="shared" si="2"/>
        <v>0.8571428571</v>
      </c>
      <c r="K243" s="152">
        <f>'Paste #BBall'!I243</f>
        <v>1.5</v>
      </c>
      <c r="L243" s="152">
        <f>'Paste #BBall'!J243</f>
        <v>9.3</v>
      </c>
      <c r="M243" s="152">
        <f>'Paste #BBall'!K243</f>
        <v>2.2</v>
      </c>
      <c r="N243" s="152">
        <f>'Paste #BBall'!L243</f>
        <v>1.1</v>
      </c>
      <c r="O243" s="152">
        <f>'Paste #BBall'!M243</f>
        <v>0.6</v>
      </c>
      <c r="P243" s="152">
        <f>'Paste #BBall'!N243</f>
        <v>0.2</v>
      </c>
      <c r="Q243" s="152">
        <f>'Paste #BBall'!O243</f>
        <v>0.6</v>
      </c>
      <c r="R243" s="153" t="str">
        <f>Left(Right('Paste #BBall'!G243,Len('Paste #BBall'!G243)-Search("/",'Paste #BBall'!G243)),Len(Right('Paste #BBall'!G243,Len('Paste #BBall'!G243)-Search("/",'Paste #BBall'!G243)))-1)</f>
        <v>7.8</v>
      </c>
      <c r="S243" s="153" t="str">
        <f>Left(Right('Paste #BBall'!H243,Len('Paste #BBall'!H243)-Search("/",'Paste #BBall'!H243)),Len(Right('Paste #BBall'!H243,Len('Paste #BBall'!H243)-Search("/",'Paste #BBall'!H243)))-1)</f>
        <v>0.7</v>
      </c>
    </row>
    <row r="244">
      <c r="A244" s="33">
        <v>243.0</v>
      </c>
      <c r="B244" s="149" t="str">
        <f>'Paste #BBall'!B244</f>
        <v>Jaden Springer</v>
      </c>
      <c r="C244" s="150" t="str">
        <f>'Paste #BBall'!C244</f>
        <v>PG,SG</v>
      </c>
      <c r="D244" s="150" t="str">
        <f>'Paste #BBall'!D244</f>
        <v>PHI</v>
      </c>
      <c r="E244" s="151">
        <f>'Paste #BBall'!E244</f>
        <v>58</v>
      </c>
      <c r="F244" s="152">
        <f>'Paste #BBall'!F244</f>
        <v>12.1</v>
      </c>
      <c r="G244" s="153" t="str">
        <f>right(Left('Paste #BBall'!G244,Search("/",'Paste #BBall'!G244)-1),len(Left('Paste #BBall'!G244,Search("/",'Paste #BBall'!G244)-1))-search("(",Left('Paste #BBall'!G244,Search("/",'Paste #BBall'!G244)-1)))</f>
        <v>2.4</v>
      </c>
      <c r="H244" s="152">
        <f t="shared" si="1"/>
        <v>0.5106382979</v>
      </c>
      <c r="I244" s="152" t="str">
        <f>right(Left('Paste #BBall'!H244,Search("/",'Paste #BBall'!H244)-1),len(Left('Paste #BBall'!H244,Search("/",'Paste #BBall'!H244)-1))-search("(",Left('Paste #BBall'!H244,Search("/",'Paste #BBall'!H244)-1)))</f>
        <v>0.8</v>
      </c>
      <c r="J244" s="152">
        <f t="shared" si="2"/>
        <v>0.7272727273</v>
      </c>
      <c r="K244" s="152">
        <f>'Paste #BBall'!I244</f>
        <v>0.3</v>
      </c>
      <c r="L244" s="152">
        <f>'Paste #BBall'!J244</f>
        <v>5.8</v>
      </c>
      <c r="M244" s="152">
        <f>'Paste #BBall'!K244</f>
        <v>2.1</v>
      </c>
      <c r="N244" s="152">
        <f>'Paste #BBall'!L244</f>
        <v>1.1</v>
      </c>
      <c r="O244" s="152">
        <f>'Paste #BBall'!M244</f>
        <v>0.9</v>
      </c>
      <c r="P244" s="152">
        <f>'Paste #BBall'!N244</f>
        <v>0.7</v>
      </c>
      <c r="Q244" s="152">
        <f>'Paste #BBall'!O244</f>
        <v>0.5</v>
      </c>
      <c r="R244" s="153" t="str">
        <f>Left(Right('Paste #BBall'!G244,Len('Paste #BBall'!G244)-Search("/",'Paste #BBall'!G244)),Len(Right('Paste #BBall'!G244,Len('Paste #BBall'!G244)-Search("/",'Paste #BBall'!G244)))-1)</f>
        <v>4.7</v>
      </c>
      <c r="S244" s="153" t="str">
        <f>Left(Right('Paste #BBall'!H244,Len('Paste #BBall'!H244)-Search("/",'Paste #BBall'!H244)),Len(Right('Paste #BBall'!H244,Len('Paste #BBall'!H244)-Search("/",'Paste #BBall'!H244)))-1)</f>
        <v>1.1</v>
      </c>
    </row>
    <row r="245">
      <c r="A245" s="33">
        <v>244.0</v>
      </c>
      <c r="B245" s="149" t="str">
        <f>'Paste #BBall'!B245</f>
        <v>Thomas Bryant</v>
      </c>
      <c r="C245" s="150" t="str">
        <f>'Paste #BBall'!C245</f>
        <v>C</v>
      </c>
      <c r="D245" s="150" t="str">
        <f>'Paste #BBall'!D245</f>
        <v>MIA</v>
      </c>
      <c r="E245" s="151">
        <f>'Paste #BBall'!E245</f>
        <v>60</v>
      </c>
      <c r="F245" s="152">
        <f>'Paste #BBall'!F245</f>
        <v>15.2</v>
      </c>
      <c r="G245" s="153" t="str">
        <f>right(Left('Paste #BBall'!G245,Search("/",'Paste #BBall'!G245)-1),len(Left('Paste #BBall'!G245,Search("/",'Paste #BBall'!G245)-1))-search("(",Left('Paste #BBall'!G245,Search("/",'Paste #BBall'!G245)-1)))</f>
        <v>3.1</v>
      </c>
      <c r="H245" s="152">
        <f t="shared" si="1"/>
        <v>0.5961538462</v>
      </c>
      <c r="I245" s="152" t="str">
        <f>right(Left('Paste #BBall'!H245,Search("/",'Paste #BBall'!H245)-1),len(Left('Paste #BBall'!H245,Search("/",'Paste #BBall'!H245)-1))-search("(",Left('Paste #BBall'!H245,Search("/",'Paste #BBall'!H245)-1)))</f>
        <v>1.3</v>
      </c>
      <c r="J245" s="152">
        <f t="shared" si="2"/>
        <v>0.7647058824</v>
      </c>
      <c r="K245" s="152">
        <f>'Paste #BBall'!I245</f>
        <v>0.4</v>
      </c>
      <c r="L245" s="152">
        <f>'Paste #BBall'!J245</f>
        <v>7.9</v>
      </c>
      <c r="M245" s="152">
        <f>'Paste #BBall'!K245</f>
        <v>4.5</v>
      </c>
      <c r="N245" s="152">
        <f>'Paste #BBall'!L245</f>
        <v>0.6</v>
      </c>
      <c r="O245" s="152">
        <f>'Paste #BBall'!M245</f>
        <v>0.2</v>
      </c>
      <c r="P245" s="152">
        <f>'Paste #BBall'!N245</f>
        <v>0.5</v>
      </c>
      <c r="Q245" s="152">
        <f>'Paste #BBall'!O245</f>
        <v>0.6</v>
      </c>
      <c r="R245" s="153" t="str">
        <f>Left(Right('Paste #BBall'!G245,Len('Paste #BBall'!G245)-Search("/",'Paste #BBall'!G245)),Len(Right('Paste #BBall'!G245,Len('Paste #BBall'!G245)-Search("/",'Paste #BBall'!G245)))-1)</f>
        <v>5.2</v>
      </c>
      <c r="S245" s="153" t="str">
        <f>Left(Right('Paste #BBall'!H245,Len('Paste #BBall'!H245)-Search("/",'Paste #BBall'!H245)),Len(Right('Paste #BBall'!H245,Len('Paste #BBall'!H245)-Search("/",'Paste #BBall'!H245)))-1)</f>
        <v>1.7</v>
      </c>
    </row>
    <row r="246">
      <c r="A246" s="33">
        <v>245.0</v>
      </c>
      <c r="B246" s="149" t="str">
        <f>'Paste #BBall'!B246</f>
        <v>Ricky Rubio</v>
      </c>
      <c r="C246" s="150" t="str">
        <f>'Paste #BBall'!C246</f>
        <v>PG,SG</v>
      </c>
      <c r="D246" s="150" t="str">
        <f>'Paste #BBall'!D246</f>
        <v>CLE</v>
      </c>
      <c r="E246" s="151">
        <f>'Paste #BBall'!E246</f>
        <v>38</v>
      </c>
      <c r="F246" s="152">
        <f>'Paste #BBall'!F246</f>
        <v>18.4</v>
      </c>
      <c r="G246" s="153" t="str">
        <f>right(Left('Paste #BBall'!G246,Search("/",'Paste #BBall'!G246)-1),len(Left('Paste #BBall'!G246,Search("/",'Paste #BBall'!G246)-1))-search("(",Left('Paste #BBall'!G246,Search("/",'Paste #BBall'!G246)-1)))</f>
        <v>2.5</v>
      </c>
      <c r="H246" s="152">
        <f t="shared" si="1"/>
        <v>0.3521126761</v>
      </c>
      <c r="I246" s="152" t="str">
        <f>right(Left('Paste #BBall'!H246,Search("/",'Paste #BBall'!H246)-1),len(Left('Paste #BBall'!H246,Search("/",'Paste #BBall'!H246)-1))-search("(",Left('Paste #BBall'!H246,Search("/",'Paste #BBall'!H246)-1)))</f>
        <v>1.4</v>
      </c>
      <c r="J246" s="152">
        <f t="shared" si="2"/>
        <v>0.8235294118</v>
      </c>
      <c r="K246" s="152">
        <f>'Paste #BBall'!I246</f>
        <v>1</v>
      </c>
      <c r="L246" s="152">
        <f>'Paste #BBall'!J246</f>
        <v>7.5</v>
      </c>
      <c r="M246" s="152">
        <f>'Paste #BBall'!K246</f>
        <v>2.6</v>
      </c>
      <c r="N246" s="152">
        <f>'Paste #BBall'!L246</f>
        <v>4.1</v>
      </c>
      <c r="O246" s="152">
        <f>'Paste #BBall'!M246</f>
        <v>0.9</v>
      </c>
      <c r="P246" s="152">
        <f>'Paste #BBall'!N246</f>
        <v>0.2</v>
      </c>
      <c r="Q246" s="152">
        <f>'Paste #BBall'!O246</f>
        <v>1.5</v>
      </c>
      <c r="R246" s="153" t="str">
        <f>Left(Right('Paste #BBall'!G246,Len('Paste #BBall'!G246)-Search("/",'Paste #BBall'!G246)),Len(Right('Paste #BBall'!G246,Len('Paste #BBall'!G246)-Search("/",'Paste #BBall'!G246)))-1)</f>
        <v>7.1</v>
      </c>
      <c r="S246" s="153" t="str">
        <f>Left(Right('Paste #BBall'!H246,Len('Paste #BBall'!H246)-Search("/",'Paste #BBall'!H246)),Len(Right('Paste #BBall'!H246,Len('Paste #BBall'!H246)-Search("/",'Paste #BBall'!H246)))-1)</f>
        <v>1.7</v>
      </c>
    </row>
    <row r="247">
      <c r="A247" s="33">
        <v>246.0</v>
      </c>
      <c r="B247" s="149" t="str">
        <f>'Paste #BBall'!B247</f>
        <v>Jalen McDaniels</v>
      </c>
      <c r="C247" s="150" t="str">
        <f>'Paste #BBall'!C247</f>
        <v>SF,PF</v>
      </c>
      <c r="D247" s="150" t="str">
        <f>'Paste #BBall'!D247</f>
        <v>TOR</v>
      </c>
      <c r="E247" s="151">
        <f>'Paste #BBall'!E247</f>
        <v>70</v>
      </c>
      <c r="F247" s="152">
        <f>'Paste #BBall'!F247</f>
        <v>18</v>
      </c>
      <c r="G247" s="153" t="str">
        <f>right(Left('Paste #BBall'!G247,Search("/",'Paste #BBall'!G247)-1),len(Left('Paste #BBall'!G247,Search("/",'Paste #BBall'!G247)-1))-search("(",Left('Paste #BBall'!G247,Search("/",'Paste #BBall'!G247)-1)))</f>
        <v>2.6</v>
      </c>
      <c r="H247" s="152">
        <f t="shared" si="1"/>
        <v>0.4561403509</v>
      </c>
      <c r="I247" s="152" t="str">
        <f>right(Left('Paste #BBall'!H247,Search("/",'Paste #BBall'!H247)-1),len(Left('Paste #BBall'!H247,Search("/",'Paste #BBall'!H247)-1))-search("(",Left('Paste #BBall'!H247,Search("/",'Paste #BBall'!H247)-1)))</f>
        <v>1.1</v>
      </c>
      <c r="J247" s="152">
        <f t="shared" si="2"/>
        <v>0.7857142857</v>
      </c>
      <c r="K247" s="152">
        <f>'Paste #BBall'!I247</f>
        <v>0.8</v>
      </c>
      <c r="L247" s="152">
        <f>'Paste #BBall'!J247</f>
        <v>7.1</v>
      </c>
      <c r="M247" s="152">
        <f>'Paste #BBall'!K247</f>
        <v>3.3</v>
      </c>
      <c r="N247" s="152">
        <f>'Paste #BBall'!L247</f>
        <v>1.2</v>
      </c>
      <c r="O247" s="152">
        <f>'Paste #BBall'!M247</f>
        <v>0.7</v>
      </c>
      <c r="P247" s="152">
        <f>'Paste #BBall'!N247</f>
        <v>0.4</v>
      </c>
      <c r="Q247" s="152">
        <f>'Paste #BBall'!O247</f>
        <v>0.8</v>
      </c>
      <c r="R247" s="153" t="str">
        <f>Left(Right('Paste #BBall'!G247,Len('Paste #BBall'!G247)-Search("/",'Paste #BBall'!G247)),Len(Right('Paste #BBall'!G247,Len('Paste #BBall'!G247)-Search("/",'Paste #BBall'!G247)))-1)</f>
        <v>5.7</v>
      </c>
      <c r="S247" s="153" t="str">
        <f>Left(Right('Paste #BBall'!H247,Len('Paste #BBall'!H247)-Search("/",'Paste #BBall'!H247)),Len(Right('Paste #BBall'!H247,Len('Paste #BBall'!H247)-Search("/",'Paste #BBall'!H247)))-1)</f>
        <v>1.4</v>
      </c>
    </row>
    <row r="248">
      <c r="A248" s="33">
        <v>247.0</v>
      </c>
      <c r="B248" s="149" t="str">
        <f>'Paste #BBall'!B248</f>
        <v>Dario Saric</v>
      </c>
      <c r="C248" s="150" t="str">
        <f>'Paste #BBall'!C248</f>
        <v>PF,C</v>
      </c>
      <c r="D248" s="150" t="str">
        <f>'Paste #BBall'!D248</f>
        <v>GS</v>
      </c>
      <c r="E248" s="151">
        <f>'Paste #BBall'!E248</f>
        <v>67</v>
      </c>
      <c r="F248" s="152">
        <f>'Paste #BBall'!F248</f>
        <v>17.8</v>
      </c>
      <c r="G248" s="153" t="str">
        <f>right(Left('Paste #BBall'!G248,Search("/",'Paste #BBall'!G248)-1),len(Left('Paste #BBall'!G248,Search("/",'Paste #BBall'!G248)-1))-search("(",Left('Paste #BBall'!G248,Search("/",'Paste #BBall'!G248)-1)))</f>
        <v>2.8</v>
      </c>
      <c r="H248" s="152">
        <f t="shared" si="1"/>
        <v>0.4516129032</v>
      </c>
      <c r="I248" s="152" t="str">
        <f>right(Left('Paste #BBall'!H248,Search("/",'Paste #BBall'!H248)-1),len(Left('Paste #BBall'!H248,Search("/",'Paste #BBall'!H248)-1))-search("(",Left('Paste #BBall'!H248,Search("/",'Paste #BBall'!H248)-1)))</f>
        <v>1.4</v>
      </c>
      <c r="J248" s="152">
        <f t="shared" si="2"/>
        <v>0.8235294118</v>
      </c>
      <c r="K248" s="152">
        <f>'Paste #BBall'!I248</f>
        <v>1</v>
      </c>
      <c r="L248" s="152">
        <f>'Paste #BBall'!J248</f>
        <v>8.1</v>
      </c>
      <c r="M248" s="152">
        <f>'Paste #BBall'!K248</f>
        <v>4.6</v>
      </c>
      <c r="N248" s="152">
        <f>'Paste #BBall'!L248</f>
        <v>1.7</v>
      </c>
      <c r="O248" s="152">
        <f>'Paste #BBall'!M248</f>
        <v>0.5</v>
      </c>
      <c r="P248" s="152">
        <f>'Paste #BBall'!N248</f>
        <v>0.2</v>
      </c>
      <c r="Q248" s="152">
        <f>'Paste #BBall'!O248</f>
        <v>1.2</v>
      </c>
      <c r="R248" s="153" t="str">
        <f>Left(Right('Paste #BBall'!G248,Len('Paste #BBall'!G248)-Search("/",'Paste #BBall'!G248)),Len(Right('Paste #BBall'!G248,Len('Paste #BBall'!G248)-Search("/",'Paste #BBall'!G248)))-1)</f>
        <v>6.2</v>
      </c>
      <c r="S248" s="153" t="str">
        <f>Left(Right('Paste #BBall'!H248,Len('Paste #BBall'!H248)-Search("/",'Paste #BBall'!H248)),Len(Right('Paste #BBall'!H248,Len('Paste #BBall'!H248)-Search("/",'Paste #BBall'!H248)))-1)</f>
        <v>1.7</v>
      </c>
    </row>
    <row r="249">
      <c r="A249" s="33">
        <v>248.0</v>
      </c>
      <c r="B249" s="149" t="str">
        <f>'Paste #BBall'!B249</f>
        <v>Jordan Goodwin</v>
      </c>
      <c r="C249" s="150" t="str">
        <f>'Paste #BBall'!C249</f>
        <v>PG</v>
      </c>
      <c r="D249" s="150" t="str">
        <f>'Paste #BBall'!D249</f>
        <v>PHO</v>
      </c>
      <c r="E249" s="151">
        <f>'Paste #BBall'!E249</f>
        <v>72</v>
      </c>
      <c r="F249" s="152">
        <f>'Paste #BBall'!F249</f>
        <v>15.8</v>
      </c>
      <c r="G249" s="153" t="str">
        <f>right(Left('Paste #BBall'!G249,Search("/",'Paste #BBall'!G249)-1),len(Left('Paste #BBall'!G249,Search("/",'Paste #BBall'!G249)-1))-search("(",Left('Paste #BBall'!G249,Search("/",'Paste #BBall'!G249)-1)))</f>
        <v>2.3</v>
      </c>
      <c r="H249" s="152">
        <f t="shared" si="1"/>
        <v>0.4509803922</v>
      </c>
      <c r="I249" s="152" t="str">
        <f>right(Left('Paste #BBall'!H249,Search("/",'Paste #BBall'!H249)-1),len(Left('Paste #BBall'!H249,Search("/",'Paste #BBall'!H249)-1))-search("(",Left('Paste #BBall'!H249,Search("/",'Paste #BBall'!H249)-1)))</f>
        <v>0.8</v>
      </c>
      <c r="J249" s="152">
        <f t="shared" si="2"/>
        <v>0.8</v>
      </c>
      <c r="K249" s="152">
        <f>'Paste #BBall'!I249</f>
        <v>0.6</v>
      </c>
      <c r="L249" s="152">
        <f>'Paste #BBall'!J249</f>
        <v>5.8</v>
      </c>
      <c r="M249" s="152">
        <f>'Paste #BBall'!K249</f>
        <v>3</v>
      </c>
      <c r="N249" s="152">
        <f>'Paste #BBall'!L249</f>
        <v>2.4</v>
      </c>
      <c r="O249" s="152">
        <f>'Paste #BBall'!M249</f>
        <v>0.8</v>
      </c>
      <c r="P249" s="152">
        <f>'Paste #BBall'!N249</f>
        <v>0.4</v>
      </c>
      <c r="Q249" s="152">
        <f>'Paste #BBall'!O249</f>
        <v>0.8</v>
      </c>
      <c r="R249" s="153" t="str">
        <f>Left(Right('Paste #BBall'!G249,Len('Paste #BBall'!G249)-Search("/",'Paste #BBall'!G249)),Len(Right('Paste #BBall'!G249,Len('Paste #BBall'!G249)-Search("/",'Paste #BBall'!G249)))-1)</f>
        <v>5.1</v>
      </c>
      <c r="S249" s="153" t="str">
        <f>Left(Right('Paste #BBall'!H249,Len('Paste #BBall'!H249)-Search("/",'Paste #BBall'!H249)),Len(Right('Paste #BBall'!H249,Len('Paste #BBall'!H249)-Search("/",'Paste #BBall'!H249)))-1)</f>
        <v>1.0</v>
      </c>
    </row>
    <row r="250">
      <c r="A250" s="33">
        <v>249.0</v>
      </c>
      <c r="B250" s="149" t="str">
        <f>'Paste #BBall'!B250</f>
        <v>Andre Drummond</v>
      </c>
      <c r="C250" s="150" t="str">
        <f>'Paste #BBall'!C250</f>
        <v>C</v>
      </c>
      <c r="D250" s="150" t="str">
        <f>'Paste #BBall'!D250</f>
        <v>CHI</v>
      </c>
      <c r="E250" s="151">
        <f>'Paste #BBall'!E250</f>
        <v>70</v>
      </c>
      <c r="F250" s="152">
        <f>'Paste #BBall'!F250</f>
        <v>14</v>
      </c>
      <c r="G250" s="153" t="str">
        <f>right(Left('Paste #BBall'!G250,Search("/",'Paste #BBall'!G250)-1),len(Left('Paste #BBall'!G250,Search("/",'Paste #BBall'!G250)-1))-search("(",Left('Paste #BBall'!G250,Search("/",'Paste #BBall'!G250)-1)))</f>
        <v>2.6</v>
      </c>
      <c r="H250" s="152">
        <f t="shared" si="1"/>
        <v>0.5909090909</v>
      </c>
      <c r="I250" s="152" t="str">
        <f>right(Left('Paste #BBall'!H250,Search("/",'Paste #BBall'!H250)-1),len(Left('Paste #BBall'!H250,Search("/",'Paste #BBall'!H250)-1))-search("(",Left('Paste #BBall'!H250,Search("/",'Paste #BBall'!H250)-1)))</f>
        <v>1.0</v>
      </c>
      <c r="J250" s="152">
        <f t="shared" si="2"/>
        <v>0.5555555556</v>
      </c>
      <c r="K250" s="152">
        <f>'Paste #BBall'!I250</f>
        <v>0</v>
      </c>
      <c r="L250" s="152">
        <f>'Paste #BBall'!J250</f>
        <v>6.1</v>
      </c>
      <c r="M250" s="152">
        <f>'Paste #BBall'!K250</f>
        <v>7</v>
      </c>
      <c r="N250" s="152">
        <f>'Paste #BBall'!L250</f>
        <v>1</v>
      </c>
      <c r="O250" s="152">
        <f>'Paste #BBall'!M250</f>
        <v>0.8</v>
      </c>
      <c r="P250" s="152">
        <f>'Paste #BBall'!N250</f>
        <v>0.6</v>
      </c>
      <c r="Q250" s="152">
        <f>'Paste #BBall'!O250</f>
        <v>1.2</v>
      </c>
      <c r="R250" s="153" t="str">
        <f>Left(Right('Paste #BBall'!G250,Len('Paste #BBall'!G250)-Search("/",'Paste #BBall'!G250)),Len(Right('Paste #BBall'!G250,Len('Paste #BBall'!G250)-Search("/",'Paste #BBall'!G250)))-1)</f>
        <v>4.4</v>
      </c>
      <c r="S250" s="153" t="str">
        <f>Left(Right('Paste #BBall'!H250,Len('Paste #BBall'!H250)-Search("/",'Paste #BBall'!H250)),Len(Right('Paste #BBall'!H250,Len('Paste #BBall'!H250)-Search("/",'Paste #BBall'!H250)))-1)</f>
        <v>1.8</v>
      </c>
    </row>
    <row r="251">
      <c r="A251" s="33">
        <v>250.0</v>
      </c>
      <c r="B251" s="149" t="str">
        <f>'Paste #BBall'!B251</f>
        <v>Xavier Tillman Sr.</v>
      </c>
      <c r="C251" s="150" t="str">
        <f>'Paste #BBall'!C251</f>
        <v>PF,C</v>
      </c>
      <c r="D251" s="150" t="str">
        <f>'Paste #BBall'!D251</f>
        <v>MEM</v>
      </c>
      <c r="E251" s="151">
        <f>'Paste #BBall'!E251</f>
        <v>68</v>
      </c>
      <c r="F251" s="152">
        <f>'Paste #BBall'!F251</f>
        <v>16.9</v>
      </c>
      <c r="G251" s="153" t="str">
        <f>right(Left('Paste #BBall'!G251,Search("/",'Paste #BBall'!G251)-1),len(Left('Paste #BBall'!G251,Search("/",'Paste #BBall'!G251)-1))-search("(",Left('Paste #BBall'!G251,Search("/",'Paste #BBall'!G251)-1)))</f>
        <v>2.6</v>
      </c>
      <c r="H251" s="152">
        <f t="shared" si="1"/>
        <v>0.5531914894</v>
      </c>
      <c r="I251" s="152" t="str">
        <f>right(Left('Paste #BBall'!H251,Search("/",'Paste #BBall'!H251)-1),len(Left('Paste #BBall'!H251,Search("/",'Paste #BBall'!H251)-1))-search("(",Left('Paste #BBall'!H251,Search("/",'Paste #BBall'!H251)-1)))</f>
        <v>0.9</v>
      </c>
      <c r="J251" s="152">
        <f t="shared" si="2"/>
        <v>0.6</v>
      </c>
      <c r="K251" s="152">
        <f>'Paste #BBall'!I251</f>
        <v>0.1</v>
      </c>
      <c r="L251" s="152">
        <f>'Paste #BBall'!J251</f>
        <v>6.2</v>
      </c>
      <c r="M251" s="152">
        <f>'Paste #BBall'!K251</f>
        <v>4.2</v>
      </c>
      <c r="N251" s="152">
        <f>'Paste #BBall'!L251</f>
        <v>1.4</v>
      </c>
      <c r="O251" s="152">
        <f>'Paste #BBall'!M251</f>
        <v>1</v>
      </c>
      <c r="P251" s="152">
        <f>'Paste #BBall'!N251</f>
        <v>0.4</v>
      </c>
      <c r="Q251" s="152">
        <f>'Paste #BBall'!O251</f>
        <v>0.7</v>
      </c>
      <c r="R251" s="153" t="str">
        <f>Left(Right('Paste #BBall'!G251,Len('Paste #BBall'!G251)-Search("/",'Paste #BBall'!G251)),Len(Right('Paste #BBall'!G251,Len('Paste #BBall'!G251)-Search("/",'Paste #BBall'!G251)))-1)</f>
        <v>4.7</v>
      </c>
      <c r="S251" s="153" t="str">
        <f>Left(Right('Paste #BBall'!H251,Len('Paste #BBall'!H251)-Search("/",'Paste #BBall'!H251)),Len(Right('Paste #BBall'!H251,Len('Paste #BBall'!H251)-Search("/",'Paste #BBall'!H251)))-1)</f>
        <v>1.5</v>
      </c>
    </row>
    <row r="252">
      <c r="A252" s="33">
        <v>251.0</v>
      </c>
      <c r="B252" s="149" t="str">
        <f>'Paste #BBall'!B252</f>
        <v>Kenyon Martin Jr.</v>
      </c>
      <c r="C252" s="150" t="str">
        <f>'Paste #BBall'!C252</f>
        <v>SF</v>
      </c>
      <c r="D252" s="150" t="str">
        <f>'Paste #BBall'!D252</f>
        <v>LAC</v>
      </c>
      <c r="E252" s="151">
        <f>'Paste #BBall'!E252</f>
        <v>72</v>
      </c>
      <c r="F252" s="152">
        <f>'Paste #BBall'!F252</f>
        <v>20.1</v>
      </c>
      <c r="G252" s="153" t="str">
        <f>right(Left('Paste #BBall'!G252,Search("/",'Paste #BBall'!G252)-1),len(Left('Paste #BBall'!G252,Search("/",'Paste #BBall'!G252)-1))-search("(",Left('Paste #BBall'!G252,Search("/",'Paste #BBall'!G252)-1)))</f>
        <v>3.7</v>
      </c>
      <c r="H252" s="152">
        <f t="shared" si="1"/>
        <v>0.552238806</v>
      </c>
      <c r="I252" s="152" t="str">
        <f>right(Left('Paste #BBall'!H252,Search("/",'Paste #BBall'!H252)-1),len(Left('Paste #BBall'!H252,Search("/",'Paste #BBall'!H252)-1))-search("(",Left('Paste #BBall'!H252,Search("/",'Paste #BBall'!H252)-1)))</f>
        <v>1.2</v>
      </c>
      <c r="J252" s="152">
        <f t="shared" si="2"/>
        <v>0.6315789474</v>
      </c>
      <c r="K252" s="152">
        <f>'Paste #BBall'!I252</f>
        <v>0.7</v>
      </c>
      <c r="L252" s="152">
        <f>'Paste #BBall'!J252</f>
        <v>9.3</v>
      </c>
      <c r="M252" s="152">
        <f>'Paste #BBall'!K252</f>
        <v>4</v>
      </c>
      <c r="N252" s="152">
        <f>'Paste #BBall'!L252</f>
        <v>1.2</v>
      </c>
      <c r="O252" s="152">
        <f>'Paste #BBall'!M252</f>
        <v>0.4</v>
      </c>
      <c r="P252" s="152">
        <f>'Paste #BBall'!N252</f>
        <v>0.4</v>
      </c>
      <c r="Q252" s="152">
        <f>'Paste #BBall'!O252</f>
        <v>0.8</v>
      </c>
      <c r="R252" s="153" t="str">
        <f>Left(Right('Paste #BBall'!G252,Len('Paste #BBall'!G252)-Search("/",'Paste #BBall'!G252)),Len(Right('Paste #BBall'!G252,Len('Paste #BBall'!G252)-Search("/",'Paste #BBall'!G252)))-1)</f>
        <v>6.7</v>
      </c>
      <c r="S252" s="153" t="str">
        <f>Left(Right('Paste #BBall'!H252,Len('Paste #BBall'!H252)-Search("/",'Paste #BBall'!H252)),Len(Right('Paste #BBall'!H252,Len('Paste #BBall'!H252)-Search("/",'Paste #BBall'!H252)))-1)</f>
        <v>1.9</v>
      </c>
    </row>
    <row r="253">
      <c r="A253" s="33">
        <v>252.0</v>
      </c>
      <c r="B253" s="149" t="str">
        <f>'Paste #BBall'!B253</f>
        <v>John Konchar</v>
      </c>
      <c r="C253" s="150" t="str">
        <f>'Paste #BBall'!C253</f>
        <v>SG,SF</v>
      </c>
      <c r="D253" s="150" t="str">
        <f>'Paste #BBall'!D253</f>
        <v>MEM</v>
      </c>
      <c r="E253" s="151">
        <f>'Paste #BBall'!E253</f>
        <v>72</v>
      </c>
      <c r="F253" s="152">
        <f>'Paste #BBall'!F253</f>
        <v>18</v>
      </c>
      <c r="G253" s="153" t="str">
        <f>right(Left('Paste #BBall'!G253,Search("/",'Paste #BBall'!G253)-1),len(Left('Paste #BBall'!G253,Search("/",'Paste #BBall'!G253)-1))-search("(",Left('Paste #BBall'!G253,Search("/",'Paste #BBall'!G253)-1)))</f>
        <v>1.8</v>
      </c>
      <c r="H253" s="152">
        <f t="shared" si="1"/>
        <v>0.4736842105</v>
      </c>
      <c r="I253" s="152" t="str">
        <f>right(Left('Paste #BBall'!H253,Search("/",'Paste #BBall'!H253)-1),len(Left('Paste #BBall'!H253,Search("/",'Paste #BBall'!H253)-1))-search("(",Left('Paste #BBall'!H253,Search("/",'Paste #BBall'!H253)-1)))</f>
        <v>0.4</v>
      </c>
      <c r="J253" s="152">
        <f t="shared" si="2"/>
        <v>0.6666666667</v>
      </c>
      <c r="K253" s="152">
        <f>'Paste #BBall'!I253</f>
        <v>0.7</v>
      </c>
      <c r="L253" s="152">
        <f>'Paste #BBall'!J253</f>
        <v>4.7</v>
      </c>
      <c r="M253" s="152">
        <f>'Paste #BBall'!K253</f>
        <v>4.2</v>
      </c>
      <c r="N253" s="152">
        <f>'Paste #BBall'!L253</f>
        <v>1.4</v>
      </c>
      <c r="O253" s="152">
        <f>'Paste #BBall'!M253</f>
        <v>0.8</v>
      </c>
      <c r="P253" s="152">
        <f>'Paste #BBall'!N253</f>
        <v>0.3</v>
      </c>
      <c r="Q253" s="152">
        <f>'Paste #BBall'!O253</f>
        <v>0.4</v>
      </c>
      <c r="R253" s="153" t="str">
        <f>Left(Right('Paste #BBall'!G253,Len('Paste #BBall'!G253)-Search("/",'Paste #BBall'!G253)),Len(Right('Paste #BBall'!G253,Len('Paste #BBall'!G253)-Search("/",'Paste #BBall'!G253)))-1)</f>
        <v>3.8</v>
      </c>
      <c r="S253" s="153" t="str">
        <f>Left(Right('Paste #BBall'!H253,Len('Paste #BBall'!H253)-Search("/",'Paste #BBall'!H253)),Len(Right('Paste #BBall'!H253,Len('Paste #BBall'!H253)-Search("/",'Paste #BBall'!H253)))-1)</f>
        <v>0.6</v>
      </c>
    </row>
    <row r="254">
      <c r="A254" s="33">
        <v>253.0</v>
      </c>
      <c r="B254" s="149" t="str">
        <f>'Paste #BBall'!B254</f>
        <v>Gradey Dick</v>
      </c>
      <c r="C254" s="150" t="str">
        <f>'Paste #BBall'!C254</f>
        <v>SG</v>
      </c>
      <c r="D254" s="150" t="str">
        <f>'Paste #BBall'!D254</f>
        <v>TOR</v>
      </c>
      <c r="E254" s="151">
        <f>'Paste #BBall'!E254</f>
        <v>72</v>
      </c>
      <c r="F254" s="152">
        <f>'Paste #BBall'!F254</f>
        <v>21</v>
      </c>
      <c r="G254" s="153" t="str">
        <f>right(Left('Paste #BBall'!G254,Search("/",'Paste #BBall'!G254)-1),len(Left('Paste #BBall'!G254,Search("/",'Paste #BBall'!G254)-1))-search("(",Left('Paste #BBall'!G254,Search("/",'Paste #BBall'!G254)-1)))</f>
        <v>2.7</v>
      </c>
      <c r="H254" s="152">
        <f t="shared" si="1"/>
        <v>0.4090909091</v>
      </c>
      <c r="I254" s="152" t="str">
        <f>right(Left('Paste #BBall'!H254,Search("/",'Paste #BBall'!H254)-1),len(Left('Paste #BBall'!H254,Search("/",'Paste #BBall'!H254)-1))-search("(",Left('Paste #BBall'!H254,Search("/",'Paste #BBall'!H254)-1)))</f>
        <v>1.1</v>
      </c>
      <c r="J254" s="152">
        <f t="shared" si="2"/>
        <v>0.8461538462</v>
      </c>
      <c r="K254" s="152">
        <f>'Paste #BBall'!I254</f>
        <v>2</v>
      </c>
      <c r="L254" s="152">
        <f>'Paste #BBall'!J254</f>
        <v>8.5</v>
      </c>
      <c r="M254" s="152">
        <f>'Paste #BBall'!K254</f>
        <v>2.2</v>
      </c>
      <c r="N254" s="152">
        <f>'Paste #BBall'!L254</f>
        <v>1.2</v>
      </c>
      <c r="O254" s="152">
        <f>'Paste #BBall'!M254</f>
        <v>0.6</v>
      </c>
      <c r="P254" s="152">
        <f>'Paste #BBall'!N254</f>
        <v>0.1</v>
      </c>
      <c r="Q254" s="152">
        <f>'Paste #BBall'!O254</f>
        <v>0.6</v>
      </c>
      <c r="R254" s="153" t="str">
        <f>Left(Right('Paste #BBall'!G254,Len('Paste #BBall'!G254)-Search("/",'Paste #BBall'!G254)),Len(Right('Paste #BBall'!G254,Len('Paste #BBall'!G254)-Search("/",'Paste #BBall'!G254)))-1)</f>
        <v>6.6</v>
      </c>
      <c r="S254" s="153" t="str">
        <f>Left(Right('Paste #BBall'!H254,Len('Paste #BBall'!H254)-Search("/",'Paste #BBall'!H254)),Len(Right('Paste #BBall'!H254,Len('Paste #BBall'!H254)-Search("/",'Paste #BBall'!H254)))-1)</f>
        <v>1.3</v>
      </c>
    </row>
    <row r="255">
      <c r="A255" s="33">
        <v>254.0</v>
      </c>
      <c r="B255" s="149" t="str">
        <f>'Paste #BBall'!B255</f>
        <v>Cam Reddish</v>
      </c>
      <c r="C255" s="150" t="str">
        <f>'Paste #BBall'!C255</f>
        <v>SF,PF</v>
      </c>
      <c r="D255" s="150" t="str">
        <f>'Paste #BBall'!D255</f>
        <v>LAL</v>
      </c>
      <c r="E255" s="151">
        <f>'Paste #BBall'!E255</f>
        <v>68</v>
      </c>
      <c r="F255" s="152">
        <f>'Paste #BBall'!F255</f>
        <v>18.4</v>
      </c>
      <c r="G255" s="153" t="str">
        <f>right(Left('Paste #BBall'!G255,Search("/",'Paste #BBall'!G255)-1),len(Left('Paste #BBall'!G255,Search("/",'Paste #BBall'!G255)-1))-search("(",Left('Paste #BBall'!G255,Search("/",'Paste #BBall'!G255)-1)))</f>
        <v>2.8</v>
      </c>
      <c r="H255" s="152">
        <f t="shared" si="1"/>
        <v>0.4179104478</v>
      </c>
      <c r="I255" s="152" t="str">
        <f>right(Left('Paste #BBall'!H255,Search("/",'Paste #BBall'!H255)-1),len(Left('Paste #BBall'!H255,Search("/",'Paste #BBall'!H255)-1))-search("(",Left('Paste #BBall'!H255,Search("/",'Paste #BBall'!H255)-1)))</f>
        <v>1.5</v>
      </c>
      <c r="J255" s="152">
        <f t="shared" si="2"/>
        <v>0.8823529412</v>
      </c>
      <c r="K255" s="152">
        <f>'Paste #BBall'!I255</f>
        <v>1</v>
      </c>
      <c r="L255" s="152">
        <f>'Paste #BBall'!J255</f>
        <v>8.2</v>
      </c>
      <c r="M255" s="152">
        <f>'Paste #BBall'!K255</f>
        <v>1.8</v>
      </c>
      <c r="N255" s="152">
        <f>'Paste #BBall'!L255</f>
        <v>1</v>
      </c>
      <c r="O255" s="152">
        <f>'Paste #BBall'!M255</f>
        <v>0.8</v>
      </c>
      <c r="P255" s="152">
        <f>'Paste #BBall'!N255</f>
        <v>0.3</v>
      </c>
      <c r="Q255" s="152">
        <f>'Paste #BBall'!O255</f>
        <v>1</v>
      </c>
      <c r="R255" s="153" t="str">
        <f>Left(Right('Paste #BBall'!G255,Len('Paste #BBall'!G255)-Search("/",'Paste #BBall'!G255)),Len(Right('Paste #BBall'!G255,Len('Paste #BBall'!G255)-Search("/",'Paste #BBall'!G255)))-1)</f>
        <v>6.7</v>
      </c>
      <c r="S255" s="153" t="str">
        <f>Left(Right('Paste #BBall'!H255,Len('Paste #BBall'!H255)-Search("/",'Paste #BBall'!H255)),Len(Right('Paste #BBall'!H255,Len('Paste #BBall'!H255)-Search("/",'Paste #BBall'!H255)))-1)</f>
        <v>1.7</v>
      </c>
    </row>
    <row r="256">
      <c r="A256" s="33">
        <v>255.0</v>
      </c>
      <c r="B256" s="149" t="str">
        <f>'Paste #BBall'!B256</f>
        <v>Damion Lee</v>
      </c>
      <c r="C256" s="150" t="str">
        <f>'Paste #BBall'!C256</f>
        <v>SG,SF</v>
      </c>
      <c r="D256" s="150" t="str">
        <f>'Paste #BBall'!D256</f>
        <v>PHO</v>
      </c>
      <c r="E256" s="151">
        <f>'Paste #BBall'!E256</f>
        <v>69</v>
      </c>
      <c r="F256" s="152">
        <f>'Paste #BBall'!F256</f>
        <v>20.4</v>
      </c>
      <c r="G256" s="153" t="str">
        <f>right(Left('Paste #BBall'!G256,Search("/",'Paste #BBall'!G256)-1),len(Left('Paste #BBall'!G256,Search("/",'Paste #BBall'!G256)-1))-search("(",Left('Paste #BBall'!G256,Search("/",'Paste #BBall'!G256)-1)))</f>
        <v>2.8</v>
      </c>
      <c r="H256" s="152">
        <f t="shared" si="1"/>
        <v>0.4516129032</v>
      </c>
      <c r="I256" s="152" t="str">
        <f>right(Left('Paste #BBall'!H256,Search("/",'Paste #BBall'!H256)-1),len(Left('Paste #BBall'!H256,Search("/",'Paste #BBall'!H256)-1))-search("(",Left('Paste #BBall'!H256,Search("/",'Paste #BBall'!H256)-1)))</f>
        <v>1.2</v>
      </c>
      <c r="J256" s="152">
        <f t="shared" si="2"/>
        <v>0.9230769231</v>
      </c>
      <c r="K256" s="152">
        <f>'Paste #BBall'!I256</f>
        <v>1.3</v>
      </c>
      <c r="L256" s="152">
        <f>'Paste #BBall'!J256</f>
        <v>8</v>
      </c>
      <c r="M256" s="152">
        <f>'Paste #BBall'!K256</f>
        <v>3.2</v>
      </c>
      <c r="N256" s="152">
        <f>'Paste #BBall'!L256</f>
        <v>1.2</v>
      </c>
      <c r="O256" s="152">
        <f>'Paste #BBall'!M256</f>
        <v>0.5</v>
      </c>
      <c r="P256" s="152">
        <f>'Paste #BBall'!N256</f>
        <v>0.1</v>
      </c>
      <c r="Q256" s="152">
        <f>'Paste #BBall'!O256</f>
        <v>0.9</v>
      </c>
      <c r="R256" s="153" t="str">
        <f>Left(Right('Paste #BBall'!G256,Len('Paste #BBall'!G256)-Search("/",'Paste #BBall'!G256)),Len(Right('Paste #BBall'!G256,Len('Paste #BBall'!G256)-Search("/",'Paste #BBall'!G256)))-1)</f>
        <v>6.2</v>
      </c>
      <c r="S256" s="153" t="str">
        <f>Left(Right('Paste #BBall'!H256,Len('Paste #BBall'!H256)-Search("/",'Paste #BBall'!H256)),Len(Right('Paste #BBall'!H256,Len('Paste #BBall'!H256)-Search("/",'Paste #BBall'!H256)))-1)</f>
        <v>1.3</v>
      </c>
    </row>
    <row r="257">
      <c r="A257" s="33">
        <v>256.0</v>
      </c>
      <c r="B257" s="149" t="str">
        <f>'Paste #BBall'!B257</f>
        <v>P.J. Tucker</v>
      </c>
      <c r="C257" s="150" t="str">
        <f>'Paste #BBall'!C257</f>
        <v>SF</v>
      </c>
      <c r="D257" s="150" t="str">
        <f>'Paste #BBall'!D257</f>
        <v>PHI</v>
      </c>
      <c r="E257" s="151">
        <f>'Paste #BBall'!E257</f>
        <v>73</v>
      </c>
      <c r="F257" s="152">
        <f>'Paste #BBall'!F257</f>
        <v>24.7</v>
      </c>
      <c r="G257" s="153" t="str">
        <f>right(Left('Paste #BBall'!G257,Search("/",'Paste #BBall'!G257)-1),len(Left('Paste #BBall'!G257,Search("/",'Paste #BBall'!G257)-1))-search("(",Left('Paste #BBall'!G257,Search("/",'Paste #BBall'!G257)-1)))</f>
        <v>2.0</v>
      </c>
      <c r="H257" s="152">
        <f t="shared" si="1"/>
        <v>0.4761904762</v>
      </c>
      <c r="I257" s="152" t="str">
        <f>right(Left('Paste #BBall'!H257,Search("/",'Paste #BBall'!H257)-1),len(Left('Paste #BBall'!H257,Search("/",'Paste #BBall'!H257)-1))-search("(",Left('Paste #BBall'!H257,Search("/",'Paste #BBall'!H257)-1)))</f>
        <v>0.4</v>
      </c>
      <c r="J257" s="152">
        <f t="shared" si="2"/>
        <v>0.8</v>
      </c>
      <c r="K257" s="152">
        <f>'Paste #BBall'!I257</f>
        <v>0.9</v>
      </c>
      <c r="L257" s="152">
        <f>'Paste #BBall'!J257</f>
        <v>5.2</v>
      </c>
      <c r="M257" s="152">
        <f>'Paste #BBall'!K257</f>
        <v>4.4</v>
      </c>
      <c r="N257" s="152">
        <f>'Paste #BBall'!L257</f>
        <v>1.4</v>
      </c>
      <c r="O257" s="152">
        <f>'Paste #BBall'!M257</f>
        <v>0.6</v>
      </c>
      <c r="P257" s="152">
        <f>'Paste #BBall'!N257</f>
        <v>0.2</v>
      </c>
      <c r="Q257" s="152">
        <f>'Paste #BBall'!O257</f>
        <v>0.7</v>
      </c>
      <c r="R257" s="153" t="str">
        <f>Left(Right('Paste #BBall'!G257,Len('Paste #BBall'!G257)-Search("/",'Paste #BBall'!G257)),Len(Right('Paste #BBall'!G257,Len('Paste #BBall'!G257)-Search("/",'Paste #BBall'!G257)))-1)</f>
        <v>4.2</v>
      </c>
      <c r="S257" s="153" t="str">
        <f>Left(Right('Paste #BBall'!H257,Len('Paste #BBall'!H257)-Search("/",'Paste #BBall'!H257)),Len(Right('Paste #BBall'!H257,Len('Paste #BBall'!H257)-Search("/",'Paste #BBall'!H257)))-1)</f>
        <v>0.5</v>
      </c>
    </row>
    <row r="258">
      <c r="A258" s="33">
        <v>257.0</v>
      </c>
      <c r="B258" s="149" t="str">
        <f>'Paste #BBall'!B258</f>
        <v>Nickeil Alexander-Walker</v>
      </c>
      <c r="C258" s="150" t="str">
        <f>'Paste #BBall'!C258</f>
        <v>SG,SF</v>
      </c>
      <c r="D258" s="150" t="str">
        <f>'Paste #BBall'!D258</f>
        <v>MIN</v>
      </c>
      <c r="E258" s="151">
        <f>'Paste #BBall'!E258</f>
        <v>67</v>
      </c>
      <c r="F258" s="152">
        <f>'Paste #BBall'!F258</f>
        <v>21.2</v>
      </c>
      <c r="G258" s="153" t="str">
        <f>right(Left('Paste #BBall'!G258,Search("/",'Paste #BBall'!G258)-1),len(Left('Paste #BBall'!G258,Search("/",'Paste #BBall'!G258)-1))-search("(",Left('Paste #BBall'!G258,Search("/",'Paste #BBall'!G258)-1)))</f>
        <v>3.5</v>
      </c>
      <c r="H258" s="152">
        <f t="shared" si="1"/>
        <v>0.393258427</v>
      </c>
      <c r="I258" s="152" t="str">
        <f>right(Left('Paste #BBall'!H258,Search("/",'Paste #BBall'!H258)-1),len(Left('Paste #BBall'!H258,Search("/",'Paste #BBall'!H258)-1))-search("(",Left('Paste #BBall'!H258,Search("/",'Paste #BBall'!H258)-1)))</f>
        <v>1.1</v>
      </c>
      <c r="J258" s="152">
        <f t="shared" si="2"/>
        <v>0.7333333333</v>
      </c>
      <c r="K258" s="152">
        <f>'Paste #BBall'!I258</f>
        <v>1.5</v>
      </c>
      <c r="L258" s="152">
        <f>'Paste #BBall'!J258</f>
        <v>9.6</v>
      </c>
      <c r="M258" s="152">
        <f>'Paste #BBall'!K258</f>
        <v>2.6</v>
      </c>
      <c r="N258" s="152">
        <f>'Paste #BBall'!L258</f>
        <v>2.4</v>
      </c>
      <c r="O258" s="152">
        <f>'Paste #BBall'!M258</f>
        <v>0.7</v>
      </c>
      <c r="P258" s="152">
        <f>'Paste #BBall'!N258</f>
        <v>0.4</v>
      </c>
      <c r="Q258" s="152">
        <f>'Paste #BBall'!O258</f>
        <v>1.4</v>
      </c>
      <c r="R258" s="153" t="str">
        <f>Left(Right('Paste #BBall'!G258,Len('Paste #BBall'!G258)-Search("/",'Paste #BBall'!G258)),Len(Right('Paste #BBall'!G258,Len('Paste #BBall'!G258)-Search("/",'Paste #BBall'!G258)))-1)</f>
        <v>8.9</v>
      </c>
      <c r="S258" s="153" t="str">
        <f>Left(Right('Paste #BBall'!H258,Len('Paste #BBall'!H258)-Search("/",'Paste #BBall'!H258)),Len(Right('Paste #BBall'!H258,Len('Paste #BBall'!H258)-Search("/",'Paste #BBall'!H258)))-1)</f>
        <v>1.5</v>
      </c>
    </row>
    <row r="259">
      <c r="A259" s="33">
        <v>258.0</v>
      </c>
      <c r="B259" s="149" t="str">
        <f>'Paste #BBall'!B259</f>
        <v>Malaki Branham</v>
      </c>
      <c r="C259" s="150" t="str">
        <f>'Paste #BBall'!C259</f>
        <v>PG,SG,SF</v>
      </c>
      <c r="D259" s="150" t="str">
        <f>'Paste #BBall'!D259</f>
        <v>SA</v>
      </c>
      <c r="E259" s="151">
        <f>'Paste #BBall'!E259</f>
        <v>70</v>
      </c>
      <c r="F259" s="152">
        <f>'Paste #BBall'!F259</f>
        <v>24</v>
      </c>
      <c r="G259" s="153" t="str">
        <f>right(Left('Paste #BBall'!G259,Search("/",'Paste #BBall'!G259)-1),len(Left('Paste #BBall'!G259,Search("/",'Paste #BBall'!G259)-1))-search("(",Left('Paste #BBall'!G259,Search("/",'Paste #BBall'!G259)-1)))</f>
        <v>4.2</v>
      </c>
      <c r="H259" s="152">
        <f t="shared" si="1"/>
        <v>0.4375</v>
      </c>
      <c r="I259" s="152" t="str">
        <f>right(Left('Paste #BBall'!H259,Search("/",'Paste #BBall'!H259)-1),len(Left('Paste #BBall'!H259,Search("/",'Paste #BBall'!H259)-1))-search("(",Left('Paste #BBall'!H259,Search("/",'Paste #BBall'!H259)-1)))</f>
        <v>0.9</v>
      </c>
      <c r="J259" s="152">
        <f t="shared" si="2"/>
        <v>0.8181818182</v>
      </c>
      <c r="K259" s="152">
        <f>'Paste #BBall'!I259</f>
        <v>1.2</v>
      </c>
      <c r="L259" s="152">
        <f>'Paste #BBall'!J259</f>
        <v>10.5</v>
      </c>
      <c r="M259" s="152">
        <f>'Paste #BBall'!K259</f>
        <v>2.8</v>
      </c>
      <c r="N259" s="152">
        <f>'Paste #BBall'!L259</f>
        <v>2</v>
      </c>
      <c r="O259" s="152">
        <f>'Paste #BBall'!M259</f>
        <v>0.5</v>
      </c>
      <c r="P259" s="152">
        <f>'Paste #BBall'!N259</f>
        <v>0.1</v>
      </c>
      <c r="Q259" s="152">
        <f>'Paste #BBall'!O259</f>
        <v>1.2</v>
      </c>
      <c r="R259" s="153" t="str">
        <f>Left(Right('Paste #BBall'!G259,Len('Paste #BBall'!G259)-Search("/",'Paste #BBall'!G259)),Len(Right('Paste #BBall'!G259,Len('Paste #BBall'!G259)-Search("/",'Paste #BBall'!G259)))-1)</f>
        <v>9.6</v>
      </c>
      <c r="S259" s="153" t="str">
        <f>Left(Right('Paste #BBall'!H259,Len('Paste #BBall'!H259)-Search("/",'Paste #BBall'!H259)),Len(Right('Paste #BBall'!H259,Len('Paste #BBall'!H259)-Search("/",'Paste #BBall'!H259)))-1)</f>
        <v>1.1</v>
      </c>
    </row>
    <row r="260">
      <c r="A260" s="33">
        <v>259.0</v>
      </c>
      <c r="B260" s="149" t="str">
        <f>'Paste #BBall'!B260</f>
        <v>Jaylin Williams</v>
      </c>
      <c r="C260" s="150" t="str">
        <f>'Paste #BBall'!C260</f>
        <v>PF,C</v>
      </c>
      <c r="D260" s="150" t="str">
        <f>'Paste #BBall'!D260</f>
        <v>OKC</v>
      </c>
      <c r="E260" s="151">
        <f>'Paste #BBall'!E260</f>
        <v>70</v>
      </c>
      <c r="F260" s="152">
        <f>'Paste #BBall'!F260</f>
        <v>18.7</v>
      </c>
      <c r="G260" s="153" t="str">
        <f>right(Left('Paste #BBall'!G260,Search("/",'Paste #BBall'!G260)-1),len(Left('Paste #BBall'!G260,Search("/",'Paste #BBall'!G260)-1))-search("(",Left('Paste #BBall'!G260,Search("/",'Paste #BBall'!G260)-1)))</f>
        <v>2.1</v>
      </c>
      <c r="H260" s="152">
        <f t="shared" si="1"/>
        <v>0.4375</v>
      </c>
      <c r="I260" s="152" t="str">
        <f>right(Left('Paste #BBall'!H260,Search("/",'Paste #BBall'!H260)-1),len(Left('Paste #BBall'!H260,Search("/",'Paste #BBall'!H260)-1))-search("(",Left('Paste #BBall'!H260,Search("/",'Paste #BBall'!H260)-1)))</f>
        <v>0.8</v>
      </c>
      <c r="J260" s="152">
        <f t="shared" si="2"/>
        <v>0.7272727273</v>
      </c>
      <c r="K260" s="152">
        <f>'Paste #BBall'!I260</f>
        <v>1</v>
      </c>
      <c r="L260" s="152">
        <f>'Paste #BBall'!J260</f>
        <v>6</v>
      </c>
      <c r="M260" s="152">
        <f>'Paste #BBall'!K260</f>
        <v>5</v>
      </c>
      <c r="N260" s="152">
        <f>'Paste #BBall'!L260</f>
        <v>1.6</v>
      </c>
      <c r="O260" s="152">
        <f>'Paste #BBall'!M260</f>
        <v>0.6</v>
      </c>
      <c r="P260" s="152">
        <f>'Paste #BBall'!N260</f>
        <v>0.3</v>
      </c>
      <c r="Q260" s="152">
        <f>'Paste #BBall'!O260</f>
        <v>0.8</v>
      </c>
      <c r="R260" s="153" t="str">
        <f>Left(Right('Paste #BBall'!G260,Len('Paste #BBall'!G260)-Search("/",'Paste #BBall'!G260)),Len(Right('Paste #BBall'!G260,Len('Paste #BBall'!G260)-Search("/",'Paste #BBall'!G260)))-1)</f>
        <v>4.8</v>
      </c>
      <c r="S260" s="153" t="str">
        <f>Left(Right('Paste #BBall'!H260,Len('Paste #BBall'!H260)-Search("/",'Paste #BBall'!H260)),Len(Right('Paste #BBall'!H260,Len('Paste #BBall'!H260)-Search("/",'Paste #BBall'!H260)))-1)</f>
        <v>1.1</v>
      </c>
    </row>
    <row r="261">
      <c r="A261" s="33">
        <v>260.0</v>
      </c>
      <c r="B261" s="149" t="str">
        <f>'Paste #BBall'!B261</f>
        <v>Reggie Jackson</v>
      </c>
      <c r="C261" s="150" t="str">
        <f>'Paste #BBall'!C261</f>
        <v>PG</v>
      </c>
      <c r="D261" s="150" t="str">
        <f>'Paste #BBall'!D261</f>
        <v>DEN</v>
      </c>
      <c r="E261" s="151">
        <f>'Paste #BBall'!E261</f>
        <v>69</v>
      </c>
      <c r="F261" s="152">
        <f>'Paste #BBall'!F261</f>
        <v>21.2</v>
      </c>
      <c r="G261" s="153" t="str">
        <f>right(Left('Paste #BBall'!G261,Search("/",'Paste #BBall'!G261)-1),len(Left('Paste #BBall'!G261,Search("/",'Paste #BBall'!G261)-1))-search("(",Left('Paste #BBall'!G261,Search("/",'Paste #BBall'!G261)-1)))</f>
        <v>4.0</v>
      </c>
      <c r="H261" s="152">
        <f t="shared" si="1"/>
        <v>0.4</v>
      </c>
      <c r="I261" s="152" t="str">
        <f>right(Left('Paste #BBall'!H261,Search("/",'Paste #BBall'!H261)-1),len(Left('Paste #BBall'!H261,Search("/",'Paste #BBall'!H261)-1))-search("(",Left('Paste #BBall'!H261,Search("/",'Paste #BBall'!H261)-1)))</f>
        <v>1.1</v>
      </c>
      <c r="J261" s="152">
        <f t="shared" si="2"/>
        <v>0.8461538462</v>
      </c>
      <c r="K261" s="152">
        <f>'Paste #BBall'!I261</f>
        <v>1.4</v>
      </c>
      <c r="L261" s="152">
        <f>'Paste #BBall'!J261</f>
        <v>10.5</v>
      </c>
      <c r="M261" s="152">
        <f>'Paste #BBall'!K261</f>
        <v>2.2</v>
      </c>
      <c r="N261" s="152">
        <f>'Paste #BBall'!L261</f>
        <v>3.2</v>
      </c>
      <c r="O261" s="152">
        <f>'Paste #BBall'!M261</f>
        <v>0.6</v>
      </c>
      <c r="P261" s="152">
        <f>'Paste #BBall'!N261</f>
        <v>0.1</v>
      </c>
      <c r="Q261" s="152">
        <f>'Paste #BBall'!O261</f>
        <v>1.5</v>
      </c>
      <c r="R261" s="153" t="str">
        <f>Left(Right('Paste #BBall'!G261,Len('Paste #BBall'!G261)-Search("/",'Paste #BBall'!G261)),Len(Right('Paste #BBall'!G261,Len('Paste #BBall'!G261)-Search("/",'Paste #BBall'!G261)))-1)</f>
        <v>10.0</v>
      </c>
      <c r="S261" s="153" t="str">
        <f>Left(Right('Paste #BBall'!H261,Len('Paste #BBall'!H261)-Search("/",'Paste #BBall'!H261)),Len(Right('Paste #BBall'!H261,Len('Paste #BBall'!H261)-Search("/",'Paste #BBall'!H261)))-1)</f>
        <v>1.3</v>
      </c>
    </row>
    <row r="262">
      <c r="A262" s="33">
        <v>261.0</v>
      </c>
      <c r="B262" s="149" t="str">
        <f>'Paste #BBall'!B262</f>
        <v>Chuma Okeke</v>
      </c>
      <c r="C262" s="150" t="str">
        <f>'Paste #BBall'!C262</f>
        <v>SF,PF</v>
      </c>
      <c r="D262" s="150" t="str">
        <f>'Paste #BBall'!D262</f>
        <v>ORL</v>
      </c>
      <c r="E262" s="151">
        <f>'Paste #BBall'!E262</f>
        <v>50</v>
      </c>
      <c r="F262" s="152">
        <f>'Paste #BBall'!F262</f>
        <v>16.2</v>
      </c>
      <c r="G262" s="153" t="str">
        <f>right(Left('Paste #BBall'!G262,Search("/",'Paste #BBall'!G262)-1),len(Left('Paste #BBall'!G262,Search("/",'Paste #BBall'!G262)-1))-search("(",Left('Paste #BBall'!G262,Search("/",'Paste #BBall'!G262)-1)))</f>
        <v>1.9</v>
      </c>
      <c r="H262" s="152">
        <f t="shared" si="1"/>
        <v>0.38</v>
      </c>
      <c r="I262" s="152" t="str">
        <f>right(Left('Paste #BBall'!H262,Search("/",'Paste #BBall'!H262)-1),len(Left('Paste #BBall'!H262,Search("/",'Paste #BBall'!H262)-1))-search("(",Left('Paste #BBall'!H262,Search("/",'Paste #BBall'!H262)-1)))</f>
        <v>0.5</v>
      </c>
      <c r="J262" s="152">
        <f t="shared" si="2"/>
        <v>0.8333333333</v>
      </c>
      <c r="K262" s="152">
        <f>'Paste #BBall'!I262</f>
        <v>1</v>
      </c>
      <c r="L262" s="152">
        <f>'Paste #BBall'!J262</f>
        <v>5.3</v>
      </c>
      <c r="M262" s="152">
        <f>'Paste #BBall'!K262</f>
        <v>3.2</v>
      </c>
      <c r="N262" s="152">
        <f>'Paste #BBall'!L262</f>
        <v>1.1</v>
      </c>
      <c r="O262" s="152">
        <f>'Paste #BBall'!M262</f>
        <v>0.8</v>
      </c>
      <c r="P262" s="152">
        <f>'Paste #BBall'!N262</f>
        <v>0.4</v>
      </c>
      <c r="Q262" s="152">
        <f>'Paste #BBall'!O262</f>
        <v>0.5</v>
      </c>
      <c r="R262" s="153" t="str">
        <f>Left(Right('Paste #BBall'!G262,Len('Paste #BBall'!G262)-Search("/",'Paste #BBall'!G262)),Len(Right('Paste #BBall'!G262,Len('Paste #BBall'!G262)-Search("/",'Paste #BBall'!G262)))-1)</f>
        <v>5.0</v>
      </c>
      <c r="S262" s="153" t="str">
        <f>Left(Right('Paste #BBall'!H262,Len('Paste #BBall'!H262)-Search("/",'Paste #BBall'!H262)),Len(Right('Paste #BBall'!H262,Len('Paste #BBall'!H262)-Search("/",'Paste #BBall'!H262)))-1)</f>
        <v>0.6</v>
      </c>
    </row>
    <row r="263">
      <c r="A263" s="33">
        <v>262.0</v>
      </c>
      <c r="B263" s="149" t="str">
        <f>'Paste #BBall'!B263</f>
        <v>MarJon Beauchamp</v>
      </c>
      <c r="C263" s="150" t="str">
        <f>'Paste #BBall'!C263</f>
        <v>SG,SF</v>
      </c>
      <c r="D263" s="150" t="str">
        <f>'Paste #BBall'!D263</f>
        <v>MIL</v>
      </c>
      <c r="E263" s="151">
        <f>'Paste #BBall'!E263</f>
        <v>72</v>
      </c>
      <c r="F263" s="152">
        <f>'Paste #BBall'!F263</f>
        <v>22.4</v>
      </c>
      <c r="G263" s="153" t="str">
        <f>right(Left('Paste #BBall'!G263,Search("/",'Paste #BBall'!G263)-1),len(Left('Paste #BBall'!G263,Search("/",'Paste #BBall'!G263)-1))-search("(",Left('Paste #BBall'!G263,Search("/",'Paste #BBall'!G263)-1)))</f>
        <v>3.0</v>
      </c>
      <c r="H263" s="152">
        <f t="shared" si="1"/>
        <v>0.4109589041</v>
      </c>
      <c r="I263" s="152" t="str">
        <f>right(Left('Paste #BBall'!H263,Search("/",'Paste #BBall'!H263)-1),len(Left('Paste #BBall'!H263,Search("/",'Paste #BBall'!H263)-1))-search("(",Left('Paste #BBall'!H263,Search("/",'Paste #BBall'!H263)-1)))</f>
        <v>0.9</v>
      </c>
      <c r="J263" s="152">
        <f t="shared" si="2"/>
        <v>0.75</v>
      </c>
      <c r="K263" s="152">
        <f>'Paste #BBall'!I263</f>
        <v>1.5</v>
      </c>
      <c r="L263" s="152">
        <f>'Paste #BBall'!J263</f>
        <v>8.4</v>
      </c>
      <c r="M263" s="152">
        <f>'Paste #BBall'!K263</f>
        <v>3.7</v>
      </c>
      <c r="N263" s="152">
        <f>'Paste #BBall'!L263</f>
        <v>1.1</v>
      </c>
      <c r="O263" s="152">
        <f>'Paste #BBall'!M263</f>
        <v>0.7</v>
      </c>
      <c r="P263" s="152">
        <f>'Paste #BBall'!N263</f>
        <v>0.2</v>
      </c>
      <c r="Q263" s="152">
        <f>'Paste #BBall'!O263</f>
        <v>1.4</v>
      </c>
      <c r="R263" s="153" t="str">
        <f>Left(Right('Paste #BBall'!G263,Len('Paste #BBall'!G263)-Search("/",'Paste #BBall'!G263)),Len(Right('Paste #BBall'!G263,Len('Paste #BBall'!G263)-Search("/",'Paste #BBall'!G263)))-1)</f>
        <v>7.3</v>
      </c>
      <c r="S263" s="153" t="str">
        <f>Left(Right('Paste #BBall'!H263,Len('Paste #BBall'!H263)-Search("/",'Paste #BBall'!H263)),Len(Right('Paste #BBall'!H263,Len('Paste #BBall'!H263)-Search("/",'Paste #BBall'!H263)))-1)</f>
        <v>1.2</v>
      </c>
    </row>
    <row r="264">
      <c r="A264" s="33">
        <v>263.0</v>
      </c>
      <c r="B264" s="149" t="str">
        <f>'Paste #BBall'!B264</f>
        <v>Jett Howard</v>
      </c>
      <c r="C264" s="150" t="str">
        <f>'Paste #BBall'!C264</f>
        <v>SG,SF</v>
      </c>
      <c r="D264" s="150" t="str">
        <f>'Paste #BBall'!D264</f>
        <v>ORL</v>
      </c>
      <c r="E264" s="151">
        <f>'Paste #BBall'!E264</f>
        <v>60</v>
      </c>
      <c r="F264" s="152">
        <f>'Paste #BBall'!F264</f>
        <v>16.9</v>
      </c>
      <c r="G264" s="153" t="str">
        <f>right(Left('Paste #BBall'!G264,Search("/",'Paste #BBall'!G264)-1),len(Left('Paste #BBall'!G264,Search("/",'Paste #BBall'!G264)-1))-search("(",Left('Paste #BBall'!G264,Search("/",'Paste #BBall'!G264)-1)))</f>
        <v>2.6</v>
      </c>
      <c r="H264" s="152">
        <f t="shared" si="1"/>
        <v>0.4262295082</v>
      </c>
      <c r="I264" s="152" t="str">
        <f>right(Left('Paste #BBall'!H264,Search("/",'Paste #BBall'!H264)-1),len(Left('Paste #BBall'!H264,Search("/",'Paste #BBall'!H264)-1))-search("(",Left('Paste #BBall'!H264,Search("/",'Paste #BBall'!H264)-1)))</f>
        <v>1.0</v>
      </c>
      <c r="J264" s="152">
        <f t="shared" si="2"/>
        <v>0.8333333333</v>
      </c>
      <c r="K264" s="152">
        <f>'Paste #BBall'!I264</f>
        <v>1.9</v>
      </c>
      <c r="L264" s="152">
        <f>'Paste #BBall'!J264</f>
        <v>8</v>
      </c>
      <c r="M264" s="152">
        <f>'Paste #BBall'!K264</f>
        <v>2.1</v>
      </c>
      <c r="N264" s="152">
        <f>'Paste #BBall'!L264</f>
        <v>1.1</v>
      </c>
      <c r="O264" s="152">
        <f>'Paste #BBall'!M264</f>
        <v>0.6</v>
      </c>
      <c r="P264" s="152">
        <f>'Paste #BBall'!N264</f>
        <v>0.1</v>
      </c>
      <c r="Q264" s="152">
        <f>'Paste #BBall'!O264</f>
        <v>0.5</v>
      </c>
      <c r="R264" s="153" t="str">
        <f>Left(Right('Paste #BBall'!G264,Len('Paste #BBall'!G264)-Search("/",'Paste #BBall'!G264)),Len(Right('Paste #BBall'!G264,Len('Paste #BBall'!G264)-Search("/",'Paste #BBall'!G264)))-1)</f>
        <v>6.1</v>
      </c>
      <c r="S264" s="153" t="str">
        <f>Left(Right('Paste #BBall'!H264,Len('Paste #BBall'!H264)-Search("/",'Paste #BBall'!H264)),Len(Right('Paste #BBall'!H264,Len('Paste #BBall'!H264)-Search("/",'Paste #BBall'!H264)))-1)</f>
        <v>1.2</v>
      </c>
    </row>
    <row r="265">
      <c r="A265" s="33">
        <v>264.0</v>
      </c>
      <c r="B265" s="149" t="str">
        <f>'Paste #BBall'!B265</f>
        <v>Seth Curry</v>
      </c>
      <c r="C265" s="150" t="str">
        <f>'Paste #BBall'!C265</f>
        <v>PG,SG</v>
      </c>
      <c r="D265" s="150" t="str">
        <f>'Paste #BBall'!D265</f>
        <v>DAL</v>
      </c>
      <c r="E265" s="151">
        <f>'Paste #BBall'!E265</f>
        <v>60</v>
      </c>
      <c r="F265" s="152">
        <f>'Paste #BBall'!F265</f>
        <v>17.1</v>
      </c>
      <c r="G265" s="153" t="str">
        <f>right(Left('Paste #BBall'!G265,Search("/",'Paste #BBall'!G265)-1),len(Left('Paste #BBall'!G265,Search("/",'Paste #BBall'!G265)-1))-search("(",Left('Paste #BBall'!G265,Search("/",'Paste #BBall'!G265)-1)))</f>
        <v>3.0</v>
      </c>
      <c r="H265" s="152">
        <f t="shared" si="1"/>
        <v>0.4838709677</v>
      </c>
      <c r="I265" s="152" t="str">
        <f>right(Left('Paste #BBall'!H265,Search("/",'Paste #BBall'!H265)-1),len(Left('Paste #BBall'!H265,Search("/",'Paste #BBall'!H265)-1))-search("(",Left('Paste #BBall'!H265,Search("/",'Paste #BBall'!H265)-1)))</f>
        <v>0.7</v>
      </c>
      <c r="J265" s="152">
        <f t="shared" si="2"/>
        <v>0.875</v>
      </c>
      <c r="K265" s="152">
        <f>'Paste #BBall'!I265</f>
        <v>1.3</v>
      </c>
      <c r="L265" s="152">
        <f>'Paste #BBall'!J265</f>
        <v>7.9</v>
      </c>
      <c r="M265" s="152">
        <f>'Paste #BBall'!K265</f>
        <v>1.6</v>
      </c>
      <c r="N265" s="152">
        <f>'Paste #BBall'!L265</f>
        <v>1.7</v>
      </c>
      <c r="O265" s="152">
        <f>'Paste #BBall'!M265</f>
        <v>0.5</v>
      </c>
      <c r="P265" s="152">
        <f>'Paste #BBall'!N265</f>
        <v>0.1</v>
      </c>
      <c r="Q265" s="152">
        <f>'Paste #BBall'!O265</f>
        <v>0.8</v>
      </c>
      <c r="R265" s="153" t="str">
        <f>Left(Right('Paste #BBall'!G265,Len('Paste #BBall'!G265)-Search("/",'Paste #BBall'!G265)),Len(Right('Paste #BBall'!G265,Len('Paste #BBall'!G265)-Search("/",'Paste #BBall'!G265)))-1)</f>
        <v>6.2</v>
      </c>
      <c r="S265" s="153" t="str">
        <f>Left(Right('Paste #BBall'!H265,Len('Paste #BBall'!H265)-Search("/",'Paste #BBall'!H265)),Len(Right('Paste #BBall'!H265,Len('Paste #BBall'!H265)-Search("/",'Paste #BBall'!H265)))-1)</f>
        <v>0.8</v>
      </c>
    </row>
    <row r="266">
      <c r="A266" s="33">
        <v>265.0</v>
      </c>
      <c r="B266" s="149" t="str">
        <f>'Paste #BBall'!B266</f>
        <v>Naji Marshall</v>
      </c>
      <c r="C266" s="150" t="str">
        <f>'Paste #BBall'!C266</f>
        <v>SG,SF</v>
      </c>
      <c r="D266" s="150" t="str">
        <f>'Paste #BBall'!D266</f>
        <v>NO</v>
      </c>
      <c r="E266" s="151">
        <f>'Paste #BBall'!E266</f>
        <v>72</v>
      </c>
      <c r="F266" s="152">
        <f>'Paste #BBall'!F266</f>
        <v>20</v>
      </c>
      <c r="G266" s="153" t="str">
        <f>right(Left('Paste #BBall'!G266,Search("/",'Paste #BBall'!G266)-1),len(Left('Paste #BBall'!G266,Search("/",'Paste #BBall'!G266)-1))-search("(",Left('Paste #BBall'!G266,Search("/",'Paste #BBall'!G266)-1)))</f>
        <v>2.9</v>
      </c>
      <c r="H266" s="152">
        <f t="shared" si="1"/>
        <v>0.4328358209</v>
      </c>
      <c r="I266" s="152" t="str">
        <f>right(Left('Paste #BBall'!H266,Search("/",'Paste #BBall'!H266)-1),len(Left('Paste #BBall'!H266,Search("/",'Paste #BBall'!H266)-1))-search("(",Left('Paste #BBall'!H266,Search("/",'Paste #BBall'!H266)-1)))</f>
        <v>1.7</v>
      </c>
      <c r="J266" s="152">
        <f t="shared" si="2"/>
        <v>0.8095238095</v>
      </c>
      <c r="K266" s="152">
        <f>'Paste #BBall'!I266</f>
        <v>0.7</v>
      </c>
      <c r="L266" s="152">
        <f>'Paste #BBall'!J266</f>
        <v>8.1</v>
      </c>
      <c r="M266" s="152">
        <f>'Paste #BBall'!K266</f>
        <v>3.4</v>
      </c>
      <c r="N266" s="152">
        <f>'Paste #BBall'!L266</f>
        <v>2</v>
      </c>
      <c r="O266" s="152">
        <f>'Paste #BBall'!M266</f>
        <v>0.7</v>
      </c>
      <c r="P266" s="152">
        <f>'Paste #BBall'!N266</f>
        <v>0.2</v>
      </c>
      <c r="Q266" s="152">
        <f>'Paste #BBall'!O266</f>
        <v>1.1</v>
      </c>
      <c r="R266" s="153" t="str">
        <f>Left(Right('Paste #BBall'!G266,Len('Paste #BBall'!G266)-Search("/",'Paste #BBall'!G266)),Len(Right('Paste #BBall'!G266,Len('Paste #BBall'!G266)-Search("/",'Paste #BBall'!G266)))-1)</f>
        <v>6.7</v>
      </c>
      <c r="S266" s="153" t="str">
        <f>Left(Right('Paste #BBall'!H266,Len('Paste #BBall'!H266)-Search("/",'Paste #BBall'!H266)),Len(Right('Paste #BBall'!H266,Len('Paste #BBall'!H266)-Search("/",'Paste #BBall'!H266)))-1)</f>
        <v>2.1</v>
      </c>
    </row>
    <row r="267">
      <c r="A267" s="33">
        <v>266.0</v>
      </c>
      <c r="B267" s="149" t="str">
        <f>'Paste #BBall'!B267</f>
        <v>Cameron Payne</v>
      </c>
      <c r="C267" s="150" t="str">
        <f>'Paste #BBall'!C267</f>
        <v>PG</v>
      </c>
      <c r="D267" s="150" t="str">
        <f>'Paste #BBall'!D267</f>
        <v>SA</v>
      </c>
      <c r="E267" s="151">
        <f>'Paste #BBall'!E267</f>
        <v>68</v>
      </c>
      <c r="F267" s="152">
        <f>'Paste #BBall'!F267</f>
        <v>16.5</v>
      </c>
      <c r="G267" s="153" t="str">
        <f>right(Left('Paste #BBall'!G267,Search("/",'Paste #BBall'!G267)-1),len(Left('Paste #BBall'!G267,Search("/",'Paste #BBall'!G267)-1))-search("(",Left('Paste #BBall'!G267,Search("/",'Paste #BBall'!G267)-1)))</f>
        <v>3.2</v>
      </c>
      <c r="H267" s="152">
        <f t="shared" si="1"/>
        <v>0.4155844156</v>
      </c>
      <c r="I267" s="152" t="str">
        <f>right(Left('Paste #BBall'!H267,Search("/",'Paste #BBall'!H267)-1),len(Left('Paste #BBall'!H267,Search("/",'Paste #BBall'!H267)-1))-search("(",Left('Paste #BBall'!H267,Search("/",'Paste #BBall'!H267)-1)))</f>
        <v>0.9</v>
      </c>
      <c r="J267" s="152">
        <f t="shared" si="2"/>
        <v>0.8181818182</v>
      </c>
      <c r="K267" s="152">
        <f>'Paste #BBall'!I267</f>
        <v>1</v>
      </c>
      <c r="L267" s="152">
        <f>'Paste #BBall'!J267</f>
        <v>8.3</v>
      </c>
      <c r="M267" s="152">
        <f>'Paste #BBall'!K267</f>
        <v>2.1</v>
      </c>
      <c r="N267" s="152">
        <f>'Paste #BBall'!L267</f>
        <v>3.7</v>
      </c>
      <c r="O267" s="152">
        <f>'Paste #BBall'!M267</f>
        <v>0.5</v>
      </c>
      <c r="P267" s="152">
        <f>'Paste #BBall'!N267</f>
        <v>0.2</v>
      </c>
      <c r="Q267" s="152">
        <f>'Paste #BBall'!O267</f>
        <v>1.4</v>
      </c>
      <c r="R267" s="153" t="str">
        <f>Left(Right('Paste #BBall'!G267,Len('Paste #BBall'!G267)-Search("/",'Paste #BBall'!G267)),Len(Right('Paste #BBall'!G267,Len('Paste #BBall'!G267)-Search("/",'Paste #BBall'!G267)))-1)</f>
        <v>7.7</v>
      </c>
      <c r="S267" s="153" t="str">
        <f>Left(Right('Paste #BBall'!H267,Len('Paste #BBall'!H267)-Search("/",'Paste #BBall'!H267)),Len(Right('Paste #BBall'!H267,Len('Paste #BBall'!H267)-Search("/",'Paste #BBall'!H267)))-1)</f>
        <v>1.1</v>
      </c>
    </row>
    <row r="268">
      <c r="A268" s="33">
        <v>267.0</v>
      </c>
      <c r="B268" s="149" t="str">
        <f>'Paste #BBall'!B268</f>
        <v>Taurean Prince</v>
      </c>
      <c r="C268" s="150" t="str">
        <f>'Paste #BBall'!C268</f>
        <v>SF,PF</v>
      </c>
      <c r="D268" s="150" t="str">
        <f>'Paste #BBall'!D268</f>
        <v>LAL</v>
      </c>
      <c r="E268" s="151">
        <f>'Paste #BBall'!E268</f>
        <v>65</v>
      </c>
      <c r="F268" s="152">
        <f>'Paste #BBall'!F268</f>
        <v>17.4</v>
      </c>
      <c r="G268" s="153" t="str">
        <f>right(Left('Paste #BBall'!G268,Search("/",'Paste #BBall'!G268)-1),len(Left('Paste #BBall'!G268,Search("/",'Paste #BBall'!G268)-1))-search("(",Left('Paste #BBall'!G268,Search("/",'Paste #BBall'!G268)-1)))</f>
        <v>2.6</v>
      </c>
      <c r="H268" s="152">
        <f t="shared" si="1"/>
        <v>0.4561403509</v>
      </c>
      <c r="I268" s="152" t="str">
        <f>right(Left('Paste #BBall'!H268,Search("/",'Paste #BBall'!H268)-1),len(Left('Paste #BBall'!H268,Search("/",'Paste #BBall'!H268)-1))-search("(",Left('Paste #BBall'!H268,Search("/",'Paste #BBall'!H268)-1)))</f>
        <v>0.9</v>
      </c>
      <c r="J268" s="152">
        <f t="shared" si="2"/>
        <v>0.75</v>
      </c>
      <c r="K268" s="152">
        <f>'Paste #BBall'!I268</f>
        <v>1.2</v>
      </c>
      <c r="L268" s="152">
        <f>'Paste #BBall'!J268</f>
        <v>7.4</v>
      </c>
      <c r="M268" s="152">
        <f>'Paste #BBall'!K268</f>
        <v>2.3</v>
      </c>
      <c r="N268" s="152">
        <f>'Paste #BBall'!L268</f>
        <v>1.1</v>
      </c>
      <c r="O268" s="152">
        <f>'Paste #BBall'!M268</f>
        <v>0.6</v>
      </c>
      <c r="P268" s="152">
        <f>'Paste #BBall'!N268</f>
        <v>0.3</v>
      </c>
      <c r="Q268" s="152">
        <f>'Paste #BBall'!O268</f>
        <v>0.9</v>
      </c>
      <c r="R268" s="153" t="str">
        <f>Left(Right('Paste #BBall'!G268,Len('Paste #BBall'!G268)-Search("/",'Paste #BBall'!G268)),Len(Right('Paste #BBall'!G268,Len('Paste #BBall'!G268)-Search("/",'Paste #BBall'!G268)))-1)</f>
        <v>5.7</v>
      </c>
      <c r="S268" s="153" t="str">
        <f>Left(Right('Paste #BBall'!H268,Len('Paste #BBall'!H268)-Search("/",'Paste #BBall'!H268)),Len(Right('Paste #BBall'!H268,Len('Paste #BBall'!H268)-Search("/",'Paste #BBall'!H268)))-1)</f>
        <v>1.2</v>
      </c>
    </row>
    <row r="269">
      <c r="A269" s="33">
        <v>268.0</v>
      </c>
      <c r="B269" s="149" t="str">
        <f>'Paste #BBall'!B269</f>
        <v>Troy Brown Jr.</v>
      </c>
      <c r="C269" s="150" t="str">
        <f>'Paste #BBall'!C269</f>
        <v>SF,PF</v>
      </c>
      <c r="D269" s="150" t="str">
        <f>'Paste #BBall'!D269</f>
        <v>MIN</v>
      </c>
      <c r="E269" s="151">
        <f>'Paste #BBall'!E269</f>
        <v>60</v>
      </c>
      <c r="F269" s="152">
        <f>'Paste #BBall'!F269</f>
        <v>20</v>
      </c>
      <c r="G269" s="153" t="str">
        <f>right(Left('Paste #BBall'!G269,Search("/",'Paste #BBall'!G269)-1),len(Left('Paste #BBall'!G269,Search("/",'Paste #BBall'!G269)-1))-search("(",Left('Paste #BBall'!G269,Search("/",'Paste #BBall'!G269)-1)))</f>
        <v>2.1</v>
      </c>
      <c r="H269" s="152">
        <f t="shared" si="1"/>
        <v>0.42</v>
      </c>
      <c r="I269" s="152" t="str">
        <f>right(Left('Paste #BBall'!H269,Search("/",'Paste #BBall'!H269)-1),len(Left('Paste #BBall'!H269,Search("/",'Paste #BBall'!H269)-1))-search("(",Left('Paste #BBall'!H269,Search("/",'Paste #BBall'!H269)-1)))</f>
        <v>0.4</v>
      </c>
      <c r="J269" s="152">
        <f t="shared" si="2"/>
        <v>0.8</v>
      </c>
      <c r="K269" s="152">
        <f>'Paste #BBall'!I269</f>
        <v>1.1</v>
      </c>
      <c r="L269" s="152">
        <f>'Paste #BBall'!J269</f>
        <v>5.7</v>
      </c>
      <c r="M269" s="152">
        <f>'Paste #BBall'!K269</f>
        <v>3.5</v>
      </c>
      <c r="N269" s="152">
        <f>'Paste #BBall'!L269</f>
        <v>1.1</v>
      </c>
      <c r="O269" s="152">
        <f>'Paste #BBall'!M269</f>
        <v>0.7</v>
      </c>
      <c r="P269" s="152">
        <f>'Paste #BBall'!N269</f>
        <v>0.2</v>
      </c>
      <c r="Q269" s="152">
        <f>'Paste #BBall'!O269</f>
        <v>0.5</v>
      </c>
      <c r="R269" s="153" t="str">
        <f>Left(Right('Paste #BBall'!G269,Len('Paste #BBall'!G269)-Search("/",'Paste #BBall'!G269)),Len(Right('Paste #BBall'!G269,Len('Paste #BBall'!G269)-Search("/",'Paste #BBall'!G269)))-1)</f>
        <v>5.0</v>
      </c>
      <c r="S269" s="153" t="str">
        <f>Left(Right('Paste #BBall'!H269,Len('Paste #BBall'!H269)-Search("/",'Paste #BBall'!H269)),Len(Right('Paste #BBall'!H269,Len('Paste #BBall'!H269)-Search("/",'Paste #BBall'!H269)))-1)</f>
        <v>0.5</v>
      </c>
    </row>
    <row r="270">
      <c r="A270" s="33">
        <v>269.0</v>
      </c>
      <c r="B270" s="149" t="str">
        <f>'Paste #BBall'!B270</f>
        <v>Monte Morris</v>
      </c>
      <c r="C270" s="150" t="str">
        <f>'Paste #BBall'!C270</f>
        <v>PG</v>
      </c>
      <c r="D270" s="150" t="str">
        <f>'Paste #BBall'!D270</f>
        <v>DET</v>
      </c>
      <c r="E270" s="151">
        <f>'Paste #BBall'!E270</f>
        <v>68</v>
      </c>
      <c r="F270" s="152">
        <f>'Paste #BBall'!F270</f>
        <v>16.3</v>
      </c>
      <c r="G270" s="153" t="str">
        <f>right(Left('Paste #BBall'!G270,Search("/",'Paste #BBall'!G270)-1),len(Left('Paste #BBall'!G270,Search("/",'Paste #BBall'!G270)-1))-search("(",Left('Paste #BBall'!G270,Search("/",'Paste #BBall'!G270)-1)))</f>
        <v>2.6</v>
      </c>
      <c r="H270" s="152">
        <f t="shared" si="1"/>
        <v>0.4814814815</v>
      </c>
      <c r="I270" s="152" t="str">
        <f>right(Left('Paste #BBall'!H270,Search("/",'Paste #BBall'!H270)-1),len(Left('Paste #BBall'!H270,Search("/",'Paste #BBall'!H270)-1))-search("(",Left('Paste #BBall'!H270,Search("/",'Paste #BBall'!H270)-1)))</f>
        <v>0.6</v>
      </c>
      <c r="J270" s="152">
        <f t="shared" si="2"/>
        <v>0.8571428571</v>
      </c>
      <c r="K270" s="152">
        <f>'Paste #BBall'!I270</f>
        <v>0.9</v>
      </c>
      <c r="L270" s="152">
        <f>'Paste #BBall'!J270</f>
        <v>6.6</v>
      </c>
      <c r="M270" s="152">
        <f>'Paste #BBall'!K270</f>
        <v>1.8</v>
      </c>
      <c r="N270" s="152">
        <f>'Paste #BBall'!L270</f>
        <v>2.8</v>
      </c>
      <c r="O270" s="152">
        <f>'Paste #BBall'!M270</f>
        <v>0.4</v>
      </c>
      <c r="P270" s="152">
        <f>'Paste #BBall'!N270</f>
        <v>0.1</v>
      </c>
      <c r="Q270" s="152">
        <f>'Paste #BBall'!O270</f>
        <v>0.6</v>
      </c>
      <c r="R270" s="153" t="str">
        <f>Left(Right('Paste #BBall'!G270,Len('Paste #BBall'!G270)-Search("/",'Paste #BBall'!G270)),Len(Right('Paste #BBall'!G270,Len('Paste #BBall'!G270)-Search("/",'Paste #BBall'!G270)))-1)</f>
        <v>5.4</v>
      </c>
      <c r="S270" s="153" t="str">
        <f>Left(Right('Paste #BBall'!H270,Len('Paste #BBall'!H270)-Search("/",'Paste #BBall'!H270)),Len(Right('Paste #BBall'!H270,Len('Paste #BBall'!H270)-Search("/",'Paste #BBall'!H270)))-1)</f>
        <v>0.7</v>
      </c>
    </row>
    <row r="271">
      <c r="A271" s="33">
        <v>270.0</v>
      </c>
      <c r="B271" s="149" t="str">
        <f>'Paste #BBall'!B271</f>
        <v>Leonard Miller</v>
      </c>
      <c r="C271" s="150" t="str">
        <f>'Paste #BBall'!C271</f>
        <v>SF</v>
      </c>
      <c r="D271" s="150" t="str">
        <f>'Paste #BBall'!D271</f>
        <v>MIN</v>
      </c>
      <c r="E271" s="151">
        <f>'Paste #BBall'!E271</f>
        <v>68</v>
      </c>
      <c r="F271" s="152">
        <f>'Paste #BBall'!F271</f>
        <v>16.4</v>
      </c>
      <c r="G271" s="153" t="str">
        <f>right(Left('Paste #BBall'!G271,Search("/",'Paste #BBall'!G271)-1),len(Left('Paste #BBall'!G271,Search("/",'Paste #BBall'!G271)-1))-search("(",Left('Paste #BBall'!G271,Search("/",'Paste #BBall'!G271)-1)))</f>
        <v>2.8</v>
      </c>
      <c r="H271" s="152">
        <f t="shared" si="1"/>
        <v>0.4666666667</v>
      </c>
      <c r="I271" s="152" t="str">
        <f>right(Left('Paste #BBall'!H271,Search("/",'Paste #BBall'!H271)-1),len(Left('Paste #BBall'!H271,Search("/",'Paste #BBall'!H271)-1))-search("(",Left('Paste #BBall'!H271,Search("/",'Paste #BBall'!H271)-1)))</f>
        <v>1.2</v>
      </c>
      <c r="J271" s="152">
        <f t="shared" si="2"/>
        <v>0.7058823529</v>
      </c>
      <c r="K271" s="152">
        <f>'Paste #BBall'!I271</f>
        <v>0.6</v>
      </c>
      <c r="L271" s="152">
        <f>'Paste #BBall'!J271</f>
        <v>7.5</v>
      </c>
      <c r="M271" s="152">
        <f>'Paste #BBall'!K271</f>
        <v>4.8</v>
      </c>
      <c r="N271" s="152">
        <f>'Paste #BBall'!L271</f>
        <v>1.3</v>
      </c>
      <c r="O271" s="152">
        <f>'Paste #BBall'!M271</f>
        <v>0.4</v>
      </c>
      <c r="P271" s="152">
        <f>'Paste #BBall'!N271</f>
        <v>0.3</v>
      </c>
      <c r="Q271" s="152">
        <f>'Paste #BBall'!O271</f>
        <v>0.9</v>
      </c>
      <c r="R271" s="153" t="str">
        <f>Left(Right('Paste #BBall'!G271,Len('Paste #BBall'!G271)-Search("/",'Paste #BBall'!G271)),Len(Right('Paste #BBall'!G271,Len('Paste #BBall'!G271)-Search("/",'Paste #BBall'!G271)))-1)</f>
        <v>6.0</v>
      </c>
      <c r="S271" s="153" t="str">
        <f>Left(Right('Paste #BBall'!H271,Len('Paste #BBall'!H271)-Search("/",'Paste #BBall'!H271)),Len(Right('Paste #BBall'!H271,Len('Paste #BBall'!H271)-Search("/",'Paste #BBall'!H271)))-1)</f>
        <v>1.7</v>
      </c>
    </row>
    <row r="272">
      <c r="A272" s="33">
        <v>271.0</v>
      </c>
      <c r="B272" s="149" t="str">
        <f>'Paste #BBall'!B272</f>
        <v>Cam Thomas</v>
      </c>
      <c r="C272" s="150" t="str">
        <f>'Paste #BBall'!C272</f>
        <v>SG,SF</v>
      </c>
      <c r="D272" s="150" t="str">
        <f>'Paste #BBall'!D272</f>
        <v>BKN</v>
      </c>
      <c r="E272" s="151">
        <f>'Paste #BBall'!E272</f>
        <v>68</v>
      </c>
      <c r="F272" s="152">
        <f>'Paste #BBall'!F272</f>
        <v>18.8</v>
      </c>
      <c r="G272" s="153" t="str">
        <f>right(Left('Paste #BBall'!G272,Search("/",'Paste #BBall'!G272)-1),len(Left('Paste #BBall'!G272,Search("/",'Paste #BBall'!G272)-1))-search("(",Left('Paste #BBall'!G272,Search("/",'Paste #BBall'!G272)-1)))</f>
        <v>3.8</v>
      </c>
      <c r="H272" s="152">
        <f t="shared" si="1"/>
        <v>0.4418604651</v>
      </c>
      <c r="I272" s="152" t="str">
        <f>right(Left('Paste #BBall'!H272,Search("/",'Paste #BBall'!H272)-1),len(Left('Paste #BBall'!H272,Search("/",'Paste #BBall'!H272)-1))-search("(",Left('Paste #BBall'!H272,Search("/",'Paste #BBall'!H272)-1)))</f>
        <v>2.1</v>
      </c>
      <c r="J272" s="152">
        <f t="shared" si="2"/>
        <v>0.84</v>
      </c>
      <c r="K272" s="152">
        <f>'Paste #BBall'!I272</f>
        <v>0.9</v>
      </c>
      <c r="L272" s="152">
        <f>'Paste #BBall'!J272</f>
        <v>10.5</v>
      </c>
      <c r="M272" s="152">
        <f>'Paste #BBall'!K272</f>
        <v>2.3</v>
      </c>
      <c r="N272" s="152">
        <f>'Paste #BBall'!L272</f>
        <v>1.4</v>
      </c>
      <c r="O272" s="152">
        <f>'Paste #BBall'!M272</f>
        <v>0.5</v>
      </c>
      <c r="P272" s="152">
        <f>'Paste #BBall'!N272</f>
        <v>0.1</v>
      </c>
      <c r="Q272" s="152">
        <f>'Paste #BBall'!O272</f>
        <v>1.1</v>
      </c>
      <c r="R272" s="153" t="str">
        <f>Left(Right('Paste #BBall'!G272,Len('Paste #BBall'!G272)-Search("/",'Paste #BBall'!G272)),Len(Right('Paste #BBall'!G272,Len('Paste #BBall'!G272)-Search("/",'Paste #BBall'!G272)))-1)</f>
        <v>8.6</v>
      </c>
      <c r="S272" s="153" t="str">
        <f>Left(Right('Paste #BBall'!H272,Len('Paste #BBall'!H272)-Search("/",'Paste #BBall'!H272)),Len(Right('Paste #BBall'!H272,Len('Paste #BBall'!H272)-Search("/",'Paste #BBall'!H272)))-1)</f>
        <v>2.5</v>
      </c>
    </row>
    <row r="273">
      <c r="A273" s="33">
        <v>272.0</v>
      </c>
      <c r="B273" s="149" t="str">
        <f>'Paste #BBall'!B273</f>
        <v>Robert Covington</v>
      </c>
      <c r="C273" s="150" t="str">
        <f>'Paste #BBall'!C273</f>
        <v>SF,PF</v>
      </c>
      <c r="D273" s="150" t="str">
        <f>'Paste #BBall'!D273</f>
        <v>LAC</v>
      </c>
      <c r="E273" s="151">
        <f>'Paste #BBall'!E273</f>
        <v>33</v>
      </c>
      <c r="F273" s="152">
        <f>'Paste #BBall'!F273</f>
        <v>12.2</v>
      </c>
      <c r="G273" s="153" t="str">
        <f>right(Left('Paste #BBall'!G273,Search("/",'Paste #BBall'!G273)-1),len(Left('Paste #BBall'!G273,Search("/",'Paste #BBall'!G273)-1))-search("(",Left('Paste #BBall'!G273,Search("/",'Paste #BBall'!G273)-1)))</f>
        <v>1.4</v>
      </c>
      <c r="H273" s="152">
        <f t="shared" si="1"/>
        <v>0.4242424242</v>
      </c>
      <c r="I273" s="152" t="str">
        <f>right(Left('Paste #BBall'!H273,Search("/",'Paste #BBall'!H273)-1),len(Left('Paste #BBall'!H273,Search("/",'Paste #BBall'!H273)-1))-search("(",Left('Paste #BBall'!H273,Search("/",'Paste #BBall'!H273)-1)))</f>
        <v>0.4</v>
      </c>
      <c r="J273" s="152">
        <f t="shared" si="2"/>
        <v>0.8</v>
      </c>
      <c r="K273" s="152">
        <f>'Paste #BBall'!I273</f>
        <v>0.8</v>
      </c>
      <c r="L273" s="152">
        <f>'Paste #BBall'!J273</f>
        <v>4.1</v>
      </c>
      <c r="M273" s="152">
        <f>'Paste #BBall'!K273</f>
        <v>2.5</v>
      </c>
      <c r="N273" s="152">
        <f>'Paste #BBall'!L273</f>
        <v>0.7</v>
      </c>
      <c r="O273" s="152">
        <f>'Paste #BBall'!M273</f>
        <v>0.6</v>
      </c>
      <c r="P273" s="152">
        <f>'Paste #BBall'!N273</f>
        <v>0.6</v>
      </c>
      <c r="Q273" s="152">
        <f>'Paste #BBall'!O273</f>
        <v>0.5</v>
      </c>
      <c r="R273" s="153" t="str">
        <f>Left(Right('Paste #BBall'!G273,Len('Paste #BBall'!G273)-Search("/",'Paste #BBall'!G273)),Len(Right('Paste #BBall'!G273,Len('Paste #BBall'!G273)-Search("/",'Paste #BBall'!G273)))-1)</f>
        <v>3.3</v>
      </c>
      <c r="S273" s="153" t="str">
        <f>Left(Right('Paste #BBall'!H273,Len('Paste #BBall'!H273)-Search("/",'Paste #BBall'!H273)),Len(Right('Paste #BBall'!H273,Len('Paste #BBall'!H273)-Search("/",'Paste #BBall'!H273)))-1)</f>
        <v>0.5</v>
      </c>
    </row>
    <row r="274">
      <c r="A274" s="33">
        <v>273.0</v>
      </c>
      <c r="B274" s="149" t="str">
        <f>'Paste #BBall'!B274</f>
        <v>Shake Milton</v>
      </c>
      <c r="C274" s="150" t="str">
        <f>'Paste #BBall'!C274</f>
        <v>PG,SG</v>
      </c>
      <c r="D274" s="150" t="str">
        <f>'Paste #BBall'!D274</f>
        <v>MIN</v>
      </c>
      <c r="E274" s="151">
        <f>'Paste #BBall'!E274</f>
        <v>69</v>
      </c>
      <c r="F274" s="152">
        <f>'Paste #BBall'!F274</f>
        <v>18.8</v>
      </c>
      <c r="G274" s="153" t="str">
        <f>right(Left('Paste #BBall'!G274,Search("/",'Paste #BBall'!G274)-1),len(Left('Paste #BBall'!G274,Search("/",'Paste #BBall'!G274)-1))-search("(",Left('Paste #BBall'!G274,Search("/",'Paste #BBall'!G274)-1)))</f>
        <v>2.9</v>
      </c>
      <c r="H274" s="152">
        <f t="shared" si="1"/>
        <v>0.4603174603</v>
      </c>
      <c r="I274" s="152" t="str">
        <f>right(Left('Paste #BBall'!H274,Search("/",'Paste #BBall'!H274)-1),len(Left('Paste #BBall'!H274,Search("/",'Paste #BBall'!H274)-1))-search("(",Left('Paste #BBall'!H274,Search("/",'Paste #BBall'!H274)-1)))</f>
        <v>1.1</v>
      </c>
      <c r="J274" s="152">
        <f t="shared" si="2"/>
        <v>0.8461538462</v>
      </c>
      <c r="K274" s="152">
        <f>'Paste #BBall'!I274</f>
        <v>0.7</v>
      </c>
      <c r="L274" s="152">
        <f>'Paste #BBall'!J274</f>
        <v>7.5</v>
      </c>
      <c r="M274" s="152">
        <f>'Paste #BBall'!K274</f>
        <v>2.3</v>
      </c>
      <c r="N274" s="152">
        <f>'Paste #BBall'!L274</f>
        <v>2.6</v>
      </c>
      <c r="O274" s="152">
        <f>'Paste #BBall'!M274</f>
        <v>0.4</v>
      </c>
      <c r="P274" s="152">
        <f>'Paste #BBall'!N274</f>
        <v>0.2</v>
      </c>
      <c r="Q274" s="152">
        <f>'Paste #BBall'!O274</f>
        <v>1</v>
      </c>
      <c r="R274" s="153" t="str">
        <f>Left(Right('Paste #BBall'!G274,Len('Paste #BBall'!G274)-Search("/",'Paste #BBall'!G274)),Len(Right('Paste #BBall'!G274,Len('Paste #BBall'!G274)-Search("/",'Paste #BBall'!G274)))-1)</f>
        <v>6.3</v>
      </c>
      <c r="S274" s="153" t="str">
        <f>Left(Right('Paste #BBall'!H274,Len('Paste #BBall'!H274)-Search("/",'Paste #BBall'!H274)),Len(Right('Paste #BBall'!H274,Len('Paste #BBall'!H274)-Search("/",'Paste #BBall'!H274)))-1)</f>
        <v>1.3</v>
      </c>
    </row>
    <row r="275">
      <c r="A275" s="33">
        <v>274.0</v>
      </c>
      <c r="B275" s="149" t="str">
        <f>'Paste #BBall'!B275</f>
        <v>Isaac Okoro</v>
      </c>
      <c r="C275" s="150" t="str">
        <f>'Paste #BBall'!C275</f>
        <v>SG,SF</v>
      </c>
      <c r="D275" s="150" t="str">
        <f>'Paste #BBall'!D275</f>
        <v>CLE</v>
      </c>
      <c r="E275" s="151">
        <f>'Paste #BBall'!E275</f>
        <v>70</v>
      </c>
      <c r="F275" s="152">
        <f>'Paste #BBall'!F275</f>
        <v>21</v>
      </c>
      <c r="G275" s="153" t="str">
        <f>right(Left('Paste #BBall'!G275,Search("/",'Paste #BBall'!G275)-1),len(Left('Paste #BBall'!G275,Search("/",'Paste #BBall'!G275)-1))-search("(",Left('Paste #BBall'!G275,Search("/",'Paste #BBall'!G275)-1)))</f>
        <v>2.2</v>
      </c>
      <c r="H275" s="152">
        <f t="shared" si="1"/>
        <v>0.4782608696</v>
      </c>
      <c r="I275" s="152" t="str">
        <f>right(Left('Paste #BBall'!H275,Search("/",'Paste #BBall'!H275)-1),len(Left('Paste #BBall'!H275,Search("/",'Paste #BBall'!H275)-1))-search("(",Left('Paste #BBall'!H275,Search("/",'Paste #BBall'!H275)-1)))</f>
        <v>1.2</v>
      </c>
      <c r="J275" s="152">
        <f t="shared" si="2"/>
        <v>0.8</v>
      </c>
      <c r="K275" s="152">
        <f>'Paste #BBall'!I275</f>
        <v>0.7</v>
      </c>
      <c r="L275" s="152">
        <f>'Paste #BBall'!J275</f>
        <v>6.3</v>
      </c>
      <c r="M275" s="152">
        <f>'Paste #BBall'!K275</f>
        <v>2.3</v>
      </c>
      <c r="N275" s="152">
        <f>'Paste #BBall'!L275</f>
        <v>1.2</v>
      </c>
      <c r="O275" s="152">
        <f>'Paste #BBall'!M275</f>
        <v>0.7</v>
      </c>
      <c r="P275" s="152">
        <f>'Paste #BBall'!N275</f>
        <v>0.3</v>
      </c>
      <c r="Q275" s="152">
        <f>'Paste #BBall'!O275</f>
        <v>0.6</v>
      </c>
      <c r="R275" s="153" t="str">
        <f>Left(Right('Paste #BBall'!G275,Len('Paste #BBall'!G275)-Search("/",'Paste #BBall'!G275)),Len(Right('Paste #BBall'!G275,Len('Paste #BBall'!G275)-Search("/",'Paste #BBall'!G275)))-1)</f>
        <v>4.6</v>
      </c>
      <c r="S275" s="153" t="str">
        <f>Left(Right('Paste #BBall'!H275,Len('Paste #BBall'!H275)-Search("/",'Paste #BBall'!H275)),Len(Right('Paste #BBall'!H275,Len('Paste #BBall'!H275)-Search("/",'Paste #BBall'!H275)))-1)</f>
        <v>1.5</v>
      </c>
    </row>
    <row r="276">
      <c r="A276" s="33">
        <v>275.0</v>
      </c>
      <c r="B276" s="149" t="str">
        <f>'Paste #BBall'!B276</f>
        <v>Isaiah Livers</v>
      </c>
      <c r="C276" s="150" t="str">
        <f>'Paste #BBall'!C276</f>
        <v>SF,PF</v>
      </c>
      <c r="D276" s="150" t="str">
        <f>'Paste #BBall'!D276</f>
        <v>DET</v>
      </c>
      <c r="E276" s="151">
        <f>'Paste #BBall'!E276</f>
        <v>60</v>
      </c>
      <c r="F276" s="152">
        <f>'Paste #BBall'!F276</f>
        <v>19.2</v>
      </c>
      <c r="G276" s="153" t="str">
        <f>right(Left('Paste #BBall'!G276,Search("/",'Paste #BBall'!G276)-1),len(Left('Paste #BBall'!G276,Search("/",'Paste #BBall'!G276)-1))-search("(",Left('Paste #BBall'!G276,Search("/",'Paste #BBall'!G276)-1)))</f>
        <v>2.0</v>
      </c>
      <c r="H276" s="152">
        <f t="shared" si="1"/>
        <v>0.4347826087</v>
      </c>
      <c r="I276" s="152" t="str">
        <f>right(Left('Paste #BBall'!H276,Search("/",'Paste #BBall'!H276)-1),len(Left('Paste #BBall'!H276,Search("/",'Paste #BBall'!H276)-1))-search("(",Left('Paste #BBall'!H276,Search("/",'Paste #BBall'!H276)-1)))</f>
        <v>0.5</v>
      </c>
      <c r="J276" s="152">
        <f t="shared" si="2"/>
        <v>0.7142857143</v>
      </c>
      <c r="K276" s="152">
        <f>'Paste #BBall'!I276</f>
        <v>1.2</v>
      </c>
      <c r="L276" s="152">
        <f>'Paste #BBall'!J276</f>
        <v>5.7</v>
      </c>
      <c r="M276" s="152">
        <f>'Paste #BBall'!K276</f>
        <v>2.5</v>
      </c>
      <c r="N276" s="152">
        <f>'Paste #BBall'!L276</f>
        <v>0.8</v>
      </c>
      <c r="O276" s="152">
        <f>'Paste #BBall'!M276</f>
        <v>0.5</v>
      </c>
      <c r="P276" s="152">
        <f>'Paste #BBall'!N276</f>
        <v>0.4</v>
      </c>
      <c r="Q276" s="152">
        <f>'Paste #BBall'!O276</f>
        <v>0.6</v>
      </c>
      <c r="R276" s="153" t="str">
        <f>Left(Right('Paste #BBall'!G276,Len('Paste #BBall'!G276)-Search("/",'Paste #BBall'!G276)),Len(Right('Paste #BBall'!G276,Len('Paste #BBall'!G276)-Search("/",'Paste #BBall'!G276)))-1)</f>
        <v>4.6</v>
      </c>
      <c r="S276" s="153" t="str">
        <f>Left(Right('Paste #BBall'!H276,Len('Paste #BBall'!H276)-Search("/",'Paste #BBall'!H276)),Len(Right('Paste #BBall'!H276,Len('Paste #BBall'!H276)-Search("/",'Paste #BBall'!H276)))-1)</f>
        <v>0.7</v>
      </c>
    </row>
    <row r="277">
      <c r="A277" s="33">
        <v>276.0</v>
      </c>
      <c r="B277" s="149" t="str">
        <f>'Paste #BBall'!B277</f>
        <v>Orlando Robinson</v>
      </c>
      <c r="C277" s="150" t="str">
        <f>'Paste #BBall'!C277</f>
        <v>C</v>
      </c>
      <c r="D277" s="150" t="str">
        <f>'Paste #BBall'!D277</f>
        <v>MIA</v>
      </c>
      <c r="E277" s="151">
        <f>'Paste #BBall'!E277</f>
        <v>65</v>
      </c>
      <c r="F277" s="152">
        <f>'Paste #BBall'!F277</f>
        <v>16.8</v>
      </c>
      <c r="G277" s="153" t="str">
        <f>right(Left('Paste #BBall'!G277,Search("/",'Paste #BBall'!G277)-1),len(Left('Paste #BBall'!G277,Search("/",'Paste #BBall'!G277)-1))-search("(",Left('Paste #BBall'!G277,Search("/",'Paste #BBall'!G277)-1)))</f>
        <v>1.9</v>
      </c>
      <c r="H277" s="152">
        <f t="shared" si="1"/>
        <v>0.5277777778</v>
      </c>
      <c r="I277" s="152" t="str">
        <f>right(Left('Paste #BBall'!H277,Search("/",'Paste #BBall'!H277)-1),len(Left('Paste #BBall'!H277,Search("/",'Paste #BBall'!H277)-1))-search("(",Left('Paste #BBall'!H277,Search("/",'Paste #BBall'!H277)-1)))</f>
        <v>0.9</v>
      </c>
      <c r="J277" s="152">
        <f t="shared" si="2"/>
        <v>0.75</v>
      </c>
      <c r="K277" s="152">
        <f>'Paste #BBall'!I277</f>
        <v>0</v>
      </c>
      <c r="L277" s="152">
        <f>'Paste #BBall'!J277</f>
        <v>4.6</v>
      </c>
      <c r="M277" s="152">
        <f>'Paste #BBall'!K277</f>
        <v>5</v>
      </c>
      <c r="N277" s="152">
        <f>'Paste #BBall'!L277</f>
        <v>1</v>
      </c>
      <c r="O277" s="152">
        <f>'Paste #BBall'!M277</f>
        <v>0.5</v>
      </c>
      <c r="P277" s="152">
        <f>'Paste #BBall'!N277</f>
        <v>0.5</v>
      </c>
      <c r="Q277" s="152">
        <f>'Paste #BBall'!O277</f>
        <v>0.6</v>
      </c>
      <c r="R277" s="153" t="str">
        <f>Left(Right('Paste #BBall'!G277,Len('Paste #BBall'!G277)-Search("/",'Paste #BBall'!G277)),Len(Right('Paste #BBall'!G277,Len('Paste #BBall'!G277)-Search("/",'Paste #BBall'!G277)))-1)</f>
        <v>3.6</v>
      </c>
      <c r="S277" s="153" t="str">
        <f>Left(Right('Paste #BBall'!H277,Len('Paste #BBall'!H277)-Search("/",'Paste #BBall'!H277)),Len(Right('Paste #BBall'!H277,Len('Paste #BBall'!H277)-Search("/",'Paste #BBall'!H277)))-1)</f>
        <v>1.2</v>
      </c>
    </row>
    <row r="278">
      <c r="A278" s="33">
        <v>277.0</v>
      </c>
      <c r="B278" s="149" t="str">
        <f>'Paste #BBall'!B278</f>
        <v>Ochai Agbaji</v>
      </c>
      <c r="C278" s="150" t="str">
        <f>'Paste #BBall'!C278</f>
        <v>PG,SG</v>
      </c>
      <c r="D278" s="150" t="str">
        <f>'Paste #BBall'!D278</f>
        <v>UTA</v>
      </c>
      <c r="E278" s="151">
        <f>'Paste #BBall'!E278</f>
        <v>68</v>
      </c>
      <c r="F278" s="152">
        <f>'Paste #BBall'!F278</f>
        <v>23</v>
      </c>
      <c r="G278" s="153" t="str">
        <f>right(Left('Paste #BBall'!G278,Search("/",'Paste #BBall'!G278)-1),len(Left('Paste #BBall'!G278,Search("/",'Paste #BBall'!G278)-1))-search("(",Left('Paste #BBall'!G278,Search("/",'Paste #BBall'!G278)-1)))</f>
        <v>3.2</v>
      </c>
      <c r="H278" s="152">
        <f t="shared" si="1"/>
        <v>0.4324324324</v>
      </c>
      <c r="I278" s="152" t="str">
        <f>right(Left('Paste #BBall'!H278,Search("/",'Paste #BBall'!H278)-1),len(Left('Paste #BBall'!H278,Search("/",'Paste #BBall'!H278)-1))-search("(",Left('Paste #BBall'!H278,Search("/",'Paste #BBall'!H278)-1)))</f>
        <v>1.1</v>
      </c>
      <c r="J278" s="152">
        <f t="shared" si="2"/>
        <v>0.8461538462</v>
      </c>
      <c r="K278" s="152">
        <f>'Paste #BBall'!I278</f>
        <v>1.6</v>
      </c>
      <c r="L278" s="152">
        <f>'Paste #BBall'!J278</f>
        <v>9</v>
      </c>
      <c r="M278" s="152">
        <f>'Paste #BBall'!K278</f>
        <v>2.3</v>
      </c>
      <c r="N278" s="152">
        <f>'Paste #BBall'!L278</f>
        <v>1.3</v>
      </c>
      <c r="O278" s="152">
        <f>'Paste #BBall'!M278</f>
        <v>0.3</v>
      </c>
      <c r="P278" s="152">
        <f>'Paste #BBall'!N278</f>
        <v>0.3</v>
      </c>
      <c r="Q278" s="152">
        <f>'Paste #BBall'!O278</f>
        <v>0.8</v>
      </c>
      <c r="R278" s="153" t="str">
        <f>Left(Right('Paste #BBall'!G278,Len('Paste #BBall'!G278)-Search("/",'Paste #BBall'!G278)),Len(Right('Paste #BBall'!G278,Len('Paste #BBall'!G278)-Search("/",'Paste #BBall'!G278)))-1)</f>
        <v>7.4</v>
      </c>
      <c r="S278" s="153" t="str">
        <f>Left(Right('Paste #BBall'!H278,Len('Paste #BBall'!H278)-Search("/",'Paste #BBall'!H278)),Len(Right('Paste #BBall'!H278,Len('Paste #BBall'!H278)-Search("/",'Paste #BBall'!H278)))-1)</f>
        <v>1.3</v>
      </c>
    </row>
    <row r="279">
      <c r="A279" s="33">
        <v>278.0</v>
      </c>
      <c r="B279" s="149" t="str">
        <f>'Paste #BBall'!B279</f>
        <v>Aaron Nesmith</v>
      </c>
      <c r="C279" s="150" t="str">
        <f>'Paste #BBall'!C279</f>
        <v>SF,PF</v>
      </c>
      <c r="D279" s="150" t="str">
        <f>'Paste #BBall'!D279</f>
        <v>IND</v>
      </c>
      <c r="E279" s="151">
        <f>'Paste #BBall'!E279</f>
        <v>47</v>
      </c>
      <c r="F279" s="152">
        <f>'Paste #BBall'!F279</f>
        <v>17.7</v>
      </c>
      <c r="G279" s="153" t="str">
        <f>right(Left('Paste #BBall'!G279,Search("/",'Paste #BBall'!G279)-1),len(Left('Paste #BBall'!G279,Search("/",'Paste #BBall'!G279)-1))-search("(",Left('Paste #BBall'!G279,Search("/",'Paste #BBall'!G279)-1)))</f>
        <v>2.4</v>
      </c>
      <c r="H279" s="152">
        <f t="shared" si="1"/>
        <v>0.4137931034</v>
      </c>
      <c r="I279" s="152" t="str">
        <f>right(Left('Paste #BBall'!H279,Search("/",'Paste #BBall'!H279)-1),len(Left('Paste #BBall'!H279,Search("/",'Paste #BBall'!H279)-1))-search("(",Left('Paste #BBall'!H279,Search("/",'Paste #BBall'!H279)-1)))</f>
        <v>1.1</v>
      </c>
      <c r="J279" s="152">
        <f t="shared" si="2"/>
        <v>0.8461538462</v>
      </c>
      <c r="K279" s="152">
        <f>'Paste #BBall'!I279</f>
        <v>1.1</v>
      </c>
      <c r="L279" s="152">
        <f>'Paste #BBall'!J279</f>
        <v>7</v>
      </c>
      <c r="M279" s="152">
        <f>'Paste #BBall'!K279</f>
        <v>2.7</v>
      </c>
      <c r="N279" s="152">
        <f>'Paste #BBall'!L279</f>
        <v>0.9</v>
      </c>
      <c r="O279" s="152">
        <f>'Paste #BBall'!M279</f>
        <v>0.6</v>
      </c>
      <c r="P279" s="152">
        <f>'Paste #BBall'!N279</f>
        <v>0.3</v>
      </c>
      <c r="Q279" s="152">
        <f>'Paste #BBall'!O279</f>
        <v>0.8</v>
      </c>
      <c r="R279" s="153" t="str">
        <f>Left(Right('Paste #BBall'!G279,Len('Paste #BBall'!G279)-Search("/",'Paste #BBall'!G279)),Len(Right('Paste #BBall'!G279,Len('Paste #BBall'!G279)-Search("/",'Paste #BBall'!G279)))-1)</f>
        <v>5.8</v>
      </c>
      <c r="S279" s="153" t="str">
        <f>Left(Right('Paste #BBall'!H279,Len('Paste #BBall'!H279)-Search("/",'Paste #BBall'!H279)),Len(Right('Paste #BBall'!H279,Len('Paste #BBall'!H279)-Search("/",'Paste #BBall'!H279)))-1)</f>
        <v>1.3</v>
      </c>
    </row>
    <row r="280">
      <c r="A280" s="33">
        <v>279.0</v>
      </c>
      <c r="B280" s="149" t="str">
        <f>'Paste #BBall'!B280</f>
        <v>Cason Wallace</v>
      </c>
      <c r="C280" s="150" t="str">
        <f>'Paste #BBall'!C280</f>
        <v>SG</v>
      </c>
      <c r="D280" s="150" t="str">
        <f>'Paste #BBall'!D280</f>
        <v>OKC</v>
      </c>
      <c r="E280" s="151">
        <f>'Paste #BBall'!E280</f>
        <v>66</v>
      </c>
      <c r="F280" s="152">
        <f>'Paste #BBall'!F280</f>
        <v>15.8</v>
      </c>
      <c r="G280" s="153" t="str">
        <f>right(Left('Paste #BBall'!G280,Search("/",'Paste #BBall'!G280)-1),len(Left('Paste #BBall'!G280,Search("/",'Paste #BBall'!G280)-1))-search("(",Left('Paste #BBall'!G280,Search("/",'Paste #BBall'!G280)-1)))</f>
        <v>2.9</v>
      </c>
      <c r="H280" s="152">
        <f t="shared" si="1"/>
        <v>0.4393939394</v>
      </c>
      <c r="I280" s="152" t="str">
        <f>right(Left('Paste #BBall'!H280,Search("/",'Paste #BBall'!H280)-1),len(Left('Paste #BBall'!H280,Search("/",'Paste #BBall'!H280)-1))-search("(",Left('Paste #BBall'!H280,Search("/",'Paste #BBall'!H280)-1)))</f>
        <v>0.9</v>
      </c>
      <c r="J280" s="152">
        <f t="shared" si="2"/>
        <v>0.8181818182</v>
      </c>
      <c r="K280" s="152">
        <f>'Paste #BBall'!I280</f>
        <v>0.8</v>
      </c>
      <c r="L280" s="152">
        <f>'Paste #BBall'!J280</f>
        <v>7.4</v>
      </c>
      <c r="M280" s="152">
        <f>'Paste #BBall'!K280</f>
        <v>1.8</v>
      </c>
      <c r="N280" s="152">
        <f>'Paste #BBall'!L280</f>
        <v>2.7</v>
      </c>
      <c r="O280" s="152">
        <f>'Paste #BBall'!M280</f>
        <v>0.7</v>
      </c>
      <c r="P280" s="152">
        <f>'Paste #BBall'!N280</f>
        <v>0.2</v>
      </c>
      <c r="Q280" s="152">
        <f>'Paste #BBall'!O280</f>
        <v>1.1</v>
      </c>
      <c r="R280" s="153" t="str">
        <f>Left(Right('Paste #BBall'!G280,Len('Paste #BBall'!G280)-Search("/",'Paste #BBall'!G280)),Len(Right('Paste #BBall'!G280,Len('Paste #BBall'!G280)-Search("/",'Paste #BBall'!G280)))-1)</f>
        <v>6.6</v>
      </c>
      <c r="S280" s="153" t="str">
        <f>Left(Right('Paste #BBall'!H280,Len('Paste #BBall'!H280)-Search("/",'Paste #BBall'!H280)),Len(Right('Paste #BBall'!H280,Len('Paste #BBall'!H280)-Search("/",'Paste #BBall'!H280)))-1)</f>
        <v>1.1</v>
      </c>
    </row>
    <row r="281">
      <c r="A281" s="33">
        <v>280.0</v>
      </c>
      <c r="B281" s="149" t="str">
        <f>'Paste #BBall'!B281</f>
        <v>Georges Niang</v>
      </c>
      <c r="C281" s="150" t="str">
        <f>'Paste #BBall'!C281</f>
        <v>PF</v>
      </c>
      <c r="D281" s="150" t="str">
        <f>'Paste #BBall'!D281</f>
        <v>CLE</v>
      </c>
      <c r="E281" s="151">
        <f>'Paste #BBall'!E281</f>
        <v>73</v>
      </c>
      <c r="F281" s="152">
        <f>'Paste #BBall'!F281</f>
        <v>18.4</v>
      </c>
      <c r="G281" s="153" t="str">
        <f>right(Left('Paste #BBall'!G281,Search("/",'Paste #BBall'!G281)-1),len(Left('Paste #BBall'!G281,Search("/",'Paste #BBall'!G281)-1))-search("(",Left('Paste #BBall'!G281,Search("/",'Paste #BBall'!G281)-1)))</f>
        <v>2.7</v>
      </c>
      <c r="H281" s="152">
        <f t="shared" si="1"/>
        <v>0.4426229508</v>
      </c>
      <c r="I281" s="152" t="str">
        <f>right(Left('Paste #BBall'!H281,Search("/",'Paste #BBall'!H281)-1),len(Left('Paste #BBall'!H281,Search("/",'Paste #BBall'!H281)-1))-search("(",Left('Paste #BBall'!H281,Search("/",'Paste #BBall'!H281)-1)))</f>
        <v>0.5</v>
      </c>
      <c r="J281" s="152">
        <f t="shared" si="2"/>
        <v>0.8333333333</v>
      </c>
      <c r="K281" s="152">
        <f>'Paste #BBall'!I281</f>
        <v>1.8</v>
      </c>
      <c r="L281" s="152">
        <f>'Paste #BBall'!J281</f>
        <v>7.7</v>
      </c>
      <c r="M281" s="152">
        <f>'Paste #BBall'!K281</f>
        <v>2.2</v>
      </c>
      <c r="N281" s="152">
        <f>'Paste #BBall'!L281</f>
        <v>1</v>
      </c>
      <c r="O281" s="152">
        <f>'Paste #BBall'!M281</f>
        <v>0.3</v>
      </c>
      <c r="P281" s="152">
        <f>'Paste #BBall'!N281</f>
        <v>0.2</v>
      </c>
      <c r="Q281" s="152">
        <f>'Paste #BBall'!O281</f>
        <v>0.7</v>
      </c>
      <c r="R281" s="153" t="str">
        <f>Left(Right('Paste #BBall'!G281,Len('Paste #BBall'!G281)-Search("/",'Paste #BBall'!G281)),Len(Right('Paste #BBall'!G281,Len('Paste #BBall'!G281)-Search("/",'Paste #BBall'!G281)))-1)</f>
        <v>6.1</v>
      </c>
      <c r="S281" s="153" t="str">
        <f>Left(Right('Paste #BBall'!H281,Len('Paste #BBall'!H281)-Search("/",'Paste #BBall'!H281)),Len(Right('Paste #BBall'!H281,Len('Paste #BBall'!H281)-Search("/",'Paste #BBall'!H281)))-1)</f>
        <v>0.6</v>
      </c>
    </row>
    <row r="282">
      <c r="A282" s="33">
        <v>281.0</v>
      </c>
      <c r="B282" s="149" t="str">
        <f>'Paste #BBall'!B282</f>
        <v>T.J. McConnell</v>
      </c>
      <c r="C282" s="150" t="str">
        <f>'Paste #BBall'!C282</f>
        <v>PG</v>
      </c>
      <c r="D282" s="150" t="str">
        <f>'Paste #BBall'!D282</f>
        <v>IND</v>
      </c>
      <c r="E282" s="151">
        <f>'Paste #BBall'!E282</f>
        <v>58</v>
      </c>
      <c r="F282" s="152">
        <f>'Paste #BBall'!F282</f>
        <v>12.1</v>
      </c>
      <c r="G282" s="153" t="str">
        <f>right(Left('Paste #BBall'!G282,Search("/",'Paste #BBall'!G282)-1),len(Left('Paste #BBall'!G282,Search("/",'Paste #BBall'!G282)-1))-search("(",Left('Paste #BBall'!G282,Search("/",'Paste #BBall'!G282)-1)))</f>
        <v>2.2</v>
      </c>
      <c r="H282" s="152">
        <f t="shared" si="1"/>
        <v>0.5365853659</v>
      </c>
      <c r="I282" s="152" t="str">
        <f>right(Left('Paste #BBall'!H282,Search("/",'Paste #BBall'!H282)-1),len(Left('Paste #BBall'!H282,Search("/",'Paste #BBall'!H282)-1))-search("(",Left('Paste #BBall'!H282,Search("/",'Paste #BBall'!H282)-1)))</f>
        <v>0.4</v>
      </c>
      <c r="J282" s="152">
        <f t="shared" si="2"/>
        <v>0.8</v>
      </c>
      <c r="K282" s="152">
        <f>'Paste #BBall'!I282</f>
        <v>0.2</v>
      </c>
      <c r="L282" s="152">
        <f>'Paste #BBall'!J282</f>
        <v>4.9</v>
      </c>
      <c r="M282" s="152">
        <f>'Paste #BBall'!K282</f>
        <v>1.8</v>
      </c>
      <c r="N282" s="152">
        <f>'Paste #BBall'!L282</f>
        <v>3</v>
      </c>
      <c r="O282" s="152">
        <f>'Paste #BBall'!M282</f>
        <v>0.6</v>
      </c>
      <c r="P282" s="152">
        <f>'Paste #BBall'!N282</f>
        <v>0.1</v>
      </c>
      <c r="Q282" s="152">
        <f>'Paste #BBall'!O282</f>
        <v>1</v>
      </c>
      <c r="R282" s="153" t="str">
        <f>Left(Right('Paste #BBall'!G282,Len('Paste #BBall'!G282)-Search("/",'Paste #BBall'!G282)),Len(Right('Paste #BBall'!G282,Len('Paste #BBall'!G282)-Search("/",'Paste #BBall'!G282)))-1)</f>
        <v>4.1</v>
      </c>
      <c r="S282" s="153" t="str">
        <f>Left(Right('Paste #BBall'!H282,Len('Paste #BBall'!H282)-Search("/",'Paste #BBall'!H282)),Len(Right('Paste #BBall'!H282,Len('Paste #BBall'!H282)-Search("/",'Paste #BBall'!H282)))-1)</f>
        <v>0.5</v>
      </c>
    </row>
    <row r="283">
      <c r="A283" s="33">
        <v>282.0</v>
      </c>
      <c r="B283" s="149" t="str">
        <f>'Paste #BBall'!B283</f>
        <v>Trey Lyles</v>
      </c>
      <c r="C283" s="150" t="str">
        <f>'Paste #BBall'!C283</f>
        <v>PF,C</v>
      </c>
      <c r="D283" s="150" t="str">
        <f>'Paste #BBall'!D283</f>
        <v>SAC</v>
      </c>
      <c r="E283" s="151">
        <f>'Paste #BBall'!E283</f>
        <v>74</v>
      </c>
      <c r="F283" s="152">
        <f>'Paste #BBall'!F283</f>
        <v>14.8</v>
      </c>
      <c r="G283" s="153" t="str">
        <f>right(Left('Paste #BBall'!G283,Search("/",'Paste #BBall'!G283)-1),len(Left('Paste #BBall'!G283,Search("/",'Paste #BBall'!G283)-1))-search("(",Left('Paste #BBall'!G283,Search("/",'Paste #BBall'!G283)-1)))</f>
        <v>2.4</v>
      </c>
      <c r="H283" s="152">
        <f t="shared" si="1"/>
        <v>0.4615384615</v>
      </c>
      <c r="I283" s="152" t="str">
        <f>right(Left('Paste #BBall'!H283,Search("/",'Paste #BBall'!H283)-1),len(Left('Paste #BBall'!H283,Search("/",'Paste #BBall'!H283)-1))-search("(",Left('Paste #BBall'!H283,Search("/",'Paste #BBall'!H283)-1)))</f>
        <v>1.6</v>
      </c>
      <c r="J283" s="152">
        <f t="shared" si="2"/>
        <v>0.8</v>
      </c>
      <c r="K283" s="152">
        <f>'Paste #BBall'!I283</f>
        <v>0.8</v>
      </c>
      <c r="L283" s="152">
        <f>'Paste #BBall'!J283</f>
        <v>7.2</v>
      </c>
      <c r="M283" s="152">
        <f>'Paste #BBall'!K283</f>
        <v>3.7</v>
      </c>
      <c r="N283" s="152">
        <f>'Paste #BBall'!L283</f>
        <v>0.8</v>
      </c>
      <c r="O283" s="152">
        <f>'Paste #BBall'!M283</f>
        <v>0.3</v>
      </c>
      <c r="P283" s="152">
        <f>'Paste #BBall'!N283</f>
        <v>0.3</v>
      </c>
      <c r="Q283" s="152">
        <f>'Paste #BBall'!O283</f>
        <v>0.7</v>
      </c>
      <c r="R283" s="153" t="str">
        <f>Left(Right('Paste #BBall'!G283,Len('Paste #BBall'!G283)-Search("/",'Paste #BBall'!G283)),Len(Right('Paste #BBall'!G283,Len('Paste #BBall'!G283)-Search("/",'Paste #BBall'!G283)))-1)</f>
        <v>5.2</v>
      </c>
      <c r="S283" s="153" t="str">
        <f>Left(Right('Paste #BBall'!H283,Len('Paste #BBall'!H283)-Search("/",'Paste #BBall'!H283)),Len(Right('Paste #BBall'!H283,Len('Paste #BBall'!H283)-Search("/",'Paste #BBall'!H283)))-1)</f>
        <v>2.0</v>
      </c>
    </row>
    <row r="284">
      <c r="A284" s="33">
        <v>283.0</v>
      </c>
      <c r="B284" s="149" t="str">
        <f>'Paste #BBall'!B284</f>
        <v>Alec Burks</v>
      </c>
      <c r="C284" s="150" t="str">
        <f>'Paste #BBall'!C284</f>
        <v>PG,SG,SF</v>
      </c>
      <c r="D284" s="150" t="str">
        <f>'Paste #BBall'!D284</f>
        <v>DET</v>
      </c>
      <c r="E284" s="151">
        <f>'Paste #BBall'!E284</f>
        <v>64</v>
      </c>
      <c r="F284" s="152">
        <f>'Paste #BBall'!F284</f>
        <v>15.2</v>
      </c>
      <c r="G284" s="153" t="str">
        <f>right(Left('Paste #BBall'!G284,Search("/",'Paste #BBall'!G284)-1),len(Left('Paste #BBall'!G284,Search("/",'Paste #BBall'!G284)-1))-search("(",Left('Paste #BBall'!G284,Search("/",'Paste #BBall'!G284)-1)))</f>
        <v>2.2</v>
      </c>
      <c r="H284" s="152">
        <f t="shared" si="1"/>
        <v>0.4150943396</v>
      </c>
      <c r="I284" s="152" t="str">
        <f>right(Left('Paste #BBall'!H284,Search("/",'Paste #BBall'!H284)-1),len(Left('Paste #BBall'!H284,Search("/",'Paste #BBall'!H284)-1))-search("(",Left('Paste #BBall'!H284,Search("/",'Paste #BBall'!H284)-1)))</f>
        <v>1.7</v>
      </c>
      <c r="J284" s="152">
        <f t="shared" si="2"/>
        <v>0.85</v>
      </c>
      <c r="K284" s="152">
        <f>'Paste #BBall'!I284</f>
        <v>1.1</v>
      </c>
      <c r="L284" s="152">
        <f>'Paste #BBall'!J284</f>
        <v>7.1</v>
      </c>
      <c r="M284" s="152">
        <f>'Paste #BBall'!K284</f>
        <v>2.5</v>
      </c>
      <c r="N284" s="152">
        <f>'Paste #BBall'!L284</f>
        <v>1.6</v>
      </c>
      <c r="O284" s="152">
        <f>'Paste #BBall'!M284</f>
        <v>0.6</v>
      </c>
      <c r="P284" s="152">
        <f>'Paste #BBall'!N284</f>
        <v>0.2</v>
      </c>
      <c r="Q284" s="152">
        <f>'Paste #BBall'!O284</f>
        <v>0.7</v>
      </c>
      <c r="R284" s="153" t="str">
        <f>Left(Right('Paste #BBall'!G284,Len('Paste #BBall'!G284)-Search("/",'Paste #BBall'!G284)),Len(Right('Paste #BBall'!G284,Len('Paste #BBall'!G284)-Search("/",'Paste #BBall'!G284)))-1)</f>
        <v>5.3</v>
      </c>
      <c r="S284" s="153" t="str">
        <f>Left(Right('Paste #BBall'!H284,Len('Paste #BBall'!H284)-Search("/",'Paste #BBall'!H284)),Len(Right('Paste #BBall'!H284,Len('Paste #BBall'!H284)-Search("/",'Paste #BBall'!H284)))-1)</f>
        <v>2.0</v>
      </c>
    </row>
    <row r="285">
      <c r="A285" s="33">
        <v>284.0</v>
      </c>
      <c r="B285" s="149" t="str">
        <f>'Paste #BBall'!B285</f>
        <v>Torrey Craig</v>
      </c>
      <c r="C285" s="150" t="str">
        <f>'Paste #BBall'!C285</f>
        <v>SF,PF</v>
      </c>
      <c r="D285" s="150" t="str">
        <f>'Paste #BBall'!D285</f>
        <v>CHI</v>
      </c>
      <c r="E285" s="151">
        <f>'Paste #BBall'!E285</f>
        <v>70</v>
      </c>
      <c r="F285" s="152">
        <f>'Paste #BBall'!F285</f>
        <v>16.3</v>
      </c>
      <c r="G285" s="153" t="str">
        <f>right(Left('Paste #BBall'!G285,Search("/",'Paste #BBall'!G285)-1),len(Left('Paste #BBall'!G285,Search("/",'Paste #BBall'!G285)-1))-search("(",Left('Paste #BBall'!G285,Search("/",'Paste #BBall'!G285)-1)))</f>
        <v>2.0</v>
      </c>
      <c r="H285" s="152">
        <f t="shared" si="1"/>
        <v>0.4545454545</v>
      </c>
      <c r="I285" s="152" t="str">
        <f>right(Left('Paste #BBall'!H285,Search("/",'Paste #BBall'!H285)-1),len(Left('Paste #BBall'!H285,Search("/",'Paste #BBall'!H285)-1))-search("(",Left('Paste #BBall'!H285,Search("/",'Paste #BBall'!H285)-1)))</f>
        <v>0.3</v>
      </c>
      <c r="J285" s="152">
        <f t="shared" si="2"/>
        <v>0.6</v>
      </c>
      <c r="K285" s="152">
        <f>'Paste #BBall'!I285</f>
        <v>0.8</v>
      </c>
      <c r="L285" s="152">
        <f>'Paste #BBall'!J285</f>
        <v>5.1</v>
      </c>
      <c r="M285" s="152">
        <f>'Paste #BBall'!K285</f>
        <v>3.4</v>
      </c>
      <c r="N285" s="152">
        <f>'Paste #BBall'!L285</f>
        <v>1</v>
      </c>
      <c r="O285" s="152">
        <f>'Paste #BBall'!M285</f>
        <v>0.5</v>
      </c>
      <c r="P285" s="152">
        <f>'Paste #BBall'!N285</f>
        <v>0.5</v>
      </c>
      <c r="Q285" s="152">
        <f>'Paste #BBall'!O285</f>
        <v>0.7</v>
      </c>
      <c r="R285" s="153" t="str">
        <f>Left(Right('Paste #BBall'!G285,Len('Paste #BBall'!G285)-Search("/",'Paste #BBall'!G285)),Len(Right('Paste #BBall'!G285,Len('Paste #BBall'!G285)-Search("/",'Paste #BBall'!G285)))-1)</f>
        <v>4.4</v>
      </c>
      <c r="S285" s="153" t="str">
        <f>Left(Right('Paste #BBall'!H285,Len('Paste #BBall'!H285)-Search("/",'Paste #BBall'!H285)),Len(Right('Paste #BBall'!H285,Len('Paste #BBall'!H285)-Search("/",'Paste #BBall'!H285)))-1)</f>
        <v>0.5</v>
      </c>
    </row>
    <row r="286">
      <c r="A286" s="33">
        <v>285.0</v>
      </c>
      <c r="B286" s="149" t="str">
        <f>'Paste #BBall'!B286</f>
        <v>Jordan Hawkins</v>
      </c>
      <c r="C286" s="150" t="str">
        <f>'Paste #BBall'!C286</f>
        <v>SG</v>
      </c>
      <c r="D286" s="150" t="str">
        <f>'Paste #BBall'!D286</f>
        <v>NO</v>
      </c>
      <c r="E286" s="151">
        <f>'Paste #BBall'!E286</f>
        <v>72</v>
      </c>
      <c r="F286" s="152">
        <f>'Paste #BBall'!F286</f>
        <v>18.4</v>
      </c>
      <c r="G286" s="153" t="str">
        <f>right(Left('Paste #BBall'!G286,Search("/",'Paste #BBall'!G286)-1),len(Left('Paste #BBall'!G286,Search("/",'Paste #BBall'!G286)-1))-search("(",Left('Paste #BBall'!G286,Search("/",'Paste #BBall'!G286)-1)))</f>
        <v>2.4</v>
      </c>
      <c r="H286" s="152">
        <f t="shared" si="1"/>
        <v>0.4285714286</v>
      </c>
      <c r="I286" s="152" t="str">
        <f>right(Left('Paste #BBall'!H286,Search("/",'Paste #BBall'!H286)-1),len(Left('Paste #BBall'!H286,Search("/",'Paste #BBall'!H286)-1))-search("(",Left('Paste #BBall'!H286,Search("/",'Paste #BBall'!H286)-1)))</f>
        <v>0.9</v>
      </c>
      <c r="J286" s="152">
        <f t="shared" si="2"/>
        <v>0.8181818182</v>
      </c>
      <c r="K286" s="152">
        <f>'Paste #BBall'!I286</f>
        <v>1.7</v>
      </c>
      <c r="L286" s="152">
        <f>'Paste #BBall'!J286</f>
        <v>7.3</v>
      </c>
      <c r="M286" s="152">
        <f>'Paste #BBall'!K286</f>
        <v>1.9</v>
      </c>
      <c r="N286" s="152">
        <f>'Paste #BBall'!L286</f>
        <v>1</v>
      </c>
      <c r="O286" s="152">
        <f>'Paste #BBall'!M286</f>
        <v>0.5</v>
      </c>
      <c r="P286" s="152">
        <f>'Paste #BBall'!N286</f>
        <v>0.1</v>
      </c>
      <c r="Q286" s="152">
        <f>'Paste #BBall'!O286</f>
        <v>0.5</v>
      </c>
      <c r="R286" s="153" t="str">
        <f>Left(Right('Paste #BBall'!G286,Len('Paste #BBall'!G286)-Search("/",'Paste #BBall'!G286)),Len(Right('Paste #BBall'!G286,Len('Paste #BBall'!G286)-Search("/",'Paste #BBall'!G286)))-1)</f>
        <v>5.6</v>
      </c>
      <c r="S286" s="153" t="str">
        <f>Left(Right('Paste #BBall'!H286,Len('Paste #BBall'!H286)-Search("/",'Paste #BBall'!H286)),Len(Right('Paste #BBall'!H286,Len('Paste #BBall'!H286)-Search("/",'Paste #BBall'!H286)))-1)</f>
        <v>1.1</v>
      </c>
    </row>
    <row r="287">
      <c r="A287" s="33">
        <v>286.0</v>
      </c>
      <c r="B287" s="149" t="str">
        <f>'Paste #BBall'!B287</f>
        <v>Jae'Sean Tate</v>
      </c>
      <c r="C287" s="150" t="str">
        <f>'Paste #BBall'!C287</f>
        <v>SF,PF</v>
      </c>
      <c r="D287" s="150" t="str">
        <f>'Paste #BBall'!D287</f>
        <v>HOU</v>
      </c>
      <c r="E287" s="151">
        <f>'Paste #BBall'!E287</f>
        <v>64</v>
      </c>
      <c r="F287" s="152">
        <f>'Paste #BBall'!F287</f>
        <v>15.6</v>
      </c>
      <c r="G287" s="153" t="str">
        <f>right(Left('Paste #BBall'!G287,Search("/",'Paste #BBall'!G287)-1),len(Left('Paste #BBall'!G287,Search("/",'Paste #BBall'!G287)-1))-search("(",Left('Paste #BBall'!G287,Search("/",'Paste #BBall'!G287)-1)))</f>
        <v>2.7</v>
      </c>
      <c r="H287" s="152">
        <f t="shared" si="1"/>
        <v>0.4909090909</v>
      </c>
      <c r="I287" s="152" t="str">
        <f>right(Left('Paste #BBall'!H287,Search("/",'Paste #BBall'!H287)-1),len(Left('Paste #BBall'!H287,Search("/",'Paste #BBall'!H287)-1))-search("(",Left('Paste #BBall'!H287,Search("/",'Paste #BBall'!H287)-1)))</f>
        <v>1.0</v>
      </c>
      <c r="J287" s="152">
        <f t="shared" si="2"/>
        <v>0.6666666667</v>
      </c>
      <c r="K287" s="152">
        <f>'Paste #BBall'!I287</f>
        <v>0.4</v>
      </c>
      <c r="L287" s="152">
        <f>'Paste #BBall'!J287</f>
        <v>6.9</v>
      </c>
      <c r="M287" s="152">
        <f>'Paste #BBall'!K287</f>
        <v>3.1</v>
      </c>
      <c r="N287" s="152">
        <f>'Paste #BBall'!L287</f>
        <v>1.8</v>
      </c>
      <c r="O287" s="152">
        <f>'Paste #BBall'!M287</f>
        <v>0.5</v>
      </c>
      <c r="P287" s="152">
        <f>'Paste #BBall'!N287</f>
        <v>0.3</v>
      </c>
      <c r="Q287" s="152">
        <f>'Paste #BBall'!O287</f>
        <v>1.1</v>
      </c>
      <c r="R287" s="153" t="str">
        <f>Left(Right('Paste #BBall'!G287,Len('Paste #BBall'!G287)-Search("/",'Paste #BBall'!G287)),Len(Right('Paste #BBall'!G287,Len('Paste #BBall'!G287)-Search("/",'Paste #BBall'!G287)))-1)</f>
        <v>5.5</v>
      </c>
      <c r="S287" s="153" t="str">
        <f>Left(Right('Paste #BBall'!H287,Len('Paste #BBall'!H287)-Search("/",'Paste #BBall'!H287)),Len(Right('Paste #BBall'!H287,Len('Paste #BBall'!H287)-Search("/",'Paste #BBall'!H287)))-1)</f>
        <v>1.5</v>
      </c>
    </row>
    <row r="288">
      <c r="A288" s="33">
        <v>287.0</v>
      </c>
      <c r="B288" s="149" t="str">
        <f>'Paste #BBall'!B288</f>
        <v>Chris Duarte</v>
      </c>
      <c r="C288" s="150" t="str">
        <f>'Paste #BBall'!C288</f>
        <v>SF</v>
      </c>
      <c r="D288" s="150" t="str">
        <f>'Paste #BBall'!D288</f>
        <v>SAC</v>
      </c>
      <c r="E288" s="151">
        <f>'Paste #BBall'!E288</f>
        <v>68</v>
      </c>
      <c r="F288" s="152">
        <f>'Paste #BBall'!F288</f>
        <v>18.4</v>
      </c>
      <c r="G288" s="153" t="str">
        <f>right(Left('Paste #BBall'!G288,Search("/",'Paste #BBall'!G288)-1),len(Left('Paste #BBall'!G288,Search("/",'Paste #BBall'!G288)-1))-search("(",Left('Paste #BBall'!G288,Search("/",'Paste #BBall'!G288)-1)))</f>
        <v>3.0</v>
      </c>
      <c r="H288" s="152">
        <f t="shared" si="1"/>
        <v>0.4109589041</v>
      </c>
      <c r="I288" s="152" t="str">
        <f>right(Left('Paste #BBall'!H288,Search("/",'Paste #BBall'!H288)-1),len(Left('Paste #BBall'!H288,Search("/",'Paste #BBall'!H288)-1))-search("(",Left('Paste #BBall'!H288,Search("/",'Paste #BBall'!H288)-1)))</f>
        <v>1.2</v>
      </c>
      <c r="J288" s="152">
        <f t="shared" si="2"/>
        <v>0.8571428571</v>
      </c>
      <c r="K288" s="152">
        <f>'Paste #BBall'!I288</f>
        <v>1.1</v>
      </c>
      <c r="L288" s="152">
        <f>'Paste #BBall'!J288</f>
        <v>8.3</v>
      </c>
      <c r="M288" s="152">
        <f>'Paste #BBall'!K288</f>
        <v>2.6</v>
      </c>
      <c r="N288" s="152">
        <f>'Paste #BBall'!L288</f>
        <v>1.4</v>
      </c>
      <c r="O288" s="152">
        <f>'Paste #BBall'!M288</f>
        <v>0.6</v>
      </c>
      <c r="P288" s="152">
        <f>'Paste #BBall'!N288</f>
        <v>0.1</v>
      </c>
      <c r="Q288" s="152">
        <f>'Paste #BBall'!O288</f>
        <v>1</v>
      </c>
      <c r="R288" s="153" t="str">
        <f>Left(Right('Paste #BBall'!G288,Len('Paste #BBall'!G288)-Search("/",'Paste #BBall'!G288)),Len(Right('Paste #BBall'!G288,Len('Paste #BBall'!G288)-Search("/",'Paste #BBall'!G288)))-1)</f>
        <v>7.3</v>
      </c>
      <c r="S288" s="153" t="str">
        <f>Left(Right('Paste #BBall'!H288,Len('Paste #BBall'!H288)-Search("/",'Paste #BBall'!H288)),Len(Right('Paste #BBall'!H288,Len('Paste #BBall'!H288)-Search("/",'Paste #BBall'!H288)))-1)</f>
        <v>1.4</v>
      </c>
    </row>
    <row r="289">
      <c r="A289" s="33">
        <v>288.0</v>
      </c>
      <c r="B289" s="149" t="str">
        <f>'Paste #BBall'!B289</f>
        <v>Dyson Daniels</v>
      </c>
      <c r="C289" s="150" t="str">
        <f>'Paste #BBall'!C289</f>
        <v>PG,SG</v>
      </c>
      <c r="D289" s="150" t="str">
        <f>'Paste #BBall'!D289</f>
        <v>NO</v>
      </c>
      <c r="E289" s="151">
        <f>'Paste #BBall'!E289</f>
        <v>69</v>
      </c>
      <c r="F289" s="152">
        <f>'Paste #BBall'!F289</f>
        <v>18.7</v>
      </c>
      <c r="G289" s="153" t="str">
        <f>right(Left('Paste #BBall'!G289,Search("/",'Paste #BBall'!G289)-1),len(Left('Paste #BBall'!G289,Search("/",'Paste #BBall'!G289)-1))-search("(",Left('Paste #BBall'!G289,Search("/",'Paste #BBall'!G289)-1)))</f>
        <v>1.6</v>
      </c>
      <c r="H289" s="152">
        <f t="shared" si="1"/>
        <v>0.4210526316</v>
      </c>
      <c r="I289" s="152" t="str">
        <f>right(Left('Paste #BBall'!H289,Search("/",'Paste #BBall'!H289)-1),len(Left('Paste #BBall'!H289,Search("/",'Paste #BBall'!H289)-1))-search("(",Left('Paste #BBall'!H289,Search("/",'Paste #BBall'!H289)-1)))</f>
        <v>0.5</v>
      </c>
      <c r="J289" s="152">
        <f t="shared" si="2"/>
        <v>0.7142857143</v>
      </c>
      <c r="K289" s="152">
        <f>'Paste #BBall'!I289</f>
        <v>0.5</v>
      </c>
      <c r="L289" s="152">
        <f>'Paste #BBall'!J289</f>
        <v>4.1</v>
      </c>
      <c r="M289" s="152">
        <f>'Paste #BBall'!K289</f>
        <v>3.4</v>
      </c>
      <c r="N289" s="152">
        <f>'Paste #BBall'!L289</f>
        <v>2.4</v>
      </c>
      <c r="O289" s="152">
        <f>'Paste #BBall'!M289</f>
        <v>0.8</v>
      </c>
      <c r="P289" s="152">
        <f>'Paste #BBall'!N289</f>
        <v>0.2</v>
      </c>
      <c r="Q289" s="152">
        <f>'Paste #BBall'!O289</f>
        <v>1</v>
      </c>
      <c r="R289" s="153" t="str">
        <f>Left(Right('Paste #BBall'!G289,Len('Paste #BBall'!G289)-Search("/",'Paste #BBall'!G289)),Len(Right('Paste #BBall'!G289,Len('Paste #BBall'!G289)-Search("/",'Paste #BBall'!G289)))-1)</f>
        <v>3.8</v>
      </c>
      <c r="S289" s="153" t="str">
        <f>Left(Right('Paste #BBall'!H289,Len('Paste #BBall'!H289)-Search("/",'Paste #BBall'!H289)),Len(Right('Paste #BBall'!H289,Len('Paste #BBall'!H289)-Search("/",'Paste #BBall'!H289)))-1)</f>
        <v>0.7</v>
      </c>
    </row>
    <row r="290">
      <c r="A290" s="33">
        <v>289.0</v>
      </c>
      <c r="B290" s="149" t="str">
        <f>'Paste #BBall'!B290</f>
        <v>Danilo Gallinari</v>
      </c>
      <c r="C290" s="150" t="str">
        <f>'Paste #BBall'!C290</f>
        <v>SF</v>
      </c>
      <c r="D290" s="150" t="str">
        <f>'Paste #BBall'!D290</f>
        <v>WAS</v>
      </c>
      <c r="E290" s="151">
        <f>'Paste #BBall'!E290</f>
        <v>40</v>
      </c>
      <c r="F290" s="152">
        <f>'Paste #BBall'!F290</f>
        <v>15.8</v>
      </c>
      <c r="G290" s="153" t="str">
        <f>right(Left('Paste #BBall'!G290,Search("/",'Paste #BBall'!G290)-1),len(Left('Paste #BBall'!G290,Search("/",'Paste #BBall'!G290)-1))-search("(",Left('Paste #BBall'!G290,Search("/",'Paste #BBall'!G290)-1)))</f>
        <v>2.5</v>
      </c>
      <c r="H290" s="152">
        <f t="shared" si="1"/>
        <v>0.4385964912</v>
      </c>
      <c r="I290" s="152" t="str">
        <f>right(Left('Paste #BBall'!H290,Search("/",'Paste #BBall'!H290)-1),len(Left('Paste #BBall'!H290,Search("/",'Paste #BBall'!H290)-1))-search("(",Left('Paste #BBall'!H290,Search("/",'Paste #BBall'!H290)-1)))</f>
        <v>1.4</v>
      </c>
      <c r="J290" s="152">
        <f t="shared" si="2"/>
        <v>0.9333333333</v>
      </c>
      <c r="K290" s="152">
        <f>'Paste #BBall'!I290</f>
        <v>1.1</v>
      </c>
      <c r="L290" s="152">
        <f>'Paste #BBall'!J290</f>
        <v>7.4</v>
      </c>
      <c r="M290" s="152">
        <f>'Paste #BBall'!K290</f>
        <v>2.9</v>
      </c>
      <c r="N290" s="152">
        <f>'Paste #BBall'!L290</f>
        <v>1</v>
      </c>
      <c r="O290" s="152">
        <f>'Paste #BBall'!M290</f>
        <v>0.3</v>
      </c>
      <c r="P290" s="152">
        <f>'Paste #BBall'!N290</f>
        <v>0.1</v>
      </c>
      <c r="Q290" s="152">
        <f>'Paste #BBall'!O290</f>
        <v>0.4</v>
      </c>
      <c r="R290" s="153" t="str">
        <f>Left(Right('Paste #BBall'!G290,Len('Paste #BBall'!G290)-Search("/",'Paste #BBall'!G290)),Len(Right('Paste #BBall'!G290,Len('Paste #BBall'!G290)-Search("/",'Paste #BBall'!G290)))-1)</f>
        <v>5.7</v>
      </c>
      <c r="S290" s="153" t="str">
        <f>Left(Right('Paste #BBall'!H290,Len('Paste #BBall'!H290)-Search("/",'Paste #BBall'!H290)),Len(Right('Paste #BBall'!H290,Len('Paste #BBall'!H290)-Search("/",'Paste #BBall'!H290)))-1)</f>
        <v>1.5</v>
      </c>
    </row>
    <row r="291">
      <c r="A291" s="33">
        <v>290.0</v>
      </c>
      <c r="B291" s="149" t="str">
        <f>'Paste #BBall'!B291</f>
        <v>Nikola Jovic</v>
      </c>
      <c r="C291" s="150" t="str">
        <f>'Paste #BBall'!C291</f>
        <v>PF,C</v>
      </c>
      <c r="D291" s="150" t="str">
        <f>'Paste #BBall'!D291</f>
        <v>MIA</v>
      </c>
      <c r="E291" s="151">
        <f>'Paste #BBall'!E291</f>
        <v>64</v>
      </c>
      <c r="F291" s="152">
        <f>'Paste #BBall'!F291</f>
        <v>16.7</v>
      </c>
      <c r="G291" s="153" t="str">
        <f>right(Left('Paste #BBall'!G291,Search("/",'Paste #BBall'!G291)-1),len(Left('Paste #BBall'!G291,Search("/",'Paste #BBall'!G291)-1))-search("(",Left('Paste #BBall'!G291,Search("/",'Paste #BBall'!G291)-1)))</f>
        <v>2.4</v>
      </c>
      <c r="H291" s="152">
        <f t="shared" si="1"/>
        <v>0.4210526316</v>
      </c>
      <c r="I291" s="152" t="str">
        <f>right(Left('Paste #BBall'!H291,Search("/",'Paste #BBall'!H291)-1),len(Left('Paste #BBall'!H291,Search("/",'Paste #BBall'!H291)-1))-search("(",Left('Paste #BBall'!H291,Search("/",'Paste #BBall'!H291)-1)))</f>
        <v>1.5</v>
      </c>
      <c r="J291" s="152">
        <f t="shared" si="2"/>
        <v>0.8823529412</v>
      </c>
      <c r="K291" s="152">
        <f>'Paste #BBall'!I291</f>
        <v>0.7</v>
      </c>
      <c r="L291" s="152">
        <f>'Paste #BBall'!J291</f>
        <v>7</v>
      </c>
      <c r="M291" s="152">
        <f>'Paste #BBall'!K291</f>
        <v>2.6</v>
      </c>
      <c r="N291" s="152">
        <f>'Paste #BBall'!L291</f>
        <v>0.8</v>
      </c>
      <c r="O291" s="152">
        <f>'Paste #BBall'!M291</f>
        <v>0.6</v>
      </c>
      <c r="P291" s="152">
        <f>'Paste #BBall'!N291</f>
        <v>0.2</v>
      </c>
      <c r="Q291" s="152">
        <f>'Paste #BBall'!O291</f>
        <v>0.8</v>
      </c>
      <c r="R291" s="153" t="str">
        <f>Left(Right('Paste #BBall'!G291,Len('Paste #BBall'!G291)-Search("/",'Paste #BBall'!G291)),Len(Right('Paste #BBall'!G291,Len('Paste #BBall'!G291)-Search("/",'Paste #BBall'!G291)))-1)</f>
        <v>5.7</v>
      </c>
      <c r="S291" s="153" t="str">
        <f>Left(Right('Paste #BBall'!H291,Len('Paste #BBall'!H291)-Search("/",'Paste #BBall'!H291)),Len(Right('Paste #BBall'!H291,Len('Paste #BBall'!H291)-Search("/",'Paste #BBall'!H291)))-1)</f>
        <v>1.7</v>
      </c>
    </row>
    <row r="292">
      <c r="A292" s="33">
        <v>291.0</v>
      </c>
      <c r="B292" s="149" t="str">
        <f>'Paste #BBall'!B292</f>
        <v>Jalen Smith</v>
      </c>
      <c r="C292" s="150" t="str">
        <f>'Paste #BBall'!C292</f>
        <v>PF,C</v>
      </c>
      <c r="D292" s="150" t="str">
        <f>'Paste #BBall'!D292</f>
        <v>IND</v>
      </c>
      <c r="E292" s="151">
        <f>'Paste #BBall'!E292</f>
        <v>44</v>
      </c>
      <c r="F292" s="152">
        <f>'Paste #BBall'!F292</f>
        <v>12.4</v>
      </c>
      <c r="G292" s="153" t="str">
        <f>right(Left('Paste #BBall'!G292,Search("/",'Paste #BBall'!G292)-1),len(Left('Paste #BBall'!G292,Search("/",'Paste #BBall'!G292)-1))-search("(",Left('Paste #BBall'!G292,Search("/",'Paste #BBall'!G292)-1)))</f>
        <v>2.4</v>
      </c>
      <c r="H292" s="152">
        <f t="shared" si="1"/>
        <v>0.4897959184</v>
      </c>
      <c r="I292" s="152" t="str">
        <f>right(Left('Paste #BBall'!H292,Search("/",'Paste #BBall'!H292)-1),len(Left('Paste #BBall'!H292,Search("/",'Paste #BBall'!H292)-1))-search("(",Left('Paste #BBall'!H292,Search("/",'Paste #BBall'!H292)-1)))</f>
        <v>1.0</v>
      </c>
      <c r="J292" s="152">
        <f t="shared" si="2"/>
        <v>0.7142857143</v>
      </c>
      <c r="K292" s="152">
        <f>'Paste #BBall'!I292</f>
        <v>0.5</v>
      </c>
      <c r="L292" s="152">
        <f>'Paste #BBall'!J292</f>
        <v>6.3</v>
      </c>
      <c r="M292" s="152">
        <f>'Paste #BBall'!K292</f>
        <v>4</v>
      </c>
      <c r="N292" s="152">
        <f>'Paste #BBall'!L292</f>
        <v>0.5</v>
      </c>
      <c r="O292" s="152">
        <f>'Paste #BBall'!M292</f>
        <v>0.2</v>
      </c>
      <c r="P292" s="152">
        <f>'Paste #BBall'!N292</f>
        <v>0.6</v>
      </c>
      <c r="Q292" s="152">
        <f>'Paste #BBall'!O292</f>
        <v>0.7</v>
      </c>
      <c r="R292" s="153" t="str">
        <f>Left(Right('Paste #BBall'!G292,Len('Paste #BBall'!G292)-Search("/",'Paste #BBall'!G292)),Len(Right('Paste #BBall'!G292,Len('Paste #BBall'!G292)-Search("/",'Paste #BBall'!G292)))-1)</f>
        <v>4.9</v>
      </c>
      <c r="S292" s="153" t="str">
        <f>Left(Right('Paste #BBall'!H292,Len('Paste #BBall'!H292)-Search("/",'Paste #BBall'!H292)),Len(Right('Paste #BBall'!H292,Len('Paste #BBall'!H292)-Search("/",'Paste #BBall'!H292)))-1)</f>
        <v>1.4</v>
      </c>
    </row>
    <row r="293">
      <c r="A293" s="33">
        <v>292.0</v>
      </c>
      <c r="B293" s="149" t="str">
        <f>'Paste #BBall'!B293</f>
        <v>Payton Pritchard</v>
      </c>
      <c r="C293" s="150" t="str">
        <f>'Paste #BBall'!C293</f>
        <v>PG,SG</v>
      </c>
      <c r="D293" s="150" t="str">
        <f>'Paste #BBall'!D293</f>
        <v>BOS</v>
      </c>
      <c r="E293" s="151">
        <f>'Paste #BBall'!E293</f>
        <v>70</v>
      </c>
      <c r="F293" s="152">
        <f>'Paste #BBall'!F293</f>
        <v>16.4</v>
      </c>
      <c r="G293" s="153" t="str">
        <f>right(Left('Paste #BBall'!G293,Search("/",'Paste #BBall'!G293)-1),len(Left('Paste #BBall'!G293,Search("/",'Paste #BBall'!G293)-1))-search("(",Left('Paste #BBall'!G293,Search("/",'Paste #BBall'!G293)-1)))</f>
        <v>2.6</v>
      </c>
      <c r="H293" s="152">
        <f t="shared" si="1"/>
        <v>0.4193548387</v>
      </c>
      <c r="I293" s="152" t="str">
        <f>right(Left('Paste #BBall'!H293,Search("/",'Paste #BBall'!H293)-1),len(Left('Paste #BBall'!H293,Search("/",'Paste #BBall'!H293)-1))-search("(",Left('Paste #BBall'!H293,Search("/",'Paste #BBall'!H293)-1)))</f>
        <v>0.3</v>
      </c>
      <c r="J293" s="152">
        <f t="shared" si="2"/>
        <v>0.75</v>
      </c>
      <c r="K293" s="152">
        <f>'Paste #BBall'!I293</f>
        <v>1.6</v>
      </c>
      <c r="L293" s="152">
        <f>'Paste #BBall'!J293</f>
        <v>7.1</v>
      </c>
      <c r="M293" s="152">
        <f>'Paste #BBall'!K293</f>
        <v>2.2</v>
      </c>
      <c r="N293" s="152">
        <f>'Paste #BBall'!L293</f>
        <v>2.1</v>
      </c>
      <c r="O293" s="152">
        <f>'Paste #BBall'!M293</f>
        <v>0.4</v>
      </c>
      <c r="P293" s="152">
        <f>'Paste #BBall'!N293</f>
        <v>0.1</v>
      </c>
      <c r="Q293" s="152">
        <f>'Paste #BBall'!O293</f>
        <v>0.8</v>
      </c>
      <c r="R293" s="153" t="str">
        <f>Left(Right('Paste #BBall'!G293,Len('Paste #BBall'!G293)-Search("/",'Paste #BBall'!G293)),Len(Right('Paste #BBall'!G293,Len('Paste #BBall'!G293)-Search("/",'Paste #BBall'!G293)))-1)</f>
        <v>6.2</v>
      </c>
      <c r="S293" s="153" t="str">
        <f>Left(Right('Paste #BBall'!H293,Len('Paste #BBall'!H293)-Search("/",'Paste #BBall'!H293)),Len(Right('Paste #BBall'!H293,Len('Paste #BBall'!H293)-Search("/",'Paste #BBall'!H293)))-1)</f>
        <v>0.4</v>
      </c>
    </row>
    <row r="294">
      <c r="A294" s="33">
        <v>293.0</v>
      </c>
      <c r="B294" s="149" t="str">
        <f>'Paste #BBall'!B294</f>
        <v>Talen Horton-Tucker</v>
      </c>
      <c r="C294" s="150" t="str">
        <f>'Paste #BBall'!C294</f>
        <v>SG,SF</v>
      </c>
      <c r="D294" s="150" t="str">
        <f>'Paste #BBall'!D294</f>
        <v>UTA</v>
      </c>
      <c r="E294" s="151">
        <f>'Paste #BBall'!E294</f>
        <v>60</v>
      </c>
      <c r="F294" s="152">
        <f>'Paste #BBall'!F294</f>
        <v>16</v>
      </c>
      <c r="G294" s="153" t="str">
        <f>right(Left('Paste #BBall'!G294,Search("/",'Paste #BBall'!G294)-1),len(Left('Paste #BBall'!G294,Search("/",'Paste #BBall'!G294)-1))-search("(",Left('Paste #BBall'!G294,Search("/",'Paste #BBall'!G294)-1)))</f>
        <v>2.8</v>
      </c>
      <c r="H294" s="152">
        <f t="shared" si="1"/>
        <v>0.4242424242</v>
      </c>
      <c r="I294" s="152" t="str">
        <f>right(Left('Paste #BBall'!H294,Search("/",'Paste #BBall'!H294)-1),len(Left('Paste #BBall'!H294,Search("/",'Paste #BBall'!H294)-1))-search("(",Left('Paste #BBall'!H294,Search("/",'Paste #BBall'!H294)-1)))</f>
        <v>1.3</v>
      </c>
      <c r="J294" s="152">
        <f t="shared" si="2"/>
        <v>0.7647058824</v>
      </c>
      <c r="K294" s="152">
        <f>'Paste #BBall'!I294</f>
        <v>0.6</v>
      </c>
      <c r="L294" s="152">
        <f>'Paste #BBall'!J294</f>
        <v>7.4</v>
      </c>
      <c r="M294" s="152">
        <f>'Paste #BBall'!K294</f>
        <v>2.3</v>
      </c>
      <c r="N294" s="152">
        <f>'Paste #BBall'!L294</f>
        <v>2.3</v>
      </c>
      <c r="O294" s="152">
        <f>'Paste #BBall'!M294</f>
        <v>0.6</v>
      </c>
      <c r="P294" s="152">
        <f>'Paste #BBall'!N294</f>
        <v>0.3</v>
      </c>
      <c r="Q294" s="152">
        <f>'Paste #BBall'!O294</f>
        <v>1.2</v>
      </c>
      <c r="R294" s="153" t="str">
        <f>Left(Right('Paste #BBall'!G294,Len('Paste #BBall'!G294)-Search("/",'Paste #BBall'!G294)),Len(Right('Paste #BBall'!G294,Len('Paste #BBall'!G294)-Search("/",'Paste #BBall'!G294)))-1)</f>
        <v>6.6</v>
      </c>
      <c r="S294" s="153" t="str">
        <f>Left(Right('Paste #BBall'!H294,Len('Paste #BBall'!H294)-Search("/",'Paste #BBall'!H294)),Len(Right('Paste #BBall'!H294,Len('Paste #BBall'!H294)-Search("/",'Paste #BBall'!H294)))-1)</f>
        <v>1.7</v>
      </c>
    </row>
    <row r="295">
      <c r="A295" s="33">
        <v>294.0</v>
      </c>
      <c r="B295" s="149" t="str">
        <f>'Paste #BBall'!B295</f>
        <v>Jock Landale</v>
      </c>
      <c r="C295" s="150" t="str">
        <f>'Paste #BBall'!C295</f>
        <v>C</v>
      </c>
      <c r="D295" s="150" t="str">
        <f>'Paste #BBall'!D295</f>
        <v>HOU</v>
      </c>
      <c r="E295" s="151">
        <f>'Paste #BBall'!E295</f>
        <v>68</v>
      </c>
      <c r="F295" s="152">
        <f>'Paste #BBall'!F295</f>
        <v>13.4</v>
      </c>
      <c r="G295" s="153" t="str">
        <f>right(Left('Paste #BBall'!G295,Search("/",'Paste #BBall'!G295)-1),len(Left('Paste #BBall'!G295,Search("/",'Paste #BBall'!G295)-1))-search("(",Left('Paste #BBall'!G295,Search("/",'Paste #BBall'!G295)-1)))</f>
        <v>2.4</v>
      </c>
      <c r="H295" s="152">
        <f t="shared" si="1"/>
        <v>0.5106382979</v>
      </c>
      <c r="I295" s="152" t="str">
        <f>right(Left('Paste #BBall'!H295,Search("/",'Paste #BBall'!H295)-1),len(Left('Paste #BBall'!H295,Search("/",'Paste #BBall'!H295)-1))-search("(",Left('Paste #BBall'!H295,Search("/",'Paste #BBall'!H295)-1)))</f>
        <v>1.0</v>
      </c>
      <c r="J295" s="152">
        <f t="shared" si="2"/>
        <v>0.7692307692</v>
      </c>
      <c r="K295" s="152">
        <f>'Paste #BBall'!I295</f>
        <v>0.4</v>
      </c>
      <c r="L295" s="152">
        <f>'Paste #BBall'!J295</f>
        <v>6.2</v>
      </c>
      <c r="M295" s="152">
        <f>'Paste #BBall'!K295</f>
        <v>3.6</v>
      </c>
      <c r="N295" s="152">
        <f>'Paste #BBall'!L295</f>
        <v>1</v>
      </c>
      <c r="O295" s="152">
        <f>'Paste #BBall'!M295</f>
        <v>0.2</v>
      </c>
      <c r="P295" s="152">
        <f>'Paste #BBall'!N295</f>
        <v>0.4</v>
      </c>
      <c r="Q295" s="152">
        <f>'Paste #BBall'!O295</f>
        <v>0.8</v>
      </c>
      <c r="R295" s="153" t="str">
        <f>Left(Right('Paste #BBall'!G295,Len('Paste #BBall'!G295)-Search("/",'Paste #BBall'!G295)),Len(Right('Paste #BBall'!G295,Len('Paste #BBall'!G295)-Search("/",'Paste #BBall'!G295)))-1)</f>
        <v>4.7</v>
      </c>
      <c r="S295" s="153" t="str">
        <f>Left(Right('Paste #BBall'!H295,Len('Paste #BBall'!H295)-Search("/",'Paste #BBall'!H295)),Len(Right('Paste #BBall'!H295,Len('Paste #BBall'!H295)-Search("/",'Paste #BBall'!H295)))-1)</f>
        <v>1.3</v>
      </c>
    </row>
    <row r="296">
      <c r="A296" s="33">
        <v>295.0</v>
      </c>
      <c r="B296" s="149" t="str">
        <f>'Paste #BBall'!B296</f>
        <v>Dwight Powell</v>
      </c>
      <c r="C296" s="150" t="str">
        <f>'Paste #BBall'!C296</f>
        <v>C</v>
      </c>
      <c r="D296" s="150" t="str">
        <f>'Paste #BBall'!D296</f>
        <v>DAL</v>
      </c>
      <c r="E296" s="151">
        <f>'Paste #BBall'!E296</f>
        <v>74</v>
      </c>
      <c r="F296" s="152">
        <f>'Paste #BBall'!F296</f>
        <v>14.1</v>
      </c>
      <c r="G296" s="153" t="str">
        <f>right(Left('Paste #BBall'!G296,Search("/",'Paste #BBall'!G296)-1),len(Left('Paste #BBall'!G296,Search("/",'Paste #BBall'!G296)-1))-search("(",Left('Paste #BBall'!G296,Search("/",'Paste #BBall'!G296)-1)))</f>
        <v>2.0</v>
      </c>
      <c r="H296" s="152">
        <f t="shared" si="1"/>
        <v>0.6896551724</v>
      </c>
      <c r="I296" s="152" t="str">
        <f>right(Left('Paste #BBall'!H296,Search("/",'Paste #BBall'!H296)-1),len(Left('Paste #BBall'!H296,Search("/",'Paste #BBall'!H296)-1))-search("(",Left('Paste #BBall'!H296,Search("/",'Paste #BBall'!H296)-1)))</f>
        <v>1.2</v>
      </c>
      <c r="J296" s="152">
        <f t="shared" si="2"/>
        <v>0.7058823529</v>
      </c>
      <c r="K296" s="152">
        <f>'Paste #BBall'!I296</f>
        <v>0.1</v>
      </c>
      <c r="L296" s="152">
        <f>'Paste #BBall'!J296</f>
        <v>5.4</v>
      </c>
      <c r="M296" s="152">
        <f>'Paste #BBall'!K296</f>
        <v>3.1</v>
      </c>
      <c r="N296" s="152">
        <f>'Paste #BBall'!L296</f>
        <v>0.7</v>
      </c>
      <c r="O296" s="152">
        <f>'Paste #BBall'!M296</f>
        <v>0.4</v>
      </c>
      <c r="P296" s="152">
        <f>'Paste #BBall'!N296</f>
        <v>0.3</v>
      </c>
      <c r="Q296" s="152">
        <f>'Paste #BBall'!O296</f>
        <v>0.6</v>
      </c>
      <c r="R296" s="153" t="str">
        <f>Left(Right('Paste #BBall'!G296,Len('Paste #BBall'!G296)-Search("/",'Paste #BBall'!G296)),Len(Right('Paste #BBall'!G296,Len('Paste #BBall'!G296)-Search("/",'Paste #BBall'!G296)))-1)</f>
        <v>2.9</v>
      </c>
      <c r="S296" s="153" t="str">
        <f>Left(Right('Paste #BBall'!H296,Len('Paste #BBall'!H296)-Search("/",'Paste #BBall'!H296)),Len(Right('Paste #BBall'!H296,Len('Paste #BBall'!H296)-Search("/",'Paste #BBall'!H296)))-1)</f>
        <v>1.7</v>
      </c>
    </row>
    <row r="297">
      <c r="A297" s="33">
        <v>296.0</v>
      </c>
      <c r="B297" s="149" t="str">
        <f>'Paste #BBall'!B297</f>
        <v>Josh Minott</v>
      </c>
      <c r="C297" s="150" t="str">
        <f>'Paste #BBall'!C297</f>
        <v>SF,PF</v>
      </c>
      <c r="D297" s="150" t="str">
        <f>'Paste #BBall'!D297</f>
        <v>MIN</v>
      </c>
      <c r="E297" s="151">
        <f>'Paste #BBall'!E297</f>
        <v>22</v>
      </c>
      <c r="F297" s="152">
        <f>'Paste #BBall'!F297</f>
        <v>10.1</v>
      </c>
      <c r="G297" s="153" t="str">
        <f>right(Left('Paste #BBall'!G297,Search("/",'Paste #BBall'!G297)-1),len(Left('Paste #BBall'!G297,Search("/",'Paste #BBall'!G297)-1))-search("(",Left('Paste #BBall'!G297,Search("/",'Paste #BBall'!G297)-1)))</f>
        <v>1.9</v>
      </c>
      <c r="H297" s="152">
        <f t="shared" si="1"/>
        <v>0.475</v>
      </c>
      <c r="I297" s="152" t="str">
        <f>right(Left('Paste #BBall'!H297,Search("/",'Paste #BBall'!H297)-1),len(Left('Paste #BBall'!H297,Search("/",'Paste #BBall'!H297)-1))-search("(",Left('Paste #BBall'!H297,Search("/",'Paste #BBall'!H297)-1)))</f>
        <v>0.8</v>
      </c>
      <c r="J297" s="152">
        <f t="shared" si="2"/>
        <v>0.8</v>
      </c>
      <c r="K297" s="152">
        <f>'Paste #BBall'!I297</f>
        <v>0.2</v>
      </c>
      <c r="L297" s="152">
        <f>'Paste #BBall'!J297</f>
        <v>4.8</v>
      </c>
      <c r="M297" s="152">
        <f>'Paste #BBall'!K297</f>
        <v>2.7</v>
      </c>
      <c r="N297" s="152">
        <f>'Paste #BBall'!L297</f>
        <v>0.5</v>
      </c>
      <c r="O297" s="152">
        <f>'Paste #BBall'!M297</f>
        <v>0.4</v>
      </c>
      <c r="P297" s="152">
        <f>'Paste #BBall'!N297</f>
        <v>0.6</v>
      </c>
      <c r="Q297" s="152">
        <f>'Paste #BBall'!O297</f>
        <v>0.3</v>
      </c>
      <c r="R297" s="153" t="str">
        <f>Left(Right('Paste #BBall'!G297,Len('Paste #BBall'!G297)-Search("/",'Paste #BBall'!G297)),Len(Right('Paste #BBall'!G297,Len('Paste #BBall'!G297)-Search("/",'Paste #BBall'!G297)))-1)</f>
        <v>4.0</v>
      </c>
      <c r="S297" s="153" t="str">
        <f>Left(Right('Paste #BBall'!H297,Len('Paste #BBall'!H297)-Search("/",'Paste #BBall'!H297)),Len(Right('Paste #BBall'!H297,Len('Paste #BBall'!H297)-Search("/",'Paste #BBall'!H297)))-1)</f>
        <v>1.0</v>
      </c>
    </row>
    <row r="298">
      <c r="A298" s="33">
        <v>297.0</v>
      </c>
      <c r="B298" s="149" t="str">
        <f>'Paste #BBall'!B298</f>
        <v>Ziaire Williams</v>
      </c>
      <c r="C298" s="150" t="str">
        <f>'Paste #BBall'!C298</f>
        <v>SF</v>
      </c>
      <c r="D298" s="150" t="str">
        <f>'Paste #BBall'!D298</f>
        <v>MEM</v>
      </c>
      <c r="E298" s="151">
        <f>'Paste #BBall'!E298</f>
        <v>60</v>
      </c>
      <c r="F298" s="152">
        <f>'Paste #BBall'!F298</f>
        <v>20.1</v>
      </c>
      <c r="G298" s="153" t="str">
        <f>right(Left('Paste #BBall'!G298,Search("/",'Paste #BBall'!G298)-1),len(Left('Paste #BBall'!G298,Search("/",'Paste #BBall'!G298)-1))-search("(",Left('Paste #BBall'!G298,Search("/",'Paste #BBall'!G298)-1)))</f>
        <v>2.9</v>
      </c>
      <c r="H298" s="152">
        <f t="shared" si="1"/>
        <v>0.4393939394</v>
      </c>
      <c r="I298" s="152" t="str">
        <f>right(Left('Paste #BBall'!H298,Search("/",'Paste #BBall'!H298)-1),len(Left('Paste #BBall'!H298,Search("/",'Paste #BBall'!H298)-1))-search("(",Left('Paste #BBall'!H298,Search("/",'Paste #BBall'!H298)-1)))</f>
        <v>0.6</v>
      </c>
      <c r="J298" s="152">
        <f t="shared" si="2"/>
        <v>0.75</v>
      </c>
      <c r="K298" s="152">
        <f>'Paste #BBall'!I298</f>
        <v>1.1</v>
      </c>
      <c r="L298" s="152">
        <f>'Paste #BBall'!J298</f>
        <v>7.6</v>
      </c>
      <c r="M298" s="152">
        <f>'Paste #BBall'!K298</f>
        <v>2.2</v>
      </c>
      <c r="N298" s="152">
        <f>'Paste #BBall'!L298</f>
        <v>1.1</v>
      </c>
      <c r="O298" s="152">
        <f>'Paste #BBall'!M298</f>
        <v>0.5</v>
      </c>
      <c r="P298" s="152">
        <f>'Paste #BBall'!N298</f>
        <v>0.2</v>
      </c>
      <c r="Q298" s="152">
        <f>'Paste #BBall'!O298</f>
        <v>0.8</v>
      </c>
      <c r="R298" s="153" t="str">
        <f>Left(Right('Paste #BBall'!G298,Len('Paste #BBall'!G298)-Search("/",'Paste #BBall'!G298)),Len(Right('Paste #BBall'!G298,Len('Paste #BBall'!G298)-Search("/",'Paste #BBall'!G298)))-1)</f>
        <v>6.6</v>
      </c>
      <c r="S298" s="153" t="str">
        <f>Left(Right('Paste #BBall'!H298,Len('Paste #BBall'!H298)-Search("/",'Paste #BBall'!H298)),Len(Right('Paste #BBall'!H298,Len('Paste #BBall'!H298)-Search("/",'Paste #BBall'!H298)))-1)</f>
        <v>0.8</v>
      </c>
    </row>
    <row r="299">
      <c r="A299" s="33">
        <v>298.0</v>
      </c>
      <c r="B299" s="149" t="str">
        <f>'Paste #BBall'!B299</f>
        <v>Joe Ingles</v>
      </c>
      <c r="C299" s="150" t="str">
        <f>'Paste #BBall'!C299</f>
        <v>SF,PF</v>
      </c>
      <c r="D299" s="150" t="str">
        <f>'Paste #BBall'!D299</f>
        <v>ORL</v>
      </c>
      <c r="E299" s="151">
        <f>'Paste #BBall'!E299</f>
        <v>60</v>
      </c>
      <c r="F299" s="152">
        <f>'Paste #BBall'!F299</f>
        <v>16.8</v>
      </c>
      <c r="G299" s="153" t="str">
        <f>right(Left('Paste #BBall'!G299,Search("/",'Paste #BBall'!G299)-1),len(Left('Paste #BBall'!G299,Search("/",'Paste #BBall'!G299)-1))-search("(",Left('Paste #BBall'!G299,Search("/",'Paste #BBall'!G299)-1)))</f>
        <v>1.8</v>
      </c>
      <c r="H299" s="152">
        <f t="shared" si="1"/>
        <v>0.4285714286</v>
      </c>
      <c r="I299" s="152" t="str">
        <f>right(Left('Paste #BBall'!H299,Search("/",'Paste #BBall'!H299)-1),len(Left('Paste #BBall'!H299,Search("/",'Paste #BBall'!H299)-1))-search("(",Left('Paste #BBall'!H299,Search("/",'Paste #BBall'!H299)-1)))</f>
        <v>0.3</v>
      </c>
      <c r="J299" s="152">
        <f t="shared" si="2"/>
        <v>1</v>
      </c>
      <c r="K299" s="152">
        <f>'Paste #BBall'!I299</f>
        <v>1.3</v>
      </c>
      <c r="L299" s="152">
        <f>'Paste #BBall'!J299</f>
        <v>5</v>
      </c>
      <c r="M299" s="152">
        <f>'Paste #BBall'!K299</f>
        <v>2</v>
      </c>
      <c r="N299" s="152">
        <f>'Paste #BBall'!L299</f>
        <v>2.4</v>
      </c>
      <c r="O299" s="152">
        <f>'Paste #BBall'!M299</f>
        <v>0.4</v>
      </c>
      <c r="P299" s="152">
        <f>'Paste #BBall'!N299</f>
        <v>0.1</v>
      </c>
      <c r="Q299" s="152">
        <f>'Paste #BBall'!O299</f>
        <v>0.8</v>
      </c>
      <c r="R299" s="153" t="str">
        <f>Left(Right('Paste #BBall'!G299,Len('Paste #BBall'!G299)-Search("/",'Paste #BBall'!G299)),Len(Right('Paste #BBall'!G299,Len('Paste #BBall'!G299)-Search("/",'Paste #BBall'!G299)))-1)</f>
        <v>4.2</v>
      </c>
      <c r="S299" s="153" t="str">
        <f>Left(Right('Paste #BBall'!H299,Len('Paste #BBall'!H299)-Search("/",'Paste #BBall'!H299)),Len(Right('Paste #BBall'!H299,Len('Paste #BBall'!H299)-Search("/",'Paste #BBall'!H299)))-1)</f>
        <v>0.3</v>
      </c>
    </row>
    <row r="300">
      <c r="A300" s="33">
        <v>299.0</v>
      </c>
      <c r="B300" s="149" t="str">
        <f>'Paste #BBall'!B300</f>
        <v>Danny Green</v>
      </c>
      <c r="C300" s="150" t="str">
        <f>'Paste #BBall'!C300</f>
        <v>SG</v>
      </c>
      <c r="D300" s="150" t="str">
        <f>'Paste #BBall'!D300</f>
        <v>PHI</v>
      </c>
      <c r="E300" s="151">
        <f>'Paste #BBall'!E300</f>
        <v>30</v>
      </c>
      <c r="F300" s="152">
        <f>'Paste #BBall'!F300</f>
        <v>14.4</v>
      </c>
      <c r="G300" s="153" t="str">
        <f>right(Left('Paste #BBall'!G300,Search("/",'Paste #BBall'!G300)-1),len(Left('Paste #BBall'!G300,Search("/",'Paste #BBall'!G300)-1))-search("(",Left('Paste #BBall'!G300,Search("/",'Paste #BBall'!G300)-1)))</f>
        <v>1.4</v>
      </c>
      <c r="H300" s="152">
        <f t="shared" si="1"/>
        <v>0.3888888889</v>
      </c>
      <c r="I300" s="152" t="str">
        <f>right(Left('Paste #BBall'!H300,Search("/",'Paste #BBall'!H300)-1),len(Left('Paste #BBall'!H300,Search("/",'Paste #BBall'!H300)-1))-search("(",Left('Paste #BBall'!H300,Search("/",'Paste #BBall'!H300)-1)))</f>
        <v>0.1</v>
      </c>
      <c r="J300" s="152">
        <f t="shared" si="2"/>
        <v>0.5</v>
      </c>
      <c r="K300" s="152">
        <f>'Paste #BBall'!I300</f>
        <v>1.2</v>
      </c>
      <c r="L300" s="152">
        <f>'Paste #BBall'!J300</f>
        <v>4.2</v>
      </c>
      <c r="M300" s="152">
        <f>'Paste #BBall'!K300</f>
        <v>1.7</v>
      </c>
      <c r="N300" s="152">
        <f>'Paste #BBall'!L300</f>
        <v>0.7</v>
      </c>
      <c r="O300" s="152">
        <f>'Paste #BBall'!M300</f>
        <v>0.7</v>
      </c>
      <c r="P300" s="152">
        <f>'Paste #BBall'!N300</f>
        <v>0.4</v>
      </c>
      <c r="Q300" s="152">
        <f>'Paste #BBall'!O300</f>
        <v>0.5</v>
      </c>
      <c r="R300" s="153" t="str">
        <f>Left(Right('Paste #BBall'!G300,Len('Paste #BBall'!G300)-Search("/",'Paste #BBall'!G300)),Len(Right('Paste #BBall'!G300,Len('Paste #BBall'!G300)-Search("/",'Paste #BBall'!G300)))-1)</f>
        <v>3.6</v>
      </c>
      <c r="S300" s="153" t="str">
        <f>Left(Right('Paste #BBall'!H300,Len('Paste #BBall'!H300)-Search("/",'Paste #BBall'!H300)),Len(Right('Paste #BBall'!H300,Len('Paste #BBall'!H300)-Search("/",'Paste #BBall'!H300)))-1)</f>
        <v>0.2</v>
      </c>
    </row>
    <row r="301">
      <c r="A301" s="33">
        <v>300.0</v>
      </c>
      <c r="B301" s="149" t="str">
        <f>'Paste #BBall'!B301</f>
        <v>Christian Koloko</v>
      </c>
      <c r="C301" s="150" t="str">
        <f>'Paste #BBall'!C301</f>
        <v>C</v>
      </c>
      <c r="D301" s="150" t="str">
        <f>'Paste #BBall'!D301</f>
        <v>TOR</v>
      </c>
      <c r="E301" s="151">
        <f>'Paste #BBall'!E301</f>
        <v>60</v>
      </c>
      <c r="F301" s="152">
        <f>'Paste #BBall'!F301</f>
        <v>14.8</v>
      </c>
      <c r="G301" s="153" t="str">
        <f>right(Left('Paste #BBall'!G301,Search("/",'Paste #BBall'!G301)-1),len(Left('Paste #BBall'!G301,Search("/",'Paste #BBall'!G301)-1))-search("(",Left('Paste #BBall'!G301,Search("/",'Paste #BBall'!G301)-1)))</f>
        <v>1.3</v>
      </c>
      <c r="H301" s="152">
        <f t="shared" si="1"/>
        <v>0.4642857143</v>
      </c>
      <c r="I301" s="152" t="str">
        <f>right(Left('Paste #BBall'!H301,Search("/",'Paste #BBall'!H301)-1),len(Left('Paste #BBall'!H301,Search("/",'Paste #BBall'!H301)-1))-search("(",Left('Paste #BBall'!H301,Search("/",'Paste #BBall'!H301)-1)))</f>
        <v>0.7</v>
      </c>
      <c r="J301" s="152">
        <f t="shared" si="2"/>
        <v>0.6363636364</v>
      </c>
      <c r="K301" s="152">
        <f>'Paste #BBall'!I301</f>
        <v>0</v>
      </c>
      <c r="L301" s="152">
        <f>'Paste #BBall'!J301</f>
        <v>3.4</v>
      </c>
      <c r="M301" s="152">
        <f>'Paste #BBall'!K301</f>
        <v>3.2</v>
      </c>
      <c r="N301" s="152">
        <f>'Paste #BBall'!L301</f>
        <v>0.6</v>
      </c>
      <c r="O301" s="152">
        <f>'Paste #BBall'!M301</f>
        <v>0.4</v>
      </c>
      <c r="P301" s="152">
        <f>'Paste #BBall'!N301</f>
        <v>1.1</v>
      </c>
      <c r="Q301" s="152">
        <f>'Paste #BBall'!O301</f>
        <v>0.4</v>
      </c>
      <c r="R301" s="153" t="str">
        <f>Left(Right('Paste #BBall'!G301,Len('Paste #BBall'!G301)-Search("/",'Paste #BBall'!G301)),Len(Right('Paste #BBall'!G301,Len('Paste #BBall'!G301)-Search("/",'Paste #BBall'!G301)))-1)</f>
        <v>2.8</v>
      </c>
      <c r="S301" s="153" t="str">
        <f>Left(Right('Paste #BBall'!H301,Len('Paste #BBall'!H301)-Search("/",'Paste #BBall'!H301)),Len(Right('Paste #BBall'!H301,Len('Paste #BBall'!H301)-Search("/",'Paste #BBall'!H301)))-1)</f>
        <v>1.1</v>
      </c>
    </row>
    <row r="302">
      <c r="A302" s="33">
        <v>301.0</v>
      </c>
      <c r="B302" s="149" t="str">
        <f>'Paste #BBall'!B302</f>
        <v>Jaime Jaquez Jr.</v>
      </c>
      <c r="C302" s="150" t="str">
        <f>'Paste #BBall'!C302</f>
        <v>SF</v>
      </c>
      <c r="D302" s="150" t="str">
        <f>'Paste #BBall'!D302</f>
        <v>MIA</v>
      </c>
      <c r="E302" s="151">
        <f>'Paste #BBall'!E302</f>
        <v>70</v>
      </c>
      <c r="F302" s="152">
        <f>'Paste #BBall'!F302</f>
        <v>18.4</v>
      </c>
      <c r="G302" s="153" t="str">
        <f>right(Left('Paste #BBall'!G302,Search("/",'Paste #BBall'!G302)-1),len(Left('Paste #BBall'!G302,Search("/",'Paste #BBall'!G302)-1))-search("(",Left('Paste #BBall'!G302,Search("/",'Paste #BBall'!G302)-1)))</f>
        <v>2.7</v>
      </c>
      <c r="H302" s="152">
        <f t="shared" si="1"/>
        <v>0.45</v>
      </c>
      <c r="I302" s="152" t="str">
        <f>right(Left('Paste #BBall'!H302,Search("/",'Paste #BBall'!H302)-1),len(Left('Paste #BBall'!H302,Search("/",'Paste #BBall'!H302)-1))-search("(",Left('Paste #BBall'!H302,Search("/",'Paste #BBall'!H302)-1)))</f>
        <v>1.5</v>
      </c>
      <c r="J302" s="152">
        <f t="shared" si="2"/>
        <v>0.7894736842</v>
      </c>
      <c r="K302" s="152">
        <f>'Paste #BBall'!I302</f>
        <v>0.4</v>
      </c>
      <c r="L302" s="152">
        <f>'Paste #BBall'!J302</f>
        <v>7.3</v>
      </c>
      <c r="M302" s="152">
        <f>'Paste #BBall'!K302</f>
        <v>2.5</v>
      </c>
      <c r="N302" s="152">
        <f>'Paste #BBall'!L302</f>
        <v>1.5</v>
      </c>
      <c r="O302" s="152">
        <f>'Paste #BBall'!M302</f>
        <v>0.6</v>
      </c>
      <c r="P302" s="152">
        <f>'Paste #BBall'!N302</f>
        <v>0.2</v>
      </c>
      <c r="Q302" s="152">
        <f>'Paste #BBall'!O302</f>
        <v>0.8</v>
      </c>
      <c r="R302" s="153" t="str">
        <f>Left(Right('Paste #BBall'!G302,Len('Paste #BBall'!G302)-Search("/",'Paste #BBall'!G302)),Len(Right('Paste #BBall'!G302,Len('Paste #BBall'!G302)-Search("/",'Paste #BBall'!G302)))-1)</f>
        <v>6.0</v>
      </c>
      <c r="S302" s="153" t="str">
        <f>Left(Right('Paste #BBall'!H302,Len('Paste #BBall'!H302)-Search("/",'Paste #BBall'!H302)),Len(Right('Paste #BBall'!H302,Len('Paste #BBall'!H302)-Search("/",'Paste #BBall'!H302)))-1)</f>
        <v>1.9</v>
      </c>
    </row>
    <row r="303">
      <c r="A303" s="33">
        <v>302.0</v>
      </c>
      <c r="B303" s="149" t="str">
        <f>'Paste #BBall'!B303</f>
        <v>Dean Wade</v>
      </c>
      <c r="C303" s="150" t="str">
        <f>'Paste #BBall'!C303</f>
        <v>SF,PF</v>
      </c>
      <c r="D303" s="150" t="str">
        <f>'Paste #BBall'!D303</f>
        <v>CLE</v>
      </c>
      <c r="E303" s="151">
        <f>'Paste #BBall'!E303</f>
        <v>58</v>
      </c>
      <c r="F303" s="152">
        <f>'Paste #BBall'!F303</f>
        <v>18.1</v>
      </c>
      <c r="G303" s="153" t="str">
        <f>right(Left('Paste #BBall'!G303,Search("/",'Paste #BBall'!G303)-1),len(Left('Paste #BBall'!G303,Search("/",'Paste #BBall'!G303)-1))-search("(",Left('Paste #BBall'!G303,Search("/",'Paste #BBall'!G303)-1)))</f>
        <v>1.7</v>
      </c>
      <c r="H303" s="152">
        <f t="shared" si="1"/>
        <v>0.4358974359</v>
      </c>
      <c r="I303" s="152" t="str">
        <f>right(Left('Paste #BBall'!H303,Search("/",'Paste #BBall'!H303)-1),len(Left('Paste #BBall'!H303,Search("/",'Paste #BBall'!H303)-1))-search("(",Left('Paste #BBall'!H303,Search("/",'Paste #BBall'!H303)-1)))</f>
        <v>0.3</v>
      </c>
      <c r="J303" s="152">
        <f t="shared" si="2"/>
        <v>0.6</v>
      </c>
      <c r="K303" s="152">
        <f>'Paste #BBall'!I303</f>
        <v>0.9</v>
      </c>
      <c r="L303" s="152">
        <f>'Paste #BBall'!J303</f>
        <v>4.6</v>
      </c>
      <c r="M303" s="152">
        <f>'Paste #BBall'!K303</f>
        <v>2.9</v>
      </c>
      <c r="N303" s="152">
        <f>'Paste #BBall'!L303</f>
        <v>0.9</v>
      </c>
      <c r="O303" s="152">
        <f>'Paste #BBall'!M303</f>
        <v>0.6</v>
      </c>
      <c r="P303" s="152">
        <f>'Paste #BBall'!N303</f>
        <v>0.3</v>
      </c>
      <c r="Q303" s="152">
        <f>'Paste #BBall'!O303</f>
        <v>0.3</v>
      </c>
      <c r="R303" s="153" t="str">
        <f>Left(Right('Paste #BBall'!G303,Len('Paste #BBall'!G303)-Search("/",'Paste #BBall'!G303)),Len(Right('Paste #BBall'!G303,Len('Paste #BBall'!G303)-Search("/",'Paste #BBall'!G303)))-1)</f>
        <v>3.9</v>
      </c>
      <c r="S303" s="153" t="str">
        <f>Left(Right('Paste #BBall'!H303,Len('Paste #BBall'!H303)-Search("/",'Paste #BBall'!H303)),Len(Right('Paste #BBall'!H303,Len('Paste #BBall'!H303)-Search("/",'Paste #BBall'!H303)))-1)</f>
        <v>0.5</v>
      </c>
    </row>
    <row r="304">
      <c r="A304" s="33">
        <v>303.0</v>
      </c>
      <c r="B304" s="149" t="str">
        <f>'Paste #BBall'!B304</f>
        <v>Lonnie Walker IV</v>
      </c>
      <c r="C304" s="150" t="str">
        <f>'Paste #BBall'!C304</f>
        <v>SG,SF</v>
      </c>
      <c r="D304" s="150" t="str">
        <f>'Paste #BBall'!D304</f>
        <v>BKN</v>
      </c>
      <c r="E304" s="151">
        <f>'Paste #BBall'!E304</f>
        <v>67</v>
      </c>
      <c r="F304" s="152">
        <f>'Paste #BBall'!F304</f>
        <v>16.7</v>
      </c>
      <c r="G304" s="153" t="str">
        <f>right(Left('Paste #BBall'!G304,Search("/",'Paste #BBall'!G304)-1),len(Left('Paste #BBall'!G304,Search("/",'Paste #BBall'!G304)-1))-search("(",Left('Paste #BBall'!G304,Search("/",'Paste #BBall'!G304)-1)))</f>
        <v>3.2</v>
      </c>
      <c r="H304" s="152">
        <f t="shared" si="1"/>
        <v>0.4266666667</v>
      </c>
      <c r="I304" s="152" t="str">
        <f>right(Left('Paste #BBall'!H304,Search("/",'Paste #BBall'!H304)-1),len(Left('Paste #BBall'!H304,Search("/",'Paste #BBall'!H304)-1))-search("(",Left('Paste #BBall'!H304,Search("/",'Paste #BBall'!H304)-1)))</f>
        <v>1.2</v>
      </c>
      <c r="J304" s="152">
        <f t="shared" si="2"/>
        <v>0.8</v>
      </c>
      <c r="K304" s="152">
        <f>'Paste #BBall'!I304</f>
        <v>1.2</v>
      </c>
      <c r="L304" s="152">
        <f>'Paste #BBall'!J304</f>
        <v>8.7</v>
      </c>
      <c r="M304" s="152">
        <f>'Paste #BBall'!K304</f>
        <v>1.7</v>
      </c>
      <c r="N304" s="152">
        <f>'Paste #BBall'!L304</f>
        <v>1.3</v>
      </c>
      <c r="O304" s="152">
        <f>'Paste #BBall'!M304</f>
        <v>0.4</v>
      </c>
      <c r="P304" s="152">
        <f>'Paste #BBall'!N304</f>
        <v>0.2</v>
      </c>
      <c r="Q304" s="152">
        <f>'Paste #BBall'!O304</f>
        <v>0.7</v>
      </c>
      <c r="R304" s="153" t="str">
        <f>Left(Right('Paste #BBall'!G304,Len('Paste #BBall'!G304)-Search("/",'Paste #BBall'!G304)),Len(Right('Paste #BBall'!G304,Len('Paste #BBall'!G304)-Search("/",'Paste #BBall'!G304)))-1)</f>
        <v>7.5</v>
      </c>
      <c r="S304" s="153" t="str">
        <f>Left(Right('Paste #BBall'!H304,Len('Paste #BBall'!H304)-Search("/",'Paste #BBall'!H304)),Len(Right('Paste #BBall'!H304,Len('Paste #BBall'!H304)-Search("/",'Paste #BBall'!H304)))-1)</f>
        <v>1.5</v>
      </c>
    </row>
    <row r="305">
      <c r="A305" s="33">
        <v>304.0</v>
      </c>
      <c r="B305" s="149" t="str">
        <f>'Paste #BBall'!B305</f>
        <v>Kris Murray</v>
      </c>
      <c r="C305" s="150" t="str">
        <f>'Paste #BBall'!C305</f>
        <v>SF,PF</v>
      </c>
      <c r="D305" s="150" t="str">
        <f>'Paste #BBall'!D305</f>
        <v>POR</v>
      </c>
      <c r="E305" s="151">
        <f>'Paste #BBall'!E305</f>
        <v>70</v>
      </c>
      <c r="F305" s="152">
        <f>'Paste #BBall'!F305</f>
        <v>16.8</v>
      </c>
      <c r="G305" s="153" t="str">
        <f>right(Left('Paste #BBall'!G305,Search("/",'Paste #BBall'!G305)-1),len(Left('Paste #BBall'!G305,Search("/",'Paste #BBall'!G305)-1))-search("(",Left('Paste #BBall'!G305,Search("/",'Paste #BBall'!G305)-1)))</f>
        <v>2.1</v>
      </c>
      <c r="H305" s="152">
        <f t="shared" si="1"/>
        <v>0.4468085106</v>
      </c>
      <c r="I305" s="152" t="str">
        <f>right(Left('Paste #BBall'!H305,Search("/",'Paste #BBall'!H305)-1),len(Left('Paste #BBall'!H305,Search("/",'Paste #BBall'!H305)-1))-search("(",Left('Paste #BBall'!H305,Search("/",'Paste #BBall'!H305)-1)))</f>
        <v>1.8</v>
      </c>
      <c r="J305" s="152">
        <f t="shared" si="2"/>
        <v>0.75</v>
      </c>
      <c r="K305" s="152">
        <f>'Paste #BBall'!I305</f>
        <v>0.8</v>
      </c>
      <c r="L305" s="152">
        <f>'Paste #BBall'!J305</f>
        <v>6.8</v>
      </c>
      <c r="M305" s="152">
        <f>'Paste #BBall'!K305</f>
        <v>2.3</v>
      </c>
      <c r="N305" s="152">
        <f>'Paste #BBall'!L305</f>
        <v>0.9</v>
      </c>
      <c r="O305" s="152">
        <f>'Paste #BBall'!M305</f>
        <v>0.5</v>
      </c>
      <c r="P305" s="152">
        <f>'Paste #BBall'!N305</f>
        <v>0.3</v>
      </c>
      <c r="Q305" s="152">
        <f>'Paste #BBall'!O305</f>
        <v>0.6</v>
      </c>
      <c r="R305" s="153" t="str">
        <f>Left(Right('Paste #BBall'!G305,Len('Paste #BBall'!G305)-Search("/",'Paste #BBall'!G305)),Len(Right('Paste #BBall'!G305,Len('Paste #BBall'!G305)-Search("/",'Paste #BBall'!G305)))-1)</f>
        <v>4.7</v>
      </c>
      <c r="S305" s="153" t="str">
        <f>Left(Right('Paste #BBall'!H305,Len('Paste #BBall'!H305)-Search("/",'Paste #BBall'!H305)),Len(Right('Paste #BBall'!H305,Len('Paste #BBall'!H305)-Search("/",'Paste #BBall'!H305)))-1)</f>
        <v>2.4</v>
      </c>
    </row>
    <row r="306">
      <c r="A306" s="33">
        <v>305.0</v>
      </c>
      <c r="B306" s="149" t="str">
        <f>'Paste #BBall'!B306</f>
        <v>Mo Bamba</v>
      </c>
      <c r="C306" s="150" t="str">
        <f>'Paste #BBall'!C306</f>
        <v>C</v>
      </c>
      <c r="D306" s="150" t="str">
        <f>'Paste #BBall'!D306</f>
        <v>PHI</v>
      </c>
      <c r="E306" s="151">
        <f>'Paste #BBall'!E306</f>
        <v>50</v>
      </c>
      <c r="F306" s="152">
        <f>'Paste #BBall'!F306</f>
        <v>10.4</v>
      </c>
      <c r="G306" s="153" t="str">
        <f>right(Left('Paste #BBall'!G306,Search("/",'Paste #BBall'!G306)-1),len(Left('Paste #BBall'!G306,Search("/",'Paste #BBall'!G306)-1))-search("(",Left('Paste #BBall'!G306,Search("/",'Paste #BBall'!G306)-1)))</f>
        <v>1.7</v>
      </c>
      <c r="H306" s="152">
        <f t="shared" si="1"/>
        <v>0.4857142857</v>
      </c>
      <c r="I306" s="152" t="str">
        <f>right(Left('Paste #BBall'!H306,Search("/",'Paste #BBall'!H306)-1),len(Left('Paste #BBall'!H306,Search("/",'Paste #BBall'!H306)-1))-search("(",Left('Paste #BBall'!H306,Search("/",'Paste #BBall'!H306)-1)))</f>
        <v>0.4</v>
      </c>
      <c r="J306" s="152">
        <f t="shared" si="2"/>
        <v>0.6666666667</v>
      </c>
      <c r="K306" s="152">
        <f>'Paste #BBall'!I306</f>
        <v>0.6</v>
      </c>
      <c r="L306" s="152">
        <f>'Paste #BBall'!J306</f>
        <v>4.4</v>
      </c>
      <c r="M306" s="152">
        <f>'Paste #BBall'!K306</f>
        <v>3.2</v>
      </c>
      <c r="N306" s="152">
        <f>'Paste #BBall'!L306</f>
        <v>0.5</v>
      </c>
      <c r="O306" s="152">
        <f>'Paste #BBall'!M306</f>
        <v>0.2</v>
      </c>
      <c r="P306" s="152">
        <f>'Paste #BBall'!N306</f>
        <v>0.7</v>
      </c>
      <c r="Q306" s="152">
        <f>'Paste #BBall'!O306</f>
        <v>0.4</v>
      </c>
      <c r="R306" s="153" t="str">
        <f>Left(Right('Paste #BBall'!G306,Len('Paste #BBall'!G306)-Search("/",'Paste #BBall'!G306)),Len(Right('Paste #BBall'!G306,Len('Paste #BBall'!G306)-Search("/",'Paste #BBall'!G306)))-1)</f>
        <v>3.5</v>
      </c>
      <c r="S306" s="153" t="str">
        <f>Left(Right('Paste #BBall'!H306,Len('Paste #BBall'!H306)-Search("/",'Paste #BBall'!H306)),Len(Right('Paste #BBall'!H306,Len('Paste #BBall'!H306)-Search("/",'Paste #BBall'!H306)))-1)</f>
        <v>0.6</v>
      </c>
    </row>
    <row r="307">
      <c r="A307" s="33">
        <v>306.0</v>
      </c>
      <c r="B307" s="149" t="str">
        <f>'Paste #BBall'!B307</f>
        <v>Duncan Robinson</v>
      </c>
      <c r="C307" s="150" t="str">
        <f>'Paste #BBall'!C307</f>
        <v>SG,SF</v>
      </c>
      <c r="D307" s="150" t="str">
        <f>'Paste #BBall'!D307</f>
        <v>MIA</v>
      </c>
      <c r="E307" s="151">
        <f>'Paste #BBall'!E307</f>
        <v>59</v>
      </c>
      <c r="F307" s="152">
        <f>'Paste #BBall'!F307</f>
        <v>17.8</v>
      </c>
      <c r="G307" s="153" t="str">
        <f>right(Left('Paste #BBall'!G307,Search("/",'Paste #BBall'!G307)-1),len(Left('Paste #BBall'!G307,Search("/",'Paste #BBall'!G307)-1))-search("(",Left('Paste #BBall'!G307,Search("/",'Paste #BBall'!G307)-1)))</f>
        <v>2.5</v>
      </c>
      <c r="H307" s="152">
        <f t="shared" si="1"/>
        <v>0.3968253968</v>
      </c>
      <c r="I307" s="152" t="str">
        <f>right(Left('Paste #BBall'!H307,Search("/",'Paste #BBall'!H307)-1),len(Left('Paste #BBall'!H307,Search("/",'Paste #BBall'!H307)-1))-search("(",Left('Paste #BBall'!H307,Search("/",'Paste #BBall'!H307)-1)))</f>
        <v>0.5</v>
      </c>
      <c r="J307" s="152">
        <f t="shared" si="2"/>
        <v>0.8333333333</v>
      </c>
      <c r="K307" s="152">
        <f>'Paste #BBall'!I307</f>
        <v>1.9</v>
      </c>
      <c r="L307" s="152">
        <f>'Paste #BBall'!J307</f>
        <v>7.4</v>
      </c>
      <c r="M307" s="152">
        <f>'Paste #BBall'!K307</f>
        <v>1.8</v>
      </c>
      <c r="N307" s="152">
        <f>'Paste #BBall'!L307</f>
        <v>1.2</v>
      </c>
      <c r="O307" s="152">
        <f>'Paste #BBall'!M307</f>
        <v>0.4</v>
      </c>
      <c r="P307" s="152">
        <f>'Paste #BBall'!N307</f>
        <v>0.1</v>
      </c>
      <c r="Q307" s="152">
        <f>'Paste #BBall'!O307</f>
        <v>0.6</v>
      </c>
      <c r="R307" s="153" t="str">
        <f>Left(Right('Paste #BBall'!G307,Len('Paste #BBall'!G307)-Search("/",'Paste #BBall'!G307)),Len(Right('Paste #BBall'!G307,Len('Paste #BBall'!G307)-Search("/",'Paste #BBall'!G307)))-1)</f>
        <v>6.3</v>
      </c>
      <c r="S307" s="153" t="str">
        <f>Left(Right('Paste #BBall'!H307,Len('Paste #BBall'!H307)-Search("/",'Paste #BBall'!H307)),Len(Right('Paste #BBall'!H307,Len('Paste #BBall'!H307)-Search("/",'Paste #BBall'!H307)))-1)</f>
        <v>0.6</v>
      </c>
    </row>
    <row r="308">
      <c r="A308" s="33">
        <v>307.0</v>
      </c>
      <c r="B308" s="149" t="str">
        <f>'Paste #BBall'!B308</f>
        <v>Day'Ron Sharpe</v>
      </c>
      <c r="C308" s="150" t="str">
        <f>'Paste #BBall'!C308</f>
        <v>C</v>
      </c>
      <c r="D308" s="150" t="str">
        <f>'Paste #BBall'!D308</f>
        <v>BKN</v>
      </c>
      <c r="E308" s="151">
        <f>'Paste #BBall'!E308</f>
        <v>50</v>
      </c>
      <c r="F308" s="152">
        <f>'Paste #BBall'!F308</f>
        <v>11.5</v>
      </c>
      <c r="G308" s="153" t="str">
        <f>right(Left('Paste #BBall'!G308,Search("/",'Paste #BBall'!G308)-1),len(Left('Paste #BBall'!G308,Search("/",'Paste #BBall'!G308)-1))-search("(",Left('Paste #BBall'!G308,Search("/",'Paste #BBall'!G308)-1)))</f>
        <v>2.2</v>
      </c>
      <c r="H308" s="152">
        <f t="shared" si="1"/>
        <v>0.5641025641</v>
      </c>
      <c r="I308" s="152" t="str">
        <f>right(Left('Paste #BBall'!H308,Search("/",'Paste #BBall'!H308)-1),len(Left('Paste #BBall'!H308,Search("/",'Paste #BBall'!H308)-1))-search("(",Left('Paste #BBall'!H308,Search("/",'Paste #BBall'!H308)-1)))</f>
        <v>0.7</v>
      </c>
      <c r="J308" s="152">
        <f t="shared" si="2"/>
        <v>0.5833333333</v>
      </c>
      <c r="K308" s="152">
        <f>'Paste #BBall'!I308</f>
        <v>0.1</v>
      </c>
      <c r="L308" s="152">
        <f>'Paste #BBall'!J308</f>
        <v>5.2</v>
      </c>
      <c r="M308" s="152">
        <f>'Paste #BBall'!K308</f>
        <v>4.4</v>
      </c>
      <c r="N308" s="152">
        <f>'Paste #BBall'!L308</f>
        <v>0.7</v>
      </c>
      <c r="O308" s="152">
        <f>'Paste #BBall'!M308</f>
        <v>0.3</v>
      </c>
      <c r="P308" s="152">
        <f>'Paste #BBall'!N308</f>
        <v>0.6</v>
      </c>
      <c r="Q308" s="152">
        <f>'Paste #BBall'!O308</f>
        <v>0.9</v>
      </c>
      <c r="R308" s="153" t="str">
        <f>Left(Right('Paste #BBall'!G308,Len('Paste #BBall'!G308)-Search("/",'Paste #BBall'!G308)),Len(Right('Paste #BBall'!G308,Len('Paste #BBall'!G308)-Search("/",'Paste #BBall'!G308)))-1)</f>
        <v>3.9</v>
      </c>
      <c r="S308" s="153" t="str">
        <f>Left(Right('Paste #BBall'!H308,Len('Paste #BBall'!H308)-Search("/",'Paste #BBall'!H308)),Len(Right('Paste #BBall'!H308,Len('Paste #BBall'!H308)-Search("/",'Paste #BBall'!H308)))-1)</f>
        <v>1.2</v>
      </c>
    </row>
    <row r="309">
      <c r="A309" s="33">
        <v>308.0</v>
      </c>
      <c r="B309" s="149" t="str">
        <f>'Paste #BBall'!B309</f>
        <v>Davion Mitchell</v>
      </c>
      <c r="C309" s="150" t="str">
        <f>'Paste #BBall'!C309</f>
        <v>PG,SG</v>
      </c>
      <c r="D309" s="150" t="str">
        <f>'Paste #BBall'!D309</f>
        <v>SAC</v>
      </c>
      <c r="E309" s="151">
        <f>'Paste #BBall'!E309</f>
        <v>78</v>
      </c>
      <c r="F309" s="152">
        <f>'Paste #BBall'!F309</f>
        <v>18.8</v>
      </c>
      <c r="G309" s="153" t="str">
        <f>right(Left('Paste #BBall'!G309,Search("/",'Paste #BBall'!G309)-1),len(Left('Paste #BBall'!G309,Search("/",'Paste #BBall'!G309)-1))-search("(",Left('Paste #BBall'!G309,Search("/",'Paste #BBall'!G309)-1)))</f>
        <v>2.9</v>
      </c>
      <c r="H309" s="152">
        <f t="shared" si="1"/>
        <v>0.4328358209</v>
      </c>
      <c r="I309" s="152" t="str">
        <f>right(Left('Paste #BBall'!H309,Search("/",'Paste #BBall'!H309)-1),len(Left('Paste #BBall'!H309,Search("/",'Paste #BBall'!H309)-1))-search("(",Left('Paste #BBall'!H309,Search("/",'Paste #BBall'!H309)-1)))</f>
        <v>0.4</v>
      </c>
      <c r="J309" s="152">
        <f t="shared" si="2"/>
        <v>0.6666666667</v>
      </c>
      <c r="K309" s="152">
        <f>'Paste #BBall'!I309</f>
        <v>0.9</v>
      </c>
      <c r="L309" s="152">
        <f>'Paste #BBall'!J309</f>
        <v>7.1</v>
      </c>
      <c r="M309" s="152">
        <f>'Paste #BBall'!K309</f>
        <v>1.5</v>
      </c>
      <c r="N309" s="152">
        <f>'Paste #BBall'!L309</f>
        <v>2.7</v>
      </c>
      <c r="O309" s="152">
        <f>'Paste #BBall'!M309</f>
        <v>0.5</v>
      </c>
      <c r="P309" s="152">
        <f>'Paste #BBall'!N309</f>
        <v>0.2</v>
      </c>
      <c r="Q309" s="152">
        <f>'Paste #BBall'!O309</f>
        <v>1</v>
      </c>
      <c r="R309" s="153" t="str">
        <f>Left(Right('Paste #BBall'!G309,Len('Paste #BBall'!G309)-Search("/",'Paste #BBall'!G309)),Len(Right('Paste #BBall'!G309,Len('Paste #BBall'!G309)-Search("/",'Paste #BBall'!G309)))-1)</f>
        <v>6.7</v>
      </c>
      <c r="S309" s="153" t="str">
        <f>Left(Right('Paste #BBall'!H309,Len('Paste #BBall'!H309)-Search("/",'Paste #BBall'!H309)),Len(Right('Paste #BBall'!H309,Len('Paste #BBall'!H309)-Search("/",'Paste #BBall'!H309)))-1)</f>
        <v>0.6</v>
      </c>
    </row>
    <row r="310">
      <c r="A310" s="33">
        <v>309.0</v>
      </c>
      <c r="B310" s="149" t="str">
        <f>'Paste #BBall'!B310</f>
        <v>Olivier-Maxence Prosper</v>
      </c>
      <c r="C310" s="150" t="str">
        <f>'Paste #BBall'!C310</f>
        <v>PF</v>
      </c>
      <c r="D310" s="150" t="str">
        <f>'Paste #BBall'!D310</f>
        <v>DAL</v>
      </c>
      <c r="E310" s="151">
        <f>'Paste #BBall'!E310</f>
        <v>61</v>
      </c>
      <c r="F310" s="152">
        <f>'Paste #BBall'!F310</f>
        <v>16.1</v>
      </c>
      <c r="G310" s="153" t="str">
        <f>right(Left('Paste #BBall'!G310,Search("/",'Paste #BBall'!G310)-1),len(Left('Paste #BBall'!G310,Search("/",'Paste #BBall'!G310)-1))-search("(",Left('Paste #BBall'!G310,Search("/",'Paste #BBall'!G310)-1)))</f>
        <v>3.0</v>
      </c>
      <c r="H310" s="152">
        <f t="shared" si="1"/>
        <v>0.4411764706</v>
      </c>
      <c r="I310" s="152" t="str">
        <f>right(Left('Paste #BBall'!H310,Search("/",'Paste #BBall'!H310)-1),len(Left('Paste #BBall'!H310,Search("/",'Paste #BBall'!H310)-1))-search("(",Left('Paste #BBall'!H310,Search("/",'Paste #BBall'!H310)-1)))</f>
        <v>0.7</v>
      </c>
      <c r="J310" s="152">
        <f t="shared" si="2"/>
        <v>0.7</v>
      </c>
      <c r="K310" s="152">
        <f>'Paste #BBall'!I310</f>
        <v>0.5</v>
      </c>
      <c r="L310" s="152">
        <f>'Paste #BBall'!J310</f>
        <v>7.2</v>
      </c>
      <c r="M310" s="152">
        <f>'Paste #BBall'!K310</f>
        <v>2.9</v>
      </c>
      <c r="N310" s="152">
        <f>'Paste #BBall'!L310</f>
        <v>0.6</v>
      </c>
      <c r="O310" s="152">
        <f>'Paste #BBall'!M310</f>
        <v>0.6</v>
      </c>
      <c r="P310" s="152">
        <f>'Paste #BBall'!N310</f>
        <v>0.2</v>
      </c>
      <c r="Q310" s="152">
        <f>'Paste #BBall'!O310</f>
        <v>0.6</v>
      </c>
      <c r="R310" s="153" t="str">
        <f>Left(Right('Paste #BBall'!G310,Len('Paste #BBall'!G310)-Search("/",'Paste #BBall'!G310)),Len(Right('Paste #BBall'!G310,Len('Paste #BBall'!G310)-Search("/",'Paste #BBall'!G310)))-1)</f>
        <v>6.8</v>
      </c>
      <c r="S310" s="153" t="str">
        <f>Left(Right('Paste #BBall'!H310,Len('Paste #BBall'!H310)-Search("/",'Paste #BBall'!H310)),Len(Right('Paste #BBall'!H310,Len('Paste #BBall'!H310)-Search("/",'Paste #BBall'!H310)))-1)</f>
        <v>1.0</v>
      </c>
    </row>
    <row r="311">
      <c r="A311" s="33">
        <v>310.0</v>
      </c>
      <c r="B311" s="149" t="str">
        <f>'Paste #BBall'!B311</f>
        <v>Yuta Watanabe</v>
      </c>
      <c r="C311" s="150" t="str">
        <f>'Paste #BBall'!C311</f>
        <v>SF,PF</v>
      </c>
      <c r="D311" s="150" t="str">
        <f>'Paste #BBall'!D311</f>
        <v>PHO</v>
      </c>
      <c r="E311" s="151">
        <f>'Paste #BBall'!E311</f>
        <v>58</v>
      </c>
      <c r="F311" s="152">
        <f>'Paste #BBall'!F311</f>
        <v>15.5</v>
      </c>
      <c r="G311" s="153" t="str">
        <f>right(Left('Paste #BBall'!G311,Search("/",'Paste #BBall'!G311)-1),len(Left('Paste #BBall'!G311,Search("/",'Paste #BBall'!G311)-1))-search("(",Left('Paste #BBall'!G311,Search("/",'Paste #BBall'!G311)-1)))</f>
        <v>1.9</v>
      </c>
      <c r="H311" s="152">
        <f t="shared" si="1"/>
        <v>0.4523809524</v>
      </c>
      <c r="I311" s="152" t="str">
        <f>right(Left('Paste #BBall'!H311,Search("/",'Paste #BBall'!H311)-1),len(Left('Paste #BBall'!H311,Search("/",'Paste #BBall'!H311)-1))-search("(",Left('Paste #BBall'!H311,Search("/",'Paste #BBall'!H311)-1)))</f>
        <v>0.7</v>
      </c>
      <c r="J311" s="152">
        <f t="shared" si="2"/>
        <v>0.7</v>
      </c>
      <c r="K311" s="152">
        <f>'Paste #BBall'!I311</f>
        <v>1</v>
      </c>
      <c r="L311" s="152">
        <f>'Paste #BBall'!J311</f>
        <v>5.5</v>
      </c>
      <c r="M311" s="152">
        <f>'Paste #BBall'!K311</f>
        <v>2.7</v>
      </c>
      <c r="N311" s="152">
        <f>'Paste #BBall'!L311</f>
        <v>0.8</v>
      </c>
      <c r="O311" s="152">
        <f>'Paste #BBall'!M311</f>
        <v>0.4</v>
      </c>
      <c r="P311" s="152">
        <f>'Paste #BBall'!N311</f>
        <v>0.4</v>
      </c>
      <c r="Q311" s="152">
        <f>'Paste #BBall'!O311</f>
        <v>0.5</v>
      </c>
      <c r="R311" s="153" t="str">
        <f>Left(Right('Paste #BBall'!G311,Len('Paste #BBall'!G311)-Search("/",'Paste #BBall'!G311)),Len(Right('Paste #BBall'!G311,Len('Paste #BBall'!G311)-Search("/",'Paste #BBall'!G311)))-1)</f>
        <v>4.2</v>
      </c>
      <c r="S311" s="153" t="str">
        <f>Left(Right('Paste #BBall'!H311,Len('Paste #BBall'!H311)-Search("/",'Paste #BBall'!H311)),Len(Right('Paste #BBall'!H311,Len('Paste #BBall'!H311)-Search("/",'Paste #BBall'!H311)))-1)</f>
        <v>1.0</v>
      </c>
    </row>
    <row r="312">
      <c r="A312" s="33">
        <v>311.0</v>
      </c>
      <c r="B312" s="149" t="str">
        <f>'Paste #BBall'!B312</f>
        <v>Cory Joseph</v>
      </c>
      <c r="C312" s="150" t="str">
        <f>'Paste #BBall'!C312</f>
        <v>PG,SG</v>
      </c>
      <c r="D312" s="150" t="str">
        <f>'Paste #BBall'!D312</f>
        <v>GS</v>
      </c>
      <c r="E312" s="151">
        <f>'Paste #BBall'!E312</f>
        <v>68</v>
      </c>
      <c r="F312" s="152">
        <f>'Paste #BBall'!F312</f>
        <v>15.1</v>
      </c>
      <c r="G312" s="153" t="str">
        <f>right(Left('Paste #BBall'!G312,Search("/",'Paste #BBall'!G312)-1),len(Left('Paste #BBall'!G312,Search("/",'Paste #BBall'!G312)-1))-search("(",Left('Paste #BBall'!G312,Search("/",'Paste #BBall'!G312)-1)))</f>
        <v>1.8</v>
      </c>
      <c r="H312" s="152">
        <f t="shared" si="1"/>
        <v>0.4390243902</v>
      </c>
      <c r="I312" s="152" t="str">
        <f>right(Left('Paste #BBall'!H312,Search("/",'Paste #BBall'!H312)-1),len(Left('Paste #BBall'!H312,Search("/",'Paste #BBall'!H312)-1))-search("(",Left('Paste #BBall'!H312,Search("/",'Paste #BBall'!H312)-1)))</f>
        <v>0.9</v>
      </c>
      <c r="J312" s="152">
        <f t="shared" si="2"/>
        <v>0.9</v>
      </c>
      <c r="K312" s="152">
        <f>'Paste #BBall'!I312</f>
        <v>0.7</v>
      </c>
      <c r="L312" s="152">
        <f>'Paste #BBall'!J312</f>
        <v>5.1</v>
      </c>
      <c r="M312" s="152">
        <f>'Paste #BBall'!K312</f>
        <v>1.5</v>
      </c>
      <c r="N312" s="152">
        <f>'Paste #BBall'!L312</f>
        <v>2.5</v>
      </c>
      <c r="O312" s="152">
        <f>'Paste #BBall'!M312</f>
        <v>0.4</v>
      </c>
      <c r="P312" s="152">
        <f>'Paste #BBall'!N312</f>
        <v>0.1</v>
      </c>
      <c r="Q312" s="152">
        <f>'Paste #BBall'!O312</f>
        <v>0.8</v>
      </c>
      <c r="R312" s="153" t="str">
        <f>Left(Right('Paste #BBall'!G312,Len('Paste #BBall'!G312)-Search("/",'Paste #BBall'!G312)),Len(Right('Paste #BBall'!G312,Len('Paste #BBall'!G312)-Search("/",'Paste #BBall'!G312)))-1)</f>
        <v>4.1</v>
      </c>
      <c r="S312" s="153" t="str">
        <f>Left(Right('Paste #BBall'!H312,Len('Paste #BBall'!H312)-Search("/",'Paste #BBall'!H312)),Len(Right('Paste #BBall'!H312,Len('Paste #BBall'!H312)-Search("/",'Paste #BBall'!H312)))-1)</f>
        <v>1.0</v>
      </c>
    </row>
    <row r="313">
      <c r="A313" s="33">
        <v>312.0</v>
      </c>
      <c r="B313" s="149" t="str">
        <f>'Paste #BBall'!B313</f>
        <v>Zeke Nnaji</v>
      </c>
      <c r="C313" s="150" t="str">
        <f>'Paste #BBall'!C313</f>
        <v>PF,C</v>
      </c>
      <c r="D313" s="150" t="str">
        <f>'Paste #BBall'!D313</f>
        <v>DEN</v>
      </c>
      <c r="E313" s="151">
        <f>'Paste #BBall'!E313</f>
        <v>63</v>
      </c>
      <c r="F313" s="152">
        <f>'Paste #BBall'!F313</f>
        <v>16.1</v>
      </c>
      <c r="G313" s="153" t="str">
        <f>right(Left('Paste #BBall'!G313,Search("/",'Paste #BBall'!G313)-1),len(Left('Paste #BBall'!G313,Search("/",'Paste #BBall'!G313)-1))-search("(",Left('Paste #BBall'!G313,Search("/",'Paste #BBall'!G313)-1)))</f>
        <v>2.4</v>
      </c>
      <c r="H313" s="152">
        <f t="shared" si="1"/>
        <v>0.5454545455</v>
      </c>
      <c r="I313" s="152" t="str">
        <f>right(Left('Paste #BBall'!H313,Search("/",'Paste #BBall'!H313)-1),len(Left('Paste #BBall'!H313,Search("/",'Paste #BBall'!H313)-1))-search("(",Left('Paste #BBall'!H313,Search("/",'Paste #BBall'!H313)-1)))</f>
        <v>0.9</v>
      </c>
      <c r="J313" s="152">
        <f t="shared" si="2"/>
        <v>0.6</v>
      </c>
      <c r="K313" s="152">
        <f>'Paste #BBall'!I313</f>
        <v>0.6</v>
      </c>
      <c r="L313" s="152">
        <f>'Paste #BBall'!J313</f>
        <v>6.3</v>
      </c>
      <c r="M313" s="152">
        <f>'Paste #BBall'!K313</f>
        <v>3.3</v>
      </c>
      <c r="N313" s="152">
        <f>'Paste #BBall'!L313</f>
        <v>0.4</v>
      </c>
      <c r="O313" s="152">
        <f>'Paste #BBall'!M313</f>
        <v>0.4</v>
      </c>
      <c r="P313" s="152">
        <f>'Paste #BBall'!N313</f>
        <v>0.4</v>
      </c>
      <c r="Q313" s="152">
        <f>'Paste #BBall'!O313</f>
        <v>0.6</v>
      </c>
      <c r="R313" s="153" t="str">
        <f>Left(Right('Paste #BBall'!G313,Len('Paste #BBall'!G313)-Search("/",'Paste #BBall'!G313)),Len(Right('Paste #BBall'!G313,Len('Paste #BBall'!G313)-Search("/",'Paste #BBall'!G313)))-1)</f>
        <v>4.4</v>
      </c>
      <c r="S313" s="153" t="str">
        <f>Left(Right('Paste #BBall'!H313,Len('Paste #BBall'!H313)-Search("/",'Paste #BBall'!H313)),Len(Right('Paste #BBall'!H313,Len('Paste #BBall'!H313)-Search("/",'Paste #BBall'!H313)))-1)</f>
        <v>1.5</v>
      </c>
    </row>
    <row r="314">
      <c r="A314" s="33">
        <v>313.0</v>
      </c>
      <c r="B314" s="149" t="str">
        <f>'Paste #BBall'!B314</f>
        <v>Bilal Coulibaly</v>
      </c>
      <c r="C314" s="150" t="str">
        <f>'Paste #BBall'!C314</f>
        <v>SF</v>
      </c>
      <c r="D314" s="150" t="str">
        <f>'Paste #BBall'!D314</f>
        <v>WAS</v>
      </c>
      <c r="E314" s="151">
        <f>'Paste #BBall'!E314</f>
        <v>70</v>
      </c>
      <c r="F314" s="152">
        <f>'Paste #BBall'!F314</f>
        <v>21</v>
      </c>
      <c r="G314" s="153" t="str">
        <f>right(Left('Paste #BBall'!G314,Search("/",'Paste #BBall'!G314)-1),len(Left('Paste #BBall'!G314,Search("/",'Paste #BBall'!G314)-1))-search("(",Left('Paste #BBall'!G314,Search("/",'Paste #BBall'!G314)-1)))</f>
        <v>3.0</v>
      </c>
      <c r="H314" s="152">
        <f t="shared" si="1"/>
        <v>0.4285714286</v>
      </c>
      <c r="I314" s="152" t="str">
        <f>right(Left('Paste #BBall'!H314,Search("/",'Paste #BBall'!H314)-1),len(Left('Paste #BBall'!H314,Search("/",'Paste #BBall'!H314)-1))-search("(",Left('Paste #BBall'!H314,Search("/",'Paste #BBall'!H314)-1)))</f>
        <v>1.8</v>
      </c>
      <c r="J314" s="152">
        <f t="shared" si="2"/>
        <v>0.72</v>
      </c>
      <c r="K314" s="152">
        <f>'Paste #BBall'!I314</f>
        <v>0.6</v>
      </c>
      <c r="L314" s="152">
        <f>'Paste #BBall'!J314</f>
        <v>8.4</v>
      </c>
      <c r="M314" s="152">
        <f>'Paste #BBall'!K314</f>
        <v>3.8</v>
      </c>
      <c r="N314" s="152">
        <f>'Paste #BBall'!L314</f>
        <v>1.8</v>
      </c>
      <c r="O314" s="152">
        <f>'Paste #BBall'!M314</f>
        <v>0.6</v>
      </c>
      <c r="P314" s="152">
        <f>'Paste #BBall'!N314</f>
        <v>0.2</v>
      </c>
      <c r="Q314" s="152">
        <f>'Paste #BBall'!O314</f>
        <v>1.2</v>
      </c>
      <c r="R314" s="153" t="str">
        <f>Left(Right('Paste #BBall'!G314,Len('Paste #BBall'!G314)-Search("/",'Paste #BBall'!G314)),Len(Right('Paste #BBall'!G314,Len('Paste #BBall'!G314)-Search("/",'Paste #BBall'!G314)))-1)</f>
        <v>7.0</v>
      </c>
      <c r="S314" s="153" t="str">
        <f>Left(Right('Paste #BBall'!H314,Len('Paste #BBall'!H314)-Search("/",'Paste #BBall'!H314)),Len(Right('Paste #BBall'!H314,Len('Paste #BBall'!H314)-Search("/",'Paste #BBall'!H314)))-1)</f>
        <v>2.5</v>
      </c>
    </row>
    <row r="315">
      <c r="A315" s="33">
        <v>314.0</v>
      </c>
      <c r="B315" s="149" t="str">
        <f>'Paste #BBall'!B315</f>
        <v>Jaxson Hayes</v>
      </c>
      <c r="C315" s="150" t="str">
        <f>'Paste #BBall'!C315</f>
        <v>PF,C</v>
      </c>
      <c r="D315" s="150" t="str">
        <f>'Paste #BBall'!D315</f>
        <v>LAL</v>
      </c>
      <c r="E315" s="151">
        <f>'Paste #BBall'!E315</f>
        <v>67</v>
      </c>
      <c r="F315" s="152">
        <f>'Paste #BBall'!F315</f>
        <v>12.4</v>
      </c>
      <c r="G315" s="153" t="str">
        <f>right(Left('Paste #BBall'!G315,Search("/",'Paste #BBall'!G315)-1),len(Left('Paste #BBall'!G315,Search("/",'Paste #BBall'!G315)-1))-search("(",Left('Paste #BBall'!G315,Search("/",'Paste #BBall'!G315)-1)))</f>
        <v>2.0</v>
      </c>
      <c r="H315" s="152">
        <f t="shared" si="1"/>
        <v>0.5882352941</v>
      </c>
      <c r="I315" s="152" t="str">
        <f>right(Left('Paste #BBall'!H315,Search("/",'Paste #BBall'!H315)-1),len(Left('Paste #BBall'!H315,Search("/",'Paste #BBall'!H315)-1))-search("(",Left('Paste #BBall'!H315,Search("/",'Paste #BBall'!H315)-1)))</f>
        <v>1.2</v>
      </c>
      <c r="J315" s="152">
        <f t="shared" si="2"/>
        <v>0.75</v>
      </c>
      <c r="K315" s="152">
        <f>'Paste #BBall'!I315</f>
        <v>0.1</v>
      </c>
      <c r="L315" s="152">
        <f>'Paste #BBall'!J315</f>
        <v>5.4</v>
      </c>
      <c r="M315" s="152">
        <f>'Paste #BBall'!K315</f>
        <v>2.7</v>
      </c>
      <c r="N315" s="152">
        <f>'Paste #BBall'!L315</f>
        <v>0.5</v>
      </c>
      <c r="O315" s="152">
        <f>'Paste #BBall'!M315</f>
        <v>0.3</v>
      </c>
      <c r="P315" s="152">
        <f>'Paste #BBall'!N315</f>
        <v>0.5</v>
      </c>
      <c r="Q315" s="152">
        <f>'Paste #BBall'!O315</f>
        <v>0.5</v>
      </c>
      <c r="R315" s="153" t="str">
        <f>Left(Right('Paste #BBall'!G315,Len('Paste #BBall'!G315)-Search("/",'Paste #BBall'!G315)),Len(Right('Paste #BBall'!G315,Len('Paste #BBall'!G315)-Search("/",'Paste #BBall'!G315)))-1)</f>
        <v>3.4</v>
      </c>
      <c r="S315" s="153" t="str">
        <f>Left(Right('Paste #BBall'!H315,Len('Paste #BBall'!H315)-Search("/",'Paste #BBall'!H315)),Len(Right('Paste #BBall'!H315,Len('Paste #BBall'!H315)-Search("/",'Paste #BBall'!H315)))-1)</f>
        <v>1.6</v>
      </c>
    </row>
    <row r="316">
      <c r="A316" s="33">
        <v>315.0</v>
      </c>
      <c r="B316" s="149" t="str">
        <f>'Paste #BBall'!B316</f>
        <v>Killian Hayes</v>
      </c>
      <c r="C316" s="150" t="str">
        <f>'Paste #BBall'!C316</f>
        <v>PG,SG</v>
      </c>
      <c r="D316" s="150" t="str">
        <f>'Paste #BBall'!D316</f>
        <v>DET</v>
      </c>
      <c r="E316" s="151">
        <f>'Paste #BBall'!E316</f>
        <v>65</v>
      </c>
      <c r="F316" s="152">
        <f>'Paste #BBall'!F316</f>
        <v>14.3</v>
      </c>
      <c r="G316" s="153" t="str">
        <f>right(Left('Paste #BBall'!G316,Search("/",'Paste #BBall'!G316)-1),len(Left('Paste #BBall'!G316,Search("/",'Paste #BBall'!G316)-1))-search("(",Left('Paste #BBall'!G316,Search("/",'Paste #BBall'!G316)-1)))</f>
        <v>1.8</v>
      </c>
      <c r="H316" s="152">
        <f t="shared" si="1"/>
        <v>0.375</v>
      </c>
      <c r="I316" s="152" t="str">
        <f>right(Left('Paste #BBall'!H316,Search("/",'Paste #BBall'!H316)-1),len(Left('Paste #BBall'!H316,Search("/",'Paste #BBall'!H316)-1))-search("(",Left('Paste #BBall'!H316,Search("/",'Paste #BBall'!H316)-1)))</f>
        <v>0.6</v>
      </c>
      <c r="J316" s="152">
        <f t="shared" si="2"/>
        <v>0.8571428571</v>
      </c>
      <c r="K316" s="152">
        <f>'Paste #BBall'!I316</f>
        <v>0.5</v>
      </c>
      <c r="L316" s="152">
        <f>'Paste #BBall'!J316</f>
        <v>4.7</v>
      </c>
      <c r="M316" s="152">
        <f>'Paste #BBall'!K316</f>
        <v>1.6</v>
      </c>
      <c r="N316" s="152">
        <f>'Paste #BBall'!L316</f>
        <v>2.8</v>
      </c>
      <c r="O316" s="152">
        <f>'Paste #BBall'!M316</f>
        <v>0.7</v>
      </c>
      <c r="P316" s="152">
        <f>'Paste #BBall'!N316</f>
        <v>0.2</v>
      </c>
      <c r="Q316" s="152">
        <f>'Paste #BBall'!O316</f>
        <v>1.1</v>
      </c>
      <c r="R316" s="153" t="str">
        <f>Left(Right('Paste #BBall'!G316,Len('Paste #BBall'!G316)-Search("/",'Paste #BBall'!G316)),Len(Right('Paste #BBall'!G316,Len('Paste #BBall'!G316)-Search("/",'Paste #BBall'!G316)))-1)</f>
        <v>4.8</v>
      </c>
      <c r="S316" s="153" t="str">
        <f>Left(Right('Paste #BBall'!H316,Len('Paste #BBall'!H316)-Search("/",'Paste #BBall'!H316)),Len(Right('Paste #BBall'!H316,Len('Paste #BBall'!H316)-Search("/",'Paste #BBall'!H316)))-1)</f>
        <v>0.7</v>
      </c>
    </row>
    <row r="317">
      <c r="A317" s="33">
        <v>316.0</v>
      </c>
      <c r="B317" s="149" t="str">
        <f>'Paste #BBall'!B317</f>
        <v>Danuel House Jr.</v>
      </c>
      <c r="C317" s="150" t="str">
        <f>'Paste #BBall'!C317</f>
        <v>SF</v>
      </c>
      <c r="D317" s="150" t="str">
        <f>'Paste #BBall'!D317</f>
        <v>PHI</v>
      </c>
      <c r="E317" s="151">
        <f>'Paste #BBall'!E317</f>
        <v>68</v>
      </c>
      <c r="F317" s="152">
        <f>'Paste #BBall'!F317</f>
        <v>16.8</v>
      </c>
      <c r="G317" s="153" t="str">
        <f>right(Left('Paste #BBall'!G317,Search("/",'Paste #BBall'!G317)-1),len(Left('Paste #BBall'!G317,Search("/",'Paste #BBall'!G317)-1))-search("(",Left('Paste #BBall'!G317,Search("/",'Paste #BBall'!G317)-1)))</f>
        <v>1.9</v>
      </c>
      <c r="H317" s="152">
        <f t="shared" si="1"/>
        <v>0.4523809524</v>
      </c>
      <c r="I317" s="152" t="str">
        <f>right(Left('Paste #BBall'!H317,Search("/",'Paste #BBall'!H317)-1),len(Left('Paste #BBall'!H317,Search("/",'Paste #BBall'!H317)-1))-search("(",Left('Paste #BBall'!H317,Search("/",'Paste #BBall'!H317)-1)))</f>
        <v>1.0</v>
      </c>
      <c r="J317" s="152">
        <f t="shared" si="2"/>
        <v>0.7692307692</v>
      </c>
      <c r="K317" s="152">
        <f>'Paste #BBall'!I317</f>
        <v>0.9</v>
      </c>
      <c r="L317" s="152">
        <f>'Paste #BBall'!J317</f>
        <v>5.8</v>
      </c>
      <c r="M317" s="152">
        <f>'Paste #BBall'!K317</f>
        <v>2.3</v>
      </c>
      <c r="N317" s="152">
        <f>'Paste #BBall'!L317</f>
        <v>1</v>
      </c>
      <c r="O317" s="152">
        <f>'Paste #BBall'!M317</f>
        <v>0.4</v>
      </c>
      <c r="P317" s="152">
        <f>'Paste #BBall'!N317</f>
        <v>0.3</v>
      </c>
      <c r="Q317" s="152">
        <f>'Paste #BBall'!O317</f>
        <v>0.7</v>
      </c>
      <c r="R317" s="153" t="str">
        <f>Left(Right('Paste #BBall'!G317,Len('Paste #BBall'!G317)-Search("/",'Paste #BBall'!G317)),Len(Right('Paste #BBall'!G317,Len('Paste #BBall'!G317)-Search("/",'Paste #BBall'!G317)))-1)</f>
        <v>4.2</v>
      </c>
      <c r="S317" s="153" t="str">
        <f>Left(Right('Paste #BBall'!H317,Len('Paste #BBall'!H317)-Search("/",'Paste #BBall'!H317)),Len(Right('Paste #BBall'!H317,Len('Paste #BBall'!H317)-Search("/",'Paste #BBall'!H317)))-1)</f>
        <v>1.3</v>
      </c>
    </row>
    <row r="318">
      <c r="A318" s="33">
        <v>317.0</v>
      </c>
      <c r="B318" s="149" t="str">
        <f>'Paste #BBall'!B318</f>
        <v>Ousmane Dieng</v>
      </c>
      <c r="C318" s="150" t="str">
        <f>'Paste #BBall'!C318</f>
        <v>SF,PF</v>
      </c>
      <c r="D318" s="150" t="str">
        <f>'Paste #BBall'!D318</f>
        <v>OKC</v>
      </c>
      <c r="E318" s="151">
        <f>'Paste #BBall'!E318</f>
        <v>64</v>
      </c>
      <c r="F318" s="152">
        <f>'Paste #BBall'!F318</f>
        <v>17.9</v>
      </c>
      <c r="G318" s="153" t="str">
        <f>right(Left('Paste #BBall'!G318,Search("/",'Paste #BBall'!G318)-1),len(Left('Paste #BBall'!G318,Search("/",'Paste #BBall'!G318)-1))-search("(",Left('Paste #BBall'!G318,Search("/",'Paste #BBall'!G318)-1)))</f>
        <v>2.5</v>
      </c>
      <c r="H318" s="152">
        <f t="shared" si="1"/>
        <v>0.4237288136</v>
      </c>
      <c r="I318" s="152" t="str">
        <f>right(Left('Paste #BBall'!H318,Search("/",'Paste #BBall'!H318)-1),len(Left('Paste #BBall'!H318,Search("/",'Paste #BBall'!H318)-1))-search("(",Left('Paste #BBall'!H318,Search("/",'Paste #BBall'!H318)-1)))</f>
        <v>0.5</v>
      </c>
      <c r="J318" s="152">
        <f t="shared" si="2"/>
        <v>0.7142857143</v>
      </c>
      <c r="K318" s="152">
        <f>'Paste #BBall'!I318</f>
        <v>0.8</v>
      </c>
      <c r="L318" s="152">
        <f>'Paste #BBall'!J318</f>
        <v>6.4</v>
      </c>
      <c r="M318" s="152">
        <f>'Paste #BBall'!K318</f>
        <v>3.3</v>
      </c>
      <c r="N318" s="152">
        <f>'Paste #BBall'!L318</f>
        <v>1.5</v>
      </c>
      <c r="O318" s="152">
        <f>'Paste #BBall'!M318</f>
        <v>0.5</v>
      </c>
      <c r="P318" s="152">
        <f>'Paste #BBall'!N318</f>
        <v>0.2</v>
      </c>
      <c r="Q318" s="152">
        <f>'Paste #BBall'!O318</f>
        <v>0.8</v>
      </c>
      <c r="R318" s="153" t="str">
        <f>Left(Right('Paste #BBall'!G318,Len('Paste #BBall'!G318)-Search("/",'Paste #BBall'!G318)),Len(Right('Paste #BBall'!G318,Len('Paste #BBall'!G318)-Search("/",'Paste #BBall'!G318)))-1)</f>
        <v>5.9</v>
      </c>
      <c r="S318" s="153" t="str">
        <f>Left(Right('Paste #BBall'!H318,Len('Paste #BBall'!H318)-Search("/",'Paste #BBall'!H318)),Len(Right('Paste #BBall'!H318,Len('Paste #BBall'!H318)-Search("/",'Paste #BBall'!H318)))-1)</f>
        <v>0.7</v>
      </c>
    </row>
    <row r="319">
      <c r="A319" s="33">
        <v>318.0</v>
      </c>
      <c r="B319" s="149" t="str">
        <f>'Paste #BBall'!B319</f>
        <v>Jordan McLaughlin</v>
      </c>
      <c r="C319" s="150" t="str">
        <f>'Paste #BBall'!C319</f>
        <v>PG</v>
      </c>
      <c r="D319" s="150" t="str">
        <f>'Paste #BBall'!D319</f>
        <v>MIN</v>
      </c>
      <c r="E319" s="151">
        <f>'Paste #BBall'!E319</f>
        <v>38</v>
      </c>
      <c r="F319" s="152">
        <f>'Paste #BBall'!F319</f>
        <v>12.6</v>
      </c>
      <c r="G319" s="153" t="str">
        <f>right(Left('Paste #BBall'!G319,Search("/",'Paste #BBall'!G319)-1),len(Left('Paste #BBall'!G319,Search("/",'Paste #BBall'!G319)-1))-search("(",Left('Paste #BBall'!G319,Search("/",'Paste #BBall'!G319)-1)))</f>
        <v>1.2</v>
      </c>
      <c r="H319" s="152">
        <f t="shared" si="1"/>
        <v>0.4285714286</v>
      </c>
      <c r="I319" s="152" t="str">
        <f>right(Left('Paste #BBall'!H319,Search("/",'Paste #BBall'!H319)-1),len(Left('Paste #BBall'!H319,Search("/",'Paste #BBall'!H319)-1))-search("(",Left('Paste #BBall'!H319,Search("/",'Paste #BBall'!H319)-1)))</f>
        <v>0.4</v>
      </c>
      <c r="J319" s="152">
        <f t="shared" si="2"/>
        <v>0.8</v>
      </c>
      <c r="K319" s="152">
        <f>'Paste #BBall'!I319</f>
        <v>0.4</v>
      </c>
      <c r="L319" s="152">
        <f>'Paste #BBall'!J319</f>
        <v>3.2</v>
      </c>
      <c r="M319" s="152">
        <f>'Paste #BBall'!K319</f>
        <v>1.3</v>
      </c>
      <c r="N319" s="152">
        <f>'Paste #BBall'!L319</f>
        <v>2.7</v>
      </c>
      <c r="O319" s="152">
        <f>'Paste #BBall'!M319</f>
        <v>0.7</v>
      </c>
      <c r="P319" s="152">
        <f>'Paste #BBall'!N319</f>
        <v>0.1</v>
      </c>
      <c r="Q319" s="152">
        <f>'Paste #BBall'!O319</f>
        <v>0.6</v>
      </c>
      <c r="R319" s="153" t="str">
        <f>Left(Right('Paste #BBall'!G319,Len('Paste #BBall'!G319)-Search("/",'Paste #BBall'!G319)),Len(Right('Paste #BBall'!G319,Len('Paste #BBall'!G319)-Search("/",'Paste #BBall'!G319)))-1)</f>
        <v>2.8</v>
      </c>
      <c r="S319" s="153" t="str">
        <f>Left(Right('Paste #BBall'!H319,Len('Paste #BBall'!H319)-Search("/",'Paste #BBall'!H319)),Len(Right('Paste #BBall'!H319,Len('Paste #BBall'!H319)-Search("/",'Paste #BBall'!H319)))-1)</f>
        <v>0.5</v>
      </c>
    </row>
    <row r="320">
      <c r="A320" s="33">
        <v>319.0</v>
      </c>
      <c r="B320" s="149" t="str">
        <f>'Paste #BBall'!B320</f>
        <v>Otto Porter Jr.</v>
      </c>
      <c r="C320" s="150" t="str">
        <f>'Paste #BBall'!C320</f>
        <v>SG,SF</v>
      </c>
      <c r="D320" s="150" t="str">
        <f>'Paste #BBall'!D320</f>
        <v>TOR</v>
      </c>
      <c r="E320" s="151">
        <f>'Paste #BBall'!E320</f>
        <v>30</v>
      </c>
      <c r="F320" s="152">
        <f>'Paste #BBall'!F320</f>
        <v>10.4</v>
      </c>
      <c r="G320" s="153" t="str">
        <f>right(Left('Paste #BBall'!G320,Search("/",'Paste #BBall'!G320)-1),len(Left('Paste #BBall'!G320,Search("/",'Paste #BBall'!G320)-1))-search("(",Left('Paste #BBall'!G320,Search("/",'Paste #BBall'!G320)-1)))</f>
        <v>1.4</v>
      </c>
      <c r="H320" s="152">
        <f t="shared" si="1"/>
        <v>0.4666666667</v>
      </c>
      <c r="I320" s="152" t="str">
        <f>right(Left('Paste #BBall'!H320,Search("/",'Paste #BBall'!H320)-1),len(Left('Paste #BBall'!H320,Search("/",'Paste #BBall'!H320)-1))-search("(",Left('Paste #BBall'!H320,Search("/",'Paste #BBall'!H320)-1)))</f>
        <v>0.4</v>
      </c>
      <c r="J320" s="152">
        <f t="shared" si="2"/>
        <v>0.8</v>
      </c>
      <c r="K320" s="152">
        <f>'Paste #BBall'!I320</f>
        <v>0.6</v>
      </c>
      <c r="L320" s="152">
        <f>'Paste #BBall'!J320</f>
        <v>3.8</v>
      </c>
      <c r="M320" s="152">
        <f>'Paste #BBall'!K320</f>
        <v>2.6</v>
      </c>
      <c r="N320" s="152">
        <f>'Paste #BBall'!L320</f>
        <v>0.7</v>
      </c>
      <c r="O320" s="152">
        <f>'Paste #BBall'!M320</f>
        <v>0.5</v>
      </c>
      <c r="P320" s="152">
        <f>'Paste #BBall'!N320</f>
        <v>0.2</v>
      </c>
      <c r="Q320" s="152">
        <f>'Paste #BBall'!O320</f>
        <v>0.3</v>
      </c>
      <c r="R320" s="153" t="str">
        <f>Left(Right('Paste #BBall'!G320,Len('Paste #BBall'!G320)-Search("/",'Paste #BBall'!G320)),Len(Right('Paste #BBall'!G320,Len('Paste #BBall'!G320)-Search("/",'Paste #BBall'!G320)))-1)</f>
        <v>3.0</v>
      </c>
      <c r="S320" s="153" t="str">
        <f>Left(Right('Paste #BBall'!H320,Len('Paste #BBall'!H320)-Search("/",'Paste #BBall'!H320)),Len(Right('Paste #BBall'!H320,Len('Paste #BBall'!H320)-Search("/",'Paste #BBall'!H320)))-1)</f>
        <v>0.5</v>
      </c>
    </row>
    <row r="321">
      <c r="A321" s="33">
        <v>320.0</v>
      </c>
      <c r="B321" s="149" t="str">
        <f>'Paste #BBall'!B321</f>
        <v>Damian Jones</v>
      </c>
      <c r="C321" s="150" t="str">
        <f>'Paste #BBall'!C321</f>
        <v>C</v>
      </c>
      <c r="D321" s="150" t="str">
        <f>'Paste #BBall'!D321</f>
        <v>CLE</v>
      </c>
      <c r="E321" s="151">
        <f>'Paste #BBall'!E321</f>
        <v>62</v>
      </c>
      <c r="F321" s="152">
        <f>'Paste #BBall'!F321</f>
        <v>10.5</v>
      </c>
      <c r="G321" s="153" t="str">
        <f>right(Left('Paste #BBall'!G321,Search("/",'Paste #BBall'!G321)-1),len(Left('Paste #BBall'!G321,Search("/",'Paste #BBall'!G321)-1))-search("(",Left('Paste #BBall'!G321,Search("/",'Paste #BBall'!G321)-1)))</f>
        <v>1.6</v>
      </c>
      <c r="H321" s="152">
        <f t="shared" si="1"/>
        <v>0.64</v>
      </c>
      <c r="I321" s="152" t="str">
        <f>right(Left('Paste #BBall'!H321,Search("/",'Paste #BBall'!H321)-1),len(Left('Paste #BBall'!H321,Search("/",'Paste #BBall'!H321)-1))-search("(",Left('Paste #BBall'!H321,Search("/",'Paste #BBall'!H321)-1)))</f>
        <v>0.8</v>
      </c>
      <c r="J321" s="152">
        <f t="shared" si="2"/>
        <v>0.7272727273</v>
      </c>
      <c r="K321" s="152">
        <f>'Paste #BBall'!I321</f>
        <v>0.1</v>
      </c>
      <c r="L321" s="152">
        <f>'Paste #BBall'!J321</f>
        <v>4.2</v>
      </c>
      <c r="M321" s="152">
        <f>'Paste #BBall'!K321</f>
        <v>2.6</v>
      </c>
      <c r="N321" s="152">
        <f>'Paste #BBall'!L321</f>
        <v>0.6</v>
      </c>
      <c r="O321" s="152">
        <f>'Paste #BBall'!M321</f>
        <v>0.2</v>
      </c>
      <c r="P321" s="152">
        <f>'Paste #BBall'!N321</f>
        <v>0.5</v>
      </c>
      <c r="Q321" s="152">
        <f>'Paste #BBall'!O321</f>
        <v>0.6</v>
      </c>
      <c r="R321" s="153" t="str">
        <f>Left(Right('Paste #BBall'!G321,Len('Paste #BBall'!G321)-Search("/",'Paste #BBall'!G321)),Len(Right('Paste #BBall'!G321,Len('Paste #BBall'!G321)-Search("/",'Paste #BBall'!G321)))-1)</f>
        <v>2.5</v>
      </c>
      <c r="S321" s="153" t="str">
        <f>Left(Right('Paste #BBall'!H321,Len('Paste #BBall'!H321)-Search("/",'Paste #BBall'!H321)),Len(Right('Paste #BBall'!H321,Len('Paste #BBall'!H321)-Search("/",'Paste #BBall'!H321)))-1)</f>
        <v>1.1</v>
      </c>
    </row>
    <row r="322">
      <c r="A322" s="33">
        <v>321.0</v>
      </c>
      <c r="B322" s="149" t="str">
        <f>'Paste #BBall'!B322</f>
        <v>Ish Wainright</v>
      </c>
      <c r="C322" s="150" t="str">
        <f>'Paste #BBall'!C322</f>
        <v>SF,PF</v>
      </c>
      <c r="D322" s="150" t="str">
        <f>'Paste #BBall'!D322</f>
        <v>PHO</v>
      </c>
      <c r="E322" s="151">
        <f>'Paste #BBall'!E322</f>
        <v>45</v>
      </c>
      <c r="F322" s="152">
        <f>'Paste #BBall'!F322</f>
        <v>14.3</v>
      </c>
      <c r="G322" s="153" t="str">
        <f>right(Left('Paste #BBall'!G322,Search("/",'Paste #BBall'!G322)-1),len(Left('Paste #BBall'!G322,Search("/",'Paste #BBall'!G322)-1))-search("(",Left('Paste #BBall'!G322,Search("/",'Paste #BBall'!G322)-1)))</f>
        <v>1.4</v>
      </c>
      <c r="H322" s="152">
        <f t="shared" si="1"/>
        <v>0.3684210526</v>
      </c>
      <c r="I322" s="152" t="str">
        <f>right(Left('Paste #BBall'!H322,Search("/",'Paste #BBall'!H322)-1),len(Left('Paste #BBall'!H322,Search("/",'Paste #BBall'!H322)-1))-search("(",Left('Paste #BBall'!H322,Search("/",'Paste #BBall'!H322)-1)))</f>
        <v>0.4</v>
      </c>
      <c r="J322" s="152">
        <f t="shared" si="2"/>
        <v>0.8</v>
      </c>
      <c r="K322" s="152">
        <f>'Paste #BBall'!I322</f>
        <v>0.9</v>
      </c>
      <c r="L322" s="152">
        <f>'Paste #BBall'!J322</f>
        <v>4.1</v>
      </c>
      <c r="M322" s="152">
        <f>'Paste #BBall'!K322</f>
        <v>2.2</v>
      </c>
      <c r="N322" s="152">
        <f>'Paste #BBall'!L322</f>
        <v>0.8</v>
      </c>
      <c r="O322" s="152">
        <f>'Paste #BBall'!M322</f>
        <v>0.7</v>
      </c>
      <c r="P322" s="152">
        <f>'Paste #BBall'!N322</f>
        <v>0.3</v>
      </c>
      <c r="Q322" s="152">
        <f>'Paste #BBall'!O322</f>
        <v>0.4</v>
      </c>
      <c r="R322" s="153" t="str">
        <f>Left(Right('Paste #BBall'!G322,Len('Paste #BBall'!G322)-Search("/",'Paste #BBall'!G322)),Len(Right('Paste #BBall'!G322,Len('Paste #BBall'!G322)-Search("/",'Paste #BBall'!G322)))-1)</f>
        <v>3.8</v>
      </c>
      <c r="S322" s="153" t="str">
        <f>Left(Right('Paste #BBall'!H322,Len('Paste #BBall'!H322)-Search("/",'Paste #BBall'!H322)),Len(Right('Paste #BBall'!H322,Len('Paste #BBall'!H322)-Search("/",'Paste #BBall'!H322)))-1)</f>
        <v>0.5</v>
      </c>
    </row>
    <row r="323">
      <c r="A323" s="33">
        <v>322.0</v>
      </c>
      <c r="B323" s="149" t="str">
        <f>'Paste #BBall'!B323</f>
        <v>Jalen Hood-Schifino</v>
      </c>
      <c r="C323" s="150" t="str">
        <f>'Paste #BBall'!C323</f>
        <v>PG,SG</v>
      </c>
      <c r="D323" s="150" t="str">
        <f>'Paste #BBall'!D323</f>
        <v>LAL</v>
      </c>
      <c r="E323" s="151">
        <f>'Paste #BBall'!E323</f>
        <v>50</v>
      </c>
      <c r="F323" s="152">
        <f>'Paste #BBall'!F323</f>
        <v>14.1</v>
      </c>
      <c r="G323" s="153" t="str">
        <f>right(Left('Paste #BBall'!G323,Search("/",'Paste #BBall'!G323)-1),len(Left('Paste #BBall'!G323,Search("/",'Paste #BBall'!G323)-1))-search("(",Left('Paste #BBall'!G323,Search("/",'Paste #BBall'!G323)-1)))</f>
        <v>2.3</v>
      </c>
      <c r="H323" s="152">
        <f t="shared" si="1"/>
        <v>0.4035087719</v>
      </c>
      <c r="I323" s="152" t="str">
        <f>right(Left('Paste #BBall'!H323,Search("/",'Paste #BBall'!H323)-1),len(Left('Paste #BBall'!H323,Search("/",'Paste #BBall'!H323)-1))-search("(",Left('Paste #BBall'!H323,Search("/",'Paste #BBall'!H323)-1)))</f>
        <v>1.1</v>
      </c>
      <c r="J323" s="152">
        <f t="shared" si="2"/>
        <v>0.7857142857</v>
      </c>
      <c r="K323" s="152">
        <f>'Paste #BBall'!I323</f>
        <v>1</v>
      </c>
      <c r="L323" s="152">
        <f>'Paste #BBall'!J323</f>
        <v>6.6</v>
      </c>
      <c r="M323" s="152">
        <f>'Paste #BBall'!K323</f>
        <v>1.3</v>
      </c>
      <c r="N323" s="152">
        <f>'Paste #BBall'!L323</f>
        <v>2.7</v>
      </c>
      <c r="O323" s="152">
        <f>'Paste #BBall'!M323</f>
        <v>0.4</v>
      </c>
      <c r="P323" s="152">
        <f>'Paste #BBall'!N323</f>
        <v>0.2</v>
      </c>
      <c r="Q323" s="152">
        <f>'Paste #BBall'!O323</f>
        <v>1</v>
      </c>
      <c r="R323" s="153" t="str">
        <f>Left(Right('Paste #BBall'!G323,Len('Paste #BBall'!G323)-Search("/",'Paste #BBall'!G323)),Len(Right('Paste #BBall'!G323,Len('Paste #BBall'!G323)-Search("/",'Paste #BBall'!G323)))-1)</f>
        <v>5.7</v>
      </c>
      <c r="S323" s="153" t="str">
        <f>Left(Right('Paste #BBall'!H323,Len('Paste #BBall'!H323)-Search("/",'Paste #BBall'!H323)),Len(Right('Paste #BBall'!H323,Len('Paste #BBall'!H323)-Search("/",'Paste #BBall'!H323)))-1)</f>
        <v>1.4</v>
      </c>
    </row>
    <row r="324">
      <c r="A324" s="33">
        <v>323.0</v>
      </c>
      <c r="B324" s="149" t="str">
        <f>'Paste #BBall'!B324</f>
        <v>Bol Bol</v>
      </c>
      <c r="C324" s="150" t="str">
        <f>'Paste #BBall'!C324</f>
        <v>PF,C</v>
      </c>
      <c r="D324" s="150" t="str">
        <f>'Paste #BBall'!D324</f>
        <v>PHO</v>
      </c>
      <c r="E324" s="151">
        <f>'Paste #BBall'!E324</f>
        <v>40</v>
      </c>
      <c r="F324" s="152">
        <f>'Paste #BBall'!F324</f>
        <v>10.4</v>
      </c>
      <c r="G324" s="153" t="str">
        <f>right(Left('Paste #BBall'!G324,Search("/",'Paste #BBall'!G324)-1),len(Left('Paste #BBall'!G324,Search("/",'Paste #BBall'!G324)-1))-search("(",Left('Paste #BBall'!G324,Search("/",'Paste #BBall'!G324)-1)))</f>
        <v>1.8</v>
      </c>
      <c r="H324" s="152">
        <f t="shared" si="1"/>
        <v>0.5454545455</v>
      </c>
      <c r="I324" s="152" t="str">
        <f>right(Left('Paste #BBall'!H324,Search("/",'Paste #BBall'!H324)-1),len(Left('Paste #BBall'!H324,Search("/",'Paste #BBall'!H324)-1))-search("(",Left('Paste #BBall'!H324,Search("/",'Paste #BBall'!H324)-1)))</f>
        <v>0.6</v>
      </c>
      <c r="J324" s="152">
        <f t="shared" si="2"/>
        <v>0.8571428571</v>
      </c>
      <c r="K324" s="152">
        <f>'Paste #BBall'!I324</f>
        <v>0.2</v>
      </c>
      <c r="L324" s="152">
        <f>'Paste #BBall'!J324</f>
        <v>4.4</v>
      </c>
      <c r="M324" s="152">
        <f>'Paste #BBall'!K324</f>
        <v>2.8</v>
      </c>
      <c r="N324" s="152">
        <f>'Paste #BBall'!L324</f>
        <v>0.5</v>
      </c>
      <c r="O324" s="152">
        <f>'Paste #BBall'!M324</f>
        <v>0.2</v>
      </c>
      <c r="P324" s="152">
        <f>'Paste #BBall'!N324</f>
        <v>0.6</v>
      </c>
      <c r="Q324" s="152">
        <f>'Paste #BBall'!O324</f>
        <v>0.8</v>
      </c>
      <c r="R324" s="153" t="str">
        <f>Left(Right('Paste #BBall'!G324,Len('Paste #BBall'!G324)-Search("/",'Paste #BBall'!G324)),Len(Right('Paste #BBall'!G324,Len('Paste #BBall'!G324)-Search("/",'Paste #BBall'!G324)))-1)</f>
        <v>3.3</v>
      </c>
      <c r="S324" s="153" t="str">
        <f>Left(Right('Paste #BBall'!H324,Len('Paste #BBall'!H324)-Search("/",'Paste #BBall'!H324)),Len(Right('Paste #BBall'!H324,Len('Paste #BBall'!H324)-Search("/",'Paste #BBall'!H324)))-1)</f>
        <v>0.7</v>
      </c>
    </row>
    <row r="325">
      <c r="A325" s="33">
        <v>324.0</v>
      </c>
      <c r="B325" s="149" t="str">
        <f>'Paste #BBall'!B325</f>
        <v>Peyton Watson</v>
      </c>
      <c r="C325" s="150" t="str">
        <f>'Paste #BBall'!C325</f>
        <v>SG,SF</v>
      </c>
      <c r="D325" s="150" t="str">
        <f>'Paste #BBall'!D325</f>
        <v>DEN</v>
      </c>
      <c r="E325" s="151">
        <f>'Paste #BBall'!E325</f>
        <v>69</v>
      </c>
      <c r="F325" s="152">
        <f>'Paste #BBall'!F325</f>
        <v>15.8</v>
      </c>
      <c r="G325" s="153" t="str">
        <f>right(Left('Paste #BBall'!G325,Search("/",'Paste #BBall'!G325)-1),len(Left('Paste #BBall'!G325,Search("/",'Paste #BBall'!G325)-1))-search("(",Left('Paste #BBall'!G325,Search("/",'Paste #BBall'!G325)-1)))</f>
        <v>2.5</v>
      </c>
      <c r="H325" s="152">
        <f t="shared" si="1"/>
        <v>0.4901960784</v>
      </c>
      <c r="I325" s="152" t="str">
        <f>right(Left('Paste #BBall'!H325,Search("/",'Paste #BBall'!H325)-1),len(Left('Paste #BBall'!H325,Search("/",'Paste #BBall'!H325)-1))-search("(",Left('Paste #BBall'!H325,Search("/",'Paste #BBall'!H325)-1)))</f>
        <v>1.0</v>
      </c>
      <c r="J325" s="152">
        <f t="shared" si="2"/>
        <v>0.5882352941</v>
      </c>
      <c r="K325" s="152">
        <f>'Paste #BBall'!I325</f>
        <v>0.5</v>
      </c>
      <c r="L325" s="152">
        <f>'Paste #BBall'!J325</f>
        <v>6.5</v>
      </c>
      <c r="M325" s="152">
        <f>'Paste #BBall'!K325</f>
        <v>3.2</v>
      </c>
      <c r="N325" s="152">
        <f>'Paste #BBall'!L325</f>
        <v>0.9</v>
      </c>
      <c r="O325" s="152">
        <f>'Paste #BBall'!M325</f>
        <v>0.2</v>
      </c>
      <c r="P325" s="152">
        <f>'Paste #BBall'!N325</f>
        <v>0.9</v>
      </c>
      <c r="Q325" s="152">
        <f>'Paste #BBall'!O325</f>
        <v>0.7</v>
      </c>
      <c r="R325" s="153" t="str">
        <f>Left(Right('Paste #BBall'!G325,Len('Paste #BBall'!G325)-Search("/",'Paste #BBall'!G325)),Len(Right('Paste #BBall'!G325,Len('Paste #BBall'!G325)-Search("/",'Paste #BBall'!G325)))-1)</f>
        <v>5.1</v>
      </c>
      <c r="S325" s="153" t="str">
        <f>Left(Right('Paste #BBall'!H325,Len('Paste #BBall'!H325)-Search("/",'Paste #BBall'!H325)),Len(Right('Paste #BBall'!H325,Len('Paste #BBall'!H325)-Search("/",'Paste #BBall'!H325)))-1)</f>
        <v>1.7</v>
      </c>
    </row>
    <row r="326">
      <c r="A326" s="33">
        <v>325.0</v>
      </c>
      <c r="B326" s="149" t="str">
        <f>'Paste #BBall'!B326</f>
        <v>Precious Achiuwa</v>
      </c>
      <c r="C326" s="150" t="str">
        <f>'Paste #BBall'!C326</f>
        <v>PF,C</v>
      </c>
      <c r="D326" s="150" t="str">
        <f>'Paste #BBall'!D326</f>
        <v>TOR</v>
      </c>
      <c r="E326" s="151">
        <f>'Paste #BBall'!E326</f>
        <v>64</v>
      </c>
      <c r="F326" s="152">
        <f>'Paste #BBall'!F326</f>
        <v>16</v>
      </c>
      <c r="G326" s="153" t="str">
        <f>right(Left('Paste #BBall'!G326,Search("/",'Paste #BBall'!G326)-1),len(Left('Paste #BBall'!G326,Search("/",'Paste #BBall'!G326)-1))-search("(",Left('Paste #BBall'!G326,Search("/",'Paste #BBall'!G326)-1)))</f>
        <v>2.6</v>
      </c>
      <c r="H326" s="152">
        <f t="shared" si="1"/>
        <v>0.4561403509</v>
      </c>
      <c r="I326" s="152" t="str">
        <f>right(Left('Paste #BBall'!H326,Search("/",'Paste #BBall'!H326)-1),len(Left('Paste #BBall'!H326,Search("/",'Paste #BBall'!H326)-1))-search("(",Left('Paste #BBall'!H326,Search("/",'Paste #BBall'!H326)-1)))</f>
        <v>0.9</v>
      </c>
      <c r="J326" s="152">
        <f t="shared" si="2"/>
        <v>0.6428571429</v>
      </c>
      <c r="K326" s="152">
        <f>'Paste #BBall'!I326</f>
        <v>0.5</v>
      </c>
      <c r="L326" s="152">
        <f>'Paste #BBall'!J326</f>
        <v>6.6</v>
      </c>
      <c r="M326" s="152">
        <f>'Paste #BBall'!K326</f>
        <v>4.5</v>
      </c>
      <c r="N326" s="152">
        <f>'Paste #BBall'!L326</f>
        <v>0.7</v>
      </c>
      <c r="O326" s="152">
        <f>'Paste #BBall'!M326</f>
        <v>0.4</v>
      </c>
      <c r="P326" s="152">
        <f>'Paste #BBall'!N326</f>
        <v>0.4</v>
      </c>
      <c r="Q326" s="152">
        <f>'Paste #BBall'!O326</f>
        <v>0.8</v>
      </c>
      <c r="R326" s="153" t="str">
        <f>Left(Right('Paste #BBall'!G326,Len('Paste #BBall'!G326)-Search("/",'Paste #BBall'!G326)),Len(Right('Paste #BBall'!G326,Len('Paste #BBall'!G326)-Search("/",'Paste #BBall'!G326)))-1)</f>
        <v>5.7</v>
      </c>
      <c r="S326" s="153" t="str">
        <f>Left(Right('Paste #BBall'!H326,Len('Paste #BBall'!H326)-Search("/",'Paste #BBall'!H326)),Len(Right('Paste #BBall'!H326,Len('Paste #BBall'!H326)-Search("/",'Paste #BBall'!H326)))-1)</f>
        <v>1.4</v>
      </c>
    </row>
    <row r="327">
      <c r="A327" s="33">
        <v>326.0</v>
      </c>
      <c r="B327" s="149" t="str">
        <f>'Paste #BBall'!B327</f>
        <v>Jake LaRavia</v>
      </c>
      <c r="C327" s="150" t="str">
        <f>'Paste #BBall'!C327</f>
        <v>SF,PF</v>
      </c>
      <c r="D327" s="150" t="str">
        <f>'Paste #BBall'!D327</f>
        <v>MEM</v>
      </c>
      <c r="E327" s="151">
        <f>'Paste #BBall'!E327</f>
        <v>68</v>
      </c>
      <c r="F327" s="152">
        <f>'Paste #BBall'!F327</f>
        <v>16.8</v>
      </c>
      <c r="G327" s="153" t="str">
        <f>right(Left('Paste #BBall'!G327,Search("/",'Paste #BBall'!G327)-1),len(Left('Paste #BBall'!G327,Search("/",'Paste #BBall'!G327)-1))-search("(",Left('Paste #BBall'!G327,Search("/",'Paste #BBall'!G327)-1)))</f>
        <v>1.7</v>
      </c>
      <c r="H327" s="152">
        <f t="shared" si="1"/>
        <v>0.4358974359</v>
      </c>
      <c r="I327" s="152" t="str">
        <f>right(Left('Paste #BBall'!H327,Search("/",'Paste #BBall'!H327)-1),len(Left('Paste #BBall'!H327,Search("/",'Paste #BBall'!H327)-1))-search("(",Left('Paste #BBall'!H327,Search("/",'Paste #BBall'!H327)-1)))</f>
        <v>0.3</v>
      </c>
      <c r="J327" s="152">
        <f t="shared" si="2"/>
        <v>0.75</v>
      </c>
      <c r="K327" s="152">
        <f>'Paste #BBall'!I327</f>
        <v>1</v>
      </c>
      <c r="L327" s="152">
        <f>'Paste #BBall'!J327</f>
        <v>4.6</v>
      </c>
      <c r="M327" s="152">
        <f>'Paste #BBall'!K327</f>
        <v>2.6</v>
      </c>
      <c r="N327" s="152">
        <f>'Paste #BBall'!L327</f>
        <v>0.9</v>
      </c>
      <c r="O327" s="152">
        <f>'Paste #BBall'!M327</f>
        <v>0.5</v>
      </c>
      <c r="P327" s="152">
        <f>'Paste #BBall'!N327</f>
        <v>0.2</v>
      </c>
      <c r="Q327" s="152">
        <f>'Paste #BBall'!O327</f>
        <v>0.7</v>
      </c>
      <c r="R327" s="153" t="str">
        <f>Left(Right('Paste #BBall'!G327,Len('Paste #BBall'!G327)-Search("/",'Paste #BBall'!G327)),Len(Right('Paste #BBall'!G327,Len('Paste #BBall'!G327)-Search("/",'Paste #BBall'!G327)))-1)</f>
        <v>3.9</v>
      </c>
      <c r="S327" s="153" t="str">
        <f>Left(Right('Paste #BBall'!H327,Len('Paste #BBall'!H327)-Search("/",'Paste #BBall'!H327)),Len(Right('Paste #BBall'!H327,Len('Paste #BBall'!H327)-Search("/",'Paste #BBall'!H327)))-1)</f>
        <v>0.4</v>
      </c>
    </row>
    <row r="328">
      <c r="A328" s="33">
        <v>327.0</v>
      </c>
      <c r="B328" s="149" t="str">
        <f>'Paste #BBall'!B328</f>
        <v>Mike Muscala</v>
      </c>
      <c r="C328" s="150" t="str">
        <f>'Paste #BBall'!C328</f>
        <v>PF,C</v>
      </c>
      <c r="D328" s="150" t="str">
        <f>'Paste #BBall'!D328</f>
        <v>WAS</v>
      </c>
      <c r="E328" s="151">
        <f>'Paste #BBall'!E328</f>
        <v>30</v>
      </c>
      <c r="F328" s="152">
        <f>'Paste #BBall'!F328</f>
        <v>10.4</v>
      </c>
      <c r="G328" s="153" t="str">
        <f>right(Left('Paste #BBall'!G328,Search("/",'Paste #BBall'!G328)-1),len(Left('Paste #BBall'!G328,Search("/",'Paste #BBall'!G328)-1))-search("(",Left('Paste #BBall'!G328,Search("/",'Paste #BBall'!G328)-1)))</f>
        <v>1.7</v>
      </c>
      <c r="H328" s="152">
        <f t="shared" si="1"/>
        <v>0.4594594595</v>
      </c>
      <c r="I328" s="152" t="str">
        <f>right(Left('Paste #BBall'!H328,Search("/",'Paste #BBall'!H328)-1),len(Left('Paste #BBall'!H328,Search("/",'Paste #BBall'!H328)-1))-search("(",Left('Paste #BBall'!H328,Search("/",'Paste #BBall'!H328)-1)))</f>
        <v>0.6</v>
      </c>
      <c r="J328" s="152">
        <f t="shared" si="2"/>
        <v>0.8571428571</v>
      </c>
      <c r="K328" s="152">
        <f>'Paste #BBall'!I328</f>
        <v>1</v>
      </c>
      <c r="L328" s="152">
        <f>'Paste #BBall'!J328</f>
        <v>5</v>
      </c>
      <c r="M328" s="152">
        <f>'Paste #BBall'!K328</f>
        <v>2.3</v>
      </c>
      <c r="N328" s="152">
        <f>'Paste #BBall'!L328</f>
        <v>0.5</v>
      </c>
      <c r="O328" s="152">
        <f>'Paste #BBall'!M328</f>
        <v>0.2</v>
      </c>
      <c r="P328" s="152">
        <f>'Paste #BBall'!N328</f>
        <v>0.3</v>
      </c>
      <c r="Q328" s="152">
        <f>'Paste #BBall'!O328</f>
        <v>0.3</v>
      </c>
      <c r="R328" s="153" t="str">
        <f>Left(Right('Paste #BBall'!G328,Len('Paste #BBall'!G328)-Search("/",'Paste #BBall'!G328)),Len(Right('Paste #BBall'!G328,Len('Paste #BBall'!G328)-Search("/",'Paste #BBall'!G328)))-1)</f>
        <v>3.7</v>
      </c>
      <c r="S328" s="153" t="str">
        <f>Left(Right('Paste #BBall'!H328,Len('Paste #BBall'!H328)-Search("/",'Paste #BBall'!H328)),Len(Right('Paste #BBall'!H328,Len('Paste #BBall'!H328)-Search("/",'Paste #BBall'!H328)))-1)</f>
        <v>0.7</v>
      </c>
    </row>
    <row r="329">
      <c r="A329" s="33">
        <v>328.0</v>
      </c>
      <c r="B329" s="149" t="str">
        <f>'Paste #BBall'!B329</f>
        <v>Joe Harris</v>
      </c>
      <c r="C329" s="150" t="str">
        <f>'Paste #BBall'!C329</f>
        <v>SG,SF</v>
      </c>
      <c r="D329" s="150" t="str">
        <f>'Paste #BBall'!D329</f>
        <v>DET</v>
      </c>
      <c r="E329" s="151">
        <f>'Paste #BBall'!E329</f>
        <v>58</v>
      </c>
      <c r="F329" s="152">
        <f>'Paste #BBall'!F329</f>
        <v>15.2</v>
      </c>
      <c r="G329" s="153" t="str">
        <f>right(Left('Paste #BBall'!G329,Search("/",'Paste #BBall'!G329)-1),len(Left('Paste #BBall'!G329,Search("/",'Paste #BBall'!G329)-1))-search("(",Left('Paste #BBall'!G329,Search("/",'Paste #BBall'!G329)-1)))</f>
        <v>2.0</v>
      </c>
      <c r="H329" s="152">
        <f t="shared" si="1"/>
        <v>0.4444444444</v>
      </c>
      <c r="I329" s="152" t="str">
        <f>right(Left('Paste #BBall'!H329,Search("/",'Paste #BBall'!H329)-1),len(Left('Paste #BBall'!H329,Search("/",'Paste #BBall'!H329)-1))-search("(",Left('Paste #BBall'!H329,Search("/",'Paste #BBall'!H329)-1)))</f>
        <v>0.2</v>
      </c>
      <c r="J329" s="152">
        <f t="shared" si="2"/>
        <v>0.6666666667</v>
      </c>
      <c r="K329" s="152">
        <f>'Paste #BBall'!I329</f>
        <v>1.4</v>
      </c>
      <c r="L329" s="152">
        <f>'Paste #BBall'!J329</f>
        <v>5.7</v>
      </c>
      <c r="M329" s="152">
        <f>'Paste #BBall'!K329</f>
        <v>1.7</v>
      </c>
      <c r="N329" s="152">
        <f>'Paste #BBall'!L329</f>
        <v>0.9</v>
      </c>
      <c r="O329" s="152">
        <f>'Paste #BBall'!M329</f>
        <v>0.3</v>
      </c>
      <c r="P329" s="152">
        <f>'Paste #BBall'!N329</f>
        <v>0.1</v>
      </c>
      <c r="Q329" s="152">
        <f>'Paste #BBall'!O329</f>
        <v>0.5</v>
      </c>
      <c r="R329" s="153" t="str">
        <f>Left(Right('Paste #BBall'!G329,Len('Paste #BBall'!G329)-Search("/",'Paste #BBall'!G329)),Len(Right('Paste #BBall'!G329,Len('Paste #BBall'!G329)-Search("/",'Paste #BBall'!G329)))-1)</f>
        <v>4.5</v>
      </c>
      <c r="S329" s="153" t="str">
        <f>Left(Right('Paste #BBall'!H329,Len('Paste #BBall'!H329)-Search("/",'Paste #BBall'!H329)),Len(Right('Paste #BBall'!H329,Len('Paste #BBall'!H329)-Search("/",'Paste #BBall'!H329)))-1)</f>
        <v>0.3</v>
      </c>
    </row>
    <row r="330">
      <c r="A330" s="33">
        <v>329.0</v>
      </c>
      <c r="B330" s="149" t="str">
        <f>'Paste #BBall'!B330</f>
        <v>Haywood Highsmith</v>
      </c>
      <c r="C330" s="150" t="str">
        <f>'Paste #BBall'!C330</f>
        <v>SF,PF</v>
      </c>
      <c r="D330" s="150" t="str">
        <f>'Paste #BBall'!D330</f>
        <v>MIA</v>
      </c>
      <c r="E330" s="151">
        <f>'Paste #BBall'!E330</f>
        <v>69</v>
      </c>
      <c r="F330" s="152">
        <f>'Paste #BBall'!F330</f>
        <v>18.4</v>
      </c>
      <c r="G330" s="153" t="str">
        <f>right(Left('Paste #BBall'!G330,Search("/",'Paste #BBall'!G330)-1),len(Left('Paste #BBall'!G330,Search("/",'Paste #BBall'!G330)-1))-search("(",Left('Paste #BBall'!G330,Search("/",'Paste #BBall'!G330)-1)))</f>
        <v>1.8</v>
      </c>
      <c r="H330" s="152">
        <f t="shared" si="1"/>
        <v>0.4186046512</v>
      </c>
      <c r="I330" s="152" t="str">
        <f>right(Left('Paste #BBall'!H330,Search("/",'Paste #BBall'!H330)-1),len(Left('Paste #BBall'!H330,Search("/",'Paste #BBall'!H330)-1))-search("(",Left('Paste #BBall'!H330,Search("/",'Paste #BBall'!H330)-1)))</f>
        <v>0.3</v>
      </c>
      <c r="J330" s="152">
        <f t="shared" si="2"/>
        <v>0.6</v>
      </c>
      <c r="K330" s="152">
        <f>'Paste #BBall'!I330</f>
        <v>0.8</v>
      </c>
      <c r="L330" s="152">
        <f>'Paste #BBall'!J330</f>
        <v>4.6</v>
      </c>
      <c r="M330" s="152">
        <f>'Paste #BBall'!K330</f>
        <v>3.5</v>
      </c>
      <c r="N330" s="152">
        <f>'Paste #BBall'!L330</f>
        <v>0.8</v>
      </c>
      <c r="O330" s="152">
        <f>'Paste #BBall'!M330</f>
        <v>0.6</v>
      </c>
      <c r="P330" s="152">
        <f>'Paste #BBall'!N330</f>
        <v>0.3</v>
      </c>
      <c r="Q330" s="152">
        <f>'Paste #BBall'!O330</f>
        <v>0.8</v>
      </c>
      <c r="R330" s="153" t="str">
        <f>Left(Right('Paste #BBall'!G330,Len('Paste #BBall'!G330)-Search("/",'Paste #BBall'!G330)),Len(Right('Paste #BBall'!G330,Len('Paste #BBall'!G330)-Search("/",'Paste #BBall'!G330)))-1)</f>
        <v>4.3</v>
      </c>
      <c r="S330" s="153" t="str">
        <f>Left(Right('Paste #BBall'!H330,Len('Paste #BBall'!H330)-Search("/",'Paste #BBall'!H330)),Len(Right('Paste #BBall'!H330,Len('Paste #BBall'!H330)-Search("/",'Paste #BBall'!H330)))-1)</f>
        <v>0.5</v>
      </c>
    </row>
    <row r="331">
      <c r="A331" s="33">
        <v>330.0</v>
      </c>
      <c r="B331" s="149" t="str">
        <f>'Paste #BBall'!B331</f>
        <v>Derrick Jones Jr.</v>
      </c>
      <c r="C331" s="150" t="str">
        <f>'Paste #BBall'!C331</f>
        <v>SF</v>
      </c>
      <c r="D331" s="150" t="str">
        <f>'Paste #BBall'!D331</f>
        <v>DAL</v>
      </c>
      <c r="E331" s="151">
        <f>'Paste #BBall'!E331</f>
        <v>54</v>
      </c>
      <c r="F331" s="152">
        <f>'Paste #BBall'!F331</f>
        <v>12.1</v>
      </c>
      <c r="G331" s="153" t="str">
        <f>right(Left('Paste #BBall'!G331,Search("/",'Paste #BBall'!G331)-1),len(Left('Paste #BBall'!G331,Search("/",'Paste #BBall'!G331)-1))-search("(",Left('Paste #BBall'!G331,Search("/",'Paste #BBall'!G331)-1)))</f>
        <v>1.5</v>
      </c>
      <c r="H331" s="152">
        <f t="shared" si="1"/>
        <v>0.5172413793</v>
      </c>
      <c r="I331" s="152" t="str">
        <f>right(Left('Paste #BBall'!H331,Search("/",'Paste #BBall'!H331)-1),len(Left('Paste #BBall'!H331,Search("/",'Paste #BBall'!H331)-1))-search("(",Left('Paste #BBall'!H331,Search("/",'Paste #BBall'!H331)-1)))</f>
        <v>0.8</v>
      </c>
      <c r="J331" s="152">
        <f t="shared" si="2"/>
        <v>0.7272727273</v>
      </c>
      <c r="K331" s="152">
        <f>'Paste #BBall'!I331</f>
        <v>0.3</v>
      </c>
      <c r="L331" s="152">
        <f>'Paste #BBall'!J331</f>
        <v>4.1</v>
      </c>
      <c r="M331" s="152">
        <f>'Paste #BBall'!K331</f>
        <v>2.2</v>
      </c>
      <c r="N331" s="152">
        <f>'Paste #BBall'!L331</f>
        <v>0.4</v>
      </c>
      <c r="O331" s="152">
        <f>'Paste #BBall'!M331</f>
        <v>0.4</v>
      </c>
      <c r="P331" s="152">
        <f>'Paste #BBall'!N331</f>
        <v>0.5</v>
      </c>
      <c r="Q331" s="152">
        <f>'Paste #BBall'!O331</f>
        <v>0.4</v>
      </c>
      <c r="R331" s="153" t="str">
        <f>Left(Right('Paste #BBall'!G331,Len('Paste #BBall'!G331)-Search("/",'Paste #BBall'!G331)),Len(Right('Paste #BBall'!G331,Len('Paste #BBall'!G331)-Search("/",'Paste #BBall'!G331)))-1)</f>
        <v>2.9</v>
      </c>
      <c r="S331" s="153" t="str">
        <f>Left(Right('Paste #BBall'!H331,Len('Paste #BBall'!H331)-Search("/",'Paste #BBall'!H331)),Len(Right('Paste #BBall'!H331,Len('Paste #BBall'!H331)-Search("/",'Paste #BBall'!H331)))-1)</f>
        <v>1.1</v>
      </c>
    </row>
    <row r="332">
      <c r="A332" s="33">
        <v>331.0</v>
      </c>
      <c r="B332" s="149" t="str">
        <f>'Paste #BBall'!B332</f>
        <v>Reggie Bullock</v>
      </c>
      <c r="C332" s="150" t="str">
        <f>'Paste #BBall'!C332</f>
        <v>SF,PF</v>
      </c>
      <c r="D332" s="150" t="str">
        <f>'Paste #BBall'!D332</f>
        <v>SA</v>
      </c>
      <c r="E332" s="151">
        <f>'Paste #BBall'!E332</f>
        <v>62</v>
      </c>
      <c r="F332" s="152">
        <f>'Paste #BBall'!F332</f>
        <v>18.4</v>
      </c>
      <c r="G332" s="153" t="str">
        <f>right(Left('Paste #BBall'!G332,Search("/",'Paste #BBall'!G332)-1),len(Left('Paste #BBall'!G332,Search("/",'Paste #BBall'!G332)-1))-search("(",Left('Paste #BBall'!G332,Search("/",'Paste #BBall'!G332)-1)))</f>
        <v>1.7</v>
      </c>
      <c r="H332" s="152">
        <f t="shared" si="1"/>
        <v>0.3953488372</v>
      </c>
      <c r="I332" s="152" t="str">
        <f>right(Left('Paste #BBall'!H332,Search("/",'Paste #BBall'!H332)-1),len(Left('Paste #BBall'!H332,Search("/",'Paste #BBall'!H332)-1))-search("(",Left('Paste #BBall'!H332,Search("/",'Paste #BBall'!H332)-1)))</f>
        <v>0.3</v>
      </c>
      <c r="J332" s="152">
        <f t="shared" si="2"/>
        <v>0.75</v>
      </c>
      <c r="K332" s="152">
        <f>'Paste #BBall'!I332</f>
        <v>1.3</v>
      </c>
      <c r="L332" s="152">
        <f>'Paste #BBall'!J332</f>
        <v>5</v>
      </c>
      <c r="M332" s="152">
        <f>'Paste #BBall'!K332</f>
        <v>2.3</v>
      </c>
      <c r="N332" s="152">
        <f>'Paste #BBall'!L332</f>
        <v>0.8</v>
      </c>
      <c r="O332" s="152">
        <f>'Paste #BBall'!M332</f>
        <v>0.4</v>
      </c>
      <c r="P332" s="152">
        <f>'Paste #BBall'!N332</f>
        <v>0.1</v>
      </c>
      <c r="Q332" s="152">
        <f>'Paste #BBall'!O332</f>
        <v>0.3</v>
      </c>
      <c r="R332" s="153" t="str">
        <f>Left(Right('Paste #BBall'!G332,Len('Paste #BBall'!G332)-Search("/",'Paste #BBall'!G332)),Len(Right('Paste #BBall'!G332,Len('Paste #BBall'!G332)-Search("/",'Paste #BBall'!G332)))-1)</f>
        <v>4.3</v>
      </c>
      <c r="S332" s="153" t="str">
        <f>Left(Right('Paste #BBall'!H332,Len('Paste #BBall'!H332)-Search("/",'Paste #BBall'!H332)),Len(Right('Paste #BBall'!H332,Len('Paste #BBall'!H332)-Search("/",'Paste #BBall'!H332)))-1)</f>
        <v>0.4</v>
      </c>
    </row>
    <row r="333">
      <c r="A333" s="33">
        <v>332.0</v>
      </c>
      <c r="B333" s="149" t="str">
        <f>'Paste #BBall'!B333</f>
        <v>Nerlens Noel</v>
      </c>
      <c r="C333" s="150" t="str">
        <f>'Paste #BBall'!C333</f>
        <v>C</v>
      </c>
      <c r="D333" s="150" t="str">
        <f>'Paste #BBall'!D333</f>
        <v>SAC</v>
      </c>
      <c r="E333" s="151">
        <f>'Paste #BBall'!E333</f>
        <v>38</v>
      </c>
      <c r="F333" s="152">
        <f>'Paste #BBall'!F333</f>
        <v>10.4</v>
      </c>
      <c r="G333" s="153" t="str">
        <f>right(Left('Paste #BBall'!G333,Search("/",'Paste #BBall'!G333)-1),len(Left('Paste #BBall'!G333,Search("/",'Paste #BBall'!G333)-1))-search("(",Left('Paste #BBall'!G333,Search("/",'Paste #BBall'!G333)-1)))</f>
        <v>0.6</v>
      </c>
      <c r="H333" s="152">
        <f t="shared" si="1"/>
        <v>0.4615384615</v>
      </c>
      <c r="I333" s="152" t="str">
        <f>right(Left('Paste #BBall'!H333,Search("/",'Paste #BBall'!H333)-1),len(Left('Paste #BBall'!H333,Search("/",'Paste #BBall'!H333)-1))-search("(",Left('Paste #BBall'!H333,Search("/",'Paste #BBall'!H333)-1)))</f>
        <v>0.4</v>
      </c>
      <c r="J333" s="152">
        <f t="shared" si="2"/>
        <v>0.6666666667</v>
      </c>
      <c r="K333" s="152">
        <f>'Paste #BBall'!I333</f>
        <v>0</v>
      </c>
      <c r="L333" s="152">
        <f>'Paste #BBall'!J333</f>
        <v>1.7</v>
      </c>
      <c r="M333" s="152">
        <f>'Paste #BBall'!K333</f>
        <v>2.6</v>
      </c>
      <c r="N333" s="152">
        <f>'Paste #BBall'!L333</f>
        <v>0.5</v>
      </c>
      <c r="O333" s="152">
        <f>'Paste #BBall'!M333</f>
        <v>0.6</v>
      </c>
      <c r="P333" s="152">
        <f>'Paste #BBall'!N333</f>
        <v>0.6</v>
      </c>
      <c r="Q333" s="152">
        <f>'Paste #BBall'!O333</f>
        <v>0.5</v>
      </c>
      <c r="R333" s="153" t="str">
        <f>Left(Right('Paste #BBall'!G333,Len('Paste #BBall'!G333)-Search("/",'Paste #BBall'!G333)),Len(Right('Paste #BBall'!G333,Len('Paste #BBall'!G333)-Search("/",'Paste #BBall'!G333)))-1)</f>
        <v>1.3</v>
      </c>
      <c r="S333" s="153" t="str">
        <f>Left(Right('Paste #BBall'!H333,Len('Paste #BBall'!H333)-Search("/",'Paste #BBall'!H333)),Len(Right('Paste #BBall'!H333,Len('Paste #BBall'!H333)-Search("/",'Paste #BBall'!H333)))-1)</f>
        <v>0.6</v>
      </c>
    </row>
    <row r="334">
      <c r="A334" s="33">
        <v>333.0</v>
      </c>
      <c r="B334" s="149" t="str">
        <f>'Paste #BBall'!B334</f>
        <v>David Roddy</v>
      </c>
      <c r="C334" s="150" t="str">
        <f>'Paste #BBall'!C334</f>
        <v>SF,PF</v>
      </c>
      <c r="D334" s="150" t="str">
        <f>'Paste #BBall'!D334</f>
        <v>MEM</v>
      </c>
      <c r="E334" s="151">
        <f>'Paste #BBall'!E334</f>
        <v>70</v>
      </c>
      <c r="F334" s="152">
        <f>'Paste #BBall'!F334</f>
        <v>19.1</v>
      </c>
      <c r="G334" s="153" t="str">
        <f>right(Left('Paste #BBall'!G334,Search("/",'Paste #BBall'!G334)-1),len(Left('Paste #BBall'!G334,Search("/",'Paste #BBall'!G334)-1))-search("(",Left('Paste #BBall'!G334,Search("/",'Paste #BBall'!G334)-1)))</f>
        <v>2.8</v>
      </c>
      <c r="H334" s="152">
        <f t="shared" si="1"/>
        <v>0.4375</v>
      </c>
      <c r="I334" s="152" t="str">
        <f>right(Left('Paste #BBall'!H334,Search("/",'Paste #BBall'!H334)-1),len(Left('Paste #BBall'!H334,Search("/",'Paste #BBall'!H334)-1))-search("(",Left('Paste #BBall'!H334,Search("/",'Paste #BBall'!H334)-1)))</f>
        <v>0.6</v>
      </c>
      <c r="J334" s="152">
        <f t="shared" si="2"/>
        <v>0.6</v>
      </c>
      <c r="K334" s="152">
        <f>'Paste #BBall'!I334</f>
        <v>1</v>
      </c>
      <c r="L334" s="152">
        <f>'Paste #BBall'!J334</f>
        <v>7.1</v>
      </c>
      <c r="M334" s="152">
        <f>'Paste #BBall'!K334</f>
        <v>3</v>
      </c>
      <c r="N334" s="152">
        <f>'Paste #BBall'!L334</f>
        <v>0.9</v>
      </c>
      <c r="O334" s="152">
        <f>'Paste #BBall'!M334</f>
        <v>0.4</v>
      </c>
      <c r="P334" s="152">
        <f>'Paste #BBall'!N334</f>
        <v>0.3</v>
      </c>
      <c r="Q334" s="152">
        <f>'Paste #BBall'!O334</f>
        <v>0.9</v>
      </c>
      <c r="R334" s="153" t="str">
        <f>Left(Right('Paste #BBall'!G334,Len('Paste #BBall'!G334)-Search("/",'Paste #BBall'!G334)),Len(Right('Paste #BBall'!G334,Len('Paste #BBall'!G334)-Search("/",'Paste #BBall'!G334)))-1)</f>
        <v>6.4</v>
      </c>
      <c r="S334" s="153" t="str">
        <f>Left(Right('Paste #BBall'!H334,Len('Paste #BBall'!H334)-Search("/",'Paste #BBall'!H334)),Len(Right('Paste #BBall'!H334,Len('Paste #BBall'!H334)-Search("/",'Paste #BBall'!H334)))-1)</f>
        <v>1.0</v>
      </c>
    </row>
    <row r="335">
      <c r="A335" s="33">
        <v>334.0</v>
      </c>
      <c r="B335" s="149" t="str">
        <f>'Paste #BBall'!B335</f>
        <v>Johnny Davis</v>
      </c>
      <c r="C335" s="150" t="str">
        <f>'Paste #BBall'!C335</f>
        <v>SG,SF</v>
      </c>
      <c r="D335" s="150" t="str">
        <f>'Paste #BBall'!D335</f>
        <v>WAS</v>
      </c>
      <c r="E335" s="151">
        <f>'Paste #BBall'!E335</f>
        <v>63</v>
      </c>
      <c r="F335" s="152">
        <f>'Paste #BBall'!F335</f>
        <v>19</v>
      </c>
      <c r="G335" s="153" t="str">
        <f>right(Left('Paste #BBall'!G335,Search("/",'Paste #BBall'!G335)-1),len(Left('Paste #BBall'!G335,Search("/",'Paste #BBall'!G335)-1))-search("(",Left('Paste #BBall'!G335,Search("/",'Paste #BBall'!G335)-1)))</f>
        <v>3.2</v>
      </c>
      <c r="H335" s="152">
        <f t="shared" si="1"/>
        <v>0.4102564103</v>
      </c>
      <c r="I335" s="152" t="str">
        <f>right(Left('Paste #BBall'!H335,Search("/",'Paste #BBall'!H335)-1),len(Left('Paste #BBall'!H335,Search("/",'Paste #BBall'!H335)-1))-search("(",Left('Paste #BBall'!H335,Search("/",'Paste #BBall'!H335)-1)))</f>
        <v>0.8</v>
      </c>
      <c r="J335" s="152">
        <f t="shared" si="2"/>
        <v>0.6666666667</v>
      </c>
      <c r="K335" s="152">
        <f>'Paste #BBall'!I335</f>
        <v>1</v>
      </c>
      <c r="L335" s="152">
        <f>'Paste #BBall'!J335</f>
        <v>8.2</v>
      </c>
      <c r="M335" s="152">
        <f>'Paste #BBall'!K335</f>
        <v>3</v>
      </c>
      <c r="N335" s="152">
        <f>'Paste #BBall'!L335</f>
        <v>1.3</v>
      </c>
      <c r="O335" s="152">
        <f>'Paste #BBall'!M335</f>
        <v>0.5</v>
      </c>
      <c r="P335" s="152">
        <f>'Paste #BBall'!N335</f>
        <v>0.4</v>
      </c>
      <c r="Q335" s="152">
        <f>'Paste #BBall'!O335</f>
        <v>0.8</v>
      </c>
      <c r="R335" s="153" t="str">
        <f>Left(Right('Paste #BBall'!G335,Len('Paste #BBall'!G335)-Search("/",'Paste #BBall'!G335)),Len(Right('Paste #BBall'!G335,Len('Paste #BBall'!G335)-Search("/",'Paste #BBall'!G335)))-1)</f>
        <v>7.8</v>
      </c>
      <c r="S335" s="153" t="str">
        <f>Left(Right('Paste #BBall'!H335,Len('Paste #BBall'!H335)-Search("/",'Paste #BBall'!H335)),Len(Right('Paste #BBall'!H335,Len('Paste #BBall'!H335)-Search("/",'Paste #BBall'!H335)))-1)</f>
        <v>1.2</v>
      </c>
    </row>
    <row r="336">
      <c r="A336" s="33">
        <v>335.0</v>
      </c>
      <c r="B336" s="149" t="str">
        <f>'Paste #BBall'!B336</f>
        <v>Chimezie Metu</v>
      </c>
      <c r="C336" s="150" t="str">
        <f>'Paste #BBall'!C336</f>
        <v>PF,C</v>
      </c>
      <c r="D336" s="150" t="str">
        <f>'Paste #BBall'!D336</f>
        <v>PHO</v>
      </c>
      <c r="E336" s="151">
        <f>'Paste #BBall'!E336</f>
        <v>40</v>
      </c>
      <c r="F336" s="152">
        <f>'Paste #BBall'!F336</f>
        <v>10.4</v>
      </c>
      <c r="G336" s="153" t="str">
        <f>right(Left('Paste #BBall'!G336,Search("/",'Paste #BBall'!G336)-1),len(Left('Paste #BBall'!G336,Search("/",'Paste #BBall'!G336)-1))-search("(",Left('Paste #BBall'!G336,Search("/",'Paste #BBall'!G336)-1)))</f>
        <v>1.8</v>
      </c>
      <c r="H336" s="152">
        <f t="shared" si="1"/>
        <v>0.5</v>
      </c>
      <c r="I336" s="152" t="str">
        <f>right(Left('Paste #BBall'!H336,Search("/",'Paste #BBall'!H336)-1),len(Left('Paste #BBall'!H336,Search("/",'Paste #BBall'!H336)-1))-search("(",Left('Paste #BBall'!H336,Search("/",'Paste #BBall'!H336)-1)))</f>
        <v>0.7</v>
      </c>
      <c r="J336" s="152">
        <f t="shared" si="2"/>
        <v>0.7777777778</v>
      </c>
      <c r="K336" s="152">
        <f>'Paste #BBall'!I336</f>
        <v>0.4</v>
      </c>
      <c r="L336" s="152">
        <f>'Paste #BBall'!J336</f>
        <v>4.6</v>
      </c>
      <c r="M336" s="152">
        <f>'Paste #BBall'!K336</f>
        <v>2.9</v>
      </c>
      <c r="N336" s="152">
        <f>'Paste #BBall'!L336</f>
        <v>0.5</v>
      </c>
      <c r="O336" s="152">
        <f>'Paste #BBall'!M336</f>
        <v>0.4</v>
      </c>
      <c r="P336" s="152">
        <f>'Paste #BBall'!N336</f>
        <v>0.3</v>
      </c>
      <c r="Q336" s="152">
        <f>'Paste #BBall'!O336</f>
        <v>0.5</v>
      </c>
      <c r="R336" s="153" t="str">
        <f>Left(Right('Paste #BBall'!G336,Len('Paste #BBall'!G336)-Search("/",'Paste #BBall'!G336)),Len(Right('Paste #BBall'!G336,Len('Paste #BBall'!G336)-Search("/",'Paste #BBall'!G336)))-1)</f>
        <v>3.6</v>
      </c>
      <c r="S336" s="153" t="str">
        <f>Left(Right('Paste #BBall'!H336,Len('Paste #BBall'!H336)-Search("/",'Paste #BBall'!H336)),Len(Right('Paste #BBall'!H336,Len('Paste #BBall'!H336)-Search("/",'Paste #BBall'!H336)))-1)</f>
        <v>0.9</v>
      </c>
    </row>
    <row r="337">
      <c r="A337" s="33">
        <v>336.0</v>
      </c>
      <c r="B337" s="149" t="str">
        <f>'Paste #BBall'!B337</f>
        <v>Montrezl Harrell</v>
      </c>
      <c r="C337" s="150" t="str">
        <f>'Paste #BBall'!C337</f>
        <v>C</v>
      </c>
      <c r="D337" s="150" t="str">
        <f>'Paste #BBall'!D337</f>
        <v>PHI</v>
      </c>
      <c r="E337" s="151">
        <f>'Paste #BBall'!E337</f>
        <v>40</v>
      </c>
      <c r="F337" s="152">
        <f>'Paste #BBall'!F337</f>
        <v>10.4</v>
      </c>
      <c r="G337" s="153" t="str">
        <f>right(Left('Paste #BBall'!G337,Search("/",'Paste #BBall'!G337)-1),len(Left('Paste #BBall'!G337,Search("/",'Paste #BBall'!G337)-1))-search("(",Left('Paste #BBall'!G337,Search("/",'Paste #BBall'!G337)-1)))</f>
        <v>2.2</v>
      </c>
      <c r="H337" s="152">
        <f t="shared" si="1"/>
        <v>0.6285714286</v>
      </c>
      <c r="I337" s="152" t="str">
        <f>right(Left('Paste #BBall'!H337,Search("/",'Paste #BBall'!H337)-1),len(Left('Paste #BBall'!H337,Search("/",'Paste #BBall'!H337)-1))-search("(",Left('Paste #BBall'!H337,Search("/",'Paste #BBall'!H337)-1)))</f>
        <v>1.3</v>
      </c>
      <c r="J337" s="152">
        <f t="shared" si="2"/>
        <v>0.7222222222</v>
      </c>
      <c r="K337" s="152">
        <f>'Paste #BBall'!I337</f>
        <v>0</v>
      </c>
      <c r="L337" s="152">
        <f>'Paste #BBall'!J337</f>
        <v>5.7</v>
      </c>
      <c r="M337" s="152">
        <f>'Paste #BBall'!K337</f>
        <v>2.7</v>
      </c>
      <c r="N337" s="152">
        <f>'Paste #BBall'!L337</f>
        <v>0.8</v>
      </c>
      <c r="O337" s="152">
        <f>'Paste #BBall'!M337</f>
        <v>0.2</v>
      </c>
      <c r="P337" s="152">
        <f>'Paste #BBall'!N337</f>
        <v>0.3</v>
      </c>
      <c r="Q337" s="152">
        <f>'Paste #BBall'!O337</f>
        <v>0.5</v>
      </c>
      <c r="R337" s="153" t="str">
        <f>Left(Right('Paste #BBall'!G337,Len('Paste #BBall'!G337)-Search("/",'Paste #BBall'!G337)),Len(Right('Paste #BBall'!G337,Len('Paste #BBall'!G337)-Search("/",'Paste #BBall'!G337)))-1)</f>
        <v>3.5</v>
      </c>
      <c r="S337" s="153" t="str">
        <f>Left(Right('Paste #BBall'!H337,Len('Paste #BBall'!H337)-Search("/",'Paste #BBall'!H337)),Len(Right('Paste #BBall'!H337,Len('Paste #BBall'!H337)-Search("/",'Paste #BBall'!H337)))-1)</f>
        <v>1.8</v>
      </c>
    </row>
    <row r="338">
      <c r="A338" s="33">
        <v>337.0</v>
      </c>
      <c r="B338" s="149" t="str">
        <f>'Paste #BBall'!B338</f>
        <v>Luke Kornet</v>
      </c>
      <c r="C338" s="150" t="str">
        <f>'Paste #BBall'!C338</f>
        <v>C</v>
      </c>
      <c r="D338" s="150" t="str">
        <f>'Paste #BBall'!D338</f>
        <v>BOS</v>
      </c>
      <c r="E338" s="151">
        <f>'Paste #BBall'!E338</f>
        <v>54</v>
      </c>
      <c r="F338" s="152">
        <f>'Paste #BBall'!F338</f>
        <v>9.5</v>
      </c>
      <c r="G338" s="153" t="str">
        <f>right(Left('Paste #BBall'!G338,Search("/",'Paste #BBall'!G338)-1),len(Left('Paste #BBall'!G338,Search("/",'Paste #BBall'!G338)-1))-search("(",Left('Paste #BBall'!G338,Search("/",'Paste #BBall'!G338)-1)))</f>
        <v>1.3</v>
      </c>
      <c r="H338" s="152">
        <f t="shared" si="1"/>
        <v>0.619047619</v>
      </c>
      <c r="I338" s="152" t="str">
        <f>right(Left('Paste #BBall'!H338,Search("/",'Paste #BBall'!H338)-1),len(Left('Paste #BBall'!H338,Search("/",'Paste #BBall'!H338)-1))-search("(",Left('Paste #BBall'!H338,Search("/",'Paste #BBall'!H338)-1)))</f>
        <v>0.4</v>
      </c>
      <c r="J338" s="152">
        <f t="shared" si="2"/>
        <v>0.8</v>
      </c>
      <c r="K338" s="152">
        <f>'Paste #BBall'!I338</f>
        <v>0</v>
      </c>
      <c r="L338" s="152">
        <f>'Paste #BBall'!J338</f>
        <v>3.1</v>
      </c>
      <c r="M338" s="152">
        <f>'Paste #BBall'!K338</f>
        <v>2.4</v>
      </c>
      <c r="N338" s="152">
        <f>'Paste #BBall'!L338</f>
        <v>0.7</v>
      </c>
      <c r="O338" s="152">
        <f>'Paste #BBall'!M338</f>
        <v>0.2</v>
      </c>
      <c r="P338" s="152">
        <f>'Paste #BBall'!N338</f>
        <v>0.5</v>
      </c>
      <c r="Q338" s="152">
        <f>'Paste #BBall'!O338</f>
        <v>0.3</v>
      </c>
      <c r="R338" s="153" t="str">
        <f>Left(Right('Paste #BBall'!G338,Len('Paste #BBall'!G338)-Search("/",'Paste #BBall'!G338)),Len(Right('Paste #BBall'!G338,Len('Paste #BBall'!G338)-Search("/",'Paste #BBall'!G338)))-1)</f>
        <v>2.1</v>
      </c>
      <c r="S338" s="153" t="str">
        <f>Left(Right('Paste #BBall'!H338,Len('Paste #BBall'!H338)-Search("/",'Paste #BBall'!H338)),Len(Right('Paste #BBall'!H338,Len('Paste #BBall'!H338)-Search("/",'Paste #BBall'!H338)))-1)</f>
        <v>0.5</v>
      </c>
    </row>
    <row r="339">
      <c r="A339" s="33">
        <v>338.0</v>
      </c>
      <c r="B339" s="149" t="str">
        <f>'Paste #BBall'!B339</f>
        <v>Bruno Fernando</v>
      </c>
      <c r="C339" s="150" t="str">
        <f>'Paste #BBall'!C339</f>
        <v>C</v>
      </c>
      <c r="D339" s="150" t="str">
        <f>'Paste #BBall'!D339</f>
        <v>ATL</v>
      </c>
      <c r="E339" s="151">
        <f>'Paste #BBall'!E339</f>
        <v>30</v>
      </c>
      <c r="F339" s="152">
        <f>'Paste #BBall'!F339</f>
        <v>9.1</v>
      </c>
      <c r="G339" s="153" t="str">
        <f>right(Left('Paste #BBall'!G339,Search("/",'Paste #BBall'!G339)-1),len(Left('Paste #BBall'!G339,Search("/",'Paste #BBall'!G339)-1))-search("(",Left('Paste #BBall'!G339,Search("/",'Paste #BBall'!G339)-1)))</f>
        <v>1.6</v>
      </c>
      <c r="H339" s="152">
        <f t="shared" si="1"/>
        <v>0.5714285714</v>
      </c>
      <c r="I339" s="152" t="str">
        <f>right(Left('Paste #BBall'!H339,Search("/",'Paste #BBall'!H339)-1),len(Left('Paste #BBall'!H339,Search("/",'Paste #BBall'!H339)-1))-search("(",Left('Paste #BBall'!H339,Search("/",'Paste #BBall'!H339)-1)))</f>
        <v>0.8</v>
      </c>
      <c r="J339" s="152">
        <f t="shared" si="2"/>
        <v>0.6666666667</v>
      </c>
      <c r="K339" s="152">
        <f>'Paste #BBall'!I339</f>
        <v>0</v>
      </c>
      <c r="L339" s="152">
        <f>'Paste #BBall'!J339</f>
        <v>4</v>
      </c>
      <c r="M339" s="152">
        <f>'Paste #BBall'!K339</f>
        <v>3.2</v>
      </c>
      <c r="N339" s="152">
        <f>'Paste #BBall'!L339</f>
        <v>0.6</v>
      </c>
      <c r="O339" s="152">
        <f>'Paste #BBall'!M339</f>
        <v>0.1</v>
      </c>
      <c r="P339" s="152">
        <f>'Paste #BBall'!N339</f>
        <v>0.7</v>
      </c>
      <c r="Q339" s="152">
        <f>'Paste #BBall'!O339</f>
        <v>0.6</v>
      </c>
      <c r="R339" s="153" t="str">
        <f>Left(Right('Paste #BBall'!G339,Len('Paste #BBall'!G339)-Search("/",'Paste #BBall'!G339)),Len(Right('Paste #BBall'!G339,Len('Paste #BBall'!G339)-Search("/",'Paste #BBall'!G339)))-1)</f>
        <v>2.8</v>
      </c>
      <c r="S339" s="153" t="str">
        <f>Left(Right('Paste #BBall'!H339,Len('Paste #BBall'!H339)-Search("/",'Paste #BBall'!H339)),Len(Right('Paste #BBall'!H339,Len('Paste #BBall'!H339)-Search("/",'Paste #BBall'!H339)))-1)</f>
        <v>1.2</v>
      </c>
    </row>
    <row r="340">
      <c r="A340" s="33">
        <v>339.0</v>
      </c>
      <c r="B340" s="149" t="str">
        <f>'Paste #BBall'!B340</f>
        <v>Cam Whitmore</v>
      </c>
      <c r="C340" s="150" t="str">
        <f>'Paste #BBall'!C340</f>
        <v>SF</v>
      </c>
      <c r="D340" s="150" t="str">
        <f>'Paste #BBall'!D340</f>
        <v>HOU</v>
      </c>
      <c r="E340" s="151">
        <f>'Paste #BBall'!E340</f>
        <v>52</v>
      </c>
      <c r="F340" s="152">
        <f>'Paste #BBall'!F340</f>
        <v>15</v>
      </c>
      <c r="G340" s="153" t="str">
        <f>right(Left('Paste #BBall'!G340,Search("/",'Paste #BBall'!G340)-1),len(Left('Paste #BBall'!G340,Search("/",'Paste #BBall'!G340)-1))-search("(",Left('Paste #BBall'!G340,Search("/",'Paste #BBall'!G340)-1)))</f>
        <v>2.4</v>
      </c>
      <c r="H340" s="152">
        <f t="shared" si="1"/>
        <v>0.48</v>
      </c>
      <c r="I340" s="152" t="str">
        <f>right(Left('Paste #BBall'!H340,Search("/",'Paste #BBall'!H340)-1),len(Left('Paste #BBall'!H340,Search("/",'Paste #BBall'!H340)-1))-search("(",Left('Paste #BBall'!H340,Search("/",'Paste #BBall'!H340)-1)))</f>
        <v>0.5</v>
      </c>
      <c r="J340" s="152">
        <f t="shared" si="2"/>
        <v>0.625</v>
      </c>
      <c r="K340" s="152">
        <f>'Paste #BBall'!I340</f>
        <v>1.1</v>
      </c>
      <c r="L340" s="152">
        <f>'Paste #BBall'!J340</f>
        <v>6.3</v>
      </c>
      <c r="M340" s="152">
        <f>'Paste #BBall'!K340</f>
        <v>2.4</v>
      </c>
      <c r="N340" s="152">
        <f>'Paste #BBall'!L340</f>
        <v>0.5</v>
      </c>
      <c r="O340" s="152">
        <f>'Paste #BBall'!M340</f>
        <v>0.3</v>
      </c>
      <c r="P340" s="152">
        <f>'Paste #BBall'!N340</f>
        <v>0.2</v>
      </c>
      <c r="Q340" s="152">
        <f>'Paste #BBall'!O340</f>
        <v>0.5</v>
      </c>
      <c r="R340" s="153" t="str">
        <f>Left(Right('Paste #BBall'!G340,Len('Paste #BBall'!G340)-Search("/",'Paste #BBall'!G340)),Len(Right('Paste #BBall'!G340,Len('Paste #BBall'!G340)-Search("/",'Paste #BBall'!G340)))-1)</f>
        <v>5.0</v>
      </c>
      <c r="S340" s="153" t="str">
        <f>Left(Right('Paste #BBall'!H340,Len('Paste #BBall'!H340)-Search("/",'Paste #BBall'!H340)),Len(Right('Paste #BBall'!H340,Len('Paste #BBall'!H340)-Search("/",'Paste #BBall'!H340)))-1)</f>
        <v>0.8</v>
      </c>
    </row>
    <row r="341">
      <c r="A341" s="33">
        <v>340.0</v>
      </c>
      <c r="B341" s="149" t="str">
        <f>'Paste #BBall'!B341</f>
        <v>DeAndre Jordan</v>
      </c>
      <c r="C341" s="150" t="str">
        <f>'Paste #BBall'!C341</f>
        <v>C</v>
      </c>
      <c r="D341" s="150" t="str">
        <f>'Paste #BBall'!D341</f>
        <v>DEN</v>
      </c>
      <c r="E341" s="151">
        <f>'Paste #BBall'!E341</f>
        <v>33</v>
      </c>
      <c r="F341" s="152">
        <f>'Paste #BBall'!F341</f>
        <v>10.4</v>
      </c>
      <c r="G341" s="153" t="str">
        <f>right(Left('Paste #BBall'!G341,Search("/",'Paste #BBall'!G341)-1),len(Left('Paste #BBall'!G341,Search("/",'Paste #BBall'!G341)-1))-search("(",Left('Paste #BBall'!G341,Search("/",'Paste #BBall'!G341)-1)))</f>
        <v>1.6</v>
      </c>
      <c r="H341" s="152">
        <f t="shared" si="1"/>
        <v>0.7272727273</v>
      </c>
      <c r="I341" s="152" t="str">
        <f>right(Left('Paste #BBall'!H341,Search("/",'Paste #BBall'!H341)-1),len(Left('Paste #BBall'!H341,Search("/",'Paste #BBall'!H341)-1))-search("(",Left('Paste #BBall'!H341,Search("/",'Paste #BBall'!H341)-1)))</f>
        <v>0.4</v>
      </c>
      <c r="J341" s="152">
        <f t="shared" si="2"/>
        <v>0.5</v>
      </c>
      <c r="K341" s="152">
        <f>'Paste #BBall'!I341</f>
        <v>0</v>
      </c>
      <c r="L341" s="152">
        <f>'Paste #BBall'!J341</f>
        <v>3.5</v>
      </c>
      <c r="M341" s="152">
        <f>'Paste #BBall'!K341</f>
        <v>4.1</v>
      </c>
      <c r="N341" s="152">
        <f>'Paste #BBall'!L341</f>
        <v>0.5</v>
      </c>
      <c r="O341" s="152">
        <f>'Paste #BBall'!M341</f>
        <v>0.2</v>
      </c>
      <c r="P341" s="152">
        <f>'Paste #BBall'!N341</f>
        <v>0.5</v>
      </c>
      <c r="Q341" s="152">
        <f>'Paste #BBall'!O341</f>
        <v>0.7</v>
      </c>
      <c r="R341" s="153" t="str">
        <f>Left(Right('Paste #BBall'!G341,Len('Paste #BBall'!G341)-Search("/",'Paste #BBall'!G341)),Len(Right('Paste #BBall'!G341,Len('Paste #BBall'!G341)-Search("/",'Paste #BBall'!G341)))-1)</f>
        <v>2.2</v>
      </c>
      <c r="S341" s="153" t="str">
        <f>Left(Right('Paste #BBall'!H341,Len('Paste #BBall'!H341)-Search("/",'Paste #BBall'!H341)),Len(Right('Paste #BBall'!H341,Len('Paste #BBall'!H341)-Search("/",'Paste #BBall'!H341)))-1)</f>
        <v>0.8</v>
      </c>
    </row>
    <row r="342">
      <c r="A342" s="33">
        <v>341.0</v>
      </c>
      <c r="B342" s="149" t="str">
        <f>'Paste #BBall'!B342</f>
        <v>Usman Garuba</v>
      </c>
      <c r="C342" s="150" t="str">
        <f>'Paste #BBall'!C342</f>
        <v>PF,C</v>
      </c>
      <c r="D342" s="150" t="str">
        <f>'Paste #BBall'!D342</f>
        <v>OKC</v>
      </c>
      <c r="E342" s="151">
        <f>'Paste #BBall'!E342</f>
        <v>26</v>
      </c>
      <c r="F342" s="152">
        <f>'Paste #BBall'!F342</f>
        <v>10.4</v>
      </c>
      <c r="G342" s="153" t="str">
        <f>right(Left('Paste #BBall'!G342,Search("/",'Paste #BBall'!G342)-1),len(Left('Paste #BBall'!G342,Search("/",'Paste #BBall'!G342)-1))-search("(",Left('Paste #BBall'!G342,Search("/",'Paste #BBall'!G342)-1)))</f>
        <v>0.9</v>
      </c>
      <c r="H342" s="152">
        <f t="shared" si="1"/>
        <v>0.4736842105</v>
      </c>
      <c r="I342" s="152" t="str">
        <f>right(Left('Paste #BBall'!H342,Search("/",'Paste #BBall'!H342)-1),len(Left('Paste #BBall'!H342,Search("/",'Paste #BBall'!H342)-1))-search("(",Left('Paste #BBall'!H342,Search("/",'Paste #BBall'!H342)-1)))</f>
        <v>0.3</v>
      </c>
      <c r="J342" s="152">
        <f t="shared" si="2"/>
        <v>0.6</v>
      </c>
      <c r="K342" s="152">
        <f>'Paste #BBall'!I342</f>
        <v>0.3</v>
      </c>
      <c r="L342" s="152">
        <f>'Paste #BBall'!J342</f>
        <v>2.4</v>
      </c>
      <c r="M342" s="152">
        <f>'Paste #BBall'!K342</f>
        <v>3.4</v>
      </c>
      <c r="N342" s="152">
        <f>'Paste #BBall'!L342</f>
        <v>0.7</v>
      </c>
      <c r="O342" s="152">
        <f>'Paste #BBall'!M342</f>
        <v>0.5</v>
      </c>
      <c r="P342" s="152">
        <f>'Paste #BBall'!N342</f>
        <v>0.4</v>
      </c>
      <c r="Q342" s="152">
        <f>'Paste #BBall'!O342</f>
        <v>0.5</v>
      </c>
      <c r="R342" s="153" t="str">
        <f>Left(Right('Paste #BBall'!G342,Len('Paste #BBall'!G342)-Search("/",'Paste #BBall'!G342)),Len(Right('Paste #BBall'!G342,Len('Paste #BBall'!G342)-Search("/",'Paste #BBall'!G342)))-1)</f>
        <v>1.9</v>
      </c>
      <c r="S342" s="153" t="str">
        <f>Left(Right('Paste #BBall'!H342,Len('Paste #BBall'!H342)-Search("/",'Paste #BBall'!H342)),Len(Right('Paste #BBall'!H342,Len('Paste #BBall'!H342)-Search("/",'Paste #BBall'!H342)))-1)</f>
        <v>0.5</v>
      </c>
    </row>
    <row r="343">
      <c r="A343" s="33">
        <v>342.0</v>
      </c>
      <c r="B343" s="149" t="str">
        <f>'Paste #BBall'!B343</f>
        <v>Trendon Watford</v>
      </c>
      <c r="C343" s="150" t="str">
        <f>'Paste #BBall'!C343</f>
        <v>PF</v>
      </c>
      <c r="D343" s="150" t="str">
        <f>'Paste #BBall'!D343</f>
        <v>BKN</v>
      </c>
      <c r="E343" s="151">
        <f>'Paste #BBall'!E343</f>
        <v>48</v>
      </c>
      <c r="F343" s="152">
        <f>'Paste #BBall'!F343</f>
        <v>11.5</v>
      </c>
      <c r="G343" s="153" t="str">
        <f>right(Left('Paste #BBall'!G343,Search("/",'Paste #BBall'!G343)-1),len(Left('Paste #BBall'!G343,Search("/",'Paste #BBall'!G343)-1))-search("(",Left('Paste #BBall'!G343,Search("/",'Paste #BBall'!G343)-1)))</f>
        <v>1.8</v>
      </c>
      <c r="H343" s="152">
        <f t="shared" si="1"/>
        <v>0.5454545455</v>
      </c>
      <c r="I343" s="152" t="str">
        <f>right(Left('Paste #BBall'!H343,Search("/",'Paste #BBall'!H343)-1),len(Left('Paste #BBall'!H343,Search("/",'Paste #BBall'!H343)-1))-search("(",Left('Paste #BBall'!H343,Search("/",'Paste #BBall'!H343)-1)))</f>
        <v>0.8</v>
      </c>
      <c r="J343" s="152">
        <f t="shared" si="2"/>
        <v>0.7272727273</v>
      </c>
      <c r="K343" s="152">
        <f>'Paste #BBall'!I343</f>
        <v>0.2</v>
      </c>
      <c r="L343" s="152">
        <f>'Paste #BBall'!J343</f>
        <v>4.7</v>
      </c>
      <c r="M343" s="152">
        <f>'Paste #BBall'!K343</f>
        <v>2.5</v>
      </c>
      <c r="N343" s="152">
        <f>'Paste #BBall'!L343</f>
        <v>1.2</v>
      </c>
      <c r="O343" s="152">
        <f>'Paste #BBall'!M343</f>
        <v>0.3</v>
      </c>
      <c r="P343" s="152">
        <f>'Paste #BBall'!N343</f>
        <v>0.2</v>
      </c>
      <c r="Q343" s="152">
        <f>'Paste #BBall'!O343</f>
        <v>0.7</v>
      </c>
      <c r="R343" s="153" t="str">
        <f>Left(Right('Paste #BBall'!G343,Len('Paste #BBall'!G343)-Search("/",'Paste #BBall'!G343)),Len(Right('Paste #BBall'!G343,Len('Paste #BBall'!G343)-Search("/",'Paste #BBall'!G343)))-1)</f>
        <v>3.3</v>
      </c>
      <c r="S343" s="153" t="str">
        <f>Left(Right('Paste #BBall'!H343,Len('Paste #BBall'!H343)-Search("/",'Paste #BBall'!H343)),Len(Right('Paste #BBall'!H343,Len('Paste #BBall'!H343)-Search("/",'Paste #BBall'!H343)))-1)</f>
        <v>1.1</v>
      </c>
    </row>
    <row r="344">
      <c r="A344" s="33">
        <v>343.0</v>
      </c>
      <c r="B344" s="149" t="str">
        <f>'Paste #BBall'!B344</f>
        <v>Justin Holiday</v>
      </c>
      <c r="C344" s="150" t="str">
        <f>'Paste #BBall'!C344</f>
        <v>SG,SF</v>
      </c>
      <c r="D344" s="150" t="str">
        <f>'Paste #BBall'!D344</f>
        <v>DEN</v>
      </c>
      <c r="E344" s="151">
        <f>'Paste #BBall'!E344</f>
        <v>68</v>
      </c>
      <c r="F344" s="152">
        <f>'Paste #BBall'!F344</f>
        <v>15.4</v>
      </c>
      <c r="G344" s="153" t="str">
        <f>right(Left('Paste #BBall'!G344,Search("/",'Paste #BBall'!G344)-1),len(Left('Paste #BBall'!G344,Search("/",'Paste #BBall'!G344)-1))-search("(",Left('Paste #BBall'!G344,Search("/",'Paste #BBall'!G344)-1)))</f>
        <v>1.9</v>
      </c>
      <c r="H344" s="152">
        <f t="shared" si="1"/>
        <v>0.387755102</v>
      </c>
      <c r="I344" s="152" t="str">
        <f>right(Left('Paste #BBall'!H344,Search("/",'Paste #BBall'!H344)-1),len(Left('Paste #BBall'!H344,Search("/",'Paste #BBall'!H344)-1))-search("(",Left('Paste #BBall'!H344,Search("/",'Paste #BBall'!H344)-1)))</f>
        <v>0.3</v>
      </c>
      <c r="J344" s="152">
        <f t="shared" si="2"/>
        <v>0.75</v>
      </c>
      <c r="K344" s="152">
        <f>'Paste #BBall'!I344</f>
        <v>1.3</v>
      </c>
      <c r="L344" s="152">
        <f>'Paste #BBall'!J344</f>
        <v>5.4</v>
      </c>
      <c r="M344" s="152">
        <f>'Paste #BBall'!K344</f>
        <v>1.4</v>
      </c>
      <c r="N344" s="152">
        <f>'Paste #BBall'!L344</f>
        <v>1</v>
      </c>
      <c r="O344" s="152">
        <f>'Paste #BBall'!M344</f>
        <v>0.4</v>
      </c>
      <c r="P344" s="152">
        <f>'Paste #BBall'!N344</f>
        <v>0.3</v>
      </c>
      <c r="Q344" s="152">
        <f>'Paste #BBall'!O344</f>
        <v>0.5</v>
      </c>
      <c r="R344" s="153" t="str">
        <f>Left(Right('Paste #BBall'!G344,Len('Paste #BBall'!G344)-Search("/",'Paste #BBall'!G344)),Len(Right('Paste #BBall'!G344,Len('Paste #BBall'!G344)-Search("/",'Paste #BBall'!G344)))-1)</f>
        <v>4.9</v>
      </c>
      <c r="S344" s="153" t="str">
        <f>Left(Right('Paste #BBall'!H344,Len('Paste #BBall'!H344)-Search("/",'Paste #BBall'!H344)),Len(Right('Paste #BBall'!H344,Len('Paste #BBall'!H344)-Search("/",'Paste #BBall'!H344)))-1)</f>
        <v>0.4</v>
      </c>
    </row>
    <row r="345">
      <c r="A345" s="33">
        <v>344.0</v>
      </c>
      <c r="B345" s="149" t="str">
        <f>'Paste #BBall'!B345</f>
        <v>Moses Moody</v>
      </c>
      <c r="C345" s="150" t="str">
        <f>'Paste #BBall'!C345</f>
        <v>SG,SF</v>
      </c>
      <c r="D345" s="150" t="str">
        <f>'Paste #BBall'!D345</f>
        <v>GS</v>
      </c>
      <c r="E345" s="151">
        <f>'Paste #BBall'!E345</f>
        <v>68</v>
      </c>
      <c r="F345" s="152">
        <f>'Paste #BBall'!F345</f>
        <v>16</v>
      </c>
      <c r="G345" s="153" t="str">
        <f>right(Left('Paste #BBall'!G345,Search("/",'Paste #BBall'!G345)-1),len(Left('Paste #BBall'!G345,Search("/",'Paste #BBall'!G345)-1))-search("(",Left('Paste #BBall'!G345,Search("/",'Paste #BBall'!G345)-1)))</f>
        <v>2.1</v>
      </c>
      <c r="H345" s="152">
        <f t="shared" si="1"/>
        <v>0.4468085106</v>
      </c>
      <c r="I345" s="152" t="str">
        <f>right(Left('Paste #BBall'!H345,Search("/",'Paste #BBall'!H345)-1),len(Left('Paste #BBall'!H345,Search("/",'Paste #BBall'!H345)-1))-search("(",Left('Paste #BBall'!H345,Search("/",'Paste #BBall'!H345)-1)))</f>
        <v>0.7</v>
      </c>
      <c r="J345" s="152">
        <f t="shared" si="2"/>
        <v>0.7</v>
      </c>
      <c r="K345" s="152">
        <f>'Paste #BBall'!I345</f>
        <v>1</v>
      </c>
      <c r="L345" s="152">
        <f>'Paste #BBall'!J345</f>
        <v>6</v>
      </c>
      <c r="M345" s="152">
        <f>'Paste #BBall'!K345</f>
        <v>2.1</v>
      </c>
      <c r="N345" s="152">
        <f>'Paste #BBall'!L345</f>
        <v>0.8</v>
      </c>
      <c r="O345" s="152">
        <f>'Paste #BBall'!M345</f>
        <v>0.3</v>
      </c>
      <c r="P345" s="152">
        <f>'Paste #BBall'!N345</f>
        <v>0.2</v>
      </c>
      <c r="Q345" s="152">
        <f>'Paste #BBall'!O345</f>
        <v>0.5</v>
      </c>
      <c r="R345" s="153" t="str">
        <f>Left(Right('Paste #BBall'!G345,Len('Paste #BBall'!G345)-Search("/",'Paste #BBall'!G345)),Len(Right('Paste #BBall'!G345,Len('Paste #BBall'!G345)-Search("/",'Paste #BBall'!G345)))-1)</f>
        <v>4.7</v>
      </c>
      <c r="S345" s="153" t="str">
        <f>Left(Right('Paste #BBall'!H345,Len('Paste #BBall'!H345)-Search("/",'Paste #BBall'!H345)),Len(Right('Paste #BBall'!H345,Len('Paste #BBall'!H345)-Search("/",'Paste #BBall'!H345)))-1)</f>
        <v>1.0</v>
      </c>
    </row>
    <row r="346">
      <c r="A346" s="33">
        <v>345.0</v>
      </c>
      <c r="B346" s="149" t="str">
        <f>'Paste #BBall'!B346</f>
        <v>Aaron Wiggins</v>
      </c>
      <c r="C346" s="150" t="str">
        <f>'Paste #BBall'!C346</f>
        <v>SG,SF</v>
      </c>
      <c r="D346" s="150" t="str">
        <f>'Paste #BBall'!D346</f>
        <v>OKC</v>
      </c>
      <c r="E346" s="151">
        <f>'Paste #BBall'!E346</f>
        <v>60</v>
      </c>
      <c r="F346" s="152">
        <f>'Paste #BBall'!F346</f>
        <v>14</v>
      </c>
      <c r="G346" s="153" t="str">
        <f>right(Left('Paste #BBall'!G346,Search("/",'Paste #BBall'!G346)-1),len(Left('Paste #BBall'!G346,Search("/",'Paste #BBall'!G346)-1))-search("(",Left('Paste #BBall'!G346,Search("/",'Paste #BBall'!G346)-1)))</f>
        <v>1.9</v>
      </c>
      <c r="H346" s="152">
        <f t="shared" si="1"/>
        <v>0.475</v>
      </c>
      <c r="I346" s="152" t="str">
        <f>right(Left('Paste #BBall'!H346,Search("/",'Paste #BBall'!H346)-1),len(Left('Paste #BBall'!H346,Search("/",'Paste #BBall'!H346)-1))-search("(",Left('Paste #BBall'!H346,Search("/",'Paste #BBall'!H346)-1)))</f>
        <v>0.7</v>
      </c>
      <c r="J346" s="152">
        <f t="shared" si="2"/>
        <v>0.7777777778</v>
      </c>
      <c r="K346" s="152">
        <f>'Paste #BBall'!I346</f>
        <v>0.5</v>
      </c>
      <c r="L346" s="152">
        <f>'Paste #BBall'!J346</f>
        <v>5.1</v>
      </c>
      <c r="M346" s="152">
        <f>'Paste #BBall'!K346</f>
        <v>2.2</v>
      </c>
      <c r="N346" s="152">
        <f>'Paste #BBall'!L346</f>
        <v>0.8</v>
      </c>
      <c r="O346" s="152">
        <f>'Paste #BBall'!M346</f>
        <v>0.4</v>
      </c>
      <c r="P346" s="152">
        <f>'Paste #BBall'!N346</f>
        <v>0.1</v>
      </c>
      <c r="Q346" s="152">
        <f>'Paste #BBall'!O346</f>
        <v>0.6</v>
      </c>
      <c r="R346" s="153" t="str">
        <f>Left(Right('Paste #BBall'!G346,Len('Paste #BBall'!G346)-Search("/",'Paste #BBall'!G346)),Len(Right('Paste #BBall'!G346,Len('Paste #BBall'!G346)-Search("/",'Paste #BBall'!G346)))-1)</f>
        <v>4.0</v>
      </c>
      <c r="S346" s="153" t="str">
        <f>Left(Right('Paste #BBall'!H346,Len('Paste #BBall'!H346)-Search("/",'Paste #BBall'!H346)),Len(Right('Paste #BBall'!H346,Len('Paste #BBall'!H346)-Search("/",'Paste #BBall'!H346)))-1)</f>
        <v>0.9</v>
      </c>
    </row>
    <row r="347">
      <c r="A347" s="33">
        <v>346.0</v>
      </c>
      <c r="B347" s="149" t="str">
        <f>'Paste #BBall'!B347</f>
        <v>Aleksandar Vezenkov</v>
      </c>
      <c r="C347" s="150" t="str">
        <f>'Paste #BBall'!C347</f>
        <v>PF</v>
      </c>
      <c r="D347" s="150" t="str">
        <f>'Paste #BBall'!D347</f>
        <v>SAC</v>
      </c>
      <c r="E347" s="151">
        <f>'Paste #BBall'!E347</f>
        <v>68</v>
      </c>
      <c r="F347" s="152">
        <f>'Paste #BBall'!F347</f>
        <v>15.9</v>
      </c>
      <c r="G347" s="153" t="str">
        <f>right(Left('Paste #BBall'!G347,Search("/",'Paste #BBall'!G347)-1),len(Left('Paste #BBall'!G347,Search("/",'Paste #BBall'!G347)-1))-search("(",Left('Paste #BBall'!G347,Search("/",'Paste #BBall'!G347)-1)))</f>
        <v>2.0</v>
      </c>
      <c r="H347" s="152">
        <f t="shared" si="1"/>
        <v>0.4347826087</v>
      </c>
      <c r="I347" s="152" t="str">
        <f>right(Left('Paste #BBall'!H347,Search("/",'Paste #BBall'!H347)-1),len(Left('Paste #BBall'!H347,Search("/",'Paste #BBall'!H347)-1))-search("(",Left('Paste #BBall'!H347,Search("/",'Paste #BBall'!H347)-1)))</f>
        <v>0.4</v>
      </c>
      <c r="J347" s="152">
        <f t="shared" si="2"/>
        <v>0.6666666667</v>
      </c>
      <c r="K347" s="152">
        <f>'Paste #BBall'!I347</f>
        <v>1.2</v>
      </c>
      <c r="L347" s="152">
        <f>'Paste #BBall'!J347</f>
        <v>5.6</v>
      </c>
      <c r="M347" s="152">
        <f>'Paste #BBall'!K347</f>
        <v>1.6</v>
      </c>
      <c r="N347" s="152">
        <f>'Paste #BBall'!L347</f>
        <v>1</v>
      </c>
      <c r="O347" s="152">
        <f>'Paste #BBall'!M347</f>
        <v>0.4</v>
      </c>
      <c r="P347" s="152">
        <f>'Paste #BBall'!N347</f>
        <v>0.1</v>
      </c>
      <c r="Q347" s="152">
        <f>'Paste #BBall'!O347</f>
        <v>0.6</v>
      </c>
      <c r="R347" s="153" t="str">
        <f>Left(Right('Paste #BBall'!G347,Len('Paste #BBall'!G347)-Search("/",'Paste #BBall'!G347)),Len(Right('Paste #BBall'!G347,Len('Paste #BBall'!G347)-Search("/",'Paste #BBall'!G347)))-1)</f>
        <v>4.6</v>
      </c>
      <c r="S347" s="153" t="str">
        <f>Left(Right('Paste #BBall'!H347,Len('Paste #BBall'!H347)-Search("/",'Paste #BBall'!H347)),Len(Right('Paste #BBall'!H347,Len('Paste #BBall'!H347)-Search("/",'Paste #BBall'!H347)))-1)</f>
        <v>0.6</v>
      </c>
    </row>
    <row r="348">
      <c r="A348" s="33">
        <v>347.0</v>
      </c>
      <c r="B348" s="149" t="str">
        <f>'Paste #BBall'!B348</f>
        <v>Dennis Smith Jr.</v>
      </c>
      <c r="C348" s="150" t="str">
        <f>'Paste #BBall'!C348</f>
        <v>PG,SG</v>
      </c>
      <c r="D348" s="150" t="str">
        <f>'Paste #BBall'!D348</f>
        <v>BKN</v>
      </c>
      <c r="E348" s="151">
        <f>'Paste #BBall'!E348</f>
        <v>43</v>
      </c>
      <c r="F348" s="152">
        <f>'Paste #BBall'!F348</f>
        <v>11.5</v>
      </c>
      <c r="G348" s="153" t="str">
        <f>right(Left('Paste #BBall'!G348,Search("/",'Paste #BBall'!G348)-1),len(Left('Paste #BBall'!G348,Search("/",'Paste #BBall'!G348)-1))-search("(",Left('Paste #BBall'!G348,Search("/",'Paste #BBall'!G348)-1)))</f>
        <v>1.5</v>
      </c>
      <c r="H348" s="152">
        <f t="shared" si="1"/>
        <v>0.4054054054</v>
      </c>
      <c r="I348" s="152" t="str">
        <f>right(Left('Paste #BBall'!H348,Search("/",'Paste #BBall'!H348)-1),len(Left('Paste #BBall'!H348,Search("/",'Paste #BBall'!H348)-1))-search("(",Left('Paste #BBall'!H348,Search("/",'Paste #BBall'!H348)-1)))</f>
        <v>0.7</v>
      </c>
      <c r="J348" s="152">
        <f t="shared" si="2"/>
        <v>0.7</v>
      </c>
      <c r="K348" s="152">
        <f>'Paste #BBall'!I348</f>
        <v>0.2</v>
      </c>
      <c r="L348" s="152">
        <f>'Paste #BBall'!J348</f>
        <v>3.9</v>
      </c>
      <c r="M348" s="152">
        <f>'Paste #BBall'!K348</f>
        <v>1.5</v>
      </c>
      <c r="N348" s="152">
        <f>'Paste #BBall'!L348</f>
        <v>2.3</v>
      </c>
      <c r="O348" s="152">
        <f>'Paste #BBall'!M348</f>
        <v>0.7</v>
      </c>
      <c r="P348" s="152">
        <f>'Paste #BBall'!N348</f>
        <v>0.2</v>
      </c>
      <c r="Q348" s="152">
        <f>'Paste #BBall'!O348</f>
        <v>0.8</v>
      </c>
      <c r="R348" s="153" t="str">
        <f>Left(Right('Paste #BBall'!G348,Len('Paste #BBall'!G348)-Search("/",'Paste #BBall'!G348)),Len(Right('Paste #BBall'!G348,Len('Paste #BBall'!G348)-Search("/",'Paste #BBall'!G348)))-1)</f>
        <v>3.7</v>
      </c>
      <c r="S348" s="153" t="str">
        <f>Left(Right('Paste #BBall'!H348,Len('Paste #BBall'!H348)-Search("/",'Paste #BBall'!H348)),Len(Right('Paste #BBall'!H348,Len('Paste #BBall'!H348)-Search("/",'Paste #BBall'!H348)))-1)</f>
        <v>1.0</v>
      </c>
    </row>
    <row r="349">
      <c r="A349" s="33">
        <v>348.0</v>
      </c>
      <c r="B349" s="149" t="str">
        <f>'Paste #BBall'!B349</f>
        <v>JaVale McGee</v>
      </c>
      <c r="C349" s="150" t="str">
        <f>'Paste #BBall'!C349</f>
        <v>C</v>
      </c>
      <c r="D349" s="150" t="str">
        <f>'Paste #BBall'!D349</f>
        <v>DAL</v>
      </c>
      <c r="E349" s="151">
        <f>'Paste #BBall'!E349</f>
        <v>10</v>
      </c>
      <c r="F349" s="152">
        <f>'Paste #BBall'!F349</f>
        <v>7.4</v>
      </c>
      <c r="G349" s="153" t="str">
        <f>right(Left('Paste #BBall'!G349,Search("/",'Paste #BBall'!G349)-1),len(Left('Paste #BBall'!G349,Search("/",'Paste #BBall'!G349)-1))-search("(",Left('Paste #BBall'!G349,Search("/",'Paste #BBall'!G349)-1)))</f>
        <v>1.8</v>
      </c>
      <c r="H349" s="152">
        <f t="shared" si="1"/>
        <v>0.6206896552</v>
      </c>
      <c r="I349" s="152" t="str">
        <f>right(Left('Paste #BBall'!H349,Search("/",'Paste #BBall'!H349)-1),len(Left('Paste #BBall'!H349,Search("/",'Paste #BBall'!H349)-1))-search("(",Left('Paste #BBall'!H349,Search("/",'Paste #BBall'!H349)-1)))</f>
        <v>0.6</v>
      </c>
      <c r="J349" s="152">
        <f t="shared" si="2"/>
        <v>0.6666666667</v>
      </c>
      <c r="K349" s="152">
        <f>'Paste #BBall'!I349</f>
        <v>0</v>
      </c>
      <c r="L349" s="152">
        <f>'Paste #BBall'!J349</f>
        <v>4.2</v>
      </c>
      <c r="M349" s="152">
        <f>'Paste #BBall'!K349</f>
        <v>3</v>
      </c>
      <c r="N349" s="152">
        <f>'Paste #BBall'!L349</f>
        <v>0.3</v>
      </c>
      <c r="O349" s="152">
        <f>'Paste #BBall'!M349</f>
        <v>0.1</v>
      </c>
      <c r="P349" s="152">
        <f>'Paste #BBall'!N349</f>
        <v>0.5</v>
      </c>
      <c r="Q349" s="152">
        <f>'Paste #BBall'!O349</f>
        <v>0.7</v>
      </c>
      <c r="R349" s="153" t="str">
        <f>Left(Right('Paste #BBall'!G349,Len('Paste #BBall'!G349)-Search("/",'Paste #BBall'!G349)),Len(Right('Paste #BBall'!G349,Len('Paste #BBall'!G349)-Search("/",'Paste #BBall'!G349)))-1)</f>
        <v>2.9</v>
      </c>
      <c r="S349" s="153" t="str">
        <f>Left(Right('Paste #BBall'!H349,Len('Paste #BBall'!H349)-Search("/",'Paste #BBall'!H349)),Len(Right('Paste #BBall'!H349,Len('Paste #BBall'!H349)-Search("/",'Paste #BBall'!H349)))-1)</f>
        <v>0.9</v>
      </c>
    </row>
    <row r="350">
      <c r="A350" s="33">
        <v>349.0</v>
      </c>
      <c r="B350" s="149" t="str">
        <f>'Paste #BBall'!B350</f>
        <v>Kobe Brown</v>
      </c>
      <c r="C350" s="150" t="str">
        <f>'Paste #BBall'!C350</f>
        <v>PF</v>
      </c>
      <c r="D350" s="150" t="str">
        <f>'Paste #BBall'!D350</f>
        <v>LAC</v>
      </c>
      <c r="E350" s="151">
        <f>'Paste #BBall'!E350</f>
        <v>30</v>
      </c>
      <c r="F350" s="152">
        <f>'Paste #BBall'!F350</f>
        <v>11.2</v>
      </c>
      <c r="G350" s="153" t="str">
        <f>right(Left('Paste #BBall'!G350,Search("/",'Paste #BBall'!G350)-1),len(Left('Paste #BBall'!G350,Search("/",'Paste #BBall'!G350)-1))-search("(",Left('Paste #BBall'!G350,Search("/",'Paste #BBall'!G350)-1)))</f>
        <v>2.2</v>
      </c>
      <c r="H350" s="152">
        <f t="shared" si="1"/>
        <v>0.4489795918</v>
      </c>
      <c r="I350" s="152" t="str">
        <f>right(Left('Paste #BBall'!H350,Search("/",'Paste #BBall'!H350)-1),len(Left('Paste #BBall'!H350,Search("/",'Paste #BBall'!H350)-1))-search("(",Left('Paste #BBall'!H350,Search("/",'Paste #BBall'!H350)-1)))</f>
        <v>0.5</v>
      </c>
      <c r="J350" s="152">
        <f t="shared" si="2"/>
        <v>0.7142857143</v>
      </c>
      <c r="K350" s="152">
        <f>'Paste #BBall'!I350</f>
        <v>1</v>
      </c>
      <c r="L350" s="152">
        <f>'Paste #BBall'!J350</f>
        <v>6</v>
      </c>
      <c r="M350" s="152">
        <f>'Paste #BBall'!K350</f>
        <v>2.1</v>
      </c>
      <c r="N350" s="152">
        <f>'Paste #BBall'!L350</f>
        <v>0.4</v>
      </c>
      <c r="O350" s="152">
        <f>'Paste #BBall'!M350</f>
        <v>0.3</v>
      </c>
      <c r="P350" s="152">
        <f>'Paste #BBall'!N350</f>
        <v>0.2</v>
      </c>
      <c r="Q350" s="152">
        <f>'Paste #BBall'!O350</f>
        <v>0.4</v>
      </c>
      <c r="R350" s="153" t="str">
        <f>Left(Right('Paste #BBall'!G350,Len('Paste #BBall'!G350)-Search("/",'Paste #BBall'!G350)),Len(Right('Paste #BBall'!G350,Len('Paste #BBall'!G350)-Search("/",'Paste #BBall'!G350)))-1)</f>
        <v>4.9</v>
      </c>
      <c r="S350" s="153" t="str">
        <f>Left(Right('Paste #BBall'!H350,Len('Paste #BBall'!H350)-Search("/",'Paste #BBall'!H350)),Len(Right('Paste #BBall'!H350,Len('Paste #BBall'!H350)-Search("/",'Paste #BBall'!H350)))-1)</f>
        <v>0.7</v>
      </c>
    </row>
    <row r="351">
      <c r="A351" s="33">
        <v>350.0</v>
      </c>
      <c r="B351" s="149" t="str">
        <f>'Paste #BBall'!B351</f>
        <v>Doug McDermott</v>
      </c>
      <c r="C351" s="150" t="str">
        <f>'Paste #BBall'!C351</f>
        <v>SF,PF</v>
      </c>
      <c r="D351" s="150" t="str">
        <f>'Paste #BBall'!D351</f>
        <v>SA</v>
      </c>
      <c r="E351" s="151">
        <f>'Paste #BBall'!E351</f>
        <v>40</v>
      </c>
      <c r="F351" s="152">
        <f>'Paste #BBall'!F351</f>
        <v>14.5</v>
      </c>
      <c r="G351" s="153" t="str">
        <f>right(Left('Paste #BBall'!G351,Search("/",'Paste #BBall'!G351)-1),len(Left('Paste #BBall'!G351,Search("/",'Paste #BBall'!G351)-1))-search("(",Left('Paste #BBall'!G351,Search("/",'Paste #BBall'!G351)-1)))</f>
        <v>2.6</v>
      </c>
      <c r="H351" s="152">
        <f t="shared" si="1"/>
        <v>0.4561403509</v>
      </c>
      <c r="I351" s="152" t="str">
        <f>right(Left('Paste #BBall'!H351,Search("/",'Paste #BBall'!H351)-1),len(Left('Paste #BBall'!H351,Search("/",'Paste #BBall'!H351)-1))-search("(",Left('Paste #BBall'!H351,Search("/",'Paste #BBall'!H351)-1)))</f>
        <v>0.5</v>
      </c>
      <c r="J351" s="152">
        <f t="shared" si="2"/>
        <v>0.7142857143</v>
      </c>
      <c r="K351" s="152">
        <f>'Paste #BBall'!I351</f>
        <v>1.3</v>
      </c>
      <c r="L351" s="152">
        <f>'Paste #BBall'!J351</f>
        <v>7.1</v>
      </c>
      <c r="M351" s="152">
        <f>'Paste #BBall'!K351</f>
        <v>1.5</v>
      </c>
      <c r="N351" s="152">
        <f>'Paste #BBall'!L351</f>
        <v>0.9</v>
      </c>
      <c r="O351" s="152">
        <f>'Paste #BBall'!M351</f>
        <v>0.2</v>
      </c>
      <c r="P351" s="152">
        <f>'Paste #BBall'!N351</f>
        <v>0.1</v>
      </c>
      <c r="Q351" s="152">
        <f>'Paste #BBall'!O351</f>
        <v>0.6</v>
      </c>
      <c r="R351" s="153" t="str">
        <f>Left(Right('Paste #BBall'!G351,Len('Paste #BBall'!G351)-Search("/",'Paste #BBall'!G351)),Len(Right('Paste #BBall'!G351,Len('Paste #BBall'!G351)-Search("/",'Paste #BBall'!G351)))-1)</f>
        <v>5.7</v>
      </c>
      <c r="S351" s="153" t="str">
        <f>Left(Right('Paste #BBall'!H351,Len('Paste #BBall'!H351)-Search("/",'Paste #BBall'!H351)),Len(Right('Paste #BBall'!H351,Len('Paste #BBall'!H351)-Search("/",'Paste #BBall'!H351)))-1)</f>
        <v>0.7</v>
      </c>
    </row>
    <row r="352">
      <c r="A352" s="33">
        <v>351.0</v>
      </c>
      <c r="B352" s="149" t="str">
        <f>'Paste #BBall'!B352</f>
        <v>Isaiah Mobley</v>
      </c>
      <c r="C352" s="150" t="str">
        <f>'Paste #BBall'!C352</f>
        <v>PF,C</v>
      </c>
      <c r="D352" s="150" t="str">
        <f>'Paste #BBall'!D352</f>
        <v>CLE</v>
      </c>
      <c r="E352" s="151">
        <f>'Paste #BBall'!E352</f>
        <v>11</v>
      </c>
      <c r="F352" s="152">
        <f>'Paste #BBall'!F352</f>
        <v>10.1</v>
      </c>
      <c r="G352" s="153" t="str">
        <f>right(Left('Paste #BBall'!G352,Search("/",'Paste #BBall'!G352)-1),len(Left('Paste #BBall'!G352,Search("/",'Paste #BBall'!G352)-1))-search("(",Left('Paste #BBall'!G352,Search("/",'Paste #BBall'!G352)-1)))</f>
        <v>1.5</v>
      </c>
      <c r="H352" s="152">
        <f t="shared" si="1"/>
        <v>0.4411764706</v>
      </c>
      <c r="I352" s="152" t="str">
        <f>right(Left('Paste #BBall'!H352,Search("/",'Paste #BBall'!H352)-1),len(Left('Paste #BBall'!H352,Search("/",'Paste #BBall'!H352)-1))-search("(",Left('Paste #BBall'!H352,Search("/",'Paste #BBall'!H352)-1)))</f>
        <v>0.5</v>
      </c>
      <c r="J352" s="152">
        <f t="shared" si="2"/>
        <v>0.7142857143</v>
      </c>
      <c r="K352" s="152">
        <f>'Paste #BBall'!I352</f>
        <v>0.4</v>
      </c>
      <c r="L352" s="152">
        <f>'Paste #BBall'!J352</f>
        <v>3.7</v>
      </c>
      <c r="M352" s="152">
        <f>'Paste #BBall'!K352</f>
        <v>2.4</v>
      </c>
      <c r="N352" s="152">
        <f>'Paste #BBall'!L352</f>
        <v>0.4</v>
      </c>
      <c r="O352" s="152">
        <f>'Paste #BBall'!M352</f>
        <v>0.5</v>
      </c>
      <c r="P352" s="152">
        <f>'Paste #BBall'!N352</f>
        <v>0.4</v>
      </c>
      <c r="Q352" s="152">
        <f>'Paste #BBall'!O352</f>
        <v>0.1</v>
      </c>
      <c r="R352" s="153" t="str">
        <f>Left(Right('Paste #BBall'!G352,Len('Paste #BBall'!G352)-Search("/",'Paste #BBall'!G352)),Len(Right('Paste #BBall'!G352,Len('Paste #BBall'!G352)-Search("/",'Paste #BBall'!G352)))-1)</f>
        <v>3.4</v>
      </c>
      <c r="S352" s="153" t="str">
        <f>Left(Right('Paste #BBall'!H352,Len('Paste #BBall'!H352)-Search("/",'Paste #BBall'!H352)),Len(Right('Paste #BBall'!H352,Len('Paste #BBall'!H352)-Search("/",'Paste #BBall'!H352)))-1)</f>
        <v>0.7</v>
      </c>
    </row>
    <row r="353">
      <c r="A353" s="33">
        <v>352.0</v>
      </c>
      <c r="B353" s="149" t="str">
        <f>'Paste #BBall'!B353</f>
        <v>Kai Jones</v>
      </c>
      <c r="C353" s="150" t="str">
        <f>'Paste #BBall'!C353</f>
        <v>PF,C</v>
      </c>
      <c r="D353" s="150" t="str">
        <f>'Paste #BBall'!D353</f>
        <v>CHA</v>
      </c>
      <c r="E353" s="151">
        <f>'Paste #BBall'!E353</f>
        <v>40</v>
      </c>
      <c r="F353" s="152">
        <f>'Paste #BBall'!F353</f>
        <v>10.5</v>
      </c>
      <c r="G353" s="153" t="str">
        <f>right(Left('Paste #BBall'!G353,Search("/",'Paste #BBall'!G353)-1),len(Left('Paste #BBall'!G353,Search("/",'Paste #BBall'!G353)-1))-search("(",Left('Paste #BBall'!G353,Search("/",'Paste #BBall'!G353)-1)))</f>
        <v>1.3</v>
      </c>
      <c r="H353" s="152">
        <f t="shared" si="1"/>
        <v>0.5652173913</v>
      </c>
      <c r="I353" s="152" t="str">
        <f>right(Left('Paste #BBall'!H353,Search("/",'Paste #BBall'!H353)-1),len(Left('Paste #BBall'!H353,Search("/",'Paste #BBall'!H353)-1))-search("(",Left('Paste #BBall'!H353,Search("/",'Paste #BBall'!H353)-1)))</f>
        <v>0.4</v>
      </c>
      <c r="J353" s="152">
        <f t="shared" si="2"/>
        <v>0.6666666667</v>
      </c>
      <c r="K353" s="152">
        <f>'Paste #BBall'!I353</f>
        <v>0.1</v>
      </c>
      <c r="L353" s="152">
        <f>'Paste #BBall'!J353</f>
        <v>3.1</v>
      </c>
      <c r="M353" s="152">
        <f>'Paste #BBall'!K353</f>
        <v>2.3</v>
      </c>
      <c r="N353" s="152">
        <f>'Paste #BBall'!L353</f>
        <v>0.3</v>
      </c>
      <c r="O353" s="152">
        <f>'Paste #BBall'!M353</f>
        <v>0.3</v>
      </c>
      <c r="P353" s="152">
        <f>'Paste #BBall'!N353</f>
        <v>0.6</v>
      </c>
      <c r="Q353" s="152">
        <f>'Paste #BBall'!O353</f>
        <v>0.6</v>
      </c>
      <c r="R353" s="153" t="str">
        <f>Left(Right('Paste #BBall'!G353,Len('Paste #BBall'!G353)-Search("/",'Paste #BBall'!G353)),Len(Right('Paste #BBall'!G353,Len('Paste #BBall'!G353)-Search("/",'Paste #BBall'!G353)))-1)</f>
        <v>2.3</v>
      </c>
      <c r="S353" s="153" t="str">
        <f>Left(Right('Paste #BBall'!H353,Len('Paste #BBall'!H353)-Search("/",'Paste #BBall'!H353)),Len(Right('Paste #BBall'!H353,Len('Paste #BBall'!H353)-Search("/",'Paste #BBall'!H353)))-1)</f>
        <v>0.6</v>
      </c>
    </row>
    <row r="354">
      <c r="A354" s="33">
        <v>353.0</v>
      </c>
      <c r="B354" s="149" t="str">
        <f>'Paste #BBall'!B354</f>
        <v>Derrick Rose</v>
      </c>
      <c r="C354" s="150" t="str">
        <f>'Paste #BBall'!C354</f>
        <v>PG</v>
      </c>
      <c r="D354" s="150" t="str">
        <f>'Paste #BBall'!D354</f>
        <v>MEM</v>
      </c>
      <c r="E354" s="151">
        <f>'Paste #BBall'!E354</f>
        <v>20</v>
      </c>
      <c r="F354" s="152">
        <f>'Paste #BBall'!F354</f>
        <v>10.3</v>
      </c>
      <c r="G354" s="153" t="str">
        <f>right(Left('Paste #BBall'!G354,Search("/",'Paste #BBall'!G354)-1),len(Left('Paste #BBall'!G354,Search("/",'Paste #BBall'!G354)-1))-search("(",Left('Paste #BBall'!G354,Search("/",'Paste #BBall'!G354)-1)))</f>
        <v>2.0</v>
      </c>
      <c r="H354" s="152">
        <f t="shared" si="1"/>
        <v>0.4347826087</v>
      </c>
      <c r="I354" s="152" t="str">
        <f>right(Left('Paste #BBall'!H354,Search("/",'Paste #BBall'!H354)-1),len(Left('Paste #BBall'!H354,Search("/",'Paste #BBall'!H354)-1))-search("(",Left('Paste #BBall'!H354,Search("/",'Paste #BBall'!H354)-1)))</f>
        <v>0.4</v>
      </c>
      <c r="J354" s="152">
        <f t="shared" si="2"/>
        <v>0.8</v>
      </c>
      <c r="K354" s="152">
        <f>'Paste #BBall'!I354</f>
        <v>0.6</v>
      </c>
      <c r="L354" s="152">
        <f>'Paste #BBall'!J354</f>
        <v>5</v>
      </c>
      <c r="M354" s="152">
        <f>'Paste #BBall'!K354</f>
        <v>1.3</v>
      </c>
      <c r="N354" s="152">
        <f>'Paste #BBall'!L354</f>
        <v>1.6</v>
      </c>
      <c r="O354" s="152">
        <f>'Paste #BBall'!M354</f>
        <v>0.3</v>
      </c>
      <c r="P354" s="152">
        <f>'Paste #BBall'!N354</f>
        <v>0.2</v>
      </c>
      <c r="Q354" s="152">
        <f>'Paste #BBall'!O354</f>
        <v>0.7</v>
      </c>
      <c r="R354" s="153" t="str">
        <f>Left(Right('Paste #BBall'!G354,Len('Paste #BBall'!G354)-Search("/",'Paste #BBall'!G354)),Len(Right('Paste #BBall'!G354,Len('Paste #BBall'!G354)-Search("/",'Paste #BBall'!G354)))-1)</f>
        <v>4.6</v>
      </c>
      <c r="S354" s="153" t="str">
        <f>Left(Right('Paste #BBall'!H354,Len('Paste #BBall'!H354)-Search("/",'Paste #BBall'!H354)),Len(Right('Paste #BBall'!H354,Len('Paste #BBall'!H354)-Search("/",'Paste #BBall'!H354)))-1)</f>
        <v>0.5</v>
      </c>
    </row>
    <row r="355">
      <c r="A355" s="33">
        <v>354.0</v>
      </c>
      <c r="B355" s="149" t="str">
        <f>'Paste #BBall'!B355</f>
        <v>Dalen Terry</v>
      </c>
      <c r="C355" s="150" t="str">
        <f>'Paste #BBall'!C355</f>
        <v>SG,SF</v>
      </c>
      <c r="D355" s="150" t="str">
        <f>'Paste #BBall'!D355</f>
        <v>CHI</v>
      </c>
      <c r="E355" s="151">
        <f>'Paste #BBall'!E355</f>
        <v>48</v>
      </c>
      <c r="F355" s="152">
        <f>'Paste #BBall'!F355</f>
        <v>10.5</v>
      </c>
      <c r="G355" s="153" t="str">
        <f>right(Left('Paste #BBall'!G355,Search("/",'Paste #BBall'!G355)-1),len(Left('Paste #BBall'!G355,Search("/",'Paste #BBall'!G355)-1))-search("(",Left('Paste #BBall'!G355,Search("/",'Paste #BBall'!G355)-1)))</f>
        <v>1.6</v>
      </c>
      <c r="H355" s="152">
        <f t="shared" si="1"/>
        <v>0.4444444444</v>
      </c>
      <c r="I355" s="152" t="str">
        <f>right(Left('Paste #BBall'!H355,Search("/",'Paste #BBall'!H355)-1),len(Left('Paste #BBall'!H355,Search("/",'Paste #BBall'!H355)-1))-search("(",Left('Paste #BBall'!H355,Search("/",'Paste #BBall'!H355)-1)))</f>
        <v>0.7</v>
      </c>
      <c r="J355" s="152">
        <f t="shared" si="2"/>
        <v>0.7</v>
      </c>
      <c r="K355" s="152">
        <f>'Paste #BBall'!I355</f>
        <v>0.4</v>
      </c>
      <c r="L355" s="152">
        <f>'Paste #BBall'!J355</f>
        <v>4.2</v>
      </c>
      <c r="M355" s="152">
        <f>'Paste #BBall'!K355</f>
        <v>1.8</v>
      </c>
      <c r="N355" s="152">
        <f>'Paste #BBall'!L355</f>
        <v>1.1</v>
      </c>
      <c r="O355" s="152">
        <f>'Paste #BBall'!M355</f>
        <v>0.6</v>
      </c>
      <c r="P355" s="152">
        <f>'Paste #BBall'!N355</f>
        <v>0.3</v>
      </c>
      <c r="Q355" s="152">
        <f>'Paste #BBall'!O355</f>
        <v>0.4</v>
      </c>
      <c r="R355" s="153" t="str">
        <f>Left(Right('Paste #BBall'!G355,Len('Paste #BBall'!G355)-Search("/",'Paste #BBall'!G355)),Len(Right('Paste #BBall'!G355,Len('Paste #BBall'!G355)-Search("/",'Paste #BBall'!G355)))-1)</f>
        <v>3.6</v>
      </c>
      <c r="S355" s="153" t="str">
        <f>Left(Right('Paste #BBall'!H355,Len('Paste #BBall'!H355)-Search("/",'Paste #BBall'!H355)),Len(Right('Paste #BBall'!H355,Len('Paste #BBall'!H355)-Search("/",'Paste #BBall'!H355)))-1)</f>
        <v>1.0</v>
      </c>
    </row>
    <row r="356">
      <c r="A356" s="33">
        <v>355.0</v>
      </c>
      <c r="B356" s="149" t="str">
        <f>'Paste #BBall'!B356</f>
        <v>Jericho Sims</v>
      </c>
      <c r="C356" s="150" t="str">
        <f>'Paste #BBall'!C356</f>
        <v>PF,C</v>
      </c>
      <c r="D356" s="150" t="str">
        <f>'Paste #BBall'!D356</f>
        <v>NY</v>
      </c>
      <c r="E356" s="151">
        <f>'Paste #BBall'!E356</f>
        <v>31</v>
      </c>
      <c r="F356" s="152">
        <f>'Paste #BBall'!F356</f>
        <v>10.6</v>
      </c>
      <c r="G356" s="153" t="str">
        <f>right(Left('Paste #BBall'!G356,Search("/",'Paste #BBall'!G356)-1),len(Left('Paste #BBall'!G356,Search("/",'Paste #BBall'!G356)-1))-search("(",Left('Paste #BBall'!G356,Search("/",'Paste #BBall'!G356)-1)))</f>
        <v>1.0</v>
      </c>
      <c r="H356" s="152">
        <f t="shared" si="1"/>
        <v>0.7692307692</v>
      </c>
      <c r="I356" s="152" t="str">
        <f>right(Left('Paste #BBall'!H356,Search("/",'Paste #BBall'!H356)-1),len(Left('Paste #BBall'!H356,Search("/",'Paste #BBall'!H356)-1))-search("(",Left('Paste #BBall'!H356,Search("/",'Paste #BBall'!H356)-1)))</f>
        <v>0.2</v>
      </c>
      <c r="J356" s="152">
        <f t="shared" si="2"/>
        <v>0.5</v>
      </c>
      <c r="K356" s="152">
        <f>'Paste #BBall'!I356</f>
        <v>0</v>
      </c>
      <c r="L356" s="152">
        <f>'Paste #BBall'!J356</f>
        <v>2.1</v>
      </c>
      <c r="M356" s="152">
        <f>'Paste #BBall'!K356</f>
        <v>3.2</v>
      </c>
      <c r="N356" s="152">
        <f>'Paste #BBall'!L356</f>
        <v>0.4</v>
      </c>
      <c r="O356" s="152">
        <f>'Paste #BBall'!M356</f>
        <v>0.2</v>
      </c>
      <c r="P356" s="152">
        <f>'Paste #BBall'!N356</f>
        <v>0.4</v>
      </c>
      <c r="Q356" s="152">
        <f>'Paste #BBall'!O356</f>
        <v>0.4</v>
      </c>
      <c r="R356" s="153" t="str">
        <f>Left(Right('Paste #BBall'!G356,Len('Paste #BBall'!G356)-Search("/",'Paste #BBall'!G356)),Len(Right('Paste #BBall'!G356,Len('Paste #BBall'!G356)-Search("/",'Paste #BBall'!G356)))-1)</f>
        <v>1.3</v>
      </c>
      <c r="S356" s="153" t="str">
        <f>Left(Right('Paste #BBall'!H356,Len('Paste #BBall'!H356)-Search("/",'Paste #BBall'!H356)),Len(Right('Paste #BBall'!H356,Len('Paste #BBall'!H356)-Search("/",'Paste #BBall'!H356)))-1)</f>
        <v>0.4</v>
      </c>
    </row>
    <row r="357">
      <c r="A357" s="33">
        <v>356.0</v>
      </c>
      <c r="B357" s="149" t="str">
        <f>'Paste #BBall'!B357</f>
        <v>Saben Lee</v>
      </c>
      <c r="C357" s="150" t="str">
        <f>'Paste #BBall'!C357</f>
        <v>PG</v>
      </c>
      <c r="D357" s="150" t="str">
        <f>'Paste #BBall'!D357</f>
        <v>PHO</v>
      </c>
      <c r="E357" s="151">
        <f>'Paste #BBall'!E357</f>
        <v>10</v>
      </c>
      <c r="F357" s="152">
        <f>'Paste #BBall'!F357</f>
        <v>10.4</v>
      </c>
      <c r="G357" s="153" t="str">
        <f>right(Left('Paste #BBall'!G357,Search("/",'Paste #BBall'!G357)-1),len(Left('Paste #BBall'!G357,Search("/",'Paste #BBall'!G357)-1))-search("(",Left('Paste #BBall'!G357,Search("/",'Paste #BBall'!G357)-1)))</f>
        <v>1.3</v>
      </c>
      <c r="H357" s="152">
        <f t="shared" si="1"/>
        <v>0.40625</v>
      </c>
      <c r="I357" s="152" t="str">
        <f>right(Left('Paste #BBall'!H357,Search("/",'Paste #BBall'!H357)-1),len(Left('Paste #BBall'!H357,Search("/",'Paste #BBall'!H357)-1))-search("(",Left('Paste #BBall'!H357,Search("/",'Paste #BBall'!H357)-1)))</f>
        <v>1.1</v>
      </c>
      <c r="J357" s="152">
        <f t="shared" si="2"/>
        <v>0.7857142857</v>
      </c>
      <c r="K357" s="152">
        <f>'Paste #BBall'!I357</f>
        <v>0.3</v>
      </c>
      <c r="L357" s="152">
        <f>'Paste #BBall'!J357</f>
        <v>3.9</v>
      </c>
      <c r="M357" s="152">
        <f>'Paste #BBall'!K357</f>
        <v>1.4</v>
      </c>
      <c r="N357" s="152">
        <f>'Paste #BBall'!L357</f>
        <v>1.9</v>
      </c>
      <c r="O357" s="152">
        <f>'Paste #BBall'!M357</f>
        <v>0.6</v>
      </c>
      <c r="P357" s="152">
        <f>'Paste #BBall'!N357</f>
        <v>0.1</v>
      </c>
      <c r="Q357" s="152">
        <f>'Paste #BBall'!O357</f>
        <v>0.6</v>
      </c>
      <c r="R357" s="153" t="str">
        <f>Left(Right('Paste #BBall'!G357,Len('Paste #BBall'!G357)-Search("/",'Paste #BBall'!G357)),Len(Right('Paste #BBall'!G357,Len('Paste #BBall'!G357)-Search("/",'Paste #BBall'!G357)))-1)</f>
        <v>3.2</v>
      </c>
      <c r="S357" s="153" t="str">
        <f>Left(Right('Paste #BBall'!H357,Len('Paste #BBall'!H357)-Search("/",'Paste #BBall'!H357)),Len(Right('Paste #BBall'!H357,Len('Paste #BBall'!H357)-Search("/",'Paste #BBall'!H357)))-1)</f>
        <v>1.4</v>
      </c>
    </row>
    <row r="358">
      <c r="A358" s="33">
        <v>357.0</v>
      </c>
      <c r="B358" s="149" t="str">
        <f>'Paste #BBall'!B358</f>
        <v>Hunter Tyson</v>
      </c>
      <c r="C358" s="150" t="str">
        <f>'Paste #BBall'!C358</f>
        <v>PF</v>
      </c>
      <c r="D358" s="150" t="str">
        <f>'Paste #BBall'!D358</f>
        <v>DEN</v>
      </c>
      <c r="E358" s="151">
        <f>'Paste #BBall'!E358</f>
        <v>67</v>
      </c>
      <c r="F358" s="152">
        <f>'Paste #BBall'!F358</f>
        <v>12.2</v>
      </c>
      <c r="G358" s="153" t="str">
        <f>right(Left('Paste #BBall'!G358,Search("/",'Paste #BBall'!G358)-1),len(Left('Paste #BBall'!G358,Search("/",'Paste #BBall'!G358)-1))-search("(",Left('Paste #BBall'!G358,Search("/",'Paste #BBall'!G358)-1)))</f>
        <v>2.1</v>
      </c>
      <c r="H358" s="152">
        <f t="shared" si="1"/>
        <v>0.4468085106</v>
      </c>
      <c r="I358" s="152" t="str">
        <f>right(Left('Paste #BBall'!H358,Search("/",'Paste #BBall'!H358)-1),len(Left('Paste #BBall'!H358,Search("/",'Paste #BBall'!H358)-1))-search("(",Left('Paste #BBall'!H358,Search("/",'Paste #BBall'!H358)-1)))</f>
        <v>0.5</v>
      </c>
      <c r="J358" s="152">
        <f t="shared" si="2"/>
        <v>0.8333333333</v>
      </c>
      <c r="K358" s="152">
        <f>'Paste #BBall'!I358</f>
        <v>0.9</v>
      </c>
      <c r="L358" s="152">
        <f>'Paste #BBall'!J358</f>
        <v>5.6</v>
      </c>
      <c r="M358" s="152">
        <f>'Paste #BBall'!K358</f>
        <v>1.9</v>
      </c>
      <c r="N358" s="152">
        <f>'Paste #BBall'!L358</f>
        <v>0.4</v>
      </c>
      <c r="O358" s="152">
        <f>'Paste #BBall'!M358</f>
        <v>0.2</v>
      </c>
      <c r="P358" s="152">
        <f>'Paste #BBall'!N358</f>
        <v>0.2</v>
      </c>
      <c r="Q358" s="152">
        <f>'Paste #BBall'!O358</f>
        <v>0.4</v>
      </c>
      <c r="R358" s="153" t="str">
        <f>Left(Right('Paste #BBall'!G358,Len('Paste #BBall'!G358)-Search("/",'Paste #BBall'!G358)),Len(Right('Paste #BBall'!G358,Len('Paste #BBall'!G358)-Search("/",'Paste #BBall'!G358)))-1)</f>
        <v>4.7</v>
      </c>
      <c r="S358" s="153" t="str">
        <f>Left(Right('Paste #BBall'!H358,Len('Paste #BBall'!H358)-Search("/",'Paste #BBall'!H358)),Len(Right('Paste #BBall'!H358,Len('Paste #BBall'!H358)-Search("/",'Paste #BBall'!H358)))-1)</f>
        <v>0.6</v>
      </c>
    </row>
    <row r="359">
      <c r="A359" s="33">
        <v>358.0</v>
      </c>
      <c r="B359" s="149" t="str">
        <f>'Paste #BBall'!B359</f>
        <v>Goga Bitadze</v>
      </c>
      <c r="C359" s="150" t="str">
        <f>'Paste #BBall'!C359</f>
        <v>C</v>
      </c>
      <c r="D359" s="150" t="str">
        <f>'Paste #BBall'!D359</f>
        <v>ORL</v>
      </c>
      <c r="E359" s="151">
        <f>'Paste #BBall'!E359</f>
        <v>30</v>
      </c>
      <c r="F359" s="152">
        <f>'Paste #BBall'!F359</f>
        <v>8.4</v>
      </c>
      <c r="G359" s="153" t="str">
        <f>right(Left('Paste #BBall'!G359,Search("/",'Paste #BBall'!G359)-1),len(Left('Paste #BBall'!G359,Search("/",'Paste #BBall'!G359)-1))-search("(",Left('Paste #BBall'!G359,Search("/",'Paste #BBall'!G359)-1)))</f>
        <v>1.4</v>
      </c>
      <c r="H359" s="152">
        <f t="shared" si="1"/>
        <v>0.5185185185</v>
      </c>
      <c r="I359" s="152" t="str">
        <f>right(Left('Paste #BBall'!H359,Search("/",'Paste #BBall'!H359)-1),len(Left('Paste #BBall'!H359,Search("/",'Paste #BBall'!H359)-1))-search("(",Left('Paste #BBall'!H359,Search("/",'Paste #BBall'!H359)-1)))</f>
        <v>0.6</v>
      </c>
      <c r="J359" s="152">
        <f t="shared" si="2"/>
        <v>0.6</v>
      </c>
      <c r="K359" s="152">
        <f>'Paste #BBall'!I359</f>
        <v>0.2</v>
      </c>
      <c r="L359" s="152">
        <f>'Paste #BBall'!J359</f>
        <v>3.7</v>
      </c>
      <c r="M359" s="152">
        <f>'Paste #BBall'!K359</f>
        <v>2.3</v>
      </c>
      <c r="N359" s="152">
        <f>'Paste #BBall'!L359</f>
        <v>0.7</v>
      </c>
      <c r="O359" s="152">
        <f>'Paste #BBall'!M359</f>
        <v>0.3</v>
      </c>
      <c r="P359" s="152">
        <f>'Paste #BBall'!N359</f>
        <v>0.5</v>
      </c>
      <c r="Q359" s="152">
        <f>'Paste #BBall'!O359</f>
        <v>0.5</v>
      </c>
      <c r="R359" s="153" t="str">
        <f>Left(Right('Paste #BBall'!G359,Len('Paste #BBall'!G359)-Search("/",'Paste #BBall'!G359)),Len(Right('Paste #BBall'!G359,Len('Paste #BBall'!G359)-Search("/",'Paste #BBall'!G359)))-1)</f>
        <v>2.7</v>
      </c>
      <c r="S359" s="153" t="str">
        <f>Left(Right('Paste #BBall'!H359,Len('Paste #BBall'!H359)-Search("/",'Paste #BBall'!H359)),Len(Right('Paste #BBall'!H359,Len('Paste #BBall'!H359)-Search("/",'Paste #BBall'!H359)))-1)</f>
        <v>1.0</v>
      </c>
    </row>
    <row r="360">
      <c r="A360" s="33">
        <v>359.0</v>
      </c>
      <c r="B360" s="149" t="str">
        <f>'Paste #BBall'!B360</f>
        <v>Micah Potter</v>
      </c>
      <c r="C360" s="150" t="str">
        <f>'Paste #BBall'!C360</f>
        <v>PF,C</v>
      </c>
      <c r="D360" s="150" t="str">
        <f>'Paste #BBall'!D360</f>
        <v>UTA</v>
      </c>
      <c r="E360" s="151">
        <f>'Paste #BBall'!E360</f>
        <v>10</v>
      </c>
      <c r="F360" s="152">
        <f>'Paste #BBall'!F360</f>
        <v>8.4</v>
      </c>
      <c r="G360" s="153" t="str">
        <f>right(Left('Paste #BBall'!G360,Search("/",'Paste #BBall'!G360)-1),len(Left('Paste #BBall'!G360,Search("/",'Paste #BBall'!G360)-1))-search("(",Left('Paste #BBall'!G360,Search("/",'Paste #BBall'!G360)-1)))</f>
        <v>1.5</v>
      </c>
      <c r="H360" s="152">
        <f t="shared" si="1"/>
        <v>0.5555555556</v>
      </c>
      <c r="I360" s="152" t="str">
        <f>right(Left('Paste #BBall'!H360,Search("/",'Paste #BBall'!H360)-1),len(Left('Paste #BBall'!H360,Search("/",'Paste #BBall'!H360)-1))-search("(",Left('Paste #BBall'!H360,Search("/",'Paste #BBall'!H360)-1)))</f>
        <v>0.2</v>
      </c>
      <c r="J360" s="152">
        <f t="shared" si="2"/>
        <v>0.6666666667</v>
      </c>
      <c r="K360" s="152">
        <f>'Paste #BBall'!I360</f>
        <v>0.4</v>
      </c>
      <c r="L360" s="152">
        <f>'Paste #BBall'!J360</f>
        <v>3.7</v>
      </c>
      <c r="M360" s="152">
        <f>'Paste #BBall'!K360</f>
        <v>2.5</v>
      </c>
      <c r="N360" s="152">
        <f>'Paste #BBall'!L360</f>
        <v>0.4</v>
      </c>
      <c r="O360" s="152">
        <f>'Paste #BBall'!M360</f>
        <v>0.2</v>
      </c>
      <c r="P360" s="152">
        <f>'Paste #BBall'!N360</f>
        <v>0.1</v>
      </c>
      <c r="Q360" s="152">
        <f>'Paste #BBall'!O360</f>
        <v>0.3</v>
      </c>
      <c r="R360" s="153" t="str">
        <f>Left(Right('Paste #BBall'!G360,Len('Paste #BBall'!G360)-Search("/",'Paste #BBall'!G360)),Len(Right('Paste #BBall'!G360,Len('Paste #BBall'!G360)-Search("/",'Paste #BBall'!G360)))-1)</f>
        <v>2.7</v>
      </c>
      <c r="S360" s="153" t="str">
        <f>Left(Right('Paste #BBall'!H360,Len('Paste #BBall'!H360)-Search("/",'Paste #BBall'!H360)),Len(Right('Paste #BBall'!H360,Len('Paste #BBall'!H360)-Search("/",'Paste #BBall'!H360)))-1)</f>
        <v>0.3</v>
      </c>
    </row>
    <row r="361">
      <c r="A361" s="33">
        <v>360.0</v>
      </c>
      <c r="B361" s="149" t="str">
        <f>'Paste #BBall'!B361</f>
        <v>Jordan Walsh</v>
      </c>
      <c r="C361" s="150" t="str">
        <f>'Paste #BBall'!C361</f>
        <v>SF</v>
      </c>
      <c r="D361" s="150" t="str">
        <f>'Paste #BBall'!D361</f>
        <v>BOS</v>
      </c>
      <c r="E361" s="151">
        <f>'Paste #BBall'!E361</f>
        <v>60</v>
      </c>
      <c r="F361" s="152">
        <f>'Paste #BBall'!F361</f>
        <v>15.4</v>
      </c>
      <c r="G361" s="153" t="str">
        <f>right(Left('Paste #BBall'!G361,Search("/",'Paste #BBall'!G361)-1),len(Left('Paste #BBall'!G361,Search("/",'Paste #BBall'!G361)-1))-search("(",Left('Paste #BBall'!G361,Search("/",'Paste #BBall'!G361)-1)))</f>
        <v>2.3</v>
      </c>
      <c r="H361" s="152">
        <f t="shared" si="1"/>
        <v>0.4259259259</v>
      </c>
      <c r="I361" s="152" t="str">
        <f>right(Left('Paste #BBall'!H361,Search("/",'Paste #BBall'!H361)-1),len(Left('Paste #BBall'!H361,Search("/",'Paste #BBall'!H361)-1))-search("(",Left('Paste #BBall'!H361,Search("/",'Paste #BBall'!H361)-1)))</f>
        <v>1.1</v>
      </c>
      <c r="J361" s="152">
        <f t="shared" si="2"/>
        <v>0.7333333333</v>
      </c>
      <c r="K361" s="152">
        <f>'Paste #BBall'!I361</f>
        <v>0.6</v>
      </c>
      <c r="L361" s="152">
        <f>'Paste #BBall'!J361</f>
        <v>6.3</v>
      </c>
      <c r="M361" s="152">
        <f>'Paste #BBall'!K361</f>
        <v>1.9</v>
      </c>
      <c r="N361" s="152">
        <f>'Paste #BBall'!L361</f>
        <v>1.3</v>
      </c>
      <c r="O361" s="152">
        <f>'Paste #BBall'!M361</f>
        <v>0.5</v>
      </c>
      <c r="P361" s="152">
        <f>'Paste #BBall'!N361</f>
        <v>0.1</v>
      </c>
      <c r="Q361" s="152">
        <f>'Paste #BBall'!O361</f>
        <v>1.2</v>
      </c>
      <c r="R361" s="153" t="str">
        <f>Left(Right('Paste #BBall'!G361,Len('Paste #BBall'!G361)-Search("/",'Paste #BBall'!G361)),Len(Right('Paste #BBall'!G361,Len('Paste #BBall'!G361)-Search("/",'Paste #BBall'!G361)))-1)</f>
        <v>5.4</v>
      </c>
      <c r="S361" s="153" t="str">
        <f>Left(Right('Paste #BBall'!H361,Len('Paste #BBall'!H361)-Search("/",'Paste #BBall'!H361)),Len(Right('Paste #BBall'!H361,Len('Paste #BBall'!H361)-Search("/",'Paste #BBall'!H361)))-1)</f>
        <v>1.5</v>
      </c>
    </row>
    <row r="362">
      <c r="A362" s="33">
        <v>361.0</v>
      </c>
      <c r="B362" s="149" t="str">
        <f>'Paste #BBall'!B362</f>
        <v>Garrison Mathews</v>
      </c>
      <c r="C362" s="150" t="str">
        <f>'Paste #BBall'!C362</f>
        <v>SG,SF</v>
      </c>
      <c r="D362" s="150" t="str">
        <f>'Paste #BBall'!D362</f>
        <v>ATL</v>
      </c>
      <c r="E362" s="151">
        <f>'Paste #BBall'!E362</f>
        <v>30</v>
      </c>
      <c r="F362" s="152">
        <f>'Paste #BBall'!F362</f>
        <v>11.4</v>
      </c>
      <c r="G362" s="153" t="str">
        <f>right(Left('Paste #BBall'!G362,Search("/",'Paste #BBall'!G362)-1),len(Left('Paste #BBall'!G362,Search("/",'Paste #BBall'!G362)-1))-search("(",Left('Paste #BBall'!G362,Search("/",'Paste #BBall'!G362)-1)))</f>
        <v>1.2</v>
      </c>
      <c r="H362" s="152">
        <f t="shared" si="1"/>
        <v>0.375</v>
      </c>
      <c r="I362" s="152" t="str">
        <f>right(Left('Paste #BBall'!H362,Search("/",'Paste #BBall'!H362)-1),len(Left('Paste #BBall'!H362,Search("/",'Paste #BBall'!H362)-1))-search("(",Left('Paste #BBall'!H362,Search("/",'Paste #BBall'!H362)-1)))</f>
        <v>0.9</v>
      </c>
      <c r="J362" s="152">
        <f t="shared" si="2"/>
        <v>0.8181818182</v>
      </c>
      <c r="K362" s="152">
        <f>'Paste #BBall'!I362</f>
        <v>1</v>
      </c>
      <c r="L362" s="152">
        <f>'Paste #BBall'!J362</f>
        <v>4.4</v>
      </c>
      <c r="M362" s="152">
        <f>'Paste #BBall'!K362</f>
        <v>1.3</v>
      </c>
      <c r="N362" s="152">
        <f>'Paste #BBall'!L362</f>
        <v>0.4</v>
      </c>
      <c r="O362" s="152">
        <f>'Paste #BBall'!M362</f>
        <v>0.4</v>
      </c>
      <c r="P362" s="152">
        <f>'Paste #BBall'!N362</f>
        <v>0.1</v>
      </c>
      <c r="Q362" s="152">
        <f>'Paste #BBall'!O362</f>
        <v>0.3</v>
      </c>
      <c r="R362" s="153" t="str">
        <f>Left(Right('Paste #BBall'!G362,Len('Paste #BBall'!G362)-Search("/",'Paste #BBall'!G362)),Len(Right('Paste #BBall'!G362,Len('Paste #BBall'!G362)-Search("/",'Paste #BBall'!G362)))-1)</f>
        <v>3.2</v>
      </c>
      <c r="S362" s="153" t="str">
        <f>Left(Right('Paste #BBall'!H362,Len('Paste #BBall'!H362)-Search("/",'Paste #BBall'!H362)),Len(Right('Paste #BBall'!H362,Len('Paste #BBall'!H362)-Search("/",'Paste #BBall'!H362)))-1)</f>
        <v>1.1</v>
      </c>
    </row>
    <row r="363">
      <c r="A363" s="33">
        <v>362.0</v>
      </c>
      <c r="B363" s="149" t="str">
        <f>'Paste #BBall'!B363</f>
        <v>Kenneth Lofton Jr.</v>
      </c>
      <c r="C363" s="150" t="str">
        <f>'Paste #BBall'!C363</f>
        <v>PF,C</v>
      </c>
      <c r="D363" s="150" t="str">
        <f>'Paste #BBall'!D363</f>
        <v>MEM</v>
      </c>
      <c r="E363" s="151">
        <f>'Paste #BBall'!E363</f>
        <v>34</v>
      </c>
      <c r="F363" s="152">
        <f>'Paste #BBall'!F363</f>
        <v>10.1</v>
      </c>
      <c r="G363" s="153" t="str">
        <f>right(Left('Paste #BBall'!G363,Search("/",'Paste #BBall'!G363)-1),len(Left('Paste #BBall'!G363,Search("/",'Paste #BBall'!G363)-1))-search("(",Left('Paste #BBall'!G363,Search("/",'Paste #BBall'!G363)-1)))</f>
        <v>2.8</v>
      </c>
      <c r="H363" s="152">
        <f t="shared" si="1"/>
        <v>0.5185185185</v>
      </c>
      <c r="I363" s="152" t="str">
        <f>right(Left('Paste #BBall'!H363,Search("/",'Paste #BBall'!H363)-1),len(Left('Paste #BBall'!H363,Search("/",'Paste #BBall'!H363)-1))-search("(",Left('Paste #BBall'!H363,Search("/",'Paste #BBall'!H363)-1)))</f>
        <v>0.9</v>
      </c>
      <c r="J363" s="152">
        <f t="shared" si="2"/>
        <v>0.5625</v>
      </c>
      <c r="K363" s="152">
        <f>'Paste #BBall'!I363</f>
        <v>0.4</v>
      </c>
      <c r="L363" s="152">
        <f>'Paste #BBall'!J363</f>
        <v>7</v>
      </c>
      <c r="M363" s="152">
        <f>'Paste #BBall'!K363</f>
        <v>3</v>
      </c>
      <c r="N363" s="152">
        <f>'Paste #BBall'!L363</f>
        <v>1.2</v>
      </c>
      <c r="O363" s="152">
        <f>'Paste #BBall'!M363</f>
        <v>0.3</v>
      </c>
      <c r="P363" s="152">
        <f>'Paste #BBall'!N363</f>
        <v>0.1</v>
      </c>
      <c r="Q363" s="152">
        <f>'Paste #BBall'!O363</f>
        <v>0.7</v>
      </c>
      <c r="R363" s="153" t="str">
        <f>Left(Right('Paste #BBall'!G363,Len('Paste #BBall'!G363)-Search("/",'Paste #BBall'!G363)),Len(Right('Paste #BBall'!G363,Len('Paste #BBall'!G363)-Search("/",'Paste #BBall'!G363)))-1)</f>
        <v>5.4</v>
      </c>
      <c r="S363" s="153" t="str">
        <f>Left(Right('Paste #BBall'!H363,Len('Paste #BBall'!H363)-Search("/",'Paste #BBall'!H363)),Len(Right('Paste #BBall'!H363,Len('Paste #BBall'!H363)-Search("/",'Paste #BBall'!H363)))-1)</f>
        <v>1.6</v>
      </c>
    </row>
    <row r="364">
      <c r="A364" s="33">
        <v>363.0</v>
      </c>
      <c r="B364" s="149" t="str">
        <f>'Paste #BBall'!B364</f>
        <v>Devonte' Graham</v>
      </c>
      <c r="C364" s="150" t="str">
        <f>'Paste #BBall'!C364</f>
        <v>PG,SG</v>
      </c>
      <c r="D364" s="150" t="str">
        <f>'Paste #BBall'!D364</f>
        <v>SA</v>
      </c>
      <c r="E364" s="151">
        <f>'Paste #BBall'!E364</f>
        <v>20</v>
      </c>
      <c r="F364" s="152">
        <f>'Paste #BBall'!F364</f>
        <v>11.4</v>
      </c>
      <c r="G364" s="153" t="str">
        <f>right(Left('Paste #BBall'!G364,Search("/",'Paste #BBall'!G364)-1),len(Left('Paste #BBall'!G364,Search("/",'Paste #BBall'!G364)-1))-search("(",Left('Paste #BBall'!G364,Search("/",'Paste #BBall'!G364)-1)))</f>
        <v>1.5</v>
      </c>
      <c r="H364" s="152">
        <f t="shared" si="1"/>
        <v>0.3658536585</v>
      </c>
      <c r="I364" s="152" t="str">
        <f>right(Left('Paste #BBall'!H364,Search("/",'Paste #BBall'!H364)-1),len(Left('Paste #BBall'!H364,Search("/",'Paste #BBall'!H364)-1))-search("(",Left('Paste #BBall'!H364,Search("/",'Paste #BBall'!H364)-1)))</f>
        <v>0.7</v>
      </c>
      <c r="J364" s="152">
        <f t="shared" si="2"/>
        <v>0.7777777778</v>
      </c>
      <c r="K364" s="152">
        <f>'Paste #BBall'!I364</f>
        <v>1</v>
      </c>
      <c r="L364" s="152">
        <f>'Paste #BBall'!J364</f>
        <v>4.7</v>
      </c>
      <c r="M364" s="152">
        <f>'Paste #BBall'!K364</f>
        <v>1</v>
      </c>
      <c r="N364" s="152">
        <f>'Paste #BBall'!L364</f>
        <v>1.7</v>
      </c>
      <c r="O364" s="152">
        <f>'Paste #BBall'!M364</f>
        <v>0.4</v>
      </c>
      <c r="P364" s="152">
        <f>'Paste #BBall'!N364</f>
        <v>0.1</v>
      </c>
      <c r="Q364" s="152">
        <f>'Paste #BBall'!O364</f>
        <v>0.5</v>
      </c>
      <c r="R364" s="153" t="str">
        <f>Left(Right('Paste #BBall'!G364,Len('Paste #BBall'!G364)-Search("/",'Paste #BBall'!G364)),Len(Right('Paste #BBall'!G364,Len('Paste #BBall'!G364)-Search("/",'Paste #BBall'!G364)))-1)</f>
        <v>4.1</v>
      </c>
      <c r="S364" s="153" t="str">
        <f>Left(Right('Paste #BBall'!H364,Len('Paste #BBall'!H364)-Search("/",'Paste #BBall'!H364)),Len(Right('Paste #BBall'!H364,Len('Paste #BBall'!H364)-Search("/",'Paste #BBall'!H364)))-1)</f>
        <v>0.9</v>
      </c>
    </row>
    <row r="365">
      <c r="A365" s="33">
        <v>364.0</v>
      </c>
      <c r="B365" s="149" t="str">
        <f>'Paste #BBall'!B365</f>
        <v>Darius Bazley</v>
      </c>
      <c r="C365" s="150" t="str">
        <f>'Paste #BBall'!C365</f>
        <v>PF,C</v>
      </c>
      <c r="D365" s="150" t="str">
        <f>'Paste #BBall'!D365</f>
        <v>BKN</v>
      </c>
      <c r="E365" s="151">
        <f>'Paste #BBall'!E365</f>
        <v>33</v>
      </c>
      <c r="F365" s="152">
        <f>'Paste #BBall'!F365</f>
        <v>10.5</v>
      </c>
      <c r="G365" s="153" t="str">
        <f>right(Left('Paste #BBall'!G365,Search("/",'Paste #BBall'!G365)-1),len(Left('Paste #BBall'!G365,Search("/",'Paste #BBall'!G365)-1))-search("(",Left('Paste #BBall'!G365,Search("/",'Paste #BBall'!G365)-1)))</f>
        <v>1.6</v>
      </c>
      <c r="H365" s="152">
        <f t="shared" si="1"/>
        <v>0.4571428571</v>
      </c>
      <c r="I365" s="152" t="str">
        <f>right(Left('Paste #BBall'!H365,Search("/",'Paste #BBall'!H365)-1),len(Left('Paste #BBall'!H365,Search("/",'Paste #BBall'!H365)-1))-search("(",Left('Paste #BBall'!H365,Search("/",'Paste #BBall'!H365)-1)))</f>
        <v>0.7</v>
      </c>
      <c r="J365" s="152">
        <f t="shared" si="2"/>
        <v>0.7</v>
      </c>
      <c r="K365" s="152">
        <f>'Paste #BBall'!I365</f>
        <v>0.4</v>
      </c>
      <c r="L365" s="152">
        <f>'Paste #BBall'!J365</f>
        <v>4.2</v>
      </c>
      <c r="M365" s="152">
        <f>'Paste #BBall'!K365</f>
        <v>2.4</v>
      </c>
      <c r="N365" s="152">
        <f>'Paste #BBall'!L365</f>
        <v>0.6</v>
      </c>
      <c r="O365" s="152">
        <f>'Paste #BBall'!M365</f>
        <v>0.3</v>
      </c>
      <c r="P365" s="152">
        <f>'Paste #BBall'!N365</f>
        <v>0.4</v>
      </c>
      <c r="Q365" s="152">
        <f>'Paste #BBall'!O365</f>
        <v>0.5</v>
      </c>
      <c r="R365" s="153" t="str">
        <f>Left(Right('Paste #BBall'!G365,Len('Paste #BBall'!G365)-Search("/",'Paste #BBall'!G365)),Len(Right('Paste #BBall'!G365,Len('Paste #BBall'!G365)-Search("/",'Paste #BBall'!G365)))-1)</f>
        <v>3.5</v>
      </c>
      <c r="S365" s="153" t="str">
        <f>Left(Right('Paste #BBall'!H365,Len('Paste #BBall'!H365)-Search("/",'Paste #BBall'!H365)),Len(Right('Paste #BBall'!H365,Len('Paste #BBall'!H365)-Search("/",'Paste #BBall'!H365)))-1)</f>
        <v>1.0</v>
      </c>
    </row>
    <row r="366">
      <c r="A366" s="33">
        <v>365.0</v>
      </c>
      <c r="B366" s="149" t="str">
        <f>'Paste #BBall'!B366</f>
        <v>Thaddeus Young</v>
      </c>
      <c r="C366" s="150" t="str">
        <f>'Paste #BBall'!C366</f>
        <v>PF,C</v>
      </c>
      <c r="D366" s="150" t="str">
        <f>'Paste #BBall'!D366</f>
        <v>TOR</v>
      </c>
      <c r="E366" s="151">
        <f>'Paste #BBall'!E366</f>
        <v>20</v>
      </c>
      <c r="F366" s="152">
        <f>'Paste #BBall'!F366</f>
        <v>8.4</v>
      </c>
      <c r="G366" s="153" t="str">
        <f>right(Left('Paste #BBall'!G366,Search("/",'Paste #BBall'!G366)-1),len(Left('Paste #BBall'!G366,Search("/",'Paste #BBall'!G366)-1))-search("(",Left('Paste #BBall'!G366,Search("/",'Paste #BBall'!G366)-1)))</f>
        <v>1.3</v>
      </c>
      <c r="H366" s="152">
        <f t="shared" si="1"/>
        <v>0.5416666667</v>
      </c>
      <c r="I366" s="152" t="str">
        <f>right(Left('Paste #BBall'!H366,Search("/",'Paste #BBall'!H366)-1),len(Left('Paste #BBall'!H366,Search("/",'Paste #BBall'!H366)-1))-search("(",Left('Paste #BBall'!H366,Search("/",'Paste #BBall'!H366)-1)))</f>
        <v>0.2</v>
      </c>
      <c r="J366" s="152">
        <f t="shared" si="2"/>
        <v>0.5</v>
      </c>
      <c r="K366" s="152">
        <f>'Paste #BBall'!I366</f>
        <v>0.1</v>
      </c>
      <c r="L366" s="152">
        <f>'Paste #BBall'!J366</f>
        <v>2.9</v>
      </c>
      <c r="M366" s="152">
        <f>'Paste #BBall'!K366</f>
        <v>1.9</v>
      </c>
      <c r="N366" s="152">
        <f>'Paste #BBall'!L366</f>
        <v>0.9</v>
      </c>
      <c r="O366" s="152">
        <f>'Paste #BBall'!M366</f>
        <v>0.6</v>
      </c>
      <c r="P366" s="152">
        <f>'Paste #BBall'!N366</f>
        <v>0.1</v>
      </c>
      <c r="Q366" s="152">
        <f>'Paste #BBall'!O366</f>
        <v>0.5</v>
      </c>
      <c r="R366" s="153" t="str">
        <f>Left(Right('Paste #BBall'!G366,Len('Paste #BBall'!G366)-Search("/",'Paste #BBall'!G366)),Len(Right('Paste #BBall'!G366,Len('Paste #BBall'!G366)-Search("/",'Paste #BBall'!G366)))-1)</f>
        <v>2.4</v>
      </c>
      <c r="S366" s="153" t="str">
        <f>Left(Right('Paste #BBall'!H366,Len('Paste #BBall'!H366)-Search("/",'Paste #BBall'!H366)),Len(Right('Paste #BBall'!H366,Len('Paste #BBall'!H366)-Search("/",'Paste #BBall'!H366)))-1)</f>
        <v>0.4</v>
      </c>
    </row>
    <row r="367">
      <c r="A367" s="33">
        <v>366.0</v>
      </c>
      <c r="B367" s="149" t="str">
        <f>'Paste #BBall'!B367</f>
        <v>Ty Jerome</v>
      </c>
      <c r="C367" s="150" t="str">
        <f>'Paste #BBall'!C367</f>
        <v>PG,SG</v>
      </c>
      <c r="D367" s="150" t="str">
        <f>'Paste #BBall'!D367</f>
        <v>CLE</v>
      </c>
      <c r="E367" s="151">
        <f>'Paste #BBall'!E367</f>
        <v>40</v>
      </c>
      <c r="F367" s="152">
        <f>'Paste #BBall'!F367</f>
        <v>10.5</v>
      </c>
      <c r="G367" s="153" t="str">
        <f>right(Left('Paste #BBall'!G367,Search("/",'Paste #BBall'!G367)-1),len(Left('Paste #BBall'!G367,Search("/",'Paste #BBall'!G367)-1))-search("(",Left('Paste #BBall'!G367,Search("/",'Paste #BBall'!G367)-1)))</f>
        <v>1.6</v>
      </c>
      <c r="H367" s="152">
        <f t="shared" si="1"/>
        <v>0.4324324324</v>
      </c>
      <c r="I367" s="152" t="str">
        <f>right(Left('Paste #BBall'!H367,Search("/",'Paste #BBall'!H367)-1),len(Left('Paste #BBall'!H367,Search("/",'Paste #BBall'!H367)-1))-search("(",Left('Paste #BBall'!H367,Search("/",'Paste #BBall'!H367)-1)))</f>
        <v>0.5</v>
      </c>
      <c r="J367" s="152">
        <f t="shared" si="2"/>
        <v>0.8333333333</v>
      </c>
      <c r="K367" s="152">
        <f>'Paste #BBall'!I367</f>
        <v>0.6</v>
      </c>
      <c r="L367" s="152">
        <f>'Paste #BBall'!J367</f>
        <v>4.3</v>
      </c>
      <c r="M367" s="152">
        <f>'Paste #BBall'!K367</f>
        <v>1</v>
      </c>
      <c r="N367" s="152">
        <f>'Paste #BBall'!L367</f>
        <v>1.6</v>
      </c>
      <c r="O367" s="152">
        <f>'Paste #BBall'!M367</f>
        <v>0.4</v>
      </c>
      <c r="P367" s="152">
        <f>'Paste #BBall'!N367</f>
        <v>0.1</v>
      </c>
      <c r="Q367" s="152">
        <f>'Paste #BBall'!O367</f>
        <v>0.4</v>
      </c>
      <c r="R367" s="153" t="str">
        <f>Left(Right('Paste #BBall'!G367,Len('Paste #BBall'!G367)-Search("/",'Paste #BBall'!G367)),Len(Right('Paste #BBall'!G367,Len('Paste #BBall'!G367)-Search("/",'Paste #BBall'!G367)))-1)</f>
        <v>3.7</v>
      </c>
      <c r="S367" s="153" t="str">
        <f>Left(Right('Paste #BBall'!H367,Len('Paste #BBall'!H367)-Search("/",'Paste #BBall'!H367)),Len(Right('Paste #BBall'!H367,Len('Paste #BBall'!H367)-Search("/",'Paste #BBall'!H367)))-1)</f>
        <v>0.6</v>
      </c>
    </row>
    <row r="368">
      <c r="A368" s="33">
        <v>367.0</v>
      </c>
      <c r="B368" s="149" t="str">
        <f>'Paste #BBall'!B368</f>
        <v>Udoka Azubuike</v>
      </c>
      <c r="C368" s="150" t="str">
        <f>'Paste #BBall'!C368</f>
        <v>C</v>
      </c>
      <c r="D368" s="150" t="str">
        <f>'Paste #BBall'!D368</f>
        <v>PHO</v>
      </c>
      <c r="E368" s="151">
        <f>'Paste #BBall'!E368</f>
        <v>10</v>
      </c>
      <c r="F368" s="152">
        <f>'Paste #BBall'!F368</f>
        <v>8.4</v>
      </c>
      <c r="G368" s="153" t="str">
        <f>right(Left('Paste #BBall'!G368,Search("/",'Paste #BBall'!G368)-1),len(Left('Paste #BBall'!G368,Search("/",'Paste #BBall'!G368)-1))-search("(",Left('Paste #BBall'!G368,Search("/",'Paste #BBall'!G368)-1)))</f>
        <v>1.5</v>
      </c>
      <c r="H368" s="152">
        <f t="shared" si="1"/>
        <v>0.7894736842</v>
      </c>
      <c r="I368" s="152" t="str">
        <f>right(Left('Paste #BBall'!H368,Search("/",'Paste #BBall'!H368)-1),len(Left('Paste #BBall'!H368,Search("/",'Paste #BBall'!H368)-1))-search("(",Left('Paste #BBall'!H368,Search("/",'Paste #BBall'!H368)-1)))</f>
        <v>0.2</v>
      </c>
      <c r="J368" s="152">
        <f t="shared" si="2"/>
        <v>0.4</v>
      </c>
      <c r="K368" s="152">
        <f>'Paste #BBall'!I368</f>
        <v>0</v>
      </c>
      <c r="L368" s="152">
        <f>'Paste #BBall'!J368</f>
        <v>3.1</v>
      </c>
      <c r="M368" s="152">
        <f>'Paste #BBall'!K368</f>
        <v>2.9</v>
      </c>
      <c r="N368" s="152">
        <f>'Paste #BBall'!L368</f>
        <v>0.2</v>
      </c>
      <c r="O368" s="152">
        <f>'Paste #BBall'!M368</f>
        <v>0.1</v>
      </c>
      <c r="P368" s="152">
        <f>'Paste #BBall'!N368</f>
        <v>0.4</v>
      </c>
      <c r="Q368" s="152">
        <f>'Paste #BBall'!O368</f>
        <v>0.5</v>
      </c>
      <c r="R368" s="153" t="str">
        <f>Left(Right('Paste #BBall'!G368,Len('Paste #BBall'!G368)-Search("/",'Paste #BBall'!G368)),Len(Right('Paste #BBall'!G368,Len('Paste #BBall'!G368)-Search("/",'Paste #BBall'!G368)))-1)</f>
        <v>1.9</v>
      </c>
      <c r="S368" s="153" t="str">
        <f>Left(Right('Paste #BBall'!H368,Len('Paste #BBall'!H368)-Search("/",'Paste #BBall'!H368)),Len(Right('Paste #BBall'!H368,Len('Paste #BBall'!H368)-Search("/",'Paste #BBall'!H368)))-1)</f>
        <v>0.5</v>
      </c>
    </row>
    <row r="369">
      <c r="A369" s="33">
        <v>368.0</v>
      </c>
      <c r="B369" s="149" t="str">
        <f>'Paste #BBall'!B369</f>
        <v>Kira Lewis Jr.</v>
      </c>
      <c r="C369" s="150" t="str">
        <f>'Paste #BBall'!C369</f>
        <v>PG</v>
      </c>
      <c r="D369" s="150" t="str">
        <f>'Paste #BBall'!D369</f>
        <v>NO</v>
      </c>
      <c r="E369" s="151">
        <f>'Paste #BBall'!E369</f>
        <v>33</v>
      </c>
      <c r="F369" s="152">
        <f>'Paste #BBall'!F369</f>
        <v>10.5</v>
      </c>
      <c r="G369" s="153" t="str">
        <f>right(Left('Paste #BBall'!G369,Search("/",'Paste #BBall'!G369)-1),len(Left('Paste #BBall'!G369,Search("/",'Paste #BBall'!G369)-1))-search("(",Left('Paste #BBall'!G369,Search("/",'Paste #BBall'!G369)-1)))</f>
        <v>1.8</v>
      </c>
      <c r="H369" s="152">
        <f t="shared" si="1"/>
        <v>0.4186046512</v>
      </c>
      <c r="I369" s="152" t="str">
        <f>right(Left('Paste #BBall'!H369,Search("/",'Paste #BBall'!H369)-1),len(Left('Paste #BBall'!H369,Search("/",'Paste #BBall'!H369)-1))-search("(",Left('Paste #BBall'!H369,Search("/",'Paste #BBall'!H369)-1)))</f>
        <v>0.5</v>
      </c>
      <c r="J369" s="152">
        <f t="shared" si="2"/>
        <v>0.8333333333</v>
      </c>
      <c r="K369" s="152">
        <f>'Paste #BBall'!I369</f>
        <v>0.5</v>
      </c>
      <c r="L369" s="152">
        <f>'Paste #BBall'!J369</f>
        <v>4.7</v>
      </c>
      <c r="M369" s="152">
        <f>'Paste #BBall'!K369</f>
        <v>1.3</v>
      </c>
      <c r="N369" s="152">
        <f>'Paste #BBall'!L369</f>
        <v>1.3</v>
      </c>
      <c r="O369" s="152">
        <f>'Paste #BBall'!M369</f>
        <v>0.4</v>
      </c>
      <c r="P369" s="152">
        <f>'Paste #BBall'!N369</f>
        <v>0.1</v>
      </c>
      <c r="Q369" s="152">
        <f>'Paste #BBall'!O369</f>
        <v>0.7</v>
      </c>
      <c r="R369" s="153" t="str">
        <f>Left(Right('Paste #BBall'!G369,Len('Paste #BBall'!G369)-Search("/",'Paste #BBall'!G369)),Len(Right('Paste #BBall'!G369,Len('Paste #BBall'!G369)-Search("/",'Paste #BBall'!G369)))-1)</f>
        <v>4.3</v>
      </c>
      <c r="S369" s="153" t="str">
        <f>Left(Right('Paste #BBall'!H369,Len('Paste #BBall'!H369)-Search("/",'Paste #BBall'!H369)),Len(Right('Paste #BBall'!H369,Len('Paste #BBall'!H369)-Search("/",'Paste #BBall'!H369)))-1)</f>
        <v>0.6</v>
      </c>
    </row>
    <row r="370">
      <c r="A370" s="33">
        <v>369.0</v>
      </c>
      <c r="B370" s="149" t="str">
        <f>'Paste #BBall'!B370</f>
        <v>Ömer Yurtseven</v>
      </c>
      <c r="C370" s="150" t="str">
        <f>'Paste #BBall'!C370</f>
        <v>C</v>
      </c>
      <c r="D370" s="150" t="str">
        <f>'Paste #BBall'!D370</f>
        <v>UTA</v>
      </c>
      <c r="E370" s="151">
        <f>'Paste #BBall'!E370</f>
        <v>30</v>
      </c>
      <c r="F370" s="152">
        <f>'Paste #BBall'!F370</f>
        <v>8.4</v>
      </c>
      <c r="G370" s="153" t="str">
        <f>right(Left('Paste #BBall'!G370,Search("/",'Paste #BBall'!G370)-1),len(Left('Paste #BBall'!G370,Search("/",'Paste #BBall'!G370)-1))-search("(",Left('Paste #BBall'!G370,Search("/",'Paste #BBall'!G370)-1)))</f>
        <v>1.6</v>
      </c>
      <c r="H370" s="152">
        <f t="shared" si="1"/>
        <v>0.5517241379</v>
      </c>
      <c r="I370" s="152" t="str">
        <f>right(Left('Paste #BBall'!H370,Search("/",'Paste #BBall'!H370)-1),len(Left('Paste #BBall'!H370,Search("/",'Paste #BBall'!H370)-1))-search("(",Left('Paste #BBall'!H370,Search("/",'Paste #BBall'!H370)-1)))</f>
        <v>0.5</v>
      </c>
      <c r="J370" s="152">
        <f t="shared" si="2"/>
        <v>0.7142857143</v>
      </c>
      <c r="K370" s="152">
        <f>'Paste #BBall'!I370</f>
        <v>0</v>
      </c>
      <c r="L370" s="152">
        <f>'Paste #BBall'!J370</f>
        <v>3.6</v>
      </c>
      <c r="M370" s="152">
        <f>'Paste #BBall'!K370</f>
        <v>3.4</v>
      </c>
      <c r="N370" s="152">
        <f>'Paste #BBall'!L370</f>
        <v>0.6</v>
      </c>
      <c r="O370" s="152">
        <f>'Paste #BBall'!M370</f>
        <v>0.2</v>
      </c>
      <c r="P370" s="152">
        <f>'Paste #BBall'!N370</f>
        <v>0.2</v>
      </c>
      <c r="Q370" s="152">
        <f>'Paste #BBall'!O370</f>
        <v>0.5</v>
      </c>
      <c r="R370" s="153" t="str">
        <f>Left(Right('Paste #BBall'!G370,Len('Paste #BBall'!G370)-Search("/",'Paste #BBall'!G370)),Len(Right('Paste #BBall'!G370,Len('Paste #BBall'!G370)-Search("/",'Paste #BBall'!G370)))-1)</f>
        <v>2.9</v>
      </c>
      <c r="S370" s="153" t="str">
        <f>Left(Right('Paste #BBall'!H370,Len('Paste #BBall'!H370)-Search("/",'Paste #BBall'!H370)),Len(Right('Paste #BBall'!H370,Len('Paste #BBall'!H370)-Search("/",'Paste #BBall'!H370)))-1)</f>
        <v>0.7</v>
      </c>
    </row>
    <row r="371">
      <c r="A371" s="33">
        <v>370.0</v>
      </c>
      <c r="B371" s="149" t="str">
        <f>'Paste #BBall'!B371</f>
        <v>Landry Shamet</v>
      </c>
      <c r="C371" s="150" t="str">
        <f>'Paste #BBall'!C371</f>
        <v>PG,SG</v>
      </c>
      <c r="D371" s="150" t="str">
        <f>'Paste #BBall'!D371</f>
        <v>WAS</v>
      </c>
      <c r="E371" s="151">
        <f>'Paste #BBall'!E371</f>
        <v>50</v>
      </c>
      <c r="F371" s="152">
        <f>'Paste #BBall'!F371</f>
        <v>11.4</v>
      </c>
      <c r="G371" s="153" t="str">
        <f>right(Left('Paste #BBall'!G371,Search("/",'Paste #BBall'!G371)-1),len(Left('Paste #BBall'!G371,Search("/",'Paste #BBall'!G371)-1))-search("(",Left('Paste #BBall'!G371,Search("/",'Paste #BBall'!G371)-1)))</f>
        <v>1.6</v>
      </c>
      <c r="H371" s="152">
        <f t="shared" si="1"/>
        <v>0.4</v>
      </c>
      <c r="I371" s="152" t="str">
        <f>right(Left('Paste #BBall'!H371,Search("/",'Paste #BBall'!H371)-1),len(Left('Paste #BBall'!H371,Search("/",'Paste #BBall'!H371)-1))-search("(",Left('Paste #BBall'!H371,Search("/",'Paste #BBall'!H371)-1)))</f>
        <v>0.6</v>
      </c>
      <c r="J371" s="152">
        <f t="shared" si="2"/>
        <v>0.8571428571</v>
      </c>
      <c r="K371" s="152">
        <f>'Paste #BBall'!I371</f>
        <v>1</v>
      </c>
      <c r="L371" s="152">
        <f>'Paste #BBall'!J371</f>
        <v>4.7</v>
      </c>
      <c r="M371" s="152">
        <f>'Paste #BBall'!K371</f>
        <v>1</v>
      </c>
      <c r="N371" s="152">
        <f>'Paste #BBall'!L371</f>
        <v>1</v>
      </c>
      <c r="O371" s="152">
        <f>'Paste #BBall'!M371</f>
        <v>0.3</v>
      </c>
      <c r="P371" s="152">
        <f>'Paste #BBall'!N371</f>
        <v>0.1</v>
      </c>
      <c r="Q371" s="152">
        <f>'Paste #BBall'!O371</f>
        <v>0.4</v>
      </c>
      <c r="R371" s="153" t="str">
        <f>Left(Right('Paste #BBall'!G371,Len('Paste #BBall'!G371)-Search("/",'Paste #BBall'!G371)),Len(Right('Paste #BBall'!G371,Len('Paste #BBall'!G371)-Search("/",'Paste #BBall'!G371)))-1)</f>
        <v>4.0</v>
      </c>
      <c r="S371" s="153" t="str">
        <f>Left(Right('Paste #BBall'!H371,Len('Paste #BBall'!H371)-Search("/",'Paste #BBall'!H371)),Len(Right('Paste #BBall'!H371,Len('Paste #BBall'!H371)-Search("/",'Paste #BBall'!H371)))-1)</f>
        <v>0.7</v>
      </c>
    </row>
    <row r="372">
      <c r="A372" s="33">
        <v>371.0</v>
      </c>
      <c r="B372" s="149" t="str">
        <f>'Paste #BBall'!B372</f>
        <v>Trayce Jackson-Davis</v>
      </c>
      <c r="C372" s="150" t="str">
        <f>'Paste #BBall'!C372</f>
        <v>PF</v>
      </c>
      <c r="D372" s="150" t="str">
        <f>'Paste #BBall'!D372</f>
        <v>GS</v>
      </c>
      <c r="E372" s="151">
        <f>'Paste #BBall'!E372</f>
        <v>58</v>
      </c>
      <c r="F372" s="152">
        <f>'Paste #BBall'!F372</f>
        <v>9.5</v>
      </c>
      <c r="G372" s="153" t="str">
        <f>right(Left('Paste #BBall'!G372,Search("/",'Paste #BBall'!G372)-1),len(Left('Paste #BBall'!G372,Search("/",'Paste #BBall'!G372)-1))-search("(",Left('Paste #BBall'!G372,Search("/",'Paste #BBall'!G372)-1)))</f>
        <v>1.5</v>
      </c>
      <c r="H372" s="152">
        <f t="shared" si="1"/>
        <v>0.5555555556</v>
      </c>
      <c r="I372" s="152" t="str">
        <f>right(Left('Paste #BBall'!H372,Search("/",'Paste #BBall'!H372)-1),len(Left('Paste #BBall'!H372,Search("/",'Paste #BBall'!H372)-1))-search("(",Left('Paste #BBall'!H372,Search("/",'Paste #BBall'!H372)-1)))</f>
        <v>0.8</v>
      </c>
      <c r="J372" s="152">
        <f t="shared" si="2"/>
        <v>0.6666666667</v>
      </c>
      <c r="K372" s="152">
        <f>'Paste #BBall'!I372</f>
        <v>0</v>
      </c>
      <c r="L372" s="152">
        <f>'Paste #BBall'!J372</f>
        <v>3.8</v>
      </c>
      <c r="M372" s="152">
        <f>'Paste #BBall'!K372</f>
        <v>2.2</v>
      </c>
      <c r="N372" s="152">
        <f>'Paste #BBall'!L372</f>
        <v>1.4</v>
      </c>
      <c r="O372" s="152">
        <f>'Paste #BBall'!M372</f>
        <v>0.2</v>
      </c>
      <c r="P372" s="152">
        <f>'Paste #BBall'!N372</f>
        <v>0.2</v>
      </c>
      <c r="Q372" s="152">
        <f>'Paste #BBall'!O372</f>
        <v>0.6</v>
      </c>
      <c r="R372" s="153" t="str">
        <f>Left(Right('Paste #BBall'!G372,Len('Paste #BBall'!G372)-Search("/",'Paste #BBall'!G372)),Len(Right('Paste #BBall'!G372,Len('Paste #BBall'!G372)-Search("/",'Paste #BBall'!G372)))-1)</f>
        <v>2.7</v>
      </c>
      <c r="S372" s="153" t="str">
        <f>Left(Right('Paste #BBall'!H372,Len('Paste #BBall'!H372)-Search("/",'Paste #BBall'!H372)),Len(Right('Paste #BBall'!H372,Len('Paste #BBall'!H372)-Search("/",'Paste #BBall'!H372)))-1)</f>
        <v>1.2</v>
      </c>
    </row>
    <row r="373">
      <c r="A373" s="33">
        <v>372.0</v>
      </c>
      <c r="B373" s="149" t="str">
        <f>'Paste #BBall'!B373</f>
        <v>Frank Ntilikina</v>
      </c>
      <c r="C373" s="150" t="str">
        <f>'Paste #BBall'!C373</f>
        <v>PG</v>
      </c>
      <c r="D373" s="150" t="str">
        <f>'Paste #BBall'!D373</f>
        <v>CHA</v>
      </c>
      <c r="E373" s="151">
        <f>'Paste #BBall'!E373</f>
        <v>32</v>
      </c>
      <c r="F373" s="152">
        <f>'Paste #BBall'!F373</f>
        <v>12.5</v>
      </c>
      <c r="G373" s="153" t="str">
        <f>right(Left('Paste #BBall'!G373,Search("/",'Paste #BBall'!G373)-1),len(Left('Paste #BBall'!G373,Search("/",'Paste #BBall'!G373)-1))-search("(",Left('Paste #BBall'!G373,Search("/",'Paste #BBall'!G373)-1)))</f>
        <v>1.3</v>
      </c>
      <c r="H373" s="152">
        <f t="shared" si="1"/>
        <v>0.3714285714</v>
      </c>
      <c r="I373" s="152" t="str">
        <f>right(Left('Paste #BBall'!H373,Search("/",'Paste #BBall'!H373)-1),len(Left('Paste #BBall'!H373,Search("/",'Paste #BBall'!H373)-1))-search("(",Left('Paste #BBall'!H373,Search("/",'Paste #BBall'!H373)-1)))</f>
        <v>0.5</v>
      </c>
      <c r="J373" s="152">
        <f t="shared" si="2"/>
        <v>0.8333333333</v>
      </c>
      <c r="K373" s="152">
        <f>'Paste #BBall'!I373</f>
        <v>0.5</v>
      </c>
      <c r="L373" s="152">
        <f>'Paste #BBall'!J373</f>
        <v>3.7</v>
      </c>
      <c r="M373" s="152">
        <f>'Paste #BBall'!K373</f>
        <v>1.4</v>
      </c>
      <c r="N373" s="152">
        <f>'Paste #BBall'!L373</f>
        <v>1.2</v>
      </c>
      <c r="O373" s="152">
        <f>'Paste #BBall'!M373</f>
        <v>0.4</v>
      </c>
      <c r="P373" s="152">
        <f>'Paste #BBall'!N373</f>
        <v>0.1</v>
      </c>
      <c r="Q373" s="152">
        <f>'Paste #BBall'!O373</f>
        <v>0.6</v>
      </c>
      <c r="R373" s="153" t="str">
        <f>Left(Right('Paste #BBall'!G373,Len('Paste #BBall'!G373)-Search("/",'Paste #BBall'!G373)),Len(Right('Paste #BBall'!G373,Len('Paste #BBall'!G373)-Search("/",'Paste #BBall'!G373)))-1)</f>
        <v>3.5</v>
      </c>
      <c r="S373" s="153" t="str">
        <f>Left(Right('Paste #BBall'!H373,Len('Paste #BBall'!H373)-Search("/",'Paste #BBall'!H373)),Len(Right('Paste #BBall'!H373,Len('Paste #BBall'!H373)-Search("/",'Paste #BBall'!H373)))-1)</f>
        <v>0.6</v>
      </c>
    </row>
    <row r="374">
      <c r="A374" s="33">
        <v>373.0</v>
      </c>
      <c r="B374" s="149" t="str">
        <f>'Paste #BBall'!B374</f>
        <v>Kessler Edwards</v>
      </c>
      <c r="C374" s="150" t="str">
        <f>'Paste #BBall'!C374</f>
        <v>SG,SF</v>
      </c>
      <c r="D374" s="150" t="str">
        <f>'Paste #BBall'!D374</f>
        <v>SAC</v>
      </c>
      <c r="E374" s="151">
        <f>'Paste #BBall'!E374</f>
        <v>40</v>
      </c>
      <c r="F374" s="152">
        <f>'Paste #BBall'!F374</f>
        <v>11</v>
      </c>
      <c r="G374" s="153" t="str">
        <f>right(Left('Paste #BBall'!G374,Search("/",'Paste #BBall'!G374)-1),len(Left('Paste #BBall'!G374,Search("/",'Paste #BBall'!G374)-1))-search("(",Left('Paste #BBall'!G374,Search("/",'Paste #BBall'!G374)-1)))</f>
        <v>1.2</v>
      </c>
      <c r="H374" s="152">
        <f t="shared" si="1"/>
        <v>0.4137931034</v>
      </c>
      <c r="I374" s="152" t="str">
        <f>right(Left('Paste #BBall'!H374,Search("/",'Paste #BBall'!H374)-1),len(Left('Paste #BBall'!H374,Search("/",'Paste #BBall'!H374)-1))-search("(",Left('Paste #BBall'!H374,Search("/",'Paste #BBall'!H374)-1)))</f>
        <v>0.2</v>
      </c>
      <c r="J374" s="152">
        <f t="shared" si="2"/>
        <v>0.6666666667</v>
      </c>
      <c r="K374" s="152">
        <f>'Paste #BBall'!I374</f>
        <v>0.5</v>
      </c>
      <c r="L374" s="152">
        <f>'Paste #BBall'!J374</f>
        <v>3.1</v>
      </c>
      <c r="M374" s="152">
        <f>'Paste #BBall'!K374</f>
        <v>1.9</v>
      </c>
      <c r="N374" s="152">
        <f>'Paste #BBall'!L374</f>
        <v>0.4</v>
      </c>
      <c r="O374" s="152">
        <f>'Paste #BBall'!M374</f>
        <v>0.4</v>
      </c>
      <c r="P374" s="152">
        <f>'Paste #BBall'!N374</f>
        <v>0.2</v>
      </c>
      <c r="Q374" s="152">
        <f>'Paste #BBall'!O374</f>
        <v>0.5</v>
      </c>
      <c r="R374" s="153" t="str">
        <f>Left(Right('Paste #BBall'!G374,Len('Paste #BBall'!G374)-Search("/",'Paste #BBall'!G374)),Len(Right('Paste #BBall'!G374,Len('Paste #BBall'!G374)-Search("/",'Paste #BBall'!G374)))-1)</f>
        <v>2.9</v>
      </c>
      <c r="S374" s="153" t="str">
        <f>Left(Right('Paste #BBall'!H374,Len('Paste #BBall'!H374)-Search("/",'Paste #BBall'!H374)),Len(Right('Paste #BBall'!H374,Len('Paste #BBall'!H374)-Search("/",'Paste #BBall'!H374)))-1)</f>
        <v>0.3</v>
      </c>
    </row>
    <row r="375">
      <c r="A375" s="33">
        <v>374.0</v>
      </c>
      <c r="B375" s="149" t="str">
        <f>'Paste #BBall'!B375</f>
        <v>Noah Clowney</v>
      </c>
      <c r="C375" s="150" t="str">
        <f>'Paste #BBall'!C375</f>
        <v>PF</v>
      </c>
      <c r="D375" s="150" t="str">
        <f>'Paste #BBall'!D375</f>
        <v>BKN</v>
      </c>
      <c r="E375" s="151">
        <f>'Paste #BBall'!E375</f>
        <v>33</v>
      </c>
      <c r="F375" s="152">
        <f>'Paste #BBall'!F375</f>
        <v>10.5</v>
      </c>
      <c r="G375" s="153" t="str">
        <f>right(Left('Paste #BBall'!G375,Search("/",'Paste #BBall'!G375)-1),len(Left('Paste #BBall'!G375,Search("/",'Paste #BBall'!G375)-1))-search("(",Left('Paste #BBall'!G375,Search("/",'Paste #BBall'!G375)-1)))</f>
        <v>1.6</v>
      </c>
      <c r="H375" s="152">
        <f t="shared" si="1"/>
        <v>0.5</v>
      </c>
      <c r="I375" s="152" t="str">
        <f>right(Left('Paste #BBall'!H375,Search("/",'Paste #BBall'!H375)-1),len(Left('Paste #BBall'!H375,Search("/",'Paste #BBall'!H375)-1))-search("(",Left('Paste #BBall'!H375,Search("/",'Paste #BBall'!H375)-1)))</f>
        <v>0.7</v>
      </c>
      <c r="J375" s="152">
        <f t="shared" si="2"/>
        <v>0.7</v>
      </c>
      <c r="K375" s="152">
        <f>'Paste #BBall'!I375</f>
        <v>0.4</v>
      </c>
      <c r="L375" s="152">
        <f>'Paste #BBall'!J375</f>
        <v>4.2</v>
      </c>
      <c r="M375" s="152">
        <f>'Paste #BBall'!K375</f>
        <v>2.5</v>
      </c>
      <c r="N375" s="152">
        <f>'Paste #BBall'!L375</f>
        <v>0.7</v>
      </c>
      <c r="O375" s="152">
        <f>'Paste #BBall'!M375</f>
        <v>0.2</v>
      </c>
      <c r="P375" s="152">
        <f>'Paste #BBall'!N375</f>
        <v>0.2</v>
      </c>
      <c r="Q375" s="152">
        <f>'Paste #BBall'!O375</f>
        <v>0.5</v>
      </c>
      <c r="R375" s="153" t="str">
        <f>Left(Right('Paste #BBall'!G375,Len('Paste #BBall'!G375)-Search("/",'Paste #BBall'!G375)),Len(Right('Paste #BBall'!G375,Len('Paste #BBall'!G375)-Search("/",'Paste #BBall'!G375)))-1)</f>
        <v>3.2</v>
      </c>
      <c r="S375" s="153" t="str">
        <f>Left(Right('Paste #BBall'!H375,Len('Paste #BBall'!H375)-Search("/",'Paste #BBall'!H375)),Len(Right('Paste #BBall'!H375,Len('Paste #BBall'!H375)-Search("/",'Paste #BBall'!H375)))-1)</f>
        <v>1.0</v>
      </c>
    </row>
    <row r="376">
      <c r="A376" s="33">
        <v>375.0</v>
      </c>
      <c r="B376" s="149" t="str">
        <f>'Paste #BBall'!B376</f>
        <v>Brice Sensabaugh</v>
      </c>
      <c r="C376" s="150" t="str">
        <f>'Paste #BBall'!C376</f>
        <v>SF</v>
      </c>
      <c r="D376" s="150" t="str">
        <f>'Paste #BBall'!D376</f>
        <v>UTA</v>
      </c>
      <c r="E376" s="151">
        <f>'Paste #BBall'!E376</f>
        <v>40</v>
      </c>
      <c r="F376" s="152">
        <f>'Paste #BBall'!F376</f>
        <v>10.4</v>
      </c>
      <c r="G376" s="153" t="str">
        <f>right(Left('Paste #BBall'!G376,Search("/",'Paste #BBall'!G376)-1),len(Left('Paste #BBall'!G376,Search("/",'Paste #BBall'!G376)-1))-search("(",Left('Paste #BBall'!G376,Search("/",'Paste #BBall'!G376)-1)))</f>
        <v>1.7</v>
      </c>
      <c r="H376" s="152">
        <f t="shared" si="1"/>
        <v>0.4473684211</v>
      </c>
      <c r="I376" s="152" t="str">
        <f>right(Left('Paste #BBall'!H376,Search("/",'Paste #BBall'!H376)-1),len(Left('Paste #BBall'!H376,Search("/",'Paste #BBall'!H376)-1))-search("(",Left('Paste #BBall'!H376,Search("/",'Paste #BBall'!H376)-1)))</f>
        <v>0.4</v>
      </c>
      <c r="J376" s="152">
        <f t="shared" si="2"/>
        <v>0.6666666667</v>
      </c>
      <c r="K376" s="152">
        <f>'Paste #BBall'!I376</f>
        <v>0.8</v>
      </c>
      <c r="L376" s="152">
        <f>'Paste #BBall'!J376</f>
        <v>4.6</v>
      </c>
      <c r="M376" s="152">
        <f>'Paste #BBall'!K376</f>
        <v>1.7</v>
      </c>
      <c r="N376" s="152">
        <f>'Paste #BBall'!L376</f>
        <v>0.4</v>
      </c>
      <c r="O376" s="152">
        <f>'Paste #BBall'!M376</f>
        <v>0.2</v>
      </c>
      <c r="P376" s="152">
        <f>'Paste #BBall'!N376</f>
        <v>0.1</v>
      </c>
      <c r="Q376" s="152">
        <f>'Paste #BBall'!O376</f>
        <v>0.3</v>
      </c>
      <c r="R376" s="153" t="str">
        <f>Left(Right('Paste #BBall'!G376,Len('Paste #BBall'!G376)-Search("/",'Paste #BBall'!G376)),Len(Right('Paste #BBall'!G376,Len('Paste #BBall'!G376)-Search("/",'Paste #BBall'!G376)))-1)</f>
        <v>3.8</v>
      </c>
      <c r="S376" s="153" t="str">
        <f>Left(Right('Paste #BBall'!H376,Len('Paste #BBall'!H376)-Search("/",'Paste #BBall'!H376)),Len(Right('Paste #BBall'!H376,Len('Paste #BBall'!H376)-Search("/",'Paste #BBall'!H376)))-1)</f>
        <v>0.6</v>
      </c>
    </row>
    <row r="377">
      <c r="A377" s="33">
        <v>376.0</v>
      </c>
      <c r="B377" s="149" t="str">
        <f>'Paste #BBall'!B377</f>
        <v>Neemias Queta</v>
      </c>
      <c r="C377" s="150" t="str">
        <f>'Paste #BBall'!C377</f>
        <v>C</v>
      </c>
      <c r="D377" s="150" t="str">
        <f>'Paste #BBall'!D377</f>
        <v>SAC</v>
      </c>
      <c r="E377" s="151">
        <f>'Paste #BBall'!E377</f>
        <v>40</v>
      </c>
      <c r="F377" s="152">
        <f>'Paste #BBall'!F377</f>
        <v>10.4</v>
      </c>
      <c r="G377" s="153" t="str">
        <f>right(Left('Paste #BBall'!G377,Search("/",'Paste #BBall'!G377)-1),len(Left('Paste #BBall'!G377,Search("/",'Paste #BBall'!G377)-1))-search("(",Left('Paste #BBall'!G377,Search("/",'Paste #BBall'!G377)-1)))</f>
        <v>1.6</v>
      </c>
      <c r="H377" s="152">
        <f t="shared" si="1"/>
        <v>0.4848484848</v>
      </c>
      <c r="I377" s="152" t="str">
        <f>right(Left('Paste #BBall'!H377,Search("/",'Paste #BBall'!H377)-1),len(Left('Paste #BBall'!H377,Search("/",'Paste #BBall'!H377)-1))-search("(",Left('Paste #BBall'!H377,Search("/",'Paste #BBall'!H377)-1)))</f>
        <v>0.8</v>
      </c>
      <c r="J377" s="152">
        <f t="shared" si="2"/>
        <v>0.6153846154</v>
      </c>
      <c r="K377" s="152">
        <f>'Paste #BBall'!I377</f>
        <v>0</v>
      </c>
      <c r="L377" s="152">
        <f>'Paste #BBall'!J377</f>
        <v>4</v>
      </c>
      <c r="M377" s="152">
        <f>'Paste #BBall'!K377</f>
        <v>2.9</v>
      </c>
      <c r="N377" s="152">
        <f>'Paste #BBall'!L377</f>
        <v>0.5</v>
      </c>
      <c r="O377" s="152">
        <f>'Paste #BBall'!M377</f>
        <v>0.1</v>
      </c>
      <c r="P377" s="152">
        <f>'Paste #BBall'!N377</f>
        <v>0.7</v>
      </c>
      <c r="Q377" s="152">
        <f>'Paste #BBall'!O377</f>
        <v>0.5</v>
      </c>
      <c r="R377" s="153" t="str">
        <f>Left(Right('Paste #BBall'!G377,Len('Paste #BBall'!G377)-Search("/",'Paste #BBall'!G377)),Len(Right('Paste #BBall'!G377,Len('Paste #BBall'!G377)-Search("/",'Paste #BBall'!G377)))-1)</f>
        <v>3.3</v>
      </c>
      <c r="S377" s="153" t="str">
        <f>Left(Right('Paste #BBall'!H377,Len('Paste #BBall'!H377)-Search("/",'Paste #BBall'!H377)),Len(Right('Paste #BBall'!H377,Len('Paste #BBall'!H377)-Search("/",'Paste #BBall'!H377)))-1)</f>
        <v>1.3</v>
      </c>
    </row>
    <row r="378">
      <c r="A378" s="33">
        <v>377.0</v>
      </c>
      <c r="B378" s="149" t="str">
        <f>'Paste #BBall'!B378</f>
        <v>Patrick Baldwin Jr.</v>
      </c>
      <c r="C378" s="150" t="str">
        <f>'Paste #BBall'!C378</f>
        <v>SF,PF</v>
      </c>
      <c r="D378" s="150" t="str">
        <f>'Paste #BBall'!D378</f>
        <v>WAS</v>
      </c>
      <c r="E378" s="151">
        <f>'Paste #BBall'!E378</f>
        <v>40</v>
      </c>
      <c r="F378" s="152">
        <f>'Paste #BBall'!F378</f>
        <v>8.4</v>
      </c>
      <c r="G378" s="153" t="str">
        <f>right(Left('Paste #BBall'!G378,Search("/",'Paste #BBall'!G378)-1),len(Left('Paste #BBall'!G378,Search("/",'Paste #BBall'!G378)-1))-search("(",Left('Paste #BBall'!G378,Search("/",'Paste #BBall'!G378)-1)))</f>
        <v>1.6</v>
      </c>
      <c r="H378" s="152">
        <f t="shared" si="1"/>
        <v>0.3902439024</v>
      </c>
      <c r="I378" s="152" t="str">
        <f>right(Left('Paste #BBall'!H378,Search("/",'Paste #BBall'!H378)-1),len(Left('Paste #BBall'!H378,Search("/",'Paste #BBall'!H378)-1))-search("(",Left('Paste #BBall'!H378,Search("/",'Paste #BBall'!H378)-1)))</f>
        <v>0.2</v>
      </c>
      <c r="J378" s="152">
        <f t="shared" si="2"/>
        <v>1</v>
      </c>
      <c r="K378" s="152">
        <f>'Paste #BBall'!I378</f>
        <v>1.2</v>
      </c>
      <c r="L378" s="152">
        <f>'Paste #BBall'!J378</f>
        <v>4.6</v>
      </c>
      <c r="M378" s="152">
        <f>'Paste #BBall'!K378</f>
        <v>1.5</v>
      </c>
      <c r="N378" s="152">
        <f>'Paste #BBall'!L378</f>
        <v>0.4</v>
      </c>
      <c r="O378" s="152">
        <f>'Paste #BBall'!M378</f>
        <v>0.2</v>
      </c>
      <c r="P378" s="152">
        <f>'Paste #BBall'!N378</f>
        <v>0.2</v>
      </c>
      <c r="Q378" s="152">
        <f>'Paste #BBall'!O378</f>
        <v>0.4</v>
      </c>
      <c r="R378" s="153" t="str">
        <f>Left(Right('Paste #BBall'!G378,Len('Paste #BBall'!G378)-Search("/",'Paste #BBall'!G378)),Len(Right('Paste #BBall'!G378,Len('Paste #BBall'!G378)-Search("/",'Paste #BBall'!G378)))-1)</f>
        <v>4.1</v>
      </c>
      <c r="S378" s="153" t="str">
        <f>Left(Right('Paste #BBall'!H378,Len('Paste #BBall'!H378)-Search("/",'Paste #BBall'!H378)),Len(Right('Paste #BBall'!H378,Len('Paste #BBall'!H378)-Search("/",'Paste #BBall'!H378)))-1)</f>
        <v>0.2</v>
      </c>
    </row>
    <row r="379">
      <c r="A379" s="33">
        <v>378.0</v>
      </c>
      <c r="B379" s="149" t="str">
        <f>'Paste #BBall'!B379</f>
        <v>Malachi Flynn</v>
      </c>
      <c r="C379" s="150" t="str">
        <f>'Paste #BBall'!C379</f>
        <v>PG</v>
      </c>
      <c r="D379" s="150" t="str">
        <f>'Paste #BBall'!D379</f>
        <v>TOR</v>
      </c>
      <c r="E379" s="151">
        <f>'Paste #BBall'!E379</f>
        <v>60</v>
      </c>
      <c r="F379" s="152">
        <f>'Paste #BBall'!F379</f>
        <v>12.1</v>
      </c>
      <c r="G379" s="153" t="str">
        <f>right(Left('Paste #BBall'!G379,Search("/",'Paste #BBall'!G379)-1),len(Left('Paste #BBall'!G379,Search("/",'Paste #BBall'!G379)-1))-search("(",Left('Paste #BBall'!G379,Search("/",'Paste #BBall'!G379)-1)))</f>
        <v>1.6</v>
      </c>
      <c r="H379" s="152">
        <f t="shared" si="1"/>
        <v>0.380952381</v>
      </c>
      <c r="I379" s="152" t="str">
        <f>right(Left('Paste #BBall'!H379,Search("/",'Paste #BBall'!H379)-1),len(Left('Paste #BBall'!H379,Search("/",'Paste #BBall'!H379)-1))-search("(",Left('Paste #BBall'!H379,Search("/",'Paste #BBall'!H379)-1)))</f>
        <v>0.4</v>
      </c>
      <c r="J379" s="152">
        <f t="shared" si="2"/>
        <v>0.6666666667</v>
      </c>
      <c r="K379" s="152">
        <f>'Paste #BBall'!I379</f>
        <v>0.8</v>
      </c>
      <c r="L379" s="152">
        <f>'Paste #BBall'!J379</f>
        <v>4.3</v>
      </c>
      <c r="M379" s="152">
        <f>'Paste #BBall'!K379</f>
        <v>1.4</v>
      </c>
      <c r="N379" s="152">
        <f>'Paste #BBall'!L379</f>
        <v>1.4</v>
      </c>
      <c r="O379" s="152">
        <f>'Paste #BBall'!M379</f>
        <v>0.4</v>
      </c>
      <c r="P379" s="152">
        <f>'Paste #BBall'!N379</f>
        <v>0.1</v>
      </c>
      <c r="Q379" s="152">
        <f>'Paste #BBall'!O379</f>
        <v>0.4</v>
      </c>
      <c r="R379" s="153" t="str">
        <f>Left(Right('Paste #BBall'!G379,Len('Paste #BBall'!G379)-Search("/",'Paste #BBall'!G379)),Len(Right('Paste #BBall'!G379,Len('Paste #BBall'!G379)-Search("/",'Paste #BBall'!G379)))-1)</f>
        <v>4.2</v>
      </c>
      <c r="S379" s="153" t="str">
        <f>Left(Right('Paste #BBall'!H379,Len('Paste #BBall'!H379)-Search("/",'Paste #BBall'!H379)),Len(Right('Paste #BBall'!H379,Len('Paste #BBall'!H379)-Search("/",'Paste #BBall'!H379)))-1)</f>
        <v>0.6</v>
      </c>
    </row>
    <row r="380">
      <c r="A380" s="33">
        <v>379.0</v>
      </c>
      <c r="B380" s="149" t="str">
        <f>'Paste #BBall'!B380</f>
        <v>Emoni Bates</v>
      </c>
      <c r="C380" s="150" t="str">
        <f>'Paste #BBall'!C380</f>
        <v>SF</v>
      </c>
      <c r="D380" s="150" t="str">
        <f>'Paste #BBall'!D380</f>
        <v>CLE</v>
      </c>
      <c r="E380" s="151">
        <f>'Paste #BBall'!E380</f>
        <v>22</v>
      </c>
      <c r="F380" s="152">
        <f>'Paste #BBall'!F380</f>
        <v>12.1</v>
      </c>
      <c r="G380" s="153" t="str">
        <f>right(Left('Paste #BBall'!G380,Search("/",'Paste #BBall'!G380)-1),len(Left('Paste #BBall'!G380,Search("/",'Paste #BBall'!G380)-1))-search("(",Left('Paste #BBall'!G380,Search("/",'Paste #BBall'!G380)-1)))</f>
        <v>1.8</v>
      </c>
      <c r="H380" s="152">
        <f t="shared" si="1"/>
        <v>0.4</v>
      </c>
      <c r="I380" s="152" t="str">
        <f>right(Left('Paste #BBall'!H380,Search("/",'Paste #BBall'!H380)-1),len(Left('Paste #BBall'!H380,Search("/",'Paste #BBall'!H380)-1))-search("(",Left('Paste #BBall'!H380,Search("/",'Paste #BBall'!H380)-1)))</f>
        <v>0.5</v>
      </c>
      <c r="J380" s="152">
        <f t="shared" si="2"/>
        <v>0.8333333333</v>
      </c>
      <c r="K380" s="152">
        <f>'Paste #BBall'!I380</f>
        <v>0.9</v>
      </c>
      <c r="L380" s="152">
        <f>'Paste #BBall'!J380</f>
        <v>5</v>
      </c>
      <c r="M380" s="152">
        <f>'Paste #BBall'!K380</f>
        <v>2</v>
      </c>
      <c r="N380" s="152">
        <f>'Paste #BBall'!L380</f>
        <v>0.4</v>
      </c>
      <c r="O380" s="152">
        <f>'Paste #BBall'!M380</f>
        <v>0.2</v>
      </c>
      <c r="P380" s="152">
        <f>'Paste #BBall'!N380</f>
        <v>0.2</v>
      </c>
      <c r="Q380" s="152">
        <f>'Paste #BBall'!O380</f>
        <v>0.4</v>
      </c>
      <c r="R380" s="153" t="str">
        <f>Left(Right('Paste #BBall'!G380,Len('Paste #BBall'!G380)-Search("/",'Paste #BBall'!G380)),Len(Right('Paste #BBall'!G380,Len('Paste #BBall'!G380)-Search("/",'Paste #BBall'!G380)))-1)</f>
        <v>4.5</v>
      </c>
      <c r="S380" s="153" t="str">
        <f>Left(Right('Paste #BBall'!H380,Len('Paste #BBall'!H380)-Search("/",'Paste #BBall'!H380)),Len(Right('Paste #BBall'!H380,Len('Paste #BBall'!H380)-Search("/",'Paste #BBall'!H380)))-1)</f>
        <v>0.6</v>
      </c>
    </row>
    <row r="381">
      <c r="A381" s="33">
        <v>380.0</v>
      </c>
      <c r="B381" s="149" t="str">
        <f>'Paste #BBall'!B381</f>
        <v>Jabari Walker</v>
      </c>
      <c r="C381" s="150" t="str">
        <f>'Paste #BBall'!C381</f>
        <v>SF,PF</v>
      </c>
      <c r="D381" s="150" t="str">
        <f>'Paste #BBall'!D381</f>
        <v>POR</v>
      </c>
      <c r="E381" s="151">
        <f>'Paste #BBall'!E381</f>
        <v>68</v>
      </c>
      <c r="F381" s="152">
        <f>'Paste #BBall'!F381</f>
        <v>11.4</v>
      </c>
      <c r="G381" s="153" t="str">
        <f>right(Left('Paste #BBall'!G381,Search("/",'Paste #BBall'!G381)-1),len(Left('Paste #BBall'!G381,Search("/",'Paste #BBall'!G381)-1))-search("(",Left('Paste #BBall'!G381,Search("/",'Paste #BBall'!G381)-1)))</f>
        <v>1.7</v>
      </c>
      <c r="H381" s="152">
        <f t="shared" si="1"/>
        <v>0.4594594595</v>
      </c>
      <c r="I381" s="152" t="str">
        <f>right(Left('Paste #BBall'!H381,Search("/",'Paste #BBall'!H381)-1),len(Left('Paste #BBall'!H381,Search("/",'Paste #BBall'!H381)-1))-search("(",Left('Paste #BBall'!H381,Search("/",'Paste #BBall'!H381)-1)))</f>
        <v>0.6</v>
      </c>
      <c r="J381" s="152">
        <f t="shared" si="2"/>
        <v>0.75</v>
      </c>
      <c r="K381" s="152">
        <f>'Paste #BBall'!I381</f>
        <v>0.3</v>
      </c>
      <c r="L381" s="152">
        <f>'Paste #BBall'!J381</f>
        <v>4.2</v>
      </c>
      <c r="M381" s="152">
        <f>'Paste #BBall'!K381</f>
        <v>2.4</v>
      </c>
      <c r="N381" s="152">
        <f>'Paste #BBall'!L381</f>
        <v>0.6</v>
      </c>
      <c r="O381" s="152">
        <f>'Paste #BBall'!M381</f>
        <v>0.2</v>
      </c>
      <c r="P381" s="152">
        <f>'Paste #BBall'!N381</f>
        <v>0.2</v>
      </c>
      <c r="Q381" s="152">
        <f>'Paste #BBall'!O381</f>
        <v>0.5</v>
      </c>
      <c r="R381" s="153" t="str">
        <f>Left(Right('Paste #BBall'!G381,Len('Paste #BBall'!G381)-Search("/",'Paste #BBall'!G381)),Len(Right('Paste #BBall'!G381,Len('Paste #BBall'!G381)-Search("/",'Paste #BBall'!G381)))-1)</f>
        <v>3.7</v>
      </c>
      <c r="S381" s="153" t="str">
        <f>Left(Right('Paste #BBall'!H381,Len('Paste #BBall'!H381)-Search("/",'Paste #BBall'!H381)),Len(Right('Paste #BBall'!H381,Len('Paste #BBall'!H381)-Search("/",'Paste #BBall'!H381)))-1)</f>
        <v>0.8</v>
      </c>
    </row>
    <row r="382">
      <c r="A382" s="33">
        <v>381.0</v>
      </c>
      <c r="B382" s="149" t="str">
        <f>'Paste #BBall'!B382</f>
        <v>Bryce McGowens</v>
      </c>
      <c r="C382" s="150" t="str">
        <f>'Paste #BBall'!C382</f>
        <v>SG,SF</v>
      </c>
      <c r="D382" s="150" t="str">
        <f>'Paste #BBall'!D382</f>
        <v>CHA</v>
      </c>
      <c r="E382" s="151">
        <f>'Paste #BBall'!E382</f>
        <v>64</v>
      </c>
      <c r="F382" s="152">
        <f>'Paste #BBall'!F382</f>
        <v>17.1</v>
      </c>
      <c r="G382" s="153" t="str">
        <f>right(Left('Paste #BBall'!G382,Search("/",'Paste #BBall'!G382)-1),len(Left('Paste #BBall'!G382,Search("/",'Paste #BBall'!G382)-1))-search("(",Left('Paste #BBall'!G382,Search("/",'Paste #BBall'!G382)-1)))</f>
        <v>1.8</v>
      </c>
      <c r="H382" s="152">
        <f t="shared" si="1"/>
        <v>0.4090909091</v>
      </c>
      <c r="I382" s="152" t="str">
        <f>right(Left('Paste #BBall'!H382,Search("/",'Paste #BBall'!H382)-1),len(Left('Paste #BBall'!H382,Search("/",'Paste #BBall'!H382)-1))-search("(",Left('Paste #BBall'!H382,Search("/",'Paste #BBall'!H382)-1)))</f>
        <v>1.3</v>
      </c>
      <c r="J382" s="152">
        <f t="shared" si="2"/>
        <v>0.7222222222</v>
      </c>
      <c r="K382" s="152">
        <f>'Paste #BBall'!I382</f>
        <v>0.6</v>
      </c>
      <c r="L382" s="152">
        <f>'Paste #BBall'!J382</f>
        <v>5.4</v>
      </c>
      <c r="M382" s="152">
        <f>'Paste #BBall'!K382</f>
        <v>2</v>
      </c>
      <c r="N382" s="152">
        <f>'Paste #BBall'!L382</f>
        <v>1.2</v>
      </c>
      <c r="O382" s="152">
        <f>'Paste #BBall'!M382</f>
        <v>0.3</v>
      </c>
      <c r="P382" s="152">
        <f>'Paste #BBall'!N382</f>
        <v>0.1</v>
      </c>
      <c r="Q382" s="152">
        <f>'Paste #BBall'!O382</f>
        <v>0.9</v>
      </c>
      <c r="R382" s="153" t="str">
        <f>Left(Right('Paste #BBall'!G382,Len('Paste #BBall'!G382)-Search("/",'Paste #BBall'!G382)),Len(Right('Paste #BBall'!G382,Len('Paste #BBall'!G382)-Search("/",'Paste #BBall'!G382)))-1)</f>
        <v>4.4</v>
      </c>
      <c r="S382" s="153" t="str">
        <f>Left(Right('Paste #BBall'!H382,Len('Paste #BBall'!H382)-Search("/",'Paste #BBall'!H382)),Len(Right('Paste #BBall'!H382,Len('Paste #BBall'!H382)-Search("/",'Paste #BBall'!H382)))-1)</f>
        <v>1.8</v>
      </c>
    </row>
    <row r="383">
      <c r="A383" s="33">
        <v>382.0</v>
      </c>
      <c r="B383" s="149" t="str">
        <f>'Paste #BBall'!B383</f>
        <v>Robin Lopez</v>
      </c>
      <c r="C383" s="150" t="str">
        <f>'Paste #BBall'!C383</f>
        <v>C</v>
      </c>
      <c r="D383" s="150" t="str">
        <f>'Paste #BBall'!D383</f>
        <v>MIL</v>
      </c>
      <c r="E383" s="151">
        <f>'Paste #BBall'!E383</f>
        <v>68</v>
      </c>
      <c r="F383" s="152">
        <f>'Paste #BBall'!F383</f>
        <v>11.1</v>
      </c>
      <c r="G383" s="153" t="str">
        <f>right(Left('Paste #BBall'!G383,Search("/",'Paste #BBall'!G383)-1),len(Left('Paste #BBall'!G383,Search("/",'Paste #BBall'!G383)-1))-search("(",Left('Paste #BBall'!G383,Search("/",'Paste #BBall'!G383)-1)))</f>
        <v>2.0</v>
      </c>
      <c r="H383" s="152">
        <f t="shared" si="1"/>
        <v>0.5882352941</v>
      </c>
      <c r="I383" s="152" t="str">
        <f>right(Left('Paste #BBall'!H383,Search("/",'Paste #BBall'!H383)-1),len(Left('Paste #BBall'!H383,Search("/",'Paste #BBall'!H383)-1))-search("(",Left('Paste #BBall'!H383,Search("/",'Paste #BBall'!H383)-1)))</f>
        <v>0.6</v>
      </c>
      <c r="J383" s="152">
        <f t="shared" si="2"/>
        <v>0.6666666667</v>
      </c>
      <c r="K383" s="152">
        <f>'Paste #BBall'!I383</f>
        <v>0.1</v>
      </c>
      <c r="L383" s="152">
        <f>'Paste #BBall'!J383</f>
        <v>4.5</v>
      </c>
      <c r="M383" s="152">
        <f>'Paste #BBall'!K383</f>
        <v>2.2</v>
      </c>
      <c r="N383" s="152">
        <f>'Paste #BBall'!L383</f>
        <v>0.9</v>
      </c>
      <c r="O383" s="152">
        <f>'Paste #BBall'!M383</f>
        <v>0.1</v>
      </c>
      <c r="P383" s="152">
        <f>'Paste #BBall'!N383</f>
        <v>0.3</v>
      </c>
      <c r="Q383" s="152">
        <f>'Paste #BBall'!O383</f>
        <v>0.9</v>
      </c>
      <c r="R383" s="153" t="str">
        <f>Left(Right('Paste #BBall'!G383,Len('Paste #BBall'!G383)-Search("/",'Paste #BBall'!G383)),Len(Right('Paste #BBall'!G383,Len('Paste #BBall'!G383)-Search("/",'Paste #BBall'!G383)))-1)</f>
        <v>3.4</v>
      </c>
      <c r="S383" s="153" t="str">
        <f>Left(Right('Paste #BBall'!H383,Len('Paste #BBall'!H383)-Search("/",'Paste #BBall'!H383)),Len(Right('Paste #BBall'!H383,Len('Paste #BBall'!H383)-Search("/",'Paste #BBall'!H383)))-1)</f>
        <v>0.9</v>
      </c>
    </row>
    <row r="384">
      <c r="A384" s="33">
        <v>383.0</v>
      </c>
      <c r="B384" s="149" t="str">
        <f>'Paste #BBall'!B384</f>
        <v>Jeff Green</v>
      </c>
      <c r="C384" s="150" t="str">
        <f>'Paste #BBall'!C384</f>
        <v>PF,C</v>
      </c>
      <c r="D384" s="150" t="str">
        <f>'Paste #BBall'!D384</f>
        <v>HOU</v>
      </c>
      <c r="E384" s="151">
        <f>'Paste #BBall'!E384</f>
        <v>40</v>
      </c>
      <c r="F384" s="152">
        <f>'Paste #BBall'!F384</f>
        <v>10.5</v>
      </c>
      <c r="G384" s="153" t="str">
        <f>right(Left('Paste #BBall'!G384,Search("/",'Paste #BBall'!G384)-1),len(Left('Paste #BBall'!G384,Search("/",'Paste #BBall'!G384)-1))-search("(",Left('Paste #BBall'!G384,Search("/",'Paste #BBall'!G384)-1)))</f>
        <v>1.6</v>
      </c>
      <c r="H384" s="152">
        <f t="shared" si="1"/>
        <v>0.5161290323</v>
      </c>
      <c r="I384" s="152" t="str">
        <f>right(Left('Paste #BBall'!H384,Search("/",'Paste #BBall'!H384)-1),len(Left('Paste #BBall'!H384,Search("/",'Paste #BBall'!H384)-1))-search("(",Left('Paste #BBall'!H384,Search("/",'Paste #BBall'!H384)-1)))</f>
        <v>0.9</v>
      </c>
      <c r="J384" s="152">
        <f t="shared" si="2"/>
        <v>0.8181818182</v>
      </c>
      <c r="K384" s="152">
        <f>'Paste #BBall'!I384</f>
        <v>0.3</v>
      </c>
      <c r="L384" s="152">
        <f>'Paste #BBall'!J384</f>
        <v>4.4</v>
      </c>
      <c r="M384" s="152">
        <f>'Paste #BBall'!K384</f>
        <v>1.4</v>
      </c>
      <c r="N384" s="152">
        <f>'Paste #BBall'!L384</f>
        <v>0.6</v>
      </c>
      <c r="O384" s="152">
        <f>'Paste #BBall'!M384</f>
        <v>0.2</v>
      </c>
      <c r="P384" s="152">
        <f>'Paste #BBall'!N384</f>
        <v>0.2</v>
      </c>
      <c r="Q384" s="152">
        <f>'Paste #BBall'!O384</f>
        <v>0.4</v>
      </c>
      <c r="R384" s="153" t="str">
        <f>Left(Right('Paste #BBall'!G384,Len('Paste #BBall'!G384)-Search("/",'Paste #BBall'!G384)),Len(Right('Paste #BBall'!G384,Len('Paste #BBall'!G384)-Search("/",'Paste #BBall'!G384)))-1)</f>
        <v>3.1</v>
      </c>
      <c r="S384" s="153" t="str">
        <f>Left(Right('Paste #BBall'!H384,Len('Paste #BBall'!H384)-Search("/",'Paste #BBall'!H384)),Len(Right('Paste #BBall'!H384,Len('Paste #BBall'!H384)-Search("/",'Paste #BBall'!H384)))-1)</f>
        <v>1.1</v>
      </c>
    </row>
    <row r="385">
      <c r="A385" s="33">
        <v>384.0</v>
      </c>
      <c r="B385" s="149" t="str">
        <f>'Paste #BBall'!B385</f>
        <v>Julian Strawther</v>
      </c>
      <c r="C385" s="150" t="str">
        <f>'Paste #BBall'!C385</f>
        <v>SF</v>
      </c>
      <c r="D385" s="150" t="str">
        <f>'Paste #BBall'!D385</f>
        <v>DEN</v>
      </c>
      <c r="E385" s="151">
        <f>'Paste #BBall'!E385</f>
        <v>38</v>
      </c>
      <c r="F385" s="152">
        <f>'Paste #BBall'!F385</f>
        <v>10.4</v>
      </c>
      <c r="G385" s="153" t="str">
        <f>right(Left('Paste #BBall'!G385,Search("/",'Paste #BBall'!G385)-1),len(Left('Paste #BBall'!G385,Search("/",'Paste #BBall'!G385)-1))-search("(",Left('Paste #BBall'!G385,Search("/",'Paste #BBall'!G385)-1)))</f>
        <v>1.7</v>
      </c>
      <c r="H385" s="152">
        <f t="shared" si="1"/>
        <v>0.4358974359</v>
      </c>
      <c r="I385" s="152" t="str">
        <f>right(Left('Paste #BBall'!H385,Search("/",'Paste #BBall'!H385)-1),len(Left('Paste #BBall'!H385,Search("/",'Paste #BBall'!H385)-1))-search("(",Left('Paste #BBall'!H385,Search("/",'Paste #BBall'!H385)-1)))</f>
        <v>0.4</v>
      </c>
      <c r="J385" s="152">
        <f t="shared" si="2"/>
        <v>0.6666666667</v>
      </c>
      <c r="K385" s="152">
        <f>'Paste #BBall'!I385</f>
        <v>0.8</v>
      </c>
      <c r="L385" s="152">
        <f>'Paste #BBall'!J385</f>
        <v>4.6</v>
      </c>
      <c r="M385" s="152">
        <f>'Paste #BBall'!K385</f>
        <v>1.7</v>
      </c>
      <c r="N385" s="152">
        <f>'Paste #BBall'!L385</f>
        <v>0.4</v>
      </c>
      <c r="O385" s="152">
        <f>'Paste #BBall'!M385</f>
        <v>0.2</v>
      </c>
      <c r="P385" s="152">
        <f>'Paste #BBall'!N385</f>
        <v>0.1</v>
      </c>
      <c r="Q385" s="152">
        <f>'Paste #BBall'!O385</f>
        <v>0.3</v>
      </c>
      <c r="R385" s="153" t="str">
        <f>Left(Right('Paste #BBall'!G385,Len('Paste #BBall'!G385)-Search("/",'Paste #BBall'!G385)),Len(Right('Paste #BBall'!G385,Len('Paste #BBall'!G385)-Search("/",'Paste #BBall'!G385)))-1)</f>
        <v>3.9</v>
      </c>
      <c r="S385" s="153" t="str">
        <f>Left(Right('Paste #BBall'!H385,Len('Paste #BBall'!H385)-Search("/",'Paste #BBall'!H385)),Len(Right('Paste #BBall'!H385,Len('Paste #BBall'!H385)-Search("/",'Paste #BBall'!H385)))-1)</f>
        <v>0.6</v>
      </c>
    </row>
    <row r="386">
      <c r="A386" s="33">
        <v>385.0</v>
      </c>
      <c r="B386" s="149" t="str">
        <f>'Paste #BBall'!B386</f>
        <v>Cody Zeller</v>
      </c>
      <c r="C386" s="150" t="str">
        <f>'Paste #BBall'!C386</f>
        <v>C</v>
      </c>
      <c r="D386" s="150" t="str">
        <f>'Paste #BBall'!D386</f>
        <v>NO</v>
      </c>
      <c r="E386" s="151">
        <f>'Paste #BBall'!E386</f>
        <v>33</v>
      </c>
      <c r="F386" s="152">
        <f>'Paste #BBall'!F386</f>
        <v>8.4</v>
      </c>
      <c r="G386" s="153" t="str">
        <f>right(Left('Paste #BBall'!G386,Search("/",'Paste #BBall'!G386)-1),len(Left('Paste #BBall'!G386,Search("/",'Paste #BBall'!G386)-1))-search("(",Left('Paste #BBall'!G386,Search("/",'Paste #BBall'!G386)-1)))</f>
        <v>1.3</v>
      </c>
      <c r="H386" s="152">
        <f t="shared" si="1"/>
        <v>0.5909090909</v>
      </c>
      <c r="I386" s="152" t="str">
        <f>right(Left('Paste #BBall'!H386,Search("/",'Paste #BBall'!H386)-1),len(Left('Paste #BBall'!H386,Search("/",'Paste #BBall'!H386)-1))-search("(",Left('Paste #BBall'!H386,Search("/",'Paste #BBall'!H386)-1)))</f>
        <v>0.9</v>
      </c>
      <c r="J386" s="152">
        <f t="shared" si="2"/>
        <v>0.6923076923</v>
      </c>
      <c r="K386" s="152">
        <f>'Paste #BBall'!I386</f>
        <v>0</v>
      </c>
      <c r="L386" s="152">
        <f>'Paste #BBall'!J386</f>
        <v>3.5</v>
      </c>
      <c r="M386" s="152">
        <f>'Paste #BBall'!K386</f>
        <v>2.8</v>
      </c>
      <c r="N386" s="152">
        <f>'Paste #BBall'!L386</f>
        <v>0.5</v>
      </c>
      <c r="O386" s="152">
        <f>'Paste #BBall'!M386</f>
        <v>0.2</v>
      </c>
      <c r="P386" s="152">
        <f>'Paste #BBall'!N386</f>
        <v>0.2</v>
      </c>
      <c r="Q386" s="152">
        <f>'Paste #BBall'!O386</f>
        <v>0.5</v>
      </c>
      <c r="R386" s="153" t="str">
        <f>Left(Right('Paste #BBall'!G386,Len('Paste #BBall'!G386)-Search("/",'Paste #BBall'!G386)),Len(Right('Paste #BBall'!G386,Len('Paste #BBall'!G386)-Search("/",'Paste #BBall'!G386)))-1)</f>
        <v>2.2</v>
      </c>
      <c r="S386" s="153" t="str">
        <f>Left(Right('Paste #BBall'!H386,Len('Paste #BBall'!H386)-Search("/",'Paste #BBall'!H386)),Len(Right('Paste #BBall'!H386,Len('Paste #BBall'!H386)-Search("/",'Paste #BBall'!H386)))-1)</f>
        <v>1.3</v>
      </c>
    </row>
    <row r="387">
      <c r="A387" s="33">
        <v>386.0</v>
      </c>
      <c r="B387" s="149" t="str">
        <f>'Paste #BBall'!B387</f>
        <v>Alex Len</v>
      </c>
      <c r="C387" s="150" t="str">
        <f>'Paste #BBall'!C387</f>
        <v>C</v>
      </c>
      <c r="D387" s="150" t="str">
        <f>'Paste #BBall'!D387</f>
        <v>SAC</v>
      </c>
      <c r="E387" s="151">
        <f>'Paste #BBall'!E387</f>
        <v>30</v>
      </c>
      <c r="F387" s="152">
        <f>'Paste #BBall'!F387</f>
        <v>8.4</v>
      </c>
      <c r="G387" s="153" t="str">
        <f>right(Left('Paste #BBall'!G387,Search("/",'Paste #BBall'!G387)-1),len(Left('Paste #BBall'!G387,Search("/",'Paste #BBall'!G387)-1))-search("(",Left('Paste #BBall'!G387,Search("/",'Paste #BBall'!G387)-1)))</f>
        <v>1.2</v>
      </c>
      <c r="H387" s="152">
        <f t="shared" si="1"/>
        <v>0.5454545455</v>
      </c>
      <c r="I387" s="152" t="str">
        <f>right(Left('Paste #BBall'!H387,Search("/",'Paste #BBall'!H387)-1),len(Left('Paste #BBall'!H387,Search("/",'Paste #BBall'!H387)-1))-search("(",Left('Paste #BBall'!H387,Search("/",'Paste #BBall'!H387)-1)))</f>
        <v>0.6</v>
      </c>
      <c r="J387" s="152">
        <f t="shared" si="2"/>
        <v>0.6666666667</v>
      </c>
      <c r="K387" s="152">
        <f>'Paste #BBall'!I387</f>
        <v>0.1</v>
      </c>
      <c r="L387" s="152">
        <f>'Paste #BBall'!J387</f>
        <v>3</v>
      </c>
      <c r="M387" s="152">
        <f>'Paste #BBall'!K387</f>
        <v>2.4</v>
      </c>
      <c r="N387" s="152">
        <f>'Paste #BBall'!L387</f>
        <v>0.6</v>
      </c>
      <c r="O387" s="152">
        <f>'Paste #BBall'!M387</f>
        <v>0.2</v>
      </c>
      <c r="P387" s="152">
        <f>'Paste #BBall'!N387</f>
        <v>0.4</v>
      </c>
      <c r="Q387" s="152">
        <f>'Paste #BBall'!O387</f>
        <v>0.6</v>
      </c>
      <c r="R387" s="153" t="str">
        <f>Left(Right('Paste #BBall'!G387,Len('Paste #BBall'!G387)-Search("/",'Paste #BBall'!G387)),Len(Right('Paste #BBall'!G387,Len('Paste #BBall'!G387)-Search("/",'Paste #BBall'!G387)))-1)</f>
        <v>2.2</v>
      </c>
      <c r="S387" s="153" t="str">
        <f>Left(Right('Paste #BBall'!H387,Len('Paste #BBall'!H387)-Search("/",'Paste #BBall'!H387)),Len(Right('Paste #BBall'!H387,Len('Paste #BBall'!H387)-Search("/",'Paste #BBall'!H387)))-1)</f>
        <v>0.9</v>
      </c>
    </row>
    <row r="388">
      <c r="A388" s="33">
        <v>387.0</v>
      </c>
      <c r="B388" s="149" t="str">
        <f>'Paste #BBall'!B388</f>
        <v>Tre Mann</v>
      </c>
      <c r="C388" s="150" t="str">
        <f>'Paste #BBall'!C388</f>
        <v>PG,SG</v>
      </c>
      <c r="D388" s="150" t="str">
        <f>'Paste #BBall'!D388</f>
        <v>OKC</v>
      </c>
      <c r="E388" s="151">
        <f>'Paste #BBall'!E388</f>
        <v>26</v>
      </c>
      <c r="F388" s="152">
        <f>'Paste #BBall'!F388</f>
        <v>10.4</v>
      </c>
      <c r="G388" s="153" t="str">
        <f>right(Left('Paste #BBall'!G388,Search("/",'Paste #BBall'!G388)-1),len(Left('Paste #BBall'!G388,Search("/",'Paste #BBall'!G388)-1))-search("(",Left('Paste #BBall'!G388,Search("/",'Paste #BBall'!G388)-1)))</f>
        <v>1.8</v>
      </c>
      <c r="H388" s="152">
        <f t="shared" si="1"/>
        <v>0.4</v>
      </c>
      <c r="I388" s="152" t="str">
        <f>right(Left('Paste #BBall'!H388,Search("/",'Paste #BBall'!H388)-1),len(Left('Paste #BBall'!H388,Search("/",'Paste #BBall'!H388)-1))-search("(",Left('Paste #BBall'!H388,Search("/",'Paste #BBall'!H388)-1)))</f>
        <v>0.4</v>
      </c>
      <c r="J388" s="152">
        <f t="shared" si="2"/>
        <v>0.6666666667</v>
      </c>
      <c r="K388" s="152">
        <f>'Paste #BBall'!I388</f>
        <v>0.7</v>
      </c>
      <c r="L388" s="152">
        <f>'Paste #BBall'!J388</f>
        <v>4.7</v>
      </c>
      <c r="M388" s="152">
        <f>'Paste #BBall'!K388</f>
        <v>1.3</v>
      </c>
      <c r="N388" s="152">
        <f>'Paste #BBall'!L388</f>
        <v>0.9</v>
      </c>
      <c r="O388" s="152">
        <f>'Paste #BBall'!M388</f>
        <v>0.4</v>
      </c>
      <c r="P388" s="152">
        <f>'Paste #BBall'!N388</f>
        <v>0.1</v>
      </c>
      <c r="Q388" s="152">
        <f>'Paste #BBall'!O388</f>
        <v>0.6</v>
      </c>
      <c r="R388" s="153" t="str">
        <f>Left(Right('Paste #BBall'!G388,Len('Paste #BBall'!G388)-Search("/",'Paste #BBall'!G388)),Len(Right('Paste #BBall'!G388,Len('Paste #BBall'!G388)-Search("/",'Paste #BBall'!G388)))-1)</f>
        <v>4.5</v>
      </c>
      <c r="S388" s="153" t="str">
        <f>Left(Right('Paste #BBall'!H388,Len('Paste #BBall'!H388)-Search("/",'Paste #BBall'!H388)),Len(Right('Paste #BBall'!H388,Len('Paste #BBall'!H388)-Search("/",'Paste #BBall'!H388)))-1)</f>
        <v>0.6</v>
      </c>
    </row>
    <row r="389">
      <c r="A389" s="33">
        <v>388.0</v>
      </c>
      <c r="B389" s="149" t="str">
        <f>'Paste #BBall'!B389</f>
        <v>Oshae Brissett</v>
      </c>
      <c r="C389" s="150" t="str">
        <f>'Paste #BBall'!C389</f>
        <v>SF,PF</v>
      </c>
      <c r="D389" s="150" t="str">
        <f>'Paste #BBall'!D389</f>
        <v>BOS</v>
      </c>
      <c r="E389" s="151">
        <f>'Paste #BBall'!E389</f>
        <v>58</v>
      </c>
      <c r="F389" s="152">
        <f>'Paste #BBall'!F389</f>
        <v>11.2</v>
      </c>
      <c r="G389" s="153" t="str">
        <f>right(Left('Paste #BBall'!G389,Search("/",'Paste #BBall'!G389)-1),len(Left('Paste #BBall'!G389,Search("/",'Paste #BBall'!G389)-1))-search("(",Left('Paste #BBall'!G389,Search("/",'Paste #BBall'!G389)-1)))</f>
        <v>1.4</v>
      </c>
      <c r="H389" s="152">
        <f t="shared" si="1"/>
        <v>0.4</v>
      </c>
      <c r="I389" s="152" t="str">
        <f>right(Left('Paste #BBall'!H389,Search("/",'Paste #BBall'!H389)-1),len(Left('Paste #BBall'!H389,Search("/",'Paste #BBall'!H389)-1))-search("(",Left('Paste #BBall'!H389,Search("/",'Paste #BBall'!H389)-1)))</f>
        <v>0.9</v>
      </c>
      <c r="J389" s="152">
        <f t="shared" si="2"/>
        <v>0.6923076923</v>
      </c>
      <c r="K389" s="152">
        <f>'Paste #BBall'!I389</f>
        <v>0.6</v>
      </c>
      <c r="L389" s="152">
        <f>'Paste #BBall'!J389</f>
        <v>4.3</v>
      </c>
      <c r="M389" s="152">
        <f>'Paste #BBall'!K389</f>
        <v>2.5</v>
      </c>
      <c r="N389" s="152">
        <f>'Paste #BBall'!L389</f>
        <v>0.5</v>
      </c>
      <c r="O389" s="152">
        <f>'Paste #BBall'!M389</f>
        <v>0.3</v>
      </c>
      <c r="P389" s="152">
        <f>'Paste #BBall'!N389</f>
        <v>0.2</v>
      </c>
      <c r="Q389" s="152">
        <f>'Paste #BBall'!O389</f>
        <v>0.4</v>
      </c>
      <c r="R389" s="153" t="str">
        <f>Left(Right('Paste #BBall'!G389,Len('Paste #BBall'!G389)-Search("/",'Paste #BBall'!G389)),Len(Right('Paste #BBall'!G389,Len('Paste #BBall'!G389)-Search("/",'Paste #BBall'!G389)))-1)</f>
        <v>3.5</v>
      </c>
      <c r="S389" s="153" t="str">
        <f>Left(Right('Paste #BBall'!H389,Len('Paste #BBall'!H389)-Search("/",'Paste #BBall'!H389)),Len(Right('Paste #BBall'!H389,Len('Paste #BBall'!H389)-Search("/",'Paste #BBall'!H389)))-1)</f>
        <v>1.3</v>
      </c>
    </row>
    <row r="390">
      <c r="A390" s="33">
        <v>389.0</v>
      </c>
      <c r="B390" s="149" t="str">
        <f>'Paste #BBall'!B390</f>
        <v>Aaron Holiday</v>
      </c>
      <c r="C390" s="150" t="str">
        <f>'Paste #BBall'!C390</f>
        <v>PG,SG</v>
      </c>
      <c r="D390" s="150" t="str">
        <f>'Paste #BBall'!D390</f>
        <v>HOU</v>
      </c>
      <c r="E390" s="151">
        <f>'Paste #BBall'!E390</f>
        <v>30</v>
      </c>
      <c r="F390" s="152">
        <f>'Paste #BBall'!F390</f>
        <v>8.4</v>
      </c>
      <c r="G390" s="153" t="str">
        <f>right(Left('Paste #BBall'!G390,Search("/",'Paste #BBall'!G390)-1),len(Left('Paste #BBall'!G390,Search("/",'Paste #BBall'!G390)-1))-search("(",Left('Paste #BBall'!G390,Search("/",'Paste #BBall'!G390)-1)))</f>
        <v>1.1</v>
      </c>
      <c r="H390" s="152">
        <f t="shared" si="1"/>
        <v>0.44</v>
      </c>
      <c r="I390" s="152" t="str">
        <f>right(Left('Paste #BBall'!H390,Search("/",'Paste #BBall'!H390)-1),len(Left('Paste #BBall'!H390,Search("/",'Paste #BBall'!H390)-1))-search("(",Left('Paste #BBall'!H390,Search("/",'Paste #BBall'!H390)-1)))</f>
        <v>0.4</v>
      </c>
      <c r="J390" s="152">
        <f t="shared" si="2"/>
        <v>0.8</v>
      </c>
      <c r="K390" s="152">
        <f>'Paste #BBall'!I390</f>
        <v>0.3</v>
      </c>
      <c r="L390" s="152">
        <f>'Paste #BBall'!J390</f>
        <v>3</v>
      </c>
      <c r="M390" s="152">
        <f>'Paste #BBall'!K390</f>
        <v>0.9</v>
      </c>
      <c r="N390" s="152">
        <f>'Paste #BBall'!L390</f>
        <v>1.1</v>
      </c>
      <c r="O390" s="152">
        <f>'Paste #BBall'!M390</f>
        <v>0.4</v>
      </c>
      <c r="P390" s="152">
        <f>'Paste #BBall'!N390</f>
        <v>0.1</v>
      </c>
      <c r="Q390" s="152">
        <f>'Paste #BBall'!O390</f>
        <v>0.5</v>
      </c>
      <c r="R390" s="153" t="str">
        <f>Left(Right('Paste #BBall'!G390,Len('Paste #BBall'!G390)-Search("/",'Paste #BBall'!G390)),Len(Right('Paste #BBall'!G390,Len('Paste #BBall'!G390)-Search("/",'Paste #BBall'!G390)))-1)</f>
        <v>2.5</v>
      </c>
      <c r="S390" s="153" t="str">
        <f>Left(Right('Paste #BBall'!H390,Len('Paste #BBall'!H390)-Search("/",'Paste #BBall'!H390)),Len(Right('Paste #BBall'!H390,Len('Paste #BBall'!H390)-Search("/",'Paste #BBall'!H390)))-1)</f>
        <v>0.5</v>
      </c>
    </row>
    <row r="391">
      <c r="A391" s="33">
        <v>390.0</v>
      </c>
      <c r="B391" s="149" t="str">
        <f>'Paste #BBall'!B391</f>
        <v>Patty Mills</v>
      </c>
      <c r="C391" s="150" t="str">
        <f>'Paste #BBall'!C391</f>
        <v>PG</v>
      </c>
      <c r="D391" s="150" t="str">
        <f>'Paste #BBall'!D391</f>
        <v>ATL</v>
      </c>
      <c r="E391" s="151">
        <f>'Paste #BBall'!E391</f>
        <v>20</v>
      </c>
      <c r="F391" s="152">
        <f>'Paste #BBall'!F391</f>
        <v>10.3</v>
      </c>
      <c r="G391" s="153" t="str">
        <f>right(Left('Paste #BBall'!G391,Search("/",'Paste #BBall'!G391)-1),len(Left('Paste #BBall'!G391,Search("/",'Paste #BBall'!G391)-1))-search("(",Left('Paste #BBall'!G391,Search("/",'Paste #BBall'!G391)-1)))</f>
        <v>1.5</v>
      </c>
      <c r="H391" s="152">
        <f t="shared" si="1"/>
        <v>0.4166666667</v>
      </c>
      <c r="I391" s="152" t="str">
        <f>right(Left('Paste #BBall'!H391,Search("/",'Paste #BBall'!H391)-1),len(Left('Paste #BBall'!H391,Search("/",'Paste #BBall'!H391)-1))-search("(",Left('Paste #BBall'!H391,Search("/",'Paste #BBall'!H391)-1)))</f>
        <v>0.3</v>
      </c>
      <c r="J391" s="152">
        <f t="shared" si="2"/>
        <v>1</v>
      </c>
      <c r="K391" s="152">
        <f>'Paste #BBall'!I391</f>
        <v>1</v>
      </c>
      <c r="L391" s="152">
        <f>'Paste #BBall'!J391</f>
        <v>4.2</v>
      </c>
      <c r="M391" s="152">
        <f>'Paste #BBall'!K391</f>
        <v>0.7</v>
      </c>
      <c r="N391" s="152">
        <f>'Paste #BBall'!L391</f>
        <v>0.9</v>
      </c>
      <c r="O391" s="152">
        <f>'Paste #BBall'!M391</f>
        <v>0.2</v>
      </c>
      <c r="P391" s="152">
        <f>'Paste #BBall'!N391</f>
        <v>0.1</v>
      </c>
      <c r="Q391" s="152">
        <f>'Paste #BBall'!O391</f>
        <v>0.4</v>
      </c>
      <c r="R391" s="153" t="str">
        <f>Left(Right('Paste #BBall'!G391,Len('Paste #BBall'!G391)-Search("/",'Paste #BBall'!G391)),Len(Right('Paste #BBall'!G391,Len('Paste #BBall'!G391)-Search("/",'Paste #BBall'!G391)))-1)</f>
        <v>3.6</v>
      </c>
      <c r="S391" s="153" t="str">
        <f>Left(Right('Paste #BBall'!H391,Len('Paste #BBall'!H391)-Search("/",'Paste #BBall'!H391)),Len(Right('Paste #BBall'!H391,Len('Paste #BBall'!H391)-Search("/",'Paste #BBall'!H391)))-1)</f>
        <v>0.3</v>
      </c>
    </row>
    <row r="392">
      <c r="A392" s="33">
        <v>391.0</v>
      </c>
      <c r="B392" s="149" t="str">
        <f>'Paste #BBall'!B392</f>
        <v>Keon Johnson</v>
      </c>
      <c r="C392" s="150" t="str">
        <f>'Paste #BBall'!C392</f>
        <v>PG,SG</v>
      </c>
      <c r="D392" s="150" t="str">
        <f>'Paste #BBall'!D392</f>
        <v>PHO</v>
      </c>
      <c r="E392" s="151">
        <f>'Paste #BBall'!E392</f>
        <v>44</v>
      </c>
      <c r="F392" s="152">
        <f>'Paste #BBall'!F392</f>
        <v>10.4</v>
      </c>
      <c r="G392" s="153" t="str">
        <f>right(Left('Paste #BBall'!G392,Search("/",'Paste #BBall'!G392)-1),len(Left('Paste #BBall'!G392,Search("/",'Paste #BBall'!G392)-1))-search("(",Left('Paste #BBall'!G392,Search("/",'Paste #BBall'!G392)-1)))</f>
        <v>1.5</v>
      </c>
      <c r="H392" s="152">
        <f t="shared" si="1"/>
        <v>0.3488372093</v>
      </c>
      <c r="I392" s="152" t="str">
        <f>right(Left('Paste #BBall'!H392,Search("/",'Paste #BBall'!H392)-1),len(Left('Paste #BBall'!H392,Search("/",'Paste #BBall'!H392)-1))-search("(",Left('Paste #BBall'!H392,Search("/",'Paste #BBall'!H392)-1)))</f>
        <v>0.7</v>
      </c>
      <c r="J392" s="152">
        <f t="shared" si="2"/>
        <v>0.7777777778</v>
      </c>
      <c r="K392" s="152">
        <f>'Paste #BBall'!I392</f>
        <v>0.6</v>
      </c>
      <c r="L392" s="152">
        <f>'Paste #BBall'!J392</f>
        <v>4.3</v>
      </c>
      <c r="M392" s="152">
        <f>'Paste #BBall'!K392</f>
        <v>1.2</v>
      </c>
      <c r="N392" s="152">
        <f>'Paste #BBall'!L392</f>
        <v>1.3</v>
      </c>
      <c r="O392" s="152">
        <f>'Paste #BBall'!M392</f>
        <v>0.4</v>
      </c>
      <c r="P392" s="152">
        <f>'Paste #BBall'!N392</f>
        <v>0.2</v>
      </c>
      <c r="Q392" s="152">
        <f>'Paste #BBall'!O392</f>
        <v>0.8</v>
      </c>
      <c r="R392" s="153" t="str">
        <f>Left(Right('Paste #BBall'!G392,Len('Paste #BBall'!G392)-Search("/",'Paste #BBall'!G392)),Len(Right('Paste #BBall'!G392,Len('Paste #BBall'!G392)-Search("/",'Paste #BBall'!G392)))-1)</f>
        <v>4.3</v>
      </c>
      <c r="S392" s="153" t="str">
        <f>Left(Right('Paste #BBall'!H392,Len('Paste #BBall'!H392)-Search("/",'Paste #BBall'!H392)),Len(Right('Paste #BBall'!H392,Len('Paste #BBall'!H392)-Search("/",'Paste #BBall'!H392)))-1)</f>
        <v>0.9</v>
      </c>
    </row>
    <row r="393">
      <c r="A393" s="33">
        <v>392.0</v>
      </c>
      <c r="B393" s="149" t="str">
        <f>'Paste #BBall'!B393</f>
        <v>Wesley Matthews</v>
      </c>
      <c r="C393" s="150" t="str">
        <f>'Paste #BBall'!C393</f>
        <v>SG</v>
      </c>
      <c r="D393" s="150" t="str">
        <f>'Paste #BBall'!D393</f>
        <v>ATL</v>
      </c>
      <c r="E393" s="151">
        <f>'Paste #BBall'!E393</f>
        <v>34</v>
      </c>
      <c r="F393" s="152">
        <f>'Paste #BBall'!F393</f>
        <v>12.4</v>
      </c>
      <c r="G393" s="153" t="str">
        <f>right(Left('Paste #BBall'!G393,Search("/",'Paste #BBall'!G393)-1),len(Left('Paste #BBall'!G393,Search("/",'Paste #BBall'!G393)-1))-search("(",Left('Paste #BBall'!G393,Search("/",'Paste #BBall'!G393)-1)))</f>
        <v>1.0</v>
      </c>
      <c r="H393" s="152">
        <f t="shared" si="1"/>
        <v>0.3846153846</v>
      </c>
      <c r="I393" s="152" t="str">
        <f>right(Left('Paste #BBall'!H393,Search("/",'Paste #BBall'!H393)-1),len(Left('Paste #BBall'!H393,Search("/",'Paste #BBall'!H393)-1))-search("(",Left('Paste #BBall'!H393,Search("/",'Paste #BBall'!H393)-1)))</f>
        <v>0.3</v>
      </c>
      <c r="J393" s="152">
        <f t="shared" si="2"/>
        <v>0.75</v>
      </c>
      <c r="K393" s="152">
        <f>'Paste #BBall'!I393</f>
        <v>0.6</v>
      </c>
      <c r="L393" s="152">
        <f>'Paste #BBall'!J393</f>
        <v>2.9</v>
      </c>
      <c r="M393" s="152">
        <f>'Paste #BBall'!K393</f>
        <v>1.4</v>
      </c>
      <c r="N393" s="152">
        <f>'Paste #BBall'!L393</f>
        <v>0.5</v>
      </c>
      <c r="O393" s="152">
        <f>'Paste #BBall'!M393</f>
        <v>0.3</v>
      </c>
      <c r="P393" s="152">
        <f>'Paste #BBall'!N393</f>
        <v>0.1</v>
      </c>
      <c r="Q393" s="152">
        <f>'Paste #BBall'!O393</f>
        <v>0.3</v>
      </c>
      <c r="R393" s="153" t="str">
        <f>Left(Right('Paste #BBall'!G393,Len('Paste #BBall'!G393)-Search("/",'Paste #BBall'!G393)),Len(Right('Paste #BBall'!G393,Len('Paste #BBall'!G393)-Search("/",'Paste #BBall'!G393)))-1)</f>
        <v>2.6</v>
      </c>
      <c r="S393" s="153" t="str">
        <f>Left(Right('Paste #BBall'!H393,Len('Paste #BBall'!H393)-Search("/",'Paste #BBall'!H393)),Len(Right('Paste #BBall'!H393,Len('Paste #BBall'!H393)-Search("/",'Paste #BBall'!H393)))-1)</f>
        <v>0.4</v>
      </c>
    </row>
    <row r="394">
      <c r="A394" s="33">
        <v>393.0</v>
      </c>
      <c r="B394" s="149" t="str">
        <f>'Paste #BBall'!B394</f>
        <v>Simone Fontecchio</v>
      </c>
      <c r="C394" s="150" t="str">
        <f>'Paste #BBall'!C394</f>
        <v>SF</v>
      </c>
      <c r="D394" s="150" t="str">
        <f>'Paste #BBall'!D394</f>
        <v>UTA</v>
      </c>
      <c r="E394" s="151">
        <f>'Paste #BBall'!E394</f>
        <v>40</v>
      </c>
      <c r="F394" s="152">
        <f>'Paste #BBall'!F394</f>
        <v>12.4</v>
      </c>
      <c r="G394" s="153" t="str">
        <f>right(Left('Paste #BBall'!G394,Search("/",'Paste #BBall'!G394)-1),len(Left('Paste #BBall'!G394,Search("/",'Paste #BBall'!G394)-1))-search("(",Left('Paste #BBall'!G394,Search("/",'Paste #BBall'!G394)-1)))</f>
        <v>1.9</v>
      </c>
      <c r="H394" s="152">
        <f t="shared" si="1"/>
        <v>0.3725490196</v>
      </c>
      <c r="I394" s="152" t="str">
        <f>right(Left('Paste #BBall'!H394,Search("/",'Paste #BBall'!H394)-1),len(Left('Paste #BBall'!H394,Search("/",'Paste #BBall'!H394)-1))-search("(",Left('Paste #BBall'!H394,Search("/",'Paste #BBall'!H394)-1)))</f>
        <v>0.6</v>
      </c>
      <c r="J394" s="152">
        <f t="shared" si="2"/>
        <v>0.8571428571</v>
      </c>
      <c r="K394" s="152">
        <f>'Paste #BBall'!I394</f>
        <v>1</v>
      </c>
      <c r="L394" s="152">
        <f>'Paste #BBall'!J394</f>
        <v>5.4</v>
      </c>
      <c r="M394" s="152">
        <f>'Paste #BBall'!K394</f>
        <v>1.4</v>
      </c>
      <c r="N394" s="152">
        <f>'Paste #BBall'!L394</f>
        <v>0.7</v>
      </c>
      <c r="O394" s="152">
        <f>'Paste #BBall'!M394</f>
        <v>0.3</v>
      </c>
      <c r="P394" s="152">
        <f>'Paste #BBall'!N394</f>
        <v>0.1</v>
      </c>
      <c r="Q394" s="152">
        <f>'Paste #BBall'!O394</f>
        <v>0.6</v>
      </c>
      <c r="R394" s="153" t="str">
        <f>Left(Right('Paste #BBall'!G394,Len('Paste #BBall'!G394)-Search("/",'Paste #BBall'!G394)),Len(Right('Paste #BBall'!G394,Len('Paste #BBall'!G394)-Search("/",'Paste #BBall'!G394)))-1)</f>
        <v>5.1</v>
      </c>
      <c r="S394" s="153" t="str">
        <f>Left(Right('Paste #BBall'!H394,Len('Paste #BBall'!H394)-Search("/",'Paste #BBall'!H394)),Len(Right('Paste #BBall'!H394,Len('Paste #BBall'!H394)-Search("/",'Paste #BBall'!H394)))-1)</f>
        <v>0.7</v>
      </c>
    </row>
    <row r="395">
      <c r="A395" s="33">
        <v>394.0</v>
      </c>
      <c r="B395" s="149" t="str">
        <f>'Paste #BBall'!B395</f>
        <v>AJ Green</v>
      </c>
      <c r="C395" s="150" t="str">
        <f>'Paste #BBall'!C395</f>
        <v>PG,SG</v>
      </c>
      <c r="D395" s="150" t="str">
        <f>'Paste #BBall'!D395</f>
        <v>MIL</v>
      </c>
      <c r="E395" s="151">
        <f>'Paste #BBall'!E395</f>
        <v>30</v>
      </c>
      <c r="F395" s="152">
        <f>'Paste #BBall'!F395</f>
        <v>8.4</v>
      </c>
      <c r="G395" s="153" t="str">
        <f>right(Left('Paste #BBall'!G395,Search("/",'Paste #BBall'!G395)-1),len(Left('Paste #BBall'!G395,Search("/",'Paste #BBall'!G395)-1))-search("(",Left('Paste #BBall'!G395,Search("/",'Paste #BBall'!G395)-1)))</f>
        <v>1.3</v>
      </c>
      <c r="H395" s="152">
        <f t="shared" si="1"/>
        <v>0.4193548387</v>
      </c>
      <c r="I395" s="152" t="str">
        <f>right(Left('Paste #BBall'!H395,Search("/",'Paste #BBall'!H395)-1),len(Left('Paste #BBall'!H395,Search("/",'Paste #BBall'!H395)-1))-search("(",Left('Paste #BBall'!H395,Search("/",'Paste #BBall'!H395)-1)))</f>
        <v>0.1</v>
      </c>
      <c r="J395" s="152">
        <f t="shared" si="2"/>
        <v>1</v>
      </c>
      <c r="K395" s="152">
        <f>'Paste #BBall'!I395</f>
        <v>1.1</v>
      </c>
      <c r="L395" s="152">
        <f>'Paste #BBall'!J395</f>
        <v>3.8</v>
      </c>
      <c r="M395" s="152">
        <f>'Paste #BBall'!K395</f>
        <v>1.1</v>
      </c>
      <c r="N395" s="152">
        <f>'Paste #BBall'!L395</f>
        <v>0.5</v>
      </c>
      <c r="O395" s="152">
        <f>'Paste #BBall'!M395</f>
        <v>0.2</v>
      </c>
      <c r="P395" s="152">
        <f>'Paste #BBall'!N395</f>
        <v>0</v>
      </c>
      <c r="Q395" s="152">
        <f>'Paste #BBall'!O395</f>
        <v>0.2</v>
      </c>
      <c r="R395" s="153" t="str">
        <f>Left(Right('Paste #BBall'!G395,Len('Paste #BBall'!G395)-Search("/",'Paste #BBall'!G395)),Len(Right('Paste #BBall'!G395,Len('Paste #BBall'!G395)-Search("/",'Paste #BBall'!G395)))-1)</f>
        <v>3.1</v>
      </c>
      <c r="S395" s="153" t="str">
        <f>Left(Right('Paste #BBall'!H395,Len('Paste #BBall'!H395)-Search("/",'Paste #BBall'!H395)),Len(Right('Paste #BBall'!H395,Len('Paste #BBall'!H395)-Search("/",'Paste #BBall'!H395)))-1)</f>
        <v>0.1</v>
      </c>
    </row>
    <row r="396">
      <c r="A396" s="33">
        <v>395.0</v>
      </c>
      <c r="B396" s="149" t="str">
        <f>'Paste #BBall'!B396</f>
        <v>Kobe Bufkin</v>
      </c>
      <c r="C396" s="150" t="str">
        <f>'Paste #BBall'!C396</f>
        <v>SG</v>
      </c>
      <c r="D396" s="150" t="str">
        <f>'Paste #BBall'!D396</f>
        <v>ATL</v>
      </c>
      <c r="E396" s="151">
        <f>'Paste #BBall'!E396</f>
        <v>67</v>
      </c>
      <c r="F396" s="152">
        <f>'Paste #BBall'!F396</f>
        <v>12.4</v>
      </c>
      <c r="G396" s="153" t="str">
        <f>right(Left('Paste #BBall'!G396,Search("/",'Paste #BBall'!G396)-1),len(Left('Paste #BBall'!G396,Search("/",'Paste #BBall'!G396)-1))-search("(",Left('Paste #BBall'!G396,Search("/",'Paste #BBall'!G396)-1)))</f>
        <v>1.5</v>
      </c>
      <c r="H396" s="152">
        <f t="shared" si="1"/>
        <v>0.46875</v>
      </c>
      <c r="I396" s="152" t="str">
        <f>right(Left('Paste #BBall'!H396,Search("/",'Paste #BBall'!H396)-1),len(Left('Paste #BBall'!H396,Search("/",'Paste #BBall'!H396)-1))-search("(",Left('Paste #BBall'!H396,Search("/",'Paste #BBall'!H396)-1)))</f>
        <v>1.2</v>
      </c>
      <c r="J396" s="152">
        <f t="shared" si="2"/>
        <v>0.8</v>
      </c>
      <c r="K396" s="152">
        <f>'Paste #BBall'!I396</f>
        <v>0.2</v>
      </c>
      <c r="L396" s="152">
        <f>'Paste #BBall'!J396</f>
        <v>4.4</v>
      </c>
      <c r="M396" s="152">
        <f>'Paste #BBall'!K396</f>
        <v>0.8</v>
      </c>
      <c r="N396" s="152">
        <f>'Paste #BBall'!L396</f>
        <v>0.9</v>
      </c>
      <c r="O396" s="152">
        <f>'Paste #BBall'!M396</f>
        <v>0.2</v>
      </c>
      <c r="P396" s="152">
        <f>'Paste #BBall'!N396</f>
        <v>0.2</v>
      </c>
      <c r="Q396" s="152">
        <f>'Paste #BBall'!O396</f>
        <v>0.5</v>
      </c>
      <c r="R396" s="153" t="str">
        <f>Left(Right('Paste #BBall'!G396,Len('Paste #BBall'!G396)-Search("/",'Paste #BBall'!G396)),Len(Right('Paste #BBall'!G396,Len('Paste #BBall'!G396)-Search("/",'Paste #BBall'!G396)))-1)</f>
        <v>3.2</v>
      </c>
      <c r="S396" s="153" t="str">
        <f>Left(Right('Paste #BBall'!H396,Len('Paste #BBall'!H396)-Search("/",'Paste #BBall'!H396)),Len(Right('Paste #BBall'!H396,Len('Paste #BBall'!H396)-Search("/",'Paste #BBall'!H396)))-1)</f>
        <v>1.5</v>
      </c>
    </row>
    <row r="397">
      <c r="A397" s="33">
        <v>396.0</v>
      </c>
      <c r="B397" s="149" t="str">
        <f>'Paste #BBall'!B397</f>
        <v>Daniel Theis</v>
      </c>
      <c r="C397" s="150" t="str">
        <f>'Paste #BBall'!C397</f>
        <v>C</v>
      </c>
      <c r="D397" s="150" t="str">
        <f>'Paste #BBall'!D397</f>
        <v>IND</v>
      </c>
      <c r="E397" s="151">
        <f>'Paste #BBall'!E397</f>
        <v>20</v>
      </c>
      <c r="F397" s="152">
        <f>'Paste #BBall'!F397</f>
        <v>8.1</v>
      </c>
      <c r="G397" s="153" t="str">
        <f>right(Left('Paste #BBall'!G397,Search("/",'Paste #BBall'!G397)-1),len(Left('Paste #BBall'!G397,Search("/",'Paste #BBall'!G397)-1))-search("(",Left('Paste #BBall'!G397,Search("/",'Paste #BBall'!G397)-1)))</f>
        <v>1.3</v>
      </c>
      <c r="H397" s="152">
        <f t="shared" si="1"/>
        <v>0.52</v>
      </c>
      <c r="I397" s="152" t="str">
        <f>right(Left('Paste #BBall'!H397,Search("/",'Paste #BBall'!H397)-1),len(Left('Paste #BBall'!H397,Search("/",'Paste #BBall'!H397)-1))-search("(",Left('Paste #BBall'!H397,Search("/",'Paste #BBall'!H397)-1)))</f>
        <v>0.4</v>
      </c>
      <c r="J397" s="152">
        <f t="shared" si="2"/>
        <v>0.6666666667</v>
      </c>
      <c r="K397" s="152">
        <f>'Paste #BBall'!I397</f>
        <v>0.3</v>
      </c>
      <c r="L397" s="152">
        <f>'Paste #BBall'!J397</f>
        <v>3.3</v>
      </c>
      <c r="M397" s="152">
        <f>'Paste #BBall'!K397</f>
        <v>1.9</v>
      </c>
      <c r="N397" s="152">
        <f>'Paste #BBall'!L397</f>
        <v>0.4</v>
      </c>
      <c r="O397" s="152">
        <f>'Paste #BBall'!M397</f>
        <v>0.2</v>
      </c>
      <c r="P397" s="152">
        <f>'Paste #BBall'!N397</f>
        <v>0.3</v>
      </c>
      <c r="Q397" s="152">
        <f>'Paste #BBall'!O397</f>
        <v>0.4</v>
      </c>
      <c r="R397" s="153" t="str">
        <f>Left(Right('Paste #BBall'!G397,Len('Paste #BBall'!G397)-Search("/",'Paste #BBall'!G397)),Len(Right('Paste #BBall'!G397,Len('Paste #BBall'!G397)-Search("/",'Paste #BBall'!G397)))-1)</f>
        <v>2.5</v>
      </c>
      <c r="S397" s="153" t="str">
        <f>Left(Right('Paste #BBall'!H397,Len('Paste #BBall'!H397)-Search("/",'Paste #BBall'!H397)),Len(Right('Paste #BBall'!H397,Len('Paste #BBall'!H397)-Search("/",'Paste #BBall'!H397)))-1)</f>
        <v>0.6</v>
      </c>
    </row>
    <row r="398">
      <c r="A398" s="33">
        <v>397.0</v>
      </c>
      <c r="B398" s="149" t="str">
        <f>'Paste #BBall'!B398</f>
        <v>Jeremiah Robinson-Earl</v>
      </c>
      <c r="C398" s="150" t="str">
        <f>'Paste #BBall'!C398</f>
        <v>PF,C</v>
      </c>
      <c r="D398" s="150" t="str">
        <f>'Paste #BBall'!D398</f>
        <v>OKC</v>
      </c>
      <c r="E398" s="151">
        <f>'Paste #BBall'!E398</f>
        <v>30</v>
      </c>
      <c r="F398" s="152">
        <f>'Paste #BBall'!F398</f>
        <v>8.4</v>
      </c>
      <c r="G398" s="153" t="str">
        <f>right(Left('Paste #BBall'!G398,Search("/",'Paste #BBall'!G398)-1),len(Left('Paste #BBall'!G398,Search("/",'Paste #BBall'!G398)-1))-search("(",Left('Paste #BBall'!G398,Search("/",'Paste #BBall'!G398)-1)))</f>
        <v>1.1</v>
      </c>
      <c r="H398" s="152">
        <f t="shared" si="1"/>
        <v>0.4230769231</v>
      </c>
      <c r="I398" s="152" t="str">
        <f>right(Left('Paste #BBall'!H398,Search("/",'Paste #BBall'!H398)-1),len(Left('Paste #BBall'!H398,Search("/",'Paste #BBall'!H398)-1))-search("(",Left('Paste #BBall'!H398,Search("/",'Paste #BBall'!H398)-1)))</f>
        <v>0.3</v>
      </c>
      <c r="J398" s="152">
        <f t="shared" si="2"/>
        <v>0.75</v>
      </c>
      <c r="K398" s="152">
        <f>'Paste #BBall'!I398</f>
        <v>0.4</v>
      </c>
      <c r="L398" s="152">
        <f>'Paste #BBall'!J398</f>
        <v>2.9</v>
      </c>
      <c r="M398" s="152">
        <f>'Paste #BBall'!K398</f>
        <v>2</v>
      </c>
      <c r="N398" s="152">
        <f>'Paste #BBall'!L398</f>
        <v>0.4</v>
      </c>
      <c r="O398" s="152">
        <f>'Paste #BBall'!M398</f>
        <v>0.2</v>
      </c>
      <c r="P398" s="152">
        <f>'Paste #BBall'!N398</f>
        <v>0.1</v>
      </c>
      <c r="Q398" s="152">
        <f>'Paste #BBall'!O398</f>
        <v>0.3</v>
      </c>
      <c r="R398" s="153" t="str">
        <f>Left(Right('Paste #BBall'!G398,Len('Paste #BBall'!G398)-Search("/",'Paste #BBall'!G398)),Len(Right('Paste #BBall'!G398,Len('Paste #BBall'!G398)-Search("/",'Paste #BBall'!G398)))-1)</f>
        <v>2.6</v>
      </c>
      <c r="S398" s="153" t="str">
        <f>Left(Right('Paste #BBall'!H398,Len('Paste #BBall'!H398)-Search("/",'Paste #BBall'!H398)),Len(Right('Paste #BBall'!H398,Len('Paste #BBall'!H398)-Search("/",'Paste #BBall'!H398)))-1)</f>
        <v>0.4</v>
      </c>
    </row>
    <row r="399">
      <c r="A399" s="33">
        <v>398.0</v>
      </c>
      <c r="B399" s="149" t="str">
        <f>'Paste #BBall'!B399</f>
        <v>Admiral Schofield</v>
      </c>
      <c r="C399" s="150" t="str">
        <f>'Paste #BBall'!C399</f>
        <v>SF,PF</v>
      </c>
      <c r="D399" s="150" t="str">
        <f>'Paste #BBall'!D399</f>
        <v>ORL</v>
      </c>
      <c r="E399" s="151">
        <f>'Paste #BBall'!E399</f>
        <v>30</v>
      </c>
      <c r="F399" s="152">
        <f>'Paste #BBall'!F399</f>
        <v>10.1</v>
      </c>
      <c r="G399" s="153" t="str">
        <f>right(Left('Paste #BBall'!G399,Search("/",'Paste #BBall'!G399)-1),len(Left('Paste #BBall'!G399,Search("/",'Paste #BBall'!G399)-1))-search("(",Left('Paste #BBall'!G399,Search("/",'Paste #BBall'!G399)-1)))</f>
        <v>1.2</v>
      </c>
      <c r="H399" s="152">
        <f t="shared" si="1"/>
        <v>0.4285714286</v>
      </c>
      <c r="I399" s="152" t="str">
        <f>right(Left('Paste #BBall'!H399,Search("/",'Paste #BBall'!H399)-1),len(Left('Paste #BBall'!H399,Search("/",'Paste #BBall'!H399)-1))-search("(",Left('Paste #BBall'!H399,Search("/",'Paste #BBall'!H399)-1)))</f>
        <v>0.4</v>
      </c>
      <c r="J399" s="152">
        <f t="shared" si="2"/>
        <v>1</v>
      </c>
      <c r="K399" s="152">
        <f>'Paste #BBall'!I399</f>
        <v>0.6</v>
      </c>
      <c r="L399" s="152">
        <f>'Paste #BBall'!J399</f>
        <v>3.3</v>
      </c>
      <c r="M399" s="152">
        <f>'Paste #BBall'!K399</f>
        <v>1.7</v>
      </c>
      <c r="N399" s="152">
        <f>'Paste #BBall'!L399</f>
        <v>0.6</v>
      </c>
      <c r="O399" s="152">
        <f>'Paste #BBall'!M399</f>
        <v>0.1</v>
      </c>
      <c r="P399" s="152">
        <f>'Paste #BBall'!N399</f>
        <v>0.1</v>
      </c>
      <c r="Q399" s="152">
        <f>'Paste #BBall'!O399</f>
        <v>0.4</v>
      </c>
      <c r="R399" s="153" t="str">
        <f>Left(Right('Paste #BBall'!G399,Len('Paste #BBall'!G399)-Search("/",'Paste #BBall'!G399)),Len(Right('Paste #BBall'!G399,Len('Paste #BBall'!G399)-Search("/",'Paste #BBall'!G399)))-1)</f>
        <v>2.8</v>
      </c>
      <c r="S399" s="153" t="str">
        <f>Left(Right('Paste #BBall'!H399,Len('Paste #BBall'!H399)-Search("/",'Paste #BBall'!H399)),Len(Right('Paste #BBall'!H399,Len('Paste #BBall'!H399)-Search("/",'Paste #BBall'!H399)))-1)</f>
        <v>0.4</v>
      </c>
    </row>
    <row r="400">
      <c r="A400" s="33">
        <v>399.0</v>
      </c>
      <c r="B400" s="149" t="str">
        <f>'Paste #BBall'!B400</f>
        <v>Dalano Banton</v>
      </c>
      <c r="C400" s="150" t="str">
        <f>'Paste #BBall'!C400</f>
        <v>PG,SG</v>
      </c>
      <c r="D400" s="150" t="str">
        <f>'Paste #BBall'!D400</f>
        <v>BOS</v>
      </c>
      <c r="E400" s="151">
        <f>'Paste #BBall'!E400</f>
        <v>44</v>
      </c>
      <c r="F400" s="152">
        <f>'Paste #BBall'!F400</f>
        <v>8.4</v>
      </c>
      <c r="G400" s="153" t="str">
        <f>right(Left('Paste #BBall'!G400,Search("/",'Paste #BBall'!G400)-1),len(Left('Paste #BBall'!G400,Search("/",'Paste #BBall'!G400)-1))-search("(",Left('Paste #BBall'!G400,Search("/",'Paste #BBall'!G400)-1)))</f>
        <v>1.2</v>
      </c>
      <c r="H400" s="152">
        <f t="shared" si="1"/>
        <v>0.4137931034</v>
      </c>
      <c r="I400" s="152" t="str">
        <f>right(Left('Paste #BBall'!H400,Search("/",'Paste #BBall'!H400)-1),len(Left('Paste #BBall'!H400,Search("/",'Paste #BBall'!H400)-1))-search("(",Left('Paste #BBall'!H400,Search("/",'Paste #BBall'!H400)-1)))</f>
        <v>0.4</v>
      </c>
      <c r="J400" s="152">
        <f t="shared" si="2"/>
        <v>0.6666666667</v>
      </c>
      <c r="K400" s="152">
        <f>'Paste #BBall'!I400</f>
        <v>0.2</v>
      </c>
      <c r="L400" s="152">
        <f>'Paste #BBall'!J400</f>
        <v>3</v>
      </c>
      <c r="M400" s="152">
        <f>'Paste #BBall'!K400</f>
        <v>1.5</v>
      </c>
      <c r="N400" s="152">
        <f>'Paste #BBall'!L400</f>
        <v>1.2</v>
      </c>
      <c r="O400" s="152">
        <f>'Paste #BBall'!M400</f>
        <v>0.4</v>
      </c>
      <c r="P400" s="152">
        <f>'Paste #BBall'!N400</f>
        <v>0.2</v>
      </c>
      <c r="Q400" s="152">
        <f>'Paste #BBall'!O400</f>
        <v>0.6</v>
      </c>
      <c r="R400" s="153" t="str">
        <f>Left(Right('Paste #BBall'!G400,Len('Paste #BBall'!G400)-Search("/",'Paste #BBall'!G400)),Len(Right('Paste #BBall'!G400,Len('Paste #BBall'!G400)-Search("/",'Paste #BBall'!G400)))-1)</f>
        <v>2.9</v>
      </c>
      <c r="S400" s="153" t="str">
        <f>Left(Right('Paste #BBall'!H400,Len('Paste #BBall'!H400)-Search("/",'Paste #BBall'!H400)),Len(Right('Paste #BBall'!H400,Len('Paste #BBall'!H400)-Search("/",'Paste #BBall'!H400)))-1)</f>
        <v>0.6</v>
      </c>
    </row>
    <row r="401">
      <c r="A401" s="33">
        <v>400.0</v>
      </c>
      <c r="B401" s="149" t="str">
        <f>'Paste #BBall'!B401</f>
        <v>Jay Huff</v>
      </c>
      <c r="C401" s="150" t="str">
        <f>'Paste #BBall'!C401</f>
        <v>C</v>
      </c>
      <c r="D401" s="150" t="str">
        <f>'Paste #BBall'!D401</f>
        <v>DEN</v>
      </c>
      <c r="E401" s="151">
        <f>'Paste #BBall'!E401</f>
        <v>10</v>
      </c>
      <c r="F401" s="152">
        <f>'Paste #BBall'!F401</f>
        <v>4.4</v>
      </c>
      <c r="G401" s="153" t="str">
        <f>right(Left('Paste #BBall'!G401,Search("/",'Paste #BBall'!G401)-1),len(Left('Paste #BBall'!G401,Search("/",'Paste #BBall'!G401)-1))-search("(",Left('Paste #BBall'!G401,Search("/",'Paste #BBall'!G401)-1)))</f>
        <v>0.6</v>
      </c>
      <c r="H401" s="152">
        <f t="shared" si="1"/>
        <v>0.5454545455</v>
      </c>
      <c r="I401" s="152" t="str">
        <f>right(Left('Paste #BBall'!H401,Search("/",'Paste #BBall'!H401)-1),len(Left('Paste #BBall'!H401,Search("/",'Paste #BBall'!H401)-1))-search("(",Left('Paste #BBall'!H401,Search("/",'Paste #BBall'!H401)-1)))</f>
        <v>0.6</v>
      </c>
      <c r="J401" s="152">
        <f t="shared" si="2"/>
        <v>1</v>
      </c>
      <c r="K401" s="152">
        <f>'Paste #BBall'!I401</f>
        <v>0.2</v>
      </c>
      <c r="L401" s="152">
        <f>'Paste #BBall'!J401</f>
        <v>2</v>
      </c>
      <c r="M401" s="152">
        <f>'Paste #BBall'!K401</f>
        <v>1</v>
      </c>
      <c r="N401" s="152">
        <f>'Paste #BBall'!L401</f>
        <v>0.4</v>
      </c>
      <c r="O401" s="152">
        <f>'Paste #BBall'!M401</f>
        <v>0.2</v>
      </c>
      <c r="P401" s="152">
        <f>'Paste #BBall'!N401</f>
        <v>0.2</v>
      </c>
      <c r="Q401" s="152">
        <f>'Paste #BBall'!O401</f>
        <v>0.2</v>
      </c>
      <c r="R401" s="153" t="str">
        <f>Left(Right('Paste #BBall'!G401,Len('Paste #BBall'!G401)-Search("/",'Paste #BBall'!G401)),Len(Right('Paste #BBall'!G401,Len('Paste #BBall'!G401)-Search("/",'Paste #BBall'!G401)))-1)</f>
        <v>1.1</v>
      </c>
      <c r="S401" s="153" t="str">
        <f>Left(Right('Paste #BBall'!H401,Len('Paste #BBall'!H401)-Search("/",'Paste #BBall'!H401)),Len(Right('Paste #BBall'!H401,Len('Paste #BBall'!H401)-Search("/",'Paste #BBall'!H401)))-1)</f>
        <v>0.6</v>
      </c>
    </row>
    <row r="402">
      <c r="A402" s="33">
        <v>401.0</v>
      </c>
      <c r="F402" s="158"/>
      <c r="G402" s="154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4"/>
      <c r="S402" s="154"/>
    </row>
    <row r="403">
      <c r="A403" s="33">
        <v>402.0</v>
      </c>
      <c r="F403" s="158"/>
      <c r="G403" s="154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4"/>
      <c r="S403" s="154"/>
    </row>
    <row r="404">
      <c r="A404" s="33">
        <v>403.0</v>
      </c>
      <c r="F404" s="158"/>
      <c r="G404" s="154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4"/>
      <c r="S404" s="154"/>
    </row>
    <row r="405">
      <c r="A405" s="33">
        <v>404.0</v>
      </c>
      <c r="F405" s="158"/>
      <c r="G405" s="154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4"/>
      <c r="S405" s="154"/>
    </row>
    <row r="406">
      <c r="A406" s="33">
        <v>405.0</v>
      </c>
      <c r="F406" s="158"/>
      <c r="G406" s="154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4"/>
      <c r="S406" s="154"/>
    </row>
    <row r="407">
      <c r="A407" s="33">
        <v>406.0</v>
      </c>
      <c r="F407" s="158"/>
      <c r="G407" s="154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4"/>
      <c r="S407" s="154"/>
    </row>
    <row r="408">
      <c r="A408" s="33">
        <v>407.0</v>
      </c>
      <c r="F408" s="158"/>
      <c r="G408" s="154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4"/>
      <c r="S408" s="154"/>
    </row>
    <row r="409">
      <c r="A409" s="33">
        <v>408.0</v>
      </c>
      <c r="F409" s="158"/>
      <c r="G409" s="154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4"/>
      <c r="S409" s="154"/>
    </row>
    <row r="410">
      <c r="A410" s="33">
        <v>409.0</v>
      </c>
    </row>
    <row r="411">
      <c r="A411" s="33">
        <v>410.0</v>
      </c>
    </row>
    <row r="412">
      <c r="A412" s="33">
        <v>411.0</v>
      </c>
    </row>
    <row r="413">
      <c r="A413" s="33">
        <v>412.0</v>
      </c>
    </row>
    <row r="414">
      <c r="A414" s="33">
        <v>413.0</v>
      </c>
    </row>
    <row r="415">
      <c r="A415" s="33">
        <v>414.0</v>
      </c>
    </row>
    <row r="416">
      <c r="A416" s="33">
        <v>415.0</v>
      </c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autoFilter ref="$A$1:$S$216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33" t="s">
        <v>50</v>
      </c>
      <c r="E1" s="33" t="s">
        <v>51</v>
      </c>
      <c r="F1" s="33" t="s">
        <v>52</v>
      </c>
      <c r="G1" s="33" t="s">
        <v>53</v>
      </c>
    </row>
    <row r="2">
      <c r="B2" s="33" t="s">
        <v>1705</v>
      </c>
      <c r="C2" s="33" t="s">
        <v>583</v>
      </c>
      <c r="D2" s="33">
        <v>4.0</v>
      </c>
      <c r="E2" s="33">
        <v>4.0</v>
      </c>
      <c r="F2" s="33">
        <v>4.0</v>
      </c>
      <c r="G2" s="33">
        <v>12.0</v>
      </c>
    </row>
    <row r="3">
      <c r="B3" s="33" t="s">
        <v>1706</v>
      </c>
      <c r="C3" s="33" t="s">
        <v>433</v>
      </c>
      <c r="D3" s="33">
        <v>3.0</v>
      </c>
      <c r="E3" s="33">
        <v>4.0</v>
      </c>
      <c r="F3" s="33">
        <v>4.0</v>
      </c>
      <c r="G3" s="33">
        <v>11.0</v>
      </c>
    </row>
    <row r="4">
      <c r="B4" s="33" t="s">
        <v>1707</v>
      </c>
      <c r="C4" s="33" t="s">
        <v>503</v>
      </c>
      <c r="D4" s="33">
        <v>5.0</v>
      </c>
      <c r="E4" s="33">
        <v>3.0</v>
      </c>
      <c r="F4" s="33">
        <v>3.0</v>
      </c>
      <c r="G4" s="33">
        <v>11.0</v>
      </c>
    </row>
    <row r="5">
      <c r="B5" s="33" t="s">
        <v>1708</v>
      </c>
      <c r="C5" s="33" t="s">
        <v>533</v>
      </c>
      <c r="D5" s="33">
        <v>4.0</v>
      </c>
      <c r="E5" s="33">
        <v>4.0</v>
      </c>
      <c r="F5" s="33">
        <v>3.0</v>
      </c>
      <c r="G5" s="33">
        <v>11.0</v>
      </c>
    </row>
    <row r="6">
      <c r="B6" s="33" t="s">
        <v>1709</v>
      </c>
      <c r="C6" s="33" t="s">
        <v>465</v>
      </c>
      <c r="D6" s="33">
        <v>4.0</v>
      </c>
      <c r="E6" s="33">
        <v>3.0</v>
      </c>
      <c r="F6" s="33">
        <v>4.0</v>
      </c>
      <c r="G6" s="33">
        <v>11.0</v>
      </c>
    </row>
    <row r="7">
      <c r="B7" s="33" t="s">
        <v>1710</v>
      </c>
      <c r="C7" s="33" t="s">
        <v>554</v>
      </c>
      <c r="D7" s="33">
        <v>3.0</v>
      </c>
      <c r="E7" s="33">
        <v>4.0</v>
      </c>
      <c r="F7" s="33">
        <v>4.0</v>
      </c>
      <c r="G7" s="33">
        <v>11.0</v>
      </c>
    </row>
    <row r="8">
      <c r="B8" s="33" t="s">
        <v>1711</v>
      </c>
      <c r="C8" s="33" t="s">
        <v>491</v>
      </c>
      <c r="D8" s="33">
        <v>4.0</v>
      </c>
      <c r="E8" s="33">
        <v>4.0</v>
      </c>
      <c r="F8" s="33">
        <v>3.0</v>
      </c>
      <c r="G8" s="33">
        <v>11.0</v>
      </c>
    </row>
    <row r="9">
      <c r="B9" s="33" t="s">
        <v>1712</v>
      </c>
      <c r="C9" s="33" t="s">
        <v>487</v>
      </c>
      <c r="D9" s="33">
        <v>4.0</v>
      </c>
      <c r="E9" s="33">
        <v>3.0</v>
      </c>
      <c r="F9" s="33">
        <v>4.0</v>
      </c>
      <c r="G9" s="33">
        <v>11.0</v>
      </c>
    </row>
    <row r="10">
      <c r="B10" s="33" t="s">
        <v>1713</v>
      </c>
      <c r="C10" s="33" t="s">
        <v>420</v>
      </c>
      <c r="D10" s="33">
        <v>4.0</v>
      </c>
      <c r="E10" s="33">
        <v>3.0</v>
      </c>
      <c r="F10" s="33">
        <v>4.0</v>
      </c>
      <c r="G10" s="33">
        <v>11.0</v>
      </c>
    </row>
    <row r="11">
      <c r="B11" s="33" t="s">
        <v>1714</v>
      </c>
      <c r="C11" s="33" t="s">
        <v>476</v>
      </c>
      <c r="D11" s="33">
        <v>4.0</v>
      </c>
      <c r="E11" s="33">
        <v>3.0</v>
      </c>
      <c r="F11" s="33">
        <v>4.0</v>
      </c>
      <c r="G11" s="33">
        <v>11.0</v>
      </c>
    </row>
    <row r="12">
      <c r="B12" s="33" t="s">
        <v>1715</v>
      </c>
      <c r="C12" s="33" t="s">
        <v>590</v>
      </c>
      <c r="D12" s="33">
        <v>4.0</v>
      </c>
      <c r="E12" s="33">
        <v>4.0</v>
      </c>
      <c r="F12" s="33">
        <v>3.0</v>
      </c>
      <c r="G12" s="33">
        <v>11.0</v>
      </c>
    </row>
    <row r="13">
      <c r="B13" s="33" t="s">
        <v>1716</v>
      </c>
      <c r="C13" s="33" t="s">
        <v>473</v>
      </c>
      <c r="D13" s="33">
        <v>4.0</v>
      </c>
      <c r="E13" s="33">
        <v>3.0</v>
      </c>
      <c r="F13" s="33">
        <v>3.0</v>
      </c>
      <c r="G13" s="33">
        <v>10.0</v>
      </c>
    </row>
    <row r="14">
      <c r="B14" s="33" t="s">
        <v>1717</v>
      </c>
      <c r="C14" s="33" t="s">
        <v>416</v>
      </c>
      <c r="D14" s="33">
        <v>3.0</v>
      </c>
      <c r="E14" s="33">
        <v>4.0</v>
      </c>
      <c r="F14" s="33">
        <v>3.0</v>
      </c>
      <c r="G14" s="33">
        <v>10.0</v>
      </c>
    </row>
    <row r="15">
      <c r="B15" s="33" t="s">
        <v>1718</v>
      </c>
      <c r="C15" s="33" t="s">
        <v>441</v>
      </c>
      <c r="D15" s="33">
        <v>3.0</v>
      </c>
      <c r="E15" s="33">
        <v>3.0</v>
      </c>
      <c r="F15" s="33">
        <v>4.0</v>
      </c>
      <c r="G15" s="33">
        <v>10.0</v>
      </c>
    </row>
    <row r="16">
      <c r="B16" s="33" t="s">
        <v>1719</v>
      </c>
      <c r="C16" s="33" t="s">
        <v>537</v>
      </c>
      <c r="D16" s="33">
        <v>4.0</v>
      </c>
      <c r="E16" s="33">
        <v>3.0</v>
      </c>
      <c r="F16" s="33">
        <v>3.0</v>
      </c>
      <c r="G16" s="33">
        <v>10.0</v>
      </c>
    </row>
    <row r="17">
      <c r="B17" s="33" t="s">
        <v>1720</v>
      </c>
      <c r="C17" s="33" t="s">
        <v>429</v>
      </c>
      <c r="D17" s="33">
        <v>3.0</v>
      </c>
      <c r="E17" s="33">
        <v>3.0</v>
      </c>
      <c r="F17" s="33">
        <v>4.0</v>
      </c>
      <c r="G17" s="33">
        <v>10.0</v>
      </c>
    </row>
    <row r="18">
      <c r="B18" s="33" t="s">
        <v>1721</v>
      </c>
      <c r="C18" s="33" t="s">
        <v>480</v>
      </c>
      <c r="D18" s="33">
        <v>4.0</v>
      </c>
      <c r="E18" s="33">
        <v>3.0</v>
      </c>
      <c r="F18" s="33">
        <v>3.0</v>
      </c>
      <c r="G18" s="33">
        <v>10.0</v>
      </c>
    </row>
    <row r="19">
      <c r="B19" s="33" t="s">
        <v>1722</v>
      </c>
      <c r="C19" s="33" t="s">
        <v>449</v>
      </c>
      <c r="D19" s="33">
        <v>4.0</v>
      </c>
      <c r="E19" s="33">
        <v>3.0</v>
      </c>
      <c r="F19" s="33">
        <v>3.0</v>
      </c>
      <c r="G19" s="33">
        <v>10.0</v>
      </c>
    </row>
    <row r="20">
      <c r="B20" s="33" t="s">
        <v>1723</v>
      </c>
      <c r="C20" s="33" t="s">
        <v>398</v>
      </c>
      <c r="D20" s="33">
        <v>4.0</v>
      </c>
      <c r="E20" s="33">
        <v>2.0</v>
      </c>
      <c r="F20" s="33">
        <v>4.0</v>
      </c>
      <c r="G20" s="33">
        <v>10.0</v>
      </c>
    </row>
    <row r="21">
      <c r="B21" s="33" t="s">
        <v>1724</v>
      </c>
      <c r="C21" s="33" t="s">
        <v>603</v>
      </c>
      <c r="D21" s="33">
        <v>3.0</v>
      </c>
      <c r="E21" s="33">
        <v>3.0</v>
      </c>
      <c r="F21" s="33">
        <v>4.0</v>
      </c>
      <c r="G21" s="33">
        <v>10.0</v>
      </c>
    </row>
    <row r="22">
      <c r="B22" s="33" t="s">
        <v>1725</v>
      </c>
      <c r="C22" s="33" t="s">
        <v>425</v>
      </c>
      <c r="D22" s="33">
        <v>4.0</v>
      </c>
      <c r="E22" s="33">
        <v>3.0</v>
      </c>
      <c r="F22" s="33">
        <v>3.0</v>
      </c>
      <c r="G22" s="33">
        <v>10.0</v>
      </c>
    </row>
    <row r="23">
      <c r="B23" s="33" t="s">
        <v>1726</v>
      </c>
      <c r="C23" s="33" t="s">
        <v>619</v>
      </c>
      <c r="D23" s="33">
        <v>4.0</v>
      </c>
      <c r="E23" s="33">
        <v>3.0</v>
      </c>
      <c r="F23" s="33">
        <v>3.0</v>
      </c>
      <c r="G23" s="33">
        <v>10.0</v>
      </c>
    </row>
    <row r="24">
      <c r="B24" s="33" t="s">
        <v>1727</v>
      </c>
      <c r="C24" s="33" t="s">
        <v>445</v>
      </c>
      <c r="D24" s="33">
        <v>3.0</v>
      </c>
      <c r="E24" s="33">
        <v>4.0</v>
      </c>
      <c r="F24" s="33">
        <v>3.0</v>
      </c>
      <c r="G24" s="33">
        <v>10.0</v>
      </c>
    </row>
    <row r="25">
      <c r="B25" s="33" t="s">
        <v>1728</v>
      </c>
      <c r="C25" s="33" t="s">
        <v>567</v>
      </c>
      <c r="D25" s="33">
        <v>3.0</v>
      </c>
      <c r="E25" s="33">
        <v>4.0</v>
      </c>
      <c r="F25" s="33">
        <v>3.0</v>
      </c>
      <c r="G25" s="33">
        <v>10.0</v>
      </c>
    </row>
    <row r="26">
      <c r="B26" s="33" t="s">
        <v>1729</v>
      </c>
      <c r="C26" s="33" t="s">
        <v>587</v>
      </c>
      <c r="D26" s="33">
        <v>3.0</v>
      </c>
      <c r="E26" s="33">
        <v>4.0</v>
      </c>
      <c r="F26" s="33">
        <v>3.0</v>
      </c>
      <c r="G26" s="33">
        <v>10.0</v>
      </c>
    </row>
    <row r="27">
      <c r="B27" s="33" t="s">
        <v>1730</v>
      </c>
      <c r="C27" s="33" t="s">
        <v>507</v>
      </c>
      <c r="D27" s="33">
        <v>3.0</v>
      </c>
      <c r="E27" s="33">
        <v>3.0</v>
      </c>
      <c r="F27" s="33">
        <v>4.0</v>
      </c>
      <c r="G27" s="33">
        <v>10.0</v>
      </c>
    </row>
    <row r="28">
      <c r="B28" s="33" t="s">
        <v>1731</v>
      </c>
      <c r="C28" s="33" t="s">
        <v>461</v>
      </c>
      <c r="D28" s="33">
        <v>3.0</v>
      </c>
      <c r="E28" s="33">
        <v>4.0</v>
      </c>
      <c r="F28" s="33">
        <v>2.0</v>
      </c>
      <c r="G28" s="33">
        <v>9.0</v>
      </c>
    </row>
    <row r="29">
      <c r="B29" s="33" t="s">
        <v>1732</v>
      </c>
      <c r="C29" s="33" t="s">
        <v>437</v>
      </c>
      <c r="D29" s="33">
        <v>3.0</v>
      </c>
      <c r="E29" s="33">
        <v>4.0</v>
      </c>
      <c r="F29" s="33">
        <v>2.0</v>
      </c>
      <c r="G29" s="33">
        <v>9.0</v>
      </c>
    </row>
    <row r="30">
      <c r="B30" s="33" t="s">
        <v>1733</v>
      </c>
      <c r="C30" s="33" t="s">
        <v>457</v>
      </c>
      <c r="D30" s="33">
        <v>4.0</v>
      </c>
      <c r="E30" s="33">
        <v>2.0</v>
      </c>
      <c r="F30" s="33">
        <v>3.0</v>
      </c>
      <c r="G30" s="33">
        <v>9.0</v>
      </c>
    </row>
    <row r="31">
      <c r="B31" s="33" t="s">
        <v>1734</v>
      </c>
      <c r="C31" s="33" t="s">
        <v>547</v>
      </c>
      <c r="D31" s="33">
        <v>3.0</v>
      </c>
      <c r="E31" s="33">
        <v>3.0</v>
      </c>
      <c r="F31" s="33">
        <v>3.0</v>
      </c>
      <c r="G31" s="33">
        <v>9.0</v>
      </c>
    </row>
  </sheetData>
  <drawing r:id="rId1"/>
</worksheet>
</file>